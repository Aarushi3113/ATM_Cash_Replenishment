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aru/Downloads/"/>
    </mc:Choice>
  </mc:AlternateContent>
  <xr:revisionPtr revIDLastSave="0" documentId="13_ncr:1_{087C8CFB-290A-2444-BF72-ABEEFECF5201}" xr6:coauthVersionLast="47" xr6:coauthVersionMax="47" xr10:uidLastSave="{00000000-0000-0000-0000-000000000000}"/>
  <bookViews>
    <workbookView xWindow="0" yWindow="0" windowWidth="24520" windowHeight="13760" tabRatio="851" firstSheet="1" activeTab="4" xr2:uid="{00000000-000D-0000-FFFF-FFFF00000000}"/>
  </bookViews>
  <sheets>
    <sheet name="Select ATM to Analyze" sheetId="6" r:id="rId1"/>
    <sheet name="ATM Transaction Query Results" sheetId="12" r:id="rId2"/>
    <sheet name="Enter Parameters" sheetId="7" r:id="rId3"/>
    <sheet name="Analyze Replenishment Schedule" sheetId="3" r:id="rId4"/>
    <sheet name="ATM Cash Transactions" sheetId="1" r:id="rId5"/>
    <sheet name="Pre-Processing" sheetId="14" r:id="rId6"/>
    <sheet name="ATM Cost of Ownership" sheetId="5" r:id="rId7"/>
    <sheet name="Off-Premise ATM List" sheetId="8" r:id="rId8"/>
  </sheets>
  <functionGroups builtInGroupCount="19"/>
  <definedNames>
    <definedName name="_xlnm._FilterDatabase" localSheetId="3" hidden="1">'Analyze Replenishment Schedule'!$B$21:$M$2205</definedName>
    <definedName name="_xlnm._FilterDatabase" localSheetId="4" hidden="1">'ATM Cash Transactions'!$A$5:$M$3563</definedName>
    <definedName name="_xlnm._FilterDatabase" localSheetId="5" hidden="1">'Pre-Processing'!$B$23:$J$1025</definedName>
    <definedName name="Account">'ATM Cash Transactions'!$C$6:$C$3642</definedName>
    <definedName name="Amount">'ATM Cash Transactions'!$E$6:$E$3642</definedName>
    <definedName name="Amount_Withdrawn">'ATM Cash Transactions'!$I$6:$I$3642</definedName>
    <definedName name="Annual_Ownership_Cost">'ATM Cost of Ownership'!$D$6</definedName>
    <definedName name="ATM_Cash_After_Transaction">'ATM Cash Transactions'!$K$6:$K$3642</definedName>
    <definedName name="ATM_Cash_Before_Transaction">'ATM Cash Transactions'!$H$6:$H$3642</definedName>
    <definedName name="ATM_Cash_Limit">'Enter Parameters'!$I$13</definedName>
    <definedName name="ATM_id">'ATM Cash Transactions'!$A$6:$A$3642</definedName>
    <definedName name="Average_ATM_Cash_On_Hand">'Analyze Replenishment Schedule'!$O$10</definedName>
    <definedName name="Displayed_ATM">'Analyze Replenishment Schedule'!$C$3</definedName>
    <definedName name="Earliest_Replenishment_Time">'Enter Parameters'!$D$6</definedName>
    <definedName name="End_Date">'Analyze Replenishment Schedule'!$G$3</definedName>
    <definedName name="ExternalData_1" localSheetId="1" hidden="1">'ATM Transaction Query Results'!$A$1:$F$3638</definedName>
    <definedName name="Failed_Transactions">'ATM Cash Transactions'!$L$6:$L$3642</definedName>
    <definedName name="FCI_Limit">'Enter Parameters'!$I$12</definedName>
    <definedName name="FCII">'Analyze Replenishment Schedule'!$M$14</definedName>
    <definedName name="Fee_collected">'ATM Cash Transactions'!$J$6:$J$3642</definedName>
    <definedName name="Latest_Replenishment_Time">'Enter Parameters'!$F$7</definedName>
    <definedName name="Lost_Transaction_Fees">'ATM Cash Transactions'!$M$6:$M$3642</definedName>
    <definedName name="Marginal_Tax_Rate">'Enter Parameters'!$L$10</definedName>
    <definedName name="Off_Premise_ATM_List">'Off-Premise ATM List'!$A$2:$A$22</definedName>
    <definedName name="Opp_CC">'Enter Parameters'!$L$11</definedName>
    <definedName name="R_Amounts">'Analyze Replenishment Schedule'!$G$6:$G$12</definedName>
    <definedName name="R_Costs">'Analyze Replenishment Schedule'!$E$6:$E$12</definedName>
    <definedName name="R_Days">'Analyze Replenishment Schedule'!$D$6:$D$12</definedName>
    <definedName name="R_Schedule_Amounts">'Analyze Replenishment Schedule'!$G$16:$G$41</definedName>
    <definedName name="R_Schedule_Costs">'Analyze Replenishment Schedule'!$F$16:$F$41</definedName>
    <definedName name="R_Schedule_Days">'Analyze Replenishment Schedule'!$C$16:$C$41</definedName>
    <definedName name="R_Schedule_Days_of_Week">'Analyze Replenishment Schedule'!$B$16:$B$41</definedName>
    <definedName name="R_Schedule_Table">'Analyze Replenishment Schedule'!$B$16:$G$41</definedName>
    <definedName name="R_Schedule_Times">'Analyze Replenishment Schedule'!$E$16:$E$41</definedName>
    <definedName name="R_Schedule_Times_of_Day">'Analyze Replenishment Schedule'!$D$16:$D$41</definedName>
    <definedName name="R_Times">'Analyze Replenishment Schedule'!$F$6:$F$12</definedName>
    <definedName name="Rep_Amnt1">'Analyze Replenishment Schedule'!$W$7:$W$13</definedName>
    <definedName name="Rep_Day1">'Analyze Replenishment Schedule'!$V$7:$V$13</definedName>
    <definedName name="Replenishment_Cost_Table">'Enter Parameters'!$D$6:$F$15</definedName>
    <definedName name="Selected_ATM">'Select ATM to Analyze'!$J$6</definedName>
    <definedName name="Selected_Days">'Analyze Replenishment Schedule'!$C$6:$C$12</definedName>
    <definedName name="Selected_End_Date">'Select ATM to Analyze'!$J$9</definedName>
    <definedName name="Selected_Start_Date">'Select ATM to Analyze'!$J$8</definedName>
    <definedName name="Start_Date">'Analyze Replenishment Schedule'!$E$3</definedName>
    <definedName name="Starting_Cash">'Enter Parameters'!$I$11</definedName>
    <definedName name="Table_Transaction_Query_Results">ATM_Transaction_Query_2[]</definedName>
    <definedName name="Time_Since_Last_Transaction">'ATM Cash Transactions'!$G$6:$G$3642</definedName>
    <definedName name="Timestamp">'ATM Cash Transactions'!$B$6:$B$3642</definedName>
    <definedName name="Transaction_Data">'ATM Cash Transactions'!$A$6:$F$3563</definedName>
    <definedName name="Transaction_Fee">'ATM Cash Transactions'!$F$6:$F$3642</definedName>
    <definedName name="Transaction_Period_Ownership_Cost">'ATM Cost of Ownership'!$D$7</definedName>
    <definedName name="Transaction_Table">'ATM Cash Transactions'!$A$6:$M$3642</definedName>
    <definedName name="Transaction_Type">'ATM Cash Transactions'!$D$6:$D$3642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3" l="1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16" i="3"/>
  <c r="E18" i="3"/>
  <c r="D17" i="3"/>
  <c r="E17" i="3" s="1"/>
  <c r="D18" i="3"/>
  <c r="D19" i="3"/>
  <c r="E19" i="3" s="1"/>
  <c r="D20" i="3"/>
  <c r="E20" i="3" s="1"/>
  <c r="D21" i="3"/>
  <c r="E21" i="3" s="1"/>
  <c r="D22" i="3"/>
  <c r="E22" i="3" s="1"/>
  <c r="D23" i="3"/>
  <c r="E23" i="3" s="1"/>
  <c r="D24" i="3"/>
  <c r="E24" i="3" s="1"/>
  <c r="D25" i="3"/>
  <c r="E25" i="3" s="1"/>
  <c r="D26" i="3"/>
  <c r="E26" i="3" s="1"/>
  <c r="D27" i="3"/>
  <c r="E27" i="3" s="1"/>
  <c r="D28" i="3"/>
  <c r="E28" i="3" s="1"/>
  <c r="D29" i="3"/>
  <c r="E29" i="3" s="1"/>
  <c r="D30" i="3"/>
  <c r="E30" i="3" s="1"/>
  <c r="D31" i="3"/>
  <c r="E31" i="3" s="1"/>
  <c r="D32" i="3"/>
  <c r="E32" i="3" s="1"/>
  <c r="D33" i="3"/>
  <c r="E33" i="3" s="1"/>
  <c r="D34" i="3"/>
  <c r="E34" i="3" s="1"/>
  <c r="D35" i="3"/>
  <c r="E35" i="3" s="1"/>
  <c r="D36" i="3"/>
  <c r="E36" i="3" s="1"/>
  <c r="D37" i="3"/>
  <c r="E37" i="3" s="1"/>
  <c r="D38" i="3"/>
  <c r="E38" i="3" s="1"/>
  <c r="D39" i="3"/>
  <c r="E39" i="3" s="1"/>
  <c r="D40" i="3"/>
  <c r="E40" i="3" s="1"/>
  <c r="D41" i="3"/>
  <c r="E41" i="3" s="1"/>
  <c r="D16" i="3"/>
  <c r="E16" i="3" s="1"/>
  <c r="W7" i="3" l="1"/>
  <c r="V7" i="3"/>
  <c r="C3" i="3" l="1"/>
  <c r="J4" i="14"/>
  <c r="J24" i="14"/>
  <c r="J25" i="14" s="1"/>
  <c r="I24" i="14"/>
  <c r="I25" i="14" s="1"/>
  <c r="H24" i="14"/>
  <c r="H25" i="14" s="1"/>
  <c r="G24" i="14"/>
  <c r="G25" i="14" s="1"/>
  <c r="F24" i="14"/>
  <c r="F25" i="14" s="1"/>
  <c r="E24" i="14"/>
  <c r="E25" i="14" s="1"/>
  <c r="D24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K11" i="14"/>
  <c r="D11" i="14"/>
  <c r="E7" i="14"/>
  <c r="I12" i="7" l="1"/>
  <c r="L11" i="7"/>
  <c r="L10" i="7"/>
  <c r="I3" i="7" l="1"/>
  <c r="R10" i="3"/>
  <c r="R9" i="3"/>
  <c r="R8" i="3"/>
  <c r="O7" i="3"/>
  <c r="E7" i="3"/>
  <c r="E8" i="3"/>
  <c r="E9" i="3"/>
  <c r="E10" i="3"/>
  <c r="E11" i="3"/>
  <c r="E12" i="3"/>
  <c r="E6" i="3"/>
  <c r="B2" i="1" a="1"/>
  <c r="B2" i="1" s="1"/>
  <c r="C30" i="5"/>
  <c r="F20" i="3" l="1"/>
  <c r="F28" i="3"/>
  <c r="F36" i="3"/>
  <c r="F22" i="3"/>
  <c r="F32" i="3"/>
  <c r="F26" i="3"/>
  <c r="F38" i="3"/>
  <c r="F24" i="3"/>
  <c r="F40" i="3"/>
  <c r="F18" i="3"/>
  <c r="F34" i="3"/>
  <c r="F30" i="3"/>
  <c r="F16" i="3"/>
  <c r="F19" i="3"/>
  <c r="F27" i="3"/>
  <c r="F35" i="3"/>
  <c r="F23" i="3"/>
  <c r="F39" i="3"/>
  <c r="F17" i="3"/>
  <c r="F41" i="3"/>
  <c r="F21" i="3"/>
  <c r="F29" i="3"/>
  <c r="F37" i="3"/>
  <c r="F31" i="3"/>
  <c r="F25" i="3"/>
  <c r="F33" i="3"/>
  <c r="G10" i="1"/>
  <c r="G16" i="1"/>
  <c r="G22" i="1"/>
  <c r="G28" i="1"/>
  <c r="G34" i="1"/>
  <c r="G40" i="1"/>
  <c r="G46" i="1"/>
  <c r="G52" i="1"/>
  <c r="G58" i="1"/>
  <c r="G64" i="1"/>
  <c r="G70" i="1"/>
  <c r="G76" i="1"/>
  <c r="G82" i="1"/>
  <c r="G88" i="1"/>
  <c r="G94" i="1"/>
  <c r="G100" i="1"/>
  <c r="G106" i="1"/>
  <c r="G112" i="1"/>
  <c r="G118" i="1"/>
  <c r="G124" i="1"/>
  <c r="G130" i="1"/>
  <c r="G136" i="1"/>
  <c r="G142" i="1"/>
  <c r="G148" i="1"/>
  <c r="G154" i="1"/>
  <c r="G160" i="1"/>
  <c r="G166" i="1"/>
  <c r="G172" i="1"/>
  <c r="G178" i="1"/>
  <c r="G184" i="1"/>
  <c r="G190" i="1"/>
  <c r="G196" i="1"/>
  <c r="G202" i="1"/>
  <c r="G208" i="1"/>
  <c r="G214" i="1"/>
  <c r="G220" i="1"/>
  <c r="G226" i="1"/>
  <c r="G232" i="1"/>
  <c r="G238" i="1"/>
  <c r="G244" i="1"/>
  <c r="G250" i="1"/>
  <c r="G256" i="1"/>
  <c r="G262" i="1"/>
  <c r="G268" i="1"/>
  <c r="G274" i="1"/>
  <c r="G280" i="1"/>
  <c r="G286" i="1"/>
  <c r="G292" i="1"/>
  <c r="G298" i="1"/>
  <c r="G304" i="1"/>
  <c r="G310" i="1"/>
  <c r="G316" i="1"/>
  <c r="G322" i="1"/>
  <c r="G328" i="1"/>
  <c r="G334" i="1"/>
  <c r="G340" i="1"/>
  <c r="G346" i="1"/>
  <c r="G352" i="1"/>
  <c r="G358" i="1"/>
  <c r="G364" i="1"/>
  <c r="G370" i="1"/>
  <c r="G376" i="1"/>
  <c r="G382" i="1"/>
  <c r="G388" i="1"/>
  <c r="G394" i="1"/>
  <c r="G400" i="1"/>
  <c r="G406" i="1"/>
  <c r="G412" i="1"/>
  <c r="G418" i="1"/>
  <c r="G424" i="1"/>
  <c r="G430" i="1"/>
  <c r="G436" i="1"/>
  <c r="G442" i="1"/>
  <c r="G448" i="1"/>
  <c r="G454" i="1"/>
  <c r="G460" i="1"/>
  <c r="G466" i="1"/>
  <c r="G472" i="1"/>
  <c r="G478" i="1"/>
  <c r="G484" i="1"/>
  <c r="G490" i="1"/>
  <c r="G496" i="1"/>
  <c r="G502" i="1"/>
  <c r="G508" i="1"/>
  <c r="G514" i="1"/>
  <c r="G520" i="1"/>
  <c r="G526" i="1"/>
  <c r="G532" i="1"/>
  <c r="G538" i="1"/>
  <c r="G544" i="1"/>
  <c r="G550" i="1"/>
  <c r="G556" i="1"/>
  <c r="G562" i="1"/>
  <c r="G568" i="1"/>
  <c r="G574" i="1"/>
  <c r="G580" i="1"/>
  <c r="G586" i="1"/>
  <c r="G592" i="1"/>
  <c r="G598" i="1"/>
  <c r="G604" i="1"/>
  <c r="G610" i="1"/>
  <c r="G616" i="1"/>
  <c r="G622" i="1"/>
  <c r="G628" i="1"/>
  <c r="G634" i="1"/>
  <c r="G640" i="1"/>
  <c r="G646" i="1"/>
  <c r="G652" i="1"/>
  <c r="G658" i="1"/>
  <c r="G664" i="1"/>
  <c r="G670" i="1"/>
  <c r="G676" i="1"/>
  <c r="G682" i="1"/>
  <c r="G688" i="1"/>
  <c r="G694" i="1"/>
  <c r="G700" i="1"/>
  <c r="G706" i="1"/>
  <c r="G712" i="1"/>
  <c r="G718" i="1"/>
  <c r="G724" i="1"/>
  <c r="G730" i="1"/>
  <c r="G736" i="1"/>
  <c r="G742" i="1"/>
  <c r="G748" i="1"/>
  <c r="G754" i="1"/>
  <c r="G760" i="1"/>
  <c r="G766" i="1"/>
  <c r="G772" i="1"/>
  <c r="G778" i="1"/>
  <c r="G784" i="1"/>
  <c r="G790" i="1"/>
  <c r="G796" i="1"/>
  <c r="G802" i="1"/>
  <c r="G808" i="1"/>
  <c r="G814" i="1"/>
  <c r="G820" i="1"/>
  <c r="G826" i="1"/>
  <c r="G832" i="1"/>
  <c r="G838" i="1"/>
  <c r="G844" i="1"/>
  <c r="G850" i="1"/>
  <c r="G856" i="1"/>
  <c r="G862" i="1"/>
  <c r="G868" i="1"/>
  <c r="G874" i="1"/>
  <c r="G880" i="1"/>
  <c r="G886" i="1"/>
  <c r="G892" i="1"/>
  <c r="G898" i="1"/>
  <c r="G904" i="1"/>
  <c r="G910" i="1"/>
  <c r="G916" i="1"/>
  <c r="G922" i="1"/>
  <c r="G928" i="1"/>
  <c r="G934" i="1"/>
  <c r="G940" i="1"/>
  <c r="G946" i="1"/>
  <c r="G952" i="1"/>
  <c r="G958" i="1"/>
  <c r="G964" i="1"/>
  <c r="G970" i="1"/>
  <c r="G976" i="1"/>
  <c r="G982" i="1"/>
  <c r="G988" i="1"/>
  <c r="G994" i="1"/>
  <c r="G1000" i="1"/>
  <c r="G1006" i="1"/>
  <c r="G1012" i="1"/>
  <c r="G1018" i="1"/>
  <c r="G1024" i="1"/>
  <c r="G1030" i="1"/>
  <c r="G1036" i="1"/>
  <c r="G1042" i="1"/>
  <c r="G1048" i="1"/>
  <c r="G1054" i="1"/>
  <c r="G1060" i="1"/>
  <c r="G1066" i="1"/>
  <c r="G1072" i="1"/>
  <c r="G1078" i="1"/>
  <c r="G1084" i="1"/>
  <c r="G1090" i="1"/>
  <c r="G1096" i="1"/>
  <c r="G1102" i="1"/>
  <c r="G1108" i="1"/>
  <c r="G1114" i="1"/>
  <c r="G1120" i="1"/>
  <c r="G1126" i="1"/>
  <c r="G1132" i="1"/>
  <c r="G1138" i="1"/>
  <c r="G1144" i="1"/>
  <c r="G1150" i="1"/>
  <c r="G1156" i="1"/>
  <c r="G1162" i="1"/>
  <c r="G1168" i="1"/>
  <c r="G1174" i="1"/>
  <c r="G1180" i="1"/>
  <c r="G1186" i="1"/>
  <c r="G1192" i="1"/>
  <c r="G1198" i="1"/>
  <c r="G1204" i="1"/>
  <c r="G1210" i="1"/>
  <c r="G1216" i="1"/>
  <c r="G1222" i="1"/>
  <c r="G1228" i="1"/>
  <c r="G1234" i="1"/>
  <c r="G1240" i="1"/>
  <c r="G1246" i="1"/>
  <c r="G1252" i="1"/>
  <c r="G1258" i="1"/>
  <c r="G1264" i="1"/>
  <c r="G1270" i="1"/>
  <c r="G1276" i="1"/>
  <c r="G1282" i="1"/>
  <c r="G1288" i="1"/>
  <c r="G1294" i="1"/>
  <c r="G1300" i="1"/>
  <c r="G1306" i="1"/>
  <c r="G1312" i="1"/>
  <c r="G1318" i="1"/>
  <c r="G1324" i="1"/>
  <c r="G1330" i="1"/>
  <c r="G1336" i="1"/>
  <c r="G1342" i="1"/>
  <c r="G1348" i="1"/>
  <c r="G1354" i="1"/>
  <c r="G1360" i="1"/>
  <c r="G1366" i="1"/>
  <c r="G1372" i="1"/>
  <c r="G1378" i="1"/>
  <c r="G1384" i="1"/>
  <c r="G1390" i="1"/>
  <c r="G1396" i="1"/>
  <c r="G1402" i="1"/>
  <c r="G1408" i="1"/>
  <c r="G1414" i="1"/>
  <c r="G1420" i="1"/>
  <c r="G1426" i="1"/>
  <c r="G1432" i="1"/>
  <c r="G1438" i="1"/>
  <c r="G1444" i="1"/>
  <c r="G1450" i="1"/>
  <c r="G1456" i="1"/>
  <c r="G1462" i="1"/>
  <c r="G1468" i="1"/>
  <c r="G1474" i="1"/>
  <c r="G1480" i="1"/>
  <c r="G1486" i="1"/>
  <c r="G1492" i="1"/>
  <c r="G1498" i="1"/>
  <c r="G1504" i="1"/>
  <c r="G1510" i="1"/>
  <c r="G1516" i="1"/>
  <c r="G1522" i="1"/>
  <c r="G1528" i="1"/>
  <c r="G1534" i="1"/>
  <c r="G1540" i="1"/>
  <c r="G1546" i="1"/>
  <c r="G1552" i="1"/>
  <c r="G1558" i="1"/>
  <c r="G1564" i="1"/>
  <c r="G1570" i="1"/>
  <c r="G1576" i="1"/>
  <c r="G1582" i="1"/>
  <c r="G1588" i="1"/>
  <c r="G1594" i="1"/>
  <c r="G1600" i="1"/>
  <c r="G1606" i="1"/>
  <c r="G1612" i="1"/>
  <c r="G1618" i="1"/>
  <c r="G1624" i="1"/>
  <c r="G1630" i="1"/>
  <c r="G1636" i="1"/>
  <c r="G1642" i="1"/>
  <c r="G1648" i="1"/>
  <c r="G1654" i="1"/>
  <c r="G1660" i="1"/>
  <c r="G1666" i="1"/>
  <c r="G1672" i="1"/>
  <c r="G1678" i="1"/>
  <c r="G1684" i="1"/>
  <c r="G1690" i="1"/>
  <c r="G1696" i="1"/>
  <c r="G1702" i="1"/>
  <c r="G1708" i="1"/>
  <c r="G1714" i="1"/>
  <c r="G1720" i="1"/>
  <c r="G1726" i="1"/>
  <c r="G1732" i="1"/>
  <c r="G1738" i="1"/>
  <c r="G1744" i="1"/>
  <c r="G1750" i="1"/>
  <c r="G1756" i="1"/>
  <c r="G1762" i="1"/>
  <c r="G1768" i="1"/>
  <c r="G1774" i="1"/>
  <c r="G1780" i="1"/>
  <c r="G1786" i="1"/>
  <c r="G1792" i="1"/>
  <c r="G1798" i="1"/>
  <c r="G1804" i="1"/>
  <c r="G1810" i="1"/>
  <c r="G1816" i="1"/>
  <c r="G1822" i="1"/>
  <c r="G1828" i="1"/>
  <c r="G1834" i="1"/>
  <c r="G1840" i="1"/>
  <c r="G1846" i="1"/>
  <c r="G1852" i="1"/>
  <c r="G1858" i="1"/>
  <c r="G1864" i="1"/>
  <c r="G1870" i="1"/>
  <c r="G1876" i="1"/>
  <c r="G1882" i="1"/>
  <c r="G1888" i="1"/>
  <c r="G1894" i="1"/>
  <c r="G1900" i="1"/>
  <c r="G1906" i="1"/>
  <c r="G1912" i="1"/>
  <c r="G1918" i="1"/>
  <c r="G1924" i="1"/>
  <c r="G1930" i="1"/>
  <c r="G1936" i="1"/>
  <c r="G1942" i="1"/>
  <c r="G1948" i="1"/>
  <c r="G1954" i="1"/>
  <c r="G1960" i="1"/>
  <c r="G1966" i="1"/>
  <c r="G1972" i="1"/>
  <c r="G1978" i="1"/>
  <c r="G1984" i="1"/>
  <c r="G1990" i="1"/>
  <c r="G1996" i="1"/>
  <c r="G2002" i="1"/>
  <c r="G2008" i="1"/>
  <c r="G2014" i="1"/>
  <c r="G2020" i="1"/>
  <c r="G2026" i="1"/>
  <c r="G2032" i="1"/>
  <c r="G2038" i="1"/>
  <c r="G2044" i="1"/>
  <c r="G2050" i="1"/>
  <c r="G2056" i="1"/>
  <c r="G2062" i="1"/>
  <c r="G2068" i="1"/>
  <c r="G2074" i="1"/>
  <c r="G2080" i="1"/>
  <c r="G2086" i="1"/>
  <c r="G2092" i="1"/>
  <c r="G2098" i="1"/>
  <c r="G2104" i="1"/>
  <c r="G2110" i="1"/>
  <c r="G2116" i="1"/>
  <c r="G2122" i="1"/>
  <c r="G2128" i="1"/>
  <c r="G2134" i="1"/>
  <c r="G2140" i="1"/>
  <c r="G2146" i="1"/>
  <c r="G2152" i="1"/>
  <c r="G2158" i="1"/>
  <c r="G2164" i="1"/>
  <c r="G2170" i="1"/>
  <c r="G2176" i="1"/>
  <c r="G2182" i="1"/>
  <c r="G2188" i="1"/>
  <c r="G2194" i="1"/>
  <c r="G2200" i="1"/>
  <c r="G2206" i="1"/>
  <c r="G2212" i="1"/>
  <c r="G2218" i="1"/>
  <c r="G2224" i="1"/>
  <c r="G2230" i="1"/>
  <c r="G2236" i="1"/>
  <c r="G2242" i="1"/>
  <c r="G2248" i="1"/>
  <c r="G2254" i="1"/>
  <c r="G2260" i="1"/>
  <c r="G2266" i="1"/>
  <c r="G2272" i="1"/>
  <c r="G2278" i="1"/>
  <c r="G2284" i="1"/>
  <c r="G2290" i="1"/>
  <c r="G2296" i="1"/>
  <c r="G2302" i="1"/>
  <c r="G2308" i="1"/>
  <c r="G2314" i="1"/>
  <c r="G2320" i="1"/>
  <c r="G2326" i="1"/>
  <c r="G2332" i="1"/>
  <c r="G2338" i="1"/>
  <c r="G2344" i="1"/>
  <c r="G2350" i="1"/>
  <c r="G2356" i="1"/>
  <c r="G2362" i="1"/>
  <c r="G2368" i="1"/>
  <c r="G2374" i="1"/>
  <c r="G2380" i="1"/>
  <c r="G2386" i="1"/>
  <c r="G2392" i="1"/>
  <c r="G2398" i="1"/>
  <c r="G2404" i="1"/>
  <c r="G2410" i="1"/>
  <c r="G2416" i="1"/>
  <c r="G2422" i="1"/>
  <c r="G2428" i="1"/>
  <c r="G2434" i="1"/>
  <c r="G2440" i="1"/>
  <c r="G2446" i="1"/>
  <c r="G2452" i="1"/>
  <c r="G2458" i="1"/>
  <c r="G2464" i="1"/>
  <c r="G2470" i="1"/>
  <c r="G2476" i="1"/>
  <c r="G2482" i="1"/>
  <c r="G2488" i="1"/>
  <c r="G2494" i="1"/>
  <c r="G2500" i="1"/>
  <c r="G2506" i="1"/>
  <c r="G2512" i="1"/>
  <c r="G2518" i="1"/>
  <c r="G2524" i="1"/>
  <c r="G2530" i="1"/>
  <c r="G2536" i="1"/>
  <c r="G2542" i="1"/>
  <c r="G2548" i="1"/>
  <c r="G2554" i="1"/>
  <c r="G2560" i="1"/>
  <c r="G2566" i="1"/>
  <c r="G2572" i="1"/>
  <c r="G2578" i="1"/>
  <c r="G2584" i="1"/>
  <c r="G2590" i="1"/>
  <c r="G2596" i="1"/>
  <c r="G2602" i="1"/>
  <c r="G2608" i="1"/>
  <c r="G2614" i="1"/>
  <c r="G2620" i="1"/>
  <c r="G2626" i="1"/>
  <c r="G2632" i="1"/>
  <c r="G2638" i="1"/>
  <c r="G2644" i="1"/>
  <c r="G2650" i="1"/>
  <c r="G2656" i="1"/>
  <c r="G2662" i="1"/>
  <c r="G2668" i="1"/>
  <c r="G2674" i="1"/>
  <c r="G2680" i="1"/>
  <c r="G2686" i="1"/>
  <c r="G2692" i="1"/>
  <c r="G2698" i="1"/>
  <c r="G2704" i="1"/>
  <c r="G2710" i="1"/>
  <c r="G2716" i="1"/>
  <c r="G2722" i="1"/>
  <c r="G2728" i="1"/>
  <c r="G2734" i="1"/>
  <c r="G2740" i="1"/>
  <c r="G2746" i="1"/>
  <c r="G2752" i="1"/>
  <c r="G2758" i="1"/>
  <c r="G2764" i="1"/>
  <c r="G2770" i="1"/>
  <c r="G11" i="1"/>
  <c r="G17" i="1"/>
  <c r="G23" i="1"/>
  <c r="G29" i="1"/>
  <c r="G35" i="1"/>
  <c r="G41" i="1"/>
  <c r="G47" i="1"/>
  <c r="G53" i="1"/>
  <c r="G59" i="1"/>
  <c r="G65" i="1"/>
  <c r="G71" i="1"/>
  <c r="G77" i="1"/>
  <c r="G83" i="1"/>
  <c r="G89" i="1"/>
  <c r="G95" i="1"/>
  <c r="G101" i="1"/>
  <c r="G107" i="1"/>
  <c r="G113" i="1"/>
  <c r="G119" i="1"/>
  <c r="G125" i="1"/>
  <c r="G131" i="1"/>
  <c r="G137" i="1"/>
  <c r="G143" i="1"/>
  <c r="G149" i="1"/>
  <c r="G155" i="1"/>
  <c r="G161" i="1"/>
  <c r="G167" i="1"/>
  <c r="G173" i="1"/>
  <c r="G179" i="1"/>
  <c r="G185" i="1"/>
  <c r="G191" i="1"/>
  <c r="G197" i="1"/>
  <c r="G203" i="1"/>
  <c r="G209" i="1"/>
  <c r="G215" i="1"/>
  <c r="G221" i="1"/>
  <c r="G227" i="1"/>
  <c r="G233" i="1"/>
  <c r="G239" i="1"/>
  <c r="G245" i="1"/>
  <c r="G251" i="1"/>
  <c r="G257" i="1"/>
  <c r="G263" i="1"/>
  <c r="G269" i="1"/>
  <c r="G275" i="1"/>
  <c r="G281" i="1"/>
  <c r="G287" i="1"/>
  <c r="G293" i="1"/>
  <c r="G299" i="1"/>
  <c r="G305" i="1"/>
  <c r="G311" i="1"/>
  <c r="G317" i="1"/>
  <c r="G323" i="1"/>
  <c r="G329" i="1"/>
  <c r="G335" i="1"/>
  <c r="G341" i="1"/>
  <c r="G347" i="1"/>
  <c r="G353" i="1"/>
  <c r="G359" i="1"/>
  <c r="G365" i="1"/>
  <c r="G371" i="1"/>
  <c r="G377" i="1"/>
  <c r="G383" i="1"/>
  <c r="G389" i="1"/>
  <c r="G395" i="1"/>
  <c r="G401" i="1"/>
  <c r="G407" i="1"/>
  <c r="G413" i="1"/>
  <c r="G419" i="1"/>
  <c r="G425" i="1"/>
  <c r="G431" i="1"/>
  <c r="G437" i="1"/>
  <c r="G443" i="1"/>
  <c r="G449" i="1"/>
  <c r="G455" i="1"/>
  <c r="G461" i="1"/>
  <c r="G467" i="1"/>
  <c r="G473" i="1"/>
  <c r="G479" i="1"/>
  <c r="G485" i="1"/>
  <c r="G491" i="1"/>
  <c r="G497" i="1"/>
  <c r="G503" i="1"/>
  <c r="G509" i="1"/>
  <c r="G515" i="1"/>
  <c r="G521" i="1"/>
  <c r="G527" i="1"/>
  <c r="G533" i="1"/>
  <c r="G539" i="1"/>
  <c r="G545" i="1"/>
  <c r="G551" i="1"/>
  <c r="G557" i="1"/>
  <c r="G563" i="1"/>
  <c r="G569" i="1"/>
  <c r="G575" i="1"/>
  <c r="G581" i="1"/>
  <c r="G587" i="1"/>
  <c r="G593" i="1"/>
  <c r="G599" i="1"/>
  <c r="G605" i="1"/>
  <c r="G611" i="1"/>
  <c r="G617" i="1"/>
  <c r="G623" i="1"/>
  <c r="G629" i="1"/>
  <c r="G635" i="1"/>
  <c r="G641" i="1"/>
  <c r="G647" i="1"/>
  <c r="G653" i="1"/>
  <c r="G659" i="1"/>
  <c r="G665" i="1"/>
  <c r="G671" i="1"/>
  <c r="G677" i="1"/>
  <c r="G683" i="1"/>
  <c r="G689" i="1"/>
  <c r="G695" i="1"/>
  <c r="G701" i="1"/>
  <c r="G707" i="1"/>
  <c r="G713" i="1"/>
  <c r="G719" i="1"/>
  <c r="G725" i="1"/>
  <c r="G731" i="1"/>
  <c r="G737" i="1"/>
  <c r="G743" i="1"/>
  <c r="G749" i="1"/>
  <c r="G755" i="1"/>
  <c r="G761" i="1"/>
  <c r="G767" i="1"/>
  <c r="G773" i="1"/>
  <c r="G779" i="1"/>
  <c r="G785" i="1"/>
  <c r="G791" i="1"/>
  <c r="G797" i="1"/>
  <c r="G803" i="1"/>
  <c r="G809" i="1"/>
  <c r="G815" i="1"/>
  <c r="G821" i="1"/>
  <c r="G827" i="1"/>
  <c r="G833" i="1"/>
  <c r="G839" i="1"/>
  <c r="G845" i="1"/>
  <c r="G851" i="1"/>
  <c r="G857" i="1"/>
  <c r="G863" i="1"/>
  <c r="G869" i="1"/>
  <c r="G875" i="1"/>
  <c r="G881" i="1"/>
  <c r="G887" i="1"/>
  <c r="G893" i="1"/>
  <c r="G899" i="1"/>
  <c r="G905" i="1"/>
  <c r="G911" i="1"/>
  <c r="G917" i="1"/>
  <c r="G923" i="1"/>
  <c r="G929" i="1"/>
  <c r="G935" i="1"/>
  <c r="G941" i="1"/>
  <c r="G947" i="1"/>
  <c r="G953" i="1"/>
  <c r="G959" i="1"/>
  <c r="G965" i="1"/>
  <c r="G971" i="1"/>
  <c r="G977" i="1"/>
  <c r="G983" i="1"/>
  <c r="G989" i="1"/>
  <c r="G995" i="1"/>
  <c r="G1001" i="1"/>
  <c r="G1007" i="1"/>
  <c r="G1013" i="1"/>
  <c r="G1019" i="1"/>
  <c r="G1025" i="1"/>
  <c r="G1031" i="1"/>
  <c r="G1037" i="1"/>
  <c r="G1043" i="1"/>
  <c r="G1049" i="1"/>
  <c r="G1055" i="1"/>
  <c r="G1061" i="1"/>
  <c r="G1067" i="1"/>
  <c r="G1073" i="1"/>
  <c r="G1079" i="1"/>
  <c r="G1085" i="1"/>
  <c r="G1091" i="1"/>
  <c r="G1097" i="1"/>
  <c r="G1103" i="1"/>
  <c r="G1109" i="1"/>
  <c r="G1115" i="1"/>
  <c r="G1121" i="1"/>
  <c r="G1127" i="1"/>
  <c r="G1133" i="1"/>
  <c r="G1139" i="1"/>
  <c r="G1145" i="1"/>
  <c r="G1151" i="1"/>
  <c r="G1157" i="1"/>
  <c r="G1163" i="1"/>
  <c r="G1169" i="1"/>
  <c r="G1175" i="1"/>
  <c r="G1181" i="1"/>
  <c r="G1187" i="1"/>
  <c r="G1193" i="1"/>
  <c r="G1199" i="1"/>
  <c r="G1205" i="1"/>
  <c r="G1211" i="1"/>
  <c r="G1217" i="1"/>
  <c r="G1223" i="1"/>
  <c r="G1229" i="1"/>
  <c r="G1235" i="1"/>
  <c r="G1241" i="1"/>
  <c r="G1247" i="1"/>
  <c r="G1253" i="1"/>
  <c r="G1259" i="1"/>
  <c r="G1265" i="1"/>
  <c r="G1271" i="1"/>
  <c r="G1277" i="1"/>
  <c r="G1283" i="1"/>
  <c r="G1289" i="1"/>
  <c r="G1295" i="1"/>
  <c r="G1301" i="1"/>
  <c r="G1307" i="1"/>
  <c r="G1313" i="1"/>
  <c r="G1319" i="1"/>
  <c r="G1325" i="1"/>
  <c r="G1331" i="1"/>
  <c r="G1337" i="1"/>
  <c r="G1343" i="1"/>
  <c r="G1349" i="1"/>
  <c r="G1355" i="1"/>
  <c r="G1361" i="1"/>
  <c r="G1367" i="1"/>
  <c r="G1373" i="1"/>
  <c r="G1379" i="1"/>
  <c r="G1385" i="1"/>
  <c r="G1391" i="1"/>
  <c r="G1397" i="1"/>
  <c r="G1403" i="1"/>
  <c r="G1409" i="1"/>
  <c r="G1415" i="1"/>
  <c r="G1421" i="1"/>
  <c r="G1427" i="1"/>
  <c r="G1433" i="1"/>
  <c r="G1439" i="1"/>
  <c r="G1445" i="1"/>
  <c r="G1451" i="1"/>
  <c r="G1457" i="1"/>
  <c r="G1463" i="1"/>
  <c r="G1469" i="1"/>
  <c r="G1475" i="1"/>
  <c r="G1481" i="1"/>
  <c r="G1487" i="1"/>
  <c r="G1493" i="1"/>
  <c r="G1499" i="1"/>
  <c r="G1505" i="1"/>
  <c r="G1511" i="1"/>
  <c r="G1517" i="1"/>
  <c r="G1523" i="1"/>
  <c r="G1529" i="1"/>
  <c r="G1535" i="1"/>
  <c r="G1541" i="1"/>
  <c r="G1547" i="1"/>
  <c r="G1553" i="1"/>
  <c r="G1559" i="1"/>
  <c r="G1565" i="1"/>
  <c r="G1571" i="1"/>
  <c r="G1577" i="1"/>
  <c r="G1583" i="1"/>
  <c r="G1589" i="1"/>
  <c r="G1595" i="1"/>
  <c r="G1601" i="1"/>
  <c r="G1607" i="1"/>
  <c r="G1613" i="1"/>
  <c r="G1619" i="1"/>
  <c r="G1625" i="1"/>
  <c r="G1631" i="1"/>
  <c r="G1637" i="1"/>
  <c r="G1643" i="1"/>
  <c r="G1649" i="1"/>
  <c r="G1655" i="1"/>
  <c r="G1661" i="1"/>
  <c r="G1667" i="1"/>
  <c r="G1673" i="1"/>
  <c r="G1679" i="1"/>
  <c r="G1685" i="1"/>
  <c r="G1691" i="1"/>
  <c r="G1697" i="1"/>
  <c r="G1703" i="1"/>
  <c r="G1709" i="1"/>
  <c r="G1715" i="1"/>
  <c r="G1721" i="1"/>
  <c r="G1727" i="1"/>
  <c r="G1733" i="1"/>
  <c r="G1739" i="1"/>
  <c r="G1745" i="1"/>
  <c r="G1751" i="1"/>
  <c r="G1757" i="1"/>
  <c r="G1763" i="1"/>
  <c r="G1769" i="1"/>
  <c r="G1775" i="1"/>
  <c r="G1781" i="1"/>
  <c r="G1787" i="1"/>
  <c r="G1793" i="1"/>
  <c r="G1799" i="1"/>
  <c r="G1805" i="1"/>
  <c r="G1811" i="1"/>
  <c r="G1817" i="1"/>
  <c r="G1823" i="1"/>
  <c r="G1829" i="1"/>
  <c r="G1835" i="1"/>
  <c r="G1841" i="1"/>
  <c r="G1847" i="1"/>
  <c r="G1853" i="1"/>
  <c r="G1859" i="1"/>
  <c r="G1865" i="1"/>
  <c r="G1871" i="1"/>
  <c r="G1877" i="1"/>
  <c r="G1883" i="1"/>
  <c r="G1889" i="1"/>
  <c r="G1895" i="1"/>
  <c r="G1901" i="1"/>
  <c r="G1907" i="1"/>
  <c r="G1913" i="1"/>
  <c r="G1919" i="1"/>
  <c r="G1925" i="1"/>
  <c r="G1931" i="1"/>
  <c r="G1937" i="1"/>
  <c r="G1943" i="1"/>
  <c r="G1949" i="1"/>
  <c r="G1955" i="1"/>
  <c r="G1961" i="1"/>
  <c r="G1967" i="1"/>
  <c r="G1973" i="1"/>
  <c r="G1979" i="1"/>
  <c r="G1985" i="1"/>
  <c r="G1991" i="1"/>
  <c r="G1997" i="1"/>
  <c r="G2003" i="1"/>
  <c r="G2009" i="1"/>
  <c r="G2015" i="1"/>
  <c r="H6" i="1"/>
  <c r="G12" i="1"/>
  <c r="G18" i="1"/>
  <c r="G24" i="1"/>
  <c r="G30" i="1"/>
  <c r="G36" i="1"/>
  <c r="G42" i="1"/>
  <c r="G48" i="1"/>
  <c r="G54" i="1"/>
  <c r="G60" i="1"/>
  <c r="G66" i="1"/>
  <c r="G72" i="1"/>
  <c r="G78" i="1"/>
  <c r="G84" i="1"/>
  <c r="G90" i="1"/>
  <c r="G96" i="1"/>
  <c r="G102" i="1"/>
  <c r="G108" i="1"/>
  <c r="G114" i="1"/>
  <c r="G120" i="1"/>
  <c r="G126" i="1"/>
  <c r="G132" i="1"/>
  <c r="G138" i="1"/>
  <c r="G144" i="1"/>
  <c r="G150" i="1"/>
  <c r="G156" i="1"/>
  <c r="G162" i="1"/>
  <c r="G168" i="1"/>
  <c r="G174" i="1"/>
  <c r="G180" i="1"/>
  <c r="G186" i="1"/>
  <c r="G192" i="1"/>
  <c r="G198" i="1"/>
  <c r="G204" i="1"/>
  <c r="G210" i="1"/>
  <c r="G216" i="1"/>
  <c r="G222" i="1"/>
  <c r="G228" i="1"/>
  <c r="G234" i="1"/>
  <c r="G240" i="1"/>
  <c r="G246" i="1"/>
  <c r="G252" i="1"/>
  <c r="G258" i="1"/>
  <c r="G264" i="1"/>
  <c r="G270" i="1"/>
  <c r="G276" i="1"/>
  <c r="G282" i="1"/>
  <c r="G288" i="1"/>
  <c r="G294" i="1"/>
  <c r="G300" i="1"/>
  <c r="G306" i="1"/>
  <c r="G312" i="1"/>
  <c r="G318" i="1"/>
  <c r="G324" i="1"/>
  <c r="G330" i="1"/>
  <c r="G336" i="1"/>
  <c r="G342" i="1"/>
  <c r="G348" i="1"/>
  <c r="G354" i="1"/>
  <c r="G360" i="1"/>
  <c r="G366" i="1"/>
  <c r="G372" i="1"/>
  <c r="G378" i="1"/>
  <c r="G384" i="1"/>
  <c r="G390" i="1"/>
  <c r="G396" i="1"/>
  <c r="G402" i="1"/>
  <c r="G408" i="1"/>
  <c r="G414" i="1"/>
  <c r="G420" i="1"/>
  <c r="G426" i="1"/>
  <c r="G432" i="1"/>
  <c r="G438" i="1"/>
  <c r="G444" i="1"/>
  <c r="G450" i="1"/>
  <c r="G456" i="1"/>
  <c r="G462" i="1"/>
  <c r="G468" i="1"/>
  <c r="G474" i="1"/>
  <c r="G480" i="1"/>
  <c r="G486" i="1"/>
  <c r="G492" i="1"/>
  <c r="G498" i="1"/>
  <c r="G504" i="1"/>
  <c r="G510" i="1"/>
  <c r="G516" i="1"/>
  <c r="G522" i="1"/>
  <c r="G528" i="1"/>
  <c r="G534" i="1"/>
  <c r="G540" i="1"/>
  <c r="G546" i="1"/>
  <c r="G552" i="1"/>
  <c r="G558" i="1"/>
  <c r="G564" i="1"/>
  <c r="G570" i="1"/>
  <c r="G576" i="1"/>
  <c r="G582" i="1"/>
  <c r="G588" i="1"/>
  <c r="G594" i="1"/>
  <c r="G600" i="1"/>
  <c r="G606" i="1"/>
  <c r="G612" i="1"/>
  <c r="G618" i="1"/>
  <c r="G624" i="1"/>
  <c r="G630" i="1"/>
  <c r="G636" i="1"/>
  <c r="G642" i="1"/>
  <c r="G648" i="1"/>
  <c r="G654" i="1"/>
  <c r="G660" i="1"/>
  <c r="G666" i="1"/>
  <c r="G672" i="1"/>
  <c r="G678" i="1"/>
  <c r="G684" i="1"/>
  <c r="G690" i="1"/>
  <c r="G696" i="1"/>
  <c r="G702" i="1"/>
  <c r="G708" i="1"/>
  <c r="G714" i="1"/>
  <c r="G720" i="1"/>
  <c r="G726" i="1"/>
  <c r="G732" i="1"/>
  <c r="G738" i="1"/>
  <c r="G744" i="1"/>
  <c r="G750" i="1"/>
  <c r="G756" i="1"/>
  <c r="G762" i="1"/>
  <c r="G768" i="1"/>
  <c r="G774" i="1"/>
  <c r="G780" i="1"/>
  <c r="G786" i="1"/>
  <c r="G792" i="1"/>
  <c r="G798" i="1"/>
  <c r="G804" i="1"/>
  <c r="G810" i="1"/>
  <c r="G816" i="1"/>
  <c r="G822" i="1"/>
  <c r="G828" i="1"/>
  <c r="G834" i="1"/>
  <c r="G840" i="1"/>
  <c r="G846" i="1"/>
  <c r="G852" i="1"/>
  <c r="G858" i="1"/>
  <c r="G864" i="1"/>
  <c r="G870" i="1"/>
  <c r="G876" i="1"/>
  <c r="G882" i="1"/>
  <c r="G888" i="1"/>
  <c r="G894" i="1"/>
  <c r="G900" i="1"/>
  <c r="G906" i="1"/>
  <c r="G912" i="1"/>
  <c r="G918" i="1"/>
  <c r="G924" i="1"/>
  <c r="G930" i="1"/>
  <c r="G936" i="1"/>
  <c r="G942" i="1"/>
  <c r="G948" i="1"/>
  <c r="G954" i="1"/>
  <c r="G960" i="1"/>
  <c r="G966" i="1"/>
  <c r="G972" i="1"/>
  <c r="G978" i="1"/>
  <c r="G984" i="1"/>
  <c r="G990" i="1"/>
  <c r="G996" i="1"/>
  <c r="G1002" i="1"/>
  <c r="G1008" i="1"/>
  <c r="G1014" i="1"/>
  <c r="G1020" i="1"/>
  <c r="G1026" i="1"/>
  <c r="G1032" i="1"/>
  <c r="G1038" i="1"/>
  <c r="G1044" i="1"/>
  <c r="G1050" i="1"/>
  <c r="G1056" i="1"/>
  <c r="G1062" i="1"/>
  <c r="G1068" i="1"/>
  <c r="G1074" i="1"/>
  <c r="G1080" i="1"/>
  <c r="G1086" i="1"/>
  <c r="G1092" i="1"/>
  <c r="G1098" i="1"/>
  <c r="G1104" i="1"/>
  <c r="G1110" i="1"/>
  <c r="G1116" i="1"/>
  <c r="G1122" i="1"/>
  <c r="G1128" i="1"/>
  <c r="G1134" i="1"/>
  <c r="G1140" i="1"/>
  <c r="G1146" i="1"/>
  <c r="G1152" i="1"/>
  <c r="G1158" i="1"/>
  <c r="G1164" i="1"/>
  <c r="G1170" i="1"/>
  <c r="G1176" i="1"/>
  <c r="G1182" i="1"/>
  <c r="G1188" i="1"/>
  <c r="G1194" i="1"/>
  <c r="G1200" i="1"/>
  <c r="G1206" i="1"/>
  <c r="G1212" i="1"/>
  <c r="G1218" i="1"/>
  <c r="G1224" i="1"/>
  <c r="G1230" i="1"/>
  <c r="G1236" i="1"/>
  <c r="G1242" i="1"/>
  <c r="G1248" i="1"/>
  <c r="G1254" i="1"/>
  <c r="G1260" i="1"/>
  <c r="G1266" i="1"/>
  <c r="G1272" i="1"/>
  <c r="G1278" i="1"/>
  <c r="G1284" i="1"/>
  <c r="G1290" i="1"/>
  <c r="G1296" i="1"/>
  <c r="G1302" i="1"/>
  <c r="G1308" i="1"/>
  <c r="G1314" i="1"/>
  <c r="G1320" i="1"/>
  <c r="G1326" i="1"/>
  <c r="G1332" i="1"/>
  <c r="G1338" i="1"/>
  <c r="G1344" i="1"/>
  <c r="G1350" i="1"/>
  <c r="G1356" i="1"/>
  <c r="G1362" i="1"/>
  <c r="G1368" i="1"/>
  <c r="G1374" i="1"/>
  <c r="G1380" i="1"/>
  <c r="G1386" i="1"/>
  <c r="G1392" i="1"/>
  <c r="G1398" i="1"/>
  <c r="G1404" i="1"/>
  <c r="G1410" i="1"/>
  <c r="G1416" i="1"/>
  <c r="G1422" i="1"/>
  <c r="G1428" i="1"/>
  <c r="G1434" i="1"/>
  <c r="G1440" i="1"/>
  <c r="G1446" i="1"/>
  <c r="G1452" i="1"/>
  <c r="G1458" i="1"/>
  <c r="G1464" i="1"/>
  <c r="G1470" i="1"/>
  <c r="G1476" i="1"/>
  <c r="G1482" i="1"/>
  <c r="G1488" i="1"/>
  <c r="G1494" i="1"/>
  <c r="G1500" i="1"/>
  <c r="G1506" i="1"/>
  <c r="G1512" i="1"/>
  <c r="G1518" i="1"/>
  <c r="G1524" i="1"/>
  <c r="G1530" i="1"/>
  <c r="G1536" i="1"/>
  <c r="G1542" i="1"/>
  <c r="G1548" i="1"/>
  <c r="G1554" i="1"/>
  <c r="G1560" i="1"/>
  <c r="G1566" i="1"/>
  <c r="G1572" i="1"/>
  <c r="G1578" i="1"/>
  <c r="G1584" i="1"/>
  <c r="G1590" i="1"/>
  <c r="G1596" i="1"/>
  <c r="G1602" i="1"/>
  <c r="G1608" i="1"/>
  <c r="G1614" i="1"/>
  <c r="G1620" i="1"/>
  <c r="G1626" i="1"/>
  <c r="G1632" i="1"/>
  <c r="G1638" i="1"/>
  <c r="G1644" i="1"/>
  <c r="G1650" i="1"/>
  <c r="G1656" i="1"/>
  <c r="G1662" i="1"/>
  <c r="G1668" i="1"/>
  <c r="G1674" i="1"/>
  <c r="G1680" i="1"/>
  <c r="G1686" i="1"/>
  <c r="G1692" i="1"/>
  <c r="G1698" i="1"/>
  <c r="G1704" i="1"/>
  <c r="G1710" i="1"/>
  <c r="G1716" i="1"/>
  <c r="G1722" i="1"/>
  <c r="G1728" i="1"/>
  <c r="G1734" i="1"/>
  <c r="G1740" i="1"/>
  <c r="G1746" i="1"/>
  <c r="G1752" i="1"/>
  <c r="G1758" i="1"/>
  <c r="G1764" i="1"/>
  <c r="G1770" i="1"/>
  <c r="G1776" i="1"/>
  <c r="G1782" i="1"/>
  <c r="G1788" i="1"/>
  <c r="G1794" i="1"/>
  <c r="G1800" i="1"/>
  <c r="G1806" i="1"/>
  <c r="G1812" i="1"/>
  <c r="G1818" i="1"/>
  <c r="G1824" i="1"/>
  <c r="G1830" i="1"/>
  <c r="G1836" i="1"/>
  <c r="G1842" i="1"/>
  <c r="G1848" i="1"/>
  <c r="G1854" i="1"/>
  <c r="G1860" i="1"/>
  <c r="G1866" i="1"/>
  <c r="G1872" i="1"/>
  <c r="G1878" i="1"/>
  <c r="G1884" i="1"/>
  <c r="G1890" i="1"/>
  <c r="G1896" i="1"/>
  <c r="G1902" i="1"/>
  <c r="G1908" i="1"/>
  <c r="G1914" i="1"/>
  <c r="G1920" i="1"/>
  <c r="G1926" i="1"/>
  <c r="G1932" i="1"/>
  <c r="G1938" i="1"/>
  <c r="G1944" i="1"/>
  <c r="G1950" i="1"/>
  <c r="G1956" i="1"/>
  <c r="G1962" i="1"/>
  <c r="G1968" i="1"/>
  <c r="G1974" i="1"/>
  <c r="G1980" i="1"/>
  <c r="G1986" i="1"/>
  <c r="G1992" i="1"/>
  <c r="G1998" i="1"/>
  <c r="G2004" i="1"/>
  <c r="G2010" i="1"/>
  <c r="G2016" i="1"/>
  <c r="G2022" i="1"/>
  <c r="G2028" i="1"/>
  <c r="G2034" i="1"/>
  <c r="G2040" i="1"/>
  <c r="G2046" i="1"/>
  <c r="G2052" i="1"/>
  <c r="G2058" i="1"/>
  <c r="G2064" i="1"/>
  <c r="G2070" i="1"/>
  <c r="G2076" i="1"/>
  <c r="G2082" i="1"/>
  <c r="G2088" i="1"/>
  <c r="G2094" i="1"/>
  <c r="G2100" i="1"/>
  <c r="G2106" i="1"/>
  <c r="G2112" i="1"/>
  <c r="G2118" i="1"/>
  <c r="G2124" i="1"/>
  <c r="G2130" i="1"/>
  <c r="G2136" i="1"/>
  <c r="G2142" i="1"/>
  <c r="G2148" i="1"/>
  <c r="G2154" i="1"/>
  <c r="G2160" i="1"/>
  <c r="G2166" i="1"/>
  <c r="G2172" i="1"/>
  <c r="G2178" i="1"/>
  <c r="G2184" i="1"/>
  <c r="G2190" i="1"/>
  <c r="G2196" i="1"/>
  <c r="G2202" i="1"/>
  <c r="G2208" i="1"/>
  <c r="G2214" i="1"/>
  <c r="G2220" i="1"/>
  <c r="G2226" i="1"/>
  <c r="G2232" i="1"/>
  <c r="G2238" i="1"/>
  <c r="G2244" i="1"/>
  <c r="G2250" i="1"/>
  <c r="G2256" i="1"/>
  <c r="G2262" i="1"/>
  <c r="G2268" i="1"/>
  <c r="G2274" i="1"/>
  <c r="G2280" i="1"/>
  <c r="G2286" i="1"/>
  <c r="G2292" i="1"/>
  <c r="G2298" i="1"/>
  <c r="G2304" i="1"/>
  <c r="G2310" i="1"/>
  <c r="G2316" i="1"/>
  <c r="G2322" i="1"/>
  <c r="G2328" i="1"/>
  <c r="G2334" i="1"/>
  <c r="G2340" i="1"/>
  <c r="G2346" i="1"/>
  <c r="G2352" i="1"/>
  <c r="G2358" i="1"/>
  <c r="G2364" i="1"/>
  <c r="G2370" i="1"/>
  <c r="G2376" i="1"/>
  <c r="G2382" i="1"/>
  <c r="G2388" i="1"/>
  <c r="G2394" i="1"/>
  <c r="G2400" i="1"/>
  <c r="G2406" i="1"/>
  <c r="G2412" i="1"/>
  <c r="G2418" i="1"/>
  <c r="G2424" i="1"/>
  <c r="G2430" i="1"/>
  <c r="G2436" i="1"/>
  <c r="G2442" i="1"/>
  <c r="G2448" i="1"/>
  <c r="G2454" i="1"/>
  <c r="G2460" i="1"/>
  <c r="G2466" i="1"/>
  <c r="G2472" i="1"/>
  <c r="G2478" i="1"/>
  <c r="G2484" i="1"/>
  <c r="G2490" i="1"/>
  <c r="G2496" i="1"/>
  <c r="G2502" i="1"/>
  <c r="G2508" i="1"/>
  <c r="G2514" i="1"/>
  <c r="G2520" i="1"/>
  <c r="G2526" i="1"/>
  <c r="G2532" i="1"/>
  <c r="G2538" i="1"/>
  <c r="G2544" i="1"/>
  <c r="G2550" i="1"/>
  <c r="G2556" i="1"/>
  <c r="G2562" i="1"/>
  <c r="G2568" i="1"/>
  <c r="G2574" i="1"/>
  <c r="G2580" i="1"/>
  <c r="G2586" i="1"/>
  <c r="G2592" i="1"/>
  <c r="G2598" i="1"/>
  <c r="G2604" i="1"/>
  <c r="G2610" i="1"/>
  <c r="G2616" i="1"/>
  <c r="G2622" i="1"/>
  <c r="G2628" i="1"/>
  <c r="G2634" i="1"/>
  <c r="G2640" i="1"/>
  <c r="G2646" i="1"/>
  <c r="G2652" i="1"/>
  <c r="G2658" i="1"/>
  <c r="G2664" i="1"/>
  <c r="G2670" i="1"/>
  <c r="G2676" i="1"/>
  <c r="G2682" i="1"/>
  <c r="G2688" i="1"/>
  <c r="G2694" i="1"/>
  <c r="G2700" i="1"/>
  <c r="G2706" i="1"/>
  <c r="G2712" i="1"/>
  <c r="G2718" i="1"/>
  <c r="G2724" i="1"/>
  <c r="G2730" i="1"/>
  <c r="G2736" i="1"/>
  <c r="G2742" i="1"/>
  <c r="G2748" i="1"/>
  <c r="G2754" i="1"/>
  <c r="G2760" i="1"/>
  <c r="G2766" i="1"/>
  <c r="G2772" i="1"/>
  <c r="G2778" i="1"/>
  <c r="G2784" i="1"/>
  <c r="G2790" i="1"/>
  <c r="G2796" i="1"/>
  <c r="G2802" i="1"/>
  <c r="G2808" i="1"/>
  <c r="G2814" i="1"/>
  <c r="G2820" i="1"/>
  <c r="G2826" i="1"/>
  <c r="G2832" i="1"/>
  <c r="G2838" i="1"/>
  <c r="G2844" i="1"/>
  <c r="G2850" i="1"/>
  <c r="G2856" i="1"/>
  <c r="G2862" i="1"/>
  <c r="G2868" i="1"/>
  <c r="G2874" i="1"/>
  <c r="G2880" i="1"/>
  <c r="G2886" i="1"/>
  <c r="G7" i="1"/>
  <c r="G13" i="1"/>
  <c r="G19" i="1"/>
  <c r="G25" i="1"/>
  <c r="G31" i="1"/>
  <c r="G37" i="1"/>
  <c r="G43" i="1"/>
  <c r="G49" i="1"/>
  <c r="G55" i="1"/>
  <c r="G61" i="1"/>
  <c r="G67" i="1"/>
  <c r="G73" i="1"/>
  <c r="G79" i="1"/>
  <c r="G85" i="1"/>
  <c r="G91" i="1"/>
  <c r="G97" i="1"/>
  <c r="G103" i="1"/>
  <c r="G109" i="1"/>
  <c r="G115" i="1"/>
  <c r="G121" i="1"/>
  <c r="G127" i="1"/>
  <c r="G133" i="1"/>
  <c r="G139" i="1"/>
  <c r="G145" i="1"/>
  <c r="G151" i="1"/>
  <c r="G157" i="1"/>
  <c r="G163" i="1"/>
  <c r="G169" i="1"/>
  <c r="G175" i="1"/>
  <c r="G181" i="1"/>
  <c r="G187" i="1"/>
  <c r="G193" i="1"/>
  <c r="G199" i="1"/>
  <c r="G205" i="1"/>
  <c r="G211" i="1"/>
  <c r="G217" i="1"/>
  <c r="G223" i="1"/>
  <c r="G229" i="1"/>
  <c r="G235" i="1"/>
  <c r="G241" i="1"/>
  <c r="G247" i="1"/>
  <c r="G253" i="1"/>
  <c r="G259" i="1"/>
  <c r="G265" i="1"/>
  <c r="G271" i="1"/>
  <c r="G277" i="1"/>
  <c r="G283" i="1"/>
  <c r="G289" i="1"/>
  <c r="G295" i="1"/>
  <c r="G301" i="1"/>
  <c r="G307" i="1"/>
  <c r="G313" i="1"/>
  <c r="G319" i="1"/>
  <c r="G325" i="1"/>
  <c r="G331" i="1"/>
  <c r="G337" i="1"/>
  <c r="G343" i="1"/>
  <c r="G349" i="1"/>
  <c r="G355" i="1"/>
  <c r="G361" i="1"/>
  <c r="G367" i="1"/>
  <c r="G373" i="1"/>
  <c r="G379" i="1"/>
  <c r="G385" i="1"/>
  <c r="G391" i="1"/>
  <c r="G397" i="1"/>
  <c r="G403" i="1"/>
  <c r="G409" i="1"/>
  <c r="G415" i="1"/>
  <c r="G421" i="1"/>
  <c r="G427" i="1"/>
  <c r="G433" i="1"/>
  <c r="G439" i="1"/>
  <c r="G445" i="1"/>
  <c r="G451" i="1"/>
  <c r="G457" i="1"/>
  <c r="G463" i="1"/>
  <c r="G469" i="1"/>
  <c r="G475" i="1"/>
  <c r="G481" i="1"/>
  <c r="G487" i="1"/>
  <c r="G493" i="1"/>
  <c r="G499" i="1"/>
  <c r="G505" i="1"/>
  <c r="G511" i="1"/>
  <c r="G517" i="1"/>
  <c r="G523" i="1"/>
  <c r="G529" i="1"/>
  <c r="G535" i="1"/>
  <c r="G541" i="1"/>
  <c r="G547" i="1"/>
  <c r="G553" i="1"/>
  <c r="G559" i="1"/>
  <c r="G565" i="1"/>
  <c r="G571" i="1"/>
  <c r="G577" i="1"/>
  <c r="G583" i="1"/>
  <c r="G589" i="1"/>
  <c r="G595" i="1"/>
  <c r="G601" i="1"/>
  <c r="G607" i="1"/>
  <c r="G613" i="1"/>
  <c r="G619" i="1"/>
  <c r="G625" i="1"/>
  <c r="G631" i="1"/>
  <c r="G637" i="1"/>
  <c r="G643" i="1"/>
  <c r="G649" i="1"/>
  <c r="G655" i="1"/>
  <c r="G661" i="1"/>
  <c r="G667" i="1"/>
  <c r="G673" i="1"/>
  <c r="G679" i="1"/>
  <c r="G685" i="1"/>
  <c r="G691" i="1"/>
  <c r="G697" i="1"/>
  <c r="G703" i="1"/>
  <c r="G709" i="1"/>
  <c r="G715" i="1"/>
  <c r="G721" i="1"/>
  <c r="G727" i="1"/>
  <c r="G733" i="1"/>
  <c r="G739" i="1"/>
  <c r="G745" i="1"/>
  <c r="G751" i="1"/>
  <c r="G757" i="1"/>
  <c r="G763" i="1"/>
  <c r="G769" i="1"/>
  <c r="G775" i="1"/>
  <c r="G781" i="1"/>
  <c r="G787" i="1"/>
  <c r="G793" i="1"/>
  <c r="G799" i="1"/>
  <c r="G805" i="1"/>
  <c r="G811" i="1"/>
  <c r="G817" i="1"/>
  <c r="G823" i="1"/>
  <c r="G829" i="1"/>
  <c r="G835" i="1"/>
  <c r="G841" i="1"/>
  <c r="G847" i="1"/>
  <c r="G853" i="1"/>
  <c r="G859" i="1"/>
  <c r="G865" i="1"/>
  <c r="G871" i="1"/>
  <c r="G877" i="1"/>
  <c r="G883" i="1"/>
  <c r="G889" i="1"/>
  <c r="G895" i="1"/>
  <c r="G901" i="1"/>
  <c r="G907" i="1"/>
  <c r="G913" i="1"/>
  <c r="G919" i="1"/>
  <c r="G925" i="1"/>
  <c r="G931" i="1"/>
  <c r="G937" i="1"/>
  <c r="G943" i="1"/>
  <c r="G949" i="1"/>
  <c r="G955" i="1"/>
  <c r="G961" i="1"/>
  <c r="G967" i="1"/>
  <c r="G973" i="1"/>
  <c r="G979" i="1"/>
  <c r="G985" i="1"/>
  <c r="G991" i="1"/>
  <c r="G997" i="1"/>
  <c r="G1003" i="1"/>
  <c r="G1009" i="1"/>
  <c r="G1015" i="1"/>
  <c r="G1021" i="1"/>
  <c r="G1027" i="1"/>
  <c r="G1033" i="1"/>
  <c r="G1039" i="1"/>
  <c r="G1045" i="1"/>
  <c r="G1051" i="1"/>
  <c r="G1057" i="1"/>
  <c r="G1063" i="1"/>
  <c r="G1069" i="1"/>
  <c r="G1075" i="1"/>
  <c r="G1081" i="1"/>
  <c r="G1087" i="1"/>
  <c r="G1093" i="1"/>
  <c r="G1099" i="1"/>
  <c r="G1105" i="1"/>
  <c r="G1111" i="1"/>
  <c r="G1117" i="1"/>
  <c r="G1123" i="1"/>
  <c r="G1129" i="1"/>
  <c r="G1135" i="1"/>
  <c r="G1141" i="1"/>
  <c r="G1147" i="1"/>
  <c r="G1153" i="1"/>
  <c r="G1159" i="1"/>
  <c r="G1165" i="1"/>
  <c r="G1171" i="1"/>
  <c r="G1177" i="1"/>
  <c r="G1183" i="1"/>
  <c r="G1189" i="1"/>
  <c r="G1195" i="1"/>
  <c r="G1201" i="1"/>
  <c r="G1207" i="1"/>
  <c r="G1213" i="1"/>
  <c r="G1219" i="1"/>
  <c r="G1225" i="1"/>
  <c r="G1231" i="1"/>
  <c r="G1237" i="1"/>
  <c r="G1243" i="1"/>
  <c r="G1249" i="1"/>
  <c r="G1255" i="1"/>
  <c r="G1261" i="1"/>
  <c r="G1267" i="1"/>
  <c r="G1273" i="1"/>
  <c r="G1279" i="1"/>
  <c r="G1285" i="1"/>
  <c r="G1291" i="1"/>
  <c r="G1297" i="1"/>
  <c r="G1303" i="1"/>
  <c r="G1309" i="1"/>
  <c r="G1315" i="1"/>
  <c r="G1321" i="1"/>
  <c r="G1327" i="1"/>
  <c r="G1333" i="1"/>
  <c r="G1339" i="1"/>
  <c r="G1345" i="1"/>
  <c r="G1351" i="1"/>
  <c r="G1357" i="1"/>
  <c r="G1363" i="1"/>
  <c r="G1369" i="1"/>
  <c r="G1375" i="1"/>
  <c r="G1381" i="1"/>
  <c r="G1387" i="1"/>
  <c r="G1393" i="1"/>
  <c r="G1399" i="1"/>
  <c r="G1405" i="1"/>
  <c r="G1411" i="1"/>
  <c r="G1417" i="1"/>
  <c r="G1423" i="1"/>
  <c r="G1429" i="1"/>
  <c r="G1435" i="1"/>
  <c r="G1441" i="1"/>
  <c r="G1447" i="1"/>
  <c r="G1453" i="1"/>
  <c r="G1459" i="1"/>
  <c r="G1465" i="1"/>
  <c r="G1471" i="1"/>
  <c r="G1477" i="1"/>
  <c r="G1483" i="1"/>
  <c r="G1489" i="1"/>
  <c r="G1495" i="1"/>
  <c r="G1501" i="1"/>
  <c r="G1507" i="1"/>
  <c r="G1513" i="1"/>
  <c r="G1519" i="1"/>
  <c r="G1525" i="1"/>
  <c r="G1531" i="1"/>
  <c r="G1537" i="1"/>
  <c r="G1543" i="1"/>
  <c r="G1549" i="1"/>
  <c r="G1555" i="1"/>
  <c r="G1561" i="1"/>
  <c r="G1567" i="1"/>
  <c r="G1573" i="1"/>
  <c r="G1579" i="1"/>
  <c r="G1585" i="1"/>
  <c r="G1591" i="1"/>
  <c r="G1597" i="1"/>
  <c r="G1603" i="1"/>
  <c r="G1609" i="1"/>
  <c r="G1615" i="1"/>
  <c r="G1621" i="1"/>
  <c r="G1627" i="1"/>
  <c r="G1633" i="1"/>
  <c r="G1639" i="1"/>
  <c r="G1645" i="1"/>
  <c r="G1651" i="1"/>
  <c r="G1657" i="1"/>
  <c r="G1663" i="1"/>
  <c r="G1669" i="1"/>
  <c r="G1675" i="1"/>
  <c r="G1681" i="1"/>
  <c r="G1687" i="1"/>
  <c r="G1693" i="1"/>
  <c r="G1699" i="1"/>
  <c r="G1705" i="1"/>
  <c r="G1711" i="1"/>
  <c r="G1717" i="1"/>
  <c r="G1723" i="1"/>
  <c r="G1729" i="1"/>
  <c r="G1735" i="1"/>
  <c r="G1741" i="1"/>
  <c r="G1747" i="1"/>
  <c r="G1753" i="1"/>
  <c r="G1759" i="1"/>
  <c r="G1765" i="1"/>
  <c r="G1771" i="1"/>
  <c r="G1777" i="1"/>
  <c r="G1783" i="1"/>
  <c r="G1789" i="1"/>
  <c r="G1795" i="1"/>
  <c r="G1801" i="1"/>
  <c r="G1807" i="1"/>
  <c r="G1813" i="1"/>
  <c r="G1819" i="1"/>
  <c r="G1825" i="1"/>
  <c r="G1831" i="1"/>
  <c r="G1837" i="1"/>
  <c r="G1843" i="1"/>
  <c r="G1849" i="1"/>
  <c r="G1855" i="1"/>
  <c r="G1861" i="1"/>
  <c r="G1867" i="1"/>
  <c r="G1873" i="1"/>
  <c r="G1879" i="1"/>
  <c r="G1885" i="1"/>
  <c r="G1891" i="1"/>
  <c r="G1897" i="1"/>
  <c r="G1903" i="1"/>
  <c r="G1909" i="1"/>
  <c r="G1915" i="1"/>
  <c r="G1921" i="1"/>
  <c r="G1927" i="1"/>
  <c r="G1933" i="1"/>
  <c r="G1939" i="1"/>
  <c r="G1945" i="1"/>
  <c r="G1951" i="1"/>
  <c r="G1957" i="1"/>
  <c r="G1963" i="1"/>
  <c r="G1969" i="1"/>
  <c r="G1975" i="1"/>
  <c r="G1981" i="1"/>
  <c r="G1987" i="1"/>
  <c r="G1993" i="1"/>
  <c r="G1999" i="1"/>
  <c r="G2005" i="1"/>
  <c r="G2011" i="1"/>
  <c r="G2017" i="1"/>
  <c r="G2023" i="1"/>
  <c r="G2029" i="1"/>
  <c r="G2035" i="1"/>
  <c r="G2041" i="1"/>
  <c r="G2047" i="1"/>
  <c r="G2053" i="1"/>
  <c r="G2059" i="1"/>
  <c r="G2065" i="1"/>
  <c r="G2071" i="1"/>
  <c r="G2077" i="1"/>
  <c r="G2083" i="1"/>
  <c r="G2089" i="1"/>
  <c r="G2095" i="1"/>
  <c r="G2101" i="1"/>
  <c r="G2107" i="1"/>
  <c r="G2113" i="1"/>
  <c r="G2119" i="1"/>
  <c r="G2125" i="1"/>
  <c r="G2131" i="1"/>
  <c r="G2137" i="1"/>
  <c r="G2143" i="1"/>
  <c r="G2149" i="1"/>
  <c r="G2155" i="1"/>
  <c r="G2161" i="1"/>
  <c r="G2167" i="1"/>
  <c r="G2173" i="1"/>
  <c r="G2179" i="1"/>
  <c r="G2185" i="1"/>
  <c r="G2191" i="1"/>
  <c r="G2197" i="1"/>
  <c r="G2203" i="1"/>
  <c r="G2209" i="1"/>
  <c r="G2215" i="1"/>
  <c r="G2221" i="1"/>
  <c r="G2227" i="1"/>
  <c r="G2233" i="1"/>
  <c r="G2239" i="1"/>
  <c r="G2245" i="1"/>
  <c r="G2251" i="1"/>
  <c r="G2257" i="1"/>
  <c r="G2263" i="1"/>
  <c r="G2269" i="1"/>
  <c r="G2275" i="1"/>
  <c r="G2281" i="1"/>
  <c r="G2287" i="1"/>
  <c r="G2293" i="1"/>
  <c r="G2299" i="1"/>
  <c r="G2305" i="1"/>
  <c r="G2311" i="1"/>
  <c r="G2317" i="1"/>
  <c r="G2323" i="1"/>
  <c r="G2329" i="1"/>
  <c r="G2335" i="1"/>
  <c r="G2341" i="1"/>
  <c r="G2347" i="1"/>
  <c r="G2353" i="1"/>
  <c r="G2359" i="1"/>
  <c r="G2365" i="1"/>
  <c r="G2371" i="1"/>
  <c r="G2377" i="1"/>
  <c r="G2383" i="1"/>
  <c r="G2389" i="1"/>
  <c r="G2395" i="1"/>
  <c r="G2401" i="1"/>
  <c r="G2407" i="1"/>
  <c r="G2413" i="1"/>
  <c r="G2419" i="1"/>
  <c r="G2425" i="1"/>
  <c r="G2431" i="1"/>
  <c r="G2437" i="1"/>
  <c r="G2443" i="1"/>
  <c r="G2449" i="1"/>
  <c r="G2455" i="1"/>
  <c r="G2461" i="1"/>
  <c r="G2467" i="1"/>
  <c r="G2473" i="1"/>
  <c r="G2479" i="1"/>
  <c r="G2485" i="1"/>
  <c r="G2491" i="1"/>
  <c r="G2497" i="1"/>
  <c r="G2503" i="1"/>
  <c r="G2509" i="1"/>
  <c r="G2515" i="1"/>
  <c r="G2521" i="1"/>
  <c r="G2527" i="1"/>
  <c r="G2533" i="1"/>
  <c r="G2539" i="1"/>
  <c r="G2545" i="1"/>
  <c r="G2551" i="1"/>
  <c r="G2557" i="1"/>
  <c r="G2563" i="1"/>
  <c r="G2569" i="1"/>
  <c r="G2575" i="1"/>
  <c r="G2581" i="1"/>
  <c r="G2587" i="1"/>
  <c r="G2593" i="1"/>
  <c r="G2599" i="1"/>
  <c r="G2605" i="1"/>
  <c r="G2611" i="1"/>
  <c r="G2617" i="1"/>
  <c r="G2623" i="1"/>
  <c r="G2629" i="1"/>
  <c r="G2635" i="1"/>
  <c r="G2641" i="1"/>
  <c r="G2647" i="1"/>
  <c r="G2653" i="1"/>
  <c r="G2659" i="1"/>
  <c r="G2665" i="1"/>
  <c r="G2671" i="1"/>
  <c r="G2677" i="1"/>
  <c r="G2683" i="1"/>
  <c r="G2689" i="1"/>
  <c r="G2695" i="1"/>
  <c r="G2701" i="1"/>
  <c r="G2707" i="1"/>
  <c r="G2713" i="1"/>
  <c r="G2719" i="1"/>
  <c r="G2725" i="1"/>
  <c r="G2731" i="1"/>
  <c r="G2737" i="1"/>
  <c r="G2743" i="1"/>
  <c r="G2749" i="1"/>
  <c r="G2755" i="1"/>
  <c r="G2761" i="1"/>
  <c r="G2767" i="1"/>
  <c r="G2773" i="1"/>
  <c r="G2779" i="1"/>
  <c r="G2785" i="1"/>
  <c r="G2791" i="1"/>
  <c r="G2797" i="1"/>
  <c r="G2803" i="1"/>
  <c r="G2809" i="1"/>
  <c r="G2815" i="1"/>
  <c r="G2821" i="1"/>
  <c r="G2827" i="1"/>
  <c r="G2833" i="1"/>
  <c r="G2839" i="1"/>
  <c r="G2845" i="1"/>
  <c r="G2851" i="1"/>
  <c r="G2857" i="1"/>
  <c r="G2863" i="1"/>
  <c r="G2869" i="1"/>
  <c r="G2875" i="1"/>
  <c r="G2881" i="1"/>
  <c r="G2887" i="1"/>
  <c r="G2893" i="1"/>
  <c r="G2899" i="1"/>
  <c r="G8" i="1"/>
  <c r="G14" i="1"/>
  <c r="G20" i="1"/>
  <c r="G26" i="1"/>
  <c r="G32" i="1"/>
  <c r="G38" i="1"/>
  <c r="G44" i="1"/>
  <c r="G50" i="1"/>
  <c r="G56" i="1"/>
  <c r="G62" i="1"/>
  <c r="G68" i="1"/>
  <c r="G74" i="1"/>
  <c r="G80" i="1"/>
  <c r="G86" i="1"/>
  <c r="G92" i="1"/>
  <c r="G98" i="1"/>
  <c r="G104" i="1"/>
  <c r="G110" i="1"/>
  <c r="G116" i="1"/>
  <c r="G122" i="1"/>
  <c r="G128" i="1"/>
  <c r="G134" i="1"/>
  <c r="G140" i="1"/>
  <c r="G146" i="1"/>
  <c r="G152" i="1"/>
  <c r="G158" i="1"/>
  <c r="G164" i="1"/>
  <c r="G170" i="1"/>
  <c r="G176" i="1"/>
  <c r="G182" i="1"/>
  <c r="G188" i="1"/>
  <c r="G194" i="1"/>
  <c r="G200" i="1"/>
  <c r="G206" i="1"/>
  <c r="G212" i="1"/>
  <c r="G218" i="1"/>
  <c r="G224" i="1"/>
  <c r="G230" i="1"/>
  <c r="G236" i="1"/>
  <c r="G242" i="1"/>
  <c r="G248" i="1"/>
  <c r="G254" i="1"/>
  <c r="G260" i="1"/>
  <c r="G266" i="1"/>
  <c r="G272" i="1"/>
  <c r="G278" i="1"/>
  <c r="G284" i="1"/>
  <c r="G290" i="1"/>
  <c r="G296" i="1"/>
  <c r="G302" i="1"/>
  <c r="G308" i="1"/>
  <c r="G314" i="1"/>
  <c r="G320" i="1"/>
  <c r="G326" i="1"/>
  <c r="G332" i="1"/>
  <c r="G338" i="1"/>
  <c r="G344" i="1"/>
  <c r="G350" i="1"/>
  <c r="G356" i="1"/>
  <c r="G362" i="1"/>
  <c r="G368" i="1"/>
  <c r="G374" i="1"/>
  <c r="G380" i="1"/>
  <c r="G386" i="1"/>
  <c r="G392" i="1"/>
  <c r="G398" i="1"/>
  <c r="G404" i="1"/>
  <c r="G410" i="1"/>
  <c r="G416" i="1"/>
  <c r="G422" i="1"/>
  <c r="G428" i="1"/>
  <c r="G434" i="1"/>
  <c r="G440" i="1"/>
  <c r="G446" i="1"/>
  <c r="G452" i="1"/>
  <c r="G458" i="1"/>
  <c r="G464" i="1"/>
  <c r="G470" i="1"/>
  <c r="G476" i="1"/>
  <c r="G482" i="1"/>
  <c r="G488" i="1"/>
  <c r="G494" i="1"/>
  <c r="G500" i="1"/>
  <c r="G506" i="1"/>
  <c r="G512" i="1"/>
  <c r="G518" i="1"/>
  <c r="G524" i="1"/>
  <c r="G530" i="1"/>
  <c r="G536" i="1"/>
  <c r="G542" i="1"/>
  <c r="G548" i="1"/>
  <c r="G554" i="1"/>
  <c r="G560" i="1"/>
  <c r="G566" i="1"/>
  <c r="G572" i="1"/>
  <c r="G578" i="1"/>
  <c r="G584" i="1"/>
  <c r="G590" i="1"/>
  <c r="G596" i="1"/>
  <c r="G602" i="1"/>
  <c r="G608" i="1"/>
  <c r="G614" i="1"/>
  <c r="G620" i="1"/>
  <c r="G626" i="1"/>
  <c r="G632" i="1"/>
  <c r="G638" i="1"/>
  <c r="G644" i="1"/>
  <c r="G650" i="1"/>
  <c r="G656" i="1"/>
  <c r="G662" i="1"/>
  <c r="G668" i="1"/>
  <c r="G674" i="1"/>
  <c r="G680" i="1"/>
  <c r="G686" i="1"/>
  <c r="G692" i="1"/>
  <c r="G698" i="1"/>
  <c r="G704" i="1"/>
  <c r="G710" i="1"/>
  <c r="G716" i="1"/>
  <c r="G722" i="1"/>
  <c r="G728" i="1"/>
  <c r="G734" i="1"/>
  <c r="G740" i="1"/>
  <c r="G746" i="1"/>
  <c r="G752" i="1"/>
  <c r="G758" i="1"/>
  <c r="G764" i="1"/>
  <c r="G770" i="1"/>
  <c r="G776" i="1"/>
  <c r="G782" i="1"/>
  <c r="G788" i="1"/>
  <c r="G794" i="1"/>
  <c r="G800" i="1"/>
  <c r="G806" i="1"/>
  <c r="G812" i="1"/>
  <c r="G818" i="1"/>
  <c r="G824" i="1"/>
  <c r="G830" i="1"/>
  <c r="G836" i="1"/>
  <c r="G842" i="1"/>
  <c r="G848" i="1"/>
  <c r="G854" i="1"/>
  <c r="G860" i="1"/>
  <c r="G866" i="1"/>
  <c r="G872" i="1"/>
  <c r="G878" i="1"/>
  <c r="G884" i="1"/>
  <c r="G890" i="1"/>
  <c r="G896" i="1"/>
  <c r="G902" i="1"/>
  <c r="G908" i="1"/>
  <c r="G914" i="1"/>
  <c r="G920" i="1"/>
  <c r="G926" i="1"/>
  <c r="G932" i="1"/>
  <c r="G938" i="1"/>
  <c r="G944" i="1"/>
  <c r="G950" i="1"/>
  <c r="G956" i="1"/>
  <c r="G962" i="1"/>
  <c r="G968" i="1"/>
  <c r="G974" i="1"/>
  <c r="G980" i="1"/>
  <c r="G986" i="1"/>
  <c r="G992" i="1"/>
  <c r="G998" i="1"/>
  <c r="G1004" i="1"/>
  <c r="G1010" i="1"/>
  <c r="G1016" i="1"/>
  <c r="G1022" i="1"/>
  <c r="G1028" i="1"/>
  <c r="G1034" i="1"/>
  <c r="G1040" i="1"/>
  <c r="G1046" i="1"/>
  <c r="G1052" i="1"/>
  <c r="G1058" i="1"/>
  <c r="G1064" i="1"/>
  <c r="G1070" i="1"/>
  <c r="G1076" i="1"/>
  <c r="G1082" i="1"/>
  <c r="G1088" i="1"/>
  <c r="G1094" i="1"/>
  <c r="G1100" i="1"/>
  <c r="G1106" i="1"/>
  <c r="G1112" i="1"/>
  <c r="G1118" i="1"/>
  <c r="G1124" i="1"/>
  <c r="G1130" i="1"/>
  <c r="G1136" i="1"/>
  <c r="G1142" i="1"/>
  <c r="G1148" i="1"/>
  <c r="G1154" i="1"/>
  <c r="G1160" i="1"/>
  <c r="G1166" i="1"/>
  <c r="G1172" i="1"/>
  <c r="G1178" i="1"/>
  <c r="G1184" i="1"/>
  <c r="G1190" i="1"/>
  <c r="G1196" i="1"/>
  <c r="G1202" i="1"/>
  <c r="G1208" i="1"/>
  <c r="G1214" i="1"/>
  <c r="G1220" i="1"/>
  <c r="G1226" i="1"/>
  <c r="G1232" i="1"/>
  <c r="G1238" i="1"/>
  <c r="G1244" i="1"/>
  <c r="G1250" i="1"/>
  <c r="G1256" i="1"/>
  <c r="G1262" i="1"/>
  <c r="G1268" i="1"/>
  <c r="G1274" i="1"/>
  <c r="G1280" i="1"/>
  <c r="G1286" i="1"/>
  <c r="G1292" i="1"/>
  <c r="G1298" i="1"/>
  <c r="G1304" i="1"/>
  <c r="G1310" i="1"/>
  <c r="G1316" i="1"/>
  <c r="G1322" i="1"/>
  <c r="G1328" i="1"/>
  <c r="G1334" i="1"/>
  <c r="G1340" i="1"/>
  <c r="G1346" i="1"/>
  <c r="G1352" i="1"/>
  <c r="G1358" i="1"/>
  <c r="G1364" i="1"/>
  <c r="G1370" i="1"/>
  <c r="G1376" i="1"/>
  <c r="G1382" i="1"/>
  <c r="G1388" i="1"/>
  <c r="G1394" i="1"/>
  <c r="G1400" i="1"/>
  <c r="G1406" i="1"/>
  <c r="G1412" i="1"/>
  <c r="G1418" i="1"/>
  <c r="G1424" i="1"/>
  <c r="G1430" i="1"/>
  <c r="G1436" i="1"/>
  <c r="G1442" i="1"/>
  <c r="G1448" i="1"/>
  <c r="G1454" i="1"/>
  <c r="G1460" i="1"/>
  <c r="G1466" i="1"/>
  <c r="G1472" i="1"/>
  <c r="G1478" i="1"/>
  <c r="G1484" i="1"/>
  <c r="G1490" i="1"/>
  <c r="G1496" i="1"/>
  <c r="G1502" i="1"/>
  <c r="G1508" i="1"/>
  <c r="G1514" i="1"/>
  <c r="G1520" i="1"/>
  <c r="G1526" i="1"/>
  <c r="G1532" i="1"/>
  <c r="G1538" i="1"/>
  <c r="G1544" i="1"/>
  <c r="G1550" i="1"/>
  <c r="G1556" i="1"/>
  <c r="G1562" i="1"/>
  <c r="G1568" i="1"/>
  <c r="G1574" i="1"/>
  <c r="G1580" i="1"/>
  <c r="G1586" i="1"/>
  <c r="G1592" i="1"/>
  <c r="G1598" i="1"/>
  <c r="G1604" i="1"/>
  <c r="G1610" i="1"/>
  <c r="G1616" i="1"/>
  <c r="G1622" i="1"/>
  <c r="G1628" i="1"/>
  <c r="G1634" i="1"/>
  <c r="G1640" i="1"/>
  <c r="G1646" i="1"/>
  <c r="G1652" i="1"/>
  <c r="G1658" i="1"/>
  <c r="G1664" i="1"/>
  <c r="G1670" i="1"/>
  <c r="G1676" i="1"/>
  <c r="G1682" i="1"/>
  <c r="G1688" i="1"/>
  <c r="G1694" i="1"/>
  <c r="G1700" i="1"/>
  <c r="G1706" i="1"/>
  <c r="G1712" i="1"/>
  <c r="G1718" i="1"/>
  <c r="G1724" i="1"/>
  <c r="G1730" i="1"/>
  <c r="G1736" i="1"/>
  <c r="G1742" i="1"/>
  <c r="G1748" i="1"/>
  <c r="G1754" i="1"/>
  <c r="G1760" i="1"/>
  <c r="G1766" i="1"/>
  <c r="G1772" i="1"/>
  <c r="G1778" i="1"/>
  <c r="G1784" i="1"/>
  <c r="G1790" i="1"/>
  <c r="G1796" i="1"/>
  <c r="G1802" i="1"/>
  <c r="G1808" i="1"/>
  <c r="G1814" i="1"/>
  <c r="G1820" i="1"/>
  <c r="G1826" i="1"/>
  <c r="G1832" i="1"/>
  <c r="G1838" i="1"/>
  <c r="G1844" i="1"/>
  <c r="G1850" i="1"/>
  <c r="G1856" i="1"/>
  <c r="G1862" i="1"/>
  <c r="G1868" i="1"/>
  <c r="G1874" i="1"/>
  <c r="G1880" i="1"/>
  <c r="G1886" i="1"/>
  <c r="G1892" i="1"/>
  <c r="G1898" i="1"/>
  <c r="G1904" i="1"/>
  <c r="G1910" i="1"/>
  <c r="G1916" i="1"/>
  <c r="G1922" i="1"/>
  <c r="G1928" i="1"/>
  <c r="G1934" i="1"/>
  <c r="G1940" i="1"/>
  <c r="G1946" i="1"/>
  <c r="G1952" i="1"/>
  <c r="G1958" i="1"/>
  <c r="G1964" i="1"/>
  <c r="G1970" i="1"/>
  <c r="G1976" i="1"/>
  <c r="G1982" i="1"/>
  <c r="G1988" i="1"/>
  <c r="G1994" i="1"/>
  <c r="G2000" i="1"/>
  <c r="G2006" i="1"/>
  <c r="G2012" i="1"/>
  <c r="G2018" i="1"/>
  <c r="G2024" i="1"/>
  <c r="G2030" i="1"/>
  <c r="G2036" i="1"/>
  <c r="G2042" i="1"/>
  <c r="G2048" i="1"/>
  <c r="G2054" i="1"/>
  <c r="G2060" i="1"/>
  <c r="G2066" i="1"/>
  <c r="G2072" i="1"/>
  <c r="G2078" i="1"/>
  <c r="G2084" i="1"/>
  <c r="G2090" i="1"/>
  <c r="G2096" i="1"/>
  <c r="G2102" i="1"/>
  <c r="G2108" i="1"/>
  <c r="G2114" i="1"/>
  <c r="G2120" i="1"/>
  <c r="G2126" i="1"/>
  <c r="G2132" i="1"/>
  <c r="G2138" i="1"/>
  <c r="G2144" i="1"/>
  <c r="G2150" i="1"/>
  <c r="G2156" i="1"/>
  <c r="G2162" i="1"/>
  <c r="G2168" i="1"/>
  <c r="G2174" i="1"/>
  <c r="G2180" i="1"/>
  <c r="G2186" i="1"/>
  <c r="G2192" i="1"/>
  <c r="G2198" i="1"/>
  <c r="G2204" i="1"/>
  <c r="G2210" i="1"/>
  <c r="G2216" i="1"/>
  <c r="G2222" i="1"/>
  <c r="G2228" i="1"/>
  <c r="G2234" i="1"/>
  <c r="G2240" i="1"/>
  <c r="G2246" i="1"/>
  <c r="G2252" i="1"/>
  <c r="G2258" i="1"/>
  <c r="G2264" i="1"/>
  <c r="G2270" i="1"/>
  <c r="G2276" i="1"/>
  <c r="G2282" i="1"/>
  <c r="G2288" i="1"/>
  <c r="G2294" i="1"/>
  <c r="G2300" i="1"/>
  <c r="G2306" i="1"/>
  <c r="G2312" i="1"/>
  <c r="G2318" i="1"/>
  <c r="G2324" i="1"/>
  <c r="G2330" i="1"/>
  <c r="G2336" i="1"/>
  <c r="G2342" i="1"/>
  <c r="G2348" i="1"/>
  <c r="G2354" i="1"/>
  <c r="G2360" i="1"/>
  <c r="G2366" i="1"/>
  <c r="G2372" i="1"/>
  <c r="G2378" i="1"/>
  <c r="G2384" i="1"/>
  <c r="G2390" i="1"/>
  <c r="G2396" i="1"/>
  <c r="G2402" i="1"/>
  <c r="G2408" i="1"/>
  <c r="G2414" i="1"/>
  <c r="G2420" i="1"/>
  <c r="G2426" i="1"/>
  <c r="G2432" i="1"/>
  <c r="G2438" i="1"/>
  <c r="G2444" i="1"/>
  <c r="G2450" i="1"/>
  <c r="G2456" i="1"/>
  <c r="G2462" i="1"/>
  <c r="G2468" i="1"/>
  <c r="G2474" i="1"/>
  <c r="G2480" i="1"/>
  <c r="G2486" i="1"/>
  <c r="G2492" i="1"/>
  <c r="G2498" i="1"/>
  <c r="G2504" i="1"/>
  <c r="G2510" i="1"/>
  <c r="G2516" i="1"/>
  <c r="G2522" i="1"/>
  <c r="G2528" i="1"/>
  <c r="G2534" i="1"/>
  <c r="G2540" i="1"/>
  <c r="G2546" i="1"/>
  <c r="G2552" i="1"/>
  <c r="G2558" i="1"/>
  <c r="G2564" i="1"/>
  <c r="G2570" i="1"/>
  <c r="G2576" i="1"/>
  <c r="G2582" i="1"/>
  <c r="G2588" i="1"/>
  <c r="G2594" i="1"/>
  <c r="G2600" i="1"/>
  <c r="G2606" i="1"/>
  <c r="G2612" i="1"/>
  <c r="G2618" i="1"/>
  <c r="G2624" i="1"/>
  <c r="G2630" i="1"/>
  <c r="G2636" i="1"/>
  <c r="G2642" i="1"/>
  <c r="G2648" i="1"/>
  <c r="G2654" i="1"/>
  <c r="G2660" i="1"/>
  <c r="G2666" i="1"/>
  <c r="G2672" i="1"/>
  <c r="G2678" i="1"/>
  <c r="G2684" i="1"/>
  <c r="G2690" i="1"/>
  <c r="G2696" i="1"/>
  <c r="G2702" i="1"/>
  <c r="G2708" i="1"/>
  <c r="G2714" i="1"/>
  <c r="G2720" i="1"/>
  <c r="G2726" i="1"/>
  <c r="G2732" i="1"/>
  <c r="G2738" i="1"/>
  <c r="G2744" i="1"/>
  <c r="G2750" i="1"/>
  <c r="G2756" i="1"/>
  <c r="G2762" i="1"/>
  <c r="G2768" i="1"/>
  <c r="G2774" i="1"/>
  <c r="G2780" i="1"/>
  <c r="G2786" i="1"/>
  <c r="G2792" i="1"/>
  <c r="G2798" i="1"/>
  <c r="G2804" i="1"/>
  <c r="G2810" i="1"/>
  <c r="G2816" i="1"/>
  <c r="G2822" i="1"/>
  <c r="G2828" i="1"/>
  <c r="G2834" i="1"/>
  <c r="G2840" i="1"/>
  <c r="G2846" i="1"/>
  <c r="G2852" i="1"/>
  <c r="G2858" i="1"/>
  <c r="G2864" i="1"/>
  <c r="G2870" i="1"/>
  <c r="G2876" i="1"/>
  <c r="G2882" i="1"/>
  <c r="G2888" i="1"/>
  <c r="G27" i="1"/>
  <c r="G63" i="1"/>
  <c r="G99" i="1"/>
  <c r="G135" i="1"/>
  <c r="G171" i="1"/>
  <c r="G207" i="1"/>
  <c r="G243" i="1"/>
  <c r="G279" i="1"/>
  <c r="G315" i="1"/>
  <c r="G351" i="1"/>
  <c r="G387" i="1"/>
  <c r="G423" i="1"/>
  <c r="G459" i="1"/>
  <c r="G495" i="1"/>
  <c r="G531" i="1"/>
  <c r="G567" i="1"/>
  <c r="G603" i="1"/>
  <c r="G639" i="1"/>
  <c r="G675" i="1"/>
  <c r="G711" i="1"/>
  <c r="G747" i="1"/>
  <c r="G783" i="1"/>
  <c r="G819" i="1"/>
  <c r="G855" i="1"/>
  <c r="G891" i="1"/>
  <c r="G927" i="1"/>
  <c r="G963" i="1"/>
  <c r="G999" i="1"/>
  <c r="G1035" i="1"/>
  <c r="G1071" i="1"/>
  <c r="G1107" i="1"/>
  <c r="G1143" i="1"/>
  <c r="G1179" i="1"/>
  <c r="G1215" i="1"/>
  <c r="G1251" i="1"/>
  <c r="G1287" i="1"/>
  <c r="G1323" i="1"/>
  <c r="G1359" i="1"/>
  <c r="G1395" i="1"/>
  <c r="G1431" i="1"/>
  <c r="G1467" i="1"/>
  <c r="G1503" i="1"/>
  <c r="G1539" i="1"/>
  <c r="G1575" i="1"/>
  <c r="G1611" i="1"/>
  <c r="G1647" i="1"/>
  <c r="G1683" i="1"/>
  <c r="G1719" i="1"/>
  <c r="G1755" i="1"/>
  <c r="G1791" i="1"/>
  <c r="G1827" i="1"/>
  <c r="G1863" i="1"/>
  <c r="G1899" i="1"/>
  <c r="G1935" i="1"/>
  <c r="G1971" i="1"/>
  <c r="G2007" i="1"/>
  <c r="G2031" i="1"/>
  <c r="G2049" i="1"/>
  <c r="G2067" i="1"/>
  <c r="G2085" i="1"/>
  <c r="G2103" i="1"/>
  <c r="G2121" i="1"/>
  <c r="G2139" i="1"/>
  <c r="G2157" i="1"/>
  <c r="G2175" i="1"/>
  <c r="G2193" i="1"/>
  <c r="G2211" i="1"/>
  <c r="G2229" i="1"/>
  <c r="G2247" i="1"/>
  <c r="G2265" i="1"/>
  <c r="G2283" i="1"/>
  <c r="G2301" i="1"/>
  <c r="G2319" i="1"/>
  <c r="G2337" i="1"/>
  <c r="G2355" i="1"/>
  <c r="G2373" i="1"/>
  <c r="G2391" i="1"/>
  <c r="G2409" i="1"/>
  <c r="G2427" i="1"/>
  <c r="G2445" i="1"/>
  <c r="G2463" i="1"/>
  <c r="G2481" i="1"/>
  <c r="G2499" i="1"/>
  <c r="G2517" i="1"/>
  <c r="G2535" i="1"/>
  <c r="G2553" i="1"/>
  <c r="G2571" i="1"/>
  <c r="G2589" i="1"/>
  <c r="G2607" i="1"/>
  <c r="G2625" i="1"/>
  <c r="G2643" i="1"/>
  <c r="G2661" i="1"/>
  <c r="G2679" i="1"/>
  <c r="G2697" i="1"/>
  <c r="G2715" i="1"/>
  <c r="G2733" i="1"/>
  <c r="G2751" i="1"/>
  <c r="G2769" i="1"/>
  <c r="G2782" i="1"/>
  <c r="G2794" i="1"/>
  <c r="G2806" i="1"/>
  <c r="G2818" i="1"/>
  <c r="G2830" i="1"/>
  <c r="G2842" i="1"/>
  <c r="G2854" i="1"/>
  <c r="G2866" i="1"/>
  <c r="G2878" i="1"/>
  <c r="G2890" i="1"/>
  <c r="G2897" i="1"/>
  <c r="G2904" i="1"/>
  <c r="G2910" i="1"/>
  <c r="G2916" i="1"/>
  <c r="G2922" i="1"/>
  <c r="G2928" i="1"/>
  <c r="G2934" i="1"/>
  <c r="G2940" i="1"/>
  <c r="G2946" i="1"/>
  <c r="G2952" i="1"/>
  <c r="G2958" i="1"/>
  <c r="G2964" i="1"/>
  <c r="G2970" i="1"/>
  <c r="G2976" i="1"/>
  <c r="G2982" i="1"/>
  <c r="G2988" i="1"/>
  <c r="G2994" i="1"/>
  <c r="G3000" i="1"/>
  <c r="G3006" i="1"/>
  <c r="G3012" i="1"/>
  <c r="G3018" i="1"/>
  <c r="G3024" i="1"/>
  <c r="G3030" i="1"/>
  <c r="G3036" i="1"/>
  <c r="G3042" i="1"/>
  <c r="G3048" i="1"/>
  <c r="G3054" i="1"/>
  <c r="G3060" i="1"/>
  <c r="G3066" i="1"/>
  <c r="G3072" i="1"/>
  <c r="G3078" i="1"/>
  <c r="G3084" i="1"/>
  <c r="G3090" i="1"/>
  <c r="G3096" i="1"/>
  <c r="G3102" i="1"/>
  <c r="G3108" i="1"/>
  <c r="G3114" i="1"/>
  <c r="G3120" i="1"/>
  <c r="G3126" i="1"/>
  <c r="G3132" i="1"/>
  <c r="G3138" i="1"/>
  <c r="G3144" i="1"/>
  <c r="G3150" i="1"/>
  <c r="G3156" i="1"/>
  <c r="G3162" i="1"/>
  <c r="G3168" i="1"/>
  <c r="G3174" i="1"/>
  <c r="G3180" i="1"/>
  <c r="G3186" i="1"/>
  <c r="G3192" i="1"/>
  <c r="G3198" i="1"/>
  <c r="G3204" i="1"/>
  <c r="G3210" i="1"/>
  <c r="G3216" i="1"/>
  <c r="G3222" i="1"/>
  <c r="G3228" i="1"/>
  <c r="G3234" i="1"/>
  <c r="G3240" i="1"/>
  <c r="G3246" i="1"/>
  <c r="G3252" i="1"/>
  <c r="G3258" i="1"/>
  <c r="G3264" i="1"/>
  <c r="G3270" i="1"/>
  <c r="G3276" i="1"/>
  <c r="G3282" i="1"/>
  <c r="G3288" i="1"/>
  <c r="G3294" i="1"/>
  <c r="G3300" i="1"/>
  <c r="G3306" i="1"/>
  <c r="G3312" i="1"/>
  <c r="G3318" i="1"/>
  <c r="G3324" i="1"/>
  <c r="G3330" i="1"/>
  <c r="G3336" i="1"/>
  <c r="G3342" i="1"/>
  <c r="G3348" i="1"/>
  <c r="G3354" i="1"/>
  <c r="G3360" i="1"/>
  <c r="G3366" i="1"/>
  <c r="G3372" i="1"/>
  <c r="G3378" i="1"/>
  <c r="G3384" i="1"/>
  <c r="G3390" i="1"/>
  <c r="G3396" i="1"/>
  <c r="G3402" i="1"/>
  <c r="G3408" i="1"/>
  <c r="G3414" i="1"/>
  <c r="G3420" i="1"/>
  <c r="G3426" i="1"/>
  <c r="G3432" i="1"/>
  <c r="G3438" i="1"/>
  <c r="G3444" i="1"/>
  <c r="G3450" i="1"/>
  <c r="G3456" i="1"/>
  <c r="G3462" i="1"/>
  <c r="G3468" i="1"/>
  <c r="G3474" i="1"/>
  <c r="G3480" i="1"/>
  <c r="G3486" i="1"/>
  <c r="G3492" i="1"/>
  <c r="G3498" i="1"/>
  <c r="G3504" i="1"/>
  <c r="G3510" i="1"/>
  <c r="G3516" i="1"/>
  <c r="G3522" i="1"/>
  <c r="G3528" i="1"/>
  <c r="G3534" i="1"/>
  <c r="G3540" i="1"/>
  <c r="G3546" i="1"/>
  <c r="G3552" i="1"/>
  <c r="G3558" i="1"/>
  <c r="G3564" i="1"/>
  <c r="G3570" i="1"/>
  <c r="G3576" i="1"/>
  <c r="G3582" i="1"/>
  <c r="G3588" i="1"/>
  <c r="G3594" i="1"/>
  <c r="G3600" i="1"/>
  <c r="G3606" i="1"/>
  <c r="G3612" i="1"/>
  <c r="G3618" i="1"/>
  <c r="G3624" i="1"/>
  <c r="G3630" i="1"/>
  <c r="G3636" i="1"/>
  <c r="G3642" i="1"/>
  <c r="G3500" i="1"/>
  <c r="G3578" i="1"/>
  <c r="G3632" i="1"/>
  <c r="G33" i="1"/>
  <c r="G69" i="1"/>
  <c r="G105" i="1"/>
  <c r="G141" i="1"/>
  <c r="G177" i="1"/>
  <c r="G213" i="1"/>
  <c r="G249" i="1"/>
  <c r="G285" i="1"/>
  <c r="G321" i="1"/>
  <c r="G357" i="1"/>
  <c r="G393" i="1"/>
  <c r="G429" i="1"/>
  <c r="G465" i="1"/>
  <c r="G501" i="1"/>
  <c r="G537" i="1"/>
  <c r="G573" i="1"/>
  <c r="G609" i="1"/>
  <c r="G645" i="1"/>
  <c r="G681" i="1"/>
  <c r="G717" i="1"/>
  <c r="G753" i="1"/>
  <c r="G789" i="1"/>
  <c r="G825" i="1"/>
  <c r="G861" i="1"/>
  <c r="G897" i="1"/>
  <c r="G933" i="1"/>
  <c r="G969" i="1"/>
  <c r="G1005" i="1"/>
  <c r="G1041" i="1"/>
  <c r="G1077" i="1"/>
  <c r="G1113" i="1"/>
  <c r="G1149" i="1"/>
  <c r="G1185" i="1"/>
  <c r="G1221" i="1"/>
  <c r="G1257" i="1"/>
  <c r="G1293" i="1"/>
  <c r="G1329" i="1"/>
  <c r="G1365" i="1"/>
  <c r="G1401" i="1"/>
  <c r="G1437" i="1"/>
  <c r="G1473" i="1"/>
  <c r="G1509" i="1"/>
  <c r="G1545" i="1"/>
  <c r="G1581" i="1"/>
  <c r="G1617" i="1"/>
  <c r="G1653" i="1"/>
  <c r="G1689" i="1"/>
  <c r="G1725" i="1"/>
  <c r="G1761" i="1"/>
  <c r="G1797" i="1"/>
  <c r="G1833" i="1"/>
  <c r="G1869" i="1"/>
  <c r="G1905" i="1"/>
  <c r="G1941" i="1"/>
  <c r="G1977" i="1"/>
  <c r="G2013" i="1"/>
  <c r="G2033" i="1"/>
  <c r="G2051" i="1"/>
  <c r="G2069" i="1"/>
  <c r="G2087" i="1"/>
  <c r="G2105" i="1"/>
  <c r="G2123" i="1"/>
  <c r="G2141" i="1"/>
  <c r="G2159" i="1"/>
  <c r="G2177" i="1"/>
  <c r="G2195" i="1"/>
  <c r="G2213" i="1"/>
  <c r="G2231" i="1"/>
  <c r="G2249" i="1"/>
  <c r="G2267" i="1"/>
  <c r="G2285" i="1"/>
  <c r="G2303" i="1"/>
  <c r="G2321" i="1"/>
  <c r="G2339" i="1"/>
  <c r="G2357" i="1"/>
  <c r="G2375" i="1"/>
  <c r="G2393" i="1"/>
  <c r="G2411" i="1"/>
  <c r="G2429" i="1"/>
  <c r="G2447" i="1"/>
  <c r="G2465" i="1"/>
  <c r="G2483" i="1"/>
  <c r="G2501" i="1"/>
  <c r="G2519" i="1"/>
  <c r="G2537" i="1"/>
  <c r="G2555" i="1"/>
  <c r="G2573" i="1"/>
  <c r="G2591" i="1"/>
  <c r="G2609" i="1"/>
  <c r="G2627" i="1"/>
  <c r="G2645" i="1"/>
  <c r="G2663" i="1"/>
  <c r="G2681" i="1"/>
  <c r="G2699" i="1"/>
  <c r="G2717" i="1"/>
  <c r="G2735" i="1"/>
  <c r="G2753" i="1"/>
  <c r="G2771" i="1"/>
  <c r="G2783" i="1"/>
  <c r="G2795" i="1"/>
  <c r="G2807" i="1"/>
  <c r="G2819" i="1"/>
  <c r="G2831" i="1"/>
  <c r="G2843" i="1"/>
  <c r="G2855" i="1"/>
  <c r="G2867" i="1"/>
  <c r="G2879" i="1"/>
  <c r="G2891" i="1"/>
  <c r="G2898" i="1"/>
  <c r="G2905" i="1"/>
  <c r="G2911" i="1"/>
  <c r="G2917" i="1"/>
  <c r="G2923" i="1"/>
  <c r="G2929" i="1"/>
  <c r="G2935" i="1"/>
  <c r="G2941" i="1"/>
  <c r="G2947" i="1"/>
  <c r="G2953" i="1"/>
  <c r="G2959" i="1"/>
  <c r="G2965" i="1"/>
  <c r="G2971" i="1"/>
  <c r="G2977" i="1"/>
  <c r="G2983" i="1"/>
  <c r="G2989" i="1"/>
  <c r="G2995" i="1"/>
  <c r="G3001" i="1"/>
  <c r="G3007" i="1"/>
  <c r="G3013" i="1"/>
  <c r="G3019" i="1"/>
  <c r="G3025" i="1"/>
  <c r="G3031" i="1"/>
  <c r="G3037" i="1"/>
  <c r="G3043" i="1"/>
  <c r="G3049" i="1"/>
  <c r="G3055" i="1"/>
  <c r="G3061" i="1"/>
  <c r="G3067" i="1"/>
  <c r="G3073" i="1"/>
  <c r="G3079" i="1"/>
  <c r="G3085" i="1"/>
  <c r="G3091" i="1"/>
  <c r="G3097" i="1"/>
  <c r="G3103" i="1"/>
  <c r="G3109" i="1"/>
  <c r="G3115" i="1"/>
  <c r="G3121" i="1"/>
  <c r="G3127" i="1"/>
  <c r="G3133" i="1"/>
  <c r="G3139" i="1"/>
  <c r="G3145" i="1"/>
  <c r="G3151" i="1"/>
  <c r="G3157" i="1"/>
  <c r="G3163" i="1"/>
  <c r="G3169" i="1"/>
  <c r="G3175" i="1"/>
  <c r="G3181" i="1"/>
  <c r="G3187" i="1"/>
  <c r="G3193" i="1"/>
  <c r="G3199" i="1"/>
  <c r="G3205" i="1"/>
  <c r="G3211" i="1"/>
  <c r="G3217" i="1"/>
  <c r="G3223" i="1"/>
  <c r="G3229" i="1"/>
  <c r="G3235" i="1"/>
  <c r="G3241" i="1"/>
  <c r="G3247" i="1"/>
  <c r="G3253" i="1"/>
  <c r="G3259" i="1"/>
  <c r="G3265" i="1"/>
  <c r="G3271" i="1"/>
  <c r="G3277" i="1"/>
  <c r="G3283" i="1"/>
  <c r="G3289" i="1"/>
  <c r="G3295" i="1"/>
  <c r="G3301" i="1"/>
  <c r="G3307" i="1"/>
  <c r="G3313" i="1"/>
  <c r="G3319" i="1"/>
  <c r="G3325" i="1"/>
  <c r="G3331" i="1"/>
  <c r="G3337" i="1"/>
  <c r="G3343" i="1"/>
  <c r="G3349" i="1"/>
  <c r="G3355" i="1"/>
  <c r="G3361" i="1"/>
  <c r="G3367" i="1"/>
  <c r="G3373" i="1"/>
  <c r="G3379" i="1"/>
  <c r="G3385" i="1"/>
  <c r="G3391" i="1"/>
  <c r="G3397" i="1"/>
  <c r="G3403" i="1"/>
  <c r="G3409" i="1"/>
  <c r="G3415" i="1"/>
  <c r="G3421" i="1"/>
  <c r="G3427" i="1"/>
  <c r="G3433" i="1"/>
  <c r="G3439" i="1"/>
  <c r="G3445" i="1"/>
  <c r="G3451" i="1"/>
  <c r="G3457" i="1"/>
  <c r="G3463" i="1"/>
  <c r="G3469" i="1"/>
  <c r="G3475" i="1"/>
  <c r="G3481" i="1"/>
  <c r="G3487" i="1"/>
  <c r="G3493" i="1"/>
  <c r="G3499" i="1"/>
  <c r="G3505" i="1"/>
  <c r="G3511" i="1"/>
  <c r="G3517" i="1"/>
  <c r="G3523" i="1"/>
  <c r="G3529" i="1"/>
  <c r="G3535" i="1"/>
  <c r="G3541" i="1"/>
  <c r="G3547" i="1"/>
  <c r="G3553" i="1"/>
  <c r="G3559" i="1"/>
  <c r="G3565" i="1"/>
  <c r="G3571" i="1"/>
  <c r="G3577" i="1"/>
  <c r="G3583" i="1"/>
  <c r="G3589" i="1"/>
  <c r="G3595" i="1"/>
  <c r="G3601" i="1"/>
  <c r="G3607" i="1"/>
  <c r="G3613" i="1"/>
  <c r="G3619" i="1"/>
  <c r="G3625" i="1"/>
  <c r="G3631" i="1"/>
  <c r="G3637" i="1"/>
  <c r="G3494" i="1"/>
  <c r="G3596" i="1"/>
  <c r="G39" i="1"/>
  <c r="G75" i="1"/>
  <c r="G111" i="1"/>
  <c r="G147" i="1"/>
  <c r="G183" i="1"/>
  <c r="G219" i="1"/>
  <c r="G255" i="1"/>
  <c r="G291" i="1"/>
  <c r="G327" i="1"/>
  <c r="G363" i="1"/>
  <c r="G399" i="1"/>
  <c r="G435" i="1"/>
  <c r="G471" i="1"/>
  <c r="G507" i="1"/>
  <c r="G543" i="1"/>
  <c r="G579" i="1"/>
  <c r="G615" i="1"/>
  <c r="G651" i="1"/>
  <c r="G687" i="1"/>
  <c r="G723" i="1"/>
  <c r="G759" i="1"/>
  <c r="G795" i="1"/>
  <c r="G831" i="1"/>
  <c r="G867" i="1"/>
  <c r="G903" i="1"/>
  <c r="G939" i="1"/>
  <c r="G975" i="1"/>
  <c r="G1011" i="1"/>
  <c r="G1047" i="1"/>
  <c r="G1083" i="1"/>
  <c r="G1119" i="1"/>
  <c r="G1155" i="1"/>
  <c r="G1191" i="1"/>
  <c r="G1227" i="1"/>
  <c r="G1263" i="1"/>
  <c r="G1299" i="1"/>
  <c r="G1335" i="1"/>
  <c r="G1371" i="1"/>
  <c r="G1407" i="1"/>
  <c r="G1443" i="1"/>
  <c r="G1479" i="1"/>
  <c r="G1515" i="1"/>
  <c r="G1551" i="1"/>
  <c r="G1587" i="1"/>
  <c r="G1623" i="1"/>
  <c r="G1659" i="1"/>
  <c r="G1695" i="1"/>
  <c r="G1731" i="1"/>
  <c r="G1767" i="1"/>
  <c r="G1803" i="1"/>
  <c r="G1839" i="1"/>
  <c r="G1875" i="1"/>
  <c r="G1911" i="1"/>
  <c r="G1947" i="1"/>
  <c r="G1983" i="1"/>
  <c r="G2019" i="1"/>
  <c r="G2037" i="1"/>
  <c r="G2055" i="1"/>
  <c r="G2073" i="1"/>
  <c r="G2091" i="1"/>
  <c r="G2109" i="1"/>
  <c r="G2127" i="1"/>
  <c r="G2145" i="1"/>
  <c r="G2163" i="1"/>
  <c r="G2181" i="1"/>
  <c r="G2199" i="1"/>
  <c r="G2217" i="1"/>
  <c r="G2235" i="1"/>
  <c r="G2253" i="1"/>
  <c r="G2271" i="1"/>
  <c r="G2289" i="1"/>
  <c r="G2307" i="1"/>
  <c r="G2325" i="1"/>
  <c r="G2343" i="1"/>
  <c r="G2361" i="1"/>
  <c r="G2379" i="1"/>
  <c r="G2397" i="1"/>
  <c r="G2415" i="1"/>
  <c r="G2433" i="1"/>
  <c r="G2451" i="1"/>
  <c r="G2469" i="1"/>
  <c r="G2487" i="1"/>
  <c r="G2505" i="1"/>
  <c r="G2523" i="1"/>
  <c r="G2541" i="1"/>
  <c r="G2559" i="1"/>
  <c r="G2577" i="1"/>
  <c r="G2595" i="1"/>
  <c r="G2613" i="1"/>
  <c r="G2631" i="1"/>
  <c r="G2649" i="1"/>
  <c r="G2667" i="1"/>
  <c r="G2685" i="1"/>
  <c r="G2703" i="1"/>
  <c r="G2721" i="1"/>
  <c r="G2739" i="1"/>
  <c r="G2757" i="1"/>
  <c r="G2775" i="1"/>
  <c r="G2787" i="1"/>
  <c r="G2799" i="1"/>
  <c r="G2811" i="1"/>
  <c r="G2823" i="1"/>
  <c r="G2835" i="1"/>
  <c r="G2847" i="1"/>
  <c r="G2859" i="1"/>
  <c r="G2871" i="1"/>
  <c r="G2883" i="1"/>
  <c r="G2892" i="1"/>
  <c r="G2900" i="1"/>
  <c r="G2906" i="1"/>
  <c r="G2912" i="1"/>
  <c r="G2918" i="1"/>
  <c r="G2924" i="1"/>
  <c r="G2930" i="1"/>
  <c r="G2936" i="1"/>
  <c r="G2942" i="1"/>
  <c r="G2948" i="1"/>
  <c r="G2954" i="1"/>
  <c r="G2960" i="1"/>
  <c r="G2966" i="1"/>
  <c r="G2972" i="1"/>
  <c r="G2978" i="1"/>
  <c r="G2984" i="1"/>
  <c r="G2990" i="1"/>
  <c r="G2996" i="1"/>
  <c r="G3002" i="1"/>
  <c r="G3008" i="1"/>
  <c r="G3014" i="1"/>
  <c r="G3020" i="1"/>
  <c r="G3026" i="1"/>
  <c r="G3032" i="1"/>
  <c r="G3038" i="1"/>
  <c r="G3044" i="1"/>
  <c r="G3050" i="1"/>
  <c r="G3056" i="1"/>
  <c r="G3062" i="1"/>
  <c r="G3068" i="1"/>
  <c r="G3074" i="1"/>
  <c r="G3080" i="1"/>
  <c r="G3086" i="1"/>
  <c r="G3092" i="1"/>
  <c r="G3098" i="1"/>
  <c r="G3104" i="1"/>
  <c r="G3110" i="1"/>
  <c r="G3116" i="1"/>
  <c r="G3122" i="1"/>
  <c r="G3128" i="1"/>
  <c r="G3134" i="1"/>
  <c r="G3140" i="1"/>
  <c r="G3146" i="1"/>
  <c r="G3152" i="1"/>
  <c r="G3158" i="1"/>
  <c r="G3164" i="1"/>
  <c r="G3170" i="1"/>
  <c r="G3176" i="1"/>
  <c r="G3182" i="1"/>
  <c r="G3188" i="1"/>
  <c r="G3194" i="1"/>
  <c r="G3200" i="1"/>
  <c r="G3206" i="1"/>
  <c r="G3212" i="1"/>
  <c r="G3218" i="1"/>
  <c r="G3224" i="1"/>
  <c r="G3230" i="1"/>
  <c r="G3236" i="1"/>
  <c r="G3242" i="1"/>
  <c r="G3248" i="1"/>
  <c r="G3254" i="1"/>
  <c r="G3260" i="1"/>
  <c r="G3266" i="1"/>
  <c r="G3272" i="1"/>
  <c r="G3278" i="1"/>
  <c r="G3284" i="1"/>
  <c r="G3290" i="1"/>
  <c r="G3296" i="1"/>
  <c r="G3302" i="1"/>
  <c r="G3308" i="1"/>
  <c r="G3314" i="1"/>
  <c r="G3320" i="1"/>
  <c r="G3326" i="1"/>
  <c r="G3332" i="1"/>
  <c r="G3338" i="1"/>
  <c r="G3344" i="1"/>
  <c r="G3350" i="1"/>
  <c r="G3356" i="1"/>
  <c r="G3362" i="1"/>
  <c r="G3368" i="1"/>
  <c r="G3374" i="1"/>
  <c r="G3380" i="1"/>
  <c r="G3386" i="1"/>
  <c r="G3392" i="1"/>
  <c r="G3398" i="1"/>
  <c r="G3404" i="1"/>
  <c r="G3410" i="1"/>
  <c r="G3416" i="1"/>
  <c r="G3422" i="1"/>
  <c r="G3428" i="1"/>
  <c r="G3434" i="1"/>
  <c r="G3440" i="1"/>
  <c r="G3446" i="1"/>
  <c r="G3452" i="1"/>
  <c r="G3458" i="1"/>
  <c r="G3464" i="1"/>
  <c r="G3470" i="1"/>
  <c r="G3476" i="1"/>
  <c r="G3482" i="1"/>
  <c r="G3488" i="1"/>
  <c r="G3506" i="1"/>
  <c r="G3512" i="1"/>
  <c r="G3518" i="1"/>
  <c r="G3524" i="1"/>
  <c r="G3530" i="1"/>
  <c r="G3536" i="1"/>
  <c r="G3554" i="1"/>
  <c r="G3560" i="1"/>
  <c r="G3566" i="1"/>
  <c r="G3584" i="1"/>
  <c r="G3614" i="1"/>
  <c r="G3638" i="1"/>
  <c r="G9" i="1"/>
  <c r="G45" i="1"/>
  <c r="G81" i="1"/>
  <c r="G117" i="1"/>
  <c r="G153" i="1"/>
  <c r="G189" i="1"/>
  <c r="G225" i="1"/>
  <c r="G261" i="1"/>
  <c r="G297" i="1"/>
  <c r="G333" i="1"/>
  <c r="G369" i="1"/>
  <c r="G405" i="1"/>
  <c r="G441" i="1"/>
  <c r="G477" i="1"/>
  <c r="G513" i="1"/>
  <c r="G549" i="1"/>
  <c r="G585" i="1"/>
  <c r="G621" i="1"/>
  <c r="G657" i="1"/>
  <c r="G693" i="1"/>
  <c r="G729" i="1"/>
  <c r="G765" i="1"/>
  <c r="G801" i="1"/>
  <c r="G837" i="1"/>
  <c r="G873" i="1"/>
  <c r="G909" i="1"/>
  <c r="G945" i="1"/>
  <c r="G981" i="1"/>
  <c r="G1017" i="1"/>
  <c r="G1053" i="1"/>
  <c r="G1089" i="1"/>
  <c r="G1125" i="1"/>
  <c r="G1161" i="1"/>
  <c r="G1197" i="1"/>
  <c r="G1233" i="1"/>
  <c r="G1269" i="1"/>
  <c r="G1305" i="1"/>
  <c r="G1341" i="1"/>
  <c r="G1377" i="1"/>
  <c r="G1413" i="1"/>
  <c r="G1449" i="1"/>
  <c r="G1485" i="1"/>
  <c r="G1521" i="1"/>
  <c r="G1557" i="1"/>
  <c r="G1593" i="1"/>
  <c r="G1629" i="1"/>
  <c r="G1665" i="1"/>
  <c r="G1701" i="1"/>
  <c r="G1737" i="1"/>
  <c r="G1773" i="1"/>
  <c r="G1809" i="1"/>
  <c r="G1845" i="1"/>
  <c r="G1881" i="1"/>
  <c r="G1917" i="1"/>
  <c r="G1953" i="1"/>
  <c r="G1989" i="1"/>
  <c r="G2021" i="1"/>
  <c r="G2039" i="1"/>
  <c r="G2057" i="1"/>
  <c r="G2075" i="1"/>
  <c r="G2093" i="1"/>
  <c r="G2111" i="1"/>
  <c r="G2129" i="1"/>
  <c r="G2147" i="1"/>
  <c r="G2165" i="1"/>
  <c r="G2183" i="1"/>
  <c r="G2201" i="1"/>
  <c r="G2219" i="1"/>
  <c r="G2237" i="1"/>
  <c r="G2255" i="1"/>
  <c r="G2273" i="1"/>
  <c r="G2291" i="1"/>
  <c r="G2309" i="1"/>
  <c r="G2327" i="1"/>
  <c r="G2345" i="1"/>
  <c r="G2363" i="1"/>
  <c r="G2381" i="1"/>
  <c r="G2399" i="1"/>
  <c r="G2417" i="1"/>
  <c r="G2435" i="1"/>
  <c r="G2453" i="1"/>
  <c r="G2471" i="1"/>
  <c r="G2489" i="1"/>
  <c r="G2507" i="1"/>
  <c r="G2525" i="1"/>
  <c r="G2543" i="1"/>
  <c r="G2561" i="1"/>
  <c r="G2579" i="1"/>
  <c r="G2597" i="1"/>
  <c r="G2615" i="1"/>
  <c r="G2633" i="1"/>
  <c r="G2651" i="1"/>
  <c r="G2669" i="1"/>
  <c r="G2687" i="1"/>
  <c r="G2705" i="1"/>
  <c r="G2723" i="1"/>
  <c r="G2741" i="1"/>
  <c r="G2759" i="1"/>
  <c r="G2776" i="1"/>
  <c r="G2788" i="1"/>
  <c r="G2800" i="1"/>
  <c r="G2812" i="1"/>
  <c r="G2824" i="1"/>
  <c r="G2836" i="1"/>
  <c r="G2848" i="1"/>
  <c r="G2860" i="1"/>
  <c r="G2872" i="1"/>
  <c r="G2884" i="1"/>
  <c r="G2894" i="1"/>
  <c r="G2901" i="1"/>
  <c r="G2907" i="1"/>
  <c r="G2913" i="1"/>
  <c r="G2919" i="1"/>
  <c r="G2925" i="1"/>
  <c r="G2931" i="1"/>
  <c r="G2937" i="1"/>
  <c r="G2943" i="1"/>
  <c r="G2949" i="1"/>
  <c r="G2955" i="1"/>
  <c r="G2961" i="1"/>
  <c r="G2967" i="1"/>
  <c r="G2973" i="1"/>
  <c r="G2979" i="1"/>
  <c r="G2985" i="1"/>
  <c r="G2991" i="1"/>
  <c r="G2997" i="1"/>
  <c r="G3003" i="1"/>
  <c r="G3009" i="1"/>
  <c r="G3015" i="1"/>
  <c r="G3021" i="1"/>
  <c r="G3027" i="1"/>
  <c r="G3033" i="1"/>
  <c r="G3039" i="1"/>
  <c r="G3045" i="1"/>
  <c r="G3051" i="1"/>
  <c r="G3057" i="1"/>
  <c r="G3063" i="1"/>
  <c r="G3069" i="1"/>
  <c r="G3075" i="1"/>
  <c r="G3081" i="1"/>
  <c r="G3087" i="1"/>
  <c r="G3093" i="1"/>
  <c r="G3099" i="1"/>
  <c r="G3105" i="1"/>
  <c r="G3111" i="1"/>
  <c r="G3117" i="1"/>
  <c r="G3123" i="1"/>
  <c r="G3129" i="1"/>
  <c r="G3135" i="1"/>
  <c r="G3141" i="1"/>
  <c r="G3147" i="1"/>
  <c r="G3153" i="1"/>
  <c r="G3159" i="1"/>
  <c r="G3165" i="1"/>
  <c r="G3171" i="1"/>
  <c r="G3177" i="1"/>
  <c r="G3183" i="1"/>
  <c r="G3189" i="1"/>
  <c r="G3195" i="1"/>
  <c r="G3201" i="1"/>
  <c r="G3207" i="1"/>
  <c r="G3213" i="1"/>
  <c r="G3219" i="1"/>
  <c r="G3225" i="1"/>
  <c r="G3231" i="1"/>
  <c r="G3237" i="1"/>
  <c r="G3243" i="1"/>
  <c r="G3249" i="1"/>
  <c r="G3255" i="1"/>
  <c r="G3261" i="1"/>
  <c r="G3267" i="1"/>
  <c r="G3273" i="1"/>
  <c r="G3279" i="1"/>
  <c r="G3285" i="1"/>
  <c r="G3291" i="1"/>
  <c r="G3297" i="1"/>
  <c r="G3303" i="1"/>
  <c r="G3309" i="1"/>
  <c r="G3315" i="1"/>
  <c r="G3321" i="1"/>
  <c r="G3327" i="1"/>
  <c r="G3333" i="1"/>
  <c r="G3339" i="1"/>
  <c r="G3345" i="1"/>
  <c r="G3351" i="1"/>
  <c r="G3357" i="1"/>
  <c r="G3363" i="1"/>
  <c r="G3369" i="1"/>
  <c r="G3375" i="1"/>
  <c r="G3381" i="1"/>
  <c r="G3387" i="1"/>
  <c r="G3393" i="1"/>
  <c r="G3399" i="1"/>
  <c r="G3405" i="1"/>
  <c r="G3411" i="1"/>
  <c r="G3417" i="1"/>
  <c r="G3423" i="1"/>
  <c r="G3429" i="1"/>
  <c r="G3435" i="1"/>
  <c r="G3441" i="1"/>
  <c r="G3447" i="1"/>
  <c r="G3453" i="1"/>
  <c r="G3459" i="1"/>
  <c r="G3465" i="1"/>
  <c r="G3471" i="1"/>
  <c r="G3477" i="1"/>
  <c r="G3483" i="1"/>
  <c r="G3489" i="1"/>
  <c r="G3495" i="1"/>
  <c r="G3501" i="1"/>
  <c r="G3507" i="1"/>
  <c r="G3513" i="1"/>
  <c r="G3519" i="1"/>
  <c r="G3525" i="1"/>
  <c r="G3531" i="1"/>
  <c r="G3537" i="1"/>
  <c r="G3543" i="1"/>
  <c r="G3549" i="1"/>
  <c r="G3555" i="1"/>
  <c r="G3561" i="1"/>
  <c r="G3567" i="1"/>
  <c r="G3573" i="1"/>
  <c r="G3579" i="1"/>
  <c r="G3585" i="1"/>
  <c r="G3591" i="1"/>
  <c r="G3597" i="1"/>
  <c r="G3603" i="1"/>
  <c r="G3609" i="1"/>
  <c r="G3615" i="1"/>
  <c r="G3621" i="1"/>
  <c r="G3627" i="1"/>
  <c r="G3633" i="1"/>
  <c r="G3639" i="1"/>
  <c r="G3620" i="1"/>
  <c r="G15" i="1"/>
  <c r="G51" i="1"/>
  <c r="G87" i="1"/>
  <c r="G123" i="1"/>
  <c r="G159" i="1"/>
  <c r="G195" i="1"/>
  <c r="G231" i="1"/>
  <c r="G267" i="1"/>
  <c r="G303" i="1"/>
  <c r="G339" i="1"/>
  <c r="G375" i="1"/>
  <c r="G411" i="1"/>
  <c r="G447" i="1"/>
  <c r="G483" i="1"/>
  <c r="G519" i="1"/>
  <c r="G555" i="1"/>
  <c r="G591" i="1"/>
  <c r="G627" i="1"/>
  <c r="G663" i="1"/>
  <c r="G699" i="1"/>
  <c r="G735" i="1"/>
  <c r="G771" i="1"/>
  <c r="G807" i="1"/>
  <c r="G843" i="1"/>
  <c r="G879" i="1"/>
  <c r="G915" i="1"/>
  <c r="G951" i="1"/>
  <c r="G987" i="1"/>
  <c r="G1023" i="1"/>
  <c r="G1059" i="1"/>
  <c r="G1095" i="1"/>
  <c r="G1131" i="1"/>
  <c r="G1167" i="1"/>
  <c r="G1203" i="1"/>
  <c r="G1239" i="1"/>
  <c r="G1275" i="1"/>
  <c r="G1311" i="1"/>
  <c r="G1347" i="1"/>
  <c r="G1383" i="1"/>
  <c r="G1419" i="1"/>
  <c r="G1455" i="1"/>
  <c r="G1491" i="1"/>
  <c r="G1527" i="1"/>
  <c r="G1563" i="1"/>
  <c r="G1599" i="1"/>
  <c r="G1635" i="1"/>
  <c r="G1671" i="1"/>
  <c r="G1707" i="1"/>
  <c r="G1743" i="1"/>
  <c r="G1779" i="1"/>
  <c r="G1815" i="1"/>
  <c r="G1851" i="1"/>
  <c r="G1887" i="1"/>
  <c r="G1923" i="1"/>
  <c r="G1959" i="1"/>
  <c r="G1995" i="1"/>
  <c r="G2025" i="1"/>
  <c r="G2043" i="1"/>
  <c r="G2061" i="1"/>
  <c r="G2079" i="1"/>
  <c r="G2097" i="1"/>
  <c r="G2115" i="1"/>
  <c r="G2133" i="1"/>
  <c r="G2151" i="1"/>
  <c r="G2169" i="1"/>
  <c r="G2187" i="1"/>
  <c r="G2205" i="1"/>
  <c r="G2223" i="1"/>
  <c r="G2241" i="1"/>
  <c r="G2259" i="1"/>
  <c r="G2277" i="1"/>
  <c r="G2295" i="1"/>
  <c r="G2313" i="1"/>
  <c r="G2331" i="1"/>
  <c r="G2349" i="1"/>
  <c r="G2367" i="1"/>
  <c r="G2385" i="1"/>
  <c r="G2403" i="1"/>
  <c r="G2421" i="1"/>
  <c r="G2439" i="1"/>
  <c r="G2457" i="1"/>
  <c r="G2475" i="1"/>
  <c r="G2493" i="1"/>
  <c r="G2511" i="1"/>
  <c r="G2529" i="1"/>
  <c r="G2547" i="1"/>
  <c r="G2565" i="1"/>
  <c r="G2583" i="1"/>
  <c r="G2601" i="1"/>
  <c r="G2619" i="1"/>
  <c r="G2637" i="1"/>
  <c r="G2655" i="1"/>
  <c r="G2673" i="1"/>
  <c r="G2691" i="1"/>
  <c r="G2709" i="1"/>
  <c r="G2727" i="1"/>
  <c r="G2745" i="1"/>
  <c r="G2763" i="1"/>
  <c r="G2777" i="1"/>
  <c r="G2789" i="1"/>
  <c r="G2801" i="1"/>
  <c r="G2813" i="1"/>
  <c r="G2825" i="1"/>
  <c r="G2837" i="1"/>
  <c r="G2849" i="1"/>
  <c r="G2861" i="1"/>
  <c r="G2873" i="1"/>
  <c r="G2885" i="1"/>
  <c r="G2895" i="1"/>
  <c r="G2902" i="1"/>
  <c r="G2908" i="1"/>
  <c r="G2914" i="1"/>
  <c r="G2920" i="1"/>
  <c r="G2926" i="1"/>
  <c r="G2932" i="1"/>
  <c r="G2938" i="1"/>
  <c r="G2944" i="1"/>
  <c r="G2950" i="1"/>
  <c r="G2956" i="1"/>
  <c r="G2962" i="1"/>
  <c r="G2968" i="1"/>
  <c r="G2974" i="1"/>
  <c r="G2980" i="1"/>
  <c r="G2986" i="1"/>
  <c r="G2992" i="1"/>
  <c r="G2998" i="1"/>
  <c r="G3004" i="1"/>
  <c r="G3010" i="1"/>
  <c r="G3016" i="1"/>
  <c r="G3022" i="1"/>
  <c r="G3028" i="1"/>
  <c r="G3034" i="1"/>
  <c r="G3040" i="1"/>
  <c r="G3046" i="1"/>
  <c r="G3052" i="1"/>
  <c r="G3058" i="1"/>
  <c r="G3064" i="1"/>
  <c r="G3070" i="1"/>
  <c r="G3076" i="1"/>
  <c r="G3082" i="1"/>
  <c r="G3088" i="1"/>
  <c r="G3094" i="1"/>
  <c r="G3100" i="1"/>
  <c r="G3106" i="1"/>
  <c r="G3112" i="1"/>
  <c r="G3118" i="1"/>
  <c r="G3124" i="1"/>
  <c r="G3130" i="1"/>
  <c r="G3136" i="1"/>
  <c r="G3142" i="1"/>
  <c r="G3148" i="1"/>
  <c r="G3154" i="1"/>
  <c r="G3160" i="1"/>
  <c r="G3166" i="1"/>
  <c r="G3172" i="1"/>
  <c r="G3178" i="1"/>
  <c r="G3184" i="1"/>
  <c r="G3190" i="1"/>
  <c r="G3196" i="1"/>
  <c r="G3202" i="1"/>
  <c r="G3208" i="1"/>
  <c r="G3214" i="1"/>
  <c r="G3220" i="1"/>
  <c r="G3226" i="1"/>
  <c r="G3232" i="1"/>
  <c r="G3238" i="1"/>
  <c r="G3244" i="1"/>
  <c r="G3250" i="1"/>
  <c r="G3256" i="1"/>
  <c r="G3262" i="1"/>
  <c r="G3268" i="1"/>
  <c r="G3274" i="1"/>
  <c r="G3280" i="1"/>
  <c r="G3286" i="1"/>
  <c r="G3292" i="1"/>
  <c r="G3298" i="1"/>
  <c r="G3304" i="1"/>
  <c r="G3310" i="1"/>
  <c r="G3316" i="1"/>
  <c r="G3322" i="1"/>
  <c r="G3328" i="1"/>
  <c r="G3334" i="1"/>
  <c r="G3340" i="1"/>
  <c r="G3346" i="1"/>
  <c r="G3352" i="1"/>
  <c r="G3358" i="1"/>
  <c r="G3364" i="1"/>
  <c r="G3370" i="1"/>
  <c r="G3376" i="1"/>
  <c r="G3382" i="1"/>
  <c r="G3388" i="1"/>
  <c r="G3394" i="1"/>
  <c r="G3400" i="1"/>
  <c r="G3406" i="1"/>
  <c r="G3412" i="1"/>
  <c r="G3418" i="1"/>
  <c r="G3424" i="1"/>
  <c r="G3430" i="1"/>
  <c r="G3436" i="1"/>
  <c r="G3442" i="1"/>
  <c r="G3448" i="1"/>
  <c r="G3454" i="1"/>
  <c r="G3460" i="1"/>
  <c r="G3466" i="1"/>
  <c r="G3472" i="1"/>
  <c r="G3478" i="1"/>
  <c r="G3484" i="1"/>
  <c r="G3490" i="1"/>
  <c r="G3496" i="1"/>
  <c r="G3502" i="1"/>
  <c r="G3508" i="1"/>
  <c r="G3514" i="1"/>
  <c r="G3520" i="1"/>
  <c r="G3526" i="1"/>
  <c r="G3532" i="1"/>
  <c r="G3538" i="1"/>
  <c r="G3544" i="1"/>
  <c r="G3550" i="1"/>
  <c r="G3556" i="1"/>
  <c r="G3562" i="1"/>
  <c r="G3568" i="1"/>
  <c r="G3574" i="1"/>
  <c r="G3580" i="1"/>
  <c r="G3586" i="1"/>
  <c r="G3592" i="1"/>
  <c r="G3598" i="1"/>
  <c r="G3604" i="1"/>
  <c r="G3610" i="1"/>
  <c r="G3616" i="1"/>
  <c r="G3622" i="1"/>
  <c r="G3628" i="1"/>
  <c r="G3634" i="1"/>
  <c r="G3640" i="1"/>
  <c r="G3542" i="1"/>
  <c r="G3572" i="1"/>
  <c r="G3590" i="1"/>
  <c r="G3608" i="1"/>
  <c r="G3626" i="1"/>
  <c r="G21" i="1"/>
  <c r="G57" i="1"/>
  <c r="G93" i="1"/>
  <c r="G129" i="1"/>
  <c r="G165" i="1"/>
  <c r="G201" i="1"/>
  <c r="G237" i="1"/>
  <c r="G273" i="1"/>
  <c r="G309" i="1"/>
  <c r="G345" i="1"/>
  <c r="G381" i="1"/>
  <c r="G417" i="1"/>
  <c r="G453" i="1"/>
  <c r="G489" i="1"/>
  <c r="G525" i="1"/>
  <c r="G561" i="1"/>
  <c r="G597" i="1"/>
  <c r="G633" i="1"/>
  <c r="G669" i="1"/>
  <c r="G705" i="1"/>
  <c r="G741" i="1"/>
  <c r="G777" i="1"/>
  <c r="G813" i="1"/>
  <c r="G849" i="1"/>
  <c r="G885" i="1"/>
  <c r="G921" i="1"/>
  <c r="G957" i="1"/>
  <c r="G993" i="1"/>
  <c r="G1029" i="1"/>
  <c r="G1065" i="1"/>
  <c r="G1101" i="1"/>
  <c r="G1137" i="1"/>
  <c r="G1173" i="1"/>
  <c r="G1209" i="1"/>
  <c r="G1245" i="1"/>
  <c r="G1281" i="1"/>
  <c r="G1317" i="1"/>
  <c r="G1353" i="1"/>
  <c r="G1389" i="1"/>
  <c r="G1425" i="1"/>
  <c r="G1461" i="1"/>
  <c r="G1497" i="1"/>
  <c r="G1533" i="1"/>
  <c r="G1569" i="1"/>
  <c r="G1605" i="1"/>
  <c r="G1641" i="1"/>
  <c r="G1677" i="1"/>
  <c r="G1713" i="1"/>
  <c r="G1749" i="1"/>
  <c r="G1785" i="1"/>
  <c r="G1821" i="1"/>
  <c r="G1857" i="1"/>
  <c r="G1893" i="1"/>
  <c r="G1929" i="1"/>
  <c r="G1965" i="1"/>
  <c r="G2001" i="1"/>
  <c r="G2027" i="1"/>
  <c r="G2045" i="1"/>
  <c r="G2063" i="1"/>
  <c r="G2081" i="1"/>
  <c r="G2099" i="1"/>
  <c r="G2117" i="1"/>
  <c r="G2135" i="1"/>
  <c r="G2153" i="1"/>
  <c r="G2171" i="1"/>
  <c r="G2189" i="1"/>
  <c r="G2207" i="1"/>
  <c r="G2225" i="1"/>
  <c r="G2243" i="1"/>
  <c r="G2261" i="1"/>
  <c r="G2279" i="1"/>
  <c r="G2297" i="1"/>
  <c r="G2315" i="1"/>
  <c r="G2333" i="1"/>
  <c r="G2351" i="1"/>
  <c r="G2369" i="1"/>
  <c r="G2387" i="1"/>
  <c r="G2405" i="1"/>
  <c r="G2423" i="1"/>
  <c r="G2441" i="1"/>
  <c r="G2459" i="1"/>
  <c r="G2477" i="1"/>
  <c r="G2495" i="1"/>
  <c r="G2513" i="1"/>
  <c r="G2531" i="1"/>
  <c r="G2549" i="1"/>
  <c r="G2567" i="1"/>
  <c r="G2585" i="1"/>
  <c r="G2603" i="1"/>
  <c r="G2621" i="1"/>
  <c r="G2639" i="1"/>
  <c r="G2657" i="1"/>
  <c r="G2675" i="1"/>
  <c r="G2693" i="1"/>
  <c r="G2711" i="1"/>
  <c r="G2729" i="1"/>
  <c r="G2747" i="1"/>
  <c r="G2765" i="1"/>
  <c r="G2781" i="1"/>
  <c r="G2793" i="1"/>
  <c r="G2805" i="1"/>
  <c r="G2817" i="1"/>
  <c r="G2829" i="1"/>
  <c r="G2841" i="1"/>
  <c r="G2853" i="1"/>
  <c r="G2865" i="1"/>
  <c r="G2877" i="1"/>
  <c r="G2889" i="1"/>
  <c r="G2896" i="1"/>
  <c r="G2903" i="1"/>
  <c r="G2909" i="1"/>
  <c r="G2915" i="1"/>
  <c r="G2921" i="1"/>
  <c r="G2927" i="1"/>
  <c r="G2933" i="1"/>
  <c r="G2939" i="1"/>
  <c r="G2945" i="1"/>
  <c r="G2951" i="1"/>
  <c r="G2957" i="1"/>
  <c r="G2963" i="1"/>
  <c r="G2969" i="1"/>
  <c r="G2975" i="1"/>
  <c r="G2981" i="1"/>
  <c r="G2987" i="1"/>
  <c r="G2993" i="1"/>
  <c r="G2999" i="1"/>
  <c r="G3005" i="1"/>
  <c r="G3011" i="1"/>
  <c r="G3017" i="1"/>
  <c r="G3023" i="1"/>
  <c r="G3029" i="1"/>
  <c r="G3035" i="1"/>
  <c r="G3041" i="1"/>
  <c r="G3047" i="1"/>
  <c r="G3053" i="1"/>
  <c r="G3059" i="1"/>
  <c r="G3065" i="1"/>
  <c r="G3071" i="1"/>
  <c r="G3077" i="1"/>
  <c r="G3083" i="1"/>
  <c r="G3089" i="1"/>
  <c r="G3095" i="1"/>
  <c r="G3101" i="1"/>
  <c r="G3107" i="1"/>
  <c r="G3113" i="1"/>
  <c r="G3119" i="1"/>
  <c r="G3125" i="1"/>
  <c r="G3131" i="1"/>
  <c r="G3137" i="1"/>
  <c r="G3143" i="1"/>
  <c r="G3149" i="1"/>
  <c r="G3155" i="1"/>
  <c r="G3161" i="1"/>
  <c r="G3167" i="1"/>
  <c r="G3173" i="1"/>
  <c r="G3179" i="1"/>
  <c r="G3185" i="1"/>
  <c r="G3191" i="1"/>
  <c r="G3197" i="1"/>
  <c r="G3203" i="1"/>
  <c r="G3209" i="1"/>
  <c r="G3215" i="1"/>
  <c r="G3221" i="1"/>
  <c r="G3227" i="1"/>
  <c r="G3233" i="1"/>
  <c r="G3239" i="1"/>
  <c r="G3245" i="1"/>
  <c r="G3251" i="1"/>
  <c r="G3257" i="1"/>
  <c r="G3263" i="1"/>
  <c r="G3269" i="1"/>
  <c r="G3275" i="1"/>
  <c r="G3281" i="1"/>
  <c r="G3287" i="1"/>
  <c r="G3293" i="1"/>
  <c r="G3299" i="1"/>
  <c r="G3305" i="1"/>
  <c r="G3311" i="1"/>
  <c r="G3317" i="1"/>
  <c r="G3323" i="1"/>
  <c r="G3329" i="1"/>
  <c r="G3335" i="1"/>
  <c r="G3341" i="1"/>
  <c r="G3347" i="1"/>
  <c r="G3353" i="1"/>
  <c r="G3359" i="1"/>
  <c r="G3365" i="1"/>
  <c r="G3371" i="1"/>
  <c r="G3377" i="1"/>
  <c r="G3383" i="1"/>
  <c r="G3389" i="1"/>
  <c r="G3395" i="1"/>
  <c r="G3401" i="1"/>
  <c r="G3407" i="1"/>
  <c r="G3413" i="1"/>
  <c r="G3419" i="1"/>
  <c r="G3425" i="1"/>
  <c r="G3431" i="1"/>
  <c r="G3437" i="1"/>
  <c r="G3443" i="1"/>
  <c r="G3449" i="1"/>
  <c r="G3455" i="1"/>
  <c r="G3461" i="1"/>
  <c r="G3467" i="1"/>
  <c r="G3473" i="1"/>
  <c r="G3479" i="1"/>
  <c r="G3485" i="1"/>
  <c r="G3491" i="1"/>
  <c r="G3497" i="1"/>
  <c r="G3503" i="1"/>
  <c r="G3509" i="1"/>
  <c r="G3515" i="1"/>
  <c r="G3521" i="1"/>
  <c r="G3527" i="1"/>
  <c r="G3533" i="1"/>
  <c r="G3539" i="1"/>
  <c r="G3545" i="1"/>
  <c r="G3551" i="1"/>
  <c r="G3557" i="1"/>
  <c r="G3563" i="1"/>
  <c r="G3569" i="1"/>
  <c r="G3575" i="1"/>
  <c r="G3581" i="1"/>
  <c r="G3587" i="1"/>
  <c r="G3593" i="1"/>
  <c r="G3599" i="1"/>
  <c r="G3605" i="1"/>
  <c r="G3611" i="1"/>
  <c r="G3617" i="1"/>
  <c r="G3623" i="1"/>
  <c r="G3629" i="1"/>
  <c r="G3635" i="1"/>
  <c r="G3641" i="1"/>
  <c r="G3548" i="1"/>
  <c r="G3602" i="1"/>
  <c r="B3" i="1"/>
  <c r="C33" i="5"/>
  <c r="L6" i="1" l="1"/>
  <c r="M6" i="1" s="1"/>
  <c r="J6" i="1"/>
  <c r="I6" i="1"/>
  <c r="K6" i="1" s="1"/>
  <c r="H7" i="1" s="1"/>
  <c r="R15" i="3"/>
  <c r="S15" i="3" s="1"/>
  <c r="L7" i="1" l="1"/>
  <c r="M7" i="1" s="1"/>
  <c r="J7" i="1"/>
  <c r="I7" i="1"/>
  <c r="K7" i="1" s="1"/>
  <c r="H8" i="1" s="1"/>
  <c r="G5" i="5"/>
  <c r="J5" i="5" s="1"/>
  <c r="F8" i="7"/>
  <c r="E7" i="7"/>
  <c r="E8" i="7" s="1"/>
  <c r="D7" i="7"/>
  <c r="D8" i="7" s="1"/>
  <c r="L8" i="1" l="1"/>
  <c r="M8" i="1" s="1"/>
  <c r="J8" i="1"/>
  <c r="I8" i="1"/>
  <c r="K8" i="1" s="1"/>
  <c r="H9" i="1" s="1"/>
  <c r="C5" i="3"/>
  <c r="L9" i="1" l="1"/>
  <c r="M9" i="1" s="1"/>
  <c r="J9" i="1"/>
  <c r="I9" i="1"/>
  <c r="K9" i="1" s="1"/>
  <c r="H10" i="1" s="1"/>
  <c r="L10" i="5"/>
  <c r="L10" i="1" l="1"/>
  <c r="M10" i="1" s="1"/>
  <c r="J10" i="1"/>
  <c r="I10" i="1"/>
  <c r="K10" i="1" s="1"/>
  <c r="H11" i="1" s="1"/>
  <c r="G3" i="3"/>
  <c r="E5" i="14" s="1"/>
  <c r="E3" i="3"/>
  <c r="G6" i="1" s="1"/>
  <c r="L11" i="1" l="1"/>
  <c r="M11" i="1" s="1"/>
  <c r="J11" i="1"/>
  <c r="I11" i="1"/>
  <c r="K11" i="1" s="1"/>
  <c r="H12" i="1" s="1"/>
  <c r="E4" i="14"/>
  <c r="B26" i="14" s="1"/>
  <c r="R7" i="3"/>
  <c r="T15" i="3"/>
  <c r="L1" i="3"/>
  <c r="J8" i="5"/>
  <c r="K8" i="5" s="1"/>
  <c r="R6" i="3"/>
  <c r="R13" i="3"/>
  <c r="S13" i="3"/>
  <c r="L11" i="5"/>
  <c r="L12" i="1" l="1"/>
  <c r="M12" i="1" s="1"/>
  <c r="J12" i="1"/>
  <c r="I12" i="1"/>
  <c r="K12" i="1" s="1"/>
  <c r="H13" i="1" s="1"/>
  <c r="E6" i="14"/>
  <c r="C26" i="14"/>
  <c r="B27" i="14"/>
  <c r="D26" i="14" s="1"/>
  <c r="L8" i="5"/>
  <c r="E31" i="5" s="1"/>
  <c r="L13" i="1" l="1"/>
  <c r="M13" i="1" s="1"/>
  <c r="J13" i="1"/>
  <c r="I13" i="1"/>
  <c r="K13" i="1" s="1"/>
  <c r="H14" i="1" s="1"/>
  <c r="E8" i="14"/>
  <c r="E9" i="14" s="1"/>
  <c r="B28" i="14"/>
  <c r="C27" i="14"/>
  <c r="F17" i="5"/>
  <c r="F26" i="5" s="1"/>
  <c r="F18" i="5"/>
  <c r="L31" i="5"/>
  <c r="I18" i="5"/>
  <c r="M18" i="5"/>
  <c r="L18" i="5"/>
  <c r="J18" i="5"/>
  <c r="F19" i="5"/>
  <c r="F27" i="5" s="1"/>
  <c r="E19" i="5"/>
  <c r="E27" i="5" s="1"/>
  <c r="I17" i="5"/>
  <c r="I26" i="5" s="1"/>
  <c r="K31" i="5"/>
  <c r="D18" i="5"/>
  <c r="K18" i="5"/>
  <c r="D19" i="5"/>
  <c r="D27" i="5" s="1"/>
  <c r="J31" i="5"/>
  <c r="L19" i="5"/>
  <c r="L27" i="5" s="1"/>
  <c r="G31" i="5"/>
  <c r="I31" i="5"/>
  <c r="H19" i="5"/>
  <c r="H27" i="5" s="1"/>
  <c r="H17" i="5"/>
  <c r="D31" i="5"/>
  <c r="H31" i="5"/>
  <c r="C5" i="5"/>
  <c r="D17" i="5"/>
  <c r="D26" i="5" s="1"/>
  <c r="G19" i="5"/>
  <c r="G27" i="5" s="1"/>
  <c r="G17" i="5"/>
  <c r="G26" i="5" s="1"/>
  <c r="F31" i="5"/>
  <c r="C15" i="5"/>
  <c r="E17" i="5"/>
  <c r="E26" i="5" s="1"/>
  <c r="M31" i="5"/>
  <c r="H18" i="5"/>
  <c r="G18" i="5"/>
  <c r="E18" i="5"/>
  <c r="L14" i="1" l="1"/>
  <c r="M14" i="1" s="1"/>
  <c r="J14" i="1"/>
  <c r="I14" i="1"/>
  <c r="K14" i="1" s="1"/>
  <c r="H15" i="1" s="1"/>
  <c r="B29" i="14"/>
  <c r="D28" i="14" s="1"/>
  <c r="C28" i="14"/>
  <c r="D27" i="14"/>
  <c r="L15" i="5"/>
  <c r="M15" i="5"/>
  <c r="M19" i="5" s="1"/>
  <c r="L20" i="5"/>
  <c r="L22" i="5" s="1"/>
  <c r="L25" i="5" s="1"/>
  <c r="L33" i="5" s="1"/>
  <c r="E20" i="5"/>
  <c r="E22" i="5" s="1"/>
  <c r="E25" i="5" s="1"/>
  <c r="E33" i="5" s="1"/>
  <c r="D20" i="5"/>
  <c r="D22" i="5" s="1"/>
  <c r="D25" i="5" s="1"/>
  <c r="D33" i="5" s="1"/>
  <c r="D15" i="5"/>
  <c r="H15" i="5"/>
  <c r="F20" i="5"/>
  <c r="F22" i="5" s="1"/>
  <c r="F25" i="5" s="1"/>
  <c r="F33" i="5" s="1"/>
  <c r="I15" i="5"/>
  <c r="I19" i="5" s="1"/>
  <c r="I27" i="5" s="1"/>
  <c r="G15" i="5"/>
  <c r="K15" i="5"/>
  <c r="K19" i="5" s="1"/>
  <c r="K27" i="5" s="1"/>
  <c r="H20" i="5"/>
  <c r="H22" i="5" s="1"/>
  <c r="H25" i="5" s="1"/>
  <c r="E15" i="5"/>
  <c r="H26" i="5"/>
  <c r="J15" i="5"/>
  <c r="J19" i="5" s="1"/>
  <c r="J27" i="5" s="1"/>
  <c r="G20" i="5"/>
  <c r="G22" i="5" s="1"/>
  <c r="G25" i="5" s="1"/>
  <c r="G33" i="5" s="1"/>
  <c r="F15" i="5"/>
  <c r="L15" i="1" l="1"/>
  <c r="M15" i="1" s="1"/>
  <c r="J15" i="1"/>
  <c r="I15" i="1"/>
  <c r="K15" i="1" s="1"/>
  <c r="H16" i="1" s="1"/>
  <c r="I20" i="5"/>
  <c r="I22" i="5" s="1"/>
  <c r="I25" i="5" s="1"/>
  <c r="I33" i="5" s="1"/>
  <c r="F26" i="14"/>
  <c r="E26" i="14"/>
  <c r="E27" i="14"/>
  <c r="B30" i="14"/>
  <c r="D29" i="14" s="1"/>
  <c r="C29" i="14"/>
  <c r="M27" i="5"/>
  <c r="M20" i="5"/>
  <c r="M22" i="5" s="1"/>
  <c r="M25" i="5" s="1"/>
  <c r="J20" i="5"/>
  <c r="J22" i="5" s="1"/>
  <c r="J25" i="5" s="1"/>
  <c r="J33" i="5" s="1"/>
  <c r="H33" i="5"/>
  <c r="K20" i="5"/>
  <c r="K22" i="5" s="1"/>
  <c r="K25" i="5" s="1"/>
  <c r="K33" i="5" s="1"/>
  <c r="L16" i="1" l="1"/>
  <c r="M16" i="1" s="1"/>
  <c r="J16" i="1"/>
  <c r="I16" i="1"/>
  <c r="K16" i="1" s="1"/>
  <c r="H17" i="1" s="1"/>
  <c r="E28" i="14"/>
  <c r="F27" i="14"/>
  <c r="G26" i="14"/>
  <c r="M33" i="5"/>
  <c r="B31" i="14"/>
  <c r="D30" i="14" s="1"/>
  <c r="C30" i="14"/>
  <c r="D5" i="5"/>
  <c r="D6" i="5" s="1"/>
  <c r="D7" i="5" s="1"/>
  <c r="R17" i="3" s="1"/>
  <c r="S17" i="3" s="1"/>
  <c r="T17" i="3" s="1"/>
  <c r="L17" i="1" l="1"/>
  <c r="M17" i="1" s="1"/>
  <c r="J17" i="1"/>
  <c r="I17" i="1"/>
  <c r="K17" i="1" s="1"/>
  <c r="H18" i="1" s="1"/>
  <c r="B32" i="14"/>
  <c r="D31" i="14" s="1"/>
  <c r="C31" i="14"/>
  <c r="F28" i="14"/>
  <c r="H26" i="14"/>
  <c r="G27" i="14"/>
  <c r="E29" i="14"/>
  <c r="L18" i="1" l="1"/>
  <c r="M18" i="1" s="1"/>
  <c r="J18" i="1"/>
  <c r="I18" i="1"/>
  <c r="K18" i="1" s="1"/>
  <c r="H19" i="1" s="1"/>
  <c r="I26" i="14"/>
  <c r="G28" i="14"/>
  <c r="H27" i="14"/>
  <c r="B33" i="14"/>
  <c r="D32" i="14" s="1"/>
  <c r="J26" i="14" s="1"/>
  <c r="C32" i="14"/>
  <c r="F29" i="14"/>
  <c r="E30" i="14"/>
  <c r="L19" i="1" l="1"/>
  <c r="M19" i="1" s="1"/>
  <c r="J19" i="1"/>
  <c r="I19" i="1"/>
  <c r="K19" i="1" s="1"/>
  <c r="H20" i="1" s="1"/>
  <c r="H28" i="14"/>
  <c r="B34" i="14"/>
  <c r="D33" i="14" s="1"/>
  <c r="C33" i="14"/>
  <c r="G29" i="14"/>
  <c r="E31" i="14"/>
  <c r="F30" i="14"/>
  <c r="I27" i="14"/>
  <c r="L20" i="1" l="1"/>
  <c r="M20" i="1" s="1"/>
  <c r="J20" i="1"/>
  <c r="I20" i="1"/>
  <c r="K20" i="1" s="1"/>
  <c r="H21" i="1" s="1"/>
  <c r="I28" i="14"/>
  <c r="J27" i="14"/>
  <c r="B35" i="14"/>
  <c r="D34" i="14" s="1"/>
  <c r="C34" i="14"/>
  <c r="H29" i="14"/>
  <c r="G30" i="14"/>
  <c r="E32" i="14"/>
  <c r="F31" i="14"/>
  <c r="J21" i="1" l="1"/>
  <c r="L21" i="1"/>
  <c r="M21" i="1" s="1"/>
  <c r="I21" i="1"/>
  <c r="K21" i="1" s="1"/>
  <c r="H22" i="1" s="1"/>
  <c r="E33" i="14"/>
  <c r="F32" i="14"/>
  <c r="G31" i="14"/>
  <c r="J28" i="14"/>
  <c r="I29" i="14"/>
  <c r="H30" i="14"/>
  <c r="B36" i="14"/>
  <c r="D35" i="14" s="1"/>
  <c r="C35" i="14"/>
  <c r="L22" i="1" l="1"/>
  <c r="M22" i="1" s="1"/>
  <c r="J22" i="1"/>
  <c r="I22" i="1"/>
  <c r="K22" i="1" s="1"/>
  <c r="H23" i="1" s="1"/>
  <c r="J29" i="14"/>
  <c r="I30" i="14"/>
  <c r="F33" i="14"/>
  <c r="G32" i="14"/>
  <c r="E34" i="14"/>
  <c r="H31" i="14"/>
  <c r="B37" i="14"/>
  <c r="D36" i="14" s="1"/>
  <c r="C36" i="14"/>
  <c r="L23" i="1" l="1"/>
  <c r="M23" i="1" s="1"/>
  <c r="J23" i="1"/>
  <c r="I23" i="1"/>
  <c r="K23" i="1" s="1"/>
  <c r="H24" i="1" s="1"/>
  <c r="B38" i="14"/>
  <c r="D37" i="14" s="1"/>
  <c r="C37" i="14"/>
  <c r="F34" i="14"/>
  <c r="E35" i="14"/>
  <c r="J30" i="14"/>
  <c r="I31" i="14"/>
  <c r="H32" i="14"/>
  <c r="G33" i="14"/>
  <c r="L24" i="1" l="1"/>
  <c r="M24" i="1" s="1"/>
  <c r="J24" i="1"/>
  <c r="I24" i="1"/>
  <c r="K24" i="1" s="1"/>
  <c r="H25" i="1" s="1"/>
  <c r="F35" i="14"/>
  <c r="G34" i="14"/>
  <c r="J31" i="14"/>
  <c r="I32" i="14"/>
  <c r="B39" i="14"/>
  <c r="D38" i="14" s="1"/>
  <c r="C38" i="14"/>
  <c r="H33" i="14"/>
  <c r="E36" i="14"/>
  <c r="L25" i="1" l="1"/>
  <c r="M25" i="1" s="1"/>
  <c r="J25" i="1"/>
  <c r="I25" i="1"/>
  <c r="K25" i="1" s="1"/>
  <c r="H26" i="1" s="1"/>
  <c r="J32" i="14"/>
  <c r="I33" i="14"/>
  <c r="B40" i="14"/>
  <c r="D39" i="14" s="1"/>
  <c r="C39" i="14"/>
  <c r="E37" i="14"/>
  <c r="F36" i="14"/>
  <c r="H34" i="14"/>
  <c r="G35" i="14"/>
  <c r="L26" i="1" l="1"/>
  <c r="M26" i="1" s="1"/>
  <c r="J26" i="1"/>
  <c r="I26" i="1"/>
  <c r="K26" i="1" s="1"/>
  <c r="H27" i="1" s="1"/>
  <c r="I34" i="14"/>
  <c r="J33" i="14"/>
  <c r="H35" i="14"/>
  <c r="F37" i="14"/>
  <c r="B41" i="14"/>
  <c r="D40" i="14" s="1"/>
  <c r="C40" i="14"/>
  <c r="E38" i="14"/>
  <c r="G36" i="14"/>
  <c r="L27" i="1" l="1"/>
  <c r="M27" i="1" s="1"/>
  <c r="J27" i="1"/>
  <c r="I27" i="1"/>
  <c r="K27" i="1" s="1"/>
  <c r="H28" i="1" s="1"/>
  <c r="E39" i="14"/>
  <c r="J34" i="14"/>
  <c r="I35" i="14"/>
  <c r="G37" i="14"/>
  <c r="B42" i="14"/>
  <c r="C41" i="14"/>
  <c r="H36" i="14"/>
  <c r="F38" i="14"/>
  <c r="L28" i="1" l="1"/>
  <c r="M28" i="1" s="1"/>
  <c r="J28" i="1"/>
  <c r="I28" i="1"/>
  <c r="K28" i="1" s="1"/>
  <c r="H29" i="1" s="1"/>
  <c r="B43" i="14"/>
  <c r="D42" i="14" s="1"/>
  <c r="C42" i="14"/>
  <c r="D41" i="14"/>
  <c r="L29" i="1" l="1"/>
  <c r="M29" i="1" s="1"/>
  <c r="J29" i="1"/>
  <c r="I29" i="1"/>
  <c r="K29" i="1" s="1"/>
  <c r="H30" i="1" s="1"/>
  <c r="J35" i="14"/>
  <c r="H37" i="14"/>
  <c r="I36" i="14"/>
  <c r="G39" i="14"/>
  <c r="E40" i="14"/>
  <c r="E41" i="14"/>
  <c r="F40" i="14"/>
  <c r="H38" i="14"/>
  <c r="G38" i="14"/>
  <c r="F39" i="14"/>
  <c r="J36" i="14"/>
  <c r="I37" i="14"/>
  <c r="B44" i="14"/>
  <c r="C43" i="14"/>
  <c r="L30" i="1" l="1"/>
  <c r="M30" i="1" s="1"/>
  <c r="J30" i="1"/>
  <c r="I30" i="1"/>
  <c r="K30" i="1" s="1"/>
  <c r="H31" i="1" s="1"/>
  <c r="B45" i="14"/>
  <c r="D44" i="14" s="1"/>
  <c r="C44" i="14"/>
  <c r="D43" i="14"/>
  <c r="L31" i="1" l="1"/>
  <c r="M31" i="1" s="1"/>
  <c r="J31" i="1"/>
  <c r="I31" i="1"/>
  <c r="K31" i="1" s="1"/>
  <c r="H32" i="1" s="1"/>
  <c r="J38" i="14"/>
  <c r="B46" i="14"/>
  <c r="D45" i="14" s="1"/>
  <c r="E44" i="14" s="1"/>
  <c r="C45" i="14"/>
  <c r="J37" i="14"/>
  <c r="I38" i="14"/>
  <c r="H40" i="14"/>
  <c r="H39" i="14"/>
  <c r="G40" i="14"/>
  <c r="I39" i="14"/>
  <c r="F41" i="14"/>
  <c r="E42" i="14"/>
  <c r="G41" i="14"/>
  <c r="F42" i="14"/>
  <c r="E43" i="14"/>
  <c r="L32" i="1" l="1"/>
  <c r="M32" i="1" s="1"/>
  <c r="J32" i="1"/>
  <c r="I32" i="1"/>
  <c r="K32" i="1" s="1"/>
  <c r="H33" i="1" s="1"/>
  <c r="I40" i="14"/>
  <c r="G42" i="14"/>
  <c r="J39" i="14"/>
  <c r="H41" i="14"/>
  <c r="B47" i="14"/>
  <c r="D46" i="14" s="1"/>
  <c r="I41" i="14" s="1"/>
  <c r="C46" i="14"/>
  <c r="F43" i="14"/>
  <c r="L33" i="1" l="1"/>
  <c r="M33" i="1" s="1"/>
  <c r="J33" i="1"/>
  <c r="I33" i="1"/>
  <c r="K33" i="1" s="1"/>
  <c r="H34" i="1" s="1"/>
  <c r="B48" i="14"/>
  <c r="D47" i="14" s="1"/>
  <c r="I42" i="14" s="1"/>
  <c r="C47" i="14"/>
  <c r="E45" i="14"/>
  <c r="J40" i="14"/>
  <c r="G43" i="14"/>
  <c r="F44" i="14"/>
  <c r="H42" i="14"/>
  <c r="L34" i="1" l="1"/>
  <c r="M34" i="1" s="1"/>
  <c r="J34" i="1"/>
  <c r="I34" i="1"/>
  <c r="K34" i="1" s="1"/>
  <c r="H35" i="1" s="1"/>
  <c r="E46" i="14"/>
  <c r="B49" i="14"/>
  <c r="D48" i="14" s="1"/>
  <c r="J42" i="14" s="1"/>
  <c r="C48" i="14"/>
  <c r="G44" i="14"/>
  <c r="J41" i="14"/>
  <c r="F45" i="14"/>
  <c r="H43" i="14"/>
  <c r="L35" i="1" l="1"/>
  <c r="M35" i="1" s="1"/>
  <c r="J35" i="1"/>
  <c r="I35" i="1"/>
  <c r="K35" i="1" s="1"/>
  <c r="H36" i="1" s="1"/>
  <c r="B50" i="14"/>
  <c r="D49" i="14" s="1"/>
  <c r="C49" i="14"/>
  <c r="H44" i="14"/>
  <c r="E47" i="14"/>
  <c r="I43" i="14"/>
  <c r="G45" i="14"/>
  <c r="F46" i="14"/>
  <c r="L36" i="1" l="1"/>
  <c r="M36" i="1" s="1"/>
  <c r="J36" i="1"/>
  <c r="I36" i="1"/>
  <c r="K36" i="1" s="1"/>
  <c r="H37" i="1" s="1"/>
  <c r="J43" i="14"/>
  <c r="I44" i="14"/>
  <c r="E48" i="14"/>
  <c r="G46" i="14"/>
  <c r="H45" i="14"/>
  <c r="F47" i="14"/>
  <c r="B51" i="14"/>
  <c r="D50" i="14" s="1"/>
  <c r="C50" i="14"/>
  <c r="L37" i="1" l="1"/>
  <c r="M37" i="1" s="1"/>
  <c r="J37" i="1"/>
  <c r="I37" i="1"/>
  <c r="K37" i="1" s="1"/>
  <c r="H38" i="1" s="1"/>
  <c r="F48" i="14"/>
  <c r="H46" i="14"/>
  <c r="E49" i="14"/>
  <c r="J44" i="14"/>
  <c r="I45" i="14"/>
  <c r="B52" i="14"/>
  <c r="D51" i="14" s="1"/>
  <c r="C51" i="14"/>
  <c r="G47" i="14"/>
  <c r="L38" i="1" l="1"/>
  <c r="M38" i="1" s="1"/>
  <c r="J38" i="1"/>
  <c r="I38" i="1"/>
  <c r="K38" i="1" s="1"/>
  <c r="H39" i="1" s="1"/>
  <c r="J45" i="14"/>
  <c r="I46" i="14"/>
  <c r="G48" i="14"/>
  <c r="E50" i="14"/>
  <c r="F49" i="14"/>
  <c r="H47" i="14"/>
  <c r="B53" i="14"/>
  <c r="D52" i="14" s="1"/>
  <c r="C52" i="14"/>
  <c r="J39" i="1" l="1"/>
  <c r="L39" i="1"/>
  <c r="M39" i="1" s="1"/>
  <c r="I39" i="1"/>
  <c r="K39" i="1" s="1"/>
  <c r="H40" i="1" s="1"/>
  <c r="J46" i="14"/>
  <c r="I47" i="14"/>
  <c r="B54" i="14"/>
  <c r="D53" i="14" s="1"/>
  <c r="C53" i="14"/>
  <c r="F50" i="14"/>
  <c r="E51" i="14"/>
  <c r="G49" i="14"/>
  <c r="H48" i="14"/>
  <c r="L40" i="1" l="1"/>
  <c r="M40" i="1" s="1"/>
  <c r="J40" i="1"/>
  <c r="I40" i="1"/>
  <c r="K40" i="1" s="1"/>
  <c r="H41" i="1" s="1"/>
  <c r="G50" i="14"/>
  <c r="F51" i="14"/>
  <c r="H49" i="14"/>
  <c r="J47" i="14"/>
  <c r="I48" i="14"/>
  <c r="E52" i="14"/>
  <c r="B55" i="14"/>
  <c r="C54" i="14"/>
  <c r="L41" i="1" l="1"/>
  <c r="M41" i="1" s="1"/>
  <c r="J41" i="1"/>
  <c r="I41" i="1"/>
  <c r="K41" i="1" s="1"/>
  <c r="H42" i="1" s="1"/>
  <c r="B56" i="14"/>
  <c r="D55" i="14" s="1"/>
  <c r="C55" i="14"/>
  <c r="D54" i="14"/>
  <c r="L42" i="1" l="1"/>
  <c r="M42" i="1" s="1"/>
  <c r="J42" i="1"/>
  <c r="I42" i="1"/>
  <c r="K42" i="1" s="1"/>
  <c r="H43" i="1" s="1"/>
  <c r="J49" i="14"/>
  <c r="I50" i="14"/>
  <c r="B57" i="14"/>
  <c r="D56" i="14" s="1"/>
  <c r="C56" i="14"/>
  <c r="J48" i="14"/>
  <c r="I49" i="14"/>
  <c r="F52" i="14"/>
  <c r="H50" i="14"/>
  <c r="E53" i="14"/>
  <c r="G51" i="14"/>
  <c r="H51" i="14"/>
  <c r="G52" i="14"/>
  <c r="F53" i="14"/>
  <c r="E54" i="14"/>
  <c r="L43" i="1" l="1"/>
  <c r="M43" i="1" s="1"/>
  <c r="J43" i="1"/>
  <c r="I43" i="1"/>
  <c r="K43" i="1" s="1"/>
  <c r="H44" i="1" s="1"/>
  <c r="J50" i="14"/>
  <c r="F54" i="14"/>
  <c r="H52" i="14"/>
  <c r="I51" i="14"/>
  <c r="E55" i="14"/>
  <c r="G53" i="14"/>
  <c r="B58" i="14"/>
  <c r="D57" i="14" s="1"/>
  <c r="J51" i="14" s="1"/>
  <c r="C57" i="14"/>
  <c r="L44" i="1" l="1"/>
  <c r="M44" i="1" s="1"/>
  <c r="J44" i="1"/>
  <c r="I44" i="1"/>
  <c r="K44" i="1" s="1"/>
  <c r="H45" i="1" s="1"/>
  <c r="E56" i="14"/>
  <c r="H53" i="14"/>
  <c r="F55" i="14"/>
  <c r="I52" i="14"/>
  <c r="B59" i="14"/>
  <c r="D58" i="14" s="1"/>
  <c r="C58" i="14"/>
  <c r="G54" i="14"/>
  <c r="L45" i="1" l="1"/>
  <c r="M45" i="1" s="1"/>
  <c r="J45" i="1"/>
  <c r="I45" i="1"/>
  <c r="K45" i="1" s="1"/>
  <c r="H46" i="1" s="1"/>
  <c r="J52" i="14"/>
  <c r="I53" i="14"/>
  <c r="E57" i="14"/>
  <c r="F56" i="14"/>
  <c r="H54" i="14"/>
  <c r="G55" i="14"/>
  <c r="B60" i="14"/>
  <c r="D59" i="14" s="1"/>
  <c r="J53" i="14" s="1"/>
  <c r="C59" i="14"/>
  <c r="L46" i="1" l="1"/>
  <c r="M46" i="1" s="1"/>
  <c r="J46" i="1"/>
  <c r="I46" i="1"/>
  <c r="K46" i="1" s="1"/>
  <c r="H47" i="1" s="1"/>
  <c r="G56" i="14"/>
  <c r="F57" i="14"/>
  <c r="I54" i="14"/>
  <c r="E58" i="14"/>
  <c r="H55" i="14"/>
  <c r="B61" i="14"/>
  <c r="D60" i="14" s="1"/>
  <c r="C60" i="14"/>
  <c r="L47" i="1" l="1"/>
  <c r="M47" i="1" s="1"/>
  <c r="J47" i="1"/>
  <c r="I47" i="1"/>
  <c r="K47" i="1" s="1"/>
  <c r="H48" i="1" s="1"/>
  <c r="E59" i="14"/>
  <c r="G57" i="14"/>
  <c r="H56" i="14"/>
  <c r="F58" i="14"/>
  <c r="J54" i="14"/>
  <c r="I55" i="14"/>
  <c r="B62" i="14"/>
  <c r="D61" i="14" s="1"/>
  <c r="C61" i="14"/>
  <c r="L48" i="1" l="1"/>
  <c r="M48" i="1" s="1"/>
  <c r="J48" i="1"/>
  <c r="I48" i="1"/>
  <c r="K48" i="1" s="1"/>
  <c r="H49" i="1" s="1"/>
  <c r="J55" i="14"/>
  <c r="I56" i="14"/>
  <c r="F59" i="14"/>
  <c r="E60" i="14"/>
  <c r="G58" i="14"/>
  <c r="H57" i="14"/>
  <c r="B63" i="14"/>
  <c r="C62" i="14"/>
  <c r="L49" i="1" l="1"/>
  <c r="M49" i="1" s="1"/>
  <c r="J49" i="1"/>
  <c r="I49" i="1"/>
  <c r="K49" i="1" s="1"/>
  <c r="H50" i="1" s="1"/>
  <c r="B64" i="14"/>
  <c r="D63" i="14" s="1"/>
  <c r="C63" i="14"/>
  <c r="D62" i="14"/>
  <c r="L50" i="1" l="1"/>
  <c r="M50" i="1" s="1"/>
  <c r="J50" i="1"/>
  <c r="I50" i="1"/>
  <c r="K50" i="1" s="1"/>
  <c r="H51" i="1" s="1"/>
  <c r="B65" i="14"/>
  <c r="D64" i="14" s="1"/>
  <c r="J58" i="14" s="1"/>
  <c r="C64" i="14"/>
  <c r="J56" i="14"/>
  <c r="I57" i="14"/>
  <c r="G59" i="14"/>
  <c r="F60" i="14"/>
  <c r="E61" i="14"/>
  <c r="F61" i="14"/>
  <c r="H59" i="14"/>
  <c r="H58" i="14"/>
  <c r="G60" i="14"/>
  <c r="E62" i="14"/>
  <c r="J57" i="14"/>
  <c r="I58" i="14"/>
  <c r="L51" i="1" l="1"/>
  <c r="M51" i="1" s="1"/>
  <c r="J51" i="1"/>
  <c r="I51" i="1"/>
  <c r="K51" i="1" s="1"/>
  <c r="H52" i="1" s="1"/>
  <c r="H60" i="14"/>
  <c r="E63" i="14"/>
  <c r="G61" i="14"/>
  <c r="B66" i="14"/>
  <c r="D65" i="14" s="1"/>
  <c r="C65" i="14"/>
  <c r="F62" i="14"/>
  <c r="I59" i="14"/>
  <c r="L52" i="1" l="1"/>
  <c r="M52" i="1" s="1"/>
  <c r="J52" i="1"/>
  <c r="I52" i="1"/>
  <c r="K52" i="1" s="1"/>
  <c r="H53" i="1" s="1"/>
  <c r="J59" i="14"/>
  <c r="H61" i="14"/>
  <c r="G62" i="14"/>
  <c r="I60" i="14"/>
  <c r="F63" i="14"/>
  <c r="E64" i="14"/>
  <c r="B67" i="14"/>
  <c r="D66" i="14" s="1"/>
  <c r="J60" i="14" s="1"/>
  <c r="C66" i="14"/>
  <c r="L53" i="1" l="1"/>
  <c r="M53" i="1" s="1"/>
  <c r="J53" i="1"/>
  <c r="I53" i="1"/>
  <c r="K53" i="1" s="1"/>
  <c r="H54" i="1" s="1"/>
  <c r="I61" i="14"/>
  <c r="E65" i="14"/>
  <c r="H62" i="14"/>
  <c r="G63" i="14"/>
  <c r="C67" i="14"/>
  <c r="B68" i="14"/>
  <c r="F64" i="14"/>
  <c r="L54" i="1" l="1"/>
  <c r="M54" i="1" s="1"/>
  <c r="J54" i="1"/>
  <c r="I54" i="1"/>
  <c r="K54" i="1" s="1"/>
  <c r="H55" i="1" s="1"/>
  <c r="C68" i="14"/>
  <c r="B69" i="14"/>
  <c r="D68" i="14" s="1"/>
  <c r="D67" i="14"/>
  <c r="L55" i="1" l="1"/>
  <c r="M55" i="1" s="1"/>
  <c r="J55" i="1"/>
  <c r="I55" i="1"/>
  <c r="K55" i="1" s="1"/>
  <c r="H56" i="1" s="1"/>
  <c r="I63" i="14"/>
  <c r="J62" i="14"/>
  <c r="J61" i="14"/>
  <c r="F66" i="14"/>
  <c r="I62" i="14"/>
  <c r="G65" i="14"/>
  <c r="E67" i="14"/>
  <c r="F65" i="14"/>
  <c r="H63" i="14"/>
  <c r="H64" i="14"/>
  <c r="G64" i="14"/>
  <c r="E66" i="14"/>
  <c r="C69" i="14"/>
  <c r="B70" i="14"/>
  <c r="D69" i="14" s="1"/>
  <c r="L56" i="1" l="1"/>
  <c r="M56" i="1" s="1"/>
  <c r="J56" i="1"/>
  <c r="I56" i="1"/>
  <c r="K56" i="1" s="1"/>
  <c r="H57" i="1" s="1"/>
  <c r="J63" i="14"/>
  <c r="H65" i="14"/>
  <c r="E68" i="14"/>
  <c r="F67" i="14"/>
  <c r="I64" i="14"/>
  <c r="G66" i="14"/>
  <c r="C70" i="14"/>
  <c r="B71" i="14"/>
  <c r="L57" i="1" l="1"/>
  <c r="M57" i="1" s="1"/>
  <c r="J57" i="1"/>
  <c r="I57" i="1"/>
  <c r="K57" i="1" s="1"/>
  <c r="H58" i="1" s="1"/>
  <c r="B72" i="14"/>
  <c r="D71" i="14" s="1"/>
  <c r="C71" i="14"/>
  <c r="D70" i="14"/>
  <c r="L58" i="1" l="1"/>
  <c r="M58" i="1" s="1"/>
  <c r="J58" i="1"/>
  <c r="I58" i="1"/>
  <c r="K58" i="1" s="1"/>
  <c r="H59" i="1" s="1"/>
  <c r="J64" i="14"/>
  <c r="G67" i="14"/>
  <c r="G68" i="14"/>
  <c r="I66" i="14"/>
  <c r="E70" i="14"/>
  <c r="F69" i="14"/>
  <c r="E69" i="14"/>
  <c r="H67" i="14"/>
  <c r="H66" i="14"/>
  <c r="F68" i="14"/>
  <c r="I65" i="14"/>
  <c r="J65" i="14"/>
  <c r="B73" i="14"/>
  <c r="D72" i="14" s="1"/>
  <c r="C72" i="14"/>
  <c r="L59" i="1" l="1"/>
  <c r="M59" i="1" s="1"/>
  <c r="J59" i="1"/>
  <c r="I59" i="1"/>
  <c r="K59" i="1" s="1"/>
  <c r="H60" i="1" s="1"/>
  <c r="I67" i="14"/>
  <c r="B74" i="14"/>
  <c r="D73" i="14" s="1"/>
  <c r="C73" i="14"/>
  <c r="E71" i="14"/>
  <c r="G69" i="14"/>
  <c r="H68" i="14"/>
  <c r="J66" i="14"/>
  <c r="F70" i="14"/>
  <c r="L60" i="1" l="1"/>
  <c r="M60" i="1" s="1"/>
  <c r="J60" i="1"/>
  <c r="I60" i="1"/>
  <c r="K60" i="1" s="1"/>
  <c r="H61" i="1" s="1"/>
  <c r="I68" i="14"/>
  <c r="B75" i="14"/>
  <c r="D74" i="14" s="1"/>
  <c r="J68" i="14" s="1"/>
  <c r="C74" i="14"/>
  <c r="H69" i="14"/>
  <c r="J67" i="14"/>
  <c r="G70" i="14"/>
  <c r="E72" i="14"/>
  <c r="F71" i="14"/>
  <c r="L61" i="1" l="1"/>
  <c r="M61" i="1" s="1"/>
  <c r="J61" i="1"/>
  <c r="I61" i="1"/>
  <c r="K61" i="1" s="1"/>
  <c r="H62" i="1" s="1"/>
  <c r="G71" i="14"/>
  <c r="B76" i="14"/>
  <c r="C75" i="14"/>
  <c r="E73" i="14"/>
  <c r="H70" i="14"/>
  <c r="F72" i="14"/>
  <c r="I69" i="14"/>
  <c r="L62" i="1" l="1"/>
  <c r="M62" i="1" s="1"/>
  <c r="J62" i="1"/>
  <c r="I62" i="1"/>
  <c r="K62" i="1" s="1"/>
  <c r="H63" i="1" s="1"/>
  <c r="B77" i="14"/>
  <c r="D76" i="14" s="1"/>
  <c r="C76" i="14"/>
  <c r="D75" i="14"/>
  <c r="L63" i="1" l="1"/>
  <c r="M63" i="1" s="1"/>
  <c r="J63" i="1"/>
  <c r="I63" i="1"/>
  <c r="K63" i="1" s="1"/>
  <c r="H64" i="1" s="1"/>
  <c r="J69" i="14"/>
  <c r="G73" i="14"/>
  <c r="H72" i="14"/>
  <c r="I70" i="14"/>
  <c r="F73" i="14"/>
  <c r="F74" i="14"/>
  <c r="H71" i="14"/>
  <c r="G72" i="14"/>
  <c r="E74" i="14"/>
  <c r="E75" i="14"/>
  <c r="I71" i="14"/>
  <c r="J70" i="14"/>
  <c r="B78" i="14"/>
  <c r="D77" i="14" s="1"/>
  <c r="J71" i="14" s="1"/>
  <c r="C77" i="14"/>
  <c r="L64" i="1" l="1"/>
  <c r="M64" i="1" s="1"/>
  <c r="J64" i="1"/>
  <c r="I64" i="1"/>
  <c r="K64" i="1" s="1"/>
  <c r="H65" i="1" s="1"/>
  <c r="F75" i="14"/>
  <c r="H73" i="14"/>
  <c r="B79" i="14"/>
  <c r="D78" i="14" s="1"/>
  <c r="J72" i="14" s="1"/>
  <c r="C78" i="14"/>
  <c r="I72" i="14"/>
  <c r="E76" i="14"/>
  <c r="G74" i="14"/>
  <c r="L65" i="1" l="1"/>
  <c r="M65" i="1" s="1"/>
  <c r="J65" i="1"/>
  <c r="I65" i="1"/>
  <c r="K65" i="1" s="1"/>
  <c r="H66" i="1" s="1"/>
  <c r="F76" i="14"/>
  <c r="B80" i="14"/>
  <c r="C79" i="14"/>
  <c r="H74" i="14"/>
  <c r="E77" i="14"/>
  <c r="G75" i="14"/>
  <c r="I73" i="14"/>
  <c r="L66" i="1" l="1"/>
  <c r="M66" i="1" s="1"/>
  <c r="J66" i="1"/>
  <c r="I66" i="1"/>
  <c r="K66" i="1" s="1"/>
  <c r="H67" i="1" s="1"/>
  <c r="B81" i="14"/>
  <c r="D80" i="14" s="1"/>
  <c r="C80" i="14"/>
  <c r="D79" i="14"/>
  <c r="L67" i="1" l="1"/>
  <c r="M67" i="1" s="1"/>
  <c r="J67" i="1"/>
  <c r="I67" i="1"/>
  <c r="K67" i="1" s="1"/>
  <c r="H68" i="1" s="1"/>
  <c r="J73" i="14"/>
  <c r="F77" i="14"/>
  <c r="H76" i="14"/>
  <c r="E78" i="14"/>
  <c r="I75" i="14"/>
  <c r="I74" i="14"/>
  <c r="G77" i="14"/>
  <c r="H75" i="14"/>
  <c r="E79" i="14"/>
  <c r="F78" i="14"/>
  <c r="G76" i="14"/>
  <c r="J74" i="14"/>
  <c r="B82" i="14"/>
  <c r="D81" i="14" s="1"/>
  <c r="I76" i="14" s="1"/>
  <c r="C81" i="14"/>
  <c r="L68" i="1" l="1"/>
  <c r="M68" i="1" s="1"/>
  <c r="J68" i="1"/>
  <c r="I68" i="1"/>
  <c r="K68" i="1" s="1"/>
  <c r="H69" i="1" s="1"/>
  <c r="G78" i="14"/>
  <c r="H77" i="14"/>
  <c r="B83" i="14"/>
  <c r="D82" i="14" s="1"/>
  <c r="J76" i="14" s="1"/>
  <c r="C82" i="14"/>
  <c r="J75" i="14"/>
  <c r="E80" i="14"/>
  <c r="F79" i="14"/>
  <c r="L69" i="1" l="1"/>
  <c r="M69" i="1" s="1"/>
  <c r="J69" i="1"/>
  <c r="I69" i="1"/>
  <c r="K69" i="1" s="1"/>
  <c r="H70" i="1" s="1"/>
  <c r="E81" i="14"/>
  <c r="B84" i="14"/>
  <c r="D83" i="14" s="1"/>
  <c r="J77" i="14" s="1"/>
  <c r="C83" i="14"/>
  <c r="F80" i="14"/>
  <c r="H78" i="14"/>
  <c r="I77" i="14"/>
  <c r="G79" i="14"/>
  <c r="L70" i="1" l="1"/>
  <c r="M70" i="1" s="1"/>
  <c r="J70" i="1"/>
  <c r="I70" i="1"/>
  <c r="K70" i="1" s="1"/>
  <c r="H71" i="1" s="1"/>
  <c r="E82" i="14"/>
  <c r="H79" i="14"/>
  <c r="F81" i="14"/>
  <c r="I78" i="14"/>
  <c r="G80" i="14"/>
  <c r="B85" i="14"/>
  <c r="D84" i="14" s="1"/>
  <c r="J78" i="14" s="1"/>
  <c r="C84" i="14"/>
  <c r="L71" i="1" l="1"/>
  <c r="M71" i="1" s="1"/>
  <c r="J71" i="1"/>
  <c r="I71" i="1"/>
  <c r="K71" i="1" s="1"/>
  <c r="H72" i="1" s="1"/>
  <c r="B86" i="14"/>
  <c r="D85" i="14" s="1"/>
  <c r="C85" i="14"/>
  <c r="E83" i="14"/>
  <c r="I79" i="14"/>
  <c r="F82" i="14"/>
  <c r="H80" i="14"/>
  <c r="G81" i="14"/>
  <c r="L72" i="1" l="1"/>
  <c r="M72" i="1" s="1"/>
  <c r="J72" i="1"/>
  <c r="I72" i="1"/>
  <c r="K72" i="1" s="1"/>
  <c r="H73" i="1" s="1"/>
  <c r="G82" i="14"/>
  <c r="E84" i="14"/>
  <c r="F83" i="14"/>
  <c r="I80" i="14"/>
  <c r="J79" i="14"/>
  <c r="H81" i="14"/>
  <c r="B87" i="14"/>
  <c r="D86" i="14" s="1"/>
  <c r="C86" i="14"/>
  <c r="L73" i="1" l="1"/>
  <c r="M73" i="1" s="1"/>
  <c r="J73" i="1"/>
  <c r="I73" i="1"/>
  <c r="K73" i="1" s="1"/>
  <c r="H74" i="1" s="1"/>
  <c r="F84" i="14"/>
  <c r="E85" i="14"/>
  <c r="H82" i="14"/>
  <c r="J80" i="14"/>
  <c r="I81" i="14"/>
  <c r="G83" i="14"/>
  <c r="B88" i="14"/>
  <c r="D87" i="14" s="1"/>
  <c r="C87" i="14"/>
  <c r="L74" i="1" l="1"/>
  <c r="M74" i="1" s="1"/>
  <c r="J74" i="1"/>
  <c r="I74" i="1"/>
  <c r="K74" i="1" s="1"/>
  <c r="H75" i="1" s="1"/>
  <c r="G84" i="14"/>
  <c r="B89" i="14"/>
  <c r="D88" i="14" s="1"/>
  <c r="C88" i="14"/>
  <c r="J81" i="14"/>
  <c r="I82" i="14"/>
  <c r="E86" i="14"/>
  <c r="F85" i="14"/>
  <c r="H83" i="14"/>
  <c r="L75" i="1" l="1"/>
  <c r="M75" i="1" s="1"/>
  <c r="J75" i="1"/>
  <c r="I75" i="1"/>
  <c r="K75" i="1" s="1"/>
  <c r="H76" i="1" s="1"/>
  <c r="G85" i="14"/>
  <c r="E87" i="14"/>
  <c r="H84" i="14"/>
  <c r="F86" i="14"/>
  <c r="J82" i="14"/>
  <c r="I83" i="14"/>
  <c r="B90" i="14"/>
  <c r="D89" i="14" s="1"/>
  <c r="C89" i="14"/>
  <c r="L76" i="1" l="1"/>
  <c r="M76" i="1" s="1"/>
  <c r="J76" i="1"/>
  <c r="I76" i="1"/>
  <c r="K76" i="1" s="1"/>
  <c r="H77" i="1" s="1"/>
  <c r="G86" i="14"/>
  <c r="J83" i="14"/>
  <c r="I84" i="14"/>
  <c r="H85" i="14"/>
  <c r="B91" i="14"/>
  <c r="D90" i="14" s="1"/>
  <c r="C90" i="14"/>
  <c r="E88" i="14"/>
  <c r="F87" i="14"/>
  <c r="L77" i="1" l="1"/>
  <c r="M77" i="1" s="1"/>
  <c r="J77" i="1"/>
  <c r="I77" i="1"/>
  <c r="K77" i="1" s="1"/>
  <c r="H78" i="1" s="1"/>
  <c r="I85" i="14"/>
  <c r="J84" i="14"/>
  <c r="B92" i="14"/>
  <c r="D91" i="14" s="1"/>
  <c r="C91" i="14"/>
  <c r="E89" i="14"/>
  <c r="G87" i="14"/>
  <c r="H86" i="14"/>
  <c r="F88" i="14"/>
  <c r="L78" i="1" l="1"/>
  <c r="M78" i="1" s="1"/>
  <c r="J78" i="1"/>
  <c r="I78" i="1"/>
  <c r="K78" i="1" s="1"/>
  <c r="H79" i="1" s="1"/>
  <c r="E90" i="14"/>
  <c r="J85" i="14"/>
  <c r="I86" i="14"/>
  <c r="G88" i="14"/>
  <c r="B93" i="14"/>
  <c r="D92" i="14" s="1"/>
  <c r="C92" i="14"/>
  <c r="F89" i="14"/>
  <c r="H87" i="14"/>
  <c r="L79" i="1" l="1"/>
  <c r="M79" i="1" s="1"/>
  <c r="J79" i="1"/>
  <c r="I79" i="1"/>
  <c r="K79" i="1" s="1"/>
  <c r="H80" i="1" s="1"/>
  <c r="J86" i="14"/>
  <c r="I87" i="14"/>
  <c r="B94" i="14"/>
  <c r="D93" i="14" s="1"/>
  <c r="C93" i="14"/>
  <c r="H88" i="14"/>
  <c r="G89" i="14"/>
  <c r="E91" i="14"/>
  <c r="F90" i="14"/>
  <c r="L80" i="1" l="1"/>
  <c r="M80" i="1" s="1"/>
  <c r="J80" i="1"/>
  <c r="I80" i="1"/>
  <c r="K80" i="1" s="1"/>
  <c r="H81" i="1" s="1"/>
  <c r="J87" i="14"/>
  <c r="I88" i="14"/>
  <c r="G90" i="14"/>
  <c r="E92" i="14"/>
  <c r="F91" i="14"/>
  <c r="H89" i="14"/>
  <c r="B95" i="14"/>
  <c r="D94" i="14" s="1"/>
  <c r="C94" i="14"/>
  <c r="L81" i="1" l="1"/>
  <c r="M81" i="1" s="1"/>
  <c r="J81" i="1"/>
  <c r="I81" i="1"/>
  <c r="K81" i="1" s="1"/>
  <c r="H82" i="1" s="1"/>
  <c r="E93" i="14"/>
  <c r="G91" i="14"/>
  <c r="J88" i="14"/>
  <c r="I89" i="14"/>
  <c r="H90" i="14"/>
  <c r="B96" i="14"/>
  <c r="D95" i="14" s="1"/>
  <c r="G92" i="14" s="1"/>
  <c r="C95" i="14"/>
  <c r="F92" i="14"/>
  <c r="L82" i="1" l="1"/>
  <c r="M82" i="1" s="1"/>
  <c r="J82" i="1"/>
  <c r="I82" i="1"/>
  <c r="K82" i="1" s="1"/>
  <c r="H83" i="1" s="1"/>
  <c r="B97" i="14"/>
  <c r="D96" i="14" s="1"/>
  <c r="C96" i="14"/>
  <c r="J89" i="14"/>
  <c r="I90" i="14"/>
  <c r="E94" i="14"/>
  <c r="H91" i="14"/>
  <c r="F93" i="14"/>
  <c r="L83" i="1" l="1"/>
  <c r="M83" i="1" s="1"/>
  <c r="J83" i="1"/>
  <c r="I83" i="1"/>
  <c r="K83" i="1" s="1"/>
  <c r="H84" i="1" s="1"/>
  <c r="J90" i="14"/>
  <c r="I91" i="14"/>
  <c r="C97" i="14"/>
  <c r="B98" i="14"/>
  <c r="G93" i="14"/>
  <c r="H92" i="14"/>
  <c r="E95" i="14"/>
  <c r="F94" i="14"/>
  <c r="L84" i="1" l="1"/>
  <c r="M84" i="1" s="1"/>
  <c r="J84" i="1"/>
  <c r="I84" i="1"/>
  <c r="K84" i="1" s="1"/>
  <c r="H85" i="1" s="1"/>
  <c r="B99" i="14"/>
  <c r="C98" i="14"/>
  <c r="D97" i="14"/>
  <c r="L85" i="1" l="1"/>
  <c r="M85" i="1" s="1"/>
  <c r="J85" i="1"/>
  <c r="I85" i="1"/>
  <c r="K85" i="1" s="1"/>
  <c r="H86" i="1" s="1"/>
  <c r="J91" i="14"/>
  <c r="I92" i="14"/>
  <c r="F95" i="14"/>
  <c r="H93" i="14"/>
  <c r="E96" i="14"/>
  <c r="G94" i="14"/>
  <c r="B100" i="14"/>
  <c r="C99" i="14"/>
  <c r="D98" i="14"/>
  <c r="L86" i="1" l="1"/>
  <c r="M86" i="1" s="1"/>
  <c r="J86" i="1"/>
  <c r="I86" i="1"/>
  <c r="K86" i="1" s="1"/>
  <c r="H87" i="1" s="1"/>
  <c r="H94" i="14"/>
  <c r="E97" i="14"/>
  <c r="I93" i="14"/>
  <c r="J92" i="14"/>
  <c r="G95" i="14"/>
  <c r="C100" i="14"/>
  <c r="B101" i="14"/>
  <c r="F96" i="14"/>
  <c r="D99" i="14"/>
  <c r="L87" i="1" l="1"/>
  <c r="M87" i="1" s="1"/>
  <c r="J87" i="1"/>
  <c r="I87" i="1"/>
  <c r="K87" i="1" s="1"/>
  <c r="H88" i="1" s="1"/>
  <c r="F97" i="14"/>
  <c r="E98" i="14"/>
  <c r="B102" i="14"/>
  <c r="C101" i="14"/>
  <c r="G96" i="14"/>
  <c r="H95" i="14"/>
  <c r="D100" i="14"/>
  <c r="J93" i="14"/>
  <c r="I94" i="14"/>
  <c r="L88" i="1" l="1"/>
  <c r="M88" i="1" s="1"/>
  <c r="J88" i="1"/>
  <c r="I88" i="1"/>
  <c r="K88" i="1" s="1"/>
  <c r="H89" i="1" s="1"/>
  <c r="B103" i="14"/>
  <c r="D102" i="14" s="1"/>
  <c r="C102" i="14"/>
  <c r="J94" i="14"/>
  <c r="I95" i="14"/>
  <c r="H96" i="14"/>
  <c r="G97" i="14"/>
  <c r="E99" i="14"/>
  <c r="D101" i="14"/>
  <c r="F98" i="14"/>
  <c r="L89" i="1" l="1"/>
  <c r="M89" i="1" s="1"/>
  <c r="J89" i="1"/>
  <c r="I89" i="1"/>
  <c r="K89" i="1" s="1"/>
  <c r="H90" i="1" s="1"/>
  <c r="G98" i="14"/>
  <c r="I97" i="14"/>
  <c r="H98" i="14"/>
  <c r="J96" i="14"/>
  <c r="B104" i="14"/>
  <c r="D103" i="14" s="1"/>
  <c r="C103" i="14"/>
  <c r="J95" i="14"/>
  <c r="I96" i="14"/>
  <c r="E101" i="14"/>
  <c r="H97" i="14"/>
  <c r="E100" i="14"/>
  <c r="G99" i="14"/>
  <c r="F99" i="14"/>
  <c r="F100" i="14"/>
  <c r="L90" i="1" l="1"/>
  <c r="M90" i="1" s="1"/>
  <c r="J90" i="1"/>
  <c r="I90" i="1"/>
  <c r="K90" i="1" s="1"/>
  <c r="H91" i="1" s="1"/>
  <c r="E102" i="14"/>
  <c r="F101" i="14"/>
  <c r="I98" i="14"/>
  <c r="J97" i="14"/>
  <c r="G100" i="14"/>
  <c r="H99" i="14"/>
  <c r="B105" i="14"/>
  <c r="D104" i="14" s="1"/>
  <c r="J98" i="14" s="1"/>
  <c r="C104" i="14"/>
  <c r="L91" i="1" l="1"/>
  <c r="M91" i="1" s="1"/>
  <c r="J91" i="1"/>
  <c r="I91" i="1"/>
  <c r="K91" i="1" s="1"/>
  <c r="H92" i="1" s="1"/>
  <c r="H100" i="14"/>
  <c r="B106" i="14"/>
  <c r="D105" i="14" s="1"/>
  <c r="C105" i="14"/>
  <c r="G101" i="14"/>
  <c r="E103" i="14"/>
  <c r="F102" i="14"/>
  <c r="I99" i="14"/>
  <c r="L92" i="1" l="1"/>
  <c r="M92" i="1" s="1"/>
  <c r="J92" i="1"/>
  <c r="I92" i="1"/>
  <c r="K92" i="1" s="1"/>
  <c r="H93" i="1" s="1"/>
  <c r="J99" i="14"/>
  <c r="I100" i="14"/>
  <c r="B107" i="14"/>
  <c r="D106" i="14" s="1"/>
  <c r="J100" i="14" s="1"/>
  <c r="C106" i="14"/>
  <c r="H101" i="14"/>
  <c r="E104" i="14"/>
  <c r="F103" i="14"/>
  <c r="G102" i="14"/>
  <c r="L93" i="1" l="1"/>
  <c r="M93" i="1" s="1"/>
  <c r="J93" i="1"/>
  <c r="I93" i="1"/>
  <c r="K93" i="1" s="1"/>
  <c r="H94" i="1" s="1"/>
  <c r="H102" i="14"/>
  <c r="F104" i="14"/>
  <c r="G103" i="14"/>
  <c r="I101" i="14"/>
  <c r="B108" i="14"/>
  <c r="D107" i="14" s="1"/>
  <c r="C107" i="14"/>
  <c r="E105" i="14"/>
  <c r="L94" i="1" l="1"/>
  <c r="M94" i="1" s="1"/>
  <c r="J94" i="1"/>
  <c r="I94" i="1"/>
  <c r="K94" i="1" s="1"/>
  <c r="H95" i="1" s="1"/>
  <c r="H103" i="14"/>
  <c r="E106" i="14"/>
  <c r="I102" i="14"/>
  <c r="J101" i="14"/>
  <c r="F105" i="14"/>
  <c r="G104" i="14"/>
  <c r="B109" i="14"/>
  <c r="D108" i="14" s="1"/>
  <c r="C108" i="14"/>
  <c r="L95" i="1" l="1"/>
  <c r="M95" i="1" s="1"/>
  <c r="J95" i="1"/>
  <c r="I95" i="1"/>
  <c r="K95" i="1" s="1"/>
  <c r="H96" i="1" s="1"/>
  <c r="J102" i="14"/>
  <c r="I103" i="14"/>
  <c r="G105" i="14"/>
  <c r="B110" i="14"/>
  <c r="C109" i="14"/>
  <c r="E107" i="14"/>
  <c r="H104" i="14"/>
  <c r="F106" i="14"/>
  <c r="L96" i="1" l="1"/>
  <c r="M96" i="1" s="1"/>
  <c r="J96" i="1"/>
  <c r="I96" i="1"/>
  <c r="K96" i="1" s="1"/>
  <c r="H97" i="1" s="1"/>
  <c r="B111" i="14"/>
  <c r="D110" i="14" s="1"/>
  <c r="C110" i="14"/>
  <c r="D109" i="14"/>
  <c r="L97" i="1" l="1"/>
  <c r="M97" i="1" s="1"/>
  <c r="J97" i="1"/>
  <c r="I97" i="1"/>
  <c r="K97" i="1" s="1"/>
  <c r="H98" i="1" s="1"/>
  <c r="J103" i="14"/>
  <c r="I104" i="14"/>
  <c r="G106" i="14"/>
  <c r="F107" i="14"/>
  <c r="F108" i="14"/>
  <c r="E108" i="14"/>
  <c r="E109" i="14"/>
  <c r="H105" i="14"/>
  <c r="G107" i="14"/>
  <c r="J104" i="14"/>
  <c r="I105" i="14"/>
  <c r="H106" i="14"/>
  <c r="B112" i="14"/>
  <c r="D111" i="14" s="1"/>
  <c r="C111" i="14"/>
  <c r="L98" i="1" l="1"/>
  <c r="M98" i="1" s="1"/>
  <c r="J98" i="1"/>
  <c r="I98" i="1"/>
  <c r="K98" i="1" s="1"/>
  <c r="H99" i="1" s="1"/>
  <c r="J105" i="14"/>
  <c r="H107" i="14"/>
  <c r="B113" i="14"/>
  <c r="D112" i="14" s="1"/>
  <c r="J106" i="14" s="1"/>
  <c r="J112" i="14"/>
  <c r="C112" i="14"/>
  <c r="I106" i="14"/>
  <c r="E110" i="14"/>
  <c r="G108" i="14"/>
  <c r="F109" i="14"/>
  <c r="L99" i="1" l="1"/>
  <c r="M99" i="1" s="1"/>
  <c r="J99" i="1"/>
  <c r="I99" i="1"/>
  <c r="K99" i="1" s="1"/>
  <c r="H100" i="1" s="1"/>
  <c r="G109" i="14"/>
  <c r="I107" i="14"/>
  <c r="F110" i="14"/>
  <c r="B114" i="14"/>
  <c r="D113" i="14" s="1"/>
  <c r="J113" i="14"/>
  <c r="I113" i="14"/>
  <c r="C113" i="14"/>
  <c r="H108" i="14"/>
  <c r="E111" i="14"/>
  <c r="L100" i="1" l="1"/>
  <c r="M100" i="1" s="1"/>
  <c r="J100" i="1"/>
  <c r="I100" i="1"/>
  <c r="K100" i="1" s="1"/>
  <c r="H101" i="1" s="1"/>
  <c r="J107" i="14"/>
  <c r="F111" i="14"/>
  <c r="I108" i="14"/>
  <c r="H109" i="14"/>
  <c r="G110" i="14"/>
  <c r="B115" i="14"/>
  <c r="D114" i="14" s="1"/>
  <c r="J108" i="14" s="1"/>
  <c r="I114" i="14"/>
  <c r="J114" i="14"/>
  <c r="H114" i="14"/>
  <c r="C114" i="14"/>
  <c r="E112" i="14"/>
  <c r="L101" i="1" l="1"/>
  <c r="M101" i="1" s="1"/>
  <c r="J101" i="1"/>
  <c r="I101" i="1"/>
  <c r="K101" i="1" s="1"/>
  <c r="H102" i="1" s="1"/>
  <c r="B116" i="14"/>
  <c r="D115" i="14" s="1"/>
  <c r="J115" i="14"/>
  <c r="I115" i="14"/>
  <c r="H115" i="14"/>
  <c r="G115" i="14"/>
  <c r="C115" i="14"/>
  <c r="G111" i="14"/>
  <c r="E113" i="14"/>
  <c r="F112" i="14"/>
  <c r="H110" i="14"/>
  <c r="I109" i="14"/>
  <c r="L102" i="1" l="1"/>
  <c r="M102" i="1" s="1"/>
  <c r="J102" i="1"/>
  <c r="I102" i="1"/>
  <c r="K102" i="1" s="1"/>
  <c r="H103" i="1" s="1"/>
  <c r="I110" i="14"/>
  <c r="J109" i="14"/>
  <c r="F113" i="14"/>
  <c r="H111" i="14"/>
  <c r="G112" i="14"/>
  <c r="E114" i="14"/>
  <c r="B117" i="14"/>
  <c r="D116" i="14" s="1"/>
  <c r="J116" i="14"/>
  <c r="I116" i="14"/>
  <c r="H116" i="14"/>
  <c r="F116" i="14"/>
  <c r="G116" i="14"/>
  <c r="C116" i="14"/>
  <c r="L103" i="1" l="1"/>
  <c r="M103" i="1" s="1"/>
  <c r="J103" i="1"/>
  <c r="I103" i="1"/>
  <c r="K103" i="1" s="1"/>
  <c r="H104" i="1" s="1"/>
  <c r="J110" i="14"/>
  <c r="I111" i="14"/>
  <c r="B118" i="14"/>
  <c r="D117" i="14" s="1"/>
  <c r="J111" i="14" s="1"/>
  <c r="J117" i="14"/>
  <c r="I117" i="14"/>
  <c r="H117" i="14"/>
  <c r="F117" i="14"/>
  <c r="G117" i="14"/>
  <c r="E117" i="14"/>
  <c r="C117" i="14"/>
  <c r="G113" i="14"/>
  <c r="H112" i="14"/>
  <c r="E115" i="14"/>
  <c r="F114" i="14"/>
  <c r="L104" i="1" l="1"/>
  <c r="M104" i="1" s="1"/>
  <c r="J104" i="1"/>
  <c r="I104" i="1"/>
  <c r="K104" i="1" s="1"/>
  <c r="H105" i="1" s="1"/>
  <c r="H113" i="14"/>
  <c r="I112" i="14"/>
  <c r="F115" i="14"/>
  <c r="E116" i="14"/>
  <c r="G114" i="14"/>
  <c r="B119" i="14"/>
  <c r="J118" i="14"/>
  <c r="I118" i="14"/>
  <c r="G118" i="14"/>
  <c r="H118" i="14"/>
  <c r="F118" i="14"/>
  <c r="E118" i="14"/>
  <c r="D118" i="14"/>
  <c r="C118" i="14"/>
  <c r="L105" i="1" l="1"/>
  <c r="M105" i="1" s="1"/>
  <c r="J105" i="1"/>
  <c r="I105" i="1"/>
  <c r="K105" i="1" s="1"/>
  <c r="H106" i="1" s="1"/>
  <c r="B120" i="14"/>
  <c r="J119" i="14"/>
  <c r="I119" i="14"/>
  <c r="H119" i="14"/>
  <c r="G119" i="14"/>
  <c r="F119" i="14"/>
  <c r="D119" i="14"/>
  <c r="E119" i="14"/>
  <c r="C119" i="14"/>
  <c r="L106" i="1" l="1"/>
  <c r="M106" i="1" s="1"/>
  <c r="I106" i="1"/>
  <c r="K106" i="1" s="1"/>
  <c r="H107" i="1" s="1"/>
  <c r="J106" i="1"/>
  <c r="B121" i="14"/>
  <c r="I120" i="14"/>
  <c r="J120" i="14"/>
  <c r="H120" i="14"/>
  <c r="F120" i="14"/>
  <c r="G120" i="14"/>
  <c r="D120" i="14"/>
  <c r="E120" i="14"/>
  <c r="C120" i="14"/>
  <c r="L107" i="1" l="1"/>
  <c r="M107" i="1" s="1"/>
  <c r="J107" i="1"/>
  <c r="I107" i="1"/>
  <c r="K107" i="1" s="1"/>
  <c r="H108" i="1" s="1"/>
  <c r="B122" i="14"/>
  <c r="J121" i="14"/>
  <c r="I121" i="14"/>
  <c r="H121" i="14"/>
  <c r="E121" i="14"/>
  <c r="G121" i="14"/>
  <c r="F121" i="14"/>
  <c r="D121" i="14"/>
  <c r="C121" i="14"/>
  <c r="L108" i="1" l="1"/>
  <c r="M108" i="1" s="1"/>
  <c r="J108" i="1"/>
  <c r="I108" i="1"/>
  <c r="K108" i="1" s="1"/>
  <c r="H109" i="1" s="1"/>
  <c r="B123" i="14"/>
  <c r="J122" i="14"/>
  <c r="I122" i="14"/>
  <c r="H122" i="14"/>
  <c r="G122" i="14"/>
  <c r="F122" i="14"/>
  <c r="E122" i="14"/>
  <c r="D122" i="14"/>
  <c r="C122" i="14"/>
  <c r="L109" i="1" l="1"/>
  <c r="M109" i="1" s="1"/>
  <c r="J109" i="1"/>
  <c r="I109" i="1"/>
  <c r="K109" i="1" s="1"/>
  <c r="H110" i="1" s="1"/>
  <c r="B124" i="14"/>
  <c r="J123" i="14"/>
  <c r="I123" i="14"/>
  <c r="H123" i="14"/>
  <c r="F123" i="14"/>
  <c r="G123" i="14"/>
  <c r="E123" i="14"/>
  <c r="D123" i="14"/>
  <c r="C123" i="14"/>
  <c r="L110" i="1" l="1"/>
  <c r="M110" i="1" s="1"/>
  <c r="J110" i="1"/>
  <c r="I110" i="1"/>
  <c r="K110" i="1" s="1"/>
  <c r="H111" i="1" s="1"/>
  <c r="B125" i="14"/>
  <c r="J124" i="14"/>
  <c r="I124" i="14"/>
  <c r="H124" i="14"/>
  <c r="G124" i="14"/>
  <c r="F124" i="14"/>
  <c r="D124" i="14"/>
  <c r="E124" i="14"/>
  <c r="C124" i="14"/>
  <c r="I111" i="1" l="1"/>
  <c r="K111" i="1" s="1"/>
  <c r="H112" i="1" s="1"/>
  <c r="L111" i="1"/>
  <c r="M111" i="1" s="1"/>
  <c r="J111" i="1"/>
  <c r="B126" i="14"/>
  <c r="J125" i="14"/>
  <c r="I125" i="14"/>
  <c r="H125" i="14"/>
  <c r="F125" i="14"/>
  <c r="G125" i="14"/>
  <c r="E125" i="14"/>
  <c r="D125" i="14"/>
  <c r="C125" i="14"/>
  <c r="L112" i="1" l="1"/>
  <c r="M112" i="1" s="1"/>
  <c r="J112" i="1"/>
  <c r="I112" i="1"/>
  <c r="K112" i="1" s="1"/>
  <c r="H113" i="1" s="1"/>
  <c r="B127" i="14"/>
  <c r="J126" i="14"/>
  <c r="H126" i="14"/>
  <c r="I126" i="14"/>
  <c r="F126" i="14"/>
  <c r="G126" i="14"/>
  <c r="D126" i="14"/>
  <c r="C126" i="14"/>
  <c r="E126" i="14"/>
  <c r="L113" i="1" l="1"/>
  <c r="M113" i="1" s="1"/>
  <c r="J113" i="1"/>
  <c r="I113" i="1"/>
  <c r="K113" i="1" s="1"/>
  <c r="H114" i="1" s="1"/>
  <c r="B128" i="14"/>
  <c r="J127" i="14"/>
  <c r="I127" i="14"/>
  <c r="H127" i="14"/>
  <c r="E127" i="14"/>
  <c r="G127" i="14"/>
  <c r="F127" i="14"/>
  <c r="D127" i="14"/>
  <c r="C127" i="14"/>
  <c r="L114" i="1" l="1"/>
  <c r="M114" i="1" s="1"/>
  <c r="J114" i="1"/>
  <c r="I114" i="1"/>
  <c r="K114" i="1" s="1"/>
  <c r="H115" i="1" s="1"/>
  <c r="B129" i="14"/>
  <c r="J128" i="14"/>
  <c r="I128" i="14"/>
  <c r="H128" i="14"/>
  <c r="G128" i="14"/>
  <c r="F128" i="14"/>
  <c r="E128" i="14"/>
  <c r="D128" i="14"/>
  <c r="C128" i="14"/>
  <c r="L115" i="1" l="1"/>
  <c r="M115" i="1" s="1"/>
  <c r="J115" i="1"/>
  <c r="I115" i="1"/>
  <c r="K115" i="1" s="1"/>
  <c r="H116" i="1" s="1"/>
  <c r="B130" i="14"/>
  <c r="J129" i="14"/>
  <c r="I129" i="14"/>
  <c r="H129" i="14"/>
  <c r="G129" i="14"/>
  <c r="F129" i="14"/>
  <c r="E129" i="14"/>
  <c r="D129" i="14"/>
  <c r="C129" i="14"/>
  <c r="L116" i="1" l="1"/>
  <c r="M116" i="1" s="1"/>
  <c r="I116" i="1"/>
  <c r="K116" i="1" s="1"/>
  <c r="H117" i="1" s="1"/>
  <c r="J116" i="1"/>
  <c r="B131" i="14"/>
  <c r="J130" i="14"/>
  <c r="I130" i="14"/>
  <c r="H130" i="14"/>
  <c r="G130" i="14"/>
  <c r="F130" i="14"/>
  <c r="E130" i="14"/>
  <c r="D130" i="14"/>
  <c r="C130" i="14"/>
  <c r="L117" i="1" l="1"/>
  <c r="M117" i="1" s="1"/>
  <c r="J117" i="1"/>
  <c r="I117" i="1"/>
  <c r="K117" i="1" s="1"/>
  <c r="H118" i="1" s="1"/>
  <c r="B132" i="14"/>
  <c r="J131" i="14"/>
  <c r="H131" i="14"/>
  <c r="I131" i="14"/>
  <c r="G131" i="14"/>
  <c r="E131" i="14"/>
  <c r="F131" i="14"/>
  <c r="D131" i="14"/>
  <c r="C131" i="14"/>
  <c r="L118" i="1" l="1"/>
  <c r="M118" i="1" s="1"/>
  <c r="J118" i="1"/>
  <c r="I118" i="1"/>
  <c r="K118" i="1" s="1"/>
  <c r="H119" i="1" s="1"/>
  <c r="B133" i="14"/>
  <c r="J132" i="14"/>
  <c r="I132" i="14"/>
  <c r="H132" i="14"/>
  <c r="F132" i="14"/>
  <c r="G132" i="14"/>
  <c r="D132" i="14"/>
  <c r="E132" i="14"/>
  <c r="C132" i="14"/>
  <c r="L119" i="1" l="1"/>
  <c r="M119" i="1" s="1"/>
  <c r="I119" i="1"/>
  <c r="K119" i="1" s="1"/>
  <c r="H120" i="1" s="1"/>
  <c r="J119" i="1"/>
  <c r="B134" i="14"/>
  <c r="J133" i="14"/>
  <c r="I133" i="14"/>
  <c r="H133" i="14"/>
  <c r="E133" i="14"/>
  <c r="G133" i="14"/>
  <c r="F133" i="14"/>
  <c r="D133" i="14"/>
  <c r="C133" i="14"/>
  <c r="L120" i="1" l="1"/>
  <c r="M120" i="1" s="1"/>
  <c r="J120" i="1"/>
  <c r="I120" i="1"/>
  <c r="K120" i="1" s="1"/>
  <c r="H121" i="1" s="1"/>
  <c r="B135" i="14"/>
  <c r="J134" i="14"/>
  <c r="I134" i="14"/>
  <c r="H134" i="14"/>
  <c r="F134" i="14"/>
  <c r="G134" i="14"/>
  <c r="E134" i="14"/>
  <c r="D134" i="14"/>
  <c r="C134" i="14"/>
  <c r="L121" i="1" l="1"/>
  <c r="M121" i="1" s="1"/>
  <c r="J121" i="1"/>
  <c r="I121" i="1"/>
  <c r="K121" i="1" s="1"/>
  <c r="H122" i="1" s="1"/>
  <c r="J135" i="14"/>
  <c r="I135" i="14"/>
  <c r="H135" i="14"/>
  <c r="G135" i="14"/>
  <c r="F135" i="14"/>
  <c r="E135" i="14"/>
  <c r="D135" i="14"/>
  <c r="B136" i="14"/>
  <c r="C135" i="14"/>
  <c r="L122" i="1" l="1"/>
  <c r="M122" i="1" s="1"/>
  <c r="J122" i="1"/>
  <c r="I122" i="1"/>
  <c r="K122" i="1" s="1"/>
  <c r="H123" i="1" s="1"/>
  <c r="B137" i="14"/>
  <c r="J136" i="14"/>
  <c r="I136" i="14"/>
  <c r="G136" i="14"/>
  <c r="H136" i="14"/>
  <c r="F136" i="14"/>
  <c r="D136" i="14"/>
  <c r="E136" i="14"/>
  <c r="C136" i="14"/>
  <c r="L123" i="1" l="1"/>
  <c r="M123" i="1" s="1"/>
  <c r="J123" i="1"/>
  <c r="I123" i="1"/>
  <c r="K123" i="1" s="1"/>
  <c r="H124" i="1" s="1"/>
  <c r="B138" i="14"/>
  <c r="J137" i="14"/>
  <c r="I137" i="14"/>
  <c r="H137" i="14"/>
  <c r="G137" i="14"/>
  <c r="F137" i="14"/>
  <c r="E137" i="14"/>
  <c r="D137" i="14"/>
  <c r="C137" i="14"/>
  <c r="L124" i="1" l="1"/>
  <c r="M124" i="1" s="1"/>
  <c r="J124" i="1"/>
  <c r="I124" i="1"/>
  <c r="K124" i="1" s="1"/>
  <c r="H125" i="1" s="1"/>
  <c r="B139" i="14"/>
  <c r="J138" i="14"/>
  <c r="H138" i="14"/>
  <c r="I138" i="14"/>
  <c r="F138" i="14"/>
  <c r="G138" i="14"/>
  <c r="D138" i="14"/>
  <c r="E138" i="14"/>
  <c r="C138" i="14"/>
  <c r="L125" i="1" l="1"/>
  <c r="M125" i="1" s="1"/>
  <c r="J125" i="1"/>
  <c r="I125" i="1"/>
  <c r="K125" i="1" s="1"/>
  <c r="H126" i="1" s="1"/>
  <c r="B140" i="14"/>
  <c r="I139" i="14"/>
  <c r="H139" i="14"/>
  <c r="J139" i="14"/>
  <c r="E139" i="14"/>
  <c r="G139" i="14"/>
  <c r="F139" i="14"/>
  <c r="D139" i="14"/>
  <c r="C139" i="14"/>
  <c r="L126" i="1" l="1"/>
  <c r="M126" i="1" s="1"/>
  <c r="J126" i="1"/>
  <c r="I126" i="1"/>
  <c r="K126" i="1" s="1"/>
  <c r="H127" i="1" s="1"/>
  <c r="J140" i="14"/>
  <c r="I140" i="14"/>
  <c r="H140" i="14"/>
  <c r="G140" i="14"/>
  <c r="E140" i="14"/>
  <c r="F140" i="14"/>
  <c r="D140" i="14"/>
  <c r="C140" i="14"/>
  <c r="B141" i="14"/>
  <c r="L127" i="1" l="1"/>
  <c r="M127" i="1" s="1"/>
  <c r="J127" i="1"/>
  <c r="I127" i="1"/>
  <c r="K127" i="1" s="1"/>
  <c r="H128" i="1" s="1"/>
  <c r="J141" i="14"/>
  <c r="I141" i="14"/>
  <c r="H141" i="14"/>
  <c r="G141" i="14"/>
  <c r="F141" i="14"/>
  <c r="D141" i="14"/>
  <c r="E141" i="14"/>
  <c r="C141" i="14"/>
  <c r="B142" i="14"/>
  <c r="L128" i="1" l="1"/>
  <c r="M128" i="1" s="1"/>
  <c r="J128" i="1"/>
  <c r="I128" i="1"/>
  <c r="K128" i="1" s="1"/>
  <c r="H129" i="1" s="1"/>
  <c r="B143" i="14"/>
  <c r="J142" i="14"/>
  <c r="I142" i="14"/>
  <c r="G142" i="14"/>
  <c r="H142" i="14"/>
  <c r="E142" i="14"/>
  <c r="F142" i="14"/>
  <c r="D142" i="14"/>
  <c r="C142" i="14"/>
  <c r="L129" i="1" l="1"/>
  <c r="M129" i="1" s="1"/>
  <c r="J129" i="1"/>
  <c r="I129" i="1"/>
  <c r="K129" i="1" s="1"/>
  <c r="H130" i="1" s="1"/>
  <c r="B144" i="14"/>
  <c r="J143" i="14"/>
  <c r="I143" i="14"/>
  <c r="H143" i="14"/>
  <c r="G143" i="14"/>
  <c r="F143" i="14"/>
  <c r="E143" i="14"/>
  <c r="D143" i="14"/>
  <c r="C143" i="14"/>
  <c r="L130" i="1" l="1"/>
  <c r="M130" i="1" s="1"/>
  <c r="J130" i="1"/>
  <c r="I130" i="1"/>
  <c r="K130" i="1" s="1"/>
  <c r="H131" i="1" s="1"/>
  <c r="B145" i="14"/>
  <c r="J144" i="14"/>
  <c r="H144" i="14"/>
  <c r="I144" i="14"/>
  <c r="F144" i="14"/>
  <c r="G144" i="14"/>
  <c r="E144" i="14"/>
  <c r="D144" i="14"/>
  <c r="C144" i="14"/>
  <c r="L131" i="1" l="1"/>
  <c r="M131" i="1" s="1"/>
  <c r="J131" i="1"/>
  <c r="I131" i="1"/>
  <c r="K131" i="1" s="1"/>
  <c r="H132" i="1" s="1"/>
  <c r="B146" i="14"/>
  <c r="J145" i="14"/>
  <c r="I145" i="14"/>
  <c r="H145" i="14"/>
  <c r="F145" i="14"/>
  <c r="E145" i="14"/>
  <c r="G145" i="14"/>
  <c r="D145" i="14"/>
  <c r="C145" i="14"/>
  <c r="I132" i="1" l="1"/>
  <c r="K132" i="1" s="1"/>
  <c r="H133" i="1" s="1"/>
  <c r="L132" i="1"/>
  <c r="M132" i="1" s="1"/>
  <c r="J132" i="1"/>
  <c r="B147" i="14"/>
  <c r="J146" i="14"/>
  <c r="I146" i="14"/>
  <c r="H146" i="14"/>
  <c r="G146" i="14"/>
  <c r="F146" i="14"/>
  <c r="E146" i="14"/>
  <c r="D146" i="14"/>
  <c r="C146" i="14"/>
  <c r="L133" i="1" l="1"/>
  <c r="M133" i="1" s="1"/>
  <c r="J133" i="1"/>
  <c r="I133" i="1"/>
  <c r="K133" i="1" s="1"/>
  <c r="H134" i="1" s="1"/>
  <c r="B148" i="14"/>
  <c r="J147" i="14"/>
  <c r="I147" i="14"/>
  <c r="H147" i="14"/>
  <c r="G147" i="14"/>
  <c r="F147" i="14"/>
  <c r="E147" i="14"/>
  <c r="D147" i="14"/>
  <c r="C147" i="14"/>
  <c r="L134" i="1" l="1"/>
  <c r="M134" i="1" s="1"/>
  <c r="J134" i="1"/>
  <c r="I134" i="1"/>
  <c r="K134" i="1" s="1"/>
  <c r="H135" i="1" s="1"/>
  <c r="B149" i="14"/>
  <c r="J148" i="14"/>
  <c r="I148" i="14"/>
  <c r="G148" i="14"/>
  <c r="H148" i="14"/>
  <c r="E148" i="14"/>
  <c r="F148" i="14"/>
  <c r="D148" i="14"/>
  <c r="C148" i="14"/>
  <c r="L135" i="1" l="1"/>
  <c r="M135" i="1" s="1"/>
  <c r="J135" i="1"/>
  <c r="I135" i="1"/>
  <c r="K135" i="1" s="1"/>
  <c r="H136" i="1" s="1"/>
  <c r="B150" i="14"/>
  <c r="J149" i="14"/>
  <c r="I149" i="14"/>
  <c r="H149" i="14"/>
  <c r="G149" i="14"/>
  <c r="F149" i="14"/>
  <c r="E149" i="14"/>
  <c r="D149" i="14"/>
  <c r="C149" i="14"/>
  <c r="L136" i="1" l="1"/>
  <c r="M136" i="1" s="1"/>
  <c r="J136" i="1"/>
  <c r="I136" i="1"/>
  <c r="K136" i="1" s="1"/>
  <c r="H137" i="1" s="1"/>
  <c r="B151" i="14"/>
  <c r="J150" i="14"/>
  <c r="H150" i="14"/>
  <c r="I150" i="14"/>
  <c r="F150" i="14"/>
  <c r="G150" i="14"/>
  <c r="D150" i="14"/>
  <c r="E150" i="14"/>
  <c r="C150" i="14"/>
  <c r="L137" i="1" l="1"/>
  <c r="M137" i="1" s="1"/>
  <c r="J137" i="1"/>
  <c r="I137" i="1"/>
  <c r="K137" i="1" s="1"/>
  <c r="H138" i="1" s="1"/>
  <c r="B152" i="14"/>
  <c r="J151" i="14"/>
  <c r="I151" i="14"/>
  <c r="H151" i="14"/>
  <c r="G151" i="14"/>
  <c r="E151" i="14"/>
  <c r="F151" i="14"/>
  <c r="D151" i="14"/>
  <c r="C151" i="14"/>
  <c r="L138" i="1" l="1"/>
  <c r="M138" i="1" s="1"/>
  <c r="J138" i="1"/>
  <c r="I138" i="1"/>
  <c r="K138" i="1" s="1"/>
  <c r="H139" i="1" s="1"/>
  <c r="B153" i="14"/>
  <c r="J152" i="14"/>
  <c r="I152" i="14"/>
  <c r="H152" i="14"/>
  <c r="F152" i="14"/>
  <c r="G152" i="14"/>
  <c r="E152" i="14"/>
  <c r="D152" i="14"/>
  <c r="C152" i="14"/>
  <c r="L139" i="1" l="1"/>
  <c r="M139" i="1" s="1"/>
  <c r="J139" i="1"/>
  <c r="I139" i="1"/>
  <c r="K139" i="1" s="1"/>
  <c r="H140" i="1" s="1"/>
  <c r="B154" i="14"/>
  <c r="J153" i="14"/>
  <c r="I153" i="14"/>
  <c r="H153" i="14"/>
  <c r="G153" i="14"/>
  <c r="F153" i="14"/>
  <c r="E153" i="14"/>
  <c r="D153" i="14"/>
  <c r="C153" i="14"/>
  <c r="L140" i="1" l="1"/>
  <c r="M140" i="1" s="1"/>
  <c r="J140" i="1"/>
  <c r="I140" i="1"/>
  <c r="K140" i="1" s="1"/>
  <c r="H141" i="1" s="1"/>
  <c r="B155" i="14"/>
  <c r="J154" i="14"/>
  <c r="I154" i="14"/>
  <c r="G154" i="14"/>
  <c r="H154" i="14"/>
  <c r="F154" i="14"/>
  <c r="D154" i="14"/>
  <c r="E154" i="14"/>
  <c r="C154" i="14"/>
  <c r="L141" i="1" l="1"/>
  <c r="M141" i="1" s="1"/>
  <c r="J141" i="1"/>
  <c r="I141" i="1"/>
  <c r="K141" i="1" s="1"/>
  <c r="H142" i="1" s="1"/>
  <c r="B156" i="14"/>
  <c r="J155" i="14"/>
  <c r="I155" i="14"/>
  <c r="H155" i="14"/>
  <c r="G155" i="14"/>
  <c r="F155" i="14"/>
  <c r="E155" i="14"/>
  <c r="D155" i="14"/>
  <c r="C155" i="14"/>
  <c r="L142" i="1" l="1"/>
  <c r="M142" i="1" s="1"/>
  <c r="J142" i="1"/>
  <c r="I142" i="1"/>
  <c r="K142" i="1" s="1"/>
  <c r="H143" i="1" s="1"/>
  <c r="B157" i="14"/>
  <c r="J156" i="14"/>
  <c r="H156" i="14"/>
  <c r="I156" i="14"/>
  <c r="F156" i="14"/>
  <c r="G156" i="14"/>
  <c r="D156" i="14"/>
  <c r="E156" i="14"/>
  <c r="C156" i="14"/>
  <c r="L143" i="1" l="1"/>
  <c r="M143" i="1" s="1"/>
  <c r="I143" i="1"/>
  <c r="K143" i="1" s="1"/>
  <c r="H144" i="1" s="1"/>
  <c r="J143" i="1"/>
  <c r="B158" i="14"/>
  <c r="J157" i="14"/>
  <c r="I157" i="14"/>
  <c r="H157" i="14"/>
  <c r="E157" i="14"/>
  <c r="G157" i="14"/>
  <c r="F157" i="14"/>
  <c r="D157" i="14"/>
  <c r="C157" i="14"/>
  <c r="L144" i="1" l="1"/>
  <c r="M144" i="1" s="1"/>
  <c r="J144" i="1"/>
  <c r="I144" i="1"/>
  <c r="K144" i="1" s="1"/>
  <c r="H145" i="1" s="1"/>
  <c r="B159" i="14"/>
  <c r="J158" i="14"/>
  <c r="I158" i="14"/>
  <c r="H158" i="14"/>
  <c r="G158" i="14"/>
  <c r="F158" i="14"/>
  <c r="D158" i="14"/>
  <c r="E158" i="14"/>
  <c r="C158" i="14"/>
  <c r="L145" i="1" l="1"/>
  <c r="M145" i="1" s="1"/>
  <c r="J145" i="1"/>
  <c r="I145" i="1"/>
  <c r="K145" i="1" s="1"/>
  <c r="H146" i="1" s="1"/>
  <c r="B160" i="14"/>
  <c r="J159" i="14"/>
  <c r="I159" i="14"/>
  <c r="H159" i="14"/>
  <c r="F159" i="14"/>
  <c r="G159" i="14"/>
  <c r="E159" i="14"/>
  <c r="D159" i="14"/>
  <c r="C159" i="14"/>
  <c r="L146" i="1" l="1"/>
  <c r="M146" i="1" s="1"/>
  <c r="J146" i="1"/>
  <c r="I146" i="1"/>
  <c r="K146" i="1" s="1"/>
  <c r="H147" i="1" s="1"/>
  <c r="B161" i="14"/>
  <c r="J160" i="14"/>
  <c r="H160" i="14"/>
  <c r="I160" i="14"/>
  <c r="G160" i="14"/>
  <c r="F160" i="14"/>
  <c r="E160" i="14"/>
  <c r="D160" i="14"/>
  <c r="C160" i="14"/>
  <c r="L147" i="1" l="1"/>
  <c r="M147" i="1" s="1"/>
  <c r="I147" i="1"/>
  <c r="K147" i="1" s="1"/>
  <c r="H148" i="1" s="1"/>
  <c r="J147" i="1"/>
  <c r="B162" i="14"/>
  <c r="J161" i="14"/>
  <c r="I161" i="14"/>
  <c r="H161" i="14"/>
  <c r="G161" i="14"/>
  <c r="F161" i="14"/>
  <c r="E161" i="14"/>
  <c r="D161" i="14"/>
  <c r="C161" i="14"/>
  <c r="L148" i="1" l="1"/>
  <c r="M148" i="1" s="1"/>
  <c r="J148" i="1"/>
  <c r="I148" i="1"/>
  <c r="K148" i="1" s="1"/>
  <c r="H149" i="1" s="1"/>
  <c r="B163" i="14"/>
  <c r="J162" i="14"/>
  <c r="H162" i="14"/>
  <c r="I162" i="14"/>
  <c r="F162" i="14"/>
  <c r="G162" i="14"/>
  <c r="D162" i="14"/>
  <c r="E162" i="14"/>
  <c r="C162" i="14"/>
  <c r="L149" i="1" l="1"/>
  <c r="M149" i="1" s="1"/>
  <c r="J149" i="1"/>
  <c r="I149" i="1"/>
  <c r="K149" i="1" s="1"/>
  <c r="H150" i="1" s="1"/>
  <c r="B164" i="14"/>
  <c r="J163" i="14"/>
  <c r="I163" i="14"/>
  <c r="H163" i="14"/>
  <c r="E163" i="14"/>
  <c r="G163" i="14"/>
  <c r="F163" i="14"/>
  <c r="D163" i="14"/>
  <c r="C163" i="14"/>
  <c r="L150" i="1" l="1"/>
  <c r="M150" i="1" s="1"/>
  <c r="J150" i="1"/>
  <c r="I150" i="1"/>
  <c r="K150" i="1" s="1"/>
  <c r="H151" i="1" s="1"/>
  <c r="B165" i="14"/>
  <c r="J164" i="14"/>
  <c r="I164" i="14"/>
  <c r="H164" i="14"/>
  <c r="G164" i="14"/>
  <c r="F164" i="14"/>
  <c r="E164" i="14"/>
  <c r="D164" i="14"/>
  <c r="C164" i="14"/>
  <c r="L151" i="1" l="1"/>
  <c r="M151" i="1" s="1"/>
  <c r="J151" i="1"/>
  <c r="I151" i="1"/>
  <c r="K151" i="1" s="1"/>
  <c r="H152" i="1" s="1"/>
  <c r="B166" i="14"/>
  <c r="J165" i="14"/>
  <c r="I165" i="14"/>
  <c r="H165" i="14"/>
  <c r="G165" i="14"/>
  <c r="E165" i="14"/>
  <c r="F165" i="14"/>
  <c r="D165" i="14"/>
  <c r="C165" i="14"/>
  <c r="L152" i="1" l="1"/>
  <c r="M152" i="1" s="1"/>
  <c r="J152" i="1"/>
  <c r="I152" i="1"/>
  <c r="K152" i="1" s="1"/>
  <c r="H153" i="1" s="1"/>
  <c r="B167" i="14"/>
  <c r="J166" i="14"/>
  <c r="I166" i="14"/>
  <c r="H166" i="14"/>
  <c r="G166" i="14"/>
  <c r="F166" i="14"/>
  <c r="E166" i="14"/>
  <c r="D166" i="14"/>
  <c r="C166" i="14"/>
  <c r="J153" i="1" l="1"/>
  <c r="L153" i="1"/>
  <c r="M153" i="1" s="1"/>
  <c r="I153" i="1"/>
  <c r="K153" i="1" s="1"/>
  <c r="H154" i="1" s="1"/>
  <c r="B168" i="14"/>
  <c r="J167" i="14"/>
  <c r="I167" i="14"/>
  <c r="H167" i="14"/>
  <c r="G167" i="14"/>
  <c r="F167" i="14"/>
  <c r="E167" i="14"/>
  <c r="D167" i="14"/>
  <c r="C167" i="14"/>
  <c r="I154" i="1" l="1"/>
  <c r="K154" i="1" s="1"/>
  <c r="H155" i="1" s="1"/>
  <c r="L154" i="1"/>
  <c r="M154" i="1" s="1"/>
  <c r="J154" i="1"/>
  <c r="B169" i="14"/>
  <c r="J168" i="14"/>
  <c r="I168" i="14"/>
  <c r="H168" i="14"/>
  <c r="F168" i="14"/>
  <c r="G168" i="14"/>
  <c r="D168" i="14"/>
  <c r="E168" i="14"/>
  <c r="C168" i="14"/>
  <c r="L155" i="1" l="1"/>
  <c r="M155" i="1" s="1"/>
  <c r="J155" i="1"/>
  <c r="I155" i="1"/>
  <c r="K155" i="1" s="1"/>
  <c r="H156" i="1" s="1"/>
  <c r="B170" i="14"/>
  <c r="J169" i="14"/>
  <c r="I169" i="14"/>
  <c r="H169" i="14"/>
  <c r="E169" i="14"/>
  <c r="G169" i="14"/>
  <c r="F169" i="14"/>
  <c r="D169" i="14"/>
  <c r="C169" i="14"/>
  <c r="L156" i="1" l="1"/>
  <c r="M156" i="1" s="1"/>
  <c r="J156" i="1"/>
  <c r="I156" i="1"/>
  <c r="K156" i="1" s="1"/>
  <c r="H157" i="1" s="1"/>
  <c r="B171" i="14"/>
  <c r="J170" i="14"/>
  <c r="I170" i="14"/>
  <c r="H170" i="14"/>
  <c r="G170" i="14"/>
  <c r="F170" i="14"/>
  <c r="E170" i="14"/>
  <c r="D170" i="14"/>
  <c r="C170" i="14"/>
  <c r="L157" i="1" l="1"/>
  <c r="M157" i="1" s="1"/>
  <c r="J157" i="1"/>
  <c r="I157" i="1"/>
  <c r="K157" i="1" s="1"/>
  <c r="H158" i="1" s="1"/>
  <c r="B172" i="14"/>
  <c r="J171" i="14"/>
  <c r="I171" i="14"/>
  <c r="H171" i="14"/>
  <c r="G171" i="14"/>
  <c r="F171" i="14"/>
  <c r="D171" i="14"/>
  <c r="E171" i="14"/>
  <c r="C171" i="14"/>
  <c r="L158" i="1" l="1"/>
  <c r="M158" i="1" s="1"/>
  <c r="J158" i="1"/>
  <c r="I158" i="1"/>
  <c r="K158" i="1" s="1"/>
  <c r="H159" i="1" s="1"/>
  <c r="B173" i="14"/>
  <c r="J172" i="14"/>
  <c r="I172" i="14"/>
  <c r="G172" i="14"/>
  <c r="H172" i="14"/>
  <c r="F172" i="14"/>
  <c r="E172" i="14"/>
  <c r="D172" i="14"/>
  <c r="C172" i="14"/>
  <c r="L159" i="1" l="1"/>
  <c r="M159" i="1" s="1"/>
  <c r="J159" i="1"/>
  <c r="I159" i="1"/>
  <c r="K159" i="1" s="1"/>
  <c r="H160" i="1" s="1"/>
  <c r="B174" i="14"/>
  <c r="J173" i="14"/>
  <c r="I173" i="14"/>
  <c r="H173" i="14"/>
  <c r="G173" i="14"/>
  <c r="F173" i="14"/>
  <c r="E173" i="14"/>
  <c r="D173" i="14"/>
  <c r="C173" i="14"/>
  <c r="L160" i="1" l="1"/>
  <c r="M160" i="1" s="1"/>
  <c r="J160" i="1"/>
  <c r="I160" i="1"/>
  <c r="K160" i="1" s="1"/>
  <c r="H161" i="1" s="1"/>
  <c r="B175" i="14"/>
  <c r="J174" i="14"/>
  <c r="H174" i="14"/>
  <c r="I174" i="14"/>
  <c r="F174" i="14"/>
  <c r="G174" i="14"/>
  <c r="D174" i="14"/>
  <c r="E174" i="14"/>
  <c r="C174" i="14"/>
  <c r="L161" i="1" l="1"/>
  <c r="M161" i="1" s="1"/>
  <c r="I161" i="1"/>
  <c r="K161" i="1" s="1"/>
  <c r="H162" i="1" s="1"/>
  <c r="J161" i="1"/>
  <c r="B176" i="14"/>
  <c r="J175" i="14"/>
  <c r="I175" i="14"/>
  <c r="H175" i="14"/>
  <c r="E175" i="14"/>
  <c r="G175" i="14"/>
  <c r="F175" i="14"/>
  <c r="D175" i="14"/>
  <c r="C175" i="14"/>
  <c r="L162" i="1" l="1"/>
  <c r="M162" i="1" s="1"/>
  <c r="J162" i="1"/>
  <c r="I162" i="1"/>
  <c r="K162" i="1" s="1"/>
  <c r="H163" i="1" s="1"/>
  <c r="B177" i="14"/>
  <c r="J176" i="14"/>
  <c r="I176" i="14"/>
  <c r="H176" i="14"/>
  <c r="G176" i="14"/>
  <c r="F176" i="14"/>
  <c r="D176" i="14"/>
  <c r="E176" i="14"/>
  <c r="C176" i="14"/>
  <c r="L163" i="1" l="1"/>
  <c r="M163" i="1" s="1"/>
  <c r="I163" i="1"/>
  <c r="K163" i="1" s="1"/>
  <c r="H164" i="1" s="1"/>
  <c r="J163" i="1"/>
  <c r="B178" i="14"/>
  <c r="J177" i="14"/>
  <c r="I177" i="14"/>
  <c r="H177" i="14"/>
  <c r="G177" i="14"/>
  <c r="E177" i="14"/>
  <c r="F177" i="14"/>
  <c r="D177" i="14"/>
  <c r="C177" i="14"/>
  <c r="L164" i="1" l="1"/>
  <c r="M164" i="1" s="1"/>
  <c r="I164" i="1"/>
  <c r="K164" i="1" s="1"/>
  <c r="H165" i="1" s="1"/>
  <c r="J164" i="1"/>
  <c r="B179" i="14"/>
  <c r="J178" i="14"/>
  <c r="I178" i="14"/>
  <c r="G178" i="14"/>
  <c r="H178" i="14"/>
  <c r="F178" i="14"/>
  <c r="E178" i="14"/>
  <c r="D178" i="14"/>
  <c r="C178" i="14"/>
  <c r="L165" i="1" l="1"/>
  <c r="M165" i="1" s="1"/>
  <c r="J165" i="1"/>
  <c r="I165" i="1"/>
  <c r="K165" i="1" s="1"/>
  <c r="H166" i="1" s="1"/>
  <c r="B180" i="14"/>
  <c r="J179" i="14"/>
  <c r="I179" i="14"/>
  <c r="H179" i="14"/>
  <c r="G179" i="14"/>
  <c r="F179" i="14"/>
  <c r="E179" i="14"/>
  <c r="D179" i="14"/>
  <c r="C179" i="14"/>
  <c r="L166" i="1" l="1"/>
  <c r="M166" i="1" s="1"/>
  <c r="J166" i="1"/>
  <c r="I166" i="1"/>
  <c r="K166" i="1" s="1"/>
  <c r="H167" i="1" s="1"/>
  <c r="B181" i="14"/>
  <c r="J180" i="14"/>
  <c r="H180" i="14"/>
  <c r="I180" i="14"/>
  <c r="F180" i="14"/>
  <c r="G180" i="14"/>
  <c r="E180" i="14"/>
  <c r="D180" i="14"/>
  <c r="C180" i="14"/>
  <c r="L167" i="1" l="1"/>
  <c r="M167" i="1" s="1"/>
  <c r="J167" i="1"/>
  <c r="I167" i="1"/>
  <c r="K167" i="1" s="1"/>
  <c r="H168" i="1" s="1"/>
  <c r="B182" i="14"/>
  <c r="J181" i="14"/>
  <c r="I181" i="14"/>
  <c r="H181" i="14"/>
  <c r="F181" i="14"/>
  <c r="E181" i="14"/>
  <c r="G181" i="14"/>
  <c r="D181" i="14"/>
  <c r="C181" i="14"/>
  <c r="I168" i="1" l="1"/>
  <c r="K168" i="1" s="1"/>
  <c r="H169" i="1" s="1"/>
  <c r="L168" i="1"/>
  <c r="M168" i="1" s="1"/>
  <c r="J168" i="1"/>
  <c r="B183" i="14"/>
  <c r="I182" i="14"/>
  <c r="J182" i="14"/>
  <c r="H182" i="14"/>
  <c r="G182" i="14"/>
  <c r="F182" i="14"/>
  <c r="E182" i="14"/>
  <c r="D182" i="14"/>
  <c r="C182" i="14"/>
  <c r="L169" i="1" l="1"/>
  <c r="M169" i="1" s="1"/>
  <c r="J169" i="1"/>
  <c r="I169" i="1"/>
  <c r="K169" i="1" s="1"/>
  <c r="H170" i="1" s="1"/>
  <c r="B184" i="14"/>
  <c r="J183" i="14"/>
  <c r="I183" i="14"/>
  <c r="H183" i="14"/>
  <c r="G183" i="14"/>
  <c r="E183" i="14"/>
  <c r="F183" i="14"/>
  <c r="D183" i="14"/>
  <c r="C183" i="14"/>
  <c r="L170" i="1" l="1"/>
  <c r="M170" i="1" s="1"/>
  <c r="J170" i="1"/>
  <c r="I170" i="1"/>
  <c r="K170" i="1" s="1"/>
  <c r="H171" i="1" s="1"/>
  <c r="B185" i="14"/>
  <c r="J184" i="14"/>
  <c r="I184" i="14"/>
  <c r="G184" i="14"/>
  <c r="H184" i="14"/>
  <c r="F184" i="14"/>
  <c r="E184" i="14"/>
  <c r="D184" i="14"/>
  <c r="C184" i="14"/>
  <c r="L171" i="1" l="1"/>
  <c r="M171" i="1" s="1"/>
  <c r="I171" i="1"/>
  <c r="K171" i="1" s="1"/>
  <c r="H172" i="1" s="1"/>
  <c r="J171" i="1"/>
  <c r="B186" i="14"/>
  <c r="J185" i="14"/>
  <c r="I185" i="14"/>
  <c r="H185" i="14"/>
  <c r="G185" i="14"/>
  <c r="E185" i="14"/>
  <c r="F185" i="14"/>
  <c r="D185" i="14"/>
  <c r="C185" i="14"/>
  <c r="L172" i="1" l="1"/>
  <c r="M172" i="1" s="1"/>
  <c r="J172" i="1"/>
  <c r="I172" i="1"/>
  <c r="K172" i="1" s="1"/>
  <c r="H173" i="1" s="1"/>
  <c r="B187" i="14"/>
  <c r="J186" i="14"/>
  <c r="H186" i="14"/>
  <c r="I186" i="14"/>
  <c r="F186" i="14"/>
  <c r="G186" i="14"/>
  <c r="D186" i="14"/>
  <c r="E186" i="14"/>
  <c r="C186" i="14"/>
  <c r="L173" i="1" l="1"/>
  <c r="M173" i="1" s="1"/>
  <c r="J173" i="1"/>
  <c r="I173" i="1"/>
  <c r="K173" i="1" s="1"/>
  <c r="H174" i="1" s="1"/>
  <c r="B188" i="14"/>
  <c r="J187" i="14"/>
  <c r="I187" i="14"/>
  <c r="H187" i="14"/>
  <c r="G187" i="14"/>
  <c r="E187" i="14"/>
  <c r="F187" i="14"/>
  <c r="D187" i="14"/>
  <c r="C187" i="14"/>
  <c r="L174" i="1" l="1"/>
  <c r="M174" i="1" s="1"/>
  <c r="J174" i="1"/>
  <c r="I174" i="1"/>
  <c r="K174" i="1" s="1"/>
  <c r="H175" i="1" s="1"/>
  <c r="B189" i="14"/>
  <c r="J188" i="14"/>
  <c r="I188" i="14"/>
  <c r="H188" i="14"/>
  <c r="F188" i="14"/>
  <c r="G188" i="14"/>
  <c r="E188" i="14"/>
  <c r="D188" i="14"/>
  <c r="C188" i="14"/>
  <c r="L175" i="1" l="1"/>
  <c r="M175" i="1" s="1"/>
  <c r="J175" i="1"/>
  <c r="I175" i="1"/>
  <c r="K175" i="1" s="1"/>
  <c r="H176" i="1" s="1"/>
  <c r="B190" i="14"/>
  <c r="J189" i="14"/>
  <c r="I189" i="14"/>
  <c r="H189" i="14"/>
  <c r="G189" i="14"/>
  <c r="F189" i="14"/>
  <c r="D189" i="14"/>
  <c r="E189" i="14"/>
  <c r="C189" i="14"/>
  <c r="L176" i="1" l="1"/>
  <c r="M176" i="1" s="1"/>
  <c r="J176" i="1"/>
  <c r="I176" i="1"/>
  <c r="K176" i="1" s="1"/>
  <c r="H177" i="1" s="1"/>
  <c r="B191" i="14"/>
  <c r="J190" i="14"/>
  <c r="I190" i="14"/>
  <c r="G190" i="14"/>
  <c r="H190" i="14"/>
  <c r="F190" i="14"/>
  <c r="E190" i="14"/>
  <c r="D190" i="14"/>
  <c r="C190" i="14"/>
  <c r="L177" i="1" l="1"/>
  <c r="M177" i="1" s="1"/>
  <c r="J177" i="1"/>
  <c r="I177" i="1"/>
  <c r="K177" i="1" s="1"/>
  <c r="H178" i="1" s="1"/>
  <c r="B192" i="14"/>
  <c r="I191" i="14"/>
  <c r="J191" i="14"/>
  <c r="H191" i="14"/>
  <c r="G191" i="14"/>
  <c r="E191" i="14"/>
  <c r="F191" i="14"/>
  <c r="D191" i="14"/>
  <c r="C191" i="14"/>
  <c r="L178" i="1" l="1"/>
  <c r="M178" i="1" s="1"/>
  <c r="J178" i="1"/>
  <c r="I178" i="1"/>
  <c r="K178" i="1" s="1"/>
  <c r="H179" i="1" s="1"/>
  <c r="B193" i="14"/>
  <c r="J192" i="14"/>
  <c r="H192" i="14"/>
  <c r="I192" i="14"/>
  <c r="F192" i="14"/>
  <c r="G192" i="14"/>
  <c r="D192" i="14"/>
  <c r="E192" i="14"/>
  <c r="C192" i="14"/>
  <c r="L179" i="1" l="1"/>
  <c r="M179" i="1" s="1"/>
  <c r="J179" i="1"/>
  <c r="I179" i="1"/>
  <c r="K179" i="1" s="1"/>
  <c r="H180" i="1" s="1"/>
  <c r="B194" i="14"/>
  <c r="J193" i="14"/>
  <c r="I193" i="14"/>
  <c r="H193" i="14"/>
  <c r="E193" i="14"/>
  <c r="G193" i="14"/>
  <c r="F193" i="14"/>
  <c r="D193" i="14"/>
  <c r="C193" i="14"/>
  <c r="L180" i="1" l="1"/>
  <c r="M180" i="1" s="1"/>
  <c r="J180" i="1"/>
  <c r="I180" i="1"/>
  <c r="K180" i="1" s="1"/>
  <c r="H181" i="1" s="1"/>
  <c r="B195" i="14"/>
  <c r="J194" i="14"/>
  <c r="I194" i="14"/>
  <c r="H194" i="14"/>
  <c r="G194" i="14"/>
  <c r="E194" i="14"/>
  <c r="F194" i="14"/>
  <c r="D194" i="14"/>
  <c r="C194" i="14"/>
  <c r="L181" i="1" l="1"/>
  <c r="M181" i="1" s="1"/>
  <c r="J181" i="1"/>
  <c r="I181" i="1"/>
  <c r="K181" i="1" s="1"/>
  <c r="H182" i="1" s="1"/>
  <c r="B196" i="14"/>
  <c r="J195" i="14"/>
  <c r="I195" i="14"/>
  <c r="H195" i="14"/>
  <c r="F195" i="14"/>
  <c r="G195" i="14"/>
  <c r="E195" i="14"/>
  <c r="D195" i="14"/>
  <c r="C195" i="14"/>
  <c r="L182" i="1" l="1"/>
  <c r="M182" i="1" s="1"/>
  <c r="J182" i="1"/>
  <c r="I182" i="1"/>
  <c r="K182" i="1" s="1"/>
  <c r="H183" i="1" s="1"/>
  <c r="B197" i="14"/>
  <c r="J196" i="14"/>
  <c r="H196" i="14"/>
  <c r="I196" i="14"/>
  <c r="G196" i="14"/>
  <c r="F196" i="14"/>
  <c r="E196" i="14"/>
  <c r="D196" i="14"/>
  <c r="C196" i="14"/>
  <c r="L183" i="1" l="1"/>
  <c r="M183" i="1" s="1"/>
  <c r="J183" i="1"/>
  <c r="I183" i="1"/>
  <c r="K183" i="1" s="1"/>
  <c r="H184" i="1" s="1"/>
  <c r="B198" i="14"/>
  <c r="J197" i="14"/>
  <c r="I197" i="14"/>
  <c r="H197" i="14"/>
  <c r="G197" i="14"/>
  <c r="F197" i="14"/>
  <c r="E197" i="14"/>
  <c r="D197" i="14"/>
  <c r="C197" i="14"/>
  <c r="L184" i="1" l="1"/>
  <c r="M184" i="1" s="1"/>
  <c r="I184" i="1"/>
  <c r="K184" i="1" s="1"/>
  <c r="H185" i="1" s="1"/>
  <c r="J184" i="1"/>
  <c r="B199" i="14"/>
  <c r="J198" i="14"/>
  <c r="H198" i="14"/>
  <c r="I198" i="14"/>
  <c r="F198" i="14"/>
  <c r="G198" i="14"/>
  <c r="D198" i="14"/>
  <c r="E198" i="14"/>
  <c r="C198" i="14"/>
  <c r="I185" i="1" l="1"/>
  <c r="K185" i="1" s="1"/>
  <c r="H186" i="1" s="1"/>
  <c r="L185" i="1"/>
  <c r="M185" i="1" s="1"/>
  <c r="J185" i="1"/>
  <c r="B200" i="14"/>
  <c r="J199" i="14"/>
  <c r="I199" i="14"/>
  <c r="H199" i="14"/>
  <c r="E199" i="14"/>
  <c r="G199" i="14"/>
  <c r="F199" i="14"/>
  <c r="D199" i="14"/>
  <c r="C199" i="14"/>
  <c r="L186" i="1" l="1"/>
  <c r="M186" i="1" s="1"/>
  <c r="J186" i="1"/>
  <c r="I186" i="1"/>
  <c r="K186" i="1" s="1"/>
  <c r="H187" i="1" s="1"/>
  <c r="B201" i="14"/>
  <c r="J200" i="14"/>
  <c r="I200" i="14"/>
  <c r="H200" i="14"/>
  <c r="G200" i="14"/>
  <c r="E200" i="14"/>
  <c r="F200" i="14"/>
  <c r="D200" i="14"/>
  <c r="C200" i="14"/>
  <c r="L187" i="1" l="1"/>
  <c r="M187" i="1" s="1"/>
  <c r="J187" i="1"/>
  <c r="I187" i="1"/>
  <c r="K187" i="1" s="1"/>
  <c r="H188" i="1" s="1"/>
  <c r="B202" i="14"/>
  <c r="J201" i="14"/>
  <c r="I201" i="14"/>
  <c r="H201" i="14"/>
  <c r="G201" i="14"/>
  <c r="F201" i="14"/>
  <c r="E201" i="14"/>
  <c r="D201" i="14"/>
  <c r="C201" i="14"/>
  <c r="I188" i="1" l="1"/>
  <c r="K188" i="1" s="1"/>
  <c r="H189" i="1" s="1"/>
  <c r="L188" i="1"/>
  <c r="M188" i="1" s="1"/>
  <c r="J188" i="1"/>
  <c r="B203" i="14"/>
  <c r="J202" i="14"/>
  <c r="I202" i="14"/>
  <c r="H202" i="14"/>
  <c r="G202" i="14"/>
  <c r="F202" i="14"/>
  <c r="E202" i="14"/>
  <c r="D202" i="14"/>
  <c r="C202" i="14"/>
  <c r="L189" i="1" l="1"/>
  <c r="M189" i="1" s="1"/>
  <c r="J189" i="1"/>
  <c r="I189" i="1"/>
  <c r="K189" i="1" s="1"/>
  <c r="H190" i="1" s="1"/>
  <c r="B204" i="14"/>
  <c r="J203" i="14"/>
  <c r="I203" i="14"/>
  <c r="H203" i="14"/>
  <c r="G203" i="14"/>
  <c r="F203" i="14"/>
  <c r="E203" i="14"/>
  <c r="D203" i="14"/>
  <c r="C203" i="14"/>
  <c r="L190" i="1" l="1"/>
  <c r="M190" i="1" s="1"/>
  <c r="J190" i="1"/>
  <c r="I190" i="1"/>
  <c r="K190" i="1" s="1"/>
  <c r="H191" i="1" s="1"/>
  <c r="B205" i="14"/>
  <c r="J204" i="14"/>
  <c r="I204" i="14"/>
  <c r="H204" i="14"/>
  <c r="F204" i="14"/>
  <c r="G204" i="14"/>
  <c r="D204" i="14"/>
  <c r="E204" i="14"/>
  <c r="C204" i="14"/>
  <c r="L191" i="1" l="1"/>
  <c r="M191" i="1" s="1"/>
  <c r="J191" i="1"/>
  <c r="I191" i="1"/>
  <c r="K191" i="1" s="1"/>
  <c r="H192" i="1" s="1"/>
  <c r="B206" i="14"/>
  <c r="J205" i="14"/>
  <c r="I205" i="14"/>
  <c r="H205" i="14"/>
  <c r="E205" i="14"/>
  <c r="G205" i="14"/>
  <c r="F205" i="14"/>
  <c r="D205" i="14"/>
  <c r="C205" i="14"/>
  <c r="L192" i="1" l="1"/>
  <c r="M192" i="1" s="1"/>
  <c r="J192" i="1"/>
  <c r="I192" i="1"/>
  <c r="K192" i="1" s="1"/>
  <c r="H193" i="1" s="1"/>
  <c r="B207" i="14"/>
  <c r="J206" i="14"/>
  <c r="I206" i="14"/>
  <c r="H206" i="14"/>
  <c r="G206" i="14"/>
  <c r="F206" i="14"/>
  <c r="E206" i="14"/>
  <c r="D206" i="14"/>
  <c r="C206" i="14"/>
  <c r="L193" i="1" l="1"/>
  <c r="M193" i="1" s="1"/>
  <c r="J193" i="1"/>
  <c r="I193" i="1"/>
  <c r="K193" i="1" s="1"/>
  <c r="H194" i="1" s="1"/>
  <c r="B208" i="14"/>
  <c r="J207" i="14"/>
  <c r="I207" i="14"/>
  <c r="H207" i="14"/>
  <c r="G207" i="14"/>
  <c r="F207" i="14"/>
  <c r="E207" i="14"/>
  <c r="D207" i="14"/>
  <c r="C207" i="14"/>
  <c r="L194" i="1" l="1"/>
  <c r="M194" i="1" s="1"/>
  <c r="I194" i="1"/>
  <c r="K194" i="1" s="1"/>
  <c r="H195" i="1" s="1"/>
  <c r="J194" i="1"/>
  <c r="B209" i="14"/>
  <c r="J208" i="14"/>
  <c r="I208" i="14"/>
  <c r="G208" i="14"/>
  <c r="H208" i="14"/>
  <c r="F208" i="14"/>
  <c r="D208" i="14"/>
  <c r="E208" i="14"/>
  <c r="C208" i="14"/>
  <c r="L195" i="1" l="1"/>
  <c r="M195" i="1" s="1"/>
  <c r="J195" i="1"/>
  <c r="I195" i="1"/>
  <c r="K195" i="1" s="1"/>
  <c r="H196" i="1" s="1"/>
  <c r="B210" i="14"/>
  <c r="J209" i="14"/>
  <c r="I209" i="14"/>
  <c r="H209" i="14"/>
  <c r="G209" i="14"/>
  <c r="F209" i="14"/>
  <c r="E209" i="14"/>
  <c r="D209" i="14"/>
  <c r="C209" i="14"/>
  <c r="L196" i="1" l="1"/>
  <c r="M196" i="1" s="1"/>
  <c r="J196" i="1"/>
  <c r="I196" i="1"/>
  <c r="K196" i="1" s="1"/>
  <c r="H197" i="1" s="1"/>
  <c r="B211" i="14"/>
  <c r="J210" i="14"/>
  <c r="H210" i="14"/>
  <c r="I210" i="14"/>
  <c r="F210" i="14"/>
  <c r="G210" i="14"/>
  <c r="D210" i="14"/>
  <c r="E210" i="14"/>
  <c r="C210" i="14"/>
  <c r="L197" i="1" l="1"/>
  <c r="M197" i="1" s="1"/>
  <c r="J197" i="1"/>
  <c r="I197" i="1"/>
  <c r="K197" i="1" s="1"/>
  <c r="H198" i="1" s="1"/>
  <c r="B212" i="14"/>
  <c r="J211" i="14"/>
  <c r="I211" i="14"/>
  <c r="H211" i="14"/>
  <c r="E211" i="14"/>
  <c r="G211" i="14"/>
  <c r="F211" i="14"/>
  <c r="D211" i="14"/>
  <c r="C211" i="14"/>
  <c r="L198" i="1" l="1"/>
  <c r="M198" i="1" s="1"/>
  <c r="J198" i="1"/>
  <c r="I198" i="1"/>
  <c r="K198" i="1" s="1"/>
  <c r="H199" i="1" s="1"/>
  <c r="B213" i="14"/>
  <c r="J212" i="14"/>
  <c r="I212" i="14"/>
  <c r="H212" i="14"/>
  <c r="G212" i="14"/>
  <c r="F212" i="14"/>
  <c r="E212" i="14"/>
  <c r="D212" i="14"/>
  <c r="C212" i="14"/>
  <c r="L199" i="1" l="1"/>
  <c r="M199" i="1" s="1"/>
  <c r="J199" i="1"/>
  <c r="I199" i="1"/>
  <c r="K199" i="1" s="1"/>
  <c r="H200" i="1" s="1"/>
  <c r="B214" i="14"/>
  <c r="J213" i="14"/>
  <c r="I213" i="14"/>
  <c r="H213" i="14"/>
  <c r="G213" i="14"/>
  <c r="F213" i="14"/>
  <c r="E213" i="14"/>
  <c r="D213" i="14"/>
  <c r="C213" i="14"/>
  <c r="L200" i="1" l="1"/>
  <c r="M200" i="1" s="1"/>
  <c r="J200" i="1"/>
  <c r="I200" i="1"/>
  <c r="K200" i="1" s="1"/>
  <c r="H201" i="1" s="1"/>
  <c r="B215" i="14"/>
  <c r="J214" i="14"/>
  <c r="I214" i="14"/>
  <c r="G214" i="14"/>
  <c r="H214" i="14"/>
  <c r="F214" i="14"/>
  <c r="D214" i="14"/>
  <c r="E214" i="14"/>
  <c r="C214" i="14"/>
  <c r="J201" i="1" l="1"/>
  <c r="L201" i="1"/>
  <c r="M201" i="1" s="1"/>
  <c r="I201" i="1"/>
  <c r="K201" i="1" s="1"/>
  <c r="H202" i="1" s="1"/>
  <c r="B216" i="14"/>
  <c r="J215" i="14"/>
  <c r="I215" i="14"/>
  <c r="H215" i="14"/>
  <c r="G215" i="14"/>
  <c r="F215" i="14"/>
  <c r="E215" i="14"/>
  <c r="D215" i="14"/>
  <c r="C215" i="14"/>
  <c r="L202" i="1" l="1"/>
  <c r="M202" i="1" s="1"/>
  <c r="J202" i="1"/>
  <c r="I202" i="1"/>
  <c r="K202" i="1" s="1"/>
  <c r="H203" i="1" s="1"/>
  <c r="B217" i="14"/>
  <c r="J216" i="14"/>
  <c r="H216" i="14"/>
  <c r="I216" i="14"/>
  <c r="F216" i="14"/>
  <c r="G216" i="14"/>
  <c r="E216" i="14"/>
  <c r="D216" i="14"/>
  <c r="C216" i="14"/>
  <c r="L203" i="1" l="1"/>
  <c r="M203" i="1" s="1"/>
  <c r="J203" i="1"/>
  <c r="I203" i="1"/>
  <c r="K203" i="1" s="1"/>
  <c r="H204" i="1" s="1"/>
  <c r="B218" i="14"/>
  <c r="J217" i="14"/>
  <c r="I217" i="14"/>
  <c r="H217" i="14"/>
  <c r="F217" i="14"/>
  <c r="E217" i="14"/>
  <c r="G217" i="14"/>
  <c r="D217" i="14"/>
  <c r="C217" i="14"/>
  <c r="L204" i="1" l="1"/>
  <c r="M204" i="1" s="1"/>
  <c r="J204" i="1"/>
  <c r="I204" i="1"/>
  <c r="K204" i="1" s="1"/>
  <c r="H205" i="1" s="1"/>
  <c r="B219" i="14"/>
  <c r="J218" i="14"/>
  <c r="I218" i="14"/>
  <c r="H218" i="14"/>
  <c r="G218" i="14"/>
  <c r="F218" i="14"/>
  <c r="E218" i="14"/>
  <c r="D218" i="14"/>
  <c r="C218" i="14"/>
  <c r="L205" i="1" l="1"/>
  <c r="M205" i="1" s="1"/>
  <c r="J205" i="1"/>
  <c r="I205" i="1"/>
  <c r="K205" i="1" s="1"/>
  <c r="H206" i="1" s="1"/>
  <c r="B220" i="14"/>
  <c r="J219" i="14"/>
  <c r="I219" i="14"/>
  <c r="H219" i="14"/>
  <c r="G219" i="14"/>
  <c r="F219" i="14"/>
  <c r="E219" i="14"/>
  <c r="D219" i="14"/>
  <c r="C219" i="14"/>
  <c r="L206" i="1" l="1"/>
  <c r="M206" i="1" s="1"/>
  <c r="J206" i="1"/>
  <c r="I206" i="1"/>
  <c r="K206" i="1" s="1"/>
  <c r="H207" i="1" s="1"/>
  <c r="B221" i="14"/>
  <c r="J220" i="14"/>
  <c r="I220" i="14"/>
  <c r="G220" i="14"/>
  <c r="H220" i="14"/>
  <c r="F220" i="14"/>
  <c r="E220" i="14"/>
  <c r="D220" i="14"/>
  <c r="C220" i="14"/>
  <c r="L207" i="1" l="1"/>
  <c r="M207" i="1" s="1"/>
  <c r="J207" i="1"/>
  <c r="I207" i="1"/>
  <c r="K207" i="1" s="1"/>
  <c r="H208" i="1" s="1"/>
  <c r="B222" i="14"/>
  <c r="J221" i="14"/>
  <c r="I221" i="14"/>
  <c r="H221" i="14"/>
  <c r="G221" i="14"/>
  <c r="F221" i="14"/>
  <c r="E221" i="14"/>
  <c r="D221" i="14"/>
  <c r="C221" i="14"/>
  <c r="L208" i="1" l="1"/>
  <c r="M208" i="1" s="1"/>
  <c r="J208" i="1"/>
  <c r="I208" i="1"/>
  <c r="K208" i="1" s="1"/>
  <c r="H209" i="1" s="1"/>
  <c r="B223" i="14"/>
  <c r="J222" i="14"/>
  <c r="H222" i="14"/>
  <c r="I222" i="14"/>
  <c r="F222" i="14"/>
  <c r="G222" i="14"/>
  <c r="D222" i="14"/>
  <c r="E222" i="14"/>
  <c r="C222" i="14"/>
  <c r="L209" i="1" l="1"/>
  <c r="M209" i="1" s="1"/>
  <c r="J209" i="1"/>
  <c r="I209" i="1"/>
  <c r="K209" i="1" s="1"/>
  <c r="H210" i="1" s="1"/>
  <c r="B224" i="14"/>
  <c r="J223" i="14"/>
  <c r="I223" i="14"/>
  <c r="H223" i="14"/>
  <c r="G223" i="14"/>
  <c r="E223" i="14"/>
  <c r="F223" i="14"/>
  <c r="D223" i="14"/>
  <c r="C223" i="14"/>
  <c r="L210" i="1" l="1"/>
  <c r="M210" i="1" s="1"/>
  <c r="J210" i="1"/>
  <c r="I210" i="1"/>
  <c r="K210" i="1" s="1"/>
  <c r="H211" i="1" s="1"/>
  <c r="B225" i="14"/>
  <c r="J224" i="14"/>
  <c r="I224" i="14"/>
  <c r="H224" i="14"/>
  <c r="F224" i="14"/>
  <c r="G224" i="14"/>
  <c r="E224" i="14"/>
  <c r="D224" i="14"/>
  <c r="C224" i="14"/>
  <c r="L211" i="1" l="1"/>
  <c r="M211" i="1" s="1"/>
  <c r="J211" i="1"/>
  <c r="I211" i="1"/>
  <c r="K211" i="1" s="1"/>
  <c r="H212" i="1" s="1"/>
  <c r="B226" i="14"/>
  <c r="J225" i="14"/>
  <c r="I225" i="14"/>
  <c r="H225" i="14"/>
  <c r="G225" i="14"/>
  <c r="F225" i="14"/>
  <c r="E225" i="14"/>
  <c r="D225" i="14"/>
  <c r="C225" i="14"/>
  <c r="L212" i="1" l="1"/>
  <c r="M212" i="1" s="1"/>
  <c r="J212" i="1"/>
  <c r="I212" i="1"/>
  <c r="K212" i="1" s="1"/>
  <c r="H213" i="1" s="1"/>
  <c r="B227" i="14"/>
  <c r="I226" i="14"/>
  <c r="J226" i="14"/>
  <c r="G226" i="14"/>
  <c r="H226" i="14"/>
  <c r="F226" i="14"/>
  <c r="E226" i="14"/>
  <c r="D226" i="14"/>
  <c r="C226" i="14"/>
  <c r="L213" i="1" l="1"/>
  <c r="M213" i="1" s="1"/>
  <c r="J213" i="1"/>
  <c r="I213" i="1"/>
  <c r="K213" i="1" s="1"/>
  <c r="H214" i="1" s="1"/>
  <c r="B228" i="14"/>
  <c r="J227" i="14"/>
  <c r="I227" i="14"/>
  <c r="H227" i="14"/>
  <c r="G227" i="14"/>
  <c r="F227" i="14"/>
  <c r="E227" i="14"/>
  <c r="D227" i="14"/>
  <c r="C227" i="14"/>
  <c r="L214" i="1" l="1"/>
  <c r="M214" i="1" s="1"/>
  <c r="J214" i="1"/>
  <c r="I214" i="1"/>
  <c r="K214" i="1" s="1"/>
  <c r="H215" i="1" s="1"/>
  <c r="B229" i="14"/>
  <c r="J228" i="14"/>
  <c r="H228" i="14"/>
  <c r="I228" i="14"/>
  <c r="F228" i="14"/>
  <c r="G228" i="14"/>
  <c r="D228" i="14"/>
  <c r="E228" i="14"/>
  <c r="C228" i="14"/>
  <c r="L215" i="1" l="1"/>
  <c r="M215" i="1" s="1"/>
  <c r="J215" i="1"/>
  <c r="I215" i="1"/>
  <c r="K215" i="1" s="1"/>
  <c r="H216" i="1" s="1"/>
  <c r="B230" i="14"/>
  <c r="J229" i="14"/>
  <c r="I229" i="14"/>
  <c r="H229" i="14"/>
  <c r="E229" i="14"/>
  <c r="G229" i="14"/>
  <c r="F229" i="14"/>
  <c r="D229" i="14"/>
  <c r="C229" i="14"/>
  <c r="L216" i="1" l="1"/>
  <c r="M216" i="1" s="1"/>
  <c r="J216" i="1"/>
  <c r="I216" i="1"/>
  <c r="K216" i="1" s="1"/>
  <c r="H217" i="1" s="1"/>
  <c r="B231" i="14"/>
  <c r="J230" i="14"/>
  <c r="I230" i="14"/>
  <c r="H230" i="14"/>
  <c r="G230" i="14"/>
  <c r="F230" i="14"/>
  <c r="E230" i="14"/>
  <c r="D230" i="14"/>
  <c r="C230" i="14"/>
  <c r="L217" i="1" l="1"/>
  <c r="M217" i="1" s="1"/>
  <c r="I217" i="1"/>
  <c r="K217" i="1" s="1"/>
  <c r="H218" i="1" s="1"/>
  <c r="J217" i="1"/>
  <c r="B232" i="14"/>
  <c r="J231" i="14"/>
  <c r="I231" i="14"/>
  <c r="H231" i="14"/>
  <c r="F231" i="14"/>
  <c r="G231" i="14"/>
  <c r="E231" i="14"/>
  <c r="D231" i="14"/>
  <c r="C231" i="14"/>
  <c r="L218" i="1" l="1"/>
  <c r="M218" i="1" s="1"/>
  <c r="I218" i="1"/>
  <c r="K218" i="1" s="1"/>
  <c r="H219" i="1" s="1"/>
  <c r="J218" i="1"/>
  <c r="B233" i="14"/>
  <c r="J232" i="14"/>
  <c r="H232" i="14"/>
  <c r="I232" i="14"/>
  <c r="G232" i="14"/>
  <c r="F232" i="14"/>
  <c r="E232" i="14"/>
  <c r="D232" i="14"/>
  <c r="C232" i="14"/>
  <c r="L219" i="1" l="1"/>
  <c r="M219" i="1" s="1"/>
  <c r="J219" i="1"/>
  <c r="I219" i="1"/>
  <c r="K219" i="1" s="1"/>
  <c r="H220" i="1" s="1"/>
  <c r="B234" i="14"/>
  <c r="J233" i="14"/>
  <c r="I233" i="14"/>
  <c r="H233" i="14"/>
  <c r="G233" i="14"/>
  <c r="F233" i="14"/>
  <c r="E233" i="14"/>
  <c r="D233" i="14"/>
  <c r="C233" i="14"/>
  <c r="L220" i="1" l="1"/>
  <c r="M220" i="1" s="1"/>
  <c r="J220" i="1"/>
  <c r="I220" i="1"/>
  <c r="K220" i="1" s="1"/>
  <c r="H221" i="1" s="1"/>
  <c r="B235" i="14"/>
  <c r="H234" i="14"/>
  <c r="I234" i="14"/>
  <c r="J234" i="14"/>
  <c r="F234" i="14"/>
  <c r="G234" i="14"/>
  <c r="D234" i="14"/>
  <c r="E234" i="14"/>
  <c r="C234" i="14"/>
  <c r="L221" i="1" l="1"/>
  <c r="M221" i="1" s="1"/>
  <c r="J221" i="1"/>
  <c r="I221" i="1"/>
  <c r="K221" i="1" s="1"/>
  <c r="H222" i="1" s="1"/>
  <c r="B236" i="14"/>
  <c r="J235" i="14"/>
  <c r="I235" i="14"/>
  <c r="H235" i="14"/>
  <c r="E235" i="14"/>
  <c r="G235" i="14"/>
  <c r="F235" i="14"/>
  <c r="D235" i="14"/>
  <c r="C235" i="14"/>
  <c r="L222" i="1" l="1"/>
  <c r="M222" i="1" s="1"/>
  <c r="J222" i="1"/>
  <c r="I222" i="1"/>
  <c r="K222" i="1" s="1"/>
  <c r="H223" i="1" s="1"/>
  <c r="B237" i="14"/>
  <c r="J236" i="14"/>
  <c r="I236" i="14"/>
  <c r="H236" i="14"/>
  <c r="G236" i="14"/>
  <c r="F236" i="14"/>
  <c r="E236" i="14"/>
  <c r="D236" i="14"/>
  <c r="C236" i="14"/>
  <c r="L223" i="1" l="1"/>
  <c r="M223" i="1" s="1"/>
  <c r="J223" i="1"/>
  <c r="I223" i="1"/>
  <c r="K223" i="1" s="1"/>
  <c r="H224" i="1" s="1"/>
  <c r="B238" i="14"/>
  <c r="J237" i="14"/>
  <c r="I237" i="14"/>
  <c r="H237" i="14"/>
  <c r="G237" i="14"/>
  <c r="F237" i="14"/>
  <c r="E237" i="14"/>
  <c r="D237" i="14"/>
  <c r="C237" i="14"/>
  <c r="L224" i="1" l="1"/>
  <c r="M224" i="1" s="1"/>
  <c r="J224" i="1"/>
  <c r="I224" i="1"/>
  <c r="K224" i="1" s="1"/>
  <c r="H225" i="1" s="1"/>
  <c r="B239" i="14"/>
  <c r="J238" i="14"/>
  <c r="I238" i="14"/>
  <c r="H238" i="14"/>
  <c r="G238" i="14"/>
  <c r="F238" i="14"/>
  <c r="E238" i="14"/>
  <c r="D238" i="14"/>
  <c r="C238" i="14"/>
  <c r="L225" i="1" l="1"/>
  <c r="M225" i="1" s="1"/>
  <c r="J225" i="1"/>
  <c r="I225" i="1"/>
  <c r="K225" i="1" s="1"/>
  <c r="H226" i="1" s="1"/>
  <c r="B240" i="14"/>
  <c r="J239" i="14"/>
  <c r="H239" i="14"/>
  <c r="I239" i="14"/>
  <c r="G239" i="14"/>
  <c r="F239" i="14"/>
  <c r="E239" i="14"/>
  <c r="D239" i="14"/>
  <c r="C239" i="14"/>
  <c r="L226" i="1" l="1"/>
  <c r="M226" i="1" s="1"/>
  <c r="J226" i="1"/>
  <c r="I226" i="1"/>
  <c r="K226" i="1" s="1"/>
  <c r="H227" i="1" s="1"/>
  <c r="B241" i="14"/>
  <c r="J240" i="14"/>
  <c r="I240" i="14"/>
  <c r="H240" i="14"/>
  <c r="F240" i="14"/>
  <c r="G240" i="14"/>
  <c r="D240" i="14"/>
  <c r="E240" i="14"/>
  <c r="C240" i="14"/>
  <c r="L227" i="1" l="1"/>
  <c r="M227" i="1" s="1"/>
  <c r="J227" i="1"/>
  <c r="I227" i="1"/>
  <c r="K227" i="1" s="1"/>
  <c r="H228" i="1" s="1"/>
  <c r="B242" i="14"/>
  <c r="J241" i="14"/>
  <c r="I241" i="14"/>
  <c r="H241" i="14"/>
  <c r="E241" i="14"/>
  <c r="G241" i="14"/>
  <c r="F241" i="14"/>
  <c r="D241" i="14"/>
  <c r="C241" i="14"/>
  <c r="L228" i="1" l="1"/>
  <c r="M228" i="1" s="1"/>
  <c r="J228" i="1"/>
  <c r="I228" i="1"/>
  <c r="K228" i="1" s="1"/>
  <c r="H229" i="1" s="1"/>
  <c r="B243" i="14"/>
  <c r="J242" i="14"/>
  <c r="I242" i="14"/>
  <c r="H242" i="14"/>
  <c r="G242" i="14"/>
  <c r="F242" i="14"/>
  <c r="E242" i="14"/>
  <c r="D242" i="14"/>
  <c r="C242" i="14"/>
  <c r="L229" i="1" l="1"/>
  <c r="M229" i="1" s="1"/>
  <c r="J229" i="1"/>
  <c r="I229" i="1"/>
  <c r="K229" i="1" s="1"/>
  <c r="H230" i="1" s="1"/>
  <c r="B244" i="14"/>
  <c r="J243" i="14"/>
  <c r="I243" i="14"/>
  <c r="H243" i="14"/>
  <c r="G243" i="14"/>
  <c r="F243" i="14"/>
  <c r="D243" i="14"/>
  <c r="E243" i="14"/>
  <c r="C243" i="14"/>
  <c r="L230" i="1" l="1"/>
  <c r="M230" i="1" s="1"/>
  <c r="I230" i="1"/>
  <c r="K230" i="1" s="1"/>
  <c r="H231" i="1" s="1"/>
  <c r="J230" i="1"/>
  <c r="B245" i="14"/>
  <c r="J244" i="14"/>
  <c r="I244" i="14"/>
  <c r="G244" i="14"/>
  <c r="H244" i="14"/>
  <c r="F244" i="14"/>
  <c r="D244" i="14"/>
  <c r="E244" i="14"/>
  <c r="C244" i="14"/>
  <c r="L231" i="1" l="1"/>
  <c r="M231" i="1" s="1"/>
  <c r="J231" i="1"/>
  <c r="I231" i="1"/>
  <c r="K231" i="1" s="1"/>
  <c r="H232" i="1" s="1"/>
  <c r="B246" i="14"/>
  <c r="J245" i="14"/>
  <c r="I245" i="14"/>
  <c r="H245" i="14"/>
  <c r="G245" i="14"/>
  <c r="F245" i="14"/>
  <c r="E245" i="14"/>
  <c r="D245" i="14"/>
  <c r="C245" i="14"/>
  <c r="J232" i="1" l="1"/>
  <c r="I232" i="1"/>
  <c r="K232" i="1" s="1"/>
  <c r="H233" i="1" s="1"/>
  <c r="L232" i="1"/>
  <c r="M232" i="1" s="1"/>
  <c r="B247" i="14"/>
  <c r="J246" i="14"/>
  <c r="H246" i="14"/>
  <c r="I246" i="14"/>
  <c r="G246" i="14"/>
  <c r="D246" i="14"/>
  <c r="F246" i="14"/>
  <c r="E246" i="14"/>
  <c r="C246" i="14"/>
  <c r="L233" i="1" l="1"/>
  <c r="M233" i="1" s="1"/>
  <c r="J233" i="1"/>
  <c r="I233" i="1"/>
  <c r="K233" i="1" s="1"/>
  <c r="H234" i="1" s="1"/>
  <c r="B248" i="14"/>
  <c r="J247" i="14"/>
  <c r="I247" i="14"/>
  <c r="H247" i="14"/>
  <c r="E247" i="14"/>
  <c r="G247" i="14"/>
  <c r="F247" i="14"/>
  <c r="D247" i="14"/>
  <c r="C247" i="14"/>
  <c r="L234" i="1" l="1"/>
  <c r="M234" i="1" s="1"/>
  <c r="J234" i="1"/>
  <c r="I234" i="1"/>
  <c r="K234" i="1" s="1"/>
  <c r="H235" i="1" s="1"/>
  <c r="B249" i="14"/>
  <c r="J248" i="14"/>
  <c r="I248" i="14"/>
  <c r="H248" i="14"/>
  <c r="G248" i="14"/>
  <c r="F248" i="14"/>
  <c r="E248" i="14"/>
  <c r="D248" i="14"/>
  <c r="C248" i="14"/>
  <c r="L235" i="1" l="1"/>
  <c r="M235" i="1" s="1"/>
  <c r="J235" i="1"/>
  <c r="I235" i="1"/>
  <c r="K235" i="1" s="1"/>
  <c r="H236" i="1" s="1"/>
  <c r="B250" i="14"/>
  <c r="J249" i="14"/>
  <c r="I249" i="14"/>
  <c r="H249" i="14"/>
  <c r="G249" i="14"/>
  <c r="F249" i="14"/>
  <c r="E249" i="14"/>
  <c r="D249" i="14"/>
  <c r="C249" i="14"/>
  <c r="L236" i="1" l="1"/>
  <c r="M236" i="1" s="1"/>
  <c r="J236" i="1"/>
  <c r="I236" i="1"/>
  <c r="K236" i="1" s="1"/>
  <c r="H237" i="1" s="1"/>
  <c r="B251" i="14"/>
  <c r="J250" i="14"/>
  <c r="I250" i="14"/>
  <c r="G250" i="14"/>
  <c r="H250" i="14"/>
  <c r="F250" i="14"/>
  <c r="E250" i="14"/>
  <c r="D250" i="14"/>
  <c r="C250" i="14"/>
  <c r="L237" i="1" l="1"/>
  <c r="M237" i="1" s="1"/>
  <c r="J237" i="1"/>
  <c r="I237" i="1"/>
  <c r="K237" i="1" s="1"/>
  <c r="H238" i="1" s="1"/>
  <c r="B252" i="14"/>
  <c r="J251" i="14"/>
  <c r="I251" i="14"/>
  <c r="H251" i="14"/>
  <c r="F251" i="14"/>
  <c r="G251" i="14"/>
  <c r="D251" i="14"/>
  <c r="E251" i="14"/>
  <c r="C251" i="14"/>
  <c r="L238" i="1" l="1"/>
  <c r="M238" i="1" s="1"/>
  <c r="J238" i="1"/>
  <c r="I238" i="1"/>
  <c r="K238" i="1" s="1"/>
  <c r="H239" i="1" s="1"/>
  <c r="B253" i="14"/>
  <c r="J252" i="14"/>
  <c r="H252" i="14"/>
  <c r="I252" i="14"/>
  <c r="G252" i="14"/>
  <c r="F252" i="14"/>
  <c r="E252" i="14"/>
  <c r="D252" i="14"/>
  <c r="C252" i="14"/>
  <c r="L239" i="1" l="1"/>
  <c r="M239" i="1" s="1"/>
  <c r="J239" i="1"/>
  <c r="I239" i="1"/>
  <c r="K239" i="1" s="1"/>
  <c r="H240" i="1" s="1"/>
  <c r="B254" i="14"/>
  <c r="J253" i="14"/>
  <c r="I253" i="14"/>
  <c r="H253" i="14"/>
  <c r="E253" i="14"/>
  <c r="G253" i="14"/>
  <c r="F253" i="14"/>
  <c r="D253" i="14"/>
  <c r="C253" i="14"/>
  <c r="L240" i="1" l="1"/>
  <c r="M240" i="1" s="1"/>
  <c r="J240" i="1"/>
  <c r="I240" i="1"/>
  <c r="K240" i="1" s="1"/>
  <c r="H241" i="1" s="1"/>
  <c r="B255" i="14"/>
  <c r="J254" i="14"/>
  <c r="I254" i="14"/>
  <c r="H254" i="14"/>
  <c r="G254" i="14"/>
  <c r="F254" i="14"/>
  <c r="D254" i="14"/>
  <c r="E254" i="14"/>
  <c r="C254" i="14"/>
  <c r="L241" i="1" l="1"/>
  <c r="M241" i="1" s="1"/>
  <c r="J241" i="1"/>
  <c r="I241" i="1"/>
  <c r="K241" i="1" s="1"/>
  <c r="H242" i="1" s="1"/>
  <c r="B256" i="14"/>
  <c r="J255" i="14"/>
  <c r="I255" i="14"/>
  <c r="H255" i="14"/>
  <c r="G255" i="14"/>
  <c r="F255" i="14"/>
  <c r="D255" i="14"/>
  <c r="E255" i="14"/>
  <c r="C255" i="14"/>
  <c r="L242" i="1" l="1"/>
  <c r="M242" i="1" s="1"/>
  <c r="J242" i="1"/>
  <c r="I242" i="1"/>
  <c r="K242" i="1" s="1"/>
  <c r="H243" i="1" s="1"/>
  <c r="B257" i="14"/>
  <c r="J256" i="14"/>
  <c r="I256" i="14"/>
  <c r="G256" i="14"/>
  <c r="H256" i="14"/>
  <c r="F256" i="14"/>
  <c r="E256" i="14"/>
  <c r="D256" i="14"/>
  <c r="C256" i="14"/>
  <c r="L243" i="1" l="1"/>
  <c r="M243" i="1" s="1"/>
  <c r="J243" i="1"/>
  <c r="I243" i="1"/>
  <c r="K243" i="1" s="1"/>
  <c r="H244" i="1" s="1"/>
  <c r="B258" i="14"/>
  <c r="J257" i="14"/>
  <c r="I257" i="14"/>
  <c r="H257" i="14"/>
  <c r="F257" i="14"/>
  <c r="G257" i="14"/>
  <c r="D257" i="14"/>
  <c r="E257" i="14"/>
  <c r="C257" i="14"/>
  <c r="L244" i="1" l="1"/>
  <c r="M244" i="1" s="1"/>
  <c r="J244" i="1"/>
  <c r="I244" i="1"/>
  <c r="K244" i="1" s="1"/>
  <c r="H245" i="1" s="1"/>
  <c r="B259" i="14"/>
  <c r="J258" i="14"/>
  <c r="H258" i="14"/>
  <c r="I258" i="14"/>
  <c r="G258" i="14"/>
  <c r="D258" i="14"/>
  <c r="F258" i="14"/>
  <c r="E258" i="14"/>
  <c r="C258" i="14"/>
  <c r="L245" i="1" l="1"/>
  <c r="M245" i="1" s="1"/>
  <c r="J245" i="1"/>
  <c r="I245" i="1"/>
  <c r="K245" i="1" s="1"/>
  <c r="H246" i="1" s="1"/>
  <c r="B260" i="14"/>
  <c r="J259" i="14"/>
  <c r="I259" i="14"/>
  <c r="H259" i="14"/>
  <c r="G259" i="14"/>
  <c r="E259" i="14"/>
  <c r="F259" i="14"/>
  <c r="D259" i="14"/>
  <c r="C259" i="14"/>
  <c r="I246" i="1" l="1"/>
  <c r="K246" i="1" s="1"/>
  <c r="H247" i="1" s="1"/>
  <c r="L246" i="1"/>
  <c r="M246" i="1" s="1"/>
  <c r="J246" i="1"/>
  <c r="B261" i="14"/>
  <c r="J260" i="14"/>
  <c r="I260" i="14"/>
  <c r="H260" i="14"/>
  <c r="G260" i="14"/>
  <c r="E260" i="14"/>
  <c r="F260" i="14"/>
  <c r="D260" i="14"/>
  <c r="C260" i="14"/>
  <c r="I247" i="1" l="1"/>
  <c r="K247" i="1" s="1"/>
  <c r="H248" i="1" s="1"/>
  <c r="L247" i="1"/>
  <c r="M247" i="1" s="1"/>
  <c r="J247" i="1"/>
  <c r="B262" i="14"/>
  <c r="J261" i="14"/>
  <c r="I261" i="14"/>
  <c r="H261" i="14"/>
  <c r="G261" i="14"/>
  <c r="F261" i="14"/>
  <c r="E261" i="14"/>
  <c r="D261" i="14"/>
  <c r="C261" i="14"/>
  <c r="L248" i="1" l="1"/>
  <c r="M248" i="1" s="1"/>
  <c r="J248" i="1"/>
  <c r="I248" i="1"/>
  <c r="K248" i="1" s="1"/>
  <c r="H249" i="1" s="1"/>
  <c r="B263" i="14"/>
  <c r="J262" i="14"/>
  <c r="I262" i="14"/>
  <c r="G262" i="14"/>
  <c r="H262" i="14"/>
  <c r="F262" i="14"/>
  <c r="E262" i="14"/>
  <c r="D262" i="14"/>
  <c r="C262" i="14"/>
  <c r="L249" i="1" l="1"/>
  <c r="M249" i="1" s="1"/>
  <c r="J249" i="1"/>
  <c r="I249" i="1"/>
  <c r="K249" i="1" s="1"/>
  <c r="H250" i="1" s="1"/>
  <c r="B264" i="14"/>
  <c r="J263" i="14"/>
  <c r="I263" i="14"/>
  <c r="H263" i="14"/>
  <c r="F263" i="14"/>
  <c r="G263" i="14"/>
  <c r="E263" i="14"/>
  <c r="D263" i="14"/>
  <c r="C263" i="14"/>
  <c r="L250" i="1" l="1"/>
  <c r="M250" i="1" s="1"/>
  <c r="J250" i="1"/>
  <c r="I250" i="1"/>
  <c r="K250" i="1" s="1"/>
  <c r="H251" i="1" s="1"/>
  <c r="B265" i="14"/>
  <c r="J264" i="14"/>
  <c r="H264" i="14"/>
  <c r="I264" i="14"/>
  <c r="G264" i="14"/>
  <c r="D264" i="14"/>
  <c r="F264" i="14"/>
  <c r="E264" i="14"/>
  <c r="C264" i="14"/>
  <c r="L251" i="1" l="1"/>
  <c r="M251" i="1" s="1"/>
  <c r="J251" i="1"/>
  <c r="I251" i="1"/>
  <c r="K251" i="1" s="1"/>
  <c r="H252" i="1" s="1"/>
  <c r="B266" i="14"/>
  <c r="J265" i="14"/>
  <c r="I265" i="14"/>
  <c r="H265" i="14"/>
  <c r="E265" i="14"/>
  <c r="G265" i="14"/>
  <c r="F265" i="14"/>
  <c r="D265" i="14"/>
  <c r="C265" i="14"/>
  <c r="L252" i="1" l="1"/>
  <c r="M252" i="1" s="1"/>
  <c r="J252" i="1"/>
  <c r="I252" i="1"/>
  <c r="K252" i="1" s="1"/>
  <c r="H253" i="1" s="1"/>
  <c r="B267" i="14"/>
  <c r="J266" i="14"/>
  <c r="I266" i="14"/>
  <c r="H266" i="14"/>
  <c r="G266" i="14"/>
  <c r="F266" i="14"/>
  <c r="E266" i="14"/>
  <c r="D266" i="14"/>
  <c r="C266" i="14"/>
  <c r="L253" i="1" l="1"/>
  <c r="M253" i="1" s="1"/>
  <c r="J253" i="1"/>
  <c r="I253" i="1"/>
  <c r="K253" i="1" s="1"/>
  <c r="H254" i="1" s="1"/>
  <c r="B268" i="14"/>
  <c r="J267" i="14"/>
  <c r="I267" i="14"/>
  <c r="H267" i="14"/>
  <c r="G267" i="14"/>
  <c r="E267" i="14"/>
  <c r="F267" i="14"/>
  <c r="D267" i="14"/>
  <c r="C267" i="14"/>
  <c r="L254" i="1" l="1"/>
  <c r="M254" i="1" s="1"/>
  <c r="J254" i="1"/>
  <c r="I254" i="1"/>
  <c r="K254" i="1" s="1"/>
  <c r="H255" i="1" s="1"/>
  <c r="B269" i="14"/>
  <c r="J268" i="14"/>
  <c r="I268" i="14"/>
  <c r="G268" i="14"/>
  <c r="H268" i="14"/>
  <c r="F268" i="14"/>
  <c r="E268" i="14"/>
  <c r="D268" i="14"/>
  <c r="C268" i="14"/>
  <c r="L255" i="1" l="1"/>
  <c r="M255" i="1" s="1"/>
  <c r="J255" i="1"/>
  <c r="I255" i="1"/>
  <c r="K255" i="1" s="1"/>
  <c r="H256" i="1" s="1"/>
  <c r="B270" i="14"/>
  <c r="J269" i="14"/>
  <c r="I269" i="14"/>
  <c r="H269" i="14"/>
  <c r="F269" i="14"/>
  <c r="G269" i="14"/>
  <c r="E269" i="14"/>
  <c r="D269" i="14"/>
  <c r="C269" i="14"/>
  <c r="L256" i="1" l="1"/>
  <c r="M256" i="1" s="1"/>
  <c r="I256" i="1"/>
  <c r="K256" i="1" s="1"/>
  <c r="H257" i="1" s="1"/>
  <c r="J256" i="1"/>
  <c r="B271" i="14"/>
  <c r="J270" i="14"/>
  <c r="H270" i="14"/>
  <c r="I270" i="14"/>
  <c r="G270" i="14"/>
  <c r="D270" i="14"/>
  <c r="F270" i="14"/>
  <c r="E270" i="14"/>
  <c r="C270" i="14"/>
  <c r="L257" i="1" l="1"/>
  <c r="M257" i="1" s="1"/>
  <c r="J257" i="1"/>
  <c r="I257" i="1"/>
  <c r="K257" i="1" s="1"/>
  <c r="H258" i="1" s="1"/>
  <c r="B272" i="14"/>
  <c r="J271" i="14"/>
  <c r="I271" i="14"/>
  <c r="H271" i="14"/>
  <c r="E271" i="14"/>
  <c r="G271" i="14"/>
  <c r="F271" i="14"/>
  <c r="D271" i="14"/>
  <c r="C271" i="14"/>
  <c r="L258" i="1" l="1"/>
  <c r="M258" i="1" s="1"/>
  <c r="I258" i="1"/>
  <c r="K258" i="1" s="1"/>
  <c r="H259" i="1" s="1"/>
  <c r="J258" i="1"/>
  <c r="B273" i="14"/>
  <c r="J272" i="14"/>
  <c r="I272" i="14"/>
  <c r="H272" i="14"/>
  <c r="G272" i="14"/>
  <c r="F272" i="14"/>
  <c r="E272" i="14"/>
  <c r="D272" i="14"/>
  <c r="C272" i="14"/>
  <c r="L259" i="1" l="1"/>
  <c r="M259" i="1" s="1"/>
  <c r="J259" i="1"/>
  <c r="I259" i="1"/>
  <c r="K259" i="1" s="1"/>
  <c r="H260" i="1" s="1"/>
  <c r="B274" i="14"/>
  <c r="J273" i="14"/>
  <c r="I273" i="14"/>
  <c r="H273" i="14"/>
  <c r="G273" i="14"/>
  <c r="F273" i="14"/>
  <c r="E273" i="14"/>
  <c r="D273" i="14"/>
  <c r="C273" i="14"/>
  <c r="L260" i="1" l="1"/>
  <c r="M260" i="1" s="1"/>
  <c r="J260" i="1"/>
  <c r="I260" i="1"/>
  <c r="K260" i="1" s="1"/>
  <c r="H261" i="1" s="1"/>
  <c r="B275" i="14"/>
  <c r="J274" i="14"/>
  <c r="I274" i="14"/>
  <c r="H274" i="14"/>
  <c r="G274" i="14"/>
  <c r="E274" i="14"/>
  <c r="F274" i="14"/>
  <c r="D274" i="14"/>
  <c r="C274" i="14"/>
  <c r="L261" i="1" l="1"/>
  <c r="M261" i="1" s="1"/>
  <c r="J261" i="1"/>
  <c r="I261" i="1"/>
  <c r="K261" i="1" s="1"/>
  <c r="H262" i="1" s="1"/>
  <c r="B276" i="14"/>
  <c r="J275" i="14"/>
  <c r="I275" i="14"/>
  <c r="H275" i="14"/>
  <c r="F275" i="14"/>
  <c r="G275" i="14"/>
  <c r="E275" i="14"/>
  <c r="C275" i="14"/>
  <c r="D275" i="14"/>
  <c r="L262" i="1" l="1"/>
  <c r="M262" i="1" s="1"/>
  <c r="I262" i="1"/>
  <c r="K262" i="1" s="1"/>
  <c r="H263" i="1" s="1"/>
  <c r="J262" i="1"/>
  <c r="B277" i="14"/>
  <c r="J276" i="14"/>
  <c r="I276" i="14"/>
  <c r="H276" i="14"/>
  <c r="G276" i="14"/>
  <c r="D276" i="14"/>
  <c r="F276" i="14"/>
  <c r="E276" i="14"/>
  <c r="C276" i="14"/>
  <c r="L263" i="1" l="1"/>
  <c r="M263" i="1" s="1"/>
  <c r="J263" i="1"/>
  <c r="I263" i="1"/>
  <c r="K263" i="1" s="1"/>
  <c r="H264" i="1" s="1"/>
  <c r="B278" i="14"/>
  <c r="I277" i="14"/>
  <c r="J277" i="14"/>
  <c r="H277" i="14"/>
  <c r="E277" i="14"/>
  <c r="G277" i="14"/>
  <c r="F277" i="14"/>
  <c r="D277" i="14"/>
  <c r="C277" i="14"/>
  <c r="L264" i="1" l="1"/>
  <c r="M264" i="1" s="1"/>
  <c r="J264" i="1"/>
  <c r="I264" i="1"/>
  <c r="K264" i="1" s="1"/>
  <c r="H265" i="1" s="1"/>
  <c r="B279" i="14"/>
  <c r="J278" i="14"/>
  <c r="I278" i="14"/>
  <c r="H278" i="14"/>
  <c r="G278" i="14"/>
  <c r="F278" i="14"/>
  <c r="E278" i="14"/>
  <c r="D278" i="14"/>
  <c r="C278" i="14"/>
  <c r="L265" i="1" l="1"/>
  <c r="M265" i="1" s="1"/>
  <c r="I265" i="1"/>
  <c r="K265" i="1" s="1"/>
  <c r="H266" i="1" s="1"/>
  <c r="J265" i="1"/>
  <c r="B280" i="14"/>
  <c r="J279" i="14"/>
  <c r="I279" i="14"/>
  <c r="H279" i="14"/>
  <c r="G279" i="14"/>
  <c r="F279" i="14"/>
  <c r="E279" i="14"/>
  <c r="D279" i="14"/>
  <c r="C279" i="14"/>
  <c r="L266" i="1" l="1"/>
  <c r="M266" i="1" s="1"/>
  <c r="J266" i="1"/>
  <c r="I266" i="1"/>
  <c r="K266" i="1" s="1"/>
  <c r="H267" i="1" s="1"/>
  <c r="B281" i="14"/>
  <c r="J280" i="14"/>
  <c r="I280" i="14"/>
  <c r="G280" i="14"/>
  <c r="H280" i="14"/>
  <c r="F280" i="14"/>
  <c r="E280" i="14"/>
  <c r="D280" i="14"/>
  <c r="C280" i="14"/>
  <c r="L267" i="1" l="1"/>
  <c r="M267" i="1" s="1"/>
  <c r="J267" i="1"/>
  <c r="I267" i="1"/>
  <c r="K267" i="1" s="1"/>
  <c r="H268" i="1" s="1"/>
  <c r="B282" i="14"/>
  <c r="J281" i="14"/>
  <c r="I281" i="14"/>
  <c r="H281" i="14"/>
  <c r="G281" i="14"/>
  <c r="F281" i="14"/>
  <c r="E281" i="14"/>
  <c r="D281" i="14"/>
  <c r="C281" i="14"/>
  <c r="L268" i="1" l="1"/>
  <c r="M268" i="1" s="1"/>
  <c r="J268" i="1"/>
  <c r="I268" i="1"/>
  <c r="K268" i="1" s="1"/>
  <c r="H269" i="1" s="1"/>
  <c r="B283" i="14"/>
  <c r="J282" i="14"/>
  <c r="H282" i="14"/>
  <c r="I282" i="14"/>
  <c r="G282" i="14"/>
  <c r="D282" i="14"/>
  <c r="F282" i="14"/>
  <c r="E282" i="14"/>
  <c r="C282" i="14"/>
  <c r="L269" i="1" l="1"/>
  <c r="M269" i="1" s="1"/>
  <c r="I269" i="1"/>
  <c r="K269" i="1" s="1"/>
  <c r="H270" i="1" s="1"/>
  <c r="J269" i="1"/>
  <c r="B284" i="14"/>
  <c r="J283" i="14"/>
  <c r="I283" i="14"/>
  <c r="H283" i="14"/>
  <c r="E283" i="14"/>
  <c r="G283" i="14"/>
  <c r="F283" i="14"/>
  <c r="D283" i="14"/>
  <c r="C283" i="14"/>
  <c r="L270" i="1" l="1"/>
  <c r="M270" i="1" s="1"/>
  <c r="J270" i="1"/>
  <c r="I270" i="1"/>
  <c r="K270" i="1" s="1"/>
  <c r="H271" i="1" s="1"/>
  <c r="B285" i="14"/>
  <c r="J284" i="14"/>
  <c r="I284" i="14"/>
  <c r="H284" i="14"/>
  <c r="G284" i="14"/>
  <c r="F284" i="14"/>
  <c r="D284" i="14"/>
  <c r="E284" i="14"/>
  <c r="C284" i="14"/>
  <c r="L271" i="1" l="1"/>
  <c r="M271" i="1" s="1"/>
  <c r="J271" i="1"/>
  <c r="I271" i="1"/>
  <c r="K271" i="1" s="1"/>
  <c r="H272" i="1" s="1"/>
  <c r="B286" i="14"/>
  <c r="J285" i="14"/>
  <c r="I285" i="14"/>
  <c r="H285" i="14"/>
  <c r="G285" i="14"/>
  <c r="F285" i="14"/>
  <c r="E285" i="14"/>
  <c r="D285" i="14"/>
  <c r="C285" i="14"/>
  <c r="L272" i="1" l="1"/>
  <c r="M272" i="1" s="1"/>
  <c r="I272" i="1"/>
  <c r="K272" i="1" s="1"/>
  <c r="H273" i="1" s="1"/>
  <c r="J272" i="1"/>
  <c r="B287" i="14"/>
  <c r="J286" i="14"/>
  <c r="I286" i="14"/>
  <c r="G286" i="14"/>
  <c r="H286" i="14"/>
  <c r="F286" i="14"/>
  <c r="D286" i="14"/>
  <c r="E286" i="14"/>
  <c r="C286" i="14"/>
  <c r="L273" i="1" l="1"/>
  <c r="M273" i="1" s="1"/>
  <c r="J273" i="1"/>
  <c r="I273" i="1"/>
  <c r="K273" i="1" s="1"/>
  <c r="H274" i="1" s="1"/>
  <c r="B288" i="14"/>
  <c r="J287" i="14"/>
  <c r="I287" i="14"/>
  <c r="H287" i="14"/>
  <c r="F287" i="14"/>
  <c r="G287" i="14"/>
  <c r="E287" i="14"/>
  <c r="D287" i="14"/>
  <c r="C287" i="14"/>
  <c r="L274" i="1" l="1"/>
  <c r="M274" i="1" s="1"/>
  <c r="J274" i="1"/>
  <c r="I274" i="1"/>
  <c r="K274" i="1" s="1"/>
  <c r="H275" i="1" s="1"/>
  <c r="B289" i="14"/>
  <c r="J288" i="14"/>
  <c r="H288" i="14"/>
  <c r="I288" i="14"/>
  <c r="G288" i="14"/>
  <c r="F288" i="14"/>
  <c r="E288" i="14"/>
  <c r="D288" i="14"/>
  <c r="C288" i="14"/>
  <c r="L275" i="1" l="1"/>
  <c r="M275" i="1" s="1"/>
  <c r="J275" i="1"/>
  <c r="I275" i="1"/>
  <c r="K275" i="1" s="1"/>
  <c r="H276" i="1" s="1"/>
  <c r="B290" i="14"/>
  <c r="J289" i="14"/>
  <c r="I289" i="14"/>
  <c r="H289" i="14"/>
  <c r="E289" i="14"/>
  <c r="G289" i="14"/>
  <c r="F289" i="14"/>
  <c r="D289" i="14"/>
  <c r="C289" i="14"/>
  <c r="L276" i="1" l="1"/>
  <c r="M276" i="1" s="1"/>
  <c r="J276" i="1"/>
  <c r="I276" i="1"/>
  <c r="K276" i="1" s="1"/>
  <c r="H277" i="1" s="1"/>
  <c r="B291" i="14"/>
  <c r="J290" i="14"/>
  <c r="I290" i="14"/>
  <c r="H290" i="14"/>
  <c r="G290" i="14"/>
  <c r="F290" i="14"/>
  <c r="E290" i="14"/>
  <c r="D290" i="14"/>
  <c r="C290" i="14"/>
  <c r="L277" i="1" l="1"/>
  <c r="M277" i="1" s="1"/>
  <c r="J277" i="1"/>
  <c r="I277" i="1"/>
  <c r="K277" i="1" s="1"/>
  <c r="H278" i="1" s="1"/>
  <c r="B292" i="14"/>
  <c r="J291" i="14"/>
  <c r="I291" i="14"/>
  <c r="H291" i="14"/>
  <c r="G291" i="14"/>
  <c r="F291" i="14"/>
  <c r="E291" i="14"/>
  <c r="D291" i="14"/>
  <c r="C291" i="14"/>
  <c r="L278" i="1" l="1"/>
  <c r="M278" i="1" s="1"/>
  <c r="J278" i="1"/>
  <c r="I278" i="1"/>
  <c r="K278" i="1" s="1"/>
  <c r="H279" i="1" s="1"/>
  <c r="B293" i="14"/>
  <c r="J292" i="14"/>
  <c r="I292" i="14"/>
  <c r="G292" i="14"/>
  <c r="H292" i="14"/>
  <c r="F292" i="14"/>
  <c r="E292" i="14"/>
  <c r="D292" i="14"/>
  <c r="C292" i="14"/>
  <c r="L279" i="1" l="1"/>
  <c r="M279" i="1" s="1"/>
  <c r="J279" i="1"/>
  <c r="I279" i="1"/>
  <c r="K279" i="1" s="1"/>
  <c r="H280" i="1" s="1"/>
  <c r="B294" i="14"/>
  <c r="J293" i="14"/>
  <c r="I293" i="14"/>
  <c r="H293" i="14"/>
  <c r="F293" i="14"/>
  <c r="G293" i="14"/>
  <c r="E293" i="14"/>
  <c r="D293" i="14"/>
  <c r="C293" i="14"/>
  <c r="L280" i="1" l="1"/>
  <c r="M280" i="1" s="1"/>
  <c r="J280" i="1"/>
  <c r="I280" i="1"/>
  <c r="K280" i="1" s="1"/>
  <c r="H281" i="1" s="1"/>
  <c r="B295" i="14"/>
  <c r="H294" i="14"/>
  <c r="I294" i="14"/>
  <c r="J294" i="14"/>
  <c r="G294" i="14"/>
  <c r="D294" i="14"/>
  <c r="F294" i="14"/>
  <c r="E294" i="14"/>
  <c r="C294" i="14"/>
  <c r="L281" i="1" l="1"/>
  <c r="M281" i="1" s="1"/>
  <c r="I281" i="1"/>
  <c r="K281" i="1" s="1"/>
  <c r="H282" i="1" s="1"/>
  <c r="J281" i="1"/>
  <c r="B296" i="14"/>
  <c r="J295" i="14"/>
  <c r="I295" i="14"/>
  <c r="H295" i="14"/>
  <c r="G295" i="14"/>
  <c r="E295" i="14"/>
  <c r="F295" i="14"/>
  <c r="D295" i="14"/>
  <c r="C295" i="14"/>
  <c r="L282" i="1" l="1"/>
  <c r="M282" i="1" s="1"/>
  <c r="J282" i="1"/>
  <c r="I282" i="1"/>
  <c r="K282" i="1" s="1"/>
  <c r="H283" i="1" s="1"/>
  <c r="B297" i="14"/>
  <c r="J296" i="14"/>
  <c r="I296" i="14"/>
  <c r="H296" i="14"/>
  <c r="G296" i="14"/>
  <c r="E296" i="14"/>
  <c r="F296" i="14"/>
  <c r="D296" i="14"/>
  <c r="C296" i="14"/>
  <c r="L283" i="1" l="1"/>
  <c r="M283" i="1" s="1"/>
  <c r="J283" i="1"/>
  <c r="I283" i="1"/>
  <c r="K283" i="1" s="1"/>
  <c r="H284" i="1" s="1"/>
  <c r="B298" i="14"/>
  <c r="J297" i="14"/>
  <c r="I297" i="14"/>
  <c r="H297" i="14"/>
  <c r="G297" i="14"/>
  <c r="F297" i="14"/>
  <c r="D297" i="14"/>
  <c r="E297" i="14"/>
  <c r="C297" i="14"/>
  <c r="L284" i="1" l="1"/>
  <c r="M284" i="1" s="1"/>
  <c r="J284" i="1"/>
  <c r="I284" i="1"/>
  <c r="K284" i="1" s="1"/>
  <c r="H285" i="1" s="1"/>
  <c r="B299" i="14"/>
  <c r="J298" i="14"/>
  <c r="I298" i="14"/>
  <c r="G298" i="14"/>
  <c r="H298" i="14"/>
  <c r="F298" i="14"/>
  <c r="E298" i="14"/>
  <c r="D298" i="14"/>
  <c r="C298" i="14"/>
  <c r="L285" i="1" l="1"/>
  <c r="M285" i="1" s="1"/>
  <c r="I285" i="1"/>
  <c r="K285" i="1" s="1"/>
  <c r="H286" i="1" s="1"/>
  <c r="J285" i="1"/>
  <c r="B300" i="14"/>
  <c r="J299" i="14"/>
  <c r="I299" i="14"/>
  <c r="H299" i="14"/>
  <c r="F299" i="14"/>
  <c r="G299" i="14"/>
  <c r="E299" i="14"/>
  <c r="D299" i="14"/>
  <c r="C299" i="14"/>
  <c r="L286" i="1" l="1"/>
  <c r="M286" i="1" s="1"/>
  <c r="J286" i="1"/>
  <c r="I286" i="1"/>
  <c r="K286" i="1" s="1"/>
  <c r="H287" i="1" s="1"/>
  <c r="B301" i="14"/>
  <c r="J300" i="14"/>
  <c r="H300" i="14"/>
  <c r="I300" i="14"/>
  <c r="G300" i="14"/>
  <c r="D300" i="14"/>
  <c r="F300" i="14"/>
  <c r="E300" i="14"/>
  <c r="C300" i="14"/>
  <c r="L287" i="1" l="1"/>
  <c r="M287" i="1" s="1"/>
  <c r="J287" i="1"/>
  <c r="I287" i="1"/>
  <c r="K287" i="1" s="1"/>
  <c r="H288" i="1" s="1"/>
  <c r="B302" i="14"/>
  <c r="J301" i="14"/>
  <c r="I301" i="14"/>
  <c r="H301" i="14"/>
  <c r="E301" i="14"/>
  <c r="G301" i="14"/>
  <c r="F301" i="14"/>
  <c r="D301" i="14"/>
  <c r="C301" i="14"/>
  <c r="L288" i="1" l="1"/>
  <c r="M288" i="1" s="1"/>
  <c r="J288" i="1"/>
  <c r="I288" i="1"/>
  <c r="K288" i="1" s="1"/>
  <c r="H289" i="1" s="1"/>
  <c r="B303" i="14"/>
  <c r="J302" i="14"/>
  <c r="I302" i="14"/>
  <c r="H302" i="14"/>
  <c r="G302" i="14"/>
  <c r="F302" i="14"/>
  <c r="E302" i="14"/>
  <c r="D302" i="14"/>
  <c r="C302" i="14"/>
  <c r="L289" i="1" l="1"/>
  <c r="M289" i="1" s="1"/>
  <c r="J289" i="1"/>
  <c r="I289" i="1"/>
  <c r="K289" i="1" s="1"/>
  <c r="H290" i="1" s="1"/>
  <c r="B304" i="14"/>
  <c r="J303" i="14"/>
  <c r="I303" i="14"/>
  <c r="H303" i="14"/>
  <c r="G303" i="14"/>
  <c r="E303" i="14"/>
  <c r="F303" i="14"/>
  <c r="D303" i="14"/>
  <c r="C303" i="14"/>
  <c r="L290" i="1" l="1"/>
  <c r="M290" i="1" s="1"/>
  <c r="J290" i="1"/>
  <c r="I290" i="1"/>
  <c r="K290" i="1" s="1"/>
  <c r="H291" i="1" s="1"/>
  <c r="B305" i="14"/>
  <c r="J304" i="14"/>
  <c r="I304" i="14"/>
  <c r="G304" i="14"/>
  <c r="H304" i="14"/>
  <c r="F304" i="14"/>
  <c r="D304" i="14"/>
  <c r="E304" i="14"/>
  <c r="C304" i="14"/>
  <c r="L291" i="1" l="1"/>
  <c r="M291" i="1" s="1"/>
  <c r="J291" i="1"/>
  <c r="I291" i="1"/>
  <c r="K291" i="1" s="1"/>
  <c r="H292" i="1" s="1"/>
  <c r="B306" i="14"/>
  <c r="J305" i="14"/>
  <c r="I305" i="14"/>
  <c r="H305" i="14"/>
  <c r="F305" i="14"/>
  <c r="G305" i="14"/>
  <c r="D305" i="14"/>
  <c r="E305" i="14"/>
  <c r="C305" i="14"/>
  <c r="L292" i="1" l="1"/>
  <c r="M292" i="1" s="1"/>
  <c r="J292" i="1"/>
  <c r="I292" i="1"/>
  <c r="K292" i="1" s="1"/>
  <c r="H293" i="1" s="1"/>
  <c r="B307" i="14"/>
  <c r="J306" i="14"/>
  <c r="H306" i="14"/>
  <c r="I306" i="14"/>
  <c r="G306" i="14"/>
  <c r="D306" i="14"/>
  <c r="F306" i="14"/>
  <c r="E306" i="14"/>
  <c r="C306" i="14"/>
  <c r="L293" i="1" l="1"/>
  <c r="M293" i="1" s="1"/>
  <c r="I293" i="1"/>
  <c r="K293" i="1" s="1"/>
  <c r="H294" i="1" s="1"/>
  <c r="J293" i="1"/>
  <c r="B308" i="14"/>
  <c r="J307" i="14"/>
  <c r="I307" i="14"/>
  <c r="H307" i="14"/>
  <c r="E307" i="14"/>
  <c r="G307" i="14"/>
  <c r="F307" i="14"/>
  <c r="D307" i="14"/>
  <c r="C307" i="14"/>
  <c r="J294" i="1" l="1"/>
  <c r="L294" i="1"/>
  <c r="M294" i="1" s="1"/>
  <c r="I294" i="1"/>
  <c r="K294" i="1" s="1"/>
  <c r="H295" i="1" s="1"/>
  <c r="B309" i="14"/>
  <c r="J308" i="14"/>
  <c r="I308" i="14"/>
  <c r="H308" i="14"/>
  <c r="G308" i="14"/>
  <c r="F308" i="14"/>
  <c r="E308" i="14"/>
  <c r="D308" i="14"/>
  <c r="C308" i="14"/>
  <c r="L295" i="1" l="1"/>
  <c r="M295" i="1" s="1"/>
  <c r="J295" i="1"/>
  <c r="I295" i="1"/>
  <c r="K295" i="1" s="1"/>
  <c r="H296" i="1" s="1"/>
  <c r="B310" i="14"/>
  <c r="J309" i="14"/>
  <c r="I309" i="14"/>
  <c r="H309" i="14"/>
  <c r="G309" i="14"/>
  <c r="F309" i="14"/>
  <c r="D309" i="14"/>
  <c r="E309" i="14"/>
  <c r="C309" i="14"/>
  <c r="L296" i="1" l="1"/>
  <c r="M296" i="1" s="1"/>
  <c r="J296" i="1"/>
  <c r="I296" i="1"/>
  <c r="K296" i="1" s="1"/>
  <c r="H297" i="1" s="1"/>
  <c r="B311" i="14"/>
  <c r="J310" i="14"/>
  <c r="I310" i="14"/>
  <c r="H310" i="14"/>
  <c r="G310" i="14"/>
  <c r="E310" i="14"/>
  <c r="F310" i="14"/>
  <c r="D310" i="14"/>
  <c r="C310" i="14"/>
  <c r="J297" i="1" l="1"/>
  <c r="L297" i="1"/>
  <c r="M297" i="1" s="1"/>
  <c r="I297" i="1"/>
  <c r="K297" i="1" s="1"/>
  <c r="H298" i="1" s="1"/>
  <c r="B312" i="14"/>
  <c r="J311" i="14"/>
  <c r="I311" i="14"/>
  <c r="H311" i="14"/>
  <c r="F311" i="14"/>
  <c r="G311" i="14"/>
  <c r="E311" i="14"/>
  <c r="D311" i="14"/>
  <c r="C311" i="14"/>
  <c r="L298" i="1" l="1"/>
  <c r="M298" i="1" s="1"/>
  <c r="J298" i="1"/>
  <c r="I298" i="1"/>
  <c r="K298" i="1" s="1"/>
  <c r="H299" i="1" s="1"/>
  <c r="B313" i="14"/>
  <c r="J312" i="14"/>
  <c r="I312" i="14"/>
  <c r="H312" i="14"/>
  <c r="G312" i="14"/>
  <c r="D312" i="14"/>
  <c r="F312" i="14"/>
  <c r="E312" i="14"/>
  <c r="C312" i="14"/>
  <c r="L299" i="1" l="1"/>
  <c r="M299" i="1" s="1"/>
  <c r="I299" i="1"/>
  <c r="K299" i="1" s="1"/>
  <c r="H300" i="1" s="1"/>
  <c r="J299" i="1"/>
  <c r="B314" i="14"/>
  <c r="J313" i="14"/>
  <c r="I313" i="14"/>
  <c r="H313" i="14"/>
  <c r="E313" i="14"/>
  <c r="G313" i="14"/>
  <c r="F313" i="14"/>
  <c r="D313" i="14"/>
  <c r="C313" i="14"/>
  <c r="L300" i="1" l="1"/>
  <c r="M300" i="1" s="1"/>
  <c r="J300" i="1"/>
  <c r="I300" i="1"/>
  <c r="K300" i="1" s="1"/>
  <c r="H301" i="1" s="1"/>
  <c r="B315" i="14"/>
  <c r="J314" i="14"/>
  <c r="I314" i="14"/>
  <c r="H314" i="14"/>
  <c r="G314" i="14"/>
  <c r="F314" i="14"/>
  <c r="E314" i="14"/>
  <c r="D314" i="14"/>
  <c r="C314" i="14"/>
  <c r="L301" i="1" l="1"/>
  <c r="M301" i="1" s="1"/>
  <c r="J301" i="1"/>
  <c r="I301" i="1"/>
  <c r="K301" i="1" s="1"/>
  <c r="H302" i="1" s="1"/>
  <c r="B316" i="14"/>
  <c r="J315" i="14"/>
  <c r="I315" i="14"/>
  <c r="H315" i="14"/>
  <c r="G315" i="14"/>
  <c r="F315" i="14"/>
  <c r="E315" i="14"/>
  <c r="D315" i="14"/>
  <c r="C315" i="14"/>
  <c r="L302" i="1" l="1"/>
  <c r="M302" i="1" s="1"/>
  <c r="J302" i="1"/>
  <c r="I302" i="1"/>
  <c r="K302" i="1" s="1"/>
  <c r="H303" i="1" s="1"/>
  <c r="B317" i="14"/>
  <c r="J316" i="14"/>
  <c r="I316" i="14"/>
  <c r="G316" i="14"/>
  <c r="H316" i="14"/>
  <c r="F316" i="14"/>
  <c r="E316" i="14"/>
  <c r="D316" i="14"/>
  <c r="C316" i="14"/>
  <c r="L303" i="1" l="1"/>
  <c r="M303" i="1" s="1"/>
  <c r="J303" i="1"/>
  <c r="I303" i="1"/>
  <c r="K303" i="1" s="1"/>
  <c r="H304" i="1" s="1"/>
  <c r="B318" i="14"/>
  <c r="J317" i="14"/>
  <c r="I317" i="14"/>
  <c r="H317" i="14"/>
  <c r="G317" i="14"/>
  <c r="F317" i="14"/>
  <c r="E317" i="14"/>
  <c r="D317" i="14"/>
  <c r="C317" i="14"/>
  <c r="L304" i="1" l="1"/>
  <c r="M304" i="1" s="1"/>
  <c r="J304" i="1"/>
  <c r="I304" i="1"/>
  <c r="K304" i="1" s="1"/>
  <c r="H305" i="1" s="1"/>
  <c r="B319" i="14"/>
  <c r="J318" i="14"/>
  <c r="H318" i="14"/>
  <c r="I318" i="14"/>
  <c r="G318" i="14"/>
  <c r="D318" i="14"/>
  <c r="F318" i="14"/>
  <c r="E318" i="14"/>
  <c r="C318" i="14"/>
  <c r="L305" i="1" l="1"/>
  <c r="M305" i="1" s="1"/>
  <c r="J305" i="1"/>
  <c r="I305" i="1"/>
  <c r="K305" i="1" s="1"/>
  <c r="H306" i="1" s="1"/>
  <c r="B320" i="14"/>
  <c r="J319" i="14"/>
  <c r="I319" i="14"/>
  <c r="H319" i="14"/>
  <c r="E319" i="14"/>
  <c r="G319" i="14"/>
  <c r="F319" i="14"/>
  <c r="D319" i="14"/>
  <c r="C319" i="14"/>
  <c r="L306" i="1" l="1"/>
  <c r="M306" i="1" s="1"/>
  <c r="I306" i="1"/>
  <c r="K306" i="1" s="1"/>
  <c r="H307" i="1" s="1"/>
  <c r="J306" i="1"/>
  <c r="B321" i="14"/>
  <c r="J320" i="14"/>
  <c r="I320" i="14"/>
  <c r="H320" i="14"/>
  <c r="G320" i="14"/>
  <c r="F320" i="14"/>
  <c r="E320" i="14"/>
  <c r="D320" i="14"/>
  <c r="C320" i="14"/>
  <c r="L307" i="1" l="1"/>
  <c r="M307" i="1" s="1"/>
  <c r="J307" i="1"/>
  <c r="I307" i="1"/>
  <c r="K307" i="1" s="1"/>
  <c r="H308" i="1" s="1"/>
  <c r="B322" i="14"/>
  <c r="J321" i="14"/>
  <c r="I321" i="14"/>
  <c r="H321" i="14"/>
  <c r="G321" i="14"/>
  <c r="F321" i="14"/>
  <c r="E321" i="14"/>
  <c r="D321" i="14"/>
  <c r="C321" i="14"/>
  <c r="L308" i="1" l="1"/>
  <c r="M308" i="1" s="1"/>
  <c r="J308" i="1"/>
  <c r="I308" i="1"/>
  <c r="K308" i="1" s="1"/>
  <c r="H309" i="1" s="1"/>
  <c r="B323" i="14"/>
  <c r="J322" i="14"/>
  <c r="I322" i="14"/>
  <c r="G322" i="14"/>
  <c r="H322" i="14"/>
  <c r="F322" i="14"/>
  <c r="E322" i="14"/>
  <c r="D322" i="14"/>
  <c r="C322" i="14"/>
  <c r="L309" i="1" l="1"/>
  <c r="M309" i="1" s="1"/>
  <c r="I309" i="1"/>
  <c r="K309" i="1" s="1"/>
  <c r="H310" i="1" s="1"/>
  <c r="J309" i="1"/>
  <c r="B324" i="14"/>
  <c r="J323" i="14"/>
  <c r="I323" i="14"/>
  <c r="H323" i="14"/>
  <c r="F323" i="14"/>
  <c r="G323" i="14"/>
  <c r="E323" i="14"/>
  <c r="D323" i="14"/>
  <c r="C323" i="14"/>
  <c r="L310" i="1" l="1"/>
  <c r="M310" i="1" s="1"/>
  <c r="J310" i="1"/>
  <c r="I310" i="1"/>
  <c r="K310" i="1" s="1"/>
  <c r="H311" i="1" s="1"/>
  <c r="B325" i="14"/>
  <c r="J324" i="14"/>
  <c r="H324" i="14"/>
  <c r="I324" i="14"/>
  <c r="G324" i="14"/>
  <c r="F324" i="14"/>
  <c r="E324" i="14"/>
  <c r="D324" i="14"/>
  <c r="C324" i="14"/>
  <c r="L311" i="1" l="1"/>
  <c r="M311" i="1" s="1"/>
  <c r="J311" i="1"/>
  <c r="I311" i="1"/>
  <c r="K311" i="1" s="1"/>
  <c r="H312" i="1" s="1"/>
  <c r="B326" i="14"/>
  <c r="J325" i="14"/>
  <c r="I325" i="14"/>
  <c r="H325" i="14"/>
  <c r="E325" i="14"/>
  <c r="G325" i="14"/>
  <c r="F325" i="14"/>
  <c r="D325" i="14"/>
  <c r="C325" i="14"/>
  <c r="L312" i="1" l="1"/>
  <c r="M312" i="1" s="1"/>
  <c r="I312" i="1"/>
  <c r="K312" i="1" s="1"/>
  <c r="H313" i="1" s="1"/>
  <c r="J312" i="1"/>
  <c r="B327" i="14"/>
  <c r="J326" i="14"/>
  <c r="I326" i="14"/>
  <c r="H326" i="14"/>
  <c r="G326" i="14"/>
  <c r="F326" i="14"/>
  <c r="E326" i="14"/>
  <c r="D326" i="14"/>
  <c r="C326" i="14"/>
  <c r="L313" i="1" l="1"/>
  <c r="M313" i="1" s="1"/>
  <c r="J313" i="1"/>
  <c r="I313" i="1"/>
  <c r="K313" i="1" s="1"/>
  <c r="H314" i="1" s="1"/>
  <c r="B328" i="14"/>
  <c r="J327" i="14"/>
  <c r="I327" i="14"/>
  <c r="H327" i="14"/>
  <c r="G327" i="14"/>
  <c r="F327" i="14"/>
  <c r="D327" i="14"/>
  <c r="E327" i="14"/>
  <c r="C327" i="14"/>
  <c r="L314" i="1" l="1"/>
  <c r="M314" i="1" s="1"/>
  <c r="J314" i="1"/>
  <c r="I314" i="1"/>
  <c r="K314" i="1" s="1"/>
  <c r="H315" i="1" s="1"/>
  <c r="B329" i="14"/>
  <c r="J328" i="14"/>
  <c r="I328" i="14"/>
  <c r="G328" i="14"/>
  <c r="H328" i="14"/>
  <c r="F328" i="14"/>
  <c r="E328" i="14"/>
  <c r="D328" i="14"/>
  <c r="C328" i="14"/>
  <c r="L315" i="1" l="1"/>
  <c r="M315" i="1" s="1"/>
  <c r="I315" i="1"/>
  <c r="K315" i="1" s="1"/>
  <c r="H316" i="1" s="1"/>
  <c r="J315" i="1"/>
  <c r="B330" i="14"/>
  <c r="I329" i="14"/>
  <c r="J329" i="14"/>
  <c r="H329" i="14"/>
  <c r="F329" i="14"/>
  <c r="G329" i="14"/>
  <c r="E329" i="14"/>
  <c r="D329" i="14"/>
  <c r="C329" i="14"/>
  <c r="L316" i="1" l="1"/>
  <c r="M316" i="1" s="1"/>
  <c r="J316" i="1"/>
  <c r="I316" i="1"/>
  <c r="K316" i="1" s="1"/>
  <c r="H317" i="1" s="1"/>
  <c r="B331" i="14"/>
  <c r="J330" i="14"/>
  <c r="H330" i="14"/>
  <c r="I330" i="14"/>
  <c r="G330" i="14"/>
  <c r="D330" i="14"/>
  <c r="F330" i="14"/>
  <c r="E330" i="14"/>
  <c r="C330" i="14"/>
  <c r="L317" i="1" l="1"/>
  <c r="M317" i="1" s="1"/>
  <c r="J317" i="1"/>
  <c r="I317" i="1"/>
  <c r="K317" i="1" s="1"/>
  <c r="H318" i="1" s="1"/>
  <c r="B332" i="14"/>
  <c r="J331" i="14"/>
  <c r="I331" i="14"/>
  <c r="H331" i="14"/>
  <c r="G331" i="14"/>
  <c r="E331" i="14"/>
  <c r="F331" i="14"/>
  <c r="D331" i="14"/>
  <c r="C331" i="14"/>
  <c r="L318" i="1" l="1"/>
  <c r="M318" i="1" s="1"/>
  <c r="I318" i="1"/>
  <c r="K318" i="1" s="1"/>
  <c r="H319" i="1" s="1"/>
  <c r="J318" i="1"/>
  <c r="B333" i="14"/>
  <c r="J332" i="14"/>
  <c r="I332" i="14"/>
  <c r="H332" i="14"/>
  <c r="G332" i="14"/>
  <c r="E332" i="14"/>
  <c r="F332" i="14"/>
  <c r="D332" i="14"/>
  <c r="C332" i="14"/>
  <c r="L319" i="1" l="1"/>
  <c r="M319" i="1" s="1"/>
  <c r="J319" i="1"/>
  <c r="I319" i="1"/>
  <c r="K319" i="1" s="1"/>
  <c r="H320" i="1" s="1"/>
  <c r="B334" i="14"/>
  <c r="J333" i="14"/>
  <c r="I333" i="14"/>
  <c r="H333" i="14"/>
  <c r="G333" i="14"/>
  <c r="F333" i="14"/>
  <c r="E333" i="14"/>
  <c r="D333" i="14"/>
  <c r="C333" i="14"/>
  <c r="L320" i="1" l="1"/>
  <c r="M320" i="1" s="1"/>
  <c r="J320" i="1"/>
  <c r="I320" i="1"/>
  <c r="K320" i="1" s="1"/>
  <c r="H321" i="1" s="1"/>
  <c r="B335" i="14"/>
  <c r="J334" i="14"/>
  <c r="I334" i="14"/>
  <c r="G334" i="14"/>
  <c r="H334" i="14"/>
  <c r="F334" i="14"/>
  <c r="E334" i="14"/>
  <c r="D334" i="14"/>
  <c r="C334" i="14"/>
  <c r="L321" i="1" l="1"/>
  <c r="M321" i="1" s="1"/>
  <c r="J321" i="1"/>
  <c r="I321" i="1"/>
  <c r="K321" i="1" s="1"/>
  <c r="H322" i="1" s="1"/>
  <c r="B336" i="14"/>
  <c r="J335" i="14"/>
  <c r="I335" i="14"/>
  <c r="H335" i="14"/>
  <c r="F335" i="14"/>
  <c r="G335" i="14"/>
  <c r="E335" i="14"/>
  <c r="C335" i="14"/>
  <c r="D335" i="14"/>
  <c r="L322" i="1" l="1"/>
  <c r="M322" i="1" s="1"/>
  <c r="J322" i="1"/>
  <c r="I322" i="1"/>
  <c r="K322" i="1" s="1"/>
  <c r="H323" i="1" s="1"/>
  <c r="B337" i="14"/>
  <c r="J336" i="14"/>
  <c r="H336" i="14"/>
  <c r="I336" i="14"/>
  <c r="G336" i="14"/>
  <c r="D336" i="14"/>
  <c r="F336" i="14"/>
  <c r="E336" i="14"/>
  <c r="C336" i="14"/>
  <c r="L323" i="1" l="1"/>
  <c r="M323" i="1" s="1"/>
  <c r="J323" i="1"/>
  <c r="I323" i="1"/>
  <c r="K323" i="1" s="1"/>
  <c r="H324" i="1" s="1"/>
  <c r="B338" i="14"/>
  <c r="I337" i="14"/>
  <c r="J337" i="14"/>
  <c r="H337" i="14"/>
  <c r="E337" i="14"/>
  <c r="G337" i="14"/>
  <c r="F337" i="14"/>
  <c r="D337" i="14"/>
  <c r="C337" i="14"/>
  <c r="L324" i="1" l="1"/>
  <c r="M324" i="1" s="1"/>
  <c r="J324" i="1"/>
  <c r="I324" i="1"/>
  <c r="K324" i="1" s="1"/>
  <c r="H325" i="1" s="1"/>
  <c r="B339" i="14"/>
  <c r="J338" i="14"/>
  <c r="I338" i="14"/>
  <c r="H338" i="14"/>
  <c r="G338" i="14"/>
  <c r="F338" i="14"/>
  <c r="D338" i="14"/>
  <c r="E338" i="14"/>
  <c r="C338" i="14"/>
  <c r="L325" i="1" l="1"/>
  <c r="M325" i="1" s="1"/>
  <c r="J325" i="1"/>
  <c r="I325" i="1"/>
  <c r="K325" i="1" s="1"/>
  <c r="H326" i="1" s="1"/>
  <c r="B340" i="14"/>
  <c r="J339" i="14"/>
  <c r="I339" i="14"/>
  <c r="H339" i="14"/>
  <c r="G339" i="14"/>
  <c r="E339" i="14"/>
  <c r="F339" i="14"/>
  <c r="D339" i="14"/>
  <c r="C339" i="14"/>
  <c r="L326" i="1" l="1"/>
  <c r="M326" i="1" s="1"/>
  <c r="J326" i="1"/>
  <c r="I326" i="1"/>
  <c r="K326" i="1" s="1"/>
  <c r="H327" i="1" s="1"/>
  <c r="B341" i="14"/>
  <c r="J340" i="14"/>
  <c r="I340" i="14"/>
  <c r="G340" i="14"/>
  <c r="H340" i="14"/>
  <c r="F340" i="14"/>
  <c r="E340" i="14"/>
  <c r="D340" i="14"/>
  <c r="C340" i="14"/>
  <c r="L327" i="1" l="1"/>
  <c r="M327" i="1" s="1"/>
  <c r="J327" i="1"/>
  <c r="I327" i="1"/>
  <c r="K327" i="1" s="1"/>
  <c r="H328" i="1" s="1"/>
  <c r="B342" i="14"/>
  <c r="J341" i="14"/>
  <c r="I341" i="14"/>
  <c r="H341" i="14"/>
  <c r="F341" i="14"/>
  <c r="G341" i="14"/>
  <c r="E341" i="14"/>
  <c r="D341" i="14"/>
  <c r="C341" i="14"/>
  <c r="L328" i="1" l="1"/>
  <c r="M328" i="1" s="1"/>
  <c r="J328" i="1"/>
  <c r="I328" i="1"/>
  <c r="K328" i="1" s="1"/>
  <c r="H329" i="1" s="1"/>
  <c r="B343" i="14"/>
  <c r="J342" i="14"/>
  <c r="H342" i="14"/>
  <c r="I342" i="14"/>
  <c r="G342" i="14"/>
  <c r="D342" i="14"/>
  <c r="F342" i="14"/>
  <c r="E342" i="14"/>
  <c r="C342" i="14"/>
  <c r="L329" i="1" l="1"/>
  <c r="M329" i="1" s="1"/>
  <c r="J329" i="1"/>
  <c r="I329" i="1"/>
  <c r="K329" i="1" s="1"/>
  <c r="H330" i="1" s="1"/>
  <c r="B344" i="14"/>
  <c r="J343" i="14"/>
  <c r="I343" i="14"/>
  <c r="H343" i="14"/>
  <c r="E343" i="14"/>
  <c r="G343" i="14"/>
  <c r="F343" i="14"/>
  <c r="D343" i="14"/>
  <c r="C343" i="14"/>
  <c r="L330" i="1" l="1"/>
  <c r="M330" i="1" s="1"/>
  <c r="J330" i="1"/>
  <c r="I330" i="1"/>
  <c r="K330" i="1" s="1"/>
  <c r="H331" i="1" s="1"/>
  <c r="B345" i="14"/>
  <c r="J344" i="14"/>
  <c r="I344" i="14"/>
  <c r="H344" i="14"/>
  <c r="G344" i="14"/>
  <c r="F344" i="14"/>
  <c r="D344" i="14"/>
  <c r="E344" i="14"/>
  <c r="C344" i="14"/>
  <c r="L331" i="1" l="1"/>
  <c r="M331" i="1" s="1"/>
  <c r="J331" i="1"/>
  <c r="I331" i="1"/>
  <c r="K331" i="1" s="1"/>
  <c r="H332" i="1" s="1"/>
  <c r="B346" i="14"/>
  <c r="J345" i="14"/>
  <c r="I345" i="14"/>
  <c r="H345" i="14"/>
  <c r="G345" i="14"/>
  <c r="F345" i="14"/>
  <c r="E345" i="14"/>
  <c r="D345" i="14"/>
  <c r="C345" i="14"/>
  <c r="L332" i="1" l="1"/>
  <c r="M332" i="1" s="1"/>
  <c r="J332" i="1"/>
  <c r="I332" i="1"/>
  <c r="K332" i="1" s="1"/>
  <c r="H333" i="1" s="1"/>
  <c r="B347" i="14"/>
  <c r="J346" i="14"/>
  <c r="I346" i="14"/>
  <c r="H346" i="14"/>
  <c r="G346" i="14"/>
  <c r="E346" i="14"/>
  <c r="F346" i="14"/>
  <c r="D346" i="14"/>
  <c r="C346" i="14"/>
  <c r="L333" i="1" l="1"/>
  <c r="M333" i="1" s="1"/>
  <c r="J333" i="1"/>
  <c r="I333" i="1"/>
  <c r="K333" i="1" s="1"/>
  <c r="H334" i="1" s="1"/>
  <c r="B348" i="14"/>
  <c r="J347" i="14"/>
  <c r="I347" i="14"/>
  <c r="H347" i="14"/>
  <c r="F347" i="14"/>
  <c r="G347" i="14"/>
  <c r="D347" i="14"/>
  <c r="E347" i="14"/>
  <c r="C347" i="14"/>
  <c r="L334" i="1" l="1"/>
  <c r="M334" i="1" s="1"/>
  <c r="J334" i="1"/>
  <c r="I334" i="1"/>
  <c r="K334" i="1" s="1"/>
  <c r="H335" i="1" s="1"/>
  <c r="B349" i="14"/>
  <c r="J348" i="14"/>
  <c r="I348" i="14"/>
  <c r="H348" i="14"/>
  <c r="G348" i="14"/>
  <c r="D348" i="14"/>
  <c r="F348" i="14"/>
  <c r="E348" i="14"/>
  <c r="C348" i="14"/>
  <c r="L335" i="1" l="1"/>
  <c r="M335" i="1" s="1"/>
  <c r="J335" i="1"/>
  <c r="I335" i="1"/>
  <c r="K335" i="1" s="1"/>
  <c r="H336" i="1" s="1"/>
  <c r="B350" i="14"/>
  <c r="J349" i="14"/>
  <c r="I349" i="14"/>
  <c r="H349" i="14"/>
  <c r="E349" i="14"/>
  <c r="G349" i="14"/>
  <c r="F349" i="14"/>
  <c r="D349" i="14"/>
  <c r="C349" i="14"/>
  <c r="L336" i="1" l="1"/>
  <c r="M336" i="1" s="1"/>
  <c r="J336" i="1"/>
  <c r="I336" i="1"/>
  <c r="K336" i="1" s="1"/>
  <c r="H337" i="1" s="1"/>
  <c r="B351" i="14"/>
  <c r="J350" i="14"/>
  <c r="I350" i="14"/>
  <c r="H350" i="14"/>
  <c r="G350" i="14"/>
  <c r="F350" i="14"/>
  <c r="E350" i="14"/>
  <c r="D350" i="14"/>
  <c r="C350" i="14"/>
  <c r="I337" i="1" l="1"/>
  <c r="K337" i="1" s="1"/>
  <c r="H338" i="1" s="1"/>
  <c r="L337" i="1"/>
  <c r="M337" i="1" s="1"/>
  <c r="J337" i="1"/>
  <c r="B352" i="14"/>
  <c r="J351" i="14"/>
  <c r="I351" i="14"/>
  <c r="H351" i="14"/>
  <c r="G351" i="14"/>
  <c r="F351" i="14"/>
  <c r="E351" i="14"/>
  <c r="D351" i="14"/>
  <c r="C351" i="14"/>
  <c r="L338" i="1" l="1"/>
  <c r="M338" i="1" s="1"/>
  <c r="I338" i="1"/>
  <c r="K338" i="1" s="1"/>
  <c r="H339" i="1" s="1"/>
  <c r="J338" i="1"/>
  <c r="B353" i="14"/>
  <c r="J352" i="14"/>
  <c r="I352" i="14"/>
  <c r="G352" i="14"/>
  <c r="H352" i="14"/>
  <c r="F352" i="14"/>
  <c r="E352" i="14"/>
  <c r="D352" i="14"/>
  <c r="C352" i="14"/>
  <c r="L339" i="1" l="1"/>
  <c r="M339" i="1" s="1"/>
  <c r="I339" i="1"/>
  <c r="K339" i="1" s="1"/>
  <c r="H340" i="1" s="1"/>
  <c r="J339" i="1"/>
  <c r="B354" i="14"/>
  <c r="J353" i="14"/>
  <c r="I353" i="14"/>
  <c r="H353" i="14"/>
  <c r="G353" i="14"/>
  <c r="F353" i="14"/>
  <c r="E353" i="14"/>
  <c r="D353" i="14"/>
  <c r="C353" i="14"/>
  <c r="L340" i="1" l="1"/>
  <c r="M340" i="1" s="1"/>
  <c r="J340" i="1"/>
  <c r="I340" i="1"/>
  <c r="K340" i="1" s="1"/>
  <c r="H341" i="1" s="1"/>
  <c r="B355" i="14"/>
  <c r="J354" i="14"/>
  <c r="H354" i="14"/>
  <c r="I354" i="14"/>
  <c r="G354" i="14"/>
  <c r="D354" i="14"/>
  <c r="F354" i="14"/>
  <c r="E354" i="14"/>
  <c r="C354" i="14"/>
  <c r="L341" i="1" l="1"/>
  <c r="M341" i="1" s="1"/>
  <c r="J341" i="1"/>
  <c r="I341" i="1"/>
  <c r="K341" i="1" s="1"/>
  <c r="H342" i="1" s="1"/>
  <c r="B356" i="14"/>
  <c r="J355" i="14"/>
  <c r="I355" i="14"/>
  <c r="H355" i="14"/>
  <c r="E355" i="14"/>
  <c r="G355" i="14"/>
  <c r="F355" i="14"/>
  <c r="D355" i="14"/>
  <c r="C355" i="14"/>
  <c r="L342" i="1" l="1"/>
  <c r="M342" i="1" s="1"/>
  <c r="J342" i="1"/>
  <c r="I342" i="1"/>
  <c r="K342" i="1" s="1"/>
  <c r="H343" i="1" s="1"/>
  <c r="B357" i="14"/>
  <c r="J356" i="14"/>
  <c r="I356" i="14"/>
  <c r="H356" i="14"/>
  <c r="G356" i="14"/>
  <c r="F356" i="14"/>
  <c r="D356" i="14"/>
  <c r="E356" i="14"/>
  <c r="C356" i="14"/>
  <c r="L343" i="1" l="1"/>
  <c r="M343" i="1" s="1"/>
  <c r="I343" i="1"/>
  <c r="K343" i="1" s="1"/>
  <c r="H344" i="1" s="1"/>
  <c r="J343" i="1"/>
  <c r="B358" i="14"/>
  <c r="J357" i="14"/>
  <c r="I357" i="14"/>
  <c r="H357" i="14"/>
  <c r="G357" i="14"/>
  <c r="F357" i="14"/>
  <c r="D357" i="14"/>
  <c r="E357" i="14"/>
  <c r="C357" i="14"/>
  <c r="L344" i="1" l="1"/>
  <c r="M344" i="1" s="1"/>
  <c r="J344" i="1"/>
  <c r="I344" i="1"/>
  <c r="K344" i="1" s="1"/>
  <c r="H345" i="1" s="1"/>
  <c r="B359" i="14"/>
  <c r="J358" i="14"/>
  <c r="I358" i="14"/>
  <c r="G358" i="14"/>
  <c r="H358" i="14"/>
  <c r="F358" i="14"/>
  <c r="D358" i="14"/>
  <c r="E358" i="14"/>
  <c r="C358" i="14"/>
  <c r="L345" i="1" l="1"/>
  <c r="M345" i="1" s="1"/>
  <c r="I345" i="1"/>
  <c r="K345" i="1" s="1"/>
  <c r="H346" i="1" s="1"/>
  <c r="J345" i="1"/>
  <c r="B360" i="14"/>
  <c r="J359" i="14"/>
  <c r="I359" i="14"/>
  <c r="H359" i="14"/>
  <c r="F359" i="14"/>
  <c r="G359" i="14"/>
  <c r="E359" i="14"/>
  <c r="D359" i="14"/>
  <c r="C359" i="14"/>
  <c r="L346" i="1" l="1"/>
  <c r="M346" i="1" s="1"/>
  <c r="J346" i="1"/>
  <c r="I346" i="1"/>
  <c r="K346" i="1" s="1"/>
  <c r="H347" i="1" s="1"/>
  <c r="B361" i="14"/>
  <c r="J360" i="14"/>
  <c r="H360" i="14"/>
  <c r="I360" i="14"/>
  <c r="G360" i="14"/>
  <c r="F360" i="14"/>
  <c r="E360" i="14"/>
  <c r="D360" i="14"/>
  <c r="C360" i="14"/>
  <c r="L347" i="1" l="1"/>
  <c r="M347" i="1" s="1"/>
  <c r="J347" i="1"/>
  <c r="I347" i="1"/>
  <c r="K347" i="1" s="1"/>
  <c r="H348" i="1" s="1"/>
  <c r="B362" i="14"/>
  <c r="J361" i="14"/>
  <c r="I361" i="14"/>
  <c r="H361" i="14"/>
  <c r="E361" i="14"/>
  <c r="G361" i="14"/>
  <c r="F361" i="14"/>
  <c r="D361" i="14"/>
  <c r="C361" i="14"/>
  <c r="L348" i="1" l="1"/>
  <c r="M348" i="1" s="1"/>
  <c r="J348" i="1"/>
  <c r="I348" i="1"/>
  <c r="K348" i="1" s="1"/>
  <c r="H349" i="1" s="1"/>
  <c r="B363" i="14"/>
  <c r="J362" i="14"/>
  <c r="I362" i="14"/>
  <c r="H362" i="14"/>
  <c r="G362" i="14"/>
  <c r="F362" i="14"/>
  <c r="D362" i="14"/>
  <c r="E362" i="14"/>
  <c r="C362" i="14"/>
  <c r="L349" i="1" l="1"/>
  <c r="M349" i="1" s="1"/>
  <c r="J349" i="1"/>
  <c r="I349" i="1"/>
  <c r="K349" i="1" s="1"/>
  <c r="H350" i="1" s="1"/>
  <c r="B364" i="14"/>
  <c r="J363" i="14"/>
  <c r="I363" i="14"/>
  <c r="H363" i="14"/>
  <c r="G363" i="14"/>
  <c r="F363" i="14"/>
  <c r="E363" i="14"/>
  <c r="D363" i="14"/>
  <c r="C363" i="14"/>
  <c r="L350" i="1" l="1"/>
  <c r="M350" i="1" s="1"/>
  <c r="J350" i="1"/>
  <c r="I350" i="1"/>
  <c r="K350" i="1" s="1"/>
  <c r="H351" i="1" s="1"/>
  <c r="B365" i="14"/>
  <c r="J364" i="14"/>
  <c r="I364" i="14"/>
  <c r="G364" i="14"/>
  <c r="H364" i="14"/>
  <c r="F364" i="14"/>
  <c r="E364" i="14"/>
  <c r="D364" i="14"/>
  <c r="C364" i="14"/>
  <c r="L351" i="1" l="1"/>
  <c r="M351" i="1" s="1"/>
  <c r="J351" i="1"/>
  <c r="I351" i="1"/>
  <c r="K351" i="1" s="1"/>
  <c r="H352" i="1" s="1"/>
  <c r="B366" i="14"/>
  <c r="J365" i="14"/>
  <c r="I365" i="14"/>
  <c r="H365" i="14"/>
  <c r="F365" i="14"/>
  <c r="G365" i="14"/>
  <c r="E365" i="14"/>
  <c r="D365" i="14"/>
  <c r="C365" i="14"/>
  <c r="L352" i="1" l="1"/>
  <c r="M352" i="1" s="1"/>
  <c r="J352" i="1"/>
  <c r="I352" i="1"/>
  <c r="K352" i="1" s="1"/>
  <c r="H353" i="1" s="1"/>
  <c r="B367" i="14"/>
  <c r="J366" i="14"/>
  <c r="H366" i="14"/>
  <c r="I366" i="14"/>
  <c r="G366" i="14"/>
  <c r="D366" i="14"/>
  <c r="F366" i="14"/>
  <c r="E366" i="14"/>
  <c r="C366" i="14"/>
  <c r="L353" i="1" l="1"/>
  <c r="M353" i="1" s="1"/>
  <c r="J353" i="1"/>
  <c r="I353" i="1"/>
  <c r="K353" i="1" s="1"/>
  <c r="H354" i="1" s="1"/>
  <c r="B368" i="14"/>
  <c r="J367" i="14"/>
  <c r="I367" i="14"/>
  <c r="H367" i="14"/>
  <c r="G367" i="14"/>
  <c r="E367" i="14"/>
  <c r="F367" i="14"/>
  <c r="D367" i="14"/>
  <c r="C367" i="14"/>
  <c r="L354" i="1" l="1"/>
  <c r="M354" i="1" s="1"/>
  <c r="J354" i="1"/>
  <c r="I354" i="1"/>
  <c r="K354" i="1" s="1"/>
  <c r="H355" i="1" s="1"/>
  <c r="B369" i="14"/>
  <c r="J368" i="14"/>
  <c r="I368" i="14"/>
  <c r="H368" i="14"/>
  <c r="G368" i="14"/>
  <c r="E368" i="14"/>
  <c r="F368" i="14"/>
  <c r="D368" i="14"/>
  <c r="C368" i="14"/>
  <c r="L355" i="1" l="1"/>
  <c r="M355" i="1" s="1"/>
  <c r="J355" i="1"/>
  <c r="I355" i="1"/>
  <c r="K355" i="1" s="1"/>
  <c r="H356" i="1" s="1"/>
  <c r="B370" i="14"/>
  <c r="J369" i="14"/>
  <c r="I369" i="14"/>
  <c r="H369" i="14"/>
  <c r="G369" i="14"/>
  <c r="F369" i="14"/>
  <c r="E369" i="14"/>
  <c r="D369" i="14"/>
  <c r="C369" i="14"/>
  <c r="L356" i="1" l="1"/>
  <c r="M356" i="1" s="1"/>
  <c r="J356" i="1"/>
  <c r="I356" i="1"/>
  <c r="K356" i="1" s="1"/>
  <c r="H357" i="1" s="1"/>
  <c r="B371" i="14"/>
  <c r="J370" i="14"/>
  <c r="I370" i="14"/>
  <c r="G370" i="14"/>
  <c r="H370" i="14"/>
  <c r="F370" i="14"/>
  <c r="E370" i="14"/>
  <c r="D370" i="14"/>
  <c r="C370" i="14"/>
  <c r="L357" i="1" l="1"/>
  <c r="M357" i="1" s="1"/>
  <c r="I357" i="1"/>
  <c r="K357" i="1" s="1"/>
  <c r="H358" i="1" s="1"/>
  <c r="J357" i="1"/>
  <c r="B372" i="14"/>
  <c r="J371" i="14"/>
  <c r="I371" i="14"/>
  <c r="H371" i="14"/>
  <c r="F371" i="14"/>
  <c r="G371" i="14"/>
  <c r="E371" i="14"/>
  <c r="C371" i="14"/>
  <c r="D371" i="14"/>
  <c r="L358" i="1" l="1"/>
  <c r="M358" i="1" s="1"/>
  <c r="J358" i="1"/>
  <c r="I358" i="1"/>
  <c r="K358" i="1" s="1"/>
  <c r="H359" i="1" s="1"/>
  <c r="B373" i="14"/>
  <c r="J372" i="14"/>
  <c r="H372" i="14"/>
  <c r="I372" i="14"/>
  <c r="G372" i="14"/>
  <c r="D372" i="14"/>
  <c r="F372" i="14"/>
  <c r="E372" i="14"/>
  <c r="C372" i="14"/>
  <c r="L359" i="1" l="1"/>
  <c r="M359" i="1" s="1"/>
  <c r="J359" i="1"/>
  <c r="I359" i="1"/>
  <c r="K359" i="1" s="1"/>
  <c r="H360" i="1" s="1"/>
  <c r="B374" i="14"/>
  <c r="J373" i="14"/>
  <c r="I373" i="14"/>
  <c r="H373" i="14"/>
  <c r="E373" i="14"/>
  <c r="G373" i="14"/>
  <c r="F373" i="14"/>
  <c r="C373" i="14"/>
  <c r="D373" i="14"/>
  <c r="L360" i="1" l="1"/>
  <c r="M360" i="1" s="1"/>
  <c r="J360" i="1"/>
  <c r="I360" i="1"/>
  <c r="K360" i="1" s="1"/>
  <c r="H361" i="1" s="1"/>
  <c r="B375" i="14"/>
  <c r="J374" i="14"/>
  <c r="I374" i="14"/>
  <c r="H374" i="14"/>
  <c r="G374" i="14"/>
  <c r="F374" i="14"/>
  <c r="E374" i="14"/>
  <c r="C374" i="14"/>
  <c r="D374" i="14"/>
  <c r="L361" i="1" l="1"/>
  <c r="M361" i="1" s="1"/>
  <c r="J361" i="1"/>
  <c r="I361" i="1"/>
  <c r="K361" i="1" s="1"/>
  <c r="H362" i="1" s="1"/>
  <c r="B376" i="14"/>
  <c r="J375" i="14"/>
  <c r="I375" i="14"/>
  <c r="H375" i="14"/>
  <c r="G375" i="14"/>
  <c r="E375" i="14"/>
  <c r="F375" i="14"/>
  <c r="D375" i="14"/>
  <c r="C375" i="14"/>
  <c r="L362" i="1" l="1"/>
  <c r="M362" i="1" s="1"/>
  <c r="J362" i="1"/>
  <c r="I362" i="1"/>
  <c r="K362" i="1" s="1"/>
  <c r="H363" i="1" s="1"/>
  <c r="B377" i="14"/>
  <c r="J376" i="14"/>
  <c r="I376" i="14"/>
  <c r="G376" i="14"/>
  <c r="H376" i="14"/>
  <c r="F376" i="14"/>
  <c r="E376" i="14"/>
  <c r="D376" i="14"/>
  <c r="C376" i="14"/>
  <c r="L363" i="1" l="1"/>
  <c r="M363" i="1" s="1"/>
  <c r="J363" i="1"/>
  <c r="I363" i="1"/>
  <c r="K363" i="1" s="1"/>
  <c r="H364" i="1" s="1"/>
  <c r="B378" i="14"/>
  <c r="J377" i="14"/>
  <c r="I377" i="14"/>
  <c r="H377" i="14"/>
  <c r="F377" i="14"/>
  <c r="G377" i="14"/>
  <c r="E377" i="14"/>
  <c r="D377" i="14"/>
  <c r="C377" i="14"/>
  <c r="L364" i="1" l="1"/>
  <c r="M364" i="1" s="1"/>
  <c r="J364" i="1"/>
  <c r="I364" i="1"/>
  <c r="K364" i="1" s="1"/>
  <c r="H365" i="1" s="1"/>
  <c r="B379" i="14"/>
  <c r="J378" i="14"/>
  <c r="H378" i="14"/>
  <c r="I378" i="14"/>
  <c r="G378" i="14"/>
  <c r="D378" i="14"/>
  <c r="F378" i="14"/>
  <c r="E378" i="14"/>
  <c r="C378" i="14"/>
  <c r="L365" i="1" l="1"/>
  <c r="M365" i="1" s="1"/>
  <c r="J365" i="1"/>
  <c r="I365" i="1"/>
  <c r="K365" i="1" s="1"/>
  <c r="H366" i="1" s="1"/>
  <c r="B380" i="14"/>
  <c r="J379" i="14"/>
  <c r="I379" i="14"/>
  <c r="H379" i="14"/>
  <c r="E379" i="14"/>
  <c r="G379" i="14"/>
  <c r="F379" i="14"/>
  <c r="D379" i="14"/>
  <c r="C379" i="14"/>
  <c r="L366" i="1" l="1"/>
  <c r="M366" i="1" s="1"/>
  <c r="J366" i="1"/>
  <c r="I366" i="1"/>
  <c r="K366" i="1" s="1"/>
  <c r="H367" i="1" s="1"/>
  <c r="B381" i="14"/>
  <c r="I380" i="14"/>
  <c r="J380" i="14"/>
  <c r="H380" i="14"/>
  <c r="G380" i="14"/>
  <c r="F380" i="14"/>
  <c r="E380" i="14"/>
  <c r="C380" i="14"/>
  <c r="D380" i="14"/>
  <c r="L367" i="1" l="1"/>
  <c r="M367" i="1" s="1"/>
  <c r="J367" i="1"/>
  <c r="I367" i="1"/>
  <c r="K367" i="1" s="1"/>
  <c r="H368" i="1" s="1"/>
  <c r="B382" i="14"/>
  <c r="J381" i="14"/>
  <c r="I381" i="14"/>
  <c r="H381" i="14"/>
  <c r="G381" i="14"/>
  <c r="F381" i="14"/>
  <c r="E381" i="14"/>
  <c r="D381" i="14"/>
  <c r="C381" i="14"/>
  <c r="L368" i="1" l="1"/>
  <c r="M368" i="1" s="1"/>
  <c r="J368" i="1"/>
  <c r="I368" i="1"/>
  <c r="K368" i="1" s="1"/>
  <c r="H369" i="1" s="1"/>
  <c r="B383" i="14"/>
  <c r="J382" i="14"/>
  <c r="I382" i="14"/>
  <c r="H382" i="14"/>
  <c r="G382" i="14"/>
  <c r="E382" i="14"/>
  <c r="F382" i="14"/>
  <c r="D382" i="14"/>
  <c r="C382" i="14"/>
  <c r="L369" i="1" l="1"/>
  <c r="M369" i="1" s="1"/>
  <c r="I369" i="1"/>
  <c r="K369" i="1" s="1"/>
  <c r="H370" i="1" s="1"/>
  <c r="J369" i="1"/>
  <c r="B384" i="14"/>
  <c r="J383" i="14"/>
  <c r="I383" i="14"/>
  <c r="H383" i="14"/>
  <c r="F383" i="14"/>
  <c r="G383" i="14"/>
  <c r="E383" i="14"/>
  <c r="C383" i="14"/>
  <c r="D383" i="14"/>
  <c r="L370" i="1" l="1"/>
  <c r="M370" i="1" s="1"/>
  <c r="J370" i="1"/>
  <c r="I370" i="1"/>
  <c r="K370" i="1" s="1"/>
  <c r="H371" i="1" s="1"/>
  <c r="B385" i="14"/>
  <c r="J384" i="14"/>
  <c r="I384" i="14"/>
  <c r="H384" i="14"/>
  <c r="G384" i="14"/>
  <c r="D384" i="14"/>
  <c r="F384" i="14"/>
  <c r="E384" i="14"/>
  <c r="C384" i="14"/>
  <c r="L371" i="1" l="1"/>
  <c r="M371" i="1" s="1"/>
  <c r="J371" i="1"/>
  <c r="I371" i="1"/>
  <c r="K371" i="1" s="1"/>
  <c r="H372" i="1" s="1"/>
  <c r="B386" i="14"/>
  <c r="J385" i="14"/>
  <c r="I385" i="14"/>
  <c r="H385" i="14"/>
  <c r="E385" i="14"/>
  <c r="G385" i="14"/>
  <c r="F385" i="14"/>
  <c r="D385" i="14"/>
  <c r="C385" i="14"/>
  <c r="L372" i="1" l="1"/>
  <c r="M372" i="1" s="1"/>
  <c r="J372" i="1"/>
  <c r="I372" i="1"/>
  <c r="K372" i="1" s="1"/>
  <c r="H373" i="1" s="1"/>
  <c r="B387" i="14"/>
  <c r="J386" i="14"/>
  <c r="I386" i="14"/>
  <c r="H386" i="14"/>
  <c r="G386" i="14"/>
  <c r="F386" i="14"/>
  <c r="E386" i="14"/>
  <c r="D386" i="14"/>
  <c r="C386" i="14"/>
  <c r="L373" i="1" l="1"/>
  <c r="M373" i="1" s="1"/>
  <c r="J373" i="1"/>
  <c r="I373" i="1"/>
  <c r="K373" i="1" s="1"/>
  <c r="H374" i="1" s="1"/>
  <c r="B388" i="14"/>
  <c r="J387" i="14"/>
  <c r="I387" i="14"/>
  <c r="H387" i="14"/>
  <c r="G387" i="14"/>
  <c r="F387" i="14"/>
  <c r="E387" i="14"/>
  <c r="D387" i="14"/>
  <c r="C387" i="14"/>
  <c r="L374" i="1" l="1"/>
  <c r="M374" i="1" s="1"/>
  <c r="J374" i="1"/>
  <c r="I374" i="1"/>
  <c r="K374" i="1" s="1"/>
  <c r="H375" i="1" s="1"/>
  <c r="B389" i="14"/>
  <c r="J388" i="14"/>
  <c r="I388" i="14"/>
  <c r="G388" i="14"/>
  <c r="H388" i="14"/>
  <c r="F388" i="14"/>
  <c r="E388" i="14"/>
  <c r="C388" i="14"/>
  <c r="D388" i="14"/>
  <c r="L375" i="1" l="1"/>
  <c r="M375" i="1" s="1"/>
  <c r="J375" i="1"/>
  <c r="I375" i="1"/>
  <c r="K375" i="1" s="1"/>
  <c r="H376" i="1" s="1"/>
  <c r="B390" i="14"/>
  <c r="J389" i="14"/>
  <c r="I389" i="14"/>
  <c r="H389" i="14"/>
  <c r="G389" i="14"/>
  <c r="F389" i="14"/>
  <c r="E389" i="14"/>
  <c r="D389" i="14"/>
  <c r="C389" i="14"/>
  <c r="L376" i="1" l="1"/>
  <c r="M376" i="1" s="1"/>
  <c r="J376" i="1"/>
  <c r="I376" i="1"/>
  <c r="K376" i="1" s="1"/>
  <c r="H377" i="1" s="1"/>
  <c r="B391" i="14"/>
  <c r="H390" i="14"/>
  <c r="J390" i="14"/>
  <c r="I390" i="14"/>
  <c r="G390" i="14"/>
  <c r="F390" i="14"/>
  <c r="E390" i="14"/>
  <c r="C390" i="14"/>
  <c r="D390" i="14"/>
  <c r="L377" i="1" l="1"/>
  <c r="M377" i="1" s="1"/>
  <c r="J377" i="1"/>
  <c r="I377" i="1"/>
  <c r="K377" i="1" s="1"/>
  <c r="H378" i="1" s="1"/>
  <c r="B392" i="14"/>
  <c r="J391" i="14"/>
  <c r="I391" i="14"/>
  <c r="H391" i="14"/>
  <c r="E391" i="14"/>
  <c r="G391" i="14"/>
  <c r="F391" i="14"/>
  <c r="C391" i="14"/>
  <c r="D391" i="14"/>
  <c r="L378" i="1" l="1"/>
  <c r="M378" i="1" s="1"/>
  <c r="J378" i="1"/>
  <c r="I378" i="1"/>
  <c r="K378" i="1" s="1"/>
  <c r="H379" i="1" s="1"/>
  <c r="B393" i="14"/>
  <c r="J392" i="14"/>
  <c r="I392" i="14"/>
  <c r="H392" i="14"/>
  <c r="G392" i="14"/>
  <c r="F392" i="14"/>
  <c r="E392" i="14"/>
  <c r="D392" i="14"/>
  <c r="C392" i="14"/>
  <c r="L379" i="1" l="1"/>
  <c r="M379" i="1" s="1"/>
  <c r="J379" i="1"/>
  <c r="I379" i="1"/>
  <c r="K379" i="1" s="1"/>
  <c r="H380" i="1" s="1"/>
  <c r="B394" i="14"/>
  <c r="J393" i="14"/>
  <c r="I393" i="14"/>
  <c r="H393" i="14"/>
  <c r="G393" i="14"/>
  <c r="F393" i="14"/>
  <c r="E393" i="14"/>
  <c r="D393" i="14"/>
  <c r="C393" i="14"/>
  <c r="L380" i="1" l="1"/>
  <c r="M380" i="1" s="1"/>
  <c r="I380" i="1"/>
  <c r="K380" i="1" s="1"/>
  <c r="H381" i="1" s="1"/>
  <c r="J380" i="1"/>
  <c r="B395" i="14"/>
  <c r="J394" i="14"/>
  <c r="I394" i="14"/>
  <c r="G394" i="14"/>
  <c r="H394" i="14"/>
  <c r="F394" i="14"/>
  <c r="E394" i="14"/>
  <c r="D394" i="14"/>
  <c r="C394" i="14"/>
  <c r="L381" i="1" l="1"/>
  <c r="M381" i="1" s="1"/>
  <c r="J381" i="1"/>
  <c r="I381" i="1"/>
  <c r="K381" i="1" s="1"/>
  <c r="H382" i="1" s="1"/>
  <c r="B396" i="14"/>
  <c r="J395" i="14"/>
  <c r="I395" i="14"/>
  <c r="H395" i="14"/>
  <c r="F395" i="14"/>
  <c r="G395" i="14"/>
  <c r="D395" i="14"/>
  <c r="E395" i="14"/>
  <c r="C395" i="14"/>
  <c r="I382" i="1" l="1"/>
  <c r="K382" i="1" s="1"/>
  <c r="H383" i="1" s="1"/>
  <c r="L382" i="1"/>
  <c r="M382" i="1" s="1"/>
  <c r="J382" i="1"/>
  <c r="B397" i="14"/>
  <c r="J396" i="14"/>
  <c r="H396" i="14"/>
  <c r="I396" i="14"/>
  <c r="G396" i="14"/>
  <c r="F396" i="14"/>
  <c r="E396" i="14"/>
  <c r="D396" i="14"/>
  <c r="C396" i="14"/>
  <c r="L383" i="1" l="1"/>
  <c r="M383" i="1" s="1"/>
  <c r="J383" i="1"/>
  <c r="I383" i="1"/>
  <c r="K383" i="1" s="1"/>
  <c r="H384" i="1" s="1"/>
  <c r="B398" i="14"/>
  <c r="J397" i="14"/>
  <c r="I397" i="14"/>
  <c r="H397" i="14"/>
  <c r="E397" i="14"/>
  <c r="G397" i="14"/>
  <c r="F397" i="14"/>
  <c r="D397" i="14"/>
  <c r="C397" i="14"/>
  <c r="L384" i="1" l="1"/>
  <c r="M384" i="1" s="1"/>
  <c r="J384" i="1"/>
  <c r="I384" i="1"/>
  <c r="K384" i="1" s="1"/>
  <c r="H385" i="1" s="1"/>
  <c r="B399" i="14"/>
  <c r="I398" i="14"/>
  <c r="J398" i="14"/>
  <c r="H398" i="14"/>
  <c r="G398" i="14"/>
  <c r="F398" i="14"/>
  <c r="E398" i="14"/>
  <c r="D398" i="14"/>
  <c r="C398" i="14"/>
  <c r="L385" i="1" l="1"/>
  <c r="M385" i="1" s="1"/>
  <c r="I385" i="1"/>
  <c r="K385" i="1" s="1"/>
  <c r="H386" i="1" s="1"/>
  <c r="J385" i="1"/>
  <c r="B400" i="14"/>
  <c r="J399" i="14"/>
  <c r="I399" i="14"/>
  <c r="H399" i="14"/>
  <c r="G399" i="14"/>
  <c r="F399" i="14"/>
  <c r="E399" i="14"/>
  <c r="D399" i="14"/>
  <c r="C399" i="14"/>
  <c r="L386" i="1" l="1"/>
  <c r="M386" i="1" s="1"/>
  <c r="J386" i="1"/>
  <c r="I386" i="1"/>
  <c r="K386" i="1" s="1"/>
  <c r="H387" i="1" s="1"/>
  <c r="B401" i="14"/>
  <c r="J400" i="14"/>
  <c r="I400" i="14"/>
  <c r="G400" i="14"/>
  <c r="H400" i="14"/>
  <c r="F400" i="14"/>
  <c r="E400" i="14"/>
  <c r="D400" i="14"/>
  <c r="C400" i="14"/>
  <c r="L387" i="1" l="1"/>
  <c r="M387" i="1" s="1"/>
  <c r="J387" i="1"/>
  <c r="I387" i="1"/>
  <c r="K387" i="1" s="1"/>
  <c r="H388" i="1" s="1"/>
  <c r="B402" i="14"/>
  <c r="J401" i="14"/>
  <c r="I401" i="14"/>
  <c r="H401" i="14"/>
  <c r="F401" i="14"/>
  <c r="G401" i="14"/>
  <c r="D401" i="14"/>
  <c r="E401" i="14"/>
  <c r="C401" i="14"/>
  <c r="L388" i="1" l="1"/>
  <c r="M388" i="1" s="1"/>
  <c r="J388" i="1"/>
  <c r="I388" i="1"/>
  <c r="K388" i="1" s="1"/>
  <c r="H389" i="1" s="1"/>
  <c r="B403" i="14"/>
  <c r="J402" i="14"/>
  <c r="H402" i="14"/>
  <c r="I402" i="14"/>
  <c r="G402" i="14"/>
  <c r="F402" i="14"/>
  <c r="D402" i="14"/>
  <c r="E402" i="14"/>
  <c r="C402" i="14"/>
  <c r="L389" i="1" l="1"/>
  <c r="M389" i="1" s="1"/>
  <c r="J389" i="1"/>
  <c r="I389" i="1"/>
  <c r="K389" i="1" s="1"/>
  <c r="H390" i="1" s="1"/>
  <c r="B404" i="14"/>
  <c r="J403" i="14"/>
  <c r="I403" i="14"/>
  <c r="H403" i="14"/>
  <c r="G403" i="14"/>
  <c r="E403" i="14"/>
  <c r="F403" i="14"/>
  <c r="C403" i="14"/>
  <c r="D403" i="14"/>
  <c r="L390" i="1" l="1"/>
  <c r="M390" i="1" s="1"/>
  <c r="J390" i="1"/>
  <c r="I390" i="1"/>
  <c r="K390" i="1" s="1"/>
  <c r="H391" i="1" s="1"/>
  <c r="J404" i="14"/>
  <c r="I404" i="14"/>
  <c r="H404" i="14"/>
  <c r="G404" i="14"/>
  <c r="E404" i="14"/>
  <c r="F404" i="14"/>
  <c r="C404" i="14"/>
  <c r="B405" i="14"/>
  <c r="D404" i="14"/>
  <c r="L391" i="1" l="1"/>
  <c r="M391" i="1" s="1"/>
  <c r="J391" i="1"/>
  <c r="I391" i="1"/>
  <c r="K391" i="1" s="1"/>
  <c r="H392" i="1" s="1"/>
  <c r="B406" i="14"/>
  <c r="J405" i="14"/>
  <c r="I405" i="14"/>
  <c r="H405" i="14"/>
  <c r="G405" i="14"/>
  <c r="F405" i="14"/>
  <c r="E405" i="14"/>
  <c r="C405" i="14"/>
  <c r="D405" i="14"/>
  <c r="L392" i="1" l="1"/>
  <c r="M392" i="1" s="1"/>
  <c r="J392" i="1"/>
  <c r="I392" i="1"/>
  <c r="K392" i="1" s="1"/>
  <c r="H393" i="1" s="1"/>
  <c r="J406" i="14"/>
  <c r="I406" i="14"/>
  <c r="G406" i="14"/>
  <c r="H406" i="14"/>
  <c r="F406" i="14"/>
  <c r="E406" i="14"/>
  <c r="D406" i="14"/>
  <c r="B407" i="14"/>
  <c r="C406" i="14"/>
  <c r="L393" i="1" l="1"/>
  <c r="M393" i="1" s="1"/>
  <c r="J393" i="1"/>
  <c r="I393" i="1"/>
  <c r="K393" i="1" s="1"/>
  <c r="H394" i="1" s="1"/>
  <c r="J407" i="14"/>
  <c r="I407" i="14"/>
  <c r="H407" i="14"/>
  <c r="F407" i="14"/>
  <c r="G407" i="14"/>
  <c r="D407" i="14"/>
  <c r="E407" i="14"/>
  <c r="C407" i="14"/>
  <c r="B408" i="14"/>
  <c r="L394" i="1" l="1"/>
  <c r="M394" i="1" s="1"/>
  <c r="J394" i="1"/>
  <c r="I394" i="1"/>
  <c r="K394" i="1" s="1"/>
  <c r="H395" i="1" s="1"/>
  <c r="J408" i="14"/>
  <c r="H408" i="14"/>
  <c r="I408" i="14"/>
  <c r="G408" i="14"/>
  <c r="F408" i="14"/>
  <c r="E408" i="14"/>
  <c r="D408" i="14"/>
  <c r="B409" i="14"/>
  <c r="C408" i="14"/>
  <c r="L395" i="1" l="1"/>
  <c r="M395" i="1" s="1"/>
  <c r="J395" i="1"/>
  <c r="I395" i="1"/>
  <c r="K395" i="1" s="1"/>
  <c r="H396" i="1" s="1"/>
  <c r="J409" i="14"/>
  <c r="I409" i="14"/>
  <c r="H409" i="14"/>
  <c r="E409" i="14"/>
  <c r="G409" i="14"/>
  <c r="F409" i="14"/>
  <c r="D409" i="14"/>
  <c r="C409" i="14"/>
  <c r="B410" i="14"/>
  <c r="L396" i="1" l="1"/>
  <c r="M396" i="1" s="1"/>
  <c r="J396" i="1"/>
  <c r="I396" i="1"/>
  <c r="K396" i="1" s="1"/>
  <c r="H397" i="1" s="1"/>
  <c r="J410" i="14"/>
  <c r="I410" i="14"/>
  <c r="H410" i="14"/>
  <c r="G410" i="14"/>
  <c r="F410" i="14"/>
  <c r="E410" i="14"/>
  <c r="D410" i="14"/>
  <c r="B411" i="14"/>
  <c r="C410" i="14"/>
  <c r="L397" i="1" l="1"/>
  <c r="M397" i="1" s="1"/>
  <c r="J397" i="1"/>
  <c r="I397" i="1"/>
  <c r="K397" i="1" s="1"/>
  <c r="H398" i="1" s="1"/>
  <c r="J411" i="14"/>
  <c r="I411" i="14"/>
  <c r="H411" i="14"/>
  <c r="G411" i="14"/>
  <c r="E411" i="14"/>
  <c r="F411" i="14"/>
  <c r="D411" i="14"/>
  <c r="C411" i="14"/>
  <c r="B412" i="14"/>
  <c r="L398" i="1" l="1"/>
  <c r="M398" i="1" s="1"/>
  <c r="J398" i="1"/>
  <c r="I398" i="1"/>
  <c r="K398" i="1" s="1"/>
  <c r="H399" i="1" s="1"/>
  <c r="J412" i="14"/>
  <c r="I412" i="14"/>
  <c r="G412" i="14"/>
  <c r="H412" i="14"/>
  <c r="F412" i="14"/>
  <c r="E412" i="14"/>
  <c r="D412" i="14"/>
  <c r="B413" i="14"/>
  <c r="C412" i="14"/>
  <c r="L399" i="1" l="1"/>
  <c r="M399" i="1" s="1"/>
  <c r="J399" i="1"/>
  <c r="I399" i="1"/>
  <c r="K399" i="1" s="1"/>
  <c r="H400" i="1" s="1"/>
  <c r="J413" i="14"/>
  <c r="I413" i="14"/>
  <c r="H413" i="14"/>
  <c r="F413" i="14"/>
  <c r="G413" i="14"/>
  <c r="D413" i="14"/>
  <c r="E413" i="14"/>
  <c r="C413" i="14"/>
  <c r="B414" i="14"/>
  <c r="L400" i="1" l="1"/>
  <c r="M400" i="1" s="1"/>
  <c r="J400" i="1"/>
  <c r="I400" i="1"/>
  <c r="K400" i="1" s="1"/>
  <c r="H401" i="1" s="1"/>
  <c r="J414" i="14"/>
  <c r="H414" i="14"/>
  <c r="I414" i="14"/>
  <c r="G414" i="14"/>
  <c r="F414" i="14"/>
  <c r="E414" i="14"/>
  <c r="D414" i="14"/>
  <c r="B415" i="14"/>
  <c r="C414" i="14"/>
  <c r="L401" i="1" l="1"/>
  <c r="M401" i="1" s="1"/>
  <c r="J401" i="1"/>
  <c r="I401" i="1"/>
  <c r="K401" i="1" s="1"/>
  <c r="H402" i="1" s="1"/>
  <c r="J415" i="14"/>
  <c r="I415" i="14"/>
  <c r="H415" i="14"/>
  <c r="E415" i="14"/>
  <c r="G415" i="14"/>
  <c r="F415" i="14"/>
  <c r="D415" i="14"/>
  <c r="B416" i="14"/>
  <c r="C415" i="14"/>
  <c r="L402" i="1" l="1"/>
  <c r="M402" i="1" s="1"/>
  <c r="J402" i="1"/>
  <c r="I402" i="1"/>
  <c r="K402" i="1" s="1"/>
  <c r="H403" i="1" s="1"/>
  <c r="J416" i="14"/>
  <c r="I416" i="14"/>
  <c r="H416" i="14"/>
  <c r="G416" i="14"/>
  <c r="F416" i="14"/>
  <c r="E416" i="14"/>
  <c r="D416" i="14"/>
  <c r="B417" i="14"/>
  <c r="C416" i="14"/>
  <c r="L403" i="1" l="1"/>
  <c r="M403" i="1" s="1"/>
  <c r="J403" i="1"/>
  <c r="I403" i="1"/>
  <c r="K403" i="1" s="1"/>
  <c r="H404" i="1" s="1"/>
  <c r="J417" i="14"/>
  <c r="I417" i="14"/>
  <c r="H417" i="14"/>
  <c r="G417" i="14"/>
  <c r="F417" i="14"/>
  <c r="E417" i="14"/>
  <c r="D417" i="14"/>
  <c r="C417" i="14"/>
  <c r="B418" i="14"/>
  <c r="L404" i="1" l="1"/>
  <c r="M404" i="1" s="1"/>
  <c r="J404" i="1"/>
  <c r="I404" i="1"/>
  <c r="K404" i="1" s="1"/>
  <c r="H405" i="1" s="1"/>
  <c r="J418" i="14"/>
  <c r="I418" i="14"/>
  <c r="H418" i="14"/>
  <c r="G418" i="14"/>
  <c r="E418" i="14"/>
  <c r="F418" i="14"/>
  <c r="D418" i="14"/>
  <c r="B419" i="14"/>
  <c r="C418" i="14"/>
  <c r="J405" i="1" l="1"/>
  <c r="L405" i="1"/>
  <c r="M405" i="1" s="1"/>
  <c r="I405" i="1"/>
  <c r="K405" i="1" s="1"/>
  <c r="H406" i="1" s="1"/>
  <c r="J419" i="14"/>
  <c r="I419" i="14"/>
  <c r="H419" i="14"/>
  <c r="F419" i="14"/>
  <c r="G419" i="14"/>
  <c r="D419" i="14"/>
  <c r="E419" i="14"/>
  <c r="C419" i="14"/>
  <c r="B420" i="14"/>
  <c r="L406" i="1" l="1"/>
  <c r="M406" i="1" s="1"/>
  <c r="J406" i="1"/>
  <c r="I406" i="1"/>
  <c r="K406" i="1" s="1"/>
  <c r="H407" i="1" s="1"/>
  <c r="J420" i="14"/>
  <c r="I420" i="14"/>
  <c r="H420" i="14"/>
  <c r="G420" i="14"/>
  <c r="F420" i="14"/>
  <c r="E420" i="14"/>
  <c r="D420" i="14"/>
  <c r="B421" i="14"/>
  <c r="C420" i="14"/>
  <c r="L407" i="1" l="1"/>
  <c r="M407" i="1" s="1"/>
  <c r="J407" i="1"/>
  <c r="I407" i="1"/>
  <c r="K407" i="1" s="1"/>
  <c r="H408" i="1" s="1"/>
  <c r="J421" i="14"/>
  <c r="I421" i="14"/>
  <c r="H421" i="14"/>
  <c r="E421" i="14"/>
  <c r="G421" i="14"/>
  <c r="F421" i="14"/>
  <c r="D421" i="14"/>
  <c r="B422" i="14"/>
  <c r="C421" i="14"/>
  <c r="L408" i="1" l="1"/>
  <c r="M408" i="1" s="1"/>
  <c r="J408" i="1"/>
  <c r="I408" i="1"/>
  <c r="K408" i="1" s="1"/>
  <c r="H409" i="1" s="1"/>
  <c r="J422" i="14"/>
  <c r="I422" i="14"/>
  <c r="H422" i="14"/>
  <c r="G422" i="14"/>
  <c r="F422" i="14"/>
  <c r="E422" i="14"/>
  <c r="D422" i="14"/>
  <c r="B423" i="14"/>
  <c r="C422" i="14"/>
  <c r="L409" i="1" l="1"/>
  <c r="M409" i="1" s="1"/>
  <c r="J409" i="1"/>
  <c r="I409" i="1"/>
  <c r="K409" i="1" s="1"/>
  <c r="H410" i="1" s="1"/>
  <c r="J423" i="14"/>
  <c r="I423" i="14"/>
  <c r="H423" i="14"/>
  <c r="G423" i="14"/>
  <c r="F423" i="14"/>
  <c r="E423" i="14"/>
  <c r="D423" i="14"/>
  <c r="B424" i="14"/>
  <c r="C423" i="14"/>
  <c r="L410" i="1" l="1"/>
  <c r="M410" i="1" s="1"/>
  <c r="J410" i="1"/>
  <c r="I410" i="1"/>
  <c r="K410" i="1" s="1"/>
  <c r="H411" i="1" s="1"/>
  <c r="J424" i="14"/>
  <c r="I424" i="14"/>
  <c r="G424" i="14"/>
  <c r="H424" i="14"/>
  <c r="F424" i="14"/>
  <c r="E424" i="14"/>
  <c r="D424" i="14"/>
  <c r="C424" i="14"/>
  <c r="B425" i="14"/>
  <c r="L411" i="1" l="1"/>
  <c r="M411" i="1" s="1"/>
  <c r="J411" i="1"/>
  <c r="I411" i="1"/>
  <c r="K411" i="1" s="1"/>
  <c r="H412" i="1" s="1"/>
  <c r="J425" i="14"/>
  <c r="I425" i="14"/>
  <c r="H425" i="14"/>
  <c r="G425" i="14"/>
  <c r="F425" i="14"/>
  <c r="E425" i="14"/>
  <c r="D425" i="14"/>
  <c r="C425" i="14"/>
  <c r="B426" i="14"/>
  <c r="L412" i="1" l="1"/>
  <c r="M412" i="1" s="1"/>
  <c r="J412" i="1"/>
  <c r="I412" i="1"/>
  <c r="K412" i="1" s="1"/>
  <c r="H413" i="1" s="1"/>
  <c r="J426" i="14"/>
  <c r="H426" i="14"/>
  <c r="I426" i="14"/>
  <c r="G426" i="14"/>
  <c r="F426" i="14"/>
  <c r="E426" i="14"/>
  <c r="D426" i="14"/>
  <c r="B427" i="14"/>
  <c r="C426" i="14"/>
  <c r="L413" i="1" l="1"/>
  <c r="M413" i="1" s="1"/>
  <c r="J413" i="1"/>
  <c r="I413" i="1"/>
  <c r="K413" i="1" s="1"/>
  <c r="H414" i="1" s="1"/>
  <c r="J427" i="14"/>
  <c r="I427" i="14"/>
  <c r="H427" i="14"/>
  <c r="E427" i="14"/>
  <c r="G427" i="14"/>
  <c r="F427" i="14"/>
  <c r="D427" i="14"/>
  <c r="B428" i="14"/>
  <c r="C427" i="14"/>
  <c r="L414" i="1" l="1"/>
  <c r="M414" i="1" s="1"/>
  <c r="J414" i="1"/>
  <c r="I414" i="1"/>
  <c r="K414" i="1" s="1"/>
  <c r="H415" i="1" s="1"/>
  <c r="J428" i="14"/>
  <c r="I428" i="14"/>
  <c r="H428" i="14"/>
  <c r="G428" i="14"/>
  <c r="F428" i="14"/>
  <c r="E428" i="14"/>
  <c r="D428" i="14"/>
  <c r="C428" i="14"/>
  <c r="B429" i="14"/>
  <c r="L415" i="1" l="1"/>
  <c r="M415" i="1" s="1"/>
  <c r="J415" i="1"/>
  <c r="I415" i="1"/>
  <c r="K415" i="1" s="1"/>
  <c r="H416" i="1" s="1"/>
  <c r="J429" i="14"/>
  <c r="I429" i="14"/>
  <c r="H429" i="14"/>
  <c r="G429" i="14"/>
  <c r="F429" i="14"/>
  <c r="E429" i="14"/>
  <c r="D429" i="14"/>
  <c r="B430" i="14"/>
  <c r="C429" i="14"/>
  <c r="L416" i="1" l="1"/>
  <c r="M416" i="1" s="1"/>
  <c r="J416" i="1"/>
  <c r="I416" i="1"/>
  <c r="K416" i="1" s="1"/>
  <c r="H417" i="1" s="1"/>
  <c r="J430" i="14"/>
  <c r="I430" i="14"/>
  <c r="G430" i="14"/>
  <c r="H430" i="14"/>
  <c r="F430" i="14"/>
  <c r="E430" i="14"/>
  <c r="D430" i="14"/>
  <c r="B431" i="14"/>
  <c r="C430" i="14"/>
  <c r="J417" i="1" l="1"/>
  <c r="L417" i="1"/>
  <c r="M417" i="1" s="1"/>
  <c r="I417" i="1"/>
  <c r="K417" i="1" s="1"/>
  <c r="H418" i="1" s="1"/>
  <c r="J431" i="14"/>
  <c r="I431" i="14"/>
  <c r="H431" i="14"/>
  <c r="F431" i="14"/>
  <c r="G431" i="14"/>
  <c r="E431" i="14"/>
  <c r="D431" i="14"/>
  <c r="C431" i="14"/>
  <c r="B432" i="14"/>
  <c r="L418" i="1" l="1"/>
  <c r="M418" i="1" s="1"/>
  <c r="J418" i="1"/>
  <c r="I418" i="1"/>
  <c r="K418" i="1" s="1"/>
  <c r="H419" i="1" s="1"/>
  <c r="J432" i="14"/>
  <c r="H432" i="14"/>
  <c r="I432" i="14"/>
  <c r="G432" i="14"/>
  <c r="F432" i="14"/>
  <c r="E432" i="14"/>
  <c r="D432" i="14"/>
  <c r="B433" i="14"/>
  <c r="C432" i="14"/>
  <c r="L419" i="1" l="1"/>
  <c r="M419" i="1" s="1"/>
  <c r="J419" i="1"/>
  <c r="I419" i="1"/>
  <c r="K419" i="1" s="1"/>
  <c r="H420" i="1" s="1"/>
  <c r="J433" i="14"/>
  <c r="I433" i="14"/>
  <c r="H433" i="14"/>
  <c r="E433" i="14"/>
  <c r="G433" i="14"/>
  <c r="F433" i="14"/>
  <c r="D433" i="14"/>
  <c r="B434" i="14"/>
  <c r="C433" i="14"/>
  <c r="L420" i="1" l="1"/>
  <c r="M420" i="1" s="1"/>
  <c r="J420" i="1"/>
  <c r="I420" i="1"/>
  <c r="K420" i="1" s="1"/>
  <c r="H421" i="1" s="1"/>
  <c r="J434" i="14"/>
  <c r="I434" i="14"/>
  <c r="H434" i="14"/>
  <c r="G434" i="14"/>
  <c r="F434" i="14"/>
  <c r="E434" i="14"/>
  <c r="D434" i="14"/>
  <c r="B435" i="14"/>
  <c r="C434" i="14"/>
  <c r="L421" i="1" l="1"/>
  <c r="M421" i="1" s="1"/>
  <c r="J421" i="1"/>
  <c r="I421" i="1"/>
  <c r="K421" i="1" s="1"/>
  <c r="H422" i="1" s="1"/>
  <c r="J435" i="14"/>
  <c r="I435" i="14"/>
  <c r="H435" i="14"/>
  <c r="G435" i="14"/>
  <c r="F435" i="14"/>
  <c r="E435" i="14"/>
  <c r="D435" i="14"/>
  <c r="B436" i="14"/>
  <c r="C435" i="14"/>
  <c r="J422" i="1" l="1"/>
  <c r="I422" i="1"/>
  <c r="K422" i="1" s="1"/>
  <c r="H423" i="1" s="1"/>
  <c r="L422" i="1"/>
  <c r="M422" i="1" s="1"/>
  <c r="J436" i="14"/>
  <c r="I436" i="14"/>
  <c r="G436" i="14"/>
  <c r="H436" i="14"/>
  <c r="F436" i="14"/>
  <c r="E436" i="14"/>
  <c r="D436" i="14"/>
  <c r="B437" i="14"/>
  <c r="C436" i="14"/>
  <c r="L423" i="1" l="1"/>
  <c r="M423" i="1" s="1"/>
  <c r="J423" i="1"/>
  <c r="I423" i="1"/>
  <c r="K423" i="1" s="1"/>
  <c r="H424" i="1" s="1"/>
  <c r="J437" i="14"/>
  <c r="I437" i="14"/>
  <c r="H437" i="14"/>
  <c r="F437" i="14"/>
  <c r="G437" i="14"/>
  <c r="D437" i="14"/>
  <c r="E437" i="14"/>
  <c r="B438" i="14"/>
  <c r="C437" i="14"/>
  <c r="L424" i="1" l="1"/>
  <c r="M424" i="1" s="1"/>
  <c r="J424" i="1"/>
  <c r="I424" i="1"/>
  <c r="K424" i="1" s="1"/>
  <c r="H425" i="1" s="1"/>
  <c r="J438" i="14"/>
  <c r="H438" i="14"/>
  <c r="I438" i="14"/>
  <c r="G438" i="14"/>
  <c r="F438" i="14"/>
  <c r="D438" i="14"/>
  <c r="E438" i="14"/>
  <c r="B439" i="14"/>
  <c r="C438" i="14"/>
  <c r="L425" i="1" l="1"/>
  <c r="M425" i="1" s="1"/>
  <c r="J425" i="1"/>
  <c r="I425" i="1"/>
  <c r="K425" i="1" s="1"/>
  <c r="H426" i="1" s="1"/>
  <c r="J439" i="14"/>
  <c r="I439" i="14"/>
  <c r="H439" i="14"/>
  <c r="G439" i="14"/>
  <c r="E439" i="14"/>
  <c r="F439" i="14"/>
  <c r="D439" i="14"/>
  <c r="B440" i="14"/>
  <c r="C439" i="14"/>
  <c r="J426" i="1" l="1"/>
  <c r="I426" i="1"/>
  <c r="K426" i="1" s="1"/>
  <c r="H427" i="1" s="1"/>
  <c r="L426" i="1"/>
  <c r="M426" i="1" s="1"/>
  <c r="J440" i="14"/>
  <c r="I440" i="14"/>
  <c r="H440" i="14"/>
  <c r="G440" i="14"/>
  <c r="E440" i="14"/>
  <c r="F440" i="14"/>
  <c r="D440" i="14"/>
  <c r="B441" i="14"/>
  <c r="C440" i="14"/>
  <c r="L427" i="1" l="1"/>
  <c r="M427" i="1" s="1"/>
  <c r="J427" i="1"/>
  <c r="I427" i="1"/>
  <c r="K427" i="1" s="1"/>
  <c r="H428" i="1" s="1"/>
  <c r="J441" i="14"/>
  <c r="I441" i="14"/>
  <c r="H441" i="14"/>
  <c r="G441" i="14"/>
  <c r="F441" i="14"/>
  <c r="E441" i="14"/>
  <c r="D441" i="14"/>
  <c r="B442" i="14"/>
  <c r="C441" i="14"/>
  <c r="L428" i="1" l="1"/>
  <c r="M428" i="1" s="1"/>
  <c r="J428" i="1"/>
  <c r="I428" i="1"/>
  <c r="K428" i="1" s="1"/>
  <c r="H429" i="1" s="1"/>
  <c r="I442" i="14"/>
  <c r="J442" i="14"/>
  <c r="G442" i="14"/>
  <c r="H442" i="14"/>
  <c r="F442" i="14"/>
  <c r="D442" i="14"/>
  <c r="E442" i="14"/>
  <c r="B443" i="14"/>
  <c r="C442" i="14"/>
  <c r="J429" i="1" l="1"/>
  <c r="L429" i="1"/>
  <c r="M429" i="1" s="1"/>
  <c r="I429" i="1"/>
  <c r="K429" i="1" s="1"/>
  <c r="H430" i="1" s="1"/>
  <c r="J443" i="14"/>
  <c r="I443" i="14"/>
  <c r="H443" i="14"/>
  <c r="F443" i="14"/>
  <c r="G443" i="14"/>
  <c r="D443" i="14"/>
  <c r="E443" i="14"/>
  <c r="C443" i="14"/>
  <c r="B444" i="14"/>
  <c r="L430" i="1" l="1"/>
  <c r="M430" i="1" s="1"/>
  <c r="J430" i="1"/>
  <c r="I430" i="1"/>
  <c r="K430" i="1" s="1"/>
  <c r="H431" i="1" s="1"/>
  <c r="J444" i="14"/>
  <c r="H444" i="14"/>
  <c r="I444" i="14"/>
  <c r="G444" i="14"/>
  <c r="F444" i="14"/>
  <c r="E444" i="14"/>
  <c r="D444" i="14"/>
  <c r="B445" i="14"/>
  <c r="C444" i="14"/>
  <c r="L431" i="1" l="1"/>
  <c r="M431" i="1" s="1"/>
  <c r="J431" i="1"/>
  <c r="I431" i="1"/>
  <c r="K431" i="1" s="1"/>
  <c r="H432" i="1" s="1"/>
  <c r="J445" i="14"/>
  <c r="I445" i="14"/>
  <c r="H445" i="14"/>
  <c r="E445" i="14"/>
  <c r="G445" i="14"/>
  <c r="F445" i="14"/>
  <c r="D445" i="14"/>
  <c r="B446" i="14"/>
  <c r="C445" i="14"/>
  <c r="L432" i="1" l="1"/>
  <c r="M432" i="1" s="1"/>
  <c r="J432" i="1"/>
  <c r="I432" i="1"/>
  <c r="K432" i="1" s="1"/>
  <c r="H433" i="1" s="1"/>
  <c r="J446" i="14"/>
  <c r="I446" i="14"/>
  <c r="H446" i="14"/>
  <c r="G446" i="14"/>
  <c r="F446" i="14"/>
  <c r="E446" i="14"/>
  <c r="D446" i="14"/>
  <c r="C446" i="14"/>
  <c r="B447" i="14"/>
  <c r="L433" i="1" l="1"/>
  <c r="M433" i="1" s="1"/>
  <c r="J433" i="1"/>
  <c r="I433" i="1"/>
  <c r="K433" i="1" s="1"/>
  <c r="H434" i="1" s="1"/>
  <c r="J447" i="14"/>
  <c r="I447" i="14"/>
  <c r="H447" i="14"/>
  <c r="G447" i="14"/>
  <c r="E447" i="14"/>
  <c r="F447" i="14"/>
  <c r="D447" i="14"/>
  <c r="B448" i="14"/>
  <c r="C447" i="14"/>
  <c r="L434" i="1" l="1"/>
  <c r="M434" i="1" s="1"/>
  <c r="J434" i="1"/>
  <c r="I434" i="1"/>
  <c r="K434" i="1" s="1"/>
  <c r="H435" i="1" s="1"/>
  <c r="J448" i="14"/>
  <c r="I448" i="14"/>
  <c r="G448" i="14"/>
  <c r="H448" i="14"/>
  <c r="F448" i="14"/>
  <c r="E448" i="14"/>
  <c r="D448" i="14"/>
  <c r="B449" i="14"/>
  <c r="C448" i="14"/>
  <c r="L435" i="1" l="1"/>
  <c r="M435" i="1" s="1"/>
  <c r="J435" i="1"/>
  <c r="I435" i="1"/>
  <c r="K435" i="1" s="1"/>
  <c r="H436" i="1" s="1"/>
  <c r="J449" i="14"/>
  <c r="I449" i="14"/>
  <c r="H449" i="14"/>
  <c r="F449" i="14"/>
  <c r="G449" i="14"/>
  <c r="E449" i="14"/>
  <c r="D449" i="14"/>
  <c r="C449" i="14"/>
  <c r="B450" i="14"/>
  <c r="L436" i="1" l="1"/>
  <c r="M436" i="1" s="1"/>
  <c r="J436" i="1"/>
  <c r="I436" i="1"/>
  <c r="K436" i="1" s="1"/>
  <c r="H437" i="1" s="1"/>
  <c r="H450" i="14"/>
  <c r="J450" i="14"/>
  <c r="I450" i="14"/>
  <c r="G450" i="14"/>
  <c r="F450" i="14"/>
  <c r="E450" i="14"/>
  <c r="D450" i="14"/>
  <c r="B451" i="14"/>
  <c r="C450" i="14"/>
  <c r="I437" i="1" l="1"/>
  <c r="K437" i="1" s="1"/>
  <c r="H438" i="1" s="1"/>
  <c r="L437" i="1"/>
  <c r="M437" i="1" s="1"/>
  <c r="J437" i="1"/>
  <c r="J451" i="14"/>
  <c r="I451" i="14"/>
  <c r="H451" i="14"/>
  <c r="E451" i="14"/>
  <c r="G451" i="14"/>
  <c r="F451" i="14"/>
  <c r="D451" i="14"/>
  <c r="B452" i="14"/>
  <c r="C451" i="14"/>
  <c r="L438" i="1" l="1"/>
  <c r="M438" i="1" s="1"/>
  <c r="J438" i="1"/>
  <c r="I438" i="1"/>
  <c r="K438" i="1" s="1"/>
  <c r="H439" i="1" s="1"/>
  <c r="J452" i="14"/>
  <c r="I452" i="14"/>
  <c r="H452" i="14"/>
  <c r="G452" i="14"/>
  <c r="F452" i="14"/>
  <c r="E452" i="14"/>
  <c r="D452" i="14"/>
  <c r="B453" i="14"/>
  <c r="C452" i="14"/>
  <c r="L439" i="1" l="1"/>
  <c r="M439" i="1" s="1"/>
  <c r="J439" i="1"/>
  <c r="I439" i="1"/>
  <c r="K439" i="1" s="1"/>
  <c r="H440" i="1" s="1"/>
  <c r="J453" i="14"/>
  <c r="I453" i="14"/>
  <c r="H453" i="14"/>
  <c r="G453" i="14"/>
  <c r="F453" i="14"/>
  <c r="E453" i="14"/>
  <c r="D453" i="14"/>
  <c r="C453" i="14"/>
  <c r="B454" i="14"/>
  <c r="L440" i="1" l="1"/>
  <c r="M440" i="1" s="1"/>
  <c r="J440" i="1"/>
  <c r="I440" i="1"/>
  <c r="K440" i="1" s="1"/>
  <c r="H441" i="1" s="1"/>
  <c r="J454" i="14"/>
  <c r="I454" i="14"/>
  <c r="H454" i="14"/>
  <c r="G454" i="14"/>
  <c r="E454" i="14"/>
  <c r="F454" i="14"/>
  <c r="D454" i="14"/>
  <c r="B455" i="14"/>
  <c r="C454" i="14"/>
  <c r="L441" i="1" l="1"/>
  <c r="M441" i="1" s="1"/>
  <c r="I441" i="1"/>
  <c r="K441" i="1" s="1"/>
  <c r="H442" i="1" s="1"/>
  <c r="J441" i="1"/>
  <c r="J455" i="14"/>
  <c r="I455" i="14"/>
  <c r="H455" i="14"/>
  <c r="F455" i="14"/>
  <c r="G455" i="14"/>
  <c r="D455" i="14"/>
  <c r="E455" i="14"/>
  <c r="C455" i="14"/>
  <c r="B456" i="14"/>
  <c r="L442" i="1" l="1"/>
  <c r="M442" i="1" s="1"/>
  <c r="J442" i="1"/>
  <c r="I442" i="1"/>
  <c r="K442" i="1" s="1"/>
  <c r="H443" i="1" s="1"/>
  <c r="J456" i="14"/>
  <c r="I456" i="14"/>
  <c r="H456" i="14"/>
  <c r="G456" i="14"/>
  <c r="F456" i="14"/>
  <c r="E456" i="14"/>
  <c r="D456" i="14"/>
  <c r="B457" i="14"/>
  <c r="C456" i="14"/>
  <c r="L443" i="1" l="1"/>
  <c r="M443" i="1" s="1"/>
  <c r="J443" i="1"/>
  <c r="I443" i="1"/>
  <c r="K443" i="1" s="1"/>
  <c r="H444" i="1" s="1"/>
  <c r="J457" i="14"/>
  <c r="I457" i="14"/>
  <c r="H457" i="14"/>
  <c r="E457" i="14"/>
  <c r="G457" i="14"/>
  <c r="F457" i="14"/>
  <c r="D457" i="14"/>
  <c r="B458" i="14"/>
  <c r="C457" i="14"/>
  <c r="L444" i="1" l="1"/>
  <c r="M444" i="1" s="1"/>
  <c r="J444" i="1"/>
  <c r="I444" i="1"/>
  <c r="K444" i="1" s="1"/>
  <c r="H445" i="1" s="1"/>
  <c r="J458" i="14"/>
  <c r="I458" i="14"/>
  <c r="H458" i="14"/>
  <c r="G458" i="14"/>
  <c r="F458" i="14"/>
  <c r="E458" i="14"/>
  <c r="D458" i="14"/>
  <c r="B459" i="14"/>
  <c r="C458" i="14"/>
  <c r="L445" i="1" l="1"/>
  <c r="M445" i="1" s="1"/>
  <c r="J445" i="1"/>
  <c r="I445" i="1"/>
  <c r="K445" i="1" s="1"/>
  <c r="H446" i="1" s="1"/>
  <c r="J459" i="14"/>
  <c r="I459" i="14"/>
  <c r="H459" i="14"/>
  <c r="G459" i="14"/>
  <c r="F459" i="14"/>
  <c r="D459" i="14"/>
  <c r="E459" i="14"/>
  <c r="B460" i="14"/>
  <c r="C459" i="14"/>
  <c r="I446" i="1" l="1"/>
  <c r="K446" i="1" s="1"/>
  <c r="H447" i="1" s="1"/>
  <c r="L446" i="1"/>
  <c r="M446" i="1" s="1"/>
  <c r="J446" i="1"/>
  <c r="J460" i="14"/>
  <c r="I460" i="14"/>
  <c r="G460" i="14"/>
  <c r="H460" i="14"/>
  <c r="F460" i="14"/>
  <c r="E460" i="14"/>
  <c r="D460" i="14"/>
  <c r="C460" i="14"/>
  <c r="B461" i="14"/>
  <c r="L447" i="1" l="1"/>
  <c r="M447" i="1" s="1"/>
  <c r="J447" i="1"/>
  <c r="I447" i="1"/>
  <c r="K447" i="1" s="1"/>
  <c r="H448" i="1" s="1"/>
  <c r="J461" i="14"/>
  <c r="I461" i="14"/>
  <c r="H461" i="14"/>
  <c r="G461" i="14"/>
  <c r="F461" i="14"/>
  <c r="E461" i="14"/>
  <c r="D461" i="14"/>
  <c r="C461" i="14"/>
  <c r="B462" i="14"/>
  <c r="L448" i="1" l="1"/>
  <c r="M448" i="1" s="1"/>
  <c r="J448" i="1"/>
  <c r="I448" i="1"/>
  <c r="K448" i="1" s="1"/>
  <c r="H449" i="1" s="1"/>
  <c r="J462" i="14"/>
  <c r="H462" i="14"/>
  <c r="I462" i="14"/>
  <c r="G462" i="14"/>
  <c r="F462" i="14"/>
  <c r="E462" i="14"/>
  <c r="D462" i="14"/>
  <c r="B463" i="14"/>
  <c r="C462" i="14"/>
  <c r="L449" i="1" l="1"/>
  <c r="M449" i="1" s="1"/>
  <c r="J449" i="1"/>
  <c r="I449" i="1"/>
  <c r="K449" i="1" s="1"/>
  <c r="H450" i="1" s="1"/>
  <c r="J463" i="14"/>
  <c r="I463" i="14"/>
  <c r="H463" i="14"/>
  <c r="E463" i="14"/>
  <c r="G463" i="14"/>
  <c r="F463" i="14"/>
  <c r="D463" i="14"/>
  <c r="B464" i="14"/>
  <c r="C463" i="14"/>
  <c r="L450" i="1" l="1"/>
  <c r="M450" i="1" s="1"/>
  <c r="J450" i="1"/>
  <c r="I450" i="1"/>
  <c r="K450" i="1" s="1"/>
  <c r="H451" i="1" s="1"/>
  <c r="J464" i="14"/>
  <c r="I464" i="14"/>
  <c r="H464" i="14"/>
  <c r="G464" i="14"/>
  <c r="F464" i="14"/>
  <c r="E464" i="14"/>
  <c r="D464" i="14"/>
  <c r="B465" i="14"/>
  <c r="C464" i="14"/>
  <c r="L451" i="1" l="1"/>
  <c r="M451" i="1" s="1"/>
  <c r="J451" i="1"/>
  <c r="I451" i="1"/>
  <c r="K451" i="1" s="1"/>
  <c r="H452" i="1" s="1"/>
  <c r="J465" i="14"/>
  <c r="I465" i="14"/>
  <c r="H465" i="14"/>
  <c r="G465" i="14"/>
  <c r="F465" i="14"/>
  <c r="E465" i="14"/>
  <c r="D465" i="14"/>
  <c r="B466" i="14"/>
  <c r="C465" i="14"/>
  <c r="L452" i="1" l="1"/>
  <c r="M452" i="1" s="1"/>
  <c r="I452" i="1"/>
  <c r="K452" i="1" s="1"/>
  <c r="H453" i="1" s="1"/>
  <c r="J452" i="1"/>
  <c r="J466" i="14"/>
  <c r="I466" i="14"/>
  <c r="G466" i="14"/>
  <c r="H466" i="14"/>
  <c r="F466" i="14"/>
  <c r="E466" i="14"/>
  <c r="D466" i="14"/>
  <c r="B467" i="14"/>
  <c r="C466" i="14"/>
  <c r="I453" i="1" l="1"/>
  <c r="K453" i="1" s="1"/>
  <c r="H454" i="1" s="1"/>
  <c r="L453" i="1"/>
  <c r="M453" i="1" s="1"/>
  <c r="J453" i="1"/>
  <c r="J467" i="14"/>
  <c r="I467" i="14"/>
  <c r="H467" i="14"/>
  <c r="F467" i="14"/>
  <c r="G467" i="14"/>
  <c r="D467" i="14"/>
  <c r="E467" i="14"/>
  <c r="C467" i="14"/>
  <c r="B468" i="14"/>
  <c r="I454" i="1" l="1"/>
  <c r="K454" i="1" s="1"/>
  <c r="H455" i="1" s="1"/>
  <c r="L454" i="1"/>
  <c r="M454" i="1" s="1"/>
  <c r="J454" i="1"/>
  <c r="J468" i="14"/>
  <c r="H468" i="14"/>
  <c r="I468" i="14"/>
  <c r="G468" i="14"/>
  <c r="F468" i="14"/>
  <c r="E468" i="14"/>
  <c r="D468" i="14"/>
  <c r="B469" i="14"/>
  <c r="C468" i="14"/>
  <c r="L455" i="1" l="1"/>
  <c r="M455" i="1" s="1"/>
  <c r="J455" i="1"/>
  <c r="I455" i="1"/>
  <c r="K455" i="1" s="1"/>
  <c r="H456" i="1" s="1"/>
  <c r="J469" i="14"/>
  <c r="I469" i="14"/>
  <c r="H469" i="14"/>
  <c r="E469" i="14"/>
  <c r="G469" i="14"/>
  <c r="F469" i="14"/>
  <c r="D469" i="14"/>
  <c r="B470" i="14"/>
  <c r="C469" i="14"/>
  <c r="I456" i="1" l="1"/>
  <c r="K456" i="1" s="1"/>
  <c r="H457" i="1" s="1"/>
  <c r="L456" i="1"/>
  <c r="M456" i="1" s="1"/>
  <c r="J456" i="1"/>
  <c r="J470" i="14"/>
  <c r="I470" i="14"/>
  <c r="H470" i="14"/>
  <c r="G470" i="14"/>
  <c r="F470" i="14"/>
  <c r="E470" i="14"/>
  <c r="D470" i="14"/>
  <c r="B471" i="14"/>
  <c r="C470" i="14"/>
  <c r="L457" i="1" l="1"/>
  <c r="M457" i="1" s="1"/>
  <c r="J457" i="1"/>
  <c r="I457" i="1"/>
  <c r="K457" i="1" s="1"/>
  <c r="H458" i="1" s="1"/>
  <c r="J471" i="14"/>
  <c r="I471" i="14"/>
  <c r="H471" i="14"/>
  <c r="G471" i="14"/>
  <c r="F471" i="14"/>
  <c r="E471" i="14"/>
  <c r="D471" i="14"/>
  <c r="C471" i="14"/>
  <c r="B472" i="14"/>
  <c r="L458" i="1" l="1"/>
  <c r="M458" i="1" s="1"/>
  <c r="J458" i="1"/>
  <c r="I458" i="1"/>
  <c r="K458" i="1" s="1"/>
  <c r="H459" i="1" s="1"/>
  <c r="J472" i="14"/>
  <c r="I472" i="14"/>
  <c r="G472" i="14"/>
  <c r="H472" i="14"/>
  <c r="F472" i="14"/>
  <c r="E472" i="14"/>
  <c r="D472" i="14"/>
  <c r="B473" i="14"/>
  <c r="C472" i="14"/>
  <c r="L459" i="1" l="1"/>
  <c r="M459" i="1" s="1"/>
  <c r="J459" i="1"/>
  <c r="I459" i="1"/>
  <c r="K459" i="1" s="1"/>
  <c r="H460" i="1" s="1"/>
  <c r="J473" i="14"/>
  <c r="I473" i="14"/>
  <c r="H473" i="14"/>
  <c r="F473" i="14"/>
  <c r="G473" i="14"/>
  <c r="D473" i="14"/>
  <c r="E473" i="14"/>
  <c r="B474" i="14"/>
  <c r="C473" i="14"/>
  <c r="L460" i="1" l="1"/>
  <c r="M460" i="1" s="1"/>
  <c r="J460" i="1"/>
  <c r="I460" i="1"/>
  <c r="K460" i="1" s="1"/>
  <c r="H461" i="1" s="1"/>
  <c r="J474" i="14"/>
  <c r="H474" i="14"/>
  <c r="I474" i="14"/>
  <c r="G474" i="14"/>
  <c r="F474" i="14"/>
  <c r="E474" i="14"/>
  <c r="D474" i="14"/>
  <c r="B475" i="14"/>
  <c r="C474" i="14"/>
  <c r="L461" i="1" l="1"/>
  <c r="M461" i="1" s="1"/>
  <c r="J461" i="1"/>
  <c r="I461" i="1"/>
  <c r="K461" i="1" s="1"/>
  <c r="H462" i="1" s="1"/>
  <c r="J475" i="14"/>
  <c r="I475" i="14"/>
  <c r="H475" i="14"/>
  <c r="G475" i="14"/>
  <c r="E475" i="14"/>
  <c r="F475" i="14"/>
  <c r="D475" i="14"/>
  <c r="B476" i="14"/>
  <c r="C475" i="14"/>
  <c r="L462" i="1" l="1"/>
  <c r="M462" i="1" s="1"/>
  <c r="J462" i="1"/>
  <c r="I462" i="1"/>
  <c r="K462" i="1" s="1"/>
  <c r="H463" i="1" s="1"/>
  <c r="J476" i="14"/>
  <c r="I476" i="14"/>
  <c r="H476" i="14"/>
  <c r="G476" i="14"/>
  <c r="E476" i="14"/>
  <c r="F476" i="14"/>
  <c r="D476" i="14"/>
  <c r="B477" i="14"/>
  <c r="C476" i="14"/>
  <c r="L463" i="1" l="1"/>
  <c r="M463" i="1" s="1"/>
  <c r="J463" i="1"/>
  <c r="I463" i="1"/>
  <c r="K463" i="1" s="1"/>
  <c r="H464" i="1" s="1"/>
  <c r="J477" i="14"/>
  <c r="I477" i="14"/>
  <c r="H477" i="14"/>
  <c r="G477" i="14"/>
  <c r="F477" i="14"/>
  <c r="E477" i="14"/>
  <c r="D477" i="14"/>
  <c r="B478" i="14"/>
  <c r="C477" i="14"/>
  <c r="L464" i="1" l="1"/>
  <c r="M464" i="1" s="1"/>
  <c r="J464" i="1"/>
  <c r="I464" i="1"/>
  <c r="K464" i="1" s="1"/>
  <c r="H465" i="1" s="1"/>
  <c r="J478" i="14"/>
  <c r="I478" i="14"/>
  <c r="G478" i="14"/>
  <c r="H478" i="14"/>
  <c r="F478" i="14"/>
  <c r="E478" i="14"/>
  <c r="D478" i="14"/>
  <c r="B479" i="14"/>
  <c r="C478" i="14"/>
  <c r="L465" i="1" l="1"/>
  <c r="M465" i="1" s="1"/>
  <c r="J465" i="1"/>
  <c r="I465" i="1"/>
  <c r="K465" i="1" s="1"/>
  <c r="H466" i="1" s="1"/>
  <c r="J479" i="14"/>
  <c r="I479" i="14"/>
  <c r="H479" i="14"/>
  <c r="F479" i="14"/>
  <c r="G479" i="14"/>
  <c r="D479" i="14"/>
  <c r="E479" i="14"/>
  <c r="C479" i="14"/>
  <c r="B480" i="14"/>
  <c r="L466" i="1" l="1"/>
  <c r="M466" i="1" s="1"/>
  <c r="J466" i="1"/>
  <c r="I466" i="1"/>
  <c r="K466" i="1" s="1"/>
  <c r="H467" i="1" s="1"/>
  <c r="J480" i="14"/>
  <c r="H480" i="14"/>
  <c r="I480" i="14"/>
  <c r="G480" i="14"/>
  <c r="F480" i="14"/>
  <c r="E480" i="14"/>
  <c r="D480" i="14"/>
  <c r="B481" i="14"/>
  <c r="C480" i="14"/>
  <c r="L467" i="1" l="1"/>
  <c r="M467" i="1" s="1"/>
  <c r="J467" i="1"/>
  <c r="I467" i="1"/>
  <c r="K467" i="1" s="1"/>
  <c r="H468" i="1" s="1"/>
  <c r="J481" i="14"/>
  <c r="I481" i="14"/>
  <c r="H481" i="14"/>
  <c r="E481" i="14"/>
  <c r="G481" i="14"/>
  <c r="F481" i="14"/>
  <c r="D481" i="14"/>
  <c r="B482" i="14"/>
  <c r="C481" i="14"/>
  <c r="L468" i="1" l="1"/>
  <c r="M468" i="1" s="1"/>
  <c r="J468" i="1"/>
  <c r="I468" i="1"/>
  <c r="K468" i="1" s="1"/>
  <c r="H469" i="1" s="1"/>
  <c r="J482" i="14"/>
  <c r="I482" i="14"/>
  <c r="H482" i="14"/>
  <c r="G482" i="14"/>
  <c r="F482" i="14"/>
  <c r="E482" i="14"/>
  <c r="D482" i="14"/>
  <c r="B483" i="14"/>
  <c r="C482" i="14"/>
  <c r="I469" i="1" l="1"/>
  <c r="K469" i="1" s="1"/>
  <c r="H470" i="1" s="1"/>
  <c r="L469" i="1"/>
  <c r="M469" i="1" s="1"/>
  <c r="J469" i="1"/>
  <c r="J483" i="14"/>
  <c r="I483" i="14"/>
  <c r="H483" i="14"/>
  <c r="E483" i="14"/>
  <c r="F483" i="14"/>
  <c r="G483" i="14"/>
  <c r="D483" i="14"/>
  <c r="B484" i="14"/>
  <c r="C483" i="14"/>
  <c r="L470" i="1" l="1"/>
  <c r="M470" i="1" s="1"/>
  <c r="J470" i="1"/>
  <c r="I470" i="1"/>
  <c r="K470" i="1" s="1"/>
  <c r="H471" i="1" s="1"/>
  <c r="J484" i="14"/>
  <c r="I484" i="14"/>
  <c r="G484" i="14"/>
  <c r="H484" i="14"/>
  <c r="F484" i="14"/>
  <c r="E484" i="14"/>
  <c r="D484" i="14"/>
  <c r="B485" i="14"/>
  <c r="C484" i="14"/>
  <c r="L471" i="1" l="1"/>
  <c r="M471" i="1" s="1"/>
  <c r="J471" i="1"/>
  <c r="I471" i="1"/>
  <c r="K471" i="1" s="1"/>
  <c r="H472" i="1" s="1"/>
  <c r="I485" i="14"/>
  <c r="J485" i="14"/>
  <c r="H485" i="14"/>
  <c r="F485" i="14"/>
  <c r="G485" i="14"/>
  <c r="D485" i="14"/>
  <c r="E485" i="14"/>
  <c r="C485" i="14"/>
  <c r="B486" i="14"/>
  <c r="L472" i="1" l="1"/>
  <c r="M472" i="1" s="1"/>
  <c r="J472" i="1"/>
  <c r="I472" i="1"/>
  <c r="K472" i="1" s="1"/>
  <c r="H473" i="1" s="1"/>
  <c r="J486" i="14"/>
  <c r="H486" i="14"/>
  <c r="I486" i="14"/>
  <c r="G486" i="14"/>
  <c r="F486" i="14"/>
  <c r="E486" i="14"/>
  <c r="D486" i="14"/>
  <c r="B487" i="14"/>
  <c r="C486" i="14"/>
  <c r="L473" i="1" l="1"/>
  <c r="M473" i="1" s="1"/>
  <c r="J473" i="1"/>
  <c r="I473" i="1"/>
  <c r="K473" i="1" s="1"/>
  <c r="H474" i="1" s="1"/>
  <c r="J487" i="14"/>
  <c r="I487" i="14"/>
  <c r="H487" i="14"/>
  <c r="E487" i="14"/>
  <c r="G487" i="14"/>
  <c r="F487" i="14"/>
  <c r="D487" i="14"/>
  <c r="B488" i="14"/>
  <c r="C487" i="14"/>
  <c r="L474" i="1" l="1"/>
  <c r="M474" i="1" s="1"/>
  <c r="J474" i="1"/>
  <c r="I474" i="1"/>
  <c r="K474" i="1" s="1"/>
  <c r="H475" i="1" s="1"/>
  <c r="J488" i="14"/>
  <c r="I488" i="14"/>
  <c r="H488" i="14"/>
  <c r="G488" i="14"/>
  <c r="F488" i="14"/>
  <c r="E488" i="14"/>
  <c r="D488" i="14"/>
  <c r="B489" i="14"/>
  <c r="C488" i="14"/>
  <c r="L475" i="1" l="1"/>
  <c r="M475" i="1" s="1"/>
  <c r="J475" i="1"/>
  <c r="I475" i="1"/>
  <c r="K475" i="1" s="1"/>
  <c r="H476" i="1" s="1"/>
  <c r="J489" i="14"/>
  <c r="I489" i="14"/>
  <c r="H489" i="14"/>
  <c r="G489" i="14"/>
  <c r="F489" i="14"/>
  <c r="E489" i="14"/>
  <c r="D489" i="14"/>
  <c r="B490" i="14"/>
  <c r="C489" i="14"/>
  <c r="L476" i="1" l="1"/>
  <c r="M476" i="1" s="1"/>
  <c r="J476" i="1"/>
  <c r="I476" i="1"/>
  <c r="K476" i="1" s="1"/>
  <c r="H477" i="1" s="1"/>
  <c r="J490" i="14"/>
  <c r="I490" i="14"/>
  <c r="H490" i="14"/>
  <c r="G490" i="14"/>
  <c r="E490" i="14"/>
  <c r="F490" i="14"/>
  <c r="D490" i="14"/>
  <c r="B491" i="14"/>
  <c r="C490" i="14"/>
  <c r="J477" i="1" l="1"/>
  <c r="L477" i="1"/>
  <c r="M477" i="1" s="1"/>
  <c r="I477" i="1"/>
  <c r="K477" i="1" s="1"/>
  <c r="H478" i="1" s="1"/>
  <c r="J491" i="14"/>
  <c r="I491" i="14"/>
  <c r="H491" i="14"/>
  <c r="F491" i="14"/>
  <c r="G491" i="14"/>
  <c r="D491" i="14"/>
  <c r="E491" i="14"/>
  <c r="C491" i="14"/>
  <c r="B492" i="14"/>
  <c r="L478" i="1" l="1"/>
  <c r="M478" i="1" s="1"/>
  <c r="J478" i="1"/>
  <c r="I478" i="1"/>
  <c r="K478" i="1" s="1"/>
  <c r="H479" i="1" s="1"/>
  <c r="J492" i="14"/>
  <c r="I492" i="14"/>
  <c r="H492" i="14"/>
  <c r="G492" i="14"/>
  <c r="F492" i="14"/>
  <c r="E492" i="14"/>
  <c r="D492" i="14"/>
  <c r="B493" i="14"/>
  <c r="C492" i="14"/>
  <c r="L479" i="1" l="1"/>
  <c r="M479" i="1" s="1"/>
  <c r="J479" i="1"/>
  <c r="I479" i="1"/>
  <c r="K479" i="1" s="1"/>
  <c r="H480" i="1" s="1"/>
  <c r="J493" i="14"/>
  <c r="I493" i="14"/>
  <c r="H493" i="14"/>
  <c r="E493" i="14"/>
  <c r="G493" i="14"/>
  <c r="F493" i="14"/>
  <c r="D493" i="14"/>
  <c r="B494" i="14"/>
  <c r="C493" i="14"/>
  <c r="L480" i="1" l="1"/>
  <c r="M480" i="1" s="1"/>
  <c r="J480" i="1"/>
  <c r="I480" i="1"/>
  <c r="K480" i="1" s="1"/>
  <c r="H481" i="1" s="1"/>
  <c r="J494" i="14"/>
  <c r="I494" i="14"/>
  <c r="H494" i="14"/>
  <c r="G494" i="14"/>
  <c r="F494" i="14"/>
  <c r="E494" i="14"/>
  <c r="D494" i="14"/>
  <c r="B495" i="14"/>
  <c r="C494" i="14"/>
  <c r="L481" i="1" l="1"/>
  <c r="M481" i="1" s="1"/>
  <c r="J481" i="1"/>
  <c r="I481" i="1"/>
  <c r="K481" i="1" s="1"/>
  <c r="H482" i="1" s="1"/>
  <c r="J495" i="14"/>
  <c r="I495" i="14"/>
  <c r="H495" i="14"/>
  <c r="G495" i="14"/>
  <c r="F495" i="14"/>
  <c r="E495" i="14"/>
  <c r="D495" i="14"/>
  <c r="B496" i="14"/>
  <c r="C495" i="14"/>
  <c r="L482" i="1" l="1"/>
  <c r="M482" i="1" s="1"/>
  <c r="J482" i="1"/>
  <c r="I482" i="1"/>
  <c r="K482" i="1" s="1"/>
  <c r="H483" i="1" s="1"/>
  <c r="J496" i="14"/>
  <c r="I496" i="14"/>
  <c r="G496" i="14"/>
  <c r="H496" i="14"/>
  <c r="F496" i="14"/>
  <c r="E496" i="14"/>
  <c r="D496" i="14"/>
  <c r="B497" i="14"/>
  <c r="C496" i="14"/>
  <c r="L483" i="1" l="1"/>
  <c r="M483" i="1" s="1"/>
  <c r="J483" i="1"/>
  <c r="I483" i="1"/>
  <c r="K483" i="1" s="1"/>
  <c r="H484" i="1" s="1"/>
  <c r="J497" i="14"/>
  <c r="I497" i="14"/>
  <c r="H497" i="14"/>
  <c r="G497" i="14"/>
  <c r="F497" i="14"/>
  <c r="E497" i="14"/>
  <c r="D497" i="14"/>
  <c r="C497" i="14"/>
  <c r="B498" i="14"/>
  <c r="L484" i="1" l="1"/>
  <c r="M484" i="1" s="1"/>
  <c r="J484" i="1"/>
  <c r="I484" i="1"/>
  <c r="K484" i="1" s="1"/>
  <c r="H485" i="1" s="1"/>
  <c r="J498" i="14"/>
  <c r="H498" i="14"/>
  <c r="I498" i="14"/>
  <c r="G498" i="14"/>
  <c r="F498" i="14"/>
  <c r="E498" i="14"/>
  <c r="D498" i="14"/>
  <c r="B499" i="14"/>
  <c r="C498" i="14"/>
  <c r="L485" i="1" l="1"/>
  <c r="M485" i="1" s="1"/>
  <c r="J485" i="1"/>
  <c r="I485" i="1"/>
  <c r="K485" i="1" s="1"/>
  <c r="H486" i="1" s="1"/>
  <c r="J499" i="14"/>
  <c r="I499" i="14"/>
  <c r="H499" i="14"/>
  <c r="E499" i="14"/>
  <c r="G499" i="14"/>
  <c r="F499" i="14"/>
  <c r="D499" i="14"/>
  <c r="B500" i="14"/>
  <c r="C499" i="14"/>
  <c r="L486" i="1" l="1"/>
  <c r="M486" i="1" s="1"/>
  <c r="J486" i="1"/>
  <c r="I486" i="1"/>
  <c r="K486" i="1" s="1"/>
  <c r="H487" i="1" s="1"/>
  <c r="J500" i="14"/>
  <c r="I500" i="14"/>
  <c r="H500" i="14"/>
  <c r="F500" i="14"/>
  <c r="G500" i="14"/>
  <c r="E500" i="14"/>
  <c r="D500" i="14"/>
  <c r="B501" i="14"/>
  <c r="C500" i="14"/>
  <c r="L487" i="1" l="1"/>
  <c r="M487" i="1" s="1"/>
  <c r="J487" i="1"/>
  <c r="I487" i="1"/>
  <c r="K487" i="1" s="1"/>
  <c r="H488" i="1" s="1"/>
  <c r="J501" i="14"/>
  <c r="I501" i="14"/>
  <c r="H501" i="14"/>
  <c r="G501" i="14"/>
  <c r="F501" i="14"/>
  <c r="E501" i="14"/>
  <c r="D501" i="14"/>
  <c r="B502" i="14"/>
  <c r="C501" i="14"/>
  <c r="L488" i="1" l="1"/>
  <c r="M488" i="1" s="1"/>
  <c r="J488" i="1"/>
  <c r="I488" i="1"/>
  <c r="K488" i="1" s="1"/>
  <c r="H489" i="1" s="1"/>
  <c r="I502" i="14"/>
  <c r="J502" i="14"/>
  <c r="G502" i="14"/>
  <c r="H502" i="14"/>
  <c r="F502" i="14"/>
  <c r="E502" i="14"/>
  <c r="D502" i="14"/>
  <c r="B503" i="14"/>
  <c r="C502" i="14"/>
  <c r="L489" i="1" l="1"/>
  <c r="M489" i="1" s="1"/>
  <c r="J489" i="1"/>
  <c r="I489" i="1"/>
  <c r="K489" i="1" s="1"/>
  <c r="H490" i="1" s="1"/>
  <c r="J503" i="14"/>
  <c r="I503" i="14"/>
  <c r="H503" i="14"/>
  <c r="F503" i="14"/>
  <c r="G503" i="14"/>
  <c r="D503" i="14"/>
  <c r="E503" i="14"/>
  <c r="C503" i="14"/>
  <c r="B504" i="14"/>
  <c r="J490" i="1" l="1"/>
  <c r="I490" i="1"/>
  <c r="K490" i="1" s="1"/>
  <c r="H491" i="1" s="1"/>
  <c r="L490" i="1"/>
  <c r="M490" i="1" s="1"/>
  <c r="J504" i="14"/>
  <c r="H504" i="14"/>
  <c r="I504" i="14"/>
  <c r="G504" i="14"/>
  <c r="F504" i="14"/>
  <c r="E504" i="14"/>
  <c r="D504" i="14"/>
  <c r="B505" i="14"/>
  <c r="C504" i="14"/>
  <c r="L491" i="1" l="1"/>
  <c r="M491" i="1" s="1"/>
  <c r="J491" i="1"/>
  <c r="I491" i="1"/>
  <c r="K491" i="1" s="1"/>
  <c r="H492" i="1" s="1"/>
  <c r="J505" i="14"/>
  <c r="I505" i="14"/>
  <c r="H505" i="14"/>
  <c r="E505" i="14"/>
  <c r="G505" i="14"/>
  <c r="F505" i="14"/>
  <c r="D505" i="14"/>
  <c r="B506" i="14"/>
  <c r="C505" i="14"/>
  <c r="L492" i="1" l="1"/>
  <c r="M492" i="1" s="1"/>
  <c r="J492" i="1"/>
  <c r="I492" i="1"/>
  <c r="K492" i="1" s="1"/>
  <c r="H493" i="1" s="1"/>
  <c r="J506" i="14"/>
  <c r="I506" i="14"/>
  <c r="H506" i="14"/>
  <c r="G506" i="14"/>
  <c r="F506" i="14"/>
  <c r="E506" i="14"/>
  <c r="D506" i="14"/>
  <c r="B507" i="14"/>
  <c r="C506" i="14"/>
  <c r="L493" i="1" l="1"/>
  <c r="M493" i="1" s="1"/>
  <c r="J493" i="1"/>
  <c r="I493" i="1"/>
  <c r="K493" i="1" s="1"/>
  <c r="H494" i="1" s="1"/>
  <c r="J507" i="14"/>
  <c r="I507" i="14"/>
  <c r="H507" i="14"/>
  <c r="G507" i="14"/>
  <c r="F507" i="14"/>
  <c r="E507" i="14"/>
  <c r="D507" i="14"/>
  <c r="B508" i="14"/>
  <c r="C507" i="14"/>
  <c r="L494" i="1" l="1"/>
  <c r="M494" i="1" s="1"/>
  <c r="J494" i="1"/>
  <c r="I494" i="1"/>
  <c r="K494" i="1" s="1"/>
  <c r="H495" i="1" s="1"/>
  <c r="J508" i="14"/>
  <c r="I508" i="14"/>
  <c r="G508" i="14"/>
  <c r="H508" i="14"/>
  <c r="F508" i="14"/>
  <c r="E508" i="14"/>
  <c r="D508" i="14"/>
  <c r="B509" i="14"/>
  <c r="C508" i="14"/>
  <c r="L495" i="1" l="1"/>
  <c r="M495" i="1" s="1"/>
  <c r="J495" i="1"/>
  <c r="I495" i="1"/>
  <c r="K495" i="1" s="1"/>
  <c r="H496" i="1" s="1"/>
  <c r="J509" i="14"/>
  <c r="I509" i="14"/>
  <c r="H509" i="14"/>
  <c r="F509" i="14"/>
  <c r="G509" i="14"/>
  <c r="E509" i="14"/>
  <c r="D509" i="14"/>
  <c r="B510" i="14"/>
  <c r="C509" i="14"/>
  <c r="I496" i="1" l="1"/>
  <c r="K496" i="1" s="1"/>
  <c r="H497" i="1" s="1"/>
  <c r="L496" i="1"/>
  <c r="M496" i="1" s="1"/>
  <c r="J496" i="1"/>
  <c r="J510" i="14"/>
  <c r="H510" i="14"/>
  <c r="I510" i="14"/>
  <c r="G510" i="14"/>
  <c r="F510" i="14"/>
  <c r="D510" i="14"/>
  <c r="E510" i="14"/>
  <c r="B511" i="14"/>
  <c r="C510" i="14"/>
  <c r="L497" i="1" l="1"/>
  <c r="M497" i="1" s="1"/>
  <c r="J497" i="1"/>
  <c r="I497" i="1"/>
  <c r="K497" i="1" s="1"/>
  <c r="H498" i="1" s="1"/>
  <c r="J511" i="14"/>
  <c r="I511" i="14"/>
  <c r="H511" i="14"/>
  <c r="G511" i="14"/>
  <c r="E511" i="14"/>
  <c r="F511" i="14"/>
  <c r="D511" i="14"/>
  <c r="B512" i="14"/>
  <c r="C511" i="14"/>
  <c r="L498" i="1" l="1"/>
  <c r="M498" i="1" s="1"/>
  <c r="J498" i="1"/>
  <c r="I498" i="1"/>
  <c r="K498" i="1" s="1"/>
  <c r="H499" i="1" s="1"/>
  <c r="J512" i="14"/>
  <c r="I512" i="14"/>
  <c r="H512" i="14"/>
  <c r="G512" i="14"/>
  <c r="E512" i="14"/>
  <c r="F512" i="14"/>
  <c r="D512" i="14"/>
  <c r="B513" i="14"/>
  <c r="C512" i="14"/>
  <c r="L499" i="1" l="1"/>
  <c r="M499" i="1" s="1"/>
  <c r="I499" i="1"/>
  <c r="K499" i="1" s="1"/>
  <c r="H500" i="1" s="1"/>
  <c r="J499" i="1"/>
  <c r="J513" i="14"/>
  <c r="I513" i="14"/>
  <c r="H513" i="14"/>
  <c r="G513" i="14"/>
  <c r="F513" i="14"/>
  <c r="E513" i="14"/>
  <c r="D513" i="14"/>
  <c r="B514" i="14"/>
  <c r="C513" i="14"/>
  <c r="L500" i="1" l="1"/>
  <c r="M500" i="1" s="1"/>
  <c r="J500" i="1"/>
  <c r="I500" i="1"/>
  <c r="K500" i="1" s="1"/>
  <c r="H501" i="1" s="1"/>
  <c r="J514" i="14"/>
  <c r="I514" i="14"/>
  <c r="G514" i="14"/>
  <c r="H514" i="14"/>
  <c r="F514" i="14"/>
  <c r="D514" i="14"/>
  <c r="E514" i="14"/>
  <c r="C514" i="14"/>
  <c r="B515" i="14"/>
  <c r="L501" i="1" l="1"/>
  <c r="M501" i="1" s="1"/>
  <c r="I501" i="1"/>
  <c r="K501" i="1" s="1"/>
  <c r="H502" i="1" s="1"/>
  <c r="J501" i="1"/>
  <c r="J515" i="14"/>
  <c r="I515" i="14"/>
  <c r="H515" i="14"/>
  <c r="F515" i="14"/>
  <c r="G515" i="14"/>
  <c r="D515" i="14"/>
  <c r="E515" i="14"/>
  <c r="C515" i="14"/>
  <c r="B516" i="14"/>
  <c r="L502" i="1" l="1"/>
  <c r="M502" i="1" s="1"/>
  <c r="J502" i="1"/>
  <c r="I502" i="1"/>
  <c r="K502" i="1" s="1"/>
  <c r="H503" i="1" s="1"/>
  <c r="J516" i="14"/>
  <c r="H516" i="14"/>
  <c r="I516" i="14"/>
  <c r="G516" i="14"/>
  <c r="F516" i="14"/>
  <c r="E516" i="14"/>
  <c r="D516" i="14"/>
  <c r="B517" i="14"/>
  <c r="C516" i="14"/>
  <c r="L503" i="1" l="1"/>
  <c r="M503" i="1" s="1"/>
  <c r="I503" i="1"/>
  <c r="K503" i="1" s="1"/>
  <c r="H504" i="1" s="1"/>
  <c r="J503" i="1"/>
  <c r="J517" i="14"/>
  <c r="I517" i="14"/>
  <c r="H517" i="14"/>
  <c r="E517" i="14"/>
  <c r="G517" i="14"/>
  <c r="F517" i="14"/>
  <c r="D517" i="14"/>
  <c r="B518" i="14"/>
  <c r="C517" i="14"/>
  <c r="L504" i="1" l="1"/>
  <c r="M504" i="1" s="1"/>
  <c r="J504" i="1"/>
  <c r="I504" i="1"/>
  <c r="K504" i="1" s="1"/>
  <c r="H505" i="1" s="1"/>
  <c r="J518" i="14"/>
  <c r="I518" i="14"/>
  <c r="H518" i="14"/>
  <c r="G518" i="14"/>
  <c r="F518" i="14"/>
  <c r="E518" i="14"/>
  <c r="D518" i="14"/>
  <c r="B519" i="14"/>
  <c r="C518" i="14"/>
  <c r="L505" i="1" l="1"/>
  <c r="M505" i="1" s="1"/>
  <c r="J505" i="1"/>
  <c r="I505" i="1"/>
  <c r="K505" i="1" s="1"/>
  <c r="H506" i="1" s="1"/>
  <c r="J519" i="14"/>
  <c r="I519" i="14"/>
  <c r="H519" i="14"/>
  <c r="G519" i="14"/>
  <c r="E519" i="14"/>
  <c r="F519" i="14"/>
  <c r="D519" i="14"/>
  <c r="B520" i="14"/>
  <c r="C519" i="14"/>
  <c r="L506" i="1" l="1"/>
  <c r="M506" i="1" s="1"/>
  <c r="J506" i="1"/>
  <c r="I506" i="1"/>
  <c r="K506" i="1" s="1"/>
  <c r="H507" i="1" s="1"/>
  <c r="J520" i="14"/>
  <c r="I520" i="14"/>
  <c r="G520" i="14"/>
  <c r="H520" i="14"/>
  <c r="F520" i="14"/>
  <c r="E520" i="14"/>
  <c r="D520" i="14"/>
  <c r="B521" i="14"/>
  <c r="C520" i="14"/>
  <c r="L507" i="1" l="1"/>
  <c r="M507" i="1" s="1"/>
  <c r="J507" i="1"/>
  <c r="I507" i="1"/>
  <c r="K507" i="1" s="1"/>
  <c r="H508" i="1" s="1"/>
  <c r="J521" i="14"/>
  <c r="I521" i="14"/>
  <c r="H521" i="14"/>
  <c r="F521" i="14"/>
  <c r="G521" i="14"/>
  <c r="D521" i="14"/>
  <c r="E521" i="14"/>
  <c r="C521" i="14"/>
  <c r="B522" i="14"/>
  <c r="L508" i="1" l="1"/>
  <c r="M508" i="1" s="1"/>
  <c r="I508" i="1"/>
  <c r="K508" i="1" s="1"/>
  <c r="H509" i="1" s="1"/>
  <c r="J508" i="1"/>
  <c r="J522" i="14"/>
  <c r="H522" i="14"/>
  <c r="I522" i="14"/>
  <c r="G522" i="14"/>
  <c r="F522" i="14"/>
  <c r="E522" i="14"/>
  <c r="D522" i="14"/>
  <c r="B523" i="14"/>
  <c r="C522" i="14"/>
  <c r="L509" i="1" l="1"/>
  <c r="M509" i="1" s="1"/>
  <c r="J509" i="1"/>
  <c r="I509" i="1"/>
  <c r="K509" i="1" s="1"/>
  <c r="H510" i="1" s="1"/>
  <c r="J523" i="14"/>
  <c r="I523" i="14"/>
  <c r="H523" i="14"/>
  <c r="E523" i="14"/>
  <c r="G523" i="14"/>
  <c r="F523" i="14"/>
  <c r="D523" i="14"/>
  <c r="B524" i="14"/>
  <c r="C523" i="14"/>
  <c r="L510" i="1" l="1"/>
  <c r="M510" i="1" s="1"/>
  <c r="J510" i="1"/>
  <c r="I510" i="1"/>
  <c r="K510" i="1" s="1"/>
  <c r="H511" i="1" s="1"/>
  <c r="J524" i="14"/>
  <c r="I524" i="14"/>
  <c r="H524" i="14"/>
  <c r="G524" i="14"/>
  <c r="F524" i="14"/>
  <c r="E524" i="14"/>
  <c r="D524" i="14"/>
  <c r="B525" i="14"/>
  <c r="C524" i="14"/>
  <c r="L511" i="1" l="1"/>
  <c r="M511" i="1" s="1"/>
  <c r="J511" i="1"/>
  <c r="I511" i="1"/>
  <c r="K511" i="1" s="1"/>
  <c r="H512" i="1" s="1"/>
  <c r="J525" i="14"/>
  <c r="I525" i="14"/>
  <c r="H525" i="14"/>
  <c r="G525" i="14"/>
  <c r="F525" i="14"/>
  <c r="E525" i="14"/>
  <c r="D525" i="14"/>
  <c r="B526" i="14"/>
  <c r="C525" i="14"/>
  <c r="L512" i="1" l="1"/>
  <c r="M512" i="1" s="1"/>
  <c r="J512" i="1"/>
  <c r="I512" i="1"/>
  <c r="K512" i="1" s="1"/>
  <c r="H513" i="1" s="1"/>
  <c r="J526" i="14"/>
  <c r="I526" i="14"/>
  <c r="H526" i="14"/>
  <c r="G526" i="14"/>
  <c r="E526" i="14"/>
  <c r="F526" i="14"/>
  <c r="D526" i="14"/>
  <c r="B527" i="14"/>
  <c r="C526" i="14"/>
  <c r="J513" i="1" l="1"/>
  <c r="L513" i="1"/>
  <c r="M513" i="1" s="1"/>
  <c r="I513" i="1"/>
  <c r="K513" i="1" s="1"/>
  <c r="H514" i="1" s="1"/>
  <c r="J527" i="14"/>
  <c r="I527" i="14"/>
  <c r="H527" i="14"/>
  <c r="F527" i="14"/>
  <c r="G527" i="14"/>
  <c r="E527" i="14"/>
  <c r="D527" i="14"/>
  <c r="C527" i="14"/>
  <c r="B528" i="14"/>
  <c r="L514" i="1" l="1"/>
  <c r="M514" i="1" s="1"/>
  <c r="J514" i="1"/>
  <c r="I514" i="1"/>
  <c r="K514" i="1" s="1"/>
  <c r="H515" i="1" s="1"/>
  <c r="J528" i="14"/>
  <c r="I528" i="14"/>
  <c r="H528" i="14"/>
  <c r="G528" i="14"/>
  <c r="F528" i="14"/>
  <c r="E528" i="14"/>
  <c r="D528" i="14"/>
  <c r="B529" i="14"/>
  <c r="C528" i="14"/>
  <c r="L515" i="1" l="1"/>
  <c r="M515" i="1" s="1"/>
  <c r="J515" i="1"/>
  <c r="I515" i="1"/>
  <c r="K515" i="1" s="1"/>
  <c r="H516" i="1" s="1"/>
  <c r="J529" i="14"/>
  <c r="I529" i="14"/>
  <c r="H529" i="14"/>
  <c r="E529" i="14"/>
  <c r="G529" i="14"/>
  <c r="F529" i="14"/>
  <c r="D529" i="14"/>
  <c r="B530" i="14"/>
  <c r="C529" i="14"/>
  <c r="L516" i="1" l="1"/>
  <c r="M516" i="1" s="1"/>
  <c r="J516" i="1"/>
  <c r="I516" i="1"/>
  <c r="K516" i="1" s="1"/>
  <c r="H517" i="1" s="1"/>
  <c r="J530" i="14"/>
  <c r="I530" i="14"/>
  <c r="H530" i="14"/>
  <c r="G530" i="14"/>
  <c r="F530" i="14"/>
  <c r="E530" i="14"/>
  <c r="D530" i="14"/>
  <c r="B531" i="14"/>
  <c r="C530" i="14"/>
  <c r="L517" i="1" l="1"/>
  <c r="M517" i="1" s="1"/>
  <c r="J517" i="1"/>
  <c r="I517" i="1"/>
  <c r="K517" i="1" s="1"/>
  <c r="H518" i="1" s="1"/>
  <c r="J531" i="14"/>
  <c r="I531" i="14"/>
  <c r="H531" i="14"/>
  <c r="G531" i="14"/>
  <c r="F531" i="14"/>
  <c r="D531" i="14"/>
  <c r="E531" i="14"/>
  <c r="B532" i="14"/>
  <c r="C531" i="14"/>
  <c r="L518" i="1" l="1"/>
  <c r="M518" i="1" s="1"/>
  <c r="I518" i="1"/>
  <c r="K518" i="1" s="1"/>
  <c r="H519" i="1" s="1"/>
  <c r="J518" i="1"/>
  <c r="J532" i="14"/>
  <c r="I532" i="14"/>
  <c r="G532" i="14"/>
  <c r="H532" i="14"/>
  <c r="F532" i="14"/>
  <c r="E532" i="14"/>
  <c r="D532" i="14"/>
  <c r="B533" i="14"/>
  <c r="C532" i="14"/>
  <c r="L519" i="1" l="1"/>
  <c r="M519" i="1" s="1"/>
  <c r="J519" i="1"/>
  <c r="I519" i="1"/>
  <c r="K519" i="1" s="1"/>
  <c r="H520" i="1" s="1"/>
  <c r="J533" i="14"/>
  <c r="I533" i="14"/>
  <c r="H533" i="14"/>
  <c r="G533" i="14"/>
  <c r="F533" i="14"/>
  <c r="E533" i="14"/>
  <c r="D533" i="14"/>
  <c r="C533" i="14"/>
  <c r="B534" i="14"/>
  <c r="L520" i="1" l="1"/>
  <c r="M520" i="1" s="1"/>
  <c r="J520" i="1"/>
  <c r="I520" i="1"/>
  <c r="K520" i="1" s="1"/>
  <c r="H521" i="1" s="1"/>
  <c r="J534" i="14"/>
  <c r="H534" i="14"/>
  <c r="I534" i="14"/>
  <c r="G534" i="14"/>
  <c r="F534" i="14"/>
  <c r="E534" i="14"/>
  <c r="D534" i="14"/>
  <c r="B535" i="14"/>
  <c r="C534" i="14"/>
  <c r="L521" i="1" l="1"/>
  <c r="M521" i="1" s="1"/>
  <c r="I521" i="1"/>
  <c r="K521" i="1" s="1"/>
  <c r="H522" i="1" s="1"/>
  <c r="J521" i="1"/>
  <c r="I535" i="14"/>
  <c r="J535" i="14"/>
  <c r="H535" i="14"/>
  <c r="E535" i="14"/>
  <c r="F535" i="14"/>
  <c r="G535" i="14"/>
  <c r="D535" i="14"/>
  <c r="B536" i="14"/>
  <c r="C535" i="14"/>
  <c r="L522" i="1" l="1"/>
  <c r="M522" i="1" s="1"/>
  <c r="J522" i="1"/>
  <c r="I522" i="1"/>
  <c r="K522" i="1" s="1"/>
  <c r="H523" i="1" s="1"/>
  <c r="J536" i="14"/>
  <c r="I536" i="14"/>
  <c r="H536" i="14"/>
  <c r="G536" i="14"/>
  <c r="F536" i="14"/>
  <c r="E536" i="14"/>
  <c r="D536" i="14"/>
  <c r="B537" i="14"/>
  <c r="C536" i="14"/>
  <c r="L523" i="1" l="1"/>
  <c r="M523" i="1" s="1"/>
  <c r="I523" i="1"/>
  <c r="K523" i="1" s="1"/>
  <c r="H524" i="1" s="1"/>
  <c r="J523" i="1"/>
  <c r="J537" i="14"/>
  <c r="I537" i="14"/>
  <c r="H537" i="14"/>
  <c r="G537" i="14"/>
  <c r="F537" i="14"/>
  <c r="E537" i="14"/>
  <c r="D537" i="14"/>
  <c r="B538" i="14"/>
  <c r="C537" i="14"/>
  <c r="L524" i="1" l="1"/>
  <c r="M524" i="1" s="1"/>
  <c r="J524" i="1"/>
  <c r="I524" i="1"/>
  <c r="K524" i="1" s="1"/>
  <c r="H525" i="1" s="1"/>
  <c r="J538" i="14"/>
  <c r="I538" i="14"/>
  <c r="G538" i="14"/>
  <c r="H538" i="14"/>
  <c r="F538" i="14"/>
  <c r="E538" i="14"/>
  <c r="D538" i="14"/>
  <c r="B539" i="14"/>
  <c r="C538" i="14"/>
  <c r="L525" i="1" l="1"/>
  <c r="M525" i="1" s="1"/>
  <c r="I525" i="1"/>
  <c r="K525" i="1" s="1"/>
  <c r="H526" i="1" s="1"/>
  <c r="J525" i="1"/>
  <c r="J539" i="14"/>
  <c r="I539" i="14"/>
  <c r="H539" i="14"/>
  <c r="F539" i="14"/>
  <c r="G539" i="14"/>
  <c r="D539" i="14"/>
  <c r="E539" i="14"/>
  <c r="C539" i="14"/>
  <c r="B540" i="14"/>
  <c r="L526" i="1" l="1"/>
  <c r="M526" i="1" s="1"/>
  <c r="J526" i="1"/>
  <c r="I526" i="1"/>
  <c r="K526" i="1" s="1"/>
  <c r="H527" i="1" s="1"/>
  <c r="J540" i="14"/>
  <c r="H540" i="14"/>
  <c r="I540" i="14"/>
  <c r="G540" i="14"/>
  <c r="F540" i="14"/>
  <c r="E540" i="14"/>
  <c r="D540" i="14"/>
  <c r="B541" i="14"/>
  <c r="C540" i="14"/>
  <c r="L527" i="1" l="1"/>
  <c r="M527" i="1" s="1"/>
  <c r="I527" i="1"/>
  <c r="K527" i="1" s="1"/>
  <c r="H528" i="1" s="1"/>
  <c r="J527" i="1"/>
  <c r="J541" i="14"/>
  <c r="I541" i="14"/>
  <c r="H541" i="14"/>
  <c r="E541" i="14"/>
  <c r="G541" i="14"/>
  <c r="F541" i="14"/>
  <c r="D541" i="14"/>
  <c r="B542" i="14"/>
  <c r="C541" i="14"/>
  <c r="L528" i="1" l="1"/>
  <c r="M528" i="1" s="1"/>
  <c r="I528" i="1"/>
  <c r="K528" i="1" s="1"/>
  <c r="H529" i="1" s="1"/>
  <c r="J528" i="1"/>
  <c r="I542" i="14"/>
  <c r="J542" i="14"/>
  <c r="H542" i="14"/>
  <c r="G542" i="14"/>
  <c r="F542" i="14"/>
  <c r="E542" i="14"/>
  <c r="D542" i="14"/>
  <c r="B543" i="14"/>
  <c r="C542" i="14"/>
  <c r="L529" i="1" l="1"/>
  <c r="M529" i="1" s="1"/>
  <c r="I529" i="1"/>
  <c r="K529" i="1" s="1"/>
  <c r="H530" i="1" s="1"/>
  <c r="J529" i="1"/>
  <c r="J543" i="14"/>
  <c r="I543" i="14"/>
  <c r="H543" i="14"/>
  <c r="G543" i="14"/>
  <c r="F543" i="14"/>
  <c r="E543" i="14"/>
  <c r="D543" i="14"/>
  <c r="B544" i="14"/>
  <c r="C543" i="14"/>
  <c r="L530" i="1" l="1"/>
  <c r="M530" i="1" s="1"/>
  <c r="I530" i="1"/>
  <c r="K530" i="1" s="1"/>
  <c r="H531" i="1" s="1"/>
  <c r="J530" i="1"/>
  <c r="J544" i="14"/>
  <c r="I544" i="14"/>
  <c r="G544" i="14"/>
  <c r="H544" i="14"/>
  <c r="F544" i="14"/>
  <c r="E544" i="14"/>
  <c r="D544" i="14"/>
  <c r="B545" i="14"/>
  <c r="C544" i="14"/>
  <c r="J531" i="1" l="1"/>
  <c r="L531" i="1"/>
  <c r="M531" i="1" s="1"/>
  <c r="I531" i="1"/>
  <c r="K531" i="1" s="1"/>
  <c r="H532" i="1" s="1"/>
  <c r="J545" i="14"/>
  <c r="I545" i="14"/>
  <c r="H545" i="14"/>
  <c r="F545" i="14"/>
  <c r="G545" i="14"/>
  <c r="D545" i="14"/>
  <c r="E545" i="14"/>
  <c r="B546" i="14"/>
  <c r="C545" i="14"/>
  <c r="L532" i="1" l="1"/>
  <c r="M532" i="1" s="1"/>
  <c r="I532" i="1"/>
  <c r="K532" i="1" s="1"/>
  <c r="H533" i="1" s="1"/>
  <c r="J532" i="1"/>
  <c r="J546" i="14"/>
  <c r="H546" i="14"/>
  <c r="I546" i="14"/>
  <c r="G546" i="14"/>
  <c r="F546" i="14"/>
  <c r="E546" i="14"/>
  <c r="D546" i="14"/>
  <c r="B547" i="14"/>
  <c r="C546" i="14"/>
  <c r="L533" i="1" l="1"/>
  <c r="M533" i="1" s="1"/>
  <c r="J533" i="1"/>
  <c r="I533" i="1"/>
  <c r="K533" i="1" s="1"/>
  <c r="H534" i="1" s="1"/>
  <c r="J547" i="14"/>
  <c r="I547" i="14"/>
  <c r="H547" i="14"/>
  <c r="G547" i="14"/>
  <c r="E547" i="14"/>
  <c r="F547" i="14"/>
  <c r="D547" i="14"/>
  <c r="B548" i="14"/>
  <c r="C547" i="14"/>
  <c r="L534" i="1" l="1"/>
  <c r="M534" i="1" s="1"/>
  <c r="J534" i="1"/>
  <c r="I534" i="1"/>
  <c r="K534" i="1" s="1"/>
  <c r="H535" i="1" s="1"/>
  <c r="J548" i="14"/>
  <c r="I548" i="14"/>
  <c r="H548" i="14"/>
  <c r="G548" i="14"/>
  <c r="E548" i="14"/>
  <c r="F548" i="14"/>
  <c r="D548" i="14"/>
  <c r="B549" i="14"/>
  <c r="C548" i="14"/>
  <c r="L535" i="1" l="1"/>
  <c r="M535" i="1" s="1"/>
  <c r="J535" i="1"/>
  <c r="I535" i="1"/>
  <c r="K535" i="1" s="1"/>
  <c r="H536" i="1" s="1"/>
  <c r="I549" i="14"/>
  <c r="J549" i="14"/>
  <c r="H549" i="14"/>
  <c r="G549" i="14"/>
  <c r="F549" i="14"/>
  <c r="E549" i="14"/>
  <c r="D549" i="14"/>
  <c r="B550" i="14"/>
  <c r="C549" i="14"/>
  <c r="L536" i="1" l="1"/>
  <c r="M536" i="1" s="1"/>
  <c r="J536" i="1"/>
  <c r="I536" i="1"/>
  <c r="K536" i="1" s="1"/>
  <c r="H537" i="1" s="1"/>
  <c r="J550" i="14"/>
  <c r="I550" i="14"/>
  <c r="G550" i="14"/>
  <c r="H550" i="14"/>
  <c r="F550" i="14"/>
  <c r="E550" i="14"/>
  <c r="D550" i="14"/>
  <c r="B551" i="14"/>
  <c r="C550" i="14"/>
  <c r="L537" i="1" l="1"/>
  <c r="M537" i="1" s="1"/>
  <c r="J537" i="1"/>
  <c r="I537" i="1"/>
  <c r="K537" i="1" s="1"/>
  <c r="H538" i="1" s="1"/>
  <c r="J551" i="14"/>
  <c r="I551" i="14"/>
  <c r="H551" i="14"/>
  <c r="F551" i="14"/>
  <c r="G551" i="14"/>
  <c r="D551" i="14"/>
  <c r="E551" i="14"/>
  <c r="C551" i="14"/>
  <c r="B552" i="14"/>
  <c r="L538" i="1" l="1"/>
  <c r="M538" i="1" s="1"/>
  <c r="J538" i="1"/>
  <c r="I538" i="1"/>
  <c r="K538" i="1" s="1"/>
  <c r="H539" i="1" s="1"/>
  <c r="J552" i="14"/>
  <c r="H552" i="14"/>
  <c r="I552" i="14"/>
  <c r="F552" i="14"/>
  <c r="G552" i="14"/>
  <c r="E552" i="14"/>
  <c r="D552" i="14"/>
  <c r="B553" i="14"/>
  <c r="C552" i="14"/>
  <c r="L539" i="1" l="1"/>
  <c r="M539" i="1" s="1"/>
  <c r="J539" i="1"/>
  <c r="I539" i="1"/>
  <c r="K539" i="1" s="1"/>
  <c r="H540" i="1" s="1"/>
  <c r="J553" i="14"/>
  <c r="I553" i="14"/>
  <c r="H553" i="14"/>
  <c r="E553" i="14"/>
  <c r="G553" i="14"/>
  <c r="F553" i="14"/>
  <c r="D553" i="14"/>
  <c r="B554" i="14"/>
  <c r="C553" i="14"/>
  <c r="L540" i="1" l="1"/>
  <c r="M540" i="1" s="1"/>
  <c r="I540" i="1"/>
  <c r="K540" i="1" s="1"/>
  <c r="H541" i="1" s="1"/>
  <c r="J540" i="1"/>
  <c r="J554" i="14"/>
  <c r="I554" i="14"/>
  <c r="H554" i="14"/>
  <c r="G554" i="14"/>
  <c r="F554" i="14"/>
  <c r="E554" i="14"/>
  <c r="D554" i="14"/>
  <c r="B555" i="14"/>
  <c r="C554" i="14"/>
  <c r="L541" i="1" l="1"/>
  <c r="M541" i="1" s="1"/>
  <c r="J541" i="1"/>
  <c r="I541" i="1"/>
  <c r="K541" i="1" s="1"/>
  <c r="H542" i="1" s="1"/>
  <c r="J555" i="14"/>
  <c r="I555" i="14"/>
  <c r="H555" i="14"/>
  <c r="G555" i="14"/>
  <c r="E555" i="14"/>
  <c r="F555" i="14"/>
  <c r="D555" i="14"/>
  <c r="B556" i="14"/>
  <c r="C555" i="14"/>
  <c r="L542" i="1" l="1"/>
  <c r="M542" i="1" s="1"/>
  <c r="J542" i="1"/>
  <c r="I542" i="1"/>
  <c r="K542" i="1" s="1"/>
  <c r="H543" i="1" s="1"/>
  <c r="J556" i="14"/>
  <c r="I556" i="14"/>
  <c r="G556" i="14"/>
  <c r="H556" i="14"/>
  <c r="F556" i="14"/>
  <c r="E556" i="14"/>
  <c r="D556" i="14"/>
  <c r="B557" i="14"/>
  <c r="C556" i="14"/>
  <c r="L543" i="1" l="1"/>
  <c r="M543" i="1" s="1"/>
  <c r="J543" i="1"/>
  <c r="I543" i="1"/>
  <c r="K543" i="1" s="1"/>
  <c r="H544" i="1" s="1"/>
  <c r="J557" i="14"/>
  <c r="I557" i="14"/>
  <c r="H557" i="14"/>
  <c r="F557" i="14"/>
  <c r="G557" i="14"/>
  <c r="D557" i="14"/>
  <c r="E557" i="14"/>
  <c r="C557" i="14"/>
  <c r="B558" i="14"/>
  <c r="L544" i="1" l="1"/>
  <c r="M544" i="1" s="1"/>
  <c r="J544" i="1"/>
  <c r="I544" i="1"/>
  <c r="K544" i="1" s="1"/>
  <c r="H545" i="1" s="1"/>
  <c r="J558" i="14"/>
  <c r="H558" i="14"/>
  <c r="I558" i="14"/>
  <c r="G558" i="14"/>
  <c r="F558" i="14"/>
  <c r="E558" i="14"/>
  <c r="D558" i="14"/>
  <c r="B559" i="14"/>
  <c r="C558" i="14"/>
  <c r="L545" i="1" l="1"/>
  <c r="M545" i="1" s="1"/>
  <c r="I545" i="1"/>
  <c r="K545" i="1" s="1"/>
  <c r="H546" i="1" s="1"/>
  <c r="J545" i="1"/>
  <c r="J559" i="14"/>
  <c r="I559" i="14"/>
  <c r="H559" i="14"/>
  <c r="E559" i="14"/>
  <c r="G559" i="14"/>
  <c r="F559" i="14"/>
  <c r="D559" i="14"/>
  <c r="B560" i="14"/>
  <c r="C559" i="14"/>
  <c r="L546" i="1" l="1"/>
  <c r="M546" i="1" s="1"/>
  <c r="J546" i="1"/>
  <c r="I546" i="1"/>
  <c r="K546" i="1" s="1"/>
  <c r="H547" i="1" s="1"/>
  <c r="J560" i="14"/>
  <c r="I560" i="14"/>
  <c r="H560" i="14"/>
  <c r="F560" i="14"/>
  <c r="G560" i="14"/>
  <c r="E560" i="14"/>
  <c r="D560" i="14"/>
  <c r="B561" i="14"/>
  <c r="C560" i="14"/>
  <c r="L547" i="1" l="1"/>
  <c r="M547" i="1" s="1"/>
  <c r="J547" i="1"/>
  <c r="I547" i="1"/>
  <c r="K547" i="1" s="1"/>
  <c r="H548" i="1" s="1"/>
  <c r="J561" i="14"/>
  <c r="I561" i="14"/>
  <c r="H561" i="14"/>
  <c r="G561" i="14"/>
  <c r="F561" i="14"/>
  <c r="E561" i="14"/>
  <c r="D561" i="14"/>
  <c r="B562" i="14"/>
  <c r="C561" i="14"/>
  <c r="L548" i="1" l="1"/>
  <c r="M548" i="1" s="1"/>
  <c r="I548" i="1"/>
  <c r="K548" i="1" s="1"/>
  <c r="H549" i="1" s="1"/>
  <c r="J548" i="1"/>
  <c r="J562" i="14"/>
  <c r="I562" i="14"/>
  <c r="H562" i="14"/>
  <c r="G562" i="14"/>
  <c r="E562" i="14"/>
  <c r="F562" i="14"/>
  <c r="D562" i="14"/>
  <c r="B563" i="14"/>
  <c r="C562" i="14"/>
  <c r="L549" i="1" l="1"/>
  <c r="M549" i="1" s="1"/>
  <c r="J549" i="1"/>
  <c r="I549" i="1"/>
  <c r="K549" i="1" s="1"/>
  <c r="H550" i="1" s="1"/>
  <c r="J563" i="14"/>
  <c r="I563" i="14"/>
  <c r="H563" i="14"/>
  <c r="F563" i="14"/>
  <c r="G563" i="14"/>
  <c r="D563" i="14"/>
  <c r="E563" i="14"/>
  <c r="C563" i="14"/>
  <c r="B564" i="14"/>
  <c r="L550" i="1" l="1"/>
  <c r="M550" i="1" s="1"/>
  <c r="J550" i="1"/>
  <c r="I550" i="1"/>
  <c r="K550" i="1" s="1"/>
  <c r="H551" i="1" s="1"/>
  <c r="J564" i="14"/>
  <c r="I564" i="14"/>
  <c r="H564" i="14"/>
  <c r="G564" i="14"/>
  <c r="F564" i="14"/>
  <c r="E564" i="14"/>
  <c r="D564" i="14"/>
  <c r="B565" i="14"/>
  <c r="C564" i="14"/>
  <c r="L551" i="1" l="1"/>
  <c r="M551" i="1" s="1"/>
  <c r="J551" i="1"/>
  <c r="I551" i="1"/>
  <c r="K551" i="1" s="1"/>
  <c r="H552" i="1" s="1"/>
  <c r="J565" i="14"/>
  <c r="I565" i="14"/>
  <c r="H565" i="14"/>
  <c r="G565" i="14"/>
  <c r="F565" i="14"/>
  <c r="E565" i="14"/>
  <c r="D565" i="14"/>
  <c r="B566" i="14"/>
  <c r="C565" i="14"/>
  <c r="J552" i="1" l="1"/>
  <c r="L552" i="1"/>
  <c r="M552" i="1" s="1"/>
  <c r="I552" i="1"/>
  <c r="K552" i="1" s="1"/>
  <c r="H553" i="1" s="1"/>
  <c r="J566" i="14"/>
  <c r="I566" i="14"/>
  <c r="G566" i="14"/>
  <c r="H566" i="14"/>
  <c r="F566" i="14"/>
  <c r="E566" i="14"/>
  <c r="D566" i="14"/>
  <c r="B567" i="14"/>
  <c r="C566" i="14"/>
  <c r="L553" i="1" l="1"/>
  <c r="M553" i="1" s="1"/>
  <c r="J553" i="1"/>
  <c r="I553" i="1"/>
  <c r="K553" i="1" s="1"/>
  <c r="H554" i="1" s="1"/>
  <c r="J567" i="14"/>
  <c r="I567" i="14"/>
  <c r="H567" i="14"/>
  <c r="G567" i="14"/>
  <c r="F567" i="14"/>
  <c r="D567" i="14"/>
  <c r="E567" i="14"/>
  <c r="B568" i="14"/>
  <c r="C567" i="14"/>
  <c r="L554" i="1" l="1"/>
  <c r="M554" i="1" s="1"/>
  <c r="J554" i="1"/>
  <c r="I554" i="1"/>
  <c r="K554" i="1" s="1"/>
  <c r="H555" i="1" s="1"/>
  <c r="J568" i="14"/>
  <c r="I568" i="14"/>
  <c r="G568" i="14"/>
  <c r="H568" i="14"/>
  <c r="F568" i="14"/>
  <c r="E568" i="14"/>
  <c r="D568" i="14"/>
  <c r="B569" i="14"/>
  <c r="C568" i="14"/>
  <c r="L555" i="1" l="1"/>
  <c r="M555" i="1" s="1"/>
  <c r="J555" i="1"/>
  <c r="I555" i="1"/>
  <c r="K555" i="1" s="1"/>
  <c r="H556" i="1" s="1"/>
  <c r="J569" i="14"/>
  <c r="I569" i="14"/>
  <c r="H569" i="14"/>
  <c r="G569" i="14"/>
  <c r="F569" i="14"/>
  <c r="E569" i="14"/>
  <c r="D569" i="14"/>
  <c r="C569" i="14"/>
  <c r="B570" i="14"/>
  <c r="L556" i="1" l="1"/>
  <c r="M556" i="1" s="1"/>
  <c r="I556" i="1"/>
  <c r="K556" i="1" s="1"/>
  <c r="H557" i="1" s="1"/>
  <c r="J556" i="1"/>
  <c r="J570" i="14"/>
  <c r="H570" i="14"/>
  <c r="I570" i="14"/>
  <c r="G570" i="14"/>
  <c r="F570" i="14"/>
  <c r="E570" i="14"/>
  <c r="D570" i="14"/>
  <c r="B571" i="14"/>
  <c r="C570" i="14"/>
  <c r="L557" i="1" l="1"/>
  <c r="M557" i="1" s="1"/>
  <c r="J557" i="1"/>
  <c r="I557" i="1"/>
  <c r="K557" i="1" s="1"/>
  <c r="H558" i="1" s="1"/>
  <c r="J571" i="14"/>
  <c r="I571" i="14"/>
  <c r="H571" i="14"/>
  <c r="G571" i="14"/>
  <c r="F571" i="14"/>
  <c r="E571" i="14"/>
  <c r="D571" i="14"/>
  <c r="B572" i="14"/>
  <c r="C571" i="14"/>
  <c r="L558" i="1" l="1"/>
  <c r="M558" i="1" s="1"/>
  <c r="I558" i="1"/>
  <c r="K558" i="1" s="1"/>
  <c r="H559" i="1" s="1"/>
  <c r="J558" i="1"/>
  <c r="J572" i="14"/>
  <c r="I572" i="14"/>
  <c r="H572" i="14"/>
  <c r="G572" i="14"/>
  <c r="F572" i="14"/>
  <c r="E572" i="14"/>
  <c r="D572" i="14"/>
  <c r="B573" i="14"/>
  <c r="C572" i="14"/>
  <c r="L559" i="1" l="1"/>
  <c r="M559" i="1" s="1"/>
  <c r="J559" i="1"/>
  <c r="I559" i="1"/>
  <c r="K559" i="1" s="1"/>
  <c r="H560" i="1" s="1"/>
  <c r="J573" i="14"/>
  <c r="I573" i="14"/>
  <c r="H573" i="14"/>
  <c r="G573" i="14"/>
  <c r="F573" i="14"/>
  <c r="E573" i="14"/>
  <c r="D573" i="14"/>
  <c r="B574" i="14"/>
  <c r="C573" i="14"/>
  <c r="L560" i="1" l="1"/>
  <c r="M560" i="1" s="1"/>
  <c r="J560" i="1"/>
  <c r="I560" i="1"/>
  <c r="K560" i="1" s="1"/>
  <c r="H561" i="1" s="1"/>
  <c r="J574" i="14"/>
  <c r="I574" i="14"/>
  <c r="G574" i="14"/>
  <c r="H574" i="14"/>
  <c r="E574" i="14"/>
  <c r="F574" i="14"/>
  <c r="D574" i="14"/>
  <c r="B575" i="14"/>
  <c r="C574" i="14"/>
  <c r="L561" i="1" l="1"/>
  <c r="M561" i="1" s="1"/>
  <c r="J561" i="1"/>
  <c r="I561" i="1"/>
  <c r="K561" i="1" s="1"/>
  <c r="H562" i="1" s="1"/>
  <c r="J575" i="14"/>
  <c r="I575" i="14"/>
  <c r="H575" i="14"/>
  <c r="F575" i="14"/>
  <c r="G575" i="14"/>
  <c r="D575" i="14"/>
  <c r="E575" i="14"/>
  <c r="C575" i="14"/>
  <c r="B576" i="14"/>
  <c r="L562" i="1" l="1"/>
  <c r="M562" i="1" s="1"/>
  <c r="J562" i="1"/>
  <c r="I562" i="1"/>
  <c r="K562" i="1" s="1"/>
  <c r="H563" i="1" s="1"/>
  <c r="J576" i="14"/>
  <c r="H576" i="14"/>
  <c r="I576" i="14"/>
  <c r="G576" i="14"/>
  <c r="F576" i="14"/>
  <c r="E576" i="14"/>
  <c r="D576" i="14"/>
  <c r="B577" i="14"/>
  <c r="C576" i="14"/>
  <c r="L563" i="1" l="1"/>
  <c r="M563" i="1" s="1"/>
  <c r="J563" i="1"/>
  <c r="I563" i="1"/>
  <c r="K563" i="1" s="1"/>
  <c r="H564" i="1" s="1"/>
  <c r="J577" i="14"/>
  <c r="I577" i="14"/>
  <c r="H577" i="14"/>
  <c r="G577" i="14"/>
  <c r="F577" i="14"/>
  <c r="E577" i="14"/>
  <c r="D577" i="14"/>
  <c r="B578" i="14"/>
  <c r="C577" i="14"/>
  <c r="L564" i="1" l="1"/>
  <c r="M564" i="1" s="1"/>
  <c r="J564" i="1"/>
  <c r="I564" i="1"/>
  <c r="K564" i="1" s="1"/>
  <c r="H565" i="1" s="1"/>
  <c r="I578" i="14"/>
  <c r="J578" i="14"/>
  <c r="H578" i="14"/>
  <c r="F578" i="14"/>
  <c r="G578" i="14"/>
  <c r="E578" i="14"/>
  <c r="D578" i="14"/>
  <c r="B579" i="14"/>
  <c r="C578" i="14"/>
  <c r="L565" i="1" l="1"/>
  <c r="M565" i="1" s="1"/>
  <c r="J565" i="1"/>
  <c r="I565" i="1"/>
  <c r="K565" i="1" s="1"/>
  <c r="H566" i="1" s="1"/>
  <c r="J579" i="14"/>
  <c r="I579" i="14"/>
  <c r="H579" i="14"/>
  <c r="G579" i="14"/>
  <c r="F579" i="14"/>
  <c r="E579" i="14"/>
  <c r="D579" i="14"/>
  <c r="B580" i="14"/>
  <c r="C579" i="14"/>
  <c r="L566" i="1" l="1"/>
  <c r="M566" i="1" s="1"/>
  <c r="J566" i="1"/>
  <c r="I566" i="1"/>
  <c r="K566" i="1" s="1"/>
  <c r="H567" i="1" s="1"/>
  <c r="J580" i="14"/>
  <c r="I580" i="14"/>
  <c r="G580" i="14"/>
  <c r="H580" i="14"/>
  <c r="E580" i="14"/>
  <c r="F580" i="14"/>
  <c r="D580" i="14"/>
  <c r="B581" i="14"/>
  <c r="C580" i="14"/>
  <c r="L567" i="1" l="1"/>
  <c r="M567" i="1" s="1"/>
  <c r="J567" i="1"/>
  <c r="I567" i="1"/>
  <c r="K567" i="1" s="1"/>
  <c r="H568" i="1" s="1"/>
  <c r="J581" i="14"/>
  <c r="I581" i="14"/>
  <c r="H581" i="14"/>
  <c r="F581" i="14"/>
  <c r="G581" i="14"/>
  <c r="D581" i="14"/>
  <c r="E581" i="14"/>
  <c r="B582" i="14"/>
  <c r="C581" i="14"/>
  <c r="L568" i="1" l="1"/>
  <c r="M568" i="1" s="1"/>
  <c r="I568" i="1"/>
  <c r="K568" i="1" s="1"/>
  <c r="H569" i="1" s="1"/>
  <c r="J568" i="1"/>
  <c r="J582" i="14"/>
  <c r="H582" i="14"/>
  <c r="I582" i="14"/>
  <c r="G582" i="14"/>
  <c r="F582" i="14"/>
  <c r="E582" i="14"/>
  <c r="D582" i="14"/>
  <c r="B583" i="14"/>
  <c r="C582" i="14"/>
  <c r="L569" i="1" l="1"/>
  <c r="M569" i="1" s="1"/>
  <c r="J569" i="1"/>
  <c r="I569" i="1"/>
  <c r="K569" i="1" s="1"/>
  <c r="H570" i="1" s="1"/>
  <c r="J583" i="14"/>
  <c r="I583" i="14"/>
  <c r="G583" i="14"/>
  <c r="H583" i="14"/>
  <c r="F583" i="14"/>
  <c r="E583" i="14"/>
  <c r="D583" i="14"/>
  <c r="B584" i="14"/>
  <c r="C583" i="14"/>
  <c r="L570" i="1" l="1"/>
  <c r="M570" i="1" s="1"/>
  <c r="J570" i="1"/>
  <c r="I570" i="1"/>
  <c r="K570" i="1" s="1"/>
  <c r="H571" i="1" s="1"/>
  <c r="J584" i="14"/>
  <c r="I584" i="14"/>
  <c r="H584" i="14"/>
  <c r="G584" i="14"/>
  <c r="F584" i="14"/>
  <c r="E584" i="14"/>
  <c r="D584" i="14"/>
  <c r="B585" i="14"/>
  <c r="C584" i="14"/>
  <c r="L571" i="1" l="1"/>
  <c r="M571" i="1" s="1"/>
  <c r="J571" i="1"/>
  <c r="I571" i="1"/>
  <c r="K571" i="1" s="1"/>
  <c r="H572" i="1" s="1"/>
  <c r="I585" i="14"/>
  <c r="J585" i="14"/>
  <c r="H585" i="14"/>
  <c r="G585" i="14"/>
  <c r="F585" i="14"/>
  <c r="E585" i="14"/>
  <c r="D585" i="14"/>
  <c r="B586" i="14"/>
  <c r="C585" i="14"/>
  <c r="L572" i="1" l="1"/>
  <c r="M572" i="1" s="1"/>
  <c r="J572" i="1"/>
  <c r="I572" i="1"/>
  <c r="K572" i="1" s="1"/>
  <c r="H573" i="1" s="1"/>
  <c r="J586" i="14"/>
  <c r="I586" i="14"/>
  <c r="G586" i="14"/>
  <c r="H586" i="14"/>
  <c r="E586" i="14"/>
  <c r="F586" i="14"/>
  <c r="D586" i="14"/>
  <c r="B587" i="14"/>
  <c r="C586" i="14"/>
  <c r="L573" i="1" l="1"/>
  <c r="M573" i="1" s="1"/>
  <c r="I573" i="1"/>
  <c r="K573" i="1" s="1"/>
  <c r="H574" i="1" s="1"/>
  <c r="J573" i="1"/>
  <c r="J587" i="14"/>
  <c r="I587" i="14"/>
  <c r="H587" i="14"/>
  <c r="F587" i="14"/>
  <c r="G587" i="14"/>
  <c r="D587" i="14"/>
  <c r="E587" i="14"/>
  <c r="C587" i="14"/>
  <c r="B588" i="14"/>
  <c r="J574" i="1" l="1"/>
  <c r="L574" i="1"/>
  <c r="M574" i="1" s="1"/>
  <c r="I574" i="1"/>
  <c r="K574" i="1" s="1"/>
  <c r="H575" i="1" s="1"/>
  <c r="J588" i="14"/>
  <c r="H588" i="14"/>
  <c r="I588" i="14"/>
  <c r="G588" i="14"/>
  <c r="F588" i="14"/>
  <c r="E588" i="14"/>
  <c r="D588" i="14"/>
  <c r="B589" i="14"/>
  <c r="C588" i="14"/>
  <c r="L575" i="1" l="1"/>
  <c r="M575" i="1" s="1"/>
  <c r="I575" i="1"/>
  <c r="K575" i="1" s="1"/>
  <c r="H576" i="1" s="1"/>
  <c r="J575" i="1"/>
  <c r="J589" i="14"/>
  <c r="I589" i="14"/>
  <c r="H589" i="14"/>
  <c r="G589" i="14"/>
  <c r="F589" i="14"/>
  <c r="D589" i="14"/>
  <c r="E589" i="14"/>
  <c r="B590" i="14"/>
  <c r="C589" i="14"/>
  <c r="L576" i="1" l="1"/>
  <c r="M576" i="1" s="1"/>
  <c r="J576" i="1"/>
  <c r="I576" i="1"/>
  <c r="K576" i="1" s="1"/>
  <c r="H577" i="1" s="1"/>
  <c r="J590" i="14"/>
  <c r="I590" i="14"/>
  <c r="H590" i="14"/>
  <c r="G590" i="14"/>
  <c r="F590" i="14"/>
  <c r="E590" i="14"/>
  <c r="D590" i="14"/>
  <c r="B591" i="14"/>
  <c r="C590" i="14"/>
  <c r="L577" i="1" l="1"/>
  <c r="M577" i="1" s="1"/>
  <c r="J577" i="1"/>
  <c r="I577" i="1"/>
  <c r="K577" i="1" s="1"/>
  <c r="H578" i="1" s="1"/>
  <c r="J591" i="14"/>
  <c r="I591" i="14"/>
  <c r="H591" i="14"/>
  <c r="F591" i="14"/>
  <c r="G591" i="14"/>
  <c r="E591" i="14"/>
  <c r="D591" i="14"/>
  <c r="B592" i="14"/>
  <c r="C591" i="14"/>
  <c r="L578" i="1" l="1"/>
  <c r="M578" i="1" s="1"/>
  <c r="I578" i="1"/>
  <c r="K578" i="1" s="1"/>
  <c r="H579" i="1" s="1"/>
  <c r="J578" i="1"/>
  <c r="J592" i="14"/>
  <c r="I592" i="14"/>
  <c r="G592" i="14"/>
  <c r="H592" i="14"/>
  <c r="E592" i="14"/>
  <c r="F592" i="14"/>
  <c r="D592" i="14"/>
  <c r="B593" i="14"/>
  <c r="C592" i="14"/>
  <c r="L579" i="1" l="1"/>
  <c r="M579" i="1" s="1"/>
  <c r="J579" i="1"/>
  <c r="I579" i="1"/>
  <c r="K579" i="1" s="1"/>
  <c r="H580" i="1" s="1"/>
  <c r="I593" i="14"/>
  <c r="J593" i="14"/>
  <c r="F593" i="14"/>
  <c r="H593" i="14"/>
  <c r="G593" i="14"/>
  <c r="D593" i="14"/>
  <c r="E593" i="14"/>
  <c r="C593" i="14"/>
  <c r="B594" i="14"/>
  <c r="L580" i="1" l="1"/>
  <c r="M580" i="1" s="1"/>
  <c r="I580" i="1"/>
  <c r="K580" i="1" s="1"/>
  <c r="H581" i="1" s="1"/>
  <c r="J580" i="1"/>
  <c r="J594" i="14"/>
  <c r="H594" i="14"/>
  <c r="I594" i="14"/>
  <c r="G594" i="14"/>
  <c r="F594" i="14"/>
  <c r="E594" i="14"/>
  <c r="D594" i="14"/>
  <c r="B595" i="14"/>
  <c r="C594" i="14"/>
  <c r="L581" i="1" l="1"/>
  <c r="M581" i="1" s="1"/>
  <c r="J581" i="1"/>
  <c r="I581" i="1"/>
  <c r="K581" i="1" s="1"/>
  <c r="H582" i="1" s="1"/>
  <c r="J595" i="14"/>
  <c r="I595" i="14"/>
  <c r="H595" i="14"/>
  <c r="F595" i="14"/>
  <c r="G595" i="14"/>
  <c r="E595" i="14"/>
  <c r="D595" i="14"/>
  <c r="B596" i="14"/>
  <c r="C595" i="14"/>
  <c r="L582" i="1" l="1"/>
  <c r="M582" i="1" s="1"/>
  <c r="I582" i="1"/>
  <c r="K582" i="1" s="1"/>
  <c r="H583" i="1" s="1"/>
  <c r="J582" i="1"/>
  <c r="J596" i="14"/>
  <c r="I596" i="14"/>
  <c r="H596" i="14"/>
  <c r="G596" i="14"/>
  <c r="F596" i="14"/>
  <c r="E596" i="14"/>
  <c r="D596" i="14"/>
  <c r="B597" i="14"/>
  <c r="C596" i="14"/>
  <c r="L583" i="1" l="1"/>
  <c r="M583" i="1" s="1"/>
  <c r="J583" i="1"/>
  <c r="I583" i="1"/>
  <c r="K583" i="1" s="1"/>
  <c r="H584" i="1" s="1"/>
  <c r="J597" i="14"/>
  <c r="I597" i="14"/>
  <c r="H597" i="14"/>
  <c r="G597" i="14"/>
  <c r="F597" i="14"/>
  <c r="E597" i="14"/>
  <c r="D597" i="14"/>
  <c r="B598" i="14"/>
  <c r="C597" i="14"/>
  <c r="L584" i="1" l="1"/>
  <c r="M584" i="1" s="1"/>
  <c r="I584" i="1"/>
  <c r="K584" i="1" s="1"/>
  <c r="H585" i="1" s="1"/>
  <c r="J584" i="1"/>
  <c r="J598" i="14"/>
  <c r="I598" i="14"/>
  <c r="H598" i="14"/>
  <c r="G598" i="14"/>
  <c r="E598" i="14"/>
  <c r="F598" i="14"/>
  <c r="D598" i="14"/>
  <c r="B599" i="14"/>
  <c r="C598" i="14"/>
  <c r="L585" i="1" l="1"/>
  <c r="M585" i="1" s="1"/>
  <c r="J585" i="1"/>
  <c r="I585" i="1"/>
  <c r="K585" i="1" s="1"/>
  <c r="H586" i="1" s="1"/>
  <c r="J599" i="14"/>
  <c r="I599" i="14"/>
  <c r="H599" i="14"/>
  <c r="F599" i="14"/>
  <c r="G599" i="14"/>
  <c r="D599" i="14"/>
  <c r="E599" i="14"/>
  <c r="C599" i="14"/>
  <c r="B600" i="14"/>
  <c r="L586" i="1" l="1"/>
  <c r="M586" i="1" s="1"/>
  <c r="J586" i="1"/>
  <c r="I586" i="1"/>
  <c r="K586" i="1" s="1"/>
  <c r="H587" i="1" s="1"/>
  <c r="J600" i="14"/>
  <c r="I600" i="14"/>
  <c r="H600" i="14"/>
  <c r="G600" i="14"/>
  <c r="F600" i="14"/>
  <c r="E600" i="14"/>
  <c r="D600" i="14"/>
  <c r="B601" i="14"/>
  <c r="C600" i="14"/>
  <c r="L587" i="1" l="1"/>
  <c r="M587" i="1" s="1"/>
  <c r="J587" i="1"/>
  <c r="I587" i="1"/>
  <c r="K587" i="1" s="1"/>
  <c r="H588" i="1" s="1"/>
  <c r="J601" i="14"/>
  <c r="I601" i="14"/>
  <c r="H601" i="14"/>
  <c r="G601" i="14"/>
  <c r="F601" i="14"/>
  <c r="E601" i="14"/>
  <c r="D601" i="14"/>
  <c r="C601" i="14"/>
  <c r="B602" i="14"/>
  <c r="J588" i="1" l="1"/>
  <c r="L588" i="1"/>
  <c r="M588" i="1" s="1"/>
  <c r="I588" i="1"/>
  <c r="K588" i="1" s="1"/>
  <c r="H589" i="1" s="1"/>
  <c r="J602" i="14"/>
  <c r="I602" i="14"/>
  <c r="H602" i="14"/>
  <c r="G602" i="14"/>
  <c r="F602" i="14"/>
  <c r="E602" i="14"/>
  <c r="D602" i="14"/>
  <c r="B603" i="14"/>
  <c r="C602" i="14"/>
  <c r="L589" i="1" l="1"/>
  <c r="M589" i="1" s="1"/>
  <c r="J589" i="1"/>
  <c r="I589" i="1"/>
  <c r="K589" i="1" s="1"/>
  <c r="H590" i="1" s="1"/>
  <c r="J603" i="14"/>
  <c r="I603" i="14"/>
  <c r="H603" i="14"/>
  <c r="G603" i="14"/>
  <c r="F603" i="14"/>
  <c r="E603" i="14"/>
  <c r="D603" i="14"/>
  <c r="B604" i="14"/>
  <c r="C603" i="14"/>
  <c r="L590" i="1" l="1"/>
  <c r="M590" i="1" s="1"/>
  <c r="J590" i="1"/>
  <c r="I590" i="1"/>
  <c r="K590" i="1" s="1"/>
  <c r="H591" i="1" s="1"/>
  <c r="J604" i="14"/>
  <c r="I604" i="14"/>
  <c r="G604" i="14"/>
  <c r="H604" i="14"/>
  <c r="F604" i="14"/>
  <c r="E604" i="14"/>
  <c r="D604" i="14"/>
  <c r="B605" i="14"/>
  <c r="C604" i="14"/>
  <c r="L591" i="1" l="1"/>
  <c r="M591" i="1" s="1"/>
  <c r="J591" i="1"/>
  <c r="I591" i="1"/>
  <c r="K591" i="1" s="1"/>
  <c r="H592" i="1" s="1"/>
  <c r="J605" i="14"/>
  <c r="I605" i="14"/>
  <c r="H605" i="14"/>
  <c r="G605" i="14"/>
  <c r="F605" i="14"/>
  <c r="E605" i="14"/>
  <c r="D605" i="14"/>
  <c r="C605" i="14"/>
  <c r="B606" i="14"/>
  <c r="L592" i="1" l="1"/>
  <c r="M592" i="1" s="1"/>
  <c r="J592" i="1"/>
  <c r="I592" i="1"/>
  <c r="K592" i="1" s="1"/>
  <c r="H593" i="1" s="1"/>
  <c r="J606" i="14"/>
  <c r="H606" i="14"/>
  <c r="I606" i="14"/>
  <c r="G606" i="14"/>
  <c r="F606" i="14"/>
  <c r="E606" i="14"/>
  <c r="D606" i="14"/>
  <c r="B607" i="14"/>
  <c r="C606" i="14"/>
  <c r="L593" i="1" l="1"/>
  <c r="M593" i="1" s="1"/>
  <c r="J593" i="1"/>
  <c r="I593" i="1"/>
  <c r="K593" i="1" s="1"/>
  <c r="H594" i="1" s="1"/>
  <c r="J607" i="14"/>
  <c r="I607" i="14"/>
  <c r="H607" i="14"/>
  <c r="G607" i="14"/>
  <c r="F607" i="14"/>
  <c r="E607" i="14"/>
  <c r="D607" i="14"/>
  <c r="B608" i="14"/>
  <c r="C607" i="14"/>
  <c r="L594" i="1" l="1"/>
  <c r="M594" i="1" s="1"/>
  <c r="J594" i="1"/>
  <c r="I594" i="1"/>
  <c r="K594" i="1" s="1"/>
  <c r="H595" i="1" s="1"/>
  <c r="J608" i="14"/>
  <c r="I608" i="14"/>
  <c r="H608" i="14"/>
  <c r="G608" i="14"/>
  <c r="F608" i="14"/>
  <c r="E608" i="14"/>
  <c r="D608" i="14"/>
  <c r="B609" i="14"/>
  <c r="C608" i="14"/>
  <c r="L595" i="1" l="1"/>
  <c r="M595" i="1" s="1"/>
  <c r="J595" i="1"/>
  <c r="I595" i="1"/>
  <c r="K595" i="1" s="1"/>
  <c r="H596" i="1" s="1"/>
  <c r="J609" i="14"/>
  <c r="I609" i="14"/>
  <c r="H609" i="14"/>
  <c r="G609" i="14"/>
  <c r="F609" i="14"/>
  <c r="E609" i="14"/>
  <c r="D609" i="14"/>
  <c r="B610" i="14"/>
  <c r="C609" i="14"/>
  <c r="L596" i="1" l="1"/>
  <c r="M596" i="1" s="1"/>
  <c r="I596" i="1"/>
  <c r="K596" i="1" s="1"/>
  <c r="H597" i="1" s="1"/>
  <c r="J596" i="1"/>
  <c r="J610" i="14"/>
  <c r="I610" i="14"/>
  <c r="G610" i="14"/>
  <c r="H610" i="14"/>
  <c r="E610" i="14"/>
  <c r="F610" i="14"/>
  <c r="D610" i="14"/>
  <c r="B611" i="14"/>
  <c r="C610" i="14"/>
  <c r="L597" i="1" l="1"/>
  <c r="M597" i="1" s="1"/>
  <c r="J597" i="1"/>
  <c r="I597" i="1"/>
  <c r="K597" i="1" s="1"/>
  <c r="H598" i="1" s="1"/>
  <c r="J611" i="14"/>
  <c r="I611" i="14"/>
  <c r="H611" i="14"/>
  <c r="F611" i="14"/>
  <c r="G611" i="14"/>
  <c r="D611" i="14"/>
  <c r="E611" i="14"/>
  <c r="C611" i="14"/>
  <c r="B612" i="14"/>
  <c r="L598" i="1" l="1"/>
  <c r="M598" i="1" s="1"/>
  <c r="I598" i="1"/>
  <c r="K598" i="1" s="1"/>
  <c r="H599" i="1" s="1"/>
  <c r="J598" i="1"/>
  <c r="J612" i="14"/>
  <c r="H612" i="14"/>
  <c r="I612" i="14"/>
  <c r="G612" i="14"/>
  <c r="F612" i="14"/>
  <c r="E612" i="14"/>
  <c r="D612" i="14"/>
  <c r="B613" i="14"/>
  <c r="C612" i="14"/>
  <c r="L599" i="1" l="1"/>
  <c r="M599" i="1" s="1"/>
  <c r="J599" i="1"/>
  <c r="I599" i="1"/>
  <c r="K599" i="1" s="1"/>
  <c r="H600" i="1" s="1"/>
  <c r="J613" i="14"/>
  <c r="I613" i="14"/>
  <c r="H613" i="14"/>
  <c r="F613" i="14"/>
  <c r="G613" i="14"/>
  <c r="E613" i="14"/>
  <c r="D613" i="14"/>
  <c r="B614" i="14"/>
  <c r="C613" i="14"/>
  <c r="L600" i="1" l="1"/>
  <c r="M600" i="1" s="1"/>
  <c r="J600" i="1"/>
  <c r="I600" i="1"/>
  <c r="K600" i="1" s="1"/>
  <c r="H601" i="1" s="1"/>
  <c r="I614" i="14"/>
  <c r="J614" i="14"/>
  <c r="H614" i="14"/>
  <c r="G614" i="14"/>
  <c r="F614" i="14"/>
  <c r="E614" i="14"/>
  <c r="D614" i="14"/>
  <c r="B615" i="14"/>
  <c r="C614" i="14"/>
  <c r="L601" i="1" l="1"/>
  <c r="M601" i="1" s="1"/>
  <c r="J601" i="1"/>
  <c r="I601" i="1"/>
  <c r="K601" i="1" s="1"/>
  <c r="H602" i="1" s="1"/>
  <c r="J615" i="14"/>
  <c r="I615" i="14"/>
  <c r="H615" i="14"/>
  <c r="G615" i="14"/>
  <c r="F615" i="14"/>
  <c r="E615" i="14"/>
  <c r="D615" i="14"/>
  <c r="B616" i="14"/>
  <c r="C615" i="14"/>
  <c r="L602" i="1" l="1"/>
  <c r="M602" i="1" s="1"/>
  <c r="I602" i="1"/>
  <c r="K602" i="1" s="1"/>
  <c r="H603" i="1" s="1"/>
  <c r="J602" i="1"/>
  <c r="J616" i="14"/>
  <c r="I616" i="14"/>
  <c r="G616" i="14"/>
  <c r="H616" i="14"/>
  <c r="E616" i="14"/>
  <c r="F616" i="14"/>
  <c r="D616" i="14"/>
  <c r="B617" i="14"/>
  <c r="C616" i="14"/>
  <c r="L603" i="1" l="1"/>
  <c r="M603" i="1" s="1"/>
  <c r="J603" i="1"/>
  <c r="I603" i="1"/>
  <c r="K603" i="1" s="1"/>
  <c r="H604" i="1" s="1"/>
  <c r="J617" i="14"/>
  <c r="I617" i="14"/>
  <c r="F617" i="14"/>
  <c r="H617" i="14"/>
  <c r="G617" i="14"/>
  <c r="D617" i="14"/>
  <c r="E617" i="14"/>
  <c r="B618" i="14"/>
  <c r="C617" i="14"/>
  <c r="L604" i="1" l="1"/>
  <c r="M604" i="1" s="1"/>
  <c r="J604" i="1"/>
  <c r="I604" i="1"/>
  <c r="K604" i="1" s="1"/>
  <c r="H605" i="1" s="1"/>
  <c r="J618" i="14"/>
  <c r="H618" i="14"/>
  <c r="I618" i="14"/>
  <c r="G618" i="14"/>
  <c r="F618" i="14"/>
  <c r="E618" i="14"/>
  <c r="D618" i="14"/>
  <c r="B619" i="14"/>
  <c r="C618" i="14"/>
  <c r="J605" i="1" l="1"/>
  <c r="I605" i="1"/>
  <c r="K605" i="1" s="1"/>
  <c r="H606" i="1" s="1"/>
  <c r="L605" i="1"/>
  <c r="M605" i="1" s="1"/>
  <c r="J619" i="14"/>
  <c r="I619" i="14"/>
  <c r="G619" i="14"/>
  <c r="H619" i="14"/>
  <c r="F619" i="14"/>
  <c r="E619" i="14"/>
  <c r="D619" i="14"/>
  <c r="B620" i="14"/>
  <c r="C619" i="14"/>
  <c r="L606" i="1" l="1"/>
  <c r="M606" i="1" s="1"/>
  <c r="J606" i="1"/>
  <c r="I606" i="1"/>
  <c r="K606" i="1" s="1"/>
  <c r="H607" i="1" s="1"/>
  <c r="J620" i="14"/>
  <c r="I620" i="14"/>
  <c r="H620" i="14"/>
  <c r="G620" i="14"/>
  <c r="F620" i="14"/>
  <c r="E620" i="14"/>
  <c r="D620" i="14"/>
  <c r="B621" i="14"/>
  <c r="C620" i="14"/>
  <c r="L607" i="1" l="1"/>
  <c r="M607" i="1" s="1"/>
  <c r="J607" i="1"/>
  <c r="I607" i="1"/>
  <c r="K607" i="1" s="1"/>
  <c r="H608" i="1" s="1"/>
  <c r="I621" i="14"/>
  <c r="J621" i="14"/>
  <c r="H621" i="14"/>
  <c r="F621" i="14"/>
  <c r="G621" i="14"/>
  <c r="E621" i="14"/>
  <c r="D621" i="14"/>
  <c r="B622" i="14"/>
  <c r="C621" i="14"/>
  <c r="J608" i="1" l="1"/>
  <c r="L608" i="1"/>
  <c r="M608" i="1" s="1"/>
  <c r="I608" i="1"/>
  <c r="K608" i="1" s="1"/>
  <c r="H609" i="1" s="1"/>
  <c r="J622" i="14"/>
  <c r="I622" i="14"/>
  <c r="G622" i="14"/>
  <c r="H622" i="14"/>
  <c r="E622" i="14"/>
  <c r="F622" i="14"/>
  <c r="D622" i="14"/>
  <c r="B623" i="14"/>
  <c r="C622" i="14"/>
  <c r="L609" i="1" l="1"/>
  <c r="M609" i="1" s="1"/>
  <c r="J609" i="1"/>
  <c r="I609" i="1"/>
  <c r="K609" i="1" s="1"/>
  <c r="H610" i="1" s="1"/>
  <c r="J623" i="14"/>
  <c r="I623" i="14"/>
  <c r="H623" i="14"/>
  <c r="F623" i="14"/>
  <c r="G623" i="14"/>
  <c r="D623" i="14"/>
  <c r="E623" i="14"/>
  <c r="C623" i="14"/>
  <c r="B624" i="14"/>
  <c r="L610" i="1" l="1"/>
  <c r="M610" i="1" s="1"/>
  <c r="J610" i="1"/>
  <c r="I610" i="1"/>
  <c r="K610" i="1" s="1"/>
  <c r="H611" i="1" s="1"/>
  <c r="J624" i="14"/>
  <c r="H624" i="14"/>
  <c r="I624" i="14"/>
  <c r="G624" i="14"/>
  <c r="F624" i="14"/>
  <c r="E624" i="14"/>
  <c r="D624" i="14"/>
  <c r="B625" i="14"/>
  <c r="C624" i="14"/>
  <c r="L611" i="1" l="1"/>
  <c r="M611" i="1" s="1"/>
  <c r="J611" i="1"/>
  <c r="I611" i="1"/>
  <c r="K611" i="1" s="1"/>
  <c r="H612" i="1" s="1"/>
  <c r="J625" i="14"/>
  <c r="I625" i="14"/>
  <c r="H625" i="14"/>
  <c r="G625" i="14"/>
  <c r="F625" i="14"/>
  <c r="E625" i="14"/>
  <c r="D625" i="14"/>
  <c r="B626" i="14"/>
  <c r="C625" i="14"/>
  <c r="L612" i="1" l="1"/>
  <c r="M612" i="1" s="1"/>
  <c r="J612" i="1"/>
  <c r="I612" i="1"/>
  <c r="K612" i="1" s="1"/>
  <c r="H613" i="1" s="1"/>
  <c r="J626" i="14"/>
  <c r="I626" i="14"/>
  <c r="G626" i="14"/>
  <c r="H626" i="14"/>
  <c r="F626" i="14"/>
  <c r="E626" i="14"/>
  <c r="D626" i="14"/>
  <c r="B627" i="14"/>
  <c r="C626" i="14"/>
  <c r="L613" i="1" l="1"/>
  <c r="M613" i="1" s="1"/>
  <c r="J613" i="1"/>
  <c r="I613" i="1"/>
  <c r="K613" i="1" s="1"/>
  <c r="H614" i="1" s="1"/>
  <c r="J627" i="14"/>
  <c r="I627" i="14"/>
  <c r="H627" i="14"/>
  <c r="G627" i="14"/>
  <c r="F627" i="14"/>
  <c r="E627" i="14"/>
  <c r="D627" i="14"/>
  <c r="B628" i="14"/>
  <c r="C627" i="14"/>
  <c r="J614" i="1" l="1"/>
  <c r="L614" i="1"/>
  <c r="M614" i="1" s="1"/>
  <c r="I614" i="1"/>
  <c r="K614" i="1" s="1"/>
  <c r="H615" i="1" s="1"/>
  <c r="J628" i="14"/>
  <c r="I628" i="14"/>
  <c r="G628" i="14"/>
  <c r="H628" i="14"/>
  <c r="E628" i="14"/>
  <c r="F628" i="14"/>
  <c r="D628" i="14"/>
  <c r="B629" i="14"/>
  <c r="C628" i="14"/>
  <c r="L615" i="1" l="1"/>
  <c r="M615" i="1" s="1"/>
  <c r="J615" i="1"/>
  <c r="I615" i="1"/>
  <c r="K615" i="1" s="1"/>
  <c r="H616" i="1" s="1"/>
  <c r="I629" i="14"/>
  <c r="J629" i="14"/>
  <c r="H629" i="14"/>
  <c r="F629" i="14"/>
  <c r="G629" i="14"/>
  <c r="D629" i="14"/>
  <c r="E629" i="14"/>
  <c r="C629" i="14"/>
  <c r="B630" i="14"/>
  <c r="I616" i="1" l="1"/>
  <c r="K616" i="1" s="1"/>
  <c r="H617" i="1" s="1"/>
  <c r="L616" i="1"/>
  <c r="M616" i="1" s="1"/>
  <c r="J616" i="1"/>
  <c r="J630" i="14"/>
  <c r="H630" i="14"/>
  <c r="I630" i="14"/>
  <c r="G630" i="14"/>
  <c r="F630" i="14"/>
  <c r="E630" i="14"/>
  <c r="D630" i="14"/>
  <c r="B631" i="14"/>
  <c r="C630" i="14"/>
  <c r="L617" i="1" l="1"/>
  <c r="M617" i="1" s="1"/>
  <c r="J617" i="1"/>
  <c r="I617" i="1"/>
  <c r="K617" i="1" s="1"/>
  <c r="H618" i="1" s="1"/>
  <c r="J631" i="14"/>
  <c r="I631" i="14"/>
  <c r="H631" i="14"/>
  <c r="G631" i="14"/>
  <c r="F631" i="14"/>
  <c r="E631" i="14"/>
  <c r="D631" i="14"/>
  <c r="B632" i="14"/>
  <c r="C631" i="14"/>
  <c r="L618" i="1" l="1"/>
  <c r="M618" i="1" s="1"/>
  <c r="J618" i="1"/>
  <c r="I618" i="1"/>
  <c r="K618" i="1" s="1"/>
  <c r="H619" i="1" s="1"/>
  <c r="J632" i="14"/>
  <c r="I632" i="14"/>
  <c r="H632" i="14"/>
  <c r="G632" i="14"/>
  <c r="F632" i="14"/>
  <c r="E632" i="14"/>
  <c r="D632" i="14"/>
  <c r="B633" i="14"/>
  <c r="C632" i="14"/>
  <c r="L619" i="1" l="1"/>
  <c r="M619" i="1" s="1"/>
  <c r="I619" i="1"/>
  <c r="K619" i="1" s="1"/>
  <c r="H620" i="1" s="1"/>
  <c r="J619" i="1"/>
  <c r="J633" i="14"/>
  <c r="I633" i="14"/>
  <c r="H633" i="14"/>
  <c r="G633" i="14"/>
  <c r="F633" i="14"/>
  <c r="E633" i="14"/>
  <c r="D633" i="14"/>
  <c r="B634" i="14"/>
  <c r="C633" i="14"/>
  <c r="L620" i="1" l="1"/>
  <c r="M620" i="1" s="1"/>
  <c r="J620" i="1"/>
  <c r="I620" i="1"/>
  <c r="K620" i="1" s="1"/>
  <c r="H621" i="1" s="1"/>
  <c r="J634" i="14"/>
  <c r="I634" i="14"/>
  <c r="H634" i="14"/>
  <c r="G634" i="14"/>
  <c r="E634" i="14"/>
  <c r="F634" i="14"/>
  <c r="D634" i="14"/>
  <c r="B635" i="14"/>
  <c r="C634" i="14"/>
  <c r="L621" i="1" l="1"/>
  <c r="M621" i="1" s="1"/>
  <c r="J621" i="1"/>
  <c r="I621" i="1"/>
  <c r="K621" i="1" s="1"/>
  <c r="H622" i="1" s="1"/>
  <c r="J635" i="14"/>
  <c r="I635" i="14"/>
  <c r="F635" i="14"/>
  <c r="H635" i="14"/>
  <c r="G635" i="14"/>
  <c r="D635" i="14"/>
  <c r="E635" i="14"/>
  <c r="C635" i="14"/>
  <c r="B636" i="14"/>
  <c r="L622" i="1" l="1"/>
  <c r="M622" i="1" s="1"/>
  <c r="J622" i="1"/>
  <c r="I622" i="1"/>
  <c r="K622" i="1" s="1"/>
  <c r="H623" i="1" s="1"/>
  <c r="I636" i="14"/>
  <c r="H636" i="14"/>
  <c r="J636" i="14"/>
  <c r="G636" i="14"/>
  <c r="F636" i="14"/>
  <c r="E636" i="14"/>
  <c r="D636" i="14"/>
  <c r="B637" i="14"/>
  <c r="C636" i="14"/>
  <c r="L623" i="1" l="1"/>
  <c r="M623" i="1" s="1"/>
  <c r="I623" i="1"/>
  <c r="K623" i="1" s="1"/>
  <c r="H624" i="1" s="1"/>
  <c r="J623" i="1"/>
  <c r="J637" i="14"/>
  <c r="I637" i="14"/>
  <c r="H637" i="14"/>
  <c r="G637" i="14"/>
  <c r="F637" i="14"/>
  <c r="E637" i="14"/>
  <c r="D637" i="14"/>
  <c r="B638" i="14"/>
  <c r="C637" i="14"/>
  <c r="L624" i="1" l="1"/>
  <c r="M624" i="1" s="1"/>
  <c r="J624" i="1"/>
  <c r="I624" i="1"/>
  <c r="K624" i="1" s="1"/>
  <c r="H625" i="1" s="1"/>
  <c r="J638" i="14"/>
  <c r="I638" i="14"/>
  <c r="H638" i="14"/>
  <c r="F638" i="14"/>
  <c r="G638" i="14"/>
  <c r="E638" i="14"/>
  <c r="D638" i="14"/>
  <c r="B639" i="14"/>
  <c r="C638" i="14"/>
  <c r="L625" i="1" l="1"/>
  <c r="M625" i="1" s="1"/>
  <c r="J625" i="1"/>
  <c r="I625" i="1"/>
  <c r="K625" i="1" s="1"/>
  <c r="H626" i="1" s="1"/>
  <c r="J639" i="14"/>
  <c r="I639" i="14"/>
  <c r="H639" i="14"/>
  <c r="G639" i="14"/>
  <c r="F639" i="14"/>
  <c r="E639" i="14"/>
  <c r="D639" i="14"/>
  <c r="B640" i="14"/>
  <c r="C639" i="14"/>
  <c r="L626" i="1" l="1"/>
  <c r="M626" i="1" s="1"/>
  <c r="J626" i="1"/>
  <c r="I626" i="1"/>
  <c r="K626" i="1" s="1"/>
  <c r="H627" i="1" s="1"/>
  <c r="J640" i="14"/>
  <c r="I640" i="14"/>
  <c r="G640" i="14"/>
  <c r="H640" i="14"/>
  <c r="F640" i="14"/>
  <c r="E640" i="14"/>
  <c r="D640" i="14"/>
  <c r="B641" i="14"/>
  <c r="C640" i="14"/>
  <c r="L627" i="1" l="1"/>
  <c r="M627" i="1" s="1"/>
  <c r="J627" i="1"/>
  <c r="I627" i="1"/>
  <c r="K627" i="1" s="1"/>
  <c r="H628" i="1" s="1"/>
  <c r="J641" i="14"/>
  <c r="I641" i="14"/>
  <c r="H641" i="14"/>
  <c r="G641" i="14"/>
  <c r="F641" i="14"/>
  <c r="E641" i="14"/>
  <c r="D641" i="14"/>
  <c r="C641" i="14"/>
  <c r="B642" i="14"/>
  <c r="L628" i="1" l="1"/>
  <c r="M628" i="1" s="1"/>
  <c r="J628" i="1"/>
  <c r="I628" i="1"/>
  <c r="K628" i="1" s="1"/>
  <c r="H629" i="1" s="1"/>
  <c r="J642" i="14"/>
  <c r="H642" i="14"/>
  <c r="I642" i="14"/>
  <c r="G642" i="14"/>
  <c r="F642" i="14"/>
  <c r="E642" i="14"/>
  <c r="D642" i="14"/>
  <c r="B643" i="14"/>
  <c r="C642" i="14"/>
  <c r="L629" i="1" l="1"/>
  <c r="M629" i="1" s="1"/>
  <c r="J629" i="1"/>
  <c r="I629" i="1"/>
  <c r="K629" i="1" s="1"/>
  <c r="H630" i="1" s="1"/>
  <c r="J643" i="14"/>
  <c r="I643" i="14"/>
  <c r="H643" i="14"/>
  <c r="F643" i="14"/>
  <c r="G643" i="14"/>
  <c r="E643" i="14"/>
  <c r="D643" i="14"/>
  <c r="B644" i="14"/>
  <c r="C643" i="14"/>
  <c r="L630" i="1" l="1"/>
  <c r="M630" i="1" s="1"/>
  <c r="J630" i="1"/>
  <c r="I630" i="1"/>
  <c r="K630" i="1" s="1"/>
  <c r="H631" i="1" s="1"/>
  <c r="J644" i="14"/>
  <c r="I644" i="14"/>
  <c r="H644" i="14"/>
  <c r="G644" i="14"/>
  <c r="F644" i="14"/>
  <c r="E644" i="14"/>
  <c r="D644" i="14"/>
  <c r="C644" i="14"/>
  <c r="B645" i="14"/>
  <c r="L631" i="1" l="1"/>
  <c r="M631" i="1" s="1"/>
  <c r="I631" i="1"/>
  <c r="K631" i="1" s="1"/>
  <c r="H632" i="1" s="1"/>
  <c r="J631" i="1"/>
  <c r="J645" i="14"/>
  <c r="I645" i="14"/>
  <c r="H645" i="14"/>
  <c r="G645" i="14"/>
  <c r="F645" i="14"/>
  <c r="E645" i="14"/>
  <c r="D645" i="14"/>
  <c r="B646" i="14"/>
  <c r="C645" i="14"/>
  <c r="L632" i="1" l="1"/>
  <c r="M632" i="1" s="1"/>
  <c r="J632" i="1"/>
  <c r="I632" i="1"/>
  <c r="K632" i="1" s="1"/>
  <c r="H633" i="1" s="1"/>
  <c r="J646" i="14"/>
  <c r="I646" i="14"/>
  <c r="G646" i="14"/>
  <c r="H646" i="14"/>
  <c r="E646" i="14"/>
  <c r="F646" i="14"/>
  <c r="D646" i="14"/>
  <c r="B647" i="14"/>
  <c r="C646" i="14"/>
  <c r="L633" i="1" l="1"/>
  <c r="M633" i="1" s="1"/>
  <c r="J633" i="1"/>
  <c r="I633" i="1"/>
  <c r="K633" i="1" s="1"/>
  <c r="H634" i="1" s="1"/>
  <c r="J647" i="14"/>
  <c r="I647" i="14"/>
  <c r="H647" i="14"/>
  <c r="F647" i="14"/>
  <c r="G647" i="14"/>
  <c r="D647" i="14"/>
  <c r="E647" i="14"/>
  <c r="C647" i="14"/>
  <c r="B648" i="14"/>
  <c r="L634" i="1" l="1"/>
  <c r="M634" i="1" s="1"/>
  <c r="J634" i="1"/>
  <c r="I634" i="1"/>
  <c r="K634" i="1" s="1"/>
  <c r="H635" i="1" s="1"/>
  <c r="J648" i="14"/>
  <c r="H648" i="14"/>
  <c r="I648" i="14"/>
  <c r="G648" i="14"/>
  <c r="F648" i="14"/>
  <c r="E648" i="14"/>
  <c r="D648" i="14"/>
  <c r="B649" i="14"/>
  <c r="C648" i="14"/>
  <c r="L635" i="1" l="1"/>
  <c r="M635" i="1" s="1"/>
  <c r="J635" i="1"/>
  <c r="I635" i="1"/>
  <c r="K635" i="1" s="1"/>
  <c r="H636" i="1" s="1"/>
  <c r="J649" i="14"/>
  <c r="I649" i="14"/>
  <c r="H649" i="14"/>
  <c r="G649" i="14"/>
  <c r="F649" i="14"/>
  <c r="E649" i="14"/>
  <c r="D649" i="14"/>
  <c r="B650" i="14"/>
  <c r="C649" i="14"/>
  <c r="L636" i="1" l="1"/>
  <c r="M636" i="1" s="1"/>
  <c r="J636" i="1"/>
  <c r="I636" i="1"/>
  <c r="K636" i="1" s="1"/>
  <c r="H637" i="1" s="1"/>
  <c r="J650" i="14"/>
  <c r="I650" i="14"/>
  <c r="H650" i="14"/>
  <c r="G650" i="14"/>
  <c r="F650" i="14"/>
  <c r="E650" i="14"/>
  <c r="D650" i="14"/>
  <c r="B651" i="14"/>
  <c r="C650" i="14"/>
  <c r="L637" i="1" l="1"/>
  <c r="M637" i="1" s="1"/>
  <c r="J637" i="1"/>
  <c r="I637" i="1"/>
  <c r="K637" i="1" s="1"/>
  <c r="H638" i="1" s="1"/>
  <c r="J651" i="14"/>
  <c r="I651" i="14"/>
  <c r="H651" i="14"/>
  <c r="G651" i="14"/>
  <c r="F651" i="14"/>
  <c r="E651" i="14"/>
  <c r="D651" i="14"/>
  <c r="B652" i="14"/>
  <c r="C651" i="14"/>
  <c r="L638" i="1" l="1"/>
  <c r="M638" i="1" s="1"/>
  <c r="J638" i="1"/>
  <c r="I638" i="1"/>
  <c r="K638" i="1" s="1"/>
  <c r="H639" i="1" s="1"/>
  <c r="J652" i="14"/>
  <c r="I652" i="14"/>
  <c r="G652" i="14"/>
  <c r="H652" i="14"/>
  <c r="E652" i="14"/>
  <c r="F652" i="14"/>
  <c r="D652" i="14"/>
  <c r="B653" i="14"/>
  <c r="C652" i="14"/>
  <c r="L639" i="1" l="1"/>
  <c r="M639" i="1" s="1"/>
  <c r="J639" i="1"/>
  <c r="I639" i="1"/>
  <c r="K639" i="1" s="1"/>
  <c r="H640" i="1" s="1"/>
  <c r="J653" i="14"/>
  <c r="I653" i="14"/>
  <c r="F653" i="14"/>
  <c r="H653" i="14"/>
  <c r="G653" i="14"/>
  <c r="D653" i="14"/>
  <c r="E653" i="14"/>
  <c r="B654" i="14"/>
  <c r="C653" i="14"/>
  <c r="L640" i="1" l="1"/>
  <c r="M640" i="1" s="1"/>
  <c r="J640" i="1"/>
  <c r="I640" i="1"/>
  <c r="K640" i="1" s="1"/>
  <c r="H641" i="1" s="1"/>
  <c r="J654" i="14"/>
  <c r="H654" i="14"/>
  <c r="I654" i="14"/>
  <c r="G654" i="14"/>
  <c r="F654" i="14"/>
  <c r="E654" i="14"/>
  <c r="D654" i="14"/>
  <c r="B655" i="14"/>
  <c r="C654" i="14"/>
  <c r="L641" i="1" l="1"/>
  <c r="M641" i="1" s="1"/>
  <c r="J641" i="1"/>
  <c r="I641" i="1"/>
  <c r="K641" i="1" s="1"/>
  <c r="H642" i="1" s="1"/>
  <c r="J655" i="14"/>
  <c r="I655" i="14"/>
  <c r="H655" i="14"/>
  <c r="G655" i="14"/>
  <c r="F655" i="14"/>
  <c r="E655" i="14"/>
  <c r="D655" i="14"/>
  <c r="B656" i="14"/>
  <c r="C655" i="14"/>
  <c r="I642" i="1" l="1"/>
  <c r="K642" i="1" s="1"/>
  <c r="H643" i="1" s="1"/>
  <c r="L642" i="1"/>
  <c r="M642" i="1" s="1"/>
  <c r="J642" i="1"/>
  <c r="J656" i="14"/>
  <c r="I656" i="14"/>
  <c r="H656" i="14"/>
  <c r="G656" i="14"/>
  <c r="F656" i="14"/>
  <c r="E656" i="14"/>
  <c r="D656" i="14"/>
  <c r="B657" i="14"/>
  <c r="C656" i="14"/>
  <c r="L643" i="1" l="1"/>
  <c r="M643" i="1" s="1"/>
  <c r="J643" i="1"/>
  <c r="I643" i="1"/>
  <c r="K643" i="1" s="1"/>
  <c r="H644" i="1" s="1"/>
  <c r="I657" i="14"/>
  <c r="J657" i="14"/>
  <c r="H657" i="14"/>
  <c r="G657" i="14"/>
  <c r="F657" i="14"/>
  <c r="E657" i="14"/>
  <c r="D657" i="14"/>
  <c r="C657" i="14"/>
  <c r="B658" i="14"/>
  <c r="I644" i="1" l="1"/>
  <c r="K644" i="1" s="1"/>
  <c r="H645" i="1" s="1"/>
  <c r="L644" i="1"/>
  <c r="M644" i="1" s="1"/>
  <c r="J644" i="1"/>
  <c r="J658" i="14"/>
  <c r="I658" i="14"/>
  <c r="G658" i="14"/>
  <c r="H658" i="14"/>
  <c r="E658" i="14"/>
  <c r="F658" i="14"/>
  <c r="D658" i="14"/>
  <c r="C658" i="14"/>
  <c r="B659" i="14"/>
  <c r="L645" i="1" l="1"/>
  <c r="M645" i="1" s="1"/>
  <c r="J645" i="1"/>
  <c r="I645" i="1"/>
  <c r="K645" i="1" s="1"/>
  <c r="H646" i="1" s="1"/>
  <c r="J659" i="14"/>
  <c r="I659" i="14"/>
  <c r="H659" i="14"/>
  <c r="F659" i="14"/>
  <c r="G659" i="14"/>
  <c r="D659" i="14"/>
  <c r="E659" i="14"/>
  <c r="C659" i="14"/>
  <c r="B660" i="14"/>
  <c r="L646" i="1" l="1"/>
  <c r="M646" i="1" s="1"/>
  <c r="J646" i="1"/>
  <c r="I646" i="1"/>
  <c r="K646" i="1" s="1"/>
  <c r="H647" i="1" s="1"/>
  <c r="J660" i="14"/>
  <c r="H660" i="14"/>
  <c r="I660" i="14"/>
  <c r="G660" i="14"/>
  <c r="F660" i="14"/>
  <c r="E660" i="14"/>
  <c r="D660" i="14"/>
  <c r="B661" i="14"/>
  <c r="C660" i="14"/>
  <c r="L647" i="1" l="1"/>
  <c r="M647" i="1" s="1"/>
  <c r="J647" i="1"/>
  <c r="I647" i="1"/>
  <c r="K647" i="1" s="1"/>
  <c r="H648" i="1" s="1"/>
  <c r="J661" i="14"/>
  <c r="I661" i="14"/>
  <c r="H661" i="14"/>
  <c r="G661" i="14"/>
  <c r="F661" i="14"/>
  <c r="E661" i="14"/>
  <c r="D661" i="14"/>
  <c r="B662" i="14"/>
  <c r="C661" i="14"/>
  <c r="L648" i="1" l="1"/>
  <c r="M648" i="1" s="1"/>
  <c r="J648" i="1"/>
  <c r="I648" i="1"/>
  <c r="K648" i="1" s="1"/>
  <c r="H649" i="1" s="1"/>
  <c r="J662" i="14"/>
  <c r="I662" i="14"/>
  <c r="G662" i="14"/>
  <c r="H662" i="14"/>
  <c r="F662" i="14"/>
  <c r="E662" i="14"/>
  <c r="D662" i="14"/>
  <c r="B663" i="14"/>
  <c r="C662" i="14"/>
  <c r="L649" i="1" l="1"/>
  <c r="M649" i="1" s="1"/>
  <c r="J649" i="1"/>
  <c r="I649" i="1"/>
  <c r="K649" i="1" s="1"/>
  <c r="H650" i="1" s="1"/>
  <c r="J663" i="14"/>
  <c r="I663" i="14"/>
  <c r="H663" i="14"/>
  <c r="G663" i="14"/>
  <c r="F663" i="14"/>
  <c r="E663" i="14"/>
  <c r="D663" i="14"/>
  <c r="B664" i="14"/>
  <c r="C663" i="14"/>
  <c r="J650" i="1" l="1"/>
  <c r="L650" i="1"/>
  <c r="M650" i="1" s="1"/>
  <c r="I650" i="1"/>
  <c r="K650" i="1" s="1"/>
  <c r="H651" i="1" s="1"/>
  <c r="J664" i="14"/>
  <c r="I664" i="14"/>
  <c r="G664" i="14"/>
  <c r="H664" i="14"/>
  <c r="E664" i="14"/>
  <c r="F664" i="14"/>
  <c r="D664" i="14"/>
  <c r="B665" i="14"/>
  <c r="C664" i="14"/>
  <c r="L651" i="1" l="1"/>
  <c r="M651" i="1" s="1"/>
  <c r="J651" i="1"/>
  <c r="I651" i="1"/>
  <c r="K651" i="1" s="1"/>
  <c r="H652" i="1" s="1"/>
  <c r="I665" i="14"/>
  <c r="J665" i="14"/>
  <c r="H665" i="14"/>
  <c r="F665" i="14"/>
  <c r="G665" i="14"/>
  <c r="D665" i="14"/>
  <c r="E665" i="14"/>
  <c r="C665" i="14"/>
  <c r="B666" i="14"/>
  <c r="L652" i="1" l="1"/>
  <c r="M652" i="1" s="1"/>
  <c r="J652" i="1"/>
  <c r="I652" i="1"/>
  <c r="K652" i="1" s="1"/>
  <c r="H653" i="1" s="1"/>
  <c r="J666" i="14"/>
  <c r="H666" i="14"/>
  <c r="I666" i="14"/>
  <c r="G666" i="14"/>
  <c r="F666" i="14"/>
  <c r="E666" i="14"/>
  <c r="D666" i="14"/>
  <c r="B667" i="14"/>
  <c r="C666" i="14"/>
  <c r="L653" i="1" l="1"/>
  <c r="M653" i="1" s="1"/>
  <c r="J653" i="1"/>
  <c r="I653" i="1"/>
  <c r="K653" i="1" s="1"/>
  <c r="H654" i="1" s="1"/>
  <c r="J667" i="14"/>
  <c r="I667" i="14"/>
  <c r="H667" i="14"/>
  <c r="G667" i="14"/>
  <c r="F667" i="14"/>
  <c r="E667" i="14"/>
  <c r="D667" i="14"/>
  <c r="C667" i="14"/>
  <c r="B668" i="14"/>
  <c r="L654" i="1" l="1"/>
  <c r="M654" i="1" s="1"/>
  <c r="J654" i="1"/>
  <c r="I654" i="1"/>
  <c r="K654" i="1" s="1"/>
  <c r="H655" i="1" s="1"/>
  <c r="J668" i="14"/>
  <c r="I668" i="14"/>
  <c r="H668" i="14"/>
  <c r="F668" i="14"/>
  <c r="G668" i="14"/>
  <c r="D668" i="14"/>
  <c r="E668" i="14"/>
  <c r="B669" i="14"/>
  <c r="C668" i="14"/>
  <c r="L655" i="1" l="1"/>
  <c r="M655" i="1" s="1"/>
  <c r="J655" i="1"/>
  <c r="I655" i="1"/>
  <c r="K655" i="1" s="1"/>
  <c r="H656" i="1" s="1"/>
  <c r="J669" i="14"/>
  <c r="I669" i="14"/>
  <c r="G669" i="14"/>
  <c r="H669" i="14"/>
  <c r="F669" i="14"/>
  <c r="E669" i="14"/>
  <c r="D669" i="14"/>
  <c r="B670" i="14"/>
  <c r="C669" i="14"/>
  <c r="J656" i="1" l="1"/>
  <c r="L656" i="1"/>
  <c r="M656" i="1" s="1"/>
  <c r="I656" i="1"/>
  <c r="K656" i="1" s="1"/>
  <c r="H657" i="1" s="1"/>
  <c r="J670" i="14"/>
  <c r="I670" i="14"/>
  <c r="H670" i="14"/>
  <c r="G670" i="14"/>
  <c r="E670" i="14"/>
  <c r="F670" i="14"/>
  <c r="D670" i="14"/>
  <c r="B671" i="14"/>
  <c r="C670" i="14"/>
  <c r="L657" i="1" l="1"/>
  <c r="M657" i="1" s="1"/>
  <c r="J657" i="1"/>
  <c r="I657" i="1"/>
  <c r="K657" i="1" s="1"/>
  <c r="H658" i="1" s="1"/>
  <c r="J671" i="14"/>
  <c r="I671" i="14"/>
  <c r="F671" i="14"/>
  <c r="H671" i="14"/>
  <c r="G671" i="14"/>
  <c r="D671" i="14"/>
  <c r="E671" i="14"/>
  <c r="C671" i="14"/>
  <c r="B672" i="14"/>
  <c r="L658" i="1" l="1"/>
  <c r="M658" i="1" s="1"/>
  <c r="J658" i="1"/>
  <c r="I658" i="1"/>
  <c r="K658" i="1" s="1"/>
  <c r="H659" i="1" s="1"/>
  <c r="I672" i="14"/>
  <c r="H672" i="14"/>
  <c r="J672" i="14"/>
  <c r="G672" i="14"/>
  <c r="F672" i="14"/>
  <c r="E672" i="14"/>
  <c r="D672" i="14"/>
  <c r="B673" i="14"/>
  <c r="C672" i="14"/>
  <c r="J659" i="1" l="1"/>
  <c r="L659" i="1"/>
  <c r="M659" i="1" s="1"/>
  <c r="I659" i="1"/>
  <c r="K659" i="1" s="1"/>
  <c r="H660" i="1" s="1"/>
  <c r="J673" i="14"/>
  <c r="I673" i="14"/>
  <c r="H673" i="14"/>
  <c r="F673" i="14"/>
  <c r="G673" i="14"/>
  <c r="E673" i="14"/>
  <c r="D673" i="14"/>
  <c r="B674" i="14"/>
  <c r="C673" i="14"/>
  <c r="L660" i="1" l="1"/>
  <c r="M660" i="1" s="1"/>
  <c r="J660" i="1"/>
  <c r="I660" i="1"/>
  <c r="K660" i="1" s="1"/>
  <c r="H661" i="1" s="1"/>
  <c r="J674" i="14"/>
  <c r="I674" i="14"/>
  <c r="H674" i="14"/>
  <c r="G674" i="14"/>
  <c r="F674" i="14"/>
  <c r="E674" i="14"/>
  <c r="D674" i="14"/>
  <c r="C674" i="14"/>
  <c r="B675" i="14"/>
  <c r="L661" i="1" l="1"/>
  <c r="M661" i="1" s="1"/>
  <c r="J661" i="1"/>
  <c r="I661" i="1"/>
  <c r="K661" i="1" s="1"/>
  <c r="H662" i="1" s="1"/>
  <c r="J675" i="14"/>
  <c r="I675" i="14"/>
  <c r="G675" i="14"/>
  <c r="H675" i="14"/>
  <c r="F675" i="14"/>
  <c r="E675" i="14"/>
  <c r="D675" i="14"/>
  <c r="B676" i="14"/>
  <c r="C675" i="14"/>
  <c r="L662" i="1" l="1"/>
  <c r="M662" i="1" s="1"/>
  <c r="J662" i="1"/>
  <c r="I662" i="1"/>
  <c r="K662" i="1" s="1"/>
  <c r="H663" i="1" s="1"/>
  <c r="J676" i="14"/>
  <c r="I676" i="14"/>
  <c r="G676" i="14"/>
  <c r="H676" i="14"/>
  <c r="F676" i="14"/>
  <c r="E676" i="14"/>
  <c r="D676" i="14"/>
  <c r="B677" i="14"/>
  <c r="C676" i="14"/>
  <c r="L663" i="1" l="1"/>
  <c r="M663" i="1" s="1"/>
  <c r="J663" i="1"/>
  <c r="I663" i="1"/>
  <c r="K663" i="1" s="1"/>
  <c r="H664" i="1" s="1"/>
  <c r="J677" i="14"/>
  <c r="I677" i="14"/>
  <c r="H677" i="14"/>
  <c r="G677" i="14"/>
  <c r="F677" i="14"/>
  <c r="E677" i="14"/>
  <c r="D677" i="14"/>
  <c r="C677" i="14"/>
  <c r="B678" i="14"/>
  <c r="L664" i="1" l="1"/>
  <c r="M664" i="1" s="1"/>
  <c r="J664" i="1"/>
  <c r="I664" i="1"/>
  <c r="K664" i="1" s="1"/>
  <c r="H665" i="1" s="1"/>
  <c r="J678" i="14"/>
  <c r="H678" i="14"/>
  <c r="I678" i="14"/>
  <c r="G678" i="14"/>
  <c r="F678" i="14"/>
  <c r="E678" i="14"/>
  <c r="D678" i="14"/>
  <c r="B679" i="14"/>
  <c r="C678" i="14"/>
  <c r="L665" i="1" l="1"/>
  <c r="M665" i="1" s="1"/>
  <c r="I665" i="1"/>
  <c r="K665" i="1" s="1"/>
  <c r="H666" i="1" s="1"/>
  <c r="J665" i="1"/>
  <c r="I679" i="14"/>
  <c r="J679" i="14"/>
  <c r="H679" i="14"/>
  <c r="G679" i="14"/>
  <c r="F679" i="14"/>
  <c r="E679" i="14"/>
  <c r="D679" i="14"/>
  <c r="B680" i="14"/>
  <c r="C679" i="14"/>
  <c r="L666" i="1" l="1"/>
  <c r="M666" i="1" s="1"/>
  <c r="J666" i="1"/>
  <c r="I666" i="1"/>
  <c r="K666" i="1" s="1"/>
  <c r="H667" i="1" s="1"/>
  <c r="J680" i="14"/>
  <c r="I680" i="14"/>
  <c r="H680" i="14"/>
  <c r="G680" i="14"/>
  <c r="F680" i="14"/>
  <c r="E680" i="14"/>
  <c r="D680" i="14"/>
  <c r="B681" i="14"/>
  <c r="C680" i="14"/>
  <c r="L667" i="1" l="1"/>
  <c r="M667" i="1" s="1"/>
  <c r="J667" i="1"/>
  <c r="I667" i="1"/>
  <c r="K667" i="1" s="1"/>
  <c r="H668" i="1" s="1"/>
  <c r="J681" i="14"/>
  <c r="I681" i="14"/>
  <c r="H681" i="14"/>
  <c r="G681" i="14"/>
  <c r="F681" i="14"/>
  <c r="E681" i="14"/>
  <c r="D681" i="14"/>
  <c r="B682" i="14"/>
  <c r="C681" i="14"/>
  <c r="L668" i="1" l="1"/>
  <c r="M668" i="1" s="1"/>
  <c r="J668" i="1"/>
  <c r="I668" i="1"/>
  <c r="K668" i="1" s="1"/>
  <c r="H669" i="1" s="1"/>
  <c r="J682" i="14"/>
  <c r="I682" i="14"/>
  <c r="G682" i="14"/>
  <c r="H682" i="14"/>
  <c r="E682" i="14"/>
  <c r="F682" i="14"/>
  <c r="D682" i="14"/>
  <c r="B683" i="14"/>
  <c r="C682" i="14"/>
  <c r="L669" i="1" l="1"/>
  <c r="M669" i="1" s="1"/>
  <c r="J669" i="1"/>
  <c r="I669" i="1"/>
  <c r="K669" i="1" s="1"/>
  <c r="H670" i="1" s="1"/>
  <c r="J683" i="14"/>
  <c r="I683" i="14"/>
  <c r="F683" i="14"/>
  <c r="H683" i="14"/>
  <c r="G683" i="14"/>
  <c r="D683" i="14"/>
  <c r="E683" i="14"/>
  <c r="C683" i="14"/>
  <c r="B684" i="14"/>
  <c r="L670" i="1" l="1"/>
  <c r="M670" i="1" s="1"/>
  <c r="J670" i="1"/>
  <c r="I670" i="1"/>
  <c r="K670" i="1" s="1"/>
  <c r="H671" i="1" s="1"/>
  <c r="J684" i="14"/>
  <c r="H684" i="14"/>
  <c r="I684" i="14"/>
  <c r="G684" i="14"/>
  <c r="F684" i="14"/>
  <c r="E684" i="14"/>
  <c r="D684" i="14"/>
  <c r="B685" i="14"/>
  <c r="C684" i="14"/>
  <c r="L671" i="1" l="1"/>
  <c r="M671" i="1" s="1"/>
  <c r="J671" i="1"/>
  <c r="I671" i="1"/>
  <c r="K671" i="1" s="1"/>
  <c r="H672" i="1" s="1"/>
  <c r="J685" i="14"/>
  <c r="I685" i="14"/>
  <c r="H685" i="14"/>
  <c r="G685" i="14"/>
  <c r="F685" i="14"/>
  <c r="E685" i="14"/>
  <c r="D685" i="14"/>
  <c r="B686" i="14"/>
  <c r="C685" i="14"/>
  <c r="L672" i="1" l="1"/>
  <c r="M672" i="1" s="1"/>
  <c r="J672" i="1"/>
  <c r="I672" i="1"/>
  <c r="K672" i="1" s="1"/>
  <c r="H673" i="1" s="1"/>
  <c r="J686" i="14"/>
  <c r="I686" i="14"/>
  <c r="H686" i="14"/>
  <c r="G686" i="14"/>
  <c r="F686" i="14"/>
  <c r="E686" i="14"/>
  <c r="D686" i="14"/>
  <c r="B687" i="14"/>
  <c r="C686" i="14"/>
  <c r="L673" i="1" l="1"/>
  <c r="M673" i="1" s="1"/>
  <c r="I673" i="1"/>
  <c r="K673" i="1" s="1"/>
  <c r="H674" i="1" s="1"/>
  <c r="J673" i="1"/>
  <c r="J687" i="14"/>
  <c r="I687" i="14"/>
  <c r="H687" i="14"/>
  <c r="G687" i="14"/>
  <c r="F687" i="14"/>
  <c r="E687" i="14"/>
  <c r="D687" i="14"/>
  <c r="C687" i="14"/>
  <c r="B688" i="14"/>
  <c r="L674" i="1" l="1"/>
  <c r="M674" i="1" s="1"/>
  <c r="J674" i="1"/>
  <c r="I674" i="1"/>
  <c r="K674" i="1" s="1"/>
  <c r="H675" i="1" s="1"/>
  <c r="J688" i="14"/>
  <c r="I688" i="14"/>
  <c r="G688" i="14"/>
  <c r="H688" i="14"/>
  <c r="E688" i="14"/>
  <c r="F688" i="14"/>
  <c r="D688" i="14"/>
  <c r="B689" i="14"/>
  <c r="C688" i="14"/>
  <c r="L675" i="1" l="1"/>
  <c r="M675" i="1" s="1"/>
  <c r="J675" i="1"/>
  <c r="I675" i="1"/>
  <c r="K675" i="1" s="1"/>
  <c r="H676" i="1" s="1"/>
  <c r="J689" i="14"/>
  <c r="I689" i="14"/>
  <c r="H689" i="14"/>
  <c r="F689" i="14"/>
  <c r="G689" i="14"/>
  <c r="D689" i="14"/>
  <c r="E689" i="14"/>
  <c r="B690" i="14"/>
  <c r="C689" i="14"/>
  <c r="L676" i="1" l="1"/>
  <c r="M676" i="1" s="1"/>
  <c r="J676" i="1"/>
  <c r="I676" i="1"/>
  <c r="K676" i="1" s="1"/>
  <c r="H677" i="1" s="1"/>
  <c r="J690" i="14"/>
  <c r="H690" i="14"/>
  <c r="I690" i="14"/>
  <c r="F690" i="14"/>
  <c r="G690" i="14"/>
  <c r="E690" i="14"/>
  <c r="D690" i="14"/>
  <c r="B691" i="14"/>
  <c r="C690" i="14"/>
  <c r="L677" i="1" l="1"/>
  <c r="M677" i="1" s="1"/>
  <c r="J677" i="1"/>
  <c r="I677" i="1"/>
  <c r="K677" i="1" s="1"/>
  <c r="H678" i="1" s="1"/>
  <c r="J691" i="14"/>
  <c r="I691" i="14"/>
  <c r="H691" i="14"/>
  <c r="G691" i="14"/>
  <c r="F691" i="14"/>
  <c r="E691" i="14"/>
  <c r="D691" i="14"/>
  <c r="B692" i="14"/>
  <c r="C691" i="14"/>
  <c r="L678" i="1" l="1"/>
  <c r="M678" i="1" s="1"/>
  <c r="J678" i="1"/>
  <c r="I678" i="1"/>
  <c r="K678" i="1" s="1"/>
  <c r="H679" i="1" s="1"/>
  <c r="J692" i="14"/>
  <c r="H692" i="14"/>
  <c r="I692" i="14"/>
  <c r="G692" i="14"/>
  <c r="F692" i="14"/>
  <c r="E692" i="14"/>
  <c r="D692" i="14"/>
  <c r="C692" i="14"/>
  <c r="B693" i="14"/>
  <c r="L679" i="1" l="1"/>
  <c r="M679" i="1" s="1"/>
  <c r="J679" i="1"/>
  <c r="I679" i="1"/>
  <c r="K679" i="1" s="1"/>
  <c r="H680" i="1" s="1"/>
  <c r="I693" i="14"/>
  <c r="J693" i="14"/>
  <c r="G693" i="14"/>
  <c r="H693" i="14"/>
  <c r="F693" i="14"/>
  <c r="E693" i="14"/>
  <c r="D693" i="14"/>
  <c r="C693" i="14"/>
  <c r="B694" i="14"/>
  <c r="J680" i="1" l="1"/>
  <c r="I680" i="1"/>
  <c r="K680" i="1" s="1"/>
  <c r="H681" i="1" s="1"/>
  <c r="L680" i="1"/>
  <c r="M680" i="1" s="1"/>
  <c r="J694" i="14"/>
  <c r="I694" i="14"/>
  <c r="G694" i="14"/>
  <c r="H694" i="14"/>
  <c r="E694" i="14"/>
  <c r="F694" i="14"/>
  <c r="D694" i="14"/>
  <c r="B695" i="14"/>
  <c r="C694" i="14"/>
  <c r="I681" i="1" l="1"/>
  <c r="K681" i="1" s="1"/>
  <c r="H682" i="1" s="1"/>
  <c r="L681" i="1"/>
  <c r="M681" i="1" s="1"/>
  <c r="J681" i="1"/>
  <c r="J695" i="14"/>
  <c r="I695" i="14"/>
  <c r="F695" i="14"/>
  <c r="H695" i="14"/>
  <c r="G695" i="14"/>
  <c r="D695" i="14"/>
  <c r="E695" i="14"/>
  <c r="C695" i="14"/>
  <c r="B696" i="14"/>
  <c r="L682" i="1" l="1"/>
  <c r="M682" i="1" s="1"/>
  <c r="J682" i="1"/>
  <c r="I682" i="1"/>
  <c r="K682" i="1" s="1"/>
  <c r="H683" i="1" s="1"/>
  <c r="J696" i="14"/>
  <c r="H696" i="14"/>
  <c r="I696" i="14"/>
  <c r="G696" i="14"/>
  <c r="F696" i="14"/>
  <c r="E696" i="14"/>
  <c r="D696" i="14"/>
  <c r="B697" i="14"/>
  <c r="C696" i="14"/>
  <c r="L683" i="1" l="1"/>
  <c r="M683" i="1" s="1"/>
  <c r="J683" i="1"/>
  <c r="I683" i="1"/>
  <c r="K683" i="1" s="1"/>
  <c r="H684" i="1" s="1"/>
  <c r="J697" i="14"/>
  <c r="I697" i="14"/>
  <c r="H697" i="14"/>
  <c r="G697" i="14"/>
  <c r="F697" i="14"/>
  <c r="D697" i="14"/>
  <c r="E697" i="14"/>
  <c r="B698" i="14"/>
  <c r="C697" i="14"/>
  <c r="L684" i="1" l="1"/>
  <c r="M684" i="1" s="1"/>
  <c r="J684" i="1"/>
  <c r="I684" i="1"/>
  <c r="K684" i="1" s="1"/>
  <c r="H685" i="1" s="1"/>
  <c r="J698" i="14"/>
  <c r="I698" i="14"/>
  <c r="H698" i="14"/>
  <c r="G698" i="14"/>
  <c r="F698" i="14"/>
  <c r="E698" i="14"/>
  <c r="D698" i="14"/>
  <c r="B699" i="14"/>
  <c r="C698" i="14"/>
  <c r="L685" i="1" l="1"/>
  <c r="M685" i="1" s="1"/>
  <c r="J685" i="1"/>
  <c r="I685" i="1"/>
  <c r="K685" i="1" s="1"/>
  <c r="H686" i="1" s="1"/>
  <c r="J699" i="14"/>
  <c r="I699" i="14"/>
  <c r="H699" i="14"/>
  <c r="F699" i="14"/>
  <c r="G699" i="14"/>
  <c r="E699" i="14"/>
  <c r="D699" i="14"/>
  <c r="B700" i="14"/>
  <c r="C699" i="14"/>
  <c r="J686" i="1" l="1"/>
  <c r="L686" i="1"/>
  <c r="M686" i="1" s="1"/>
  <c r="I686" i="1"/>
  <c r="K686" i="1" s="1"/>
  <c r="H687" i="1" s="1"/>
  <c r="J700" i="14"/>
  <c r="I700" i="14"/>
  <c r="G700" i="14"/>
  <c r="H700" i="14"/>
  <c r="E700" i="14"/>
  <c r="F700" i="14"/>
  <c r="D700" i="14"/>
  <c r="B701" i="14"/>
  <c r="C700" i="14"/>
  <c r="L687" i="1" l="1"/>
  <c r="M687" i="1" s="1"/>
  <c r="J687" i="1"/>
  <c r="I687" i="1"/>
  <c r="K687" i="1" s="1"/>
  <c r="H688" i="1" s="1"/>
  <c r="I701" i="14"/>
  <c r="J701" i="14"/>
  <c r="F701" i="14"/>
  <c r="H701" i="14"/>
  <c r="G701" i="14"/>
  <c r="D701" i="14"/>
  <c r="E701" i="14"/>
  <c r="C701" i="14"/>
  <c r="B702" i="14"/>
  <c r="L688" i="1" l="1"/>
  <c r="M688" i="1" s="1"/>
  <c r="I688" i="1"/>
  <c r="K688" i="1" s="1"/>
  <c r="H689" i="1" s="1"/>
  <c r="J688" i="1"/>
  <c r="J702" i="14"/>
  <c r="H702" i="14"/>
  <c r="I702" i="14"/>
  <c r="G702" i="14"/>
  <c r="F702" i="14"/>
  <c r="E702" i="14"/>
  <c r="D702" i="14"/>
  <c r="B703" i="14"/>
  <c r="C702" i="14"/>
  <c r="L689" i="1" l="1"/>
  <c r="M689" i="1" s="1"/>
  <c r="J689" i="1"/>
  <c r="I689" i="1"/>
  <c r="K689" i="1" s="1"/>
  <c r="H690" i="1" s="1"/>
  <c r="J703" i="14"/>
  <c r="I703" i="14"/>
  <c r="H703" i="14"/>
  <c r="G703" i="14"/>
  <c r="F703" i="14"/>
  <c r="E703" i="14"/>
  <c r="D703" i="14"/>
  <c r="B704" i="14"/>
  <c r="C703" i="14"/>
  <c r="L690" i="1" l="1"/>
  <c r="M690" i="1" s="1"/>
  <c r="J690" i="1"/>
  <c r="I690" i="1"/>
  <c r="K690" i="1" s="1"/>
  <c r="H691" i="1" s="1"/>
  <c r="J704" i="14"/>
  <c r="I704" i="14"/>
  <c r="H704" i="14"/>
  <c r="G704" i="14"/>
  <c r="F704" i="14"/>
  <c r="E704" i="14"/>
  <c r="D704" i="14"/>
  <c r="B705" i="14"/>
  <c r="C704" i="14"/>
  <c r="L691" i="1" l="1"/>
  <c r="M691" i="1" s="1"/>
  <c r="J691" i="1"/>
  <c r="I691" i="1"/>
  <c r="K691" i="1" s="1"/>
  <c r="H692" i="1" s="1"/>
  <c r="J705" i="14"/>
  <c r="I705" i="14"/>
  <c r="G705" i="14"/>
  <c r="H705" i="14"/>
  <c r="F705" i="14"/>
  <c r="E705" i="14"/>
  <c r="D705" i="14"/>
  <c r="B706" i="14"/>
  <c r="C705" i="14"/>
  <c r="J692" i="1" l="1"/>
  <c r="L692" i="1"/>
  <c r="M692" i="1" s="1"/>
  <c r="I692" i="1"/>
  <c r="K692" i="1" s="1"/>
  <c r="H693" i="1" s="1"/>
  <c r="J706" i="14"/>
  <c r="I706" i="14"/>
  <c r="H706" i="14"/>
  <c r="G706" i="14"/>
  <c r="E706" i="14"/>
  <c r="F706" i="14"/>
  <c r="D706" i="14"/>
  <c r="B707" i="14"/>
  <c r="C706" i="14"/>
  <c r="L693" i="1" l="1"/>
  <c r="M693" i="1" s="1"/>
  <c r="I693" i="1"/>
  <c r="K693" i="1" s="1"/>
  <c r="H694" i="1" s="1"/>
  <c r="J693" i="1"/>
  <c r="J707" i="14"/>
  <c r="I707" i="14"/>
  <c r="H707" i="14"/>
  <c r="F707" i="14"/>
  <c r="G707" i="14"/>
  <c r="D707" i="14"/>
  <c r="E707" i="14"/>
  <c r="C707" i="14"/>
  <c r="B708" i="14"/>
  <c r="L694" i="1" l="1"/>
  <c r="M694" i="1" s="1"/>
  <c r="J694" i="1"/>
  <c r="I694" i="1"/>
  <c r="K694" i="1" s="1"/>
  <c r="H695" i="1" s="1"/>
  <c r="I708" i="14"/>
  <c r="H708" i="14"/>
  <c r="J708" i="14"/>
  <c r="G708" i="14"/>
  <c r="F708" i="14"/>
  <c r="E708" i="14"/>
  <c r="D708" i="14"/>
  <c r="B709" i="14"/>
  <c r="C708" i="14"/>
  <c r="L695" i="1" l="1"/>
  <c r="M695" i="1" s="1"/>
  <c r="I695" i="1"/>
  <c r="K695" i="1" s="1"/>
  <c r="H696" i="1" s="1"/>
  <c r="J695" i="1"/>
  <c r="J709" i="14"/>
  <c r="I709" i="14"/>
  <c r="H709" i="14"/>
  <c r="G709" i="14"/>
  <c r="F709" i="14"/>
  <c r="E709" i="14"/>
  <c r="D709" i="14"/>
  <c r="C709" i="14"/>
  <c r="B710" i="14"/>
  <c r="L696" i="1" l="1"/>
  <c r="M696" i="1" s="1"/>
  <c r="J696" i="1"/>
  <c r="I696" i="1"/>
  <c r="K696" i="1" s="1"/>
  <c r="H697" i="1" s="1"/>
  <c r="J710" i="14"/>
  <c r="I710" i="14"/>
  <c r="G710" i="14"/>
  <c r="H710" i="14"/>
  <c r="F710" i="14"/>
  <c r="E710" i="14"/>
  <c r="D710" i="14"/>
  <c r="C710" i="14"/>
  <c r="B711" i="14"/>
  <c r="L697" i="1" l="1"/>
  <c r="M697" i="1" s="1"/>
  <c r="J697" i="1"/>
  <c r="I697" i="1"/>
  <c r="K697" i="1" s="1"/>
  <c r="H698" i="1" s="1"/>
  <c r="J711" i="14"/>
  <c r="I711" i="14"/>
  <c r="H711" i="14"/>
  <c r="G711" i="14"/>
  <c r="F711" i="14"/>
  <c r="D711" i="14"/>
  <c r="E711" i="14"/>
  <c r="B712" i="14"/>
  <c r="C711" i="14"/>
  <c r="L698" i="1" l="1"/>
  <c r="M698" i="1" s="1"/>
  <c r="J698" i="1"/>
  <c r="I698" i="1"/>
  <c r="K698" i="1" s="1"/>
  <c r="H699" i="1" s="1"/>
  <c r="J712" i="14"/>
  <c r="G712" i="14"/>
  <c r="I712" i="14"/>
  <c r="H712" i="14"/>
  <c r="F712" i="14"/>
  <c r="E712" i="14"/>
  <c r="D712" i="14"/>
  <c r="B713" i="14"/>
  <c r="C712" i="14"/>
  <c r="L699" i="1" l="1"/>
  <c r="M699" i="1" s="1"/>
  <c r="J699" i="1"/>
  <c r="I699" i="1"/>
  <c r="K699" i="1" s="1"/>
  <c r="H700" i="1" s="1"/>
  <c r="J713" i="14"/>
  <c r="H713" i="14"/>
  <c r="I713" i="14"/>
  <c r="G713" i="14"/>
  <c r="F713" i="14"/>
  <c r="E713" i="14"/>
  <c r="D713" i="14"/>
  <c r="C713" i="14"/>
  <c r="B714" i="14"/>
  <c r="L700" i="1" l="1"/>
  <c r="M700" i="1" s="1"/>
  <c r="I700" i="1"/>
  <c r="K700" i="1" s="1"/>
  <c r="H701" i="1" s="1"/>
  <c r="J700" i="1"/>
  <c r="J714" i="14"/>
  <c r="H714" i="14"/>
  <c r="I714" i="14"/>
  <c r="G714" i="14"/>
  <c r="F714" i="14"/>
  <c r="E714" i="14"/>
  <c r="D714" i="14"/>
  <c r="B715" i="14"/>
  <c r="C714" i="14"/>
  <c r="L701" i="1" l="1"/>
  <c r="M701" i="1" s="1"/>
  <c r="J701" i="1"/>
  <c r="I701" i="1"/>
  <c r="K701" i="1" s="1"/>
  <c r="H702" i="1" s="1"/>
  <c r="I715" i="14"/>
  <c r="J715" i="14"/>
  <c r="H715" i="14"/>
  <c r="G715" i="14"/>
  <c r="F715" i="14"/>
  <c r="E715" i="14"/>
  <c r="D715" i="14"/>
  <c r="B716" i="14"/>
  <c r="C715" i="14"/>
  <c r="L702" i="1" l="1"/>
  <c r="M702" i="1" s="1"/>
  <c r="J702" i="1"/>
  <c r="I702" i="1"/>
  <c r="K702" i="1" s="1"/>
  <c r="H703" i="1" s="1"/>
  <c r="J716" i="14"/>
  <c r="I716" i="14"/>
  <c r="H716" i="14"/>
  <c r="F716" i="14"/>
  <c r="G716" i="14"/>
  <c r="E716" i="14"/>
  <c r="D716" i="14"/>
  <c r="B717" i="14"/>
  <c r="C716" i="14"/>
  <c r="L703" i="1" l="1"/>
  <c r="M703" i="1" s="1"/>
  <c r="J703" i="1"/>
  <c r="I703" i="1"/>
  <c r="K703" i="1" s="1"/>
  <c r="H704" i="1" s="1"/>
  <c r="I717" i="14"/>
  <c r="J717" i="14"/>
  <c r="H717" i="14"/>
  <c r="G717" i="14"/>
  <c r="F717" i="14"/>
  <c r="E717" i="14"/>
  <c r="D717" i="14"/>
  <c r="C717" i="14"/>
  <c r="B718" i="14"/>
  <c r="L704" i="1" l="1"/>
  <c r="M704" i="1" s="1"/>
  <c r="J704" i="1"/>
  <c r="I704" i="1"/>
  <c r="K704" i="1" s="1"/>
  <c r="H705" i="1" s="1"/>
  <c r="J718" i="14"/>
  <c r="I718" i="14"/>
  <c r="G718" i="14"/>
  <c r="H718" i="14"/>
  <c r="E718" i="14"/>
  <c r="F718" i="14"/>
  <c r="D718" i="14"/>
  <c r="B719" i="14"/>
  <c r="C718" i="14"/>
  <c r="L705" i="1" l="1"/>
  <c r="M705" i="1" s="1"/>
  <c r="I705" i="1"/>
  <c r="K705" i="1" s="1"/>
  <c r="H706" i="1" s="1"/>
  <c r="J705" i="1"/>
  <c r="J719" i="14"/>
  <c r="I719" i="14"/>
  <c r="F719" i="14"/>
  <c r="H719" i="14"/>
  <c r="G719" i="14"/>
  <c r="D719" i="14"/>
  <c r="E719" i="14"/>
  <c r="C719" i="14"/>
  <c r="B720" i="14"/>
  <c r="L706" i="1" l="1"/>
  <c r="M706" i="1" s="1"/>
  <c r="J706" i="1"/>
  <c r="I706" i="1"/>
  <c r="K706" i="1" s="1"/>
  <c r="H707" i="1" s="1"/>
  <c r="J720" i="14"/>
  <c r="H720" i="14"/>
  <c r="I720" i="14"/>
  <c r="G720" i="14"/>
  <c r="F720" i="14"/>
  <c r="E720" i="14"/>
  <c r="D720" i="14"/>
  <c r="B721" i="14"/>
  <c r="C720" i="14"/>
  <c r="L707" i="1" l="1"/>
  <c r="M707" i="1" s="1"/>
  <c r="J707" i="1"/>
  <c r="I707" i="1"/>
  <c r="K707" i="1" s="1"/>
  <c r="H708" i="1" s="1"/>
  <c r="J721" i="14"/>
  <c r="H721" i="14"/>
  <c r="I721" i="14"/>
  <c r="F721" i="14"/>
  <c r="G721" i="14"/>
  <c r="E721" i="14"/>
  <c r="D721" i="14"/>
  <c r="B722" i="14"/>
  <c r="C721" i="14"/>
  <c r="L708" i="1" l="1"/>
  <c r="M708" i="1" s="1"/>
  <c r="J708" i="1"/>
  <c r="I708" i="1"/>
  <c r="K708" i="1" s="1"/>
  <c r="H709" i="1" s="1"/>
  <c r="I722" i="14"/>
  <c r="J722" i="14"/>
  <c r="H722" i="14"/>
  <c r="G722" i="14"/>
  <c r="F722" i="14"/>
  <c r="E722" i="14"/>
  <c r="D722" i="14"/>
  <c r="B723" i="14"/>
  <c r="C722" i="14"/>
  <c r="L709" i="1" l="1"/>
  <c r="M709" i="1" s="1"/>
  <c r="J709" i="1"/>
  <c r="I709" i="1"/>
  <c r="K709" i="1" s="1"/>
  <c r="H710" i="1" s="1"/>
  <c r="I723" i="14"/>
  <c r="J723" i="14"/>
  <c r="H723" i="14"/>
  <c r="G723" i="14"/>
  <c r="F723" i="14"/>
  <c r="E723" i="14"/>
  <c r="D723" i="14"/>
  <c r="B724" i="14"/>
  <c r="C723" i="14"/>
  <c r="L710" i="1" l="1"/>
  <c r="M710" i="1" s="1"/>
  <c r="J710" i="1"/>
  <c r="I710" i="1"/>
  <c r="K710" i="1" s="1"/>
  <c r="H711" i="1" s="1"/>
  <c r="J724" i="14"/>
  <c r="G724" i="14"/>
  <c r="I724" i="14"/>
  <c r="H724" i="14"/>
  <c r="E724" i="14"/>
  <c r="F724" i="14"/>
  <c r="D724" i="14"/>
  <c r="B725" i="14"/>
  <c r="C724" i="14"/>
  <c r="L711" i="1" l="1"/>
  <c r="M711" i="1" s="1"/>
  <c r="J711" i="1"/>
  <c r="I711" i="1"/>
  <c r="K711" i="1" s="1"/>
  <c r="H712" i="1" s="1"/>
  <c r="J725" i="14"/>
  <c r="I725" i="14"/>
  <c r="H725" i="14"/>
  <c r="F725" i="14"/>
  <c r="G725" i="14"/>
  <c r="D725" i="14"/>
  <c r="E725" i="14"/>
  <c r="B726" i="14"/>
  <c r="C725" i="14"/>
  <c r="L712" i="1" l="1"/>
  <c r="M712" i="1" s="1"/>
  <c r="J712" i="1"/>
  <c r="I712" i="1"/>
  <c r="K712" i="1" s="1"/>
  <c r="H713" i="1" s="1"/>
  <c r="H726" i="14"/>
  <c r="I726" i="14"/>
  <c r="J726" i="14"/>
  <c r="G726" i="14"/>
  <c r="F726" i="14"/>
  <c r="D726" i="14"/>
  <c r="E726" i="14"/>
  <c r="B727" i="14"/>
  <c r="C726" i="14"/>
  <c r="L713" i="1" l="1"/>
  <c r="M713" i="1" s="1"/>
  <c r="J713" i="1"/>
  <c r="I713" i="1"/>
  <c r="K713" i="1" s="1"/>
  <c r="H714" i="1" s="1"/>
  <c r="J727" i="14"/>
  <c r="I727" i="14"/>
  <c r="G727" i="14"/>
  <c r="H727" i="14"/>
  <c r="F727" i="14"/>
  <c r="E727" i="14"/>
  <c r="D727" i="14"/>
  <c r="B728" i="14"/>
  <c r="C727" i="14"/>
  <c r="L714" i="1" l="1"/>
  <c r="M714" i="1" s="1"/>
  <c r="I714" i="1"/>
  <c r="K714" i="1" s="1"/>
  <c r="H715" i="1" s="1"/>
  <c r="J714" i="1"/>
  <c r="J728" i="14"/>
  <c r="I728" i="14"/>
  <c r="H728" i="14"/>
  <c r="G728" i="14"/>
  <c r="F728" i="14"/>
  <c r="E728" i="14"/>
  <c r="D728" i="14"/>
  <c r="B729" i="14"/>
  <c r="C728" i="14"/>
  <c r="L715" i="1" l="1"/>
  <c r="M715" i="1" s="1"/>
  <c r="J715" i="1"/>
  <c r="I715" i="1"/>
  <c r="K715" i="1" s="1"/>
  <c r="H716" i="1" s="1"/>
  <c r="I729" i="14"/>
  <c r="J729" i="14"/>
  <c r="H729" i="14"/>
  <c r="G729" i="14"/>
  <c r="F729" i="14"/>
  <c r="E729" i="14"/>
  <c r="D729" i="14"/>
  <c r="B730" i="14"/>
  <c r="C729" i="14"/>
  <c r="J716" i="1" l="1"/>
  <c r="L716" i="1"/>
  <c r="M716" i="1" s="1"/>
  <c r="I716" i="1"/>
  <c r="K716" i="1" s="1"/>
  <c r="H717" i="1" s="1"/>
  <c r="J730" i="14"/>
  <c r="I730" i="14"/>
  <c r="G730" i="14"/>
  <c r="H730" i="14"/>
  <c r="E730" i="14"/>
  <c r="F730" i="14"/>
  <c r="D730" i="14"/>
  <c r="C730" i="14"/>
  <c r="B731" i="14"/>
  <c r="L717" i="1" l="1"/>
  <c r="M717" i="1" s="1"/>
  <c r="J717" i="1"/>
  <c r="I717" i="1"/>
  <c r="K717" i="1" s="1"/>
  <c r="H718" i="1" s="1"/>
  <c r="J731" i="14"/>
  <c r="I731" i="14"/>
  <c r="F731" i="14"/>
  <c r="H731" i="14"/>
  <c r="G731" i="14"/>
  <c r="D731" i="14"/>
  <c r="E731" i="14"/>
  <c r="C731" i="14"/>
  <c r="B732" i="14"/>
  <c r="L718" i="1" l="1"/>
  <c r="M718" i="1" s="1"/>
  <c r="I718" i="1"/>
  <c r="K718" i="1" s="1"/>
  <c r="H719" i="1" s="1"/>
  <c r="J718" i="1"/>
  <c r="H732" i="14"/>
  <c r="J732" i="14"/>
  <c r="I732" i="14"/>
  <c r="G732" i="14"/>
  <c r="F732" i="14"/>
  <c r="E732" i="14"/>
  <c r="D732" i="14"/>
  <c r="B733" i="14"/>
  <c r="C732" i="14"/>
  <c r="L719" i="1" l="1"/>
  <c r="M719" i="1" s="1"/>
  <c r="J719" i="1"/>
  <c r="I719" i="1"/>
  <c r="K719" i="1" s="1"/>
  <c r="H720" i="1" s="1"/>
  <c r="J733" i="14"/>
  <c r="I733" i="14"/>
  <c r="H733" i="14"/>
  <c r="G733" i="14"/>
  <c r="F733" i="14"/>
  <c r="E733" i="14"/>
  <c r="D733" i="14"/>
  <c r="B734" i="14"/>
  <c r="C733" i="14"/>
  <c r="L720" i="1" l="1"/>
  <c r="M720" i="1" s="1"/>
  <c r="J720" i="1"/>
  <c r="I720" i="1"/>
  <c r="K720" i="1" s="1"/>
  <c r="H721" i="1" s="1"/>
  <c r="J734" i="14"/>
  <c r="I734" i="14"/>
  <c r="H734" i="14"/>
  <c r="G734" i="14"/>
  <c r="F734" i="14"/>
  <c r="E734" i="14"/>
  <c r="D734" i="14"/>
  <c r="B735" i="14"/>
  <c r="C734" i="14"/>
  <c r="L721" i="1" l="1"/>
  <c r="M721" i="1" s="1"/>
  <c r="J721" i="1"/>
  <c r="I721" i="1"/>
  <c r="K721" i="1" s="1"/>
  <c r="H722" i="1" s="1"/>
  <c r="I735" i="14"/>
  <c r="J735" i="14"/>
  <c r="H735" i="14"/>
  <c r="G735" i="14"/>
  <c r="F735" i="14"/>
  <c r="E735" i="14"/>
  <c r="D735" i="14"/>
  <c r="C735" i="14"/>
  <c r="B736" i="14"/>
  <c r="L722" i="1" l="1"/>
  <c r="M722" i="1" s="1"/>
  <c r="J722" i="1"/>
  <c r="I722" i="1"/>
  <c r="K722" i="1" s="1"/>
  <c r="H723" i="1" s="1"/>
  <c r="J736" i="14"/>
  <c r="I736" i="14"/>
  <c r="G736" i="14"/>
  <c r="H736" i="14"/>
  <c r="E736" i="14"/>
  <c r="F736" i="14"/>
  <c r="D736" i="14"/>
  <c r="C736" i="14"/>
  <c r="B737" i="14"/>
  <c r="L723" i="1" l="1"/>
  <c r="M723" i="1" s="1"/>
  <c r="J723" i="1"/>
  <c r="I723" i="1"/>
  <c r="K723" i="1" s="1"/>
  <c r="H724" i="1" s="1"/>
  <c r="J737" i="14"/>
  <c r="I737" i="14"/>
  <c r="F737" i="14"/>
  <c r="G737" i="14"/>
  <c r="H737" i="14"/>
  <c r="D737" i="14"/>
  <c r="E737" i="14"/>
  <c r="C737" i="14"/>
  <c r="B738" i="14"/>
  <c r="L724" i="1" l="1"/>
  <c r="M724" i="1" s="1"/>
  <c r="I724" i="1"/>
  <c r="K724" i="1" s="1"/>
  <c r="H725" i="1" s="1"/>
  <c r="J724" i="1"/>
  <c r="J738" i="14"/>
  <c r="H738" i="14"/>
  <c r="I738" i="14"/>
  <c r="G738" i="14"/>
  <c r="F738" i="14"/>
  <c r="E738" i="14"/>
  <c r="D738" i="14"/>
  <c r="B739" i="14"/>
  <c r="C738" i="14"/>
  <c r="L725" i="1" l="1"/>
  <c r="M725" i="1" s="1"/>
  <c r="J725" i="1"/>
  <c r="I725" i="1"/>
  <c r="K725" i="1" s="1"/>
  <c r="H726" i="1" s="1"/>
  <c r="J739" i="14"/>
  <c r="I739" i="14"/>
  <c r="H739" i="14"/>
  <c r="G739" i="14"/>
  <c r="F739" i="14"/>
  <c r="E739" i="14"/>
  <c r="D739" i="14"/>
  <c r="B740" i="14"/>
  <c r="C739" i="14"/>
  <c r="L726" i="1" l="1"/>
  <c r="M726" i="1" s="1"/>
  <c r="J726" i="1"/>
  <c r="I726" i="1"/>
  <c r="K726" i="1" s="1"/>
  <c r="H727" i="1" s="1"/>
  <c r="J740" i="14"/>
  <c r="I740" i="14"/>
  <c r="H740" i="14"/>
  <c r="G740" i="14"/>
  <c r="F740" i="14"/>
  <c r="D740" i="14"/>
  <c r="E740" i="14"/>
  <c r="B741" i="14"/>
  <c r="C740" i="14"/>
  <c r="L727" i="1" l="1"/>
  <c r="M727" i="1" s="1"/>
  <c r="J727" i="1"/>
  <c r="I727" i="1"/>
  <c r="K727" i="1" s="1"/>
  <c r="H728" i="1" s="1"/>
  <c r="J741" i="14"/>
  <c r="I741" i="14"/>
  <c r="H741" i="14"/>
  <c r="G741" i="14"/>
  <c r="F741" i="14"/>
  <c r="E741" i="14"/>
  <c r="D741" i="14"/>
  <c r="B742" i="14"/>
  <c r="C741" i="14"/>
  <c r="J728" i="1" l="1"/>
  <c r="L728" i="1"/>
  <c r="M728" i="1" s="1"/>
  <c r="I728" i="1"/>
  <c r="K728" i="1" s="1"/>
  <c r="H729" i="1" s="1"/>
  <c r="J742" i="14"/>
  <c r="H742" i="14"/>
  <c r="G742" i="14"/>
  <c r="I742" i="14"/>
  <c r="E742" i="14"/>
  <c r="F742" i="14"/>
  <c r="D742" i="14"/>
  <c r="B743" i="14"/>
  <c r="C742" i="14"/>
  <c r="L729" i="1" l="1"/>
  <c r="M729" i="1" s="1"/>
  <c r="J729" i="1"/>
  <c r="I729" i="1"/>
  <c r="K729" i="1" s="1"/>
  <c r="H730" i="1" s="1"/>
  <c r="J743" i="14"/>
  <c r="I743" i="14"/>
  <c r="H743" i="14"/>
  <c r="F743" i="14"/>
  <c r="G743" i="14"/>
  <c r="D743" i="14"/>
  <c r="E743" i="14"/>
  <c r="C743" i="14"/>
  <c r="B744" i="14"/>
  <c r="L730" i="1" l="1"/>
  <c r="M730" i="1" s="1"/>
  <c r="J730" i="1"/>
  <c r="I730" i="1"/>
  <c r="K730" i="1" s="1"/>
  <c r="H731" i="1" s="1"/>
  <c r="I744" i="14"/>
  <c r="H744" i="14"/>
  <c r="J744" i="14"/>
  <c r="G744" i="14"/>
  <c r="F744" i="14"/>
  <c r="E744" i="14"/>
  <c r="D744" i="14"/>
  <c r="B745" i="14"/>
  <c r="C744" i="14"/>
  <c r="L731" i="1" l="1"/>
  <c r="M731" i="1" s="1"/>
  <c r="J731" i="1"/>
  <c r="I731" i="1"/>
  <c r="K731" i="1" s="1"/>
  <c r="H732" i="1" s="1"/>
  <c r="J745" i="14"/>
  <c r="I745" i="14"/>
  <c r="G745" i="14"/>
  <c r="H745" i="14"/>
  <c r="F745" i="14"/>
  <c r="E745" i="14"/>
  <c r="D745" i="14"/>
  <c r="C745" i="14"/>
  <c r="B746" i="14"/>
  <c r="L732" i="1" l="1"/>
  <c r="M732" i="1" s="1"/>
  <c r="J732" i="1"/>
  <c r="I732" i="1"/>
  <c r="K732" i="1" s="1"/>
  <c r="H733" i="1" s="1"/>
  <c r="J746" i="14"/>
  <c r="I746" i="14"/>
  <c r="H746" i="14"/>
  <c r="F746" i="14"/>
  <c r="G746" i="14"/>
  <c r="E746" i="14"/>
  <c r="D746" i="14"/>
  <c r="B747" i="14"/>
  <c r="C746" i="14"/>
  <c r="L733" i="1" l="1"/>
  <c r="M733" i="1" s="1"/>
  <c r="J733" i="1"/>
  <c r="I733" i="1"/>
  <c r="K733" i="1" s="1"/>
  <c r="H734" i="1" s="1"/>
  <c r="I747" i="14"/>
  <c r="J747" i="14"/>
  <c r="H747" i="14"/>
  <c r="G747" i="14"/>
  <c r="F747" i="14"/>
  <c r="E747" i="14"/>
  <c r="D747" i="14"/>
  <c r="B748" i="14"/>
  <c r="C747" i="14"/>
  <c r="L734" i="1" l="1"/>
  <c r="M734" i="1" s="1"/>
  <c r="J734" i="1"/>
  <c r="I734" i="1"/>
  <c r="K734" i="1" s="1"/>
  <c r="H735" i="1" s="1"/>
  <c r="J748" i="14"/>
  <c r="I748" i="14"/>
  <c r="G748" i="14"/>
  <c r="H748" i="14"/>
  <c r="F748" i="14"/>
  <c r="E748" i="14"/>
  <c r="D748" i="14"/>
  <c r="B749" i="14"/>
  <c r="C748" i="14"/>
  <c r="L735" i="1" l="1"/>
  <c r="M735" i="1" s="1"/>
  <c r="J735" i="1"/>
  <c r="I735" i="1"/>
  <c r="K735" i="1" s="1"/>
  <c r="H736" i="1" s="1"/>
  <c r="J749" i="14"/>
  <c r="I749" i="14"/>
  <c r="H749" i="14"/>
  <c r="G749" i="14"/>
  <c r="F749" i="14"/>
  <c r="E749" i="14"/>
  <c r="D749" i="14"/>
  <c r="C749" i="14"/>
  <c r="B750" i="14"/>
  <c r="L736" i="1" l="1"/>
  <c r="M736" i="1" s="1"/>
  <c r="J736" i="1"/>
  <c r="I736" i="1"/>
  <c r="K736" i="1" s="1"/>
  <c r="H737" i="1" s="1"/>
  <c r="H750" i="14"/>
  <c r="I750" i="14"/>
  <c r="J750" i="14"/>
  <c r="G750" i="14"/>
  <c r="F750" i="14"/>
  <c r="E750" i="14"/>
  <c r="D750" i="14"/>
  <c r="B751" i="14"/>
  <c r="C750" i="14"/>
  <c r="L737" i="1" l="1"/>
  <c r="M737" i="1" s="1"/>
  <c r="J737" i="1"/>
  <c r="I737" i="1"/>
  <c r="K737" i="1" s="1"/>
  <c r="H738" i="1" s="1"/>
  <c r="I751" i="14"/>
  <c r="J751" i="14"/>
  <c r="H751" i="14"/>
  <c r="F751" i="14"/>
  <c r="G751" i="14"/>
  <c r="E751" i="14"/>
  <c r="D751" i="14"/>
  <c r="B752" i="14"/>
  <c r="C751" i="14"/>
  <c r="L738" i="1" l="1"/>
  <c r="M738" i="1" s="1"/>
  <c r="J738" i="1"/>
  <c r="I738" i="1"/>
  <c r="K738" i="1" s="1"/>
  <c r="H739" i="1" s="1"/>
  <c r="I752" i="14"/>
  <c r="J752" i="14"/>
  <c r="H752" i="14"/>
  <c r="G752" i="14"/>
  <c r="F752" i="14"/>
  <c r="E752" i="14"/>
  <c r="D752" i="14"/>
  <c r="C752" i="14"/>
  <c r="B753" i="14"/>
  <c r="L739" i="1" l="1"/>
  <c r="M739" i="1" s="1"/>
  <c r="J739" i="1"/>
  <c r="I739" i="1"/>
  <c r="K739" i="1" s="1"/>
  <c r="H740" i="1" s="1"/>
  <c r="I753" i="14"/>
  <c r="J753" i="14"/>
  <c r="G753" i="14"/>
  <c r="H753" i="14"/>
  <c r="F753" i="14"/>
  <c r="E753" i="14"/>
  <c r="D753" i="14"/>
  <c r="C753" i="14"/>
  <c r="B754" i="14"/>
  <c r="J740" i="1" l="1"/>
  <c r="L740" i="1"/>
  <c r="M740" i="1" s="1"/>
  <c r="I740" i="1"/>
  <c r="K740" i="1" s="1"/>
  <c r="H741" i="1" s="1"/>
  <c r="J754" i="14"/>
  <c r="G754" i="14"/>
  <c r="I754" i="14"/>
  <c r="H754" i="14"/>
  <c r="E754" i="14"/>
  <c r="F754" i="14"/>
  <c r="D754" i="14"/>
  <c r="B755" i="14"/>
  <c r="C754" i="14"/>
  <c r="L741" i="1" l="1"/>
  <c r="M741" i="1" s="1"/>
  <c r="J741" i="1"/>
  <c r="I741" i="1"/>
  <c r="K741" i="1" s="1"/>
  <c r="H742" i="1" s="1"/>
  <c r="J755" i="14"/>
  <c r="I755" i="14"/>
  <c r="F755" i="14"/>
  <c r="H755" i="14"/>
  <c r="G755" i="14"/>
  <c r="D755" i="14"/>
  <c r="E755" i="14"/>
  <c r="C755" i="14"/>
  <c r="B756" i="14"/>
  <c r="L742" i="1" l="1"/>
  <c r="M742" i="1" s="1"/>
  <c r="J742" i="1"/>
  <c r="I742" i="1"/>
  <c r="K742" i="1" s="1"/>
  <c r="H743" i="1" s="1"/>
  <c r="J756" i="14"/>
  <c r="H756" i="14"/>
  <c r="I756" i="14"/>
  <c r="G756" i="14"/>
  <c r="F756" i="14"/>
  <c r="E756" i="14"/>
  <c r="D756" i="14"/>
  <c r="B757" i="14"/>
  <c r="C756" i="14"/>
  <c r="L743" i="1" l="1"/>
  <c r="M743" i="1" s="1"/>
  <c r="J743" i="1"/>
  <c r="I743" i="1"/>
  <c r="K743" i="1" s="1"/>
  <c r="H744" i="1" s="1"/>
  <c r="J757" i="14"/>
  <c r="I757" i="14"/>
  <c r="H757" i="14"/>
  <c r="G757" i="14"/>
  <c r="F757" i="14"/>
  <c r="E757" i="14"/>
  <c r="D757" i="14"/>
  <c r="B758" i="14"/>
  <c r="C757" i="14"/>
  <c r="L744" i="1" l="1"/>
  <c r="M744" i="1" s="1"/>
  <c r="J744" i="1"/>
  <c r="I744" i="1"/>
  <c r="K744" i="1" s="1"/>
  <c r="H745" i="1" s="1"/>
  <c r="I758" i="14"/>
  <c r="J758" i="14"/>
  <c r="H758" i="14"/>
  <c r="G758" i="14"/>
  <c r="F758" i="14"/>
  <c r="E758" i="14"/>
  <c r="D758" i="14"/>
  <c r="B759" i="14"/>
  <c r="C758" i="14"/>
  <c r="I745" i="1" l="1"/>
  <c r="K745" i="1" s="1"/>
  <c r="H746" i="1" s="1"/>
  <c r="L745" i="1"/>
  <c r="M745" i="1" s="1"/>
  <c r="J745" i="1"/>
  <c r="I759" i="14"/>
  <c r="J759" i="14"/>
  <c r="H759" i="14"/>
  <c r="G759" i="14"/>
  <c r="F759" i="14"/>
  <c r="E759" i="14"/>
  <c r="D759" i="14"/>
  <c r="B760" i="14"/>
  <c r="C759" i="14"/>
  <c r="L746" i="1" l="1"/>
  <c r="M746" i="1" s="1"/>
  <c r="J746" i="1"/>
  <c r="I746" i="1"/>
  <c r="K746" i="1" s="1"/>
  <c r="H747" i="1" s="1"/>
  <c r="J760" i="14"/>
  <c r="I760" i="14"/>
  <c r="G760" i="14"/>
  <c r="H760" i="14"/>
  <c r="E760" i="14"/>
  <c r="F760" i="14"/>
  <c r="D760" i="14"/>
  <c r="C760" i="14"/>
  <c r="B761" i="14"/>
  <c r="L747" i="1" l="1"/>
  <c r="M747" i="1" s="1"/>
  <c r="J747" i="1"/>
  <c r="I747" i="1"/>
  <c r="K747" i="1" s="1"/>
  <c r="H748" i="1" s="1"/>
  <c r="I761" i="14"/>
  <c r="J761" i="14"/>
  <c r="F761" i="14"/>
  <c r="H761" i="14"/>
  <c r="G761" i="14"/>
  <c r="D761" i="14"/>
  <c r="E761" i="14"/>
  <c r="B762" i="14"/>
  <c r="C761" i="14"/>
  <c r="L748" i="1" l="1"/>
  <c r="M748" i="1" s="1"/>
  <c r="J748" i="1"/>
  <c r="I748" i="1"/>
  <c r="K748" i="1" s="1"/>
  <c r="H749" i="1" s="1"/>
  <c r="J762" i="14"/>
  <c r="H762" i="14"/>
  <c r="I762" i="14"/>
  <c r="G762" i="14"/>
  <c r="F762" i="14"/>
  <c r="D762" i="14"/>
  <c r="E762" i="14"/>
  <c r="B763" i="14"/>
  <c r="C762" i="14"/>
  <c r="L749" i="1" l="1"/>
  <c r="M749" i="1" s="1"/>
  <c r="J749" i="1"/>
  <c r="I749" i="1"/>
  <c r="K749" i="1" s="1"/>
  <c r="H750" i="1" s="1"/>
  <c r="J763" i="14"/>
  <c r="I763" i="14"/>
  <c r="G763" i="14"/>
  <c r="H763" i="14"/>
  <c r="F763" i="14"/>
  <c r="E763" i="14"/>
  <c r="D763" i="14"/>
  <c r="B764" i="14"/>
  <c r="C763" i="14"/>
  <c r="L750" i="1" l="1"/>
  <c r="M750" i="1" s="1"/>
  <c r="J750" i="1"/>
  <c r="I750" i="1"/>
  <c r="K750" i="1" s="1"/>
  <c r="H751" i="1" s="1"/>
  <c r="J764" i="14"/>
  <c r="H764" i="14"/>
  <c r="I764" i="14"/>
  <c r="G764" i="14"/>
  <c r="F764" i="14"/>
  <c r="E764" i="14"/>
  <c r="D764" i="14"/>
  <c r="B765" i="14"/>
  <c r="C764" i="14"/>
  <c r="L751" i="1" l="1"/>
  <c r="M751" i="1" s="1"/>
  <c r="J751" i="1"/>
  <c r="I751" i="1"/>
  <c r="K751" i="1" s="1"/>
  <c r="H752" i="1" s="1"/>
  <c r="I765" i="14"/>
  <c r="J765" i="14"/>
  <c r="H765" i="14"/>
  <c r="G765" i="14"/>
  <c r="E765" i="14"/>
  <c r="F765" i="14"/>
  <c r="D765" i="14"/>
  <c r="B766" i="14"/>
  <c r="C765" i="14"/>
  <c r="J752" i="1" l="1"/>
  <c r="L752" i="1"/>
  <c r="M752" i="1" s="1"/>
  <c r="I752" i="1"/>
  <c r="K752" i="1" s="1"/>
  <c r="H753" i="1" s="1"/>
  <c r="J766" i="14"/>
  <c r="I766" i="14"/>
  <c r="G766" i="14"/>
  <c r="H766" i="14"/>
  <c r="E766" i="14"/>
  <c r="F766" i="14"/>
  <c r="D766" i="14"/>
  <c r="B767" i="14"/>
  <c r="C766" i="14"/>
  <c r="L753" i="1" l="1"/>
  <c r="M753" i="1" s="1"/>
  <c r="J753" i="1"/>
  <c r="I753" i="1"/>
  <c r="K753" i="1" s="1"/>
  <c r="H754" i="1" s="1"/>
  <c r="J767" i="14"/>
  <c r="I767" i="14"/>
  <c r="H767" i="14"/>
  <c r="F767" i="14"/>
  <c r="G767" i="14"/>
  <c r="D767" i="14"/>
  <c r="E767" i="14"/>
  <c r="C767" i="14"/>
  <c r="B768" i="14"/>
  <c r="L754" i="1" l="1"/>
  <c r="M754" i="1" s="1"/>
  <c r="J754" i="1"/>
  <c r="I754" i="1"/>
  <c r="K754" i="1" s="1"/>
  <c r="H755" i="1" s="1"/>
  <c r="H768" i="14"/>
  <c r="J768" i="14"/>
  <c r="I768" i="14"/>
  <c r="F768" i="14"/>
  <c r="G768" i="14"/>
  <c r="E768" i="14"/>
  <c r="D768" i="14"/>
  <c r="B769" i="14"/>
  <c r="C768" i="14"/>
  <c r="L755" i="1" l="1"/>
  <c r="M755" i="1" s="1"/>
  <c r="J755" i="1"/>
  <c r="I755" i="1"/>
  <c r="K755" i="1" s="1"/>
  <c r="H756" i="1" s="1"/>
  <c r="I769" i="14"/>
  <c r="J769" i="14"/>
  <c r="H769" i="14"/>
  <c r="G769" i="14"/>
  <c r="F769" i="14"/>
  <c r="E769" i="14"/>
  <c r="D769" i="14"/>
  <c r="B770" i="14"/>
  <c r="C769" i="14"/>
  <c r="L756" i="1" l="1"/>
  <c r="M756" i="1" s="1"/>
  <c r="J756" i="1"/>
  <c r="I756" i="1"/>
  <c r="K756" i="1" s="1"/>
  <c r="H757" i="1" s="1"/>
  <c r="J770" i="14"/>
  <c r="I770" i="14"/>
  <c r="G770" i="14"/>
  <c r="H770" i="14"/>
  <c r="F770" i="14"/>
  <c r="E770" i="14"/>
  <c r="D770" i="14"/>
  <c r="C770" i="14"/>
  <c r="B771" i="14"/>
  <c r="L757" i="1" l="1"/>
  <c r="M757" i="1" s="1"/>
  <c r="J757" i="1"/>
  <c r="I757" i="1"/>
  <c r="K757" i="1" s="1"/>
  <c r="H758" i="1" s="1"/>
  <c r="J771" i="14"/>
  <c r="I771" i="14"/>
  <c r="H771" i="14"/>
  <c r="G771" i="14"/>
  <c r="F771" i="14"/>
  <c r="E771" i="14"/>
  <c r="D771" i="14"/>
  <c r="C771" i="14"/>
  <c r="B772" i="14"/>
  <c r="L758" i="1" l="1"/>
  <c r="M758" i="1" s="1"/>
  <c r="J758" i="1"/>
  <c r="I758" i="1"/>
  <c r="K758" i="1" s="1"/>
  <c r="H759" i="1" s="1"/>
  <c r="J772" i="14"/>
  <c r="I772" i="14"/>
  <c r="G772" i="14"/>
  <c r="H772" i="14"/>
  <c r="E772" i="14"/>
  <c r="F772" i="14"/>
  <c r="D772" i="14"/>
  <c r="B773" i="14"/>
  <c r="C772" i="14"/>
  <c r="L759" i="1" l="1"/>
  <c r="M759" i="1" s="1"/>
  <c r="J759" i="1"/>
  <c r="I759" i="1"/>
  <c r="K759" i="1" s="1"/>
  <c r="H760" i="1" s="1"/>
  <c r="J773" i="14"/>
  <c r="I773" i="14"/>
  <c r="F773" i="14"/>
  <c r="H773" i="14"/>
  <c r="G773" i="14"/>
  <c r="D773" i="14"/>
  <c r="E773" i="14"/>
  <c r="C773" i="14"/>
  <c r="B774" i="14"/>
  <c r="L760" i="1" l="1"/>
  <c r="M760" i="1" s="1"/>
  <c r="J760" i="1"/>
  <c r="I760" i="1"/>
  <c r="K760" i="1" s="1"/>
  <c r="H761" i="1" s="1"/>
  <c r="H774" i="14"/>
  <c r="J774" i="14"/>
  <c r="I774" i="14"/>
  <c r="G774" i="14"/>
  <c r="E774" i="14"/>
  <c r="F774" i="14"/>
  <c r="D774" i="14"/>
  <c r="B775" i="14"/>
  <c r="C774" i="14"/>
  <c r="L761" i="1" l="1"/>
  <c r="M761" i="1" s="1"/>
  <c r="J761" i="1"/>
  <c r="I761" i="1"/>
  <c r="K761" i="1" s="1"/>
  <c r="H762" i="1" s="1"/>
  <c r="J775" i="14"/>
  <c r="I775" i="14"/>
  <c r="H775" i="14"/>
  <c r="G775" i="14"/>
  <c r="F775" i="14"/>
  <c r="E775" i="14"/>
  <c r="D775" i="14"/>
  <c r="B776" i="14"/>
  <c r="C775" i="14"/>
  <c r="L762" i="1" l="1"/>
  <c r="M762" i="1" s="1"/>
  <c r="J762" i="1"/>
  <c r="I762" i="1"/>
  <c r="K762" i="1" s="1"/>
  <c r="H763" i="1" s="1"/>
  <c r="J776" i="14"/>
  <c r="I776" i="14"/>
  <c r="H776" i="14"/>
  <c r="F776" i="14"/>
  <c r="G776" i="14"/>
  <c r="D776" i="14"/>
  <c r="E776" i="14"/>
  <c r="B777" i="14"/>
  <c r="C776" i="14"/>
  <c r="L763" i="1" l="1"/>
  <c r="M763" i="1" s="1"/>
  <c r="J763" i="1"/>
  <c r="I763" i="1"/>
  <c r="K763" i="1" s="1"/>
  <c r="H764" i="1" s="1"/>
  <c r="J777" i="14"/>
  <c r="I777" i="14"/>
  <c r="H777" i="14"/>
  <c r="G777" i="14"/>
  <c r="F777" i="14"/>
  <c r="E777" i="14"/>
  <c r="D777" i="14"/>
  <c r="B778" i="14"/>
  <c r="C777" i="14"/>
  <c r="J764" i="1" l="1"/>
  <c r="L764" i="1"/>
  <c r="M764" i="1" s="1"/>
  <c r="I764" i="1"/>
  <c r="K764" i="1" s="1"/>
  <c r="H765" i="1" s="1"/>
  <c r="J778" i="14"/>
  <c r="I778" i="14"/>
  <c r="H778" i="14"/>
  <c r="G778" i="14"/>
  <c r="E778" i="14"/>
  <c r="F778" i="14"/>
  <c r="D778" i="14"/>
  <c r="B779" i="14"/>
  <c r="C778" i="14"/>
  <c r="L765" i="1" l="1"/>
  <c r="M765" i="1" s="1"/>
  <c r="J765" i="1"/>
  <c r="I765" i="1"/>
  <c r="K765" i="1" s="1"/>
  <c r="H766" i="1" s="1"/>
  <c r="J779" i="14"/>
  <c r="I779" i="14"/>
  <c r="F779" i="14"/>
  <c r="H779" i="14"/>
  <c r="G779" i="14"/>
  <c r="D779" i="14"/>
  <c r="E779" i="14"/>
  <c r="C779" i="14"/>
  <c r="B780" i="14"/>
  <c r="L766" i="1" l="1"/>
  <c r="M766" i="1" s="1"/>
  <c r="J766" i="1"/>
  <c r="I766" i="1"/>
  <c r="K766" i="1" s="1"/>
  <c r="H767" i="1" s="1"/>
  <c r="J780" i="14"/>
  <c r="H780" i="14"/>
  <c r="I780" i="14"/>
  <c r="G780" i="14"/>
  <c r="F780" i="14"/>
  <c r="E780" i="14"/>
  <c r="D780" i="14"/>
  <c r="B781" i="14"/>
  <c r="C780" i="14"/>
  <c r="J767" i="1" l="1"/>
  <c r="I767" i="1"/>
  <c r="K767" i="1" s="1"/>
  <c r="H768" i="1" s="1"/>
  <c r="L767" i="1"/>
  <c r="M767" i="1" s="1"/>
  <c r="J781" i="14"/>
  <c r="I781" i="14"/>
  <c r="H781" i="14"/>
  <c r="G781" i="14"/>
  <c r="F781" i="14"/>
  <c r="E781" i="14"/>
  <c r="D781" i="14"/>
  <c r="B782" i="14"/>
  <c r="C781" i="14"/>
  <c r="I768" i="1" l="1"/>
  <c r="K768" i="1" s="1"/>
  <c r="H769" i="1" s="1"/>
  <c r="L768" i="1"/>
  <c r="M768" i="1" s="1"/>
  <c r="J768" i="1"/>
  <c r="J782" i="14"/>
  <c r="I782" i="14"/>
  <c r="H782" i="14"/>
  <c r="G782" i="14"/>
  <c r="E782" i="14"/>
  <c r="F782" i="14"/>
  <c r="D782" i="14"/>
  <c r="B783" i="14"/>
  <c r="C782" i="14"/>
  <c r="L769" i="1" l="1"/>
  <c r="M769" i="1" s="1"/>
  <c r="J769" i="1"/>
  <c r="I769" i="1"/>
  <c r="K769" i="1" s="1"/>
  <c r="H770" i="1" s="1"/>
  <c r="I783" i="14"/>
  <c r="J783" i="14"/>
  <c r="H783" i="14"/>
  <c r="G783" i="14"/>
  <c r="F783" i="14"/>
  <c r="E783" i="14"/>
  <c r="D783" i="14"/>
  <c r="B784" i="14"/>
  <c r="C783" i="14"/>
  <c r="L770" i="1" l="1"/>
  <c r="M770" i="1" s="1"/>
  <c r="J770" i="1"/>
  <c r="I770" i="1"/>
  <c r="K770" i="1" s="1"/>
  <c r="H771" i="1" s="1"/>
  <c r="J784" i="14"/>
  <c r="I784" i="14"/>
  <c r="G784" i="14"/>
  <c r="H784" i="14"/>
  <c r="F784" i="14"/>
  <c r="E784" i="14"/>
  <c r="D784" i="14"/>
  <c r="B785" i="14"/>
  <c r="C784" i="14"/>
  <c r="L771" i="1" l="1"/>
  <c r="M771" i="1" s="1"/>
  <c r="J771" i="1"/>
  <c r="I771" i="1"/>
  <c r="K771" i="1" s="1"/>
  <c r="H772" i="1" s="1"/>
  <c r="J785" i="14"/>
  <c r="I785" i="14"/>
  <c r="H785" i="14"/>
  <c r="G785" i="14"/>
  <c r="F785" i="14"/>
  <c r="E785" i="14"/>
  <c r="D785" i="14"/>
  <c r="C785" i="14"/>
  <c r="B786" i="14"/>
  <c r="L772" i="1" l="1"/>
  <c r="M772" i="1" s="1"/>
  <c r="J772" i="1"/>
  <c r="I772" i="1"/>
  <c r="K772" i="1" s="1"/>
  <c r="H773" i="1" s="1"/>
  <c r="H786" i="14"/>
  <c r="I786" i="14"/>
  <c r="J786" i="14"/>
  <c r="G786" i="14"/>
  <c r="F786" i="14"/>
  <c r="E786" i="14"/>
  <c r="D786" i="14"/>
  <c r="B787" i="14"/>
  <c r="C786" i="14"/>
  <c r="I773" i="1" l="1"/>
  <c r="K773" i="1" s="1"/>
  <c r="H774" i="1" s="1"/>
  <c r="L773" i="1"/>
  <c r="M773" i="1" s="1"/>
  <c r="J773" i="1"/>
  <c r="I787" i="14"/>
  <c r="J787" i="14"/>
  <c r="H787" i="14"/>
  <c r="G787" i="14"/>
  <c r="F787" i="14"/>
  <c r="E787" i="14"/>
  <c r="D787" i="14"/>
  <c r="C787" i="14"/>
  <c r="B788" i="14"/>
  <c r="L774" i="1" l="1"/>
  <c r="M774" i="1" s="1"/>
  <c r="J774" i="1"/>
  <c r="I774" i="1"/>
  <c r="K774" i="1" s="1"/>
  <c r="H775" i="1" s="1"/>
  <c r="J788" i="14"/>
  <c r="I788" i="14"/>
  <c r="G788" i="14"/>
  <c r="H788" i="14"/>
  <c r="F788" i="14"/>
  <c r="E788" i="14"/>
  <c r="D788" i="14"/>
  <c r="C788" i="14"/>
  <c r="B789" i="14"/>
  <c r="L775" i="1" l="1"/>
  <c r="M775" i="1" s="1"/>
  <c r="J775" i="1"/>
  <c r="I775" i="1"/>
  <c r="K775" i="1" s="1"/>
  <c r="H776" i="1" s="1"/>
  <c r="J789" i="14"/>
  <c r="I789" i="14"/>
  <c r="H789" i="14"/>
  <c r="G789" i="14"/>
  <c r="F789" i="14"/>
  <c r="E789" i="14"/>
  <c r="D789" i="14"/>
  <c r="B790" i="14"/>
  <c r="C789" i="14"/>
  <c r="L776" i="1" l="1"/>
  <c r="M776" i="1" s="1"/>
  <c r="J776" i="1"/>
  <c r="I776" i="1"/>
  <c r="K776" i="1" s="1"/>
  <c r="H777" i="1" s="1"/>
  <c r="J790" i="14"/>
  <c r="I790" i="14"/>
  <c r="G790" i="14"/>
  <c r="H790" i="14"/>
  <c r="E790" i="14"/>
  <c r="F790" i="14"/>
  <c r="D790" i="14"/>
  <c r="B791" i="14"/>
  <c r="C790" i="14"/>
  <c r="L777" i="1" l="1"/>
  <c r="M777" i="1" s="1"/>
  <c r="J777" i="1"/>
  <c r="I777" i="1"/>
  <c r="K777" i="1" s="1"/>
  <c r="H778" i="1" s="1"/>
  <c r="J791" i="14"/>
  <c r="I791" i="14"/>
  <c r="F791" i="14"/>
  <c r="H791" i="14"/>
  <c r="G791" i="14"/>
  <c r="D791" i="14"/>
  <c r="E791" i="14"/>
  <c r="C791" i="14"/>
  <c r="B792" i="14"/>
  <c r="I778" i="1" l="1"/>
  <c r="K778" i="1" s="1"/>
  <c r="H779" i="1" s="1"/>
  <c r="L778" i="1"/>
  <c r="M778" i="1" s="1"/>
  <c r="J778" i="1"/>
  <c r="J792" i="14"/>
  <c r="H792" i="14"/>
  <c r="I792" i="14"/>
  <c r="G792" i="14"/>
  <c r="F792" i="14"/>
  <c r="E792" i="14"/>
  <c r="D792" i="14"/>
  <c r="B793" i="14"/>
  <c r="C792" i="14"/>
  <c r="J779" i="1" l="1"/>
  <c r="I779" i="1"/>
  <c r="K779" i="1" s="1"/>
  <c r="H780" i="1" s="1"/>
  <c r="L779" i="1"/>
  <c r="M779" i="1" s="1"/>
  <c r="J793" i="14"/>
  <c r="I793" i="14"/>
  <c r="H793" i="14"/>
  <c r="G793" i="14"/>
  <c r="F793" i="14"/>
  <c r="E793" i="14"/>
  <c r="D793" i="14"/>
  <c r="B794" i="14"/>
  <c r="C793" i="14"/>
  <c r="L780" i="1" l="1"/>
  <c r="M780" i="1" s="1"/>
  <c r="J780" i="1"/>
  <c r="I780" i="1"/>
  <c r="K780" i="1" s="1"/>
  <c r="H781" i="1" s="1"/>
  <c r="J794" i="14"/>
  <c r="I794" i="14"/>
  <c r="H794" i="14"/>
  <c r="F794" i="14"/>
  <c r="G794" i="14"/>
  <c r="E794" i="14"/>
  <c r="D794" i="14"/>
  <c r="B795" i="14"/>
  <c r="C794" i="14"/>
  <c r="L781" i="1" l="1"/>
  <c r="M781" i="1" s="1"/>
  <c r="I781" i="1"/>
  <c r="K781" i="1" s="1"/>
  <c r="H782" i="1" s="1"/>
  <c r="J781" i="1"/>
  <c r="J795" i="14"/>
  <c r="I795" i="14"/>
  <c r="H795" i="14"/>
  <c r="G795" i="14"/>
  <c r="F795" i="14"/>
  <c r="E795" i="14"/>
  <c r="D795" i="14"/>
  <c r="C795" i="14"/>
  <c r="B796" i="14"/>
  <c r="L782" i="1" l="1"/>
  <c r="M782" i="1" s="1"/>
  <c r="J782" i="1"/>
  <c r="I782" i="1"/>
  <c r="K782" i="1" s="1"/>
  <c r="H783" i="1" s="1"/>
  <c r="J796" i="14"/>
  <c r="I796" i="14"/>
  <c r="G796" i="14"/>
  <c r="H796" i="14"/>
  <c r="E796" i="14"/>
  <c r="F796" i="14"/>
  <c r="D796" i="14"/>
  <c r="C796" i="14"/>
  <c r="B797" i="14"/>
  <c r="L783" i="1" l="1"/>
  <c r="M783" i="1" s="1"/>
  <c r="I783" i="1"/>
  <c r="K783" i="1" s="1"/>
  <c r="H784" i="1" s="1"/>
  <c r="J783" i="1"/>
  <c r="J797" i="14"/>
  <c r="I797" i="14"/>
  <c r="F797" i="14"/>
  <c r="H797" i="14"/>
  <c r="G797" i="14"/>
  <c r="D797" i="14"/>
  <c r="E797" i="14"/>
  <c r="B798" i="14"/>
  <c r="C797" i="14"/>
  <c r="L784" i="1" l="1"/>
  <c r="M784" i="1" s="1"/>
  <c r="J784" i="1"/>
  <c r="I784" i="1"/>
  <c r="K784" i="1" s="1"/>
  <c r="H785" i="1" s="1"/>
  <c r="J798" i="14"/>
  <c r="H798" i="14"/>
  <c r="I798" i="14"/>
  <c r="F798" i="14"/>
  <c r="G798" i="14"/>
  <c r="D798" i="14"/>
  <c r="E798" i="14"/>
  <c r="B799" i="14"/>
  <c r="C798" i="14"/>
  <c r="L785" i="1" l="1"/>
  <c r="M785" i="1" s="1"/>
  <c r="J785" i="1"/>
  <c r="I785" i="1"/>
  <c r="K785" i="1" s="1"/>
  <c r="H786" i="1" s="1"/>
  <c r="J799" i="14"/>
  <c r="I799" i="14"/>
  <c r="G799" i="14"/>
  <c r="H799" i="14"/>
  <c r="F799" i="14"/>
  <c r="E799" i="14"/>
  <c r="D799" i="14"/>
  <c r="B800" i="14"/>
  <c r="C799" i="14"/>
  <c r="L786" i="1" l="1"/>
  <c r="M786" i="1" s="1"/>
  <c r="J786" i="1"/>
  <c r="I786" i="1"/>
  <c r="K786" i="1" s="1"/>
  <c r="H787" i="1" s="1"/>
  <c r="J800" i="14"/>
  <c r="H800" i="14"/>
  <c r="I800" i="14"/>
  <c r="G800" i="14"/>
  <c r="E800" i="14"/>
  <c r="F800" i="14"/>
  <c r="D800" i="14"/>
  <c r="B801" i="14"/>
  <c r="C800" i="14"/>
  <c r="L787" i="1" l="1"/>
  <c r="M787" i="1" s="1"/>
  <c r="I787" i="1"/>
  <c r="K787" i="1" s="1"/>
  <c r="H788" i="1" s="1"/>
  <c r="J787" i="1"/>
  <c r="J801" i="14"/>
  <c r="I801" i="14"/>
  <c r="H801" i="14"/>
  <c r="G801" i="14"/>
  <c r="F801" i="14"/>
  <c r="E801" i="14"/>
  <c r="D801" i="14"/>
  <c r="B802" i="14"/>
  <c r="C801" i="14"/>
  <c r="L788" i="1" l="1"/>
  <c r="M788" i="1" s="1"/>
  <c r="I788" i="1"/>
  <c r="K788" i="1" s="1"/>
  <c r="H789" i="1" s="1"/>
  <c r="J788" i="1"/>
  <c r="J802" i="14"/>
  <c r="I802" i="14"/>
  <c r="G802" i="14"/>
  <c r="H802" i="14"/>
  <c r="E802" i="14"/>
  <c r="F802" i="14"/>
  <c r="D802" i="14"/>
  <c r="B803" i="14"/>
  <c r="C802" i="14"/>
  <c r="L789" i="1" l="1"/>
  <c r="M789" i="1" s="1"/>
  <c r="J789" i="1"/>
  <c r="I789" i="1"/>
  <c r="K789" i="1" s="1"/>
  <c r="H790" i="1" s="1"/>
  <c r="J803" i="14"/>
  <c r="I803" i="14"/>
  <c r="H803" i="14"/>
  <c r="F803" i="14"/>
  <c r="G803" i="14"/>
  <c r="D803" i="14"/>
  <c r="E803" i="14"/>
  <c r="C803" i="14"/>
  <c r="B804" i="14"/>
  <c r="L790" i="1" l="1"/>
  <c r="M790" i="1" s="1"/>
  <c r="J790" i="1"/>
  <c r="I790" i="1"/>
  <c r="K790" i="1" s="1"/>
  <c r="H791" i="1" s="1"/>
  <c r="H804" i="14"/>
  <c r="J804" i="14"/>
  <c r="I804" i="14"/>
  <c r="G804" i="14"/>
  <c r="F804" i="14"/>
  <c r="E804" i="14"/>
  <c r="D804" i="14"/>
  <c r="B805" i="14"/>
  <c r="C804" i="14"/>
  <c r="L791" i="1" l="1"/>
  <c r="M791" i="1" s="1"/>
  <c r="J791" i="1"/>
  <c r="I791" i="1"/>
  <c r="K791" i="1" s="1"/>
  <c r="H792" i="1" s="1"/>
  <c r="J805" i="14"/>
  <c r="I805" i="14"/>
  <c r="G805" i="14"/>
  <c r="H805" i="14"/>
  <c r="F805" i="14"/>
  <c r="E805" i="14"/>
  <c r="D805" i="14"/>
  <c r="B806" i="14"/>
  <c r="C805" i="14"/>
  <c r="L792" i="1" l="1"/>
  <c r="M792" i="1" s="1"/>
  <c r="J792" i="1"/>
  <c r="I792" i="1"/>
  <c r="K792" i="1" s="1"/>
  <c r="H793" i="1" s="1"/>
  <c r="J806" i="14"/>
  <c r="I806" i="14"/>
  <c r="G806" i="14"/>
  <c r="H806" i="14"/>
  <c r="F806" i="14"/>
  <c r="E806" i="14"/>
  <c r="D806" i="14"/>
  <c r="B807" i="14"/>
  <c r="C806" i="14"/>
  <c r="L793" i="1" l="1"/>
  <c r="M793" i="1" s="1"/>
  <c r="J793" i="1"/>
  <c r="I793" i="1"/>
  <c r="K793" i="1" s="1"/>
  <c r="H794" i="1" s="1"/>
  <c r="J807" i="14"/>
  <c r="H807" i="14"/>
  <c r="I807" i="14"/>
  <c r="G807" i="14"/>
  <c r="F807" i="14"/>
  <c r="E807" i="14"/>
  <c r="D807" i="14"/>
  <c r="B808" i="14"/>
  <c r="C807" i="14"/>
  <c r="L794" i="1" l="1"/>
  <c r="M794" i="1" s="1"/>
  <c r="J794" i="1"/>
  <c r="I794" i="1"/>
  <c r="K794" i="1" s="1"/>
  <c r="H795" i="1" s="1"/>
  <c r="J808" i="14"/>
  <c r="I808" i="14"/>
  <c r="G808" i="14"/>
  <c r="H808" i="14"/>
  <c r="E808" i="14"/>
  <c r="F808" i="14"/>
  <c r="D808" i="14"/>
  <c r="B809" i="14"/>
  <c r="C808" i="14"/>
  <c r="L795" i="1" l="1"/>
  <c r="M795" i="1" s="1"/>
  <c r="J795" i="1"/>
  <c r="I795" i="1"/>
  <c r="K795" i="1" s="1"/>
  <c r="H796" i="1" s="1"/>
  <c r="J809" i="14"/>
  <c r="I809" i="14"/>
  <c r="F809" i="14"/>
  <c r="H809" i="14"/>
  <c r="G809" i="14"/>
  <c r="D809" i="14"/>
  <c r="E809" i="14"/>
  <c r="C809" i="14"/>
  <c r="B810" i="14"/>
  <c r="L796" i="1" l="1"/>
  <c r="M796" i="1" s="1"/>
  <c r="J796" i="1"/>
  <c r="I796" i="1"/>
  <c r="K796" i="1" s="1"/>
  <c r="H797" i="1" s="1"/>
  <c r="H810" i="14"/>
  <c r="J810" i="14"/>
  <c r="I810" i="14"/>
  <c r="G810" i="14"/>
  <c r="F810" i="14"/>
  <c r="E810" i="14"/>
  <c r="D810" i="14"/>
  <c r="B811" i="14"/>
  <c r="C810" i="14"/>
  <c r="L797" i="1" l="1"/>
  <c r="M797" i="1" s="1"/>
  <c r="J797" i="1"/>
  <c r="I797" i="1"/>
  <c r="K797" i="1" s="1"/>
  <c r="H798" i="1" s="1"/>
  <c r="I811" i="14"/>
  <c r="J811" i="14"/>
  <c r="H811" i="14"/>
  <c r="G811" i="14"/>
  <c r="F811" i="14"/>
  <c r="E811" i="14"/>
  <c r="D811" i="14"/>
  <c r="B812" i="14"/>
  <c r="C811" i="14"/>
  <c r="L798" i="1" l="1"/>
  <c r="M798" i="1" s="1"/>
  <c r="J798" i="1"/>
  <c r="I798" i="1"/>
  <c r="K798" i="1" s="1"/>
  <c r="H799" i="1" s="1"/>
  <c r="I812" i="14"/>
  <c r="J812" i="14"/>
  <c r="H812" i="14"/>
  <c r="G812" i="14"/>
  <c r="F812" i="14"/>
  <c r="D812" i="14"/>
  <c r="E812" i="14"/>
  <c r="B813" i="14"/>
  <c r="C812" i="14"/>
  <c r="L799" i="1" l="1"/>
  <c r="M799" i="1" s="1"/>
  <c r="J799" i="1"/>
  <c r="I799" i="1"/>
  <c r="K799" i="1" s="1"/>
  <c r="H800" i="1" s="1"/>
  <c r="J813" i="14"/>
  <c r="I813" i="14"/>
  <c r="G813" i="14"/>
  <c r="H813" i="14"/>
  <c r="F813" i="14"/>
  <c r="E813" i="14"/>
  <c r="D813" i="14"/>
  <c r="B814" i="14"/>
  <c r="C813" i="14"/>
  <c r="L800" i="1" l="1"/>
  <c r="M800" i="1" s="1"/>
  <c r="J800" i="1"/>
  <c r="I800" i="1"/>
  <c r="K800" i="1" s="1"/>
  <c r="H801" i="1" s="1"/>
  <c r="J814" i="14"/>
  <c r="I814" i="14"/>
  <c r="H814" i="14"/>
  <c r="G814" i="14"/>
  <c r="E814" i="14"/>
  <c r="F814" i="14"/>
  <c r="D814" i="14"/>
  <c r="B815" i="14"/>
  <c r="C814" i="14"/>
  <c r="L801" i="1" l="1"/>
  <c r="M801" i="1" s="1"/>
  <c r="J801" i="1"/>
  <c r="I801" i="1"/>
  <c r="K801" i="1" s="1"/>
  <c r="H802" i="1" s="1"/>
  <c r="J815" i="14"/>
  <c r="I815" i="14"/>
  <c r="F815" i="14"/>
  <c r="G815" i="14"/>
  <c r="H815" i="14"/>
  <c r="D815" i="14"/>
  <c r="E815" i="14"/>
  <c r="C815" i="14"/>
  <c r="B816" i="14"/>
  <c r="L802" i="1" l="1"/>
  <c r="M802" i="1" s="1"/>
  <c r="J802" i="1"/>
  <c r="I802" i="1"/>
  <c r="K802" i="1" s="1"/>
  <c r="H803" i="1" s="1"/>
  <c r="J816" i="14"/>
  <c r="H816" i="14"/>
  <c r="I816" i="14"/>
  <c r="G816" i="14"/>
  <c r="F816" i="14"/>
  <c r="E816" i="14"/>
  <c r="D816" i="14"/>
  <c r="B817" i="14"/>
  <c r="C816" i="14"/>
  <c r="L803" i="1" l="1"/>
  <c r="M803" i="1" s="1"/>
  <c r="J803" i="1"/>
  <c r="I803" i="1"/>
  <c r="K803" i="1" s="1"/>
  <c r="H804" i="1" s="1"/>
  <c r="J817" i="14"/>
  <c r="I817" i="14"/>
  <c r="H817" i="14"/>
  <c r="G817" i="14"/>
  <c r="E817" i="14"/>
  <c r="F817" i="14"/>
  <c r="D817" i="14"/>
  <c r="C817" i="14"/>
  <c r="B818" i="14"/>
  <c r="L804" i="1" l="1"/>
  <c r="M804" i="1" s="1"/>
  <c r="J804" i="1"/>
  <c r="I804" i="1"/>
  <c r="K804" i="1" s="1"/>
  <c r="H805" i="1" s="1"/>
  <c r="J818" i="14"/>
  <c r="I818" i="14"/>
  <c r="H818" i="14"/>
  <c r="G818" i="14"/>
  <c r="F818" i="14"/>
  <c r="E818" i="14"/>
  <c r="D818" i="14"/>
  <c r="B819" i="14"/>
  <c r="C818" i="14"/>
  <c r="L805" i="1" l="1"/>
  <c r="M805" i="1" s="1"/>
  <c r="J805" i="1"/>
  <c r="I805" i="1"/>
  <c r="K805" i="1" s="1"/>
  <c r="H806" i="1" s="1"/>
  <c r="J819" i="14"/>
  <c r="I819" i="14"/>
  <c r="H819" i="14"/>
  <c r="F819" i="14"/>
  <c r="G819" i="14"/>
  <c r="E819" i="14"/>
  <c r="D819" i="14"/>
  <c r="B820" i="14"/>
  <c r="C819" i="14"/>
  <c r="L806" i="1" l="1"/>
  <c r="M806" i="1" s="1"/>
  <c r="I806" i="1"/>
  <c r="K806" i="1" s="1"/>
  <c r="H807" i="1" s="1"/>
  <c r="J806" i="1"/>
  <c r="J820" i="14"/>
  <c r="I820" i="14"/>
  <c r="G820" i="14"/>
  <c r="H820" i="14"/>
  <c r="F820" i="14"/>
  <c r="E820" i="14"/>
  <c r="D820" i="14"/>
  <c r="B821" i="14"/>
  <c r="C820" i="14"/>
  <c r="L807" i="1" l="1"/>
  <c r="M807" i="1" s="1"/>
  <c r="J807" i="1"/>
  <c r="I807" i="1"/>
  <c r="K807" i="1" s="1"/>
  <c r="H808" i="1" s="1"/>
  <c r="J821" i="14"/>
  <c r="I821" i="14"/>
  <c r="H821" i="14"/>
  <c r="G821" i="14"/>
  <c r="F821" i="14"/>
  <c r="E821" i="14"/>
  <c r="D821" i="14"/>
  <c r="C821" i="14"/>
  <c r="B822" i="14"/>
  <c r="L808" i="1" l="1"/>
  <c r="M808" i="1" s="1"/>
  <c r="J808" i="1"/>
  <c r="I808" i="1"/>
  <c r="K808" i="1" s="1"/>
  <c r="H809" i="1" s="1"/>
  <c r="H822" i="14"/>
  <c r="J822" i="14"/>
  <c r="I822" i="14"/>
  <c r="G822" i="14"/>
  <c r="F822" i="14"/>
  <c r="E822" i="14"/>
  <c r="D822" i="14"/>
  <c r="B823" i="14"/>
  <c r="C822" i="14"/>
  <c r="L809" i="1" l="1"/>
  <c r="M809" i="1" s="1"/>
  <c r="I809" i="1"/>
  <c r="K809" i="1" s="1"/>
  <c r="H810" i="1" s="1"/>
  <c r="J809" i="1"/>
  <c r="J823" i="14"/>
  <c r="I823" i="14"/>
  <c r="G823" i="14"/>
  <c r="H823" i="14"/>
  <c r="F823" i="14"/>
  <c r="E823" i="14"/>
  <c r="D823" i="14"/>
  <c r="B824" i="14"/>
  <c r="C823" i="14"/>
  <c r="L810" i="1" l="1"/>
  <c r="M810" i="1" s="1"/>
  <c r="I810" i="1"/>
  <c r="K810" i="1" s="1"/>
  <c r="H811" i="1" s="1"/>
  <c r="J810" i="1"/>
  <c r="J824" i="14"/>
  <c r="I824" i="14"/>
  <c r="H824" i="14"/>
  <c r="F824" i="14"/>
  <c r="G824" i="14"/>
  <c r="E824" i="14"/>
  <c r="D824" i="14"/>
  <c r="B825" i="14"/>
  <c r="C824" i="14"/>
  <c r="L811" i="1" l="1"/>
  <c r="M811" i="1" s="1"/>
  <c r="J811" i="1"/>
  <c r="I811" i="1"/>
  <c r="K811" i="1" s="1"/>
  <c r="H812" i="1" s="1"/>
  <c r="J825" i="14"/>
  <c r="I825" i="14"/>
  <c r="H825" i="14"/>
  <c r="G825" i="14"/>
  <c r="F825" i="14"/>
  <c r="D825" i="14"/>
  <c r="E825" i="14"/>
  <c r="B826" i="14"/>
  <c r="C825" i="14"/>
  <c r="L812" i="1" l="1"/>
  <c r="M812" i="1" s="1"/>
  <c r="J812" i="1"/>
  <c r="I812" i="1"/>
  <c r="K812" i="1" s="1"/>
  <c r="H813" i="1" s="1"/>
  <c r="J826" i="14"/>
  <c r="I826" i="14"/>
  <c r="G826" i="14"/>
  <c r="H826" i="14"/>
  <c r="E826" i="14"/>
  <c r="F826" i="14"/>
  <c r="D826" i="14"/>
  <c r="B827" i="14"/>
  <c r="C826" i="14"/>
  <c r="L813" i="1" l="1"/>
  <c r="M813" i="1" s="1"/>
  <c r="J813" i="1"/>
  <c r="I813" i="1"/>
  <c r="K813" i="1" s="1"/>
  <c r="H814" i="1" s="1"/>
  <c r="I827" i="14"/>
  <c r="J827" i="14"/>
  <c r="H827" i="14"/>
  <c r="F827" i="14"/>
  <c r="G827" i="14"/>
  <c r="D827" i="14"/>
  <c r="E827" i="14"/>
  <c r="C827" i="14"/>
  <c r="B828" i="14"/>
  <c r="L814" i="1" l="1"/>
  <c r="M814" i="1" s="1"/>
  <c r="J814" i="1"/>
  <c r="I814" i="1"/>
  <c r="K814" i="1" s="1"/>
  <c r="H815" i="1" s="1"/>
  <c r="J828" i="14"/>
  <c r="H828" i="14"/>
  <c r="I828" i="14"/>
  <c r="G828" i="14"/>
  <c r="F828" i="14"/>
  <c r="E828" i="14"/>
  <c r="D828" i="14"/>
  <c r="B829" i="14"/>
  <c r="C828" i="14"/>
  <c r="L815" i="1" l="1"/>
  <c r="M815" i="1" s="1"/>
  <c r="J815" i="1"/>
  <c r="I815" i="1"/>
  <c r="K815" i="1" s="1"/>
  <c r="H816" i="1" s="1"/>
  <c r="J829" i="14"/>
  <c r="I829" i="14"/>
  <c r="H829" i="14"/>
  <c r="F829" i="14"/>
  <c r="G829" i="14"/>
  <c r="E829" i="14"/>
  <c r="D829" i="14"/>
  <c r="B830" i="14"/>
  <c r="C829" i="14"/>
  <c r="L816" i="1" l="1"/>
  <c r="M816" i="1" s="1"/>
  <c r="J816" i="1"/>
  <c r="I816" i="1"/>
  <c r="K816" i="1" s="1"/>
  <c r="H817" i="1" s="1"/>
  <c r="J830" i="14"/>
  <c r="H830" i="14"/>
  <c r="I830" i="14"/>
  <c r="G830" i="14"/>
  <c r="F830" i="14"/>
  <c r="E830" i="14"/>
  <c r="D830" i="14"/>
  <c r="B831" i="14"/>
  <c r="C830" i="14"/>
  <c r="L817" i="1" l="1"/>
  <c r="M817" i="1" s="1"/>
  <c r="J817" i="1"/>
  <c r="I817" i="1"/>
  <c r="K817" i="1" s="1"/>
  <c r="H818" i="1" s="1"/>
  <c r="J831" i="14"/>
  <c r="I831" i="14"/>
  <c r="G831" i="14"/>
  <c r="H831" i="14"/>
  <c r="F831" i="14"/>
  <c r="E831" i="14"/>
  <c r="D831" i="14"/>
  <c r="C831" i="14"/>
  <c r="B832" i="14"/>
  <c r="L818" i="1" l="1"/>
  <c r="M818" i="1" s="1"/>
  <c r="I818" i="1"/>
  <c r="K818" i="1" s="1"/>
  <c r="H819" i="1" s="1"/>
  <c r="J818" i="1"/>
  <c r="J832" i="14"/>
  <c r="I832" i="14"/>
  <c r="G832" i="14"/>
  <c r="H832" i="14"/>
  <c r="E832" i="14"/>
  <c r="F832" i="14"/>
  <c r="D832" i="14"/>
  <c r="B833" i="14"/>
  <c r="C832" i="14"/>
  <c r="L819" i="1" l="1"/>
  <c r="M819" i="1" s="1"/>
  <c r="J819" i="1"/>
  <c r="I819" i="1"/>
  <c r="K819" i="1" s="1"/>
  <c r="H820" i="1" s="1"/>
  <c r="J833" i="14"/>
  <c r="I833" i="14"/>
  <c r="F833" i="14"/>
  <c r="H833" i="14"/>
  <c r="G833" i="14"/>
  <c r="D833" i="14"/>
  <c r="E833" i="14"/>
  <c r="B834" i="14"/>
  <c r="C833" i="14"/>
  <c r="L820" i="1" l="1"/>
  <c r="M820" i="1" s="1"/>
  <c r="J820" i="1"/>
  <c r="I820" i="1"/>
  <c r="K820" i="1" s="1"/>
  <c r="H821" i="1" s="1"/>
  <c r="H834" i="14"/>
  <c r="J834" i="14"/>
  <c r="I834" i="14"/>
  <c r="G834" i="14"/>
  <c r="E834" i="14"/>
  <c r="D834" i="14"/>
  <c r="F834" i="14"/>
  <c r="B835" i="14"/>
  <c r="C834" i="14"/>
  <c r="L821" i="1" l="1"/>
  <c r="M821" i="1" s="1"/>
  <c r="J821" i="1"/>
  <c r="I821" i="1"/>
  <c r="K821" i="1" s="1"/>
  <c r="H822" i="1" s="1"/>
  <c r="J835" i="14"/>
  <c r="I835" i="14"/>
  <c r="G835" i="14"/>
  <c r="H835" i="14"/>
  <c r="F835" i="14"/>
  <c r="E835" i="14"/>
  <c r="D835" i="14"/>
  <c r="B836" i="14"/>
  <c r="C835" i="14"/>
  <c r="L822" i="1" l="1"/>
  <c r="M822" i="1" s="1"/>
  <c r="J822" i="1"/>
  <c r="I822" i="1"/>
  <c r="K822" i="1" s="1"/>
  <c r="H823" i="1" s="1"/>
  <c r="J836" i="14"/>
  <c r="I836" i="14"/>
  <c r="H836" i="14"/>
  <c r="G836" i="14"/>
  <c r="F836" i="14"/>
  <c r="E836" i="14"/>
  <c r="D836" i="14"/>
  <c r="B837" i="14"/>
  <c r="C836" i="14"/>
  <c r="L823" i="1" l="1"/>
  <c r="M823" i="1" s="1"/>
  <c r="J823" i="1"/>
  <c r="I823" i="1"/>
  <c r="K823" i="1" s="1"/>
  <c r="H824" i="1" s="1"/>
  <c r="J837" i="14"/>
  <c r="I837" i="14"/>
  <c r="H837" i="14"/>
  <c r="G837" i="14"/>
  <c r="F837" i="14"/>
  <c r="E837" i="14"/>
  <c r="D837" i="14"/>
  <c r="B838" i="14"/>
  <c r="C837" i="14"/>
  <c r="J824" i="1" l="1"/>
  <c r="I824" i="1"/>
  <c r="K824" i="1" s="1"/>
  <c r="H825" i="1" s="1"/>
  <c r="L824" i="1"/>
  <c r="M824" i="1" s="1"/>
  <c r="J838" i="14"/>
  <c r="I838" i="14"/>
  <c r="G838" i="14"/>
  <c r="H838" i="14"/>
  <c r="E838" i="14"/>
  <c r="F838" i="14"/>
  <c r="D838" i="14"/>
  <c r="C838" i="14"/>
  <c r="B839" i="14"/>
  <c r="L825" i="1" l="1"/>
  <c r="M825" i="1" s="1"/>
  <c r="J825" i="1"/>
  <c r="I825" i="1"/>
  <c r="K825" i="1" s="1"/>
  <c r="H826" i="1" s="1"/>
  <c r="J839" i="14"/>
  <c r="I839" i="14"/>
  <c r="F839" i="14"/>
  <c r="H839" i="14"/>
  <c r="G839" i="14"/>
  <c r="D839" i="14"/>
  <c r="E839" i="14"/>
  <c r="C839" i="14"/>
  <c r="B840" i="14"/>
  <c r="L826" i="1" l="1"/>
  <c r="M826" i="1" s="1"/>
  <c r="J826" i="1"/>
  <c r="I826" i="1"/>
  <c r="K826" i="1" s="1"/>
  <c r="H827" i="1" s="1"/>
  <c r="J840" i="14"/>
  <c r="H840" i="14"/>
  <c r="I840" i="14"/>
  <c r="G840" i="14"/>
  <c r="F840" i="14"/>
  <c r="E840" i="14"/>
  <c r="D840" i="14"/>
  <c r="B841" i="14"/>
  <c r="C840" i="14"/>
  <c r="L827" i="1" l="1"/>
  <c r="M827" i="1" s="1"/>
  <c r="I827" i="1"/>
  <c r="K827" i="1" s="1"/>
  <c r="H828" i="1" s="1"/>
  <c r="J827" i="1"/>
  <c r="J841" i="14"/>
  <c r="I841" i="14"/>
  <c r="H841" i="14"/>
  <c r="G841" i="14"/>
  <c r="F841" i="14"/>
  <c r="E841" i="14"/>
  <c r="D841" i="14"/>
  <c r="B842" i="14"/>
  <c r="C841" i="14"/>
  <c r="L828" i="1" l="1"/>
  <c r="M828" i="1" s="1"/>
  <c r="J828" i="1"/>
  <c r="I828" i="1"/>
  <c r="K828" i="1" s="1"/>
  <c r="H829" i="1" s="1"/>
  <c r="J842" i="14"/>
  <c r="I842" i="14"/>
  <c r="G842" i="14"/>
  <c r="H842" i="14"/>
  <c r="F842" i="14"/>
  <c r="E842" i="14"/>
  <c r="D842" i="14"/>
  <c r="B843" i="14"/>
  <c r="C842" i="14"/>
  <c r="J829" i="1" l="1"/>
  <c r="L829" i="1"/>
  <c r="M829" i="1" s="1"/>
  <c r="I829" i="1"/>
  <c r="K829" i="1" s="1"/>
  <c r="H830" i="1" s="1"/>
  <c r="J843" i="14"/>
  <c r="I843" i="14"/>
  <c r="H843" i="14"/>
  <c r="G843" i="14"/>
  <c r="F843" i="14"/>
  <c r="E843" i="14"/>
  <c r="D843" i="14"/>
  <c r="B844" i="14"/>
  <c r="C843" i="14"/>
  <c r="L830" i="1" l="1"/>
  <c r="M830" i="1" s="1"/>
  <c r="J830" i="1"/>
  <c r="I830" i="1"/>
  <c r="K830" i="1" s="1"/>
  <c r="H831" i="1" s="1"/>
  <c r="J844" i="14"/>
  <c r="I844" i="14"/>
  <c r="G844" i="14"/>
  <c r="H844" i="14"/>
  <c r="E844" i="14"/>
  <c r="F844" i="14"/>
  <c r="D844" i="14"/>
  <c r="B845" i="14"/>
  <c r="C844" i="14"/>
  <c r="L831" i="1" l="1"/>
  <c r="M831" i="1" s="1"/>
  <c r="J831" i="1"/>
  <c r="I831" i="1"/>
  <c r="K831" i="1" s="1"/>
  <c r="H832" i="1" s="1"/>
  <c r="J845" i="14"/>
  <c r="I845" i="14"/>
  <c r="H845" i="14"/>
  <c r="F845" i="14"/>
  <c r="G845" i="14"/>
  <c r="D845" i="14"/>
  <c r="E845" i="14"/>
  <c r="C845" i="14"/>
  <c r="B846" i="14"/>
  <c r="L832" i="1" l="1"/>
  <c r="M832" i="1" s="1"/>
  <c r="I832" i="1"/>
  <c r="K832" i="1" s="1"/>
  <c r="H833" i="1" s="1"/>
  <c r="J832" i="1"/>
  <c r="H846" i="14"/>
  <c r="J846" i="14"/>
  <c r="I846" i="14"/>
  <c r="F846" i="14"/>
  <c r="G846" i="14"/>
  <c r="E846" i="14"/>
  <c r="D846" i="14"/>
  <c r="B847" i="14"/>
  <c r="C846" i="14"/>
  <c r="L833" i="1" l="1"/>
  <c r="M833" i="1" s="1"/>
  <c r="J833" i="1"/>
  <c r="I833" i="1"/>
  <c r="K833" i="1" s="1"/>
  <c r="H834" i="1" s="1"/>
  <c r="J847" i="14"/>
  <c r="H847" i="14"/>
  <c r="I847" i="14"/>
  <c r="G847" i="14"/>
  <c r="F847" i="14"/>
  <c r="E847" i="14"/>
  <c r="D847" i="14"/>
  <c r="C847" i="14"/>
  <c r="B848" i="14"/>
  <c r="L834" i="1" l="1"/>
  <c r="M834" i="1" s="1"/>
  <c r="J834" i="1"/>
  <c r="I834" i="1"/>
  <c r="K834" i="1" s="1"/>
  <c r="H835" i="1" s="1"/>
  <c r="J848" i="14"/>
  <c r="I848" i="14"/>
  <c r="G848" i="14"/>
  <c r="H848" i="14"/>
  <c r="F848" i="14"/>
  <c r="E848" i="14"/>
  <c r="D848" i="14"/>
  <c r="B849" i="14"/>
  <c r="C848" i="14"/>
  <c r="L835" i="1" l="1"/>
  <c r="M835" i="1" s="1"/>
  <c r="I835" i="1"/>
  <c r="K835" i="1" s="1"/>
  <c r="H836" i="1" s="1"/>
  <c r="J835" i="1"/>
  <c r="J849" i="14"/>
  <c r="I849" i="14"/>
  <c r="G849" i="14"/>
  <c r="H849" i="14"/>
  <c r="F849" i="14"/>
  <c r="E849" i="14"/>
  <c r="D849" i="14"/>
  <c r="C849" i="14"/>
  <c r="B850" i="14"/>
  <c r="L836" i="1" l="1"/>
  <c r="M836" i="1" s="1"/>
  <c r="J836" i="1"/>
  <c r="I836" i="1"/>
  <c r="K836" i="1" s="1"/>
  <c r="H837" i="1" s="1"/>
  <c r="J850" i="14"/>
  <c r="I850" i="14"/>
  <c r="H850" i="14"/>
  <c r="G850" i="14"/>
  <c r="E850" i="14"/>
  <c r="F850" i="14"/>
  <c r="D850" i="14"/>
  <c r="B851" i="14"/>
  <c r="C850" i="14"/>
  <c r="L837" i="1" l="1"/>
  <c r="M837" i="1" s="1"/>
  <c r="J837" i="1"/>
  <c r="I837" i="1"/>
  <c r="K837" i="1" s="1"/>
  <c r="H838" i="1" s="1"/>
  <c r="J851" i="14"/>
  <c r="I851" i="14"/>
  <c r="F851" i="14"/>
  <c r="H851" i="14"/>
  <c r="G851" i="14"/>
  <c r="D851" i="14"/>
  <c r="E851" i="14"/>
  <c r="C851" i="14"/>
  <c r="B852" i="14"/>
  <c r="L838" i="1" l="1"/>
  <c r="M838" i="1" s="1"/>
  <c r="I838" i="1"/>
  <c r="K838" i="1" s="1"/>
  <c r="H839" i="1" s="1"/>
  <c r="J838" i="1"/>
  <c r="H852" i="14"/>
  <c r="J852" i="14"/>
  <c r="I852" i="14"/>
  <c r="G852" i="14"/>
  <c r="E852" i="14"/>
  <c r="F852" i="14"/>
  <c r="D852" i="14"/>
  <c r="B853" i="14"/>
  <c r="C852" i="14"/>
  <c r="L839" i="1" l="1"/>
  <c r="M839" i="1" s="1"/>
  <c r="J839" i="1"/>
  <c r="I839" i="1"/>
  <c r="K839" i="1" s="1"/>
  <c r="H840" i="1" s="1"/>
  <c r="J853" i="14"/>
  <c r="I853" i="14"/>
  <c r="H853" i="14"/>
  <c r="G853" i="14"/>
  <c r="F853" i="14"/>
  <c r="E853" i="14"/>
  <c r="D853" i="14"/>
  <c r="C853" i="14"/>
  <c r="B854" i="14"/>
  <c r="L840" i="1" l="1"/>
  <c r="M840" i="1" s="1"/>
  <c r="J840" i="1"/>
  <c r="I840" i="1"/>
  <c r="K840" i="1" s="1"/>
  <c r="H841" i="1" s="1"/>
  <c r="J854" i="14"/>
  <c r="I854" i="14"/>
  <c r="H854" i="14"/>
  <c r="F854" i="14"/>
  <c r="G854" i="14"/>
  <c r="E854" i="14"/>
  <c r="D854" i="14"/>
  <c r="B855" i="14"/>
  <c r="C854" i="14"/>
  <c r="L841" i="1" l="1"/>
  <c r="M841" i="1" s="1"/>
  <c r="J841" i="1"/>
  <c r="I841" i="1"/>
  <c r="K841" i="1" s="1"/>
  <c r="H842" i="1" s="1"/>
  <c r="J855" i="14"/>
  <c r="H855" i="14"/>
  <c r="I855" i="14"/>
  <c r="G855" i="14"/>
  <c r="F855" i="14"/>
  <c r="D855" i="14"/>
  <c r="E855" i="14"/>
  <c r="B856" i="14"/>
  <c r="C855" i="14"/>
  <c r="L842" i="1" l="1"/>
  <c r="M842" i="1" s="1"/>
  <c r="J842" i="1"/>
  <c r="I842" i="1"/>
  <c r="K842" i="1" s="1"/>
  <c r="H843" i="1" s="1"/>
  <c r="J856" i="14"/>
  <c r="I856" i="14"/>
  <c r="G856" i="14"/>
  <c r="H856" i="14"/>
  <c r="F856" i="14"/>
  <c r="E856" i="14"/>
  <c r="D856" i="14"/>
  <c r="B857" i="14"/>
  <c r="C856" i="14"/>
  <c r="L843" i="1" l="1"/>
  <c r="M843" i="1" s="1"/>
  <c r="J843" i="1"/>
  <c r="I843" i="1"/>
  <c r="K843" i="1" s="1"/>
  <c r="H844" i="1" s="1"/>
  <c r="J857" i="14"/>
  <c r="I857" i="14"/>
  <c r="H857" i="14"/>
  <c r="G857" i="14"/>
  <c r="F857" i="14"/>
  <c r="E857" i="14"/>
  <c r="D857" i="14"/>
  <c r="C857" i="14"/>
  <c r="B858" i="14"/>
  <c r="L844" i="1" l="1"/>
  <c r="M844" i="1" s="1"/>
  <c r="J844" i="1"/>
  <c r="I844" i="1"/>
  <c r="K844" i="1" s="1"/>
  <c r="H845" i="1" s="1"/>
  <c r="J858" i="14"/>
  <c r="H858" i="14"/>
  <c r="I858" i="14"/>
  <c r="G858" i="14"/>
  <c r="F858" i="14"/>
  <c r="E858" i="14"/>
  <c r="D858" i="14"/>
  <c r="B859" i="14"/>
  <c r="C858" i="14"/>
  <c r="L845" i="1" l="1"/>
  <c r="M845" i="1" s="1"/>
  <c r="J845" i="1"/>
  <c r="I845" i="1"/>
  <c r="K845" i="1" s="1"/>
  <c r="H846" i="1" s="1"/>
  <c r="J859" i="14"/>
  <c r="I859" i="14"/>
  <c r="H859" i="14"/>
  <c r="G859" i="14"/>
  <c r="F859" i="14"/>
  <c r="E859" i="14"/>
  <c r="D859" i="14"/>
  <c r="B860" i="14"/>
  <c r="C859" i="14"/>
  <c r="L846" i="1" l="1"/>
  <c r="M846" i="1" s="1"/>
  <c r="J846" i="1"/>
  <c r="I846" i="1"/>
  <c r="K846" i="1" s="1"/>
  <c r="H847" i="1" s="1"/>
  <c r="J860" i="14"/>
  <c r="I860" i="14"/>
  <c r="H860" i="14"/>
  <c r="G860" i="14"/>
  <c r="E860" i="14"/>
  <c r="F860" i="14"/>
  <c r="D860" i="14"/>
  <c r="C860" i="14"/>
  <c r="B861" i="14"/>
  <c r="L847" i="1" l="1"/>
  <c r="M847" i="1" s="1"/>
  <c r="I847" i="1"/>
  <c r="K847" i="1" s="1"/>
  <c r="H848" i="1" s="1"/>
  <c r="J847" i="1"/>
  <c r="J861" i="14"/>
  <c r="I861" i="14"/>
  <c r="H861" i="14"/>
  <c r="G861" i="14"/>
  <c r="F861" i="14"/>
  <c r="E861" i="14"/>
  <c r="D861" i="14"/>
  <c r="C861" i="14"/>
  <c r="B862" i="14"/>
  <c r="L848" i="1" l="1"/>
  <c r="M848" i="1" s="1"/>
  <c r="I848" i="1"/>
  <c r="K848" i="1" s="1"/>
  <c r="H849" i="1" s="1"/>
  <c r="J848" i="1"/>
  <c r="J862" i="14"/>
  <c r="I862" i="14"/>
  <c r="G862" i="14"/>
  <c r="H862" i="14"/>
  <c r="E862" i="14"/>
  <c r="F862" i="14"/>
  <c r="D862" i="14"/>
  <c r="B863" i="14"/>
  <c r="C862" i="14"/>
  <c r="L849" i="1" l="1"/>
  <c r="M849" i="1" s="1"/>
  <c r="J849" i="1"/>
  <c r="I849" i="1"/>
  <c r="K849" i="1" s="1"/>
  <c r="H850" i="1" s="1"/>
  <c r="J863" i="14"/>
  <c r="I863" i="14"/>
  <c r="H863" i="14"/>
  <c r="F863" i="14"/>
  <c r="G863" i="14"/>
  <c r="D863" i="14"/>
  <c r="E863" i="14"/>
  <c r="C863" i="14"/>
  <c r="B864" i="14"/>
  <c r="L850" i="1" l="1"/>
  <c r="M850" i="1" s="1"/>
  <c r="J850" i="1"/>
  <c r="I850" i="1"/>
  <c r="K850" i="1" s="1"/>
  <c r="H851" i="1" s="1"/>
  <c r="J864" i="14"/>
  <c r="H864" i="14"/>
  <c r="I864" i="14"/>
  <c r="G864" i="14"/>
  <c r="F864" i="14"/>
  <c r="E864" i="14"/>
  <c r="D864" i="14"/>
  <c r="B865" i="14"/>
  <c r="C864" i="14"/>
  <c r="L851" i="1" l="1"/>
  <c r="M851" i="1" s="1"/>
  <c r="J851" i="1"/>
  <c r="I851" i="1"/>
  <c r="K851" i="1" s="1"/>
  <c r="H852" i="1" s="1"/>
  <c r="I865" i="14"/>
  <c r="J865" i="14"/>
  <c r="H865" i="14"/>
  <c r="G865" i="14"/>
  <c r="F865" i="14"/>
  <c r="E865" i="14"/>
  <c r="D865" i="14"/>
  <c r="C865" i="14"/>
  <c r="B866" i="14"/>
  <c r="L852" i="1" l="1"/>
  <c r="M852" i="1" s="1"/>
  <c r="J852" i="1"/>
  <c r="I852" i="1"/>
  <c r="K852" i="1" s="1"/>
  <c r="H853" i="1" s="1"/>
  <c r="J866" i="14"/>
  <c r="I866" i="14"/>
  <c r="G866" i="14"/>
  <c r="H866" i="14"/>
  <c r="F866" i="14"/>
  <c r="E866" i="14"/>
  <c r="D866" i="14"/>
  <c r="B867" i="14"/>
  <c r="C866" i="14"/>
  <c r="L853" i="1" l="1"/>
  <c r="M853" i="1" s="1"/>
  <c r="I853" i="1"/>
  <c r="K853" i="1" s="1"/>
  <c r="H854" i="1" s="1"/>
  <c r="J853" i="1"/>
  <c r="J867" i="14"/>
  <c r="I867" i="14"/>
  <c r="H867" i="14"/>
  <c r="G867" i="14"/>
  <c r="F867" i="14"/>
  <c r="E867" i="14"/>
  <c r="D867" i="14"/>
  <c r="B868" i="14"/>
  <c r="C867" i="14"/>
  <c r="L854" i="1" l="1"/>
  <c r="M854" i="1" s="1"/>
  <c r="I854" i="1"/>
  <c r="K854" i="1" s="1"/>
  <c r="H855" i="1" s="1"/>
  <c r="J854" i="1"/>
  <c r="J868" i="14"/>
  <c r="I868" i="14"/>
  <c r="G868" i="14"/>
  <c r="H868" i="14"/>
  <c r="E868" i="14"/>
  <c r="F868" i="14"/>
  <c r="D868" i="14"/>
  <c r="B869" i="14"/>
  <c r="C868" i="14"/>
  <c r="L855" i="1" l="1"/>
  <c r="M855" i="1" s="1"/>
  <c r="J855" i="1"/>
  <c r="I855" i="1"/>
  <c r="K855" i="1" s="1"/>
  <c r="H856" i="1" s="1"/>
  <c r="J869" i="14"/>
  <c r="I869" i="14"/>
  <c r="F869" i="14"/>
  <c r="H869" i="14"/>
  <c r="G869" i="14"/>
  <c r="D869" i="14"/>
  <c r="E869" i="14"/>
  <c r="B870" i="14"/>
  <c r="C869" i="14"/>
  <c r="L856" i="1" l="1"/>
  <c r="M856" i="1" s="1"/>
  <c r="J856" i="1"/>
  <c r="I856" i="1"/>
  <c r="K856" i="1" s="1"/>
  <c r="H857" i="1" s="1"/>
  <c r="H870" i="14"/>
  <c r="J870" i="14"/>
  <c r="I870" i="14"/>
  <c r="G870" i="14"/>
  <c r="F870" i="14"/>
  <c r="D870" i="14"/>
  <c r="E870" i="14"/>
  <c r="B871" i="14"/>
  <c r="C870" i="14"/>
  <c r="L857" i="1" l="1"/>
  <c r="M857" i="1" s="1"/>
  <c r="I857" i="1"/>
  <c r="K857" i="1" s="1"/>
  <c r="H858" i="1" s="1"/>
  <c r="J857" i="1"/>
  <c r="J871" i="14"/>
  <c r="I871" i="14"/>
  <c r="H871" i="14"/>
  <c r="G871" i="14"/>
  <c r="F871" i="14"/>
  <c r="E871" i="14"/>
  <c r="D871" i="14"/>
  <c r="B872" i="14"/>
  <c r="C871" i="14"/>
  <c r="L858" i="1" l="1"/>
  <c r="M858" i="1" s="1"/>
  <c r="J858" i="1"/>
  <c r="I858" i="1"/>
  <c r="K858" i="1" s="1"/>
  <c r="H859" i="1" s="1"/>
  <c r="J872" i="14"/>
  <c r="I872" i="14"/>
  <c r="H872" i="14"/>
  <c r="F872" i="14"/>
  <c r="G872" i="14"/>
  <c r="E872" i="14"/>
  <c r="D872" i="14"/>
  <c r="B873" i="14"/>
  <c r="C872" i="14"/>
  <c r="L859" i="1" l="1"/>
  <c r="M859" i="1" s="1"/>
  <c r="I859" i="1"/>
  <c r="K859" i="1" s="1"/>
  <c r="H860" i="1" s="1"/>
  <c r="J859" i="1"/>
  <c r="J873" i="14"/>
  <c r="H873" i="14"/>
  <c r="I873" i="14"/>
  <c r="G873" i="14"/>
  <c r="F873" i="14"/>
  <c r="E873" i="14"/>
  <c r="D873" i="14"/>
  <c r="C873" i="14"/>
  <c r="B874" i="14"/>
  <c r="L860" i="1" l="1"/>
  <c r="M860" i="1" s="1"/>
  <c r="J860" i="1"/>
  <c r="I860" i="1"/>
  <c r="K860" i="1" s="1"/>
  <c r="H861" i="1" s="1"/>
  <c r="J874" i="14"/>
  <c r="I874" i="14"/>
  <c r="G874" i="14"/>
  <c r="H874" i="14"/>
  <c r="E874" i="14"/>
  <c r="F874" i="14"/>
  <c r="D874" i="14"/>
  <c r="C874" i="14"/>
  <c r="B875" i="14"/>
  <c r="L861" i="1" l="1"/>
  <c r="M861" i="1" s="1"/>
  <c r="I861" i="1"/>
  <c r="K861" i="1" s="1"/>
  <c r="H862" i="1" s="1"/>
  <c r="J861" i="1"/>
  <c r="J875" i="14"/>
  <c r="I875" i="14"/>
  <c r="F875" i="14"/>
  <c r="H875" i="14"/>
  <c r="G875" i="14"/>
  <c r="D875" i="14"/>
  <c r="E875" i="14"/>
  <c r="C875" i="14"/>
  <c r="B876" i="14"/>
  <c r="L862" i="1" l="1"/>
  <c r="M862" i="1" s="1"/>
  <c r="I862" i="1"/>
  <c r="K862" i="1" s="1"/>
  <c r="H863" i="1" s="1"/>
  <c r="J862" i="1"/>
  <c r="J876" i="14"/>
  <c r="H876" i="14"/>
  <c r="I876" i="14"/>
  <c r="F876" i="14"/>
  <c r="G876" i="14"/>
  <c r="E876" i="14"/>
  <c r="D876" i="14"/>
  <c r="B877" i="14"/>
  <c r="C876" i="14"/>
  <c r="L863" i="1" l="1"/>
  <c r="M863" i="1" s="1"/>
  <c r="I863" i="1"/>
  <c r="K863" i="1" s="1"/>
  <c r="H864" i="1" s="1"/>
  <c r="J863" i="1"/>
  <c r="J877" i="14"/>
  <c r="I877" i="14"/>
  <c r="H877" i="14"/>
  <c r="G877" i="14"/>
  <c r="E877" i="14"/>
  <c r="F877" i="14"/>
  <c r="D877" i="14"/>
  <c r="B878" i="14"/>
  <c r="C877" i="14"/>
  <c r="L864" i="1" l="1"/>
  <c r="M864" i="1" s="1"/>
  <c r="J864" i="1"/>
  <c r="I864" i="1"/>
  <c r="K864" i="1" s="1"/>
  <c r="H865" i="1" s="1"/>
  <c r="J878" i="14"/>
  <c r="I878" i="14"/>
  <c r="G878" i="14"/>
  <c r="H878" i="14"/>
  <c r="F878" i="14"/>
  <c r="E878" i="14"/>
  <c r="D878" i="14"/>
  <c r="B879" i="14"/>
  <c r="C878" i="14"/>
  <c r="J865" i="1" l="1"/>
  <c r="L865" i="1"/>
  <c r="M865" i="1" s="1"/>
  <c r="I865" i="1"/>
  <c r="K865" i="1" s="1"/>
  <c r="H866" i="1" s="1"/>
  <c r="I879" i="14"/>
  <c r="J879" i="14"/>
  <c r="H879" i="14"/>
  <c r="G879" i="14"/>
  <c r="F879" i="14"/>
  <c r="E879" i="14"/>
  <c r="D879" i="14"/>
  <c r="B880" i="14"/>
  <c r="C879" i="14"/>
  <c r="L866" i="1" l="1"/>
  <c r="M866" i="1" s="1"/>
  <c r="I866" i="1"/>
  <c r="K866" i="1" s="1"/>
  <c r="H867" i="1" s="1"/>
  <c r="J866" i="1"/>
  <c r="J880" i="14"/>
  <c r="I880" i="14"/>
  <c r="G880" i="14"/>
  <c r="H880" i="14"/>
  <c r="E880" i="14"/>
  <c r="F880" i="14"/>
  <c r="D880" i="14"/>
  <c r="B881" i="14"/>
  <c r="C880" i="14"/>
  <c r="L867" i="1" l="1"/>
  <c r="M867" i="1" s="1"/>
  <c r="I867" i="1"/>
  <c r="K867" i="1" s="1"/>
  <c r="H868" i="1" s="1"/>
  <c r="J867" i="1"/>
  <c r="J881" i="14"/>
  <c r="H881" i="14"/>
  <c r="I881" i="14"/>
  <c r="F881" i="14"/>
  <c r="G881" i="14"/>
  <c r="D881" i="14"/>
  <c r="E881" i="14"/>
  <c r="C881" i="14"/>
  <c r="B882" i="14"/>
  <c r="L868" i="1" l="1"/>
  <c r="M868" i="1" s="1"/>
  <c r="J868" i="1"/>
  <c r="I868" i="1"/>
  <c r="K868" i="1" s="1"/>
  <c r="H869" i="1" s="1"/>
  <c r="H882" i="14"/>
  <c r="J882" i="14"/>
  <c r="I882" i="14"/>
  <c r="G882" i="14"/>
  <c r="F882" i="14"/>
  <c r="E882" i="14"/>
  <c r="D882" i="14"/>
  <c r="B883" i="14"/>
  <c r="C882" i="14"/>
  <c r="J869" i="1" l="1"/>
  <c r="I869" i="1"/>
  <c r="K869" i="1" s="1"/>
  <c r="H870" i="1" s="1"/>
  <c r="L869" i="1"/>
  <c r="M869" i="1" s="1"/>
  <c r="J883" i="14"/>
  <c r="I883" i="14"/>
  <c r="G883" i="14"/>
  <c r="H883" i="14"/>
  <c r="F883" i="14"/>
  <c r="E883" i="14"/>
  <c r="D883" i="14"/>
  <c r="C883" i="14"/>
  <c r="B884" i="14"/>
  <c r="L870" i="1" l="1"/>
  <c r="M870" i="1" s="1"/>
  <c r="J870" i="1"/>
  <c r="I870" i="1"/>
  <c r="K870" i="1" s="1"/>
  <c r="H871" i="1" s="1"/>
  <c r="J884" i="14"/>
  <c r="I884" i="14"/>
  <c r="H884" i="14"/>
  <c r="G884" i="14"/>
  <c r="F884" i="14"/>
  <c r="D884" i="14"/>
  <c r="E884" i="14"/>
  <c r="B885" i="14"/>
  <c r="C884" i="14"/>
  <c r="L871" i="1" l="1"/>
  <c r="M871" i="1" s="1"/>
  <c r="J871" i="1"/>
  <c r="I871" i="1"/>
  <c r="K871" i="1" s="1"/>
  <c r="H872" i="1" s="1"/>
  <c r="J885" i="14"/>
  <c r="I885" i="14"/>
  <c r="G885" i="14"/>
  <c r="H885" i="14"/>
  <c r="F885" i="14"/>
  <c r="E885" i="14"/>
  <c r="D885" i="14"/>
  <c r="B886" i="14"/>
  <c r="C885" i="14"/>
  <c r="L872" i="1" l="1"/>
  <c r="M872" i="1" s="1"/>
  <c r="J872" i="1"/>
  <c r="I872" i="1"/>
  <c r="K872" i="1" s="1"/>
  <c r="H873" i="1" s="1"/>
  <c r="J886" i="14"/>
  <c r="I886" i="14"/>
  <c r="H886" i="14"/>
  <c r="G886" i="14"/>
  <c r="E886" i="14"/>
  <c r="F886" i="14"/>
  <c r="D886" i="14"/>
  <c r="B887" i="14"/>
  <c r="C886" i="14"/>
  <c r="L873" i="1" l="1"/>
  <c r="M873" i="1" s="1"/>
  <c r="I873" i="1"/>
  <c r="K873" i="1" s="1"/>
  <c r="H874" i="1" s="1"/>
  <c r="J873" i="1"/>
  <c r="J887" i="14"/>
  <c r="I887" i="14"/>
  <c r="F887" i="14"/>
  <c r="H887" i="14"/>
  <c r="G887" i="14"/>
  <c r="D887" i="14"/>
  <c r="E887" i="14"/>
  <c r="C887" i="14"/>
  <c r="B888" i="14"/>
  <c r="L874" i="1" l="1"/>
  <c r="M874" i="1" s="1"/>
  <c r="I874" i="1"/>
  <c r="K874" i="1" s="1"/>
  <c r="H875" i="1" s="1"/>
  <c r="J874" i="1"/>
  <c r="H888" i="14"/>
  <c r="J888" i="14"/>
  <c r="I888" i="14"/>
  <c r="G888" i="14"/>
  <c r="F888" i="14"/>
  <c r="E888" i="14"/>
  <c r="D888" i="14"/>
  <c r="B889" i="14"/>
  <c r="C888" i="14"/>
  <c r="L875" i="1" l="1"/>
  <c r="M875" i="1" s="1"/>
  <c r="I875" i="1"/>
  <c r="K875" i="1" s="1"/>
  <c r="H876" i="1" s="1"/>
  <c r="J875" i="1"/>
  <c r="J889" i="14"/>
  <c r="I889" i="14"/>
  <c r="H889" i="14"/>
  <c r="G889" i="14"/>
  <c r="F889" i="14"/>
  <c r="E889" i="14"/>
  <c r="D889" i="14"/>
  <c r="B890" i="14"/>
  <c r="C889" i="14"/>
  <c r="L876" i="1" l="1"/>
  <c r="M876" i="1" s="1"/>
  <c r="J876" i="1"/>
  <c r="I876" i="1"/>
  <c r="K876" i="1" s="1"/>
  <c r="H877" i="1" s="1"/>
  <c r="J890" i="14"/>
  <c r="H890" i="14"/>
  <c r="I890" i="14"/>
  <c r="G890" i="14"/>
  <c r="F890" i="14"/>
  <c r="E890" i="14"/>
  <c r="D890" i="14"/>
  <c r="C890" i="14"/>
  <c r="B891" i="14"/>
  <c r="L877" i="1" l="1"/>
  <c r="M877" i="1" s="1"/>
  <c r="J877" i="1"/>
  <c r="I877" i="1"/>
  <c r="K877" i="1" s="1"/>
  <c r="H878" i="1" s="1"/>
  <c r="J891" i="14"/>
  <c r="I891" i="14"/>
  <c r="G891" i="14"/>
  <c r="H891" i="14"/>
  <c r="F891" i="14"/>
  <c r="E891" i="14"/>
  <c r="D891" i="14"/>
  <c r="B892" i="14"/>
  <c r="C891" i="14"/>
  <c r="L878" i="1" l="1"/>
  <c r="M878" i="1" s="1"/>
  <c r="J878" i="1"/>
  <c r="I878" i="1"/>
  <c r="K878" i="1" s="1"/>
  <c r="H879" i="1" s="1"/>
  <c r="J892" i="14"/>
  <c r="I892" i="14"/>
  <c r="G892" i="14"/>
  <c r="H892" i="14"/>
  <c r="F892" i="14"/>
  <c r="E892" i="14"/>
  <c r="D892" i="14"/>
  <c r="B893" i="14"/>
  <c r="C892" i="14"/>
  <c r="L879" i="1" l="1"/>
  <c r="M879" i="1" s="1"/>
  <c r="I879" i="1"/>
  <c r="K879" i="1" s="1"/>
  <c r="H880" i="1" s="1"/>
  <c r="J879" i="1"/>
  <c r="J893" i="14"/>
  <c r="I893" i="14"/>
  <c r="H893" i="14"/>
  <c r="G893" i="14"/>
  <c r="F893" i="14"/>
  <c r="E893" i="14"/>
  <c r="D893" i="14"/>
  <c r="B894" i="14"/>
  <c r="C893" i="14"/>
  <c r="L880" i="1" l="1"/>
  <c r="M880" i="1" s="1"/>
  <c r="I880" i="1"/>
  <c r="K880" i="1" s="1"/>
  <c r="H881" i="1" s="1"/>
  <c r="J880" i="1"/>
  <c r="H894" i="14"/>
  <c r="J894" i="14"/>
  <c r="I894" i="14"/>
  <c r="G894" i="14"/>
  <c r="F894" i="14"/>
  <c r="E894" i="14"/>
  <c r="D894" i="14"/>
  <c r="B895" i="14"/>
  <c r="C894" i="14"/>
  <c r="L881" i="1" l="1"/>
  <c r="M881" i="1" s="1"/>
  <c r="J881" i="1"/>
  <c r="I881" i="1"/>
  <c r="K881" i="1" s="1"/>
  <c r="H882" i="1" s="1"/>
  <c r="J895" i="14"/>
  <c r="I895" i="14"/>
  <c r="H895" i="14"/>
  <c r="G895" i="14"/>
  <c r="F895" i="14"/>
  <c r="E895" i="14"/>
  <c r="D895" i="14"/>
  <c r="C895" i="14"/>
  <c r="B896" i="14"/>
  <c r="L882" i="1" l="1"/>
  <c r="M882" i="1" s="1"/>
  <c r="J882" i="1"/>
  <c r="I882" i="1"/>
  <c r="K882" i="1" s="1"/>
  <c r="H883" i="1" s="1"/>
  <c r="J896" i="14"/>
  <c r="I896" i="14"/>
  <c r="H896" i="14"/>
  <c r="G896" i="14"/>
  <c r="F896" i="14"/>
  <c r="E896" i="14"/>
  <c r="D896" i="14"/>
  <c r="C896" i="14"/>
  <c r="B897" i="14"/>
  <c r="L883" i="1" l="1"/>
  <c r="M883" i="1" s="1"/>
  <c r="J883" i="1"/>
  <c r="I883" i="1"/>
  <c r="K883" i="1" s="1"/>
  <c r="H884" i="1" s="1"/>
  <c r="J897" i="14"/>
  <c r="I897" i="14"/>
  <c r="H897" i="14"/>
  <c r="F897" i="14"/>
  <c r="G897" i="14"/>
  <c r="E897" i="14"/>
  <c r="D897" i="14"/>
  <c r="B898" i="14"/>
  <c r="C897" i="14"/>
  <c r="J884" i="1" l="1"/>
  <c r="L884" i="1"/>
  <c r="M884" i="1" s="1"/>
  <c r="I884" i="1"/>
  <c r="K884" i="1" s="1"/>
  <c r="H885" i="1" s="1"/>
  <c r="J898" i="14"/>
  <c r="I898" i="14"/>
  <c r="G898" i="14"/>
  <c r="H898" i="14"/>
  <c r="E898" i="14"/>
  <c r="F898" i="14"/>
  <c r="D898" i="14"/>
  <c r="B899" i="14"/>
  <c r="C898" i="14"/>
  <c r="L885" i="1" l="1"/>
  <c r="M885" i="1" s="1"/>
  <c r="J885" i="1"/>
  <c r="I885" i="1"/>
  <c r="K885" i="1" s="1"/>
  <c r="H886" i="1" s="1"/>
  <c r="J899" i="14"/>
  <c r="I899" i="14"/>
  <c r="F899" i="14"/>
  <c r="H899" i="14"/>
  <c r="G899" i="14"/>
  <c r="D899" i="14"/>
  <c r="E899" i="14"/>
  <c r="C899" i="14"/>
  <c r="B900" i="14"/>
  <c r="L886" i="1" l="1"/>
  <c r="M886" i="1" s="1"/>
  <c r="I886" i="1"/>
  <c r="K886" i="1" s="1"/>
  <c r="H887" i="1" s="1"/>
  <c r="J886" i="1"/>
  <c r="J900" i="14"/>
  <c r="H900" i="14"/>
  <c r="I900" i="14"/>
  <c r="G900" i="14"/>
  <c r="F900" i="14"/>
  <c r="E900" i="14"/>
  <c r="D900" i="14"/>
  <c r="B901" i="14"/>
  <c r="C900" i="14"/>
  <c r="J887" i="1" l="1"/>
  <c r="L887" i="1"/>
  <c r="M887" i="1" s="1"/>
  <c r="I887" i="1"/>
  <c r="K887" i="1" s="1"/>
  <c r="H888" i="1" s="1"/>
  <c r="J901" i="14"/>
  <c r="I901" i="14"/>
  <c r="H901" i="14"/>
  <c r="G901" i="14"/>
  <c r="F901" i="14"/>
  <c r="E901" i="14"/>
  <c r="D901" i="14"/>
  <c r="C901" i="14"/>
  <c r="B902" i="14"/>
  <c r="L888" i="1" l="1"/>
  <c r="M888" i="1" s="1"/>
  <c r="J888" i="1"/>
  <c r="I888" i="1"/>
  <c r="K888" i="1" s="1"/>
  <c r="H889" i="1" s="1"/>
  <c r="J902" i="14"/>
  <c r="I902" i="14"/>
  <c r="H902" i="14"/>
  <c r="F902" i="14"/>
  <c r="G902" i="14"/>
  <c r="E902" i="14"/>
  <c r="D902" i="14"/>
  <c r="B903" i="14"/>
  <c r="C902" i="14"/>
  <c r="L889" i="1" l="1"/>
  <c r="M889" i="1" s="1"/>
  <c r="I889" i="1"/>
  <c r="K889" i="1" s="1"/>
  <c r="H890" i="1" s="1"/>
  <c r="J889" i="1"/>
  <c r="J903" i="14"/>
  <c r="I903" i="14"/>
  <c r="H903" i="14"/>
  <c r="G903" i="14"/>
  <c r="E903" i="14"/>
  <c r="F903" i="14"/>
  <c r="D903" i="14"/>
  <c r="B904" i="14"/>
  <c r="C903" i="14"/>
  <c r="L890" i="1" l="1"/>
  <c r="M890" i="1" s="1"/>
  <c r="J890" i="1"/>
  <c r="I890" i="1"/>
  <c r="K890" i="1" s="1"/>
  <c r="H891" i="1" s="1"/>
  <c r="J904" i="14"/>
  <c r="I904" i="14"/>
  <c r="G904" i="14"/>
  <c r="H904" i="14"/>
  <c r="E904" i="14"/>
  <c r="F904" i="14"/>
  <c r="D904" i="14"/>
  <c r="B905" i="14"/>
  <c r="C904" i="14"/>
  <c r="L891" i="1" l="1"/>
  <c r="M891" i="1" s="1"/>
  <c r="J891" i="1"/>
  <c r="I891" i="1"/>
  <c r="K891" i="1" s="1"/>
  <c r="H892" i="1" s="1"/>
  <c r="J905" i="14"/>
  <c r="I905" i="14"/>
  <c r="H905" i="14"/>
  <c r="F905" i="14"/>
  <c r="G905" i="14"/>
  <c r="D905" i="14"/>
  <c r="E905" i="14"/>
  <c r="B906" i="14"/>
  <c r="C905" i="14"/>
  <c r="L892" i="1" l="1"/>
  <c r="M892" i="1" s="1"/>
  <c r="J892" i="1"/>
  <c r="I892" i="1"/>
  <c r="K892" i="1" s="1"/>
  <c r="H893" i="1" s="1"/>
  <c r="H906" i="14"/>
  <c r="J906" i="14"/>
  <c r="I906" i="14"/>
  <c r="F906" i="14"/>
  <c r="G906" i="14"/>
  <c r="D906" i="14"/>
  <c r="E906" i="14"/>
  <c r="B907" i="14"/>
  <c r="C906" i="14"/>
  <c r="L893" i="1" l="1"/>
  <c r="M893" i="1" s="1"/>
  <c r="J893" i="1"/>
  <c r="I893" i="1"/>
  <c r="K893" i="1" s="1"/>
  <c r="H894" i="1" s="1"/>
  <c r="J907" i="14"/>
  <c r="I907" i="14"/>
  <c r="H907" i="14"/>
  <c r="G907" i="14"/>
  <c r="F907" i="14"/>
  <c r="E907" i="14"/>
  <c r="D907" i="14"/>
  <c r="B908" i="14"/>
  <c r="C907" i="14"/>
  <c r="L894" i="1" l="1"/>
  <c r="M894" i="1" s="1"/>
  <c r="I894" i="1"/>
  <c r="K894" i="1" s="1"/>
  <c r="H895" i="1" s="1"/>
  <c r="J894" i="1"/>
  <c r="J908" i="14"/>
  <c r="I908" i="14"/>
  <c r="H908" i="14"/>
  <c r="G908" i="14"/>
  <c r="F908" i="14"/>
  <c r="E908" i="14"/>
  <c r="D908" i="14"/>
  <c r="C908" i="14"/>
  <c r="B909" i="14"/>
  <c r="L895" i="1" l="1"/>
  <c r="M895" i="1" s="1"/>
  <c r="J895" i="1"/>
  <c r="I895" i="1"/>
  <c r="K895" i="1" s="1"/>
  <c r="H896" i="1" s="1"/>
  <c r="J909" i="14"/>
  <c r="I909" i="14"/>
  <c r="G909" i="14"/>
  <c r="H909" i="14"/>
  <c r="F909" i="14"/>
  <c r="E909" i="14"/>
  <c r="D909" i="14"/>
  <c r="B910" i="14"/>
  <c r="C909" i="14"/>
  <c r="J896" i="1" l="1"/>
  <c r="L896" i="1"/>
  <c r="M896" i="1" s="1"/>
  <c r="I896" i="1"/>
  <c r="K896" i="1" s="1"/>
  <c r="H897" i="1" s="1"/>
  <c r="J910" i="14"/>
  <c r="I910" i="14"/>
  <c r="G910" i="14"/>
  <c r="H910" i="14"/>
  <c r="E910" i="14"/>
  <c r="F910" i="14"/>
  <c r="D910" i="14"/>
  <c r="B911" i="14"/>
  <c r="C910" i="14"/>
  <c r="L897" i="1" l="1"/>
  <c r="M897" i="1" s="1"/>
  <c r="J897" i="1"/>
  <c r="I897" i="1"/>
  <c r="K897" i="1" s="1"/>
  <c r="H898" i="1" s="1"/>
  <c r="J911" i="14"/>
  <c r="I911" i="14"/>
  <c r="F911" i="14"/>
  <c r="H911" i="14"/>
  <c r="G911" i="14"/>
  <c r="D911" i="14"/>
  <c r="E911" i="14"/>
  <c r="B912" i="14"/>
  <c r="C911" i="14"/>
  <c r="L898" i="1" l="1"/>
  <c r="M898" i="1" s="1"/>
  <c r="J898" i="1"/>
  <c r="I898" i="1"/>
  <c r="K898" i="1" s="1"/>
  <c r="H899" i="1" s="1"/>
  <c r="J912" i="14"/>
  <c r="I912" i="14"/>
  <c r="H912" i="14"/>
  <c r="G912" i="14"/>
  <c r="E912" i="14"/>
  <c r="F912" i="14"/>
  <c r="D912" i="14"/>
  <c r="B913" i="14"/>
  <c r="C912" i="14"/>
  <c r="J899" i="1" l="1"/>
  <c r="L899" i="1"/>
  <c r="M899" i="1" s="1"/>
  <c r="I899" i="1"/>
  <c r="K899" i="1" s="1"/>
  <c r="H900" i="1" s="1"/>
  <c r="J913" i="14"/>
  <c r="I913" i="14"/>
  <c r="H913" i="14"/>
  <c r="G913" i="14"/>
  <c r="F913" i="14"/>
  <c r="E913" i="14"/>
  <c r="D913" i="14"/>
  <c r="B914" i="14"/>
  <c r="C913" i="14"/>
  <c r="L900" i="1" l="1"/>
  <c r="M900" i="1" s="1"/>
  <c r="J900" i="1"/>
  <c r="I900" i="1"/>
  <c r="K900" i="1" s="1"/>
  <c r="H901" i="1" s="1"/>
  <c r="J914" i="14"/>
  <c r="I914" i="14"/>
  <c r="H914" i="14"/>
  <c r="G914" i="14"/>
  <c r="F914" i="14"/>
  <c r="E914" i="14"/>
  <c r="D914" i="14"/>
  <c r="C914" i="14"/>
  <c r="B915" i="14"/>
  <c r="L901" i="1" l="1"/>
  <c r="M901" i="1" s="1"/>
  <c r="J901" i="1"/>
  <c r="I901" i="1"/>
  <c r="K901" i="1" s="1"/>
  <c r="H902" i="1" s="1"/>
  <c r="I915" i="14"/>
  <c r="J915" i="14"/>
  <c r="H915" i="14"/>
  <c r="G915" i="14"/>
  <c r="F915" i="14"/>
  <c r="E915" i="14"/>
  <c r="D915" i="14"/>
  <c r="B916" i="14"/>
  <c r="C915" i="14"/>
  <c r="L902" i="1" l="1"/>
  <c r="M902" i="1" s="1"/>
  <c r="J902" i="1"/>
  <c r="I902" i="1"/>
  <c r="K902" i="1" s="1"/>
  <c r="H903" i="1" s="1"/>
  <c r="J916" i="14"/>
  <c r="I916" i="14"/>
  <c r="G916" i="14"/>
  <c r="H916" i="14"/>
  <c r="E916" i="14"/>
  <c r="F916" i="14"/>
  <c r="D916" i="14"/>
  <c r="B917" i="14"/>
  <c r="C916" i="14"/>
  <c r="L903" i="1" l="1"/>
  <c r="M903" i="1" s="1"/>
  <c r="J903" i="1"/>
  <c r="I903" i="1"/>
  <c r="K903" i="1" s="1"/>
  <c r="H904" i="1" s="1"/>
  <c r="J917" i="14"/>
  <c r="I917" i="14"/>
  <c r="F917" i="14"/>
  <c r="H917" i="14"/>
  <c r="G917" i="14"/>
  <c r="D917" i="14"/>
  <c r="E917" i="14"/>
  <c r="C917" i="14"/>
  <c r="B918" i="14"/>
  <c r="L904" i="1" l="1"/>
  <c r="M904" i="1" s="1"/>
  <c r="J904" i="1"/>
  <c r="I904" i="1"/>
  <c r="K904" i="1" s="1"/>
  <c r="H905" i="1" s="1"/>
  <c r="J918" i="14"/>
  <c r="I918" i="14"/>
  <c r="G918" i="14"/>
  <c r="H918" i="14"/>
  <c r="F918" i="14"/>
  <c r="E918" i="14"/>
  <c r="D918" i="14"/>
  <c r="B919" i="14"/>
  <c r="C918" i="14"/>
  <c r="L905" i="1" l="1"/>
  <c r="M905" i="1" s="1"/>
  <c r="J905" i="1"/>
  <c r="I905" i="1"/>
  <c r="K905" i="1" s="1"/>
  <c r="H906" i="1" s="1"/>
  <c r="J919" i="14"/>
  <c r="I919" i="14"/>
  <c r="H919" i="14"/>
  <c r="G919" i="14"/>
  <c r="F919" i="14"/>
  <c r="E919" i="14"/>
  <c r="D919" i="14"/>
  <c r="B920" i="14"/>
  <c r="C919" i="14"/>
  <c r="L906" i="1" l="1"/>
  <c r="M906" i="1" s="1"/>
  <c r="I906" i="1"/>
  <c r="K906" i="1" s="1"/>
  <c r="H907" i="1" s="1"/>
  <c r="J906" i="1"/>
  <c r="J920" i="14"/>
  <c r="H920" i="14"/>
  <c r="I920" i="14"/>
  <c r="G920" i="14"/>
  <c r="E920" i="14"/>
  <c r="F920" i="14"/>
  <c r="D920" i="14"/>
  <c r="B921" i="14"/>
  <c r="C920" i="14"/>
  <c r="L907" i="1" l="1"/>
  <c r="M907" i="1" s="1"/>
  <c r="J907" i="1"/>
  <c r="I907" i="1"/>
  <c r="K907" i="1" s="1"/>
  <c r="H908" i="1" s="1"/>
  <c r="J921" i="14"/>
  <c r="I921" i="14"/>
  <c r="H921" i="14"/>
  <c r="G921" i="14"/>
  <c r="F921" i="14"/>
  <c r="E921" i="14"/>
  <c r="D921" i="14"/>
  <c r="B922" i="14"/>
  <c r="C921" i="14"/>
  <c r="J908" i="1" l="1"/>
  <c r="L908" i="1"/>
  <c r="M908" i="1" s="1"/>
  <c r="I908" i="1"/>
  <c r="K908" i="1" s="1"/>
  <c r="H909" i="1" s="1"/>
  <c r="J922" i="14"/>
  <c r="I922" i="14"/>
  <c r="G922" i="14"/>
  <c r="H922" i="14"/>
  <c r="E922" i="14"/>
  <c r="F922" i="14"/>
  <c r="D922" i="14"/>
  <c r="B923" i="14"/>
  <c r="C922" i="14"/>
  <c r="L909" i="1" l="1"/>
  <c r="M909" i="1" s="1"/>
  <c r="J909" i="1"/>
  <c r="I909" i="1"/>
  <c r="K909" i="1" s="1"/>
  <c r="H910" i="1" s="1"/>
  <c r="J923" i="14"/>
  <c r="I923" i="14"/>
  <c r="F923" i="14"/>
  <c r="H923" i="14"/>
  <c r="G923" i="14"/>
  <c r="D923" i="14"/>
  <c r="E923" i="14"/>
  <c r="B924" i="14"/>
  <c r="C923" i="14"/>
  <c r="L910" i="1" l="1"/>
  <c r="M910" i="1" s="1"/>
  <c r="J910" i="1"/>
  <c r="I910" i="1"/>
  <c r="K910" i="1" s="1"/>
  <c r="H911" i="1" s="1"/>
  <c r="J924" i="14"/>
  <c r="I924" i="14"/>
  <c r="H924" i="14"/>
  <c r="F924" i="14"/>
  <c r="G924" i="14"/>
  <c r="E924" i="14"/>
  <c r="D924" i="14"/>
  <c r="B925" i="14"/>
  <c r="C924" i="14"/>
  <c r="L911" i="1" l="1"/>
  <c r="M911" i="1" s="1"/>
  <c r="J911" i="1"/>
  <c r="I911" i="1"/>
  <c r="K911" i="1" s="1"/>
  <c r="H912" i="1" s="1"/>
  <c r="J925" i="14"/>
  <c r="I925" i="14"/>
  <c r="H925" i="14"/>
  <c r="G925" i="14"/>
  <c r="F925" i="14"/>
  <c r="E925" i="14"/>
  <c r="D925" i="14"/>
  <c r="B926" i="14"/>
  <c r="C925" i="14"/>
  <c r="L912" i="1" l="1"/>
  <c r="M912" i="1" s="1"/>
  <c r="J912" i="1"/>
  <c r="I912" i="1"/>
  <c r="K912" i="1" s="1"/>
  <c r="H913" i="1" s="1"/>
  <c r="J926" i="14"/>
  <c r="H926" i="14"/>
  <c r="I926" i="14"/>
  <c r="G926" i="14"/>
  <c r="F926" i="14"/>
  <c r="E926" i="14"/>
  <c r="D926" i="14"/>
  <c r="B927" i="14"/>
  <c r="C926" i="14"/>
  <c r="I913" i="1" l="1"/>
  <c r="K913" i="1" s="1"/>
  <c r="H914" i="1" s="1"/>
  <c r="L913" i="1"/>
  <c r="M913" i="1" s="1"/>
  <c r="J913" i="1"/>
  <c r="J927" i="14"/>
  <c r="I927" i="14"/>
  <c r="H927" i="14"/>
  <c r="F927" i="14"/>
  <c r="G927" i="14"/>
  <c r="E927" i="14"/>
  <c r="D927" i="14"/>
  <c r="B928" i="14"/>
  <c r="C927" i="14"/>
  <c r="L914" i="1" l="1"/>
  <c r="M914" i="1" s="1"/>
  <c r="J914" i="1"/>
  <c r="I914" i="1"/>
  <c r="K914" i="1" s="1"/>
  <c r="H915" i="1" s="1"/>
  <c r="J928" i="14"/>
  <c r="I928" i="14"/>
  <c r="G928" i="14"/>
  <c r="H928" i="14"/>
  <c r="F928" i="14"/>
  <c r="E928" i="14"/>
  <c r="D928" i="14"/>
  <c r="B929" i="14"/>
  <c r="C928" i="14"/>
  <c r="L915" i="1" l="1"/>
  <c r="M915" i="1" s="1"/>
  <c r="J915" i="1"/>
  <c r="I915" i="1"/>
  <c r="K915" i="1" s="1"/>
  <c r="H916" i="1" s="1"/>
  <c r="J929" i="14"/>
  <c r="I929" i="14"/>
  <c r="H929" i="14"/>
  <c r="G929" i="14"/>
  <c r="F929" i="14"/>
  <c r="E929" i="14"/>
  <c r="D929" i="14"/>
  <c r="B930" i="14"/>
  <c r="C929" i="14"/>
  <c r="L916" i="1" l="1"/>
  <c r="M916" i="1" s="1"/>
  <c r="J916" i="1"/>
  <c r="I916" i="1"/>
  <c r="K916" i="1" s="1"/>
  <c r="H917" i="1" s="1"/>
  <c r="I930" i="14"/>
  <c r="J930" i="14"/>
  <c r="H930" i="14"/>
  <c r="G930" i="14"/>
  <c r="E930" i="14"/>
  <c r="F930" i="14"/>
  <c r="D930" i="14"/>
  <c r="C930" i="14"/>
  <c r="B931" i="14"/>
  <c r="L917" i="1" l="1"/>
  <c r="M917" i="1" s="1"/>
  <c r="J917" i="1"/>
  <c r="I917" i="1"/>
  <c r="K917" i="1" s="1"/>
  <c r="H918" i="1" s="1"/>
  <c r="J931" i="14"/>
  <c r="I931" i="14"/>
  <c r="H931" i="14"/>
  <c r="G931" i="14"/>
  <c r="F931" i="14"/>
  <c r="E931" i="14"/>
  <c r="D931" i="14"/>
  <c r="B932" i="14"/>
  <c r="C931" i="14"/>
  <c r="I918" i="1" l="1"/>
  <c r="K918" i="1" s="1"/>
  <c r="H919" i="1" s="1"/>
  <c r="L918" i="1"/>
  <c r="M918" i="1" s="1"/>
  <c r="J918" i="1"/>
  <c r="J932" i="14"/>
  <c r="H932" i="14"/>
  <c r="I932" i="14"/>
  <c r="F932" i="14"/>
  <c r="G932" i="14"/>
  <c r="E932" i="14"/>
  <c r="D932" i="14"/>
  <c r="C932" i="14"/>
  <c r="B933" i="14"/>
  <c r="I919" i="1" l="1"/>
  <c r="K919" i="1" s="1"/>
  <c r="H920" i="1" s="1"/>
  <c r="L919" i="1"/>
  <c r="M919" i="1" s="1"/>
  <c r="J919" i="1"/>
  <c r="J933" i="14"/>
  <c r="I933" i="14"/>
  <c r="H933" i="14"/>
  <c r="G933" i="14"/>
  <c r="F933" i="14"/>
  <c r="E933" i="14"/>
  <c r="D933" i="14"/>
  <c r="B934" i="14"/>
  <c r="C933" i="14"/>
  <c r="L920" i="1" l="1"/>
  <c r="M920" i="1" s="1"/>
  <c r="J920" i="1"/>
  <c r="I920" i="1"/>
  <c r="K920" i="1" s="1"/>
  <c r="H921" i="1" s="1"/>
  <c r="J934" i="14"/>
  <c r="I934" i="14"/>
  <c r="G934" i="14"/>
  <c r="H934" i="14"/>
  <c r="E934" i="14"/>
  <c r="F934" i="14"/>
  <c r="D934" i="14"/>
  <c r="B935" i="14"/>
  <c r="C934" i="14"/>
  <c r="L921" i="1" l="1"/>
  <c r="M921" i="1" s="1"/>
  <c r="J921" i="1"/>
  <c r="I921" i="1"/>
  <c r="K921" i="1" s="1"/>
  <c r="H922" i="1" s="1"/>
  <c r="J935" i="14"/>
  <c r="I935" i="14"/>
  <c r="H935" i="14"/>
  <c r="F935" i="14"/>
  <c r="G935" i="14"/>
  <c r="D935" i="14"/>
  <c r="E935" i="14"/>
  <c r="B936" i="14"/>
  <c r="C935" i="14"/>
  <c r="L922" i="1" l="1"/>
  <c r="M922" i="1" s="1"/>
  <c r="J922" i="1"/>
  <c r="I922" i="1"/>
  <c r="K922" i="1" s="1"/>
  <c r="H923" i="1" s="1"/>
  <c r="J936" i="14"/>
  <c r="I936" i="14"/>
  <c r="H936" i="14"/>
  <c r="G936" i="14"/>
  <c r="F936" i="14"/>
  <c r="E936" i="14"/>
  <c r="D936" i="14"/>
  <c r="B937" i="14"/>
  <c r="C936" i="14"/>
  <c r="J923" i="1" l="1"/>
  <c r="L923" i="1"/>
  <c r="M923" i="1" s="1"/>
  <c r="I923" i="1"/>
  <c r="K923" i="1" s="1"/>
  <c r="H924" i="1" s="1"/>
  <c r="I937" i="14"/>
  <c r="J937" i="14"/>
  <c r="H937" i="14"/>
  <c r="G937" i="14"/>
  <c r="F937" i="14"/>
  <c r="E937" i="14"/>
  <c r="D937" i="14"/>
  <c r="B938" i="14"/>
  <c r="C937" i="14"/>
  <c r="L924" i="1" l="1"/>
  <c r="M924" i="1" s="1"/>
  <c r="J924" i="1"/>
  <c r="I924" i="1"/>
  <c r="K924" i="1" s="1"/>
  <c r="H925" i="1" s="1"/>
  <c r="J938" i="14"/>
  <c r="H938" i="14"/>
  <c r="I938" i="14"/>
  <c r="G938" i="14"/>
  <c r="E938" i="14"/>
  <c r="F938" i="14"/>
  <c r="D938" i="14"/>
  <c r="C938" i="14"/>
  <c r="B939" i="14"/>
  <c r="L925" i="1" l="1"/>
  <c r="M925" i="1" s="1"/>
  <c r="J925" i="1"/>
  <c r="I925" i="1"/>
  <c r="K925" i="1" s="1"/>
  <c r="H926" i="1" s="1"/>
  <c r="J939" i="14"/>
  <c r="I939" i="14"/>
  <c r="H939" i="14"/>
  <c r="G939" i="14"/>
  <c r="F939" i="14"/>
  <c r="E939" i="14"/>
  <c r="D939" i="14"/>
  <c r="B940" i="14"/>
  <c r="C939" i="14"/>
  <c r="L926" i="1" l="1"/>
  <c r="M926" i="1" s="1"/>
  <c r="J926" i="1"/>
  <c r="I926" i="1"/>
  <c r="K926" i="1" s="1"/>
  <c r="H927" i="1" s="1"/>
  <c r="J940" i="14"/>
  <c r="I940" i="14"/>
  <c r="G940" i="14"/>
  <c r="H940" i="14"/>
  <c r="E940" i="14"/>
  <c r="F940" i="14"/>
  <c r="D940" i="14"/>
  <c r="B941" i="14"/>
  <c r="C940" i="14"/>
  <c r="L927" i="1" l="1"/>
  <c r="M927" i="1" s="1"/>
  <c r="J927" i="1"/>
  <c r="I927" i="1"/>
  <c r="K927" i="1" s="1"/>
  <c r="H928" i="1" s="1"/>
  <c r="J941" i="14"/>
  <c r="I941" i="14"/>
  <c r="F941" i="14"/>
  <c r="H941" i="14"/>
  <c r="G941" i="14"/>
  <c r="D941" i="14"/>
  <c r="E941" i="14"/>
  <c r="B942" i="14"/>
  <c r="C941" i="14"/>
  <c r="L928" i="1" l="1"/>
  <c r="M928" i="1" s="1"/>
  <c r="J928" i="1"/>
  <c r="I928" i="1"/>
  <c r="K928" i="1" s="1"/>
  <c r="H929" i="1" s="1"/>
  <c r="J942" i="14"/>
  <c r="I942" i="14"/>
  <c r="H942" i="14"/>
  <c r="G942" i="14"/>
  <c r="F942" i="14"/>
  <c r="E942" i="14"/>
  <c r="D942" i="14"/>
  <c r="B943" i="14"/>
  <c r="C942" i="14"/>
  <c r="L929" i="1" l="1"/>
  <c r="M929" i="1" s="1"/>
  <c r="J929" i="1"/>
  <c r="I929" i="1"/>
  <c r="K929" i="1" s="1"/>
  <c r="H930" i="1" s="1"/>
  <c r="J943" i="14"/>
  <c r="I943" i="14"/>
  <c r="H943" i="14"/>
  <c r="G943" i="14"/>
  <c r="F943" i="14"/>
  <c r="E943" i="14"/>
  <c r="D943" i="14"/>
  <c r="B944" i="14"/>
  <c r="C943" i="14"/>
  <c r="L930" i="1" l="1"/>
  <c r="M930" i="1" s="1"/>
  <c r="J930" i="1"/>
  <c r="I930" i="1"/>
  <c r="K930" i="1" s="1"/>
  <c r="H931" i="1" s="1"/>
  <c r="J944" i="14"/>
  <c r="I944" i="14"/>
  <c r="H944" i="14"/>
  <c r="G944" i="14"/>
  <c r="F944" i="14"/>
  <c r="E944" i="14"/>
  <c r="D944" i="14"/>
  <c r="B945" i="14"/>
  <c r="C944" i="14"/>
  <c r="L931" i="1" l="1"/>
  <c r="M931" i="1" s="1"/>
  <c r="J931" i="1"/>
  <c r="I931" i="1"/>
  <c r="K931" i="1" s="1"/>
  <c r="H932" i="1" s="1"/>
  <c r="J945" i="14"/>
  <c r="I945" i="14"/>
  <c r="H945" i="14"/>
  <c r="G945" i="14"/>
  <c r="F945" i="14"/>
  <c r="E945" i="14"/>
  <c r="D945" i="14"/>
  <c r="C945" i="14"/>
  <c r="B946" i="14"/>
  <c r="L932" i="1" l="1"/>
  <c r="M932" i="1" s="1"/>
  <c r="J932" i="1"/>
  <c r="I932" i="1"/>
  <c r="K932" i="1" s="1"/>
  <c r="H933" i="1" s="1"/>
  <c r="J946" i="14"/>
  <c r="I946" i="14"/>
  <c r="G946" i="14"/>
  <c r="H946" i="14"/>
  <c r="E946" i="14"/>
  <c r="F946" i="14"/>
  <c r="D946" i="14"/>
  <c r="C946" i="14"/>
  <c r="B947" i="14"/>
  <c r="L933" i="1" l="1"/>
  <c r="M933" i="1" s="1"/>
  <c r="J933" i="1"/>
  <c r="I933" i="1"/>
  <c r="K933" i="1" s="1"/>
  <c r="H934" i="1" s="1"/>
  <c r="J947" i="14"/>
  <c r="I947" i="14"/>
  <c r="F947" i="14"/>
  <c r="H947" i="14"/>
  <c r="G947" i="14"/>
  <c r="D947" i="14"/>
  <c r="E947" i="14"/>
  <c r="B948" i="14"/>
  <c r="C947" i="14"/>
  <c r="L934" i="1" l="1"/>
  <c r="M934" i="1" s="1"/>
  <c r="J934" i="1"/>
  <c r="I934" i="1"/>
  <c r="K934" i="1" s="1"/>
  <c r="H935" i="1" s="1"/>
  <c r="J948" i="14"/>
  <c r="I948" i="14"/>
  <c r="H948" i="14"/>
  <c r="G948" i="14"/>
  <c r="F948" i="14"/>
  <c r="E948" i="14"/>
  <c r="D948" i="14"/>
  <c r="B949" i="14"/>
  <c r="C948" i="14"/>
  <c r="J935" i="1" l="1"/>
  <c r="L935" i="1"/>
  <c r="M935" i="1" s="1"/>
  <c r="I935" i="1"/>
  <c r="K935" i="1" s="1"/>
  <c r="H936" i="1" s="1"/>
  <c r="J949" i="14"/>
  <c r="I949" i="14"/>
  <c r="H949" i="14"/>
  <c r="F949" i="14"/>
  <c r="G949" i="14"/>
  <c r="D949" i="14"/>
  <c r="E949" i="14"/>
  <c r="B950" i="14"/>
  <c r="C949" i="14"/>
  <c r="L936" i="1" l="1"/>
  <c r="M936" i="1" s="1"/>
  <c r="J936" i="1"/>
  <c r="I936" i="1"/>
  <c r="K936" i="1" s="1"/>
  <c r="H937" i="1" s="1"/>
  <c r="J950" i="14"/>
  <c r="I950" i="14"/>
  <c r="H950" i="14"/>
  <c r="G950" i="14"/>
  <c r="F950" i="14"/>
  <c r="E950" i="14"/>
  <c r="D950" i="14"/>
  <c r="C950" i="14"/>
  <c r="B951" i="14"/>
  <c r="L937" i="1" l="1"/>
  <c r="M937" i="1" s="1"/>
  <c r="J937" i="1"/>
  <c r="I937" i="1"/>
  <c r="K937" i="1" s="1"/>
  <c r="H938" i="1" s="1"/>
  <c r="I951" i="14"/>
  <c r="J951" i="14"/>
  <c r="H951" i="14"/>
  <c r="G951" i="14"/>
  <c r="F951" i="14"/>
  <c r="E951" i="14"/>
  <c r="D951" i="14"/>
  <c r="B952" i="14"/>
  <c r="C951" i="14"/>
  <c r="L938" i="1" l="1"/>
  <c r="M938" i="1" s="1"/>
  <c r="J938" i="1"/>
  <c r="I938" i="1"/>
  <c r="K938" i="1" s="1"/>
  <c r="H939" i="1" s="1"/>
  <c r="J952" i="14"/>
  <c r="I952" i="14"/>
  <c r="G952" i="14"/>
  <c r="H952" i="14"/>
  <c r="E952" i="14"/>
  <c r="F952" i="14"/>
  <c r="D952" i="14"/>
  <c r="B953" i="14"/>
  <c r="C952" i="14"/>
  <c r="L939" i="1" l="1"/>
  <c r="M939" i="1" s="1"/>
  <c r="J939" i="1"/>
  <c r="I939" i="1"/>
  <c r="K939" i="1" s="1"/>
  <c r="H940" i="1" s="1"/>
  <c r="J953" i="14"/>
  <c r="I953" i="14"/>
  <c r="F953" i="14"/>
  <c r="G953" i="14"/>
  <c r="H953" i="14"/>
  <c r="D953" i="14"/>
  <c r="E953" i="14"/>
  <c r="B954" i="14"/>
  <c r="C953" i="14"/>
  <c r="L940" i="1" l="1"/>
  <c r="M940" i="1" s="1"/>
  <c r="J940" i="1"/>
  <c r="I940" i="1"/>
  <c r="K940" i="1" s="1"/>
  <c r="H941" i="1" s="1"/>
  <c r="J954" i="14"/>
  <c r="I954" i="14"/>
  <c r="H954" i="14"/>
  <c r="F954" i="14"/>
  <c r="G954" i="14"/>
  <c r="E954" i="14"/>
  <c r="D954" i="14"/>
  <c r="B955" i="14"/>
  <c r="C954" i="14"/>
  <c r="L941" i="1" l="1"/>
  <c r="M941" i="1" s="1"/>
  <c r="J941" i="1"/>
  <c r="I941" i="1"/>
  <c r="K941" i="1" s="1"/>
  <c r="H942" i="1" s="1"/>
  <c r="J955" i="14"/>
  <c r="I955" i="14"/>
  <c r="H955" i="14"/>
  <c r="G955" i="14"/>
  <c r="E955" i="14"/>
  <c r="F955" i="14"/>
  <c r="D955" i="14"/>
  <c r="B956" i="14"/>
  <c r="C955" i="14"/>
  <c r="L942" i="1" l="1"/>
  <c r="M942" i="1" s="1"/>
  <c r="J942" i="1"/>
  <c r="I942" i="1"/>
  <c r="K942" i="1" s="1"/>
  <c r="H943" i="1" s="1"/>
  <c r="J956" i="14"/>
  <c r="H956" i="14"/>
  <c r="I956" i="14"/>
  <c r="G956" i="14"/>
  <c r="F956" i="14"/>
  <c r="E956" i="14"/>
  <c r="D956" i="14"/>
  <c r="B957" i="14"/>
  <c r="C956" i="14"/>
  <c r="L943" i="1" l="1"/>
  <c r="M943" i="1" s="1"/>
  <c r="J943" i="1"/>
  <c r="I943" i="1"/>
  <c r="K943" i="1" s="1"/>
  <c r="H944" i="1" s="1"/>
  <c r="J957" i="14"/>
  <c r="I957" i="14"/>
  <c r="H957" i="14"/>
  <c r="G957" i="14"/>
  <c r="F957" i="14"/>
  <c r="E957" i="14"/>
  <c r="D957" i="14"/>
  <c r="B958" i="14"/>
  <c r="C957" i="14"/>
  <c r="L944" i="1" l="1"/>
  <c r="M944" i="1" s="1"/>
  <c r="J944" i="1"/>
  <c r="I944" i="1"/>
  <c r="K944" i="1" s="1"/>
  <c r="H945" i="1" s="1"/>
  <c r="J958" i="14"/>
  <c r="I958" i="14"/>
  <c r="G958" i="14"/>
  <c r="H958" i="14"/>
  <c r="E958" i="14"/>
  <c r="F958" i="14"/>
  <c r="D958" i="14"/>
  <c r="B959" i="14"/>
  <c r="C958" i="14"/>
  <c r="L945" i="1" l="1"/>
  <c r="M945" i="1" s="1"/>
  <c r="J945" i="1"/>
  <c r="I945" i="1"/>
  <c r="K945" i="1" s="1"/>
  <c r="H946" i="1" s="1"/>
  <c r="J959" i="14"/>
  <c r="I959" i="14"/>
  <c r="F959" i="14"/>
  <c r="H959" i="14"/>
  <c r="G959" i="14"/>
  <c r="D959" i="14"/>
  <c r="E959" i="14"/>
  <c r="C959" i="14"/>
  <c r="B960" i="14"/>
  <c r="L946" i="1" l="1"/>
  <c r="M946" i="1" s="1"/>
  <c r="J946" i="1"/>
  <c r="I946" i="1"/>
  <c r="K946" i="1" s="1"/>
  <c r="H947" i="1" s="1"/>
  <c r="J960" i="14"/>
  <c r="I960" i="14"/>
  <c r="H960" i="14"/>
  <c r="G960" i="14"/>
  <c r="F960" i="14"/>
  <c r="E960" i="14"/>
  <c r="D960" i="14"/>
  <c r="B961" i="14"/>
  <c r="C960" i="14"/>
  <c r="L947" i="1" l="1"/>
  <c r="M947" i="1" s="1"/>
  <c r="J947" i="1"/>
  <c r="I947" i="1"/>
  <c r="K947" i="1" s="1"/>
  <c r="H948" i="1" s="1"/>
  <c r="J961" i="14"/>
  <c r="I961" i="14"/>
  <c r="G961" i="14"/>
  <c r="H961" i="14"/>
  <c r="F961" i="14"/>
  <c r="E961" i="14"/>
  <c r="D961" i="14"/>
  <c r="B962" i="14"/>
  <c r="C961" i="14"/>
  <c r="L948" i="1" l="1"/>
  <c r="M948" i="1" s="1"/>
  <c r="J948" i="1"/>
  <c r="I948" i="1"/>
  <c r="K948" i="1" s="1"/>
  <c r="H949" i="1" s="1"/>
  <c r="J962" i="14"/>
  <c r="H962" i="14"/>
  <c r="I962" i="14"/>
  <c r="G962" i="14"/>
  <c r="F962" i="14"/>
  <c r="E962" i="14"/>
  <c r="D962" i="14"/>
  <c r="B963" i="14"/>
  <c r="C962" i="14"/>
  <c r="L949" i="1" l="1"/>
  <c r="M949" i="1" s="1"/>
  <c r="J949" i="1"/>
  <c r="I949" i="1"/>
  <c r="K949" i="1" s="1"/>
  <c r="H950" i="1" s="1"/>
  <c r="J963" i="14"/>
  <c r="I963" i="14"/>
  <c r="H963" i="14"/>
  <c r="G963" i="14"/>
  <c r="E963" i="14"/>
  <c r="D963" i="14"/>
  <c r="F963" i="14"/>
  <c r="B964" i="14"/>
  <c r="C963" i="14"/>
  <c r="L950" i="1" l="1"/>
  <c r="M950" i="1" s="1"/>
  <c r="J950" i="1"/>
  <c r="I950" i="1"/>
  <c r="K950" i="1" s="1"/>
  <c r="H951" i="1" s="1"/>
  <c r="J964" i="14"/>
  <c r="I964" i="14"/>
  <c r="G964" i="14"/>
  <c r="H964" i="14"/>
  <c r="F964" i="14"/>
  <c r="E964" i="14"/>
  <c r="D964" i="14"/>
  <c r="B965" i="14"/>
  <c r="C964" i="14"/>
  <c r="L951" i="1" l="1"/>
  <c r="M951" i="1" s="1"/>
  <c r="J951" i="1"/>
  <c r="I951" i="1"/>
  <c r="K951" i="1" s="1"/>
  <c r="H952" i="1" s="1"/>
  <c r="J965" i="14"/>
  <c r="I965" i="14"/>
  <c r="H965" i="14"/>
  <c r="G965" i="14"/>
  <c r="F965" i="14"/>
  <c r="E965" i="14"/>
  <c r="D965" i="14"/>
  <c r="B966" i="14"/>
  <c r="C965" i="14"/>
  <c r="L952" i="1" l="1"/>
  <c r="M952" i="1" s="1"/>
  <c r="J952" i="1"/>
  <c r="I952" i="1"/>
  <c r="K952" i="1" s="1"/>
  <c r="H953" i="1" s="1"/>
  <c r="J966" i="14"/>
  <c r="I966" i="14"/>
  <c r="H966" i="14"/>
  <c r="G966" i="14"/>
  <c r="F966" i="14"/>
  <c r="E966" i="14"/>
  <c r="D966" i="14"/>
  <c r="C966" i="14"/>
  <c r="B967" i="14"/>
  <c r="L953" i="1" l="1"/>
  <c r="M953" i="1" s="1"/>
  <c r="J953" i="1"/>
  <c r="I953" i="1"/>
  <c r="K953" i="1" s="1"/>
  <c r="H954" i="1" s="1"/>
  <c r="J967" i="14"/>
  <c r="I967" i="14"/>
  <c r="H967" i="14"/>
  <c r="G967" i="14"/>
  <c r="F967" i="14"/>
  <c r="E967" i="14"/>
  <c r="D967" i="14"/>
  <c r="B968" i="14"/>
  <c r="C967" i="14"/>
  <c r="L954" i="1" l="1"/>
  <c r="M954" i="1" s="1"/>
  <c r="J954" i="1"/>
  <c r="I954" i="1"/>
  <c r="K954" i="1" s="1"/>
  <c r="H955" i="1" s="1"/>
  <c r="J968" i="14"/>
  <c r="H968" i="14"/>
  <c r="I968" i="14"/>
  <c r="G968" i="14"/>
  <c r="F968" i="14"/>
  <c r="E968" i="14"/>
  <c r="D968" i="14"/>
  <c r="C968" i="14"/>
  <c r="B969" i="14"/>
  <c r="L955" i="1" l="1"/>
  <c r="M955" i="1" s="1"/>
  <c r="I955" i="1"/>
  <c r="K955" i="1" s="1"/>
  <c r="H956" i="1" s="1"/>
  <c r="J955" i="1"/>
  <c r="J969" i="14"/>
  <c r="I969" i="14"/>
  <c r="G969" i="14"/>
  <c r="H969" i="14"/>
  <c r="F969" i="14"/>
  <c r="E969" i="14"/>
  <c r="D969" i="14"/>
  <c r="B970" i="14"/>
  <c r="C969" i="14"/>
  <c r="L956" i="1" l="1"/>
  <c r="M956" i="1" s="1"/>
  <c r="J956" i="1"/>
  <c r="I956" i="1"/>
  <c r="K956" i="1" s="1"/>
  <c r="H957" i="1" s="1"/>
  <c r="J970" i="14"/>
  <c r="I970" i="14"/>
  <c r="G970" i="14"/>
  <c r="H970" i="14"/>
  <c r="E970" i="14"/>
  <c r="F970" i="14"/>
  <c r="D970" i="14"/>
  <c r="B971" i="14"/>
  <c r="C970" i="14"/>
  <c r="L957" i="1" l="1"/>
  <c r="M957" i="1" s="1"/>
  <c r="J957" i="1"/>
  <c r="I957" i="1"/>
  <c r="K957" i="1" s="1"/>
  <c r="H958" i="1" s="1"/>
  <c r="J971" i="14"/>
  <c r="I971" i="14"/>
  <c r="H971" i="14"/>
  <c r="F971" i="14"/>
  <c r="G971" i="14"/>
  <c r="D971" i="14"/>
  <c r="E971" i="14"/>
  <c r="B972" i="14"/>
  <c r="C971" i="14"/>
  <c r="L958" i="1" l="1"/>
  <c r="M958" i="1" s="1"/>
  <c r="J958" i="1"/>
  <c r="I958" i="1"/>
  <c r="K958" i="1" s="1"/>
  <c r="H959" i="1" s="1"/>
  <c r="J972" i="14"/>
  <c r="I972" i="14"/>
  <c r="H972" i="14"/>
  <c r="G972" i="14"/>
  <c r="F972" i="14"/>
  <c r="E972" i="14"/>
  <c r="D972" i="14"/>
  <c r="B973" i="14"/>
  <c r="C972" i="14"/>
  <c r="L959" i="1" l="1"/>
  <c r="M959" i="1" s="1"/>
  <c r="I959" i="1"/>
  <c r="K959" i="1" s="1"/>
  <c r="H960" i="1" s="1"/>
  <c r="J959" i="1"/>
  <c r="I973" i="14"/>
  <c r="J973" i="14"/>
  <c r="H973" i="14"/>
  <c r="G973" i="14"/>
  <c r="E973" i="14"/>
  <c r="F973" i="14"/>
  <c r="D973" i="14"/>
  <c r="B974" i="14"/>
  <c r="C973" i="14"/>
  <c r="L960" i="1" l="1"/>
  <c r="M960" i="1" s="1"/>
  <c r="J960" i="1"/>
  <c r="I960" i="1"/>
  <c r="K960" i="1" s="1"/>
  <c r="H961" i="1" s="1"/>
  <c r="J974" i="14"/>
  <c r="H974" i="14"/>
  <c r="I974" i="14"/>
  <c r="G974" i="14"/>
  <c r="F974" i="14"/>
  <c r="E974" i="14"/>
  <c r="D974" i="14"/>
  <c r="C974" i="14"/>
  <c r="B975" i="14"/>
  <c r="L961" i="1" l="1"/>
  <c r="M961" i="1" s="1"/>
  <c r="J961" i="1"/>
  <c r="I961" i="1"/>
  <c r="K961" i="1" s="1"/>
  <c r="H962" i="1" s="1"/>
  <c r="J975" i="14"/>
  <c r="I975" i="14"/>
  <c r="H975" i="14"/>
  <c r="F975" i="14"/>
  <c r="G975" i="14"/>
  <c r="E975" i="14"/>
  <c r="D975" i="14"/>
  <c r="B976" i="14"/>
  <c r="C975" i="14"/>
  <c r="L962" i="1" l="1"/>
  <c r="M962" i="1" s="1"/>
  <c r="J962" i="1"/>
  <c r="I962" i="1"/>
  <c r="K962" i="1" s="1"/>
  <c r="H963" i="1" s="1"/>
  <c r="J976" i="14"/>
  <c r="I976" i="14"/>
  <c r="G976" i="14"/>
  <c r="H976" i="14"/>
  <c r="E976" i="14"/>
  <c r="F976" i="14"/>
  <c r="D976" i="14"/>
  <c r="B977" i="14"/>
  <c r="C976" i="14"/>
  <c r="L963" i="1" l="1"/>
  <c r="M963" i="1" s="1"/>
  <c r="J963" i="1"/>
  <c r="I963" i="1"/>
  <c r="K963" i="1" s="1"/>
  <c r="H964" i="1" s="1"/>
  <c r="J977" i="14"/>
  <c r="I977" i="14"/>
  <c r="F977" i="14"/>
  <c r="H977" i="14"/>
  <c r="G977" i="14"/>
  <c r="D977" i="14"/>
  <c r="E977" i="14"/>
  <c r="B978" i="14"/>
  <c r="C977" i="14"/>
  <c r="J964" i="1" l="1"/>
  <c r="L964" i="1"/>
  <c r="M964" i="1" s="1"/>
  <c r="I964" i="1"/>
  <c r="K964" i="1" s="1"/>
  <c r="H965" i="1" s="1"/>
  <c r="J978" i="14"/>
  <c r="I978" i="14"/>
  <c r="H978" i="14"/>
  <c r="G978" i="14"/>
  <c r="F978" i="14"/>
  <c r="D978" i="14"/>
  <c r="E978" i="14"/>
  <c r="B979" i="14"/>
  <c r="C978" i="14"/>
  <c r="L965" i="1" l="1"/>
  <c r="M965" i="1" s="1"/>
  <c r="J965" i="1"/>
  <c r="I965" i="1"/>
  <c r="K965" i="1" s="1"/>
  <c r="H966" i="1" s="1"/>
  <c r="J979" i="14"/>
  <c r="I979" i="14"/>
  <c r="H979" i="14"/>
  <c r="G979" i="14"/>
  <c r="F979" i="14"/>
  <c r="E979" i="14"/>
  <c r="D979" i="14"/>
  <c r="B980" i="14"/>
  <c r="C979" i="14"/>
  <c r="L966" i="1" l="1"/>
  <c r="M966" i="1" s="1"/>
  <c r="J966" i="1"/>
  <c r="I966" i="1"/>
  <c r="K966" i="1" s="1"/>
  <c r="H967" i="1" s="1"/>
  <c r="J980" i="14"/>
  <c r="I980" i="14"/>
  <c r="H980" i="14"/>
  <c r="F980" i="14"/>
  <c r="G980" i="14"/>
  <c r="E980" i="14"/>
  <c r="D980" i="14"/>
  <c r="B981" i="14"/>
  <c r="C980" i="14"/>
  <c r="L967" i="1" l="1"/>
  <c r="M967" i="1" s="1"/>
  <c r="J967" i="1"/>
  <c r="I967" i="1"/>
  <c r="K967" i="1" s="1"/>
  <c r="H968" i="1" s="1"/>
  <c r="J981" i="14"/>
  <c r="I981" i="14"/>
  <c r="H981" i="14"/>
  <c r="G981" i="14"/>
  <c r="E981" i="14"/>
  <c r="F981" i="14"/>
  <c r="D981" i="14"/>
  <c r="B982" i="14"/>
  <c r="C981" i="14"/>
  <c r="L968" i="1" l="1"/>
  <c r="M968" i="1" s="1"/>
  <c r="J968" i="1"/>
  <c r="I968" i="1"/>
  <c r="K968" i="1" s="1"/>
  <c r="H969" i="1" s="1"/>
  <c r="J982" i="14"/>
  <c r="I982" i="14"/>
  <c r="G982" i="14"/>
  <c r="H982" i="14"/>
  <c r="E982" i="14"/>
  <c r="F982" i="14"/>
  <c r="D982" i="14"/>
  <c r="B983" i="14"/>
  <c r="C982" i="14"/>
  <c r="L969" i="1" l="1"/>
  <c r="M969" i="1" s="1"/>
  <c r="J969" i="1"/>
  <c r="I969" i="1"/>
  <c r="K969" i="1" s="1"/>
  <c r="H970" i="1" s="1"/>
  <c r="J983" i="14"/>
  <c r="I983" i="14"/>
  <c r="F983" i="14"/>
  <c r="H983" i="14"/>
  <c r="G983" i="14"/>
  <c r="D983" i="14"/>
  <c r="E983" i="14"/>
  <c r="B984" i="14"/>
  <c r="C983" i="14"/>
  <c r="L970" i="1" l="1"/>
  <c r="M970" i="1" s="1"/>
  <c r="J970" i="1"/>
  <c r="I970" i="1"/>
  <c r="K970" i="1" s="1"/>
  <c r="H971" i="1" s="1"/>
  <c r="J984" i="14"/>
  <c r="I984" i="14"/>
  <c r="H984" i="14"/>
  <c r="F984" i="14"/>
  <c r="G984" i="14"/>
  <c r="E984" i="14"/>
  <c r="D984" i="14"/>
  <c r="B985" i="14"/>
  <c r="C984" i="14"/>
  <c r="L971" i="1" l="1"/>
  <c r="M971" i="1" s="1"/>
  <c r="J971" i="1"/>
  <c r="I971" i="1"/>
  <c r="K971" i="1" s="1"/>
  <c r="H972" i="1" s="1"/>
  <c r="J985" i="14"/>
  <c r="I985" i="14"/>
  <c r="H985" i="14"/>
  <c r="G985" i="14"/>
  <c r="F985" i="14"/>
  <c r="E985" i="14"/>
  <c r="D985" i="14"/>
  <c r="B986" i="14"/>
  <c r="C985" i="14"/>
  <c r="L972" i="1" l="1"/>
  <c r="M972" i="1" s="1"/>
  <c r="J972" i="1"/>
  <c r="I972" i="1"/>
  <c r="K972" i="1" s="1"/>
  <c r="H973" i="1" s="1"/>
  <c r="J986" i="14"/>
  <c r="I986" i="14"/>
  <c r="H986" i="14"/>
  <c r="G986" i="14"/>
  <c r="F986" i="14"/>
  <c r="E986" i="14"/>
  <c r="D986" i="14"/>
  <c r="C986" i="14"/>
  <c r="B987" i="14"/>
  <c r="L973" i="1" l="1"/>
  <c r="M973" i="1" s="1"/>
  <c r="J973" i="1"/>
  <c r="I973" i="1"/>
  <c r="K973" i="1" s="1"/>
  <c r="H974" i="1" s="1"/>
  <c r="J987" i="14"/>
  <c r="I987" i="14"/>
  <c r="H987" i="14"/>
  <c r="G987" i="14"/>
  <c r="F987" i="14"/>
  <c r="E987" i="14"/>
  <c r="D987" i="14"/>
  <c r="B988" i="14"/>
  <c r="C987" i="14"/>
  <c r="L974" i="1" l="1"/>
  <c r="M974" i="1" s="1"/>
  <c r="I974" i="1"/>
  <c r="K974" i="1" s="1"/>
  <c r="H975" i="1" s="1"/>
  <c r="J974" i="1"/>
  <c r="J988" i="14"/>
  <c r="I988" i="14"/>
  <c r="G988" i="14"/>
  <c r="H988" i="14"/>
  <c r="E988" i="14"/>
  <c r="F988" i="14"/>
  <c r="D988" i="14"/>
  <c r="B989" i="14"/>
  <c r="C988" i="14"/>
  <c r="I975" i="1" l="1"/>
  <c r="K975" i="1" s="1"/>
  <c r="H976" i="1" s="1"/>
  <c r="L975" i="1"/>
  <c r="M975" i="1" s="1"/>
  <c r="J975" i="1"/>
  <c r="J989" i="14"/>
  <c r="I989" i="14"/>
  <c r="F989" i="14"/>
  <c r="H989" i="14"/>
  <c r="G989" i="14"/>
  <c r="D989" i="14"/>
  <c r="E989" i="14"/>
  <c r="C989" i="14"/>
  <c r="B990" i="14"/>
  <c r="L976" i="1" l="1"/>
  <c r="M976" i="1" s="1"/>
  <c r="J976" i="1"/>
  <c r="I976" i="1"/>
  <c r="K976" i="1" s="1"/>
  <c r="H977" i="1" s="1"/>
  <c r="J990" i="14"/>
  <c r="I990" i="14"/>
  <c r="H990" i="14"/>
  <c r="G990" i="14"/>
  <c r="E990" i="14"/>
  <c r="F990" i="14"/>
  <c r="D990" i="14"/>
  <c r="B991" i="14"/>
  <c r="C990" i="14"/>
  <c r="L977" i="1" l="1"/>
  <c r="M977" i="1" s="1"/>
  <c r="J977" i="1"/>
  <c r="I977" i="1"/>
  <c r="K977" i="1" s="1"/>
  <c r="H978" i="1" s="1"/>
  <c r="J991" i="14"/>
  <c r="I991" i="14"/>
  <c r="H991" i="14"/>
  <c r="G991" i="14"/>
  <c r="F991" i="14"/>
  <c r="E991" i="14"/>
  <c r="D991" i="14"/>
  <c r="B992" i="14"/>
  <c r="C991" i="14"/>
  <c r="L978" i="1" l="1"/>
  <c r="M978" i="1" s="1"/>
  <c r="J978" i="1"/>
  <c r="I978" i="1"/>
  <c r="K978" i="1" s="1"/>
  <c r="H979" i="1" s="1"/>
  <c r="J992" i="14"/>
  <c r="H992" i="14"/>
  <c r="I992" i="14"/>
  <c r="G992" i="14"/>
  <c r="F992" i="14"/>
  <c r="E992" i="14"/>
  <c r="D992" i="14"/>
  <c r="B993" i="14"/>
  <c r="C992" i="14"/>
  <c r="L979" i="1" l="1"/>
  <c r="M979" i="1" s="1"/>
  <c r="J979" i="1"/>
  <c r="I979" i="1"/>
  <c r="K979" i="1" s="1"/>
  <c r="H980" i="1" s="1"/>
  <c r="J993" i="14"/>
  <c r="I993" i="14"/>
  <c r="H993" i="14"/>
  <c r="G993" i="14"/>
  <c r="F993" i="14"/>
  <c r="E993" i="14"/>
  <c r="D993" i="14"/>
  <c r="B994" i="14"/>
  <c r="C993" i="14"/>
  <c r="L980" i="1" l="1"/>
  <c r="M980" i="1" s="1"/>
  <c r="J980" i="1"/>
  <c r="I980" i="1"/>
  <c r="K980" i="1" s="1"/>
  <c r="H981" i="1" s="1"/>
  <c r="J994" i="14"/>
  <c r="I994" i="14"/>
  <c r="G994" i="14"/>
  <c r="H994" i="14"/>
  <c r="E994" i="14"/>
  <c r="F994" i="14"/>
  <c r="D994" i="14"/>
  <c r="B995" i="14"/>
  <c r="C994" i="14"/>
  <c r="L981" i="1" l="1"/>
  <c r="M981" i="1" s="1"/>
  <c r="I981" i="1"/>
  <c r="K981" i="1" s="1"/>
  <c r="H982" i="1" s="1"/>
  <c r="J981" i="1"/>
  <c r="I995" i="14"/>
  <c r="J995" i="14"/>
  <c r="F995" i="14"/>
  <c r="H995" i="14"/>
  <c r="G995" i="14"/>
  <c r="D995" i="14"/>
  <c r="E995" i="14"/>
  <c r="B996" i="14"/>
  <c r="C995" i="14"/>
  <c r="L982" i="1" l="1"/>
  <c r="M982" i="1" s="1"/>
  <c r="J982" i="1"/>
  <c r="I982" i="1"/>
  <c r="K982" i="1" s="1"/>
  <c r="H983" i="1" s="1"/>
  <c r="J996" i="14"/>
  <c r="I996" i="14"/>
  <c r="G996" i="14"/>
  <c r="H996" i="14"/>
  <c r="F996" i="14"/>
  <c r="E996" i="14"/>
  <c r="D996" i="14"/>
  <c r="B997" i="14"/>
  <c r="C996" i="14"/>
  <c r="L983" i="1" l="1"/>
  <c r="M983" i="1" s="1"/>
  <c r="J983" i="1"/>
  <c r="I983" i="1"/>
  <c r="K983" i="1" s="1"/>
  <c r="H984" i="1" s="1"/>
  <c r="J997" i="14"/>
  <c r="I997" i="14"/>
  <c r="H997" i="14"/>
  <c r="G997" i="14"/>
  <c r="F997" i="14"/>
  <c r="E997" i="14"/>
  <c r="D997" i="14"/>
  <c r="B998" i="14"/>
  <c r="C997" i="14"/>
  <c r="L984" i="1" l="1"/>
  <c r="M984" i="1" s="1"/>
  <c r="J984" i="1"/>
  <c r="I984" i="1"/>
  <c r="K984" i="1" s="1"/>
  <c r="H985" i="1" s="1"/>
  <c r="J998" i="14"/>
  <c r="H998" i="14"/>
  <c r="I998" i="14"/>
  <c r="G998" i="14"/>
  <c r="F998" i="14"/>
  <c r="E998" i="14"/>
  <c r="D998" i="14"/>
  <c r="B999" i="14"/>
  <c r="C998" i="14"/>
  <c r="L985" i="1" l="1"/>
  <c r="M985" i="1" s="1"/>
  <c r="J985" i="1"/>
  <c r="I985" i="1"/>
  <c r="K985" i="1" s="1"/>
  <c r="H986" i="1" s="1"/>
  <c r="J999" i="14"/>
  <c r="I999" i="14"/>
  <c r="H999" i="14"/>
  <c r="G999" i="14"/>
  <c r="F999" i="14"/>
  <c r="D999" i="14"/>
  <c r="E999" i="14"/>
  <c r="B1000" i="14"/>
  <c r="C999" i="14"/>
  <c r="L986" i="1" l="1"/>
  <c r="M986" i="1" s="1"/>
  <c r="I986" i="1"/>
  <c r="K986" i="1" s="1"/>
  <c r="H987" i="1" s="1"/>
  <c r="J986" i="1"/>
  <c r="J1000" i="14"/>
  <c r="I1000" i="14"/>
  <c r="G1000" i="14"/>
  <c r="H1000" i="14"/>
  <c r="F1000" i="14"/>
  <c r="E1000" i="14"/>
  <c r="D1000" i="14"/>
  <c r="B1001" i="14"/>
  <c r="C1000" i="14"/>
  <c r="L987" i="1" l="1"/>
  <c r="M987" i="1" s="1"/>
  <c r="J987" i="1"/>
  <c r="I987" i="1"/>
  <c r="K987" i="1" s="1"/>
  <c r="H988" i="1" s="1"/>
  <c r="J1001" i="14"/>
  <c r="I1001" i="14"/>
  <c r="H1001" i="14"/>
  <c r="G1001" i="14"/>
  <c r="F1001" i="14"/>
  <c r="E1001" i="14"/>
  <c r="D1001" i="14"/>
  <c r="B1002" i="14"/>
  <c r="C1001" i="14"/>
  <c r="L988" i="1" l="1"/>
  <c r="M988" i="1" s="1"/>
  <c r="I988" i="1"/>
  <c r="K988" i="1" s="1"/>
  <c r="H989" i="1" s="1"/>
  <c r="J988" i="1"/>
  <c r="J1002" i="14"/>
  <c r="I1002" i="14"/>
  <c r="H1002" i="14"/>
  <c r="F1002" i="14"/>
  <c r="G1002" i="14"/>
  <c r="E1002" i="14"/>
  <c r="D1002" i="14"/>
  <c r="C1002" i="14"/>
  <c r="B1003" i="14"/>
  <c r="L989" i="1" l="1"/>
  <c r="M989" i="1" s="1"/>
  <c r="J989" i="1"/>
  <c r="I989" i="1"/>
  <c r="K989" i="1" s="1"/>
  <c r="H990" i="1" s="1"/>
  <c r="J1003" i="14"/>
  <c r="I1003" i="14"/>
  <c r="H1003" i="14"/>
  <c r="G1003" i="14"/>
  <c r="F1003" i="14"/>
  <c r="E1003" i="14"/>
  <c r="D1003" i="14"/>
  <c r="B1004" i="14"/>
  <c r="C1003" i="14"/>
  <c r="L990" i="1" l="1"/>
  <c r="M990" i="1" s="1"/>
  <c r="I990" i="1"/>
  <c r="K990" i="1" s="1"/>
  <c r="H991" i="1" s="1"/>
  <c r="J990" i="1"/>
  <c r="J1004" i="14"/>
  <c r="H1004" i="14"/>
  <c r="I1004" i="14"/>
  <c r="G1004" i="14"/>
  <c r="F1004" i="14"/>
  <c r="E1004" i="14"/>
  <c r="D1004" i="14"/>
  <c r="C1004" i="14"/>
  <c r="B1005" i="14"/>
  <c r="L991" i="1" l="1"/>
  <c r="M991" i="1" s="1"/>
  <c r="J991" i="1"/>
  <c r="I991" i="1"/>
  <c r="K991" i="1" s="1"/>
  <c r="H992" i="1" s="1"/>
  <c r="J1005" i="14"/>
  <c r="I1005" i="14"/>
  <c r="H1005" i="14"/>
  <c r="F1005" i="14"/>
  <c r="G1005" i="14"/>
  <c r="E1005" i="14"/>
  <c r="D1005" i="14"/>
  <c r="B1006" i="14"/>
  <c r="C1005" i="14"/>
  <c r="L992" i="1" l="1"/>
  <c r="M992" i="1" s="1"/>
  <c r="J992" i="1"/>
  <c r="I992" i="1"/>
  <c r="K992" i="1" s="1"/>
  <c r="H993" i="1" s="1"/>
  <c r="J1006" i="14"/>
  <c r="I1006" i="14"/>
  <c r="G1006" i="14"/>
  <c r="H1006" i="14"/>
  <c r="E1006" i="14"/>
  <c r="F1006" i="14"/>
  <c r="D1006" i="14"/>
  <c r="B1007" i="14"/>
  <c r="C1006" i="14"/>
  <c r="L993" i="1" l="1"/>
  <c r="M993" i="1" s="1"/>
  <c r="J993" i="1"/>
  <c r="I993" i="1"/>
  <c r="K993" i="1" s="1"/>
  <c r="H994" i="1" s="1"/>
  <c r="J1007" i="14"/>
  <c r="I1007" i="14"/>
  <c r="H1007" i="14"/>
  <c r="F1007" i="14"/>
  <c r="G1007" i="14"/>
  <c r="E1007" i="14"/>
  <c r="D1007" i="14"/>
  <c r="B1008" i="14"/>
  <c r="C1007" i="14"/>
  <c r="L994" i="1" l="1"/>
  <c r="M994" i="1" s="1"/>
  <c r="J994" i="1"/>
  <c r="I994" i="1"/>
  <c r="K994" i="1" s="1"/>
  <c r="H995" i="1" s="1"/>
  <c r="J1008" i="14"/>
  <c r="I1008" i="14"/>
  <c r="H1008" i="14"/>
  <c r="G1008" i="14"/>
  <c r="F1008" i="14"/>
  <c r="E1008" i="14"/>
  <c r="D1008" i="14"/>
  <c r="B1009" i="14"/>
  <c r="C1008" i="14"/>
  <c r="J995" i="1" l="1"/>
  <c r="L995" i="1"/>
  <c r="M995" i="1" s="1"/>
  <c r="I995" i="1"/>
  <c r="K995" i="1" s="1"/>
  <c r="H996" i="1" s="1"/>
  <c r="I1009" i="14"/>
  <c r="J1009" i="14"/>
  <c r="H1009" i="14"/>
  <c r="G1009" i="14"/>
  <c r="F1009" i="14"/>
  <c r="E1009" i="14"/>
  <c r="D1009" i="14"/>
  <c r="B1010" i="14"/>
  <c r="C1009" i="14"/>
  <c r="L996" i="1" l="1"/>
  <c r="M996" i="1" s="1"/>
  <c r="J996" i="1"/>
  <c r="I996" i="1"/>
  <c r="K996" i="1" s="1"/>
  <c r="H997" i="1" s="1"/>
  <c r="J1010" i="14"/>
  <c r="H1010" i="14"/>
  <c r="I1010" i="14"/>
  <c r="F1010" i="14"/>
  <c r="G1010" i="14"/>
  <c r="E1010" i="14"/>
  <c r="D1010" i="14"/>
  <c r="C1010" i="14"/>
  <c r="B1011" i="14"/>
  <c r="L997" i="1" l="1"/>
  <c r="M997" i="1" s="1"/>
  <c r="J997" i="1"/>
  <c r="I997" i="1"/>
  <c r="K997" i="1" s="1"/>
  <c r="H998" i="1" s="1"/>
  <c r="J1011" i="14"/>
  <c r="I1011" i="14"/>
  <c r="H1011" i="14"/>
  <c r="G1011" i="14"/>
  <c r="F1011" i="14"/>
  <c r="E1011" i="14"/>
  <c r="D1011" i="14"/>
  <c r="B1012" i="14"/>
  <c r="C1011" i="14"/>
  <c r="L998" i="1" l="1"/>
  <c r="M998" i="1" s="1"/>
  <c r="J998" i="1"/>
  <c r="I998" i="1"/>
  <c r="K998" i="1" s="1"/>
  <c r="H999" i="1" s="1"/>
  <c r="J1012" i="14"/>
  <c r="I1012" i="14"/>
  <c r="G1012" i="14"/>
  <c r="H1012" i="14"/>
  <c r="E1012" i="14"/>
  <c r="F1012" i="14"/>
  <c r="D1012" i="14"/>
  <c r="B1013" i="14"/>
  <c r="C1012" i="14"/>
  <c r="L999" i="1" l="1"/>
  <c r="M999" i="1" s="1"/>
  <c r="J999" i="1"/>
  <c r="I999" i="1"/>
  <c r="K999" i="1" s="1"/>
  <c r="H1000" i="1" s="1"/>
  <c r="J1013" i="14"/>
  <c r="I1013" i="14"/>
  <c r="F1013" i="14"/>
  <c r="G1013" i="14"/>
  <c r="H1013" i="14"/>
  <c r="E1013" i="14"/>
  <c r="D1013" i="14"/>
  <c r="B1014" i="14"/>
  <c r="C1013" i="14"/>
  <c r="L1000" i="1" l="1"/>
  <c r="M1000" i="1" s="1"/>
  <c r="J1000" i="1"/>
  <c r="I1000" i="1"/>
  <c r="K1000" i="1" s="1"/>
  <c r="H1001" i="1" s="1"/>
  <c r="J1014" i="14"/>
  <c r="I1014" i="14"/>
  <c r="H1014" i="14"/>
  <c r="G1014" i="14"/>
  <c r="F1014" i="14"/>
  <c r="E1014" i="14"/>
  <c r="D1014" i="14"/>
  <c r="B1015" i="14"/>
  <c r="C1014" i="14"/>
  <c r="L1001" i="1" l="1"/>
  <c r="M1001" i="1" s="1"/>
  <c r="J1001" i="1"/>
  <c r="I1001" i="1"/>
  <c r="K1001" i="1" s="1"/>
  <c r="H1002" i="1" s="1"/>
  <c r="J1015" i="14"/>
  <c r="I1015" i="14"/>
  <c r="H1015" i="14"/>
  <c r="G1015" i="14"/>
  <c r="F1015" i="14"/>
  <c r="E1015" i="14"/>
  <c r="D1015" i="14"/>
  <c r="B1016" i="14"/>
  <c r="C1015" i="14"/>
  <c r="L1002" i="1" l="1"/>
  <c r="M1002" i="1" s="1"/>
  <c r="J1002" i="1"/>
  <c r="I1002" i="1"/>
  <c r="K1002" i="1" s="1"/>
  <c r="H1003" i="1" s="1"/>
  <c r="J1016" i="14"/>
  <c r="I1016" i="14"/>
  <c r="H1016" i="14"/>
  <c r="G1016" i="14"/>
  <c r="E1016" i="14"/>
  <c r="F1016" i="14"/>
  <c r="D1016" i="14"/>
  <c r="B1017" i="14"/>
  <c r="C1016" i="14"/>
  <c r="L1003" i="1" l="1"/>
  <c r="M1003" i="1" s="1"/>
  <c r="J1003" i="1"/>
  <c r="I1003" i="1"/>
  <c r="K1003" i="1" s="1"/>
  <c r="H1004" i="1" s="1"/>
  <c r="J1017" i="14"/>
  <c r="I1017" i="14"/>
  <c r="H1017" i="14"/>
  <c r="G1017" i="14"/>
  <c r="F1017" i="14"/>
  <c r="E1017" i="14"/>
  <c r="D1017" i="14"/>
  <c r="C1017" i="14"/>
  <c r="B1018" i="14"/>
  <c r="J1004" i="1" l="1"/>
  <c r="L1004" i="1"/>
  <c r="M1004" i="1" s="1"/>
  <c r="I1004" i="1"/>
  <c r="K1004" i="1" s="1"/>
  <c r="H1005" i="1" s="1"/>
  <c r="J1018" i="14"/>
  <c r="I1018" i="14"/>
  <c r="G1018" i="14"/>
  <c r="H1018" i="14"/>
  <c r="E1018" i="14"/>
  <c r="F1018" i="14"/>
  <c r="D1018" i="14"/>
  <c r="C1018" i="14"/>
  <c r="B1019" i="14"/>
  <c r="L1005" i="1" l="1"/>
  <c r="M1005" i="1" s="1"/>
  <c r="J1005" i="1"/>
  <c r="I1005" i="1"/>
  <c r="K1005" i="1" s="1"/>
  <c r="H1006" i="1" s="1"/>
  <c r="J1019" i="14"/>
  <c r="I1019" i="14"/>
  <c r="F1019" i="14"/>
  <c r="H1019" i="14"/>
  <c r="G1019" i="14"/>
  <c r="E1019" i="14"/>
  <c r="D1019" i="14"/>
  <c r="B1020" i="14"/>
  <c r="C1019" i="14"/>
  <c r="L1006" i="1" l="1"/>
  <c r="M1006" i="1" s="1"/>
  <c r="J1006" i="1"/>
  <c r="I1006" i="1"/>
  <c r="K1006" i="1" s="1"/>
  <c r="H1007" i="1" s="1"/>
  <c r="J1020" i="14"/>
  <c r="I1020" i="14"/>
  <c r="H1020" i="14"/>
  <c r="G1020" i="14"/>
  <c r="F1020" i="14"/>
  <c r="E1020" i="14"/>
  <c r="D1020" i="14"/>
  <c r="B1021" i="14"/>
  <c r="C1020" i="14"/>
  <c r="I1007" i="1" l="1"/>
  <c r="K1007" i="1" s="1"/>
  <c r="H1008" i="1" s="1"/>
  <c r="L1007" i="1"/>
  <c r="M1007" i="1" s="1"/>
  <c r="J1007" i="1"/>
  <c r="J1021" i="14"/>
  <c r="I1021" i="14"/>
  <c r="H1021" i="14"/>
  <c r="G1021" i="14"/>
  <c r="F1021" i="14"/>
  <c r="E1021" i="14"/>
  <c r="D1021" i="14"/>
  <c r="B1022" i="14"/>
  <c r="C1021" i="14"/>
  <c r="L1008" i="1" l="1"/>
  <c r="M1008" i="1" s="1"/>
  <c r="J1008" i="1"/>
  <c r="I1008" i="1"/>
  <c r="K1008" i="1" s="1"/>
  <c r="H1009" i="1" s="1"/>
  <c r="J1022" i="14"/>
  <c r="I1022" i="14"/>
  <c r="H1022" i="14"/>
  <c r="G1022" i="14"/>
  <c r="F1022" i="14"/>
  <c r="E1022" i="14"/>
  <c r="D1022" i="14"/>
  <c r="C1022" i="14"/>
  <c r="B1023" i="14"/>
  <c r="L1009" i="1" l="1"/>
  <c r="M1009" i="1" s="1"/>
  <c r="J1009" i="1"/>
  <c r="I1009" i="1"/>
  <c r="K1009" i="1" s="1"/>
  <c r="H1010" i="1" s="1"/>
  <c r="I1023" i="14"/>
  <c r="J1023" i="14"/>
  <c r="H1023" i="14"/>
  <c r="G1023" i="14"/>
  <c r="F1023" i="14"/>
  <c r="E1023" i="14"/>
  <c r="D1023" i="14"/>
  <c r="B1024" i="14"/>
  <c r="C1023" i="14"/>
  <c r="J1010" i="1" l="1"/>
  <c r="L1010" i="1"/>
  <c r="M1010" i="1" s="1"/>
  <c r="I1010" i="1"/>
  <c r="K1010" i="1" s="1"/>
  <c r="H1011" i="1" s="1"/>
  <c r="J1024" i="14"/>
  <c r="I1024" i="14"/>
  <c r="G1024" i="14"/>
  <c r="H1024" i="14"/>
  <c r="E1024" i="14"/>
  <c r="D1024" i="14"/>
  <c r="F1024" i="14"/>
  <c r="B1025" i="14"/>
  <c r="C1024" i="14"/>
  <c r="L1011" i="1" l="1"/>
  <c r="M1011" i="1" s="1"/>
  <c r="J1011" i="1"/>
  <c r="I1011" i="1"/>
  <c r="K1011" i="1" s="1"/>
  <c r="H1012" i="1" s="1"/>
  <c r="C1025" i="14"/>
  <c r="J1025" i="14"/>
  <c r="I1025" i="14"/>
  <c r="F1025" i="14"/>
  <c r="H1025" i="14"/>
  <c r="G1025" i="14"/>
  <c r="E1025" i="14"/>
  <c r="D1025" i="14"/>
  <c r="L1012" i="1" l="1"/>
  <c r="M1012" i="1" s="1"/>
  <c r="J1012" i="1"/>
  <c r="I1012" i="1"/>
  <c r="K1012" i="1" s="1"/>
  <c r="H1013" i="1" s="1"/>
  <c r="G18" i="14"/>
  <c r="G14" i="14"/>
  <c r="G15" i="14"/>
  <c r="F18" i="14"/>
  <c r="F15" i="14"/>
  <c r="I19" i="14"/>
  <c r="I18" i="14"/>
  <c r="I15" i="14"/>
  <c r="H18" i="14"/>
  <c r="H20" i="14"/>
  <c r="H14" i="14"/>
  <c r="H15" i="14"/>
  <c r="J18" i="14"/>
  <c r="J17" i="14"/>
  <c r="J14" i="14"/>
  <c r="J15" i="14"/>
  <c r="J16" i="14"/>
  <c r="J19" i="14"/>
  <c r="I20" i="14"/>
  <c r="G20" i="14"/>
  <c r="E20" i="14"/>
  <c r="D20" i="14"/>
  <c r="D17" i="14"/>
  <c r="D15" i="14"/>
  <c r="D18" i="14"/>
  <c r="G19" i="14"/>
  <c r="H19" i="14"/>
  <c r="E16" i="14"/>
  <c r="D16" i="14"/>
  <c r="F20" i="14"/>
  <c r="D14" i="14"/>
  <c r="E15" i="14"/>
  <c r="J20" i="14"/>
  <c r="E17" i="14"/>
  <c r="F16" i="14"/>
  <c r="D19" i="14"/>
  <c r="E14" i="14"/>
  <c r="F17" i="14"/>
  <c r="E18" i="14"/>
  <c r="F14" i="14"/>
  <c r="E19" i="14"/>
  <c r="G16" i="14"/>
  <c r="H16" i="14"/>
  <c r="G17" i="14"/>
  <c r="F19" i="14"/>
  <c r="H17" i="14"/>
  <c r="I16" i="14"/>
  <c r="I17" i="14"/>
  <c r="I14" i="14"/>
  <c r="L1013" i="1" l="1"/>
  <c r="M1013" i="1" s="1"/>
  <c r="J1013" i="1"/>
  <c r="I1013" i="1"/>
  <c r="K1013" i="1" s="1"/>
  <c r="H1014" i="1" s="1"/>
  <c r="J5" i="14"/>
  <c r="U14" i="14"/>
  <c r="L1014" i="1" l="1"/>
  <c r="M1014" i="1" s="1"/>
  <c r="J1014" i="1"/>
  <c r="I1014" i="1"/>
  <c r="K1014" i="1" s="1"/>
  <c r="H1015" i="1" s="1"/>
  <c r="W14" i="14"/>
  <c r="V14" i="14"/>
  <c r="L1015" i="1" l="1"/>
  <c r="M1015" i="1" s="1"/>
  <c r="I1015" i="1"/>
  <c r="K1015" i="1" s="1"/>
  <c r="H1016" i="1" s="1"/>
  <c r="J1015" i="1"/>
  <c r="S15" i="14"/>
  <c r="L1016" i="1" l="1"/>
  <c r="M1016" i="1" s="1"/>
  <c r="J1016" i="1"/>
  <c r="I1016" i="1"/>
  <c r="K1016" i="1" s="1"/>
  <c r="H1017" i="1" s="1"/>
  <c r="T15" i="14"/>
  <c r="V8" i="3"/>
  <c r="L1017" i="1" l="1"/>
  <c r="M1017" i="1" s="1"/>
  <c r="J1017" i="1"/>
  <c r="I1017" i="1"/>
  <c r="K1017" i="1" s="1"/>
  <c r="H1018" i="1" s="1"/>
  <c r="U15" i="14"/>
  <c r="V15" i="14" s="1"/>
  <c r="W8" i="3"/>
  <c r="L1018" i="1" l="1"/>
  <c r="M1018" i="1" s="1"/>
  <c r="J1018" i="1"/>
  <c r="I1018" i="1"/>
  <c r="K1018" i="1" s="1"/>
  <c r="H1019" i="1" s="1"/>
  <c r="W15" i="14"/>
  <c r="S16" i="14" s="1"/>
  <c r="V9" i="3" s="1"/>
  <c r="L1019" i="1" l="1"/>
  <c r="M1019" i="1" s="1"/>
  <c r="J1019" i="1"/>
  <c r="I1019" i="1"/>
  <c r="K1019" i="1" s="1"/>
  <c r="H1020" i="1" s="1"/>
  <c r="T16" i="14"/>
  <c r="W9" i="3" s="1"/>
  <c r="L1020" i="1" l="1"/>
  <c r="M1020" i="1" s="1"/>
  <c r="J1020" i="1"/>
  <c r="I1020" i="1"/>
  <c r="K1020" i="1" s="1"/>
  <c r="H1021" i="1" s="1"/>
  <c r="U16" i="14"/>
  <c r="L1021" i="1" l="1"/>
  <c r="M1021" i="1" s="1"/>
  <c r="J1021" i="1"/>
  <c r="I1021" i="1"/>
  <c r="K1021" i="1" s="1"/>
  <c r="H1022" i="1" s="1"/>
  <c r="V16" i="14"/>
  <c r="W16" i="14"/>
  <c r="L1022" i="1" l="1"/>
  <c r="M1022" i="1" s="1"/>
  <c r="I1022" i="1"/>
  <c r="K1022" i="1" s="1"/>
  <c r="H1023" i="1" s="1"/>
  <c r="J1022" i="1"/>
  <c r="S17" i="14"/>
  <c r="T17" i="14" s="1"/>
  <c r="W10" i="3" s="1"/>
  <c r="L1023" i="1" l="1"/>
  <c r="M1023" i="1" s="1"/>
  <c r="J1023" i="1"/>
  <c r="I1023" i="1"/>
  <c r="K1023" i="1" s="1"/>
  <c r="H1024" i="1" s="1"/>
  <c r="V10" i="3"/>
  <c r="U17" i="14"/>
  <c r="V17" i="14" s="1"/>
  <c r="L1024" i="1" l="1"/>
  <c r="M1024" i="1" s="1"/>
  <c r="J1024" i="1"/>
  <c r="I1024" i="1"/>
  <c r="K1024" i="1" s="1"/>
  <c r="H1025" i="1" s="1"/>
  <c r="W17" i="14"/>
  <c r="S18" i="14" s="1"/>
  <c r="L1025" i="1" l="1"/>
  <c r="M1025" i="1" s="1"/>
  <c r="J1025" i="1"/>
  <c r="I1025" i="1"/>
  <c r="K1025" i="1" s="1"/>
  <c r="H1026" i="1" s="1"/>
  <c r="T18" i="14"/>
  <c r="W11" i="3" s="1"/>
  <c r="V11" i="3"/>
  <c r="L1026" i="1" l="1"/>
  <c r="M1026" i="1" s="1"/>
  <c r="I1026" i="1"/>
  <c r="K1026" i="1" s="1"/>
  <c r="H1027" i="1" s="1"/>
  <c r="J1026" i="1"/>
  <c r="U18" i="14"/>
  <c r="L1027" i="1" l="1"/>
  <c r="M1027" i="1" s="1"/>
  <c r="J1027" i="1"/>
  <c r="I1027" i="1"/>
  <c r="K1027" i="1" s="1"/>
  <c r="H1028" i="1" s="1"/>
  <c r="W18" i="14"/>
  <c r="V18" i="14"/>
  <c r="J1028" i="1" l="1"/>
  <c r="L1028" i="1"/>
  <c r="M1028" i="1" s="1"/>
  <c r="I1028" i="1"/>
  <c r="K1028" i="1" s="1"/>
  <c r="H1029" i="1" s="1"/>
  <c r="S19" i="14"/>
  <c r="T19" i="14"/>
  <c r="L1029" i="1" l="1"/>
  <c r="M1029" i="1" s="1"/>
  <c r="J1029" i="1"/>
  <c r="I1029" i="1"/>
  <c r="K1029" i="1" s="1"/>
  <c r="H1030" i="1" s="1"/>
  <c r="W12" i="3"/>
  <c r="T20" i="14"/>
  <c r="W13" i="3" s="1"/>
  <c r="V12" i="3"/>
  <c r="W19" i="14"/>
  <c r="V19" i="14"/>
  <c r="S20" i="14" s="1"/>
  <c r="U19" i="14"/>
  <c r="L1030" i="1" l="1"/>
  <c r="M1030" i="1" s="1"/>
  <c r="J1030" i="1"/>
  <c r="I1030" i="1"/>
  <c r="K1030" i="1" s="1"/>
  <c r="H1031" i="1" s="1"/>
  <c r="V13" i="3"/>
  <c r="U20" i="14"/>
  <c r="V20" i="14"/>
  <c r="W20" i="14"/>
  <c r="J1031" i="1" l="1"/>
  <c r="L1031" i="1"/>
  <c r="M1031" i="1" s="1"/>
  <c r="I1031" i="1"/>
  <c r="K1031" i="1" s="1"/>
  <c r="H1032" i="1" s="1"/>
  <c r="L1032" i="1" l="1"/>
  <c r="M1032" i="1" s="1"/>
  <c r="J1032" i="1"/>
  <c r="I1032" i="1"/>
  <c r="K1032" i="1" s="1"/>
  <c r="H1033" i="1" s="1"/>
  <c r="L1033" i="1" l="1"/>
  <c r="M1033" i="1" s="1"/>
  <c r="J1033" i="1"/>
  <c r="I1033" i="1"/>
  <c r="K1033" i="1" s="1"/>
  <c r="H1034" i="1" s="1"/>
  <c r="L1034" i="1" l="1"/>
  <c r="M1034" i="1" s="1"/>
  <c r="J1034" i="1"/>
  <c r="I1034" i="1"/>
  <c r="K1034" i="1" s="1"/>
  <c r="H1035" i="1" s="1"/>
  <c r="L1035" i="1" l="1"/>
  <c r="M1035" i="1" s="1"/>
  <c r="J1035" i="1"/>
  <c r="I1035" i="1"/>
  <c r="K1035" i="1" s="1"/>
  <c r="H1036" i="1" s="1"/>
  <c r="L1036" i="1" l="1"/>
  <c r="J1036" i="1"/>
  <c r="I1036" i="1"/>
  <c r="K1036" i="1" s="1"/>
  <c r="H1037" i="1" s="1"/>
  <c r="L1037" i="1" l="1"/>
  <c r="M1037" i="1" s="1"/>
  <c r="J1037" i="1"/>
  <c r="I1037" i="1"/>
  <c r="K1037" i="1" s="1"/>
  <c r="H1038" i="1" s="1"/>
  <c r="M1036" i="1"/>
  <c r="L1038" i="1" l="1"/>
  <c r="J1038" i="1"/>
  <c r="I1038" i="1"/>
  <c r="K1038" i="1" s="1"/>
  <c r="H1039" i="1" s="1"/>
  <c r="L1039" i="1" l="1"/>
  <c r="M1039" i="1" s="1"/>
  <c r="J1039" i="1"/>
  <c r="I1039" i="1"/>
  <c r="K1039" i="1" s="1"/>
  <c r="H1040" i="1" s="1"/>
  <c r="M1038" i="1"/>
  <c r="J1040" i="1" l="1"/>
  <c r="I1040" i="1"/>
  <c r="K1040" i="1" s="1"/>
  <c r="H1041" i="1" s="1"/>
  <c r="L1040" i="1"/>
  <c r="M1040" i="1" l="1"/>
  <c r="L1041" i="1"/>
  <c r="M1041" i="1" s="1"/>
  <c r="J1041" i="1"/>
  <c r="I1041" i="1"/>
  <c r="K1041" i="1" s="1"/>
  <c r="H1042" i="1" s="1"/>
  <c r="L1042" i="1" l="1"/>
  <c r="I1042" i="1"/>
  <c r="K1042" i="1" s="1"/>
  <c r="H1043" i="1" s="1"/>
  <c r="J1042" i="1"/>
  <c r="L1043" i="1" l="1"/>
  <c r="M1043" i="1" s="1"/>
  <c r="J1043" i="1"/>
  <c r="I1043" i="1"/>
  <c r="K1043" i="1" s="1"/>
  <c r="H1044" i="1" s="1"/>
  <c r="M1042" i="1"/>
  <c r="L1044" i="1" l="1"/>
  <c r="I1044" i="1"/>
  <c r="K1044" i="1" s="1"/>
  <c r="H1045" i="1" s="1"/>
  <c r="J1044" i="1"/>
  <c r="I1045" i="1" l="1"/>
  <c r="K1045" i="1" s="1"/>
  <c r="H1046" i="1" s="1"/>
  <c r="L1045" i="1"/>
  <c r="M1045" i="1" s="1"/>
  <c r="J1045" i="1"/>
  <c r="M1044" i="1"/>
  <c r="J1046" i="1" l="1"/>
  <c r="I1046" i="1"/>
  <c r="K1046" i="1" s="1"/>
  <c r="H1047" i="1" s="1"/>
  <c r="L1046" i="1"/>
  <c r="M1046" i="1" s="1"/>
  <c r="L1047" i="1" l="1"/>
  <c r="M1047" i="1" s="1"/>
  <c r="I1047" i="1"/>
  <c r="K1047" i="1" s="1"/>
  <c r="H1048" i="1" s="1"/>
  <c r="J1047" i="1"/>
  <c r="L1048" i="1" l="1"/>
  <c r="M1048" i="1" s="1"/>
  <c r="J1048" i="1"/>
  <c r="I1048" i="1"/>
  <c r="K1048" i="1" s="1"/>
  <c r="H1049" i="1" s="1"/>
  <c r="L1049" i="1" l="1"/>
  <c r="M1049" i="1" s="1"/>
  <c r="J1049" i="1"/>
  <c r="I1049" i="1"/>
  <c r="K1049" i="1" s="1"/>
  <c r="H1050" i="1" s="1"/>
  <c r="L1050" i="1" l="1"/>
  <c r="M1050" i="1" s="1"/>
  <c r="J1050" i="1"/>
  <c r="I1050" i="1"/>
  <c r="K1050" i="1" s="1"/>
  <c r="H1051" i="1" s="1"/>
  <c r="L1051" i="1" l="1"/>
  <c r="M1051" i="1" s="1"/>
  <c r="J1051" i="1"/>
  <c r="I1051" i="1"/>
  <c r="K1051" i="1" s="1"/>
  <c r="H1052" i="1" s="1"/>
  <c r="L1052" i="1" l="1"/>
  <c r="M1052" i="1" s="1"/>
  <c r="J1052" i="1"/>
  <c r="I1052" i="1"/>
  <c r="K1052" i="1" s="1"/>
  <c r="H1053" i="1" s="1"/>
  <c r="L1053" i="1" l="1"/>
  <c r="M1053" i="1" s="1"/>
  <c r="J1053" i="1"/>
  <c r="I1053" i="1"/>
  <c r="K1053" i="1" s="1"/>
  <c r="H1054" i="1" s="1"/>
  <c r="L1054" i="1" l="1"/>
  <c r="M1054" i="1" s="1"/>
  <c r="J1054" i="1"/>
  <c r="I1054" i="1"/>
  <c r="K1054" i="1" s="1"/>
  <c r="H1055" i="1" s="1"/>
  <c r="L1055" i="1" l="1"/>
  <c r="M1055" i="1" s="1"/>
  <c r="J1055" i="1"/>
  <c r="I1055" i="1"/>
  <c r="K1055" i="1" s="1"/>
  <c r="H1056" i="1" s="1"/>
  <c r="L1056" i="1" l="1"/>
  <c r="M1056" i="1" s="1"/>
  <c r="J1056" i="1"/>
  <c r="I1056" i="1"/>
  <c r="K1056" i="1" s="1"/>
  <c r="H1057" i="1" s="1"/>
  <c r="L1057" i="1" l="1"/>
  <c r="M1057" i="1" s="1"/>
  <c r="I1057" i="1"/>
  <c r="K1057" i="1" s="1"/>
  <c r="H1058" i="1" s="1"/>
  <c r="J1057" i="1"/>
  <c r="J1058" i="1" l="1"/>
  <c r="I1058" i="1"/>
  <c r="K1058" i="1" s="1"/>
  <c r="H1059" i="1" s="1"/>
  <c r="L1058" i="1"/>
  <c r="M1058" i="1" s="1"/>
  <c r="L1059" i="1" l="1"/>
  <c r="M1059" i="1" s="1"/>
  <c r="I1059" i="1"/>
  <c r="K1059" i="1" s="1"/>
  <c r="H1060" i="1" s="1"/>
  <c r="J1059" i="1"/>
  <c r="L1060" i="1" l="1"/>
  <c r="M1060" i="1" s="1"/>
  <c r="J1060" i="1"/>
  <c r="I1060" i="1"/>
  <c r="K1060" i="1" s="1"/>
  <c r="H1061" i="1" s="1"/>
  <c r="L1061" i="1" l="1"/>
  <c r="M1061" i="1" s="1"/>
  <c r="J1061" i="1"/>
  <c r="I1061" i="1"/>
  <c r="K1061" i="1" s="1"/>
  <c r="H1062" i="1" s="1"/>
  <c r="L1062" i="1" l="1"/>
  <c r="M1062" i="1" s="1"/>
  <c r="J1062" i="1"/>
  <c r="I1062" i="1"/>
  <c r="K1062" i="1" s="1"/>
  <c r="H1063" i="1" s="1"/>
  <c r="L1063" i="1" l="1"/>
  <c r="M1063" i="1" s="1"/>
  <c r="J1063" i="1"/>
  <c r="I1063" i="1"/>
  <c r="K1063" i="1" s="1"/>
  <c r="H1064" i="1" s="1"/>
  <c r="L1064" i="1" l="1"/>
  <c r="M1064" i="1" s="1"/>
  <c r="J1064" i="1"/>
  <c r="I1064" i="1"/>
  <c r="K1064" i="1" s="1"/>
  <c r="H1065" i="1" s="1"/>
  <c r="L1065" i="1" l="1"/>
  <c r="M1065" i="1" s="1"/>
  <c r="J1065" i="1"/>
  <c r="I1065" i="1"/>
  <c r="K1065" i="1" s="1"/>
  <c r="H1066" i="1" s="1"/>
  <c r="L1066" i="1" l="1"/>
  <c r="M1066" i="1" s="1"/>
  <c r="J1066" i="1"/>
  <c r="I1066" i="1"/>
  <c r="K1066" i="1" s="1"/>
  <c r="H1067" i="1" s="1"/>
  <c r="J1067" i="1" l="1"/>
  <c r="L1067" i="1"/>
  <c r="M1067" i="1" s="1"/>
  <c r="I1067" i="1"/>
  <c r="K1067" i="1" s="1"/>
  <c r="H1068" i="1" s="1"/>
  <c r="L1068" i="1" l="1"/>
  <c r="M1068" i="1" s="1"/>
  <c r="J1068" i="1"/>
  <c r="I1068" i="1"/>
  <c r="K1068" i="1" s="1"/>
  <c r="H1069" i="1" s="1"/>
  <c r="L1069" i="1" l="1"/>
  <c r="M1069" i="1" s="1"/>
  <c r="J1069" i="1"/>
  <c r="I1069" i="1"/>
  <c r="K1069" i="1" s="1"/>
  <c r="H1070" i="1" s="1"/>
  <c r="L1070" i="1" l="1"/>
  <c r="M1070" i="1" s="1"/>
  <c r="J1070" i="1"/>
  <c r="I1070" i="1"/>
  <c r="K1070" i="1" s="1"/>
  <c r="H1071" i="1" s="1"/>
  <c r="L1071" i="1" l="1"/>
  <c r="M1071" i="1" s="1"/>
  <c r="J1071" i="1"/>
  <c r="I1071" i="1"/>
  <c r="K1071" i="1" s="1"/>
  <c r="H1072" i="1" s="1"/>
  <c r="L1072" i="1" l="1"/>
  <c r="M1072" i="1" s="1"/>
  <c r="J1072" i="1"/>
  <c r="I1072" i="1"/>
  <c r="K1072" i="1" s="1"/>
  <c r="H1073" i="1" s="1"/>
  <c r="L1073" i="1" l="1"/>
  <c r="M1073" i="1" s="1"/>
  <c r="J1073" i="1"/>
  <c r="I1073" i="1"/>
  <c r="K1073" i="1" s="1"/>
  <c r="H1074" i="1" s="1"/>
  <c r="L1074" i="1" l="1"/>
  <c r="M1074" i="1" s="1"/>
  <c r="J1074" i="1"/>
  <c r="I1074" i="1"/>
  <c r="K1074" i="1" s="1"/>
  <c r="H1075" i="1" s="1"/>
  <c r="L1075" i="1" l="1"/>
  <c r="M1075" i="1" s="1"/>
  <c r="J1075" i="1"/>
  <c r="I1075" i="1"/>
  <c r="K1075" i="1" s="1"/>
  <c r="H1076" i="1" s="1"/>
  <c r="L1076" i="1" l="1"/>
  <c r="M1076" i="1" s="1"/>
  <c r="J1076" i="1"/>
  <c r="I1076" i="1"/>
  <c r="K1076" i="1" s="1"/>
  <c r="H1077" i="1" s="1"/>
  <c r="L1077" i="1" l="1"/>
  <c r="M1077" i="1" s="1"/>
  <c r="J1077" i="1"/>
  <c r="I1077" i="1"/>
  <c r="K1077" i="1" s="1"/>
  <c r="H1078" i="1" s="1"/>
  <c r="L1078" i="1" l="1"/>
  <c r="M1078" i="1" s="1"/>
  <c r="J1078" i="1"/>
  <c r="I1078" i="1"/>
  <c r="K1078" i="1" s="1"/>
  <c r="H1079" i="1" s="1"/>
  <c r="L1079" i="1" l="1"/>
  <c r="M1079" i="1" s="1"/>
  <c r="J1079" i="1"/>
  <c r="I1079" i="1"/>
  <c r="K1079" i="1" s="1"/>
  <c r="H1080" i="1" s="1"/>
  <c r="L1080" i="1" l="1"/>
  <c r="M1080" i="1" s="1"/>
  <c r="J1080" i="1"/>
  <c r="I1080" i="1"/>
  <c r="K1080" i="1" s="1"/>
  <c r="H1081" i="1" s="1"/>
  <c r="L1081" i="1" l="1"/>
  <c r="M1081" i="1" s="1"/>
  <c r="J1081" i="1"/>
  <c r="I1081" i="1"/>
  <c r="K1081" i="1" s="1"/>
  <c r="H1082" i="1" s="1"/>
  <c r="L1082" i="1" l="1"/>
  <c r="M1082" i="1" s="1"/>
  <c r="J1082" i="1"/>
  <c r="I1082" i="1"/>
  <c r="K1082" i="1" s="1"/>
  <c r="H1083" i="1" s="1"/>
  <c r="L1083" i="1" l="1"/>
  <c r="M1083" i="1" s="1"/>
  <c r="J1083" i="1"/>
  <c r="I1083" i="1"/>
  <c r="K1083" i="1" s="1"/>
  <c r="H1084" i="1" s="1"/>
  <c r="L1084" i="1" l="1"/>
  <c r="M1084" i="1" s="1"/>
  <c r="J1084" i="1"/>
  <c r="I1084" i="1"/>
  <c r="K1084" i="1" s="1"/>
  <c r="H1085" i="1" s="1"/>
  <c r="L1085" i="1" l="1"/>
  <c r="M1085" i="1" s="1"/>
  <c r="J1085" i="1"/>
  <c r="I1085" i="1"/>
  <c r="K1085" i="1" s="1"/>
  <c r="H1086" i="1" s="1"/>
  <c r="L1086" i="1" l="1"/>
  <c r="M1086" i="1" s="1"/>
  <c r="J1086" i="1"/>
  <c r="I1086" i="1"/>
  <c r="K1086" i="1" s="1"/>
  <c r="H1087" i="1" s="1"/>
  <c r="L1087" i="1" l="1"/>
  <c r="M1087" i="1" s="1"/>
  <c r="I1087" i="1"/>
  <c r="K1087" i="1" s="1"/>
  <c r="H1088" i="1" s="1"/>
  <c r="J1087" i="1"/>
  <c r="L1088" i="1" l="1"/>
  <c r="M1088" i="1" s="1"/>
  <c r="J1088" i="1"/>
  <c r="I1088" i="1"/>
  <c r="K1088" i="1" s="1"/>
  <c r="H1089" i="1" s="1"/>
  <c r="L1089" i="1" l="1"/>
  <c r="M1089" i="1" s="1"/>
  <c r="J1089" i="1"/>
  <c r="I1089" i="1"/>
  <c r="K1089" i="1" s="1"/>
  <c r="H1090" i="1" s="1"/>
  <c r="J1090" i="1" l="1"/>
  <c r="L1090" i="1"/>
  <c r="M1090" i="1" s="1"/>
  <c r="I1090" i="1"/>
  <c r="K1090" i="1" s="1"/>
  <c r="H1091" i="1" s="1"/>
  <c r="L1091" i="1" l="1"/>
  <c r="M1091" i="1" s="1"/>
  <c r="J1091" i="1"/>
  <c r="I1091" i="1"/>
  <c r="K1091" i="1" s="1"/>
  <c r="H1092" i="1" s="1"/>
  <c r="L1092" i="1" l="1"/>
  <c r="M1092" i="1" s="1"/>
  <c r="J1092" i="1"/>
  <c r="I1092" i="1"/>
  <c r="K1092" i="1" s="1"/>
  <c r="H1093" i="1" s="1"/>
  <c r="L1093" i="1" l="1"/>
  <c r="M1093" i="1" s="1"/>
  <c r="J1093" i="1"/>
  <c r="I1093" i="1"/>
  <c r="K1093" i="1" s="1"/>
  <c r="H1094" i="1" s="1"/>
  <c r="L1094" i="1" l="1"/>
  <c r="M1094" i="1" s="1"/>
  <c r="J1094" i="1"/>
  <c r="I1094" i="1"/>
  <c r="K1094" i="1" s="1"/>
  <c r="H1095" i="1" s="1"/>
  <c r="L1095" i="1" l="1"/>
  <c r="M1095" i="1" s="1"/>
  <c r="J1095" i="1"/>
  <c r="I1095" i="1"/>
  <c r="K1095" i="1" s="1"/>
  <c r="H1096" i="1" s="1"/>
  <c r="L1096" i="1" l="1"/>
  <c r="M1096" i="1" s="1"/>
  <c r="J1096" i="1"/>
  <c r="I1096" i="1"/>
  <c r="K1096" i="1" s="1"/>
  <c r="H1097" i="1" s="1"/>
  <c r="L1097" i="1" l="1"/>
  <c r="M1097" i="1" s="1"/>
  <c r="J1097" i="1"/>
  <c r="I1097" i="1"/>
  <c r="K1097" i="1" s="1"/>
  <c r="H1098" i="1" s="1"/>
  <c r="L1098" i="1" l="1"/>
  <c r="M1098" i="1" s="1"/>
  <c r="J1098" i="1"/>
  <c r="I1098" i="1"/>
  <c r="K1098" i="1" s="1"/>
  <c r="H1099" i="1" s="1"/>
  <c r="L1099" i="1" l="1"/>
  <c r="M1099" i="1" s="1"/>
  <c r="J1099" i="1"/>
  <c r="I1099" i="1"/>
  <c r="K1099" i="1" s="1"/>
  <c r="H1100" i="1" s="1"/>
  <c r="J1100" i="1" l="1"/>
  <c r="I1100" i="1"/>
  <c r="K1100" i="1" s="1"/>
  <c r="H1101" i="1" s="1"/>
  <c r="L1100" i="1"/>
  <c r="M1100" i="1" s="1"/>
  <c r="L1101" i="1" l="1"/>
  <c r="M1101" i="1" s="1"/>
  <c r="J1101" i="1"/>
  <c r="I1101" i="1"/>
  <c r="K1101" i="1" s="1"/>
  <c r="H1102" i="1" s="1"/>
  <c r="L1102" i="1" l="1"/>
  <c r="M1102" i="1" s="1"/>
  <c r="J1102" i="1"/>
  <c r="I1102" i="1"/>
  <c r="K1102" i="1" s="1"/>
  <c r="H1103" i="1" s="1"/>
  <c r="J1103" i="1" l="1"/>
  <c r="I1103" i="1"/>
  <c r="K1103" i="1" s="1"/>
  <c r="H1104" i="1" s="1"/>
  <c r="L1103" i="1"/>
  <c r="M1103" i="1" s="1"/>
  <c r="L1104" i="1" l="1"/>
  <c r="M1104" i="1" s="1"/>
  <c r="J1104" i="1"/>
  <c r="I1104" i="1"/>
  <c r="K1104" i="1" s="1"/>
  <c r="H1105" i="1" s="1"/>
  <c r="L1105" i="1" l="1"/>
  <c r="M1105" i="1" s="1"/>
  <c r="J1105" i="1"/>
  <c r="I1105" i="1"/>
  <c r="K1105" i="1" s="1"/>
  <c r="H1106" i="1" s="1"/>
  <c r="L1106" i="1" l="1"/>
  <c r="M1106" i="1" s="1"/>
  <c r="J1106" i="1"/>
  <c r="I1106" i="1"/>
  <c r="K1106" i="1" s="1"/>
  <c r="H1107" i="1" s="1"/>
  <c r="L1107" i="1" l="1"/>
  <c r="M1107" i="1" s="1"/>
  <c r="J1107" i="1"/>
  <c r="I1107" i="1"/>
  <c r="K1107" i="1" s="1"/>
  <c r="H1108" i="1" s="1"/>
  <c r="L1108" i="1" l="1"/>
  <c r="M1108" i="1" s="1"/>
  <c r="I1108" i="1"/>
  <c r="K1108" i="1" s="1"/>
  <c r="H1109" i="1" s="1"/>
  <c r="J1108" i="1"/>
  <c r="L1109" i="1" l="1"/>
  <c r="M1109" i="1" s="1"/>
  <c r="I1109" i="1"/>
  <c r="K1109" i="1" s="1"/>
  <c r="H1110" i="1" s="1"/>
  <c r="J1109" i="1"/>
  <c r="L1110" i="1" l="1"/>
  <c r="M1110" i="1" s="1"/>
  <c r="I1110" i="1"/>
  <c r="K1110" i="1" s="1"/>
  <c r="H1111" i="1" s="1"/>
  <c r="J1110" i="1"/>
  <c r="L1111" i="1" l="1"/>
  <c r="M1111" i="1" s="1"/>
  <c r="J1111" i="1"/>
  <c r="I1111" i="1"/>
  <c r="K1111" i="1" s="1"/>
  <c r="H1112" i="1" s="1"/>
  <c r="J1112" i="1" l="1"/>
  <c r="L1112" i="1"/>
  <c r="M1112" i="1" s="1"/>
  <c r="I1112" i="1"/>
  <c r="K1112" i="1" s="1"/>
  <c r="H1113" i="1" s="1"/>
  <c r="L1113" i="1" l="1"/>
  <c r="M1113" i="1" s="1"/>
  <c r="J1113" i="1"/>
  <c r="I1113" i="1"/>
  <c r="K1113" i="1" s="1"/>
  <c r="H1114" i="1" s="1"/>
  <c r="L1114" i="1" l="1"/>
  <c r="M1114" i="1" s="1"/>
  <c r="J1114" i="1"/>
  <c r="I1114" i="1"/>
  <c r="K1114" i="1" s="1"/>
  <c r="H1115" i="1" s="1"/>
  <c r="J1115" i="1" l="1"/>
  <c r="L1115" i="1"/>
  <c r="M1115" i="1" s="1"/>
  <c r="I1115" i="1"/>
  <c r="K1115" i="1" s="1"/>
  <c r="H1116" i="1" s="1"/>
  <c r="L1116" i="1" l="1"/>
  <c r="M1116" i="1" s="1"/>
  <c r="J1116" i="1"/>
  <c r="I1116" i="1"/>
  <c r="K1116" i="1" s="1"/>
  <c r="H1117" i="1" s="1"/>
  <c r="L1117" i="1" l="1"/>
  <c r="M1117" i="1" s="1"/>
  <c r="J1117" i="1"/>
  <c r="I1117" i="1"/>
  <c r="K1117" i="1" s="1"/>
  <c r="H1118" i="1" s="1"/>
  <c r="L1118" i="1" l="1"/>
  <c r="M1118" i="1" s="1"/>
  <c r="J1118" i="1"/>
  <c r="I1118" i="1"/>
  <c r="K1118" i="1" s="1"/>
  <c r="H1119" i="1" s="1"/>
  <c r="L1119" i="1" l="1"/>
  <c r="M1119" i="1" s="1"/>
  <c r="I1119" i="1"/>
  <c r="K1119" i="1" s="1"/>
  <c r="H1120" i="1" s="1"/>
  <c r="J1119" i="1"/>
  <c r="L1120" i="1" l="1"/>
  <c r="M1120" i="1" s="1"/>
  <c r="J1120" i="1"/>
  <c r="I1120" i="1"/>
  <c r="K1120" i="1" s="1"/>
  <c r="H1121" i="1" s="1"/>
  <c r="L1121" i="1" l="1"/>
  <c r="M1121" i="1" s="1"/>
  <c r="I1121" i="1"/>
  <c r="K1121" i="1" s="1"/>
  <c r="H1122" i="1" s="1"/>
  <c r="J1121" i="1"/>
  <c r="L1122" i="1" l="1"/>
  <c r="M1122" i="1" s="1"/>
  <c r="J1122" i="1"/>
  <c r="I1122" i="1"/>
  <c r="K1122" i="1" s="1"/>
  <c r="H1123" i="1" s="1"/>
  <c r="L1123" i="1" l="1"/>
  <c r="M1123" i="1" s="1"/>
  <c r="J1123" i="1"/>
  <c r="I1123" i="1"/>
  <c r="K1123" i="1" s="1"/>
  <c r="H1124" i="1" s="1"/>
  <c r="J1124" i="1" l="1"/>
  <c r="I1124" i="1"/>
  <c r="K1124" i="1" s="1"/>
  <c r="H1125" i="1" s="1"/>
  <c r="L1124" i="1"/>
  <c r="M1124" i="1" s="1"/>
  <c r="L1125" i="1" l="1"/>
  <c r="M1125" i="1" s="1"/>
  <c r="J1125" i="1"/>
  <c r="I1125" i="1"/>
  <c r="K1125" i="1" s="1"/>
  <c r="H1126" i="1" s="1"/>
  <c r="J1126" i="1" l="1"/>
  <c r="L1126" i="1"/>
  <c r="M1126" i="1" s="1"/>
  <c r="I1126" i="1"/>
  <c r="K1126" i="1" s="1"/>
  <c r="H1127" i="1" s="1"/>
  <c r="L1127" i="1" l="1"/>
  <c r="M1127" i="1" s="1"/>
  <c r="J1127" i="1"/>
  <c r="I1127" i="1"/>
  <c r="K1127" i="1" s="1"/>
  <c r="H1128" i="1" s="1"/>
  <c r="L1128" i="1" l="1"/>
  <c r="M1128" i="1" s="1"/>
  <c r="J1128" i="1"/>
  <c r="I1128" i="1"/>
  <c r="K1128" i="1" s="1"/>
  <c r="H1129" i="1" s="1"/>
  <c r="L1129" i="1" l="1"/>
  <c r="M1129" i="1" s="1"/>
  <c r="I1129" i="1"/>
  <c r="K1129" i="1" s="1"/>
  <c r="H1130" i="1" s="1"/>
  <c r="J1129" i="1"/>
  <c r="L1130" i="1" l="1"/>
  <c r="M1130" i="1" s="1"/>
  <c r="J1130" i="1"/>
  <c r="I1130" i="1"/>
  <c r="K1130" i="1" s="1"/>
  <c r="H1131" i="1" s="1"/>
  <c r="L1131" i="1" l="1"/>
  <c r="M1131" i="1" s="1"/>
  <c r="J1131" i="1"/>
  <c r="I1131" i="1"/>
  <c r="K1131" i="1" s="1"/>
  <c r="H1132" i="1" s="1"/>
  <c r="L1132" i="1" l="1"/>
  <c r="M1132" i="1" s="1"/>
  <c r="J1132" i="1"/>
  <c r="I1132" i="1"/>
  <c r="K1132" i="1" s="1"/>
  <c r="H1133" i="1" s="1"/>
  <c r="L1133" i="1" l="1"/>
  <c r="M1133" i="1" s="1"/>
  <c r="I1133" i="1"/>
  <c r="K1133" i="1" s="1"/>
  <c r="H1134" i="1" s="1"/>
  <c r="J1133" i="1"/>
  <c r="L1134" i="1" l="1"/>
  <c r="M1134" i="1" s="1"/>
  <c r="I1134" i="1"/>
  <c r="K1134" i="1" s="1"/>
  <c r="H1135" i="1" s="1"/>
  <c r="J1134" i="1"/>
  <c r="L1135" i="1" l="1"/>
  <c r="M1135" i="1" s="1"/>
  <c r="I1135" i="1"/>
  <c r="K1135" i="1" s="1"/>
  <c r="H1136" i="1" s="1"/>
  <c r="J1135" i="1"/>
  <c r="L1136" i="1" l="1"/>
  <c r="M1136" i="1" s="1"/>
  <c r="I1136" i="1"/>
  <c r="K1136" i="1" s="1"/>
  <c r="H1137" i="1" s="1"/>
  <c r="J1136" i="1"/>
  <c r="L1137" i="1" l="1"/>
  <c r="M1137" i="1" s="1"/>
  <c r="J1137" i="1"/>
  <c r="I1137" i="1"/>
  <c r="K1137" i="1" s="1"/>
  <c r="H1138" i="1" s="1"/>
  <c r="L1138" i="1" l="1"/>
  <c r="M1138" i="1" s="1"/>
  <c r="J1138" i="1"/>
  <c r="I1138" i="1"/>
  <c r="K1138" i="1" s="1"/>
  <c r="H1139" i="1" s="1"/>
  <c r="L1139" i="1" l="1"/>
  <c r="M1139" i="1" s="1"/>
  <c r="J1139" i="1"/>
  <c r="I1139" i="1"/>
  <c r="K1139" i="1" s="1"/>
  <c r="H1140" i="1" s="1"/>
  <c r="L1140" i="1" l="1"/>
  <c r="M1140" i="1" s="1"/>
  <c r="J1140" i="1"/>
  <c r="I1140" i="1"/>
  <c r="K1140" i="1" s="1"/>
  <c r="H1141" i="1" s="1"/>
  <c r="L1141" i="1" l="1"/>
  <c r="M1141" i="1" s="1"/>
  <c r="J1141" i="1"/>
  <c r="I1141" i="1"/>
  <c r="K1141" i="1" s="1"/>
  <c r="H1142" i="1" s="1"/>
  <c r="L1142" i="1" l="1"/>
  <c r="M1142" i="1" s="1"/>
  <c r="I1142" i="1"/>
  <c r="K1142" i="1" s="1"/>
  <c r="H1143" i="1" s="1"/>
  <c r="J1142" i="1"/>
  <c r="L1143" i="1" l="1"/>
  <c r="M1143" i="1" s="1"/>
  <c r="J1143" i="1"/>
  <c r="I1143" i="1"/>
  <c r="K1143" i="1" s="1"/>
  <c r="H1144" i="1" s="1"/>
  <c r="L1144" i="1" l="1"/>
  <c r="M1144" i="1" s="1"/>
  <c r="J1144" i="1"/>
  <c r="I1144" i="1"/>
  <c r="K1144" i="1" s="1"/>
  <c r="H1145" i="1" s="1"/>
  <c r="L1145" i="1" l="1"/>
  <c r="M1145" i="1" s="1"/>
  <c r="J1145" i="1"/>
  <c r="I1145" i="1"/>
  <c r="K1145" i="1" s="1"/>
  <c r="H1146" i="1" s="1"/>
  <c r="J1146" i="1" l="1"/>
  <c r="I1146" i="1"/>
  <c r="K1146" i="1" s="1"/>
  <c r="H1147" i="1" s="1"/>
  <c r="L1146" i="1"/>
  <c r="M1146" i="1" s="1"/>
  <c r="L1147" i="1" l="1"/>
  <c r="M1147" i="1" s="1"/>
  <c r="J1147" i="1"/>
  <c r="I1147" i="1"/>
  <c r="K1147" i="1" s="1"/>
  <c r="H1148" i="1" s="1"/>
  <c r="L1148" i="1" l="1"/>
  <c r="M1148" i="1" s="1"/>
  <c r="J1148" i="1"/>
  <c r="I1148" i="1"/>
  <c r="K1148" i="1" s="1"/>
  <c r="H1149" i="1" s="1"/>
  <c r="L1149" i="1" l="1"/>
  <c r="M1149" i="1" s="1"/>
  <c r="I1149" i="1"/>
  <c r="K1149" i="1" s="1"/>
  <c r="H1150" i="1" s="1"/>
  <c r="J1149" i="1"/>
  <c r="L1150" i="1" l="1"/>
  <c r="M1150" i="1" s="1"/>
  <c r="J1150" i="1"/>
  <c r="I1150" i="1"/>
  <c r="K1150" i="1" s="1"/>
  <c r="H1151" i="1" s="1"/>
  <c r="L1151" i="1" l="1"/>
  <c r="M1151" i="1" s="1"/>
  <c r="J1151" i="1"/>
  <c r="I1151" i="1"/>
  <c r="K1151" i="1" s="1"/>
  <c r="H1152" i="1" s="1"/>
  <c r="L1152" i="1" l="1"/>
  <c r="M1152" i="1" s="1"/>
  <c r="J1152" i="1"/>
  <c r="I1152" i="1"/>
  <c r="K1152" i="1" s="1"/>
  <c r="H1153" i="1" s="1"/>
  <c r="L1153" i="1" l="1"/>
  <c r="M1153" i="1" s="1"/>
  <c r="I1153" i="1"/>
  <c r="K1153" i="1" s="1"/>
  <c r="H1154" i="1" s="1"/>
  <c r="J1153" i="1"/>
  <c r="L1154" i="1" l="1"/>
  <c r="M1154" i="1" s="1"/>
  <c r="I1154" i="1"/>
  <c r="K1154" i="1" s="1"/>
  <c r="H1155" i="1" s="1"/>
  <c r="J1154" i="1"/>
  <c r="L1155" i="1" l="1"/>
  <c r="M1155" i="1" s="1"/>
  <c r="I1155" i="1"/>
  <c r="K1155" i="1" s="1"/>
  <c r="H1156" i="1" s="1"/>
  <c r="J1155" i="1"/>
  <c r="L1156" i="1" l="1"/>
  <c r="M1156" i="1" s="1"/>
  <c r="J1156" i="1"/>
  <c r="I1156" i="1"/>
  <c r="K1156" i="1" s="1"/>
  <c r="H1157" i="1" s="1"/>
  <c r="L1157" i="1" l="1"/>
  <c r="M1157" i="1" s="1"/>
  <c r="J1157" i="1"/>
  <c r="I1157" i="1"/>
  <c r="K1157" i="1" s="1"/>
  <c r="H1158" i="1" s="1"/>
  <c r="L1158" i="1" l="1"/>
  <c r="M1158" i="1" s="1"/>
  <c r="I1158" i="1"/>
  <c r="K1158" i="1" s="1"/>
  <c r="H1159" i="1" s="1"/>
  <c r="J1158" i="1"/>
  <c r="L1159" i="1" l="1"/>
  <c r="M1159" i="1" s="1"/>
  <c r="I1159" i="1"/>
  <c r="K1159" i="1" s="1"/>
  <c r="H1160" i="1" s="1"/>
  <c r="J1159" i="1"/>
  <c r="L1160" i="1" l="1"/>
  <c r="M1160" i="1" s="1"/>
  <c r="J1160" i="1"/>
  <c r="I1160" i="1"/>
  <c r="K1160" i="1" s="1"/>
  <c r="H1161" i="1" s="1"/>
  <c r="I1161" i="1" l="1"/>
  <c r="K1161" i="1" s="1"/>
  <c r="H1162" i="1" s="1"/>
  <c r="J1161" i="1"/>
  <c r="L1161" i="1"/>
  <c r="M1161" i="1" s="1"/>
  <c r="L1162" i="1" l="1"/>
  <c r="M1162" i="1" s="1"/>
  <c r="J1162" i="1"/>
  <c r="I1162" i="1"/>
  <c r="K1162" i="1" s="1"/>
  <c r="H1163" i="1" s="1"/>
  <c r="L1163" i="1" l="1"/>
  <c r="M1163" i="1" s="1"/>
  <c r="J1163" i="1"/>
  <c r="I1163" i="1"/>
  <c r="K1163" i="1" s="1"/>
  <c r="H1164" i="1" s="1"/>
  <c r="L1164" i="1" l="1"/>
  <c r="M1164" i="1" s="1"/>
  <c r="J1164" i="1"/>
  <c r="I1164" i="1"/>
  <c r="K1164" i="1" s="1"/>
  <c r="H1165" i="1" s="1"/>
  <c r="L1165" i="1" l="1"/>
  <c r="M1165" i="1" s="1"/>
  <c r="J1165" i="1"/>
  <c r="I1165" i="1"/>
  <c r="K1165" i="1" s="1"/>
  <c r="H1166" i="1" s="1"/>
  <c r="L1166" i="1" l="1"/>
  <c r="M1166" i="1" s="1"/>
  <c r="J1166" i="1"/>
  <c r="I1166" i="1"/>
  <c r="K1166" i="1" s="1"/>
  <c r="H1167" i="1" s="1"/>
  <c r="L1167" i="1" l="1"/>
  <c r="M1167" i="1" s="1"/>
  <c r="J1167" i="1"/>
  <c r="I1167" i="1"/>
  <c r="K1167" i="1" s="1"/>
  <c r="H1168" i="1" s="1"/>
  <c r="L1168" i="1" l="1"/>
  <c r="M1168" i="1" s="1"/>
  <c r="J1168" i="1"/>
  <c r="I1168" i="1"/>
  <c r="K1168" i="1" s="1"/>
  <c r="H1169" i="1" s="1"/>
  <c r="L1169" i="1" l="1"/>
  <c r="M1169" i="1" s="1"/>
  <c r="J1169" i="1"/>
  <c r="I1169" i="1"/>
  <c r="K1169" i="1" s="1"/>
  <c r="H1170" i="1" s="1"/>
  <c r="L1170" i="1" l="1"/>
  <c r="M1170" i="1" s="1"/>
  <c r="J1170" i="1"/>
  <c r="I1170" i="1"/>
  <c r="K1170" i="1" s="1"/>
  <c r="H1171" i="1" s="1"/>
  <c r="L1171" i="1" l="1"/>
  <c r="M1171" i="1" s="1"/>
  <c r="J1171" i="1"/>
  <c r="I1171" i="1"/>
  <c r="K1171" i="1" s="1"/>
  <c r="H1172" i="1" s="1"/>
  <c r="L1172" i="1" l="1"/>
  <c r="M1172" i="1" s="1"/>
  <c r="J1172" i="1"/>
  <c r="I1172" i="1"/>
  <c r="K1172" i="1" s="1"/>
  <c r="H1173" i="1" s="1"/>
  <c r="L1173" i="1" l="1"/>
  <c r="M1173" i="1" s="1"/>
  <c r="J1173" i="1"/>
  <c r="I1173" i="1"/>
  <c r="K1173" i="1" s="1"/>
  <c r="H1174" i="1" s="1"/>
  <c r="L1174" i="1" l="1"/>
  <c r="M1174" i="1" s="1"/>
  <c r="J1174" i="1"/>
  <c r="I1174" i="1"/>
  <c r="K1174" i="1" s="1"/>
  <c r="H1175" i="1" s="1"/>
  <c r="L1175" i="1" l="1"/>
  <c r="M1175" i="1" s="1"/>
  <c r="J1175" i="1"/>
  <c r="I1175" i="1"/>
  <c r="K1175" i="1" s="1"/>
  <c r="H1176" i="1" s="1"/>
  <c r="L1176" i="1" l="1"/>
  <c r="M1176" i="1" s="1"/>
  <c r="J1176" i="1"/>
  <c r="I1176" i="1"/>
  <c r="K1176" i="1" s="1"/>
  <c r="H1177" i="1" s="1"/>
  <c r="L1177" i="1" l="1"/>
  <c r="M1177" i="1" s="1"/>
  <c r="I1177" i="1"/>
  <c r="K1177" i="1" s="1"/>
  <c r="H1178" i="1" s="1"/>
  <c r="J1177" i="1"/>
  <c r="L1178" i="1" l="1"/>
  <c r="M1178" i="1" s="1"/>
  <c r="J1178" i="1"/>
  <c r="I1178" i="1"/>
  <c r="K1178" i="1" s="1"/>
  <c r="H1179" i="1" s="1"/>
  <c r="L1179" i="1" l="1"/>
  <c r="M1179" i="1" s="1"/>
  <c r="J1179" i="1"/>
  <c r="I1179" i="1"/>
  <c r="K1179" i="1" s="1"/>
  <c r="H1180" i="1" s="1"/>
  <c r="L1180" i="1" l="1"/>
  <c r="M1180" i="1" s="1"/>
  <c r="J1180" i="1"/>
  <c r="I1180" i="1"/>
  <c r="K1180" i="1" s="1"/>
  <c r="H1181" i="1" s="1"/>
  <c r="L1181" i="1" l="1"/>
  <c r="M1181" i="1" s="1"/>
  <c r="J1181" i="1"/>
  <c r="I1181" i="1"/>
  <c r="K1181" i="1" s="1"/>
  <c r="H1182" i="1" s="1"/>
  <c r="L1182" i="1" l="1"/>
  <c r="M1182" i="1" s="1"/>
  <c r="J1182" i="1"/>
  <c r="I1182" i="1"/>
  <c r="K1182" i="1" s="1"/>
  <c r="H1183" i="1" s="1"/>
  <c r="L1183" i="1" l="1"/>
  <c r="M1183" i="1" s="1"/>
  <c r="J1183" i="1"/>
  <c r="I1183" i="1"/>
  <c r="K1183" i="1" s="1"/>
  <c r="H1184" i="1" s="1"/>
  <c r="I1184" i="1" l="1"/>
  <c r="K1184" i="1" s="1"/>
  <c r="H1185" i="1" s="1"/>
  <c r="L1184" i="1"/>
  <c r="M1184" i="1" s="1"/>
  <c r="J1184" i="1"/>
  <c r="L1185" i="1" l="1"/>
  <c r="M1185" i="1" s="1"/>
  <c r="J1185" i="1"/>
  <c r="I1185" i="1"/>
  <c r="K1185" i="1" s="1"/>
  <c r="H1186" i="1" s="1"/>
  <c r="L1186" i="1" l="1"/>
  <c r="M1186" i="1" s="1"/>
  <c r="J1186" i="1"/>
  <c r="I1186" i="1"/>
  <c r="K1186" i="1" s="1"/>
  <c r="H1187" i="1" s="1"/>
  <c r="L1187" i="1" l="1"/>
  <c r="M1187" i="1" s="1"/>
  <c r="J1187" i="1"/>
  <c r="I1187" i="1"/>
  <c r="K1187" i="1" s="1"/>
  <c r="H1188" i="1" s="1"/>
  <c r="L1188" i="1" l="1"/>
  <c r="M1188" i="1" s="1"/>
  <c r="J1188" i="1"/>
  <c r="I1188" i="1"/>
  <c r="K1188" i="1" s="1"/>
  <c r="H1189" i="1" s="1"/>
  <c r="I1189" i="1" l="1"/>
  <c r="K1189" i="1" s="1"/>
  <c r="H1190" i="1" s="1"/>
  <c r="L1189" i="1"/>
  <c r="M1189" i="1" s="1"/>
  <c r="J1189" i="1"/>
  <c r="I1190" i="1" l="1"/>
  <c r="K1190" i="1" s="1"/>
  <c r="H1191" i="1" s="1"/>
  <c r="L1190" i="1"/>
  <c r="M1190" i="1" s="1"/>
  <c r="J1190" i="1"/>
  <c r="L1191" i="1" l="1"/>
  <c r="M1191" i="1" s="1"/>
  <c r="J1191" i="1"/>
  <c r="I1191" i="1"/>
  <c r="K1191" i="1" s="1"/>
  <c r="H1192" i="1" s="1"/>
  <c r="L1192" i="1" l="1"/>
  <c r="M1192" i="1" s="1"/>
  <c r="I1192" i="1"/>
  <c r="K1192" i="1" s="1"/>
  <c r="H1193" i="1" s="1"/>
  <c r="J1192" i="1"/>
  <c r="L1193" i="1" l="1"/>
  <c r="M1193" i="1" s="1"/>
  <c r="J1193" i="1"/>
  <c r="I1193" i="1"/>
  <c r="K1193" i="1" s="1"/>
  <c r="H1194" i="1" s="1"/>
  <c r="L1194" i="1" l="1"/>
  <c r="M1194" i="1" s="1"/>
  <c r="J1194" i="1"/>
  <c r="I1194" i="1"/>
  <c r="K1194" i="1" s="1"/>
  <c r="H1195" i="1" s="1"/>
  <c r="L1195" i="1" l="1"/>
  <c r="M1195" i="1" s="1"/>
  <c r="J1195" i="1"/>
  <c r="I1195" i="1"/>
  <c r="K1195" i="1" s="1"/>
  <c r="H1196" i="1" s="1"/>
  <c r="L1196" i="1" l="1"/>
  <c r="M1196" i="1" s="1"/>
  <c r="J1196" i="1"/>
  <c r="I1196" i="1"/>
  <c r="K1196" i="1" s="1"/>
  <c r="H1197" i="1" s="1"/>
  <c r="L1197" i="1" l="1"/>
  <c r="M1197" i="1" s="1"/>
  <c r="J1197" i="1"/>
  <c r="I1197" i="1"/>
  <c r="K1197" i="1" s="1"/>
  <c r="H1198" i="1" s="1"/>
  <c r="L1198" i="1" l="1"/>
  <c r="M1198" i="1" s="1"/>
  <c r="J1198" i="1"/>
  <c r="I1198" i="1"/>
  <c r="K1198" i="1" s="1"/>
  <c r="H1199" i="1" s="1"/>
  <c r="L1199" i="1" l="1"/>
  <c r="M1199" i="1" s="1"/>
  <c r="J1199" i="1"/>
  <c r="I1199" i="1"/>
  <c r="K1199" i="1" s="1"/>
  <c r="H1200" i="1" s="1"/>
  <c r="L1200" i="1" l="1"/>
  <c r="M1200" i="1" s="1"/>
  <c r="J1200" i="1"/>
  <c r="I1200" i="1"/>
  <c r="K1200" i="1" s="1"/>
  <c r="H1201" i="1" s="1"/>
  <c r="L1201" i="1" l="1"/>
  <c r="M1201" i="1" s="1"/>
  <c r="J1201" i="1"/>
  <c r="I1201" i="1"/>
  <c r="K1201" i="1" s="1"/>
  <c r="H1202" i="1" s="1"/>
  <c r="L1202" i="1" l="1"/>
  <c r="M1202" i="1" s="1"/>
  <c r="J1202" i="1"/>
  <c r="I1202" i="1"/>
  <c r="K1202" i="1" s="1"/>
  <c r="H1203" i="1" s="1"/>
  <c r="L1203" i="1" l="1"/>
  <c r="M1203" i="1" s="1"/>
  <c r="J1203" i="1"/>
  <c r="I1203" i="1"/>
  <c r="K1203" i="1" s="1"/>
  <c r="H1204" i="1" s="1"/>
  <c r="L1204" i="1" l="1"/>
  <c r="M1204" i="1" s="1"/>
  <c r="J1204" i="1"/>
  <c r="I1204" i="1"/>
  <c r="K1204" i="1" s="1"/>
  <c r="H1205" i="1" s="1"/>
  <c r="L1205" i="1" l="1"/>
  <c r="M1205" i="1" s="1"/>
  <c r="J1205" i="1"/>
  <c r="I1205" i="1"/>
  <c r="K1205" i="1" s="1"/>
  <c r="H1206" i="1" s="1"/>
  <c r="L1206" i="1" l="1"/>
  <c r="M1206" i="1" s="1"/>
  <c r="J1206" i="1"/>
  <c r="I1206" i="1"/>
  <c r="K1206" i="1" s="1"/>
  <c r="H1207" i="1" s="1"/>
  <c r="L1207" i="1" l="1"/>
  <c r="M1207" i="1" s="1"/>
  <c r="J1207" i="1"/>
  <c r="I1207" i="1"/>
  <c r="K1207" i="1" s="1"/>
  <c r="H1208" i="1" s="1"/>
  <c r="L1208" i="1" l="1"/>
  <c r="M1208" i="1" s="1"/>
  <c r="J1208" i="1"/>
  <c r="I1208" i="1"/>
  <c r="K1208" i="1" s="1"/>
  <c r="H1209" i="1" s="1"/>
  <c r="L1209" i="1" l="1"/>
  <c r="M1209" i="1" s="1"/>
  <c r="J1209" i="1"/>
  <c r="I1209" i="1"/>
  <c r="K1209" i="1" s="1"/>
  <c r="H1210" i="1" s="1"/>
  <c r="L1210" i="1" l="1"/>
  <c r="M1210" i="1" s="1"/>
  <c r="J1210" i="1"/>
  <c r="I1210" i="1"/>
  <c r="K1210" i="1" s="1"/>
  <c r="H1211" i="1" s="1"/>
  <c r="L1211" i="1" l="1"/>
  <c r="M1211" i="1" s="1"/>
  <c r="J1211" i="1"/>
  <c r="I1211" i="1"/>
  <c r="K1211" i="1" s="1"/>
  <c r="H1212" i="1" s="1"/>
  <c r="L1212" i="1" l="1"/>
  <c r="M1212" i="1" s="1"/>
  <c r="J1212" i="1"/>
  <c r="I1212" i="1"/>
  <c r="K1212" i="1" s="1"/>
  <c r="H1213" i="1" s="1"/>
  <c r="L1213" i="1" l="1"/>
  <c r="M1213" i="1" s="1"/>
  <c r="J1213" i="1"/>
  <c r="I1213" i="1"/>
  <c r="K1213" i="1" s="1"/>
  <c r="H1214" i="1" s="1"/>
  <c r="L1214" i="1" l="1"/>
  <c r="M1214" i="1" s="1"/>
  <c r="J1214" i="1"/>
  <c r="I1214" i="1"/>
  <c r="K1214" i="1" s="1"/>
  <c r="H1215" i="1" s="1"/>
  <c r="L1215" i="1" l="1"/>
  <c r="M1215" i="1" s="1"/>
  <c r="J1215" i="1"/>
  <c r="I1215" i="1"/>
  <c r="K1215" i="1" s="1"/>
  <c r="H1216" i="1" s="1"/>
  <c r="L1216" i="1" l="1"/>
  <c r="M1216" i="1" s="1"/>
  <c r="J1216" i="1"/>
  <c r="I1216" i="1"/>
  <c r="K1216" i="1" s="1"/>
  <c r="H1217" i="1" s="1"/>
  <c r="L1217" i="1" l="1"/>
  <c r="M1217" i="1" s="1"/>
  <c r="J1217" i="1"/>
  <c r="I1217" i="1"/>
  <c r="K1217" i="1" s="1"/>
  <c r="H1218" i="1" s="1"/>
  <c r="L1218" i="1" l="1"/>
  <c r="M1218" i="1" s="1"/>
  <c r="J1218" i="1"/>
  <c r="I1218" i="1"/>
  <c r="K1218" i="1" s="1"/>
  <c r="H1219" i="1" s="1"/>
  <c r="L1219" i="1" l="1"/>
  <c r="M1219" i="1" s="1"/>
  <c r="J1219" i="1"/>
  <c r="I1219" i="1"/>
  <c r="K1219" i="1" s="1"/>
  <c r="H1220" i="1" s="1"/>
  <c r="J1220" i="1" l="1"/>
  <c r="L1220" i="1"/>
  <c r="M1220" i="1" s="1"/>
  <c r="I1220" i="1"/>
  <c r="K1220" i="1" s="1"/>
  <c r="H1221" i="1" s="1"/>
  <c r="L1221" i="1" l="1"/>
  <c r="M1221" i="1" s="1"/>
  <c r="J1221" i="1"/>
  <c r="I1221" i="1"/>
  <c r="K1221" i="1" s="1"/>
  <c r="H1222" i="1" s="1"/>
  <c r="L1222" i="1" l="1"/>
  <c r="M1222" i="1" s="1"/>
  <c r="J1222" i="1"/>
  <c r="I1222" i="1"/>
  <c r="K1222" i="1" s="1"/>
  <c r="H1223" i="1" s="1"/>
  <c r="L1223" i="1" l="1"/>
  <c r="M1223" i="1" s="1"/>
  <c r="J1223" i="1"/>
  <c r="I1223" i="1"/>
  <c r="K1223" i="1" s="1"/>
  <c r="H1224" i="1" s="1"/>
  <c r="L1224" i="1" l="1"/>
  <c r="M1224" i="1" s="1"/>
  <c r="I1224" i="1"/>
  <c r="K1224" i="1" s="1"/>
  <c r="H1225" i="1" s="1"/>
  <c r="J1224" i="1"/>
  <c r="L1225" i="1" l="1"/>
  <c r="M1225" i="1" s="1"/>
  <c r="J1225" i="1"/>
  <c r="I1225" i="1"/>
  <c r="K1225" i="1" s="1"/>
  <c r="H1226" i="1" s="1"/>
  <c r="L1226" i="1" l="1"/>
  <c r="M1226" i="1" s="1"/>
  <c r="J1226" i="1"/>
  <c r="I1226" i="1"/>
  <c r="K1226" i="1" s="1"/>
  <c r="H1227" i="1" s="1"/>
  <c r="L1227" i="1" l="1"/>
  <c r="M1227" i="1" s="1"/>
  <c r="I1227" i="1"/>
  <c r="K1227" i="1" s="1"/>
  <c r="H1228" i="1" s="1"/>
  <c r="J1227" i="1"/>
  <c r="L1228" i="1" l="1"/>
  <c r="M1228" i="1" s="1"/>
  <c r="J1228" i="1"/>
  <c r="I1228" i="1"/>
  <c r="K1228" i="1" s="1"/>
  <c r="H1229" i="1" s="1"/>
  <c r="L1229" i="1" l="1"/>
  <c r="M1229" i="1" s="1"/>
  <c r="J1229" i="1"/>
  <c r="I1229" i="1"/>
  <c r="K1229" i="1" s="1"/>
  <c r="H1230" i="1" s="1"/>
  <c r="L1230" i="1" l="1"/>
  <c r="M1230" i="1" s="1"/>
  <c r="J1230" i="1"/>
  <c r="I1230" i="1"/>
  <c r="K1230" i="1" s="1"/>
  <c r="H1231" i="1" s="1"/>
  <c r="L1231" i="1" l="1"/>
  <c r="M1231" i="1" s="1"/>
  <c r="J1231" i="1"/>
  <c r="I1231" i="1"/>
  <c r="K1231" i="1" s="1"/>
  <c r="H1232" i="1" s="1"/>
  <c r="J1232" i="1" l="1"/>
  <c r="L1232" i="1"/>
  <c r="M1232" i="1" s="1"/>
  <c r="I1232" i="1"/>
  <c r="K1232" i="1" s="1"/>
  <c r="H1233" i="1" s="1"/>
  <c r="L1233" i="1" l="1"/>
  <c r="M1233" i="1" s="1"/>
  <c r="J1233" i="1"/>
  <c r="I1233" i="1"/>
  <c r="K1233" i="1" s="1"/>
  <c r="H1234" i="1" s="1"/>
  <c r="L1234" i="1" l="1"/>
  <c r="M1234" i="1" s="1"/>
  <c r="J1234" i="1"/>
  <c r="I1234" i="1"/>
  <c r="K1234" i="1" s="1"/>
  <c r="H1235" i="1" s="1"/>
  <c r="L1235" i="1" l="1"/>
  <c r="M1235" i="1" s="1"/>
  <c r="J1235" i="1"/>
  <c r="I1235" i="1"/>
  <c r="K1235" i="1" s="1"/>
  <c r="H1236" i="1" s="1"/>
  <c r="L1236" i="1" l="1"/>
  <c r="M1236" i="1" s="1"/>
  <c r="J1236" i="1"/>
  <c r="I1236" i="1"/>
  <c r="K1236" i="1" s="1"/>
  <c r="H1237" i="1" s="1"/>
  <c r="L1237" i="1" l="1"/>
  <c r="M1237" i="1" s="1"/>
  <c r="J1237" i="1"/>
  <c r="I1237" i="1"/>
  <c r="K1237" i="1" s="1"/>
  <c r="H1238" i="1" s="1"/>
  <c r="L1238" i="1" l="1"/>
  <c r="M1238" i="1" s="1"/>
  <c r="J1238" i="1"/>
  <c r="I1238" i="1"/>
  <c r="K1238" i="1" s="1"/>
  <c r="H1239" i="1" s="1"/>
  <c r="L1239" i="1" l="1"/>
  <c r="M1239" i="1" s="1"/>
  <c r="J1239" i="1"/>
  <c r="I1239" i="1"/>
  <c r="K1239" i="1" s="1"/>
  <c r="H1240" i="1" s="1"/>
  <c r="L1240" i="1" l="1"/>
  <c r="M1240" i="1" s="1"/>
  <c r="I1240" i="1"/>
  <c r="K1240" i="1" s="1"/>
  <c r="H1241" i="1" s="1"/>
  <c r="J1240" i="1"/>
  <c r="L1241" i="1" l="1"/>
  <c r="M1241" i="1" s="1"/>
  <c r="J1241" i="1"/>
  <c r="I1241" i="1"/>
  <c r="K1241" i="1" s="1"/>
  <c r="H1242" i="1" s="1"/>
  <c r="L1242" i="1" l="1"/>
  <c r="M1242" i="1" s="1"/>
  <c r="J1242" i="1"/>
  <c r="I1242" i="1"/>
  <c r="K1242" i="1" s="1"/>
  <c r="H1243" i="1" s="1"/>
  <c r="L1243" i="1" l="1"/>
  <c r="M1243" i="1" s="1"/>
  <c r="J1243" i="1"/>
  <c r="I1243" i="1"/>
  <c r="K1243" i="1" s="1"/>
  <c r="H1244" i="1" s="1"/>
  <c r="L1244" i="1" l="1"/>
  <c r="M1244" i="1" s="1"/>
  <c r="J1244" i="1"/>
  <c r="I1244" i="1"/>
  <c r="K1244" i="1" s="1"/>
  <c r="H1245" i="1" s="1"/>
  <c r="J1245" i="1" l="1"/>
  <c r="I1245" i="1"/>
  <c r="K1245" i="1" s="1"/>
  <c r="H1246" i="1" s="1"/>
  <c r="L1245" i="1"/>
  <c r="M1245" i="1" s="1"/>
  <c r="L1246" i="1" l="1"/>
  <c r="M1246" i="1" s="1"/>
  <c r="J1246" i="1"/>
  <c r="I1246" i="1"/>
  <c r="K1246" i="1" s="1"/>
  <c r="H1247" i="1" s="1"/>
  <c r="L1247" i="1" l="1"/>
  <c r="M1247" i="1" s="1"/>
  <c r="J1247" i="1"/>
  <c r="I1247" i="1"/>
  <c r="K1247" i="1" s="1"/>
  <c r="H1248" i="1" s="1"/>
  <c r="I1248" i="1" l="1"/>
  <c r="K1248" i="1" s="1"/>
  <c r="H1249" i="1" s="1"/>
  <c r="L1248" i="1"/>
  <c r="M1248" i="1" s="1"/>
  <c r="J1248" i="1"/>
  <c r="L1249" i="1" l="1"/>
  <c r="M1249" i="1" s="1"/>
  <c r="J1249" i="1"/>
  <c r="I1249" i="1"/>
  <c r="K1249" i="1" s="1"/>
  <c r="H1250" i="1" s="1"/>
  <c r="L1250" i="1" l="1"/>
  <c r="M1250" i="1" s="1"/>
  <c r="J1250" i="1"/>
  <c r="I1250" i="1"/>
  <c r="K1250" i="1" s="1"/>
  <c r="H1251" i="1" s="1"/>
  <c r="L1251" i="1" l="1"/>
  <c r="M1251" i="1" s="1"/>
  <c r="I1251" i="1"/>
  <c r="K1251" i="1" s="1"/>
  <c r="H1252" i="1" s="1"/>
  <c r="J1251" i="1"/>
  <c r="L1252" i="1" l="1"/>
  <c r="M1252" i="1" s="1"/>
  <c r="J1252" i="1"/>
  <c r="I1252" i="1"/>
  <c r="K1252" i="1" s="1"/>
  <c r="H1253" i="1" s="1"/>
  <c r="L1253" i="1" l="1"/>
  <c r="M1253" i="1" s="1"/>
  <c r="J1253" i="1"/>
  <c r="I1253" i="1"/>
  <c r="K1253" i="1" s="1"/>
  <c r="H1254" i="1" s="1"/>
  <c r="L1254" i="1" l="1"/>
  <c r="M1254" i="1" s="1"/>
  <c r="J1254" i="1"/>
  <c r="I1254" i="1"/>
  <c r="K1254" i="1" s="1"/>
  <c r="H1255" i="1" s="1"/>
  <c r="L1255" i="1" l="1"/>
  <c r="M1255" i="1" s="1"/>
  <c r="J1255" i="1"/>
  <c r="I1255" i="1"/>
  <c r="K1255" i="1" s="1"/>
  <c r="H1256" i="1" s="1"/>
  <c r="I1256" i="1" l="1"/>
  <c r="K1256" i="1" s="1"/>
  <c r="H1257" i="1" s="1"/>
  <c r="J1256" i="1"/>
  <c r="L1256" i="1"/>
  <c r="M1256" i="1" s="1"/>
  <c r="L1257" i="1" l="1"/>
  <c r="M1257" i="1" s="1"/>
  <c r="J1257" i="1"/>
  <c r="I1257" i="1"/>
  <c r="K1257" i="1" s="1"/>
  <c r="H1258" i="1" s="1"/>
  <c r="L1258" i="1" l="1"/>
  <c r="M1258" i="1" s="1"/>
  <c r="J1258" i="1"/>
  <c r="I1258" i="1"/>
  <c r="K1258" i="1" s="1"/>
  <c r="H1259" i="1" s="1"/>
  <c r="L1259" i="1" l="1"/>
  <c r="M1259" i="1" s="1"/>
  <c r="J1259" i="1"/>
  <c r="I1259" i="1"/>
  <c r="K1259" i="1" s="1"/>
  <c r="H1260" i="1" s="1"/>
  <c r="L1260" i="1" l="1"/>
  <c r="M1260" i="1" s="1"/>
  <c r="J1260" i="1"/>
  <c r="I1260" i="1"/>
  <c r="K1260" i="1" s="1"/>
  <c r="H1261" i="1" s="1"/>
  <c r="L1261" i="1" l="1"/>
  <c r="M1261" i="1" s="1"/>
  <c r="I1261" i="1"/>
  <c r="K1261" i="1" s="1"/>
  <c r="H1262" i="1" s="1"/>
  <c r="J1261" i="1"/>
  <c r="L1262" i="1" l="1"/>
  <c r="M1262" i="1" s="1"/>
  <c r="J1262" i="1"/>
  <c r="I1262" i="1"/>
  <c r="K1262" i="1" s="1"/>
  <c r="H1263" i="1" s="1"/>
  <c r="L1263" i="1" l="1"/>
  <c r="M1263" i="1" s="1"/>
  <c r="J1263" i="1"/>
  <c r="I1263" i="1"/>
  <c r="K1263" i="1" s="1"/>
  <c r="H1264" i="1" s="1"/>
  <c r="L1264" i="1" l="1"/>
  <c r="M1264" i="1" s="1"/>
  <c r="J1264" i="1"/>
  <c r="I1264" i="1"/>
  <c r="K1264" i="1" s="1"/>
  <c r="H1265" i="1" s="1"/>
  <c r="L1265" i="1" l="1"/>
  <c r="M1265" i="1" s="1"/>
  <c r="J1265" i="1"/>
  <c r="I1265" i="1"/>
  <c r="K1265" i="1" s="1"/>
  <c r="H1266" i="1" s="1"/>
  <c r="L1266" i="1" l="1"/>
  <c r="M1266" i="1" s="1"/>
  <c r="J1266" i="1"/>
  <c r="I1266" i="1"/>
  <c r="K1266" i="1" s="1"/>
  <c r="H1267" i="1" s="1"/>
  <c r="J1267" i="1" l="1"/>
  <c r="L1267" i="1"/>
  <c r="M1267" i="1" s="1"/>
  <c r="I1267" i="1"/>
  <c r="K1267" i="1" s="1"/>
  <c r="H1268" i="1" s="1"/>
  <c r="L1268" i="1" l="1"/>
  <c r="M1268" i="1" s="1"/>
  <c r="J1268" i="1"/>
  <c r="I1268" i="1"/>
  <c r="K1268" i="1" s="1"/>
  <c r="H1269" i="1" s="1"/>
  <c r="L1269" i="1" l="1"/>
  <c r="M1269" i="1" s="1"/>
  <c r="J1269" i="1"/>
  <c r="I1269" i="1"/>
  <c r="K1269" i="1" s="1"/>
  <c r="H1270" i="1" s="1"/>
  <c r="L1270" i="1" l="1"/>
  <c r="M1270" i="1" s="1"/>
  <c r="J1270" i="1"/>
  <c r="I1270" i="1"/>
  <c r="K1270" i="1" s="1"/>
  <c r="H1271" i="1" s="1"/>
  <c r="L1271" i="1" l="1"/>
  <c r="M1271" i="1" s="1"/>
  <c r="J1271" i="1"/>
  <c r="I1271" i="1"/>
  <c r="K1271" i="1" s="1"/>
  <c r="H1272" i="1" s="1"/>
  <c r="L1272" i="1" l="1"/>
  <c r="M1272" i="1" s="1"/>
  <c r="J1272" i="1"/>
  <c r="I1272" i="1"/>
  <c r="K1272" i="1" s="1"/>
  <c r="H1273" i="1" s="1"/>
  <c r="J1273" i="1" l="1"/>
  <c r="L1273" i="1"/>
  <c r="M1273" i="1" s="1"/>
  <c r="I1273" i="1"/>
  <c r="K1273" i="1" s="1"/>
  <c r="H1274" i="1" s="1"/>
  <c r="J1274" i="1" l="1"/>
  <c r="L1274" i="1"/>
  <c r="M1274" i="1" s="1"/>
  <c r="I1274" i="1"/>
  <c r="K1274" i="1" s="1"/>
  <c r="H1275" i="1" s="1"/>
  <c r="L1275" i="1" l="1"/>
  <c r="M1275" i="1" s="1"/>
  <c r="I1275" i="1"/>
  <c r="K1275" i="1" s="1"/>
  <c r="H1276" i="1" s="1"/>
  <c r="J1275" i="1"/>
  <c r="L1276" i="1" l="1"/>
  <c r="M1276" i="1" s="1"/>
  <c r="J1276" i="1"/>
  <c r="I1276" i="1"/>
  <c r="K1276" i="1" s="1"/>
  <c r="H1277" i="1" s="1"/>
  <c r="L1277" i="1" l="1"/>
  <c r="M1277" i="1" s="1"/>
  <c r="J1277" i="1"/>
  <c r="I1277" i="1"/>
  <c r="K1277" i="1" s="1"/>
  <c r="H1278" i="1" s="1"/>
  <c r="L1278" i="1" l="1"/>
  <c r="M1278" i="1" s="1"/>
  <c r="J1278" i="1"/>
  <c r="I1278" i="1"/>
  <c r="K1278" i="1" s="1"/>
  <c r="H1279" i="1" s="1"/>
  <c r="L1279" i="1" l="1"/>
  <c r="M1279" i="1" s="1"/>
  <c r="J1279" i="1"/>
  <c r="I1279" i="1"/>
  <c r="K1279" i="1" s="1"/>
  <c r="H1280" i="1" s="1"/>
  <c r="L1280" i="1" l="1"/>
  <c r="M1280" i="1" s="1"/>
  <c r="J1280" i="1"/>
  <c r="I1280" i="1"/>
  <c r="K1280" i="1" s="1"/>
  <c r="H1281" i="1" s="1"/>
  <c r="J1281" i="1" l="1"/>
  <c r="I1281" i="1"/>
  <c r="K1281" i="1" s="1"/>
  <c r="H1282" i="1" s="1"/>
  <c r="L1281" i="1"/>
  <c r="M1281" i="1" s="1"/>
  <c r="L1282" i="1" l="1"/>
  <c r="M1282" i="1" s="1"/>
  <c r="J1282" i="1"/>
  <c r="I1282" i="1"/>
  <c r="K1282" i="1" s="1"/>
  <c r="H1283" i="1" s="1"/>
  <c r="L1283" i="1" l="1"/>
  <c r="M1283" i="1" s="1"/>
  <c r="J1283" i="1"/>
  <c r="I1283" i="1"/>
  <c r="K1283" i="1" s="1"/>
  <c r="H1284" i="1" s="1"/>
  <c r="L1284" i="1" l="1"/>
  <c r="M1284" i="1" s="1"/>
  <c r="J1284" i="1"/>
  <c r="I1284" i="1"/>
  <c r="K1284" i="1" s="1"/>
  <c r="H1285" i="1" s="1"/>
  <c r="L1285" i="1" l="1"/>
  <c r="M1285" i="1" s="1"/>
  <c r="J1285" i="1"/>
  <c r="I1285" i="1"/>
  <c r="K1285" i="1" s="1"/>
  <c r="H1286" i="1" s="1"/>
  <c r="L1286" i="1" l="1"/>
  <c r="M1286" i="1" s="1"/>
  <c r="J1286" i="1"/>
  <c r="I1286" i="1"/>
  <c r="K1286" i="1" s="1"/>
  <c r="H1287" i="1" s="1"/>
  <c r="L1287" i="1" l="1"/>
  <c r="M1287" i="1" s="1"/>
  <c r="J1287" i="1"/>
  <c r="I1287" i="1"/>
  <c r="K1287" i="1" s="1"/>
  <c r="H1288" i="1" s="1"/>
  <c r="L1288" i="1" l="1"/>
  <c r="M1288" i="1" s="1"/>
  <c r="J1288" i="1"/>
  <c r="I1288" i="1"/>
  <c r="K1288" i="1" s="1"/>
  <c r="H1289" i="1" s="1"/>
  <c r="L1289" i="1" l="1"/>
  <c r="M1289" i="1" s="1"/>
  <c r="J1289" i="1"/>
  <c r="I1289" i="1"/>
  <c r="K1289" i="1" s="1"/>
  <c r="H1290" i="1" s="1"/>
  <c r="J1290" i="1" l="1"/>
  <c r="L1290" i="1"/>
  <c r="M1290" i="1" s="1"/>
  <c r="I1290" i="1"/>
  <c r="K1290" i="1" s="1"/>
  <c r="H1291" i="1" s="1"/>
  <c r="L1291" i="1" l="1"/>
  <c r="M1291" i="1" s="1"/>
  <c r="J1291" i="1"/>
  <c r="I1291" i="1"/>
  <c r="K1291" i="1" s="1"/>
  <c r="H1292" i="1" s="1"/>
  <c r="L1292" i="1" l="1"/>
  <c r="M1292" i="1" s="1"/>
  <c r="J1292" i="1"/>
  <c r="I1292" i="1"/>
  <c r="K1292" i="1" s="1"/>
  <c r="H1293" i="1" s="1"/>
  <c r="L1293" i="1" l="1"/>
  <c r="M1293" i="1" s="1"/>
  <c r="J1293" i="1"/>
  <c r="I1293" i="1"/>
  <c r="K1293" i="1" s="1"/>
  <c r="H1294" i="1" s="1"/>
  <c r="L1294" i="1" l="1"/>
  <c r="M1294" i="1" s="1"/>
  <c r="J1294" i="1"/>
  <c r="I1294" i="1"/>
  <c r="K1294" i="1" s="1"/>
  <c r="H1295" i="1" s="1"/>
  <c r="L1295" i="1" l="1"/>
  <c r="M1295" i="1" s="1"/>
  <c r="J1295" i="1"/>
  <c r="I1295" i="1"/>
  <c r="K1295" i="1" s="1"/>
  <c r="H1296" i="1" s="1"/>
  <c r="L1296" i="1" l="1"/>
  <c r="M1296" i="1" s="1"/>
  <c r="J1296" i="1"/>
  <c r="I1296" i="1"/>
  <c r="K1296" i="1" s="1"/>
  <c r="H1297" i="1" s="1"/>
  <c r="L1297" i="1" l="1"/>
  <c r="M1297" i="1" s="1"/>
  <c r="J1297" i="1"/>
  <c r="I1297" i="1"/>
  <c r="K1297" i="1" s="1"/>
  <c r="H1298" i="1" s="1"/>
  <c r="L1298" i="1" l="1"/>
  <c r="M1298" i="1" s="1"/>
  <c r="J1298" i="1"/>
  <c r="I1298" i="1"/>
  <c r="K1298" i="1" s="1"/>
  <c r="H1299" i="1" s="1"/>
  <c r="L1299" i="1" l="1"/>
  <c r="M1299" i="1" s="1"/>
  <c r="I1299" i="1"/>
  <c r="K1299" i="1" s="1"/>
  <c r="H1300" i="1" s="1"/>
  <c r="J1299" i="1"/>
  <c r="L1300" i="1" l="1"/>
  <c r="M1300" i="1" s="1"/>
  <c r="J1300" i="1"/>
  <c r="I1300" i="1"/>
  <c r="K1300" i="1" s="1"/>
  <c r="H1301" i="1" s="1"/>
  <c r="L1301" i="1" l="1"/>
  <c r="M1301" i="1" s="1"/>
  <c r="J1301" i="1"/>
  <c r="I1301" i="1"/>
  <c r="K1301" i="1" s="1"/>
  <c r="H1302" i="1" s="1"/>
  <c r="L1302" i="1" l="1"/>
  <c r="M1302" i="1" s="1"/>
  <c r="J1302" i="1"/>
  <c r="I1302" i="1"/>
  <c r="K1302" i="1" s="1"/>
  <c r="H1303" i="1" s="1"/>
  <c r="L1303" i="1" l="1"/>
  <c r="M1303" i="1" s="1"/>
  <c r="I1303" i="1"/>
  <c r="K1303" i="1" s="1"/>
  <c r="H1304" i="1" s="1"/>
  <c r="J1303" i="1"/>
  <c r="L1304" i="1" l="1"/>
  <c r="M1304" i="1" s="1"/>
  <c r="J1304" i="1"/>
  <c r="I1304" i="1"/>
  <c r="K1304" i="1" s="1"/>
  <c r="H1305" i="1" s="1"/>
  <c r="J1305" i="1" l="1"/>
  <c r="L1305" i="1"/>
  <c r="M1305" i="1" s="1"/>
  <c r="I1305" i="1"/>
  <c r="K1305" i="1" s="1"/>
  <c r="H1306" i="1" s="1"/>
  <c r="L1306" i="1" l="1"/>
  <c r="M1306" i="1" s="1"/>
  <c r="J1306" i="1"/>
  <c r="I1306" i="1"/>
  <c r="K1306" i="1" s="1"/>
  <c r="H1307" i="1" s="1"/>
  <c r="L1307" i="1" l="1"/>
  <c r="M1307" i="1" s="1"/>
  <c r="J1307" i="1"/>
  <c r="I1307" i="1"/>
  <c r="K1307" i="1" s="1"/>
  <c r="H1308" i="1" s="1"/>
  <c r="L1308" i="1" l="1"/>
  <c r="M1308" i="1" s="1"/>
  <c r="J1308" i="1"/>
  <c r="I1308" i="1"/>
  <c r="K1308" i="1" s="1"/>
  <c r="H1309" i="1" s="1"/>
  <c r="L1309" i="1" l="1"/>
  <c r="M1309" i="1" s="1"/>
  <c r="J1309" i="1"/>
  <c r="I1309" i="1"/>
  <c r="K1309" i="1" s="1"/>
  <c r="H1310" i="1" s="1"/>
  <c r="L1310" i="1" l="1"/>
  <c r="M1310" i="1" s="1"/>
  <c r="J1310" i="1"/>
  <c r="I1310" i="1"/>
  <c r="K1310" i="1" s="1"/>
  <c r="H1311" i="1" s="1"/>
  <c r="J1311" i="1" l="1"/>
  <c r="L1311" i="1"/>
  <c r="M1311" i="1" s="1"/>
  <c r="I1311" i="1"/>
  <c r="K1311" i="1" s="1"/>
  <c r="H1312" i="1" s="1"/>
  <c r="J1312" i="1" l="1"/>
  <c r="L1312" i="1"/>
  <c r="M1312" i="1" s="1"/>
  <c r="I1312" i="1"/>
  <c r="K1312" i="1" s="1"/>
  <c r="H1313" i="1" s="1"/>
  <c r="L1313" i="1" l="1"/>
  <c r="M1313" i="1" s="1"/>
  <c r="J1313" i="1"/>
  <c r="I1313" i="1"/>
  <c r="K1313" i="1" s="1"/>
  <c r="H1314" i="1" s="1"/>
  <c r="L1314" i="1" l="1"/>
  <c r="M1314" i="1" s="1"/>
  <c r="J1314" i="1"/>
  <c r="I1314" i="1"/>
  <c r="K1314" i="1" s="1"/>
  <c r="H1315" i="1" s="1"/>
  <c r="L1315" i="1" l="1"/>
  <c r="M1315" i="1" s="1"/>
  <c r="J1315" i="1"/>
  <c r="I1315" i="1"/>
  <c r="K1315" i="1" s="1"/>
  <c r="H1316" i="1" s="1"/>
  <c r="L1316" i="1" l="1"/>
  <c r="M1316" i="1" s="1"/>
  <c r="J1316" i="1"/>
  <c r="I1316" i="1"/>
  <c r="K1316" i="1" s="1"/>
  <c r="H1317" i="1" s="1"/>
  <c r="J1317" i="1" l="1"/>
  <c r="L1317" i="1"/>
  <c r="M1317" i="1" s="1"/>
  <c r="I1317" i="1"/>
  <c r="K1317" i="1" s="1"/>
  <c r="H1318" i="1" s="1"/>
  <c r="L1318" i="1" l="1"/>
  <c r="M1318" i="1" s="1"/>
  <c r="J1318" i="1"/>
  <c r="I1318" i="1"/>
  <c r="K1318" i="1" s="1"/>
  <c r="H1319" i="1" s="1"/>
  <c r="L1319" i="1" l="1"/>
  <c r="M1319" i="1" s="1"/>
  <c r="I1319" i="1"/>
  <c r="K1319" i="1" s="1"/>
  <c r="H1320" i="1" s="1"/>
  <c r="J1319" i="1"/>
  <c r="L1320" i="1" l="1"/>
  <c r="M1320" i="1" s="1"/>
  <c r="J1320" i="1"/>
  <c r="I1320" i="1"/>
  <c r="K1320" i="1" s="1"/>
  <c r="H1321" i="1" s="1"/>
  <c r="L1321" i="1" l="1"/>
  <c r="M1321" i="1" s="1"/>
  <c r="J1321" i="1"/>
  <c r="I1321" i="1"/>
  <c r="K1321" i="1" s="1"/>
  <c r="H1322" i="1" s="1"/>
  <c r="L1322" i="1" l="1"/>
  <c r="M1322" i="1" s="1"/>
  <c r="J1322" i="1"/>
  <c r="I1322" i="1"/>
  <c r="K1322" i="1" s="1"/>
  <c r="H1323" i="1" s="1"/>
  <c r="L1323" i="1" l="1"/>
  <c r="M1323" i="1" s="1"/>
  <c r="I1323" i="1"/>
  <c r="K1323" i="1" s="1"/>
  <c r="H1324" i="1" s="1"/>
  <c r="J1323" i="1"/>
  <c r="I1324" i="1" l="1"/>
  <c r="K1324" i="1" s="1"/>
  <c r="H1325" i="1" s="1"/>
  <c r="J1324" i="1"/>
  <c r="L1324" i="1"/>
  <c r="M1324" i="1" s="1"/>
  <c r="L1325" i="1" l="1"/>
  <c r="M1325" i="1" s="1"/>
  <c r="I1325" i="1"/>
  <c r="K1325" i="1" s="1"/>
  <c r="H1326" i="1" s="1"/>
  <c r="J1325" i="1"/>
  <c r="J1326" i="1" l="1"/>
  <c r="L1326" i="1"/>
  <c r="M1326" i="1" s="1"/>
  <c r="I1326" i="1"/>
  <c r="K1326" i="1" s="1"/>
  <c r="H1327" i="1" s="1"/>
  <c r="L1327" i="1" l="1"/>
  <c r="M1327" i="1" s="1"/>
  <c r="J1327" i="1"/>
  <c r="I1327" i="1"/>
  <c r="K1327" i="1" s="1"/>
  <c r="H1328" i="1" s="1"/>
  <c r="J1328" i="1" l="1"/>
  <c r="I1328" i="1"/>
  <c r="K1328" i="1" s="1"/>
  <c r="H1329" i="1" s="1"/>
  <c r="L1328" i="1"/>
  <c r="M1328" i="1" s="1"/>
  <c r="L1329" i="1" l="1"/>
  <c r="M1329" i="1" s="1"/>
  <c r="J1329" i="1"/>
  <c r="I1329" i="1"/>
  <c r="K1329" i="1" s="1"/>
  <c r="H1330" i="1" s="1"/>
  <c r="J1330" i="1" l="1"/>
  <c r="I1330" i="1"/>
  <c r="K1330" i="1" s="1"/>
  <c r="H1331" i="1" s="1"/>
  <c r="L1330" i="1"/>
  <c r="M1330" i="1" s="1"/>
  <c r="L1331" i="1" l="1"/>
  <c r="M1331" i="1" s="1"/>
  <c r="J1331" i="1"/>
  <c r="I1331" i="1"/>
  <c r="K1331" i="1" s="1"/>
  <c r="H1332" i="1" s="1"/>
  <c r="L1332" i="1" l="1"/>
  <c r="M1332" i="1" s="1"/>
  <c r="J1332" i="1"/>
  <c r="I1332" i="1"/>
  <c r="K1332" i="1" s="1"/>
  <c r="H1333" i="1" s="1"/>
  <c r="L1333" i="1" l="1"/>
  <c r="M1333" i="1" s="1"/>
  <c r="J1333" i="1"/>
  <c r="I1333" i="1"/>
  <c r="K1333" i="1" s="1"/>
  <c r="H1334" i="1" s="1"/>
  <c r="L1334" i="1" l="1"/>
  <c r="M1334" i="1" s="1"/>
  <c r="I1334" i="1"/>
  <c r="K1334" i="1" s="1"/>
  <c r="H1335" i="1" s="1"/>
  <c r="J1334" i="1"/>
  <c r="L1335" i="1" l="1"/>
  <c r="M1335" i="1" s="1"/>
  <c r="J1335" i="1"/>
  <c r="I1335" i="1"/>
  <c r="K1335" i="1" s="1"/>
  <c r="H1336" i="1" s="1"/>
  <c r="L1336" i="1" l="1"/>
  <c r="M1336" i="1" s="1"/>
  <c r="J1336" i="1"/>
  <c r="I1336" i="1"/>
  <c r="K1336" i="1" s="1"/>
  <c r="H1337" i="1" s="1"/>
  <c r="L1337" i="1" l="1"/>
  <c r="M1337" i="1" s="1"/>
  <c r="J1337" i="1"/>
  <c r="I1337" i="1"/>
  <c r="K1337" i="1" s="1"/>
  <c r="H1338" i="1" s="1"/>
  <c r="L1338" i="1" l="1"/>
  <c r="M1338" i="1" s="1"/>
  <c r="J1338" i="1"/>
  <c r="I1338" i="1"/>
  <c r="K1338" i="1" s="1"/>
  <c r="H1339" i="1" s="1"/>
  <c r="J1339" i="1" l="1"/>
  <c r="L1339" i="1"/>
  <c r="M1339" i="1" s="1"/>
  <c r="I1339" i="1"/>
  <c r="K1339" i="1" s="1"/>
  <c r="H1340" i="1" s="1"/>
  <c r="J1340" i="1" l="1"/>
  <c r="L1340" i="1"/>
  <c r="M1340" i="1" s="1"/>
  <c r="I1340" i="1"/>
  <c r="K1340" i="1" s="1"/>
  <c r="H1341" i="1" s="1"/>
  <c r="L1341" i="1" l="1"/>
  <c r="M1341" i="1" s="1"/>
  <c r="J1341" i="1"/>
  <c r="I1341" i="1"/>
  <c r="K1341" i="1" s="1"/>
  <c r="H1342" i="1" s="1"/>
  <c r="L1342" i="1" l="1"/>
  <c r="M1342" i="1" s="1"/>
  <c r="J1342" i="1"/>
  <c r="I1342" i="1"/>
  <c r="K1342" i="1" s="1"/>
  <c r="H1343" i="1" s="1"/>
  <c r="L1343" i="1" l="1"/>
  <c r="M1343" i="1" s="1"/>
  <c r="J1343" i="1"/>
  <c r="I1343" i="1"/>
  <c r="K1343" i="1" s="1"/>
  <c r="H1344" i="1" s="1"/>
  <c r="L1344" i="1" l="1"/>
  <c r="M1344" i="1" s="1"/>
  <c r="J1344" i="1"/>
  <c r="I1344" i="1"/>
  <c r="K1344" i="1" s="1"/>
  <c r="H1345" i="1" s="1"/>
  <c r="L1345" i="1" l="1"/>
  <c r="M1345" i="1" s="1"/>
  <c r="J1345" i="1"/>
  <c r="I1345" i="1"/>
  <c r="K1345" i="1" s="1"/>
  <c r="H1346" i="1" s="1"/>
  <c r="L1346" i="1" l="1"/>
  <c r="M1346" i="1" s="1"/>
  <c r="J1346" i="1"/>
  <c r="I1346" i="1"/>
  <c r="K1346" i="1" s="1"/>
  <c r="H1347" i="1" s="1"/>
  <c r="J1347" i="1" l="1"/>
  <c r="I1347" i="1"/>
  <c r="K1347" i="1" s="1"/>
  <c r="H1348" i="1" s="1"/>
  <c r="L1347" i="1"/>
  <c r="M1347" i="1" s="1"/>
  <c r="J1348" i="1" l="1"/>
  <c r="I1348" i="1"/>
  <c r="K1348" i="1" s="1"/>
  <c r="H1349" i="1" s="1"/>
  <c r="L1348" i="1"/>
  <c r="M1348" i="1" s="1"/>
  <c r="L1349" i="1" l="1"/>
  <c r="M1349" i="1" s="1"/>
  <c r="I1349" i="1"/>
  <c r="K1349" i="1" s="1"/>
  <c r="H1350" i="1" s="1"/>
  <c r="J1349" i="1"/>
  <c r="L1350" i="1" l="1"/>
  <c r="M1350" i="1" s="1"/>
  <c r="I1350" i="1"/>
  <c r="K1350" i="1" s="1"/>
  <c r="H1351" i="1" s="1"/>
  <c r="J1350" i="1"/>
  <c r="L1351" i="1" l="1"/>
  <c r="M1351" i="1" s="1"/>
  <c r="J1351" i="1"/>
  <c r="I1351" i="1"/>
  <c r="K1351" i="1" s="1"/>
  <c r="H1352" i="1" s="1"/>
  <c r="L1352" i="1" l="1"/>
  <c r="M1352" i="1" s="1"/>
  <c r="I1352" i="1"/>
  <c r="K1352" i="1" s="1"/>
  <c r="H1353" i="1" s="1"/>
  <c r="J1352" i="1"/>
  <c r="J1353" i="1" l="1"/>
  <c r="I1353" i="1"/>
  <c r="K1353" i="1" s="1"/>
  <c r="H1354" i="1" s="1"/>
  <c r="L1353" i="1"/>
  <c r="M1353" i="1" s="1"/>
  <c r="L1354" i="1" l="1"/>
  <c r="M1354" i="1" s="1"/>
  <c r="J1354" i="1"/>
  <c r="I1354" i="1"/>
  <c r="K1354" i="1" s="1"/>
  <c r="H1355" i="1" s="1"/>
  <c r="L1355" i="1" l="1"/>
  <c r="M1355" i="1" s="1"/>
  <c r="J1355" i="1"/>
  <c r="I1355" i="1"/>
  <c r="K1355" i="1" s="1"/>
  <c r="H1356" i="1" s="1"/>
  <c r="L1356" i="1" l="1"/>
  <c r="M1356" i="1" s="1"/>
  <c r="J1356" i="1"/>
  <c r="I1356" i="1"/>
  <c r="K1356" i="1" s="1"/>
  <c r="H1357" i="1" s="1"/>
  <c r="L1357" i="1" l="1"/>
  <c r="M1357" i="1" s="1"/>
  <c r="I1357" i="1"/>
  <c r="K1357" i="1" s="1"/>
  <c r="H1358" i="1" s="1"/>
  <c r="J1357" i="1"/>
  <c r="L1358" i="1" l="1"/>
  <c r="M1358" i="1" s="1"/>
  <c r="J1358" i="1"/>
  <c r="I1358" i="1"/>
  <c r="K1358" i="1" s="1"/>
  <c r="H1359" i="1" s="1"/>
  <c r="J1359" i="1" l="1"/>
  <c r="L1359" i="1"/>
  <c r="M1359" i="1" s="1"/>
  <c r="I1359" i="1"/>
  <c r="K1359" i="1" s="1"/>
  <c r="H1360" i="1" s="1"/>
  <c r="L1360" i="1" l="1"/>
  <c r="M1360" i="1" s="1"/>
  <c r="J1360" i="1"/>
  <c r="I1360" i="1"/>
  <c r="K1360" i="1" s="1"/>
  <c r="H1361" i="1" s="1"/>
  <c r="L1361" i="1" l="1"/>
  <c r="M1361" i="1" s="1"/>
  <c r="I1361" i="1"/>
  <c r="K1361" i="1" s="1"/>
  <c r="H1362" i="1" s="1"/>
  <c r="J1361" i="1"/>
  <c r="L1362" i="1" l="1"/>
  <c r="M1362" i="1" s="1"/>
  <c r="I1362" i="1"/>
  <c r="K1362" i="1" s="1"/>
  <c r="H1363" i="1" s="1"/>
  <c r="J1362" i="1"/>
  <c r="J1363" i="1" l="1"/>
  <c r="I1363" i="1"/>
  <c r="K1363" i="1" s="1"/>
  <c r="H1364" i="1" s="1"/>
  <c r="L1363" i="1"/>
  <c r="M1363" i="1" s="1"/>
  <c r="L1364" i="1" l="1"/>
  <c r="M1364" i="1" s="1"/>
  <c r="I1364" i="1"/>
  <c r="K1364" i="1" s="1"/>
  <c r="H1365" i="1" s="1"/>
  <c r="J1364" i="1"/>
  <c r="J1365" i="1" l="1"/>
  <c r="L1365" i="1"/>
  <c r="M1365" i="1" s="1"/>
  <c r="I1365" i="1"/>
  <c r="K1365" i="1" s="1"/>
  <c r="H1366" i="1" s="1"/>
  <c r="L1366" i="1" l="1"/>
  <c r="M1366" i="1" s="1"/>
  <c r="J1366" i="1"/>
  <c r="I1366" i="1"/>
  <c r="K1366" i="1" s="1"/>
  <c r="H1367" i="1" s="1"/>
  <c r="L1367" i="1" l="1"/>
  <c r="M1367" i="1" s="1"/>
  <c r="J1367" i="1"/>
  <c r="I1367" i="1"/>
  <c r="K1367" i="1" s="1"/>
  <c r="H1368" i="1" s="1"/>
  <c r="L1368" i="1" l="1"/>
  <c r="M1368" i="1" s="1"/>
  <c r="J1368" i="1"/>
  <c r="I1368" i="1"/>
  <c r="K1368" i="1" s="1"/>
  <c r="H1369" i="1" s="1"/>
  <c r="L1369" i="1" l="1"/>
  <c r="M1369" i="1" s="1"/>
  <c r="J1369" i="1"/>
  <c r="I1369" i="1"/>
  <c r="K1369" i="1" s="1"/>
  <c r="H1370" i="1" s="1"/>
  <c r="L1370" i="1" l="1"/>
  <c r="M1370" i="1" s="1"/>
  <c r="J1370" i="1"/>
  <c r="I1370" i="1"/>
  <c r="K1370" i="1" s="1"/>
  <c r="H1371" i="1" s="1"/>
  <c r="L1371" i="1" l="1"/>
  <c r="M1371" i="1" s="1"/>
  <c r="J1371" i="1"/>
  <c r="I1371" i="1"/>
  <c r="K1371" i="1" s="1"/>
  <c r="H1372" i="1" s="1"/>
  <c r="L1372" i="1" l="1"/>
  <c r="M1372" i="1" s="1"/>
  <c r="J1372" i="1"/>
  <c r="I1372" i="1"/>
  <c r="K1372" i="1" s="1"/>
  <c r="H1373" i="1" s="1"/>
  <c r="L1373" i="1" l="1"/>
  <c r="M1373" i="1" s="1"/>
  <c r="J1373" i="1"/>
  <c r="I1373" i="1"/>
  <c r="K1373" i="1" s="1"/>
  <c r="H1374" i="1" s="1"/>
  <c r="L1374" i="1" l="1"/>
  <c r="M1374" i="1" s="1"/>
  <c r="I1374" i="1"/>
  <c r="K1374" i="1" s="1"/>
  <c r="H1375" i="1" s="1"/>
  <c r="J1374" i="1"/>
  <c r="L1375" i="1" l="1"/>
  <c r="M1375" i="1" s="1"/>
  <c r="J1375" i="1"/>
  <c r="I1375" i="1"/>
  <c r="K1375" i="1" s="1"/>
  <c r="H1376" i="1" s="1"/>
  <c r="L1376" i="1" l="1"/>
  <c r="M1376" i="1" s="1"/>
  <c r="J1376" i="1"/>
  <c r="I1376" i="1"/>
  <c r="K1376" i="1" s="1"/>
  <c r="H1377" i="1" s="1"/>
  <c r="J1377" i="1" l="1"/>
  <c r="L1377" i="1"/>
  <c r="M1377" i="1" s="1"/>
  <c r="I1377" i="1"/>
  <c r="K1377" i="1" s="1"/>
  <c r="H1378" i="1" s="1"/>
  <c r="L1378" i="1" l="1"/>
  <c r="M1378" i="1" s="1"/>
  <c r="J1378" i="1"/>
  <c r="I1378" i="1"/>
  <c r="K1378" i="1" s="1"/>
  <c r="H1379" i="1" s="1"/>
  <c r="L1379" i="1" l="1"/>
  <c r="M1379" i="1" s="1"/>
  <c r="J1379" i="1"/>
  <c r="I1379" i="1"/>
  <c r="K1379" i="1" s="1"/>
  <c r="H1380" i="1" s="1"/>
  <c r="L1380" i="1" l="1"/>
  <c r="M1380" i="1" s="1"/>
  <c r="J1380" i="1"/>
  <c r="I1380" i="1"/>
  <c r="K1380" i="1" s="1"/>
  <c r="H1381" i="1" s="1"/>
  <c r="L1381" i="1" l="1"/>
  <c r="M1381" i="1" s="1"/>
  <c r="J1381" i="1"/>
  <c r="I1381" i="1"/>
  <c r="K1381" i="1" s="1"/>
  <c r="H1382" i="1" s="1"/>
  <c r="L1382" i="1" l="1"/>
  <c r="M1382" i="1" s="1"/>
  <c r="J1382" i="1"/>
  <c r="I1382" i="1"/>
  <c r="K1382" i="1" s="1"/>
  <c r="H1383" i="1" s="1"/>
  <c r="L1383" i="1" l="1"/>
  <c r="M1383" i="1" s="1"/>
  <c r="J1383" i="1"/>
  <c r="I1383" i="1"/>
  <c r="K1383" i="1" s="1"/>
  <c r="H1384" i="1" s="1"/>
  <c r="J1384" i="1" l="1"/>
  <c r="I1384" i="1"/>
  <c r="K1384" i="1" s="1"/>
  <c r="H1385" i="1" s="1"/>
  <c r="L1384" i="1"/>
  <c r="M1384" i="1" s="1"/>
  <c r="L1385" i="1" l="1"/>
  <c r="M1385" i="1" s="1"/>
  <c r="I1385" i="1"/>
  <c r="K1385" i="1" s="1"/>
  <c r="H1386" i="1" s="1"/>
  <c r="J1385" i="1"/>
  <c r="L1386" i="1" l="1"/>
  <c r="M1386" i="1" s="1"/>
  <c r="J1386" i="1"/>
  <c r="I1386" i="1"/>
  <c r="K1386" i="1" s="1"/>
  <c r="H1387" i="1" s="1"/>
  <c r="L1387" i="1" l="1"/>
  <c r="M1387" i="1" s="1"/>
  <c r="J1387" i="1"/>
  <c r="I1387" i="1"/>
  <c r="K1387" i="1" s="1"/>
  <c r="H1388" i="1" s="1"/>
  <c r="L1388" i="1" l="1"/>
  <c r="M1388" i="1" s="1"/>
  <c r="J1388" i="1"/>
  <c r="I1388" i="1"/>
  <c r="K1388" i="1" s="1"/>
  <c r="H1389" i="1" s="1"/>
  <c r="J1389" i="1" l="1"/>
  <c r="I1389" i="1"/>
  <c r="K1389" i="1" s="1"/>
  <c r="H1390" i="1" s="1"/>
  <c r="L1389" i="1"/>
  <c r="M1389" i="1" s="1"/>
  <c r="L1390" i="1" l="1"/>
  <c r="M1390" i="1" s="1"/>
  <c r="J1390" i="1"/>
  <c r="I1390" i="1"/>
  <c r="K1390" i="1" s="1"/>
  <c r="H1391" i="1" s="1"/>
  <c r="L1391" i="1" l="1"/>
  <c r="M1391" i="1" s="1"/>
  <c r="J1391" i="1"/>
  <c r="I1391" i="1"/>
  <c r="K1391" i="1" s="1"/>
  <c r="H1392" i="1" s="1"/>
  <c r="L1392" i="1" l="1"/>
  <c r="M1392" i="1" s="1"/>
  <c r="I1392" i="1"/>
  <c r="K1392" i="1" s="1"/>
  <c r="H1393" i="1" s="1"/>
  <c r="J1392" i="1"/>
  <c r="L1393" i="1" l="1"/>
  <c r="M1393" i="1" s="1"/>
  <c r="J1393" i="1"/>
  <c r="I1393" i="1"/>
  <c r="K1393" i="1" s="1"/>
  <c r="H1394" i="1" s="1"/>
  <c r="L1394" i="1" l="1"/>
  <c r="M1394" i="1" s="1"/>
  <c r="J1394" i="1"/>
  <c r="I1394" i="1"/>
  <c r="K1394" i="1" s="1"/>
  <c r="H1395" i="1" s="1"/>
  <c r="J1395" i="1" l="1"/>
  <c r="L1395" i="1"/>
  <c r="M1395" i="1" s="1"/>
  <c r="I1395" i="1"/>
  <c r="K1395" i="1" s="1"/>
  <c r="H1396" i="1" s="1"/>
  <c r="L1396" i="1" l="1"/>
  <c r="M1396" i="1" s="1"/>
  <c r="J1396" i="1"/>
  <c r="I1396" i="1"/>
  <c r="K1396" i="1" s="1"/>
  <c r="H1397" i="1" s="1"/>
  <c r="L1397" i="1" l="1"/>
  <c r="M1397" i="1" s="1"/>
  <c r="J1397" i="1"/>
  <c r="I1397" i="1"/>
  <c r="K1397" i="1" s="1"/>
  <c r="H1398" i="1" s="1"/>
  <c r="J1398" i="1" l="1"/>
  <c r="L1398" i="1"/>
  <c r="M1398" i="1" s="1"/>
  <c r="I1398" i="1"/>
  <c r="K1398" i="1" s="1"/>
  <c r="H1399" i="1" s="1"/>
  <c r="L1399" i="1" l="1"/>
  <c r="M1399" i="1" s="1"/>
  <c r="I1399" i="1"/>
  <c r="K1399" i="1" s="1"/>
  <c r="H1400" i="1" s="1"/>
  <c r="J1399" i="1"/>
  <c r="J1400" i="1" l="1"/>
  <c r="L1400" i="1"/>
  <c r="M1400" i="1" s="1"/>
  <c r="I1400" i="1"/>
  <c r="K1400" i="1" s="1"/>
  <c r="H1401" i="1" s="1"/>
  <c r="L1401" i="1" l="1"/>
  <c r="M1401" i="1" s="1"/>
  <c r="J1401" i="1"/>
  <c r="I1401" i="1"/>
  <c r="K1401" i="1" s="1"/>
  <c r="H1402" i="1" s="1"/>
  <c r="L1402" i="1" l="1"/>
  <c r="M1402" i="1" s="1"/>
  <c r="J1402" i="1"/>
  <c r="I1402" i="1"/>
  <c r="K1402" i="1" s="1"/>
  <c r="H1403" i="1" s="1"/>
  <c r="L1403" i="1" l="1"/>
  <c r="M1403" i="1" s="1"/>
  <c r="J1403" i="1"/>
  <c r="I1403" i="1"/>
  <c r="K1403" i="1" s="1"/>
  <c r="H1404" i="1" s="1"/>
  <c r="L1404" i="1" l="1"/>
  <c r="M1404" i="1" s="1"/>
  <c r="J1404" i="1"/>
  <c r="I1404" i="1"/>
  <c r="K1404" i="1" s="1"/>
  <c r="H1405" i="1" s="1"/>
  <c r="L1405" i="1" l="1"/>
  <c r="M1405" i="1" s="1"/>
  <c r="J1405" i="1"/>
  <c r="I1405" i="1"/>
  <c r="K1405" i="1" s="1"/>
  <c r="H1406" i="1" s="1"/>
  <c r="L1406" i="1" l="1"/>
  <c r="M1406" i="1" s="1"/>
  <c r="J1406" i="1"/>
  <c r="I1406" i="1"/>
  <c r="K1406" i="1" s="1"/>
  <c r="H1407" i="1" s="1"/>
  <c r="L1407" i="1" l="1"/>
  <c r="M1407" i="1" s="1"/>
  <c r="J1407" i="1"/>
  <c r="I1407" i="1"/>
  <c r="K1407" i="1" s="1"/>
  <c r="H1408" i="1" s="1"/>
  <c r="L1408" i="1" l="1"/>
  <c r="M1408" i="1" s="1"/>
  <c r="J1408" i="1"/>
  <c r="I1408" i="1"/>
  <c r="K1408" i="1" s="1"/>
  <c r="H1409" i="1" s="1"/>
  <c r="L1409" i="1" l="1"/>
  <c r="M1409" i="1" s="1"/>
  <c r="J1409" i="1"/>
  <c r="I1409" i="1"/>
  <c r="K1409" i="1" s="1"/>
  <c r="H1410" i="1" s="1"/>
  <c r="L1410" i="1" l="1"/>
  <c r="M1410" i="1" s="1"/>
  <c r="J1410" i="1"/>
  <c r="I1410" i="1"/>
  <c r="K1410" i="1" s="1"/>
  <c r="H1411" i="1" s="1"/>
  <c r="J1411" i="1" l="1"/>
  <c r="I1411" i="1"/>
  <c r="K1411" i="1" s="1"/>
  <c r="H1412" i="1" s="1"/>
  <c r="L1411" i="1"/>
  <c r="M1411" i="1" s="1"/>
  <c r="I1412" i="1" l="1"/>
  <c r="K1412" i="1" s="1"/>
  <c r="H1413" i="1" s="1"/>
  <c r="J1412" i="1"/>
  <c r="L1412" i="1"/>
  <c r="M1412" i="1" s="1"/>
  <c r="J1413" i="1" l="1"/>
  <c r="L1413" i="1"/>
  <c r="M1413" i="1" s="1"/>
  <c r="I1413" i="1"/>
  <c r="K1413" i="1" s="1"/>
  <c r="H1414" i="1" s="1"/>
  <c r="L1414" i="1" l="1"/>
  <c r="M1414" i="1" s="1"/>
  <c r="J1414" i="1"/>
  <c r="I1414" i="1"/>
  <c r="K1414" i="1" s="1"/>
  <c r="H1415" i="1" s="1"/>
  <c r="L1415" i="1" l="1"/>
  <c r="M1415" i="1" s="1"/>
  <c r="J1415" i="1"/>
  <c r="I1415" i="1"/>
  <c r="K1415" i="1" s="1"/>
  <c r="H1416" i="1" s="1"/>
  <c r="L1416" i="1" l="1"/>
  <c r="M1416" i="1" s="1"/>
  <c r="I1416" i="1"/>
  <c r="K1416" i="1" s="1"/>
  <c r="H1417" i="1" s="1"/>
  <c r="J1416" i="1"/>
  <c r="L1417" i="1" l="1"/>
  <c r="M1417" i="1" s="1"/>
  <c r="I1417" i="1"/>
  <c r="K1417" i="1" s="1"/>
  <c r="H1418" i="1" s="1"/>
  <c r="J1417" i="1"/>
  <c r="L1418" i="1" l="1"/>
  <c r="M1418" i="1" s="1"/>
  <c r="J1418" i="1"/>
  <c r="I1418" i="1"/>
  <c r="K1418" i="1" s="1"/>
  <c r="H1419" i="1" s="1"/>
  <c r="L1419" i="1" l="1"/>
  <c r="M1419" i="1" s="1"/>
  <c r="I1419" i="1"/>
  <c r="K1419" i="1" s="1"/>
  <c r="H1420" i="1" s="1"/>
  <c r="J1419" i="1"/>
  <c r="L1420" i="1" l="1"/>
  <c r="M1420" i="1" s="1"/>
  <c r="I1420" i="1"/>
  <c r="K1420" i="1" s="1"/>
  <c r="H1421" i="1" s="1"/>
  <c r="J1420" i="1"/>
  <c r="L1421" i="1" l="1"/>
  <c r="M1421" i="1" s="1"/>
  <c r="J1421" i="1"/>
  <c r="I1421" i="1"/>
  <c r="K1421" i="1" s="1"/>
  <c r="H1422" i="1" s="1"/>
  <c r="L1422" i="1" l="1"/>
  <c r="M1422" i="1" s="1"/>
  <c r="I1422" i="1"/>
  <c r="K1422" i="1" s="1"/>
  <c r="H1423" i="1" s="1"/>
  <c r="J1422" i="1"/>
  <c r="J1423" i="1" l="1"/>
  <c r="L1423" i="1"/>
  <c r="M1423" i="1" s="1"/>
  <c r="I1423" i="1"/>
  <c r="K1423" i="1" s="1"/>
  <c r="H1424" i="1" s="1"/>
  <c r="L1424" i="1" l="1"/>
  <c r="M1424" i="1" s="1"/>
  <c r="J1424" i="1"/>
  <c r="I1424" i="1"/>
  <c r="K1424" i="1" s="1"/>
  <c r="H1425" i="1" s="1"/>
  <c r="L1425" i="1" l="1"/>
  <c r="M1425" i="1" s="1"/>
  <c r="J1425" i="1"/>
  <c r="I1425" i="1"/>
  <c r="K1425" i="1" s="1"/>
  <c r="H1426" i="1" s="1"/>
  <c r="L1426" i="1" l="1"/>
  <c r="M1426" i="1" s="1"/>
  <c r="I1426" i="1"/>
  <c r="K1426" i="1" s="1"/>
  <c r="H1427" i="1" s="1"/>
  <c r="J1426" i="1"/>
  <c r="L1427" i="1" l="1"/>
  <c r="M1427" i="1" s="1"/>
  <c r="I1427" i="1"/>
  <c r="K1427" i="1" s="1"/>
  <c r="H1428" i="1" s="1"/>
  <c r="J1427" i="1"/>
  <c r="L1428" i="1" l="1"/>
  <c r="M1428" i="1" s="1"/>
  <c r="J1428" i="1"/>
  <c r="I1428" i="1"/>
  <c r="K1428" i="1" s="1"/>
  <c r="H1429" i="1" s="1"/>
  <c r="L1429" i="1" l="1"/>
  <c r="M1429" i="1" s="1"/>
  <c r="J1429" i="1"/>
  <c r="I1429" i="1"/>
  <c r="K1429" i="1" s="1"/>
  <c r="H1430" i="1" s="1"/>
  <c r="L1430" i="1" l="1"/>
  <c r="M1430" i="1" s="1"/>
  <c r="I1430" i="1"/>
  <c r="K1430" i="1" s="1"/>
  <c r="H1431" i="1" s="1"/>
  <c r="J1430" i="1"/>
  <c r="J1431" i="1" l="1"/>
  <c r="L1431" i="1"/>
  <c r="M1431" i="1" s="1"/>
  <c r="I1431" i="1"/>
  <c r="K1431" i="1" s="1"/>
  <c r="H1432" i="1" s="1"/>
  <c r="J1432" i="1" l="1"/>
  <c r="L1432" i="1"/>
  <c r="M1432" i="1" s="1"/>
  <c r="I1432" i="1"/>
  <c r="K1432" i="1" s="1"/>
  <c r="H1433" i="1" s="1"/>
  <c r="L1433" i="1" l="1"/>
  <c r="M1433" i="1" s="1"/>
  <c r="J1433" i="1"/>
  <c r="I1433" i="1"/>
  <c r="K1433" i="1" s="1"/>
  <c r="H1434" i="1" s="1"/>
  <c r="J1434" i="1" l="1"/>
  <c r="L1434" i="1"/>
  <c r="M1434" i="1" s="1"/>
  <c r="I1434" i="1"/>
  <c r="K1434" i="1" s="1"/>
  <c r="H1435" i="1" s="1"/>
  <c r="J1435" i="1" l="1"/>
  <c r="L1435" i="1"/>
  <c r="M1435" i="1" s="1"/>
  <c r="I1435" i="1"/>
  <c r="K1435" i="1" s="1"/>
  <c r="H1436" i="1" s="1"/>
  <c r="L1436" i="1" l="1"/>
  <c r="M1436" i="1" s="1"/>
  <c r="J1436" i="1"/>
  <c r="I1436" i="1"/>
  <c r="K1436" i="1" s="1"/>
  <c r="H1437" i="1" s="1"/>
  <c r="L1437" i="1" l="1"/>
  <c r="M1437" i="1" s="1"/>
  <c r="J1437" i="1"/>
  <c r="I1437" i="1"/>
  <c r="K1437" i="1" s="1"/>
  <c r="H1438" i="1" s="1"/>
  <c r="J1438" i="1" l="1"/>
  <c r="L1438" i="1"/>
  <c r="M1438" i="1" s="1"/>
  <c r="I1438" i="1"/>
  <c r="K1438" i="1" s="1"/>
  <c r="H1439" i="1" s="1"/>
  <c r="L1439" i="1" l="1"/>
  <c r="M1439" i="1" s="1"/>
  <c r="J1439" i="1"/>
  <c r="I1439" i="1"/>
  <c r="K1439" i="1" s="1"/>
  <c r="H1440" i="1" s="1"/>
  <c r="L1440" i="1" l="1"/>
  <c r="M1440" i="1" s="1"/>
  <c r="J1440" i="1"/>
  <c r="I1440" i="1"/>
  <c r="K1440" i="1" s="1"/>
  <c r="H1441" i="1" s="1"/>
  <c r="L1441" i="1" l="1"/>
  <c r="M1441" i="1" s="1"/>
  <c r="J1441" i="1"/>
  <c r="I1441" i="1"/>
  <c r="K1441" i="1" s="1"/>
  <c r="H1442" i="1" s="1"/>
  <c r="L1442" i="1" l="1"/>
  <c r="M1442" i="1" s="1"/>
  <c r="J1442" i="1"/>
  <c r="I1442" i="1"/>
  <c r="K1442" i="1" s="1"/>
  <c r="H1443" i="1" s="1"/>
  <c r="L1443" i="1" l="1"/>
  <c r="M1443" i="1" s="1"/>
  <c r="J1443" i="1"/>
  <c r="I1443" i="1"/>
  <c r="K1443" i="1" s="1"/>
  <c r="H1444" i="1" s="1"/>
  <c r="L1444" i="1" l="1"/>
  <c r="M1444" i="1" s="1"/>
  <c r="I1444" i="1"/>
  <c r="K1444" i="1" s="1"/>
  <c r="H1445" i="1" s="1"/>
  <c r="J1444" i="1"/>
  <c r="L1445" i="1" l="1"/>
  <c r="M1445" i="1" s="1"/>
  <c r="J1445" i="1"/>
  <c r="I1445" i="1"/>
  <c r="K1445" i="1" s="1"/>
  <c r="H1446" i="1" s="1"/>
  <c r="L1446" i="1" l="1"/>
  <c r="M1446" i="1" s="1"/>
  <c r="J1446" i="1"/>
  <c r="I1446" i="1"/>
  <c r="K1446" i="1" s="1"/>
  <c r="H1447" i="1" s="1"/>
  <c r="L1447" i="1" l="1"/>
  <c r="M1447" i="1" s="1"/>
  <c r="J1447" i="1"/>
  <c r="I1447" i="1"/>
  <c r="K1447" i="1" s="1"/>
  <c r="H1448" i="1" s="1"/>
  <c r="L1448" i="1" l="1"/>
  <c r="M1448" i="1" s="1"/>
  <c r="J1448" i="1"/>
  <c r="I1448" i="1"/>
  <c r="K1448" i="1" s="1"/>
  <c r="H1449" i="1" s="1"/>
  <c r="J1449" i="1" l="1"/>
  <c r="L1449" i="1"/>
  <c r="M1449" i="1" s="1"/>
  <c r="I1449" i="1"/>
  <c r="K1449" i="1" s="1"/>
  <c r="H1450" i="1" s="1"/>
  <c r="L1450" i="1" l="1"/>
  <c r="M1450" i="1" s="1"/>
  <c r="J1450" i="1"/>
  <c r="I1450" i="1"/>
  <c r="K1450" i="1" s="1"/>
  <c r="H1451" i="1" s="1"/>
  <c r="L1451" i="1" l="1"/>
  <c r="M1451" i="1" s="1"/>
  <c r="J1451" i="1"/>
  <c r="I1451" i="1"/>
  <c r="K1451" i="1" s="1"/>
  <c r="H1452" i="1" s="1"/>
  <c r="I1452" i="1" l="1"/>
  <c r="K1452" i="1" s="1"/>
  <c r="H1453" i="1" s="1"/>
  <c r="L1452" i="1"/>
  <c r="M1452" i="1" s="1"/>
  <c r="J1452" i="1"/>
  <c r="L1453" i="1" l="1"/>
  <c r="M1453" i="1" s="1"/>
  <c r="J1453" i="1"/>
  <c r="I1453" i="1"/>
  <c r="K1453" i="1" s="1"/>
  <c r="H1454" i="1" s="1"/>
  <c r="L1454" i="1" l="1"/>
  <c r="M1454" i="1" s="1"/>
  <c r="J1454" i="1"/>
  <c r="I1454" i="1"/>
  <c r="K1454" i="1" s="1"/>
  <c r="H1455" i="1" s="1"/>
  <c r="J1455" i="1" l="1"/>
  <c r="L1455" i="1"/>
  <c r="M1455" i="1" s="1"/>
  <c r="I1455" i="1"/>
  <c r="K1455" i="1" s="1"/>
  <c r="H1456" i="1" s="1"/>
  <c r="J1456" i="1" l="1"/>
  <c r="L1456" i="1"/>
  <c r="M1456" i="1" s="1"/>
  <c r="I1456" i="1"/>
  <c r="K1456" i="1" s="1"/>
  <c r="H1457" i="1" s="1"/>
  <c r="L1457" i="1" l="1"/>
  <c r="M1457" i="1" s="1"/>
  <c r="J1457" i="1"/>
  <c r="I1457" i="1"/>
  <c r="K1457" i="1" s="1"/>
  <c r="H1458" i="1" s="1"/>
  <c r="L1458" i="1" l="1"/>
  <c r="M1458" i="1" s="1"/>
  <c r="J1458" i="1"/>
  <c r="I1458" i="1"/>
  <c r="K1458" i="1" s="1"/>
  <c r="H1459" i="1" s="1"/>
  <c r="L1459" i="1" l="1"/>
  <c r="M1459" i="1" s="1"/>
  <c r="J1459" i="1"/>
  <c r="I1459" i="1"/>
  <c r="K1459" i="1" s="1"/>
  <c r="H1460" i="1" s="1"/>
  <c r="L1460" i="1" l="1"/>
  <c r="M1460" i="1" s="1"/>
  <c r="J1460" i="1"/>
  <c r="I1460" i="1"/>
  <c r="K1460" i="1" s="1"/>
  <c r="H1461" i="1" s="1"/>
  <c r="I1461" i="1" l="1"/>
  <c r="K1461" i="1" s="1"/>
  <c r="H1462" i="1" s="1"/>
  <c r="L1461" i="1"/>
  <c r="M1461" i="1" s="1"/>
  <c r="J1461" i="1"/>
  <c r="I1462" i="1" l="1"/>
  <c r="K1462" i="1" s="1"/>
  <c r="H1463" i="1" s="1"/>
  <c r="L1462" i="1"/>
  <c r="M1462" i="1" s="1"/>
  <c r="J1462" i="1"/>
  <c r="I1463" i="1" l="1"/>
  <c r="K1463" i="1" s="1"/>
  <c r="H1464" i="1" s="1"/>
  <c r="L1463" i="1"/>
  <c r="M1463" i="1" s="1"/>
  <c r="J1463" i="1"/>
  <c r="L1464" i="1" l="1"/>
  <c r="M1464" i="1" s="1"/>
  <c r="J1464" i="1"/>
  <c r="I1464" i="1"/>
  <c r="K1464" i="1" s="1"/>
  <c r="H1465" i="1" s="1"/>
  <c r="L1465" i="1" l="1"/>
  <c r="M1465" i="1" s="1"/>
  <c r="I1465" i="1"/>
  <c r="K1465" i="1" s="1"/>
  <c r="H1466" i="1" s="1"/>
  <c r="J1465" i="1"/>
  <c r="L1466" i="1" l="1"/>
  <c r="M1466" i="1" s="1"/>
  <c r="J1466" i="1"/>
  <c r="I1466" i="1"/>
  <c r="K1466" i="1" s="1"/>
  <c r="H1467" i="1" s="1"/>
  <c r="J1467" i="1" l="1"/>
  <c r="I1467" i="1"/>
  <c r="K1467" i="1" s="1"/>
  <c r="H1468" i="1" s="1"/>
  <c r="L1467" i="1"/>
  <c r="M1467" i="1" s="1"/>
  <c r="I1468" i="1" l="1"/>
  <c r="K1468" i="1" s="1"/>
  <c r="H1469" i="1" s="1"/>
  <c r="L1468" i="1"/>
  <c r="M1468" i="1" s="1"/>
  <c r="J1468" i="1"/>
  <c r="L1469" i="1" l="1"/>
  <c r="M1469" i="1" s="1"/>
  <c r="J1469" i="1"/>
  <c r="I1469" i="1"/>
  <c r="K1469" i="1" s="1"/>
  <c r="H1470" i="1" s="1"/>
  <c r="J1470" i="1" l="1"/>
  <c r="L1470" i="1"/>
  <c r="M1470" i="1" s="1"/>
  <c r="I1470" i="1"/>
  <c r="K1470" i="1" s="1"/>
  <c r="H1471" i="1" s="1"/>
  <c r="L1471" i="1" l="1"/>
  <c r="M1471" i="1" s="1"/>
  <c r="J1471" i="1"/>
  <c r="I1471" i="1"/>
  <c r="K1471" i="1" s="1"/>
  <c r="H1472" i="1" s="1"/>
  <c r="J1472" i="1" l="1"/>
  <c r="L1472" i="1"/>
  <c r="M1472" i="1" s="1"/>
  <c r="I1472" i="1"/>
  <c r="K1472" i="1" s="1"/>
  <c r="H1473" i="1" s="1"/>
  <c r="L1473" i="1" l="1"/>
  <c r="M1473" i="1" s="1"/>
  <c r="J1473" i="1"/>
  <c r="I1473" i="1"/>
  <c r="K1473" i="1" s="1"/>
  <c r="H1474" i="1" s="1"/>
  <c r="L1474" i="1" l="1"/>
  <c r="M1474" i="1" s="1"/>
  <c r="J1474" i="1"/>
  <c r="I1474" i="1"/>
  <c r="K1474" i="1" s="1"/>
  <c r="H1475" i="1" s="1"/>
  <c r="L1475" i="1" l="1"/>
  <c r="M1475" i="1" s="1"/>
  <c r="J1475" i="1"/>
  <c r="I1475" i="1"/>
  <c r="K1475" i="1" s="1"/>
  <c r="H1476" i="1" s="1"/>
  <c r="J1476" i="1" l="1"/>
  <c r="I1476" i="1"/>
  <c r="K1476" i="1" s="1"/>
  <c r="H1477" i="1" s="1"/>
  <c r="L1476" i="1"/>
  <c r="M1476" i="1" s="1"/>
  <c r="L1477" i="1" l="1"/>
  <c r="M1477" i="1" s="1"/>
  <c r="J1477" i="1"/>
  <c r="I1477" i="1"/>
  <c r="K1477" i="1" s="1"/>
  <c r="H1478" i="1" s="1"/>
  <c r="L1478" i="1" l="1"/>
  <c r="M1478" i="1" s="1"/>
  <c r="J1478" i="1"/>
  <c r="I1478" i="1"/>
  <c r="K1478" i="1" s="1"/>
  <c r="H1479" i="1" s="1"/>
  <c r="L1479" i="1" l="1"/>
  <c r="M1479" i="1" s="1"/>
  <c r="J1479" i="1"/>
  <c r="I1479" i="1"/>
  <c r="K1479" i="1" s="1"/>
  <c r="H1480" i="1" s="1"/>
  <c r="L1480" i="1" l="1"/>
  <c r="M1480" i="1" s="1"/>
  <c r="J1480" i="1"/>
  <c r="I1480" i="1"/>
  <c r="K1480" i="1" s="1"/>
  <c r="H1481" i="1" s="1"/>
  <c r="L1481" i="1" l="1"/>
  <c r="M1481" i="1" s="1"/>
  <c r="J1481" i="1"/>
  <c r="I1481" i="1"/>
  <c r="K1481" i="1" s="1"/>
  <c r="H1482" i="1" s="1"/>
  <c r="L1482" i="1" l="1"/>
  <c r="M1482" i="1" s="1"/>
  <c r="J1482" i="1"/>
  <c r="I1482" i="1"/>
  <c r="K1482" i="1" s="1"/>
  <c r="H1483" i="1" s="1"/>
  <c r="J1483" i="1" l="1"/>
  <c r="L1483" i="1"/>
  <c r="M1483" i="1" s="1"/>
  <c r="I1483" i="1"/>
  <c r="K1483" i="1" s="1"/>
  <c r="H1484" i="1" s="1"/>
  <c r="I1484" i="1" l="1"/>
  <c r="K1484" i="1" s="1"/>
  <c r="H1485" i="1" s="1"/>
  <c r="J1484" i="1"/>
  <c r="L1484" i="1"/>
  <c r="M1484" i="1" s="1"/>
  <c r="J1485" i="1" l="1"/>
  <c r="I1485" i="1"/>
  <c r="K1485" i="1" s="1"/>
  <c r="H1486" i="1" s="1"/>
  <c r="L1485" i="1"/>
  <c r="M1485" i="1" s="1"/>
  <c r="L1486" i="1" l="1"/>
  <c r="M1486" i="1" s="1"/>
  <c r="J1486" i="1"/>
  <c r="I1486" i="1"/>
  <c r="K1486" i="1" s="1"/>
  <c r="H1487" i="1" s="1"/>
  <c r="L1487" i="1" l="1"/>
  <c r="M1487" i="1" s="1"/>
  <c r="J1487" i="1"/>
  <c r="I1487" i="1"/>
  <c r="K1487" i="1" s="1"/>
  <c r="H1488" i="1" s="1"/>
  <c r="L1488" i="1" l="1"/>
  <c r="M1488" i="1" s="1"/>
  <c r="J1488" i="1"/>
  <c r="I1488" i="1"/>
  <c r="K1488" i="1" s="1"/>
  <c r="H1489" i="1" s="1"/>
  <c r="L1489" i="1" l="1"/>
  <c r="M1489" i="1" s="1"/>
  <c r="J1489" i="1"/>
  <c r="I1489" i="1"/>
  <c r="K1489" i="1" s="1"/>
  <c r="H1490" i="1" s="1"/>
  <c r="L1490" i="1" l="1"/>
  <c r="M1490" i="1" s="1"/>
  <c r="J1490" i="1"/>
  <c r="I1490" i="1"/>
  <c r="K1490" i="1" s="1"/>
  <c r="H1491" i="1" s="1"/>
  <c r="J1491" i="1" l="1"/>
  <c r="L1491" i="1"/>
  <c r="M1491" i="1" s="1"/>
  <c r="I1491" i="1"/>
  <c r="K1491" i="1" s="1"/>
  <c r="H1492" i="1" s="1"/>
  <c r="J1492" i="1" l="1"/>
  <c r="L1492" i="1"/>
  <c r="M1492" i="1" s="1"/>
  <c r="I1492" i="1"/>
  <c r="K1492" i="1" s="1"/>
  <c r="H1493" i="1" s="1"/>
  <c r="L1493" i="1" l="1"/>
  <c r="M1493" i="1" s="1"/>
  <c r="J1493" i="1"/>
  <c r="I1493" i="1"/>
  <c r="K1493" i="1" s="1"/>
  <c r="H1494" i="1" s="1"/>
  <c r="L1494" i="1" l="1"/>
  <c r="M1494" i="1" s="1"/>
  <c r="J1494" i="1"/>
  <c r="I1494" i="1"/>
  <c r="K1494" i="1" s="1"/>
  <c r="H1495" i="1" s="1"/>
  <c r="L1495" i="1" l="1"/>
  <c r="M1495" i="1" s="1"/>
  <c r="J1495" i="1"/>
  <c r="I1495" i="1"/>
  <c r="K1495" i="1" s="1"/>
  <c r="H1496" i="1" s="1"/>
  <c r="L1496" i="1" l="1"/>
  <c r="M1496" i="1" s="1"/>
  <c r="J1496" i="1"/>
  <c r="I1496" i="1"/>
  <c r="K1496" i="1" s="1"/>
  <c r="H1497" i="1" s="1"/>
  <c r="J1497" i="1" l="1"/>
  <c r="L1497" i="1"/>
  <c r="M1497" i="1" s="1"/>
  <c r="I1497" i="1"/>
  <c r="K1497" i="1" s="1"/>
  <c r="H1498" i="1" s="1"/>
  <c r="I1498" i="1" l="1"/>
  <c r="K1498" i="1" s="1"/>
  <c r="H1499" i="1" s="1"/>
  <c r="L1498" i="1"/>
  <c r="M1498" i="1" s="1"/>
  <c r="J1498" i="1"/>
  <c r="L1499" i="1" l="1"/>
  <c r="M1499" i="1" s="1"/>
  <c r="J1499" i="1"/>
  <c r="I1499" i="1"/>
  <c r="K1499" i="1" s="1"/>
  <c r="H1500" i="1" s="1"/>
  <c r="L1500" i="1" l="1"/>
  <c r="M1500" i="1" s="1"/>
  <c r="J1500" i="1"/>
  <c r="I1500" i="1"/>
  <c r="K1500" i="1" s="1"/>
  <c r="H1501" i="1" s="1"/>
  <c r="L1501" i="1" l="1"/>
  <c r="M1501" i="1" s="1"/>
  <c r="J1501" i="1"/>
  <c r="I1501" i="1"/>
  <c r="K1501" i="1" s="1"/>
  <c r="H1502" i="1" s="1"/>
  <c r="L1502" i="1" l="1"/>
  <c r="M1502" i="1" s="1"/>
  <c r="J1502" i="1"/>
  <c r="I1502" i="1"/>
  <c r="K1502" i="1" s="1"/>
  <c r="H1503" i="1" s="1"/>
  <c r="L1503" i="1" l="1"/>
  <c r="M1503" i="1" s="1"/>
  <c r="J1503" i="1"/>
  <c r="I1503" i="1"/>
  <c r="K1503" i="1" s="1"/>
  <c r="H1504" i="1" s="1"/>
  <c r="L1504" i="1" l="1"/>
  <c r="M1504" i="1" s="1"/>
  <c r="J1504" i="1"/>
  <c r="I1504" i="1"/>
  <c r="K1504" i="1" s="1"/>
  <c r="H1505" i="1" s="1"/>
  <c r="I1505" i="1" l="1"/>
  <c r="K1505" i="1" s="1"/>
  <c r="H1506" i="1" s="1"/>
  <c r="L1505" i="1"/>
  <c r="M1505" i="1" s="1"/>
  <c r="J1505" i="1"/>
  <c r="L1506" i="1" l="1"/>
  <c r="M1506" i="1" s="1"/>
  <c r="J1506" i="1"/>
  <c r="I1506" i="1"/>
  <c r="K1506" i="1" s="1"/>
  <c r="H1507" i="1" s="1"/>
  <c r="J1507" i="1" l="1"/>
  <c r="I1507" i="1"/>
  <c r="K1507" i="1" s="1"/>
  <c r="H1508" i="1" s="1"/>
  <c r="L1507" i="1"/>
  <c r="M1507" i="1" s="1"/>
  <c r="L1508" i="1" l="1"/>
  <c r="M1508" i="1" s="1"/>
  <c r="J1508" i="1"/>
  <c r="I1508" i="1"/>
  <c r="K1508" i="1" s="1"/>
  <c r="H1509" i="1" s="1"/>
  <c r="L1509" i="1" l="1"/>
  <c r="M1509" i="1" s="1"/>
  <c r="J1509" i="1"/>
  <c r="I1509" i="1"/>
  <c r="K1509" i="1" s="1"/>
  <c r="H1510" i="1" s="1"/>
  <c r="L1510" i="1" l="1"/>
  <c r="M1510" i="1" s="1"/>
  <c r="J1510" i="1"/>
  <c r="I1510" i="1"/>
  <c r="K1510" i="1" s="1"/>
  <c r="H1511" i="1" s="1"/>
  <c r="L1511" i="1" l="1"/>
  <c r="M1511" i="1" s="1"/>
  <c r="J1511" i="1"/>
  <c r="I1511" i="1"/>
  <c r="K1511" i="1" s="1"/>
  <c r="H1512" i="1" s="1"/>
  <c r="L1512" i="1" l="1"/>
  <c r="M1512" i="1" s="1"/>
  <c r="I1512" i="1"/>
  <c r="K1512" i="1" s="1"/>
  <c r="H1513" i="1" s="1"/>
  <c r="J1512" i="1"/>
  <c r="L1513" i="1" l="1"/>
  <c r="M1513" i="1" s="1"/>
  <c r="J1513" i="1"/>
  <c r="I1513" i="1"/>
  <c r="K1513" i="1" s="1"/>
  <c r="H1514" i="1" s="1"/>
  <c r="L1514" i="1" l="1"/>
  <c r="M1514" i="1" s="1"/>
  <c r="J1514" i="1"/>
  <c r="I1514" i="1"/>
  <c r="K1514" i="1" s="1"/>
  <c r="H1515" i="1" s="1"/>
  <c r="L1515" i="1" l="1"/>
  <c r="M1515" i="1" s="1"/>
  <c r="J1515" i="1"/>
  <c r="I1515" i="1"/>
  <c r="K1515" i="1" s="1"/>
  <c r="H1516" i="1" s="1"/>
  <c r="L1516" i="1" l="1"/>
  <c r="M1516" i="1" s="1"/>
  <c r="J1516" i="1"/>
  <c r="I1516" i="1"/>
  <c r="K1516" i="1" s="1"/>
  <c r="H1517" i="1" s="1"/>
  <c r="J1517" i="1" l="1"/>
  <c r="L1517" i="1"/>
  <c r="M1517" i="1" s="1"/>
  <c r="I1517" i="1"/>
  <c r="K1517" i="1" s="1"/>
  <c r="H1518" i="1" s="1"/>
  <c r="L1518" i="1" l="1"/>
  <c r="M1518" i="1" s="1"/>
  <c r="I1518" i="1"/>
  <c r="K1518" i="1" s="1"/>
  <c r="H1519" i="1" s="1"/>
  <c r="J1518" i="1"/>
  <c r="L1519" i="1" l="1"/>
  <c r="M1519" i="1" s="1"/>
  <c r="J1519" i="1"/>
  <c r="I1519" i="1"/>
  <c r="K1519" i="1" s="1"/>
  <c r="H1520" i="1" s="1"/>
  <c r="L1520" i="1" l="1"/>
  <c r="M1520" i="1" s="1"/>
  <c r="J1520" i="1"/>
  <c r="I1520" i="1"/>
  <c r="K1520" i="1" s="1"/>
  <c r="H1521" i="1" s="1"/>
  <c r="J1521" i="1" l="1"/>
  <c r="L1521" i="1"/>
  <c r="M1521" i="1" s="1"/>
  <c r="I1521" i="1"/>
  <c r="K1521" i="1" s="1"/>
  <c r="H1522" i="1" s="1"/>
  <c r="L1522" i="1" l="1"/>
  <c r="M1522" i="1" s="1"/>
  <c r="J1522" i="1"/>
  <c r="I1522" i="1"/>
  <c r="K1522" i="1" s="1"/>
  <c r="H1523" i="1" s="1"/>
  <c r="L1523" i="1" l="1"/>
  <c r="M1523" i="1" s="1"/>
  <c r="J1523" i="1"/>
  <c r="I1523" i="1"/>
  <c r="K1523" i="1" s="1"/>
  <c r="H1524" i="1" s="1"/>
  <c r="L1524" i="1" l="1"/>
  <c r="M1524" i="1" s="1"/>
  <c r="J1524" i="1"/>
  <c r="I1524" i="1"/>
  <c r="K1524" i="1" s="1"/>
  <c r="H1525" i="1" s="1"/>
  <c r="L1525" i="1" l="1"/>
  <c r="M1525" i="1" s="1"/>
  <c r="J1525" i="1"/>
  <c r="I1525" i="1"/>
  <c r="K1525" i="1" s="1"/>
  <c r="H1526" i="1" s="1"/>
  <c r="L1526" i="1" l="1"/>
  <c r="M1526" i="1" s="1"/>
  <c r="J1526" i="1"/>
  <c r="I1526" i="1"/>
  <c r="K1526" i="1" s="1"/>
  <c r="H1527" i="1" s="1"/>
  <c r="J1527" i="1" l="1"/>
  <c r="L1527" i="1"/>
  <c r="M1527" i="1" s="1"/>
  <c r="I1527" i="1"/>
  <c r="K1527" i="1" s="1"/>
  <c r="H1528" i="1" s="1"/>
  <c r="J1528" i="1" l="1"/>
  <c r="L1528" i="1"/>
  <c r="M1528" i="1" s="1"/>
  <c r="I1528" i="1"/>
  <c r="K1528" i="1" s="1"/>
  <c r="H1529" i="1" s="1"/>
  <c r="J1529" i="1" l="1"/>
  <c r="I1529" i="1"/>
  <c r="K1529" i="1" s="1"/>
  <c r="H1530" i="1" s="1"/>
  <c r="L1529" i="1"/>
  <c r="M1529" i="1" s="1"/>
  <c r="J1530" i="1" l="1"/>
  <c r="I1530" i="1"/>
  <c r="K1530" i="1" s="1"/>
  <c r="H1531" i="1" s="1"/>
  <c r="L1530" i="1"/>
  <c r="M1530" i="1" s="1"/>
  <c r="L1531" i="1" l="1"/>
  <c r="M1531" i="1" s="1"/>
  <c r="I1531" i="1"/>
  <c r="K1531" i="1" s="1"/>
  <c r="H1532" i="1" s="1"/>
  <c r="J1531" i="1"/>
  <c r="L1532" i="1" l="1"/>
  <c r="M1532" i="1" s="1"/>
  <c r="J1532" i="1"/>
  <c r="I1532" i="1"/>
  <c r="K1532" i="1" s="1"/>
  <c r="H1533" i="1" s="1"/>
  <c r="J1533" i="1" l="1"/>
  <c r="L1533" i="1"/>
  <c r="M1533" i="1" s="1"/>
  <c r="I1533" i="1"/>
  <c r="K1533" i="1" s="1"/>
  <c r="H1534" i="1" s="1"/>
  <c r="L1534" i="1" l="1"/>
  <c r="M1534" i="1" s="1"/>
  <c r="J1534" i="1"/>
  <c r="I1534" i="1"/>
  <c r="K1534" i="1" s="1"/>
  <c r="H1535" i="1" s="1"/>
  <c r="L1535" i="1" l="1"/>
  <c r="M1535" i="1" s="1"/>
  <c r="J1535" i="1"/>
  <c r="I1535" i="1"/>
  <c r="K1535" i="1" s="1"/>
  <c r="H1536" i="1" s="1"/>
  <c r="L1536" i="1" l="1"/>
  <c r="M1536" i="1" s="1"/>
  <c r="J1536" i="1"/>
  <c r="I1536" i="1"/>
  <c r="K1536" i="1" s="1"/>
  <c r="H1537" i="1" s="1"/>
  <c r="L1537" i="1" l="1"/>
  <c r="M1537" i="1" s="1"/>
  <c r="J1537" i="1"/>
  <c r="I1537" i="1"/>
  <c r="K1537" i="1" s="1"/>
  <c r="H1538" i="1" s="1"/>
  <c r="L1538" i="1" l="1"/>
  <c r="M1538" i="1" s="1"/>
  <c r="J1538" i="1"/>
  <c r="I1538" i="1"/>
  <c r="K1538" i="1" s="1"/>
  <c r="H1539" i="1" s="1"/>
  <c r="L1539" i="1" l="1"/>
  <c r="M1539" i="1" s="1"/>
  <c r="J1539" i="1"/>
  <c r="I1539" i="1"/>
  <c r="K1539" i="1" s="1"/>
  <c r="H1540" i="1" s="1"/>
  <c r="J1540" i="1" l="1"/>
  <c r="L1540" i="1"/>
  <c r="M1540" i="1" s="1"/>
  <c r="I1540" i="1"/>
  <c r="K1540" i="1" s="1"/>
  <c r="H1541" i="1" s="1"/>
  <c r="L1541" i="1" l="1"/>
  <c r="M1541" i="1" s="1"/>
  <c r="J1541" i="1"/>
  <c r="I1541" i="1"/>
  <c r="K1541" i="1" s="1"/>
  <c r="H1542" i="1" s="1"/>
  <c r="J1542" i="1" l="1"/>
  <c r="L1542" i="1"/>
  <c r="M1542" i="1" s="1"/>
  <c r="I1542" i="1"/>
  <c r="K1542" i="1" s="1"/>
  <c r="H1543" i="1" s="1"/>
  <c r="L1543" i="1" l="1"/>
  <c r="M1543" i="1" s="1"/>
  <c r="J1543" i="1"/>
  <c r="I1543" i="1"/>
  <c r="K1543" i="1" s="1"/>
  <c r="H1544" i="1" s="1"/>
  <c r="J1544" i="1" l="1"/>
  <c r="I1544" i="1"/>
  <c r="K1544" i="1" s="1"/>
  <c r="H1545" i="1" s="1"/>
  <c r="L1544" i="1"/>
  <c r="M1544" i="1" s="1"/>
  <c r="J1545" i="1" l="1"/>
  <c r="I1545" i="1"/>
  <c r="K1545" i="1" s="1"/>
  <c r="H1546" i="1" s="1"/>
  <c r="L1545" i="1"/>
  <c r="M1545" i="1" s="1"/>
  <c r="L1546" i="1" l="1"/>
  <c r="M1546" i="1" s="1"/>
  <c r="J1546" i="1"/>
  <c r="I1546" i="1"/>
  <c r="K1546" i="1" s="1"/>
  <c r="H1547" i="1" s="1"/>
  <c r="L1547" i="1" l="1"/>
  <c r="M1547" i="1" s="1"/>
  <c r="J1547" i="1"/>
  <c r="I1547" i="1"/>
  <c r="K1547" i="1" s="1"/>
  <c r="H1548" i="1" s="1"/>
  <c r="L1548" i="1" l="1"/>
  <c r="M1548" i="1" s="1"/>
  <c r="J1548" i="1"/>
  <c r="I1548" i="1"/>
  <c r="K1548" i="1" s="1"/>
  <c r="H1549" i="1" s="1"/>
  <c r="L1549" i="1" l="1"/>
  <c r="M1549" i="1" s="1"/>
  <c r="J1549" i="1"/>
  <c r="I1549" i="1"/>
  <c r="K1549" i="1" s="1"/>
  <c r="H1550" i="1" s="1"/>
  <c r="L1550" i="1" l="1"/>
  <c r="M1550" i="1" s="1"/>
  <c r="J1550" i="1"/>
  <c r="I1550" i="1"/>
  <c r="K1550" i="1" s="1"/>
  <c r="H1551" i="1" s="1"/>
  <c r="L1551" i="1" l="1"/>
  <c r="M1551" i="1" s="1"/>
  <c r="J1551" i="1"/>
  <c r="I1551" i="1"/>
  <c r="K1551" i="1" s="1"/>
  <c r="H1552" i="1" s="1"/>
  <c r="J1552" i="1" l="1"/>
  <c r="L1552" i="1"/>
  <c r="M1552" i="1" s="1"/>
  <c r="I1552" i="1"/>
  <c r="K1552" i="1" s="1"/>
  <c r="H1553" i="1" s="1"/>
  <c r="I1553" i="1" l="1"/>
  <c r="K1553" i="1" s="1"/>
  <c r="H1554" i="1" s="1"/>
  <c r="J1553" i="1"/>
  <c r="L1553" i="1"/>
  <c r="M1553" i="1" s="1"/>
  <c r="L1554" i="1" l="1"/>
  <c r="M1554" i="1" s="1"/>
  <c r="J1554" i="1"/>
  <c r="I1554" i="1"/>
  <c r="K1554" i="1" s="1"/>
  <c r="H1555" i="1" s="1"/>
  <c r="J1555" i="1" l="1"/>
  <c r="L1555" i="1"/>
  <c r="M1555" i="1" s="1"/>
  <c r="I1555" i="1"/>
  <c r="K1555" i="1" s="1"/>
  <c r="H1556" i="1" s="1"/>
  <c r="J1556" i="1" l="1"/>
  <c r="L1556" i="1"/>
  <c r="M1556" i="1" s="1"/>
  <c r="I1556" i="1"/>
  <c r="K1556" i="1" s="1"/>
  <c r="H1557" i="1" s="1"/>
  <c r="J1557" i="1" l="1"/>
  <c r="I1557" i="1"/>
  <c r="K1557" i="1" s="1"/>
  <c r="H1558" i="1" s="1"/>
  <c r="L1557" i="1"/>
  <c r="M1557" i="1" s="1"/>
  <c r="L1558" i="1" l="1"/>
  <c r="M1558" i="1" s="1"/>
  <c r="J1558" i="1"/>
  <c r="I1558" i="1"/>
  <c r="K1558" i="1" s="1"/>
  <c r="H1559" i="1" s="1"/>
  <c r="L1559" i="1" l="1"/>
  <c r="M1559" i="1" s="1"/>
  <c r="I1559" i="1"/>
  <c r="K1559" i="1" s="1"/>
  <c r="H1560" i="1" s="1"/>
  <c r="J1559" i="1"/>
  <c r="L1560" i="1" l="1"/>
  <c r="M1560" i="1" s="1"/>
  <c r="J1560" i="1"/>
  <c r="I1560" i="1"/>
  <c r="K1560" i="1" s="1"/>
  <c r="H1561" i="1" s="1"/>
  <c r="L1561" i="1" l="1"/>
  <c r="M1561" i="1" s="1"/>
  <c r="J1561" i="1"/>
  <c r="I1561" i="1"/>
  <c r="K1561" i="1" s="1"/>
  <c r="H1562" i="1" s="1"/>
  <c r="L1562" i="1" l="1"/>
  <c r="M1562" i="1" s="1"/>
  <c r="J1562" i="1"/>
  <c r="I1562" i="1"/>
  <c r="K1562" i="1" s="1"/>
  <c r="H1563" i="1" s="1"/>
  <c r="J1563" i="1" l="1"/>
  <c r="L1563" i="1"/>
  <c r="M1563" i="1" s="1"/>
  <c r="I1563" i="1"/>
  <c r="K1563" i="1" s="1"/>
  <c r="H1564" i="1" s="1"/>
  <c r="L1564" i="1" l="1"/>
  <c r="M1564" i="1" s="1"/>
  <c r="J1564" i="1"/>
  <c r="I1564" i="1"/>
  <c r="K1564" i="1" s="1"/>
  <c r="H1565" i="1" s="1"/>
  <c r="L1565" i="1" l="1"/>
  <c r="M1565" i="1" s="1"/>
  <c r="J1565" i="1"/>
  <c r="I1565" i="1"/>
  <c r="K1565" i="1" s="1"/>
  <c r="H1566" i="1" s="1"/>
  <c r="L1566" i="1" l="1"/>
  <c r="M1566" i="1" s="1"/>
  <c r="J1566" i="1"/>
  <c r="I1566" i="1"/>
  <c r="K1566" i="1" s="1"/>
  <c r="H1567" i="1" s="1"/>
  <c r="L1567" i="1" l="1"/>
  <c r="M1567" i="1" s="1"/>
  <c r="J1567" i="1"/>
  <c r="I1567" i="1"/>
  <c r="K1567" i="1" s="1"/>
  <c r="H1568" i="1" s="1"/>
  <c r="L1568" i="1" l="1"/>
  <c r="M1568" i="1" s="1"/>
  <c r="I1568" i="1"/>
  <c r="K1568" i="1" s="1"/>
  <c r="H1569" i="1" s="1"/>
  <c r="J1568" i="1"/>
  <c r="L1569" i="1" l="1"/>
  <c r="M1569" i="1" s="1"/>
  <c r="J1569" i="1"/>
  <c r="I1569" i="1"/>
  <c r="K1569" i="1" s="1"/>
  <c r="H1570" i="1" s="1"/>
  <c r="L1570" i="1" l="1"/>
  <c r="M1570" i="1" s="1"/>
  <c r="J1570" i="1"/>
  <c r="I1570" i="1"/>
  <c r="K1570" i="1" s="1"/>
  <c r="H1571" i="1" s="1"/>
  <c r="L1571" i="1" l="1"/>
  <c r="M1571" i="1" s="1"/>
  <c r="I1571" i="1"/>
  <c r="K1571" i="1" s="1"/>
  <c r="H1572" i="1" s="1"/>
  <c r="J1571" i="1"/>
  <c r="L1572" i="1" l="1"/>
  <c r="M1572" i="1" s="1"/>
  <c r="J1572" i="1"/>
  <c r="I1572" i="1"/>
  <c r="K1572" i="1" s="1"/>
  <c r="H1573" i="1" s="1"/>
  <c r="L1573" i="1" l="1"/>
  <c r="M1573" i="1" s="1"/>
  <c r="J1573" i="1"/>
  <c r="I1573" i="1"/>
  <c r="K1573" i="1" s="1"/>
  <c r="H1574" i="1" s="1"/>
  <c r="L1574" i="1" l="1"/>
  <c r="M1574" i="1" s="1"/>
  <c r="J1574" i="1"/>
  <c r="I1574" i="1"/>
  <c r="K1574" i="1" s="1"/>
  <c r="H1575" i="1" s="1"/>
  <c r="L1575" i="1" l="1"/>
  <c r="M1575" i="1" s="1"/>
  <c r="J1575" i="1"/>
  <c r="I1575" i="1"/>
  <c r="K1575" i="1" s="1"/>
  <c r="H1576" i="1" s="1"/>
  <c r="J1576" i="1" l="1"/>
  <c r="L1576" i="1"/>
  <c r="M1576" i="1" s="1"/>
  <c r="I1576" i="1"/>
  <c r="K1576" i="1" s="1"/>
  <c r="H1577" i="1" s="1"/>
  <c r="L1577" i="1" l="1"/>
  <c r="M1577" i="1" s="1"/>
  <c r="J1577" i="1"/>
  <c r="I1577" i="1"/>
  <c r="K1577" i="1" s="1"/>
  <c r="H1578" i="1" s="1"/>
  <c r="L1578" i="1" l="1"/>
  <c r="M1578" i="1" s="1"/>
  <c r="J1578" i="1"/>
  <c r="I1578" i="1"/>
  <c r="K1578" i="1" s="1"/>
  <c r="H1579" i="1" s="1"/>
  <c r="J1579" i="1" l="1"/>
  <c r="L1579" i="1"/>
  <c r="M1579" i="1" s="1"/>
  <c r="I1579" i="1"/>
  <c r="K1579" i="1" s="1"/>
  <c r="H1580" i="1" s="1"/>
  <c r="J1580" i="1" l="1"/>
  <c r="L1580" i="1"/>
  <c r="M1580" i="1" s="1"/>
  <c r="I1580" i="1"/>
  <c r="K1580" i="1" s="1"/>
  <c r="H1581" i="1" s="1"/>
  <c r="L1581" i="1" l="1"/>
  <c r="M1581" i="1" s="1"/>
  <c r="J1581" i="1"/>
  <c r="I1581" i="1"/>
  <c r="K1581" i="1" s="1"/>
  <c r="H1582" i="1" s="1"/>
  <c r="L1582" i="1" l="1"/>
  <c r="M1582" i="1" s="1"/>
  <c r="J1582" i="1"/>
  <c r="I1582" i="1"/>
  <c r="K1582" i="1" s="1"/>
  <c r="H1583" i="1" s="1"/>
  <c r="L1583" i="1" l="1"/>
  <c r="M1583" i="1" s="1"/>
  <c r="J1583" i="1"/>
  <c r="I1583" i="1"/>
  <c r="K1583" i="1" s="1"/>
  <c r="H1584" i="1" s="1"/>
  <c r="L1584" i="1" l="1"/>
  <c r="M1584" i="1" s="1"/>
  <c r="J1584" i="1"/>
  <c r="I1584" i="1"/>
  <c r="K1584" i="1" s="1"/>
  <c r="H1585" i="1" s="1"/>
  <c r="L1585" i="1" l="1"/>
  <c r="M1585" i="1" s="1"/>
  <c r="J1585" i="1"/>
  <c r="I1585" i="1"/>
  <c r="K1585" i="1" s="1"/>
  <c r="H1586" i="1" s="1"/>
  <c r="L1586" i="1" l="1"/>
  <c r="M1586" i="1" s="1"/>
  <c r="J1586" i="1"/>
  <c r="I1586" i="1"/>
  <c r="K1586" i="1" s="1"/>
  <c r="H1587" i="1" s="1"/>
  <c r="L1587" i="1" l="1"/>
  <c r="M1587" i="1" s="1"/>
  <c r="I1587" i="1"/>
  <c r="K1587" i="1" s="1"/>
  <c r="H1588" i="1" s="1"/>
  <c r="J1587" i="1"/>
  <c r="L1588" i="1" l="1"/>
  <c r="M1588" i="1" s="1"/>
  <c r="J1588" i="1"/>
  <c r="I1588" i="1"/>
  <c r="K1588" i="1" s="1"/>
  <c r="H1589" i="1" s="1"/>
  <c r="L1589" i="1" l="1"/>
  <c r="M1589" i="1" s="1"/>
  <c r="J1589" i="1"/>
  <c r="I1589" i="1"/>
  <c r="K1589" i="1" s="1"/>
  <c r="H1590" i="1" s="1"/>
  <c r="L1590" i="1" l="1"/>
  <c r="M1590" i="1" s="1"/>
  <c r="J1590" i="1"/>
  <c r="I1590" i="1"/>
  <c r="K1590" i="1" s="1"/>
  <c r="H1591" i="1" s="1"/>
  <c r="L1591" i="1" l="1"/>
  <c r="M1591" i="1" s="1"/>
  <c r="J1591" i="1"/>
  <c r="I1591" i="1"/>
  <c r="K1591" i="1" s="1"/>
  <c r="H1592" i="1" s="1"/>
  <c r="J1592" i="1" l="1"/>
  <c r="L1592" i="1"/>
  <c r="M1592" i="1" s="1"/>
  <c r="I1592" i="1"/>
  <c r="K1592" i="1" s="1"/>
  <c r="H1593" i="1" s="1"/>
  <c r="L1593" i="1" l="1"/>
  <c r="M1593" i="1" s="1"/>
  <c r="I1593" i="1"/>
  <c r="K1593" i="1" s="1"/>
  <c r="H1594" i="1" s="1"/>
  <c r="J1593" i="1"/>
  <c r="L1594" i="1" l="1"/>
  <c r="M1594" i="1" s="1"/>
  <c r="I1594" i="1"/>
  <c r="K1594" i="1" s="1"/>
  <c r="H1595" i="1" s="1"/>
  <c r="J1594" i="1"/>
  <c r="L1595" i="1" l="1"/>
  <c r="M1595" i="1" s="1"/>
  <c r="J1595" i="1"/>
  <c r="I1595" i="1"/>
  <c r="K1595" i="1" s="1"/>
  <c r="H1596" i="1" s="1"/>
  <c r="L1596" i="1" l="1"/>
  <c r="M1596" i="1" s="1"/>
  <c r="J1596" i="1"/>
  <c r="I1596" i="1"/>
  <c r="K1596" i="1" s="1"/>
  <c r="H1597" i="1" s="1"/>
  <c r="L1597" i="1" l="1"/>
  <c r="M1597" i="1" s="1"/>
  <c r="J1597" i="1"/>
  <c r="I1597" i="1"/>
  <c r="K1597" i="1" s="1"/>
  <c r="H1598" i="1" s="1"/>
  <c r="L1598" i="1" l="1"/>
  <c r="M1598" i="1" s="1"/>
  <c r="J1598" i="1"/>
  <c r="I1598" i="1"/>
  <c r="K1598" i="1" s="1"/>
  <c r="H1599" i="1" s="1"/>
  <c r="J1599" i="1" l="1"/>
  <c r="L1599" i="1"/>
  <c r="M1599" i="1" s="1"/>
  <c r="I1599" i="1"/>
  <c r="K1599" i="1" s="1"/>
  <c r="H1600" i="1" s="1"/>
  <c r="J1600" i="1" l="1"/>
  <c r="L1600" i="1"/>
  <c r="M1600" i="1" s="1"/>
  <c r="I1600" i="1"/>
  <c r="K1600" i="1" s="1"/>
  <c r="H1601" i="1" s="1"/>
  <c r="L1601" i="1" l="1"/>
  <c r="M1601" i="1" s="1"/>
  <c r="J1601" i="1"/>
  <c r="I1601" i="1"/>
  <c r="K1601" i="1" s="1"/>
  <c r="H1602" i="1" s="1"/>
  <c r="L1602" i="1" l="1"/>
  <c r="M1602" i="1" s="1"/>
  <c r="J1602" i="1"/>
  <c r="I1602" i="1"/>
  <c r="K1602" i="1" s="1"/>
  <c r="H1603" i="1" s="1"/>
  <c r="L1603" i="1" l="1"/>
  <c r="M1603" i="1" s="1"/>
  <c r="J1603" i="1"/>
  <c r="I1603" i="1"/>
  <c r="K1603" i="1" s="1"/>
  <c r="H1604" i="1" s="1"/>
  <c r="L1604" i="1" l="1"/>
  <c r="M1604" i="1" s="1"/>
  <c r="I1604" i="1"/>
  <c r="K1604" i="1" s="1"/>
  <c r="H1605" i="1" s="1"/>
  <c r="J1604" i="1"/>
  <c r="J1605" i="1" l="1"/>
  <c r="L1605" i="1"/>
  <c r="M1605" i="1" s="1"/>
  <c r="I1605" i="1"/>
  <c r="K1605" i="1" s="1"/>
  <c r="H1606" i="1" s="1"/>
  <c r="J1606" i="1" l="1"/>
  <c r="L1606" i="1"/>
  <c r="M1606" i="1" s="1"/>
  <c r="I1606" i="1"/>
  <c r="K1606" i="1" s="1"/>
  <c r="H1607" i="1" s="1"/>
  <c r="I1607" i="1" l="1"/>
  <c r="K1607" i="1" s="1"/>
  <c r="H1608" i="1" s="1"/>
  <c r="L1607" i="1"/>
  <c r="M1607" i="1" s="1"/>
  <c r="J1607" i="1"/>
  <c r="I1608" i="1" l="1"/>
  <c r="K1608" i="1" s="1"/>
  <c r="H1609" i="1" s="1"/>
  <c r="L1608" i="1"/>
  <c r="M1608" i="1" s="1"/>
  <c r="J1608" i="1"/>
  <c r="L1609" i="1" l="1"/>
  <c r="M1609" i="1" s="1"/>
  <c r="I1609" i="1"/>
  <c r="K1609" i="1" s="1"/>
  <c r="H1610" i="1" s="1"/>
  <c r="J1609" i="1"/>
  <c r="L1610" i="1" l="1"/>
  <c r="M1610" i="1" s="1"/>
  <c r="J1610" i="1"/>
  <c r="I1610" i="1"/>
  <c r="K1610" i="1" s="1"/>
  <c r="H1611" i="1" s="1"/>
  <c r="L1611" i="1" l="1"/>
  <c r="M1611" i="1" s="1"/>
  <c r="J1611" i="1"/>
  <c r="I1611" i="1"/>
  <c r="K1611" i="1" s="1"/>
  <c r="H1612" i="1" s="1"/>
  <c r="I1612" i="1" l="1"/>
  <c r="K1612" i="1" s="1"/>
  <c r="H1613" i="1" s="1"/>
  <c r="L1612" i="1"/>
  <c r="M1612" i="1" s="1"/>
  <c r="J1612" i="1"/>
  <c r="L1613" i="1" l="1"/>
  <c r="M1613" i="1" s="1"/>
  <c r="J1613" i="1"/>
  <c r="I1613" i="1"/>
  <c r="K1613" i="1" s="1"/>
  <c r="H1614" i="1" s="1"/>
  <c r="J1614" i="1" l="1"/>
  <c r="L1614" i="1"/>
  <c r="M1614" i="1" s="1"/>
  <c r="I1614" i="1"/>
  <c r="K1614" i="1" s="1"/>
  <c r="H1615" i="1" s="1"/>
  <c r="L1615" i="1" l="1"/>
  <c r="M1615" i="1" s="1"/>
  <c r="J1615" i="1"/>
  <c r="I1615" i="1"/>
  <c r="K1615" i="1" s="1"/>
  <c r="H1616" i="1" s="1"/>
  <c r="L1616" i="1" l="1"/>
  <c r="M1616" i="1" s="1"/>
  <c r="J1616" i="1"/>
  <c r="I1616" i="1"/>
  <c r="K1616" i="1" s="1"/>
  <c r="H1617" i="1" s="1"/>
  <c r="J1617" i="1" l="1"/>
  <c r="L1617" i="1"/>
  <c r="M1617" i="1" s="1"/>
  <c r="I1617" i="1"/>
  <c r="K1617" i="1" s="1"/>
  <c r="H1618" i="1" s="1"/>
  <c r="L1618" i="1" l="1"/>
  <c r="M1618" i="1" s="1"/>
  <c r="J1618" i="1"/>
  <c r="I1618" i="1"/>
  <c r="K1618" i="1" s="1"/>
  <c r="H1619" i="1" s="1"/>
  <c r="L1619" i="1" l="1"/>
  <c r="M1619" i="1" s="1"/>
  <c r="I1619" i="1"/>
  <c r="K1619" i="1" s="1"/>
  <c r="H1620" i="1" s="1"/>
  <c r="J1619" i="1"/>
  <c r="L1620" i="1" l="1"/>
  <c r="M1620" i="1" s="1"/>
  <c r="I1620" i="1"/>
  <c r="K1620" i="1" s="1"/>
  <c r="H1621" i="1" s="1"/>
  <c r="J1620" i="1"/>
  <c r="L1621" i="1" l="1"/>
  <c r="M1621" i="1" s="1"/>
  <c r="J1621" i="1"/>
  <c r="I1621" i="1"/>
  <c r="K1621" i="1" s="1"/>
  <c r="H1622" i="1" s="1"/>
  <c r="L1622" i="1" l="1"/>
  <c r="M1622" i="1" s="1"/>
  <c r="I1622" i="1"/>
  <c r="K1622" i="1" s="1"/>
  <c r="H1623" i="1" s="1"/>
  <c r="J1622" i="1"/>
  <c r="L1623" i="1" l="1"/>
  <c r="M1623" i="1" s="1"/>
  <c r="I1623" i="1"/>
  <c r="K1623" i="1" s="1"/>
  <c r="H1624" i="1" s="1"/>
  <c r="J1623" i="1"/>
  <c r="L1624" i="1" l="1"/>
  <c r="M1624" i="1" s="1"/>
  <c r="I1624" i="1"/>
  <c r="K1624" i="1" s="1"/>
  <c r="H1625" i="1" s="1"/>
  <c r="J1624" i="1"/>
  <c r="L1625" i="1" l="1"/>
  <c r="M1625" i="1" s="1"/>
  <c r="J1625" i="1"/>
  <c r="I1625" i="1"/>
  <c r="K1625" i="1" s="1"/>
  <c r="H1626" i="1" s="1"/>
  <c r="L1626" i="1" l="1"/>
  <c r="M1626" i="1" s="1"/>
  <c r="J1626" i="1"/>
  <c r="I1626" i="1"/>
  <c r="K1626" i="1" s="1"/>
  <c r="H1627" i="1" s="1"/>
  <c r="J1627" i="1" l="1"/>
  <c r="L1627" i="1"/>
  <c r="M1627" i="1" s="1"/>
  <c r="I1627" i="1"/>
  <c r="K1627" i="1" s="1"/>
  <c r="H1628" i="1" s="1"/>
  <c r="L1628" i="1" l="1"/>
  <c r="M1628" i="1" s="1"/>
  <c r="J1628" i="1"/>
  <c r="I1628" i="1"/>
  <c r="K1628" i="1" s="1"/>
  <c r="H1629" i="1" s="1"/>
  <c r="J1629" i="1" l="1"/>
  <c r="L1629" i="1"/>
  <c r="M1629" i="1" s="1"/>
  <c r="I1629" i="1"/>
  <c r="K1629" i="1" s="1"/>
  <c r="H1630" i="1" s="1"/>
  <c r="L1630" i="1" l="1"/>
  <c r="M1630" i="1" s="1"/>
  <c r="J1630" i="1"/>
  <c r="I1630" i="1"/>
  <c r="K1630" i="1" s="1"/>
  <c r="H1631" i="1" s="1"/>
  <c r="L1631" i="1" l="1"/>
  <c r="M1631" i="1" s="1"/>
  <c r="I1631" i="1"/>
  <c r="K1631" i="1" s="1"/>
  <c r="H1632" i="1" s="1"/>
  <c r="J1631" i="1"/>
  <c r="L1632" i="1" l="1"/>
  <c r="M1632" i="1" s="1"/>
  <c r="J1632" i="1"/>
  <c r="I1632" i="1"/>
  <c r="K1632" i="1" s="1"/>
  <c r="H1633" i="1" s="1"/>
  <c r="L1633" i="1" l="1"/>
  <c r="M1633" i="1" s="1"/>
  <c r="J1633" i="1"/>
  <c r="I1633" i="1"/>
  <c r="K1633" i="1" s="1"/>
  <c r="H1634" i="1" s="1"/>
  <c r="J1634" i="1" l="1"/>
  <c r="I1634" i="1"/>
  <c r="K1634" i="1" s="1"/>
  <c r="H1635" i="1" s="1"/>
  <c r="L1634" i="1"/>
  <c r="M1634" i="1" s="1"/>
  <c r="L1635" i="1" l="1"/>
  <c r="M1635" i="1" s="1"/>
  <c r="J1635" i="1"/>
  <c r="I1635" i="1"/>
  <c r="K1635" i="1" s="1"/>
  <c r="H1636" i="1" s="1"/>
  <c r="J1636" i="1" l="1"/>
  <c r="L1636" i="1"/>
  <c r="M1636" i="1" s="1"/>
  <c r="I1636" i="1"/>
  <c r="K1636" i="1" s="1"/>
  <c r="H1637" i="1" s="1"/>
  <c r="L1637" i="1" l="1"/>
  <c r="M1637" i="1" s="1"/>
  <c r="I1637" i="1"/>
  <c r="K1637" i="1" s="1"/>
  <c r="H1638" i="1" s="1"/>
  <c r="J1637" i="1"/>
  <c r="L1638" i="1" l="1"/>
  <c r="M1638" i="1" s="1"/>
  <c r="J1638" i="1"/>
  <c r="I1638" i="1"/>
  <c r="K1638" i="1" s="1"/>
  <c r="H1639" i="1" s="1"/>
  <c r="L1639" i="1" l="1"/>
  <c r="M1639" i="1" s="1"/>
  <c r="J1639" i="1"/>
  <c r="I1639" i="1"/>
  <c r="K1639" i="1" s="1"/>
  <c r="H1640" i="1" s="1"/>
  <c r="L1640" i="1" l="1"/>
  <c r="M1640" i="1" s="1"/>
  <c r="I1640" i="1"/>
  <c r="K1640" i="1" s="1"/>
  <c r="H1641" i="1" s="1"/>
  <c r="J1640" i="1"/>
  <c r="J1641" i="1" l="1"/>
  <c r="L1641" i="1"/>
  <c r="M1641" i="1" s="1"/>
  <c r="I1641" i="1"/>
  <c r="K1641" i="1" s="1"/>
  <c r="H1642" i="1" s="1"/>
  <c r="J1642" i="1" l="1"/>
  <c r="L1642" i="1"/>
  <c r="M1642" i="1" s="1"/>
  <c r="I1642" i="1"/>
  <c r="K1642" i="1" s="1"/>
  <c r="H1643" i="1" s="1"/>
  <c r="L1643" i="1" l="1"/>
  <c r="M1643" i="1" s="1"/>
  <c r="J1643" i="1"/>
  <c r="I1643" i="1"/>
  <c r="K1643" i="1" s="1"/>
  <c r="H1644" i="1" s="1"/>
  <c r="L1644" i="1" l="1"/>
  <c r="M1644" i="1" s="1"/>
  <c r="J1644" i="1"/>
  <c r="I1644" i="1"/>
  <c r="K1644" i="1" s="1"/>
  <c r="H1645" i="1" s="1"/>
  <c r="L1645" i="1" l="1"/>
  <c r="M1645" i="1" s="1"/>
  <c r="J1645" i="1"/>
  <c r="I1645" i="1"/>
  <c r="K1645" i="1" s="1"/>
  <c r="H1646" i="1" s="1"/>
  <c r="L1646" i="1" l="1"/>
  <c r="M1646" i="1" s="1"/>
  <c r="I1646" i="1"/>
  <c r="K1646" i="1" s="1"/>
  <c r="H1647" i="1" s="1"/>
  <c r="J1646" i="1"/>
  <c r="J1647" i="1" l="1"/>
  <c r="L1647" i="1"/>
  <c r="M1647" i="1" s="1"/>
  <c r="I1647" i="1"/>
  <c r="K1647" i="1" s="1"/>
  <c r="H1648" i="1" s="1"/>
  <c r="L1648" i="1" l="1"/>
  <c r="M1648" i="1" s="1"/>
  <c r="J1648" i="1"/>
  <c r="I1648" i="1"/>
  <c r="K1648" i="1" s="1"/>
  <c r="H1649" i="1" s="1"/>
  <c r="L1649" i="1" l="1"/>
  <c r="M1649" i="1" s="1"/>
  <c r="J1649" i="1"/>
  <c r="I1649" i="1"/>
  <c r="K1649" i="1" s="1"/>
  <c r="H1650" i="1" s="1"/>
  <c r="J1650" i="1" l="1"/>
  <c r="L1650" i="1"/>
  <c r="M1650" i="1" s="1"/>
  <c r="I1650" i="1"/>
  <c r="K1650" i="1" s="1"/>
  <c r="H1651" i="1" s="1"/>
  <c r="L1651" i="1" l="1"/>
  <c r="M1651" i="1" s="1"/>
  <c r="I1651" i="1"/>
  <c r="K1651" i="1" s="1"/>
  <c r="H1652" i="1" s="1"/>
  <c r="J1651" i="1"/>
  <c r="J1652" i="1" l="1"/>
  <c r="I1652" i="1"/>
  <c r="K1652" i="1" s="1"/>
  <c r="H1653" i="1" s="1"/>
  <c r="L1652" i="1"/>
  <c r="M1652" i="1" s="1"/>
  <c r="L1653" i="1" l="1"/>
  <c r="M1653" i="1" s="1"/>
  <c r="I1653" i="1"/>
  <c r="K1653" i="1" s="1"/>
  <c r="H1654" i="1" s="1"/>
  <c r="J1653" i="1"/>
  <c r="J1654" i="1" l="1"/>
  <c r="L1654" i="1"/>
  <c r="M1654" i="1" s="1"/>
  <c r="I1654" i="1"/>
  <c r="K1654" i="1" s="1"/>
  <c r="H1655" i="1" s="1"/>
  <c r="L1655" i="1" l="1"/>
  <c r="M1655" i="1" s="1"/>
  <c r="J1655" i="1"/>
  <c r="I1655" i="1"/>
  <c r="K1655" i="1" s="1"/>
  <c r="H1656" i="1" s="1"/>
  <c r="L1656" i="1" l="1"/>
  <c r="M1656" i="1" s="1"/>
  <c r="I1656" i="1"/>
  <c r="K1656" i="1" s="1"/>
  <c r="H1657" i="1" s="1"/>
  <c r="J1656" i="1"/>
  <c r="L1657" i="1" l="1"/>
  <c r="M1657" i="1" s="1"/>
  <c r="I1657" i="1"/>
  <c r="K1657" i="1" s="1"/>
  <c r="H1658" i="1" s="1"/>
  <c r="J1657" i="1"/>
  <c r="L1658" i="1" l="1"/>
  <c r="M1658" i="1" s="1"/>
  <c r="I1658" i="1"/>
  <c r="K1658" i="1" s="1"/>
  <c r="H1659" i="1" s="1"/>
  <c r="J1658" i="1"/>
  <c r="L1659" i="1" l="1"/>
  <c r="M1659" i="1" s="1"/>
  <c r="I1659" i="1"/>
  <c r="K1659" i="1" s="1"/>
  <c r="H1660" i="1" s="1"/>
  <c r="J1659" i="1"/>
  <c r="L1660" i="1" l="1"/>
  <c r="M1660" i="1" s="1"/>
  <c r="I1660" i="1"/>
  <c r="K1660" i="1" s="1"/>
  <c r="H1661" i="1" s="1"/>
  <c r="J1660" i="1"/>
  <c r="L1661" i="1" l="1"/>
  <c r="M1661" i="1" s="1"/>
  <c r="J1661" i="1"/>
  <c r="I1661" i="1"/>
  <c r="K1661" i="1" s="1"/>
  <c r="H1662" i="1" s="1"/>
  <c r="L1662" i="1" l="1"/>
  <c r="M1662" i="1" s="1"/>
  <c r="I1662" i="1"/>
  <c r="K1662" i="1" s="1"/>
  <c r="H1663" i="1" s="1"/>
  <c r="J1662" i="1"/>
  <c r="L1663" i="1" l="1"/>
  <c r="M1663" i="1" s="1"/>
  <c r="I1663" i="1"/>
  <c r="K1663" i="1" s="1"/>
  <c r="H1664" i="1" s="1"/>
  <c r="J1663" i="1"/>
  <c r="J1664" i="1" l="1"/>
  <c r="I1664" i="1"/>
  <c r="K1664" i="1" s="1"/>
  <c r="H1665" i="1" s="1"/>
  <c r="L1664" i="1"/>
  <c r="M1664" i="1" s="1"/>
  <c r="J1665" i="1" l="1"/>
  <c r="I1665" i="1"/>
  <c r="K1665" i="1" s="1"/>
  <c r="H1666" i="1" s="1"/>
  <c r="L1665" i="1"/>
  <c r="M1665" i="1" s="1"/>
  <c r="L1666" i="1" l="1"/>
  <c r="M1666" i="1" s="1"/>
  <c r="J1666" i="1"/>
  <c r="I1666" i="1"/>
  <c r="K1666" i="1" s="1"/>
  <c r="H1667" i="1" s="1"/>
  <c r="L1667" i="1" l="1"/>
  <c r="M1667" i="1" s="1"/>
  <c r="J1667" i="1"/>
  <c r="I1667" i="1"/>
  <c r="K1667" i="1" s="1"/>
  <c r="H1668" i="1" s="1"/>
  <c r="L1668" i="1" l="1"/>
  <c r="M1668" i="1" s="1"/>
  <c r="J1668" i="1"/>
  <c r="I1668" i="1"/>
  <c r="K1668" i="1" s="1"/>
  <c r="H1669" i="1" s="1"/>
  <c r="L1669" i="1" l="1"/>
  <c r="M1669" i="1" s="1"/>
  <c r="J1669" i="1"/>
  <c r="I1669" i="1"/>
  <c r="K1669" i="1" s="1"/>
  <c r="H1670" i="1" s="1"/>
  <c r="L1670" i="1" l="1"/>
  <c r="M1670" i="1" s="1"/>
  <c r="J1670" i="1"/>
  <c r="I1670" i="1"/>
  <c r="K1670" i="1" s="1"/>
  <c r="H1671" i="1" s="1"/>
  <c r="L1671" i="1" l="1"/>
  <c r="M1671" i="1" s="1"/>
  <c r="J1671" i="1"/>
  <c r="I1671" i="1"/>
  <c r="K1671" i="1" s="1"/>
  <c r="H1672" i="1" s="1"/>
  <c r="L1672" i="1" l="1"/>
  <c r="M1672" i="1" s="1"/>
  <c r="J1672" i="1"/>
  <c r="I1672" i="1"/>
  <c r="K1672" i="1" s="1"/>
  <c r="H1673" i="1" s="1"/>
  <c r="L1673" i="1" l="1"/>
  <c r="M1673" i="1" s="1"/>
  <c r="J1673" i="1"/>
  <c r="I1673" i="1"/>
  <c r="K1673" i="1" s="1"/>
  <c r="H1674" i="1" s="1"/>
  <c r="L1674" i="1" l="1"/>
  <c r="M1674" i="1" s="1"/>
  <c r="J1674" i="1"/>
  <c r="I1674" i="1"/>
  <c r="K1674" i="1" s="1"/>
  <c r="H1675" i="1" s="1"/>
  <c r="L1675" i="1" l="1"/>
  <c r="M1675" i="1" s="1"/>
  <c r="J1675" i="1"/>
  <c r="I1675" i="1"/>
  <c r="K1675" i="1" s="1"/>
  <c r="H1676" i="1" s="1"/>
  <c r="L1676" i="1" l="1"/>
  <c r="M1676" i="1" s="1"/>
  <c r="J1676" i="1"/>
  <c r="I1676" i="1"/>
  <c r="K1676" i="1" s="1"/>
  <c r="H1677" i="1" s="1"/>
  <c r="L1677" i="1" l="1"/>
  <c r="M1677" i="1" s="1"/>
  <c r="J1677" i="1"/>
  <c r="I1677" i="1"/>
  <c r="K1677" i="1" s="1"/>
  <c r="H1678" i="1" s="1"/>
  <c r="L1678" i="1" l="1"/>
  <c r="M1678" i="1" s="1"/>
  <c r="J1678" i="1"/>
  <c r="I1678" i="1"/>
  <c r="K1678" i="1" s="1"/>
  <c r="H1679" i="1" s="1"/>
  <c r="L1679" i="1" l="1"/>
  <c r="M1679" i="1" s="1"/>
  <c r="I1679" i="1"/>
  <c r="K1679" i="1" s="1"/>
  <c r="H1680" i="1" s="1"/>
  <c r="J1679" i="1"/>
  <c r="L1680" i="1" l="1"/>
  <c r="M1680" i="1" s="1"/>
  <c r="J1680" i="1"/>
  <c r="I1680" i="1"/>
  <c r="K1680" i="1" s="1"/>
  <c r="H1681" i="1" s="1"/>
  <c r="L1681" i="1" l="1"/>
  <c r="M1681" i="1" s="1"/>
  <c r="J1681" i="1"/>
  <c r="I1681" i="1"/>
  <c r="K1681" i="1" s="1"/>
  <c r="H1682" i="1" s="1"/>
  <c r="L1682" i="1" l="1"/>
  <c r="M1682" i="1" s="1"/>
  <c r="I1682" i="1"/>
  <c r="K1682" i="1" s="1"/>
  <c r="H1683" i="1" s="1"/>
  <c r="J1682" i="1"/>
  <c r="L1683" i="1" l="1"/>
  <c r="M1683" i="1" s="1"/>
  <c r="J1683" i="1"/>
  <c r="I1683" i="1"/>
  <c r="K1683" i="1" s="1"/>
  <c r="H1684" i="1" s="1"/>
  <c r="L1684" i="1" l="1"/>
  <c r="M1684" i="1" s="1"/>
  <c r="J1684" i="1"/>
  <c r="I1684" i="1"/>
  <c r="K1684" i="1" s="1"/>
  <c r="H1685" i="1" s="1"/>
  <c r="L1685" i="1" l="1"/>
  <c r="M1685" i="1" s="1"/>
  <c r="J1685" i="1"/>
  <c r="I1685" i="1"/>
  <c r="K1685" i="1" s="1"/>
  <c r="H1686" i="1" s="1"/>
  <c r="J1686" i="1" l="1"/>
  <c r="I1686" i="1"/>
  <c r="K1686" i="1" s="1"/>
  <c r="H1687" i="1" s="1"/>
  <c r="L1686" i="1"/>
  <c r="M1686" i="1" s="1"/>
  <c r="L1687" i="1" l="1"/>
  <c r="M1687" i="1" s="1"/>
  <c r="J1687" i="1"/>
  <c r="I1687" i="1"/>
  <c r="K1687" i="1" s="1"/>
  <c r="H1688" i="1" s="1"/>
  <c r="J1688" i="1" l="1"/>
  <c r="I1688" i="1"/>
  <c r="K1688" i="1" s="1"/>
  <c r="H1689" i="1" s="1"/>
  <c r="L1688" i="1"/>
  <c r="M1688" i="1" s="1"/>
  <c r="L1689" i="1" l="1"/>
  <c r="M1689" i="1" s="1"/>
  <c r="J1689" i="1"/>
  <c r="I1689" i="1"/>
  <c r="K1689" i="1" s="1"/>
  <c r="H1690" i="1" s="1"/>
  <c r="L1690" i="1" l="1"/>
  <c r="M1690" i="1" s="1"/>
  <c r="I1690" i="1"/>
  <c r="K1690" i="1" s="1"/>
  <c r="H1691" i="1" s="1"/>
  <c r="J1690" i="1"/>
  <c r="L1691" i="1" l="1"/>
  <c r="M1691" i="1" s="1"/>
  <c r="J1691" i="1"/>
  <c r="I1691" i="1"/>
  <c r="K1691" i="1" s="1"/>
  <c r="H1692" i="1" s="1"/>
  <c r="L1692" i="1" l="1"/>
  <c r="M1692" i="1" s="1"/>
  <c r="J1692" i="1"/>
  <c r="I1692" i="1"/>
  <c r="K1692" i="1" s="1"/>
  <c r="H1693" i="1" s="1"/>
  <c r="L1693" i="1" l="1"/>
  <c r="M1693" i="1" s="1"/>
  <c r="J1693" i="1"/>
  <c r="I1693" i="1"/>
  <c r="K1693" i="1" s="1"/>
  <c r="H1694" i="1" s="1"/>
  <c r="L1694" i="1" l="1"/>
  <c r="M1694" i="1" s="1"/>
  <c r="I1694" i="1"/>
  <c r="K1694" i="1" s="1"/>
  <c r="H1695" i="1" s="1"/>
  <c r="J1694" i="1"/>
  <c r="L1695" i="1" l="1"/>
  <c r="M1695" i="1" s="1"/>
  <c r="J1695" i="1"/>
  <c r="I1695" i="1"/>
  <c r="K1695" i="1" s="1"/>
  <c r="H1696" i="1" s="1"/>
  <c r="L1696" i="1" l="1"/>
  <c r="M1696" i="1" s="1"/>
  <c r="J1696" i="1"/>
  <c r="I1696" i="1"/>
  <c r="K1696" i="1" s="1"/>
  <c r="H1697" i="1" s="1"/>
  <c r="L1697" i="1" l="1"/>
  <c r="M1697" i="1" s="1"/>
  <c r="J1697" i="1"/>
  <c r="I1697" i="1"/>
  <c r="K1697" i="1" s="1"/>
  <c r="H1698" i="1" s="1"/>
  <c r="L1698" i="1" l="1"/>
  <c r="M1698" i="1" s="1"/>
  <c r="J1698" i="1"/>
  <c r="I1698" i="1"/>
  <c r="K1698" i="1" s="1"/>
  <c r="H1699" i="1" s="1"/>
  <c r="J1699" i="1" l="1"/>
  <c r="I1699" i="1"/>
  <c r="K1699" i="1" s="1"/>
  <c r="H1700" i="1" s="1"/>
  <c r="L1699" i="1"/>
  <c r="M1699" i="1" s="1"/>
  <c r="J1700" i="1" l="1"/>
  <c r="I1700" i="1"/>
  <c r="K1700" i="1" s="1"/>
  <c r="H1701" i="1" s="1"/>
  <c r="L1700" i="1"/>
  <c r="M1700" i="1" s="1"/>
  <c r="J1701" i="1" l="1"/>
  <c r="L1701" i="1"/>
  <c r="M1701" i="1" s="1"/>
  <c r="I1701" i="1"/>
  <c r="K1701" i="1" s="1"/>
  <c r="H1702" i="1" s="1"/>
  <c r="L1702" i="1" l="1"/>
  <c r="M1702" i="1" s="1"/>
  <c r="J1702" i="1"/>
  <c r="I1702" i="1"/>
  <c r="K1702" i="1" s="1"/>
  <c r="H1703" i="1" s="1"/>
  <c r="L1703" i="1" l="1"/>
  <c r="M1703" i="1" s="1"/>
  <c r="J1703" i="1"/>
  <c r="I1703" i="1"/>
  <c r="K1703" i="1" s="1"/>
  <c r="H1704" i="1" s="1"/>
  <c r="L1704" i="1" l="1"/>
  <c r="M1704" i="1" s="1"/>
  <c r="J1704" i="1"/>
  <c r="I1704" i="1"/>
  <c r="K1704" i="1" s="1"/>
  <c r="H1705" i="1" s="1"/>
  <c r="L1705" i="1" l="1"/>
  <c r="M1705" i="1" s="1"/>
  <c r="J1705" i="1"/>
  <c r="I1705" i="1"/>
  <c r="K1705" i="1" s="1"/>
  <c r="H1706" i="1" s="1"/>
  <c r="L1706" i="1" l="1"/>
  <c r="M1706" i="1" s="1"/>
  <c r="I1706" i="1"/>
  <c r="K1706" i="1" s="1"/>
  <c r="H1707" i="1" s="1"/>
  <c r="J1706" i="1"/>
  <c r="J1707" i="1" l="1"/>
  <c r="L1707" i="1"/>
  <c r="M1707" i="1" s="1"/>
  <c r="I1707" i="1"/>
  <c r="K1707" i="1" s="1"/>
  <c r="H1708" i="1" s="1"/>
  <c r="L1708" i="1" l="1"/>
  <c r="M1708" i="1" s="1"/>
  <c r="I1708" i="1"/>
  <c r="K1708" i="1" s="1"/>
  <c r="H1709" i="1" s="1"/>
  <c r="J1708" i="1"/>
  <c r="L1709" i="1" l="1"/>
  <c r="M1709" i="1" s="1"/>
  <c r="I1709" i="1"/>
  <c r="K1709" i="1" s="1"/>
  <c r="H1710" i="1" s="1"/>
  <c r="J1709" i="1"/>
  <c r="L1710" i="1" l="1"/>
  <c r="M1710" i="1" s="1"/>
  <c r="I1710" i="1"/>
  <c r="K1710" i="1" s="1"/>
  <c r="H1711" i="1" s="1"/>
  <c r="J1710" i="1"/>
  <c r="L1711" i="1" l="1"/>
  <c r="M1711" i="1" s="1"/>
  <c r="J1711" i="1"/>
  <c r="I1711" i="1"/>
  <c r="K1711" i="1" s="1"/>
  <c r="H1712" i="1" s="1"/>
  <c r="L1712" i="1" l="1"/>
  <c r="M1712" i="1" s="1"/>
  <c r="J1712" i="1"/>
  <c r="I1712" i="1"/>
  <c r="K1712" i="1" s="1"/>
  <c r="H1713" i="1" s="1"/>
  <c r="J1713" i="1" l="1"/>
  <c r="L1713" i="1"/>
  <c r="M1713" i="1" s="1"/>
  <c r="I1713" i="1"/>
  <c r="K1713" i="1" s="1"/>
  <c r="H1714" i="1" s="1"/>
  <c r="J1714" i="1" l="1"/>
  <c r="L1714" i="1"/>
  <c r="M1714" i="1" s="1"/>
  <c r="I1714" i="1"/>
  <c r="K1714" i="1" s="1"/>
  <c r="H1715" i="1" s="1"/>
  <c r="L1715" i="1" l="1"/>
  <c r="M1715" i="1" s="1"/>
  <c r="J1715" i="1"/>
  <c r="I1715" i="1"/>
  <c r="K1715" i="1" s="1"/>
  <c r="H1716" i="1" s="1"/>
  <c r="L1716" i="1" l="1"/>
  <c r="M1716" i="1" s="1"/>
  <c r="I1716" i="1"/>
  <c r="K1716" i="1" s="1"/>
  <c r="H1717" i="1" s="1"/>
  <c r="J1716" i="1"/>
  <c r="L1717" i="1" l="1"/>
  <c r="M1717" i="1" s="1"/>
  <c r="J1717" i="1"/>
  <c r="I1717" i="1"/>
  <c r="K1717" i="1" s="1"/>
  <c r="H1718" i="1" s="1"/>
  <c r="L1718" i="1" l="1"/>
  <c r="M1718" i="1" s="1"/>
  <c r="I1718" i="1"/>
  <c r="K1718" i="1" s="1"/>
  <c r="H1719" i="1" s="1"/>
  <c r="J1718" i="1"/>
  <c r="J1719" i="1" l="1"/>
  <c r="L1719" i="1"/>
  <c r="M1719" i="1" s="1"/>
  <c r="I1719" i="1"/>
  <c r="K1719" i="1" s="1"/>
  <c r="H1720" i="1" s="1"/>
  <c r="L1720" i="1" l="1"/>
  <c r="M1720" i="1" s="1"/>
  <c r="J1720" i="1"/>
  <c r="I1720" i="1"/>
  <c r="K1720" i="1" s="1"/>
  <c r="H1721" i="1" s="1"/>
  <c r="L1721" i="1" l="1"/>
  <c r="M1721" i="1" s="1"/>
  <c r="I1721" i="1"/>
  <c r="K1721" i="1" s="1"/>
  <c r="H1722" i="1" s="1"/>
  <c r="J1721" i="1"/>
  <c r="L1722" i="1" l="1"/>
  <c r="M1722" i="1" s="1"/>
  <c r="J1722" i="1"/>
  <c r="I1722" i="1"/>
  <c r="K1722" i="1" s="1"/>
  <c r="H1723" i="1" s="1"/>
  <c r="L1723" i="1" l="1"/>
  <c r="M1723" i="1" s="1"/>
  <c r="J1723" i="1"/>
  <c r="I1723" i="1"/>
  <c r="K1723" i="1" s="1"/>
  <c r="H1724" i="1" s="1"/>
  <c r="L1724" i="1" l="1"/>
  <c r="M1724" i="1" s="1"/>
  <c r="J1724" i="1"/>
  <c r="I1724" i="1"/>
  <c r="K1724" i="1" s="1"/>
  <c r="H1725" i="1" s="1"/>
  <c r="L1725" i="1" l="1"/>
  <c r="M1725" i="1" s="1"/>
  <c r="I1725" i="1"/>
  <c r="K1725" i="1" s="1"/>
  <c r="H1726" i="1" s="1"/>
  <c r="J1725" i="1"/>
  <c r="J1726" i="1" l="1"/>
  <c r="L1726" i="1"/>
  <c r="M1726" i="1" s="1"/>
  <c r="I1726" i="1"/>
  <c r="K1726" i="1" s="1"/>
  <c r="H1727" i="1" s="1"/>
  <c r="L1727" i="1" l="1"/>
  <c r="M1727" i="1" s="1"/>
  <c r="J1727" i="1"/>
  <c r="I1727" i="1"/>
  <c r="K1727" i="1" s="1"/>
  <c r="H1728" i="1" s="1"/>
  <c r="L1728" i="1" l="1"/>
  <c r="M1728" i="1" s="1"/>
  <c r="J1728" i="1"/>
  <c r="I1728" i="1"/>
  <c r="K1728" i="1" s="1"/>
  <c r="H1729" i="1" s="1"/>
  <c r="L1729" i="1" l="1"/>
  <c r="M1729" i="1" s="1"/>
  <c r="J1729" i="1"/>
  <c r="I1729" i="1"/>
  <c r="K1729" i="1" s="1"/>
  <c r="H1730" i="1" s="1"/>
  <c r="L1730" i="1" l="1"/>
  <c r="M1730" i="1" s="1"/>
  <c r="J1730" i="1"/>
  <c r="I1730" i="1"/>
  <c r="K1730" i="1" s="1"/>
  <c r="H1731" i="1" s="1"/>
  <c r="L1731" i="1" l="1"/>
  <c r="M1731" i="1" s="1"/>
  <c r="J1731" i="1"/>
  <c r="I1731" i="1"/>
  <c r="K1731" i="1" s="1"/>
  <c r="H1732" i="1" s="1"/>
  <c r="J1732" i="1" l="1"/>
  <c r="L1732" i="1"/>
  <c r="M1732" i="1" s="1"/>
  <c r="I1732" i="1"/>
  <c r="K1732" i="1" s="1"/>
  <c r="H1733" i="1" s="1"/>
  <c r="L1733" i="1" l="1"/>
  <c r="M1733" i="1" s="1"/>
  <c r="J1733" i="1"/>
  <c r="I1733" i="1"/>
  <c r="K1733" i="1" s="1"/>
  <c r="H1734" i="1" s="1"/>
  <c r="L1734" i="1" l="1"/>
  <c r="M1734" i="1" s="1"/>
  <c r="J1734" i="1"/>
  <c r="I1734" i="1"/>
  <c r="K1734" i="1" s="1"/>
  <c r="H1735" i="1" s="1"/>
  <c r="L1735" i="1" l="1"/>
  <c r="M1735" i="1" s="1"/>
  <c r="J1735" i="1"/>
  <c r="I1735" i="1"/>
  <c r="K1735" i="1" s="1"/>
  <c r="H1736" i="1" s="1"/>
  <c r="L1736" i="1" l="1"/>
  <c r="M1736" i="1" s="1"/>
  <c r="J1736" i="1"/>
  <c r="I1736" i="1"/>
  <c r="K1736" i="1" s="1"/>
  <c r="H1737" i="1" s="1"/>
  <c r="J1737" i="1" l="1"/>
  <c r="L1737" i="1"/>
  <c r="M1737" i="1" s="1"/>
  <c r="I1737" i="1"/>
  <c r="K1737" i="1" s="1"/>
  <c r="H1738" i="1" s="1"/>
  <c r="L1738" i="1" l="1"/>
  <c r="M1738" i="1" s="1"/>
  <c r="J1738" i="1"/>
  <c r="I1738" i="1"/>
  <c r="K1738" i="1" s="1"/>
  <c r="H1739" i="1" s="1"/>
  <c r="L1739" i="1" l="1"/>
  <c r="M1739" i="1" s="1"/>
  <c r="J1739" i="1"/>
  <c r="I1739" i="1"/>
  <c r="K1739" i="1" s="1"/>
  <c r="H1740" i="1" s="1"/>
  <c r="L1740" i="1" l="1"/>
  <c r="M1740" i="1" s="1"/>
  <c r="J1740" i="1"/>
  <c r="I1740" i="1"/>
  <c r="K1740" i="1" s="1"/>
  <c r="H1741" i="1" s="1"/>
  <c r="L1741" i="1" l="1"/>
  <c r="M1741" i="1" s="1"/>
  <c r="J1741" i="1"/>
  <c r="I1741" i="1"/>
  <c r="K1741" i="1" s="1"/>
  <c r="H1742" i="1" s="1"/>
  <c r="L1742" i="1" l="1"/>
  <c r="M1742" i="1" s="1"/>
  <c r="J1742" i="1"/>
  <c r="I1742" i="1"/>
  <c r="K1742" i="1" s="1"/>
  <c r="H1743" i="1" s="1"/>
  <c r="L1743" i="1" l="1"/>
  <c r="M1743" i="1" s="1"/>
  <c r="J1743" i="1"/>
  <c r="I1743" i="1"/>
  <c r="K1743" i="1" s="1"/>
  <c r="H1744" i="1" s="1"/>
  <c r="J1744" i="1" l="1"/>
  <c r="L1744" i="1"/>
  <c r="M1744" i="1" s="1"/>
  <c r="I1744" i="1"/>
  <c r="K1744" i="1" s="1"/>
  <c r="H1745" i="1" s="1"/>
  <c r="L1745" i="1" l="1"/>
  <c r="M1745" i="1" s="1"/>
  <c r="J1745" i="1"/>
  <c r="I1745" i="1"/>
  <c r="K1745" i="1" s="1"/>
  <c r="H1746" i="1" s="1"/>
  <c r="L1746" i="1" l="1"/>
  <c r="M1746" i="1" s="1"/>
  <c r="J1746" i="1"/>
  <c r="I1746" i="1"/>
  <c r="K1746" i="1" s="1"/>
  <c r="H1747" i="1" s="1"/>
  <c r="L1747" i="1" l="1"/>
  <c r="M1747" i="1" s="1"/>
  <c r="J1747" i="1"/>
  <c r="I1747" i="1"/>
  <c r="K1747" i="1" s="1"/>
  <c r="H1748" i="1" s="1"/>
  <c r="L1748" i="1" l="1"/>
  <c r="M1748" i="1" s="1"/>
  <c r="J1748" i="1"/>
  <c r="I1748" i="1"/>
  <c r="K1748" i="1" s="1"/>
  <c r="H1749" i="1" s="1"/>
  <c r="L1749" i="1" l="1"/>
  <c r="M1749" i="1" s="1"/>
  <c r="J1749" i="1"/>
  <c r="I1749" i="1"/>
  <c r="K1749" i="1" s="1"/>
  <c r="H1750" i="1" s="1"/>
  <c r="L1750" i="1" l="1"/>
  <c r="M1750" i="1" s="1"/>
  <c r="J1750" i="1"/>
  <c r="I1750" i="1"/>
  <c r="K1750" i="1" s="1"/>
  <c r="H1751" i="1" s="1"/>
  <c r="L1751" i="1" l="1"/>
  <c r="M1751" i="1" s="1"/>
  <c r="J1751" i="1"/>
  <c r="I1751" i="1"/>
  <c r="K1751" i="1" s="1"/>
  <c r="H1752" i="1" s="1"/>
  <c r="L1752" i="1" l="1"/>
  <c r="M1752" i="1" s="1"/>
  <c r="J1752" i="1"/>
  <c r="I1752" i="1"/>
  <c r="K1752" i="1" s="1"/>
  <c r="H1753" i="1" s="1"/>
  <c r="L1753" i="1" l="1"/>
  <c r="M1753" i="1" s="1"/>
  <c r="J1753" i="1"/>
  <c r="I1753" i="1"/>
  <c r="K1753" i="1" s="1"/>
  <c r="H1754" i="1" s="1"/>
  <c r="L1754" i="1" l="1"/>
  <c r="M1754" i="1" s="1"/>
  <c r="J1754" i="1"/>
  <c r="I1754" i="1"/>
  <c r="K1754" i="1" s="1"/>
  <c r="H1755" i="1" s="1"/>
  <c r="L1755" i="1" l="1"/>
  <c r="M1755" i="1" s="1"/>
  <c r="J1755" i="1"/>
  <c r="I1755" i="1"/>
  <c r="K1755" i="1" s="1"/>
  <c r="H1756" i="1" s="1"/>
  <c r="L1756" i="1" l="1"/>
  <c r="M1756" i="1" s="1"/>
  <c r="J1756" i="1"/>
  <c r="I1756" i="1"/>
  <c r="K1756" i="1" s="1"/>
  <c r="H1757" i="1" s="1"/>
  <c r="I1757" i="1" l="1"/>
  <c r="K1757" i="1" s="1"/>
  <c r="H1758" i="1" s="1"/>
  <c r="L1757" i="1"/>
  <c r="M1757" i="1" s="1"/>
  <c r="J1757" i="1"/>
  <c r="J1758" i="1" l="1"/>
  <c r="L1758" i="1"/>
  <c r="M1758" i="1" s="1"/>
  <c r="I1758" i="1"/>
  <c r="K1758" i="1" s="1"/>
  <c r="H1759" i="1" s="1"/>
  <c r="L1759" i="1" l="1"/>
  <c r="M1759" i="1" s="1"/>
  <c r="J1759" i="1"/>
  <c r="I1759" i="1"/>
  <c r="K1759" i="1" s="1"/>
  <c r="H1760" i="1" s="1"/>
  <c r="J1760" i="1" l="1"/>
  <c r="L1760" i="1"/>
  <c r="M1760" i="1" s="1"/>
  <c r="I1760" i="1"/>
  <c r="K1760" i="1" s="1"/>
  <c r="H1761" i="1" s="1"/>
  <c r="L1761" i="1" l="1"/>
  <c r="M1761" i="1" s="1"/>
  <c r="J1761" i="1"/>
  <c r="I1761" i="1"/>
  <c r="K1761" i="1" s="1"/>
  <c r="H1762" i="1" s="1"/>
  <c r="L1762" i="1" l="1"/>
  <c r="M1762" i="1" s="1"/>
  <c r="J1762" i="1"/>
  <c r="I1762" i="1"/>
  <c r="K1762" i="1" s="1"/>
  <c r="H1763" i="1" s="1"/>
  <c r="L1763" i="1" l="1"/>
  <c r="M1763" i="1" s="1"/>
  <c r="J1763" i="1"/>
  <c r="I1763" i="1"/>
  <c r="K1763" i="1" s="1"/>
  <c r="H1764" i="1" s="1"/>
  <c r="L1764" i="1" l="1"/>
  <c r="M1764" i="1" s="1"/>
  <c r="J1764" i="1"/>
  <c r="I1764" i="1"/>
  <c r="K1764" i="1" s="1"/>
  <c r="H1765" i="1" s="1"/>
  <c r="L1765" i="1" l="1"/>
  <c r="M1765" i="1" s="1"/>
  <c r="J1765" i="1"/>
  <c r="I1765" i="1"/>
  <c r="K1765" i="1" s="1"/>
  <c r="H1766" i="1" s="1"/>
  <c r="J1766" i="1" l="1"/>
  <c r="L1766" i="1"/>
  <c r="M1766" i="1" s="1"/>
  <c r="I1766" i="1"/>
  <c r="K1766" i="1" s="1"/>
  <c r="H1767" i="1" s="1"/>
  <c r="L1767" i="1" l="1"/>
  <c r="M1767" i="1" s="1"/>
  <c r="J1767" i="1"/>
  <c r="I1767" i="1"/>
  <c r="K1767" i="1" s="1"/>
  <c r="H1768" i="1" s="1"/>
  <c r="L1768" i="1" l="1"/>
  <c r="M1768" i="1" s="1"/>
  <c r="J1768" i="1"/>
  <c r="I1768" i="1"/>
  <c r="K1768" i="1" s="1"/>
  <c r="H1769" i="1" s="1"/>
  <c r="L1769" i="1" l="1"/>
  <c r="M1769" i="1" s="1"/>
  <c r="J1769" i="1"/>
  <c r="I1769" i="1"/>
  <c r="K1769" i="1" s="1"/>
  <c r="H1770" i="1" s="1"/>
  <c r="L1770" i="1" l="1"/>
  <c r="M1770" i="1" s="1"/>
  <c r="J1770" i="1"/>
  <c r="I1770" i="1"/>
  <c r="K1770" i="1" s="1"/>
  <c r="H1771" i="1" s="1"/>
  <c r="J1771" i="1" l="1"/>
  <c r="L1771" i="1"/>
  <c r="M1771" i="1" s="1"/>
  <c r="I1771" i="1"/>
  <c r="K1771" i="1" s="1"/>
  <c r="H1772" i="1" s="1"/>
  <c r="L1772" i="1" l="1"/>
  <c r="M1772" i="1" s="1"/>
  <c r="J1772" i="1"/>
  <c r="I1772" i="1"/>
  <c r="K1772" i="1" s="1"/>
  <c r="H1773" i="1" s="1"/>
  <c r="J1773" i="1" l="1"/>
  <c r="L1773" i="1"/>
  <c r="M1773" i="1" s="1"/>
  <c r="I1773" i="1"/>
  <c r="K1773" i="1" s="1"/>
  <c r="H1774" i="1" s="1"/>
  <c r="L1774" i="1" l="1"/>
  <c r="M1774" i="1" s="1"/>
  <c r="J1774" i="1"/>
  <c r="I1774" i="1"/>
  <c r="K1774" i="1" s="1"/>
  <c r="H1775" i="1" s="1"/>
  <c r="L1775" i="1" l="1"/>
  <c r="M1775" i="1" s="1"/>
  <c r="J1775" i="1"/>
  <c r="I1775" i="1"/>
  <c r="K1775" i="1" s="1"/>
  <c r="H1776" i="1" s="1"/>
  <c r="L1776" i="1" l="1"/>
  <c r="M1776" i="1" s="1"/>
  <c r="J1776" i="1"/>
  <c r="I1776" i="1"/>
  <c r="K1776" i="1" s="1"/>
  <c r="H1777" i="1" s="1"/>
  <c r="L1777" i="1" l="1"/>
  <c r="M1777" i="1" s="1"/>
  <c r="J1777" i="1"/>
  <c r="I1777" i="1"/>
  <c r="K1777" i="1" s="1"/>
  <c r="H1778" i="1" s="1"/>
  <c r="L1778" i="1" l="1"/>
  <c r="M1778" i="1" s="1"/>
  <c r="J1778" i="1"/>
  <c r="I1778" i="1"/>
  <c r="K1778" i="1" s="1"/>
  <c r="H1779" i="1" s="1"/>
  <c r="I1779" i="1" l="1"/>
  <c r="K1779" i="1" s="1"/>
  <c r="H1780" i="1" s="1"/>
  <c r="L1779" i="1"/>
  <c r="M1779" i="1" s="1"/>
  <c r="J1779" i="1"/>
  <c r="L1780" i="1" l="1"/>
  <c r="M1780" i="1" s="1"/>
  <c r="J1780" i="1"/>
  <c r="I1780" i="1"/>
  <c r="K1780" i="1" s="1"/>
  <c r="H1781" i="1" s="1"/>
  <c r="L1781" i="1" l="1"/>
  <c r="M1781" i="1" s="1"/>
  <c r="J1781" i="1"/>
  <c r="I1781" i="1"/>
  <c r="K1781" i="1" s="1"/>
  <c r="H1782" i="1" s="1"/>
  <c r="L1782" i="1" l="1"/>
  <c r="M1782" i="1" s="1"/>
  <c r="J1782" i="1"/>
  <c r="I1782" i="1"/>
  <c r="K1782" i="1" s="1"/>
  <c r="H1783" i="1" s="1"/>
  <c r="I1783" i="1" l="1"/>
  <c r="K1783" i="1" s="1"/>
  <c r="H1784" i="1" s="1"/>
  <c r="L1783" i="1"/>
  <c r="M1783" i="1" s="1"/>
  <c r="J1783" i="1"/>
  <c r="J1784" i="1" l="1"/>
  <c r="I1784" i="1"/>
  <c r="K1784" i="1" s="1"/>
  <c r="H1785" i="1" s="1"/>
  <c r="L1784" i="1"/>
  <c r="M1784" i="1" s="1"/>
  <c r="J1785" i="1" l="1"/>
  <c r="L1785" i="1"/>
  <c r="M1785" i="1" s="1"/>
  <c r="I1785" i="1"/>
  <c r="K1785" i="1" s="1"/>
  <c r="H1786" i="1" s="1"/>
  <c r="J1786" i="1" l="1"/>
  <c r="L1786" i="1"/>
  <c r="M1786" i="1" s="1"/>
  <c r="I1786" i="1"/>
  <c r="K1786" i="1" s="1"/>
  <c r="H1787" i="1" s="1"/>
  <c r="L1787" i="1" l="1"/>
  <c r="M1787" i="1" s="1"/>
  <c r="J1787" i="1"/>
  <c r="I1787" i="1"/>
  <c r="K1787" i="1" s="1"/>
  <c r="H1788" i="1" s="1"/>
  <c r="L1788" i="1" l="1"/>
  <c r="M1788" i="1" s="1"/>
  <c r="J1788" i="1"/>
  <c r="I1788" i="1"/>
  <c r="K1788" i="1" s="1"/>
  <c r="H1789" i="1" s="1"/>
  <c r="L1789" i="1" l="1"/>
  <c r="M1789" i="1" s="1"/>
  <c r="J1789" i="1"/>
  <c r="I1789" i="1"/>
  <c r="K1789" i="1" s="1"/>
  <c r="H1790" i="1" s="1"/>
  <c r="L1790" i="1" l="1"/>
  <c r="M1790" i="1" s="1"/>
  <c r="J1790" i="1"/>
  <c r="I1790" i="1"/>
  <c r="K1790" i="1" s="1"/>
  <c r="H1791" i="1" s="1"/>
  <c r="L1791" i="1" l="1"/>
  <c r="M1791" i="1" s="1"/>
  <c r="J1791" i="1"/>
  <c r="I1791" i="1"/>
  <c r="K1791" i="1" s="1"/>
  <c r="H1792" i="1" s="1"/>
  <c r="L1792" i="1" l="1"/>
  <c r="M1792" i="1" s="1"/>
  <c r="J1792" i="1"/>
  <c r="I1792" i="1"/>
  <c r="K1792" i="1" s="1"/>
  <c r="H1793" i="1" s="1"/>
  <c r="L1793" i="1" l="1"/>
  <c r="M1793" i="1" s="1"/>
  <c r="J1793" i="1"/>
  <c r="I1793" i="1"/>
  <c r="K1793" i="1" s="1"/>
  <c r="H1794" i="1" s="1"/>
  <c r="L1794" i="1" l="1"/>
  <c r="M1794" i="1" s="1"/>
  <c r="J1794" i="1"/>
  <c r="I1794" i="1"/>
  <c r="K1794" i="1" s="1"/>
  <c r="H1795" i="1" s="1"/>
  <c r="L1795" i="1" l="1"/>
  <c r="M1795" i="1" s="1"/>
  <c r="J1795" i="1"/>
  <c r="I1795" i="1"/>
  <c r="K1795" i="1" s="1"/>
  <c r="H1796" i="1" s="1"/>
  <c r="J1796" i="1" l="1"/>
  <c r="L1796" i="1"/>
  <c r="M1796" i="1" s="1"/>
  <c r="I1796" i="1"/>
  <c r="K1796" i="1" s="1"/>
  <c r="H1797" i="1" s="1"/>
  <c r="L1797" i="1" l="1"/>
  <c r="M1797" i="1" s="1"/>
  <c r="J1797" i="1"/>
  <c r="I1797" i="1"/>
  <c r="K1797" i="1" s="1"/>
  <c r="H1798" i="1" s="1"/>
  <c r="J1798" i="1" l="1"/>
  <c r="L1798" i="1"/>
  <c r="M1798" i="1" s="1"/>
  <c r="I1798" i="1"/>
  <c r="K1798" i="1" s="1"/>
  <c r="H1799" i="1" s="1"/>
  <c r="L1799" i="1" l="1"/>
  <c r="M1799" i="1" s="1"/>
  <c r="J1799" i="1"/>
  <c r="I1799" i="1"/>
  <c r="K1799" i="1" s="1"/>
  <c r="H1800" i="1" s="1"/>
  <c r="L1800" i="1" l="1"/>
  <c r="M1800" i="1" s="1"/>
  <c r="J1800" i="1"/>
  <c r="I1800" i="1"/>
  <c r="K1800" i="1" s="1"/>
  <c r="H1801" i="1" s="1"/>
  <c r="L1801" i="1" l="1"/>
  <c r="M1801" i="1" s="1"/>
  <c r="J1801" i="1"/>
  <c r="I1801" i="1"/>
  <c r="K1801" i="1" s="1"/>
  <c r="H1802" i="1" s="1"/>
  <c r="L1802" i="1" l="1"/>
  <c r="M1802" i="1" s="1"/>
  <c r="J1802" i="1"/>
  <c r="I1802" i="1"/>
  <c r="K1802" i="1" s="1"/>
  <c r="H1803" i="1" s="1"/>
  <c r="L1803" i="1" l="1"/>
  <c r="M1803" i="1" s="1"/>
  <c r="J1803" i="1"/>
  <c r="I1803" i="1"/>
  <c r="K1803" i="1" s="1"/>
  <c r="H1804" i="1" s="1"/>
  <c r="L1804" i="1" l="1"/>
  <c r="M1804" i="1" s="1"/>
  <c r="J1804" i="1"/>
  <c r="I1804" i="1"/>
  <c r="K1804" i="1" s="1"/>
  <c r="H1805" i="1" s="1"/>
  <c r="L1805" i="1" l="1"/>
  <c r="M1805" i="1" s="1"/>
  <c r="J1805" i="1"/>
  <c r="I1805" i="1"/>
  <c r="K1805" i="1" s="1"/>
  <c r="H1806" i="1" s="1"/>
  <c r="L1806" i="1" l="1"/>
  <c r="M1806" i="1" s="1"/>
  <c r="J1806" i="1"/>
  <c r="I1806" i="1"/>
  <c r="K1806" i="1" s="1"/>
  <c r="H1807" i="1" s="1"/>
  <c r="L1807" i="1" l="1"/>
  <c r="M1807" i="1" s="1"/>
  <c r="J1807" i="1"/>
  <c r="I1807" i="1"/>
  <c r="K1807" i="1" s="1"/>
  <c r="H1808" i="1" s="1"/>
  <c r="J1808" i="1" l="1"/>
  <c r="L1808" i="1"/>
  <c r="M1808" i="1" s="1"/>
  <c r="I1808" i="1"/>
  <c r="K1808" i="1" s="1"/>
  <c r="H1809" i="1" s="1"/>
  <c r="J1809" i="1" l="1"/>
  <c r="L1809" i="1"/>
  <c r="M1809" i="1" s="1"/>
  <c r="I1809" i="1"/>
  <c r="K1809" i="1" s="1"/>
  <c r="H1810" i="1" s="1"/>
  <c r="L1810" i="1" l="1"/>
  <c r="M1810" i="1" s="1"/>
  <c r="J1810" i="1"/>
  <c r="I1810" i="1"/>
  <c r="K1810" i="1" s="1"/>
  <c r="H1811" i="1" s="1"/>
  <c r="L1811" i="1" l="1"/>
  <c r="M1811" i="1" s="1"/>
  <c r="J1811" i="1"/>
  <c r="I1811" i="1"/>
  <c r="K1811" i="1" s="1"/>
  <c r="H1812" i="1" s="1"/>
  <c r="L1812" i="1" l="1"/>
  <c r="M1812" i="1" s="1"/>
  <c r="J1812" i="1"/>
  <c r="I1812" i="1"/>
  <c r="K1812" i="1" s="1"/>
  <c r="H1813" i="1" s="1"/>
  <c r="L1813" i="1" l="1"/>
  <c r="M1813" i="1" s="1"/>
  <c r="J1813" i="1"/>
  <c r="I1813" i="1"/>
  <c r="K1813" i="1" s="1"/>
  <c r="H1814" i="1" s="1"/>
  <c r="J1814" i="1" l="1"/>
  <c r="I1814" i="1"/>
  <c r="K1814" i="1" s="1"/>
  <c r="H1815" i="1" s="1"/>
  <c r="L1814" i="1"/>
  <c r="M1814" i="1" s="1"/>
  <c r="J1815" i="1" l="1"/>
  <c r="L1815" i="1"/>
  <c r="M1815" i="1" s="1"/>
  <c r="I1815" i="1"/>
  <c r="K1815" i="1" s="1"/>
  <c r="H1816" i="1" s="1"/>
  <c r="L1816" i="1" l="1"/>
  <c r="M1816" i="1" s="1"/>
  <c r="J1816" i="1"/>
  <c r="I1816" i="1"/>
  <c r="K1816" i="1" s="1"/>
  <c r="H1817" i="1" s="1"/>
  <c r="L1817" i="1" l="1"/>
  <c r="M1817" i="1" s="1"/>
  <c r="J1817" i="1"/>
  <c r="I1817" i="1"/>
  <c r="K1817" i="1" s="1"/>
  <c r="H1818" i="1" s="1"/>
  <c r="L1818" i="1" l="1"/>
  <c r="M1818" i="1" s="1"/>
  <c r="I1818" i="1"/>
  <c r="K1818" i="1" s="1"/>
  <c r="H1819" i="1" s="1"/>
  <c r="J1818" i="1"/>
  <c r="L1819" i="1" l="1"/>
  <c r="M1819" i="1" s="1"/>
  <c r="J1819" i="1"/>
  <c r="I1819" i="1"/>
  <c r="K1819" i="1" s="1"/>
  <c r="H1820" i="1" s="1"/>
  <c r="L1820" i="1" l="1"/>
  <c r="M1820" i="1" s="1"/>
  <c r="J1820" i="1"/>
  <c r="I1820" i="1"/>
  <c r="K1820" i="1" s="1"/>
  <c r="H1821" i="1" s="1"/>
  <c r="J1821" i="1" l="1"/>
  <c r="L1821" i="1"/>
  <c r="M1821" i="1" s="1"/>
  <c r="I1821" i="1"/>
  <c r="K1821" i="1" s="1"/>
  <c r="H1822" i="1" s="1"/>
  <c r="J1822" i="1" l="1"/>
  <c r="L1822" i="1"/>
  <c r="M1822" i="1" s="1"/>
  <c r="I1822" i="1"/>
  <c r="K1822" i="1" s="1"/>
  <c r="H1823" i="1" s="1"/>
  <c r="L1823" i="1" l="1"/>
  <c r="M1823" i="1" s="1"/>
  <c r="J1823" i="1"/>
  <c r="I1823" i="1"/>
  <c r="K1823" i="1" s="1"/>
  <c r="H1824" i="1" s="1"/>
  <c r="L1824" i="1" l="1"/>
  <c r="M1824" i="1" s="1"/>
  <c r="J1824" i="1"/>
  <c r="I1824" i="1"/>
  <c r="K1824" i="1" s="1"/>
  <c r="H1825" i="1" s="1"/>
  <c r="L1825" i="1" l="1"/>
  <c r="M1825" i="1" s="1"/>
  <c r="J1825" i="1"/>
  <c r="I1825" i="1"/>
  <c r="K1825" i="1" s="1"/>
  <c r="H1826" i="1" s="1"/>
  <c r="L1826" i="1" l="1"/>
  <c r="M1826" i="1" s="1"/>
  <c r="J1826" i="1"/>
  <c r="I1826" i="1"/>
  <c r="K1826" i="1" s="1"/>
  <c r="H1827" i="1" s="1"/>
  <c r="J1827" i="1" l="1"/>
  <c r="L1827" i="1"/>
  <c r="M1827" i="1" s="1"/>
  <c r="I1827" i="1"/>
  <c r="K1827" i="1" s="1"/>
  <c r="H1828" i="1" s="1"/>
  <c r="J1828" i="1" l="1"/>
  <c r="L1828" i="1"/>
  <c r="M1828" i="1" s="1"/>
  <c r="I1828" i="1"/>
  <c r="K1828" i="1" s="1"/>
  <c r="H1829" i="1" s="1"/>
  <c r="I1829" i="1" l="1"/>
  <c r="K1829" i="1" s="1"/>
  <c r="H1830" i="1" s="1"/>
  <c r="L1829" i="1"/>
  <c r="M1829" i="1" s="1"/>
  <c r="J1829" i="1"/>
  <c r="J1830" i="1" l="1"/>
  <c r="L1830" i="1"/>
  <c r="M1830" i="1" s="1"/>
  <c r="I1830" i="1"/>
  <c r="K1830" i="1" s="1"/>
  <c r="H1831" i="1" s="1"/>
  <c r="L1831" i="1" l="1"/>
  <c r="M1831" i="1" s="1"/>
  <c r="J1831" i="1"/>
  <c r="I1831" i="1"/>
  <c r="K1831" i="1" s="1"/>
  <c r="H1832" i="1" s="1"/>
  <c r="J1832" i="1" l="1"/>
  <c r="L1832" i="1"/>
  <c r="M1832" i="1" s="1"/>
  <c r="I1832" i="1"/>
  <c r="K1832" i="1" s="1"/>
  <c r="H1833" i="1" s="1"/>
  <c r="L1833" i="1" l="1"/>
  <c r="M1833" i="1" s="1"/>
  <c r="I1833" i="1"/>
  <c r="K1833" i="1" s="1"/>
  <c r="H1834" i="1" s="1"/>
  <c r="J1833" i="1"/>
  <c r="L1834" i="1" l="1"/>
  <c r="M1834" i="1" s="1"/>
  <c r="J1834" i="1"/>
  <c r="I1834" i="1"/>
  <c r="K1834" i="1" s="1"/>
  <c r="H1835" i="1" s="1"/>
  <c r="L1835" i="1" l="1"/>
  <c r="M1835" i="1" s="1"/>
  <c r="I1835" i="1"/>
  <c r="K1835" i="1" s="1"/>
  <c r="H1836" i="1" s="1"/>
  <c r="J1835" i="1"/>
  <c r="L1836" i="1" l="1"/>
  <c r="M1836" i="1" s="1"/>
  <c r="J1836" i="1"/>
  <c r="I1836" i="1"/>
  <c r="K1836" i="1" s="1"/>
  <c r="H1837" i="1" s="1"/>
  <c r="L1837" i="1" l="1"/>
  <c r="M1837" i="1" s="1"/>
  <c r="J1837" i="1"/>
  <c r="I1837" i="1"/>
  <c r="K1837" i="1" s="1"/>
  <c r="H1838" i="1" s="1"/>
  <c r="J1838" i="1" l="1"/>
  <c r="L1838" i="1"/>
  <c r="M1838" i="1" s="1"/>
  <c r="I1838" i="1"/>
  <c r="K1838" i="1" s="1"/>
  <c r="H1839" i="1" s="1"/>
  <c r="L1839" i="1" l="1"/>
  <c r="M1839" i="1" s="1"/>
  <c r="J1839" i="1"/>
  <c r="I1839" i="1"/>
  <c r="K1839" i="1" s="1"/>
  <c r="H1840" i="1" s="1"/>
  <c r="L1840" i="1" l="1"/>
  <c r="M1840" i="1" s="1"/>
  <c r="J1840" i="1"/>
  <c r="I1840" i="1"/>
  <c r="K1840" i="1" s="1"/>
  <c r="H1841" i="1" s="1"/>
  <c r="L1841" i="1" l="1"/>
  <c r="M1841" i="1" s="1"/>
  <c r="J1841" i="1"/>
  <c r="I1841" i="1"/>
  <c r="K1841" i="1" s="1"/>
  <c r="H1842" i="1" s="1"/>
  <c r="L1842" i="1" l="1"/>
  <c r="M1842" i="1" s="1"/>
  <c r="J1842" i="1"/>
  <c r="I1842" i="1"/>
  <c r="K1842" i="1" s="1"/>
  <c r="H1843" i="1" s="1"/>
  <c r="J1843" i="1" l="1"/>
  <c r="L1843" i="1"/>
  <c r="M1843" i="1" s="1"/>
  <c r="I1843" i="1"/>
  <c r="K1843" i="1" s="1"/>
  <c r="H1844" i="1" s="1"/>
  <c r="L1844" i="1" l="1"/>
  <c r="M1844" i="1" s="1"/>
  <c r="I1844" i="1"/>
  <c r="K1844" i="1" s="1"/>
  <c r="H1845" i="1" s="1"/>
  <c r="J1844" i="1"/>
  <c r="J1845" i="1" l="1"/>
  <c r="L1845" i="1"/>
  <c r="M1845" i="1" s="1"/>
  <c r="I1845" i="1"/>
  <c r="K1845" i="1" s="1"/>
  <c r="H1846" i="1" s="1"/>
  <c r="L1846" i="1" l="1"/>
  <c r="M1846" i="1" s="1"/>
  <c r="J1846" i="1"/>
  <c r="I1846" i="1"/>
  <c r="K1846" i="1" s="1"/>
  <c r="H1847" i="1" s="1"/>
  <c r="L1847" i="1" l="1"/>
  <c r="M1847" i="1" s="1"/>
  <c r="I1847" i="1"/>
  <c r="K1847" i="1" s="1"/>
  <c r="H1848" i="1" s="1"/>
  <c r="J1847" i="1"/>
  <c r="L1848" i="1" l="1"/>
  <c r="M1848" i="1" s="1"/>
  <c r="J1848" i="1"/>
  <c r="I1848" i="1"/>
  <c r="K1848" i="1" s="1"/>
  <c r="H1849" i="1" s="1"/>
  <c r="L1849" i="1" l="1"/>
  <c r="M1849" i="1" s="1"/>
  <c r="J1849" i="1"/>
  <c r="I1849" i="1"/>
  <c r="K1849" i="1" s="1"/>
  <c r="H1850" i="1" s="1"/>
  <c r="L1850" i="1" l="1"/>
  <c r="M1850" i="1" s="1"/>
  <c r="J1850" i="1"/>
  <c r="I1850" i="1"/>
  <c r="K1850" i="1" s="1"/>
  <c r="H1851" i="1" s="1"/>
  <c r="L1851" i="1" l="1"/>
  <c r="M1851" i="1" s="1"/>
  <c r="J1851" i="1"/>
  <c r="I1851" i="1"/>
  <c r="K1851" i="1" s="1"/>
  <c r="H1852" i="1" s="1"/>
  <c r="J1852" i="1" l="1"/>
  <c r="I1852" i="1"/>
  <c r="K1852" i="1" s="1"/>
  <c r="H1853" i="1" s="1"/>
  <c r="L1852" i="1"/>
  <c r="M1852" i="1" s="1"/>
  <c r="L1853" i="1" l="1"/>
  <c r="M1853" i="1" s="1"/>
  <c r="J1853" i="1"/>
  <c r="I1853" i="1"/>
  <c r="K1853" i="1" s="1"/>
  <c r="H1854" i="1" s="1"/>
  <c r="L1854" i="1" l="1"/>
  <c r="M1854" i="1" s="1"/>
  <c r="J1854" i="1"/>
  <c r="I1854" i="1"/>
  <c r="K1854" i="1" s="1"/>
  <c r="H1855" i="1" s="1"/>
  <c r="L1855" i="1" l="1"/>
  <c r="M1855" i="1" s="1"/>
  <c r="J1855" i="1"/>
  <c r="I1855" i="1"/>
  <c r="K1855" i="1" s="1"/>
  <c r="H1856" i="1" s="1"/>
  <c r="L1856" i="1" l="1"/>
  <c r="M1856" i="1" s="1"/>
  <c r="J1856" i="1"/>
  <c r="I1856" i="1"/>
  <c r="K1856" i="1" s="1"/>
  <c r="H1857" i="1" s="1"/>
  <c r="J1857" i="1" l="1"/>
  <c r="L1857" i="1"/>
  <c r="M1857" i="1" s="1"/>
  <c r="I1857" i="1"/>
  <c r="K1857" i="1" s="1"/>
  <c r="H1858" i="1" s="1"/>
  <c r="J1858" i="1" l="1"/>
  <c r="L1858" i="1"/>
  <c r="M1858" i="1" s="1"/>
  <c r="I1858" i="1"/>
  <c r="K1858" i="1" s="1"/>
  <c r="H1859" i="1" s="1"/>
  <c r="L1859" i="1" l="1"/>
  <c r="M1859" i="1" s="1"/>
  <c r="J1859" i="1"/>
  <c r="I1859" i="1"/>
  <c r="K1859" i="1" s="1"/>
  <c r="H1860" i="1" s="1"/>
  <c r="L1860" i="1" l="1"/>
  <c r="M1860" i="1" s="1"/>
  <c r="J1860" i="1"/>
  <c r="I1860" i="1"/>
  <c r="K1860" i="1" s="1"/>
  <c r="H1861" i="1" s="1"/>
  <c r="L1861" i="1" l="1"/>
  <c r="M1861" i="1" s="1"/>
  <c r="J1861" i="1"/>
  <c r="I1861" i="1"/>
  <c r="K1861" i="1" s="1"/>
  <c r="H1862" i="1" s="1"/>
  <c r="L1862" i="1" l="1"/>
  <c r="M1862" i="1" s="1"/>
  <c r="J1862" i="1"/>
  <c r="I1862" i="1"/>
  <c r="K1862" i="1" s="1"/>
  <c r="H1863" i="1" s="1"/>
  <c r="L1863" i="1" l="1"/>
  <c r="M1863" i="1" s="1"/>
  <c r="I1863" i="1"/>
  <c r="K1863" i="1" s="1"/>
  <c r="H1864" i="1" s="1"/>
  <c r="J1863" i="1"/>
  <c r="L1864" i="1" l="1"/>
  <c r="M1864" i="1" s="1"/>
  <c r="J1864" i="1"/>
  <c r="I1864" i="1"/>
  <c r="K1864" i="1" s="1"/>
  <c r="H1865" i="1" s="1"/>
  <c r="L1865" i="1" l="1"/>
  <c r="M1865" i="1" s="1"/>
  <c r="J1865" i="1"/>
  <c r="I1865" i="1"/>
  <c r="K1865" i="1" s="1"/>
  <c r="H1866" i="1" s="1"/>
  <c r="L1866" i="1" l="1"/>
  <c r="M1866" i="1" s="1"/>
  <c r="J1866" i="1"/>
  <c r="I1866" i="1"/>
  <c r="K1866" i="1" s="1"/>
  <c r="H1867" i="1" s="1"/>
  <c r="L1867" i="1" l="1"/>
  <c r="M1867" i="1" s="1"/>
  <c r="J1867" i="1"/>
  <c r="I1867" i="1"/>
  <c r="K1867" i="1" s="1"/>
  <c r="H1868" i="1" s="1"/>
  <c r="J1868" i="1" l="1"/>
  <c r="I1868" i="1"/>
  <c r="K1868" i="1" s="1"/>
  <c r="H1869" i="1" s="1"/>
  <c r="L1868" i="1"/>
  <c r="M1868" i="1" s="1"/>
  <c r="L1869" i="1" l="1"/>
  <c r="M1869" i="1" s="1"/>
  <c r="J1869" i="1"/>
  <c r="I1869" i="1"/>
  <c r="K1869" i="1" s="1"/>
  <c r="H1870" i="1" s="1"/>
  <c r="L1870" i="1" l="1"/>
  <c r="M1870" i="1" s="1"/>
  <c r="I1870" i="1"/>
  <c r="K1870" i="1" s="1"/>
  <c r="H1871" i="1" s="1"/>
  <c r="J1870" i="1"/>
  <c r="L1871" i="1" l="1"/>
  <c r="M1871" i="1" s="1"/>
  <c r="J1871" i="1"/>
  <c r="I1871" i="1"/>
  <c r="K1871" i="1" s="1"/>
  <c r="H1872" i="1" s="1"/>
  <c r="L1872" i="1" l="1"/>
  <c r="M1872" i="1" s="1"/>
  <c r="J1872" i="1"/>
  <c r="I1872" i="1"/>
  <c r="K1872" i="1" s="1"/>
  <c r="H1873" i="1" s="1"/>
  <c r="L1873" i="1" l="1"/>
  <c r="M1873" i="1" s="1"/>
  <c r="J1873" i="1"/>
  <c r="I1873" i="1"/>
  <c r="K1873" i="1" s="1"/>
  <c r="H1874" i="1" s="1"/>
  <c r="J1874" i="1" l="1"/>
  <c r="I1874" i="1"/>
  <c r="K1874" i="1" s="1"/>
  <c r="H1875" i="1" s="1"/>
  <c r="L1874" i="1"/>
  <c r="M1874" i="1" s="1"/>
  <c r="L1875" i="1" l="1"/>
  <c r="M1875" i="1" s="1"/>
  <c r="J1875" i="1"/>
  <c r="I1875" i="1"/>
  <c r="K1875" i="1" s="1"/>
  <c r="H1876" i="1" s="1"/>
  <c r="L1876" i="1" l="1"/>
  <c r="M1876" i="1" s="1"/>
  <c r="J1876" i="1"/>
  <c r="I1876" i="1"/>
  <c r="K1876" i="1" s="1"/>
  <c r="H1877" i="1" s="1"/>
  <c r="L1877" i="1" l="1"/>
  <c r="M1877" i="1" s="1"/>
  <c r="J1877" i="1"/>
  <c r="I1877" i="1"/>
  <c r="K1877" i="1" s="1"/>
  <c r="H1878" i="1" s="1"/>
  <c r="L1878" i="1" l="1"/>
  <c r="M1878" i="1" s="1"/>
  <c r="J1878" i="1"/>
  <c r="I1878" i="1"/>
  <c r="K1878" i="1" s="1"/>
  <c r="H1879" i="1" s="1"/>
  <c r="L1879" i="1" l="1"/>
  <c r="M1879" i="1" s="1"/>
  <c r="J1879" i="1"/>
  <c r="I1879" i="1"/>
  <c r="K1879" i="1" s="1"/>
  <c r="H1880" i="1" s="1"/>
  <c r="L1880" i="1" l="1"/>
  <c r="M1880" i="1" s="1"/>
  <c r="J1880" i="1"/>
  <c r="I1880" i="1"/>
  <c r="K1880" i="1" s="1"/>
  <c r="H1881" i="1" s="1"/>
  <c r="J1881" i="1" l="1"/>
  <c r="L1881" i="1"/>
  <c r="M1881" i="1" s="1"/>
  <c r="I1881" i="1"/>
  <c r="K1881" i="1" s="1"/>
  <c r="H1882" i="1" s="1"/>
  <c r="L1882" i="1" l="1"/>
  <c r="M1882" i="1" s="1"/>
  <c r="J1882" i="1"/>
  <c r="I1882" i="1"/>
  <c r="K1882" i="1" s="1"/>
  <c r="H1883" i="1" s="1"/>
  <c r="L1883" i="1" l="1"/>
  <c r="M1883" i="1" s="1"/>
  <c r="J1883" i="1"/>
  <c r="I1883" i="1"/>
  <c r="K1883" i="1" s="1"/>
  <c r="H1884" i="1" s="1"/>
  <c r="L1884" i="1" l="1"/>
  <c r="M1884" i="1" s="1"/>
  <c r="J1884" i="1"/>
  <c r="I1884" i="1"/>
  <c r="K1884" i="1" s="1"/>
  <c r="H1885" i="1" s="1"/>
  <c r="L1885" i="1" l="1"/>
  <c r="M1885" i="1" s="1"/>
  <c r="J1885" i="1"/>
  <c r="I1885" i="1"/>
  <c r="K1885" i="1" s="1"/>
  <c r="H1886" i="1" s="1"/>
  <c r="L1886" i="1" l="1"/>
  <c r="M1886" i="1" s="1"/>
  <c r="J1886" i="1"/>
  <c r="I1886" i="1"/>
  <c r="K1886" i="1" s="1"/>
  <c r="H1887" i="1" s="1"/>
  <c r="L1887" i="1" l="1"/>
  <c r="M1887" i="1" s="1"/>
  <c r="J1887" i="1"/>
  <c r="I1887" i="1"/>
  <c r="K1887" i="1" s="1"/>
  <c r="H1888" i="1" s="1"/>
  <c r="L1888" i="1" l="1"/>
  <c r="M1888" i="1" s="1"/>
  <c r="J1888" i="1"/>
  <c r="I1888" i="1"/>
  <c r="K1888" i="1" s="1"/>
  <c r="H1889" i="1" s="1"/>
  <c r="L1889" i="1" l="1"/>
  <c r="M1889" i="1" s="1"/>
  <c r="J1889" i="1"/>
  <c r="I1889" i="1"/>
  <c r="K1889" i="1" s="1"/>
  <c r="H1890" i="1" s="1"/>
  <c r="L1890" i="1" l="1"/>
  <c r="M1890" i="1" s="1"/>
  <c r="J1890" i="1"/>
  <c r="I1890" i="1"/>
  <c r="K1890" i="1" s="1"/>
  <c r="H1891" i="1" s="1"/>
  <c r="L1891" i="1" l="1"/>
  <c r="M1891" i="1" s="1"/>
  <c r="J1891" i="1"/>
  <c r="I1891" i="1"/>
  <c r="K1891" i="1" s="1"/>
  <c r="H1892" i="1" s="1"/>
  <c r="J1892" i="1" l="1"/>
  <c r="L1892" i="1"/>
  <c r="M1892" i="1" s="1"/>
  <c r="I1892" i="1"/>
  <c r="K1892" i="1" s="1"/>
  <c r="H1893" i="1" s="1"/>
  <c r="J1893" i="1" l="1"/>
  <c r="L1893" i="1"/>
  <c r="M1893" i="1" s="1"/>
  <c r="I1893" i="1"/>
  <c r="K1893" i="1" s="1"/>
  <c r="H1894" i="1" s="1"/>
  <c r="J1894" i="1" l="1"/>
  <c r="L1894" i="1"/>
  <c r="M1894" i="1" s="1"/>
  <c r="I1894" i="1"/>
  <c r="K1894" i="1" s="1"/>
  <c r="H1895" i="1" s="1"/>
  <c r="L1895" i="1" l="1"/>
  <c r="M1895" i="1" s="1"/>
  <c r="J1895" i="1"/>
  <c r="I1895" i="1"/>
  <c r="K1895" i="1" s="1"/>
  <c r="H1896" i="1" s="1"/>
  <c r="L1896" i="1" l="1"/>
  <c r="M1896" i="1" s="1"/>
  <c r="J1896" i="1"/>
  <c r="I1896" i="1"/>
  <c r="K1896" i="1" s="1"/>
  <c r="H1897" i="1" s="1"/>
  <c r="L1897" i="1" l="1"/>
  <c r="M1897" i="1" s="1"/>
  <c r="J1897" i="1"/>
  <c r="I1897" i="1"/>
  <c r="K1897" i="1" s="1"/>
  <c r="H1898" i="1" s="1"/>
  <c r="L1898" i="1" l="1"/>
  <c r="M1898" i="1" s="1"/>
  <c r="J1898" i="1"/>
  <c r="I1898" i="1"/>
  <c r="K1898" i="1" s="1"/>
  <c r="H1899" i="1" s="1"/>
  <c r="L1899" i="1" l="1"/>
  <c r="M1899" i="1" s="1"/>
  <c r="J1899" i="1"/>
  <c r="I1899" i="1"/>
  <c r="K1899" i="1" s="1"/>
  <c r="H1900" i="1" s="1"/>
  <c r="L1900" i="1" l="1"/>
  <c r="M1900" i="1" s="1"/>
  <c r="J1900" i="1"/>
  <c r="I1900" i="1"/>
  <c r="K1900" i="1" s="1"/>
  <c r="H1901" i="1" s="1"/>
  <c r="L1901" i="1" l="1"/>
  <c r="M1901" i="1" s="1"/>
  <c r="J1901" i="1"/>
  <c r="I1901" i="1"/>
  <c r="K1901" i="1" s="1"/>
  <c r="H1902" i="1" s="1"/>
  <c r="L1902" i="1" l="1"/>
  <c r="M1902" i="1" s="1"/>
  <c r="J1902" i="1"/>
  <c r="I1902" i="1"/>
  <c r="K1902" i="1" s="1"/>
  <c r="H1903" i="1" s="1"/>
  <c r="L1903" i="1" l="1"/>
  <c r="M1903" i="1" s="1"/>
  <c r="J1903" i="1"/>
  <c r="I1903" i="1"/>
  <c r="K1903" i="1" s="1"/>
  <c r="H1904" i="1" s="1"/>
  <c r="L1904" i="1" l="1"/>
  <c r="M1904" i="1" s="1"/>
  <c r="J1904" i="1"/>
  <c r="I1904" i="1"/>
  <c r="K1904" i="1" s="1"/>
  <c r="H1905" i="1" s="1"/>
  <c r="L1905" i="1" l="1"/>
  <c r="M1905" i="1" s="1"/>
  <c r="J1905" i="1"/>
  <c r="I1905" i="1"/>
  <c r="K1905" i="1" s="1"/>
  <c r="H1906" i="1" s="1"/>
  <c r="L1906" i="1" l="1"/>
  <c r="M1906" i="1" s="1"/>
  <c r="J1906" i="1"/>
  <c r="I1906" i="1"/>
  <c r="K1906" i="1" s="1"/>
  <c r="H1907" i="1" s="1"/>
  <c r="L1907" i="1" l="1"/>
  <c r="M1907" i="1" s="1"/>
  <c r="J1907" i="1"/>
  <c r="I1907" i="1"/>
  <c r="K1907" i="1" s="1"/>
  <c r="H1908" i="1" s="1"/>
  <c r="L1908" i="1" l="1"/>
  <c r="M1908" i="1" s="1"/>
  <c r="J1908" i="1"/>
  <c r="I1908" i="1"/>
  <c r="K1908" i="1" s="1"/>
  <c r="H1909" i="1" s="1"/>
  <c r="L1909" i="1" l="1"/>
  <c r="M1909" i="1" s="1"/>
  <c r="J1909" i="1"/>
  <c r="I1909" i="1"/>
  <c r="K1909" i="1" s="1"/>
  <c r="H1910" i="1" s="1"/>
  <c r="L1910" i="1" l="1"/>
  <c r="M1910" i="1" s="1"/>
  <c r="J1910" i="1"/>
  <c r="I1910" i="1"/>
  <c r="K1910" i="1" s="1"/>
  <c r="H1911" i="1" s="1"/>
  <c r="L1911" i="1" l="1"/>
  <c r="M1911" i="1" s="1"/>
  <c r="J1911" i="1"/>
  <c r="I1911" i="1"/>
  <c r="K1911" i="1" s="1"/>
  <c r="H1912" i="1" s="1"/>
  <c r="L1912" i="1" l="1"/>
  <c r="M1912" i="1" s="1"/>
  <c r="J1912" i="1"/>
  <c r="I1912" i="1"/>
  <c r="K1912" i="1" s="1"/>
  <c r="H1913" i="1" s="1"/>
  <c r="L1913" i="1" l="1"/>
  <c r="M1913" i="1" s="1"/>
  <c r="J1913" i="1"/>
  <c r="I1913" i="1"/>
  <c r="K1913" i="1" s="1"/>
  <c r="H1914" i="1" s="1"/>
  <c r="J1914" i="1" l="1"/>
  <c r="L1914" i="1"/>
  <c r="M1914" i="1" s="1"/>
  <c r="I1914" i="1"/>
  <c r="K1914" i="1" s="1"/>
  <c r="H1915" i="1" s="1"/>
  <c r="J1915" i="1" l="1"/>
  <c r="L1915" i="1"/>
  <c r="M1915" i="1" s="1"/>
  <c r="I1915" i="1"/>
  <c r="K1915" i="1" s="1"/>
  <c r="H1916" i="1" s="1"/>
  <c r="L1916" i="1" l="1"/>
  <c r="M1916" i="1" s="1"/>
  <c r="J1916" i="1"/>
  <c r="I1916" i="1"/>
  <c r="K1916" i="1" s="1"/>
  <c r="H1917" i="1" s="1"/>
  <c r="J1917" i="1" l="1"/>
  <c r="L1917" i="1"/>
  <c r="M1917" i="1" s="1"/>
  <c r="I1917" i="1"/>
  <c r="K1917" i="1" s="1"/>
  <c r="H1918" i="1" s="1"/>
  <c r="L1918" i="1" l="1"/>
  <c r="M1918" i="1" s="1"/>
  <c r="J1918" i="1"/>
  <c r="I1918" i="1"/>
  <c r="K1918" i="1" s="1"/>
  <c r="H1919" i="1" s="1"/>
  <c r="L1919" i="1" l="1"/>
  <c r="M1919" i="1" s="1"/>
  <c r="J1919" i="1"/>
  <c r="I1919" i="1"/>
  <c r="K1919" i="1" s="1"/>
  <c r="H1920" i="1" s="1"/>
  <c r="L1920" i="1" l="1"/>
  <c r="M1920" i="1" s="1"/>
  <c r="J1920" i="1"/>
  <c r="I1920" i="1"/>
  <c r="K1920" i="1" s="1"/>
  <c r="H1921" i="1" s="1"/>
  <c r="L1921" i="1" l="1"/>
  <c r="M1921" i="1" s="1"/>
  <c r="J1921" i="1"/>
  <c r="I1921" i="1"/>
  <c r="K1921" i="1" s="1"/>
  <c r="H1922" i="1" s="1"/>
  <c r="L1922" i="1" l="1"/>
  <c r="M1922" i="1" s="1"/>
  <c r="J1922" i="1"/>
  <c r="I1922" i="1"/>
  <c r="K1922" i="1" s="1"/>
  <c r="H1923" i="1" s="1"/>
  <c r="J1923" i="1" l="1"/>
  <c r="L1923" i="1"/>
  <c r="M1923" i="1" s="1"/>
  <c r="I1923" i="1"/>
  <c r="K1923" i="1" s="1"/>
  <c r="H1924" i="1" s="1"/>
  <c r="J1924" i="1" l="1"/>
  <c r="L1924" i="1"/>
  <c r="M1924" i="1" s="1"/>
  <c r="I1924" i="1"/>
  <c r="K1924" i="1" s="1"/>
  <c r="H1925" i="1" s="1"/>
  <c r="J1925" i="1" l="1"/>
  <c r="L1925" i="1"/>
  <c r="M1925" i="1" s="1"/>
  <c r="I1925" i="1"/>
  <c r="K1925" i="1" s="1"/>
  <c r="H1926" i="1" s="1"/>
  <c r="J1926" i="1" l="1"/>
  <c r="I1926" i="1"/>
  <c r="K1926" i="1" s="1"/>
  <c r="H1927" i="1" s="1"/>
  <c r="L1926" i="1"/>
  <c r="M1926" i="1" s="1"/>
  <c r="L1927" i="1" l="1"/>
  <c r="M1927" i="1" s="1"/>
  <c r="J1927" i="1"/>
  <c r="I1927" i="1"/>
  <c r="K1927" i="1" s="1"/>
  <c r="H1928" i="1" s="1"/>
  <c r="L1928" i="1" l="1"/>
  <c r="M1928" i="1" s="1"/>
  <c r="J1928" i="1"/>
  <c r="I1928" i="1"/>
  <c r="K1928" i="1" s="1"/>
  <c r="H1929" i="1" s="1"/>
  <c r="L1929" i="1" l="1"/>
  <c r="M1929" i="1" s="1"/>
  <c r="J1929" i="1"/>
  <c r="I1929" i="1"/>
  <c r="K1929" i="1" s="1"/>
  <c r="H1930" i="1" s="1"/>
  <c r="L1930" i="1" l="1"/>
  <c r="M1930" i="1" s="1"/>
  <c r="J1930" i="1"/>
  <c r="I1930" i="1"/>
  <c r="K1930" i="1" s="1"/>
  <c r="H1931" i="1" s="1"/>
  <c r="L1931" i="1" l="1"/>
  <c r="M1931" i="1" s="1"/>
  <c r="J1931" i="1"/>
  <c r="I1931" i="1"/>
  <c r="K1931" i="1" s="1"/>
  <c r="H1932" i="1" s="1"/>
  <c r="L1932" i="1" l="1"/>
  <c r="M1932" i="1" s="1"/>
  <c r="J1932" i="1"/>
  <c r="I1932" i="1"/>
  <c r="K1932" i="1" s="1"/>
  <c r="H1933" i="1" s="1"/>
  <c r="L1933" i="1" l="1"/>
  <c r="M1933" i="1" s="1"/>
  <c r="J1933" i="1"/>
  <c r="I1933" i="1"/>
  <c r="K1933" i="1" s="1"/>
  <c r="H1934" i="1" s="1"/>
  <c r="L1934" i="1" l="1"/>
  <c r="M1934" i="1" s="1"/>
  <c r="J1934" i="1"/>
  <c r="I1934" i="1"/>
  <c r="K1934" i="1" s="1"/>
  <c r="H1935" i="1" s="1"/>
  <c r="L1935" i="1" l="1"/>
  <c r="M1935" i="1" s="1"/>
  <c r="J1935" i="1"/>
  <c r="I1935" i="1"/>
  <c r="K1935" i="1" s="1"/>
  <c r="H1936" i="1" s="1"/>
  <c r="L1936" i="1" l="1"/>
  <c r="M1936" i="1" s="1"/>
  <c r="I1936" i="1"/>
  <c r="K1936" i="1" s="1"/>
  <c r="H1937" i="1" s="1"/>
  <c r="J1936" i="1"/>
  <c r="L1937" i="1" l="1"/>
  <c r="M1937" i="1" s="1"/>
  <c r="J1937" i="1"/>
  <c r="I1937" i="1"/>
  <c r="K1937" i="1" s="1"/>
  <c r="H1938" i="1" s="1"/>
  <c r="L1938" i="1" l="1"/>
  <c r="M1938" i="1" s="1"/>
  <c r="J1938" i="1"/>
  <c r="I1938" i="1"/>
  <c r="K1938" i="1" s="1"/>
  <c r="H1939" i="1" s="1"/>
  <c r="L1939" i="1" l="1"/>
  <c r="M1939" i="1" s="1"/>
  <c r="I1939" i="1"/>
  <c r="K1939" i="1" s="1"/>
  <c r="H1940" i="1" s="1"/>
  <c r="J1939" i="1"/>
  <c r="L1940" i="1" l="1"/>
  <c r="M1940" i="1" s="1"/>
  <c r="J1940" i="1"/>
  <c r="I1940" i="1"/>
  <c r="K1940" i="1" s="1"/>
  <c r="H1941" i="1" s="1"/>
  <c r="L1941" i="1" l="1"/>
  <c r="M1941" i="1" s="1"/>
  <c r="J1941" i="1"/>
  <c r="I1941" i="1"/>
  <c r="K1941" i="1" s="1"/>
  <c r="H1942" i="1" s="1"/>
  <c r="J1942" i="1" l="1"/>
  <c r="I1942" i="1"/>
  <c r="K1942" i="1" s="1"/>
  <c r="H1943" i="1" s="1"/>
  <c r="L1942" i="1"/>
  <c r="M1942" i="1" s="1"/>
  <c r="L1943" i="1" l="1"/>
  <c r="M1943" i="1" s="1"/>
  <c r="J1943" i="1"/>
  <c r="I1943" i="1"/>
  <c r="K1943" i="1" s="1"/>
  <c r="H1944" i="1" s="1"/>
  <c r="L1944" i="1" l="1"/>
  <c r="M1944" i="1" s="1"/>
  <c r="J1944" i="1"/>
  <c r="I1944" i="1"/>
  <c r="K1944" i="1" s="1"/>
  <c r="H1945" i="1" s="1"/>
  <c r="L1945" i="1" l="1"/>
  <c r="M1945" i="1" s="1"/>
  <c r="I1945" i="1"/>
  <c r="K1945" i="1" s="1"/>
  <c r="H1946" i="1" s="1"/>
  <c r="J1945" i="1"/>
  <c r="J1946" i="1" l="1"/>
  <c r="L1946" i="1"/>
  <c r="M1946" i="1" s="1"/>
  <c r="I1946" i="1"/>
  <c r="K1946" i="1" s="1"/>
  <c r="H1947" i="1" s="1"/>
  <c r="L1947" i="1" l="1"/>
  <c r="M1947" i="1" s="1"/>
  <c r="J1947" i="1"/>
  <c r="I1947" i="1"/>
  <c r="K1947" i="1" s="1"/>
  <c r="H1948" i="1" s="1"/>
  <c r="L1948" i="1" l="1"/>
  <c r="M1948" i="1" s="1"/>
  <c r="I1948" i="1"/>
  <c r="K1948" i="1" s="1"/>
  <c r="H1949" i="1" s="1"/>
  <c r="J1948" i="1"/>
  <c r="L1949" i="1" l="1"/>
  <c r="M1949" i="1" s="1"/>
  <c r="J1949" i="1"/>
  <c r="I1949" i="1"/>
  <c r="K1949" i="1" s="1"/>
  <c r="H1950" i="1" s="1"/>
  <c r="L1950" i="1" l="1"/>
  <c r="M1950" i="1" s="1"/>
  <c r="J1950" i="1"/>
  <c r="I1950" i="1"/>
  <c r="K1950" i="1" s="1"/>
  <c r="H1951" i="1" s="1"/>
  <c r="L1951" i="1" l="1"/>
  <c r="M1951" i="1" s="1"/>
  <c r="I1951" i="1"/>
  <c r="K1951" i="1" s="1"/>
  <c r="H1952" i="1" s="1"/>
  <c r="J1951" i="1"/>
  <c r="J1952" i="1" l="1"/>
  <c r="L1952" i="1"/>
  <c r="M1952" i="1" s="1"/>
  <c r="I1952" i="1"/>
  <c r="K1952" i="1" s="1"/>
  <c r="H1953" i="1" s="1"/>
  <c r="J1953" i="1" l="1"/>
  <c r="L1953" i="1"/>
  <c r="M1953" i="1" s="1"/>
  <c r="I1953" i="1"/>
  <c r="K1953" i="1" s="1"/>
  <c r="H1954" i="1" s="1"/>
  <c r="L1954" i="1" l="1"/>
  <c r="M1954" i="1" s="1"/>
  <c r="J1954" i="1"/>
  <c r="I1954" i="1"/>
  <c r="K1954" i="1" s="1"/>
  <c r="H1955" i="1" s="1"/>
  <c r="L1955" i="1" l="1"/>
  <c r="M1955" i="1" s="1"/>
  <c r="I1955" i="1"/>
  <c r="K1955" i="1" s="1"/>
  <c r="H1956" i="1" s="1"/>
  <c r="J1955" i="1"/>
  <c r="L1956" i="1" l="1"/>
  <c r="M1956" i="1" s="1"/>
  <c r="J1956" i="1"/>
  <c r="I1956" i="1"/>
  <c r="K1956" i="1" s="1"/>
  <c r="H1957" i="1" s="1"/>
  <c r="L1957" i="1" l="1"/>
  <c r="M1957" i="1" s="1"/>
  <c r="J1957" i="1"/>
  <c r="I1957" i="1"/>
  <c r="K1957" i="1" s="1"/>
  <c r="H1958" i="1" s="1"/>
  <c r="L1958" i="1" l="1"/>
  <c r="M1958" i="1" s="1"/>
  <c r="J1958" i="1"/>
  <c r="I1958" i="1"/>
  <c r="K1958" i="1" s="1"/>
  <c r="H1959" i="1" s="1"/>
  <c r="J1959" i="1" l="1"/>
  <c r="L1959" i="1"/>
  <c r="M1959" i="1" s="1"/>
  <c r="I1959" i="1"/>
  <c r="K1959" i="1" s="1"/>
  <c r="H1960" i="1" s="1"/>
  <c r="J1960" i="1" l="1"/>
  <c r="I1960" i="1"/>
  <c r="K1960" i="1" s="1"/>
  <c r="H1961" i="1" s="1"/>
  <c r="L1960" i="1"/>
  <c r="M1960" i="1" s="1"/>
  <c r="J1961" i="1" l="1"/>
  <c r="L1961" i="1"/>
  <c r="M1961" i="1" s="1"/>
  <c r="I1961" i="1"/>
  <c r="K1961" i="1" s="1"/>
  <c r="H1962" i="1" s="1"/>
  <c r="L1962" i="1" l="1"/>
  <c r="M1962" i="1" s="1"/>
  <c r="J1962" i="1"/>
  <c r="I1962" i="1"/>
  <c r="K1962" i="1" s="1"/>
  <c r="H1963" i="1" s="1"/>
  <c r="J1963" i="1" l="1"/>
  <c r="L1963" i="1"/>
  <c r="M1963" i="1" s="1"/>
  <c r="I1963" i="1"/>
  <c r="K1963" i="1" s="1"/>
  <c r="H1964" i="1" s="1"/>
  <c r="L1964" i="1" l="1"/>
  <c r="M1964" i="1" s="1"/>
  <c r="I1964" i="1"/>
  <c r="K1964" i="1" s="1"/>
  <c r="H1965" i="1" s="1"/>
  <c r="J1964" i="1"/>
  <c r="L1965" i="1" l="1"/>
  <c r="M1965" i="1" s="1"/>
  <c r="J1965" i="1"/>
  <c r="I1965" i="1"/>
  <c r="K1965" i="1" s="1"/>
  <c r="H1966" i="1" s="1"/>
  <c r="L1966" i="1" l="1"/>
  <c r="M1966" i="1" s="1"/>
  <c r="J1966" i="1"/>
  <c r="I1966" i="1"/>
  <c r="K1966" i="1" s="1"/>
  <c r="H1967" i="1" s="1"/>
  <c r="L1967" i="1" l="1"/>
  <c r="M1967" i="1" s="1"/>
  <c r="I1967" i="1"/>
  <c r="K1967" i="1" s="1"/>
  <c r="H1968" i="1" s="1"/>
  <c r="J1967" i="1"/>
  <c r="L1968" i="1" l="1"/>
  <c r="M1968" i="1" s="1"/>
  <c r="J1968" i="1"/>
  <c r="I1968" i="1"/>
  <c r="K1968" i="1" s="1"/>
  <c r="H1969" i="1" s="1"/>
  <c r="L1969" i="1" l="1"/>
  <c r="M1969" i="1" s="1"/>
  <c r="J1969" i="1"/>
  <c r="I1969" i="1"/>
  <c r="K1969" i="1" s="1"/>
  <c r="H1970" i="1" s="1"/>
  <c r="J1970" i="1" l="1"/>
  <c r="L1970" i="1"/>
  <c r="M1970" i="1" s="1"/>
  <c r="I1970" i="1"/>
  <c r="K1970" i="1" s="1"/>
  <c r="H1971" i="1" s="1"/>
  <c r="L1971" i="1" l="1"/>
  <c r="M1971" i="1" s="1"/>
  <c r="I1971" i="1"/>
  <c r="K1971" i="1" s="1"/>
  <c r="H1972" i="1" s="1"/>
  <c r="J1971" i="1"/>
  <c r="L1972" i="1" l="1"/>
  <c r="M1972" i="1" s="1"/>
  <c r="J1972" i="1"/>
  <c r="I1972" i="1"/>
  <c r="K1972" i="1" s="1"/>
  <c r="H1973" i="1" s="1"/>
  <c r="L1973" i="1" l="1"/>
  <c r="M1973" i="1" s="1"/>
  <c r="J1973" i="1"/>
  <c r="I1973" i="1"/>
  <c r="K1973" i="1" s="1"/>
  <c r="H1974" i="1" s="1"/>
  <c r="L1974" i="1" l="1"/>
  <c r="M1974" i="1" s="1"/>
  <c r="J1974" i="1"/>
  <c r="I1974" i="1"/>
  <c r="K1974" i="1" s="1"/>
  <c r="H1975" i="1" s="1"/>
  <c r="L1975" i="1" l="1"/>
  <c r="M1975" i="1" s="1"/>
  <c r="I1975" i="1"/>
  <c r="K1975" i="1" s="1"/>
  <c r="H1976" i="1" s="1"/>
  <c r="J1975" i="1"/>
  <c r="L1976" i="1" l="1"/>
  <c r="M1976" i="1" s="1"/>
  <c r="J1976" i="1"/>
  <c r="I1976" i="1"/>
  <c r="K1976" i="1" s="1"/>
  <c r="H1977" i="1" s="1"/>
  <c r="L1977" i="1" l="1"/>
  <c r="M1977" i="1" s="1"/>
  <c r="I1977" i="1"/>
  <c r="K1977" i="1" s="1"/>
  <c r="H1978" i="1" s="1"/>
  <c r="J1977" i="1"/>
  <c r="L1978" i="1" l="1"/>
  <c r="M1978" i="1" s="1"/>
  <c r="J1978" i="1"/>
  <c r="I1978" i="1"/>
  <c r="K1978" i="1" s="1"/>
  <c r="H1979" i="1" s="1"/>
  <c r="J1979" i="1" l="1"/>
  <c r="I1979" i="1"/>
  <c r="K1979" i="1" s="1"/>
  <c r="H1980" i="1" s="1"/>
  <c r="L1979" i="1"/>
  <c r="M1979" i="1" s="1"/>
  <c r="L1980" i="1" l="1"/>
  <c r="M1980" i="1" s="1"/>
  <c r="I1980" i="1"/>
  <c r="K1980" i="1" s="1"/>
  <c r="H1981" i="1" s="1"/>
  <c r="J1980" i="1"/>
  <c r="L1981" i="1" l="1"/>
  <c r="M1981" i="1" s="1"/>
  <c r="J1981" i="1"/>
  <c r="I1981" i="1"/>
  <c r="K1981" i="1" s="1"/>
  <c r="H1982" i="1" s="1"/>
  <c r="L1982" i="1" l="1"/>
  <c r="M1982" i="1" s="1"/>
  <c r="I1982" i="1"/>
  <c r="K1982" i="1" s="1"/>
  <c r="H1983" i="1" s="1"/>
  <c r="J1982" i="1"/>
  <c r="J1983" i="1" l="1"/>
  <c r="I1983" i="1"/>
  <c r="K1983" i="1" s="1"/>
  <c r="H1984" i="1" s="1"/>
  <c r="L1983" i="1"/>
  <c r="M1983" i="1" s="1"/>
  <c r="L1984" i="1" l="1"/>
  <c r="M1984" i="1" s="1"/>
  <c r="J1984" i="1"/>
  <c r="I1984" i="1"/>
  <c r="K1984" i="1" s="1"/>
  <c r="H1985" i="1" s="1"/>
  <c r="L1985" i="1" l="1"/>
  <c r="M1985" i="1" s="1"/>
  <c r="J1985" i="1"/>
  <c r="I1985" i="1"/>
  <c r="K1985" i="1" s="1"/>
  <c r="H1986" i="1" s="1"/>
  <c r="L1986" i="1" l="1"/>
  <c r="M1986" i="1" s="1"/>
  <c r="I1986" i="1"/>
  <c r="K1986" i="1" s="1"/>
  <c r="H1987" i="1" s="1"/>
  <c r="J1986" i="1"/>
  <c r="L1987" i="1" l="1"/>
  <c r="M1987" i="1" s="1"/>
  <c r="J1987" i="1"/>
  <c r="I1987" i="1"/>
  <c r="K1987" i="1" s="1"/>
  <c r="H1988" i="1" s="1"/>
  <c r="L1988" i="1" l="1"/>
  <c r="M1988" i="1" s="1"/>
  <c r="I1988" i="1"/>
  <c r="K1988" i="1" s="1"/>
  <c r="H1989" i="1" s="1"/>
  <c r="J1988" i="1"/>
  <c r="L1989" i="1" l="1"/>
  <c r="M1989" i="1" s="1"/>
  <c r="I1989" i="1"/>
  <c r="K1989" i="1" s="1"/>
  <c r="H1990" i="1" s="1"/>
  <c r="J1989" i="1"/>
  <c r="L1990" i="1" l="1"/>
  <c r="M1990" i="1" s="1"/>
  <c r="J1990" i="1"/>
  <c r="I1990" i="1"/>
  <c r="K1990" i="1" s="1"/>
  <c r="H1991" i="1" s="1"/>
  <c r="J1991" i="1" l="1"/>
  <c r="I1991" i="1"/>
  <c r="K1991" i="1" s="1"/>
  <c r="H1992" i="1" s="1"/>
  <c r="L1991" i="1"/>
  <c r="M1991" i="1" s="1"/>
  <c r="L1992" i="1" l="1"/>
  <c r="M1992" i="1" s="1"/>
  <c r="J1992" i="1"/>
  <c r="I1992" i="1"/>
  <c r="K1992" i="1" s="1"/>
  <c r="H1993" i="1" s="1"/>
  <c r="L1993" i="1" l="1"/>
  <c r="M1993" i="1" s="1"/>
  <c r="J1993" i="1"/>
  <c r="I1993" i="1"/>
  <c r="K1993" i="1" s="1"/>
  <c r="H1994" i="1" s="1"/>
  <c r="L1994" i="1" l="1"/>
  <c r="M1994" i="1" s="1"/>
  <c r="J1994" i="1"/>
  <c r="I1994" i="1"/>
  <c r="K1994" i="1" s="1"/>
  <c r="H1995" i="1" s="1"/>
  <c r="L1995" i="1" l="1"/>
  <c r="M1995" i="1" s="1"/>
  <c r="J1995" i="1"/>
  <c r="I1995" i="1"/>
  <c r="K1995" i="1" s="1"/>
  <c r="H1996" i="1" s="1"/>
  <c r="J1996" i="1" l="1"/>
  <c r="L1996" i="1"/>
  <c r="M1996" i="1" s="1"/>
  <c r="I1996" i="1"/>
  <c r="K1996" i="1" s="1"/>
  <c r="H1997" i="1" s="1"/>
  <c r="L1997" i="1" l="1"/>
  <c r="M1997" i="1" s="1"/>
  <c r="J1997" i="1"/>
  <c r="I1997" i="1"/>
  <c r="K1997" i="1" s="1"/>
  <c r="H1998" i="1" s="1"/>
  <c r="J1998" i="1" l="1"/>
  <c r="L1998" i="1"/>
  <c r="M1998" i="1" s="1"/>
  <c r="I1998" i="1"/>
  <c r="K1998" i="1" s="1"/>
  <c r="H1999" i="1" s="1"/>
  <c r="L1999" i="1" l="1"/>
  <c r="M1999" i="1" s="1"/>
  <c r="I1999" i="1"/>
  <c r="K1999" i="1" s="1"/>
  <c r="H2000" i="1" s="1"/>
  <c r="J1999" i="1"/>
  <c r="L2000" i="1" l="1"/>
  <c r="M2000" i="1" s="1"/>
  <c r="J2000" i="1"/>
  <c r="I2000" i="1"/>
  <c r="K2000" i="1" s="1"/>
  <c r="H2001" i="1" s="1"/>
  <c r="L2001" i="1" l="1"/>
  <c r="M2001" i="1" s="1"/>
  <c r="I2001" i="1"/>
  <c r="K2001" i="1" s="1"/>
  <c r="H2002" i="1" s="1"/>
  <c r="J2001" i="1"/>
  <c r="L2002" i="1" l="1"/>
  <c r="M2002" i="1" s="1"/>
  <c r="J2002" i="1"/>
  <c r="I2002" i="1"/>
  <c r="K2002" i="1" s="1"/>
  <c r="H2003" i="1" s="1"/>
  <c r="L2003" i="1" l="1"/>
  <c r="M2003" i="1" s="1"/>
  <c r="I2003" i="1"/>
  <c r="K2003" i="1" s="1"/>
  <c r="H2004" i="1" s="1"/>
  <c r="J2003" i="1"/>
  <c r="L2004" i="1" l="1"/>
  <c r="M2004" i="1" s="1"/>
  <c r="J2004" i="1"/>
  <c r="I2004" i="1"/>
  <c r="K2004" i="1" s="1"/>
  <c r="H2005" i="1" s="1"/>
  <c r="L2005" i="1" l="1"/>
  <c r="M2005" i="1" s="1"/>
  <c r="J2005" i="1"/>
  <c r="I2005" i="1"/>
  <c r="K2005" i="1" s="1"/>
  <c r="H2006" i="1" s="1"/>
  <c r="L2006" i="1" l="1"/>
  <c r="M2006" i="1" s="1"/>
  <c r="I2006" i="1"/>
  <c r="K2006" i="1" s="1"/>
  <c r="H2007" i="1" s="1"/>
  <c r="J2006" i="1"/>
  <c r="L2007" i="1" l="1"/>
  <c r="M2007" i="1" s="1"/>
  <c r="I2007" i="1"/>
  <c r="K2007" i="1" s="1"/>
  <c r="H2008" i="1" s="1"/>
  <c r="J2007" i="1"/>
  <c r="L2008" i="1" l="1"/>
  <c r="M2008" i="1" s="1"/>
  <c r="J2008" i="1"/>
  <c r="I2008" i="1"/>
  <c r="K2008" i="1" s="1"/>
  <c r="H2009" i="1" s="1"/>
  <c r="L2009" i="1" l="1"/>
  <c r="M2009" i="1" s="1"/>
  <c r="I2009" i="1"/>
  <c r="K2009" i="1" s="1"/>
  <c r="H2010" i="1" s="1"/>
  <c r="J2009" i="1"/>
  <c r="L2010" i="1" l="1"/>
  <c r="M2010" i="1" s="1"/>
  <c r="J2010" i="1"/>
  <c r="I2010" i="1"/>
  <c r="K2010" i="1" s="1"/>
  <c r="H2011" i="1" s="1"/>
  <c r="L2011" i="1" l="1"/>
  <c r="M2011" i="1" s="1"/>
  <c r="J2011" i="1"/>
  <c r="I2011" i="1"/>
  <c r="K2011" i="1" s="1"/>
  <c r="H2012" i="1" s="1"/>
  <c r="L2012" i="1" l="1"/>
  <c r="M2012" i="1" s="1"/>
  <c r="J2012" i="1"/>
  <c r="I2012" i="1"/>
  <c r="K2012" i="1" s="1"/>
  <c r="H2013" i="1" s="1"/>
  <c r="J2013" i="1" l="1"/>
  <c r="L2013" i="1"/>
  <c r="M2013" i="1" s="1"/>
  <c r="I2013" i="1"/>
  <c r="K2013" i="1" s="1"/>
  <c r="H2014" i="1" s="1"/>
  <c r="L2014" i="1" l="1"/>
  <c r="M2014" i="1" s="1"/>
  <c r="J2014" i="1"/>
  <c r="I2014" i="1"/>
  <c r="K2014" i="1" s="1"/>
  <c r="H2015" i="1" s="1"/>
  <c r="L2015" i="1" l="1"/>
  <c r="M2015" i="1" s="1"/>
  <c r="J2015" i="1"/>
  <c r="I2015" i="1"/>
  <c r="K2015" i="1" s="1"/>
  <c r="H2016" i="1" s="1"/>
  <c r="L2016" i="1" l="1"/>
  <c r="M2016" i="1" s="1"/>
  <c r="J2016" i="1"/>
  <c r="I2016" i="1"/>
  <c r="K2016" i="1" s="1"/>
  <c r="H2017" i="1" s="1"/>
  <c r="L2017" i="1" l="1"/>
  <c r="M2017" i="1" s="1"/>
  <c r="I2017" i="1"/>
  <c r="K2017" i="1" s="1"/>
  <c r="H2018" i="1" s="1"/>
  <c r="J2017" i="1"/>
  <c r="L2018" i="1" l="1"/>
  <c r="M2018" i="1" s="1"/>
  <c r="J2018" i="1"/>
  <c r="I2018" i="1"/>
  <c r="K2018" i="1" s="1"/>
  <c r="H2019" i="1" s="1"/>
  <c r="J2019" i="1" l="1"/>
  <c r="L2019" i="1"/>
  <c r="M2019" i="1" s="1"/>
  <c r="I2019" i="1"/>
  <c r="K2019" i="1" s="1"/>
  <c r="H2020" i="1" s="1"/>
  <c r="L2020" i="1" l="1"/>
  <c r="M2020" i="1" s="1"/>
  <c r="J2020" i="1"/>
  <c r="I2020" i="1"/>
  <c r="K2020" i="1" s="1"/>
  <c r="H2021" i="1" s="1"/>
  <c r="J2021" i="1" l="1"/>
  <c r="L2021" i="1"/>
  <c r="M2021" i="1" s="1"/>
  <c r="I2021" i="1"/>
  <c r="K2021" i="1" s="1"/>
  <c r="H2022" i="1" s="1"/>
  <c r="J2022" i="1" l="1"/>
  <c r="L2022" i="1"/>
  <c r="M2022" i="1" s="1"/>
  <c r="I2022" i="1"/>
  <c r="K2022" i="1" s="1"/>
  <c r="H2023" i="1" s="1"/>
  <c r="L2023" i="1" l="1"/>
  <c r="M2023" i="1" s="1"/>
  <c r="J2023" i="1"/>
  <c r="I2023" i="1"/>
  <c r="K2023" i="1" s="1"/>
  <c r="H2024" i="1" s="1"/>
  <c r="L2024" i="1" l="1"/>
  <c r="M2024" i="1" s="1"/>
  <c r="J2024" i="1"/>
  <c r="I2024" i="1"/>
  <c r="K2024" i="1" s="1"/>
  <c r="H2025" i="1" s="1"/>
  <c r="L2025" i="1" l="1"/>
  <c r="M2025" i="1" s="1"/>
  <c r="J2025" i="1"/>
  <c r="I2025" i="1"/>
  <c r="K2025" i="1" s="1"/>
  <c r="H2026" i="1" s="1"/>
  <c r="L2026" i="1" l="1"/>
  <c r="M2026" i="1" s="1"/>
  <c r="J2026" i="1"/>
  <c r="I2026" i="1"/>
  <c r="K2026" i="1" s="1"/>
  <c r="H2027" i="1" s="1"/>
  <c r="J2027" i="1" l="1"/>
  <c r="L2027" i="1"/>
  <c r="M2027" i="1" s="1"/>
  <c r="I2027" i="1"/>
  <c r="K2027" i="1" s="1"/>
  <c r="H2028" i="1" s="1"/>
  <c r="J2028" i="1" l="1"/>
  <c r="L2028" i="1"/>
  <c r="M2028" i="1" s="1"/>
  <c r="I2028" i="1"/>
  <c r="K2028" i="1" s="1"/>
  <c r="H2029" i="1" s="1"/>
  <c r="L2029" i="1" l="1"/>
  <c r="M2029" i="1" s="1"/>
  <c r="J2029" i="1"/>
  <c r="I2029" i="1"/>
  <c r="K2029" i="1" s="1"/>
  <c r="H2030" i="1" s="1"/>
  <c r="L2030" i="1" l="1"/>
  <c r="M2030" i="1" s="1"/>
  <c r="J2030" i="1"/>
  <c r="I2030" i="1"/>
  <c r="K2030" i="1" s="1"/>
  <c r="H2031" i="1" s="1"/>
  <c r="L2031" i="1" l="1"/>
  <c r="M2031" i="1" s="1"/>
  <c r="J2031" i="1"/>
  <c r="I2031" i="1"/>
  <c r="K2031" i="1" s="1"/>
  <c r="H2032" i="1" s="1"/>
  <c r="J2032" i="1" l="1"/>
  <c r="L2032" i="1"/>
  <c r="M2032" i="1" s="1"/>
  <c r="I2032" i="1"/>
  <c r="K2032" i="1" s="1"/>
  <c r="H2033" i="1" s="1"/>
  <c r="L2033" i="1" l="1"/>
  <c r="M2033" i="1" s="1"/>
  <c r="J2033" i="1"/>
  <c r="I2033" i="1"/>
  <c r="K2033" i="1" s="1"/>
  <c r="H2034" i="1" s="1"/>
  <c r="J2034" i="1" l="1"/>
  <c r="L2034" i="1"/>
  <c r="M2034" i="1" s="1"/>
  <c r="I2034" i="1"/>
  <c r="K2034" i="1" s="1"/>
  <c r="H2035" i="1" s="1"/>
  <c r="L2035" i="1" l="1"/>
  <c r="M2035" i="1" s="1"/>
  <c r="J2035" i="1"/>
  <c r="I2035" i="1"/>
  <c r="K2035" i="1" s="1"/>
  <c r="H2036" i="1" s="1"/>
  <c r="L2036" i="1" l="1"/>
  <c r="M2036" i="1" s="1"/>
  <c r="J2036" i="1"/>
  <c r="I2036" i="1"/>
  <c r="K2036" i="1" s="1"/>
  <c r="H2037" i="1" s="1"/>
  <c r="L2037" i="1" l="1"/>
  <c r="M2037" i="1" s="1"/>
  <c r="J2037" i="1"/>
  <c r="I2037" i="1"/>
  <c r="K2037" i="1" s="1"/>
  <c r="H2038" i="1" s="1"/>
  <c r="L2038" i="1" l="1"/>
  <c r="M2038" i="1" s="1"/>
  <c r="J2038" i="1"/>
  <c r="I2038" i="1"/>
  <c r="K2038" i="1" s="1"/>
  <c r="H2039" i="1" s="1"/>
  <c r="L2039" i="1" l="1"/>
  <c r="M2039" i="1" s="1"/>
  <c r="J2039" i="1"/>
  <c r="I2039" i="1"/>
  <c r="K2039" i="1" s="1"/>
  <c r="H2040" i="1" s="1"/>
  <c r="L2040" i="1" l="1"/>
  <c r="M2040" i="1" s="1"/>
  <c r="J2040" i="1"/>
  <c r="I2040" i="1"/>
  <c r="K2040" i="1" s="1"/>
  <c r="H2041" i="1" s="1"/>
  <c r="L2041" i="1" l="1"/>
  <c r="M2041" i="1" s="1"/>
  <c r="J2041" i="1"/>
  <c r="I2041" i="1"/>
  <c r="K2041" i="1" s="1"/>
  <c r="H2042" i="1" s="1"/>
  <c r="L2042" i="1" l="1"/>
  <c r="M2042" i="1" s="1"/>
  <c r="J2042" i="1"/>
  <c r="I2042" i="1"/>
  <c r="K2042" i="1" s="1"/>
  <c r="H2043" i="1" s="1"/>
  <c r="L2043" i="1" l="1"/>
  <c r="M2043" i="1" s="1"/>
  <c r="I2043" i="1"/>
  <c r="K2043" i="1" s="1"/>
  <c r="H2044" i="1" s="1"/>
  <c r="J2043" i="1"/>
  <c r="L2044" i="1" l="1"/>
  <c r="M2044" i="1" s="1"/>
  <c r="J2044" i="1"/>
  <c r="I2044" i="1"/>
  <c r="K2044" i="1" s="1"/>
  <c r="H2045" i="1" s="1"/>
  <c r="L2045" i="1" l="1"/>
  <c r="M2045" i="1" s="1"/>
  <c r="J2045" i="1"/>
  <c r="I2045" i="1"/>
  <c r="K2045" i="1" s="1"/>
  <c r="H2046" i="1" s="1"/>
  <c r="L2046" i="1" l="1"/>
  <c r="M2046" i="1" s="1"/>
  <c r="J2046" i="1"/>
  <c r="I2046" i="1"/>
  <c r="K2046" i="1" s="1"/>
  <c r="H2047" i="1" s="1"/>
  <c r="L2047" i="1" l="1"/>
  <c r="M2047" i="1" s="1"/>
  <c r="J2047" i="1"/>
  <c r="I2047" i="1"/>
  <c r="K2047" i="1" s="1"/>
  <c r="H2048" i="1" s="1"/>
  <c r="L2048" i="1" l="1"/>
  <c r="M2048" i="1" s="1"/>
  <c r="J2048" i="1"/>
  <c r="I2048" i="1"/>
  <c r="K2048" i="1" s="1"/>
  <c r="H2049" i="1" s="1"/>
  <c r="L2049" i="1" l="1"/>
  <c r="M2049" i="1" s="1"/>
  <c r="J2049" i="1"/>
  <c r="I2049" i="1"/>
  <c r="K2049" i="1" s="1"/>
  <c r="H2050" i="1" s="1"/>
  <c r="L2050" i="1" l="1"/>
  <c r="M2050" i="1" s="1"/>
  <c r="J2050" i="1"/>
  <c r="I2050" i="1"/>
  <c r="K2050" i="1" s="1"/>
  <c r="H2051" i="1" s="1"/>
  <c r="L2051" i="1" l="1"/>
  <c r="M2051" i="1" s="1"/>
  <c r="J2051" i="1"/>
  <c r="I2051" i="1"/>
  <c r="K2051" i="1" s="1"/>
  <c r="H2052" i="1" s="1"/>
  <c r="L2052" i="1" l="1"/>
  <c r="M2052" i="1" s="1"/>
  <c r="J2052" i="1"/>
  <c r="I2052" i="1"/>
  <c r="K2052" i="1" s="1"/>
  <c r="H2053" i="1" s="1"/>
  <c r="L2053" i="1" l="1"/>
  <c r="M2053" i="1" s="1"/>
  <c r="J2053" i="1"/>
  <c r="I2053" i="1"/>
  <c r="K2053" i="1" s="1"/>
  <c r="H2054" i="1" s="1"/>
  <c r="J2054" i="1" l="1"/>
  <c r="L2054" i="1"/>
  <c r="M2054" i="1" s="1"/>
  <c r="I2054" i="1"/>
  <c r="K2054" i="1" s="1"/>
  <c r="H2055" i="1" s="1"/>
  <c r="L2055" i="1" l="1"/>
  <c r="M2055" i="1" s="1"/>
  <c r="I2055" i="1"/>
  <c r="K2055" i="1" s="1"/>
  <c r="H2056" i="1" s="1"/>
  <c r="J2055" i="1"/>
  <c r="L2056" i="1" l="1"/>
  <c r="M2056" i="1" s="1"/>
  <c r="J2056" i="1"/>
  <c r="I2056" i="1"/>
  <c r="K2056" i="1" s="1"/>
  <c r="H2057" i="1" s="1"/>
  <c r="L2057" i="1" l="1"/>
  <c r="M2057" i="1" s="1"/>
  <c r="J2057" i="1"/>
  <c r="I2057" i="1"/>
  <c r="K2057" i="1" s="1"/>
  <c r="H2058" i="1" s="1"/>
  <c r="L2058" i="1" l="1"/>
  <c r="M2058" i="1" s="1"/>
  <c r="J2058" i="1"/>
  <c r="I2058" i="1"/>
  <c r="K2058" i="1" s="1"/>
  <c r="H2059" i="1" s="1"/>
  <c r="L2059" i="1" l="1"/>
  <c r="M2059" i="1" s="1"/>
  <c r="J2059" i="1"/>
  <c r="I2059" i="1"/>
  <c r="K2059" i="1" s="1"/>
  <c r="H2060" i="1" s="1"/>
  <c r="J2060" i="1" l="1"/>
  <c r="L2060" i="1"/>
  <c r="M2060" i="1" s="1"/>
  <c r="I2060" i="1"/>
  <c r="K2060" i="1" s="1"/>
  <c r="H2061" i="1" s="1"/>
  <c r="J2061" i="1" l="1"/>
  <c r="L2061" i="1"/>
  <c r="M2061" i="1" s="1"/>
  <c r="I2061" i="1"/>
  <c r="K2061" i="1" s="1"/>
  <c r="H2062" i="1" s="1"/>
  <c r="L2062" i="1" l="1"/>
  <c r="M2062" i="1" s="1"/>
  <c r="J2062" i="1"/>
  <c r="I2062" i="1"/>
  <c r="K2062" i="1" s="1"/>
  <c r="H2063" i="1" s="1"/>
  <c r="L2063" i="1" l="1"/>
  <c r="M2063" i="1" s="1"/>
  <c r="I2063" i="1"/>
  <c r="K2063" i="1" s="1"/>
  <c r="H2064" i="1" s="1"/>
  <c r="J2063" i="1"/>
  <c r="L2064" i="1" l="1"/>
  <c r="M2064" i="1" s="1"/>
  <c r="J2064" i="1"/>
  <c r="I2064" i="1"/>
  <c r="K2064" i="1" s="1"/>
  <c r="H2065" i="1" s="1"/>
  <c r="J2065" i="1" l="1"/>
  <c r="L2065" i="1"/>
  <c r="M2065" i="1" s="1"/>
  <c r="I2065" i="1"/>
  <c r="K2065" i="1" s="1"/>
  <c r="H2066" i="1" s="1"/>
  <c r="L2066" i="1" l="1"/>
  <c r="M2066" i="1" s="1"/>
  <c r="J2066" i="1"/>
  <c r="I2066" i="1"/>
  <c r="K2066" i="1" s="1"/>
  <c r="H2067" i="1" s="1"/>
  <c r="L2067" i="1" l="1"/>
  <c r="M2067" i="1" s="1"/>
  <c r="J2067" i="1"/>
  <c r="I2067" i="1"/>
  <c r="K2067" i="1" s="1"/>
  <c r="H2068" i="1" s="1"/>
  <c r="L2068" i="1" l="1"/>
  <c r="M2068" i="1" s="1"/>
  <c r="J2068" i="1"/>
  <c r="I2068" i="1"/>
  <c r="K2068" i="1" s="1"/>
  <c r="H2069" i="1" s="1"/>
  <c r="L2069" i="1" l="1"/>
  <c r="M2069" i="1" s="1"/>
  <c r="J2069" i="1"/>
  <c r="I2069" i="1"/>
  <c r="K2069" i="1" s="1"/>
  <c r="H2070" i="1" s="1"/>
  <c r="L2070" i="1" l="1"/>
  <c r="M2070" i="1" s="1"/>
  <c r="J2070" i="1"/>
  <c r="I2070" i="1"/>
  <c r="K2070" i="1" s="1"/>
  <c r="H2071" i="1" s="1"/>
  <c r="L2071" i="1" l="1"/>
  <c r="M2071" i="1" s="1"/>
  <c r="J2071" i="1"/>
  <c r="I2071" i="1"/>
  <c r="K2071" i="1" s="1"/>
  <c r="H2072" i="1" s="1"/>
  <c r="L2072" i="1" l="1"/>
  <c r="M2072" i="1" s="1"/>
  <c r="J2072" i="1"/>
  <c r="I2072" i="1"/>
  <c r="K2072" i="1" s="1"/>
  <c r="H2073" i="1" s="1"/>
  <c r="L2073" i="1" l="1"/>
  <c r="M2073" i="1" s="1"/>
  <c r="J2073" i="1"/>
  <c r="I2073" i="1"/>
  <c r="K2073" i="1" s="1"/>
  <c r="H2074" i="1" s="1"/>
  <c r="L2074" i="1" l="1"/>
  <c r="M2074" i="1" s="1"/>
  <c r="J2074" i="1"/>
  <c r="I2074" i="1"/>
  <c r="K2074" i="1" s="1"/>
  <c r="H2075" i="1" s="1"/>
  <c r="I2075" i="1" l="1"/>
  <c r="K2075" i="1" s="1"/>
  <c r="H2076" i="1" s="1"/>
  <c r="L2075" i="1"/>
  <c r="M2075" i="1" s="1"/>
  <c r="J2075" i="1"/>
  <c r="L2076" i="1" l="1"/>
  <c r="M2076" i="1" s="1"/>
  <c r="J2076" i="1"/>
  <c r="I2076" i="1"/>
  <c r="K2076" i="1" s="1"/>
  <c r="H2077" i="1" s="1"/>
  <c r="J2077" i="1" l="1"/>
  <c r="L2077" i="1"/>
  <c r="M2077" i="1" s="1"/>
  <c r="I2077" i="1"/>
  <c r="K2077" i="1" s="1"/>
  <c r="H2078" i="1" s="1"/>
  <c r="L2078" i="1" l="1"/>
  <c r="M2078" i="1" s="1"/>
  <c r="J2078" i="1"/>
  <c r="I2078" i="1"/>
  <c r="K2078" i="1" s="1"/>
  <c r="H2079" i="1" s="1"/>
  <c r="L2079" i="1" l="1"/>
  <c r="M2079" i="1" s="1"/>
  <c r="J2079" i="1"/>
  <c r="I2079" i="1"/>
  <c r="K2079" i="1" s="1"/>
  <c r="H2080" i="1" s="1"/>
  <c r="L2080" i="1" l="1"/>
  <c r="M2080" i="1" s="1"/>
  <c r="J2080" i="1"/>
  <c r="I2080" i="1"/>
  <c r="K2080" i="1" s="1"/>
  <c r="H2081" i="1" s="1"/>
  <c r="L2081" i="1" l="1"/>
  <c r="M2081" i="1" s="1"/>
  <c r="J2081" i="1"/>
  <c r="I2081" i="1"/>
  <c r="K2081" i="1" s="1"/>
  <c r="H2082" i="1" s="1"/>
  <c r="L2082" i="1" l="1"/>
  <c r="M2082" i="1" s="1"/>
  <c r="I2082" i="1"/>
  <c r="K2082" i="1" s="1"/>
  <c r="H2083" i="1" s="1"/>
  <c r="J2082" i="1"/>
  <c r="L2083" i="1" l="1"/>
  <c r="M2083" i="1" s="1"/>
  <c r="J2083" i="1"/>
  <c r="I2083" i="1"/>
  <c r="K2083" i="1" s="1"/>
  <c r="H2084" i="1" s="1"/>
  <c r="L2084" i="1" l="1"/>
  <c r="M2084" i="1" s="1"/>
  <c r="J2084" i="1"/>
  <c r="I2084" i="1"/>
  <c r="K2084" i="1" s="1"/>
  <c r="H2085" i="1" s="1"/>
  <c r="L2085" i="1" l="1"/>
  <c r="M2085" i="1" s="1"/>
  <c r="J2085" i="1"/>
  <c r="I2085" i="1"/>
  <c r="K2085" i="1" s="1"/>
  <c r="H2086" i="1" s="1"/>
  <c r="L2086" i="1" l="1"/>
  <c r="M2086" i="1" s="1"/>
  <c r="J2086" i="1"/>
  <c r="I2086" i="1"/>
  <c r="K2086" i="1" s="1"/>
  <c r="H2087" i="1" s="1"/>
  <c r="L2087" i="1" l="1"/>
  <c r="M2087" i="1" s="1"/>
  <c r="J2087" i="1"/>
  <c r="I2087" i="1"/>
  <c r="K2087" i="1" s="1"/>
  <c r="H2088" i="1" s="1"/>
  <c r="L2088" i="1" l="1"/>
  <c r="M2088" i="1" s="1"/>
  <c r="J2088" i="1"/>
  <c r="I2088" i="1"/>
  <c r="K2088" i="1" s="1"/>
  <c r="H2089" i="1" s="1"/>
  <c r="L2089" i="1" l="1"/>
  <c r="M2089" i="1" s="1"/>
  <c r="J2089" i="1"/>
  <c r="I2089" i="1"/>
  <c r="K2089" i="1" s="1"/>
  <c r="H2090" i="1" s="1"/>
  <c r="J2090" i="1" l="1"/>
  <c r="L2090" i="1"/>
  <c r="M2090" i="1" s="1"/>
  <c r="I2090" i="1"/>
  <c r="K2090" i="1" s="1"/>
  <c r="H2091" i="1" s="1"/>
  <c r="L2091" i="1" l="1"/>
  <c r="M2091" i="1" s="1"/>
  <c r="I2091" i="1"/>
  <c r="K2091" i="1" s="1"/>
  <c r="H2092" i="1" s="1"/>
  <c r="J2091" i="1"/>
  <c r="L2092" i="1" l="1"/>
  <c r="M2092" i="1" s="1"/>
  <c r="J2092" i="1"/>
  <c r="I2092" i="1"/>
  <c r="K2092" i="1" s="1"/>
  <c r="H2093" i="1" s="1"/>
  <c r="L2093" i="1" l="1"/>
  <c r="M2093" i="1" s="1"/>
  <c r="J2093" i="1"/>
  <c r="I2093" i="1"/>
  <c r="K2093" i="1" s="1"/>
  <c r="H2094" i="1" s="1"/>
  <c r="L2094" i="1" l="1"/>
  <c r="M2094" i="1" s="1"/>
  <c r="J2094" i="1"/>
  <c r="I2094" i="1"/>
  <c r="K2094" i="1" s="1"/>
  <c r="H2095" i="1" s="1"/>
  <c r="L2095" i="1" l="1"/>
  <c r="M2095" i="1" s="1"/>
  <c r="I2095" i="1"/>
  <c r="K2095" i="1" s="1"/>
  <c r="H2096" i="1" s="1"/>
  <c r="J2095" i="1"/>
  <c r="J2096" i="1" l="1"/>
  <c r="L2096" i="1"/>
  <c r="M2096" i="1" s="1"/>
  <c r="I2096" i="1"/>
  <c r="K2096" i="1" s="1"/>
  <c r="H2097" i="1" s="1"/>
  <c r="L2097" i="1" l="1"/>
  <c r="M2097" i="1" s="1"/>
  <c r="J2097" i="1"/>
  <c r="I2097" i="1"/>
  <c r="K2097" i="1" s="1"/>
  <c r="H2098" i="1" s="1"/>
  <c r="L2098" i="1" l="1"/>
  <c r="M2098" i="1" s="1"/>
  <c r="J2098" i="1"/>
  <c r="I2098" i="1"/>
  <c r="K2098" i="1" s="1"/>
  <c r="H2099" i="1" s="1"/>
  <c r="L2099" i="1" l="1"/>
  <c r="M2099" i="1" s="1"/>
  <c r="J2099" i="1"/>
  <c r="I2099" i="1"/>
  <c r="K2099" i="1" s="1"/>
  <c r="H2100" i="1" s="1"/>
  <c r="L2100" i="1" l="1"/>
  <c r="M2100" i="1" s="1"/>
  <c r="J2100" i="1"/>
  <c r="I2100" i="1"/>
  <c r="K2100" i="1" s="1"/>
  <c r="H2101" i="1" s="1"/>
  <c r="L2101" i="1" l="1"/>
  <c r="M2101" i="1" s="1"/>
  <c r="J2101" i="1"/>
  <c r="I2101" i="1"/>
  <c r="K2101" i="1" s="1"/>
  <c r="H2102" i="1" s="1"/>
  <c r="J2102" i="1" l="1"/>
  <c r="L2102" i="1"/>
  <c r="M2102" i="1" s="1"/>
  <c r="I2102" i="1"/>
  <c r="K2102" i="1" s="1"/>
  <c r="H2103" i="1" s="1"/>
  <c r="L2103" i="1" l="1"/>
  <c r="M2103" i="1" s="1"/>
  <c r="J2103" i="1"/>
  <c r="I2103" i="1"/>
  <c r="K2103" i="1" s="1"/>
  <c r="H2104" i="1" s="1"/>
  <c r="L2104" i="1" l="1"/>
  <c r="M2104" i="1" s="1"/>
  <c r="J2104" i="1"/>
  <c r="I2104" i="1"/>
  <c r="K2104" i="1" s="1"/>
  <c r="H2105" i="1" s="1"/>
  <c r="L2105" i="1" l="1"/>
  <c r="M2105" i="1" s="1"/>
  <c r="J2105" i="1"/>
  <c r="I2105" i="1"/>
  <c r="K2105" i="1" s="1"/>
  <c r="H2106" i="1" s="1"/>
  <c r="L2106" i="1" l="1"/>
  <c r="M2106" i="1" s="1"/>
  <c r="J2106" i="1"/>
  <c r="I2106" i="1"/>
  <c r="K2106" i="1" s="1"/>
  <c r="H2107" i="1" s="1"/>
  <c r="J2107" i="1" l="1"/>
  <c r="L2107" i="1"/>
  <c r="M2107" i="1" s="1"/>
  <c r="I2107" i="1"/>
  <c r="K2107" i="1" s="1"/>
  <c r="H2108" i="1" s="1"/>
  <c r="L2108" i="1" l="1"/>
  <c r="M2108" i="1" s="1"/>
  <c r="J2108" i="1"/>
  <c r="I2108" i="1"/>
  <c r="K2108" i="1" s="1"/>
  <c r="H2109" i="1" s="1"/>
  <c r="L2109" i="1" l="1"/>
  <c r="M2109" i="1" s="1"/>
  <c r="J2109" i="1"/>
  <c r="I2109" i="1"/>
  <c r="K2109" i="1" s="1"/>
  <c r="H2110" i="1" s="1"/>
  <c r="I2110" i="1" l="1"/>
  <c r="K2110" i="1" s="1"/>
  <c r="H2111" i="1" s="1"/>
  <c r="L2110" i="1"/>
  <c r="M2110" i="1" s="1"/>
  <c r="J2110" i="1"/>
  <c r="L2111" i="1" l="1"/>
  <c r="M2111" i="1" s="1"/>
  <c r="J2111" i="1"/>
  <c r="I2111" i="1"/>
  <c r="K2111" i="1" s="1"/>
  <c r="H2112" i="1" s="1"/>
  <c r="L2112" i="1" l="1"/>
  <c r="M2112" i="1" s="1"/>
  <c r="J2112" i="1"/>
  <c r="I2112" i="1"/>
  <c r="K2112" i="1" s="1"/>
  <c r="H2113" i="1" s="1"/>
  <c r="J2113" i="1" l="1"/>
  <c r="L2113" i="1"/>
  <c r="M2113" i="1" s="1"/>
  <c r="I2113" i="1"/>
  <c r="K2113" i="1" s="1"/>
  <c r="H2114" i="1" s="1"/>
  <c r="J2114" i="1" l="1"/>
  <c r="L2114" i="1"/>
  <c r="M2114" i="1" s="1"/>
  <c r="I2114" i="1"/>
  <c r="K2114" i="1" s="1"/>
  <c r="H2115" i="1" s="1"/>
  <c r="L2115" i="1" l="1"/>
  <c r="M2115" i="1" s="1"/>
  <c r="J2115" i="1"/>
  <c r="I2115" i="1"/>
  <c r="K2115" i="1" s="1"/>
  <c r="H2116" i="1" s="1"/>
  <c r="L2116" i="1" l="1"/>
  <c r="M2116" i="1" s="1"/>
  <c r="J2116" i="1"/>
  <c r="I2116" i="1"/>
  <c r="K2116" i="1" s="1"/>
  <c r="H2117" i="1" s="1"/>
  <c r="L2117" i="1" l="1"/>
  <c r="M2117" i="1" s="1"/>
  <c r="J2117" i="1"/>
  <c r="I2117" i="1"/>
  <c r="K2117" i="1" s="1"/>
  <c r="H2118" i="1" s="1"/>
  <c r="L2118" i="1" l="1"/>
  <c r="M2118" i="1" s="1"/>
  <c r="J2118" i="1"/>
  <c r="I2118" i="1"/>
  <c r="K2118" i="1" s="1"/>
  <c r="H2119" i="1" s="1"/>
  <c r="J2119" i="1" l="1"/>
  <c r="L2119" i="1"/>
  <c r="M2119" i="1" s="1"/>
  <c r="I2119" i="1"/>
  <c r="K2119" i="1" s="1"/>
  <c r="H2120" i="1" s="1"/>
  <c r="L2120" i="1" l="1"/>
  <c r="M2120" i="1" s="1"/>
  <c r="J2120" i="1"/>
  <c r="I2120" i="1"/>
  <c r="K2120" i="1" s="1"/>
  <c r="H2121" i="1" s="1"/>
  <c r="L2121" i="1" l="1"/>
  <c r="M2121" i="1" s="1"/>
  <c r="J2121" i="1"/>
  <c r="I2121" i="1"/>
  <c r="K2121" i="1" s="1"/>
  <c r="H2122" i="1" s="1"/>
  <c r="L2122" i="1" l="1"/>
  <c r="M2122" i="1" s="1"/>
  <c r="J2122" i="1"/>
  <c r="I2122" i="1"/>
  <c r="K2122" i="1" s="1"/>
  <c r="H2123" i="1" s="1"/>
  <c r="L2123" i="1" l="1"/>
  <c r="M2123" i="1" s="1"/>
  <c r="J2123" i="1"/>
  <c r="I2123" i="1"/>
  <c r="K2123" i="1" s="1"/>
  <c r="H2124" i="1" s="1"/>
  <c r="L2124" i="1" l="1"/>
  <c r="M2124" i="1" s="1"/>
  <c r="I2124" i="1"/>
  <c r="K2124" i="1" s="1"/>
  <c r="H2125" i="1" s="1"/>
  <c r="J2124" i="1"/>
  <c r="L2125" i="1" l="1"/>
  <c r="M2125" i="1" s="1"/>
  <c r="J2125" i="1"/>
  <c r="I2125" i="1"/>
  <c r="K2125" i="1" s="1"/>
  <c r="H2126" i="1" s="1"/>
  <c r="L2126" i="1" l="1"/>
  <c r="M2126" i="1" s="1"/>
  <c r="J2126" i="1"/>
  <c r="I2126" i="1"/>
  <c r="K2126" i="1" s="1"/>
  <c r="H2127" i="1" s="1"/>
  <c r="L2127" i="1" l="1"/>
  <c r="M2127" i="1" s="1"/>
  <c r="J2127" i="1"/>
  <c r="I2127" i="1"/>
  <c r="K2127" i="1" s="1"/>
  <c r="H2128" i="1" s="1"/>
  <c r="L2128" i="1" l="1"/>
  <c r="M2128" i="1" s="1"/>
  <c r="J2128" i="1"/>
  <c r="I2128" i="1"/>
  <c r="K2128" i="1" s="1"/>
  <c r="H2129" i="1" s="1"/>
  <c r="L2129" i="1" l="1"/>
  <c r="M2129" i="1" s="1"/>
  <c r="J2129" i="1"/>
  <c r="I2129" i="1"/>
  <c r="K2129" i="1" s="1"/>
  <c r="H2130" i="1" s="1"/>
  <c r="L2130" i="1" l="1"/>
  <c r="M2130" i="1" s="1"/>
  <c r="J2130" i="1"/>
  <c r="I2130" i="1"/>
  <c r="K2130" i="1" s="1"/>
  <c r="H2131" i="1" s="1"/>
  <c r="I2131" i="1" l="1"/>
  <c r="K2131" i="1" s="1"/>
  <c r="H2132" i="1" s="1"/>
  <c r="L2131" i="1"/>
  <c r="M2131" i="1" s="1"/>
  <c r="J2131" i="1"/>
  <c r="L2132" i="1" l="1"/>
  <c r="M2132" i="1" s="1"/>
  <c r="J2132" i="1"/>
  <c r="I2132" i="1"/>
  <c r="K2132" i="1" s="1"/>
  <c r="H2133" i="1" s="1"/>
  <c r="L2133" i="1" l="1"/>
  <c r="M2133" i="1" s="1"/>
  <c r="I2133" i="1"/>
  <c r="K2133" i="1" s="1"/>
  <c r="H2134" i="1" s="1"/>
  <c r="J2133" i="1"/>
  <c r="L2134" i="1" l="1"/>
  <c r="M2134" i="1" s="1"/>
  <c r="J2134" i="1"/>
  <c r="I2134" i="1"/>
  <c r="K2134" i="1" s="1"/>
  <c r="H2135" i="1" s="1"/>
  <c r="L2135" i="1" l="1"/>
  <c r="M2135" i="1" s="1"/>
  <c r="J2135" i="1"/>
  <c r="I2135" i="1"/>
  <c r="K2135" i="1" s="1"/>
  <c r="H2136" i="1" s="1"/>
  <c r="L2136" i="1" l="1"/>
  <c r="M2136" i="1" s="1"/>
  <c r="I2136" i="1"/>
  <c r="K2136" i="1" s="1"/>
  <c r="H2137" i="1" s="1"/>
  <c r="J2136" i="1"/>
  <c r="J2137" i="1" l="1"/>
  <c r="L2137" i="1"/>
  <c r="M2137" i="1" s="1"/>
  <c r="I2137" i="1"/>
  <c r="K2137" i="1" s="1"/>
  <c r="H2138" i="1" s="1"/>
  <c r="L2138" i="1" l="1"/>
  <c r="M2138" i="1" s="1"/>
  <c r="J2138" i="1"/>
  <c r="I2138" i="1"/>
  <c r="K2138" i="1" s="1"/>
  <c r="H2139" i="1" s="1"/>
  <c r="L2139" i="1" l="1"/>
  <c r="M2139" i="1" s="1"/>
  <c r="J2139" i="1"/>
  <c r="I2139" i="1"/>
  <c r="K2139" i="1" s="1"/>
  <c r="H2140" i="1" s="1"/>
  <c r="L2140" i="1" l="1"/>
  <c r="M2140" i="1" s="1"/>
  <c r="J2140" i="1"/>
  <c r="I2140" i="1"/>
  <c r="K2140" i="1" s="1"/>
  <c r="H2141" i="1" s="1"/>
  <c r="L2141" i="1" l="1"/>
  <c r="M2141" i="1" s="1"/>
  <c r="I2141" i="1"/>
  <c r="K2141" i="1" s="1"/>
  <c r="H2142" i="1" s="1"/>
  <c r="J2141" i="1"/>
  <c r="L2142" i="1" l="1"/>
  <c r="M2142" i="1" s="1"/>
  <c r="J2142" i="1"/>
  <c r="I2142" i="1"/>
  <c r="K2142" i="1" s="1"/>
  <c r="H2143" i="1" s="1"/>
  <c r="J2143" i="1" l="1"/>
  <c r="L2143" i="1"/>
  <c r="M2143" i="1" s="1"/>
  <c r="I2143" i="1"/>
  <c r="K2143" i="1" s="1"/>
  <c r="H2144" i="1" s="1"/>
  <c r="L2144" i="1" l="1"/>
  <c r="M2144" i="1" s="1"/>
  <c r="J2144" i="1"/>
  <c r="I2144" i="1"/>
  <c r="K2144" i="1" s="1"/>
  <c r="H2145" i="1" s="1"/>
  <c r="L2145" i="1" l="1"/>
  <c r="M2145" i="1" s="1"/>
  <c r="J2145" i="1"/>
  <c r="I2145" i="1"/>
  <c r="K2145" i="1" s="1"/>
  <c r="H2146" i="1" s="1"/>
  <c r="L2146" i="1" l="1"/>
  <c r="M2146" i="1" s="1"/>
  <c r="I2146" i="1"/>
  <c r="K2146" i="1" s="1"/>
  <c r="H2147" i="1" s="1"/>
  <c r="J2146" i="1"/>
  <c r="L2147" i="1" l="1"/>
  <c r="M2147" i="1" s="1"/>
  <c r="J2147" i="1"/>
  <c r="I2147" i="1"/>
  <c r="K2147" i="1" s="1"/>
  <c r="H2148" i="1" s="1"/>
  <c r="L2148" i="1" l="1"/>
  <c r="M2148" i="1" s="1"/>
  <c r="J2148" i="1"/>
  <c r="I2148" i="1"/>
  <c r="K2148" i="1" s="1"/>
  <c r="H2149" i="1" s="1"/>
  <c r="J2149" i="1" l="1"/>
  <c r="L2149" i="1"/>
  <c r="M2149" i="1" s="1"/>
  <c r="I2149" i="1"/>
  <c r="K2149" i="1" s="1"/>
  <c r="H2150" i="1" s="1"/>
  <c r="L2150" i="1" l="1"/>
  <c r="M2150" i="1" s="1"/>
  <c r="J2150" i="1"/>
  <c r="I2150" i="1"/>
  <c r="K2150" i="1" s="1"/>
  <c r="H2151" i="1" s="1"/>
  <c r="L2151" i="1" l="1"/>
  <c r="M2151" i="1" s="1"/>
  <c r="J2151" i="1"/>
  <c r="I2151" i="1"/>
  <c r="K2151" i="1" s="1"/>
  <c r="H2152" i="1" s="1"/>
  <c r="L2152" i="1" l="1"/>
  <c r="M2152" i="1" s="1"/>
  <c r="J2152" i="1"/>
  <c r="I2152" i="1"/>
  <c r="K2152" i="1" s="1"/>
  <c r="H2153" i="1" s="1"/>
  <c r="L2153" i="1" l="1"/>
  <c r="M2153" i="1" s="1"/>
  <c r="J2153" i="1"/>
  <c r="I2153" i="1"/>
  <c r="K2153" i="1" s="1"/>
  <c r="H2154" i="1" s="1"/>
  <c r="L2154" i="1" l="1"/>
  <c r="M2154" i="1" s="1"/>
  <c r="I2154" i="1"/>
  <c r="K2154" i="1" s="1"/>
  <c r="H2155" i="1" s="1"/>
  <c r="J2154" i="1"/>
  <c r="J2155" i="1" l="1"/>
  <c r="L2155" i="1"/>
  <c r="M2155" i="1" s="1"/>
  <c r="I2155" i="1"/>
  <c r="K2155" i="1" s="1"/>
  <c r="H2156" i="1" s="1"/>
  <c r="L2156" i="1" l="1"/>
  <c r="M2156" i="1" s="1"/>
  <c r="J2156" i="1"/>
  <c r="I2156" i="1"/>
  <c r="K2156" i="1" s="1"/>
  <c r="H2157" i="1" s="1"/>
  <c r="L2157" i="1" l="1"/>
  <c r="M2157" i="1" s="1"/>
  <c r="J2157" i="1"/>
  <c r="I2157" i="1"/>
  <c r="K2157" i="1" s="1"/>
  <c r="H2158" i="1" s="1"/>
  <c r="L2158" i="1" l="1"/>
  <c r="M2158" i="1" s="1"/>
  <c r="J2158" i="1"/>
  <c r="I2158" i="1"/>
  <c r="K2158" i="1" s="1"/>
  <c r="H2159" i="1" s="1"/>
  <c r="L2159" i="1" l="1"/>
  <c r="M2159" i="1" s="1"/>
  <c r="J2159" i="1"/>
  <c r="I2159" i="1"/>
  <c r="K2159" i="1" s="1"/>
  <c r="H2160" i="1" s="1"/>
  <c r="L2160" i="1" l="1"/>
  <c r="M2160" i="1" s="1"/>
  <c r="J2160" i="1"/>
  <c r="I2160" i="1"/>
  <c r="K2160" i="1" s="1"/>
  <c r="H2161" i="1" s="1"/>
  <c r="J2161" i="1" l="1"/>
  <c r="L2161" i="1"/>
  <c r="M2161" i="1" s="1"/>
  <c r="I2161" i="1"/>
  <c r="K2161" i="1" s="1"/>
  <c r="H2162" i="1" s="1"/>
  <c r="J2162" i="1" l="1"/>
  <c r="L2162" i="1"/>
  <c r="M2162" i="1" s="1"/>
  <c r="I2162" i="1"/>
  <c r="K2162" i="1" s="1"/>
  <c r="H2163" i="1" s="1"/>
  <c r="L2163" i="1" l="1"/>
  <c r="M2163" i="1" s="1"/>
  <c r="J2163" i="1"/>
  <c r="I2163" i="1"/>
  <c r="K2163" i="1" s="1"/>
  <c r="H2164" i="1" s="1"/>
  <c r="L2164" i="1" l="1"/>
  <c r="M2164" i="1" s="1"/>
  <c r="J2164" i="1"/>
  <c r="I2164" i="1"/>
  <c r="K2164" i="1" s="1"/>
  <c r="H2165" i="1" s="1"/>
  <c r="L2165" i="1" l="1"/>
  <c r="M2165" i="1" s="1"/>
  <c r="J2165" i="1"/>
  <c r="I2165" i="1"/>
  <c r="K2165" i="1" s="1"/>
  <c r="H2166" i="1" s="1"/>
  <c r="L2166" i="1" l="1"/>
  <c r="M2166" i="1" s="1"/>
  <c r="J2166" i="1"/>
  <c r="I2166" i="1"/>
  <c r="K2166" i="1" s="1"/>
  <c r="H2167" i="1" s="1"/>
  <c r="L2167" i="1" l="1"/>
  <c r="M2167" i="1" s="1"/>
  <c r="J2167" i="1"/>
  <c r="I2167" i="1"/>
  <c r="K2167" i="1" s="1"/>
  <c r="H2168" i="1" s="1"/>
  <c r="J2168" i="1" l="1"/>
  <c r="L2168" i="1"/>
  <c r="M2168" i="1" s="1"/>
  <c r="I2168" i="1"/>
  <c r="K2168" i="1" s="1"/>
  <c r="H2169" i="1" s="1"/>
  <c r="L2169" i="1" l="1"/>
  <c r="M2169" i="1" s="1"/>
  <c r="J2169" i="1"/>
  <c r="I2169" i="1"/>
  <c r="K2169" i="1" s="1"/>
  <c r="H2170" i="1" s="1"/>
  <c r="L2170" i="1" l="1"/>
  <c r="M2170" i="1" s="1"/>
  <c r="J2170" i="1"/>
  <c r="I2170" i="1"/>
  <c r="K2170" i="1" s="1"/>
  <c r="H2171" i="1" s="1"/>
  <c r="L2171" i="1" l="1"/>
  <c r="M2171" i="1" s="1"/>
  <c r="J2171" i="1"/>
  <c r="I2171" i="1"/>
  <c r="K2171" i="1" s="1"/>
  <c r="H2172" i="1" s="1"/>
  <c r="L2172" i="1" l="1"/>
  <c r="M2172" i="1" s="1"/>
  <c r="J2172" i="1"/>
  <c r="I2172" i="1"/>
  <c r="K2172" i="1" s="1"/>
  <c r="H2173" i="1" s="1"/>
  <c r="J2173" i="1" l="1"/>
  <c r="L2173" i="1"/>
  <c r="M2173" i="1" s="1"/>
  <c r="I2173" i="1"/>
  <c r="K2173" i="1" s="1"/>
  <c r="H2174" i="1" s="1"/>
  <c r="L2174" i="1" l="1"/>
  <c r="M2174" i="1" s="1"/>
  <c r="J2174" i="1"/>
  <c r="I2174" i="1"/>
  <c r="K2174" i="1" s="1"/>
  <c r="H2175" i="1" s="1"/>
  <c r="L2175" i="1" l="1"/>
  <c r="M2175" i="1" s="1"/>
  <c r="J2175" i="1"/>
  <c r="I2175" i="1"/>
  <c r="K2175" i="1" s="1"/>
  <c r="H2176" i="1" s="1"/>
  <c r="L2176" i="1" l="1"/>
  <c r="M2176" i="1" s="1"/>
  <c r="J2176" i="1"/>
  <c r="I2176" i="1"/>
  <c r="K2176" i="1" s="1"/>
  <c r="H2177" i="1" s="1"/>
  <c r="L2177" i="1" l="1"/>
  <c r="M2177" i="1" s="1"/>
  <c r="J2177" i="1"/>
  <c r="I2177" i="1"/>
  <c r="K2177" i="1" s="1"/>
  <c r="H2178" i="1" s="1"/>
  <c r="L2178" i="1" l="1"/>
  <c r="M2178" i="1" s="1"/>
  <c r="J2178" i="1"/>
  <c r="I2178" i="1"/>
  <c r="K2178" i="1" s="1"/>
  <c r="H2179" i="1" s="1"/>
  <c r="J2179" i="1" l="1"/>
  <c r="L2179" i="1"/>
  <c r="M2179" i="1" s="1"/>
  <c r="I2179" i="1"/>
  <c r="K2179" i="1" s="1"/>
  <c r="H2180" i="1" s="1"/>
  <c r="L2180" i="1" l="1"/>
  <c r="M2180" i="1" s="1"/>
  <c r="I2180" i="1"/>
  <c r="K2180" i="1" s="1"/>
  <c r="H2181" i="1" s="1"/>
  <c r="J2180" i="1"/>
  <c r="L2181" i="1" l="1"/>
  <c r="M2181" i="1" s="1"/>
  <c r="J2181" i="1"/>
  <c r="I2181" i="1"/>
  <c r="K2181" i="1" s="1"/>
  <c r="H2182" i="1" s="1"/>
  <c r="L2182" i="1" l="1"/>
  <c r="M2182" i="1" s="1"/>
  <c r="I2182" i="1"/>
  <c r="K2182" i="1" s="1"/>
  <c r="H2183" i="1" s="1"/>
  <c r="J2182" i="1"/>
  <c r="L2183" i="1" l="1"/>
  <c r="M2183" i="1" s="1"/>
  <c r="J2183" i="1"/>
  <c r="I2183" i="1"/>
  <c r="K2183" i="1" s="1"/>
  <c r="H2184" i="1" s="1"/>
  <c r="L2184" i="1" l="1"/>
  <c r="M2184" i="1" s="1"/>
  <c r="J2184" i="1"/>
  <c r="I2184" i="1"/>
  <c r="K2184" i="1" s="1"/>
  <c r="H2185" i="1" s="1"/>
  <c r="L2185" i="1" l="1"/>
  <c r="M2185" i="1" s="1"/>
  <c r="J2185" i="1"/>
  <c r="I2185" i="1"/>
  <c r="K2185" i="1" s="1"/>
  <c r="H2186" i="1" s="1"/>
  <c r="J2186" i="1" l="1"/>
  <c r="I2186" i="1"/>
  <c r="K2186" i="1" s="1"/>
  <c r="H2187" i="1" s="1"/>
  <c r="L2186" i="1"/>
  <c r="M2186" i="1" s="1"/>
  <c r="L2187" i="1" l="1"/>
  <c r="M2187" i="1" s="1"/>
  <c r="I2187" i="1"/>
  <c r="K2187" i="1" s="1"/>
  <c r="H2188" i="1" s="1"/>
  <c r="J2187" i="1"/>
  <c r="L2188" i="1" l="1"/>
  <c r="M2188" i="1" s="1"/>
  <c r="J2188" i="1"/>
  <c r="I2188" i="1"/>
  <c r="K2188" i="1" s="1"/>
  <c r="H2189" i="1" s="1"/>
  <c r="L2189" i="1" l="1"/>
  <c r="M2189" i="1" s="1"/>
  <c r="J2189" i="1"/>
  <c r="I2189" i="1"/>
  <c r="K2189" i="1" s="1"/>
  <c r="H2190" i="1" s="1"/>
  <c r="L2190" i="1" l="1"/>
  <c r="M2190" i="1" s="1"/>
  <c r="J2190" i="1"/>
  <c r="I2190" i="1"/>
  <c r="K2190" i="1" s="1"/>
  <c r="H2191" i="1" s="1"/>
  <c r="L2191" i="1" l="1"/>
  <c r="M2191" i="1" s="1"/>
  <c r="J2191" i="1"/>
  <c r="I2191" i="1"/>
  <c r="K2191" i="1" s="1"/>
  <c r="H2192" i="1" s="1"/>
  <c r="L2192" i="1" l="1"/>
  <c r="M2192" i="1" s="1"/>
  <c r="J2192" i="1"/>
  <c r="I2192" i="1"/>
  <c r="K2192" i="1" s="1"/>
  <c r="H2193" i="1" s="1"/>
  <c r="L2193" i="1" l="1"/>
  <c r="M2193" i="1" s="1"/>
  <c r="J2193" i="1"/>
  <c r="I2193" i="1"/>
  <c r="K2193" i="1" s="1"/>
  <c r="H2194" i="1" s="1"/>
  <c r="L2194" i="1" l="1"/>
  <c r="M2194" i="1" s="1"/>
  <c r="I2194" i="1"/>
  <c r="K2194" i="1" s="1"/>
  <c r="H2195" i="1" s="1"/>
  <c r="J2194" i="1"/>
  <c r="L2195" i="1" l="1"/>
  <c r="M2195" i="1" s="1"/>
  <c r="J2195" i="1"/>
  <c r="I2195" i="1"/>
  <c r="K2195" i="1" s="1"/>
  <c r="H2196" i="1" s="1"/>
  <c r="L2196" i="1" l="1"/>
  <c r="M2196" i="1" s="1"/>
  <c r="J2196" i="1"/>
  <c r="I2196" i="1"/>
  <c r="K2196" i="1" s="1"/>
  <c r="H2197" i="1" s="1"/>
  <c r="L2197" i="1" l="1"/>
  <c r="M2197" i="1" s="1"/>
  <c r="J2197" i="1"/>
  <c r="I2197" i="1"/>
  <c r="K2197" i="1" s="1"/>
  <c r="H2198" i="1" s="1"/>
  <c r="J2198" i="1" l="1"/>
  <c r="L2198" i="1"/>
  <c r="M2198" i="1" s="1"/>
  <c r="I2198" i="1"/>
  <c r="K2198" i="1" s="1"/>
  <c r="H2199" i="1" s="1"/>
  <c r="L2199" i="1" l="1"/>
  <c r="M2199" i="1" s="1"/>
  <c r="J2199" i="1"/>
  <c r="I2199" i="1"/>
  <c r="K2199" i="1" s="1"/>
  <c r="H2200" i="1" s="1"/>
  <c r="L2200" i="1" l="1"/>
  <c r="M2200" i="1" s="1"/>
  <c r="J2200" i="1"/>
  <c r="I2200" i="1"/>
  <c r="K2200" i="1" s="1"/>
  <c r="H2201" i="1" s="1"/>
  <c r="L2201" i="1" l="1"/>
  <c r="M2201" i="1" s="1"/>
  <c r="J2201" i="1"/>
  <c r="I2201" i="1"/>
  <c r="K2201" i="1" s="1"/>
  <c r="H2202" i="1" s="1"/>
  <c r="J2202" i="1" l="1"/>
  <c r="I2202" i="1"/>
  <c r="K2202" i="1" s="1"/>
  <c r="H2203" i="1" s="1"/>
  <c r="L2202" i="1"/>
  <c r="M2202" i="1" s="1"/>
  <c r="L2203" i="1" l="1"/>
  <c r="M2203" i="1" s="1"/>
  <c r="I2203" i="1"/>
  <c r="K2203" i="1" s="1"/>
  <c r="H2204" i="1" s="1"/>
  <c r="J2203" i="1"/>
  <c r="J2204" i="1" l="1"/>
  <c r="L2204" i="1"/>
  <c r="M2204" i="1" s="1"/>
  <c r="I2204" i="1"/>
  <c r="K2204" i="1" s="1"/>
  <c r="H2205" i="1" s="1"/>
  <c r="L2205" i="1" l="1"/>
  <c r="M2205" i="1" s="1"/>
  <c r="I2205" i="1"/>
  <c r="K2205" i="1" s="1"/>
  <c r="H2206" i="1" s="1"/>
  <c r="J2205" i="1"/>
  <c r="L2206" i="1" l="1"/>
  <c r="M2206" i="1" s="1"/>
  <c r="J2206" i="1"/>
  <c r="I2206" i="1"/>
  <c r="K2206" i="1" s="1"/>
  <c r="H2207" i="1" s="1"/>
  <c r="L2207" i="1" l="1"/>
  <c r="M2207" i="1" s="1"/>
  <c r="J2207" i="1"/>
  <c r="I2207" i="1"/>
  <c r="K2207" i="1" s="1"/>
  <c r="H2208" i="1" s="1"/>
  <c r="L2208" i="1" l="1"/>
  <c r="M2208" i="1" s="1"/>
  <c r="J2208" i="1"/>
  <c r="I2208" i="1"/>
  <c r="K2208" i="1" s="1"/>
  <c r="H2209" i="1" s="1"/>
  <c r="J2209" i="1" l="1"/>
  <c r="I2209" i="1"/>
  <c r="K2209" i="1" s="1"/>
  <c r="H2210" i="1" s="1"/>
  <c r="L2209" i="1"/>
  <c r="M2209" i="1" s="1"/>
  <c r="J2210" i="1" l="1"/>
  <c r="L2210" i="1"/>
  <c r="M2210" i="1" s="1"/>
  <c r="I2210" i="1"/>
  <c r="K2210" i="1" s="1"/>
  <c r="H2211" i="1" s="1"/>
  <c r="L2211" i="1" l="1"/>
  <c r="M2211" i="1" s="1"/>
  <c r="I2211" i="1"/>
  <c r="K2211" i="1" s="1"/>
  <c r="H2212" i="1" s="1"/>
  <c r="J2211" i="1"/>
  <c r="L2212" i="1" l="1"/>
  <c r="M2212" i="1" s="1"/>
  <c r="J2212" i="1"/>
  <c r="I2212" i="1"/>
  <c r="K2212" i="1" s="1"/>
  <c r="H2213" i="1" s="1"/>
  <c r="L2213" i="1" l="1"/>
  <c r="M2213" i="1" s="1"/>
  <c r="J2213" i="1"/>
  <c r="I2213" i="1"/>
  <c r="K2213" i="1" s="1"/>
  <c r="H2214" i="1" s="1"/>
  <c r="L2214" i="1" l="1"/>
  <c r="M2214" i="1" s="1"/>
  <c r="J2214" i="1"/>
  <c r="I2214" i="1"/>
  <c r="K2214" i="1" s="1"/>
  <c r="H2215" i="1" s="1"/>
  <c r="L2215" i="1" l="1"/>
  <c r="M2215" i="1" s="1"/>
  <c r="J2215" i="1"/>
  <c r="I2215" i="1"/>
  <c r="K2215" i="1" s="1"/>
  <c r="H2216" i="1" s="1"/>
  <c r="L2216" i="1" l="1"/>
  <c r="M2216" i="1" s="1"/>
  <c r="I2216" i="1"/>
  <c r="K2216" i="1" s="1"/>
  <c r="H2217" i="1" s="1"/>
  <c r="J2216" i="1"/>
  <c r="L2217" i="1" l="1"/>
  <c r="M2217" i="1" s="1"/>
  <c r="J2217" i="1"/>
  <c r="I2217" i="1"/>
  <c r="K2217" i="1" s="1"/>
  <c r="H2218" i="1" s="1"/>
  <c r="L2218" i="1" l="1"/>
  <c r="M2218" i="1" s="1"/>
  <c r="J2218" i="1"/>
  <c r="I2218" i="1"/>
  <c r="K2218" i="1" s="1"/>
  <c r="H2219" i="1" s="1"/>
  <c r="L2219" i="1" l="1"/>
  <c r="M2219" i="1" s="1"/>
  <c r="I2219" i="1"/>
  <c r="K2219" i="1" s="1"/>
  <c r="H2220" i="1" s="1"/>
  <c r="J2219" i="1"/>
  <c r="L2220" i="1" l="1"/>
  <c r="M2220" i="1" s="1"/>
  <c r="J2220" i="1"/>
  <c r="I2220" i="1"/>
  <c r="K2220" i="1" s="1"/>
  <c r="H2221" i="1" s="1"/>
  <c r="L2221" i="1" l="1"/>
  <c r="M2221" i="1" s="1"/>
  <c r="J2221" i="1"/>
  <c r="I2221" i="1"/>
  <c r="K2221" i="1" s="1"/>
  <c r="H2222" i="1" s="1"/>
  <c r="J2222" i="1" l="1"/>
  <c r="I2222" i="1"/>
  <c r="K2222" i="1" s="1"/>
  <c r="H2223" i="1" s="1"/>
  <c r="L2222" i="1"/>
  <c r="M2222" i="1" s="1"/>
  <c r="L2223" i="1" l="1"/>
  <c r="M2223" i="1" s="1"/>
  <c r="J2223" i="1"/>
  <c r="I2223" i="1"/>
  <c r="K2223" i="1" s="1"/>
  <c r="H2224" i="1" s="1"/>
  <c r="L2224" i="1" l="1"/>
  <c r="M2224" i="1" s="1"/>
  <c r="J2224" i="1"/>
  <c r="I2224" i="1"/>
  <c r="K2224" i="1" s="1"/>
  <c r="H2225" i="1" s="1"/>
  <c r="L2225" i="1" l="1"/>
  <c r="M2225" i="1" s="1"/>
  <c r="J2225" i="1"/>
  <c r="I2225" i="1"/>
  <c r="K2225" i="1" s="1"/>
  <c r="H2226" i="1" s="1"/>
  <c r="L2226" i="1" l="1"/>
  <c r="M2226" i="1" s="1"/>
  <c r="J2226" i="1"/>
  <c r="I2226" i="1"/>
  <c r="K2226" i="1" s="1"/>
  <c r="H2227" i="1" s="1"/>
  <c r="L2227" i="1" l="1"/>
  <c r="M2227" i="1" s="1"/>
  <c r="J2227" i="1"/>
  <c r="I2227" i="1"/>
  <c r="K2227" i="1" s="1"/>
  <c r="H2228" i="1" s="1"/>
  <c r="L2228" i="1" l="1"/>
  <c r="M2228" i="1" s="1"/>
  <c r="I2228" i="1"/>
  <c r="K2228" i="1" s="1"/>
  <c r="H2229" i="1" s="1"/>
  <c r="J2228" i="1"/>
  <c r="L2229" i="1" l="1"/>
  <c r="M2229" i="1" s="1"/>
  <c r="I2229" i="1"/>
  <c r="K2229" i="1" s="1"/>
  <c r="H2230" i="1" s="1"/>
  <c r="J2229" i="1"/>
  <c r="L2230" i="1" l="1"/>
  <c r="M2230" i="1" s="1"/>
  <c r="J2230" i="1"/>
  <c r="I2230" i="1"/>
  <c r="K2230" i="1" s="1"/>
  <c r="H2231" i="1" s="1"/>
  <c r="L2231" i="1" l="1"/>
  <c r="M2231" i="1" s="1"/>
  <c r="J2231" i="1"/>
  <c r="I2231" i="1"/>
  <c r="K2231" i="1" s="1"/>
  <c r="H2232" i="1" s="1"/>
  <c r="L2232" i="1" l="1"/>
  <c r="M2232" i="1" s="1"/>
  <c r="J2232" i="1"/>
  <c r="I2232" i="1"/>
  <c r="K2232" i="1" s="1"/>
  <c r="H2233" i="1" s="1"/>
  <c r="L2233" i="1" l="1"/>
  <c r="M2233" i="1" s="1"/>
  <c r="I2233" i="1"/>
  <c r="K2233" i="1" s="1"/>
  <c r="H2234" i="1" s="1"/>
  <c r="J2233" i="1"/>
  <c r="L2234" i="1" l="1"/>
  <c r="M2234" i="1" s="1"/>
  <c r="J2234" i="1"/>
  <c r="I2234" i="1"/>
  <c r="K2234" i="1" s="1"/>
  <c r="H2235" i="1" s="1"/>
  <c r="L2235" i="1" l="1"/>
  <c r="M2235" i="1" s="1"/>
  <c r="J2235" i="1"/>
  <c r="I2235" i="1"/>
  <c r="K2235" i="1" s="1"/>
  <c r="H2236" i="1" s="1"/>
  <c r="J2236" i="1" l="1"/>
  <c r="L2236" i="1"/>
  <c r="M2236" i="1" s="1"/>
  <c r="I2236" i="1"/>
  <c r="K2236" i="1" s="1"/>
  <c r="H2237" i="1" s="1"/>
  <c r="L2237" i="1" l="1"/>
  <c r="M2237" i="1" s="1"/>
  <c r="J2237" i="1"/>
  <c r="I2237" i="1"/>
  <c r="K2237" i="1" s="1"/>
  <c r="H2238" i="1" s="1"/>
  <c r="L2238" i="1" l="1"/>
  <c r="M2238" i="1" s="1"/>
  <c r="J2238" i="1"/>
  <c r="I2238" i="1"/>
  <c r="K2238" i="1" s="1"/>
  <c r="H2239" i="1" s="1"/>
  <c r="L2239" i="1" l="1"/>
  <c r="M2239" i="1" s="1"/>
  <c r="J2239" i="1"/>
  <c r="I2239" i="1"/>
  <c r="K2239" i="1" s="1"/>
  <c r="H2240" i="1" s="1"/>
  <c r="L2240" i="1" l="1"/>
  <c r="M2240" i="1" s="1"/>
  <c r="J2240" i="1"/>
  <c r="I2240" i="1"/>
  <c r="K2240" i="1" s="1"/>
  <c r="H2241" i="1" s="1"/>
  <c r="L2241" i="1" l="1"/>
  <c r="M2241" i="1" s="1"/>
  <c r="J2241" i="1"/>
  <c r="I2241" i="1"/>
  <c r="K2241" i="1" s="1"/>
  <c r="H2242" i="1" s="1"/>
  <c r="L2242" i="1" l="1"/>
  <c r="M2242" i="1" s="1"/>
  <c r="J2242" i="1"/>
  <c r="I2242" i="1"/>
  <c r="K2242" i="1" s="1"/>
  <c r="H2243" i="1" s="1"/>
  <c r="L2243" i="1" l="1"/>
  <c r="M2243" i="1" s="1"/>
  <c r="J2243" i="1"/>
  <c r="I2243" i="1"/>
  <c r="K2243" i="1" s="1"/>
  <c r="H2244" i="1" s="1"/>
  <c r="L2244" i="1" l="1"/>
  <c r="M2244" i="1" s="1"/>
  <c r="J2244" i="1"/>
  <c r="I2244" i="1"/>
  <c r="K2244" i="1" s="1"/>
  <c r="H2245" i="1" s="1"/>
  <c r="J2245" i="1" l="1"/>
  <c r="I2245" i="1"/>
  <c r="K2245" i="1" s="1"/>
  <c r="H2246" i="1" s="1"/>
  <c r="L2245" i="1"/>
  <c r="M2245" i="1" s="1"/>
  <c r="L2246" i="1" l="1"/>
  <c r="M2246" i="1" s="1"/>
  <c r="I2246" i="1"/>
  <c r="K2246" i="1" s="1"/>
  <c r="H2247" i="1" s="1"/>
  <c r="J2246" i="1"/>
  <c r="L2247" i="1" l="1"/>
  <c r="M2247" i="1" s="1"/>
  <c r="J2247" i="1"/>
  <c r="I2247" i="1"/>
  <c r="K2247" i="1" s="1"/>
  <c r="H2248" i="1" s="1"/>
  <c r="L2248" i="1" l="1"/>
  <c r="M2248" i="1" s="1"/>
  <c r="I2248" i="1"/>
  <c r="K2248" i="1" s="1"/>
  <c r="H2249" i="1" s="1"/>
  <c r="J2248" i="1"/>
  <c r="L2249" i="1" l="1"/>
  <c r="M2249" i="1" s="1"/>
  <c r="J2249" i="1"/>
  <c r="I2249" i="1"/>
  <c r="K2249" i="1" s="1"/>
  <c r="H2250" i="1" s="1"/>
  <c r="L2250" i="1" l="1"/>
  <c r="M2250" i="1" s="1"/>
  <c r="J2250" i="1"/>
  <c r="I2250" i="1"/>
  <c r="K2250" i="1" s="1"/>
  <c r="H2251" i="1" s="1"/>
  <c r="L2251" i="1" l="1"/>
  <c r="M2251" i="1" s="1"/>
  <c r="J2251" i="1"/>
  <c r="I2251" i="1"/>
  <c r="K2251" i="1" s="1"/>
  <c r="H2252" i="1" s="1"/>
  <c r="L2252" i="1" l="1"/>
  <c r="M2252" i="1" s="1"/>
  <c r="J2252" i="1"/>
  <c r="I2252" i="1"/>
  <c r="K2252" i="1" s="1"/>
  <c r="H2253" i="1" s="1"/>
  <c r="L2253" i="1" l="1"/>
  <c r="M2253" i="1" s="1"/>
  <c r="J2253" i="1"/>
  <c r="I2253" i="1"/>
  <c r="K2253" i="1" s="1"/>
  <c r="H2254" i="1" s="1"/>
  <c r="L2254" i="1" l="1"/>
  <c r="M2254" i="1" s="1"/>
  <c r="I2254" i="1"/>
  <c r="K2254" i="1" s="1"/>
  <c r="H2255" i="1" s="1"/>
  <c r="J2254" i="1"/>
  <c r="L2255" i="1" l="1"/>
  <c r="M2255" i="1" s="1"/>
  <c r="J2255" i="1"/>
  <c r="I2255" i="1"/>
  <c r="K2255" i="1" s="1"/>
  <c r="H2256" i="1" s="1"/>
  <c r="L2256" i="1" l="1"/>
  <c r="M2256" i="1" s="1"/>
  <c r="J2256" i="1"/>
  <c r="I2256" i="1"/>
  <c r="K2256" i="1" s="1"/>
  <c r="H2257" i="1" s="1"/>
  <c r="L2257" i="1" l="1"/>
  <c r="M2257" i="1" s="1"/>
  <c r="J2257" i="1"/>
  <c r="I2257" i="1"/>
  <c r="K2257" i="1" s="1"/>
  <c r="H2258" i="1" s="1"/>
  <c r="J2258" i="1" l="1"/>
  <c r="I2258" i="1"/>
  <c r="K2258" i="1" s="1"/>
  <c r="H2259" i="1" s="1"/>
  <c r="L2258" i="1"/>
  <c r="M2258" i="1" s="1"/>
  <c r="L2259" i="1" l="1"/>
  <c r="M2259" i="1" s="1"/>
  <c r="J2259" i="1"/>
  <c r="I2259" i="1"/>
  <c r="K2259" i="1" s="1"/>
  <c r="H2260" i="1" s="1"/>
  <c r="L2260" i="1" l="1"/>
  <c r="M2260" i="1" s="1"/>
  <c r="J2260" i="1"/>
  <c r="I2260" i="1"/>
  <c r="K2260" i="1" s="1"/>
  <c r="H2261" i="1" s="1"/>
  <c r="L2261" i="1" l="1"/>
  <c r="M2261" i="1" s="1"/>
  <c r="J2261" i="1"/>
  <c r="I2261" i="1"/>
  <c r="K2261" i="1" s="1"/>
  <c r="H2262" i="1" s="1"/>
  <c r="L2262" i="1" l="1"/>
  <c r="M2262" i="1" s="1"/>
  <c r="J2262" i="1"/>
  <c r="I2262" i="1"/>
  <c r="K2262" i="1" s="1"/>
  <c r="H2263" i="1" s="1"/>
  <c r="L2263" i="1" l="1"/>
  <c r="M2263" i="1" s="1"/>
  <c r="J2263" i="1"/>
  <c r="I2263" i="1"/>
  <c r="K2263" i="1" s="1"/>
  <c r="H2264" i="1" s="1"/>
  <c r="L2264" i="1" l="1"/>
  <c r="M2264" i="1" s="1"/>
  <c r="J2264" i="1"/>
  <c r="I2264" i="1"/>
  <c r="K2264" i="1" s="1"/>
  <c r="H2265" i="1" s="1"/>
  <c r="L2265" i="1" l="1"/>
  <c r="M2265" i="1" s="1"/>
  <c r="J2265" i="1"/>
  <c r="I2265" i="1"/>
  <c r="K2265" i="1" s="1"/>
  <c r="H2266" i="1" s="1"/>
  <c r="L2266" i="1" l="1"/>
  <c r="M2266" i="1" s="1"/>
  <c r="J2266" i="1"/>
  <c r="I2266" i="1"/>
  <c r="K2266" i="1" s="1"/>
  <c r="H2267" i="1" s="1"/>
  <c r="L2267" i="1" l="1"/>
  <c r="M2267" i="1" s="1"/>
  <c r="I2267" i="1"/>
  <c r="K2267" i="1" s="1"/>
  <c r="H2268" i="1" s="1"/>
  <c r="J2267" i="1"/>
  <c r="L2268" i="1" l="1"/>
  <c r="M2268" i="1" s="1"/>
  <c r="J2268" i="1"/>
  <c r="I2268" i="1"/>
  <c r="K2268" i="1" s="1"/>
  <c r="H2269" i="1" s="1"/>
  <c r="L2269" i="1" l="1"/>
  <c r="M2269" i="1" s="1"/>
  <c r="J2269" i="1"/>
  <c r="I2269" i="1"/>
  <c r="K2269" i="1" s="1"/>
  <c r="H2270" i="1" s="1"/>
  <c r="J2270" i="1" l="1"/>
  <c r="L2270" i="1"/>
  <c r="M2270" i="1" s="1"/>
  <c r="I2270" i="1"/>
  <c r="K2270" i="1" s="1"/>
  <c r="H2271" i="1" s="1"/>
  <c r="L2271" i="1" l="1"/>
  <c r="M2271" i="1" s="1"/>
  <c r="J2271" i="1"/>
  <c r="I2271" i="1"/>
  <c r="K2271" i="1" s="1"/>
  <c r="H2272" i="1" s="1"/>
  <c r="L2272" i="1" l="1"/>
  <c r="M2272" i="1" s="1"/>
  <c r="J2272" i="1"/>
  <c r="I2272" i="1"/>
  <c r="K2272" i="1" s="1"/>
  <c r="H2273" i="1" s="1"/>
  <c r="L2273" i="1" l="1"/>
  <c r="M2273" i="1" s="1"/>
  <c r="I2273" i="1"/>
  <c r="K2273" i="1" s="1"/>
  <c r="H2274" i="1" s="1"/>
  <c r="J2273" i="1"/>
  <c r="L2274" i="1" l="1"/>
  <c r="M2274" i="1" s="1"/>
  <c r="J2274" i="1"/>
  <c r="I2274" i="1"/>
  <c r="K2274" i="1" s="1"/>
  <c r="H2275" i="1" s="1"/>
  <c r="L2275" i="1" l="1"/>
  <c r="M2275" i="1" s="1"/>
  <c r="J2275" i="1"/>
  <c r="I2275" i="1"/>
  <c r="K2275" i="1" s="1"/>
  <c r="H2276" i="1" s="1"/>
  <c r="J2276" i="1" l="1"/>
  <c r="L2276" i="1"/>
  <c r="M2276" i="1" s="1"/>
  <c r="I2276" i="1"/>
  <c r="K2276" i="1" s="1"/>
  <c r="H2277" i="1" s="1"/>
  <c r="L2277" i="1" l="1"/>
  <c r="M2277" i="1" s="1"/>
  <c r="J2277" i="1"/>
  <c r="I2277" i="1"/>
  <c r="K2277" i="1" s="1"/>
  <c r="H2278" i="1" s="1"/>
  <c r="L2278" i="1" l="1"/>
  <c r="M2278" i="1" s="1"/>
  <c r="J2278" i="1"/>
  <c r="I2278" i="1"/>
  <c r="K2278" i="1" s="1"/>
  <c r="H2279" i="1" s="1"/>
  <c r="L2279" i="1" l="1"/>
  <c r="M2279" i="1" s="1"/>
  <c r="I2279" i="1"/>
  <c r="K2279" i="1" s="1"/>
  <c r="H2280" i="1" s="1"/>
  <c r="J2279" i="1"/>
  <c r="L2280" i="1" l="1"/>
  <c r="M2280" i="1" s="1"/>
  <c r="J2280" i="1"/>
  <c r="I2280" i="1"/>
  <c r="K2280" i="1" s="1"/>
  <c r="H2281" i="1" s="1"/>
  <c r="J2281" i="1" l="1"/>
  <c r="I2281" i="1"/>
  <c r="K2281" i="1" s="1"/>
  <c r="H2282" i="1" s="1"/>
  <c r="L2281" i="1"/>
  <c r="M2281" i="1" s="1"/>
  <c r="L2282" i="1" l="1"/>
  <c r="M2282" i="1" s="1"/>
  <c r="J2282" i="1"/>
  <c r="I2282" i="1"/>
  <c r="K2282" i="1" s="1"/>
  <c r="H2283" i="1" s="1"/>
  <c r="L2283" i="1" l="1"/>
  <c r="M2283" i="1" s="1"/>
  <c r="J2283" i="1"/>
  <c r="I2283" i="1"/>
  <c r="K2283" i="1" s="1"/>
  <c r="H2284" i="1" s="1"/>
  <c r="L2284" i="1" l="1"/>
  <c r="M2284" i="1" s="1"/>
  <c r="J2284" i="1"/>
  <c r="I2284" i="1"/>
  <c r="K2284" i="1" s="1"/>
  <c r="H2285" i="1" s="1"/>
  <c r="L2285" i="1" l="1"/>
  <c r="M2285" i="1" s="1"/>
  <c r="J2285" i="1"/>
  <c r="I2285" i="1"/>
  <c r="K2285" i="1" s="1"/>
  <c r="H2286" i="1" s="1"/>
  <c r="L2286" i="1" l="1"/>
  <c r="M2286" i="1" s="1"/>
  <c r="J2286" i="1"/>
  <c r="I2286" i="1"/>
  <c r="K2286" i="1" s="1"/>
  <c r="H2287" i="1" s="1"/>
  <c r="L2287" i="1" l="1"/>
  <c r="M2287" i="1" s="1"/>
  <c r="J2287" i="1"/>
  <c r="I2287" i="1"/>
  <c r="K2287" i="1" s="1"/>
  <c r="H2288" i="1" s="1"/>
  <c r="L2288" i="1" l="1"/>
  <c r="M2288" i="1" s="1"/>
  <c r="J2288" i="1"/>
  <c r="I2288" i="1"/>
  <c r="K2288" i="1" s="1"/>
  <c r="H2289" i="1" s="1"/>
  <c r="J2289" i="1" l="1"/>
  <c r="L2289" i="1"/>
  <c r="M2289" i="1" s="1"/>
  <c r="I2289" i="1"/>
  <c r="K2289" i="1" s="1"/>
  <c r="H2290" i="1" s="1"/>
  <c r="L2290" i="1" l="1"/>
  <c r="M2290" i="1" s="1"/>
  <c r="I2290" i="1"/>
  <c r="K2290" i="1" s="1"/>
  <c r="H2291" i="1" s="1"/>
  <c r="J2290" i="1"/>
  <c r="L2291" i="1" l="1"/>
  <c r="M2291" i="1" s="1"/>
  <c r="J2291" i="1"/>
  <c r="I2291" i="1"/>
  <c r="K2291" i="1" s="1"/>
  <c r="H2292" i="1" s="1"/>
  <c r="J2292" i="1" l="1"/>
  <c r="I2292" i="1"/>
  <c r="K2292" i="1" s="1"/>
  <c r="H2293" i="1" s="1"/>
  <c r="L2292" i="1"/>
  <c r="M2292" i="1" s="1"/>
  <c r="J2293" i="1" l="1"/>
  <c r="I2293" i="1"/>
  <c r="K2293" i="1" s="1"/>
  <c r="H2294" i="1" s="1"/>
  <c r="L2293" i="1"/>
  <c r="M2293" i="1" s="1"/>
  <c r="L2294" i="1" l="1"/>
  <c r="M2294" i="1" s="1"/>
  <c r="I2294" i="1"/>
  <c r="K2294" i="1" s="1"/>
  <c r="H2295" i="1" s="1"/>
  <c r="J2294" i="1"/>
  <c r="L2295" i="1" l="1"/>
  <c r="M2295" i="1" s="1"/>
  <c r="J2295" i="1"/>
  <c r="I2295" i="1"/>
  <c r="K2295" i="1" s="1"/>
  <c r="H2296" i="1" s="1"/>
  <c r="L2296" i="1" l="1"/>
  <c r="M2296" i="1" s="1"/>
  <c r="J2296" i="1"/>
  <c r="I2296" i="1"/>
  <c r="K2296" i="1" s="1"/>
  <c r="H2297" i="1" s="1"/>
  <c r="L2297" i="1" l="1"/>
  <c r="M2297" i="1" s="1"/>
  <c r="I2297" i="1"/>
  <c r="K2297" i="1" s="1"/>
  <c r="H2298" i="1" s="1"/>
  <c r="J2297" i="1"/>
  <c r="L2298" i="1" l="1"/>
  <c r="M2298" i="1" s="1"/>
  <c r="J2298" i="1"/>
  <c r="I2298" i="1"/>
  <c r="K2298" i="1" s="1"/>
  <c r="H2299" i="1" s="1"/>
  <c r="L2299" i="1" l="1"/>
  <c r="M2299" i="1" s="1"/>
  <c r="J2299" i="1"/>
  <c r="I2299" i="1"/>
  <c r="K2299" i="1" s="1"/>
  <c r="H2300" i="1" s="1"/>
  <c r="L2300" i="1" l="1"/>
  <c r="M2300" i="1" s="1"/>
  <c r="J2300" i="1"/>
  <c r="I2300" i="1"/>
  <c r="K2300" i="1" s="1"/>
  <c r="H2301" i="1" s="1"/>
  <c r="J2301" i="1" l="1"/>
  <c r="I2301" i="1"/>
  <c r="K2301" i="1" s="1"/>
  <c r="H2302" i="1" s="1"/>
  <c r="L2301" i="1"/>
  <c r="M2301" i="1" s="1"/>
  <c r="L2302" i="1" l="1"/>
  <c r="M2302" i="1" s="1"/>
  <c r="J2302" i="1"/>
  <c r="I2302" i="1"/>
  <c r="K2302" i="1" s="1"/>
  <c r="H2303" i="1" s="1"/>
  <c r="L2303" i="1" l="1"/>
  <c r="M2303" i="1" s="1"/>
  <c r="I2303" i="1"/>
  <c r="K2303" i="1" s="1"/>
  <c r="H2304" i="1" s="1"/>
  <c r="J2303" i="1"/>
  <c r="J2304" i="1" l="1"/>
  <c r="L2304" i="1"/>
  <c r="M2304" i="1" s="1"/>
  <c r="I2304" i="1"/>
  <c r="K2304" i="1" s="1"/>
  <c r="H2305" i="1" s="1"/>
  <c r="J2305" i="1" l="1"/>
  <c r="I2305" i="1"/>
  <c r="K2305" i="1" s="1"/>
  <c r="H2306" i="1" s="1"/>
  <c r="L2305" i="1"/>
  <c r="M2305" i="1" s="1"/>
  <c r="J2306" i="1" l="1"/>
  <c r="L2306" i="1"/>
  <c r="M2306" i="1" s="1"/>
  <c r="I2306" i="1"/>
  <c r="K2306" i="1" s="1"/>
  <c r="H2307" i="1" s="1"/>
  <c r="L2307" i="1" l="1"/>
  <c r="M2307" i="1" s="1"/>
  <c r="J2307" i="1"/>
  <c r="I2307" i="1"/>
  <c r="K2307" i="1" s="1"/>
  <c r="H2308" i="1" s="1"/>
  <c r="L2308" i="1" l="1"/>
  <c r="M2308" i="1" s="1"/>
  <c r="I2308" i="1"/>
  <c r="K2308" i="1" s="1"/>
  <c r="H2309" i="1" s="1"/>
  <c r="J2308" i="1"/>
  <c r="L2309" i="1" l="1"/>
  <c r="M2309" i="1" s="1"/>
  <c r="J2309" i="1"/>
  <c r="I2309" i="1"/>
  <c r="K2309" i="1" s="1"/>
  <c r="H2310" i="1" s="1"/>
  <c r="I2310" i="1" l="1"/>
  <c r="K2310" i="1" s="1"/>
  <c r="H2311" i="1" s="1"/>
  <c r="L2310" i="1"/>
  <c r="M2310" i="1" s="1"/>
  <c r="J2310" i="1"/>
  <c r="L2311" i="1" l="1"/>
  <c r="M2311" i="1" s="1"/>
  <c r="J2311" i="1"/>
  <c r="I2311" i="1"/>
  <c r="K2311" i="1" s="1"/>
  <c r="H2312" i="1" s="1"/>
  <c r="J2312" i="1" l="1"/>
  <c r="I2312" i="1"/>
  <c r="K2312" i="1" s="1"/>
  <c r="H2313" i="1" s="1"/>
  <c r="L2312" i="1"/>
  <c r="M2312" i="1" s="1"/>
  <c r="L2313" i="1" l="1"/>
  <c r="M2313" i="1" s="1"/>
  <c r="J2313" i="1"/>
  <c r="I2313" i="1"/>
  <c r="K2313" i="1" s="1"/>
  <c r="H2314" i="1" s="1"/>
  <c r="L2314" i="1" l="1"/>
  <c r="M2314" i="1" s="1"/>
  <c r="J2314" i="1"/>
  <c r="I2314" i="1"/>
  <c r="K2314" i="1" s="1"/>
  <c r="H2315" i="1" s="1"/>
  <c r="L2315" i="1" l="1"/>
  <c r="M2315" i="1" s="1"/>
  <c r="J2315" i="1"/>
  <c r="I2315" i="1"/>
  <c r="K2315" i="1" s="1"/>
  <c r="H2316" i="1" s="1"/>
  <c r="L2316" i="1" l="1"/>
  <c r="M2316" i="1" s="1"/>
  <c r="J2316" i="1"/>
  <c r="I2316" i="1"/>
  <c r="K2316" i="1" s="1"/>
  <c r="H2317" i="1" s="1"/>
  <c r="L2317" i="1" l="1"/>
  <c r="M2317" i="1" s="1"/>
  <c r="J2317" i="1"/>
  <c r="I2317" i="1"/>
  <c r="K2317" i="1" s="1"/>
  <c r="H2318" i="1" s="1"/>
  <c r="J2318" i="1" l="1"/>
  <c r="L2318" i="1"/>
  <c r="M2318" i="1" s="1"/>
  <c r="I2318" i="1"/>
  <c r="K2318" i="1" s="1"/>
  <c r="H2319" i="1" s="1"/>
  <c r="L2319" i="1" l="1"/>
  <c r="M2319" i="1" s="1"/>
  <c r="J2319" i="1"/>
  <c r="I2319" i="1"/>
  <c r="K2319" i="1" s="1"/>
  <c r="H2320" i="1" s="1"/>
  <c r="L2320" i="1" l="1"/>
  <c r="M2320" i="1" s="1"/>
  <c r="J2320" i="1"/>
  <c r="I2320" i="1"/>
  <c r="K2320" i="1" s="1"/>
  <c r="H2321" i="1" s="1"/>
  <c r="L2321" i="1" l="1"/>
  <c r="M2321" i="1" s="1"/>
  <c r="J2321" i="1"/>
  <c r="I2321" i="1"/>
  <c r="K2321" i="1" s="1"/>
  <c r="H2322" i="1" s="1"/>
  <c r="L2322" i="1" l="1"/>
  <c r="M2322" i="1" s="1"/>
  <c r="I2322" i="1"/>
  <c r="K2322" i="1" s="1"/>
  <c r="H2323" i="1" s="1"/>
  <c r="J2322" i="1"/>
  <c r="J2323" i="1" l="1"/>
  <c r="I2323" i="1"/>
  <c r="K2323" i="1" s="1"/>
  <c r="H2324" i="1" s="1"/>
  <c r="L2323" i="1"/>
  <c r="M2323" i="1" s="1"/>
  <c r="L2324" i="1" l="1"/>
  <c r="M2324" i="1" s="1"/>
  <c r="J2324" i="1"/>
  <c r="I2324" i="1"/>
  <c r="K2324" i="1" s="1"/>
  <c r="H2325" i="1" s="1"/>
  <c r="L2325" i="1" l="1"/>
  <c r="M2325" i="1" s="1"/>
  <c r="J2325" i="1"/>
  <c r="I2325" i="1"/>
  <c r="K2325" i="1" s="1"/>
  <c r="H2326" i="1" s="1"/>
  <c r="L2326" i="1" l="1"/>
  <c r="M2326" i="1" s="1"/>
  <c r="J2326" i="1"/>
  <c r="I2326" i="1"/>
  <c r="K2326" i="1" s="1"/>
  <c r="H2327" i="1" s="1"/>
  <c r="L2327" i="1" l="1"/>
  <c r="M2327" i="1" s="1"/>
  <c r="J2327" i="1"/>
  <c r="I2327" i="1"/>
  <c r="K2327" i="1" s="1"/>
  <c r="H2328" i="1" s="1"/>
  <c r="L2328" i="1" l="1"/>
  <c r="M2328" i="1" s="1"/>
  <c r="J2328" i="1"/>
  <c r="I2328" i="1"/>
  <c r="K2328" i="1" s="1"/>
  <c r="H2329" i="1" s="1"/>
  <c r="J2329" i="1" l="1"/>
  <c r="L2329" i="1"/>
  <c r="M2329" i="1" s="1"/>
  <c r="I2329" i="1"/>
  <c r="K2329" i="1" s="1"/>
  <c r="H2330" i="1" s="1"/>
  <c r="L2330" i="1" l="1"/>
  <c r="M2330" i="1" s="1"/>
  <c r="J2330" i="1"/>
  <c r="I2330" i="1"/>
  <c r="K2330" i="1" s="1"/>
  <c r="H2331" i="1" s="1"/>
  <c r="L2331" i="1" l="1"/>
  <c r="M2331" i="1" s="1"/>
  <c r="J2331" i="1"/>
  <c r="I2331" i="1"/>
  <c r="K2331" i="1" s="1"/>
  <c r="H2332" i="1" s="1"/>
  <c r="L2332" i="1" l="1"/>
  <c r="M2332" i="1" s="1"/>
  <c r="J2332" i="1"/>
  <c r="I2332" i="1"/>
  <c r="K2332" i="1" s="1"/>
  <c r="H2333" i="1" s="1"/>
  <c r="L2333" i="1" l="1"/>
  <c r="M2333" i="1" s="1"/>
  <c r="J2333" i="1"/>
  <c r="I2333" i="1"/>
  <c r="K2333" i="1" s="1"/>
  <c r="H2334" i="1" s="1"/>
  <c r="L2334" i="1" l="1"/>
  <c r="M2334" i="1" s="1"/>
  <c r="J2334" i="1"/>
  <c r="I2334" i="1"/>
  <c r="K2334" i="1" s="1"/>
  <c r="H2335" i="1" s="1"/>
  <c r="J2335" i="1" l="1"/>
  <c r="L2335" i="1"/>
  <c r="M2335" i="1" s="1"/>
  <c r="I2335" i="1"/>
  <c r="K2335" i="1" s="1"/>
  <c r="H2336" i="1" s="1"/>
  <c r="L2336" i="1" l="1"/>
  <c r="M2336" i="1" s="1"/>
  <c r="J2336" i="1"/>
  <c r="I2336" i="1"/>
  <c r="K2336" i="1" s="1"/>
  <c r="H2337" i="1" s="1"/>
  <c r="L2337" i="1" l="1"/>
  <c r="M2337" i="1" s="1"/>
  <c r="J2337" i="1"/>
  <c r="I2337" i="1"/>
  <c r="K2337" i="1" s="1"/>
  <c r="H2338" i="1" s="1"/>
  <c r="L2338" i="1" l="1"/>
  <c r="M2338" i="1" s="1"/>
  <c r="J2338" i="1"/>
  <c r="I2338" i="1"/>
  <c r="K2338" i="1" s="1"/>
  <c r="H2339" i="1" s="1"/>
  <c r="L2339" i="1" l="1"/>
  <c r="M2339" i="1" s="1"/>
  <c r="J2339" i="1"/>
  <c r="I2339" i="1"/>
  <c r="K2339" i="1" s="1"/>
  <c r="H2340" i="1" s="1"/>
  <c r="L2340" i="1" l="1"/>
  <c r="M2340" i="1" s="1"/>
  <c r="J2340" i="1"/>
  <c r="I2340" i="1"/>
  <c r="K2340" i="1" s="1"/>
  <c r="H2341" i="1" s="1"/>
  <c r="L2341" i="1" l="1"/>
  <c r="M2341" i="1" s="1"/>
  <c r="J2341" i="1"/>
  <c r="I2341" i="1"/>
  <c r="K2341" i="1" s="1"/>
  <c r="H2342" i="1" s="1"/>
  <c r="L2342" i="1" l="1"/>
  <c r="M2342" i="1" s="1"/>
  <c r="J2342" i="1"/>
  <c r="I2342" i="1"/>
  <c r="K2342" i="1" s="1"/>
  <c r="H2343" i="1" s="1"/>
  <c r="I2343" i="1" l="1"/>
  <c r="K2343" i="1" s="1"/>
  <c r="H2344" i="1" s="1"/>
  <c r="L2343" i="1"/>
  <c r="M2343" i="1" s="1"/>
  <c r="J2343" i="1"/>
  <c r="I2344" i="1" l="1"/>
  <c r="K2344" i="1" s="1"/>
  <c r="H2345" i="1" s="1"/>
  <c r="L2344" i="1"/>
  <c r="M2344" i="1" s="1"/>
  <c r="J2344" i="1"/>
  <c r="L2345" i="1" l="1"/>
  <c r="M2345" i="1" s="1"/>
  <c r="J2345" i="1"/>
  <c r="I2345" i="1"/>
  <c r="K2345" i="1" s="1"/>
  <c r="H2346" i="1" s="1"/>
  <c r="L2346" i="1" l="1"/>
  <c r="M2346" i="1" s="1"/>
  <c r="J2346" i="1"/>
  <c r="I2346" i="1"/>
  <c r="K2346" i="1" s="1"/>
  <c r="H2347" i="1" s="1"/>
  <c r="L2347" i="1" l="1"/>
  <c r="M2347" i="1" s="1"/>
  <c r="J2347" i="1"/>
  <c r="I2347" i="1"/>
  <c r="K2347" i="1" s="1"/>
  <c r="H2348" i="1" s="1"/>
  <c r="L2348" i="1" l="1"/>
  <c r="M2348" i="1" s="1"/>
  <c r="J2348" i="1"/>
  <c r="I2348" i="1"/>
  <c r="K2348" i="1" s="1"/>
  <c r="H2349" i="1" s="1"/>
  <c r="L2349" i="1" l="1"/>
  <c r="M2349" i="1" s="1"/>
  <c r="J2349" i="1"/>
  <c r="I2349" i="1"/>
  <c r="K2349" i="1" s="1"/>
  <c r="H2350" i="1" s="1"/>
  <c r="L2350" i="1" l="1"/>
  <c r="M2350" i="1" s="1"/>
  <c r="J2350" i="1"/>
  <c r="I2350" i="1"/>
  <c r="K2350" i="1" s="1"/>
  <c r="H2351" i="1" s="1"/>
  <c r="L2351" i="1" l="1"/>
  <c r="M2351" i="1" s="1"/>
  <c r="J2351" i="1"/>
  <c r="I2351" i="1"/>
  <c r="K2351" i="1" s="1"/>
  <c r="H2352" i="1" s="1"/>
  <c r="L2352" i="1" l="1"/>
  <c r="M2352" i="1" s="1"/>
  <c r="J2352" i="1"/>
  <c r="I2352" i="1"/>
  <c r="K2352" i="1" s="1"/>
  <c r="H2353" i="1" s="1"/>
  <c r="J2353" i="1" l="1"/>
  <c r="L2353" i="1"/>
  <c r="M2353" i="1" s="1"/>
  <c r="I2353" i="1"/>
  <c r="K2353" i="1" s="1"/>
  <c r="H2354" i="1" s="1"/>
  <c r="L2354" i="1" l="1"/>
  <c r="M2354" i="1" s="1"/>
  <c r="I2354" i="1"/>
  <c r="K2354" i="1" s="1"/>
  <c r="H2355" i="1" s="1"/>
  <c r="J2354" i="1"/>
  <c r="L2355" i="1" l="1"/>
  <c r="M2355" i="1" s="1"/>
  <c r="J2355" i="1"/>
  <c r="I2355" i="1"/>
  <c r="K2355" i="1" s="1"/>
  <c r="H2356" i="1" s="1"/>
  <c r="L2356" i="1" l="1"/>
  <c r="M2356" i="1" s="1"/>
  <c r="J2356" i="1"/>
  <c r="I2356" i="1"/>
  <c r="K2356" i="1" s="1"/>
  <c r="H2357" i="1" s="1"/>
  <c r="L2357" i="1" l="1"/>
  <c r="M2357" i="1" s="1"/>
  <c r="J2357" i="1"/>
  <c r="I2357" i="1"/>
  <c r="K2357" i="1" s="1"/>
  <c r="H2358" i="1" s="1"/>
  <c r="L2358" i="1" l="1"/>
  <c r="M2358" i="1" s="1"/>
  <c r="J2358" i="1"/>
  <c r="I2358" i="1"/>
  <c r="K2358" i="1" s="1"/>
  <c r="H2359" i="1" s="1"/>
  <c r="J2359" i="1" l="1"/>
  <c r="L2359" i="1"/>
  <c r="M2359" i="1" s="1"/>
  <c r="I2359" i="1"/>
  <c r="K2359" i="1" s="1"/>
  <c r="H2360" i="1" s="1"/>
  <c r="L2360" i="1" l="1"/>
  <c r="M2360" i="1" s="1"/>
  <c r="J2360" i="1"/>
  <c r="I2360" i="1"/>
  <c r="K2360" i="1" s="1"/>
  <c r="H2361" i="1" s="1"/>
  <c r="L2361" i="1" l="1"/>
  <c r="M2361" i="1" s="1"/>
  <c r="J2361" i="1"/>
  <c r="I2361" i="1"/>
  <c r="K2361" i="1" s="1"/>
  <c r="H2362" i="1" s="1"/>
  <c r="L2362" i="1" l="1"/>
  <c r="M2362" i="1" s="1"/>
  <c r="J2362" i="1"/>
  <c r="I2362" i="1"/>
  <c r="K2362" i="1" s="1"/>
  <c r="H2363" i="1" s="1"/>
  <c r="L2363" i="1" l="1"/>
  <c r="M2363" i="1" s="1"/>
  <c r="J2363" i="1"/>
  <c r="I2363" i="1"/>
  <c r="K2363" i="1" s="1"/>
  <c r="H2364" i="1" s="1"/>
  <c r="L2364" i="1" l="1"/>
  <c r="M2364" i="1" s="1"/>
  <c r="J2364" i="1"/>
  <c r="I2364" i="1"/>
  <c r="K2364" i="1" s="1"/>
  <c r="H2365" i="1" s="1"/>
  <c r="J2365" i="1" l="1"/>
  <c r="L2365" i="1"/>
  <c r="M2365" i="1" s="1"/>
  <c r="I2365" i="1"/>
  <c r="K2365" i="1" s="1"/>
  <c r="H2366" i="1" s="1"/>
  <c r="L2366" i="1" l="1"/>
  <c r="M2366" i="1" s="1"/>
  <c r="J2366" i="1"/>
  <c r="I2366" i="1"/>
  <c r="K2366" i="1" s="1"/>
  <c r="H2367" i="1" s="1"/>
  <c r="L2367" i="1" l="1"/>
  <c r="M2367" i="1" s="1"/>
  <c r="J2367" i="1"/>
  <c r="I2367" i="1"/>
  <c r="K2367" i="1" s="1"/>
  <c r="H2368" i="1" s="1"/>
  <c r="L2368" i="1" l="1"/>
  <c r="M2368" i="1" s="1"/>
  <c r="J2368" i="1"/>
  <c r="I2368" i="1"/>
  <c r="K2368" i="1" s="1"/>
  <c r="H2369" i="1" s="1"/>
  <c r="L2369" i="1" l="1"/>
  <c r="M2369" i="1" s="1"/>
  <c r="J2369" i="1"/>
  <c r="I2369" i="1"/>
  <c r="K2369" i="1" s="1"/>
  <c r="H2370" i="1" s="1"/>
  <c r="L2370" i="1" l="1"/>
  <c r="M2370" i="1" s="1"/>
  <c r="J2370" i="1"/>
  <c r="I2370" i="1"/>
  <c r="K2370" i="1" s="1"/>
  <c r="H2371" i="1" s="1"/>
  <c r="J2371" i="1" l="1"/>
  <c r="L2371" i="1"/>
  <c r="M2371" i="1" s="1"/>
  <c r="I2371" i="1"/>
  <c r="K2371" i="1" s="1"/>
  <c r="H2372" i="1" s="1"/>
  <c r="L2372" i="1" l="1"/>
  <c r="M2372" i="1" s="1"/>
  <c r="J2372" i="1"/>
  <c r="I2372" i="1"/>
  <c r="K2372" i="1" s="1"/>
  <c r="H2373" i="1" s="1"/>
  <c r="L2373" i="1" l="1"/>
  <c r="M2373" i="1" s="1"/>
  <c r="J2373" i="1"/>
  <c r="I2373" i="1"/>
  <c r="K2373" i="1" s="1"/>
  <c r="H2374" i="1" s="1"/>
  <c r="L2374" i="1" l="1"/>
  <c r="M2374" i="1" s="1"/>
  <c r="J2374" i="1"/>
  <c r="I2374" i="1"/>
  <c r="K2374" i="1" s="1"/>
  <c r="H2375" i="1" s="1"/>
  <c r="L2375" i="1" l="1"/>
  <c r="M2375" i="1" s="1"/>
  <c r="J2375" i="1"/>
  <c r="I2375" i="1"/>
  <c r="K2375" i="1" s="1"/>
  <c r="H2376" i="1" s="1"/>
  <c r="I2376" i="1" l="1"/>
  <c r="K2376" i="1" s="1"/>
  <c r="H2377" i="1" s="1"/>
  <c r="L2376" i="1"/>
  <c r="M2376" i="1" s="1"/>
  <c r="J2376" i="1"/>
  <c r="L2377" i="1" l="1"/>
  <c r="M2377" i="1" s="1"/>
  <c r="J2377" i="1"/>
  <c r="I2377" i="1"/>
  <c r="K2377" i="1" s="1"/>
  <c r="H2378" i="1" s="1"/>
  <c r="J2378" i="1" l="1"/>
  <c r="I2378" i="1"/>
  <c r="K2378" i="1" s="1"/>
  <c r="H2379" i="1" s="1"/>
  <c r="L2378" i="1"/>
  <c r="M2378" i="1" s="1"/>
  <c r="I2379" i="1" l="1"/>
  <c r="K2379" i="1" s="1"/>
  <c r="H2380" i="1" s="1"/>
  <c r="J2379" i="1"/>
  <c r="L2379" i="1"/>
  <c r="M2379" i="1" s="1"/>
  <c r="L2380" i="1" l="1"/>
  <c r="M2380" i="1" s="1"/>
  <c r="J2380" i="1"/>
  <c r="I2380" i="1"/>
  <c r="K2380" i="1" s="1"/>
  <c r="H2381" i="1" s="1"/>
  <c r="L2381" i="1" l="1"/>
  <c r="M2381" i="1" s="1"/>
  <c r="J2381" i="1"/>
  <c r="I2381" i="1"/>
  <c r="K2381" i="1" s="1"/>
  <c r="H2382" i="1" s="1"/>
  <c r="L2382" i="1" l="1"/>
  <c r="M2382" i="1" s="1"/>
  <c r="J2382" i="1"/>
  <c r="I2382" i="1"/>
  <c r="K2382" i="1" s="1"/>
  <c r="H2383" i="1" s="1"/>
  <c r="L2383" i="1" l="1"/>
  <c r="M2383" i="1" s="1"/>
  <c r="J2383" i="1"/>
  <c r="I2383" i="1"/>
  <c r="K2383" i="1" s="1"/>
  <c r="H2384" i="1" s="1"/>
  <c r="L2384" i="1" l="1"/>
  <c r="M2384" i="1" s="1"/>
  <c r="J2384" i="1"/>
  <c r="I2384" i="1"/>
  <c r="K2384" i="1" s="1"/>
  <c r="H2385" i="1" s="1"/>
  <c r="L2385" i="1" l="1"/>
  <c r="M2385" i="1" s="1"/>
  <c r="J2385" i="1"/>
  <c r="I2385" i="1"/>
  <c r="K2385" i="1" s="1"/>
  <c r="H2386" i="1" s="1"/>
  <c r="L2386" i="1" l="1"/>
  <c r="M2386" i="1" s="1"/>
  <c r="J2386" i="1"/>
  <c r="I2386" i="1"/>
  <c r="K2386" i="1" s="1"/>
  <c r="H2387" i="1" s="1"/>
  <c r="L2387" i="1" l="1"/>
  <c r="M2387" i="1" s="1"/>
  <c r="J2387" i="1"/>
  <c r="I2387" i="1"/>
  <c r="K2387" i="1" s="1"/>
  <c r="H2388" i="1" s="1"/>
  <c r="L2388" i="1" l="1"/>
  <c r="M2388" i="1" s="1"/>
  <c r="J2388" i="1"/>
  <c r="I2388" i="1"/>
  <c r="K2388" i="1" s="1"/>
  <c r="H2389" i="1" s="1"/>
  <c r="J2389" i="1" l="1"/>
  <c r="L2389" i="1"/>
  <c r="M2389" i="1" s="1"/>
  <c r="I2389" i="1"/>
  <c r="K2389" i="1" s="1"/>
  <c r="H2390" i="1" s="1"/>
  <c r="L2390" i="1" l="1"/>
  <c r="M2390" i="1" s="1"/>
  <c r="J2390" i="1"/>
  <c r="I2390" i="1"/>
  <c r="K2390" i="1" s="1"/>
  <c r="H2391" i="1" s="1"/>
  <c r="L2391" i="1" l="1"/>
  <c r="M2391" i="1" s="1"/>
  <c r="J2391" i="1"/>
  <c r="I2391" i="1"/>
  <c r="K2391" i="1" s="1"/>
  <c r="H2392" i="1" s="1"/>
  <c r="L2392" i="1" l="1"/>
  <c r="M2392" i="1" s="1"/>
  <c r="J2392" i="1"/>
  <c r="I2392" i="1"/>
  <c r="K2392" i="1" s="1"/>
  <c r="H2393" i="1" s="1"/>
  <c r="L2393" i="1" l="1"/>
  <c r="M2393" i="1" s="1"/>
  <c r="J2393" i="1"/>
  <c r="I2393" i="1"/>
  <c r="K2393" i="1" s="1"/>
  <c r="H2394" i="1" s="1"/>
  <c r="L2394" i="1" l="1"/>
  <c r="M2394" i="1" s="1"/>
  <c r="J2394" i="1"/>
  <c r="I2394" i="1"/>
  <c r="K2394" i="1" s="1"/>
  <c r="H2395" i="1" s="1"/>
  <c r="I2395" i="1" l="1"/>
  <c r="K2395" i="1" s="1"/>
  <c r="H2396" i="1" s="1"/>
  <c r="J2395" i="1"/>
  <c r="L2395" i="1"/>
  <c r="M2395" i="1" s="1"/>
  <c r="L2396" i="1" l="1"/>
  <c r="M2396" i="1" s="1"/>
  <c r="J2396" i="1"/>
  <c r="I2396" i="1"/>
  <c r="K2396" i="1" s="1"/>
  <c r="H2397" i="1" s="1"/>
  <c r="L2397" i="1" l="1"/>
  <c r="M2397" i="1" s="1"/>
  <c r="J2397" i="1"/>
  <c r="I2397" i="1"/>
  <c r="K2397" i="1" s="1"/>
  <c r="H2398" i="1" s="1"/>
  <c r="L2398" i="1" l="1"/>
  <c r="M2398" i="1" s="1"/>
  <c r="I2398" i="1"/>
  <c r="K2398" i="1" s="1"/>
  <c r="H2399" i="1" s="1"/>
  <c r="J2398" i="1"/>
  <c r="L2399" i="1" l="1"/>
  <c r="M2399" i="1" s="1"/>
  <c r="J2399" i="1"/>
  <c r="I2399" i="1"/>
  <c r="K2399" i="1" s="1"/>
  <c r="H2400" i="1" s="1"/>
  <c r="L2400" i="1" l="1"/>
  <c r="M2400" i="1" s="1"/>
  <c r="I2400" i="1"/>
  <c r="K2400" i="1" s="1"/>
  <c r="H2401" i="1" s="1"/>
  <c r="J2400" i="1"/>
  <c r="I2401" i="1" l="1"/>
  <c r="K2401" i="1" s="1"/>
  <c r="H2402" i="1" s="1"/>
  <c r="L2401" i="1"/>
  <c r="M2401" i="1" s="1"/>
  <c r="J2401" i="1"/>
  <c r="L2402" i="1" l="1"/>
  <c r="M2402" i="1" s="1"/>
  <c r="J2402" i="1"/>
  <c r="I2402" i="1"/>
  <c r="K2402" i="1" s="1"/>
  <c r="H2403" i="1" s="1"/>
  <c r="L2403" i="1" l="1"/>
  <c r="M2403" i="1" s="1"/>
  <c r="J2403" i="1"/>
  <c r="I2403" i="1"/>
  <c r="K2403" i="1" s="1"/>
  <c r="H2404" i="1" s="1"/>
  <c r="L2404" i="1" l="1"/>
  <c r="M2404" i="1" s="1"/>
  <c r="J2404" i="1"/>
  <c r="I2404" i="1"/>
  <c r="K2404" i="1" s="1"/>
  <c r="H2405" i="1" s="1"/>
  <c r="L2405" i="1" l="1"/>
  <c r="M2405" i="1" s="1"/>
  <c r="J2405" i="1"/>
  <c r="I2405" i="1"/>
  <c r="K2405" i="1" s="1"/>
  <c r="H2406" i="1" s="1"/>
  <c r="L2406" i="1" l="1"/>
  <c r="M2406" i="1" s="1"/>
  <c r="J2406" i="1"/>
  <c r="I2406" i="1"/>
  <c r="K2406" i="1" s="1"/>
  <c r="H2407" i="1" s="1"/>
  <c r="L2407" i="1" l="1"/>
  <c r="M2407" i="1" s="1"/>
  <c r="J2407" i="1"/>
  <c r="I2407" i="1"/>
  <c r="K2407" i="1" s="1"/>
  <c r="H2408" i="1" s="1"/>
  <c r="L2408" i="1" l="1"/>
  <c r="M2408" i="1" s="1"/>
  <c r="J2408" i="1"/>
  <c r="I2408" i="1"/>
  <c r="K2408" i="1" s="1"/>
  <c r="H2409" i="1" s="1"/>
  <c r="L2409" i="1" l="1"/>
  <c r="M2409" i="1" s="1"/>
  <c r="J2409" i="1"/>
  <c r="I2409" i="1"/>
  <c r="K2409" i="1" s="1"/>
  <c r="H2410" i="1" s="1"/>
  <c r="L2410" i="1" l="1"/>
  <c r="M2410" i="1" s="1"/>
  <c r="J2410" i="1"/>
  <c r="I2410" i="1"/>
  <c r="K2410" i="1" s="1"/>
  <c r="H2411" i="1" s="1"/>
  <c r="L2411" i="1" l="1"/>
  <c r="M2411" i="1" s="1"/>
  <c r="J2411" i="1"/>
  <c r="I2411" i="1"/>
  <c r="K2411" i="1" s="1"/>
  <c r="H2412" i="1" s="1"/>
  <c r="L2412" i="1" l="1"/>
  <c r="M2412" i="1" s="1"/>
  <c r="J2412" i="1"/>
  <c r="I2412" i="1"/>
  <c r="K2412" i="1" s="1"/>
  <c r="H2413" i="1" s="1"/>
  <c r="L2413" i="1" l="1"/>
  <c r="M2413" i="1" s="1"/>
  <c r="J2413" i="1"/>
  <c r="I2413" i="1"/>
  <c r="K2413" i="1" s="1"/>
  <c r="H2414" i="1" s="1"/>
  <c r="J2414" i="1" l="1"/>
  <c r="I2414" i="1"/>
  <c r="K2414" i="1" s="1"/>
  <c r="H2415" i="1" s="1"/>
  <c r="L2414" i="1"/>
  <c r="M2414" i="1" s="1"/>
  <c r="L2415" i="1" l="1"/>
  <c r="M2415" i="1" s="1"/>
  <c r="J2415" i="1"/>
  <c r="I2415" i="1"/>
  <c r="K2415" i="1" s="1"/>
  <c r="H2416" i="1" s="1"/>
  <c r="L2416" i="1" l="1"/>
  <c r="M2416" i="1" s="1"/>
  <c r="J2416" i="1"/>
  <c r="I2416" i="1"/>
  <c r="K2416" i="1" s="1"/>
  <c r="H2417" i="1" s="1"/>
  <c r="L2417" i="1" l="1"/>
  <c r="M2417" i="1" s="1"/>
  <c r="J2417" i="1"/>
  <c r="I2417" i="1"/>
  <c r="K2417" i="1" s="1"/>
  <c r="H2418" i="1" s="1"/>
  <c r="L2418" i="1" l="1"/>
  <c r="M2418" i="1" s="1"/>
  <c r="J2418" i="1"/>
  <c r="I2418" i="1"/>
  <c r="K2418" i="1" s="1"/>
  <c r="H2419" i="1" s="1"/>
  <c r="L2419" i="1" l="1"/>
  <c r="M2419" i="1" s="1"/>
  <c r="J2419" i="1"/>
  <c r="I2419" i="1"/>
  <c r="K2419" i="1" s="1"/>
  <c r="H2420" i="1" s="1"/>
  <c r="L2420" i="1" l="1"/>
  <c r="M2420" i="1" s="1"/>
  <c r="J2420" i="1"/>
  <c r="I2420" i="1"/>
  <c r="K2420" i="1" s="1"/>
  <c r="H2421" i="1" s="1"/>
  <c r="L2421" i="1" l="1"/>
  <c r="M2421" i="1" s="1"/>
  <c r="J2421" i="1"/>
  <c r="I2421" i="1"/>
  <c r="K2421" i="1" s="1"/>
  <c r="H2422" i="1" s="1"/>
  <c r="L2422" i="1" l="1"/>
  <c r="M2422" i="1" s="1"/>
  <c r="J2422" i="1"/>
  <c r="I2422" i="1"/>
  <c r="K2422" i="1" s="1"/>
  <c r="H2423" i="1" s="1"/>
  <c r="L2423" i="1" l="1"/>
  <c r="M2423" i="1" s="1"/>
  <c r="J2423" i="1"/>
  <c r="I2423" i="1"/>
  <c r="K2423" i="1" s="1"/>
  <c r="H2424" i="1" s="1"/>
  <c r="L2424" i="1" l="1"/>
  <c r="M2424" i="1" s="1"/>
  <c r="J2424" i="1"/>
  <c r="I2424" i="1"/>
  <c r="K2424" i="1" s="1"/>
  <c r="H2425" i="1" s="1"/>
  <c r="J2425" i="1" l="1"/>
  <c r="L2425" i="1"/>
  <c r="M2425" i="1" s="1"/>
  <c r="I2425" i="1"/>
  <c r="K2425" i="1" s="1"/>
  <c r="H2426" i="1" s="1"/>
  <c r="J2426" i="1" l="1"/>
  <c r="I2426" i="1"/>
  <c r="K2426" i="1" s="1"/>
  <c r="H2427" i="1" s="1"/>
  <c r="L2426" i="1"/>
  <c r="M2426" i="1" s="1"/>
  <c r="L2427" i="1" l="1"/>
  <c r="M2427" i="1" s="1"/>
  <c r="J2427" i="1"/>
  <c r="I2427" i="1"/>
  <c r="K2427" i="1" s="1"/>
  <c r="H2428" i="1" s="1"/>
  <c r="L2428" i="1" l="1"/>
  <c r="M2428" i="1" s="1"/>
  <c r="J2428" i="1"/>
  <c r="I2428" i="1"/>
  <c r="K2428" i="1" s="1"/>
  <c r="H2429" i="1" s="1"/>
  <c r="L2429" i="1" l="1"/>
  <c r="M2429" i="1" s="1"/>
  <c r="J2429" i="1"/>
  <c r="I2429" i="1"/>
  <c r="K2429" i="1" s="1"/>
  <c r="H2430" i="1" s="1"/>
  <c r="L2430" i="1" l="1"/>
  <c r="M2430" i="1" s="1"/>
  <c r="J2430" i="1"/>
  <c r="I2430" i="1"/>
  <c r="K2430" i="1" s="1"/>
  <c r="H2431" i="1" s="1"/>
  <c r="L2431" i="1" l="1"/>
  <c r="M2431" i="1" s="1"/>
  <c r="J2431" i="1"/>
  <c r="I2431" i="1"/>
  <c r="K2431" i="1" s="1"/>
  <c r="H2432" i="1" s="1"/>
  <c r="L2432" i="1" l="1"/>
  <c r="M2432" i="1" s="1"/>
  <c r="J2432" i="1"/>
  <c r="I2432" i="1"/>
  <c r="K2432" i="1" s="1"/>
  <c r="H2433" i="1" s="1"/>
  <c r="L2433" i="1" l="1"/>
  <c r="M2433" i="1" s="1"/>
  <c r="J2433" i="1"/>
  <c r="I2433" i="1"/>
  <c r="K2433" i="1" s="1"/>
  <c r="H2434" i="1" s="1"/>
  <c r="L2434" i="1" l="1"/>
  <c r="M2434" i="1" s="1"/>
  <c r="J2434" i="1"/>
  <c r="I2434" i="1"/>
  <c r="K2434" i="1" s="1"/>
  <c r="H2435" i="1" s="1"/>
  <c r="L2435" i="1" l="1"/>
  <c r="M2435" i="1" s="1"/>
  <c r="J2435" i="1"/>
  <c r="I2435" i="1"/>
  <c r="K2435" i="1" s="1"/>
  <c r="H2436" i="1" s="1"/>
  <c r="L2436" i="1" l="1"/>
  <c r="M2436" i="1" s="1"/>
  <c r="J2436" i="1"/>
  <c r="I2436" i="1"/>
  <c r="K2436" i="1" s="1"/>
  <c r="H2437" i="1" s="1"/>
  <c r="L2437" i="1" l="1"/>
  <c r="M2437" i="1" s="1"/>
  <c r="J2437" i="1"/>
  <c r="I2437" i="1"/>
  <c r="K2437" i="1" s="1"/>
  <c r="H2438" i="1" s="1"/>
  <c r="L2438" i="1" l="1"/>
  <c r="M2438" i="1" s="1"/>
  <c r="J2438" i="1"/>
  <c r="I2438" i="1"/>
  <c r="K2438" i="1" s="1"/>
  <c r="H2439" i="1" s="1"/>
  <c r="L2439" i="1" l="1"/>
  <c r="M2439" i="1" s="1"/>
  <c r="J2439" i="1"/>
  <c r="I2439" i="1"/>
  <c r="K2439" i="1" s="1"/>
  <c r="H2440" i="1" s="1"/>
  <c r="L2440" i="1" l="1"/>
  <c r="M2440" i="1" s="1"/>
  <c r="J2440" i="1"/>
  <c r="I2440" i="1"/>
  <c r="K2440" i="1" s="1"/>
  <c r="H2441" i="1" s="1"/>
  <c r="L2441" i="1" l="1"/>
  <c r="M2441" i="1" s="1"/>
  <c r="J2441" i="1"/>
  <c r="I2441" i="1"/>
  <c r="K2441" i="1" s="1"/>
  <c r="H2442" i="1" s="1"/>
  <c r="L2442" i="1" l="1"/>
  <c r="M2442" i="1" s="1"/>
  <c r="J2442" i="1"/>
  <c r="I2442" i="1"/>
  <c r="K2442" i="1" s="1"/>
  <c r="H2443" i="1" s="1"/>
  <c r="L2443" i="1" l="1"/>
  <c r="M2443" i="1" s="1"/>
  <c r="J2443" i="1"/>
  <c r="I2443" i="1"/>
  <c r="K2443" i="1" s="1"/>
  <c r="H2444" i="1" s="1"/>
  <c r="J2444" i="1" l="1"/>
  <c r="I2444" i="1"/>
  <c r="K2444" i="1" s="1"/>
  <c r="H2445" i="1" s="1"/>
  <c r="L2444" i="1"/>
  <c r="M2444" i="1" s="1"/>
  <c r="L2445" i="1" l="1"/>
  <c r="M2445" i="1" s="1"/>
  <c r="J2445" i="1"/>
  <c r="I2445" i="1"/>
  <c r="K2445" i="1" s="1"/>
  <c r="H2446" i="1" s="1"/>
  <c r="L2446" i="1" l="1"/>
  <c r="M2446" i="1" s="1"/>
  <c r="J2446" i="1"/>
  <c r="I2446" i="1"/>
  <c r="K2446" i="1" s="1"/>
  <c r="H2447" i="1" s="1"/>
  <c r="L2447" i="1" l="1"/>
  <c r="M2447" i="1" s="1"/>
  <c r="J2447" i="1"/>
  <c r="I2447" i="1"/>
  <c r="K2447" i="1" s="1"/>
  <c r="H2448" i="1" s="1"/>
  <c r="L2448" i="1" l="1"/>
  <c r="M2448" i="1" s="1"/>
  <c r="J2448" i="1"/>
  <c r="I2448" i="1"/>
  <c r="K2448" i="1" s="1"/>
  <c r="H2449" i="1" s="1"/>
  <c r="L2449" i="1" l="1"/>
  <c r="M2449" i="1" s="1"/>
  <c r="J2449" i="1"/>
  <c r="I2449" i="1"/>
  <c r="K2449" i="1" s="1"/>
  <c r="H2450" i="1" s="1"/>
  <c r="L2450" i="1" l="1"/>
  <c r="M2450" i="1" s="1"/>
  <c r="J2450" i="1"/>
  <c r="I2450" i="1"/>
  <c r="K2450" i="1" s="1"/>
  <c r="H2451" i="1" s="1"/>
  <c r="L2451" i="1" l="1"/>
  <c r="M2451" i="1" s="1"/>
  <c r="I2451" i="1"/>
  <c r="K2451" i="1" s="1"/>
  <c r="H2452" i="1" s="1"/>
  <c r="J2451" i="1"/>
  <c r="L2452" i="1" l="1"/>
  <c r="M2452" i="1" s="1"/>
  <c r="J2452" i="1"/>
  <c r="I2452" i="1"/>
  <c r="K2452" i="1" s="1"/>
  <c r="H2453" i="1" s="1"/>
  <c r="L2453" i="1" l="1"/>
  <c r="M2453" i="1" s="1"/>
  <c r="I2453" i="1"/>
  <c r="K2453" i="1" s="1"/>
  <c r="H2454" i="1" s="1"/>
  <c r="J2453" i="1"/>
  <c r="L2454" i="1" l="1"/>
  <c r="M2454" i="1" s="1"/>
  <c r="J2454" i="1"/>
  <c r="I2454" i="1"/>
  <c r="K2454" i="1" s="1"/>
  <c r="H2455" i="1" s="1"/>
  <c r="L2455" i="1" l="1"/>
  <c r="M2455" i="1" s="1"/>
  <c r="I2455" i="1"/>
  <c r="K2455" i="1" s="1"/>
  <c r="H2456" i="1" s="1"/>
  <c r="J2455" i="1"/>
  <c r="J2456" i="1" l="1"/>
  <c r="I2456" i="1"/>
  <c r="K2456" i="1" s="1"/>
  <c r="H2457" i="1" s="1"/>
  <c r="L2456" i="1"/>
  <c r="M2456" i="1" s="1"/>
  <c r="L2457" i="1" l="1"/>
  <c r="M2457" i="1" s="1"/>
  <c r="I2457" i="1"/>
  <c r="K2457" i="1" s="1"/>
  <c r="H2458" i="1" s="1"/>
  <c r="J2457" i="1"/>
  <c r="L2458" i="1" l="1"/>
  <c r="M2458" i="1" s="1"/>
  <c r="I2458" i="1"/>
  <c r="K2458" i="1" s="1"/>
  <c r="H2459" i="1" s="1"/>
  <c r="J2458" i="1"/>
  <c r="L2459" i="1" l="1"/>
  <c r="M2459" i="1" s="1"/>
  <c r="I2459" i="1"/>
  <c r="K2459" i="1" s="1"/>
  <c r="H2460" i="1" s="1"/>
  <c r="J2459" i="1"/>
  <c r="L2460" i="1" l="1"/>
  <c r="M2460" i="1" s="1"/>
  <c r="J2460" i="1"/>
  <c r="I2460" i="1"/>
  <c r="K2460" i="1" s="1"/>
  <c r="H2461" i="1" s="1"/>
  <c r="J2461" i="1" l="1"/>
  <c r="L2461" i="1"/>
  <c r="M2461" i="1" s="1"/>
  <c r="I2461" i="1"/>
  <c r="K2461" i="1" s="1"/>
  <c r="H2462" i="1" s="1"/>
  <c r="L2462" i="1" l="1"/>
  <c r="M2462" i="1" s="1"/>
  <c r="J2462" i="1"/>
  <c r="I2462" i="1"/>
  <c r="K2462" i="1" s="1"/>
  <c r="H2463" i="1" s="1"/>
  <c r="I2463" i="1" l="1"/>
  <c r="K2463" i="1" s="1"/>
  <c r="H2464" i="1" s="1"/>
  <c r="L2463" i="1"/>
  <c r="M2463" i="1" s="1"/>
  <c r="J2463" i="1"/>
  <c r="L2464" i="1" l="1"/>
  <c r="M2464" i="1" s="1"/>
  <c r="J2464" i="1"/>
  <c r="I2464" i="1"/>
  <c r="K2464" i="1" s="1"/>
  <c r="H2465" i="1" s="1"/>
  <c r="L2465" i="1" l="1"/>
  <c r="M2465" i="1" s="1"/>
  <c r="I2465" i="1"/>
  <c r="K2465" i="1" s="1"/>
  <c r="H2466" i="1" s="1"/>
  <c r="J2465" i="1"/>
  <c r="L2466" i="1" l="1"/>
  <c r="M2466" i="1" s="1"/>
  <c r="J2466" i="1"/>
  <c r="I2466" i="1"/>
  <c r="K2466" i="1" s="1"/>
  <c r="H2467" i="1" s="1"/>
  <c r="J2467" i="1" l="1"/>
  <c r="L2467" i="1"/>
  <c r="M2467" i="1" s="1"/>
  <c r="I2467" i="1"/>
  <c r="K2467" i="1" s="1"/>
  <c r="H2468" i="1" s="1"/>
  <c r="L2468" i="1" l="1"/>
  <c r="M2468" i="1" s="1"/>
  <c r="J2468" i="1"/>
  <c r="I2468" i="1"/>
  <c r="K2468" i="1" s="1"/>
  <c r="H2469" i="1" s="1"/>
  <c r="L2469" i="1" l="1"/>
  <c r="M2469" i="1" s="1"/>
  <c r="I2469" i="1"/>
  <c r="K2469" i="1" s="1"/>
  <c r="H2470" i="1" s="1"/>
  <c r="J2469" i="1"/>
  <c r="L2470" i="1" l="1"/>
  <c r="M2470" i="1" s="1"/>
  <c r="J2470" i="1"/>
  <c r="I2470" i="1"/>
  <c r="K2470" i="1" s="1"/>
  <c r="H2471" i="1" s="1"/>
  <c r="L2471" i="1" l="1"/>
  <c r="M2471" i="1" s="1"/>
  <c r="J2471" i="1"/>
  <c r="I2471" i="1"/>
  <c r="K2471" i="1" s="1"/>
  <c r="H2472" i="1" s="1"/>
  <c r="L2472" i="1" l="1"/>
  <c r="M2472" i="1" s="1"/>
  <c r="J2472" i="1"/>
  <c r="I2472" i="1"/>
  <c r="K2472" i="1" s="1"/>
  <c r="H2473" i="1" s="1"/>
  <c r="J2473" i="1" l="1"/>
  <c r="L2473" i="1"/>
  <c r="M2473" i="1" s="1"/>
  <c r="I2473" i="1"/>
  <c r="K2473" i="1" s="1"/>
  <c r="H2474" i="1" s="1"/>
  <c r="L2474" i="1" l="1"/>
  <c r="M2474" i="1" s="1"/>
  <c r="I2474" i="1"/>
  <c r="K2474" i="1" s="1"/>
  <c r="H2475" i="1" s="1"/>
  <c r="J2474" i="1"/>
  <c r="L2475" i="1" l="1"/>
  <c r="M2475" i="1" s="1"/>
  <c r="J2475" i="1"/>
  <c r="I2475" i="1"/>
  <c r="K2475" i="1" s="1"/>
  <c r="H2476" i="1" s="1"/>
  <c r="L2476" i="1" l="1"/>
  <c r="M2476" i="1" s="1"/>
  <c r="J2476" i="1"/>
  <c r="I2476" i="1"/>
  <c r="K2476" i="1" s="1"/>
  <c r="H2477" i="1" s="1"/>
  <c r="L2477" i="1" l="1"/>
  <c r="M2477" i="1" s="1"/>
  <c r="J2477" i="1"/>
  <c r="I2477" i="1"/>
  <c r="K2477" i="1" s="1"/>
  <c r="H2478" i="1" s="1"/>
  <c r="L2478" i="1" l="1"/>
  <c r="M2478" i="1" s="1"/>
  <c r="J2478" i="1"/>
  <c r="I2478" i="1"/>
  <c r="K2478" i="1" s="1"/>
  <c r="H2479" i="1" s="1"/>
  <c r="L2479" i="1" l="1"/>
  <c r="M2479" i="1" s="1"/>
  <c r="J2479" i="1"/>
  <c r="I2479" i="1"/>
  <c r="K2479" i="1" s="1"/>
  <c r="H2480" i="1" s="1"/>
  <c r="L2480" i="1" l="1"/>
  <c r="M2480" i="1" s="1"/>
  <c r="J2480" i="1"/>
  <c r="I2480" i="1"/>
  <c r="K2480" i="1" s="1"/>
  <c r="H2481" i="1" s="1"/>
  <c r="L2481" i="1" l="1"/>
  <c r="M2481" i="1" s="1"/>
  <c r="J2481" i="1"/>
  <c r="I2481" i="1"/>
  <c r="K2481" i="1" s="1"/>
  <c r="H2482" i="1" s="1"/>
  <c r="L2482" i="1" l="1"/>
  <c r="M2482" i="1" s="1"/>
  <c r="J2482" i="1"/>
  <c r="I2482" i="1"/>
  <c r="K2482" i="1" s="1"/>
  <c r="H2483" i="1" s="1"/>
  <c r="L2483" i="1" l="1"/>
  <c r="M2483" i="1" s="1"/>
  <c r="I2483" i="1"/>
  <c r="K2483" i="1" s="1"/>
  <c r="H2484" i="1" s="1"/>
  <c r="J2483" i="1"/>
  <c r="L2484" i="1" l="1"/>
  <c r="M2484" i="1" s="1"/>
  <c r="J2484" i="1"/>
  <c r="I2484" i="1"/>
  <c r="K2484" i="1" s="1"/>
  <c r="H2485" i="1" s="1"/>
  <c r="J2485" i="1" l="1"/>
  <c r="L2485" i="1"/>
  <c r="M2485" i="1" s="1"/>
  <c r="I2485" i="1"/>
  <c r="K2485" i="1" s="1"/>
  <c r="H2486" i="1" s="1"/>
  <c r="J2486" i="1" l="1"/>
  <c r="L2486" i="1"/>
  <c r="M2486" i="1" s="1"/>
  <c r="I2486" i="1"/>
  <c r="K2486" i="1" s="1"/>
  <c r="H2487" i="1" s="1"/>
  <c r="L2487" i="1" l="1"/>
  <c r="M2487" i="1" s="1"/>
  <c r="J2487" i="1"/>
  <c r="I2487" i="1"/>
  <c r="K2487" i="1" s="1"/>
  <c r="H2488" i="1" s="1"/>
  <c r="L2488" i="1" l="1"/>
  <c r="M2488" i="1" s="1"/>
  <c r="I2488" i="1"/>
  <c r="K2488" i="1" s="1"/>
  <c r="H2489" i="1" s="1"/>
  <c r="J2488" i="1"/>
  <c r="L2489" i="1" l="1"/>
  <c r="M2489" i="1" s="1"/>
  <c r="I2489" i="1"/>
  <c r="K2489" i="1" s="1"/>
  <c r="H2490" i="1" s="1"/>
  <c r="J2489" i="1"/>
  <c r="L2490" i="1" l="1"/>
  <c r="M2490" i="1" s="1"/>
  <c r="J2490" i="1"/>
  <c r="I2490" i="1"/>
  <c r="K2490" i="1" s="1"/>
  <c r="H2491" i="1" s="1"/>
  <c r="L2491" i="1" l="1"/>
  <c r="M2491" i="1" s="1"/>
  <c r="I2491" i="1"/>
  <c r="K2491" i="1" s="1"/>
  <c r="H2492" i="1" s="1"/>
  <c r="J2491" i="1"/>
  <c r="L2492" i="1" l="1"/>
  <c r="M2492" i="1" s="1"/>
  <c r="J2492" i="1"/>
  <c r="I2492" i="1"/>
  <c r="K2492" i="1" s="1"/>
  <c r="H2493" i="1" s="1"/>
  <c r="L2493" i="1" l="1"/>
  <c r="M2493" i="1" s="1"/>
  <c r="I2493" i="1"/>
  <c r="K2493" i="1" s="1"/>
  <c r="H2494" i="1" s="1"/>
  <c r="J2493" i="1"/>
  <c r="L2494" i="1" l="1"/>
  <c r="M2494" i="1" s="1"/>
  <c r="J2494" i="1"/>
  <c r="I2494" i="1"/>
  <c r="K2494" i="1" s="1"/>
  <c r="H2495" i="1" s="1"/>
  <c r="L2495" i="1" l="1"/>
  <c r="M2495" i="1" s="1"/>
  <c r="J2495" i="1"/>
  <c r="I2495" i="1"/>
  <c r="K2495" i="1" s="1"/>
  <c r="H2496" i="1" s="1"/>
  <c r="L2496" i="1" l="1"/>
  <c r="M2496" i="1" s="1"/>
  <c r="I2496" i="1"/>
  <c r="K2496" i="1" s="1"/>
  <c r="H2497" i="1" s="1"/>
  <c r="J2496" i="1"/>
  <c r="J2497" i="1" l="1"/>
  <c r="L2497" i="1"/>
  <c r="M2497" i="1" s="1"/>
  <c r="I2497" i="1"/>
  <c r="K2497" i="1" s="1"/>
  <c r="H2498" i="1" s="1"/>
  <c r="L2498" i="1" l="1"/>
  <c r="M2498" i="1" s="1"/>
  <c r="J2498" i="1"/>
  <c r="I2498" i="1"/>
  <c r="K2498" i="1" s="1"/>
  <c r="H2499" i="1" s="1"/>
  <c r="L2499" i="1" l="1"/>
  <c r="M2499" i="1" s="1"/>
  <c r="I2499" i="1"/>
  <c r="K2499" i="1" s="1"/>
  <c r="H2500" i="1" s="1"/>
  <c r="J2499" i="1"/>
  <c r="L2500" i="1" l="1"/>
  <c r="M2500" i="1" s="1"/>
  <c r="J2500" i="1"/>
  <c r="I2500" i="1"/>
  <c r="K2500" i="1" s="1"/>
  <c r="H2501" i="1" s="1"/>
  <c r="L2501" i="1" l="1"/>
  <c r="M2501" i="1" s="1"/>
  <c r="J2501" i="1"/>
  <c r="I2501" i="1"/>
  <c r="K2501" i="1" s="1"/>
  <c r="H2502" i="1" s="1"/>
  <c r="L2502" i="1" l="1"/>
  <c r="M2502" i="1" s="1"/>
  <c r="J2502" i="1"/>
  <c r="I2502" i="1"/>
  <c r="K2502" i="1" s="1"/>
  <c r="H2503" i="1" s="1"/>
  <c r="J2503" i="1" l="1"/>
  <c r="L2503" i="1"/>
  <c r="M2503" i="1" s="1"/>
  <c r="I2503" i="1"/>
  <c r="K2503" i="1" s="1"/>
  <c r="H2504" i="1" s="1"/>
  <c r="L2504" i="1" l="1"/>
  <c r="M2504" i="1" s="1"/>
  <c r="I2504" i="1"/>
  <c r="K2504" i="1" s="1"/>
  <c r="H2505" i="1" s="1"/>
  <c r="J2504" i="1"/>
  <c r="L2505" i="1" l="1"/>
  <c r="M2505" i="1" s="1"/>
  <c r="I2505" i="1"/>
  <c r="K2505" i="1" s="1"/>
  <c r="H2506" i="1" s="1"/>
  <c r="J2505" i="1"/>
  <c r="L2506" i="1" l="1"/>
  <c r="M2506" i="1" s="1"/>
  <c r="I2506" i="1"/>
  <c r="K2506" i="1" s="1"/>
  <c r="H2507" i="1" s="1"/>
  <c r="J2506" i="1"/>
  <c r="L2507" i="1" l="1"/>
  <c r="M2507" i="1" s="1"/>
  <c r="J2507" i="1"/>
  <c r="I2507" i="1"/>
  <c r="K2507" i="1" s="1"/>
  <c r="H2508" i="1" s="1"/>
  <c r="L2508" i="1" l="1"/>
  <c r="M2508" i="1" s="1"/>
  <c r="J2508" i="1"/>
  <c r="I2508" i="1"/>
  <c r="K2508" i="1" s="1"/>
  <c r="H2509" i="1" s="1"/>
  <c r="L2509" i="1" l="1"/>
  <c r="M2509" i="1" s="1"/>
  <c r="I2509" i="1"/>
  <c r="K2509" i="1" s="1"/>
  <c r="H2510" i="1" s="1"/>
  <c r="J2509" i="1"/>
  <c r="L2510" i="1" l="1"/>
  <c r="M2510" i="1" s="1"/>
  <c r="J2510" i="1"/>
  <c r="I2510" i="1"/>
  <c r="K2510" i="1" s="1"/>
  <c r="H2511" i="1" s="1"/>
  <c r="L2511" i="1" l="1"/>
  <c r="M2511" i="1" s="1"/>
  <c r="I2511" i="1"/>
  <c r="K2511" i="1" s="1"/>
  <c r="H2512" i="1" s="1"/>
  <c r="J2511" i="1"/>
  <c r="L2512" i="1" l="1"/>
  <c r="M2512" i="1" s="1"/>
  <c r="I2512" i="1"/>
  <c r="K2512" i="1" s="1"/>
  <c r="H2513" i="1" s="1"/>
  <c r="J2512" i="1"/>
  <c r="L2513" i="1" l="1"/>
  <c r="M2513" i="1" s="1"/>
  <c r="J2513" i="1"/>
  <c r="I2513" i="1"/>
  <c r="K2513" i="1" s="1"/>
  <c r="H2514" i="1" s="1"/>
  <c r="L2514" i="1" l="1"/>
  <c r="M2514" i="1" s="1"/>
  <c r="J2514" i="1"/>
  <c r="I2514" i="1"/>
  <c r="K2514" i="1" s="1"/>
  <c r="H2515" i="1" s="1"/>
  <c r="J2515" i="1" l="1"/>
  <c r="L2515" i="1"/>
  <c r="M2515" i="1" s="1"/>
  <c r="I2515" i="1"/>
  <c r="K2515" i="1" s="1"/>
  <c r="H2516" i="1" s="1"/>
  <c r="L2516" i="1" l="1"/>
  <c r="M2516" i="1" s="1"/>
  <c r="J2516" i="1"/>
  <c r="I2516" i="1"/>
  <c r="K2516" i="1" s="1"/>
  <c r="H2517" i="1" s="1"/>
  <c r="L2517" i="1" l="1"/>
  <c r="M2517" i="1" s="1"/>
  <c r="J2517" i="1"/>
  <c r="I2517" i="1"/>
  <c r="K2517" i="1" s="1"/>
  <c r="H2518" i="1" s="1"/>
  <c r="L2518" i="1" l="1"/>
  <c r="M2518" i="1" s="1"/>
  <c r="J2518" i="1"/>
  <c r="I2518" i="1"/>
  <c r="K2518" i="1" s="1"/>
  <c r="H2519" i="1" s="1"/>
  <c r="L2519" i="1" l="1"/>
  <c r="M2519" i="1" s="1"/>
  <c r="J2519" i="1"/>
  <c r="I2519" i="1"/>
  <c r="K2519" i="1" s="1"/>
  <c r="H2520" i="1" s="1"/>
  <c r="L2520" i="1" l="1"/>
  <c r="M2520" i="1" s="1"/>
  <c r="I2520" i="1"/>
  <c r="K2520" i="1" s="1"/>
  <c r="H2521" i="1" s="1"/>
  <c r="J2520" i="1"/>
  <c r="L2521" i="1" l="1"/>
  <c r="M2521" i="1" s="1"/>
  <c r="J2521" i="1"/>
  <c r="I2521" i="1"/>
  <c r="K2521" i="1" s="1"/>
  <c r="H2522" i="1" s="1"/>
  <c r="L2522" i="1" l="1"/>
  <c r="M2522" i="1" s="1"/>
  <c r="J2522" i="1"/>
  <c r="I2522" i="1"/>
  <c r="K2522" i="1" s="1"/>
  <c r="H2523" i="1" s="1"/>
  <c r="L2523" i="1" l="1"/>
  <c r="M2523" i="1" s="1"/>
  <c r="I2523" i="1"/>
  <c r="K2523" i="1" s="1"/>
  <c r="H2524" i="1" s="1"/>
  <c r="J2523" i="1"/>
  <c r="L2524" i="1" l="1"/>
  <c r="M2524" i="1" s="1"/>
  <c r="J2524" i="1"/>
  <c r="I2524" i="1"/>
  <c r="K2524" i="1" s="1"/>
  <c r="H2525" i="1" s="1"/>
  <c r="L2525" i="1" l="1"/>
  <c r="M2525" i="1" s="1"/>
  <c r="J2525" i="1"/>
  <c r="I2525" i="1"/>
  <c r="K2525" i="1" s="1"/>
  <c r="H2526" i="1" s="1"/>
  <c r="L2526" i="1" l="1"/>
  <c r="M2526" i="1" s="1"/>
  <c r="J2526" i="1"/>
  <c r="I2526" i="1"/>
  <c r="K2526" i="1" s="1"/>
  <c r="H2527" i="1" s="1"/>
  <c r="L2527" i="1" l="1"/>
  <c r="M2527" i="1" s="1"/>
  <c r="J2527" i="1"/>
  <c r="I2527" i="1"/>
  <c r="K2527" i="1" s="1"/>
  <c r="H2528" i="1" s="1"/>
  <c r="J2528" i="1" l="1"/>
  <c r="I2528" i="1"/>
  <c r="K2528" i="1" s="1"/>
  <c r="H2529" i="1" s="1"/>
  <c r="L2528" i="1"/>
  <c r="M2528" i="1" s="1"/>
  <c r="L2529" i="1" l="1"/>
  <c r="M2529" i="1" s="1"/>
  <c r="I2529" i="1"/>
  <c r="K2529" i="1" s="1"/>
  <c r="H2530" i="1" s="1"/>
  <c r="J2529" i="1"/>
  <c r="L2530" i="1" l="1"/>
  <c r="M2530" i="1" s="1"/>
  <c r="J2530" i="1"/>
  <c r="I2530" i="1"/>
  <c r="K2530" i="1" s="1"/>
  <c r="H2531" i="1" s="1"/>
  <c r="L2531" i="1" l="1"/>
  <c r="M2531" i="1" s="1"/>
  <c r="J2531" i="1"/>
  <c r="I2531" i="1"/>
  <c r="K2531" i="1" s="1"/>
  <c r="H2532" i="1" s="1"/>
  <c r="L2532" i="1" l="1"/>
  <c r="M2532" i="1" s="1"/>
  <c r="I2532" i="1"/>
  <c r="K2532" i="1" s="1"/>
  <c r="H2533" i="1" s="1"/>
  <c r="J2532" i="1"/>
  <c r="J2533" i="1" l="1"/>
  <c r="L2533" i="1"/>
  <c r="M2533" i="1" s="1"/>
  <c r="I2533" i="1"/>
  <c r="K2533" i="1" s="1"/>
  <c r="H2534" i="1" s="1"/>
  <c r="J2534" i="1" l="1"/>
  <c r="L2534" i="1"/>
  <c r="M2534" i="1" s="1"/>
  <c r="I2534" i="1"/>
  <c r="K2534" i="1" s="1"/>
  <c r="H2535" i="1" s="1"/>
  <c r="L2535" i="1" l="1"/>
  <c r="M2535" i="1" s="1"/>
  <c r="J2535" i="1"/>
  <c r="I2535" i="1"/>
  <c r="K2535" i="1" s="1"/>
  <c r="H2536" i="1" s="1"/>
  <c r="L2536" i="1" l="1"/>
  <c r="M2536" i="1" s="1"/>
  <c r="J2536" i="1"/>
  <c r="I2536" i="1"/>
  <c r="K2536" i="1" s="1"/>
  <c r="H2537" i="1" s="1"/>
  <c r="L2537" i="1" l="1"/>
  <c r="M2537" i="1" s="1"/>
  <c r="J2537" i="1"/>
  <c r="I2537" i="1"/>
  <c r="K2537" i="1" s="1"/>
  <c r="H2538" i="1" s="1"/>
  <c r="L2538" i="1" l="1"/>
  <c r="M2538" i="1" s="1"/>
  <c r="J2538" i="1"/>
  <c r="I2538" i="1"/>
  <c r="K2538" i="1" s="1"/>
  <c r="H2539" i="1" s="1"/>
  <c r="L2539" i="1" l="1"/>
  <c r="M2539" i="1" s="1"/>
  <c r="J2539" i="1"/>
  <c r="I2539" i="1"/>
  <c r="K2539" i="1" s="1"/>
  <c r="H2540" i="1" s="1"/>
  <c r="L2540" i="1" l="1"/>
  <c r="M2540" i="1" s="1"/>
  <c r="J2540" i="1"/>
  <c r="I2540" i="1"/>
  <c r="K2540" i="1" s="1"/>
  <c r="H2541" i="1" s="1"/>
  <c r="L2541" i="1" l="1"/>
  <c r="M2541" i="1" s="1"/>
  <c r="J2541" i="1"/>
  <c r="I2541" i="1"/>
  <c r="K2541" i="1" s="1"/>
  <c r="H2542" i="1" s="1"/>
  <c r="L2542" i="1" l="1"/>
  <c r="M2542" i="1" s="1"/>
  <c r="J2542" i="1"/>
  <c r="I2542" i="1"/>
  <c r="K2542" i="1" s="1"/>
  <c r="H2543" i="1" s="1"/>
  <c r="L2543" i="1" l="1"/>
  <c r="M2543" i="1" s="1"/>
  <c r="J2543" i="1"/>
  <c r="I2543" i="1"/>
  <c r="K2543" i="1" s="1"/>
  <c r="H2544" i="1" s="1"/>
  <c r="L2544" i="1" l="1"/>
  <c r="M2544" i="1" s="1"/>
  <c r="I2544" i="1"/>
  <c r="K2544" i="1" s="1"/>
  <c r="H2545" i="1" s="1"/>
  <c r="J2544" i="1"/>
  <c r="L2545" i="1" l="1"/>
  <c r="M2545" i="1" s="1"/>
  <c r="J2545" i="1"/>
  <c r="I2545" i="1"/>
  <c r="K2545" i="1" s="1"/>
  <c r="H2546" i="1" s="1"/>
  <c r="L2546" i="1" l="1"/>
  <c r="M2546" i="1" s="1"/>
  <c r="I2546" i="1"/>
  <c r="K2546" i="1" s="1"/>
  <c r="H2547" i="1" s="1"/>
  <c r="J2546" i="1"/>
  <c r="L2547" i="1" l="1"/>
  <c r="M2547" i="1" s="1"/>
  <c r="J2547" i="1"/>
  <c r="I2547" i="1"/>
  <c r="K2547" i="1" s="1"/>
  <c r="H2548" i="1" s="1"/>
  <c r="L2548" i="1" l="1"/>
  <c r="M2548" i="1" s="1"/>
  <c r="J2548" i="1"/>
  <c r="I2548" i="1"/>
  <c r="K2548" i="1" s="1"/>
  <c r="H2549" i="1" s="1"/>
  <c r="I2549" i="1" l="1"/>
  <c r="K2549" i="1" s="1"/>
  <c r="H2550" i="1" s="1"/>
  <c r="L2549" i="1"/>
  <c r="M2549" i="1" s="1"/>
  <c r="J2549" i="1"/>
  <c r="L2550" i="1" l="1"/>
  <c r="M2550" i="1" s="1"/>
  <c r="I2550" i="1"/>
  <c r="K2550" i="1" s="1"/>
  <c r="H2551" i="1" s="1"/>
  <c r="J2550" i="1"/>
  <c r="I2551" i="1" l="1"/>
  <c r="K2551" i="1" s="1"/>
  <c r="H2552" i="1" s="1"/>
  <c r="L2551" i="1"/>
  <c r="M2551" i="1" s="1"/>
  <c r="J2551" i="1"/>
  <c r="L2552" i="1" l="1"/>
  <c r="M2552" i="1" s="1"/>
  <c r="J2552" i="1"/>
  <c r="I2552" i="1"/>
  <c r="K2552" i="1" s="1"/>
  <c r="H2553" i="1" s="1"/>
  <c r="I2553" i="1" l="1"/>
  <c r="K2553" i="1" s="1"/>
  <c r="H2554" i="1" s="1"/>
  <c r="L2553" i="1"/>
  <c r="M2553" i="1" s="1"/>
  <c r="J2553" i="1"/>
  <c r="L2554" i="1" l="1"/>
  <c r="M2554" i="1" s="1"/>
  <c r="J2554" i="1"/>
  <c r="I2554" i="1"/>
  <c r="K2554" i="1" s="1"/>
  <c r="H2555" i="1" s="1"/>
  <c r="L2555" i="1" l="1"/>
  <c r="M2555" i="1" s="1"/>
  <c r="J2555" i="1"/>
  <c r="I2555" i="1"/>
  <c r="K2555" i="1" s="1"/>
  <c r="H2556" i="1" s="1"/>
  <c r="L2556" i="1" l="1"/>
  <c r="M2556" i="1" s="1"/>
  <c r="J2556" i="1"/>
  <c r="I2556" i="1"/>
  <c r="K2556" i="1" s="1"/>
  <c r="H2557" i="1" s="1"/>
  <c r="L2557" i="1" l="1"/>
  <c r="M2557" i="1" s="1"/>
  <c r="I2557" i="1"/>
  <c r="K2557" i="1" s="1"/>
  <c r="H2558" i="1" s="1"/>
  <c r="J2557" i="1"/>
  <c r="L2558" i="1" l="1"/>
  <c r="M2558" i="1" s="1"/>
  <c r="J2558" i="1"/>
  <c r="I2558" i="1"/>
  <c r="K2558" i="1" s="1"/>
  <c r="H2559" i="1" s="1"/>
  <c r="J2559" i="1" l="1"/>
  <c r="I2559" i="1"/>
  <c r="K2559" i="1" s="1"/>
  <c r="H2560" i="1" s="1"/>
  <c r="L2559" i="1"/>
  <c r="M2559" i="1" s="1"/>
  <c r="L2560" i="1" l="1"/>
  <c r="M2560" i="1" s="1"/>
  <c r="J2560" i="1"/>
  <c r="I2560" i="1"/>
  <c r="K2560" i="1" s="1"/>
  <c r="H2561" i="1" s="1"/>
  <c r="L2561" i="1" l="1"/>
  <c r="M2561" i="1" s="1"/>
  <c r="I2561" i="1"/>
  <c r="K2561" i="1" s="1"/>
  <c r="H2562" i="1" s="1"/>
  <c r="J2561" i="1"/>
  <c r="L2562" i="1" l="1"/>
  <c r="M2562" i="1" s="1"/>
  <c r="J2562" i="1"/>
  <c r="I2562" i="1"/>
  <c r="K2562" i="1" s="1"/>
  <c r="H2563" i="1" s="1"/>
  <c r="L2563" i="1" l="1"/>
  <c r="M2563" i="1" s="1"/>
  <c r="J2563" i="1"/>
  <c r="I2563" i="1"/>
  <c r="K2563" i="1" s="1"/>
  <c r="H2564" i="1" s="1"/>
  <c r="L2564" i="1" l="1"/>
  <c r="M2564" i="1" s="1"/>
  <c r="I2564" i="1"/>
  <c r="K2564" i="1" s="1"/>
  <c r="H2565" i="1" s="1"/>
  <c r="J2564" i="1"/>
  <c r="L2565" i="1" l="1"/>
  <c r="M2565" i="1" s="1"/>
  <c r="J2565" i="1"/>
  <c r="I2565" i="1"/>
  <c r="K2565" i="1" s="1"/>
  <c r="H2566" i="1" s="1"/>
  <c r="L2566" i="1" l="1"/>
  <c r="M2566" i="1" s="1"/>
  <c r="J2566" i="1"/>
  <c r="I2566" i="1"/>
  <c r="K2566" i="1" s="1"/>
  <c r="H2567" i="1" s="1"/>
  <c r="L2567" i="1" l="1"/>
  <c r="M2567" i="1" s="1"/>
  <c r="J2567" i="1"/>
  <c r="I2567" i="1"/>
  <c r="K2567" i="1" s="1"/>
  <c r="H2568" i="1" s="1"/>
  <c r="L2568" i="1" l="1"/>
  <c r="M2568" i="1" s="1"/>
  <c r="J2568" i="1"/>
  <c r="I2568" i="1"/>
  <c r="K2568" i="1" s="1"/>
  <c r="H2569" i="1" s="1"/>
  <c r="I2569" i="1" l="1"/>
  <c r="K2569" i="1" s="1"/>
  <c r="H2570" i="1" s="1"/>
  <c r="J2569" i="1"/>
  <c r="L2569" i="1"/>
  <c r="M2569" i="1" s="1"/>
  <c r="L2570" i="1" l="1"/>
  <c r="M2570" i="1" s="1"/>
  <c r="J2570" i="1"/>
  <c r="I2570" i="1"/>
  <c r="K2570" i="1" s="1"/>
  <c r="H2571" i="1" s="1"/>
  <c r="L2571" i="1" l="1"/>
  <c r="M2571" i="1" s="1"/>
  <c r="I2571" i="1"/>
  <c r="K2571" i="1" s="1"/>
  <c r="H2572" i="1" s="1"/>
  <c r="J2571" i="1"/>
  <c r="L2572" i="1" l="1"/>
  <c r="M2572" i="1" s="1"/>
  <c r="J2572" i="1"/>
  <c r="I2572" i="1"/>
  <c r="K2572" i="1" s="1"/>
  <c r="H2573" i="1" s="1"/>
  <c r="L2573" i="1" l="1"/>
  <c r="M2573" i="1" s="1"/>
  <c r="J2573" i="1"/>
  <c r="I2573" i="1"/>
  <c r="K2573" i="1" s="1"/>
  <c r="H2574" i="1" s="1"/>
  <c r="L2574" i="1" l="1"/>
  <c r="M2574" i="1" s="1"/>
  <c r="J2574" i="1"/>
  <c r="I2574" i="1"/>
  <c r="K2574" i="1" s="1"/>
  <c r="H2575" i="1" s="1"/>
  <c r="J2575" i="1" l="1"/>
  <c r="L2575" i="1"/>
  <c r="M2575" i="1" s="1"/>
  <c r="I2575" i="1"/>
  <c r="K2575" i="1" s="1"/>
  <c r="H2576" i="1" s="1"/>
  <c r="L2576" i="1" l="1"/>
  <c r="M2576" i="1" s="1"/>
  <c r="J2576" i="1"/>
  <c r="I2576" i="1"/>
  <c r="K2576" i="1" s="1"/>
  <c r="H2577" i="1" s="1"/>
  <c r="L2577" i="1" l="1"/>
  <c r="M2577" i="1" s="1"/>
  <c r="J2577" i="1"/>
  <c r="I2577" i="1"/>
  <c r="K2577" i="1" s="1"/>
  <c r="H2578" i="1" s="1"/>
  <c r="L2578" i="1" l="1"/>
  <c r="M2578" i="1" s="1"/>
  <c r="J2578" i="1"/>
  <c r="I2578" i="1"/>
  <c r="K2578" i="1" s="1"/>
  <c r="H2579" i="1" s="1"/>
  <c r="L2579" i="1" l="1"/>
  <c r="M2579" i="1" s="1"/>
  <c r="J2579" i="1"/>
  <c r="I2579" i="1"/>
  <c r="K2579" i="1" s="1"/>
  <c r="H2580" i="1" s="1"/>
  <c r="I2580" i="1" l="1"/>
  <c r="K2580" i="1" s="1"/>
  <c r="H2581" i="1" s="1"/>
  <c r="L2580" i="1"/>
  <c r="M2580" i="1" s="1"/>
  <c r="J2580" i="1"/>
  <c r="J2581" i="1" l="1"/>
  <c r="L2581" i="1"/>
  <c r="M2581" i="1" s="1"/>
  <c r="I2581" i="1"/>
  <c r="K2581" i="1" s="1"/>
  <c r="H2582" i="1" s="1"/>
  <c r="L2582" i="1" l="1"/>
  <c r="M2582" i="1" s="1"/>
  <c r="J2582" i="1"/>
  <c r="I2582" i="1"/>
  <c r="K2582" i="1" s="1"/>
  <c r="H2583" i="1" s="1"/>
  <c r="L2583" i="1" l="1"/>
  <c r="M2583" i="1" s="1"/>
  <c r="J2583" i="1"/>
  <c r="I2583" i="1"/>
  <c r="K2583" i="1" s="1"/>
  <c r="H2584" i="1" s="1"/>
  <c r="L2584" i="1" l="1"/>
  <c r="M2584" i="1" s="1"/>
  <c r="J2584" i="1"/>
  <c r="I2584" i="1"/>
  <c r="K2584" i="1" s="1"/>
  <c r="H2585" i="1" s="1"/>
  <c r="L2585" i="1" l="1"/>
  <c r="M2585" i="1" s="1"/>
  <c r="J2585" i="1"/>
  <c r="I2585" i="1"/>
  <c r="K2585" i="1" s="1"/>
  <c r="H2586" i="1" s="1"/>
  <c r="I2586" i="1" l="1"/>
  <c r="K2586" i="1" s="1"/>
  <c r="H2587" i="1" s="1"/>
  <c r="L2586" i="1"/>
  <c r="M2586" i="1" s="1"/>
  <c r="J2586" i="1"/>
  <c r="L2587" i="1" l="1"/>
  <c r="M2587" i="1" s="1"/>
  <c r="J2587" i="1"/>
  <c r="I2587" i="1"/>
  <c r="K2587" i="1" s="1"/>
  <c r="H2588" i="1" s="1"/>
  <c r="L2588" i="1" l="1"/>
  <c r="M2588" i="1" s="1"/>
  <c r="J2588" i="1"/>
  <c r="I2588" i="1"/>
  <c r="K2588" i="1" s="1"/>
  <c r="H2589" i="1" s="1"/>
  <c r="L2589" i="1" l="1"/>
  <c r="M2589" i="1" s="1"/>
  <c r="J2589" i="1"/>
  <c r="I2589" i="1"/>
  <c r="K2589" i="1" s="1"/>
  <c r="H2590" i="1" s="1"/>
  <c r="I2590" i="1" l="1"/>
  <c r="K2590" i="1" s="1"/>
  <c r="H2591" i="1" s="1"/>
  <c r="L2590" i="1"/>
  <c r="M2590" i="1" s="1"/>
  <c r="J2590" i="1"/>
  <c r="L2591" i="1" l="1"/>
  <c r="M2591" i="1" s="1"/>
  <c r="J2591" i="1"/>
  <c r="I2591" i="1"/>
  <c r="K2591" i="1" s="1"/>
  <c r="H2592" i="1" s="1"/>
  <c r="L2592" i="1" l="1"/>
  <c r="M2592" i="1" s="1"/>
  <c r="J2592" i="1"/>
  <c r="I2592" i="1"/>
  <c r="K2592" i="1" s="1"/>
  <c r="H2593" i="1" s="1"/>
  <c r="J2593" i="1" l="1"/>
  <c r="L2593" i="1"/>
  <c r="M2593" i="1" s="1"/>
  <c r="I2593" i="1"/>
  <c r="K2593" i="1" s="1"/>
  <c r="H2594" i="1" s="1"/>
  <c r="J2594" i="1" l="1"/>
  <c r="L2594" i="1"/>
  <c r="M2594" i="1" s="1"/>
  <c r="I2594" i="1"/>
  <c r="K2594" i="1" s="1"/>
  <c r="H2595" i="1" s="1"/>
  <c r="L2595" i="1" l="1"/>
  <c r="M2595" i="1" s="1"/>
  <c r="J2595" i="1"/>
  <c r="I2595" i="1"/>
  <c r="K2595" i="1" s="1"/>
  <c r="H2596" i="1" s="1"/>
  <c r="I2596" i="1" l="1"/>
  <c r="K2596" i="1" s="1"/>
  <c r="H2597" i="1" s="1"/>
  <c r="L2596" i="1"/>
  <c r="M2596" i="1" s="1"/>
  <c r="J2596" i="1"/>
  <c r="L2597" i="1" l="1"/>
  <c r="M2597" i="1" s="1"/>
  <c r="J2597" i="1"/>
  <c r="I2597" i="1"/>
  <c r="K2597" i="1" s="1"/>
  <c r="H2598" i="1" s="1"/>
  <c r="L2598" i="1" l="1"/>
  <c r="M2598" i="1" s="1"/>
  <c r="J2598" i="1"/>
  <c r="I2598" i="1"/>
  <c r="K2598" i="1" s="1"/>
  <c r="H2599" i="1" s="1"/>
  <c r="L2599" i="1" l="1"/>
  <c r="M2599" i="1" s="1"/>
  <c r="J2599" i="1"/>
  <c r="I2599" i="1"/>
  <c r="K2599" i="1" s="1"/>
  <c r="H2600" i="1" s="1"/>
  <c r="L2600" i="1" l="1"/>
  <c r="M2600" i="1" s="1"/>
  <c r="J2600" i="1"/>
  <c r="I2600" i="1"/>
  <c r="K2600" i="1" s="1"/>
  <c r="H2601" i="1" s="1"/>
  <c r="L2601" i="1" l="1"/>
  <c r="M2601" i="1" s="1"/>
  <c r="J2601" i="1"/>
  <c r="I2601" i="1"/>
  <c r="K2601" i="1" s="1"/>
  <c r="H2602" i="1" s="1"/>
  <c r="L2602" i="1" l="1"/>
  <c r="M2602" i="1" s="1"/>
  <c r="J2602" i="1"/>
  <c r="I2602" i="1"/>
  <c r="K2602" i="1" s="1"/>
  <c r="H2603" i="1" s="1"/>
  <c r="L2603" i="1" l="1"/>
  <c r="M2603" i="1" s="1"/>
  <c r="J2603" i="1"/>
  <c r="I2603" i="1"/>
  <c r="K2603" i="1" s="1"/>
  <c r="H2604" i="1" s="1"/>
  <c r="L2604" i="1" l="1"/>
  <c r="M2604" i="1" s="1"/>
  <c r="J2604" i="1"/>
  <c r="I2604" i="1"/>
  <c r="K2604" i="1" s="1"/>
  <c r="H2605" i="1" s="1"/>
  <c r="J2605" i="1" l="1"/>
  <c r="L2605" i="1"/>
  <c r="M2605" i="1" s="1"/>
  <c r="I2605" i="1"/>
  <c r="K2605" i="1" s="1"/>
  <c r="H2606" i="1" s="1"/>
  <c r="L2606" i="1" l="1"/>
  <c r="M2606" i="1" s="1"/>
  <c r="I2606" i="1"/>
  <c r="K2606" i="1" s="1"/>
  <c r="H2607" i="1" s="1"/>
  <c r="J2606" i="1"/>
  <c r="L2607" i="1" l="1"/>
  <c r="M2607" i="1" s="1"/>
  <c r="J2607" i="1"/>
  <c r="I2607" i="1"/>
  <c r="K2607" i="1" s="1"/>
  <c r="H2608" i="1" s="1"/>
  <c r="L2608" i="1" l="1"/>
  <c r="M2608" i="1" s="1"/>
  <c r="J2608" i="1"/>
  <c r="I2608" i="1"/>
  <c r="K2608" i="1" s="1"/>
  <c r="H2609" i="1" s="1"/>
  <c r="L2609" i="1" l="1"/>
  <c r="M2609" i="1" s="1"/>
  <c r="J2609" i="1"/>
  <c r="I2609" i="1"/>
  <c r="K2609" i="1" s="1"/>
  <c r="H2610" i="1" s="1"/>
  <c r="L2610" i="1" l="1"/>
  <c r="M2610" i="1" s="1"/>
  <c r="J2610" i="1"/>
  <c r="I2610" i="1"/>
  <c r="K2610" i="1" s="1"/>
  <c r="H2611" i="1" s="1"/>
  <c r="J2611" i="1" l="1"/>
  <c r="L2611" i="1"/>
  <c r="M2611" i="1" s="1"/>
  <c r="I2611" i="1"/>
  <c r="K2611" i="1" s="1"/>
  <c r="H2612" i="1" s="1"/>
  <c r="L2612" i="1" l="1"/>
  <c r="M2612" i="1" s="1"/>
  <c r="J2612" i="1"/>
  <c r="I2612" i="1"/>
  <c r="K2612" i="1" s="1"/>
  <c r="H2613" i="1" s="1"/>
  <c r="L2613" i="1" l="1"/>
  <c r="M2613" i="1" s="1"/>
  <c r="I2613" i="1"/>
  <c r="K2613" i="1" s="1"/>
  <c r="H2614" i="1" s="1"/>
  <c r="J2613" i="1"/>
  <c r="L2614" i="1" l="1"/>
  <c r="M2614" i="1" s="1"/>
  <c r="I2614" i="1"/>
  <c r="K2614" i="1" s="1"/>
  <c r="H2615" i="1" s="1"/>
  <c r="J2614" i="1"/>
  <c r="L2615" i="1" l="1"/>
  <c r="M2615" i="1" s="1"/>
  <c r="J2615" i="1"/>
  <c r="I2615" i="1"/>
  <c r="K2615" i="1" s="1"/>
  <c r="H2616" i="1" s="1"/>
  <c r="L2616" i="1" l="1"/>
  <c r="M2616" i="1" s="1"/>
  <c r="J2616" i="1"/>
  <c r="I2616" i="1"/>
  <c r="K2616" i="1" s="1"/>
  <c r="H2617" i="1" s="1"/>
  <c r="L2617" i="1" l="1"/>
  <c r="M2617" i="1" s="1"/>
  <c r="J2617" i="1"/>
  <c r="I2617" i="1"/>
  <c r="K2617" i="1" s="1"/>
  <c r="H2618" i="1" s="1"/>
  <c r="L2618" i="1" l="1"/>
  <c r="M2618" i="1" s="1"/>
  <c r="J2618" i="1"/>
  <c r="I2618" i="1"/>
  <c r="K2618" i="1" s="1"/>
  <c r="H2619" i="1" s="1"/>
  <c r="L2619" i="1" l="1"/>
  <c r="M2619" i="1" s="1"/>
  <c r="J2619" i="1"/>
  <c r="I2619" i="1"/>
  <c r="K2619" i="1" s="1"/>
  <c r="H2620" i="1" s="1"/>
  <c r="L2620" i="1" l="1"/>
  <c r="M2620" i="1" s="1"/>
  <c r="J2620" i="1"/>
  <c r="I2620" i="1"/>
  <c r="K2620" i="1" s="1"/>
  <c r="H2621" i="1" s="1"/>
  <c r="L2621" i="1" l="1"/>
  <c r="M2621" i="1" s="1"/>
  <c r="J2621" i="1"/>
  <c r="I2621" i="1"/>
  <c r="K2621" i="1" s="1"/>
  <c r="H2622" i="1" s="1"/>
  <c r="L2622" i="1" l="1"/>
  <c r="M2622" i="1" s="1"/>
  <c r="J2622" i="1"/>
  <c r="I2622" i="1"/>
  <c r="K2622" i="1" s="1"/>
  <c r="H2623" i="1" s="1"/>
  <c r="J2623" i="1" l="1"/>
  <c r="L2623" i="1"/>
  <c r="M2623" i="1" s="1"/>
  <c r="I2623" i="1"/>
  <c r="K2623" i="1" s="1"/>
  <c r="H2624" i="1" s="1"/>
  <c r="L2624" i="1" l="1"/>
  <c r="M2624" i="1" s="1"/>
  <c r="J2624" i="1"/>
  <c r="I2624" i="1"/>
  <c r="K2624" i="1" s="1"/>
  <c r="H2625" i="1" s="1"/>
  <c r="L2625" i="1" l="1"/>
  <c r="M2625" i="1" s="1"/>
  <c r="J2625" i="1"/>
  <c r="I2625" i="1"/>
  <c r="K2625" i="1" s="1"/>
  <c r="H2626" i="1" s="1"/>
  <c r="I2626" i="1" l="1"/>
  <c r="K2626" i="1" s="1"/>
  <c r="H2627" i="1" s="1"/>
  <c r="L2626" i="1"/>
  <c r="M2626" i="1" s="1"/>
  <c r="J2626" i="1"/>
  <c r="L2627" i="1" l="1"/>
  <c r="M2627" i="1" s="1"/>
  <c r="I2627" i="1"/>
  <c r="K2627" i="1" s="1"/>
  <c r="H2628" i="1" s="1"/>
  <c r="J2627" i="1"/>
  <c r="L2628" i="1" l="1"/>
  <c r="M2628" i="1" s="1"/>
  <c r="I2628" i="1"/>
  <c r="K2628" i="1" s="1"/>
  <c r="H2629" i="1" s="1"/>
  <c r="J2628" i="1"/>
  <c r="L2629" i="1" l="1"/>
  <c r="M2629" i="1" s="1"/>
  <c r="J2629" i="1"/>
  <c r="I2629" i="1"/>
  <c r="K2629" i="1" s="1"/>
  <c r="H2630" i="1" s="1"/>
  <c r="J2630" i="1" l="1"/>
  <c r="L2630" i="1"/>
  <c r="M2630" i="1" s="1"/>
  <c r="I2630" i="1"/>
  <c r="K2630" i="1" s="1"/>
  <c r="H2631" i="1" s="1"/>
  <c r="L2631" i="1" l="1"/>
  <c r="M2631" i="1" s="1"/>
  <c r="J2631" i="1"/>
  <c r="I2631" i="1"/>
  <c r="K2631" i="1" s="1"/>
  <c r="H2632" i="1" s="1"/>
  <c r="L2632" i="1" l="1"/>
  <c r="M2632" i="1" s="1"/>
  <c r="J2632" i="1"/>
  <c r="I2632" i="1"/>
  <c r="K2632" i="1" s="1"/>
  <c r="H2633" i="1" s="1"/>
  <c r="J2633" i="1" l="1"/>
  <c r="I2633" i="1"/>
  <c r="K2633" i="1" s="1"/>
  <c r="H2634" i="1" s="1"/>
  <c r="L2633" i="1"/>
  <c r="M2633" i="1" s="1"/>
  <c r="L2634" i="1" l="1"/>
  <c r="M2634" i="1" s="1"/>
  <c r="J2634" i="1"/>
  <c r="I2634" i="1"/>
  <c r="K2634" i="1" s="1"/>
  <c r="H2635" i="1" s="1"/>
  <c r="L2635" i="1" l="1"/>
  <c r="M2635" i="1" s="1"/>
  <c r="J2635" i="1"/>
  <c r="I2635" i="1"/>
  <c r="K2635" i="1" s="1"/>
  <c r="H2636" i="1" s="1"/>
  <c r="L2636" i="1" l="1"/>
  <c r="M2636" i="1" s="1"/>
  <c r="J2636" i="1"/>
  <c r="I2636" i="1"/>
  <c r="K2636" i="1" s="1"/>
  <c r="H2637" i="1" s="1"/>
  <c r="L2637" i="1" l="1"/>
  <c r="M2637" i="1" s="1"/>
  <c r="J2637" i="1"/>
  <c r="I2637" i="1"/>
  <c r="K2637" i="1" s="1"/>
  <c r="H2638" i="1" s="1"/>
  <c r="L2638" i="1" l="1"/>
  <c r="M2638" i="1" s="1"/>
  <c r="J2638" i="1"/>
  <c r="I2638" i="1"/>
  <c r="K2638" i="1" s="1"/>
  <c r="H2639" i="1" s="1"/>
  <c r="L2639" i="1" l="1"/>
  <c r="M2639" i="1" s="1"/>
  <c r="J2639" i="1"/>
  <c r="I2639" i="1"/>
  <c r="K2639" i="1" s="1"/>
  <c r="H2640" i="1" s="1"/>
  <c r="L2640" i="1" l="1"/>
  <c r="M2640" i="1" s="1"/>
  <c r="J2640" i="1"/>
  <c r="I2640" i="1"/>
  <c r="K2640" i="1" s="1"/>
  <c r="H2641" i="1" s="1"/>
  <c r="J2641" i="1" l="1"/>
  <c r="L2641" i="1"/>
  <c r="M2641" i="1" s="1"/>
  <c r="I2641" i="1"/>
  <c r="K2641" i="1" s="1"/>
  <c r="H2642" i="1" s="1"/>
  <c r="J2642" i="1" l="1"/>
  <c r="L2642" i="1"/>
  <c r="M2642" i="1" s="1"/>
  <c r="I2642" i="1"/>
  <c r="K2642" i="1" s="1"/>
  <c r="H2643" i="1" s="1"/>
  <c r="L2643" i="1" l="1"/>
  <c r="M2643" i="1" s="1"/>
  <c r="J2643" i="1"/>
  <c r="I2643" i="1"/>
  <c r="K2643" i="1" s="1"/>
  <c r="H2644" i="1" s="1"/>
  <c r="L2644" i="1" l="1"/>
  <c r="M2644" i="1" s="1"/>
  <c r="J2644" i="1"/>
  <c r="I2644" i="1"/>
  <c r="K2644" i="1" s="1"/>
  <c r="H2645" i="1" s="1"/>
  <c r="J2645" i="1" l="1"/>
  <c r="I2645" i="1"/>
  <c r="K2645" i="1" s="1"/>
  <c r="H2646" i="1" s="1"/>
  <c r="L2645" i="1"/>
  <c r="M2645" i="1" s="1"/>
  <c r="L2646" i="1" l="1"/>
  <c r="M2646" i="1" s="1"/>
  <c r="J2646" i="1"/>
  <c r="I2646" i="1"/>
  <c r="K2646" i="1" s="1"/>
  <c r="H2647" i="1" s="1"/>
  <c r="L2647" i="1" l="1"/>
  <c r="M2647" i="1" s="1"/>
  <c r="J2647" i="1"/>
  <c r="I2647" i="1"/>
  <c r="K2647" i="1" s="1"/>
  <c r="H2648" i="1" s="1"/>
  <c r="L2648" i="1" l="1"/>
  <c r="M2648" i="1" s="1"/>
  <c r="J2648" i="1"/>
  <c r="I2648" i="1"/>
  <c r="K2648" i="1" s="1"/>
  <c r="H2649" i="1" s="1"/>
  <c r="I2649" i="1" l="1"/>
  <c r="K2649" i="1" s="1"/>
  <c r="H2650" i="1" s="1"/>
  <c r="L2649" i="1"/>
  <c r="M2649" i="1" s="1"/>
  <c r="J2649" i="1"/>
  <c r="L2650" i="1" l="1"/>
  <c r="M2650" i="1" s="1"/>
  <c r="J2650" i="1"/>
  <c r="I2650" i="1"/>
  <c r="K2650" i="1" s="1"/>
  <c r="H2651" i="1" s="1"/>
  <c r="L2651" i="1" l="1"/>
  <c r="M2651" i="1" s="1"/>
  <c r="J2651" i="1"/>
  <c r="I2651" i="1"/>
  <c r="K2651" i="1" s="1"/>
  <c r="H2652" i="1" s="1"/>
  <c r="L2652" i="1" l="1"/>
  <c r="M2652" i="1" s="1"/>
  <c r="J2652" i="1"/>
  <c r="I2652" i="1"/>
  <c r="K2652" i="1" s="1"/>
  <c r="H2653" i="1" s="1"/>
  <c r="L2653" i="1" l="1"/>
  <c r="M2653" i="1" s="1"/>
  <c r="J2653" i="1"/>
  <c r="I2653" i="1"/>
  <c r="K2653" i="1" s="1"/>
  <c r="H2654" i="1" s="1"/>
  <c r="L2654" i="1" l="1"/>
  <c r="M2654" i="1" s="1"/>
  <c r="J2654" i="1"/>
  <c r="I2654" i="1"/>
  <c r="K2654" i="1" s="1"/>
  <c r="H2655" i="1" s="1"/>
  <c r="L2655" i="1" l="1"/>
  <c r="M2655" i="1" s="1"/>
  <c r="J2655" i="1"/>
  <c r="I2655" i="1"/>
  <c r="K2655" i="1" s="1"/>
  <c r="H2656" i="1" s="1"/>
  <c r="L2656" i="1" l="1"/>
  <c r="M2656" i="1" s="1"/>
  <c r="J2656" i="1"/>
  <c r="I2656" i="1"/>
  <c r="K2656" i="1" s="1"/>
  <c r="H2657" i="1" s="1"/>
  <c r="L2657" i="1" l="1"/>
  <c r="M2657" i="1" s="1"/>
  <c r="J2657" i="1"/>
  <c r="I2657" i="1"/>
  <c r="K2657" i="1" s="1"/>
  <c r="H2658" i="1" s="1"/>
  <c r="L2658" i="1" l="1"/>
  <c r="M2658" i="1" s="1"/>
  <c r="J2658" i="1"/>
  <c r="I2658" i="1"/>
  <c r="K2658" i="1" s="1"/>
  <c r="H2659" i="1" s="1"/>
  <c r="L2659" i="1" l="1"/>
  <c r="M2659" i="1" s="1"/>
  <c r="J2659" i="1"/>
  <c r="I2659" i="1"/>
  <c r="K2659" i="1" s="1"/>
  <c r="H2660" i="1" s="1"/>
  <c r="L2660" i="1" l="1"/>
  <c r="M2660" i="1" s="1"/>
  <c r="J2660" i="1"/>
  <c r="I2660" i="1"/>
  <c r="K2660" i="1" s="1"/>
  <c r="H2661" i="1" s="1"/>
  <c r="L2661" i="1" l="1"/>
  <c r="M2661" i="1" s="1"/>
  <c r="J2661" i="1"/>
  <c r="I2661" i="1"/>
  <c r="K2661" i="1" s="1"/>
  <c r="H2662" i="1" s="1"/>
  <c r="L2662" i="1" l="1"/>
  <c r="M2662" i="1" s="1"/>
  <c r="J2662" i="1"/>
  <c r="I2662" i="1"/>
  <c r="K2662" i="1" s="1"/>
  <c r="H2663" i="1" s="1"/>
  <c r="L2663" i="1" l="1"/>
  <c r="M2663" i="1" s="1"/>
  <c r="J2663" i="1"/>
  <c r="I2663" i="1"/>
  <c r="K2663" i="1" s="1"/>
  <c r="H2664" i="1" s="1"/>
  <c r="L2664" i="1" l="1"/>
  <c r="M2664" i="1" s="1"/>
  <c r="J2664" i="1"/>
  <c r="I2664" i="1"/>
  <c r="K2664" i="1" s="1"/>
  <c r="H2665" i="1" s="1"/>
  <c r="L2665" i="1" l="1"/>
  <c r="M2665" i="1" s="1"/>
  <c r="J2665" i="1"/>
  <c r="I2665" i="1"/>
  <c r="K2665" i="1" s="1"/>
  <c r="H2666" i="1" s="1"/>
  <c r="L2666" i="1" l="1"/>
  <c r="M2666" i="1" s="1"/>
  <c r="J2666" i="1"/>
  <c r="I2666" i="1"/>
  <c r="K2666" i="1" s="1"/>
  <c r="H2667" i="1" s="1"/>
  <c r="I2667" i="1" l="1"/>
  <c r="K2667" i="1" s="1"/>
  <c r="H2668" i="1" s="1"/>
  <c r="L2667" i="1"/>
  <c r="M2667" i="1" s="1"/>
  <c r="J2667" i="1"/>
  <c r="L2668" i="1" l="1"/>
  <c r="M2668" i="1" s="1"/>
  <c r="J2668" i="1"/>
  <c r="I2668" i="1"/>
  <c r="K2668" i="1" s="1"/>
  <c r="H2669" i="1" s="1"/>
  <c r="L2669" i="1" l="1"/>
  <c r="M2669" i="1" s="1"/>
  <c r="J2669" i="1"/>
  <c r="I2669" i="1"/>
  <c r="K2669" i="1" s="1"/>
  <c r="H2670" i="1" s="1"/>
  <c r="L2670" i="1" l="1"/>
  <c r="M2670" i="1" s="1"/>
  <c r="J2670" i="1"/>
  <c r="I2670" i="1"/>
  <c r="K2670" i="1" s="1"/>
  <c r="H2671" i="1" s="1"/>
  <c r="I2671" i="1" l="1"/>
  <c r="K2671" i="1" s="1"/>
  <c r="H2672" i="1" s="1"/>
  <c r="L2671" i="1"/>
  <c r="M2671" i="1" s="1"/>
  <c r="J2671" i="1"/>
  <c r="L2672" i="1" l="1"/>
  <c r="M2672" i="1" s="1"/>
  <c r="J2672" i="1"/>
  <c r="I2672" i="1"/>
  <c r="K2672" i="1" s="1"/>
  <c r="H2673" i="1" s="1"/>
  <c r="L2673" i="1" l="1"/>
  <c r="M2673" i="1" s="1"/>
  <c r="J2673" i="1"/>
  <c r="I2673" i="1"/>
  <c r="K2673" i="1" s="1"/>
  <c r="H2674" i="1" s="1"/>
  <c r="L2674" i="1" l="1"/>
  <c r="M2674" i="1" s="1"/>
  <c r="J2674" i="1"/>
  <c r="I2674" i="1"/>
  <c r="K2674" i="1" s="1"/>
  <c r="H2675" i="1" s="1"/>
  <c r="L2675" i="1" l="1"/>
  <c r="M2675" i="1" s="1"/>
  <c r="J2675" i="1"/>
  <c r="I2675" i="1"/>
  <c r="K2675" i="1" s="1"/>
  <c r="H2676" i="1" s="1"/>
  <c r="I2676" i="1" l="1"/>
  <c r="K2676" i="1" s="1"/>
  <c r="H2677" i="1" s="1"/>
  <c r="L2676" i="1"/>
  <c r="M2676" i="1" s="1"/>
  <c r="J2676" i="1"/>
  <c r="J2677" i="1" l="1"/>
  <c r="L2677" i="1"/>
  <c r="M2677" i="1" s="1"/>
  <c r="I2677" i="1"/>
  <c r="K2677" i="1" s="1"/>
  <c r="H2678" i="1" s="1"/>
  <c r="L2678" i="1" l="1"/>
  <c r="M2678" i="1" s="1"/>
  <c r="J2678" i="1"/>
  <c r="I2678" i="1"/>
  <c r="K2678" i="1" s="1"/>
  <c r="H2679" i="1" s="1"/>
  <c r="L2679" i="1" l="1"/>
  <c r="M2679" i="1" s="1"/>
  <c r="J2679" i="1"/>
  <c r="I2679" i="1"/>
  <c r="K2679" i="1" s="1"/>
  <c r="H2680" i="1" s="1"/>
  <c r="L2680" i="1" l="1"/>
  <c r="M2680" i="1" s="1"/>
  <c r="J2680" i="1"/>
  <c r="I2680" i="1"/>
  <c r="K2680" i="1" s="1"/>
  <c r="H2681" i="1" s="1"/>
  <c r="L2681" i="1" l="1"/>
  <c r="M2681" i="1" s="1"/>
  <c r="J2681" i="1"/>
  <c r="I2681" i="1"/>
  <c r="K2681" i="1" s="1"/>
  <c r="H2682" i="1" s="1"/>
  <c r="L2682" i="1" l="1"/>
  <c r="M2682" i="1" s="1"/>
  <c r="J2682" i="1"/>
  <c r="I2682" i="1"/>
  <c r="K2682" i="1" s="1"/>
  <c r="H2683" i="1" s="1"/>
  <c r="J2683" i="1" l="1"/>
  <c r="L2683" i="1"/>
  <c r="M2683" i="1" s="1"/>
  <c r="I2683" i="1"/>
  <c r="K2683" i="1" s="1"/>
  <c r="H2684" i="1" s="1"/>
  <c r="L2684" i="1" l="1"/>
  <c r="M2684" i="1" s="1"/>
  <c r="I2684" i="1"/>
  <c r="K2684" i="1" s="1"/>
  <c r="H2685" i="1" s="1"/>
  <c r="J2684" i="1"/>
  <c r="L2685" i="1" l="1"/>
  <c r="M2685" i="1" s="1"/>
  <c r="J2685" i="1"/>
  <c r="I2685" i="1"/>
  <c r="K2685" i="1" s="1"/>
  <c r="H2686" i="1" s="1"/>
  <c r="L2686" i="1" l="1"/>
  <c r="M2686" i="1" s="1"/>
  <c r="J2686" i="1"/>
  <c r="I2686" i="1"/>
  <c r="K2686" i="1" s="1"/>
  <c r="H2687" i="1" s="1"/>
  <c r="L2687" i="1" l="1"/>
  <c r="M2687" i="1" s="1"/>
  <c r="J2687" i="1"/>
  <c r="I2687" i="1"/>
  <c r="K2687" i="1" s="1"/>
  <c r="H2688" i="1" s="1"/>
  <c r="L2688" i="1" l="1"/>
  <c r="M2688" i="1" s="1"/>
  <c r="J2688" i="1"/>
  <c r="I2688" i="1"/>
  <c r="K2688" i="1" s="1"/>
  <c r="H2689" i="1" s="1"/>
  <c r="J2689" i="1" l="1"/>
  <c r="L2689" i="1"/>
  <c r="M2689" i="1" s="1"/>
  <c r="I2689" i="1"/>
  <c r="K2689" i="1" s="1"/>
  <c r="H2690" i="1" s="1"/>
  <c r="L2690" i="1" l="1"/>
  <c r="M2690" i="1" s="1"/>
  <c r="J2690" i="1"/>
  <c r="I2690" i="1"/>
  <c r="K2690" i="1" s="1"/>
  <c r="H2691" i="1" s="1"/>
  <c r="L2691" i="1" l="1"/>
  <c r="M2691" i="1" s="1"/>
  <c r="J2691" i="1"/>
  <c r="I2691" i="1"/>
  <c r="K2691" i="1" s="1"/>
  <c r="H2692" i="1" s="1"/>
  <c r="L2692" i="1" l="1"/>
  <c r="M2692" i="1" s="1"/>
  <c r="J2692" i="1"/>
  <c r="I2692" i="1"/>
  <c r="K2692" i="1" s="1"/>
  <c r="H2693" i="1" s="1"/>
  <c r="L2693" i="1" l="1"/>
  <c r="M2693" i="1" s="1"/>
  <c r="J2693" i="1"/>
  <c r="I2693" i="1"/>
  <c r="K2693" i="1" s="1"/>
  <c r="H2694" i="1" s="1"/>
  <c r="L2694" i="1" l="1"/>
  <c r="M2694" i="1" s="1"/>
  <c r="J2694" i="1"/>
  <c r="I2694" i="1"/>
  <c r="K2694" i="1" s="1"/>
  <c r="H2695" i="1" s="1"/>
  <c r="L2695" i="1" l="1"/>
  <c r="M2695" i="1" s="1"/>
  <c r="J2695" i="1"/>
  <c r="I2695" i="1"/>
  <c r="K2695" i="1" s="1"/>
  <c r="H2696" i="1" s="1"/>
  <c r="I2696" i="1" l="1"/>
  <c r="K2696" i="1" s="1"/>
  <c r="H2697" i="1" s="1"/>
  <c r="L2696" i="1"/>
  <c r="M2696" i="1" s="1"/>
  <c r="J2696" i="1"/>
  <c r="L2697" i="1" l="1"/>
  <c r="M2697" i="1" s="1"/>
  <c r="J2697" i="1"/>
  <c r="I2697" i="1"/>
  <c r="K2697" i="1" s="1"/>
  <c r="H2698" i="1" s="1"/>
  <c r="L2698" i="1" l="1"/>
  <c r="M2698" i="1" s="1"/>
  <c r="J2698" i="1"/>
  <c r="I2698" i="1"/>
  <c r="K2698" i="1" s="1"/>
  <c r="H2699" i="1" s="1"/>
  <c r="L2699" i="1" l="1"/>
  <c r="M2699" i="1" s="1"/>
  <c r="J2699" i="1"/>
  <c r="I2699" i="1"/>
  <c r="K2699" i="1" s="1"/>
  <c r="H2700" i="1" s="1"/>
  <c r="L2700" i="1" l="1"/>
  <c r="M2700" i="1" s="1"/>
  <c r="J2700" i="1"/>
  <c r="I2700" i="1"/>
  <c r="K2700" i="1" s="1"/>
  <c r="H2701" i="1" s="1"/>
  <c r="L2701" i="1" l="1"/>
  <c r="M2701" i="1" s="1"/>
  <c r="J2701" i="1"/>
  <c r="I2701" i="1"/>
  <c r="K2701" i="1" s="1"/>
  <c r="H2702" i="1" s="1"/>
  <c r="J2702" i="1" l="1"/>
  <c r="L2702" i="1"/>
  <c r="M2702" i="1" s="1"/>
  <c r="I2702" i="1"/>
  <c r="K2702" i="1" s="1"/>
  <c r="H2703" i="1" s="1"/>
  <c r="L2703" i="1" l="1"/>
  <c r="M2703" i="1" s="1"/>
  <c r="J2703" i="1"/>
  <c r="I2703" i="1"/>
  <c r="K2703" i="1" s="1"/>
  <c r="H2704" i="1" s="1"/>
  <c r="L2704" i="1" l="1"/>
  <c r="M2704" i="1" s="1"/>
  <c r="J2704" i="1"/>
  <c r="I2704" i="1"/>
  <c r="K2704" i="1" s="1"/>
  <c r="H2705" i="1" s="1"/>
  <c r="L2705" i="1" l="1"/>
  <c r="M2705" i="1" s="1"/>
  <c r="J2705" i="1"/>
  <c r="I2705" i="1"/>
  <c r="K2705" i="1" s="1"/>
  <c r="H2706" i="1" s="1"/>
  <c r="L2706" i="1" l="1"/>
  <c r="M2706" i="1" s="1"/>
  <c r="J2706" i="1"/>
  <c r="I2706" i="1"/>
  <c r="K2706" i="1" s="1"/>
  <c r="H2707" i="1" s="1"/>
  <c r="L2707" i="1" l="1"/>
  <c r="M2707" i="1" s="1"/>
  <c r="J2707" i="1"/>
  <c r="I2707" i="1"/>
  <c r="K2707" i="1" s="1"/>
  <c r="H2708" i="1" s="1"/>
  <c r="L2708" i="1" l="1"/>
  <c r="M2708" i="1" s="1"/>
  <c r="I2708" i="1"/>
  <c r="K2708" i="1" s="1"/>
  <c r="H2709" i="1" s="1"/>
  <c r="J2708" i="1"/>
  <c r="L2709" i="1" l="1"/>
  <c r="M2709" i="1" s="1"/>
  <c r="J2709" i="1"/>
  <c r="I2709" i="1"/>
  <c r="K2709" i="1" s="1"/>
  <c r="H2710" i="1" s="1"/>
  <c r="L2710" i="1" l="1"/>
  <c r="M2710" i="1" s="1"/>
  <c r="J2710" i="1"/>
  <c r="I2710" i="1"/>
  <c r="K2710" i="1" s="1"/>
  <c r="H2711" i="1" s="1"/>
  <c r="L2711" i="1" l="1"/>
  <c r="M2711" i="1" s="1"/>
  <c r="J2711" i="1"/>
  <c r="I2711" i="1"/>
  <c r="K2711" i="1" s="1"/>
  <c r="H2712" i="1" s="1"/>
  <c r="L2712" i="1" l="1"/>
  <c r="M2712" i="1" s="1"/>
  <c r="J2712" i="1"/>
  <c r="I2712" i="1"/>
  <c r="K2712" i="1" s="1"/>
  <c r="H2713" i="1" s="1"/>
  <c r="J2713" i="1" l="1"/>
  <c r="L2713" i="1"/>
  <c r="M2713" i="1" s="1"/>
  <c r="I2713" i="1"/>
  <c r="K2713" i="1" s="1"/>
  <c r="H2714" i="1" s="1"/>
  <c r="J2714" i="1" l="1"/>
  <c r="I2714" i="1"/>
  <c r="K2714" i="1" s="1"/>
  <c r="H2715" i="1" s="1"/>
  <c r="L2714" i="1"/>
  <c r="M2714" i="1" s="1"/>
  <c r="L2715" i="1" l="1"/>
  <c r="M2715" i="1" s="1"/>
  <c r="J2715" i="1"/>
  <c r="I2715" i="1"/>
  <c r="K2715" i="1" s="1"/>
  <c r="H2716" i="1" s="1"/>
  <c r="L2716" i="1" l="1"/>
  <c r="M2716" i="1" s="1"/>
  <c r="J2716" i="1"/>
  <c r="I2716" i="1"/>
  <c r="K2716" i="1" s="1"/>
  <c r="H2717" i="1" s="1"/>
  <c r="L2717" i="1" l="1"/>
  <c r="M2717" i="1" s="1"/>
  <c r="J2717" i="1"/>
  <c r="I2717" i="1"/>
  <c r="K2717" i="1" s="1"/>
  <c r="H2718" i="1" s="1"/>
  <c r="L2718" i="1" l="1"/>
  <c r="M2718" i="1" s="1"/>
  <c r="J2718" i="1"/>
  <c r="I2718" i="1"/>
  <c r="K2718" i="1" s="1"/>
  <c r="H2719" i="1" s="1"/>
  <c r="J2719" i="1" l="1"/>
  <c r="L2719" i="1"/>
  <c r="M2719" i="1" s="1"/>
  <c r="I2719" i="1"/>
  <c r="K2719" i="1" s="1"/>
  <c r="H2720" i="1" s="1"/>
  <c r="L2720" i="1" l="1"/>
  <c r="M2720" i="1" s="1"/>
  <c r="J2720" i="1"/>
  <c r="I2720" i="1"/>
  <c r="K2720" i="1" s="1"/>
  <c r="H2721" i="1" s="1"/>
  <c r="L2721" i="1" l="1"/>
  <c r="M2721" i="1" s="1"/>
  <c r="J2721" i="1"/>
  <c r="I2721" i="1"/>
  <c r="K2721" i="1" s="1"/>
  <c r="H2722" i="1" s="1"/>
  <c r="L2722" i="1" l="1"/>
  <c r="M2722" i="1" s="1"/>
  <c r="I2722" i="1"/>
  <c r="K2722" i="1" s="1"/>
  <c r="H2723" i="1" s="1"/>
  <c r="J2722" i="1"/>
  <c r="L2723" i="1" l="1"/>
  <c r="M2723" i="1" s="1"/>
  <c r="J2723" i="1"/>
  <c r="I2723" i="1"/>
  <c r="K2723" i="1" s="1"/>
  <c r="H2724" i="1" s="1"/>
  <c r="L2724" i="1" l="1"/>
  <c r="M2724" i="1" s="1"/>
  <c r="J2724" i="1"/>
  <c r="I2724" i="1"/>
  <c r="K2724" i="1" s="1"/>
  <c r="H2725" i="1" s="1"/>
  <c r="L2725" i="1" l="1"/>
  <c r="M2725" i="1" s="1"/>
  <c r="J2725" i="1"/>
  <c r="I2725" i="1"/>
  <c r="K2725" i="1" s="1"/>
  <c r="H2726" i="1" s="1"/>
  <c r="J2726" i="1" l="1"/>
  <c r="I2726" i="1"/>
  <c r="K2726" i="1" s="1"/>
  <c r="H2727" i="1" s="1"/>
  <c r="L2726" i="1"/>
  <c r="M2726" i="1" s="1"/>
  <c r="L2727" i="1" l="1"/>
  <c r="M2727" i="1" s="1"/>
  <c r="I2727" i="1"/>
  <c r="K2727" i="1" s="1"/>
  <c r="H2728" i="1" s="1"/>
  <c r="J2727" i="1"/>
  <c r="L2728" i="1" l="1"/>
  <c r="M2728" i="1" s="1"/>
  <c r="J2728" i="1"/>
  <c r="I2728" i="1"/>
  <c r="K2728" i="1" s="1"/>
  <c r="H2729" i="1" s="1"/>
  <c r="L2729" i="1" l="1"/>
  <c r="M2729" i="1" s="1"/>
  <c r="J2729" i="1"/>
  <c r="I2729" i="1"/>
  <c r="K2729" i="1" s="1"/>
  <c r="H2730" i="1" s="1"/>
  <c r="L2730" i="1" l="1"/>
  <c r="M2730" i="1" s="1"/>
  <c r="J2730" i="1"/>
  <c r="I2730" i="1"/>
  <c r="K2730" i="1" s="1"/>
  <c r="H2731" i="1" s="1"/>
  <c r="J2731" i="1" l="1"/>
  <c r="L2731" i="1"/>
  <c r="M2731" i="1" s="1"/>
  <c r="I2731" i="1"/>
  <c r="K2731" i="1" s="1"/>
  <c r="H2732" i="1" s="1"/>
  <c r="L2732" i="1" l="1"/>
  <c r="M2732" i="1" s="1"/>
  <c r="J2732" i="1"/>
  <c r="I2732" i="1"/>
  <c r="K2732" i="1" s="1"/>
  <c r="H2733" i="1" s="1"/>
  <c r="I2733" i="1" l="1"/>
  <c r="K2733" i="1" s="1"/>
  <c r="H2734" i="1" s="1"/>
  <c r="L2733" i="1"/>
  <c r="M2733" i="1" s="1"/>
  <c r="J2733" i="1"/>
  <c r="L2734" i="1" l="1"/>
  <c r="M2734" i="1" s="1"/>
  <c r="J2734" i="1"/>
  <c r="I2734" i="1"/>
  <c r="K2734" i="1" s="1"/>
  <c r="H2735" i="1" s="1"/>
  <c r="L2735" i="1" l="1"/>
  <c r="M2735" i="1" s="1"/>
  <c r="J2735" i="1"/>
  <c r="I2735" i="1"/>
  <c r="K2735" i="1" s="1"/>
  <c r="H2736" i="1" s="1"/>
  <c r="L2736" i="1" l="1"/>
  <c r="M2736" i="1" s="1"/>
  <c r="J2736" i="1"/>
  <c r="I2736" i="1"/>
  <c r="K2736" i="1" s="1"/>
  <c r="H2737" i="1" s="1"/>
  <c r="L2737" i="1" l="1"/>
  <c r="M2737" i="1" s="1"/>
  <c r="J2737" i="1"/>
  <c r="I2737" i="1"/>
  <c r="K2737" i="1" s="1"/>
  <c r="H2738" i="1" s="1"/>
  <c r="J2738" i="1" l="1"/>
  <c r="L2738" i="1"/>
  <c r="M2738" i="1" s="1"/>
  <c r="I2738" i="1"/>
  <c r="K2738" i="1" s="1"/>
  <c r="H2739" i="1" s="1"/>
  <c r="L2739" i="1" l="1"/>
  <c r="M2739" i="1" s="1"/>
  <c r="J2739" i="1"/>
  <c r="I2739" i="1"/>
  <c r="K2739" i="1" s="1"/>
  <c r="H2740" i="1" s="1"/>
  <c r="L2740" i="1" l="1"/>
  <c r="M2740" i="1" s="1"/>
  <c r="J2740" i="1"/>
  <c r="I2740" i="1"/>
  <c r="K2740" i="1" s="1"/>
  <c r="H2741" i="1" s="1"/>
  <c r="L2741" i="1" l="1"/>
  <c r="M2741" i="1" s="1"/>
  <c r="I2741" i="1"/>
  <c r="K2741" i="1" s="1"/>
  <c r="H2742" i="1" s="1"/>
  <c r="J2741" i="1"/>
  <c r="L2742" i="1" l="1"/>
  <c r="M2742" i="1" s="1"/>
  <c r="J2742" i="1"/>
  <c r="I2742" i="1"/>
  <c r="K2742" i="1" s="1"/>
  <c r="H2743" i="1" s="1"/>
  <c r="L2743" i="1" l="1"/>
  <c r="M2743" i="1" s="1"/>
  <c r="J2743" i="1"/>
  <c r="I2743" i="1"/>
  <c r="K2743" i="1" s="1"/>
  <c r="H2744" i="1" s="1"/>
  <c r="L2744" i="1" l="1"/>
  <c r="M2744" i="1" s="1"/>
  <c r="J2744" i="1"/>
  <c r="I2744" i="1"/>
  <c r="K2744" i="1" s="1"/>
  <c r="H2745" i="1" s="1"/>
  <c r="L2745" i="1" l="1"/>
  <c r="M2745" i="1" s="1"/>
  <c r="I2745" i="1"/>
  <c r="K2745" i="1" s="1"/>
  <c r="H2746" i="1" s="1"/>
  <c r="J2745" i="1"/>
  <c r="L2746" i="1" l="1"/>
  <c r="M2746" i="1" s="1"/>
  <c r="J2746" i="1"/>
  <c r="I2746" i="1"/>
  <c r="K2746" i="1" s="1"/>
  <c r="H2747" i="1" s="1"/>
  <c r="L2747" i="1" l="1"/>
  <c r="M2747" i="1" s="1"/>
  <c r="J2747" i="1"/>
  <c r="I2747" i="1"/>
  <c r="K2747" i="1" s="1"/>
  <c r="H2748" i="1" s="1"/>
  <c r="L2748" i="1" l="1"/>
  <c r="M2748" i="1" s="1"/>
  <c r="J2748" i="1"/>
  <c r="I2748" i="1"/>
  <c r="K2748" i="1" s="1"/>
  <c r="H2749" i="1" s="1"/>
  <c r="J2749" i="1" l="1"/>
  <c r="L2749" i="1"/>
  <c r="M2749" i="1" s="1"/>
  <c r="I2749" i="1"/>
  <c r="K2749" i="1" s="1"/>
  <c r="H2750" i="1" s="1"/>
  <c r="J2750" i="1" l="1"/>
  <c r="L2750" i="1"/>
  <c r="M2750" i="1" s="1"/>
  <c r="I2750" i="1"/>
  <c r="K2750" i="1" s="1"/>
  <c r="H2751" i="1" s="1"/>
  <c r="L2751" i="1" l="1"/>
  <c r="M2751" i="1" s="1"/>
  <c r="J2751" i="1"/>
  <c r="I2751" i="1"/>
  <c r="K2751" i="1" s="1"/>
  <c r="H2752" i="1" s="1"/>
  <c r="L2752" i="1" l="1"/>
  <c r="M2752" i="1" s="1"/>
  <c r="J2752" i="1"/>
  <c r="I2752" i="1"/>
  <c r="K2752" i="1" s="1"/>
  <c r="H2753" i="1" s="1"/>
  <c r="L2753" i="1" l="1"/>
  <c r="M2753" i="1" s="1"/>
  <c r="J2753" i="1"/>
  <c r="I2753" i="1"/>
  <c r="K2753" i="1" s="1"/>
  <c r="H2754" i="1" s="1"/>
  <c r="L2754" i="1" l="1"/>
  <c r="M2754" i="1" s="1"/>
  <c r="J2754" i="1"/>
  <c r="I2754" i="1"/>
  <c r="K2754" i="1" s="1"/>
  <c r="H2755" i="1" s="1"/>
  <c r="L2755" i="1" l="1"/>
  <c r="M2755" i="1" s="1"/>
  <c r="J2755" i="1"/>
  <c r="I2755" i="1"/>
  <c r="K2755" i="1" s="1"/>
  <c r="H2756" i="1" s="1"/>
  <c r="L2756" i="1" l="1"/>
  <c r="M2756" i="1" s="1"/>
  <c r="I2756" i="1"/>
  <c r="K2756" i="1" s="1"/>
  <c r="H2757" i="1" s="1"/>
  <c r="J2756" i="1"/>
  <c r="L2757" i="1" l="1"/>
  <c r="M2757" i="1" s="1"/>
  <c r="J2757" i="1"/>
  <c r="I2757" i="1"/>
  <c r="K2757" i="1" s="1"/>
  <c r="H2758" i="1" s="1"/>
  <c r="L2758" i="1" l="1"/>
  <c r="M2758" i="1" s="1"/>
  <c r="J2758" i="1"/>
  <c r="I2758" i="1"/>
  <c r="K2758" i="1" s="1"/>
  <c r="H2759" i="1" s="1"/>
  <c r="L2759" i="1" l="1"/>
  <c r="M2759" i="1" s="1"/>
  <c r="J2759" i="1"/>
  <c r="I2759" i="1"/>
  <c r="K2759" i="1" s="1"/>
  <c r="H2760" i="1" s="1"/>
  <c r="L2760" i="1" l="1"/>
  <c r="M2760" i="1" s="1"/>
  <c r="J2760" i="1"/>
  <c r="I2760" i="1"/>
  <c r="K2760" i="1" s="1"/>
  <c r="H2761" i="1" s="1"/>
  <c r="L2761" i="1" l="1"/>
  <c r="M2761" i="1" s="1"/>
  <c r="J2761" i="1"/>
  <c r="I2761" i="1"/>
  <c r="K2761" i="1" s="1"/>
  <c r="H2762" i="1" s="1"/>
  <c r="L2762" i="1" l="1"/>
  <c r="M2762" i="1" s="1"/>
  <c r="J2762" i="1"/>
  <c r="I2762" i="1"/>
  <c r="K2762" i="1" s="1"/>
  <c r="H2763" i="1" s="1"/>
  <c r="L2763" i="1" l="1"/>
  <c r="M2763" i="1" s="1"/>
  <c r="J2763" i="1"/>
  <c r="I2763" i="1"/>
  <c r="K2763" i="1" s="1"/>
  <c r="H2764" i="1" s="1"/>
  <c r="L2764" i="1" l="1"/>
  <c r="M2764" i="1" s="1"/>
  <c r="J2764" i="1"/>
  <c r="I2764" i="1"/>
  <c r="K2764" i="1" s="1"/>
  <c r="H2765" i="1" s="1"/>
  <c r="L2765" i="1" l="1"/>
  <c r="M2765" i="1" s="1"/>
  <c r="I2765" i="1"/>
  <c r="K2765" i="1" s="1"/>
  <c r="H2766" i="1" s="1"/>
  <c r="J2765" i="1"/>
  <c r="L2766" i="1" l="1"/>
  <c r="M2766" i="1" s="1"/>
  <c r="I2766" i="1"/>
  <c r="K2766" i="1" s="1"/>
  <c r="H2767" i="1" s="1"/>
  <c r="J2766" i="1"/>
  <c r="L2767" i="1" l="1"/>
  <c r="M2767" i="1" s="1"/>
  <c r="J2767" i="1"/>
  <c r="I2767" i="1"/>
  <c r="K2767" i="1" s="1"/>
  <c r="H2768" i="1" s="1"/>
  <c r="L2768" i="1" l="1"/>
  <c r="M2768" i="1" s="1"/>
  <c r="J2768" i="1"/>
  <c r="I2768" i="1"/>
  <c r="K2768" i="1" s="1"/>
  <c r="H2769" i="1" s="1"/>
  <c r="L2769" i="1" l="1"/>
  <c r="M2769" i="1" s="1"/>
  <c r="J2769" i="1"/>
  <c r="I2769" i="1"/>
  <c r="K2769" i="1" s="1"/>
  <c r="H2770" i="1" s="1"/>
  <c r="L2770" i="1" l="1"/>
  <c r="M2770" i="1" s="1"/>
  <c r="J2770" i="1"/>
  <c r="I2770" i="1"/>
  <c r="K2770" i="1" s="1"/>
  <c r="H2771" i="1" s="1"/>
  <c r="L2771" i="1" l="1"/>
  <c r="M2771" i="1" s="1"/>
  <c r="J2771" i="1"/>
  <c r="I2771" i="1"/>
  <c r="K2771" i="1" s="1"/>
  <c r="H2772" i="1" s="1"/>
  <c r="L2772" i="1" l="1"/>
  <c r="M2772" i="1" s="1"/>
  <c r="J2772" i="1"/>
  <c r="I2772" i="1"/>
  <c r="K2772" i="1" s="1"/>
  <c r="H2773" i="1" s="1"/>
  <c r="L2773" i="1" l="1"/>
  <c r="M2773" i="1" s="1"/>
  <c r="J2773" i="1"/>
  <c r="I2773" i="1"/>
  <c r="K2773" i="1" s="1"/>
  <c r="H2774" i="1" s="1"/>
  <c r="L2774" i="1" l="1"/>
  <c r="M2774" i="1" s="1"/>
  <c r="I2774" i="1"/>
  <c r="K2774" i="1" s="1"/>
  <c r="H2775" i="1" s="1"/>
  <c r="J2774" i="1"/>
  <c r="L2775" i="1" l="1"/>
  <c r="M2775" i="1" s="1"/>
  <c r="J2775" i="1"/>
  <c r="I2775" i="1"/>
  <c r="K2775" i="1" s="1"/>
  <c r="H2776" i="1" s="1"/>
  <c r="L2776" i="1" l="1"/>
  <c r="M2776" i="1" s="1"/>
  <c r="J2776" i="1"/>
  <c r="I2776" i="1"/>
  <c r="K2776" i="1" s="1"/>
  <c r="H2777" i="1" s="1"/>
  <c r="L2777" i="1" l="1"/>
  <c r="M2777" i="1" s="1"/>
  <c r="J2777" i="1"/>
  <c r="I2777" i="1"/>
  <c r="K2777" i="1" s="1"/>
  <c r="H2778" i="1" s="1"/>
  <c r="L2778" i="1" l="1"/>
  <c r="M2778" i="1" s="1"/>
  <c r="I2778" i="1"/>
  <c r="K2778" i="1" s="1"/>
  <c r="H2779" i="1" s="1"/>
  <c r="J2778" i="1"/>
  <c r="L2779" i="1" l="1"/>
  <c r="M2779" i="1" s="1"/>
  <c r="I2779" i="1"/>
  <c r="K2779" i="1" s="1"/>
  <c r="H2780" i="1" s="1"/>
  <c r="J2779" i="1"/>
  <c r="L2780" i="1" l="1"/>
  <c r="M2780" i="1" s="1"/>
  <c r="J2780" i="1"/>
  <c r="I2780" i="1"/>
  <c r="K2780" i="1" s="1"/>
  <c r="H2781" i="1" s="1"/>
  <c r="L2781" i="1" l="1"/>
  <c r="M2781" i="1" s="1"/>
  <c r="J2781" i="1"/>
  <c r="I2781" i="1"/>
  <c r="K2781" i="1" s="1"/>
  <c r="H2782" i="1" s="1"/>
  <c r="L2782" i="1" l="1"/>
  <c r="M2782" i="1" s="1"/>
  <c r="J2782" i="1"/>
  <c r="I2782" i="1"/>
  <c r="K2782" i="1" s="1"/>
  <c r="H2783" i="1" s="1"/>
  <c r="L2783" i="1" l="1"/>
  <c r="M2783" i="1" s="1"/>
  <c r="I2783" i="1"/>
  <c r="K2783" i="1" s="1"/>
  <c r="H2784" i="1" s="1"/>
  <c r="J2783" i="1"/>
  <c r="L2784" i="1" l="1"/>
  <c r="M2784" i="1" s="1"/>
  <c r="I2784" i="1"/>
  <c r="K2784" i="1" s="1"/>
  <c r="H2785" i="1" s="1"/>
  <c r="J2784" i="1"/>
  <c r="J2785" i="1" l="1"/>
  <c r="I2785" i="1"/>
  <c r="K2785" i="1" s="1"/>
  <c r="H2786" i="1" s="1"/>
  <c r="L2785" i="1"/>
  <c r="M2785" i="1" s="1"/>
  <c r="L2786" i="1" l="1"/>
  <c r="M2786" i="1" s="1"/>
  <c r="J2786" i="1"/>
  <c r="I2786" i="1"/>
  <c r="K2786" i="1" s="1"/>
  <c r="H2787" i="1" s="1"/>
  <c r="L2787" i="1" l="1"/>
  <c r="M2787" i="1" s="1"/>
  <c r="J2787" i="1"/>
  <c r="I2787" i="1"/>
  <c r="K2787" i="1" s="1"/>
  <c r="H2788" i="1" s="1"/>
  <c r="L2788" i="1" l="1"/>
  <c r="M2788" i="1" s="1"/>
  <c r="I2788" i="1"/>
  <c r="K2788" i="1" s="1"/>
  <c r="H2789" i="1" s="1"/>
  <c r="J2788" i="1"/>
  <c r="L2789" i="1" l="1"/>
  <c r="M2789" i="1" s="1"/>
  <c r="I2789" i="1"/>
  <c r="K2789" i="1" s="1"/>
  <c r="H2790" i="1" s="1"/>
  <c r="J2789" i="1"/>
  <c r="L2790" i="1" l="1"/>
  <c r="M2790" i="1" s="1"/>
  <c r="J2790" i="1"/>
  <c r="I2790" i="1"/>
  <c r="K2790" i="1" s="1"/>
  <c r="H2791" i="1" s="1"/>
  <c r="J2791" i="1" l="1"/>
  <c r="L2791" i="1"/>
  <c r="M2791" i="1" s="1"/>
  <c r="I2791" i="1"/>
  <c r="K2791" i="1" s="1"/>
  <c r="H2792" i="1" s="1"/>
  <c r="L2792" i="1" l="1"/>
  <c r="M2792" i="1" s="1"/>
  <c r="I2792" i="1"/>
  <c r="K2792" i="1" s="1"/>
  <c r="H2793" i="1" s="1"/>
  <c r="J2792" i="1"/>
  <c r="L2793" i="1" l="1"/>
  <c r="M2793" i="1" s="1"/>
  <c r="J2793" i="1"/>
  <c r="I2793" i="1"/>
  <c r="K2793" i="1" s="1"/>
  <c r="H2794" i="1" s="1"/>
  <c r="L2794" i="1" l="1"/>
  <c r="M2794" i="1" s="1"/>
  <c r="I2794" i="1"/>
  <c r="K2794" i="1" s="1"/>
  <c r="H2795" i="1" s="1"/>
  <c r="J2794" i="1"/>
  <c r="L2795" i="1" l="1"/>
  <c r="M2795" i="1" s="1"/>
  <c r="J2795" i="1"/>
  <c r="I2795" i="1"/>
  <c r="K2795" i="1" s="1"/>
  <c r="H2796" i="1" s="1"/>
  <c r="L2796" i="1" l="1"/>
  <c r="M2796" i="1" s="1"/>
  <c r="I2796" i="1"/>
  <c r="K2796" i="1" s="1"/>
  <c r="H2797" i="1" s="1"/>
  <c r="J2796" i="1"/>
  <c r="J2797" i="1" l="1"/>
  <c r="L2797" i="1"/>
  <c r="M2797" i="1" s="1"/>
  <c r="I2797" i="1"/>
  <c r="K2797" i="1" s="1"/>
  <c r="H2798" i="1" s="1"/>
  <c r="L2798" i="1" l="1"/>
  <c r="M2798" i="1" s="1"/>
  <c r="J2798" i="1"/>
  <c r="I2798" i="1"/>
  <c r="K2798" i="1" s="1"/>
  <c r="H2799" i="1" s="1"/>
  <c r="L2799" i="1" l="1"/>
  <c r="M2799" i="1" s="1"/>
  <c r="I2799" i="1"/>
  <c r="K2799" i="1" s="1"/>
  <c r="H2800" i="1" s="1"/>
  <c r="J2799" i="1"/>
  <c r="L2800" i="1" l="1"/>
  <c r="M2800" i="1" s="1"/>
  <c r="J2800" i="1"/>
  <c r="I2800" i="1"/>
  <c r="K2800" i="1" s="1"/>
  <c r="H2801" i="1" s="1"/>
  <c r="L2801" i="1" l="1"/>
  <c r="M2801" i="1" s="1"/>
  <c r="J2801" i="1"/>
  <c r="I2801" i="1"/>
  <c r="K2801" i="1" s="1"/>
  <c r="H2802" i="1" s="1"/>
  <c r="L2802" i="1" l="1"/>
  <c r="M2802" i="1" s="1"/>
  <c r="I2802" i="1"/>
  <c r="K2802" i="1" s="1"/>
  <c r="H2803" i="1" s="1"/>
  <c r="J2802" i="1"/>
  <c r="L2803" i="1" l="1"/>
  <c r="M2803" i="1" s="1"/>
  <c r="J2803" i="1"/>
  <c r="I2803" i="1"/>
  <c r="K2803" i="1" s="1"/>
  <c r="H2804" i="1" s="1"/>
  <c r="L2804" i="1" l="1"/>
  <c r="M2804" i="1" s="1"/>
  <c r="I2804" i="1"/>
  <c r="K2804" i="1" s="1"/>
  <c r="H2805" i="1" s="1"/>
  <c r="J2804" i="1"/>
  <c r="L2805" i="1" l="1"/>
  <c r="M2805" i="1" s="1"/>
  <c r="J2805" i="1"/>
  <c r="I2805" i="1"/>
  <c r="K2805" i="1" s="1"/>
  <c r="H2806" i="1" s="1"/>
  <c r="L2806" i="1" l="1"/>
  <c r="M2806" i="1" s="1"/>
  <c r="J2806" i="1"/>
  <c r="I2806" i="1"/>
  <c r="K2806" i="1" s="1"/>
  <c r="H2807" i="1" s="1"/>
  <c r="L2807" i="1" l="1"/>
  <c r="M2807" i="1" s="1"/>
  <c r="J2807" i="1"/>
  <c r="I2807" i="1"/>
  <c r="K2807" i="1" s="1"/>
  <c r="H2808" i="1" s="1"/>
  <c r="L2808" i="1" l="1"/>
  <c r="M2808" i="1" s="1"/>
  <c r="J2808" i="1"/>
  <c r="I2808" i="1"/>
  <c r="K2808" i="1" s="1"/>
  <c r="H2809" i="1" s="1"/>
  <c r="L2809" i="1" l="1"/>
  <c r="M2809" i="1" s="1"/>
  <c r="J2809" i="1"/>
  <c r="I2809" i="1"/>
  <c r="K2809" i="1" s="1"/>
  <c r="H2810" i="1" s="1"/>
  <c r="J2810" i="1" l="1"/>
  <c r="L2810" i="1"/>
  <c r="M2810" i="1" s="1"/>
  <c r="I2810" i="1"/>
  <c r="K2810" i="1" s="1"/>
  <c r="H2811" i="1" s="1"/>
  <c r="L2811" i="1" l="1"/>
  <c r="M2811" i="1" s="1"/>
  <c r="J2811" i="1"/>
  <c r="I2811" i="1"/>
  <c r="K2811" i="1" s="1"/>
  <c r="H2812" i="1" s="1"/>
  <c r="L2812" i="1" l="1"/>
  <c r="M2812" i="1" s="1"/>
  <c r="J2812" i="1"/>
  <c r="I2812" i="1"/>
  <c r="K2812" i="1" s="1"/>
  <c r="H2813" i="1" s="1"/>
  <c r="L2813" i="1" l="1"/>
  <c r="M2813" i="1" s="1"/>
  <c r="J2813" i="1"/>
  <c r="I2813" i="1"/>
  <c r="K2813" i="1" s="1"/>
  <c r="H2814" i="1" s="1"/>
  <c r="L2814" i="1" l="1"/>
  <c r="M2814" i="1" s="1"/>
  <c r="J2814" i="1"/>
  <c r="I2814" i="1"/>
  <c r="K2814" i="1" s="1"/>
  <c r="H2815" i="1" s="1"/>
  <c r="L2815" i="1" l="1"/>
  <c r="M2815" i="1" s="1"/>
  <c r="J2815" i="1"/>
  <c r="I2815" i="1"/>
  <c r="K2815" i="1" s="1"/>
  <c r="H2816" i="1" s="1"/>
  <c r="L2816" i="1" l="1"/>
  <c r="M2816" i="1" s="1"/>
  <c r="J2816" i="1"/>
  <c r="I2816" i="1"/>
  <c r="K2816" i="1" s="1"/>
  <c r="H2817" i="1" s="1"/>
  <c r="L2817" i="1" l="1"/>
  <c r="M2817" i="1" s="1"/>
  <c r="J2817" i="1"/>
  <c r="I2817" i="1"/>
  <c r="K2817" i="1" s="1"/>
  <c r="H2818" i="1" s="1"/>
  <c r="L2818" i="1" l="1"/>
  <c r="M2818" i="1" s="1"/>
  <c r="J2818" i="1"/>
  <c r="I2818" i="1"/>
  <c r="K2818" i="1" s="1"/>
  <c r="H2819" i="1" s="1"/>
  <c r="L2819" i="1" l="1"/>
  <c r="M2819" i="1" s="1"/>
  <c r="I2819" i="1"/>
  <c r="K2819" i="1" s="1"/>
  <c r="H2820" i="1" s="1"/>
  <c r="J2819" i="1"/>
  <c r="I2820" i="1" l="1"/>
  <c r="K2820" i="1" s="1"/>
  <c r="H2821" i="1" s="1"/>
  <c r="L2820" i="1"/>
  <c r="M2820" i="1" s="1"/>
  <c r="J2820" i="1"/>
  <c r="J2821" i="1" l="1"/>
  <c r="I2821" i="1"/>
  <c r="K2821" i="1" s="1"/>
  <c r="H2822" i="1" s="1"/>
  <c r="L2821" i="1"/>
  <c r="M2821" i="1" s="1"/>
  <c r="L2822" i="1" l="1"/>
  <c r="M2822" i="1" s="1"/>
  <c r="J2822" i="1"/>
  <c r="I2822" i="1"/>
  <c r="K2822" i="1" s="1"/>
  <c r="H2823" i="1" s="1"/>
  <c r="L2823" i="1" l="1"/>
  <c r="M2823" i="1" s="1"/>
  <c r="J2823" i="1"/>
  <c r="I2823" i="1"/>
  <c r="K2823" i="1" s="1"/>
  <c r="H2824" i="1" s="1"/>
  <c r="L2824" i="1" l="1"/>
  <c r="M2824" i="1" s="1"/>
  <c r="J2824" i="1"/>
  <c r="I2824" i="1"/>
  <c r="K2824" i="1" s="1"/>
  <c r="H2825" i="1" s="1"/>
  <c r="L2825" i="1" l="1"/>
  <c r="M2825" i="1" s="1"/>
  <c r="J2825" i="1"/>
  <c r="I2825" i="1"/>
  <c r="K2825" i="1" s="1"/>
  <c r="H2826" i="1" s="1"/>
  <c r="L2826" i="1" l="1"/>
  <c r="M2826" i="1" s="1"/>
  <c r="J2826" i="1"/>
  <c r="I2826" i="1"/>
  <c r="K2826" i="1" s="1"/>
  <c r="H2827" i="1" s="1"/>
  <c r="J2827" i="1" l="1"/>
  <c r="L2827" i="1"/>
  <c r="M2827" i="1" s="1"/>
  <c r="I2827" i="1"/>
  <c r="K2827" i="1" s="1"/>
  <c r="H2828" i="1" s="1"/>
  <c r="L2828" i="1" l="1"/>
  <c r="M2828" i="1" s="1"/>
  <c r="J2828" i="1"/>
  <c r="I2828" i="1"/>
  <c r="K2828" i="1" s="1"/>
  <c r="H2829" i="1" s="1"/>
  <c r="J2829" i="1" l="1"/>
  <c r="I2829" i="1"/>
  <c r="K2829" i="1" s="1"/>
  <c r="H2830" i="1" s="1"/>
  <c r="L2829" i="1"/>
  <c r="M2829" i="1" s="1"/>
  <c r="L2830" i="1" l="1"/>
  <c r="M2830" i="1" s="1"/>
  <c r="I2830" i="1"/>
  <c r="K2830" i="1" s="1"/>
  <c r="H2831" i="1" s="1"/>
  <c r="J2830" i="1"/>
  <c r="I2831" i="1" l="1"/>
  <c r="K2831" i="1" s="1"/>
  <c r="H2832" i="1" s="1"/>
  <c r="L2831" i="1"/>
  <c r="M2831" i="1" s="1"/>
  <c r="J2831" i="1"/>
  <c r="L2832" i="1" l="1"/>
  <c r="M2832" i="1" s="1"/>
  <c r="J2832" i="1"/>
  <c r="I2832" i="1"/>
  <c r="K2832" i="1" s="1"/>
  <c r="H2833" i="1" s="1"/>
  <c r="L2833" i="1" l="1"/>
  <c r="M2833" i="1" s="1"/>
  <c r="J2833" i="1"/>
  <c r="I2833" i="1"/>
  <c r="K2833" i="1" s="1"/>
  <c r="H2834" i="1" s="1"/>
  <c r="L2834" i="1" l="1"/>
  <c r="M2834" i="1" s="1"/>
  <c r="J2834" i="1"/>
  <c r="I2834" i="1"/>
  <c r="K2834" i="1" s="1"/>
  <c r="H2835" i="1" s="1"/>
  <c r="L2835" i="1" l="1"/>
  <c r="M2835" i="1" s="1"/>
  <c r="J2835" i="1"/>
  <c r="I2835" i="1"/>
  <c r="K2835" i="1" s="1"/>
  <c r="H2836" i="1" s="1"/>
  <c r="L2836" i="1" l="1"/>
  <c r="M2836" i="1" s="1"/>
  <c r="J2836" i="1"/>
  <c r="I2836" i="1"/>
  <c r="K2836" i="1" s="1"/>
  <c r="H2837" i="1" s="1"/>
  <c r="L2837" i="1" l="1"/>
  <c r="M2837" i="1" s="1"/>
  <c r="J2837" i="1"/>
  <c r="I2837" i="1"/>
  <c r="K2837" i="1" s="1"/>
  <c r="H2838" i="1" s="1"/>
  <c r="L2838" i="1" l="1"/>
  <c r="M2838" i="1" s="1"/>
  <c r="J2838" i="1"/>
  <c r="I2838" i="1"/>
  <c r="K2838" i="1" s="1"/>
  <c r="H2839" i="1" s="1"/>
  <c r="I2839" i="1" l="1"/>
  <c r="K2839" i="1" s="1"/>
  <c r="H2840" i="1" s="1"/>
  <c r="J2839" i="1"/>
  <c r="L2839" i="1"/>
  <c r="M2839" i="1" s="1"/>
  <c r="L2840" i="1" l="1"/>
  <c r="M2840" i="1" s="1"/>
  <c r="J2840" i="1"/>
  <c r="I2840" i="1"/>
  <c r="K2840" i="1" s="1"/>
  <c r="H2841" i="1" s="1"/>
  <c r="L2841" i="1" l="1"/>
  <c r="M2841" i="1" s="1"/>
  <c r="J2841" i="1"/>
  <c r="I2841" i="1"/>
  <c r="K2841" i="1" s="1"/>
  <c r="H2842" i="1" s="1"/>
  <c r="J2842" i="1" l="1"/>
  <c r="L2842" i="1"/>
  <c r="M2842" i="1" s="1"/>
  <c r="I2842" i="1"/>
  <c r="K2842" i="1" s="1"/>
  <c r="H2843" i="1" s="1"/>
  <c r="L2843" i="1" l="1"/>
  <c r="M2843" i="1" s="1"/>
  <c r="J2843" i="1"/>
  <c r="I2843" i="1"/>
  <c r="K2843" i="1" s="1"/>
  <c r="H2844" i="1" s="1"/>
  <c r="L2844" i="1" l="1"/>
  <c r="M2844" i="1" s="1"/>
  <c r="J2844" i="1"/>
  <c r="I2844" i="1"/>
  <c r="K2844" i="1" s="1"/>
  <c r="H2845" i="1" s="1"/>
  <c r="L2845" i="1" l="1"/>
  <c r="M2845" i="1" s="1"/>
  <c r="J2845" i="1"/>
  <c r="I2845" i="1"/>
  <c r="K2845" i="1" s="1"/>
  <c r="H2846" i="1" s="1"/>
  <c r="J2846" i="1" l="1"/>
  <c r="L2846" i="1"/>
  <c r="M2846" i="1" s="1"/>
  <c r="I2846" i="1"/>
  <c r="K2846" i="1" s="1"/>
  <c r="H2847" i="1" s="1"/>
  <c r="L2847" i="1" l="1"/>
  <c r="M2847" i="1" s="1"/>
  <c r="I2847" i="1"/>
  <c r="K2847" i="1" s="1"/>
  <c r="H2848" i="1" s="1"/>
  <c r="J2847" i="1"/>
  <c r="L2848" i="1" l="1"/>
  <c r="M2848" i="1" s="1"/>
  <c r="J2848" i="1"/>
  <c r="I2848" i="1"/>
  <c r="K2848" i="1" s="1"/>
  <c r="H2849" i="1" s="1"/>
  <c r="L2849" i="1" l="1"/>
  <c r="M2849" i="1" s="1"/>
  <c r="J2849" i="1"/>
  <c r="I2849" i="1"/>
  <c r="K2849" i="1" s="1"/>
  <c r="H2850" i="1" s="1"/>
  <c r="L2850" i="1" l="1"/>
  <c r="M2850" i="1" s="1"/>
  <c r="J2850" i="1"/>
  <c r="I2850" i="1"/>
  <c r="K2850" i="1" s="1"/>
  <c r="H2851" i="1" s="1"/>
  <c r="L2851" i="1" l="1"/>
  <c r="M2851" i="1" s="1"/>
  <c r="J2851" i="1"/>
  <c r="I2851" i="1"/>
  <c r="K2851" i="1" s="1"/>
  <c r="H2852" i="1" s="1"/>
  <c r="L2852" i="1" l="1"/>
  <c r="M2852" i="1" s="1"/>
  <c r="J2852" i="1"/>
  <c r="I2852" i="1"/>
  <c r="K2852" i="1" s="1"/>
  <c r="H2853" i="1" s="1"/>
  <c r="L2853" i="1" l="1"/>
  <c r="M2853" i="1" s="1"/>
  <c r="J2853" i="1"/>
  <c r="I2853" i="1"/>
  <c r="K2853" i="1" s="1"/>
  <c r="H2854" i="1" s="1"/>
  <c r="L2854" i="1" l="1"/>
  <c r="M2854" i="1" s="1"/>
  <c r="J2854" i="1"/>
  <c r="I2854" i="1"/>
  <c r="K2854" i="1" s="1"/>
  <c r="H2855" i="1" s="1"/>
  <c r="L2855" i="1" l="1"/>
  <c r="M2855" i="1" s="1"/>
  <c r="J2855" i="1"/>
  <c r="I2855" i="1"/>
  <c r="K2855" i="1" s="1"/>
  <c r="H2856" i="1" s="1"/>
  <c r="L2856" i="1" l="1"/>
  <c r="M2856" i="1" s="1"/>
  <c r="J2856" i="1"/>
  <c r="I2856" i="1"/>
  <c r="K2856" i="1" s="1"/>
  <c r="H2857" i="1" s="1"/>
  <c r="J2857" i="1" l="1"/>
  <c r="L2857" i="1"/>
  <c r="M2857" i="1" s="1"/>
  <c r="I2857" i="1"/>
  <c r="K2857" i="1" s="1"/>
  <c r="H2858" i="1" s="1"/>
  <c r="J2858" i="1" l="1"/>
  <c r="L2858" i="1"/>
  <c r="M2858" i="1" s="1"/>
  <c r="I2858" i="1"/>
  <c r="K2858" i="1" s="1"/>
  <c r="H2859" i="1" s="1"/>
  <c r="I2859" i="1" l="1"/>
  <c r="K2859" i="1" s="1"/>
  <c r="H2860" i="1" s="1"/>
  <c r="L2859" i="1"/>
  <c r="M2859" i="1" s="1"/>
  <c r="J2859" i="1"/>
  <c r="L2860" i="1" l="1"/>
  <c r="M2860" i="1" s="1"/>
  <c r="J2860" i="1"/>
  <c r="I2860" i="1"/>
  <c r="K2860" i="1" s="1"/>
  <c r="H2861" i="1" s="1"/>
  <c r="L2861" i="1" l="1"/>
  <c r="M2861" i="1" s="1"/>
  <c r="J2861" i="1"/>
  <c r="I2861" i="1"/>
  <c r="K2861" i="1" s="1"/>
  <c r="H2862" i="1" s="1"/>
  <c r="L2862" i="1" l="1"/>
  <c r="M2862" i="1" s="1"/>
  <c r="J2862" i="1"/>
  <c r="I2862" i="1"/>
  <c r="K2862" i="1" s="1"/>
  <c r="H2863" i="1" s="1"/>
  <c r="L2863" i="1" l="1"/>
  <c r="M2863" i="1" s="1"/>
  <c r="J2863" i="1"/>
  <c r="I2863" i="1"/>
  <c r="K2863" i="1" s="1"/>
  <c r="H2864" i="1" s="1"/>
  <c r="L2864" i="1" l="1"/>
  <c r="M2864" i="1" s="1"/>
  <c r="J2864" i="1"/>
  <c r="I2864" i="1"/>
  <c r="K2864" i="1" s="1"/>
  <c r="H2865" i="1" s="1"/>
  <c r="L2865" i="1" l="1"/>
  <c r="M2865" i="1" s="1"/>
  <c r="J2865" i="1"/>
  <c r="I2865" i="1"/>
  <c r="K2865" i="1" s="1"/>
  <c r="H2866" i="1" s="1"/>
  <c r="L2866" i="1" l="1"/>
  <c r="M2866" i="1" s="1"/>
  <c r="J2866" i="1"/>
  <c r="I2866" i="1"/>
  <c r="K2866" i="1" s="1"/>
  <c r="H2867" i="1" s="1"/>
  <c r="L2867" i="1" l="1"/>
  <c r="M2867" i="1" s="1"/>
  <c r="J2867" i="1"/>
  <c r="I2867" i="1"/>
  <c r="K2867" i="1" s="1"/>
  <c r="H2868" i="1" s="1"/>
  <c r="L2868" i="1" l="1"/>
  <c r="M2868" i="1" s="1"/>
  <c r="J2868" i="1"/>
  <c r="I2868" i="1"/>
  <c r="K2868" i="1" s="1"/>
  <c r="H2869" i="1" s="1"/>
  <c r="L2869" i="1" l="1"/>
  <c r="M2869" i="1" s="1"/>
  <c r="I2869" i="1"/>
  <c r="K2869" i="1" s="1"/>
  <c r="H2870" i="1" s="1"/>
  <c r="J2869" i="1"/>
  <c r="L2870" i="1" l="1"/>
  <c r="M2870" i="1" s="1"/>
  <c r="J2870" i="1"/>
  <c r="I2870" i="1"/>
  <c r="K2870" i="1" s="1"/>
  <c r="H2871" i="1" s="1"/>
  <c r="L2871" i="1" l="1"/>
  <c r="M2871" i="1" s="1"/>
  <c r="J2871" i="1"/>
  <c r="I2871" i="1"/>
  <c r="K2871" i="1" s="1"/>
  <c r="H2872" i="1" s="1"/>
  <c r="L2872" i="1" l="1"/>
  <c r="M2872" i="1" s="1"/>
  <c r="I2872" i="1"/>
  <c r="K2872" i="1" s="1"/>
  <c r="H2873" i="1" s="1"/>
  <c r="J2872" i="1"/>
  <c r="L2873" i="1" l="1"/>
  <c r="M2873" i="1" s="1"/>
  <c r="J2873" i="1"/>
  <c r="I2873" i="1"/>
  <c r="K2873" i="1" s="1"/>
  <c r="H2874" i="1" s="1"/>
  <c r="L2874" i="1" l="1"/>
  <c r="M2874" i="1" s="1"/>
  <c r="J2874" i="1"/>
  <c r="I2874" i="1"/>
  <c r="K2874" i="1" s="1"/>
  <c r="H2875" i="1" s="1"/>
  <c r="L2875" i="1" l="1"/>
  <c r="M2875" i="1" s="1"/>
  <c r="I2875" i="1"/>
  <c r="K2875" i="1" s="1"/>
  <c r="H2876" i="1" s="1"/>
  <c r="J2875" i="1"/>
  <c r="L2876" i="1" l="1"/>
  <c r="M2876" i="1" s="1"/>
  <c r="J2876" i="1"/>
  <c r="I2876" i="1"/>
  <c r="K2876" i="1" s="1"/>
  <c r="H2877" i="1" s="1"/>
  <c r="L2877" i="1" l="1"/>
  <c r="M2877" i="1" s="1"/>
  <c r="J2877" i="1"/>
  <c r="I2877" i="1"/>
  <c r="K2877" i="1" s="1"/>
  <c r="H2878" i="1" s="1"/>
  <c r="L2878" i="1" l="1"/>
  <c r="M2878" i="1" s="1"/>
  <c r="J2878" i="1"/>
  <c r="I2878" i="1"/>
  <c r="K2878" i="1" s="1"/>
  <c r="H2879" i="1" s="1"/>
  <c r="L2879" i="1" l="1"/>
  <c r="M2879" i="1" s="1"/>
  <c r="J2879" i="1"/>
  <c r="I2879" i="1"/>
  <c r="K2879" i="1" s="1"/>
  <c r="H2880" i="1" s="1"/>
  <c r="L2880" i="1" l="1"/>
  <c r="M2880" i="1" s="1"/>
  <c r="J2880" i="1"/>
  <c r="I2880" i="1"/>
  <c r="K2880" i="1" s="1"/>
  <c r="H2881" i="1" s="1"/>
  <c r="L2881" i="1" l="1"/>
  <c r="M2881" i="1" s="1"/>
  <c r="J2881" i="1"/>
  <c r="I2881" i="1"/>
  <c r="K2881" i="1" s="1"/>
  <c r="H2882" i="1" s="1"/>
  <c r="L2882" i="1" l="1"/>
  <c r="M2882" i="1" s="1"/>
  <c r="J2882" i="1"/>
  <c r="I2882" i="1"/>
  <c r="K2882" i="1" s="1"/>
  <c r="H2883" i="1" s="1"/>
  <c r="L2883" i="1" l="1"/>
  <c r="M2883" i="1" s="1"/>
  <c r="J2883" i="1"/>
  <c r="I2883" i="1"/>
  <c r="K2883" i="1" s="1"/>
  <c r="H2884" i="1" s="1"/>
  <c r="L2884" i="1" l="1"/>
  <c r="M2884" i="1" s="1"/>
  <c r="J2884" i="1"/>
  <c r="I2884" i="1"/>
  <c r="K2884" i="1" s="1"/>
  <c r="H2885" i="1" s="1"/>
  <c r="L2885" i="1" l="1"/>
  <c r="M2885" i="1" s="1"/>
  <c r="J2885" i="1"/>
  <c r="I2885" i="1"/>
  <c r="K2885" i="1" s="1"/>
  <c r="H2886" i="1" s="1"/>
  <c r="L2886" i="1" l="1"/>
  <c r="M2886" i="1" s="1"/>
  <c r="J2886" i="1"/>
  <c r="I2886" i="1"/>
  <c r="K2886" i="1" s="1"/>
  <c r="H2887" i="1" s="1"/>
  <c r="L2887" i="1" l="1"/>
  <c r="M2887" i="1" s="1"/>
  <c r="J2887" i="1"/>
  <c r="I2887" i="1"/>
  <c r="K2887" i="1" s="1"/>
  <c r="H2888" i="1" s="1"/>
  <c r="L2888" i="1" l="1"/>
  <c r="M2888" i="1" s="1"/>
  <c r="J2888" i="1"/>
  <c r="I2888" i="1"/>
  <c r="K2888" i="1" s="1"/>
  <c r="H2889" i="1" s="1"/>
  <c r="L2889" i="1" l="1"/>
  <c r="M2889" i="1" s="1"/>
  <c r="J2889" i="1"/>
  <c r="I2889" i="1"/>
  <c r="K2889" i="1" s="1"/>
  <c r="H2890" i="1" s="1"/>
  <c r="L2890" i="1" l="1"/>
  <c r="M2890" i="1" s="1"/>
  <c r="J2890" i="1"/>
  <c r="I2890" i="1"/>
  <c r="K2890" i="1" s="1"/>
  <c r="H2891" i="1" s="1"/>
  <c r="L2891" i="1" l="1"/>
  <c r="M2891" i="1" s="1"/>
  <c r="J2891" i="1"/>
  <c r="I2891" i="1"/>
  <c r="K2891" i="1" s="1"/>
  <c r="H2892" i="1" s="1"/>
  <c r="L2892" i="1" l="1"/>
  <c r="M2892" i="1" s="1"/>
  <c r="J2892" i="1"/>
  <c r="I2892" i="1"/>
  <c r="K2892" i="1" s="1"/>
  <c r="H2893" i="1" s="1"/>
  <c r="J2893" i="1" l="1"/>
  <c r="L2893" i="1"/>
  <c r="M2893" i="1" s="1"/>
  <c r="I2893" i="1"/>
  <c r="K2893" i="1" s="1"/>
  <c r="H2894" i="1" s="1"/>
  <c r="L2894" i="1" l="1"/>
  <c r="M2894" i="1" s="1"/>
  <c r="I2894" i="1"/>
  <c r="K2894" i="1" s="1"/>
  <c r="H2895" i="1" s="1"/>
  <c r="J2894" i="1"/>
  <c r="L2895" i="1" l="1"/>
  <c r="M2895" i="1" s="1"/>
  <c r="J2895" i="1"/>
  <c r="I2895" i="1"/>
  <c r="K2895" i="1" s="1"/>
  <c r="H2896" i="1" s="1"/>
  <c r="J2896" i="1" l="1"/>
  <c r="L2896" i="1"/>
  <c r="M2896" i="1" s="1"/>
  <c r="I2896" i="1"/>
  <c r="K2896" i="1" s="1"/>
  <c r="H2897" i="1" s="1"/>
  <c r="L2897" i="1" l="1"/>
  <c r="M2897" i="1" s="1"/>
  <c r="J2897" i="1"/>
  <c r="I2897" i="1"/>
  <c r="K2897" i="1" s="1"/>
  <c r="H2898" i="1" s="1"/>
  <c r="L2898" i="1" l="1"/>
  <c r="M2898" i="1" s="1"/>
  <c r="J2898" i="1"/>
  <c r="I2898" i="1"/>
  <c r="K2898" i="1" s="1"/>
  <c r="H2899" i="1" s="1"/>
  <c r="J2899" i="1" l="1"/>
  <c r="L2899" i="1"/>
  <c r="M2899" i="1" s="1"/>
  <c r="I2899" i="1"/>
  <c r="K2899" i="1" s="1"/>
  <c r="H2900" i="1" s="1"/>
  <c r="L2900" i="1" l="1"/>
  <c r="M2900" i="1" s="1"/>
  <c r="J2900" i="1"/>
  <c r="I2900" i="1"/>
  <c r="K2900" i="1" s="1"/>
  <c r="H2901" i="1" s="1"/>
  <c r="L2901" i="1" l="1"/>
  <c r="M2901" i="1" s="1"/>
  <c r="J2901" i="1"/>
  <c r="I2901" i="1"/>
  <c r="K2901" i="1" s="1"/>
  <c r="H2902" i="1" s="1"/>
  <c r="L2902" i="1" l="1"/>
  <c r="M2902" i="1" s="1"/>
  <c r="I2902" i="1"/>
  <c r="K2902" i="1" s="1"/>
  <c r="H2903" i="1" s="1"/>
  <c r="J2902" i="1"/>
  <c r="L2903" i="1" l="1"/>
  <c r="M2903" i="1" s="1"/>
  <c r="I2903" i="1"/>
  <c r="K2903" i="1" s="1"/>
  <c r="H2904" i="1" s="1"/>
  <c r="J2903" i="1"/>
  <c r="L2904" i="1" l="1"/>
  <c r="M2904" i="1" s="1"/>
  <c r="J2904" i="1"/>
  <c r="I2904" i="1"/>
  <c r="K2904" i="1" s="1"/>
  <c r="H2905" i="1" s="1"/>
  <c r="J2905" i="1" l="1"/>
  <c r="L2905" i="1"/>
  <c r="M2905" i="1" s="1"/>
  <c r="I2905" i="1"/>
  <c r="K2905" i="1" s="1"/>
  <c r="H2906" i="1" s="1"/>
  <c r="L2906" i="1" l="1"/>
  <c r="M2906" i="1" s="1"/>
  <c r="J2906" i="1"/>
  <c r="I2906" i="1"/>
  <c r="K2906" i="1" s="1"/>
  <c r="H2907" i="1" s="1"/>
  <c r="L2907" i="1" l="1"/>
  <c r="M2907" i="1" s="1"/>
  <c r="J2907" i="1"/>
  <c r="I2907" i="1"/>
  <c r="K2907" i="1" s="1"/>
  <c r="H2908" i="1" s="1"/>
  <c r="L2908" i="1" l="1"/>
  <c r="M2908" i="1" s="1"/>
  <c r="J2908" i="1"/>
  <c r="I2908" i="1"/>
  <c r="K2908" i="1" s="1"/>
  <c r="H2909" i="1" s="1"/>
  <c r="L2909" i="1" l="1"/>
  <c r="M2909" i="1" s="1"/>
  <c r="J2909" i="1"/>
  <c r="I2909" i="1"/>
  <c r="K2909" i="1" s="1"/>
  <c r="H2910" i="1" s="1"/>
  <c r="L2910" i="1" l="1"/>
  <c r="M2910" i="1" s="1"/>
  <c r="J2910" i="1"/>
  <c r="I2910" i="1"/>
  <c r="K2910" i="1" s="1"/>
  <c r="H2911" i="1" s="1"/>
  <c r="L2911" i="1" l="1"/>
  <c r="M2911" i="1" s="1"/>
  <c r="J2911" i="1"/>
  <c r="I2911" i="1"/>
  <c r="K2911" i="1" s="1"/>
  <c r="H2912" i="1" s="1"/>
  <c r="L2912" i="1" l="1"/>
  <c r="M2912" i="1" s="1"/>
  <c r="J2912" i="1"/>
  <c r="I2912" i="1"/>
  <c r="K2912" i="1" s="1"/>
  <c r="H2913" i="1" s="1"/>
  <c r="L2913" i="1" l="1"/>
  <c r="M2913" i="1" s="1"/>
  <c r="J2913" i="1"/>
  <c r="I2913" i="1"/>
  <c r="K2913" i="1" s="1"/>
  <c r="H2914" i="1" s="1"/>
  <c r="L2914" i="1" l="1"/>
  <c r="M2914" i="1" s="1"/>
  <c r="J2914" i="1"/>
  <c r="I2914" i="1"/>
  <c r="K2914" i="1" s="1"/>
  <c r="H2915" i="1" s="1"/>
  <c r="I2915" i="1" l="1"/>
  <c r="K2915" i="1" s="1"/>
  <c r="H2916" i="1" s="1"/>
  <c r="L2915" i="1"/>
  <c r="M2915" i="1" s="1"/>
  <c r="J2915" i="1"/>
  <c r="L2916" i="1" l="1"/>
  <c r="M2916" i="1" s="1"/>
  <c r="J2916" i="1"/>
  <c r="I2916" i="1"/>
  <c r="K2916" i="1" s="1"/>
  <c r="H2917" i="1" s="1"/>
  <c r="L2917" i="1" l="1"/>
  <c r="M2917" i="1" s="1"/>
  <c r="J2917" i="1"/>
  <c r="I2917" i="1"/>
  <c r="K2917" i="1" s="1"/>
  <c r="H2918" i="1" s="1"/>
  <c r="J2918" i="1" l="1"/>
  <c r="L2918" i="1"/>
  <c r="M2918" i="1" s="1"/>
  <c r="I2918" i="1"/>
  <c r="K2918" i="1" s="1"/>
  <c r="H2919" i="1" s="1"/>
  <c r="L2919" i="1" l="1"/>
  <c r="M2919" i="1" s="1"/>
  <c r="I2919" i="1"/>
  <c r="K2919" i="1" s="1"/>
  <c r="H2920" i="1" s="1"/>
  <c r="J2919" i="1"/>
  <c r="L2920" i="1" l="1"/>
  <c r="M2920" i="1" s="1"/>
  <c r="J2920" i="1"/>
  <c r="I2920" i="1"/>
  <c r="K2920" i="1" s="1"/>
  <c r="H2921" i="1" s="1"/>
  <c r="I2921" i="1" l="1"/>
  <c r="K2921" i="1" s="1"/>
  <c r="H2922" i="1" s="1"/>
  <c r="L2921" i="1"/>
  <c r="M2921" i="1" s="1"/>
  <c r="J2921" i="1"/>
  <c r="L2922" i="1" l="1"/>
  <c r="M2922" i="1" s="1"/>
  <c r="J2922" i="1"/>
  <c r="I2922" i="1"/>
  <c r="K2922" i="1" s="1"/>
  <c r="H2923" i="1" s="1"/>
  <c r="L2923" i="1" l="1"/>
  <c r="M2923" i="1" s="1"/>
  <c r="J2923" i="1"/>
  <c r="I2923" i="1"/>
  <c r="K2923" i="1" s="1"/>
  <c r="H2924" i="1" s="1"/>
  <c r="L2924" i="1" l="1"/>
  <c r="M2924" i="1" s="1"/>
  <c r="J2924" i="1"/>
  <c r="I2924" i="1"/>
  <c r="K2924" i="1" s="1"/>
  <c r="H2925" i="1" s="1"/>
  <c r="L2925" i="1" l="1"/>
  <c r="M2925" i="1" s="1"/>
  <c r="J2925" i="1"/>
  <c r="I2925" i="1"/>
  <c r="K2925" i="1" s="1"/>
  <c r="H2926" i="1" s="1"/>
  <c r="L2926" i="1" l="1"/>
  <c r="M2926" i="1" s="1"/>
  <c r="J2926" i="1"/>
  <c r="I2926" i="1"/>
  <c r="K2926" i="1" s="1"/>
  <c r="H2927" i="1" s="1"/>
  <c r="L2927" i="1" l="1"/>
  <c r="M2927" i="1" s="1"/>
  <c r="J2927" i="1"/>
  <c r="I2927" i="1"/>
  <c r="K2927" i="1" s="1"/>
  <c r="H2928" i="1" s="1"/>
  <c r="L2928" i="1" l="1"/>
  <c r="M2928" i="1" s="1"/>
  <c r="J2928" i="1"/>
  <c r="I2928" i="1"/>
  <c r="K2928" i="1" s="1"/>
  <c r="H2929" i="1" s="1"/>
  <c r="J2929" i="1" l="1"/>
  <c r="L2929" i="1"/>
  <c r="M2929" i="1" s="1"/>
  <c r="I2929" i="1"/>
  <c r="K2929" i="1" s="1"/>
  <c r="H2930" i="1" s="1"/>
  <c r="L2930" i="1" l="1"/>
  <c r="M2930" i="1" s="1"/>
  <c r="J2930" i="1"/>
  <c r="I2930" i="1"/>
  <c r="K2930" i="1" s="1"/>
  <c r="H2931" i="1" s="1"/>
  <c r="L2931" i="1" l="1"/>
  <c r="M2931" i="1" s="1"/>
  <c r="J2931" i="1"/>
  <c r="I2931" i="1"/>
  <c r="K2931" i="1" s="1"/>
  <c r="H2932" i="1" s="1"/>
  <c r="L2932" i="1" l="1"/>
  <c r="M2932" i="1" s="1"/>
  <c r="J2932" i="1"/>
  <c r="I2932" i="1"/>
  <c r="K2932" i="1" s="1"/>
  <c r="H2933" i="1" s="1"/>
  <c r="I2933" i="1" l="1"/>
  <c r="K2933" i="1" s="1"/>
  <c r="H2934" i="1" s="1"/>
  <c r="L2933" i="1"/>
  <c r="M2933" i="1" s="1"/>
  <c r="J2933" i="1"/>
  <c r="L2934" i="1" l="1"/>
  <c r="M2934" i="1" s="1"/>
  <c r="J2934" i="1"/>
  <c r="I2934" i="1"/>
  <c r="K2934" i="1" s="1"/>
  <c r="H2935" i="1" s="1"/>
  <c r="J2935" i="1" l="1"/>
  <c r="L2935" i="1"/>
  <c r="M2935" i="1" s="1"/>
  <c r="I2935" i="1"/>
  <c r="K2935" i="1" s="1"/>
  <c r="H2936" i="1" s="1"/>
  <c r="L2936" i="1" l="1"/>
  <c r="M2936" i="1" s="1"/>
  <c r="J2936" i="1"/>
  <c r="I2936" i="1"/>
  <c r="K2936" i="1" s="1"/>
  <c r="H2937" i="1" s="1"/>
  <c r="L2937" i="1" l="1"/>
  <c r="M2937" i="1" s="1"/>
  <c r="I2937" i="1"/>
  <c r="K2937" i="1" s="1"/>
  <c r="H2938" i="1" s="1"/>
  <c r="J2937" i="1"/>
  <c r="L2938" i="1" l="1"/>
  <c r="M2938" i="1" s="1"/>
  <c r="J2938" i="1"/>
  <c r="I2938" i="1"/>
  <c r="K2938" i="1" s="1"/>
  <c r="H2939" i="1" s="1"/>
  <c r="L2939" i="1" l="1"/>
  <c r="M2939" i="1" s="1"/>
  <c r="I2939" i="1"/>
  <c r="K2939" i="1" s="1"/>
  <c r="H2940" i="1" s="1"/>
  <c r="J2939" i="1"/>
  <c r="L2940" i="1" l="1"/>
  <c r="M2940" i="1" s="1"/>
  <c r="J2940" i="1"/>
  <c r="I2940" i="1"/>
  <c r="K2940" i="1" s="1"/>
  <c r="H2941" i="1" s="1"/>
  <c r="L2941" i="1" l="1"/>
  <c r="M2941" i="1" s="1"/>
  <c r="J2941" i="1"/>
  <c r="I2941" i="1"/>
  <c r="K2941" i="1" s="1"/>
  <c r="H2942" i="1" s="1"/>
  <c r="L2942" i="1" l="1"/>
  <c r="M2942" i="1" s="1"/>
  <c r="J2942" i="1"/>
  <c r="I2942" i="1"/>
  <c r="K2942" i="1" s="1"/>
  <c r="H2943" i="1" s="1"/>
  <c r="L2943" i="1" l="1"/>
  <c r="M2943" i="1" s="1"/>
  <c r="J2943" i="1"/>
  <c r="I2943" i="1"/>
  <c r="K2943" i="1" s="1"/>
  <c r="H2944" i="1" s="1"/>
  <c r="L2944" i="1" l="1"/>
  <c r="M2944" i="1" s="1"/>
  <c r="J2944" i="1"/>
  <c r="I2944" i="1"/>
  <c r="K2944" i="1" s="1"/>
  <c r="H2945" i="1" s="1"/>
  <c r="L2945" i="1" l="1"/>
  <c r="M2945" i="1" s="1"/>
  <c r="J2945" i="1"/>
  <c r="I2945" i="1"/>
  <c r="K2945" i="1" s="1"/>
  <c r="H2946" i="1" s="1"/>
  <c r="L2946" i="1" l="1"/>
  <c r="M2946" i="1" s="1"/>
  <c r="J2946" i="1"/>
  <c r="I2946" i="1"/>
  <c r="K2946" i="1" s="1"/>
  <c r="H2947" i="1" s="1"/>
  <c r="J2947" i="1" l="1"/>
  <c r="L2947" i="1"/>
  <c r="M2947" i="1" s="1"/>
  <c r="I2947" i="1"/>
  <c r="K2947" i="1" s="1"/>
  <c r="H2948" i="1" s="1"/>
  <c r="L2948" i="1" l="1"/>
  <c r="M2948" i="1" s="1"/>
  <c r="J2948" i="1"/>
  <c r="I2948" i="1"/>
  <c r="K2948" i="1" s="1"/>
  <c r="H2949" i="1" s="1"/>
  <c r="L2949" i="1" l="1"/>
  <c r="M2949" i="1" s="1"/>
  <c r="J2949" i="1"/>
  <c r="I2949" i="1"/>
  <c r="K2949" i="1" s="1"/>
  <c r="H2950" i="1" s="1"/>
  <c r="L2950" i="1" l="1"/>
  <c r="M2950" i="1" s="1"/>
  <c r="J2950" i="1"/>
  <c r="I2950" i="1"/>
  <c r="K2950" i="1" s="1"/>
  <c r="H2951" i="1" s="1"/>
  <c r="L2951" i="1" l="1"/>
  <c r="M2951" i="1" s="1"/>
  <c r="J2951" i="1"/>
  <c r="I2951" i="1"/>
  <c r="K2951" i="1" s="1"/>
  <c r="H2952" i="1" s="1"/>
  <c r="L2952" i="1" l="1"/>
  <c r="M2952" i="1" s="1"/>
  <c r="J2952" i="1"/>
  <c r="I2952" i="1"/>
  <c r="K2952" i="1" s="1"/>
  <c r="H2953" i="1" s="1"/>
  <c r="L2953" i="1" l="1"/>
  <c r="M2953" i="1" s="1"/>
  <c r="J2953" i="1"/>
  <c r="I2953" i="1"/>
  <c r="K2953" i="1" s="1"/>
  <c r="H2954" i="1" s="1"/>
  <c r="J2954" i="1" l="1"/>
  <c r="L2954" i="1"/>
  <c r="M2954" i="1" s="1"/>
  <c r="I2954" i="1"/>
  <c r="K2954" i="1" s="1"/>
  <c r="H2955" i="1" s="1"/>
  <c r="L2955" i="1" l="1"/>
  <c r="M2955" i="1" s="1"/>
  <c r="J2955" i="1"/>
  <c r="I2955" i="1"/>
  <c r="K2955" i="1" s="1"/>
  <c r="H2956" i="1" s="1"/>
  <c r="L2956" i="1" l="1"/>
  <c r="M2956" i="1" s="1"/>
  <c r="J2956" i="1"/>
  <c r="I2956" i="1"/>
  <c r="K2956" i="1" s="1"/>
  <c r="H2957" i="1" s="1"/>
  <c r="L2957" i="1" l="1"/>
  <c r="M2957" i="1" s="1"/>
  <c r="J2957" i="1"/>
  <c r="I2957" i="1"/>
  <c r="K2957" i="1" s="1"/>
  <c r="H2958" i="1" s="1"/>
  <c r="L2958" i="1" l="1"/>
  <c r="M2958" i="1" s="1"/>
  <c r="J2958" i="1"/>
  <c r="I2958" i="1"/>
  <c r="K2958" i="1" s="1"/>
  <c r="H2959" i="1" s="1"/>
  <c r="L2959" i="1" l="1"/>
  <c r="M2959" i="1" s="1"/>
  <c r="J2959" i="1"/>
  <c r="I2959" i="1"/>
  <c r="K2959" i="1" s="1"/>
  <c r="H2960" i="1" s="1"/>
  <c r="L2960" i="1" l="1"/>
  <c r="M2960" i="1" s="1"/>
  <c r="J2960" i="1"/>
  <c r="I2960" i="1"/>
  <c r="K2960" i="1" s="1"/>
  <c r="H2961" i="1" s="1"/>
  <c r="L2961" i="1" l="1"/>
  <c r="M2961" i="1" s="1"/>
  <c r="J2961" i="1"/>
  <c r="I2961" i="1"/>
  <c r="K2961" i="1" s="1"/>
  <c r="H2962" i="1" s="1"/>
  <c r="L2962" i="1" l="1"/>
  <c r="M2962" i="1" s="1"/>
  <c r="J2962" i="1"/>
  <c r="I2962" i="1"/>
  <c r="K2962" i="1" s="1"/>
  <c r="H2963" i="1" s="1"/>
  <c r="L2963" i="1" l="1"/>
  <c r="M2963" i="1" s="1"/>
  <c r="J2963" i="1"/>
  <c r="I2963" i="1"/>
  <c r="K2963" i="1" s="1"/>
  <c r="H2964" i="1" s="1"/>
  <c r="L2964" i="1" l="1"/>
  <c r="M2964" i="1" s="1"/>
  <c r="I2964" i="1"/>
  <c r="K2964" i="1" s="1"/>
  <c r="H2965" i="1" s="1"/>
  <c r="J2964" i="1"/>
  <c r="J2965" i="1" l="1"/>
  <c r="I2965" i="1"/>
  <c r="K2965" i="1" s="1"/>
  <c r="H2966" i="1" s="1"/>
  <c r="L2965" i="1"/>
  <c r="M2965" i="1" s="1"/>
  <c r="J2966" i="1" l="1"/>
  <c r="L2966" i="1"/>
  <c r="M2966" i="1" s="1"/>
  <c r="I2966" i="1"/>
  <c r="K2966" i="1" s="1"/>
  <c r="H2967" i="1" s="1"/>
  <c r="L2967" i="1" l="1"/>
  <c r="M2967" i="1" s="1"/>
  <c r="J2967" i="1"/>
  <c r="I2967" i="1"/>
  <c r="K2967" i="1" s="1"/>
  <c r="H2968" i="1" s="1"/>
  <c r="L2968" i="1" l="1"/>
  <c r="M2968" i="1" s="1"/>
  <c r="J2968" i="1"/>
  <c r="I2968" i="1"/>
  <c r="K2968" i="1" s="1"/>
  <c r="H2969" i="1" s="1"/>
  <c r="L2969" i="1" l="1"/>
  <c r="M2969" i="1" s="1"/>
  <c r="J2969" i="1"/>
  <c r="I2969" i="1"/>
  <c r="K2969" i="1" s="1"/>
  <c r="H2970" i="1" s="1"/>
  <c r="L2970" i="1" l="1"/>
  <c r="M2970" i="1" s="1"/>
  <c r="J2970" i="1"/>
  <c r="I2970" i="1"/>
  <c r="K2970" i="1" s="1"/>
  <c r="H2971" i="1" s="1"/>
  <c r="L2971" i="1" l="1"/>
  <c r="M2971" i="1" s="1"/>
  <c r="J2971" i="1"/>
  <c r="I2971" i="1"/>
  <c r="K2971" i="1" s="1"/>
  <c r="H2972" i="1" s="1"/>
  <c r="L2972" i="1" l="1"/>
  <c r="M2972" i="1" s="1"/>
  <c r="J2972" i="1"/>
  <c r="I2972" i="1"/>
  <c r="K2972" i="1" s="1"/>
  <c r="H2973" i="1" s="1"/>
  <c r="L2973" i="1" l="1"/>
  <c r="M2973" i="1" s="1"/>
  <c r="J2973" i="1"/>
  <c r="I2973" i="1"/>
  <c r="K2973" i="1" s="1"/>
  <c r="H2974" i="1" s="1"/>
  <c r="L2974" i="1" l="1"/>
  <c r="M2974" i="1" s="1"/>
  <c r="J2974" i="1"/>
  <c r="I2974" i="1"/>
  <c r="K2974" i="1" s="1"/>
  <c r="H2975" i="1" s="1"/>
  <c r="L2975" i="1" l="1"/>
  <c r="M2975" i="1" s="1"/>
  <c r="J2975" i="1"/>
  <c r="I2975" i="1"/>
  <c r="K2975" i="1" s="1"/>
  <c r="H2976" i="1" s="1"/>
  <c r="L2976" i="1" l="1"/>
  <c r="M2976" i="1" s="1"/>
  <c r="J2976" i="1"/>
  <c r="I2976" i="1"/>
  <c r="K2976" i="1" s="1"/>
  <c r="H2977" i="1" s="1"/>
  <c r="L2977" i="1" l="1"/>
  <c r="M2977" i="1" s="1"/>
  <c r="J2977" i="1"/>
  <c r="I2977" i="1"/>
  <c r="K2977" i="1" s="1"/>
  <c r="H2978" i="1" s="1"/>
  <c r="L2978" i="1" l="1"/>
  <c r="M2978" i="1" s="1"/>
  <c r="J2978" i="1"/>
  <c r="I2978" i="1"/>
  <c r="K2978" i="1" s="1"/>
  <c r="H2979" i="1" s="1"/>
  <c r="L2979" i="1" l="1"/>
  <c r="M2979" i="1" s="1"/>
  <c r="J2979" i="1"/>
  <c r="I2979" i="1"/>
  <c r="K2979" i="1" s="1"/>
  <c r="H2980" i="1" s="1"/>
  <c r="L2980" i="1" l="1"/>
  <c r="M2980" i="1" s="1"/>
  <c r="I2980" i="1"/>
  <c r="K2980" i="1" s="1"/>
  <c r="H2981" i="1" s="1"/>
  <c r="J2980" i="1"/>
  <c r="L2981" i="1" l="1"/>
  <c r="M2981" i="1" s="1"/>
  <c r="J2981" i="1"/>
  <c r="I2981" i="1"/>
  <c r="K2981" i="1" s="1"/>
  <c r="H2982" i="1" s="1"/>
  <c r="L2982" i="1" l="1"/>
  <c r="M2982" i="1" s="1"/>
  <c r="J2982" i="1"/>
  <c r="I2982" i="1"/>
  <c r="K2982" i="1" s="1"/>
  <c r="H2983" i="1" s="1"/>
  <c r="L2983" i="1" l="1"/>
  <c r="M2983" i="1" s="1"/>
  <c r="J2983" i="1"/>
  <c r="I2983" i="1"/>
  <c r="K2983" i="1" s="1"/>
  <c r="H2984" i="1" s="1"/>
  <c r="L2984" i="1" l="1"/>
  <c r="M2984" i="1" s="1"/>
  <c r="J2984" i="1"/>
  <c r="I2984" i="1"/>
  <c r="K2984" i="1" s="1"/>
  <c r="H2985" i="1" s="1"/>
  <c r="L2985" i="1" l="1"/>
  <c r="M2985" i="1" s="1"/>
  <c r="J2985" i="1"/>
  <c r="I2985" i="1"/>
  <c r="K2985" i="1" s="1"/>
  <c r="H2986" i="1" s="1"/>
  <c r="J2986" i="1" l="1"/>
  <c r="I2986" i="1"/>
  <c r="K2986" i="1" s="1"/>
  <c r="H2987" i="1" s="1"/>
  <c r="L2986" i="1"/>
  <c r="M2986" i="1" s="1"/>
  <c r="L2987" i="1" l="1"/>
  <c r="M2987" i="1" s="1"/>
  <c r="J2987" i="1"/>
  <c r="I2987" i="1"/>
  <c r="K2987" i="1" s="1"/>
  <c r="H2988" i="1" s="1"/>
  <c r="L2988" i="1" l="1"/>
  <c r="M2988" i="1" s="1"/>
  <c r="J2988" i="1"/>
  <c r="I2988" i="1"/>
  <c r="K2988" i="1" s="1"/>
  <c r="H2989" i="1" s="1"/>
  <c r="L2989" i="1" l="1"/>
  <c r="M2989" i="1" s="1"/>
  <c r="J2989" i="1"/>
  <c r="I2989" i="1"/>
  <c r="K2989" i="1" s="1"/>
  <c r="H2990" i="1" s="1"/>
  <c r="L2990" i="1" l="1"/>
  <c r="M2990" i="1" s="1"/>
  <c r="J2990" i="1"/>
  <c r="I2990" i="1"/>
  <c r="K2990" i="1" s="1"/>
  <c r="H2991" i="1" s="1"/>
  <c r="L2991" i="1" l="1"/>
  <c r="M2991" i="1" s="1"/>
  <c r="J2991" i="1"/>
  <c r="I2991" i="1"/>
  <c r="K2991" i="1" s="1"/>
  <c r="H2992" i="1" s="1"/>
  <c r="I2992" i="1" l="1"/>
  <c r="K2992" i="1" s="1"/>
  <c r="H2993" i="1" s="1"/>
  <c r="L2992" i="1"/>
  <c r="M2992" i="1" s="1"/>
  <c r="J2992" i="1"/>
  <c r="I2993" i="1" l="1"/>
  <c r="K2993" i="1" s="1"/>
  <c r="H2994" i="1" s="1"/>
  <c r="L2993" i="1"/>
  <c r="M2993" i="1" s="1"/>
  <c r="J2993" i="1"/>
  <c r="L2994" i="1" l="1"/>
  <c r="M2994" i="1" s="1"/>
  <c r="J2994" i="1"/>
  <c r="I2994" i="1"/>
  <c r="K2994" i="1" s="1"/>
  <c r="H2995" i="1" s="1"/>
  <c r="L2995" i="1" l="1"/>
  <c r="M2995" i="1" s="1"/>
  <c r="J2995" i="1"/>
  <c r="I2995" i="1"/>
  <c r="K2995" i="1" s="1"/>
  <c r="H2996" i="1" s="1"/>
  <c r="L2996" i="1" l="1"/>
  <c r="M2996" i="1" s="1"/>
  <c r="J2996" i="1"/>
  <c r="I2996" i="1"/>
  <c r="K2996" i="1" s="1"/>
  <c r="H2997" i="1" s="1"/>
  <c r="I2997" i="1" l="1"/>
  <c r="K2997" i="1" s="1"/>
  <c r="H2998" i="1" s="1"/>
  <c r="L2997" i="1"/>
  <c r="M2997" i="1" s="1"/>
  <c r="J2997" i="1"/>
  <c r="J2998" i="1" l="1"/>
  <c r="L2998" i="1"/>
  <c r="M2998" i="1" s="1"/>
  <c r="I2998" i="1"/>
  <c r="K2998" i="1" s="1"/>
  <c r="H2999" i="1" s="1"/>
  <c r="L2999" i="1" l="1"/>
  <c r="M2999" i="1" s="1"/>
  <c r="I2999" i="1"/>
  <c r="K2999" i="1" s="1"/>
  <c r="H3000" i="1" s="1"/>
  <c r="J2999" i="1"/>
  <c r="L3000" i="1" l="1"/>
  <c r="M3000" i="1" s="1"/>
  <c r="J3000" i="1"/>
  <c r="I3000" i="1"/>
  <c r="K3000" i="1" s="1"/>
  <c r="H3001" i="1" s="1"/>
  <c r="I3001" i="1" l="1"/>
  <c r="K3001" i="1" s="1"/>
  <c r="H3002" i="1" s="1"/>
  <c r="J3001" i="1"/>
  <c r="L3001" i="1"/>
  <c r="M3001" i="1" s="1"/>
  <c r="L3002" i="1" l="1"/>
  <c r="M3002" i="1" s="1"/>
  <c r="J3002" i="1"/>
  <c r="I3002" i="1"/>
  <c r="K3002" i="1" s="1"/>
  <c r="H3003" i="1" s="1"/>
  <c r="L3003" i="1" l="1"/>
  <c r="M3003" i="1" s="1"/>
  <c r="J3003" i="1"/>
  <c r="I3003" i="1"/>
  <c r="K3003" i="1" s="1"/>
  <c r="H3004" i="1" s="1"/>
  <c r="L3004" i="1" l="1"/>
  <c r="M3004" i="1" s="1"/>
  <c r="J3004" i="1"/>
  <c r="I3004" i="1"/>
  <c r="K3004" i="1" s="1"/>
  <c r="H3005" i="1" s="1"/>
  <c r="L3005" i="1" l="1"/>
  <c r="M3005" i="1" s="1"/>
  <c r="J3005" i="1"/>
  <c r="I3005" i="1"/>
  <c r="K3005" i="1" s="1"/>
  <c r="H3006" i="1" s="1"/>
  <c r="L3006" i="1" l="1"/>
  <c r="M3006" i="1" s="1"/>
  <c r="J3006" i="1"/>
  <c r="I3006" i="1"/>
  <c r="K3006" i="1" s="1"/>
  <c r="H3007" i="1" s="1"/>
  <c r="J3007" i="1" l="1"/>
  <c r="L3007" i="1"/>
  <c r="M3007" i="1" s="1"/>
  <c r="I3007" i="1"/>
  <c r="K3007" i="1" s="1"/>
  <c r="H3008" i="1" s="1"/>
  <c r="L3008" i="1" l="1"/>
  <c r="M3008" i="1" s="1"/>
  <c r="J3008" i="1"/>
  <c r="I3008" i="1"/>
  <c r="K3008" i="1" s="1"/>
  <c r="H3009" i="1" s="1"/>
  <c r="L3009" i="1" l="1"/>
  <c r="M3009" i="1" s="1"/>
  <c r="J3009" i="1"/>
  <c r="I3009" i="1"/>
  <c r="K3009" i="1" s="1"/>
  <c r="H3010" i="1" s="1"/>
  <c r="L3010" i="1" l="1"/>
  <c r="M3010" i="1" s="1"/>
  <c r="J3010" i="1"/>
  <c r="I3010" i="1"/>
  <c r="K3010" i="1" s="1"/>
  <c r="H3011" i="1" s="1"/>
  <c r="L3011" i="1" l="1"/>
  <c r="M3011" i="1" s="1"/>
  <c r="J3011" i="1"/>
  <c r="I3011" i="1"/>
  <c r="K3011" i="1" s="1"/>
  <c r="H3012" i="1" s="1"/>
  <c r="L3012" i="1" l="1"/>
  <c r="M3012" i="1" s="1"/>
  <c r="J3012" i="1"/>
  <c r="I3012" i="1"/>
  <c r="K3012" i="1" s="1"/>
  <c r="H3013" i="1" s="1"/>
  <c r="J3013" i="1" l="1"/>
  <c r="L3013" i="1"/>
  <c r="M3013" i="1" s="1"/>
  <c r="I3013" i="1"/>
  <c r="K3013" i="1" s="1"/>
  <c r="H3014" i="1" s="1"/>
  <c r="L3014" i="1" l="1"/>
  <c r="M3014" i="1" s="1"/>
  <c r="J3014" i="1"/>
  <c r="I3014" i="1"/>
  <c r="K3014" i="1" s="1"/>
  <c r="H3015" i="1" s="1"/>
  <c r="L3015" i="1" l="1"/>
  <c r="M3015" i="1" s="1"/>
  <c r="J3015" i="1"/>
  <c r="I3015" i="1"/>
  <c r="K3015" i="1" s="1"/>
  <c r="H3016" i="1" s="1"/>
  <c r="L3016" i="1" l="1"/>
  <c r="M3016" i="1" s="1"/>
  <c r="J3016" i="1"/>
  <c r="I3016" i="1"/>
  <c r="K3016" i="1" s="1"/>
  <c r="H3017" i="1" s="1"/>
  <c r="L3017" i="1" l="1"/>
  <c r="M3017" i="1" s="1"/>
  <c r="I3017" i="1"/>
  <c r="K3017" i="1" s="1"/>
  <c r="H3018" i="1" s="1"/>
  <c r="J3017" i="1"/>
  <c r="L3018" i="1" l="1"/>
  <c r="M3018" i="1" s="1"/>
  <c r="J3018" i="1"/>
  <c r="I3018" i="1"/>
  <c r="K3018" i="1" s="1"/>
  <c r="H3019" i="1" s="1"/>
  <c r="L3019" i="1" l="1"/>
  <c r="M3019" i="1" s="1"/>
  <c r="J3019" i="1"/>
  <c r="I3019" i="1"/>
  <c r="K3019" i="1" s="1"/>
  <c r="H3020" i="1" s="1"/>
  <c r="L3020" i="1" l="1"/>
  <c r="M3020" i="1" s="1"/>
  <c r="J3020" i="1"/>
  <c r="I3020" i="1"/>
  <c r="K3020" i="1" s="1"/>
  <c r="H3021" i="1" s="1"/>
  <c r="L3021" i="1" l="1"/>
  <c r="M3021" i="1" s="1"/>
  <c r="J3021" i="1"/>
  <c r="I3021" i="1"/>
  <c r="K3021" i="1" s="1"/>
  <c r="H3022" i="1" s="1"/>
  <c r="L3022" i="1" l="1"/>
  <c r="M3022" i="1" s="1"/>
  <c r="J3022" i="1"/>
  <c r="I3022" i="1"/>
  <c r="K3022" i="1" s="1"/>
  <c r="H3023" i="1" s="1"/>
  <c r="L3023" i="1" l="1"/>
  <c r="M3023" i="1" s="1"/>
  <c r="J3023" i="1"/>
  <c r="I3023" i="1"/>
  <c r="K3023" i="1" s="1"/>
  <c r="H3024" i="1" s="1"/>
  <c r="L3024" i="1" l="1"/>
  <c r="M3024" i="1" s="1"/>
  <c r="I3024" i="1"/>
  <c r="K3024" i="1" s="1"/>
  <c r="H3025" i="1" s="1"/>
  <c r="J3024" i="1"/>
  <c r="L3025" i="1" l="1"/>
  <c r="M3025" i="1" s="1"/>
  <c r="I3025" i="1"/>
  <c r="K3025" i="1" s="1"/>
  <c r="H3026" i="1" s="1"/>
  <c r="J3025" i="1"/>
  <c r="J3026" i="1" l="1"/>
  <c r="I3026" i="1"/>
  <c r="K3026" i="1" s="1"/>
  <c r="H3027" i="1" s="1"/>
  <c r="L3026" i="1"/>
  <c r="M3026" i="1" s="1"/>
  <c r="J3027" i="1" l="1"/>
  <c r="L3027" i="1"/>
  <c r="M3027" i="1" s="1"/>
  <c r="I3027" i="1"/>
  <c r="K3027" i="1" s="1"/>
  <c r="H3028" i="1" s="1"/>
  <c r="L3028" i="1" l="1"/>
  <c r="M3028" i="1" s="1"/>
  <c r="J3028" i="1"/>
  <c r="I3028" i="1"/>
  <c r="K3028" i="1" s="1"/>
  <c r="H3029" i="1" s="1"/>
  <c r="L3029" i="1" l="1"/>
  <c r="M3029" i="1" s="1"/>
  <c r="J3029" i="1"/>
  <c r="I3029" i="1"/>
  <c r="K3029" i="1" s="1"/>
  <c r="H3030" i="1" s="1"/>
  <c r="L3030" i="1" l="1"/>
  <c r="M3030" i="1" s="1"/>
  <c r="I3030" i="1"/>
  <c r="K3030" i="1" s="1"/>
  <c r="H3031" i="1" s="1"/>
  <c r="J3030" i="1"/>
  <c r="L3031" i="1" l="1"/>
  <c r="M3031" i="1" s="1"/>
  <c r="I3031" i="1"/>
  <c r="K3031" i="1" s="1"/>
  <c r="H3032" i="1" s="1"/>
  <c r="J3031" i="1"/>
  <c r="L3032" i="1" l="1"/>
  <c r="M3032" i="1" s="1"/>
  <c r="J3032" i="1"/>
  <c r="I3032" i="1"/>
  <c r="K3032" i="1" s="1"/>
  <c r="H3033" i="1" s="1"/>
  <c r="L3033" i="1" l="1"/>
  <c r="M3033" i="1" s="1"/>
  <c r="I3033" i="1"/>
  <c r="K3033" i="1" s="1"/>
  <c r="H3034" i="1" s="1"/>
  <c r="J3033" i="1"/>
  <c r="L3034" i="1" l="1"/>
  <c r="M3034" i="1" s="1"/>
  <c r="I3034" i="1"/>
  <c r="K3034" i="1" s="1"/>
  <c r="H3035" i="1" s="1"/>
  <c r="J3034" i="1"/>
  <c r="L3035" i="1" l="1"/>
  <c r="M3035" i="1" s="1"/>
  <c r="J3035" i="1"/>
  <c r="I3035" i="1"/>
  <c r="K3035" i="1" s="1"/>
  <c r="H3036" i="1" s="1"/>
  <c r="L3036" i="1" l="1"/>
  <c r="M3036" i="1" s="1"/>
  <c r="J3036" i="1"/>
  <c r="I3036" i="1"/>
  <c r="K3036" i="1" s="1"/>
  <c r="H3037" i="1" s="1"/>
  <c r="J3037" i="1" l="1"/>
  <c r="I3037" i="1"/>
  <c r="K3037" i="1" s="1"/>
  <c r="H3038" i="1" s="1"/>
  <c r="L3037" i="1"/>
  <c r="M3037" i="1" s="1"/>
  <c r="L3038" i="1" l="1"/>
  <c r="M3038" i="1" s="1"/>
  <c r="J3038" i="1"/>
  <c r="I3038" i="1"/>
  <c r="K3038" i="1" s="1"/>
  <c r="H3039" i="1" s="1"/>
  <c r="L3039" i="1" l="1"/>
  <c r="M3039" i="1" s="1"/>
  <c r="J3039" i="1"/>
  <c r="I3039" i="1"/>
  <c r="K3039" i="1" s="1"/>
  <c r="H3040" i="1" s="1"/>
  <c r="L3040" i="1" l="1"/>
  <c r="M3040" i="1" s="1"/>
  <c r="J3040" i="1"/>
  <c r="I3040" i="1"/>
  <c r="K3040" i="1" s="1"/>
  <c r="H3041" i="1" s="1"/>
  <c r="L3041" i="1" l="1"/>
  <c r="M3041" i="1" s="1"/>
  <c r="I3041" i="1"/>
  <c r="K3041" i="1" s="1"/>
  <c r="H3042" i="1" s="1"/>
  <c r="J3041" i="1"/>
  <c r="L3042" i="1" l="1"/>
  <c r="M3042" i="1" s="1"/>
  <c r="J3042" i="1"/>
  <c r="I3042" i="1"/>
  <c r="K3042" i="1" s="1"/>
  <c r="H3043" i="1" s="1"/>
  <c r="J3043" i="1" l="1"/>
  <c r="L3043" i="1"/>
  <c r="M3043" i="1" s="1"/>
  <c r="I3043" i="1"/>
  <c r="K3043" i="1" s="1"/>
  <c r="H3044" i="1" s="1"/>
  <c r="L3044" i="1" l="1"/>
  <c r="M3044" i="1" s="1"/>
  <c r="J3044" i="1"/>
  <c r="I3044" i="1"/>
  <c r="K3044" i="1" s="1"/>
  <c r="H3045" i="1" s="1"/>
  <c r="L3045" i="1" l="1"/>
  <c r="M3045" i="1" s="1"/>
  <c r="J3045" i="1"/>
  <c r="I3045" i="1"/>
  <c r="K3045" i="1" s="1"/>
  <c r="H3046" i="1" s="1"/>
  <c r="L3046" i="1" l="1"/>
  <c r="M3046" i="1" s="1"/>
  <c r="I3046" i="1"/>
  <c r="K3046" i="1" s="1"/>
  <c r="H3047" i="1" s="1"/>
  <c r="J3046" i="1"/>
  <c r="L3047" i="1" l="1"/>
  <c r="M3047" i="1" s="1"/>
  <c r="J3047" i="1"/>
  <c r="I3047" i="1"/>
  <c r="K3047" i="1" s="1"/>
  <c r="H3048" i="1" s="1"/>
  <c r="L3048" i="1" l="1"/>
  <c r="M3048" i="1" s="1"/>
  <c r="J3048" i="1"/>
  <c r="I3048" i="1"/>
  <c r="K3048" i="1" s="1"/>
  <c r="H3049" i="1" s="1"/>
  <c r="L3049" i="1" l="1"/>
  <c r="M3049" i="1" s="1"/>
  <c r="J3049" i="1"/>
  <c r="I3049" i="1"/>
  <c r="K3049" i="1" s="1"/>
  <c r="H3050" i="1" s="1"/>
  <c r="L3050" i="1" l="1"/>
  <c r="M3050" i="1" s="1"/>
  <c r="I3050" i="1"/>
  <c r="K3050" i="1" s="1"/>
  <c r="H3051" i="1" s="1"/>
  <c r="J3050" i="1"/>
  <c r="L3051" i="1" l="1"/>
  <c r="M3051" i="1" s="1"/>
  <c r="J3051" i="1"/>
  <c r="I3051" i="1"/>
  <c r="K3051" i="1" s="1"/>
  <c r="H3052" i="1" s="1"/>
  <c r="L3052" i="1" l="1"/>
  <c r="M3052" i="1" s="1"/>
  <c r="J3052" i="1"/>
  <c r="I3052" i="1"/>
  <c r="K3052" i="1" s="1"/>
  <c r="H3053" i="1" s="1"/>
  <c r="L3053" i="1" l="1"/>
  <c r="M3053" i="1" s="1"/>
  <c r="I3053" i="1"/>
  <c r="K3053" i="1" s="1"/>
  <c r="H3054" i="1" s="1"/>
  <c r="J3053" i="1"/>
  <c r="L3054" i="1" l="1"/>
  <c r="M3054" i="1" s="1"/>
  <c r="J3054" i="1"/>
  <c r="I3054" i="1"/>
  <c r="K3054" i="1" s="1"/>
  <c r="H3055" i="1" s="1"/>
  <c r="J3055" i="1" l="1"/>
  <c r="L3055" i="1"/>
  <c r="M3055" i="1" s="1"/>
  <c r="I3055" i="1"/>
  <c r="K3055" i="1" s="1"/>
  <c r="H3056" i="1" s="1"/>
  <c r="L3056" i="1" l="1"/>
  <c r="M3056" i="1" s="1"/>
  <c r="J3056" i="1"/>
  <c r="I3056" i="1"/>
  <c r="K3056" i="1" s="1"/>
  <c r="H3057" i="1" s="1"/>
  <c r="L3057" i="1" l="1"/>
  <c r="M3057" i="1" s="1"/>
  <c r="J3057" i="1"/>
  <c r="I3057" i="1"/>
  <c r="K3057" i="1" s="1"/>
  <c r="H3058" i="1" s="1"/>
  <c r="L3058" i="1" l="1"/>
  <c r="M3058" i="1" s="1"/>
  <c r="J3058" i="1"/>
  <c r="I3058" i="1"/>
  <c r="K3058" i="1" s="1"/>
  <c r="H3059" i="1" s="1"/>
  <c r="L3059" i="1" l="1"/>
  <c r="M3059" i="1" s="1"/>
  <c r="J3059" i="1"/>
  <c r="I3059" i="1"/>
  <c r="K3059" i="1" s="1"/>
  <c r="H3060" i="1" s="1"/>
  <c r="L3060" i="1" l="1"/>
  <c r="M3060" i="1" s="1"/>
  <c r="J3060" i="1"/>
  <c r="I3060" i="1"/>
  <c r="K3060" i="1" s="1"/>
  <c r="H3061" i="1" s="1"/>
  <c r="L3061" i="1" l="1"/>
  <c r="M3061" i="1" s="1"/>
  <c r="J3061" i="1"/>
  <c r="I3061" i="1"/>
  <c r="K3061" i="1" s="1"/>
  <c r="H3062" i="1" s="1"/>
  <c r="J3062" i="1" l="1"/>
  <c r="L3062" i="1"/>
  <c r="M3062" i="1" s="1"/>
  <c r="I3062" i="1"/>
  <c r="K3062" i="1" s="1"/>
  <c r="H3063" i="1" s="1"/>
  <c r="L3063" i="1" l="1"/>
  <c r="M3063" i="1" s="1"/>
  <c r="J3063" i="1"/>
  <c r="I3063" i="1"/>
  <c r="K3063" i="1" s="1"/>
  <c r="H3064" i="1" s="1"/>
  <c r="L3064" i="1" l="1"/>
  <c r="M3064" i="1" s="1"/>
  <c r="J3064" i="1"/>
  <c r="I3064" i="1"/>
  <c r="K3064" i="1" s="1"/>
  <c r="H3065" i="1" s="1"/>
  <c r="L3065" i="1" l="1"/>
  <c r="M3065" i="1" s="1"/>
  <c r="J3065" i="1"/>
  <c r="I3065" i="1"/>
  <c r="K3065" i="1" s="1"/>
  <c r="H3066" i="1" s="1"/>
  <c r="L3066" i="1" l="1"/>
  <c r="M3066" i="1" s="1"/>
  <c r="J3066" i="1"/>
  <c r="I3066" i="1"/>
  <c r="K3066" i="1" s="1"/>
  <c r="H3067" i="1" s="1"/>
  <c r="L3067" i="1" l="1"/>
  <c r="M3067" i="1" s="1"/>
  <c r="J3067" i="1"/>
  <c r="I3067" i="1"/>
  <c r="K3067" i="1" s="1"/>
  <c r="H3068" i="1" s="1"/>
  <c r="L3068" i="1" l="1"/>
  <c r="M3068" i="1" s="1"/>
  <c r="J3068" i="1"/>
  <c r="I3068" i="1"/>
  <c r="K3068" i="1" s="1"/>
  <c r="H3069" i="1" s="1"/>
  <c r="L3069" i="1" l="1"/>
  <c r="M3069" i="1" s="1"/>
  <c r="J3069" i="1"/>
  <c r="I3069" i="1"/>
  <c r="K3069" i="1" s="1"/>
  <c r="H3070" i="1" s="1"/>
  <c r="L3070" i="1" l="1"/>
  <c r="M3070" i="1" s="1"/>
  <c r="J3070" i="1"/>
  <c r="I3070" i="1"/>
  <c r="K3070" i="1" s="1"/>
  <c r="H3071" i="1" s="1"/>
  <c r="L3071" i="1" l="1"/>
  <c r="M3071" i="1" s="1"/>
  <c r="J3071" i="1"/>
  <c r="I3071" i="1"/>
  <c r="K3071" i="1" s="1"/>
  <c r="H3072" i="1" s="1"/>
  <c r="L3072" i="1" l="1"/>
  <c r="M3072" i="1" s="1"/>
  <c r="I3072" i="1"/>
  <c r="K3072" i="1" s="1"/>
  <c r="H3073" i="1" s="1"/>
  <c r="J3072" i="1"/>
  <c r="J3073" i="1" l="1"/>
  <c r="L3073" i="1"/>
  <c r="M3073" i="1" s="1"/>
  <c r="I3073" i="1"/>
  <c r="K3073" i="1" s="1"/>
  <c r="H3074" i="1" s="1"/>
  <c r="J3074" i="1" l="1"/>
  <c r="L3074" i="1"/>
  <c r="M3074" i="1" s="1"/>
  <c r="I3074" i="1"/>
  <c r="K3074" i="1" s="1"/>
  <c r="H3075" i="1" s="1"/>
  <c r="L3075" i="1" l="1"/>
  <c r="M3075" i="1" s="1"/>
  <c r="J3075" i="1"/>
  <c r="I3075" i="1"/>
  <c r="K3075" i="1" s="1"/>
  <c r="H3076" i="1" s="1"/>
  <c r="L3076" i="1" l="1"/>
  <c r="M3076" i="1" s="1"/>
  <c r="J3076" i="1"/>
  <c r="I3076" i="1"/>
  <c r="K3076" i="1" s="1"/>
  <c r="H3077" i="1" s="1"/>
  <c r="L3077" i="1" l="1"/>
  <c r="M3077" i="1" s="1"/>
  <c r="J3077" i="1"/>
  <c r="I3077" i="1"/>
  <c r="K3077" i="1" s="1"/>
  <c r="H3078" i="1" s="1"/>
  <c r="L3078" i="1" l="1"/>
  <c r="M3078" i="1" s="1"/>
  <c r="J3078" i="1"/>
  <c r="I3078" i="1"/>
  <c r="K3078" i="1" s="1"/>
  <c r="H3079" i="1" s="1"/>
  <c r="L3079" i="1" l="1"/>
  <c r="M3079" i="1" s="1"/>
  <c r="J3079" i="1"/>
  <c r="I3079" i="1"/>
  <c r="K3079" i="1" s="1"/>
  <c r="H3080" i="1" s="1"/>
  <c r="L3080" i="1" l="1"/>
  <c r="M3080" i="1" s="1"/>
  <c r="I3080" i="1"/>
  <c r="K3080" i="1" s="1"/>
  <c r="H3081" i="1" s="1"/>
  <c r="J3080" i="1"/>
  <c r="L3081" i="1" l="1"/>
  <c r="M3081" i="1" s="1"/>
  <c r="J3081" i="1"/>
  <c r="I3081" i="1"/>
  <c r="K3081" i="1" s="1"/>
  <c r="H3082" i="1" s="1"/>
  <c r="L3082" i="1" l="1"/>
  <c r="M3082" i="1" s="1"/>
  <c r="I3082" i="1"/>
  <c r="K3082" i="1" s="1"/>
  <c r="H3083" i="1" s="1"/>
  <c r="J3082" i="1"/>
  <c r="L3083" i="1" l="1"/>
  <c r="M3083" i="1" s="1"/>
  <c r="J3083" i="1"/>
  <c r="I3083" i="1"/>
  <c r="K3083" i="1" s="1"/>
  <c r="H3084" i="1" s="1"/>
  <c r="J3084" i="1" l="1"/>
  <c r="I3084" i="1"/>
  <c r="K3084" i="1" s="1"/>
  <c r="H3085" i="1" s="1"/>
  <c r="L3084" i="1"/>
  <c r="M3084" i="1" s="1"/>
  <c r="L3085" i="1" l="1"/>
  <c r="M3085" i="1" s="1"/>
  <c r="J3085" i="1"/>
  <c r="I3085" i="1"/>
  <c r="K3085" i="1" s="1"/>
  <c r="H3086" i="1" s="1"/>
  <c r="L3086" i="1" l="1"/>
  <c r="M3086" i="1" s="1"/>
  <c r="I3086" i="1"/>
  <c r="K3086" i="1" s="1"/>
  <c r="H3087" i="1" s="1"/>
  <c r="J3086" i="1"/>
  <c r="L3087" i="1" l="1"/>
  <c r="M3087" i="1" s="1"/>
  <c r="J3087" i="1"/>
  <c r="I3087" i="1"/>
  <c r="K3087" i="1" s="1"/>
  <c r="H3088" i="1" s="1"/>
  <c r="L3088" i="1" l="1"/>
  <c r="M3088" i="1" s="1"/>
  <c r="J3088" i="1"/>
  <c r="I3088" i="1"/>
  <c r="K3088" i="1" s="1"/>
  <c r="H3089" i="1" s="1"/>
  <c r="L3089" i="1" l="1"/>
  <c r="M3089" i="1" s="1"/>
  <c r="J3089" i="1"/>
  <c r="I3089" i="1"/>
  <c r="K3089" i="1" s="1"/>
  <c r="H3090" i="1" s="1"/>
  <c r="L3090" i="1" l="1"/>
  <c r="M3090" i="1" s="1"/>
  <c r="J3090" i="1"/>
  <c r="I3090" i="1"/>
  <c r="K3090" i="1" s="1"/>
  <c r="H3091" i="1" s="1"/>
  <c r="L3091" i="1" l="1"/>
  <c r="M3091" i="1" s="1"/>
  <c r="J3091" i="1"/>
  <c r="I3091" i="1"/>
  <c r="K3091" i="1" s="1"/>
  <c r="H3092" i="1" s="1"/>
  <c r="I3092" i="1" l="1"/>
  <c r="K3092" i="1" s="1"/>
  <c r="H3093" i="1" s="1"/>
  <c r="L3092" i="1"/>
  <c r="M3092" i="1" s="1"/>
  <c r="J3092" i="1"/>
  <c r="L3093" i="1" l="1"/>
  <c r="M3093" i="1" s="1"/>
  <c r="I3093" i="1"/>
  <c r="K3093" i="1" s="1"/>
  <c r="H3094" i="1" s="1"/>
  <c r="J3093" i="1"/>
  <c r="L3094" i="1" l="1"/>
  <c r="M3094" i="1" s="1"/>
  <c r="J3094" i="1"/>
  <c r="I3094" i="1"/>
  <c r="K3094" i="1" s="1"/>
  <c r="H3095" i="1" s="1"/>
  <c r="L3095" i="1" l="1"/>
  <c r="M3095" i="1" s="1"/>
  <c r="J3095" i="1"/>
  <c r="I3095" i="1"/>
  <c r="K3095" i="1" s="1"/>
  <c r="H3096" i="1" s="1"/>
  <c r="L3096" i="1" l="1"/>
  <c r="M3096" i="1" s="1"/>
  <c r="J3096" i="1"/>
  <c r="I3096" i="1"/>
  <c r="K3096" i="1" s="1"/>
  <c r="H3097" i="1" s="1"/>
  <c r="L3097" i="1" l="1"/>
  <c r="M3097" i="1" s="1"/>
  <c r="J3097" i="1"/>
  <c r="I3097" i="1"/>
  <c r="K3097" i="1" s="1"/>
  <c r="H3098" i="1" s="1"/>
  <c r="L3098" i="1" l="1"/>
  <c r="M3098" i="1" s="1"/>
  <c r="J3098" i="1"/>
  <c r="I3098" i="1"/>
  <c r="K3098" i="1" s="1"/>
  <c r="H3099" i="1" s="1"/>
  <c r="L3099" i="1" l="1"/>
  <c r="M3099" i="1" s="1"/>
  <c r="J3099" i="1"/>
  <c r="I3099" i="1"/>
  <c r="K3099" i="1" s="1"/>
  <c r="H3100" i="1" s="1"/>
  <c r="L3100" i="1" l="1"/>
  <c r="M3100" i="1" s="1"/>
  <c r="J3100" i="1"/>
  <c r="I3100" i="1"/>
  <c r="K3100" i="1" s="1"/>
  <c r="H3101" i="1" s="1"/>
  <c r="L3101" i="1" l="1"/>
  <c r="M3101" i="1" s="1"/>
  <c r="J3101" i="1"/>
  <c r="I3101" i="1"/>
  <c r="K3101" i="1" s="1"/>
  <c r="H3102" i="1" s="1"/>
  <c r="J3102" i="1" l="1"/>
  <c r="I3102" i="1"/>
  <c r="K3102" i="1" s="1"/>
  <c r="H3103" i="1" s="1"/>
  <c r="L3102" i="1"/>
  <c r="M3102" i="1" s="1"/>
  <c r="L3103" i="1" l="1"/>
  <c r="M3103" i="1" s="1"/>
  <c r="J3103" i="1"/>
  <c r="I3103" i="1"/>
  <c r="K3103" i="1" s="1"/>
  <c r="H3104" i="1" s="1"/>
  <c r="L3104" i="1" l="1"/>
  <c r="M3104" i="1" s="1"/>
  <c r="J3104" i="1"/>
  <c r="I3104" i="1"/>
  <c r="K3104" i="1" s="1"/>
  <c r="H3105" i="1" s="1"/>
  <c r="L3105" i="1" l="1"/>
  <c r="M3105" i="1" s="1"/>
  <c r="J3105" i="1"/>
  <c r="I3105" i="1"/>
  <c r="K3105" i="1" s="1"/>
  <c r="H3106" i="1" s="1"/>
  <c r="L3106" i="1" l="1"/>
  <c r="M3106" i="1" s="1"/>
  <c r="J3106" i="1"/>
  <c r="I3106" i="1"/>
  <c r="K3106" i="1" s="1"/>
  <c r="H3107" i="1" s="1"/>
  <c r="L3107" i="1" l="1"/>
  <c r="M3107" i="1" s="1"/>
  <c r="J3107" i="1"/>
  <c r="I3107" i="1"/>
  <c r="K3107" i="1" s="1"/>
  <c r="H3108" i="1" s="1"/>
  <c r="L3108" i="1" l="1"/>
  <c r="M3108" i="1" s="1"/>
  <c r="I3108" i="1"/>
  <c r="K3108" i="1" s="1"/>
  <c r="H3109" i="1" s="1"/>
  <c r="J3108" i="1"/>
  <c r="J3109" i="1" l="1"/>
  <c r="L3109" i="1"/>
  <c r="M3109" i="1" s="1"/>
  <c r="I3109" i="1"/>
  <c r="K3109" i="1" s="1"/>
  <c r="H3110" i="1" s="1"/>
  <c r="L3110" i="1" l="1"/>
  <c r="M3110" i="1" s="1"/>
  <c r="J3110" i="1"/>
  <c r="I3110" i="1"/>
  <c r="K3110" i="1" s="1"/>
  <c r="H3111" i="1" s="1"/>
  <c r="L3111" i="1" l="1"/>
  <c r="M3111" i="1" s="1"/>
  <c r="J3111" i="1"/>
  <c r="I3111" i="1"/>
  <c r="K3111" i="1" s="1"/>
  <c r="H3112" i="1" s="1"/>
  <c r="L3112" i="1" l="1"/>
  <c r="M3112" i="1" s="1"/>
  <c r="I3112" i="1"/>
  <c r="K3112" i="1" s="1"/>
  <c r="H3113" i="1" s="1"/>
  <c r="J3112" i="1"/>
  <c r="L3113" i="1" l="1"/>
  <c r="M3113" i="1" s="1"/>
  <c r="J3113" i="1"/>
  <c r="I3113" i="1"/>
  <c r="K3113" i="1" s="1"/>
  <c r="H3114" i="1" s="1"/>
  <c r="L3114" i="1" l="1"/>
  <c r="M3114" i="1" s="1"/>
  <c r="I3114" i="1"/>
  <c r="K3114" i="1" s="1"/>
  <c r="H3115" i="1" s="1"/>
  <c r="J3114" i="1"/>
  <c r="J3115" i="1" l="1"/>
  <c r="L3115" i="1"/>
  <c r="M3115" i="1" s="1"/>
  <c r="I3115" i="1"/>
  <c r="K3115" i="1" s="1"/>
  <c r="H3116" i="1" s="1"/>
  <c r="L3116" i="1" l="1"/>
  <c r="M3116" i="1" s="1"/>
  <c r="J3116" i="1"/>
  <c r="I3116" i="1"/>
  <c r="K3116" i="1" s="1"/>
  <c r="H3117" i="1" s="1"/>
  <c r="L3117" i="1" l="1"/>
  <c r="M3117" i="1" s="1"/>
  <c r="J3117" i="1"/>
  <c r="I3117" i="1"/>
  <c r="K3117" i="1" s="1"/>
  <c r="H3118" i="1" s="1"/>
  <c r="L3118" i="1" l="1"/>
  <c r="M3118" i="1" s="1"/>
  <c r="J3118" i="1"/>
  <c r="I3118" i="1"/>
  <c r="K3118" i="1" s="1"/>
  <c r="H3119" i="1" s="1"/>
  <c r="L3119" i="1" l="1"/>
  <c r="M3119" i="1" s="1"/>
  <c r="J3119" i="1"/>
  <c r="I3119" i="1"/>
  <c r="K3119" i="1" s="1"/>
  <c r="H3120" i="1" s="1"/>
  <c r="L3120" i="1" l="1"/>
  <c r="M3120" i="1" s="1"/>
  <c r="J3120" i="1"/>
  <c r="I3120" i="1"/>
  <c r="K3120" i="1" s="1"/>
  <c r="H3121" i="1" s="1"/>
  <c r="J3121" i="1" l="1"/>
  <c r="L3121" i="1"/>
  <c r="M3121" i="1" s="1"/>
  <c r="I3121" i="1"/>
  <c r="K3121" i="1" s="1"/>
  <c r="H3122" i="1" s="1"/>
  <c r="L3122" i="1" l="1"/>
  <c r="M3122" i="1" s="1"/>
  <c r="J3122" i="1"/>
  <c r="I3122" i="1"/>
  <c r="K3122" i="1" s="1"/>
  <c r="H3123" i="1" s="1"/>
  <c r="L3123" i="1" l="1"/>
  <c r="M3123" i="1" s="1"/>
  <c r="J3123" i="1"/>
  <c r="I3123" i="1"/>
  <c r="K3123" i="1" s="1"/>
  <c r="H3124" i="1" s="1"/>
  <c r="L3124" i="1" l="1"/>
  <c r="M3124" i="1" s="1"/>
  <c r="J3124" i="1"/>
  <c r="I3124" i="1"/>
  <c r="K3124" i="1" s="1"/>
  <c r="H3125" i="1" s="1"/>
  <c r="L3125" i="1" l="1"/>
  <c r="M3125" i="1" s="1"/>
  <c r="J3125" i="1"/>
  <c r="I3125" i="1"/>
  <c r="K3125" i="1" s="1"/>
  <c r="H3126" i="1" s="1"/>
  <c r="L3126" i="1" l="1"/>
  <c r="M3126" i="1" s="1"/>
  <c r="J3126" i="1"/>
  <c r="I3126" i="1"/>
  <c r="K3126" i="1" s="1"/>
  <c r="H3127" i="1" s="1"/>
  <c r="L3127" i="1" l="1"/>
  <c r="M3127" i="1" s="1"/>
  <c r="J3127" i="1"/>
  <c r="I3127" i="1"/>
  <c r="K3127" i="1" s="1"/>
  <c r="H3128" i="1" s="1"/>
  <c r="L3128" i="1" l="1"/>
  <c r="M3128" i="1" s="1"/>
  <c r="J3128" i="1"/>
  <c r="I3128" i="1"/>
  <c r="K3128" i="1" s="1"/>
  <c r="H3129" i="1" s="1"/>
  <c r="L3129" i="1" l="1"/>
  <c r="M3129" i="1" s="1"/>
  <c r="J3129" i="1"/>
  <c r="I3129" i="1"/>
  <c r="K3129" i="1" s="1"/>
  <c r="H3130" i="1" s="1"/>
  <c r="L3130" i="1" l="1"/>
  <c r="M3130" i="1" s="1"/>
  <c r="J3130" i="1"/>
  <c r="I3130" i="1"/>
  <c r="K3130" i="1" s="1"/>
  <c r="H3131" i="1" s="1"/>
  <c r="L3131" i="1" l="1"/>
  <c r="M3131" i="1" s="1"/>
  <c r="J3131" i="1"/>
  <c r="I3131" i="1"/>
  <c r="K3131" i="1" s="1"/>
  <c r="H3132" i="1" s="1"/>
  <c r="L3132" i="1" l="1"/>
  <c r="M3132" i="1" s="1"/>
  <c r="J3132" i="1"/>
  <c r="I3132" i="1"/>
  <c r="K3132" i="1" s="1"/>
  <c r="H3133" i="1" s="1"/>
  <c r="L3133" i="1" l="1"/>
  <c r="M3133" i="1" s="1"/>
  <c r="J3133" i="1"/>
  <c r="I3133" i="1"/>
  <c r="K3133" i="1" s="1"/>
  <c r="H3134" i="1" s="1"/>
  <c r="J3134" i="1" l="1"/>
  <c r="L3134" i="1"/>
  <c r="M3134" i="1" s="1"/>
  <c r="I3134" i="1"/>
  <c r="K3134" i="1" s="1"/>
  <c r="H3135" i="1" s="1"/>
  <c r="L3135" i="1" l="1"/>
  <c r="M3135" i="1" s="1"/>
  <c r="J3135" i="1"/>
  <c r="I3135" i="1"/>
  <c r="K3135" i="1" s="1"/>
  <c r="H3136" i="1" s="1"/>
  <c r="L3136" i="1" l="1"/>
  <c r="M3136" i="1" s="1"/>
  <c r="J3136" i="1"/>
  <c r="I3136" i="1"/>
  <c r="K3136" i="1" s="1"/>
  <c r="H3137" i="1" s="1"/>
  <c r="L3137" i="1" l="1"/>
  <c r="M3137" i="1" s="1"/>
  <c r="J3137" i="1"/>
  <c r="I3137" i="1"/>
  <c r="K3137" i="1" s="1"/>
  <c r="H3138" i="1" s="1"/>
  <c r="L3138" i="1" l="1"/>
  <c r="M3138" i="1" s="1"/>
  <c r="J3138" i="1"/>
  <c r="I3138" i="1"/>
  <c r="K3138" i="1" s="1"/>
  <c r="H3139" i="1" s="1"/>
  <c r="L3139" i="1" l="1"/>
  <c r="M3139" i="1" s="1"/>
  <c r="J3139" i="1"/>
  <c r="I3139" i="1"/>
  <c r="K3139" i="1" s="1"/>
  <c r="H3140" i="1" s="1"/>
  <c r="L3140" i="1" l="1"/>
  <c r="M3140" i="1" s="1"/>
  <c r="I3140" i="1"/>
  <c r="K3140" i="1" s="1"/>
  <c r="H3141" i="1" s="1"/>
  <c r="J3140" i="1"/>
  <c r="L3141" i="1" l="1"/>
  <c r="M3141" i="1" s="1"/>
  <c r="J3141" i="1"/>
  <c r="I3141" i="1"/>
  <c r="K3141" i="1" s="1"/>
  <c r="H3142" i="1" s="1"/>
  <c r="L3142" i="1" l="1"/>
  <c r="M3142" i="1" s="1"/>
  <c r="I3142" i="1"/>
  <c r="K3142" i="1" s="1"/>
  <c r="H3143" i="1" s="1"/>
  <c r="J3142" i="1"/>
  <c r="L3143" i="1" l="1"/>
  <c r="M3143" i="1" s="1"/>
  <c r="J3143" i="1"/>
  <c r="I3143" i="1"/>
  <c r="K3143" i="1" s="1"/>
  <c r="H3144" i="1" s="1"/>
  <c r="L3144" i="1" l="1"/>
  <c r="M3144" i="1" s="1"/>
  <c r="J3144" i="1"/>
  <c r="I3144" i="1"/>
  <c r="K3144" i="1" s="1"/>
  <c r="H3145" i="1" s="1"/>
  <c r="J3145" i="1" l="1"/>
  <c r="L3145" i="1"/>
  <c r="M3145" i="1" s="1"/>
  <c r="I3145" i="1"/>
  <c r="K3145" i="1" s="1"/>
  <c r="H3146" i="1" s="1"/>
  <c r="J3146" i="1" l="1"/>
  <c r="L3146" i="1"/>
  <c r="M3146" i="1" s="1"/>
  <c r="I3146" i="1"/>
  <c r="K3146" i="1" s="1"/>
  <c r="H3147" i="1" s="1"/>
  <c r="L3147" i="1" l="1"/>
  <c r="M3147" i="1" s="1"/>
  <c r="J3147" i="1"/>
  <c r="I3147" i="1"/>
  <c r="K3147" i="1" s="1"/>
  <c r="H3148" i="1" s="1"/>
  <c r="L3148" i="1" l="1"/>
  <c r="M3148" i="1" s="1"/>
  <c r="J3148" i="1"/>
  <c r="I3148" i="1"/>
  <c r="K3148" i="1" s="1"/>
  <c r="H3149" i="1" s="1"/>
  <c r="L3149" i="1" l="1"/>
  <c r="M3149" i="1" s="1"/>
  <c r="J3149" i="1"/>
  <c r="I3149" i="1"/>
  <c r="K3149" i="1" s="1"/>
  <c r="H3150" i="1" s="1"/>
  <c r="L3150" i="1" l="1"/>
  <c r="M3150" i="1" s="1"/>
  <c r="J3150" i="1"/>
  <c r="I3150" i="1"/>
  <c r="K3150" i="1" s="1"/>
  <c r="H3151" i="1" s="1"/>
  <c r="J3151" i="1" l="1"/>
  <c r="L3151" i="1"/>
  <c r="M3151" i="1" s="1"/>
  <c r="I3151" i="1"/>
  <c r="K3151" i="1" s="1"/>
  <c r="H3152" i="1" s="1"/>
  <c r="L3152" i="1" l="1"/>
  <c r="M3152" i="1" s="1"/>
  <c r="J3152" i="1"/>
  <c r="I3152" i="1"/>
  <c r="K3152" i="1" s="1"/>
  <c r="H3153" i="1" s="1"/>
  <c r="L3153" i="1" l="1"/>
  <c r="M3153" i="1" s="1"/>
  <c r="J3153" i="1"/>
  <c r="I3153" i="1"/>
  <c r="K3153" i="1" s="1"/>
  <c r="H3154" i="1" s="1"/>
  <c r="L3154" i="1" l="1"/>
  <c r="M3154" i="1" s="1"/>
  <c r="I3154" i="1"/>
  <c r="K3154" i="1" s="1"/>
  <c r="H3155" i="1" s="1"/>
  <c r="J3154" i="1"/>
  <c r="L3155" i="1" l="1"/>
  <c r="M3155" i="1" s="1"/>
  <c r="J3155" i="1"/>
  <c r="I3155" i="1"/>
  <c r="K3155" i="1" s="1"/>
  <c r="H3156" i="1" s="1"/>
  <c r="L3156" i="1" l="1"/>
  <c r="M3156" i="1" s="1"/>
  <c r="J3156" i="1"/>
  <c r="I3156" i="1"/>
  <c r="K3156" i="1" s="1"/>
  <c r="H3157" i="1" s="1"/>
  <c r="L3157" i="1" l="1"/>
  <c r="M3157" i="1" s="1"/>
  <c r="J3157" i="1"/>
  <c r="I3157" i="1"/>
  <c r="K3157" i="1" s="1"/>
  <c r="H3158" i="1" s="1"/>
  <c r="L3158" i="1" l="1"/>
  <c r="M3158" i="1" s="1"/>
  <c r="J3158" i="1"/>
  <c r="I3158" i="1"/>
  <c r="K3158" i="1" s="1"/>
  <c r="H3159" i="1" s="1"/>
  <c r="L3159" i="1" l="1"/>
  <c r="M3159" i="1" s="1"/>
  <c r="J3159" i="1"/>
  <c r="I3159" i="1"/>
  <c r="K3159" i="1" s="1"/>
  <c r="H3160" i="1" s="1"/>
  <c r="L3160" i="1" l="1"/>
  <c r="M3160" i="1" s="1"/>
  <c r="J3160" i="1"/>
  <c r="I3160" i="1"/>
  <c r="K3160" i="1" s="1"/>
  <c r="H3161" i="1" s="1"/>
  <c r="L3161" i="1" l="1"/>
  <c r="M3161" i="1" s="1"/>
  <c r="J3161" i="1"/>
  <c r="I3161" i="1"/>
  <c r="K3161" i="1" s="1"/>
  <c r="H3162" i="1" s="1"/>
  <c r="L3162" i="1" l="1"/>
  <c r="M3162" i="1" s="1"/>
  <c r="J3162" i="1"/>
  <c r="I3162" i="1"/>
  <c r="K3162" i="1" s="1"/>
  <c r="H3163" i="1" s="1"/>
  <c r="J3163" i="1" l="1"/>
  <c r="L3163" i="1"/>
  <c r="M3163" i="1" s="1"/>
  <c r="I3163" i="1"/>
  <c r="K3163" i="1" s="1"/>
  <c r="H3164" i="1" s="1"/>
  <c r="L3164" i="1" l="1"/>
  <c r="M3164" i="1" s="1"/>
  <c r="J3164" i="1"/>
  <c r="I3164" i="1"/>
  <c r="K3164" i="1" s="1"/>
  <c r="H3165" i="1" s="1"/>
  <c r="L3165" i="1" l="1"/>
  <c r="M3165" i="1" s="1"/>
  <c r="J3165" i="1"/>
  <c r="I3165" i="1"/>
  <c r="K3165" i="1" s="1"/>
  <c r="H3166" i="1" s="1"/>
  <c r="L3166" i="1" l="1"/>
  <c r="M3166" i="1" s="1"/>
  <c r="J3166" i="1"/>
  <c r="I3166" i="1"/>
  <c r="K3166" i="1" s="1"/>
  <c r="H3167" i="1" s="1"/>
  <c r="L3167" i="1" l="1"/>
  <c r="M3167" i="1" s="1"/>
  <c r="J3167" i="1"/>
  <c r="I3167" i="1"/>
  <c r="K3167" i="1" s="1"/>
  <c r="H3168" i="1" s="1"/>
  <c r="L3168" i="1" l="1"/>
  <c r="M3168" i="1" s="1"/>
  <c r="I3168" i="1"/>
  <c r="K3168" i="1" s="1"/>
  <c r="H3169" i="1" s="1"/>
  <c r="J3168" i="1"/>
  <c r="L3169" i="1" l="1"/>
  <c r="M3169" i="1" s="1"/>
  <c r="J3169" i="1"/>
  <c r="I3169" i="1"/>
  <c r="K3169" i="1" s="1"/>
  <c r="H3170" i="1" s="1"/>
  <c r="J3170" i="1" l="1"/>
  <c r="L3170" i="1"/>
  <c r="M3170" i="1" s="1"/>
  <c r="I3170" i="1"/>
  <c r="K3170" i="1" s="1"/>
  <c r="H3171" i="1" s="1"/>
  <c r="L3171" i="1" l="1"/>
  <c r="M3171" i="1" s="1"/>
  <c r="J3171" i="1"/>
  <c r="I3171" i="1"/>
  <c r="K3171" i="1" s="1"/>
  <c r="H3172" i="1" s="1"/>
  <c r="L3172" i="1" l="1"/>
  <c r="M3172" i="1" s="1"/>
  <c r="J3172" i="1"/>
  <c r="I3172" i="1"/>
  <c r="K3172" i="1" s="1"/>
  <c r="H3173" i="1" s="1"/>
  <c r="L3173" i="1" l="1"/>
  <c r="M3173" i="1" s="1"/>
  <c r="J3173" i="1"/>
  <c r="I3173" i="1"/>
  <c r="K3173" i="1" s="1"/>
  <c r="H3174" i="1" s="1"/>
  <c r="L3174" i="1" l="1"/>
  <c r="M3174" i="1" s="1"/>
  <c r="J3174" i="1"/>
  <c r="I3174" i="1"/>
  <c r="K3174" i="1" s="1"/>
  <c r="H3175" i="1" s="1"/>
  <c r="L3175" i="1" l="1"/>
  <c r="M3175" i="1" s="1"/>
  <c r="J3175" i="1"/>
  <c r="I3175" i="1"/>
  <c r="K3175" i="1" s="1"/>
  <c r="H3176" i="1" s="1"/>
  <c r="L3176" i="1" l="1"/>
  <c r="M3176" i="1" s="1"/>
  <c r="J3176" i="1"/>
  <c r="I3176" i="1"/>
  <c r="K3176" i="1" s="1"/>
  <c r="H3177" i="1" s="1"/>
  <c r="L3177" i="1" l="1"/>
  <c r="M3177" i="1" s="1"/>
  <c r="J3177" i="1"/>
  <c r="I3177" i="1"/>
  <c r="K3177" i="1" s="1"/>
  <c r="H3178" i="1" s="1"/>
  <c r="L3178" i="1" l="1"/>
  <c r="M3178" i="1" s="1"/>
  <c r="J3178" i="1"/>
  <c r="I3178" i="1"/>
  <c r="K3178" i="1" s="1"/>
  <c r="H3179" i="1" s="1"/>
  <c r="L3179" i="1" l="1"/>
  <c r="M3179" i="1" s="1"/>
  <c r="J3179" i="1"/>
  <c r="I3179" i="1"/>
  <c r="K3179" i="1" s="1"/>
  <c r="H3180" i="1" s="1"/>
  <c r="L3180" i="1" l="1"/>
  <c r="M3180" i="1" s="1"/>
  <c r="J3180" i="1"/>
  <c r="I3180" i="1"/>
  <c r="K3180" i="1" s="1"/>
  <c r="H3181" i="1" s="1"/>
  <c r="J3181" i="1" l="1"/>
  <c r="L3181" i="1"/>
  <c r="M3181" i="1" s="1"/>
  <c r="I3181" i="1"/>
  <c r="K3181" i="1" s="1"/>
  <c r="H3182" i="1" s="1"/>
  <c r="J3182" i="1" l="1"/>
  <c r="L3182" i="1"/>
  <c r="M3182" i="1" s="1"/>
  <c r="I3182" i="1"/>
  <c r="K3182" i="1" s="1"/>
  <c r="H3183" i="1" s="1"/>
  <c r="L3183" i="1" l="1"/>
  <c r="M3183" i="1" s="1"/>
  <c r="J3183" i="1"/>
  <c r="I3183" i="1"/>
  <c r="K3183" i="1" s="1"/>
  <c r="H3184" i="1" s="1"/>
  <c r="L3184" i="1" l="1"/>
  <c r="M3184" i="1" s="1"/>
  <c r="J3184" i="1"/>
  <c r="I3184" i="1"/>
  <c r="K3184" i="1" s="1"/>
  <c r="H3185" i="1" s="1"/>
  <c r="L3185" i="1" l="1"/>
  <c r="M3185" i="1" s="1"/>
  <c r="J3185" i="1"/>
  <c r="I3185" i="1"/>
  <c r="K3185" i="1" s="1"/>
  <c r="H3186" i="1" s="1"/>
  <c r="L3186" i="1" l="1"/>
  <c r="M3186" i="1" s="1"/>
  <c r="J3186" i="1"/>
  <c r="I3186" i="1"/>
  <c r="K3186" i="1" s="1"/>
  <c r="H3187" i="1" s="1"/>
  <c r="L3187" i="1" l="1"/>
  <c r="M3187" i="1" s="1"/>
  <c r="J3187" i="1"/>
  <c r="I3187" i="1"/>
  <c r="K3187" i="1" s="1"/>
  <c r="H3188" i="1" s="1"/>
  <c r="L3188" i="1" l="1"/>
  <c r="M3188" i="1" s="1"/>
  <c r="J3188" i="1"/>
  <c r="I3188" i="1"/>
  <c r="K3188" i="1" s="1"/>
  <c r="H3189" i="1" s="1"/>
  <c r="J3189" i="1" l="1"/>
  <c r="I3189" i="1"/>
  <c r="K3189" i="1" s="1"/>
  <c r="H3190" i="1" s="1"/>
  <c r="L3189" i="1"/>
  <c r="M3189" i="1" s="1"/>
  <c r="L3190" i="1" l="1"/>
  <c r="M3190" i="1" s="1"/>
  <c r="J3190" i="1"/>
  <c r="I3190" i="1"/>
  <c r="K3190" i="1" s="1"/>
  <c r="H3191" i="1" s="1"/>
  <c r="L3191" i="1" l="1"/>
  <c r="M3191" i="1" s="1"/>
  <c r="J3191" i="1"/>
  <c r="I3191" i="1"/>
  <c r="K3191" i="1" s="1"/>
  <c r="H3192" i="1" s="1"/>
  <c r="L3192" i="1" l="1"/>
  <c r="M3192" i="1" s="1"/>
  <c r="J3192" i="1"/>
  <c r="I3192" i="1"/>
  <c r="K3192" i="1" s="1"/>
  <c r="H3193" i="1" s="1"/>
  <c r="L3193" i="1" l="1"/>
  <c r="M3193" i="1" s="1"/>
  <c r="J3193" i="1"/>
  <c r="I3193" i="1"/>
  <c r="K3193" i="1" s="1"/>
  <c r="H3194" i="1" s="1"/>
  <c r="J3194" i="1" l="1"/>
  <c r="L3194" i="1"/>
  <c r="M3194" i="1" s="1"/>
  <c r="I3194" i="1"/>
  <c r="K3194" i="1" s="1"/>
  <c r="H3195" i="1" s="1"/>
  <c r="L3195" i="1" l="1"/>
  <c r="M3195" i="1" s="1"/>
  <c r="J3195" i="1"/>
  <c r="I3195" i="1"/>
  <c r="K3195" i="1" s="1"/>
  <c r="H3196" i="1" s="1"/>
  <c r="L3196" i="1" l="1"/>
  <c r="M3196" i="1" s="1"/>
  <c r="J3196" i="1"/>
  <c r="I3196" i="1"/>
  <c r="K3196" i="1" s="1"/>
  <c r="H3197" i="1" s="1"/>
  <c r="L3197" i="1" l="1"/>
  <c r="M3197" i="1" s="1"/>
  <c r="J3197" i="1"/>
  <c r="I3197" i="1"/>
  <c r="K3197" i="1" s="1"/>
  <c r="H3198" i="1" s="1"/>
  <c r="L3198" i="1" l="1"/>
  <c r="M3198" i="1" s="1"/>
  <c r="J3198" i="1"/>
  <c r="I3198" i="1"/>
  <c r="K3198" i="1" s="1"/>
  <c r="H3199" i="1" s="1"/>
  <c r="L3199" i="1" l="1"/>
  <c r="M3199" i="1" s="1"/>
  <c r="J3199" i="1"/>
  <c r="I3199" i="1"/>
  <c r="K3199" i="1" s="1"/>
  <c r="H3200" i="1" s="1"/>
  <c r="L3200" i="1" l="1"/>
  <c r="M3200" i="1" s="1"/>
  <c r="J3200" i="1"/>
  <c r="I3200" i="1"/>
  <c r="K3200" i="1" s="1"/>
  <c r="H3201" i="1" s="1"/>
  <c r="J3201" i="1" l="1"/>
  <c r="I3201" i="1"/>
  <c r="K3201" i="1" s="1"/>
  <c r="H3202" i="1" s="1"/>
  <c r="L3201" i="1"/>
  <c r="M3201" i="1" s="1"/>
  <c r="L3202" i="1" l="1"/>
  <c r="M3202" i="1" s="1"/>
  <c r="I3202" i="1"/>
  <c r="K3202" i="1" s="1"/>
  <c r="H3203" i="1" s="1"/>
  <c r="J3202" i="1"/>
  <c r="L3203" i="1" l="1"/>
  <c r="M3203" i="1" s="1"/>
  <c r="I3203" i="1"/>
  <c r="K3203" i="1" s="1"/>
  <c r="H3204" i="1" s="1"/>
  <c r="J3203" i="1"/>
  <c r="I3204" i="1" l="1"/>
  <c r="K3204" i="1" s="1"/>
  <c r="H3205" i="1" s="1"/>
  <c r="L3204" i="1"/>
  <c r="M3204" i="1" s="1"/>
  <c r="J3204" i="1"/>
  <c r="L3205" i="1" l="1"/>
  <c r="M3205" i="1" s="1"/>
  <c r="J3205" i="1"/>
  <c r="I3205" i="1"/>
  <c r="K3205" i="1" s="1"/>
  <c r="H3206" i="1" s="1"/>
  <c r="L3206" i="1" l="1"/>
  <c r="M3206" i="1" s="1"/>
  <c r="J3206" i="1"/>
  <c r="I3206" i="1"/>
  <c r="K3206" i="1" s="1"/>
  <c r="H3207" i="1" s="1"/>
  <c r="L3207" i="1" l="1"/>
  <c r="M3207" i="1" s="1"/>
  <c r="J3207" i="1"/>
  <c r="I3207" i="1"/>
  <c r="K3207" i="1" s="1"/>
  <c r="H3208" i="1" s="1"/>
  <c r="L3208" i="1" l="1"/>
  <c r="M3208" i="1" s="1"/>
  <c r="I3208" i="1"/>
  <c r="K3208" i="1" s="1"/>
  <c r="H3209" i="1" s="1"/>
  <c r="J3208" i="1"/>
  <c r="L3209" i="1" l="1"/>
  <c r="M3209" i="1" s="1"/>
  <c r="J3209" i="1"/>
  <c r="I3209" i="1"/>
  <c r="K3209" i="1" s="1"/>
  <c r="H3210" i="1" s="1"/>
  <c r="L3210" i="1" l="1"/>
  <c r="M3210" i="1" s="1"/>
  <c r="J3210" i="1"/>
  <c r="I3210" i="1"/>
  <c r="K3210" i="1" s="1"/>
  <c r="H3211" i="1" s="1"/>
  <c r="J3211" i="1" l="1"/>
  <c r="I3211" i="1"/>
  <c r="K3211" i="1" s="1"/>
  <c r="H3212" i="1" s="1"/>
  <c r="L3211" i="1"/>
  <c r="M3211" i="1" s="1"/>
  <c r="L3212" i="1" l="1"/>
  <c r="M3212" i="1" s="1"/>
  <c r="J3212" i="1"/>
  <c r="I3212" i="1"/>
  <c r="K3212" i="1" s="1"/>
  <c r="H3213" i="1" s="1"/>
  <c r="L3213" i="1" l="1"/>
  <c r="M3213" i="1" s="1"/>
  <c r="J3213" i="1"/>
  <c r="I3213" i="1"/>
  <c r="K3213" i="1" s="1"/>
  <c r="H3214" i="1" s="1"/>
  <c r="L3214" i="1" l="1"/>
  <c r="M3214" i="1" s="1"/>
  <c r="J3214" i="1"/>
  <c r="I3214" i="1"/>
  <c r="K3214" i="1" s="1"/>
  <c r="H3215" i="1" s="1"/>
  <c r="L3215" i="1" l="1"/>
  <c r="M3215" i="1" s="1"/>
  <c r="J3215" i="1"/>
  <c r="I3215" i="1"/>
  <c r="K3215" i="1" s="1"/>
  <c r="H3216" i="1" s="1"/>
  <c r="L3216" i="1" l="1"/>
  <c r="M3216" i="1" s="1"/>
  <c r="J3216" i="1"/>
  <c r="I3216" i="1"/>
  <c r="K3216" i="1" s="1"/>
  <c r="H3217" i="1" s="1"/>
  <c r="J3217" i="1" l="1"/>
  <c r="L3217" i="1"/>
  <c r="M3217" i="1" s="1"/>
  <c r="I3217" i="1"/>
  <c r="K3217" i="1" s="1"/>
  <c r="H3218" i="1" s="1"/>
  <c r="L3218" i="1" l="1"/>
  <c r="M3218" i="1" s="1"/>
  <c r="J3218" i="1"/>
  <c r="I3218" i="1"/>
  <c r="K3218" i="1" s="1"/>
  <c r="H3219" i="1" s="1"/>
  <c r="L3219" i="1" l="1"/>
  <c r="M3219" i="1" s="1"/>
  <c r="J3219" i="1"/>
  <c r="I3219" i="1"/>
  <c r="K3219" i="1" s="1"/>
  <c r="H3220" i="1" s="1"/>
  <c r="L3220" i="1" l="1"/>
  <c r="M3220" i="1" s="1"/>
  <c r="J3220" i="1"/>
  <c r="I3220" i="1"/>
  <c r="K3220" i="1" s="1"/>
  <c r="H3221" i="1" s="1"/>
  <c r="L3221" i="1" l="1"/>
  <c r="M3221" i="1" s="1"/>
  <c r="I3221" i="1"/>
  <c r="K3221" i="1" s="1"/>
  <c r="H3222" i="1" s="1"/>
  <c r="J3221" i="1"/>
  <c r="L3222" i="1" l="1"/>
  <c r="M3222" i="1" s="1"/>
  <c r="J3222" i="1"/>
  <c r="I3222" i="1"/>
  <c r="K3222" i="1" s="1"/>
  <c r="H3223" i="1" s="1"/>
  <c r="J3223" i="1" l="1"/>
  <c r="L3223" i="1"/>
  <c r="M3223" i="1" s="1"/>
  <c r="I3223" i="1"/>
  <c r="K3223" i="1" s="1"/>
  <c r="H3224" i="1" s="1"/>
  <c r="L3224" i="1" l="1"/>
  <c r="M3224" i="1" s="1"/>
  <c r="J3224" i="1"/>
  <c r="I3224" i="1"/>
  <c r="K3224" i="1" s="1"/>
  <c r="H3225" i="1" s="1"/>
  <c r="L3225" i="1" l="1"/>
  <c r="M3225" i="1" s="1"/>
  <c r="J3225" i="1"/>
  <c r="I3225" i="1"/>
  <c r="K3225" i="1" s="1"/>
  <c r="H3226" i="1" s="1"/>
  <c r="L3226" i="1" l="1"/>
  <c r="M3226" i="1" s="1"/>
  <c r="I3226" i="1"/>
  <c r="K3226" i="1" s="1"/>
  <c r="H3227" i="1" s="1"/>
  <c r="J3226" i="1"/>
  <c r="L3227" i="1" l="1"/>
  <c r="M3227" i="1" s="1"/>
  <c r="J3227" i="1"/>
  <c r="I3227" i="1"/>
  <c r="K3227" i="1" s="1"/>
  <c r="H3228" i="1" s="1"/>
  <c r="L3228" i="1" l="1"/>
  <c r="M3228" i="1" s="1"/>
  <c r="I3228" i="1"/>
  <c r="K3228" i="1" s="1"/>
  <c r="H3229" i="1" s="1"/>
  <c r="J3228" i="1"/>
  <c r="J3229" i="1" l="1"/>
  <c r="L3229" i="1"/>
  <c r="M3229" i="1" s="1"/>
  <c r="I3229" i="1"/>
  <c r="K3229" i="1" s="1"/>
  <c r="H3230" i="1" s="1"/>
  <c r="L3230" i="1" l="1"/>
  <c r="M3230" i="1" s="1"/>
  <c r="J3230" i="1"/>
  <c r="I3230" i="1"/>
  <c r="K3230" i="1" s="1"/>
  <c r="H3231" i="1" s="1"/>
  <c r="L3231" i="1" l="1"/>
  <c r="M3231" i="1" s="1"/>
  <c r="J3231" i="1"/>
  <c r="I3231" i="1"/>
  <c r="K3231" i="1" s="1"/>
  <c r="H3232" i="1" s="1"/>
  <c r="L3232" i="1" l="1"/>
  <c r="M3232" i="1" s="1"/>
  <c r="J3232" i="1"/>
  <c r="I3232" i="1"/>
  <c r="K3232" i="1" s="1"/>
  <c r="H3233" i="1" s="1"/>
  <c r="L3233" i="1" l="1"/>
  <c r="M3233" i="1" s="1"/>
  <c r="J3233" i="1"/>
  <c r="I3233" i="1"/>
  <c r="K3233" i="1" s="1"/>
  <c r="H3234" i="1" s="1"/>
  <c r="L3234" i="1" l="1"/>
  <c r="M3234" i="1" s="1"/>
  <c r="J3234" i="1"/>
  <c r="I3234" i="1"/>
  <c r="K3234" i="1" s="1"/>
  <c r="H3235" i="1" s="1"/>
  <c r="L3235" i="1" l="1"/>
  <c r="M3235" i="1" s="1"/>
  <c r="J3235" i="1"/>
  <c r="I3235" i="1"/>
  <c r="K3235" i="1" s="1"/>
  <c r="H3236" i="1" s="1"/>
  <c r="L3236" i="1" l="1"/>
  <c r="M3236" i="1" s="1"/>
  <c r="J3236" i="1"/>
  <c r="I3236" i="1"/>
  <c r="K3236" i="1" s="1"/>
  <c r="H3237" i="1" s="1"/>
  <c r="J3237" i="1" l="1"/>
  <c r="I3237" i="1"/>
  <c r="K3237" i="1" s="1"/>
  <c r="H3238" i="1" s="1"/>
  <c r="L3237" i="1"/>
  <c r="M3237" i="1" s="1"/>
  <c r="L3238" i="1" l="1"/>
  <c r="M3238" i="1" s="1"/>
  <c r="J3238" i="1"/>
  <c r="I3238" i="1"/>
  <c r="K3238" i="1" s="1"/>
  <c r="H3239" i="1" s="1"/>
  <c r="I3239" i="1" l="1"/>
  <c r="K3239" i="1" s="1"/>
  <c r="H3240" i="1" s="1"/>
  <c r="L3239" i="1"/>
  <c r="M3239" i="1" s="1"/>
  <c r="J3239" i="1"/>
  <c r="L3240" i="1" l="1"/>
  <c r="M3240" i="1" s="1"/>
  <c r="J3240" i="1"/>
  <c r="I3240" i="1"/>
  <c r="K3240" i="1" s="1"/>
  <c r="H3241" i="1" s="1"/>
  <c r="L3241" i="1" l="1"/>
  <c r="M3241" i="1" s="1"/>
  <c r="J3241" i="1"/>
  <c r="I3241" i="1"/>
  <c r="K3241" i="1" s="1"/>
  <c r="H3242" i="1" s="1"/>
  <c r="J3242" i="1" l="1"/>
  <c r="L3242" i="1"/>
  <c r="M3242" i="1" s="1"/>
  <c r="I3242" i="1"/>
  <c r="K3242" i="1" s="1"/>
  <c r="H3243" i="1" s="1"/>
  <c r="L3243" i="1" l="1"/>
  <c r="M3243" i="1" s="1"/>
  <c r="J3243" i="1"/>
  <c r="I3243" i="1"/>
  <c r="K3243" i="1" s="1"/>
  <c r="H3244" i="1" s="1"/>
  <c r="L3244" i="1" l="1"/>
  <c r="M3244" i="1" s="1"/>
  <c r="I3244" i="1"/>
  <c r="K3244" i="1" s="1"/>
  <c r="H3245" i="1" s="1"/>
  <c r="J3244" i="1"/>
  <c r="L3245" i="1" l="1"/>
  <c r="M3245" i="1" s="1"/>
  <c r="J3245" i="1"/>
  <c r="I3245" i="1"/>
  <c r="K3245" i="1" s="1"/>
  <c r="H3246" i="1" s="1"/>
  <c r="L3246" i="1" l="1"/>
  <c r="M3246" i="1" s="1"/>
  <c r="J3246" i="1"/>
  <c r="I3246" i="1"/>
  <c r="K3246" i="1" s="1"/>
  <c r="H3247" i="1" s="1"/>
  <c r="L3247" i="1" l="1"/>
  <c r="M3247" i="1" s="1"/>
  <c r="J3247" i="1"/>
  <c r="I3247" i="1"/>
  <c r="K3247" i="1" s="1"/>
  <c r="H3248" i="1" s="1"/>
  <c r="I3248" i="1" l="1"/>
  <c r="K3248" i="1" s="1"/>
  <c r="H3249" i="1" s="1"/>
  <c r="L3248" i="1"/>
  <c r="M3248" i="1" s="1"/>
  <c r="J3248" i="1"/>
  <c r="L3249" i="1" l="1"/>
  <c r="M3249" i="1" s="1"/>
  <c r="J3249" i="1"/>
  <c r="I3249" i="1"/>
  <c r="K3249" i="1" s="1"/>
  <c r="H3250" i="1" s="1"/>
  <c r="L3250" i="1" l="1"/>
  <c r="M3250" i="1" s="1"/>
  <c r="J3250" i="1"/>
  <c r="I3250" i="1"/>
  <c r="K3250" i="1" s="1"/>
  <c r="H3251" i="1" s="1"/>
  <c r="L3251" i="1" l="1"/>
  <c r="M3251" i="1" s="1"/>
  <c r="J3251" i="1"/>
  <c r="I3251" i="1"/>
  <c r="K3251" i="1" s="1"/>
  <c r="H3252" i="1" s="1"/>
  <c r="L3252" i="1" l="1"/>
  <c r="M3252" i="1" s="1"/>
  <c r="J3252" i="1"/>
  <c r="I3252" i="1"/>
  <c r="K3252" i="1" s="1"/>
  <c r="H3253" i="1" s="1"/>
  <c r="J3253" i="1" l="1"/>
  <c r="L3253" i="1"/>
  <c r="M3253" i="1" s="1"/>
  <c r="I3253" i="1"/>
  <c r="K3253" i="1" s="1"/>
  <c r="H3254" i="1" s="1"/>
  <c r="L3254" i="1" l="1"/>
  <c r="M3254" i="1" s="1"/>
  <c r="J3254" i="1"/>
  <c r="I3254" i="1"/>
  <c r="K3254" i="1" s="1"/>
  <c r="H3255" i="1" s="1"/>
  <c r="L3255" i="1" l="1"/>
  <c r="M3255" i="1" s="1"/>
  <c r="J3255" i="1"/>
  <c r="I3255" i="1"/>
  <c r="K3255" i="1" s="1"/>
  <c r="H3256" i="1" s="1"/>
  <c r="L3256" i="1" l="1"/>
  <c r="M3256" i="1" s="1"/>
  <c r="J3256" i="1"/>
  <c r="I3256" i="1"/>
  <c r="K3256" i="1" s="1"/>
  <c r="H3257" i="1" s="1"/>
  <c r="L3257" i="1" l="1"/>
  <c r="M3257" i="1" s="1"/>
  <c r="J3257" i="1"/>
  <c r="I3257" i="1"/>
  <c r="K3257" i="1" s="1"/>
  <c r="H3258" i="1" s="1"/>
  <c r="L3258" i="1" l="1"/>
  <c r="M3258" i="1" s="1"/>
  <c r="J3258" i="1"/>
  <c r="I3258" i="1"/>
  <c r="K3258" i="1" s="1"/>
  <c r="H3259" i="1" s="1"/>
  <c r="I3259" i="1" l="1"/>
  <c r="K3259" i="1" s="1"/>
  <c r="H3260" i="1" s="1"/>
  <c r="J3259" i="1"/>
  <c r="L3259" i="1"/>
  <c r="M3259" i="1" s="1"/>
  <c r="L3260" i="1" l="1"/>
  <c r="M3260" i="1" s="1"/>
  <c r="J3260" i="1"/>
  <c r="I3260" i="1"/>
  <c r="K3260" i="1" s="1"/>
  <c r="H3261" i="1" s="1"/>
  <c r="L3261" i="1" l="1"/>
  <c r="M3261" i="1" s="1"/>
  <c r="J3261" i="1"/>
  <c r="I3261" i="1"/>
  <c r="K3261" i="1" s="1"/>
  <c r="H3262" i="1" s="1"/>
  <c r="L3262" i="1" l="1"/>
  <c r="M3262" i="1" s="1"/>
  <c r="J3262" i="1"/>
  <c r="I3262" i="1"/>
  <c r="K3262" i="1" s="1"/>
  <c r="H3263" i="1" s="1"/>
  <c r="L3263" i="1" l="1"/>
  <c r="M3263" i="1" s="1"/>
  <c r="J3263" i="1"/>
  <c r="I3263" i="1"/>
  <c r="K3263" i="1" s="1"/>
  <c r="H3264" i="1" s="1"/>
  <c r="L3264" i="1" l="1"/>
  <c r="M3264" i="1" s="1"/>
  <c r="J3264" i="1"/>
  <c r="I3264" i="1"/>
  <c r="K3264" i="1" s="1"/>
  <c r="H3265" i="1" s="1"/>
  <c r="L3265" i="1" l="1"/>
  <c r="M3265" i="1" s="1"/>
  <c r="J3265" i="1"/>
  <c r="I3265" i="1"/>
  <c r="K3265" i="1" s="1"/>
  <c r="H3266" i="1" s="1"/>
  <c r="L3266" i="1" l="1"/>
  <c r="M3266" i="1" s="1"/>
  <c r="J3266" i="1"/>
  <c r="I3266" i="1"/>
  <c r="K3266" i="1" s="1"/>
  <c r="H3267" i="1" s="1"/>
  <c r="L3267" i="1" l="1"/>
  <c r="M3267" i="1" s="1"/>
  <c r="J3267" i="1"/>
  <c r="I3267" i="1"/>
  <c r="K3267" i="1" s="1"/>
  <c r="H3268" i="1" s="1"/>
  <c r="L3268" i="1" l="1"/>
  <c r="M3268" i="1" s="1"/>
  <c r="J3268" i="1"/>
  <c r="I3268" i="1"/>
  <c r="K3268" i="1" s="1"/>
  <c r="H3269" i="1" s="1"/>
  <c r="L3269" i="1" l="1"/>
  <c r="M3269" i="1" s="1"/>
  <c r="J3269" i="1"/>
  <c r="I3269" i="1"/>
  <c r="K3269" i="1" s="1"/>
  <c r="H3270" i="1" s="1"/>
  <c r="L3270" i="1" l="1"/>
  <c r="M3270" i="1" s="1"/>
  <c r="J3270" i="1"/>
  <c r="I3270" i="1"/>
  <c r="K3270" i="1" s="1"/>
  <c r="H3271" i="1" s="1"/>
  <c r="J3271" i="1" l="1"/>
  <c r="L3271" i="1"/>
  <c r="M3271" i="1" s="1"/>
  <c r="I3271" i="1"/>
  <c r="K3271" i="1" s="1"/>
  <c r="H3272" i="1" s="1"/>
  <c r="L3272" i="1" l="1"/>
  <c r="M3272" i="1" s="1"/>
  <c r="J3272" i="1"/>
  <c r="I3272" i="1"/>
  <c r="K3272" i="1" s="1"/>
  <c r="H3273" i="1" s="1"/>
  <c r="L3273" i="1" l="1"/>
  <c r="M3273" i="1" s="1"/>
  <c r="J3273" i="1"/>
  <c r="I3273" i="1"/>
  <c r="K3273" i="1" s="1"/>
  <c r="H3274" i="1" s="1"/>
  <c r="L3274" i="1" l="1"/>
  <c r="M3274" i="1" s="1"/>
  <c r="J3274" i="1"/>
  <c r="I3274" i="1"/>
  <c r="K3274" i="1" s="1"/>
  <c r="H3275" i="1" s="1"/>
  <c r="L3275" i="1" l="1"/>
  <c r="M3275" i="1" s="1"/>
  <c r="J3275" i="1"/>
  <c r="I3275" i="1"/>
  <c r="K3275" i="1" s="1"/>
  <c r="H3276" i="1" s="1"/>
  <c r="L3276" i="1" l="1"/>
  <c r="M3276" i="1" s="1"/>
  <c r="J3276" i="1"/>
  <c r="I3276" i="1"/>
  <c r="K3276" i="1" s="1"/>
  <c r="H3277" i="1" s="1"/>
  <c r="L3277" i="1" l="1"/>
  <c r="M3277" i="1" s="1"/>
  <c r="J3277" i="1"/>
  <c r="I3277" i="1"/>
  <c r="K3277" i="1" s="1"/>
  <c r="H3278" i="1" s="1"/>
  <c r="J3278" i="1" l="1"/>
  <c r="L3278" i="1"/>
  <c r="M3278" i="1" s="1"/>
  <c r="I3278" i="1"/>
  <c r="K3278" i="1" s="1"/>
  <c r="H3279" i="1" s="1"/>
  <c r="L3279" i="1" l="1"/>
  <c r="M3279" i="1" s="1"/>
  <c r="J3279" i="1"/>
  <c r="I3279" i="1"/>
  <c r="K3279" i="1" s="1"/>
  <c r="H3280" i="1" s="1"/>
  <c r="L3280" i="1" l="1"/>
  <c r="M3280" i="1" s="1"/>
  <c r="J3280" i="1"/>
  <c r="I3280" i="1"/>
  <c r="K3280" i="1" s="1"/>
  <c r="H3281" i="1" s="1"/>
  <c r="L3281" i="1" l="1"/>
  <c r="M3281" i="1" s="1"/>
  <c r="J3281" i="1"/>
  <c r="I3281" i="1"/>
  <c r="K3281" i="1" s="1"/>
  <c r="H3282" i="1" s="1"/>
  <c r="L3282" i="1" l="1"/>
  <c r="M3282" i="1" s="1"/>
  <c r="J3282" i="1"/>
  <c r="I3282" i="1"/>
  <c r="K3282" i="1" s="1"/>
  <c r="H3283" i="1" s="1"/>
  <c r="L3283" i="1" l="1"/>
  <c r="M3283" i="1" s="1"/>
  <c r="J3283" i="1"/>
  <c r="I3283" i="1"/>
  <c r="K3283" i="1" s="1"/>
  <c r="H3284" i="1" s="1"/>
  <c r="L3284" i="1" l="1"/>
  <c r="M3284" i="1" s="1"/>
  <c r="J3284" i="1"/>
  <c r="I3284" i="1"/>
  <c r="K3284" i="1" s="1"/>
  <c r="H3285" i="1" s="1"/>
  <c r="L3285" i="1" l="1"/>
  <c r="M3285" i="1" s="1"/>
  <c r="J3285" i="1"/>
  <c r="I3285" i="1"/>
  <c r="K3285" i="1" s="1"/>
  <c r="H3286" i="1" s="1"/>
  <c r="L3286" i="1" l="1"/>
  <c r="M3286" i="1" s="1"/>
  <c r="J3286" i="1"/>
  <c r="I3286" i="1"/>
  <c r="K3286" i="1" s="1"/>
  <c r="H3287" i="1" s="1"/>
  <c r="L3287" i="1" l="1"/>
  <c r="M3287" i="1" s="1"/>
  <c r="J3287" i="1"/>
  <c r="I3287" i="1"/>
  <c r="K3287" i="1" s="1"/>
  <c r="H3288" i="1" s="1"/>
  <c r="L3288" i="1" l="1"/>
  <c r="M3288" i="1" s="1"/>
  <c r="J3288" i="1"/>
  <c r="I3288" i="1"/>
  <c r="K3288" i="1" s="1"/>
  <c r="H3289" i="1" s="1"/>
  <c r="J3289" i="1" l="1"/>
  <c r="I3289" i="1"/>
  <c r="K3289" i="1" s="1"/>
  <c r="H3290" i="1" s="1"/>
  <c r="L3289" i="1"/>
  <c r="M3289" i="1" s="1"/>
  <c r="J3290" i="1" l="1"/>
  <c r="L3290" i="1"/>
  <c r="M3290" i="1" s="1"/>
  <c r="I3290" i="1"/>
  <c r="K3290" i="1" s="1"/>
  <c r="H3291" i="1" s="1"/>
  <c r="L3291" i="1" l="1"/>
  <c r="M3291" i="1" s="1"/>
  <c r="J3291" i="1"/>
  <c r="I3291" i="1"/>
  <c r="K3291" i="1" s="1"/>
  <c r="H3292" i="1" s="1"/>
  <c r="L3292" i="1" l="1"/>
  <c r="M3292" i="1" s="1"/>
  <c r="J3292" i="1"/>
  <c r="I3292" i="1"/>
  <c r="K3292" i="1" s="1"/>
  <c r="H3293" i="1" s="1"/>
  <c r="L3293" i="1" l="1"/>
  <c r="M3293" i="1" s="1"/>
  <c r="J3293" i="1"/>
  <c r="I3293" i="1"/>
  <c r="K3293" i="1" s="1"/>
  <c r="H3294" i="1" s="1"/>
  <c r="L3294" i="1" l="1"/>
  <c r="M3294" i="1" s="1"/>
  <c r="J3294" i="1"/>
  <c r="I3294" i="1"/>
  <c r="K3294" i="1" s="1"/>
  <c r="H3295" i="1" s="1"/>
  <c r="L3295" i="1" l="1"/>
  <c r="M3295" i="1" s="1"/>
  <c r="J3295" i="1"/>
  <c r="I3295" i="1"/>
  <c r="K3295" i="1" s="1"/>
  <c r="H3296" i="1" s="1"/>
  <c r="L3296" i="1" l="1"/>
  <c r="M3296" i="1" s="1"/>
  <c r="I3296" i="1"/>
  <c r="K3296" i="1" s="1"/>
  <c r="H3297" i="1" s="1"/>
  <c r="J3296" i="1"/>
  <c r="L3297" i="1" l="1"/>
  <c r="M3297" i="1" s="1"/>
  <c r="J3297" i="1"/>
  <c r="I3297" i="1"/>
  <c r="K3297" i="1" s="1"/>
  <c r="H3298" i="1" s="1"/>
  <c r="L3298" i="1" l="1"/>
  <c r="M3298" i="1" s="1"/>
  <c r="J3298" i="1"/>
  <c r="I3298" i="1"/>
  <c r="K3298" i="1" s="1"/>
  <c r="H3299" i="1" s="1"/>
  <c r="L3299" i="1" l="1"/>
  <c r="M3299" i="1" s="1"/>
  <c r="I3299" i="1"/>
  <c r="K3299" i="1" s="1"/>
  <c r="H3300" i="1" s="1"/>
  <c r="J3299" i="1"/>
  <c r="L3300" i="1" l="1"/>
  <c r="M3300" i="1" s="1"/>
  <c r="J3300" i="1"/>
  <c r="I3300" i="1"/>
  <c r="K3300" i="1" s="1"/>
  <c r="H3301" i="1" s="1"/>
  <c r="L3301" i="1" l="1"/>
  <c r="M3301" i="1" s="1"/>
  <c r="I3301" i="1"/>
  <c r="K3301" i="1" s="1"/>
  <c r="H3302" i="1" s="1"/>
  <c r="J3301" i="1"/>
  <c r="L3302" i="1" l="1"/>
  <c r="M3302" i="1" s="1"/>
  <c r="J3302" i="1"/>
  <c r="I3302" i="1"/>
  <c r="K3302" i="1" s="1"/>
  <c r="H3303" i="1" s="1"/>
  <c r="L3303" i="1" l="1"/>
  <c r="M3303" i="1" s="1"/>
  <c r="J3303" i="1"/>
  <c r="I3303" i="1"/>
  <c r="K3303" i="1" s="1"/>
  <c r="H3304" i="1" s="1"/>
  <c r="L3304" i="1" l="1"/>
  <c r="M3304" i="1" s="1"/>
  <c r="J3304" i="1"/>
  <c r="I3304" i="1"/>
  <c r="K3304" i="1" s="1"/>
  <c r="H3305" i="1" s="1"/>
  <c r="L3305" i="1" l="1"/>
  <c r="M3305" i="1" s="1"/>
  <c r="J3305" i="1"/>
  <c r="I3305" i="1"/>
  <c r="K3305" i="1" s="1"/>
  <c r="H3306" i="1" s="1"/>
  <c r="L3306" i="1" l="1"/>
  <c r="M3306" i="1" s="1"/>
  <c r="J3306" i="1"/>
  <c r="I3306" i="1"/>
  <c r="K3306" i="1" s="1"/>
  <c r="H3307" i="1" s="1"/>
  <c r="L3307" i="1" l="1"/>
  <c r="M3307" i="1" s="1"/>
  <c r="J3307" i="1"/>
  <c r="I3307" i="1"/>
  <c r="K3307" i="1" s="1"/>
  <c r="H3308" i="1" s="1"/>
  <c r="L3308" i="1" l="1"/>
  <c r="M3308" i="1" s="1"/>
  <c r="J3308" i="1"/>
  <c r="I3308" i="1"/>
  <c r="K3308" i="1" s="1"/>
  <c r="H3309" i="1" s="1"/>
  <c r="L3309" i="1" l="1"/>
  <c r="M3309" i="1" s="1"/>
  <c r="J3309" i="1"/>
  <c r="I3309" i="1"/>
  <c r="K3309" i="1" s="1"/>
  <c r="H3310" i="1" s="1"/>
  <c r="L3310" i="1" l="1"/>
  <c r="M3310" i="1" s="1"/>
  <c r="J3310" i="1"/>
  <c r="I3310" i="1"/>
  <c r="K3310" i="1" s="1"/>
  <c r="H3311" i="1" s="1"/>
  <c r="L3311" i="1" l="1"/>
  <c r="M3311" i="1" s="1"/>
  <c r="J3311" i="1"/>
  <c r="I3311" i="1"/>
  <c r="K3311" i="1" s="1"/>
  <c r="H3312" i="1" s="1"/>
  <c r="L3312" i="1" l="1"/>
  <c r="M3312" i="1" s="1"/>
  <c r="J3312" i="1"/>
  <c r="I3312" i="1"/>
  <c r="K3312" i="1" s="1"/>
  <c r="H3313" i="1" s="1"/>
  <c r="L3313" i="1" l="1"/>
  <c r="M3313" i="1" s="1"/>
  <c r="J3313" i="1"/>
  <c r="I3313" i="1"/>
  <c r="K3313" i="1" s="1"/>
  <c r="H3314" i="1" s="1"/>
  <c r="L3314" i="1" l="1"/>
  <c r="M3314" i="1" s="1"/>
  <c r="J3314" i="1"/>
  <c r="I3314" i="1"/>
  <c r="K3314" i="1" s="1"/>
  <c r="H3315" i="1" s="1"/>
  <c r="L3315" i="1" l="1"/>
  <c r="M3315" i="1" s="1"/>
  <c r="J3315" i="1"/>
  <c r="I3315" i="1"/>
  <c r="K3315" i="1" s="1"/>
  <c r="H3316" i="1" s="1"/>
  <c r="L3316" i="1" l="1"/>
  <c r="M3316" i="1" s="1"/>
  <c r="J3316" i="1"/>
  <c r="I3316" i="1"/>
  <c r="K3316" i="1" s="1"/>
  <c r="H3317" i="1" s="1"/>
  <c r="L3317" i="1" l="1"/>
  <c r="M3317" i="1" s="1"/>
  <c r="J3317" i="1"/>
  <c r="I3317" i="1"/>
  <c r="K3317" i="1" s="1"/>
  <c r="H3318" i="1" s="1"/>
  <c r="L3318" i="1" l="1"/>
  <c r="M3318" i="1" s="1"/>
  <c r="I3318" i="1"/>
  <c r="K3318" i="1" s="1"/>
  <c r="H3319" i="1" s="1"/>
  <c r="J3318" i="1"/>
  <c r="L3319" i="1" l="1"/>
  <c r="M3319" i="1" s="1"/>
  <c r="J3319" i="1"/>
  <c r="I3319" i="1"/>
  <c r="K3319" i="1" s="1"/>
  <c r="H3320" i="1" s="1"/>
  <c r="L3320" i="1" l="1"/>
  <c r="M3320" i="1" s="1"/>
  <c r="J3320" i="1"/>
  <c r="I3320" i="1"/>
  <c r="K3320" i="1" s="1"/>
  <c r="H3321" i="1" s="1"/>
  <c r="L3321" i="1" l="1"/>
  <c r="M3321" i="1" s="1"/>
  <c r="I3321" i="1"/>
  <c r="K3321" i="1" s="1"/>
  <c r="H3322" i="1" s="1"/>
  <c r="J3321" i="1"/>
  <c r="L3322" i="1" l="1"/>
  <c r="M3322" i="1" s="1"/>
  <c r="J3322" i="1"/>
  <c r="I3322" i="1"/>
  <c r="K3322" i="1" s="1"/>
  <c r="H3323" i="1" s="1"/>
  <c r="L3323" i="1" l="1"/>
  <c r="M3323" i="1" s="1"/>
  <c r="J3323" i="1"/>
  <c r="I3323" i="1"/>
  <c r="K3323" i="1" s="1"/>
  <c r="H3324" i="1" s="1"/>
  <c r="L3324" i="1" l="1"/>
  <c r="M3324" i="1" s="1"/>
  <c r="I3324" i="1"/>
  <c r="K3324" i="1" s="1"/>
  <c r="H3325" i="1" s="1"/>
  <c r="J3324" i="1"/>
  <c r="J3325" i="1" l="1"/>
  <c r="L3325" i="1"/>
  <c r="M3325" i="1" s="1"/>
  <c r="I3325" i="1"/>
  <c r="K3325" i="1" s="1"/>
  <c r="H3326" i="1" s="1"/>
  <c r="L3326" i="1" l="1"/>
  <c r="M3326" i="1" s="1"/>
  <c r="I3326" i="1"/>
  <c r="K3326" i="1" s="1"/>
  <c r="H3327" i="1" s="1"/>
  <c r="J3326" i="1"/>
  <c r="L3327" i="1" l="1"/>
  <c r="M3327" i="1" s="1"/>
  <c r="I3327" i="1"/>
  <c r="K3327" i="1" s="1"/>
  <c r="H3328" i="1" s="1"/>
  <c r="J3327" i="1"/>
  <c r="L3328" i="1" l="1"/>
  <c r="M3328" i="1" s="1"/>
  <c r="I3328" i="1"/>
  <c r="K3328" i="1" s="1"/>
  <c r="H3329" i="1" s="1"/>
  <c r="J3328" i="1"/>
  <c r="L3329" i="1" l="1"/>
  <c r="M3329" i="1" s="1"/>
  <c r="I3329" i="1"/>
  <c r="K3329" i="1" s="1"/>
  <c r="H3330" i="1" s="1"/>
  <c r="J3329" i="1"/>
  <c r="L3330" i="1" l="1"/>
  <c r="M3330" i="1" s="1"/>
  <c r="J3330" i="1"/>
  <c r="I3330" i="1"/>
  <c r="K3330" i="1" s="1"/>
  <c r="H3331" i="1" s="1"/>
  <c r="J3331" i="1" l="1"/>
  <c r="L3331" i="1"/>
  <c r="M3331" i="1" s="1"/>
  <c r="I3331" i="1"/>
  <c r="K3331" i="1" s="1"/>
  <c r="H3332" i="1" s="1"/>
  <c r="L3332" i="1" l="1"/>
  <c r="M3332" i="1" s="1"/>
  <c r="J3332" i="1"/>
  <c r="I3332" i="1"/>
  <c r="K3332" i="1" s="1"/>
  <c r="H3333" i="1" s="1"/>
  <c r="L3333" i="1" l="1"/>
  <c r="M3333" i="1" s="1"/>
  <c r="J3333" i="1"/>
  <c r="I3333" i="1"/>
  <c r="K3333" i="1" s="1"/>
  <c r="H3334" i="1" s="1"/>
  <c r="L3334" i="1" l="1"/>
  <c r="M3334" i="1" s="1"/>
  <c r="J3334" i="1"/>
  <c r="I3334" i="1"/>
  <c r="K3334" i="1" s="1"/>
  <c r="H3335" i="1" s="1"/>
  <c r="L3335" i="1" l="1"/>
  <c r="M3335" i="1" s="1"/>
  <c r="I3335" i="1"/>
  <c r="K3335" i="1" s="1"/>
  <c r="H3336" i="1" s="1"/>
  <c r="J3335" i="1"/>
  <c r="L3336" i="1" l="1"/>
  <c r="M3336" i="1" s="1"/>
  <c r="J3336" i="1"/>
  <c r="I3336" i="1"/>
  <c r="K3336" i="1" s="1"/>
  <c r="H3337" i="1" s="1"/>
  <c r="J3337" i="1" l="1"/>
  <c r="L3337" i="1"/>
  <c r="M3337" i="1" s="1"/>
  <c r="I3337" i="1"/>
  <c r="K3337" i="1" s="1"/>
  <c r="H3338" i="1" s="1"/>
  <c r="L3338" i="1" l="1"/>
  <c r="M3338" i="1" s="1"/>
  <c r="I3338" i="1"/>
  <c r="K3338" i="1" s="1"/>
  <c r="H3339" i="1" s="1"/>
  <c r="J3338" i="1"/>
  <c r="L3339" i="1" l="1"/>
  <c r="M3339" i="1" s="1"/>
  <c r="J3339" i="1"/>
  <c r="I3339" i="1"/>
  <c r="K3339" i="1" s="1"/>
  <c r="H3340" i="1" s="1"/>
  <c r="L3340" i="1" l="1"/>
  <c r="M3340" i="1" s="1"/>
  <c r="J3340" i="1"/>
  <c r="I3340" i="1"/>
  <c r="K3340" i="1" s="1"/>
  <c r="H3341" i="1" s="1"/>
  <c r="L3341" i="1" l="1"/>
  <c r="M3341" i="1" s="1"/>
  <c r="J3341" i="1"/>
  <c r="I3341" i="1"/>
  <c r="K3341" i="1" s="1"/>
  <c r="H3342" i="1" s="1"/>
  <c r="L3342" i="1" l="1"/>
  <c r="M3342" i="1" s="1"/>
  <c r="J3342" i="1"/>
  <c r="I3342" i="1"/>
  <c r="K3342" i="1" s="1"/>
  <c r="H3343" i="1" s="1"/>
  <c r="J3343" i="1" l="1"/>
  <c r="I3343" i="1"/>
  <c r="K3343" i="1" s="1"/>
  <c r="H3344" i="1" s="1"/>
  <c r="L3343" i="1"/>
  <c r="M3343" i="1" s="1"/>
  <c r="L3344" i="1" l="1"/>
  <c r="M3344" i="1" s="1"/>
  <c r="I3344" i="1"/>
  <c r="K3344" i="1" s="1"/>
  <c r="H3345" i="1" s="1"/>
  <c r="J3344" i="1"/>
  <c r="L3345" i="1" l="1"/>
  <c r="M3345" i="1" s="1"/>
  <c r="J3345" i="1"/>
  <c r="I3345" i="1"/>
  <c r="K3345" i="1" s="1"/>
  <c r="H3346" i="1" s="1"/>
  <c r="L3346" i="1" l="1"/>
  <c r="M3346" i="1" s="1"/>
  <c r="J3346" i="1"/>
  <c r="I3346" i="1"/>
  <c r="K3346" i="1" s="1"/>
  <c r="H3347" i="1" s="1"/>
  <c r="L3347" i="1" l="1"/>
  <c r="M3347" i="1" s="1"/>
  <c r="J3347" i="1"/>
  <c r="I3347" i="1"/>
  <c r="K3347" i="1" s="1"/>
  <c r="H3348" i="1" s="1"/>
  <c r="L3348" i="1" l="1"/>
  <c r="M3348" i="1" s="1"/>
  <c r="I3348" i="1"/>
  <c r="K3348" i="1" s="1"/>
  <c r="H3349" i="1" s="1"/>
  <c r="J3348" i="1"/>
  <c r="J3349" i="1" l="1"/>
  <c r="L3349" i="1"/>
  <c r="M3349" i="1" s="1"/>
  <c r="I3349" i="1"/>
  <c r="K3349" i="1" s="1"/>
  <c r="H3350" i="1" s="1"/>
  <c r="J3350" i="1" l="1"/>
  <c r="I3350" i="1"/>
  <c r="K3350" i="1" s="1"/>
  <c r="H3351" i="1" s="1"/>
  <c r="L3350" i="1"/>
  <c r="M3350" i="1" s="1"/>
  <c r="L3351" i="1" l="1"/>
  <c r="M3351" i="1" s="1"/>
  <c r="I3351" i="1"/>
  <c r="K3351" i="1" s="1"/>
  <c r="H3352" i="1" s="1"/>
  <c r="J3351" i="1"/>
  <c r="L3352" i="1" l="1"/>
  <c r="M3352" i="1" s="1"/>
  <c r="J3352" i="1"/>
  <c r="I3352" i="1"/>
  <c r="K3352" i="1" s="1"/>
  <c r="H3353" i="1" s="1"/>
  <c r="L3353" i="1" l="1"/>
  <c r="M3353" i="1" s="1"/>
  <c r="J3353" i="1"/>
  <c r="I3353" i="1"/>
  <c r="K3353" i="1" s="1"/>
  <c r="H3354" i="1" s="1"/>
  <c r="L3354" i="1" l="1"/>
  <c r="M3354" i="1" s="1"/>
  <c r="I3354" i="1"/>
  <c r="K3354" i="1" s="1"/>
  <c r="H3355" i="1" s="1"/>
  <c r="J3354" i="1"/>
  <c r="L3355" i="1" l="1"/>
  <c r="M3355" i="1" s="1"/>
  <c r="I3355" i="1"/>
  <c r="K3355" i="1" s="1"/>
  <c r="H3356" i="1" s="1"/>
  <c r="J3355" i="1"/>
  <c r="L3356" i="1" l="1"/>
  <c r="M3356" i="1" s="1"/>
  <c r="J3356" i="1"/>
  <c r="I3356" i="1"/>
  <c r="K3356" i="1" s="1"/>
  <c r="H3357" i="1" s="1"/>
  <c r="L3357" i="1" l="1"/>
  <c r="M3357" i="1" s="1"/>
  <c r="J3357" i="1"/>
  <c r="I3357" i="1"/>
  <c r="K3357" i="1" s="1"/>
  <c r="H3358" i="1" s="1"/>
  <c r="L3358" i="1" l="1"/>
  <c r="M3358" i="1" s="1"/>
  <c r="J3358" i="1"/>
  <c r="I3358" i="1"/>
  <c r="K3358" i="1" s="1"/>
  <c r="H3359" i="1" s="1"/>
  <c r="J3359" i="1" l="1"/>
  <c r="L3359" i="1"/>
  <c r="M3359" i="1" s="1"/>
  <c r="I3359" i="1"/>
  <c r="K3359" i="1" s="1"/>
  <c r="H3360" i="1" s="1"/>
  <c r="L3360" i="1" l="1"/>
  <c r="M3360" i="1" s="1"/>
  <c r="I3360" i="1"/>
  <c r="K3360" i="1" s="1"/>
  <c r="H3361" i="1" s="1"/>
  <c r="J3360" i="1"/>
  <c r="L3361" i="1" l="1"/>
  <c r="M3361" i="1" s="1"/>
  <c r="J3361" i="1"/>
  <c r="I3361" i="1"/>
  <c r="K3361" i="1" s="1"/>
  <c r="H3362" i="1" s="1"/>
  <c r="L3362" i="1" l="1"/>
  <c r="M3362" i="1" s="1"/>
  <c r="I3362" i="1"/>
  <c r="K3362" i="1" s="1"/>
  <c r="H3363" i="1" s="1"/>
  <c r="J3362" i="1"/>
  <c r="L3363" i="1" l="1"/>
  <c r="M3363" i="1" s="1"/>
  <c r="I3363" i="1"/>
  <c r="K3363" i="1" s="1"/>
  <c r="H3364" i="1" s="1"/>
  <c r="J3363" i="1"/>
  <c r="L3364" i="1" l="1"/>
  <c r="M3364" i="1" s="1"/>
  <c r="J3364" i="1"/>
  <c r="I3364" i="1"/>
  <c r="K3364" i="1" s="1"/>
  <c r="H3365" i="1" s="1"/>
  <c r="L3365" i="1" l="1"/>
  <c r="M3365" i="1" s="1"/>
  <c r="I3365" i="1"/>
  <c r="K3365" i="1" s="1"/>
  <c r="H3366" i="1" s="1"/>
  <c r="J3365" i="1"/>
  <c r="L3366" i="1" l="1"/>
  <c r="M3366" i="1" s="1"/>
  <c r="J3366" i="1"/>
  <c r="I3366" i="1"/>
  <c r="K3366" i="1" s="1"/>
  <c r="H3367" i="1" s="1"/>
  <c r="L3367" i="1" l="1"/>
  <c r="M3367" i="1" s="1"/>
  <c r="J3367" i="1"/>
  <c r="I3367" i="1"/>
  <c r="K3367" i="1" s="1"/>
  <c r="H3368" i="1" s="1"/>
  <c r="L3368" i="1" l="1"/>
  <c r="M3368" i="1" s="1"/>
  <c r="J3368" i="1"/>
  <c r="I3368" i="1"/>
  <c r="K3368" i="1" s="1"/>
  <c r="H3369" i="1" s="1"/>
  <c r="L3369" i="1" l="1"/>
  <c r="M3369" i="1" s="1"/>
  <c r="J3369" i="1"/>
  <c r="I3369" i="1"/>
  <c r="K3369" i="1" s="1"/>
  <c r="H3370" i="1" s="1"/>
  <c r="L3370" i="1" l="1"/>
  <c r="M3370" i="1" s="1"/>
  <c r="I3370" i="1"/>
  <c r="K3370" i="1" s="1"/>
  <c r="H3371" i="1" s="1"/>
  <c r="J3370" i="1"/>
  <c r="L3371" i="1" l="1"/>
  <c r="M3371" i="1" s="1"/>
  <c r="J3371" i="1"/>
  <c r="I3371" i="1"/>
  <c r="K3371" i="1" s="1"/>
  <c r="H3372" i="1" s="1"/>
  <c r="L3372" i="1" l="1"/>
  <c r="M3372" i="1" s="1"/>
  <c r="I3372" i="1"/>
  <c r="K3372" i="1" s="1"/>
  <c r="H3373" i="1" s="1"/>
  <c r="J3372" i="1"/>
  <c r="J3373" i="1" l="1"/>
  <c r="I3373" i="1"/>
  <c r="K3373" i="1" s="1"/>
  <c r="H3374" i="1" s="1"/>
  <c r="L3373" i="1"/>
  <c r="M3373" i="1" s="1"/>
  <c r="L3374" i="1" l="1"/>
  <c r="M3374" i="1" s="1"/>
  <c r="J3374" i="1"/>
  <c r="I3374" i="1"/>
  <c r="K3374" i="1" s="1"/>
  <c r="H3375" i="1" s="1"/>
  <c r="L3375" i="1" l="1"/>
  <c r="M3375" i="1" s="1"/>
  <c r="J3375" i="1"/>
  <c r="I3375" i="1"/>
  <c r="K3375" i="1" s="1"/>
  <c r="H3376" i="1" s="1"/>
  <c r="L3376" i="1" l="1"/>
  <c r="M3376" i="1" s="1"/>
  <c r="I3376" i="1"/>
  <c r="K3376" i="1" s="1"/>
  <c r="H3377" i="1" s="1"/>
  <c r="J3376" i="1"/>
  <c r="L3377" i="1" l="1"/>
  <c r="M3377" i="1" s="1"/>
  <c r="J3377" i="1"/>
  <c r="I3377" i="1"/>
  <c r="K3377" i="1" s="1"/>
  <c r="H3378" i="1" s="1"/>
  <c r="L3378" i="1" l="1"/>
  <c r="M3378" i="1" s="1"/>
  <c r="J3378" i="1"/>
  <c r="I3378" i="1"/>
  <c r="K3378" i="1" s="1"/>
  <c r="H3379" i="1" s="1"/>
  <c r="L3379" i="1" l="1"/>
  <c r="M3379" i="1" s="1"/>
  <c r="J3379" i="1"/>
  <c r="I3379" i="1"/>
  <c r="K3379" i="1" s="1"/>
  <c r="H3380" i="1" s="1"/>
  <c r="L3380" i="1" l="1"/>
  <c r="M3380" i="1" s="1"/>
  <c r="I3380" i="1"/>
  <c r="K3380" i="1" s="1"/>
  <c r="H3381" i="1" s="1"/>
  <c r="J3380" i="1"/>
  <c r="L3381" i="1" l="1"/>
  <c r="M3381" i="1" s="1"/>
  <c r="I3381" i="1"/>
  <c r="K3381" i="1" s="1"/>
  <c r="H3382" i="1" s="1"/>
  <c r="J3381" i="1"/>
  <c r="L3382" i="1" l="1"/>
  <c r="M3382" i="1" s="1"/>
  <c r="I3382" i="1"/>
  <c r="K3382" i="1" s="1"/>
  <c r="H3383" i="1" s="1"/>
  <c r="J3382" i="1"/>
  <c r="L3383" i="1" l="1"/>
  <c r="M3383" i="1" s="1"/>
  <c r="J3383" i="1"/>
  <c r="I3383" i="1"/>
  <c r="K3383" i="1" s="1"/>
  <c r="H3384" i="1" s="1"/>
  <c r="L3384" i="1" l="1"/>
  <c r="M3384" i="1" s="1"/>
  <c r="J3384" i="1"/>
  <c r="I3384" i="1"/>
  <c r="K3384" i="1" s="1"/>
  <c r="H3385" i="1" s="1"/>
  <c r="L3385" i="1" l="1"/>
  <c r="M3385" i="1" s="1"/>
  <c r="J3385" i="1"/>
  <c r="I3385" i="1"/>
  <c r="K3385" i="1" s="1"/>
  <c r="H3386" i="1" s="1"/>
  <c r="J3386" i="1" l="1"/>
  <c r="L3386" i="1"/>
  <c r="M3386" i="1" s="1"/>
  <c r="I3386" i="1"/>
  <c r="K3386" i="1" s="1"/>
  <c r="H3387" i="1" s="1"/>
  <c r="L3387" i="1" l="1"/>
  <c r="M3387" i="1" s="1"/>
  <c r="J3387" i="1"/>
  <c r="I3387" i="1"/>
  <c r="K3387" i="1" s="1"/>
  <c r="H3388" i="1" s="1"/>
  <c r="L3388" i="1" l="1"/>
  <c r="M3388" i="1" s="1"/>
  <c r="J3388" i="1"/>
  <c r="I3388" i="1"/>
  <c r="K3388" i="1" s="1"/>
  <c r="H3389" i="1" s="1"/>
  <c r="L3389" i="1" l="1"/>
  <c r="M3389" i="1" s="1"/>
  <c r="J3389" i="1"/>
  <c r="I3389" i="1"/>
  <c r="K3389" i="1" s="1"/>
  <c r="H3390" i="1" s="1"/>
  <c r="L3390" i="1" l="1"/>
  <c r="M3390" i="1" s="1"/>
  <c r="J3390" i="1"/>
  <c r="I3390" i="1"/>
  <c r="K3390" i="1" s="1"/>
  <c r="H3391" i="1" s="1"/>
  <c r="L3391" i="1" l="1"/>
  <c r="M3391" i="1" s="1"/>
  <c r="J3391" i="1"/>
  <c r="I3391" i="1"/>
  <c r="K3391" i="1" s="1"/>
  <c r="H3392" i="1" s="1"/>
  <c r="L3392" i="1" l="1"/>
  <c r="M3392" i="1" s="1"/>
  <c r="I3392" i="1"/>
  <c r="K3392" i="1" s="1"/>
  <c r="H3393" i="1" s="1"/>
  <c r="J3392" i="1"/>
  <c r="J3393" i="1" l="1"/>
  <c r="I3393" i="1"/>
  <c r="K3393" i="1" s="1"/>
  <c r="H3394" i="1" s="1"/>
  <c r="L3393" i="1"/>
  <c r="M3393" i="1" s="1"/>
  <c r="L3394" i="1" l="1"/>
  <c r="M3394" i="1" s="1"/>
  <c r="J3394" i="1"/>
  <c r="I3394" i="1"/>
  <c r="K3394" i="1" s="1"/>
  <c r="H3395" i="1" s="1"/>
  <c r="L3395" i="1" l="1"/>
  <c r="M3395" i="1" s="1"/>
  <c r="J3395" i="1"/>
  <c r="I3395" i="1"/>
  <c r="K3395" i="1" s="1"/>
  <c r="H3396" i="1" s="1"/>
  <c r="L3396" i="1" l="1"/>
  <c r="M3396" i="1" s="1"/>
  <c r="I3396" i="1"/>
  <c r="K3396" i="1" s="1"/>
  <c r="H3397" i="1" s="1"/>
  <c r="J3396" i="1"/>
  <c r="J3397" i="1" l="1"/>
  <c r="L3397" i="1"/>
  <c r="M3397" i="1" s="1"/>
  <c r="I3397" i="1"/>
  <c r="K3397" i="1" s="1"/>
  <c r="H3398" i="1" s="1"/>
  <c r="J3398" i="1" l="1"/>
  <c r="L3398" i="1"/>
  <c r="M3398" i="1" s="1"/>
  <c r="I3398" i="1"/>
  <c r="K3398" i="1" s="1"/>
  <c r="H3399" i="1" s="1"/>
  <c r="L3399" i="1" l="1"/>
  <c r="M3399" i="1" s="1"/>
  <c r="J3399" i="1"/>
  <c r="I3399" i="1"/>
  <c r="K3399" i="1" s="1"/>
  <c r="H3400" i="1" s="1"/>
  <c r="L3400" i="1" l="1"/>
  <c r="M3400" i="1" s="1"/>
  <c r="J3400" i="1"/>
  <c r="I3400" i="1"/>
  <c r="K3400" i="1" s="1"/>
  <c r="H3401" i="1" s="1"/>
  <c r="L3401" i="1" l="1"/>
  <c r="M3401" i="1" s="1"/>
  <c r="I3401" i="1"/>
  <c r="K3401" i="1" s="1"/>
  <c r="H3402" i="1" s="1"/>
  <c r="J3401" i="1"/>
  <c r="L3402" i="1" l="1"/>
  <c r="M3402" i="1" s="1"/>
  <c r="J3402" i="1"/>
  <c r="I3402" i="1"/>
  <c r="K3402" i="1" s="1"/>
  <c r="H3403" i="1" s="1"/>
  <c r="L3403" i="1" l="1"/>
  <c r="M3403" i="1" s="1"/>
  <c r="J3403" i="1"/>
  <c r="I3403" i="1"/>
  <c r="K3403" i="1" s="1"/>
  <c r="H3404" i="1" s="1"/>
  <c r="L3404" i="1" l="1"/>
  <c r="M3404" i="1" s="1"/>
  <c r="J3404" i="1"/>
  <c r="I3404" i="1"/>
  <c r="K3404" i="1" s="1"/>
  <c r="H3405" i="1" s="1"/>
  <c r="L3405" i="1" l="1"/>
  <c r="M3405" i="1" s="1"/>
  <c r="J3405" i="1"/>
  <c r="I3405" i="1"/>
  <c r="K3405" i="1" s="1"/>
  <c r="H3406" i="1" s="1"/>
  <c r="L3406" i="1" l="1"/>
  <c r="M3406" i="1" s="1"/>
  <c r="J3406" i="1"/>
  <c r="I3406" i="1"/>
  <c r="K3406" i="1" s="1"/>
  <c r="H3407" i="1" s="1"/>
  <c r="L3407" i="1" l="1"/>
  <c r="M3407" i="1" s="1"/>
  <c r="J3407" i="1"/>
  <c r="I3407" i="1"/>
  <c r="K3407" i="1" s="1"/>
  <c r="H3408" i="1" s="1"/>
  <c r="L3408" i="1" l="1"/>
  <c r="M3408" i="1" s="1"/>
  <c r="J3408" i="1"/>
  <c r="I3408" i="1"/>
  <c r="K3408" i="1" s="1"/>
  <c r="H3409" i="1" s="1"/>
  <c r="L3409" i="1" l="1"/>
  <c r="M3409" i="1" s="1"/>
  <c r="J3409" i="1"/>
  <c r="I3409" i="1"/>
  <c r="K3409" i="1" s="1"/>
  <c r="H3410" i="1" s="1"/>
  <c r="L3410" i="1" l="1"/>
  <c r="M3410" i="1" s="1"/>
  <c r="J3410" i="1"/>
  <c r="I3410" i="1"/>
  <c r="K3410" i="1" s="1"/>
  <c r="H3411" i="1" s="1"/>
  <c r="L3411" i="1" l="1"/>
  <c r="M3411" i="1" s="1"/>
  <c r="J3411" i="1"/>
  <c r="I3411" i="1"/>
  <c r="K3411" i="1" s="1"/>
  <c r="H3412" i="1" s="1"/>
  <c r="L3412" i="1" l="1"/>
  <c r="M3412" i="1" s="1"/>
  <c r="J3412" i="1"/>
  <c r="I3412" i="1"/>
  <c r="K3412" i="1" s="1"/>
  <c r="H3413" i="1" s="1"/>
  <c r="L3413" i="1" l="1"/>
  <c r="M3413" i="1" s="1"/>
  <c r="J3413" i="1"/>
  <c r="I3413" i="1"/>
  <c r="K3413" i="1" s="1"/>
  <c r="H3414" i="1" s="1"/>
  <c r="L3414" i="1" l="1"/>
  <c r="M3414" i="1" s="1"/>
  <c r="J3414" i="1"/>
  <c r="I3414" i="1"/>
  <c r="K3414" i="1" s="1"/>
  <c r="H3415" i="1" s="1"/>
  <c r="L3415" i="1" l="1"/>
  <c r="M3415" i="1" s="1"/>
  <c r="J3415" i="1"/>
  <c r="I3415" i="1"/>
  <c r="K3415" i="1" s="1"/>
  <c r="H3416" i="1" s="1"/>
  <c r="L3416" i="1" l="1"/>
  <c r="M3416" i="1" s="1"/>
  <c r="J3416" i="1"/>
  <c r="I3416" i="1"/>
  <c r="K3416" i="1" s="1"/>
  <c r="H3417" i="1" s="1"/>
  <c r="L3417" i="1" l="1"/>
  <c r="M3417" i="1" s="1"/>
  <c r="J3417" i="1"/>
  <c r="I3417" i="1"/>
  <c r="K3417" i="1" s="1"/>
  <c r="H3418" i="1" s="1"/>
  <c r="L3418" i="1" l="1"/>
  <c r="M3418" i="1" s="1"/>
  <c r="J3418" i="1"/>
  <c r="I3418" i="1"/>
  <c r="K3418" i="1" s="1"/>
  <c r="H3419" i="1" s="1"/>
  <c r="L3419" i="1" l="1"/>
  <c r="M3419" i="1" s="1"/>
  <c r="J3419" i="1"/>
  <c r="I3419" i="1"/>
  <c r="K3419" i="1" s="1"/>
  <c r="H3420" i="1" s="1"/>
  <c r="L3420" i="1" l="1"/>
  <c r="M3420" i="1" s="1"/>
  <c r="J3420" i="1"/>
  <c r="I3420" i="1"/>
  <c r="K3420" i="1" s="1"/>
  <c r="H3421" i="1" s="1"/>
  <c r="L3421" i="1" l="1"/>
  <c r="M3421" i="1" s="1"/>
  <c r="I3421" i="1"/>
  <c r="K3421" i="1" s="1"/>
  <c r="H3422" i="1" s="1"/>
  <c r="J3421" i="1"/>
  <c r="J3422" i="1" l="1"/>
  <c r="L3422" i="1"/>
  <c r="M3422" i="1" s="1"/>
  <c r="I3422" i="1"/>
  <c r="K3422" i="1" s="1"/>
  <c r="H3423" i="1" s="1"/>
  <c r="L3423" i="1" l="1"/>
  <c r="M3423" i="1" s="1"/>
  <c r="J3423" i="1"/>
  <c r="I3423" i="1"/>
  <c r="K3423" i="1" s="1"/>
  <c r="H3424" i="1" s="1"/>
  <c r="L3424" i="1" l="1"/>
  <c r="M3424" i="1" s="1"/>
  <c r="J3424" i="1"/>
  <c r="I3424" i="1"/>
  <c r="K3424" i="1" s="1"/>
  <c r="H3425" i="1" s="1"/>
  <c r="L3425" i="1" l="1"/>
  <c r="M3425" i="1" s="1"/>
  <c r="J3425" i="1"/>
  <c r="I3425" i="1"/>
  <c r="K3425" i="1" s="1"/>
  <c r="H3426" i="1" s="1"/>
  <c r="I3426" i="1" l="1"/>
  <c r="K3426" i="1" s="1"/>
  <c r="H3427" i="1" s="1"/>
  <c r="L3426" i="1"/>
  <c r="M3426" i="1" s="1"/>
  <c r="J3426" i="1"/>
  <c r="L3427" i="1" l="1"/>
  <c r="M3427" i="1" s="1"/>
  <c r="J3427" i="1"/>
  <c r="I3427" i="1"/>
  <c r="K3427" i="1" s="1"/>
  <c r="H3428" i="1" s="1"/>
  <c r="L3428" i="1" l="1"/>
  <c r="M3428" i="1" s="1"/>
  <c r="J3428" i="1"/>
  <c r="I3428" i="1"/>
  <c r="K3428" i="1" s="1"/>
  <c r="H3429" i="1" s="1"/>
  <c r="L3429" i="1" l="1"/>
  <c r="M3429" i="1" s="1"/>
  <c r="J3429" i="1"/>
  <c r="I3429" i="1"/>
  <c r="K3429" i="1" s="1"/>
  <c r="H3430" i="1" s="1"/>
  <c r="L3430" i="1" l="1"/>
  <c r="M3430" i="1" s="1"/>
  <c r="J3430" i="1"/>
  <c r="I3430" i="1"/>
  <c r="K3430" i="1" s="1"/>
  <c r="H3431" i="1" s="1"/>
  <c r="L3431" i="1" l="1"/>
  <c r="M3431" i="1" s="1"/>
  <c r="J3431" i="1"/>
  <c r="I3431" i="1"/>
  <c r="K3431" i="1" s="1"/>
  <c r="H3432" i="1" s="1"/>
  <c r="L3432" i="1" l="1"/>
  <c r="M3432" i="1" s="1"/>
  <c r="J3432" i="1"/>
  <c r="I3432" i="1"/>
  <c r="K3432" i="1" s="1"/>
  <c r="H3433" i="1" s="1"/>
  <c r="L3433" i="1" l="1"/>
  <c r="M3433" i="1" s="1"/>
  <c r="J3433" i="1"/>
  <c r="I3433" i="1"/>
  <c r="K3433" i="1" s="1"/>
  <c r="H3434" i="1" s="1"/>
  <c r="J3434" i="1" l="1"/>
  <c r="L3434" i="1"/>
  <c r="M3434" i="1" s="1"/>
  <c r="I3434" i="1"/>
  <c r="K3434" i="1" s="1"/>
  <c r="H3435" i="1" s="1"/>
  <c r="L3435" i="1" l="1"/>
  <c r="M3435" i="1" s="1"/>
  <c r="J3435" i="1"/>
  <c r="I3435" i="1"/>
  <c r="K3435" i="1" s="1"/>
  <c r="H3436" i="1" s="1"/>
  <c r="L3436" i="1" l="1"/>
  <c r="M3436" i="1" s="1"/>
  <c r="J3436" i="1"/>
  <c r="I3436" i="1"/>
  <c r="K3436" i="1" s="1"/>
  <c r="H3437" i="1" s="1"/>
  <c r="L3437" i="1" l="1"/>
  <c r="M3437" i="1" s="1"/>
  <c r="J3437" i="1"/>
  <c r="I3437" i="1"/>
  <c r="K3437" i="1" s="1"/>
  <c r="H3438" i="1" s="1"/>
  <c r="L3438" i="1" l="1"/>
  <c r="M3438" i="1" s="1"/>
  <c r="J3438" i="1"/>
  <c r="I3438" i="1"/>
  <c r="K3438" i="1" s="1"/>
  <c r="H3439" i="1" s="1"/>
  <c r="L3439" i="1" l="1"/>
  <c r="M3439" i="1" s="1"/>
  <c r="J3439" i="1"/>
  <c r="I3439" i="1"/>
  <c r="K3439" i="1" s="1"/>
  <c r="H3440" i="1" s="1"/>
  <c r="L3440" i="1" l="1"/>
  <c r="M3440" i="1" s="1"/>
  <c r="J3440" i="1"/>
  <c r="I3440" i="1"/>
  <c r="K3440" i="1" s="1"/>
  <c r="H3441" i="1" s="1"/>
  <c r="L3441" i="1" l="1"/>
  <c r="M3441" i="1" s="1"/>
  <c r="J3441" i="1"/>
  <c r="I3441" i="1"/>
  <c r="K3441" i="1" s="1"/>
  <c r="H3442" i="1" s="1"/>
  <c r="L3442" i="1" l="1"/>
  <c r="M3442" i="1" s="1"/>
  <c r="J3442" i="1"/>
  <c r="I3442" i="1"/>
  <c r="K3442" i="1" s="1"/>
  <c r="H3443" i="1" s="1"/>
  <c r="L3443" i="1" l="1"/>
  <c r="M3443" i="1" s="1"/>
  <c r="J3443" i="1"/>
  <c r="I3443" i="1"/>
  <c r="K3443" i="1" s="1"/>
  <c r="H3444" i="1" s="1"/>
  <c r="L3444" i="1" l="1"/>
  <c r="M3444" i="1" s="1"/>
  <c r="J3444" i="1"/>
  <c r="I3444" i="1"/>
  <c r="K3444" i="1" s="1"/>
  <c r="H3445" i="1" s="1"/>
  <c r="L3445" i="1" l="1"/>
  <c r="M3445" i="1" s="1"/>
  <c r="J3445" i="1"/>
  <c r="I3445" i="1"/>
  <c r="K3445" i="1" s="1"/>
  <c r="H3446" i="1" s="1"/>
  <c r="L3446" i="1" l="1"/>
  <c r="M3446" i="1" s="1"/>
  <c r="J3446" i="1"/>
  <c r="I3446" i="1"/>
  <c r="K3446" i="1" s="1"/>
  <c r="H3447" i="1" s="1"/>
  <c r="L3447" i="1" l="1"/>
  <c r="M3447" i="1" s="1"/>
  <c r="J3447" i="1"/>
  <c r="I3447" i="1"/>
  <c r="K3447" i="1" s="1"/>
  <c r="H3448" i="1" s="1"/>
  <c r="L3448" i="1" l="1"/>
  <c r="M3448" i="1" s="1"/>
  <c r="J3448" i="1"/>
  <c r="I3448" i="1"/>
  <c r="K3448" i="1" s="1"/>
  <c r="H3449" i="1" s="1"/>
  <c r="L3449" i="1" l="1"/>
  <c r="M3449" i="1" s="1"/>
  <c r="J3449" i="1"/>
  <c r="I3449" i="1"/>
  <c r="K3449" i="1" s="1"/>
  <c r="H3450" i="1" s="1"/>
  <c r="L3450" i="1" l="1"/>
  <c r="M3450" i="1" s="1"/>
  <c r="J3450" i="1"/>
  <c r="I3450" i="1"/>
  <c r="K3450" i="1" s="1"/>
  <c r="H3451" i="1" s="1"/>
  <c r="L3451" i="1" l="1"/>
  <c r="M3451" i="1" s="1"/>
  <c r="J3451" i="1"/>
  <c r="I3451" i="1"/>
  <c r="K3451" i="1" s="1"/>
  <c r="H3452" i="1" s="1"/>
  <c r="L3452" i="1" l="1"/>
  <c r="M3452" i="1" s="1"/>
  <c r="J3452" i="1"/>
  <c r="I3452" i="1"/>
  <c r="K3452" i="1" s="1"/>
  <c r="H3453" i="1" s="1"/>
  <c r="L3453" i="1" l="1"/>
  <c r="M3453" i="1" s="1"/>
  <c r="J3453" i="1"/>
  <c r="I3453" i="1"/>
  <c r="K3453" i="1" s="1"/>
  <c r="H3454" i="1" s="1"/>
  <c r="L3454" i="1" l="1"/>
  <c r="M3454" i="1" s="1"/>
  <c r="J3454" i="1"/>
  <c r="I3454" i="1"/>
  <c r="K3454" i="1" s="1"/>
  <c r="H3455" i="1" s="1"/>
  <c r="L3455" i="1" l="1"/>
  <c r="M3455" i="1" s="1"/>
  <c r="J3455" i="1"/>
  <c r="I3455" i="1"/>
  <c r="K3455" i="1" s="1"/>
  <c r="H3456" i="1" s="1"/>
  <c r="L3456" i="1" l="1"/>
  <c r="M3456" i="1" s="1"/>
  <c r="J3456" i="1"/>
  <c r="I3456" i="1"/>
  <c r="K3456" i="1" s="1"/>
  <c r="H3457" i="1" s="1"/>
  <c r="L3457" i="1" l="1"/>
  <c r="M3457" i="1" s="1"/>
  <c r="J3457" i="1"/>
  <c r="I3457" i="1"/>
  <c r="K3457" i="1" s="1"/>
  <c r="H3458" i="1" s="1"/>
  <c r="L3458" i="1" l="1"/>
  <c r="M3458" i="1" s="1"/>
  <c r="J3458" i="1"/>
  <c r="I3458" i="1"/>
  <c r="K3458" i="1" s="1"/>
  <c r="H3459" i="1" s="1"/>
  <c r="L3459" i="1" l="1"/>
  <c r="M3459" i="1" s="1"/>
  <c r="J3459" i="1"/>
  <c r="I3459" i="1"/>
  <c r="K3459" i="1" s="1"/>
  <c r="H3460" i="1" s="1"/>
  <c r="L3460" i="1" l="1"/>
  <c r="M3460" i="1" s="1"/>
  <c r="J3460" i="1"/>
  <c r="I3460" i="1"/>
  <c r="K3460" i="1" s="1"/>
  <c r="H3461" i="1" s="1"/>
  <c r="I3461" i="1" l="1"/>
  <c r="K3461" i="1" s="1"/>
  <c r="H3462" i="1" s="1"/>
  <c r="L3461" i="1"/>
  <c r="M3461" i="1" s="1"/>
  <c r="J3461" i="1"/>
  <c r="L3462" i="1" l="1"/>
  <c r="M3462" i="1" s="1"/>
  <c r="J3462" i="1"/>
  <c r="I3462" i="1"/>
  <c r="K3462" i="1" s="1"/>
  <c r="H3463" i="1" s="1"/>
  <c r="L3463" i="1" l="1"/>
  <c r="M3463" i="1" s="1"/>
  <c r="J3463" i="1"/>
  <c r="I3463" i="1"/>
  <c r="K3463" i="1" s="1"/>
  <c r="H3464" i="1" s="1"/>
  <c r="L3464" i="1" l="1"/>
  <c r="M3464" i="1" s="1"/>
  <c r="J3464" i="1"/>
  <c r="I3464" i="1"/>
  <c r="K3464" i="1" s="1"/>
  <c r="H3465" i="1" s="1"/>
  <c r="I3465" i="1" l="1"/>
  <c r="K3465" i="1" s="1"/>
  <c r="H3466" i="1" s="1"/>
  <c r="L3465" i="1"/>
  <c r="M3465" i="1" s="1"/>
  <c r="J3465" i="1"/>
  <c r="L3466" i="1" l="1"/>
  <c r="M3466" i="1" s="1"/>
  <c r="J3466" i="1"/>
  <c r="I3466" i="1"/>
  <c r="K3466" i="1" s="1"/>
  <c r="H3467" i="1" s="1"/>
  <c r="L3467" i="1" l="1"/>
  <c r="M3467" i="1" s="1"/>
  <c r="J3467" i="1"/>
  <c r="I3467" i="1"/>
  <c r="K3467" i="1" s="1"/>
  <c r="H3468" i="1" s="1"/>
  <c r="L3468" i="1" l="1"/>
  <c r="M3468" i="1" s="1"/>
  <c r="J3468" i="1"/>
  <c r="I3468" i="1"/>
  <c r="K3468" i="1" s="1"/>
  <c r="H3469" i="1" s="1"/>
  <c r="I3469" i="1" l="1"/>
  <c r="K3469" i="1" s="1"/>
  <c r="H3470" i="1" s="1"/>
  <c r="L3469" i="1"/>
  <c r="M3469" i="1" s="1"/>
  <c r="J3469" i="1"/>
  <c r="L3470" i="1" l="1"/>
  <c r="M3470" i="1" s="1"/>
  <c r="J3470" i="1"/>
  <c r="I3470" i="1"/>
  <c r="K3470" i="1" s="1"/>
  <c r="H3471" i="1" s="1"/>
  <c r="L3471" i="1" l="1"/>
  <c r="M3471" i="1" s="1"/>
  <c r="J3471" i="1"/>
  <c r="I3471" i="1"/>
  <c r="K3471" i="1" s="1"/>
  <c r="H3472" i="1" s="1"/>
  <c r="L3472" i="1" l="1"/>
  <c r="M3472" i="1" s="1"/>
  <c r="J3472" i="1"/>
  <c r="I3472" i="1"/>
  <c r="K3472" i="1" s="1"/>
  <c r="H3473" i="1" s="1"/>
  <c r="L3473" i="1" l="1"/>
  <c r="M3473" i="1" s="1"/>
  <c r="J3473" i="1"/>
  <c r="I3473" i="1"/>
  <c r="K3473" i="1" s="1"/>
  <c r="H3474" i="1" s="1"/>
  <c r="L3474" i="1" l="1"/>
  <c r="M3474" i="1" s="1"/>
  <c r="J3474" i="1"/>
  <c r="I3474" i="1"/>
  <c r="K3474" i="1" s="1"/>
  <c r="H3475" i="1" s="1"/>
  <c r="I3475" i="1" l="1"/>
  <c r="K3475" i="1" s="1"/>
  <c r="H3476" i="1" s="1"/>
  <c r="L3475" i="1"/>
  <c r="M3475" i="1" s="1"/>
  <c r="J3475" i="1"/>
  <c r="L3476" i="1" l="1"/>
  <c r="M3476" i="1" s="1"/>
  <c r="J3476" i="1"/>
  <c r="I3476" i="1"/>
  <c r="K3476" i="1" s="1"/>
  <c r="H3477" i="1" s="1"/>
  <c r="L3477" i="1" l="1"/>
  <c r="M3477" i="1" s="1"/>
  <c r="J3477" i="1"/>
  <c r="I3477" i="1"/>
  <c r="K3477" i="1" s="1"/>
  <c r="H3478" i="1" s="1"/>
  <c r="L3478" i="1" l="1"/>
  <c r="M3478" i="1" s="1"/>
  <c r="I3478" i="1"/>
  <c r="K3478" i="1" s="1"/>
  <c r="H3479" i="1" s="1"/>
  <c r="J3478" i="1"/>
  <c r="L3479" i="1" l="1"/>
  <c r="M3479" i="1" s="1"/>
  <c r="J3479" i="1"/>
  <c r="I3479" i="1"/>
  <c r="K3479" i="1" s="1"/>
  <c r="H3480" i="1" s="1"/>
  <c r="J3480" i="1" l="1"/>
  <c r="I3480" i="1"/>
  <c r="K3480" i="1" s="1"/>
  <c r="H3481" i="1" s="1"/>
  <c r="L3480" i="1"/>
  <c r="M3480" i="1" s="1"/>
  <c r="L3481" i="1" l="1"/>
  <c r="M3481" i="1" s="1"/>
  <c r="J3481" i="1"/>
  <c r="I3481" i="1"/>
  <c r="K3481" i="1" s="1"/>
  <c r="H3482" i="1" s="1"/>
  <c r="L3482" i="1" l="1"/>
  <c r="M3482" i="1" s="1"/>
  <c r="I3482" i="1"/>
  <c r="K3482" i="1" s="1"/>
  <c r="H3483" i="1" s="1"/>
  <c r="J3482" i="1"/>
  <c r="L3483" i="1" l="1"/>
  <c r="M3483" i="1" s="1"/>
  <c r="I3483" i="1"/>
  <c r="K3483" i="1" s="1"/>
  <c r="H3484" i="1" s="1"/>
  <c r="J3483" i="1"/>
  <c r="L3484" i="1" l="1"/>
  <c r="M3484" i="1" s="1"/>
  <c r="J3484" i="1"/>
  <c r="I3484" i="1"/>
  <c r="K3484" i="1" s="1"/>
  <c r="H3485" i="1" s="1"/>
  <c r="L3485" i="1" l="1"/>
  <c r="M3485" i="1" s="1"/>
  <c r="J3485" i="1"/>
  <c r="I3485" i="1"/>
  <c r="K3485" i="1" s="1"/>
  <c r="H3486" i="1" s="1"/>
  <c r="L3486" i="1" l="1"/>
  <c r="M3486" i="1" s="1"/>
  <c r="J3486" i="1"/>
  <c r="I3486" i="1"/>
  <c r="K3486" i="1" s="1"/>
  <c r="H3487" i="1" s="1"/>
  <c r="L3487" i="1" l="1"/>
  <c r="M3487" i="1" s="1"/>
  <c r="I3487" i="1"/>
  <c r="K3487" i="1" s="1"/>
  <c r="H3488" i="1" s="1"/>
  <c r="J3487" i="1"/>
  <c r="L3488" i="1" l="1"/>
  <c r="M3488" i="1" s="1"/>
  <c r="J3488" i="1"/>
  <c r="I3488" i="1"/>
  <c r="K3488" i="1" s="1"/>
  <c r="H3489" i="1" s="1"/>
  <c r="L3489" i="1" l="1"/>
  <c r="M3489" i="1" s="1"/>
  <c r="J3489" i="1"/>
  <c r="I3489" i="1"/>
  <c r="K3489" i="1" s="1"/>
  <c r="H3490" i="1" s="1"/>
  <c r="L3490" i="1" l="1"/>
  <c r="M3490" i="1" s="1"/>
  <c r="J3490" i="1"/>
  <c r="I3490" i="1"/>
  <c r="K3490" i="1" s="1"/>
  <c r="H3491" i="1" s="1"/>
  <c r="L3491" i="1" l="1"/>
  <c r="M3491" i="1" s="1"/>
  <c r="J3491" i="1"/>
  <c r="I3491" i="1"/>
  <c r="K3491" i="1" s="1"/>
  <c r="H3492" i="1" s="1"/>
  <c r="L3492" i="1" l="1"/>
  <c r="M3492" i="1" s="1"/>
  <c r="J3492" i="1"/>
  <c r="I3492" i="1"/>
  <c r="K3492" i="1" s="1"/>
  <c r="H3493" i="1" s="1"/>
  <c r="L3493" i="1" l="1"/>
  <c r="M3493" i="1" s="1"/>
  <c r="J3493" i="1"/>
  <c r="I3493" i="1"/>
  <c r="K3493" i="1" s="1"/>
  <c r="H3494" i="1" s="1"/>
  <c r="J3494" i="1" l="1"/>
  <c r="L3494" i="1"/>
  <c r="M3494" i="1" s="1"/>
  <c r="I3494" i="1"/>
  <c r="K3494" i="1" s="1"/>
  <c r="H3495" i="1" s="1"/>
  <c r="L3495" i="1" l="1"/>
  <c r="M3495" i="1" s="1"/>
  <c r="J3495" i="1"/>
  <c r="I3495" i="1"/>
  <c r="K3495" i="1" s="1"/>
  <c r="H3496" i="1" s="1"/>
  <c r="L3496" i="1" l="1"/>
  <c r="M3496" i="1" s="1"/>
  <c r="J3496" i="1"/>
  <c r="I3496" i="1"/>
  <c r="K3496" i="1" s="1"/>
  <c r="H3497" i="1" s="1"/>
  <c r="L3497" i="1" l="1"/>
  <c r="M3497" i="1" s="1"/>
  <c r="J3497" i="1"/>
  <c r="I3497" i="1"/>
  <c r="K3497" i="1" s="1"/>
  <c r="H3498" i="1" s="1"/>
  <c r="L3498" i="1" l="1"/>
  <c r="M3498" i="1" s="1"/>
  <c r="J3498" i="1"/>
  <c r="I3498" i="1"/>
  <c r="K3498" i="1" s="1"/>
  <c r="H3499" i="1" s="1"/>
  <c r="L3499" i="1" l="1"/>
  <c r="M3499" i="1" s="1"/>
  <c r="J3499" i="1"/>
  <c r="I3499" i="1"/>
  <c r="K3499" i="1" s="1"/>
  <c r="H3500" i="1" s="1"/>
  <c r="L3500" i="1" l="1"/>
  <c r="M3500" i="1" s="1"/>
  <c r="J3500" i="1"/>
  <c r="I3500" i="1"/>
  <c r="K3500" i="1" s="1"/>
  <c r="H3501" i="1" s="1"/>
  <c r="L3501" i="1" l="1"/>
  <c r="M3501" i="1" s="1"/>
  <c r="J3501" i="1"/>
  <c r="I3501" i="1"/>
  <c r="K3501" i="1" s="1"/>
  <c r="H3502" i="1" s="1"/>
  <c r="L3502" i="1" l="1"/>
  <c r="M3502" i="1" s="1"/>
  <c r="J3502" i="1"/>
  <c r="I3502" i="1"/>
  <c r="K3502" i="1" s="1"/>
  <c r="H3503" i="1" s="1"/>
  <c r="L3503" i="1" l="1"/>
  <c r="M3503" i="1" s="1"/>
  <c r="J3503" i="1"/>
  <c r="I3503" i="1"/>
  <c r="K3503" i="1" s="1"/>
  <c r="H3504" i="1" s="1"/>
  <c r="L3504" i="1" l="1"/>
  <c r="M3504" i="1" s="1"/>
  <c r="I3504" i="1"/>
  <c r="K3504" i="1" s="1"/>
  <c r="H3505" i="1" s="1"/>
  <c r="J3504" i="1"/>
  <c r="L3505" i="1" l="1"/>
  <c r="M3505" i="1" s="1"/>
  <c r="J3505" i="1"/>
  <c r="I3505" i="1"/>
  <c r="K3505" i="1" s="1"/>
  <c r="H3506" i="1" s="1"/>
  <c r="J3506" i="1" l="1"/>
  <c r="L3506" i="1"/>
  <c r="M3506" i="1" s="1"/>
  <c r="I3506" i="1"/>
  <c r="K3506" i="1" s="1"/>
  <c r="H3507" i="1" s="1"/>
  <c r="L3507" i="1" l="1"/>
  <c r="M3507" i="1" s="1"/>
  <c r="J3507" i="1"/>
  <c r="I3507" i="1"/>
  <c r="K3507" i="1" s="1"/>
  <c r="H3508" i="1" s="1"/>
  <c r="L3508" i="1" l="1"/>
  <c r="M3508" i="1" s="1"/>
  <c r="J3508" i="1"/>
  <c r="I3508" i="1"/>
  <c r="K3508" i="1" s="1"/>
  <c r="H3509" i="1" s="1"/>
  <c r="L3509" i="1" l="1"/>
  <c r="M3509" i="1" s="1"/>
  <c r="J3509" i="1"/>
  <c r="I3509" i="1"/>
  <c r="K3509" i="1" s="1"/>
  <c r="H3510" i="1" s="1"/>
  <c r="I3510" i="1" l="1"/>
  <c r="K3510" i="1" s="1"/>
  <c r="H3511" i="1" s="1"/>
  <c r="L3510" i="1"/>
  <c r="M3510" i="1" s="1"/>
  <c r="J3510" i="1"/>
  <c r="L3511" i="1" l="1"/>
  <c r="M3511" i="1" s="1"/>
  <c r="J3511" i="1"/>
  <c r="I3511" i="1"/>
  <c r="K3511" i="1" s="1"/>
  <c r="H3512" i="1" s="1"/>
  <c r="L3512" i="1" l="1"/>
  <c r="M3512" i="1" s="1"/>
  <c r="J3512" i="1"/>
  <c r="I3512" i="1"/>
  <c r="K3512" i="1" s="1"/>
  <c r="H3513" i="1" s="1"/>
  <c r="L3513" i="1" l="1"/>
  <c r="M3513" i="1" s="1"/>
  <c r="J3513" i="1"/>
  <c r="I3513" i="1"/>
  <c r="K3513" i="1" s="1"/>
  <c r="H3514" i="1" s="1"/>
  <c r="L3514" i="1" l="1"/>
  <c r="M3514" i="1" s="1"/>
  <c r="J3514" i="1"/>
  <c r="I3514" i="1"/>
  <c r="K3514" i="1" s="1"/>
  <c r="H3515" i="1" s="1"/>
  <c r="L3515" i="1" l="1"/>
  <c r="M3515" i="1" s="1"/>
  <c r="J3515" i="1"/>
  <c r="I3515" i="1"/>
  <c r="K3515" i="1" s="1"/>
  <c r="H3516" i="1" s="1"/>
  <c r="L3516" i="1" l="1"/>
  <c r="M3516" i="1" s="1"/>
  <c r="J3516" i="1"/>
  <c r="I3516" i="1"/>
  <c r="K3516" i="1" s="1"/>
  <c r="H3517" i="1" s="1"/>
  <c r="I3517" i="1" l="1"/>
  <c r="K3517" i="1" s="1"/>
  <c r="H3518" i="1" s="1"/>
  <c r="L3517" i="1"/>
  <c r="M3517" i="1" s="1"/>
  <c r="J3517" i="1"/>
  <c r="L3518" i="1" l="1"/>
  <c r="M3518" i="1" s="1"/>
  <c r="J3518" i="1"/>
  <c r="I3518" i="1"/>
  <c r="K3518" i="1" s="1"/>
  <c r="H3519" i="1" s="1"/>
  <c r="I3519" i="1" l="1"/>
  <c r="K3519" i="1" s="1"/>
  <c r="H3520" i="1" s="1"/>
  <c r="L3519" i="1"/>
  <c r="M3519" i="1" s="1"/>
  <c r="J3519" i="1"/>
  <c r="L3520" i="1" l="1"/>
  <c r="M3520" i="1" s="1"/>
  <c r="J3520" i="1"/>
  <c r="I3520" i="1"/>
  <c r="K3520" i="1" s="1"/>
  <c r="H3521" i="1" s="1"/>
  <c r="L3521" i="1" l="1"/>
  <c r="M3521" i="1" s="1"/>
  <c r="J3521" i="1"/>
  <c r="I3521" i="1"/>
  <c r="K3521" i="1" s="1"/>
  <c r="H3522" i="1" s="1"/>
  <c r="L3522" i="1" l="1"/>
  <c r="M3522" i="1" s="1"/>
  <c r="J3522" i="1"/>
  <c r="I3522" i="1"/>
  <c r="K3522" i="1" s="1"/>
  <c r="H3523" i="1" s="1"/>
  <c r="L3523" i="1" l="1"/>
  <c r="M3523" i="1" s="1"/>
  <c r="J3523" i="1"/>
  <c r="I3523" i="1"/>
  <c r="K3523" i="1" s="1"/>
  <c r="H3524" i="1" s="1"/>
  <c r="L3524" i="1" l="1"/>
  <c r="M3524" i="1" s="1"/>
  <c r="J3524" i="1"/>
  <c r="I3524" i="1"/>
  <c r="K3524" i="1" s="1"/>
  <c r="H3525" i="1" s="1"/>
  <c r="L3525" i="1" l="1"/>
  <c r="M3525" i="1" s="1"/>
  <c r="J3525" i="1"/>
  <c r="I3525" i="1"/>
  <c r="K3525" i="1" s="1"/>
  <c r="H3526" i="1" s="1"/>
  <c r="L3526" i="1" l="1"/>
  <c r="M3526" i="1" s="1"/>
  <c r="J3526" i="1"/>
  <c r="I3526" i="1"/>
  <c r="K3526" i="1" s="1"/>
  <c r="H3527" i="1" s="1"/>
  <c r="L3527" i="1" l="1"/>
  <c r="M3527" i="1" s="1"/>
  <c r="J3527" i="1"/>
  <c r="I3527" i="1"/>
  <c r="K3527" i="1" s="1"/>
  <c r="H3528" i="1" s="1"/>
  <c r="L3528" i="1" l="1"/>
  <c r="M3528" i="1" s="1"/>
  <c r="I3528" i="1"/>
  <c r="K3528" i="1" s="1"/>
  <c r="H3529" i="1" s="1"/>
  <c r="J3528" i="1"/>
  <c r="L3529" i="1" l="1"/>
  <c r="M3529" i="1" s="1"/>
  <c r="J3529" i="1"/>
  <c r="I3529" i="1"/>
  <c r="K3529" i="1" s="1"/>
  <c r="H3530" i="1" s="1"/>
  <c r="J3530" i="1" l="1"/>
  <c r="L3530" i="1"/>
  <c r="M3530" i="1" s="1"/>
  <c r="I3530" i="1"/>
  <c r="K3530" i="1" s="1"/>
  <c r="H3531" i="1" s="1"/>
  <c r="L3531" i="1" l="1"/>
  <c r="M3531" i="1" s="1"/>
  <c r="J3531" i="1"/>
  <c r="I3531" i="1"/>
  <c r="K3531" i="1" s="1"/>
  <c r="H3532" i="1" s="1"/>
  <c r="L3532" i="1" l="1"/>
  <c r="M3532" i="1" s="1"/>
  <c r="I3532" i="1"/>
  <c r="K3532" i="1" s="1"/>
  <c r="H3533" i="1" s="1"/>
  <c r="J3532" i="1"/>
  <c r="L3533" i="1" l="1"/>
  <c r="M3533" i="1" s="1"/>
  <c r="J3533" i="1"/>
  <c r="I3533" i="1"/>
  <c r="K3533" i="1" s="1"/>
  <c r="H3534" i="1" s="1"/>
  <c r="L3534" i="1" l="1"/>
  <c r="M3534" i="1" s="1"/>
  <c r="J3534" i="1"/>
  <c r="I3534" i="1"/>
  <c r="K3534" i="1" s="1"/>
  <c r="H3535" i="1" s="1"/>
  <c r="L3535" i="1" l="1"/>
  <c r="M3535" i="1" s="1"/>
  <c r="J3535" i="1"/>
  <c r="I3535" i="1"/>
  <c r="K3535" i="1" s="1"/>
  <c r="H3536" i="1" s="1"/>
  <c r="L3536" i="1" l="1"/>
  <c r="M3536" i="1" s="1"/>
  <c r="J3536" i="1"/>
  <c r="I3536" i="1"/>
  <c r="K3536" i="1" s="1"/>
  <c r="H3537" i="1" s="1"/>
  <c r="L3537" i="1" l="1"/>
  <c r="M3537" i="1" s="1"/>
  <c r="J3537" i="1"/>
  <c r="I3537" i="1"/>
  <c r="K3537" i="1" s="1"/>
  <c r="H3538" i="1" s="1"/>
  <c r="L3538" i="1" l="1"/>
  <c r="M3538" i="1" s="1"/>
  <c r="J3538" i="1"/>
  <c r="I3538" i="1"/>
  <c r="K3538" i="1" s="1"/>
  <c r="H3539" i="1" s="1"/>
  <c r="L3539" i="1" l="1"/>
  <c r="M3539" i="1" s="1"/>
  <c r="J3539" i="1"/>
  <c r="I3539" i="1"/>
  <c r="K3539" i="1" s="1"/>
  <c r="H3540" i="1" s="1"/>
  <c r="L3540" i="1" l="1"/>
  <c r="M3540" i="1" s="1"/>
  <c r="J3540" i="1"/>
  <c r="I3540" i="1"/>
  <c r="K3540" i="1" s="1"/>
  <c r="H3541" i="1" s="1"/>
  <c r="L3541" i="1" l="1"/>
  <c r="M3541" i="1" s="1"/>
  <c r="J3541" i="1"/>
  <c r="I3541" i="1"/>
  <c r="K3541" i="1" s="1"/>
  <c r="H3542" i="1" s="1"/>
  <c r="L3542" i="1" l="1"/>
  <c r="M3542" i="1" s="1"/>
  <c r="J3542" i="1"/>
  <c r="I3542" i="1"/>
  <c r="K3542" i="1" s="1"/>
  <c r="H3543" i="1" s="1"/>
  <c r="L3543" i="1" l="1"/>
  <c r="M3543" i="1" s="1"/>
  <c r="J3543" i="1"/>
  <c r="I3543" i="1"/>
  <c r="K3543" i="1" s="1"/>
  <c r="H3544" i="1" s="1"/>
  <c r="L3544" i="1" l="1"/>
  <c r="M3544" i="1" s="1"/>
  <c r="J3544" i="1"/>
  <c r="I3544" i="1"/>
  <c r="K3544" i="1" s="1"/>
  <c r="H3545" i="1" s="1"/>
  <c r="L3545" i="1" l="1"/>
  <c r="M3545" i="1" s="1"/>
  <c r="J3545" i="1"/>
  <c r="I3545" i="1"/>
  <c r="K3545" i="1" s="1"/>
  <c r="H3546" i="1" s="1"/>
  <c r="L3546" i="1" l="1"/>
  <c r="M3546" i="1" s="1"/>
  <c r="J3546" i="1"/>
  <c r="I3546" i="1"/>
  <c r="K3546" i="1" s="1"/>
  <c r="H3547" i="1" s="1"/>
  <c r="L3547" i="1" l="1"/>
  <c r="M3547" i="1" s="1"/>
  <c r="I3547" i="1"/>
  <c r="K3547" i="1" s="1"/>
  <c r="H3548" i="1" s="1"/>
  <c r="J3547" i="1"/>
  <c r="L3548" i="1" l="1"/>
  <c r="M3548" i="1" s="1"/>
  <c r="J3548" i="1"/>
  <c r="I3548" i="1"/>
  <c r="K3548" i="1" s="1"/>
  <c r="H3549" i="1" s="1"/>
  <c r="L3549" i="1" l="1"/>
  <c r="M3549" i="1" s="1"/>
  <c r="I3549" i="1"/>
  <c r="K3549" i="1" s="1"/>
  <c r="H3550" i="1" s="1"/>
  <c r="J3549" i="1"/>
  <c r="L3550" i="1" l="1"/>
  <c r="M3550" i="1" s="1"/>
  <c r="J3550" i="1"/>
  <c r="I3550" i="1"/>
  <c r="K3550" i="1" s="1"/>
  <c r="H3551" i="1" s="1"/>
  <c r="L3551" i="1" l="1"/>
  <c r="M3551" i="1" s="1"/>
  <c r="J3551" i="1"/>
  <c r="I3551" i="1"/>
  <c r="K3551" i="1" s="1"/>
  <c r="H3552" i="1" s="1"/>
  <c r="L3552" i="1" l="1"/>
  <c r="M3552" i="1" s="1"/>
  <c r="J3552" i="1"/>
  <c r="I3552" i="1"/>
  <c r="K3552" i="1" s="1"/>
  <c r="H3553" i="1" s="1"/>
  <c r="L3553" i="1" l="1"/>
  <c r="M3553" i="1" s="1"/>
  <c r="J3553" i="1"/>
  <c r="I3553" i="1"/>
  <c r="K3553" i="1" s="1"/>
  <c r="H3554" i="1" s="1"/>
  <c r="L3554" i="1" l="1"/>
  <c r="M3554" i="1" s="1"/>
  <c r="J3554" i="1"/>
  <c r="I3554" i="1"/>
  <c r="K3554" i="1" s="1"/>
  <c r="H3555" i="1" s="1"/>
  <c r="L3555" i="1" l="1"/>
  <c r="M3555" i="1" s="1"/>
  <c r="J3555" i="1"/>
  <c r="I3555" i="1"/>
  <c r="K3555" i="1" s="1"/>
  <c r="H3556" i="1" s="1"/>
  <c r="L3556" i="1" l="1"/>
  <c r="M3556" i="1" s="1"/>
  <c r="J3556" i="1"/>
  <c r="I3556" i="1"/>
  <c r="K3556" i="1" s="1"/>
  <c r="H3557" i="1" s="1"/>
  <c r="J3557" i="1" l="1"/>
  <c r="I3557" i="1"/>
  <c r="K3557" i="1" s="1"/>
  <c r="H3558" i="1" s="1"/>
  <c r="L3557" i="1"/>
  <c r="M3557" i="1" s="1"/>
  <c r="L3558" i="1" l="1"/>
  <c r="M3558" i="1" s="1"/>
  <c r="J3558" i="1"/>
  <c r="I3558" i="1"/>
  <c r="K3558" i="1" s="1"/>
  <c r="H3559" i="1" s="1"/>
  <c r="L3559" i="1" l="1"/>
  <c r="M3559" i="1" s="1"/>
  <c r="J3559" i="1"/>
  <c r="I3559" i="1"/>
  <c r="K3559" i="1" s="1"/>
  <c r="H3560" i="1" s="1"/>
  <c r="L3560" i="1" l="1"/>
  <c r="M3560" i="1" s="1"/>
  <c r="I3560" i="1"/>
  <c r="K3560" i="1" s="1"/>
  <c r="H3561" i="1" s="1"/>
  <c r="J3560" i="1"/>
  <c r="L3561" i="1" l="1"/>
  <c r="M3561" i="1" s="1"/>
  <c r="J3561" i="1"/>
  <c r="I3561" i="1"/>
  <c r="K3561" i="1" s="1"/>
  <c r="H3562" i="1" s="1"/>
  <c r="L3562" i="1" l="1"/>
  <c r="M3562" i="1" s="1"/>
  <c r="J3562" i="1"/>
  <c r="I3562" i="1"/>
  <c r="K3562" i="1" s="1"/>
  <c r="H3563" i="1" s="1"/>
  <c r="L3563" i="1" l="1"/>
  <c r="M3563" i="1" s="1"/>
  <c r="J3563" i="1"/>
  <c r="I3563" i="1"/>
  <c r="K3563" i="1" s="1"/>
  <c r="H3564" i="1" s="1"/>
  <c r="L3564" i="1" l="1"/>
  <c r="M3564" i="1" s="1"/>
  <c r="J3564" i="1"/>
  <c r="I3564" i="1"/>
  <c r="K3564" i="1" s="1"/>
  <c r="H3565" i="1" s="1"/>
  <c r="J3565" i="1" l="1"/>
  <c r="I3565" i="1"/>
  <c r="K3565" i="1" s="1"/>
  <c r="H3566" i="1" s="1"/>
  <c r="L3565" i="1"/>
  <c r="M3565" i="1" s="1"/>
  <c r="L3566" i="1" l="1"/>
  <c r="M3566" i="1" s="1"/>
  <c r="J3566" i="1"/>
  <c r="I3566" i="1"/>
  <c r="K3566" i="1" s="1"/>
  <c r="H3567" i="1" s="1"/>
  <c r="L3567" i="1" l="1"/>
  <c r="M3567" i="1" s="1"/>
  <c r="J3567" i="1"/>
  <c r="I3567" i="1"/>
  <c r="K3567" i="1" s="1"/>
  <c r="H3568" i="1" s="1"/>
  <c r="L3568" i="1" l="1"/>
  <c r="M3568" i="1" s="1"/>
  <c r="I3568" i="1"/>
  <c r="K3568" i="1" s="1"/>
  <c r="H3569" i="1" s="1"/>
  <c r="J3568" i="1"/>
  <c r="L3569" i="1" l="1"/>
  <c r="M3569" i="1" s="1"/>
  <c r="J3569" i="1"/>
  <c r="I3569" i="1"/>
  <c r="K3569" i="1" s="1"/>
  <c r="H3570" i="1" s="1"/>
  <c r="L3570" i="1" l="1"/>
  <c r="M3570" i="1" s="1"/>
  <c r="J3570" i="1"/>
  <c r="I3570" i="1"/>
  <c r="K3570" i="1" s="1"/>
  <c r="H3571" i="1" s="1"/>
  <c r="L3571" i="1" l="1"/>
  <c r="M3571" i="1" s="1"/>
  <c r="J3571" i="1"/>
  <c r="I3571" i="1"/>
  <c r="K3571" i="1" s="1"/>
  <c r="H3572" i="1" s="1"/>
  <c r="L3572" i="1" l="1"/>
  <c r="M3572" i="1" s="1"/>
  <c r="J3572" i="1"/>
  <c r="I3572" i="1"/>
  <c r="K3572" i="1" s="1"/>
  <c r="H3573" i="1" s="1"/>
  <c r="L3573" i="1" l="1"/>
  <c r="M3573" i="1" s="1"/>
  <c r="J3573" i="1"/>
  <c r="I3573" i="1"/>
  <c r="K3573" i="1" s="1"/>
  <c r="H3574" i="1" s="1"/>
  <c r="L3574" i="1" l="1"/>
  <c r="M3574" i="1" s="1"/>
  <c r="J3574" i="1"/>
  <c r="I3574" i="1"/>
  <c r="K3574" i="1" s="1"/>
  <c r="H3575" i="1" s="1"/>
  <c r="L3575" i="1" l="1"/>
  <c r="M3575" i="1" s="1"/>
  <c r="J3575" i="1"/>
  <c r="I3575" i="1"/>
  <c r="K3575" i="1" s="1"/>
  <c r="H3576" i="1" s="1"/>
  <c r="L3576" i="1" l="1"/>
  <c r="M3576" i="1" s="1"/>
  <c r="I3576" i="1"/>
  <c r="K3576" i="1" s="1"/>
  <c r="H3577" i="1" s="1"/>
  <c r="J3576" i="1"/>
  <c r="L3577" i="1" l="1"/>
  <c r="M3577" i="1" s="1"/>
  <c r="J3577" i="1"/>
  <c r="I3577" i="1"/>
  <c r="K3577" i="1" s="1"/>
  <c r="H3578" i="1" s="1"/>
  <c r="L3578" i="1" l="1"/>
  <c r="M3578" i="1" s="1"/>
  <c r="J3578" i="1"/>
  <c r="I3578" i="1"/>
  <c r="K3578" i="1" s="1"/>
  <c r="H3579" i="1" s="1"/>
  <c r="L3579" i="1" l="1"/>
  <c r="M3579" i="1" s="1"/>
  <c r="I3579" i="1"/>
  <c r="K3579" i="1" s="1"/>
  <c r="H3580" i="1" s="1"/>
  <c r="J3579" i="1"/>
  <c r="L3580" i="1" l="1"/>
  <c r="M3580" i="1" s="1"/>
  <c r="J3580" i="1"/>
  <c r="I3580" i="1"/>
  <c r="K3580" i="1" s="1"/>
  <c r="H3581" i="1" s="1"/>
  <c r="L3581" i="1" l="1"/>
  <c r="M3581" i="1" s="1"/>
  <c r="I3581" i="1"/>
  <c r="K3581" i="1" s="1"/>
  <c r="H3582" i="1" s="1"/>
  <c r="J3581" i="1"/>
  <c r="L3582" i="1" l="1"/>
  <c r="M3582" i="1" s="1"/>
  <c r="I3582" i="1"/>
  <c r="K3582" i="1" s="1"/>
  <c r="H3583" i="1" s="1"/>
  <c r="J3582" i="1"/>
  <c r="L3583" i="1" l="1"/>
  <c r="M3583" i="1" s="1"/>
  <c r="J3583" i="1"/>
  <c r="I3583" i="1"/>
  <c r="K3583" i="1" s="1"/>
  <c r="H3584" i="1" s="1"/>
  <c r="L3584" i="1" l="1"/>
  <c r="M3584" i="1" s="1"/>
  <c r="J3584" i="1"/>
  <c r="I3584" i="1"/>
  <c r="K3584" i="1" s="1"/>
  <c r="H3585" i="1" s="1"/>
  <c r="L3585" i="1" l="1"/>
  <c r="M3585" i="1" s="1"/>
  <c r="J3585" i="1"/>
  <c r="I3585" i="1"/>
  <c r="K3585" i="1" s="1"/>
  <c r="H3586" i="1" s="1"/>
  <c r="L3586" i="1" l="1"/>
  <c r="M3586" i="1" s="1"/>
  <c r="J3586" i="1"/>
  <c r="I3586" i="1"/>
  <c r="K3586" i="1" s="1"/>
  <c r="H3587" i="1" s="1"/>
  <c r="L3587" i="1" l="1"/>
  <c r="M3587" i="1" s="1"/>
  <c r="J3587" i="1"/>
  <c r="I3587" i="1"/>
  <c r="K3587" i="1" s="1"/>
  <c r="H3588" i="1" s="1"/>
  <c r="L3588" i="1" l="1"/>
  <c r="M3588" i="1" s="1"/>
  <c r="I3588" i="1"/>
  <c r="K3588" i="1" s="1"/>
  <c r="H3589" i="1" s="1"/>
  <c r="J3588" i="1"/>
  <c r="L3589" i="1" l="1"/>
  <c r="M3589" i="1" s="1"/>
  <c r="J3589" i="1"/>
  <c r="I3589" i="1"/>
  <c r="K3589" i="1" s="1"/>
  <c r="H3590" i="1" s="1"/>
  <c r="L3590" i="1" l="1"/>
  <c r="M3590" i="1" s="1"/>
  <c r="I3590" i="1"/>
  <c r="K3590" i="1" s="1"/>
  <c r="H3591" i="1" s="1"/>
  <c r="J3590" i="1"/>
  <c r="L3591" i="1" l="1"/>
  <c r="M3591" i="1" s="1"/>
  <c r="J3591" i="1"/>
  <c r="I3591" i="1"/>
  <c r="K3591" i="1" s="1"/>
  <c r="H3592" i="1" s="1"/>
  <c r="L3592" i="1" l="1"/>
  <c r="M3592" i="1" s="1"/>
  <c r="J3592" i="1"/>
  <c r="I3592" i="1"/>
  <c r="K3592" i="1" s="1"/>
  <c r="H3593" i="1" s="1"/>
  <c r="L3593" i="1" l="1"/>
  <c r="M3593" i="1" s="1"/>
  <c r="J3593" i="1"/>
  <c r="I3593" i="1"/>
  <c r="K3593" i="1" s="1"/>
  <c r="H3594" i="1" s="1"/>
  <c r="L3594" i="1" l="1"/>
  <c r="M3594" i="1" s="1"/>
  <c r="J3594" i="1"/>
  <c r="I3594" i="1"/>
  <c r="K3594" i="1" s="1"/>
  <c r="H3595" i="1" s="1"/>
  <c r="L3595" i="1" l="1"/>
  <c r="M3595" i="1" s="1"/>
  <c r="J3595" i="1"/>
  <c r="I3595" i="1"/>
  <c r="K3595" i="1" s="1"/>
  <c r="H3596" i="1" s="1"/>
  <c r="L3596" i="1" l="1"/>
  <c r="M3596" i="1" s="1"/>
  <c r="J3596" i="1"/>
  <c r="I3596" i="1"/>
  <c r="K3596" i="1" s="1"/>
  <c r="H3597" i="1" s="1"/>
  <c r="L3597" i="1" l="1"/>
  <c r="M3597" i="1" s="1"/>
  <c r="I3597" i="1"/>
  <c r="K3597" i="1" s="1"/>
  <c r="H3598" i="1" s="1"/>
  <c r="J3597" i="1"/>
  <c r="L3598" i="1" l="1"/>
  <c r="M3598" i="1" s="1"/>
  <c r="J3598" i="1"/>
  <c r="I3598" i="1"/>
  <c r="K3598" i="1" s="1"/>
  <c r="H3599" i="1" s="1"/>
  <c r="L3599" i="1" l="1"/>
  <c r="M3599" i="1" s="1"/>
  <c r="J3599" i="1"/>
  <c r="I3599" i="1"/>
  <c r="K3599" i="1" s="1"/>
  <c r="H3600" i="1" s="1"/>
  <c r="L3600" i="1" l="1"/>
  <c r="M3600" i="1" s="1"/>
  <c r="J3600" i="1"/>
  <c r="I3600" i="1"/>
  <c r="K3600" i="1" s="1"/>
  <c r="H3601" i="1" s="1"/>
  <c r="L3601" i="1" l="1"/>
  <c r="M3601" i="1" s="1"/>
  <c r="J3601" i="1"/>
  <c r="I3601" i="1"/>
  <c r="K3601" i="1" s="1"/>
  <c r="H3602" i="1" s="1"/>
  <c r="L3602" i="1" l="1"/>
  <c r="M3602" i="1" s="1"/>
  <c r="J3602" i="1"/>
  <c r="I3602" i="1"/>
  <c r="K3602" i="1" s="1"/>
  <c r="H3603" i="1" s="1"/>
  <c r="L3603" i="1" l="1"/>
  <c r="M3603" i="1" s="1"/>
  <c r="J3603" i="1"/>
  <c r="I3603" i="1"/>
  <c r="K3603" i="1" s="1"/>
  <c r="H3604" i="1" s="1"/>
  <c r="L3604" i="1" l="1"/>
  <c r="M3604" i="1" s="1"/>
  <c r="J3604" i="1"/>
  <c r="I3604" i="1"/>
  <c r="K3604" i="1" s="1"/>
  <c r="H3605" i="1" s="1"/>
  <c r="L3605" i="1" l="1"/>
  <c r="M3605" i="1" s="1"/>
  <c r="J3605" i="1"/>
  <c r="I3605" i="1"/>
  <c r="K3605" i="1" s="1"/>
  <c r="H3606" i="1" s="1"/>
  <c r="L3606" i="1" l="1"/>
  <c r="M3606" i="1" s="1"/>
  <c r="I3606" i="1"/>
  <c r="K3606" i="1" s="1"/>
  <c r="H3607" i="1" s="1"/>
  <c r="J3606" i="1"/>
  <c r="L3607" i="1" l="1"/>
  <c r="M3607" i="1" s="1"/>
  <c r="I3607" i="1"/>
  <c r="K3607" i="1" s="1"/>
  <c r="H3608" i="1" s="1"/>
  <c r="J3607" i="1"/>
  <c r="L3608" i="1" l="1"/>
  <c r="M3608" i="1" s="1"/>
  <c r="I3608" i="1"/>
  <c r="K3608" i="1" s="1"/>
  <c r="H3609" i="1" s="1"/>
  <c r="J3608" i="1"/>
  <c r="L3609" i="1" l="1"/>
  <c r="M3609" i="1" s="1"/>
  <c r="J3609" i="1"/>
  <c r="I3609" i="1"/>
  <c r="K3609" i="1" s="1"/>
  <c r="H3610" i="1" s="1"/>
  <c r="L3610" i="1" l="1"/>
  <c r="M3610" i="1" s="1"/>
  <c r="J3610" i="1"/>
  <c r="I3610" i="1"/>
  <c r="K3610" i="1" s="1"/>
  <c r="H3611" i="1" s="1"/>
  <c r="L3611" i="1" l="1"/>
  <c r="M3611" i="1" s="1"/>
  <c r="J3611" i="1"/>
  <c r="I3611" i="1"/>
  <c r="K3611" i="1" s="1"/>
  <c r="H3612" i="1" s="1"/>
  <c r="L3612" i="1" l="1"/>
  <c r="M3612" i="1" s="1"/>
  <c r="J3612" i="1"/>
  <c r="I3612" i="1"/>
  <c r="K3612" i="1" s="1"/>
  <c r="H3613" i="1" s="1"/>
  <c r="L3613" i="1" l="1"/>
  <c r="M3613" i="1" s="1"/>
  <c r="J3613" i="1"/>
  <c r="I3613" i="1"/>
  <c r="K3613" i="1" s="1"/>
  <c r="H3614" i="1" s="1"/>
  <c r="L3614" i="1" l="1"/>
  <c r="M3614" i="1" s="1"/>
  <c r="J3614" i="1"/>
  <c r="I3614" i="1"/>
  <c r="K3614" i="1" s="1"/>
  <c r="H3615" i="1" s="1"/>
  <c r="L3615" i="1" l="1"/>
  <c r="M3615" i="1" s="1"/>
  <c r="J3615" i="1"/>
  <c r="I3615" i="1"/>
  <c r="K3615" i="1" s="1"/>
  <c r="H3616" i="1" s="1"/>
  <c r="L3616" i="1" l="1"/>
  <c r="M3616" i="1" s="1"/>
  <c r="J3616" i="1"/>
  <c r="I3616" i="1"/>
  <c r="K3616" i="1" s="1"/>
  <c r="H3617" i="1" s="1"/>
  <c r="L3617" i="1" l="1"/>
  <c r="M3617" i="1" s="1"/>
  <c r="I3617" i="1"/>
  <c r="K3617" i="1" s="1"/>
  <c r="H3618" i="1" s="1"/>
  <c r="J3617" i="1"/>
  <c r="L3618" i="1" l="1"/>
  <c r="M3618" i="1" s="1"/>
  <c r="J3618" i="1"/>
  <c r="I3618" i="1"/>
  <c r="K3618" i="1" s="1"/>
  <c r="H3619" i="1" s="1"/>
  <c r="L3619" i="1" l="1"/>
  <c r="M3619" i="1" s="1"/>
  <c r="J3619" i="1"/>
  <c r="I3619" i="1"/>
  <c r="K3619" i="1" s="1"/>
  <c r="H3620" i="1" s="1"/>
  <c r="L3620" i="1" l="1"/>
  <c r="M3620" i="1" s="1"/>
  <c r="J3620" i="1"/>
  <c r="I3620" i="1"/>
  <c r="K3620" i="1" s="1"/>
  <c r="H3621" i="1" s="1"/>
  <c r="L3621" i="1" l="1"/>
  <c r="M3621" i="1" s="1"/>
  <c r="J3621" i="1"/>
  <c r="I3621" i="1"/>
  <c r="K3621" i="1" s="1"/>
  <c r="H3622" i="1" s="1"/>
  <c r="L3622" i="1" l="1"/>
  <c r="M3622" i="1" s="1"/>
  <c r="J3622" i="1"/>
  <c r="I3622" i="1"/>
  <c r="K3622" i="1" s="1"/>
  <c r="H3623" i="1" s="1"/>
  <c r="L3623" i="1" l="1"/>
  <c r="M3623" i="1" s="1"/>
  <c r="I3623" i="1"/>
  <c r="K3623" i="1" s="1"/>
  <c r="H3624" i="1" s="1"/>
  <c r="J3623" i="1"/>
  <c r="L3624" i="1" l="1"/>
  <c r="M3624" i="1" s="1"/>
  <c r="J3624" i="1"/>
  <c r="I3624" i="1"/>
  <c r="K3624" i="1" s="1"/>
  <c r="H3625" i="1" s="1"/>
  <c r="L3625" i="1" l="1"/>
  <c r="M3625" i="1" s="1"/>
  <c r="J3625" i="1"/>
  <c r="I3625" i="1"/>
  <c r="K3625" i="1" s="1"/>
  <c r="H3626" i="1" s="1"/>
  <c r="L3626" i="1" l="1"/>
  <c r="M3626" i="1" s="1"/>
  <c r="I3626" i="1"/>
  <c r="K3626" i="1" s="1"/>
  <c r="H3627" i="1" s="1"/>
  <c r="J3626" i="1"/>
  <c r="L3627" i="1" l="1"/>
  <c r="M3627" i="1" s="1"/>
  <c r="J3627" i="1"/>
  <c r="I3627" i="1"/>
  <c r="K3627" i="1" s="1"/>
  <c r="H3628" i="1" s="1"/>
  <c r="L3628" i="1" l="1"/>
  <c r="M3628" i="1" s="1"/>
  <c r="J3628" i="1"/>
  <c r="I3628" i="1"/>
  <c r="K3628" i="1" s="1"/>
  <c r="H3629" i="1" s="1"/>
  <c r="L3629" i="1" l="1"/>
  <c r="M3629" i="1" s="1"/>
  <c r="J3629" i="1"/>
  <c r="I3629" i="1"/>
  <c r="K3629" i="1" s="1"/>
  <c r="H3630" i="1" s="1"/>
  <c r="L3630" i="1" l="1"/>
  <c r="M3630" i="1" s="1"/>
  <c r="J3630" i="1"/>
  <c r="I3630" i="1"/>
  <c r="K3630" i="1" s="1"/>
  <c r="H3631" i="1" s="1"/>
  <c r="L3631" i="1" l="1"/>
  <c r="M3631" i="1" s="1"/>
  <c r="I3631" i="1"/>
  <c r="K3631" i="1" s="1"/>
  <c r="H3632" i="1" s="1"/>
  <c r="J3631" i="1"/>
  <c r="L3632" i="1" l="1"/>
  <c r="M3632" i="1" s="1"/>
  <c r="I3632" i="1"/>
  <c r="K3632" i="1" s="1"/>
  <c r="H3633" i="1" s="1"/>
  <c r="J3632" i="1"/>
  <c r="L3633" i="1" l="1"/>
  <c r="M3633" i="1" s="1"/>
  <c r="J3633" i="1"/>
  <c r="I3633" i="1"/>
  <c r="K3633" i="1" s="1"/>
  <c r="H3634" i="1" s="1"/>
  <c r="L3634" i="1" l="1"/>
  <c r="M3634" i="1" s="1"/>
  <c r="J3634" i="1"/>
  <c r="I3634" i="1"/>
  <c r="K3634" i="1" s="1"/>
  <c r="H3635" i="1" s="1"/>
  <c r="L3635" i="1" l="1"/>
  <c r="M3635" i="1" s="1"/>
  <c r="J3635" i="1"/>
  <c r="I3635" i="1"/>
  <c r="K3635" i="1" s="1"/>
  <c r="H3636" i="1" s="1"/>
  <c r="L3636" i="1" l="1"/>
  <c r="M3636" i="1" s="1"/>
  <c r="I3636" i="1"/>
  <c r="K3636" i="1" s="1"/>
  <c r="H3637" i="1" s="1"/>
  <c r="J3636" i="1"/>
  <c r="L3637" i="1" l="1"/>
  <c r="M3637" i="1" s="1"/>
  <c r="J3637" i="1"/>
  <c r="I3637" i="1"/>
  <c r="K3637" i="1" s="1"/>
  <c r="H3638" i="1" s="1"/>
  <c r="L3638" i="1" l="1"/>
  <c r="M3638" i="1" s="1"/>
  <c r="J3638" i="1"/>
  <c r="I3638" i="1"/>
  <c r="K3638" i="1" s="1"/>
  <c r="H3639" i="1" s="1"/>
  <c r="L3639" i="1" l="1"/>
  <c r="M3639" i="1" s="1"/>
  <c r="J3639" i="1"/>
  <c r="I3639" i="1"/>
  <c r="K3639" i="1" s="1"/>
  <c r="H3640" i="1" s="1"/>
  <c r="L3640" i="1" l="1"/>
  <c r="M3640" i="1" s="1"/>
  <c r="J3640" i="1"/>
  <c r="I3640" i="1"/>
  <c r="K3640" i="1" s="1"/>
  <c r="H3641" i="1" s="1"/>
  <c r="L3641" i="1" l="1"/>
  <c r="M3641" i="1" s="1"/>
  <c r="J3641" i="1"/>
  <c r="I3641" i="1"/>
  <c r="K3641" i="1" s="1"/>
  <c r="H3642" i="1" s="1"/>
  <c r="L3642" i="1" l="1"/>
  <c r="J3642" i="1"/>
  <c r="I3642" i="1"/>
  <c r="K3642" i="1" s="1"/>
  <c r="O10" i="3"/>
  <c r="R16" i="3" s="1"/>
  <c r="S16" i="3" s="1"/>
  <c r="T16" i="3" s="1"/>
  <c r="M3642" i="1" l="1"/>
  <c r="S7" i="3"/>
  <c r="T7" i="3" s="1"/>
  <c r="S8" i="3"/>
  <c r="T8" i="3" s="1"/>
  <c r="M14" i="3" s="1"/>
  <c r="N14" i="3" s="1"/>
  <c r="S10" i="3"/>
  <c r="S9" i="3"/>
  <c r="T9" i="3" s="1"/>
  <c r="T10" i="3" l="1"/>
  <c r="R14" i="3"/>
  <c r="S14" i="3" l="1"/>
  <c r="R18" i="3"/>
  <c r="T14" i="3" l="1"/>
  <c r="T18" i="3" s="1"/>
  <c r="K14" i="3" s="1"/>
  <c r="S1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kec4</author>
  </authors>
  <commentList>
    <comment ref="F5" authorId="0" shapeId="0" xr:uid="{00000000-0006-0000-0200-000001000000}">
      <text>
        <r>
          <rPr>
            <sz val="12"/>
            <color rgb="FF000000"/>
            <rFont val="Tahoma"/>
            <family val="2"/>
          </rPr>
          <t>Enter a time of day between the bounds specified on the "Enter Parameters" sheet.</t>
        </r>
      </text>
    </comment>
    <comment ref="G5" authorId="0" shapeId="0" xr:uid="{00000000-0006-0000-0200-000002000000}">
      <text>
        <r>
          <rPr>
            <sz val="12"/>
            <color rgb="FF000000"/>
            <rFont val="Tahoma"/>
            <family val="2"/>
          </rPr>
          <t>Enter an amount less than or equal to the ATM_Cash_Limit that is divisible by $20.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Kathryn Elizabeth Caggiano</author>
  </authors>
  <commentList>
    <comment ref="B5" authorId="0" shapeId="0" xr:uid="{00000000-0006-0000-0300-000001000000}">
      <text>
        <r>
          <rPr>
            <b/>
            <u/>
            <sz val="11"/>
            <color rgb="FF000000"/>
            <rFont val="Tahoma"/>
            <family val="2"/>
          </rPr>
          <t>WARNING</t>
        </r>
        <r>
          <rPr>
            <sz val="11"/>
            <color rgb="FF000000"/>
            <rFont val="Tahoma"/>
            <family val="2"/>
          </rPr>
          <t xml:space="preserve">: TRANSACTIONS MUST REMAIN IN </t>
        </r>
        <r>
          <rPr>
            <u/>
            <sz val="11"/>
            <color rgb="FF000000"/>
            <rFont val="Tahoma"/>
            <family val="2"/>
          </rPr>
          <t>CHRONOLOGICAL ORDER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28A53B-CF38-4B48-9662-177E3A8ADBE2}" keepAlive="1" name="Query - ATM Transaction Query(1)" description="Connection to the 'ATM Transaction Query' query in the workbook." type="5" refreshedVersion="6" saveData="1">
    <dbPr connection="Provider=Microsoft.Mashup.OleDb.1;Data Source=$Workbook$;Location=ATM Transaction Query;Extended Properties=&quot;&quot;" command="SELECT * FROM [ATM Transaction 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<sst xmlns="http://schemas.openxmlformats.org/spreadsheetml/2006/main" count="22080" uniqueCount="2848">
  <si>
    <t>Timestamp</t>
  </si>
  <si>
    <t>Account</t>
  </si>
  <si>
    <t>Amount</t>
  </si>
  <si>
    <t>Transaction Type</t>
  </si>
  <si>
    <t>Transaction Fee</t>
  </si>
  <si>
    <t>Day of Week</t>
  </si>
  <si>
    <t>Sunday</t>
  </si>
  <si>
    <t>Monday</t>
  </si>
  <si>
    <t>Tuesday</t>
  </si>
  <si>
    <t>Wednesday</t>
  </si>
  <si>
    <t>Thursday</t>
  </si>
  <si>
    <t>Friday</t>
  </si>
  <si>
    <t>Saturday</t>
  </si>
  <si>
    <t>Withdrawal</t>
  </si>
  <si>
    <t>External</t>
  </si>
  <si>
    <t>Cash Advance</t>
  </si>
  <si>
    <t>Time of Day</t>
  </si>
  <si>
    <t>X</t>
  </si>
  <si>
    <t xml:space="preserve">Replenishment Amount </t>
  </si>
  <si>
    <t>Cash Withdrawn</t>
  </si>
  <si>
    <t>Cash Requested</t>
  </si>
  <si>
    <t>ATM Hours</t>
  </si>
  <si>
    <t>FCI % of Total</t>
  </si>
  <si>
    <t>Transaction Fees</t>
  </si>
  <si>
    <t>ATM Cash Replenishment Analysis</t>
  </si>
  <si>
    <t>ATM Cash Available Before Transaction</t>
  </si>
  <si>
    <t>ATM Cash Available After Transaction</t>
  </si>
  <si>
    <t>Transaction Fees Collected</t>
  </si>
  <si>
    <t>Lost Transaction Fees</t>
  </si>
  <si>
    <t>Failed Cash Transaction</t>
  </si>
  <si>
    <t>Number of Transactions</t>
  </si>
  <si>
    <t>Marginal Income Tax Rate:</t>
  </si>
  <si>
    <t>5-Year MACRS Depreciation Schedule (w/ half-year convention)</t>
  </si>
  <si>
    <t>Year 1</t>
  </si>
  <si>
    <t>Year 2</t>
  </si>
  <si>
    <t>Year 3</t>
  </si>
  <si>
    <t>Year 4</t>
  </si>
  <si>
    <t>Year 5</t>
  </si>
  <si>
    <t>Year 6</t>
  </si>
  <si>
    <t>Operating Activities:</t>
  </si>
  <si>
    <t>Investing Activities:</t>
  </si>
  <si>
    <t>After-Tax Net Cash Flows</t>
  </si>
  <si>
    <t>ATM Purchase</t>
  </si>
  <si>
    <t xml:space="preserve">Low </t>
  </si>
  <si>
    <t>Medium</t>
  </si>
  <si>
    <t>High</t>
  </si>
  <si>
    <t>Lower Threshold For Annual Transaction Volume:</t>
  </si>
  <si>
    <t xml:space="preserve">ATM Maintenance and Repair Costs </t>
  </si>
  <si>
    <t>Maintenance and Repair Expenses</t>
  </si>
  <si>
    <t>AEW Cost of Ownership:</t>
  </si>
  <si>
    <t>Transaction Period EW Cost of Ownership:</t>
  </si>
  <si>
    <t>After-Tax Estimates</t>
  </si>
  <si>
    <t>Before-Tax Estimates</t>
  </si>
  <si>
    <t>ATM Replenishment Time</t>
  </si>
  <si>
    <t>ATM Replenishment Amount</t>
  </si>
  <si>
    <t>ATM Replenishment Day</t>
  </si>
  <si>
    <t>ATM Replenishment Time of Day</t>
  </si>
  <si>
    <t>Taxes</t>
  </si>
  <si>
    <t>Depreciation Expense</t>
  </si>
  <si>
    <t>After-Tax Net Income</t>
  </si>
  <si>
    <t>Net ATM Transaction Fees</t>
  </si>
  <si>
    <t>ATM Working Capital Cost</t>
  </si>
  <si>
    <t>ATM Replenishment Cost</t>
  </si>
  <si>
    <t>ATM Cost of Ownership</t>
  </si>
  <si>
    <t>ATM Net Profit</t>
  </si>
  <si>
    <t>Toggle "On" to include Day in Schedule</t>
  </si>
  <si>
    <t>Replenishment Schedule</t>
  </si>
  <si>
    <t>ATM ID</t>
  </si>
  <si>
    <t>OP00922</t>
  </si>
  <si>
    <t>Select ATM ID to Analyze:</t>
  </si>
  <si>
    <t>Time Since Last Transaction</t>
  </si>
  <si>
    <t>xxxxxx2672</t>
  </si>
  <si>
    <t>xxxxxx2748</t>
  </si>
  <si>
    <t>xxxxxx8424</t>
  </si>
  <si>
    <t>xxxxxx3700</t>
  </si>
  <si>
    <t>xxxxxx5214</t>
  </si>
  <si>
    <t>xxxxxx5588</t>
  </si>
  <si>
    <t>xxxxxx8570</t>
  </si>
  <si>
    <t>xxxxxx5628</t>
  </si>
  <si>
    <t>xxxxxx8368</t>
  </si>
  <si>
    <t>xxxxxx2970</t>
  </si>
  <si>
    <t>xxxxxx5565</t>
  </si>
  <si>
    <t>xxxxxx2143</t>
  </si>
  <si>
    <t>xxxxxx2133</t>
  </si>
  <si>
    <t>xxxxxx1751</t>
  </si>
  <si>
    <t>xxxxxx3151</t>
  </si>
  <si>
    <t>xxxxxx7440</t>
  </si>
  <si>
    <t>xxxxxx7619</t>
  </si>
  <si>
    <t>xxxxxx7464</t>
  </si>
  <si>
    <t>xxxxxx5520</t>
  </si>
  <si>
    <t>xxxxxx5650</t>
  </si>
  <si>
    <t>xxxxxx2755</t>
  </si>
  <si>
    <t>xxxxxx2800</t>
  </si>
  <si>
    <t>xxxxxx8144</t>
  </si>
  <si>
    <t>xxxxxx5733</t>
  </si>
  <si>
    <t>xxxxxx3030</t>
  </si>
  <si>
    <t>xxxxxx8024</t>
  </si>
  <si>
    <t>xxxxxx1635</t>
  </si>
  <si>
    <t>xxxxxx4692</t>
  </si>
  <si>
    <t>xxxxxx4417</t>
  </si>
  <si>
    <t>xxxxxx3039</t>
  </si>
  <si>
    <t>xxxxxx7334</t>
  </si>
  <si>
    <t>xxxxxx3308</t>
  </si>
  <si>
    <t>xxxxxx3890</t>
  </si>
  <si>
    <t>xxxxxx6051</t>
  </si>
  <si>
    <t>xxxxxx6069</t>
  </si>
  <si>
    <t>xxxxxx2824</t>
  </si>
  <si>
    <t>xxxxxx3676</t>
  </si>
  <si>
    <t>xxxxxx5934</t>
  </si>
  <si>
    <t>xxxxxx2645</t>
  </si>
  <si>
    <t>xxxxxx1797</t>
  </si>
  <si>
    <t>xxxxxx5874</t>
  </si>
  <si>
    <t>xxxxxx7879</t>
  </si>
  <si>
    <t>xxxxxx5473</t>
  </si>
  <si>
    <t>xxxxxx6551</t>
  </si>
  <si>
    <t>xxxxxx2863</t>
  </si>
  <si>
    <t>xxxxxx8949</t>
  </si>
  <si>
    <t>xxxxxx5955</t>
  </si>
  <si>
    <t>xxxxxx7161</t>
  </si>
  <si>
    <t>xxxxxx4328</t>
  </si>
  <si>
    <t>xxxxxx7720</t>
  </si>
  <si>
    <t>xxxxxx6076</t>
  </si>
  <si>
    <t>xxxxxx3879</t>
  </si>
  <si>
    <t>xxxxxx7342</t>
  </si>
  <si>
    <t>xxxxxx2805</t>
  </si>
  <si>
    <t>xxxxxx8970</t>
  </si>
  <si>
    <t>xxxxxx2237</t>
  </si>
  <si>
    <t>xxxxxx8474</t>
  </si>
  <si>
    <t>xxxxxx8679</t>
  </si>
  <si>
    <t>ATM ID:</t>
  </si>
  <si>
    <t>Replenishment Cost Table</t>
  </si>
  <si>
    <t>Annual After-Tax Estimates</t>
  </si>
  <si>
    <t>Delivery Period</t>
  </si>
  <si>
    <t>Period Start</t>
  </si>
  <si>
    <t>Period End</t>
  </si>
  <si>
    <t>Annual Maintenance Expense:</t>
  </si>
  <si>
    <t>ATM Attributes</t>
  </si>
  <si>
    <t>Acquisition Cost:</t>
  </si>
  <si>
    <t>Maximum Useful Life (Years):</t>
  </si>
  <si>
    <t>Maximum Useful Life (Transactions):</t>
  </si>
  <si>
    <t>Marginal Income Tax Rate (per annum):</t>
  </si>
  <si>
    <t>Opportunity Cost of Capital (per annum):</t>
  </si>
  <si>
    <t>ATM Starting Cash Available:</t>
  </si>
  <si>
    <t>After-Tax MARR:</t>
  </si>
  <si>
    <t>Average ATM Cash On Hand</t>
  </si>
  <si>
    <t>Transaction Period Start Date:</t>
  </si>
  <si>
    <t>Transaction Period End Date:</t>
  </si>
  <si>
    <t>Enter Transaction Period Start Date:</t>
  </si>
  <si>
    <t>Enter Transaction Period End Date:</t>
  </si>
  <si>
    <t>Annual After-Tax Net Profit (Loss)</t>
  </si>
  <si>
    <t>ATM Cash Transactions</t>
  </si>
  <si>
    <t xml:space="preserve">Replenishment Cost </t>
  </si>
  <si>
    <t>Annual Transaction Volume</t>
  </si>
  <si>
    <t>Annual Maintenance Expense</t>
  </si>
  <si>
    <t>Useful Life (Years)</t>
  </si>
  <si>
    <t>Number of Replenishments</t>
  </si>
  <si>
    <t>FCI (% of Transactions)</t>
  </si>
  <si>
    <t>Failed Customer Interactions (FCI)</t>
  </si>
  <si>
    <t>FCI Counts</t>
  </si>
  <si>
    <t>Gain (loss) on Disposal of ATM</t>
  </si>
  <si>
    <t>ATM EOY Book Value</t>
  </si>
  <si>
    <t>ATM Disposal</t>
  </si>
  <si>
    <t>Income Statement for ATM Ownership</t>
  </si>
  <si>
    <t>xxxxxx6912</t>
  </si>
  <si>
    <t>xxxxxx2530</t>
  </si>
  <si>
    <t>xxxxxx8110</t>
  </si>
  <si>
    <t>xxxxxx7893</t>
  </si>
  <si>
    <t>xxxxxx4787</t>
  </si>
  <si>
    <t>xxxxxx2842</t>
  </si>
  <si>
    <t>xxxxxx4092</t>
  </si>
  <si>
    <t>xxxxxx6087</t>
  </si>
  <si>
    <t>xxxxxx8425</t>
  </si>
  <si>
    <t>xxxxxx3497</t>
  </si>
  <si>
    <t>xxxxxx6358</t>
  </si>
  <si>
    <t>xxxxxx5736</t>
  </si>
  <si>
    <t>xxxxxx1359</t>
  </si>
  <si>
    <t>xxxxxx5428</t>
  </si>
  <si>
    <t>xxxxxx6494</t>
  </si>
  <si>
    <t>xxxxxx6509</t>
  </si>
  <si>
    <t>xxxxxx8189</t>
  </si>
  <si>
    <t>xxxxxx1806</t>
  </si>
  <si>
    <t>xxxxxx1130</t>
  </si>
  <si>
    <t>xxxxxx5204</t>
  </si>
  <si>
    <t>xxxxxx8838</t>
  </si>
  <si>
    <t>xxxxxx2144</t>
  </si>
  <si>
    <t>xxxxxx6154</t>
  </si>
  <si>
    <t>xxxxxx1827</t>
  </si>
  <si>
    <t>xxxxxx3064</t>
  </si>
  <si>
    <t>xxxxxx5991</t>
  </si>
  <si>
    <t>xxxxxx2485</t>
  </si>
  <si>
    <t>xxxxxx8392</t>
  </si>
  <si>
    <t>xxxxxx6570</t>
  </si>
  <si>
    <t>xxxxxx5276</t>
  </si>
  <si>
    <t>xxxxxx5825</t>
  </si>
  <si>
    <t>xxxxxx1995</t>
  </si>
  <si>
    <t>xxxxxx8071</t>
  </si>
  <si>
    <t>xxxxxx7530</t>
  </si>
  <si>
    <t>xxxxxx2304</t>
  </si>
  <si>
    <t>xxxxxx6363</t>
  </si>
  <si>
    <t>FCI Limit (% of Transactions):</t>
  </si>
  <si>
    <t>Year of Ownership</t>
  </si>
  <si>
    <t>Cash Flow Statement for ATM Ownership</t>
  </si>
  <si>
    <t>Trade-in Value at End of  Useful Life:</t>
  </si>
  <si>
    <t>Off-Premise ATM List</t>
  </si>
  <si>
    <t>OP00923</t>
  </si>
  <si>
    <t>OP00924</t>
  </si>
  <si>
    <t>OP00925</t>
  </si>
  <si>
    <t>OP00926</t>
  </si>
  <si>
    <t>OP00927</t>
  </si>
  <si>
    <t>OP00928</t>
  </si>
  <si>
    <t>OP00929</t>
  </si>
  <si>
    <t>OP00930</t>
  </si>
  <si>
    <t>OP00931</t>
  </si>
  <si>
    <t>OP00932</t>
  </si>
  <si>
    <t>OP00933</t>
  </si>
  <si>
    <t>OP00934</t>
  </si>
  <si>
    <t>OP00935</t>
  </si>
  <si>
    <t>OP00936</t>
  </si>
  <si>
    <t>OP00937</t>
  </si>
  <si>
    <t>OP00938</t>
  </si>
  <si>
    <t>OP00939</t>
  </si>
  <si>
    <t>OP00940</t>
  </si>
  <si>
    <t>OP00920</t>
  </si>
  <si>
    <t>OP00921</t>
  </si>
  <si>
    <t>ATM Cash Limit:</t>
  </si>
  <si>
    <t>xxxxxx1908</t>
  </si>
  <si>
    <t>xxxxxx3636</t>
  </si>
  <si>
    <t>xxxxxx3108</t>
  </si>
  <si>
    <t>xxxxxx2015</t>
  </si>
  <si>
    <t>xxxxxx7526</t>
  </si>
  <si>
    <t>xxxxxx1372</t>
  </si>
  <si>
    <t>xxxxxx1940</t>
  </si>
  <si>
    <t>xxxxxx7320</t>
  </si>
  <si>
    <t>xxxxxx4101</t>
  </si>
  <si>
    <t>xxxxxx7919</t>
  </si>
  <si>
    <t>xxxxxx4109</t>
  </si>
  <si>
    <t>xxxxxx2353</t>
  </si>
  <si>
    <t>xxxxxx6280</t>
  </si>
  <si>
    <t>xxxxxx7017</t>
  </si>
  <si>
    <t>xxxxxx6290</t>
  </si>
  <si>
    <t>xxxxxx2864</t>
  </si>
  <si>
    <t>xxxxxx8773</t>
  </si>
  <si>
    <t>xxxxxx3872</t>
  </si>
  <si>
    <t>xxxxxx1326</t>
  </si>
  <si>
    <t>xxxxxx7221</t>
  </si>
  <si>
    <t>xxxxxx7750</t>
  </si>
  <si>
    <t>xxxxxx6220</t>
  </si>
  <si>
    <t>xxxxxx3490</t>
  </si>
  <si>
    <t>xxxxxx4904</t>
  </si>
  <si>
    <t>xxxxxx1691</t>
  </si>
  <si>
    <t>xxxxxx7455</t>
  </si>
  <si>
    <t>xxxxxx6764</t>
  </si>
  <si>
    <t>xxxxxx7419</t>
  </si>
  <si>
    <t>xxxxxx6555</t>
  </si>
  <si>
    <t>xxxxxx7616</t>
  </si>
  <si>
    <t>xxxxxx8779</t>
  </si>
  <si>
    <t>xxxxxx5945</t>
  </si>
  <si>
    <t>xxxxxx8922</t>
  </si>
  <si>
    <t>xxxxxx3616</t>
  </si>
  <si>
    <t>xxxxxx7971</t>
  </si>
  <si>
    <t>xxxxxx4257</t>
  </si>
  <si>
    <t>xxxxxx3249</t>
  </si>
  <si>
    <t>xxxxxx7204</t>
  </si>
  <si>
    <t>xxxxxx4994</t>
  </si>
  <si>
    <t>xxxxxx7323</t>
  </si>
  <si>
    <t>xxxxxx3130</t>
  </si>
  <si>
    <t>xxxxxx3614</t>
  </si>
  <si>
    <t>xxxxxx1694</t>
  </si>
  <si>
    <t>xxxxxx8550</t>
  </si>
  <si>
    <t>xxxxxx8437</t>
  </si>
  <si>
    <t>xxxxxx8510</t>
  </si>
  <si>
    <t>xxxxxx3234</t>
  </si>
  <si>
    <t>xxxxxx6398</t>
  </si>
  <si>
    <t>xxxxxx5245</t>
  </si>
  <si>
    <t>Daily Demand</t>
  </si>
  <si>
    <t>Date</t>
  </si>
  <si>
    <t>Aggregated Demand</t>
  </si>
  <si>
    <t>Latest Day for Next Replenishment</t>
  </si>
  <si>
    <t>Cumulative Days Covered (based on Average)</t>
  </si>
  <si>
    <t>Days Covered (based on Average)</t>
  </si>
  <si>
    <t>Replenishment Amount</t>
  </si>
  <si>
    <t>Replenishment Day</t>
  </si>
  <si>
    <t>Average Daily Demand</t>
  </si>
  <si>
    <t>Rough-Cut Replenishment Schedule Starting with Selected Day of Week and Amount</t>
  </si>
  <si>
    <t>Extra days count:</t>
  </si>
  <si>
    <t>Full cycle count:</t>
  </si>
  <si>
    <t>Cycle Length (Days):</t>
  </si>
  <si>
    <t>Day count:</t>
  </si>
  <si>
    <t>Num Replenishments Lower Bound (LB):</t>
  </si>
  <si>
    <t>End Date:</t>
  </si>
  <si>
    <t>Start Date:</t>
  </si>
  <si>
    <t>Replenishment Schedule Pre-Processing</t>
  </si>
  <si>
    <t>xxxxxx4710</t>
  </si>
  <si>
    <t>xxxxxx7306</t>
  </si>
  <si>
    <t>xxxxxx3843</t>
  </si>
  <si>
    <t>xxxxxx6844</t>
  </si>
  <si>
    <t>xxxxxx5335</t>
  </si>
  <si>
    <t>xxxxxx5987</t>
  </si>
  <si>
    <t>xxxxxx8016</t>
  </si>
  <si>
    <t>xxxxxx2403</t>
  </si>
  <si>
    <t>xxxxxx4432</t>
  </si>
  <si>
    <t>xxxxxx7968</t>
  </si>
  <si>
    <t>xxxxxx1522</t>
  </si>
  <si>
    <t>xxxxxx4113</t>
  </si>
  <si>
    <t>xxxxxx3848</t>
  </si>
  <si>
    <t>xxxxxx4659</t>
  </si>
  <si>
    <t>xxxxxx1835</t>
  </si>
  <si>
    <t>xxxxxx8641</t>
  </si>
  <si>
    <t>xxxxxx6114</t>
  </si>
  <si>
    <t>xxxxxx4392</t>
  </si>
  <si>
    <t>xxxxxx6297</t>
  </si>
  <si>
    <t>xxxxxx3080</t>
  </si>
  <si>
    <t>xxxxxx2558</t>
  </si>
  <si>
    <t>xxxxxx4572</t>
  </si>
  <si>
    <t>xxxxxx6397</t>
  </si>
  <si>
    <t>xxxxxx7024</t>
  </si>
  <si>
    <t>xxxxxx3416</t>
  </si>
  <si>
    <t>xxxxxx5502</t>
  </si>
  <si>
    <t>xxxxxx1766</t>
  </si>
  <si>
    <t>xxxxxx2236</t>
  </si>
  <si>
    <t>xxxxxx7701</t>
  </si>
  <si>
    <t>xxxxxx5457</t>
  </si>
  <si>
    <t>xxxxxx4589</t>
  </si>
  <si>
    <t>xxxxxx8887</t>
  </si>
  <si>
    <t>xxxxxx5703</t>
  </si>
  <si>
    <t>xxxxxx6589</t>
  </si>
  <si>
    <t>xxxxxx3196</t>
  </si>
  <si>
    <t>xxxxxx8534</t>
  </si>
  <si>
    <t>xxxxxx5898</t>
  </si>
  <si>
    <t>xxxxxx5474</t>
  </si>
  <si>
    <t>xxxxxx2404</t>
  </si>
  <si>
    <t>xxxxxx3789</t>
  </si>
  <si>
    <t>xxxxxx5735</t>
  </si>
  <si>
    <t>xxxxxx3159</t>
  </si>
  <si>
    <t>xxxxxx7755</t>
  </si>
  <si>
    <t>xxxxxx4335</t>
  </si>
  <si>
    <t>xxxxxx1093</t>
  </si>
  <si>
    <t>xxxxxx1232</t>
  </si>
  <si>
    <t>xxxxxx6410</t>
  </si>
  <si>
    <t>xxxxxx3563</t>
  </si>
  <si>
    <t>xxxxxx7591</t>
  </si>
  <si>
    <t>xxxxxx2092</t>
  </si>
  <si>
    <t>xxxxxx7723</t>
  </si>
  <si>
    <t>xxxxxx1948</t>
  </si>
  <si>
    <t>xxxxxx1081</t>
  </si>
  <si>
    <t>xxxxxx6885</t>
  </si>
  <si>
    <t>xxxxxx8335</t>
  </si>
  <si>
    <t>xxxxxx3259</t>
  </si>
  <si>
    <t>xxxxxx2977</t>
  </si>
  <si>
    <t>xxxxxx7683</t>
  </si>
  <si>
    <t>xxxxxx2938</t>
  </si>
  <si>
    <t>xxxxxx1414</t>
  </si>
  <si>
    <t>xxxxxx1791</t>
  </si>
  <si>
    <t>xxxxxx8898</t>
  </si>
  <si>
    <t>xxxxxx7122</t>
  </si>
  <si>
    <t>xxxxxx1417</t>
  </si>
  <si>
    <t>xxxxxx3651</t>
  </si>
  <si>
    <t>xxxxxx6780</t>
  </si>
  <si>
    <t>xxxxxx7376</t>
  </si>
  <si>
    <t>xxxxxx6569</t>
  </si>
  <si>
    <t>xxxxxx1349</t>
  </si>
  <si>
    <t>xxxxxx6730</t>
  </si>
  <si>
    <t>xxxxxx4686</t>
  </si>
  <si>
    <t>xxxxxx1024</t>
  </si>
  <si>
    <t>xxxxxx4768</t>
  </si>
  <si>
    <t>xxxxxx1047</t>
  </si>
  <si>
    <t>xxxxxx3331</t>
  </si>
  <si>
    <t>xxxxxx1071</t>
  </si>
  <si>
    <t>xxxxxx1476</t>
  </si>
  <si>
    <t>xxxxxx7522</t>
  </si>
  <si>
    <t>xxxxxx4427</t>
  </si>
  <si>
    <t>xxxxxx4939</t>
  </si>
  <si>
    <t>xxxxxx4983</t>
  </si>
  <si>
    <t>xxxxxx8993</t>
  </si>
  <si>
    <t>xxxxxx3481</t>
  </si>
  <si>
    <t>xxxxxx3657</t>
  </si>
  <si>
    <t>xxxxxx2117</t>
  </si>
  <si>
    <t>xxxxxx1213</t>
  </si>
  <si>
    <t>xxxxxx7582</t>
  </si>
  <si>
    <t>xxxxxx3820</t>
  </si>
  <si>
    <t>xxxxxx8709</t>
  </si>
  <si>
    <t>xxxxxx3060</t>
  </si>
  <si>
    <t>xxxxxx1671</t>
  </si>
  <si>
    <t>xxxxxx2625</t>
  </si>
  <si>
    <t>xxxxxx7863</t>
  </si>
  <si>
    <t>xxxxxx3334</t>
  </si>
  <si>
    <t>xxxxxx7881</t>
  </si>
  <si>
    <t>xxxxxx8771</t>
  </si>
  <si>
    <t>xxxxxx8105</t>
  </si>
  <si>
    <t>xxxxxx8247</t>
  </si>
  <si>
    <t>xxxxxx2932</t>
  </si>
  <si>
    <t>xxxxxx5838</t>
  </si>
  <si>
    <t>xxxxxx4511</t>
  </si>
  <si>
    <t>xxxxxx5886</t>
  </si>
  <si>
    <t>xxxxxx8158</t>
  </si>
  <si>
    <t>xxxxxx2521</t>
  </si>
  <si>
    <t>xxxxxx3146</t>
  </si>
  <si>
    <t>xxxxxx4216</t>
  </si>
  <si>
    <t>xxxxxx7693</t>
  </si>
  <si>
    <t>xxxxxx1819</t>
  </si>
  <si>
    <t>xxxxxx8766</t>
  </si>
  <si>
    <t>xxxxxx4288</t>
  </si>
  <si>
    <t>xxxxxx8946</t>
  </si>
  <si>
    <t>xxxxxx5712</t>
  </si>
  <si>
    <t>xxxxxx7149</t>
  </si>
  <si>
    <t>xxxxxx3627</t>
  </si>
  <si>
    <t>xxxxxx5534</t>
  </si>
  <si>
    <t>xxxxxx4665</t>
  </si>
  <si>
    <t>xxxxxx4297</t>
  </si>
  <si>
    <t>xxxxxx2838</t>
  </si>
  <si>
    <t>xxxxxx5405</t>
  </si>
  <si>
    <t>xxxxxx1514</t>
  </si>
  <si>
    <t>xxxxxx3261</t>
  </si>
  <si>
    <t>xxxxxx3346</t>
  </si>
  <si>
    <t>xxxxxx7491</t>
  </si>
  <si>
    <t>xxxxxx5724</t>
  </si>
  <si>
    <t>xxxxxx7517</t>
  </si>
  <si>
    <t>xxxxxx6675</t>
  </si>
  <si>
    <t>xxxxxx5685</t>
  </si>
  <si>
    <t>xxxxxx5047</t>
  </si>
  <si>
    <t>xxxxxx1576</t>
  </si>
  <si>
    <t>xxxxxx6719</t>
  </si>
  <si>
    <t>xxxxxx2556</t>
  </si>
  <si>
    <t>xxxxxx3783</t>
  </si>
  <si>
    <t>xxxxxx7905</t>
  </si>
  <si>
    <t>xxxxxx1818</t>
  </si>
  <si>
    <t>xxxxxx1588</t>
  </si>
  <si>
    <t>xxxxxx5781</t>
  </si>
  <si>
    <t>xxxxxx2545</t>
  </si>
  <si>
    <t>xxxxxx7778</t>
  </si>
  <si>
    <t>xxxxxx5526</t>
  </si>
  <si>
    <t>xxxxxx4940</t>
  </si>
  <si>
    <t>xxxxxx3332</t>
  </si>
  <si>
    <t>xxxxxx6328</t>
  </si>
  <si>
    <t>xxxxxx8195</t>
  </si>
  <si>
    <t>xxxxxx4493</t>
  </si>
  <si>
    <t>xxxxxx6656</t>
  </si>
  <si>
    <t>xxxxxx5008</t>
  </si>
  <si>
    <t>xxxxxx5577</t>
  </si>
  <si>
    <t>xxxxxx2907</t>
  </si>
  <si>
    <t>xxxxxx8563</t>
  </si>
  <si>
    <t>xxxxxx1302</t>
  </si>
  <si>
    <t>xxxxxx8082</t>
  </si>
  <si>
    <t>xxxxxx3786</t>
  </si>
  <si>
    <t>xxxxxx3086</t>
  </si>
  <si>
    <t>xxxxxx3747</t>
  </si>
  <si>
    <t>xxxxxx1609</t>
  </si>
  <si>
    <t>xxxxxx2359</t>
  </si>
  <si>
    <t>xxxxxx8334</t>
  </si>
  <si>
    <t>xxxxxx2061</t>
  </si>
  <si>
    <t>xxxxxx7349</t>
  </si>
  <si>
    <t>xxxxxx3306</t>
  </si>
  <si>
    <t>xxxxxx7487</t>
  </si>
  <si>
    <t>xxxxxx2365</t>
  </si>
  <si>
    <t>xxxxxx4331</t>
  </si>
  <si>
    <t>xxxxxx8650</t>
  </si>
  <si>
    <t>xxxxxx1425</t>
  </si>
  <si>
    <t>xxxxxx6742</t>
  </si>
  <si>
    <t>xxxxxx5780</t>
  </si>
  <si>
    <t>xxxxxx3509</t>
  </si>
  <si>
    <t>xxxxxx6806</t>
  </si>
  <si>
    <t>xxxxxx5983</t>
  </si>
  <si>
    <t>xxxxxx6915</t>
  </si>
  <si>
    <t>xxxxxx2634</t>
  </si>
  <si>
    <t>xxxxxx6792</t>
  </si>
  <si>
    <t>xxxxxx4481</t>
  </si>
  <si>
    <t>xxxxxx3608</t>
  </si>
  <si>
    <t>xxxxxx5289</t>
  </si>
  <si>
    <t>xxxxxx5869</t>
  </si>
  <si>
    <t>xxxxxx6227</t>
  </si>
  <si>
    <t>xxxxxx5568</t>
  </si>
  <si>
    <t>xxxxxx8717</t>
  </si>
  <si>
    <t>xxxxxx4076</t>
  </si>
  <si>
    <t>xxxxxx6440</t>
  </si>
  <si>
    <t>xxxxxx2461</t>
  </si>
  <si>
    <t>xxxxxx4034</t>
  </si>
  <si>
    <t>xxxxxx7709</t>
  </si>
  <si>
    <t>xxxxxx6745</t>
  </si>
  <si>
    <t>xxxxxx1706</t>
  </si>
  <si>
    <t>xxxxxx5155</t>
  </si>
  <si>
    <t>xxxxxx3187</t>
  </si>
  <si>
    <t>xxxxxx7084</t>
  </si>
  <si>
    <t>xxxxxx2414</t>
  </si>
  <si>
    <t>xxxxxx2505</t>
  </si>
  <si>
    <t>xxxxxx5187</t>
  </si>
  <si>
    <t>xxxxxx6209</t>
  </si>
  <si>
    <t>xxxxxx7766</t>
  </si>
  <si>
    <t>xxxxxx4831</t>
  </si>
  <si>
    <t>xxxxxx7023</t>
  </si>
  <si>
    <t>xxxxxx2003</t>
  </si>
  <si>
    <t>xxxxxx8438</t>
  </si>
  <si>
    <t>xxxxxx1275</t>
  </si>
  <si>
    <t>xxxxxx2905</t>
  </si>
  <si>
    <t>xxxxxx4267</t>
  </si>
  <si>
    <t>xxxxxx6847</t>
  </si>
  <si>
    <t>xxxxxx4523</t>
  </si>
  <si>
    <t>xxxxxx1549</t>
  </si>
  <si>
    <t>xxxxxx1117</t>
  </si>
  <si>
    <t>xxxxxx3824</t>
  </si>
  <si>
    <t>xxxxxx4601</t>
  </si>
  <si>
    <t>xxxxxx8989</t>
  </si>
  <si>
    <t>xxxxxx4437</t>
  </si>
  <si>
    <t>xxxxxx1801</t>
  </si>
  <si>
    <t>xxxxxx2817</t>
  </si>
  <si>
    <t>xxxxxx8320</t>
  </si>
  <si>
    <t>xxxxxx1923</t>
  </si>
  <si>
    <t>xxxxxx4573</t>
  </si>
  <si>
    <t>xxxxxx8271</t>
  </si>
  <si>
    <t>xxxxxx6058</t>
  </si>
  <si>
    <t>xxxxxx7822</t>
  </si>
  <si>
    <t>xxxxxx6506</t>
  </si>
  <si>
    <t>xxxxxx7502</t>
  </si>
  <si>
    <t>xxxxxx5019</t>
  </si>
  <si>
    <t>xxxxxx3710</t>
  </si>
  <si>
    <t>xxxxxx4654</t>
  </si>
  <si>
    <t>xxxxxx5166</t>
  </si>
  <si>
    <t>xxxxxx8345</t>
  </si>
  <si>
    <t>xxxxxx5785</t>
  </si>
  <si>
    <t>xxxxxx6094</t>
  </si>
  <si>
    <t>xxxxxx7403</t>
  </si>
  <si>
    <t>xxxxxx5652</t>
  </si>
  <si>
    <t>xxxxxx5594</t>
  </si>
  <si>
    <t>xxxxxx4490</t>
  </si>
  <si>
    <t>xxxxxx6228</t>
  </si>
  <si>
    <t>xxxxxx7589</t>
  </si>
  <si>
    <t>xxxxxx7878</t>
  </si>
  <si>
    <t>xxxxxx7147</t>
  </si>
  <si>
    <t>xxxxxx6677</t>
  </si>
  <si>
    <t>xxxxxx7819</t>
  </si>
  <si>
    <t>xxxxxx1894</t>
  </si>
  <si>
    <t>xxxxxx1732</t>
  </si>
  <si>
    <t>xxxxxx6013</t>
  </si>
  <si>
    <t>xxxxxx7327</t>
  </si>
  <si>
    <t>xxxxxx2195</t>
  </si>
  <si>
    <t>xxxxxx1436</t>
  </si>
  <si>
    <t>xxxxxx5610</t>
  </si>
  <si>
    <t>xxxxxx7497</t>
  </si>
  <si>
    <t>xxxxxx2160</t>
  </si>
  <si>
    <t>xxxxxx6426</t>
  </si>
  <si>
    <t>xxxxxx5174</t>
  </si>
  <si>
    <t>xxxxxx4958</t>
  </si>
  <si>
    <t>xxxxxx5500</t>
  </si>
  <si>
    <t>xxxxxx5809</t>
  </si>
  <si>
    <t>xxxxxx1363</t>
  </si>
  <si>
    <t>xxxxxx7365</t>
  </si>
  <si>
    <t>xxxxxx1246</t>
  </si>
  <si>
    <t>xxxxxx1528</t>
  </si>
  <si>
    <t>xxxxxx3732</t>
  </si>
  <si>
    <t>xxxxxx6252</t>
  </si>
  <si>
    <t>xxxxxx7079</t>
  </si>
  <si>
    <t>xxxxxx4964</t>
  </si>
  <si>
    <t>xxxxxx4592</t>
  </si>
  <si>
    <t>xxxxxx4461</t>
  </si>
  <si>
    <t>xxxxxx3923</t>
  </si>
  <si>
    <t>xxxxxx4171</t>
  </si>
  <si>
    <t>xxxxxx8551</t>
  </si>
  <si>
    <t>xxxxxx5521</t>
  </si>
  <si>
    <t>xxxxxx5184</t>
  </si>
  <si>
    <t>xxxxxx8350</t>
  </si>
  <si>
    <t>Prepocessing Results</t>
  </si>
  <si>
    <t>Days</t>
  </si>
  <si>
    <t>xxxxxx8177</t>
  </si>
  <si>
    <t>xxxxxx7967</t>
  </si>
  <si>
    <t>xxxxxx1951</t>
  </si>
  <si>
    <t>xxxxxx1856</t>
  </si>
  <si>
    <t>xxxxxx5704</t>
  </si>
  <si>
    <t>xxxxxx3189</t>
  </si>
  <si>
    <t>xxxxxx5707</t>
  </si>
  <si>
    <t>xxxxxx6049</t>
  </si>
  <si>
    <t>xxxxxx1809</t>
  </si>
  <si>
    <t>xxxxxx4642</t>
  </si>
  <si>
    <t>xxxxxx8003</t>
  </si>
  <si>
    <t>xxxxxx4681</t>
  </si>
  <si>
    <t>xxxxxx7949</t>
  </si>
  <si>
    <t>xxxxxx1574</t>
  </si>
  <si>
    <t>xxxxxx1382</t>
  </si>
  <si>
    <t>xxxxxx2199</t>
  </si>
  <si>
    <t>xxxxxx8468</t>
  </si>
  <si>
    <t>xxxxxx1174</t>
  </si>
  <si>
    <t>xxxxxx96956</t>
  </si>
  <si>
    <t>xxxxxx1872</t>
  </si>
  <si>
    <t>xxxxxx4166</t>
  </si>
  <si>
    <t>xxxxxx1754</t>
  </si>
  <si>
    <t>xxxxxx5888</t>
  </si>
  <si>
    <t>xxxxxx8759</t>
  </si>
  <si>
    <t>xxxxxx8403</t>
  </si>
  <si>
    <t>xxxxxx5090</t>
  </si>
  <si>
    <t>xxxxxx8565</t>
  </si>
  <si>
    <t>xxxxxx2798</t>
  </si>
  <si>
    <t>xxxxxx3301</t>
  </si>
  <si>
    <t>xxxxxx7910</t>
  </si>
  <si>
    <t>xxxxxx7085</t>
  </si>
  <si>
    <t>xxxxxx2790</t>
  </si>
  <si>
    <t>xxxxxx4223</t>
  </si>
  <si>
    <t>xxxxxx4158</t>
  </si>
  <si>
    <t>xxxxxx1912</t>
  </si>
  <si>
    <t>xxxxxx4637</t>
  </si>
  <si>
    <t>xxxxxx6082</t>
  </si>
  <si>
    <t>xxxxxx8280</t>
  </si>
  <si>
    <t>xxxxxx1294</t>
  </si>
  <si>
    <t>xxxxxx2957</t>
  </si>
  <si>
    <t>xxxxxx3902</t>
  </si>
  <si>
    <t>xxxxxx8182</t>
  </si>
  <si>
    <t>xxxxxx5589</t>
  </si>
  <si>
    <t>xxxxxx3144</t>
  </si>
  <si>
    <t>xxxxxx6701</t>
  </si>
  <si>
    <t>xxxxxx1420</t>
  </si>
  <si>
    <t>xxxxxx3302</t>
  </si>
  <si>
    <t>xxxxxx91951</t>
  </si>
  <si>
    <t>xxxxxx4431</t>
  </si>
  <si>
    <t>xxxxxx3555</t>
  </si>
  <si>
    <t>xxxxxx5597</t>
  </si>
  <si>
    <t>xxxxxx4663</t>
  </si>
  <si>
    <t>xxxxxx5131</t>
  </si>
  <si>
    <t>xxxxxx8618</t>
  </si>
  <si>
    <t>xxxxxx1029</t>
  </si>
  <si>
    <t>xxxxxx1760</t>
  </si>
  <si>
    <t>xxxxxx3001</t>
  </si>
  <si>
    <t>xxxxxx2089</t>
  </si>
  <si>
    <t>xxxxxx91446</t>
  </si>
  <si>
    <t>xxxxxx8799</t>
  </si>
  <si>
    <t>xxxxxx2301</t>
  </si>
  <si>
    <t>xxxxxx4748</t>
  </si>
  <si>
    <t>xxxxxx6972</t>
  </si>
  <si>
    <t>xxxxxx3065</t>
  </si>
  <si>
    <t>xxxxxx8516</t>
  </si>
  <si>
    <t>xxxxxx6908</t>
  </si>
  <si>
    <t>xxxxxx3832</t>
  </si>
  <si>
    <t>xxxxxx8387</t>
  </si>
  <si>
    <t>xxxxxx3986</t>
  </si>
  <si>
    <t>xxxxxx7829</t>
  </si>
  <si>
    <t>xxxxxx6901</t>
  </si>
  <si>
    <t>xxxxxx94527</t>
  </si>
  <si>
    <t>xxxxxx5656</t>
  </si>
  <si>
    <t>xxxxxx5058</t>
  </si>
  <si>
    <t>xxxxxx5429</t>
  </si>
  <si>
    <t>xxxxxx4799</t>
  </si>
  <si>
    <t>xxxxxx94310</t>
  </si>
  <si>
    <t>xxxxxx4498</t>
  </si>
  <si>
    <t>xxxxxx7368</t>
  </si>
  <si>
    <t>xxxxxx7747</t>
  </si>
  <si>
    <t>xxxxxx3944</t>
  </si>
  <si>
    <t>xxxxxx1577</t>
  </si>
  <si>
    <t>xxxxxx6073</t>
  </si>
  <si>
    <t>xxxxxx3954</t>
  </si>
  <si>
    <t>xxxxxx5299</t>
  </si>
  <si>
    <t>xxxxxx3796</t>
  </si>
  <si>
    <t>xxxxxx5753</t>
  </si>
  <si>
    <t>xxxxxx2490</t>
  </si>
  <si>
    <t>xxxxxx6692</t>
  </si>
  <si>
    <t>xxxxxx2155</t>
  </si>
  <si>
    <t>xxxxxx2899</t>
  </si>
  <si>
    <t>xxxxxx5754</t>
  </si>
  <si>
    <t>xxxxxx1266</t>
  </si>
  <si>
    <t>xxxxxx8107</t>
  </si>
  <si>
    <t>xxxxxx6588</t>
  </si>
  <si>
    <t>xxxxxx5826</t>
  </si>
  <si>
    <t>xxxxxx5408</t>
  </si>
  <si>
    <t>xxxxxx7270</t>
  </si>
  <si>
    <t>xxxxxx3671</t>
  </si>
  <si>
    <t>xxxxxx2111</t>
  </si>
  <si>
    <t>xxxxxx1648</t>
  </si>
  <si>
    <t>xxxxxx8248</t>
  </si>
  <si>
    <t>xxxxxx8096</t>
  </si>
  <si>
    <t>xxxxxx6957</t>
  </si>
  <si>
    <t>xxxxxx3776</t>
  </si>
  <si>
    <t>xxxxxx5774</t>
  </si>
  <si>
    <t>xxxxxx8775</t>
  </si>
  <si>
    <t>xxxxxx6737</t>
  </si>
  <si>
    <t>xxxxxx2299</t>
  </si>
  <si>
    <t>xxxxxx8558</t>
  </si>
  <si>
    <t>xxxxxx2180</t>
  </si>
  <si>
    <t>xxxxxx8357</t>
  </si>
  <si>
    <t>xxxxxx3808</t>
  </si>
  <si>
    <t>xxxxxx3295</t>
  </si>
  <si>
    <t>xxxxxx6135</t>
  </si>
  <si>
    <t>xxxxxx7446</t>
  </si>
  <si>
    <t>xxxxxx3213</t>
  </si>
  <si>
    <t>xxxxxx2884</t>
  </si>
  <si>
    <t>xxxxxx6208</t>
  </si>
  <si>
    <t>xxxxxx8497</t>
  </si>
  <si>
    <t>xxxxxx91809</t>
  </si>
  <si>
    <t>xxxxxx7635</t>
  </si>
  <si>
    <t>xxxxxx1728</t>
  </si>
  <si>
    <t>xxxxxx4365</t>
  </si>
  <si>
    <t>xxxxxx1337</t>
  </si>
  <si>
    <t>xxxxxx7196</t>
  </si>
  <si>
    <t>xxxxxx4963</t>
  </si>
  <si>
    <t>xxxxxx6407</t>
  </si>
  <si>
    <t>xxxxxx7011</t>
  </si>
  <si>
    <t>xxxxxx5043</t>
  </si>
  <si>
    <t>xxxxxx6961</t>
  </si>
  <si>
    <t>xxxxxx3202</t>
  </si>
  <si>
    <t>xxxxxx96099</t>
  </si>
  <si>
    <t>xxxxxx8259</t>
  </si>
  <si>
    <t>xxxxxx3183</t>
  </si>
  <si>
    <t>xxxxxx6574</t>
  </si>
  <si>
    <t>xxxxxx7731</t>
  </si>
  <si>
    <t>xxxxxx6971</t>
  </si>
  <si>
    <t>xxxxxx5972</t>
  </si>
  <si>
    <t>xxxxxx8810</t>
  </si>
  <si>
    <t>xxxxxx2049</t>
  </si>
  <si>
    <t>xxxxxx1999</t>
  </si>
  <si>
    <t>xxxxxx5259</t>
  </si>
  <si>
    <t>xxxxxx6417</t>
  </si>
  <si>
    <t>xxxxxx4086</t>
  </si>
  <si>
    <t>xxxxxx4450</t>
  </si>
  <si>
    <t>xxxxxx2661</t>
  </si>
  <si>
    <t>xxxxxx8025</t>
  </si>
  <si>
    <t>xxxxxx92038</t>
  </si>
  <si>
    <t>xxxxxx7688</t>
  </si>
  <si>
    <t>xxxxxx3779</t>
  </si>
  <si>
    <t>xxxxxx1198</t>
  </si>
  <si>
    <t>xxxxxx93423</t>
  </si>
  <si>
    <t>xxxxxx6545</t>
  </si>
  <si>
    <t>xxxxxx2882</t>
  </si>
  <si>
    <t>xxxxxx5123</t>
  </si>
  <si>
    <t>xxxxxx4305</t>
  </si>
  <si>
    <t>xxxxxx3458</t>
  </si>
  <si>
    <t>xxxxxx4359</t>
  </si>
  <si>
    <t>xxxxxx1943</t>
  </si>
  <si>
    <t>xxxxxx2097</t>
  </si>
  <si>
    <t>xxxxxx2562</t>
  </si>
  <si>
    <t>xxxxxx2635</t>
  </si>
  <si>
    <t>xxxxxx6535</t>
  </si>
  <si>
    <t>xxxxxx8909</t>
  </si>
  <si>
    <t>xxxxxx3123</t>
  </si>
  <si>
    <t>xxxxxx4067</t>
  </si>
  <si>
    <t>xxxxxx4479</t>
  </si>
  <si>
    <t>xxxxxx97151</t>
  </si>
  <si>
    <t>xxxxxx8207</t>
  </si>
  <si>
    <t>xxxxxx8704</t>
  </si>
  <si>
    <t>xxxxxx1366</t>
  </si>
  <si>
    <t>xxxxxx5784</t>
  </si>
  <si>
    <t>xxxxxx3607</t>
  </si>
  <si>
    <t>xxxxxx97465</t>
  </si>
  <si>
    <t>xxxxxx5901</t>
  </si>
  <si>
    <t>xxxxxx8139</t>
  </si>
  <si>
    <t>xxxxxx4890</t>
  </si>
  <si>
    <t>xxxxxx1944</t>
  </si>
  <si>
    <t>xxxxxx4627</t>
  </si>
  <si>
    <t>xxxxxx7665</t>
  </si>
  <si>
    <t>xxxxxx2039</t>
  </si>
  <si>
    <t>xxxxxx5611</t>
  </si>
  <si>
    <t>xxxxxx5946</t>
  </si>
  <si>
    <t>xxxxxx7418</t>
  </si>
  <si>
    <t>xxxxxx4578</t>
  </si>
  <si>
    <t>xxxxxx5330</t>
  </si>
  <si>
    <t>xxxxxx8450</t>
  </si>
  <si>
    <t>xxxxxx6279</t>
  </si>
  <si>
    <t>xxxxxx97836</t>
  </si>
  <si>
    <t>xxxxxx5887</t>
  </si>
  <si>
    <t>xxxxxx95212</t>
  </si>
  <si>
    <t>xxxxxx3113</t>
  </si>
  <si>
    <t>xxxxxx6744</t>
  </si>
  <si>
    <t>xxxxxx1563</t>
  </si>
  <si>
    <t>xxxxxx6655</t>
  </si>
  <si>
    <t>xxxxxx1725</t>
  </si>
  <si>
    <t>xxxxxx1439</t>
  </si>
  <si>
    <t>xxxxxx6491</t>
  </si>
  <si>
    <t>xxxxxx8833</t>
  </si>
  <si>
    <t>xxxxxx1523</t>
  </si>
  <si>
    <t>xxxxxx4212</t>
  </si>
  <si>
    <t>xxxxxx5080</t>
  </si>
  <si>
    <t>xxxxxx6254</t>
  </si>
  <si>
    <t>xxxxxx7317</t>
  </si>
  <si>
    <t>xxxxxx4708</t>
  </si>
  <si>
    <t>xxxxxx6269</t>
  </si>
  <si>
    <t>xxxxxx8716</t>
  </si>
  <si>
    <t>xxxxxx5499</t>
  </si>
  <si>
    <t>xxxxxx7712</t>
  </si>
  <si>
    <t>xxxxxx3704</t>
  </si>
  <si>
    <t>xxxxxx7548</t>
  </si>
  <si>
    <t>xxxxxx1605</t>
  </si>
  <si>
    <t>xxxxxx6079</t>
  </si>
  <si>
    <t>xxxxxx3541</t>
  </si>
  <si>
    <t>xxxxxx2085</t>
  </si>
  <si>
    <t>xxxxxx3585</t>
  </si>
  <si>
    <t>xxxxxx1782</t>
  </si>
  <si>
    <t>xxxxxx4667</t>
  </si>
  <si>
    <t>xxxxxx1960</t>
  </si>
  <si>
    <t>xxxxxx7732</t>
  </si>
  <si>
    <t>xxxxxx6301</t>
  </si>
  <si>
    <t>xxxxxx6511</t>
  </si>
  <si>
    <t>xxxxxx1847</t>
  </si>
  <si>
    <t>xxxxxx8880</t>
  </si>
  <si>
    <t>xxxxxx5999</t>
  </si>
  <si>
    <t>xxxxxx1308</t>
  </si>
  <si>
    <t>xxxxxx1233</t>
  </si>
  <si>
    <t>xxxxxx1961</t>
  </si>
  <si>
    <t>xxxxxx4515</t>
  </si>
  <si>
    <t>xxxxxx4781</t>
  </si>
  <si>
    <t>xxxxxx8223</t>
  </si>
  <si>
    <t>xxxxxx1834</t>
  </si>
  <si>
    <t>xxxxxx2522</t>
  </si>
  <si>
    <t>xxxxxx3778</t>
  </si>
  <si>
    <t>xxxxxx7198</t>
  </si>
  <si>
    <t>xxxxxx1153</t>
  </si>
  <si>
    <t>xxxxxx5130</t>
  </si>
  <si>
    <t>xxxxxx3391</t>
  </si>
  <si>
    <t>xxxxxx4641</t>
  </si>
  <si>
    <t>xxxxxx7202</t>
  </si>
  <si>
    <t>xxxxxx3369</t>
  </si>
  <si>
    <t>xxxxxx2569</t>
  </si>
  <si>
    <t>xxxxxx1962</t>
  </si>
  <si>
    <t>xxxxxx8030</t>
  </si>
  <si>
    <t>xxxxxx5957</t>
  </si>
  <si>
    <t>xxxxxx1985</t>
  </si>
  <si>
    <t>xxxxxx3201</t>
  </si>
  <si>
    <t>xxxxxx7649</t>
  </si>
  <si>
    <t>xxxxxx6224</t>
  </si>
  <si>
    <t>xxxxxx5097</t>
  </si>
  <si>
    <t>xxxxxx8093</t>
  </si>
  <si>
    <t>xxxxxx1085</t>
  </si>
  <si>
    <t>xxxxxx6626</t>
  </si>
  <si>
    <t>xxxxxx6392</t>
  </si>
  <si>
    <t>xxxxxx3675</t>
  </si>
  <si>
    <t>xxxxxx5317</t>
  </si>
  <si>
    <t>xxxxxx8738</t>
  </si>
  <si>
    <t>xxxxxx6309</t>
  </si>
  <si>
    <t>xxxxxx6325</t>
  </si>
  <si>
    <t>xxxxxx4494</t>
  </si>
  <si>
    <t>xxxxxx3081</t>
  </si>
  <si>
    <t>xxxxxx3581</t>
  </si>
  <si>
    <t>xxxxxx2801</t>
  </si>
  <si>
    <t>xxxxxx3268</t>
  </si>
  <si>
    <t>xxxxxx4865</t>
  </si>
  <si>
    <t>xxxxxx5139</t>
  </si>
  <si>
    <t>xxxxxx8180</t>
  </si>
  <si>
    <t>xxxxxx3717</t>
  </si>
  <si>
    <t>xxxxxx3915</t>
  </si>
  <si>
    <t>xxxxxx2372</t>
  </si>
  <si>
    <t>xxxxxx2027</t>
  </si>
  <si>
    <t>xxxxxx5537</t>
  </si>
  <si>
    <t>xxxxxx7831</t>
  </si>
  <si>
    <t>xxxxxx6399</t>
  </si>
  <si>
    <t>xxxxxx8401</t>
  </si>
  <si>
    <t>xxxxxx5854</t>
  </si>
  <si>
    <t>xxxxxx8814</t>
  </si>
  <si>
    <t>xxxxxx8284</t>
  </si>
  <si>
    <t>xxxxxx6713</t>
  </si>
  <si>
    <t>xxxxxx8790</t>
  </si>
  <si>
    <t>xxxxxx3619</t>
  </si>
  <si>
    <t>xxxxxx2891</t>
  </si>
  <si>
    <t>xxxxxx7976</t>
  </si>
  <si>
    <t>xxxxxx3895</t>
  </si>
  <si>
    <t>xxxxxx3968</t>
  </si>
  <si>
    <t>xxxxxx5193</t>
  </si>
  <si>
    <t>xxxxxx8714</t>
  </si>
  <si>
    <t>xxxxxx5287</t>
  </si>
  <si>
    <t>xxxxxx3947</t>
  </si>
  <si>
    <t>xxxxxx4753</t>
  </si>
  <si>
    <t>xxxxxx7405</t>
  </si>
  <si>
    <t>xxxxxx2924</t>
  </si>
  <si>
    <t>xxxxxx3487</t>
  </si>
  <si>
    <t>xxxxxx6771</t>
  </si>
  <si>
    <t>xxxxxx3515</t>
  </si>
  <si>
    <t>xxxxxx4408</t>
  </si>
  <si>
    <t>xxxxxx4390</t>
  </si>
  <si>
    <t>xxxxxx4124</t>
  </si>
  <si>
    <t>xxxxxx7529</t>
  </si>
  <si>
    <t>xxxxxx1210</t>
  </si>
  <si>
    <t>xxxxxx8566</t>
  </si>
  <si>
    <t>xxxxxx5352</t>
  </si>
  <si>
    <t>xxxxxx1679</t>
  </si>
  <si>
    <t>xxxxxx6122</t>
  </si>
  <si>
    <t>xxxxxx8576</t>
  </si>
  <si>
    <t>xxxxxx3592</t>
  </si>
  <si>
    <t>xxxxxx6776</t>
  </si>
  <si>
    <t>xxxxxx7391</t>
  </si>
  <si>
    <t>xxxxxx2881</t>
  </si>
  <si>
    <t>xxxxxx95824</t>
  </si>
  <si>
    <t>xxxxxx7637</t>
  </si>
  <si>
    <t>xxxxxx5120</t>
  </si>
  <si>
    <t>xxxxxx8693</t>
  </si>
  <si>
    <t>xxxxxx4560</t>
  </si>
  <si>
    <t>xxxxxx3420</t>
  </si>
  <si>
    <t>xxxxxx3819</t>
  </si>
  <si>
    <t>xxxxxx4237</t>
  </si>
  <si>
    <t>xxxxxx5162</t>
  </si>
  <si>
    <t>xxxxxx4062</t>
  </si>
  <si>
    <t>xxxxxx3906</t>
  </si>
  <si>
    <t>xxxxxx91511</t>
  </si>
  <si>
    <t>xxxxxx8304</t>
  </si>
  <si>
    <t>xxxxxx90208</t>
  </si>
  <si>
    <t>xxxxxx6124</t>
  </si>
  <si>
    <t>xxxxxx6966</t>
  </si>
  <si>
    <t>xxxxxx5552</t>
  </si>
  <si>
    <t>xxxxxx1428</t>
  </si>
  <si>
    <t>xxxxxx5404</t>
  </si>
  <si>
    <t>xxxxxx6522</t>
  </si>
  <si>
    <t>xxxxxx3618</t>
  </si>
  <si>
    <t>xxxxxx8602</t>
  </si>
  <si>
    <t>xxxxxx5617</t>
  </si>
  <si>
    <t>xxxxxx8772</t>
  </si>
  <si>
    <t>xxxxxx3916</t>
  </si>
  <si>
    <t>xxxxxx4429</t>
  </si>
  <si>
    <t>xxxxxx7180</t>
  </si>
  <si>
    <t>xxxxxx3886</t>
  </si>
  <si>
    <t>xxxxxx4038</t>
  </si>
  <si>
    <t>xxxxxx7568</t>
  </si>
  <si>
    <t>xxxxxx5484</t>
  </si>
  <si>
    <t>xxxxxx2923</t>
  </si>
  <si>
    <t>xxxxxx3103</t>
  </si>
  <si>
    <t>xxxxxx5196</t>
  </si>
  <si>
    <t>xxxxxx7713</t>
  </si>
  <si>
    <t>xxxxxx2527</t>
  </si>
  <si>
    <t>xxxxxx4915</t>
  </si>
  <si>
    <t>xxxxxx5872</t>
  </si>
  <si>
    <t>xxxxxx8212</t>
  </si>
  <si>
    <t>xxxxxx2534</t>
  </si>
  <si>
    <t>xxxxxx3982</t>
  </si>
  <si>
    <t>xxxxxx90782</t>
  </si>
  <si>
    <t>xxxxxx4609</t>
  </si>
  <si>
    <t>xxxxxx6495</t>
  </si>
  <si>
    <t>xxxxxx5156</t>
  </si>
  <si>
    <t>xxxxxx1957</t>
  </si>
  <si>
    <t>xxxxxx5268</t>
  </si>
  <si>
    <t>xxxxxx5804</t>
  </si>
  <si>
    <t>xxxxxx5304</t>
  </si>
  <si>
    <t>xxxxxx1471</t>
  </si>
  <si>
    <t>xxxxxx4106</t>
  </si>
  <si>
    <t>xxxxxx6379</t>
  </si>
  <si>
    <t>xxxxxx7935</t>
  </si>
  <si>
    <t>xxxxxx2820</t>
  </si>
  <si>
    <t>xxxxxx1843</t>
  </si>
  <si>
    <t>xxxxxx5320</t>
  </si>
  <si>
    <t>xxxxxx7791</t>
  </si>
  <si>
    <t>xxxxxx1729</t>
  </si>
  <si>
    <t>xxxxxx3731</t>
  </si>
  <si>
    <t>xxxxxx8670</t>
  </si>
  <si>
    <t>xxxxxx5528</t>
  </si>
  <si>
    <t>xxxxxx5110</t>
  </si>
  <si>
    <t>xxxxxx6964</t>
  </si>
  <si>
    <t>xxxxxx5937</t>
  </si>
  <si>
    <t>xxxxxx1666</t>
  </si>
  <si>
    <t>xxxxxx2181</t>
  </si>
  <si>
    <t>xxxxxx3313</t>
  </si>
  <si>
    <t>xxxxxx6250</t>
  </si>
  <si>
    <t>xxxxxx1987</t>
  </si>
  <si>
    <t>xxxxxx8626</t>
  </si>
  <si>
    <t>xxxxxx8061</t>
  </si>
  <si>
    <t>xxxxxx4697</t>
  </si>
  <si>
    <t>xxxxxx2760</t>
  </si>
  <si>
    <t>xxxxxx5635</t>
  </si>
  <si>
    <t>xxxxxx4553</t>
  </si>
  <si>
    <t>xxxxxx1141</t>
  </si>
  <si>
    <t>xxxxxx4030</t>
  </si>
  <si>
    <t>xxxxxx6624</t>
  </si>
  <si>
    <t>xxxxxx3631</t>
  </si>
  <si>
    <t>xxxxxx1019</t>
  </si>
  <si>
    <t>xxxxxx8175</t>
  </si>
  <si>
    <t>xxxxxx8941</t>
  </si>
  <si>
    <t>xxxxxx5438</t>
  </si>
  <si>
    <t>xxxxxx5879</t>
  </si>
  <si>
    <t>xxxxxx2395</t>
  </si>
  <si>
    <t>xxxxxx93231</t>
  </si>
  <si>
    <t>xxxxxx7053</t>
  </si>
  <si>
    <t>xxxxxx3958</t>
  </si>
  <si>
    <t>xxxxxx6151</t>
  </si>
  <si>
    <t>xxxxxx6996</t>
  </si>
  <si>
    <t>xxxxxx2669</t>
  </si>
  <si>
    <t>xxxxxx2315</t>
  </si>
  <si>
    <t>xxxxxx8492</t>
  </si>
  <si>
    <t>xxxxxx4468</t>
  </si>
  <si>
    <t>xxxxxx4447</t>
  </si>
  <si>
    <t>xxxxxx3553</t>
  </si>
  <si>
    <t>xxxxxx1521</t>
  </si>
  <si>
    <t>xxxxxx1306</t>
  </si>
  <si>
    <t>xxxxxx5387</t>
  </si>
  <si>
    <t>xxxxxx6876</t>
  </si>
  <si>
    <t>xxxxxx92269</t>
  </si>
  <si>
    <t>xxxxxx3412</t>
  </si>
  <si>
    <t>xxxxxx3038</t>
  </si>
  <si>
    <t>xxxxxx2255</t>
  </si>
  <si>
    <t>xxxxxx1812</t>
  </si>
  <si>
    <t>xxxxxx4375</t>
  </si>
  <si>
    <t>xxxxxx1485</t>
  </si>
  <si>
    <t>xxxxxx7228</t>
  </si>
  <si>
    <t>xxxxxx3448</t>
  </si>
  <si>
    <t>xxxxxx1832</t>
  </si>
  <si>
    <t>xxxxxx3000</t>
  </si>
  <si>
    <t>xxxxxx8048</t>
  </si>
  <si>
    <t>xxxxxx2124</t>
  </si>
  <si>
    <t>xxxxxx5264</t>
  </si>
  <si>
    <t>xxxxxx3266</t>
  </si>
  <si>
    <t>xxxxxx8238</t>
  </si>
  <si>
    <t>xxxxxx3740</t>
  </si>
  <si>
    <t>xxxxxx6006</t>
  </si>
  <si>
    <t>xxxxxx3277</t>
  </si>
  <si>
    <t>xxxxxx4012</t>
  </si>
  <si>
    <t>xxxxxx4860</t>
  </si>
  <si>
    <t>xxxxxx2711</t>
  </si>
  <si>
    <t>xxxxxx2147</t>
  </si>
  <si>
    <t>xxxxxx8582</t>
  </si>
  <si>
    <t>xxxxxx3485</t>
  </si>
  <si>
    <t>xxxxxx6185</t>
  </si>
  <si>
    <t>xxxxxx93767</t>
  </si>
  <si>
    <t>xxxxxx7232</t>
  </si>
  <si>
    <t>xxxxxx8012</t>
  </si>
  <si>
    <t>xxxxxx4309</t>
  </si>
  <si>
    <t>xxxxxx8127</t>
  </si>
  <si>
    <t>xxxxxx8157</t>
  </si>
  <si>
    <t>xxxxxx5614</t>
  </si>
  <si>
    <t>xxxxxx6102</t>
  </si>
  <si>
    <t>xxxxxx2898</t>
  </si>
  <si>
    <t>xxxxxx6272</t>
  </si>
  <si>
    <t>xxxxxx3106</t>
  </si>
  <si>
    <t>xxxxxx3772</t>
  </si>
  <si>
    <t>xxxxxx6671</t>
  </si>
  <si>
    <t>xxxxxx5194</t>
  </si>
  <si>
    <t>xxxxxx6453</t>
  </si>
  <si>
    <t>xxxxxx7110</t>
  </si>
  <si>
    <t>xxxxxx7692</t>
  </si>
  <si>
    <t>xxxxxx1180</t>
  </si>
  <si>
    <t>xxxxxx3157</t>
  </si>
  <si>
    <t>xxxxxx1907</t>
  </si>
  <si>
    <t>xxxxxx5040</t>
  </si>
  <si>
    <t>xxxxxx1824</t>
  </si>
  <si>
    <t>xxxxxx7658</t>
  </si>
  <si>
    <t>xxxxxx8832</t>
  </si>
  <si>
    <t>xxxxxx8063</t>
  </si>
  <si>
    <t>xxxxxx1618</t>
  </si>
  <si>
    <t>xxxxxx1849</t>
  </si>
  <si>
    <t>xxxxxx1915</t>
  </si>
  <si>
    <t>xxxxxx5953</t>
  </si>
  <si>
    <t>xxxxxx5810</t>
  </si>
  <si>
    <t>xxxxxx7260</t>
  </si>
  <si>
    <t>xxxxxx93973</t>
  </si>
  <si>
    <t>xxxxxx8428</t>
  </si>
  <si>
    <t>xxxxxx3569</t>
  </si>
  <si>
    <t>xxxxxx1877</t>
  </si>
  <si>
    <t>xxxxxx7957</t>
  </si>
  <si>
    <t>xxxxxx2413</t>
  </si>
  <si>
    <t>xxxxxx4348</t>
  </si>
  <si>
    <t>xxxxxx4310</t>
  </si>
  <si>
    <t>xxxxxx4505</t>
  </si>
  <si>
    <t>xxxxxx4620</t>
  </si>
  <si>
    <t>xxxxxx5961</t>
  </si>
  <si>
    <t>xxxxxx6046</t>
  </si>
  <si>
    <t>xxxxxx5338</t>
  </si>
  <si>
    <t>xxxxxx7151</t>
  </si>
  <si>
    <t>xxxxxx8532</t>
  </si>
  <si>
    <t>xxxxxx1424</t>
  </si>
  <si>
    <t>xxxxxx6817</t>
  </si>
  <si>
    <t>xxxxxx7816</t>
  </si>
  <si>
    <t>xxxxxx6652</t>
  </si>
  <si>
    <t>xxxxxx7040</t>
  </si>
  <si>
    <t>xxxxxx8366</t>
  </si>
  <si>
    <t>xxxxxx8208</t>
  </si>
  <si>
    <t>xxxxxx4130</t>
  </si>
  <si>
    <t>xxxxxx5321</t>
  </si>
  <si>
    <t>xxxxxx1781</t>
  </si>
  <si>
    <t>xxxxxx3587</t>
  </si>
  <si>
    <t>xxxxxx2173</t>
  </si>
  <si>
    <t>xxxxxx4884</t>
  </si>
  <si>
    <t>xxxxxx6463</t>
  </si>
  <si>
    <t>xxxxxx1441</t>
  </si>
  <si>
    <t>xxxxxx3399</t>
  </si>
  <si>
    <t>xxxxxx5482</t>
  </si>
  <si>
    <t>xxxxxx94414</t>
  </si>
  <si>
    <t>xxxxxx4423</t>
  </si>
  <si>
    <t>xxxxxx3571</t>
  </si>
  <si>
    <t>xxxxxx3609</t>
  </si>
  <si>
    <t>xxxxxx6406</t>
  </si>
  <si>
    <t>xxxxxx3583</t>
  </si>
  <si>
    <t>xxxxxx7263</t>
  </si>
  <si>
    <t>xxxxxx3368</t>
  </si>
  <si>
    <t>xxxxxx5956</t>
  </si>
  <si>
    <t>xxxxxx4362</t>
  </si>
  <si>
    <t>xxxxxx2322</t>
  </si>
  <si>
    <t>xxxxxx3901</t>
  </si>
  <si>
    <t>xxxxxx1500</t>
  </si>
  <si>
    <t>xxxxxx6265</t>
  </si>
  <si>
    <t>xxxxxx7602</t>
  </si>
  <si>
    <t>xxxxxx2655</t>
  </si>
  <si>
    <t>xxxxxx8803</t>
  </si>
  <si>
    <t>xxxxxx6748</t>
  </si>
  <si>
    <t>xxxxxx2009</t>
  </si>
  <si>
    <t>xxxxxx6460</t>
  </si>
  <si>
    <t>xxxxxx8809</t>
  </si>
  <si>
    <t>xxxxxx7355</t>
  </si>
  <si>
    <t>xxxxxx8885</t>
  </si>
  <si>
    <t>xxxxxx7521</t>
  </si>
  <si>
    <t>xxxxxx3045</t>
  </si>
  <si>
    <t>xxxxxx4135</t>
  </si>
  <si>
    <t>xxxxxx6253</t>
  </si>
  <si>
    <t>xxxxxx3289</t>
  </si>
  <si>
    <t>xxxxxx8911</t>
  </si>
  <si>
    <t>xxxxxx8136</t>
  </si>
  <si>
    <t>xxxxxx6802</t>
  </si>
  <si>
    <t>xxxxxx1882</t>
  </si>
  <si>
    <t>xxxxxx2099</t>
  </si>
  <si>
    <t>xxxxxx2038</t>
  </si>
  <si>
    <t>xxxxxx6497</t>
  </si>
  <si>
    <t>xxxxxx8891</t>
  </si>
  <si>
    <t>xxxxxx5922</t>
  </si>
  <si>
    <t>xxxxxx8846</t>
  </si>
  <si>
    <t>xxxxxx7640</t>
  </si>
  <si>
    <t>xxxxxx1582</t>
  </si>
  <si>
    <t>xxxxxx8851</t>
  </si>
  <si>
    <t>xxxxxx1628</t>
  </si>
  <si>
    <t>xxxxxx1904</t>
  </si>
  <si>
    <t>xxxxxx4535</t>
  </si>
  <si>
    <t>xxxxxx8255</t>
  </si>
  <si>
    <t>xxxxxx2611</t>
  </si>
  <si>
    <t>xxxxxx4724</t>
  </si>
  <si>
    <t>xxxxxx2224</t>
  </si>
  <si>
    <t>xxxxxx3237</t>
  </si>
  <si>
    <t>xxxxxx4146</t>
  </si>
  <si>
    <t>xxxxxx7364</t>
  </si>
  <si>
    <t>xxxxxx6816</t>
  </si>
  <si>
    <t>xxxxxx92362</t>
  </si>
  <si>
    <t>xxxxxx6284</t>
  </si>
  <si>
    <t>xxxxxx8877</t>
  </si>
  <si>
    <t>xxxxxx3921</t>
  </si>
  <si>
    <t>xxxxxx1151</t>
  </si>
  <si>
    <t>xxxxxx1072</t>
  </si>
  <si>
    <t>xxxxxx94101</t>
  </si>
  <si>
    <t>xxxxxx6218</t>
  </si>
  <si>
    <t>xxxxxx7944</t>
  </si>
  <si>
    <t>xxxxxx2002</t>
  </si>
  <si>
    <t>xxxxxx1474</t>
  </si>
  <si>
    <t>xxxxxx3457</t>
  </si>
  <si>
    <t>xxxxxx1110</t>
  </si>
  <si>
    <t>xxxxxx1888</t>
  </si>
  <si>
    <t>xxxxxx7384</t>
  </si>
  <si>
    <t>xxxxxx2119</t>
  </si>
  <si>
    <t>xxxxxx2022</t>
  </si>
  <si>
    <t>xxxxxx2680</t>
  </si>
  <si>
    <t>xxxxxx4139</t>
  </si>
  <si>
    <t>xxxxxx7312</t>
  </si>
  <si>
    <t>xxxxxx1062</t>
  </si>
  <si>
    <t>xxxxxx94104</t>
  </si>
  <si>
    <t>xxxxxx3243</t>
  </si>
  <si>
    <t>xxxxxx4039</t>
  </si>
  <si>
    <t>xxxxxx5185</t>
  </si>
  <si>
    <t>xxxxxx8149</t>
  </si>
  <si>
    <t>xxxxxx7302</t>
  </si>
  <si>
    <t>xxxxxx2933</t>
  </si>
  <si>
    <t>xxxxxx1330</t>
  </si>
  <si>
    <t>xxxxxx5109</t>
  </si>
  <si>
    <t>xxxxxx8000</t>
  </si>
  <si>
    <t>xxxxxx7544</t>
  </si>
  <si>
    <t>xxxxxx8430</t>
  </si>
  <si>
    <t>xxxxxx2208</t>
  </si>
  <si>
    <t>xxxxxx8996</t>
  </si>
  <si>
    <t>xxxxxx2573</t>
  </si>
  <si>
    <t>xxxxxx5426</t>
  </si>
  <si>
    <t>xxxxxx1479</t>
  </si>
  <si>
    <t>xxxxxx6634</t>
  </si>
  <si>
    <t>xxxxxx4071</t>
  </si>
  <si>
    <t>xxxxxx7404</t>
  </si>
  <si>
    <t>xxxxxx3163</t>
  </si>
  <si>
    <t>xxxxxx8768</t>
  </si>
  <si>
    <t>xxxxxx2575</t>
  </si>
  <si>
    <t>xxxxxx5681</t>
  </si>
  <si>
    <t>xxxxxx8244</t>
  </si>
  <si>
    <t>xxxxxx5079</t>
  </si>
  <si>
    <t>xxxxxx3418</t>
  </si>
  <si>
    <t>xxxxxx1244</t>
  </si>
  <si>
    <t>xxxxxx1551</t>
  </si>
  <si>
    <t>xxxxxx7866</t>
  </si>
  <si>
    <t>xxxxxx4992</t>
  </si>
  <si>
    <t>xxxxxx8315</t>
  </si>
  <si>
    <t>xxxxxx8590</t>
  </si>
  <si>
    <t>xxxxxx2036</t>
  </si>
  <si>
    <t>xxxxxx4742</t>
  </si>
  <si>
    <t>xxxxxx5175</t>
  </si>
  <si>
    <t>xxxxxx4202</t>
  </si>
  <si>
    <t>xxxxxx8893</t>
  </si>
  <si>
    <t>xxxxxx1889</t>
  </si>
  <si>
    <t>xxxxxx8052</t>
  </si>
  <si>
    <t>xxxxxx4448</t>
  </si>
  <si>
    <t>xxxxxx3751</t>
  </si>
  <si>
    <t>xxxxxx5105</t>
  </si>
  <si>
    <t>xxxxxx7918</t>
  </si>
  <si>
    <t>xxxxxx1411</t>
  </si>
  <si>
    <t>xxxxxx2488</t>
  </si>
  <si>
    <t>xxxxxx6669</t>
  </si>
  <si>
    <t>xxxxxx7309</t>
  </si>
  <si>
    <t>xxxxxx6153</t>
  </si>
  <si>
    <t>xxxxxx7940</t>
  </si>
  <si>
    <t>xxxxxx8150</t>
  </si>
  <si>
    <t>xxxxxx3863</t>
  </si>
  <si>
    <t>xxxxxx96924</t>
  </si>
  <si>
    <t>xxxxxx2368</t>
  </si>
  <si>
    <t>xxxxxx4828</t>
  </si>
  <si>
    <t>xxxxxx7703</t>
  </si>
  <si>
    <t>xxxxxx2449</t>
  </si>
  <si>
    <t>xxxxxx1542</t>
  </si>
  <si>
    <t>xxxxxx2728</t>
  </si>
  <si>
    <t>xxxxxx8736</t>
  </si>
  <si>
    <t>xxxxxx1451</t>
  </si>
  <si>
    <t>xxxxxx8224</t>
  </si>
  <si>
    <t>xxxxxx7790</t>
  </si>
  <si>
    <t>xxxxxx7698</t>
  </si>
  <si>
    <t>xxxxxx4295</t>
  </si>
  <si>
    <t>xxxxxx1443</t>
  </si>
  <si>
    <t>xxxxxx91401</t>
  </si>
  <si>
    <t>xxxxxx6346</t>
  </si>
  <si>
    <t>xxxxxx1544</t>
  </si>
  <si>
    <t>xxxxxx5776</t>
  </si>
  <si>
    <t>xxxxxx2496</t>
  </si>
  <si>
    <t>xxxxxx8612</t>
  </si>
  <si>
    <t>xxxxxx2319</t>
  </si>
  <si>
    <t>xxxxxx1655</t>
  </si>
  <si>
    <t>xxxxxx1900</t>
  </si>
  <si>
    <t>xxxxxx5380</t>
  </si>
  <si>
    <t>xxxxxx6431</t>
  </si>
  <si>
    <t>xxxxxx6559</t>
  </si>
  <si>
    <t>xxxxxx4703</t>
  </si>
  <si>
    <t>xxxxxx2335</t>
  </si>
  <si>
    <t>xxxxxx3436</t>
  </si>
  <si>
    <t>xxxxxx5770</t>
  </si>
  <si>
    <t>xxxxxx1369</t>
  </si>
  <si>
    <t>xxxxxx7838</t>
  </si>
  <si>
    <t>xxxxxx7351</t>
  </si>
  <si>
    <t>xxxxxx6525</t>
  </si>
  <si>
    <t>xxxxxx1651</t>
  </si>
  <si>
    <t>xxxxxx6618</t>
  </si>
  <si>
    <t>xxxxxx2869</t>
  </si>
  <si>
    <t>xxxxxx3124</t>
  </si>
  <si>
    <t>xxxxxx8316</t>
  </si>
  <si>
    <t>xxxxxx3210</t>
  </si>
  <si>
    <t>xxxxxx7810</t>
  </si>
  <si>
    <t>xxxxxx4780</t>
  </si>
  <si>
    <t>xxxxxx7279</t>
  </si>
  <si>
    <t>xxxxxx5858</t>
  </si>
  <si>
    <t>xxxxxx92267</t>
  </si>
  <si>
    <t>xxxxxx8869</t>
  </si>
  <si>
    <t>xxxxxx7922</t>
  </si>
  <si>
    <t>xxxxxx3164</t>
  </si>
  <si>
    <t>xxxxxx7163</t>
  </si>
  <si>
    <t>xxxxxx8058</t>
  </si>
  <si>
    <t>xxxxxx4129</t>
  </si>
  <si>
    <t>xxxxxx5786</t>
  </si>
  <si>
    <t>xxxxxx5126</t>
  </si>
  <si>
    <t>xxxxxx7230</t>
  </si>
  <si>
    <t>xxxxxx6784</t>
  </si>
  <si>
    <t>xxxxxx7369</t>
  </si>
  <si>
    <t>xxxxxx8017</t>
  </si>
  <si>
    <t>xxxxxx8901</t>
  </si>
  <si>
    <t>xxxxxx7962</t>
  </si>
  <si>
    <t>xxxxxx7812</t>
  </si>
  <si>
    <t>xxxxxx2666</t>
  </si>
  <si>
    <t>xxxxxx6533</t>
  </si>
  <si>
    <t>xxxxxx2302</t>
  </si>
  <si>
    <t>xxxxxx7471</t>
  </si>
  <si>
    <t>xxxxxx4300</t>
  </si>
  <si>
    <t>xxxxxx3258</t>
  </si>
  <si>
    <t>xxxxxx1430</t>
  </si>
  <si>
    <t>xxxxxx97667</t>
  </si>
  <si>
    <t>xxxxxx2686</t>
  </si>
  <si>
    <t>xxxxxx6008</t>
  </si>
  <si>
    <t>xxxxxx4778</t>
  </si>
  <si>
    <t>xxxxxx6413</t>
  </si>
  <si>
    <t>xxxxxx7245</t>
  </si>
  <si>
    <t>xxxxxx7676</t>
  </si>
  <si>
    <t>xxxxxx3610</t>
  </si>
  <si>
    <t>xxxxxx6611</t>
  </si>
  <si>
    <t>xxxxxx2524</t>
  </si>
  <si>
    <t>xxxxxx6658</t>
  </si>
  <si>
    <t>xxxxxx7513</t>
  </si>
  <si>
    <t>xxxxxx1942</t>
  </si>
  <si>
    <t>xxxxxx92694</t>
  </si>
  <si>
    <t>xxxxxx5001</t>
  </si>
  <si>
    <t>xxxxxx3603</t>
  </si>
  <si>
    <t>xxxxxx6942</t>
  </si>
  <si>
    <t>xxxxxx2947</t>
  </si>
  <si>
    <t>xxxxxx7222</t>
  </si>
  <si>
    <t>xxxxxx3560</t>
  </si>
  <si>
    <t>xxxxxx3136</t>
  </si>
  <si>
    <t>xxxxxx6782</t>
  </si>
  <si>
    <t>xxxxxx6777</t>
  </si>
  <si>
    <t>xxxxxx8581</t>
  </si>
  <si>
    <t>xxxxxx3847</t>
  </si>
  <si>
    <t>xxxxxx8751</t>
  </si>
  <si>
    <t>xxxxxx92475</t>
  </si>
  <si>
    <t>xxxxxx6613</t>
  </si>
  <si>
    <t>xxxxxx5917</t>
  </si>
  <si>
    <t>xxxxxx1404</t>
  </si>
  <si>
    <t>xxxxxx6819</t>
  </si>
  <si>
    <t>xxxxxx7205</t>
  </si>
  <si>
    <t>xxxxxx6548</t>
  </si>
  <si>
    <t>xxxxxx2566</t>
  </si>
  <si>
    <t>xxxxxx3167</t>
  </si>
  <si>
    <t>xxxxxx4208</t>
  </si>
  <si>
    <t>xxxxxx7340</t>
  </si>
  <si>
    <t>xxxxxx4718</t>
  </si>
  <si>
    <t>xxxxxx3371</t>
  </si>
  <si>
    <t>xxxxxx8866</t>
  </si>
  <si>
    <t>xxxxxx6263</t>
  </si>
  <si>
    <t>xxxxxx1039</t>
  </si>
  <si>
    <t>xxxxxx96491</t>
  </si>
  <si>
    <t>xxxxxx4230</t>
  </si>
  <si>
    <t>xxxxxx1001</t>
  </si>
  <si>
    <t>xxxxxx4731</t>
  </si>
  <si>
    <t>xxxxxx2055</t>
  </si>
  <si>
    <t>xxxxxx92210</t>
  </si>
  <si>
    <t>xxxxxx8169</t>
  </si>
  <si>
    <t>xxxxxx8038</t>
  </si>
  <si>
    <t>xxxxxx7956</t>
  </si>
  <si>
    <t>xxxxxx5055</t>
  </si>
  <si>
    <t>xxxxxx1643</t>
  </si>
  <si>
    <t>xxxxxx4323</t>
  </si>
  <si>
    <t>xxxxxx6244</t>
  </si>
  <si>
    <t>xxxxxx4068</t>
  </si>
  <si>
    <t>xxxxxx8956</t>
  </si>
  <si>
    <t>xxxxxx7977</t>
  </si>
  <si>
    <t>xxxxxx5087</t>
  </si>
  <si>
    <t>xxxxxx1767</t>
  </si>
  <si>
    <t>xxxxxx2592</t>
  </si>
  <si>
    <t>xxxxxx3867</t>
  </si>
  <si>
    <t>xxxxxx2777</t>
  </si>
  <si>
    <t>xxxxxx6377</t>
  </si>
  <si>
    <t>xxxxxx2952</t>
  </si>
  <si>
    <t>xxxxxx5549</t>
  </si>
  <si>
    <t>xxxxxx2694</t>
  </si>
  <si>
    <t>xxxxxx8232</t>
  </si>
  <si>
    <t>xxxxxx8122</t>
  </si>
  <si>
    <t>xxxxxx5251</t>
  </si>
  <si>
    <t>xxxxxx91528</t>
  </si>
  <si>
    <t>xxxxxx7954</t>
  </si>
  <si>
    <t>xxxxxx7493</t>
  </si>
  <si>
    <t>xxxxxx1078</t>
  </si>
  <si>
    <t>xxxxxx6023</t>
  </si>
  <si>
    <t>xxxxxx7478</t>
  </si>
  <si>
    <t>xxxxxx1945</t>
  </si>
  <si>
    <t>xxxxxx5022</t>
  </si>
  <si>
    <t>xxxxxx7828</t>
  </si>
  <si>
    <t>xxxxxx6336</t>
  </si>
  <si>
    <t>xxxxxx2444</t>
  </si>
  <si>
    <t>xxxxxx6300</t>
  </si>
  <si>
    <t>xxxxxx8092</t>
  </si>
  <si>
    <t>xxxxxx1077</t>
  </si>
  <si>
    <t>xxxxxx4072</t>
  </si>
  <si>
    <t>xxxxxx1504</t>
  </si>
  <si>
    <t>xxxxxx2342</t>
  </si>
  <si>
    <t>xxxxxx4873</t>
  </si>
  <si>
    <t>xxxxxx7170</t>
  </si>
  <si>
    <t>xxxxxx7662</t>
  </si>
  <si>
    <t>xxxxxx3428</t>
  </si>
  <si>
    <t>xxxxxx3632</t>
  </si>
  <si>
    <t>xxxxxx3579</t>
  </si>
  <si>
    <t>xxxxxx1045</t>
  </si>
  <si>
    <t>xxxxxx7138</t>
  </si>
  <si>
    <t>xxxxxx2501</t>
  </si>
  <si>
    <t>xxxxxx4951</t>
  </si>
  <si>
    <t>xxxxxx4839</t>
  </si>
  <si>
    <t>xxxxxx2987</t>
  </si>
  <si>
    <t>xxxxxx2137</t>
  </si>
  <si>
    <t>xxxxxx1724</t>
  </si>
  <si>
    <t>xxxxxx2779</t>
  </si>
  <si>
    <t>xxxxxx6415</t>
  </si>
  <si>
    <t>xxxxxx7970</t>
  </si>
  <si>
    <t>xxxxxx2026</t>
  </si>
  <si>
    <t>xxxxxx2803</t>
  </si>
  <si>
    <t>xxxxxx8039</t>
  </si>
  <si>
    <t>xxxxxx4584</t>
  </si>
  <si>
    <t>xxxxxx7861</t>
  </si>
  <si>
    <t>xxxxxx8655</t>
  </si>
  <si>
    <t>xxxxxx1376</t>
  </si>
  <si>
    <t>xxxxxx2086</t>
  </si>
  <si>
    <t>xxxxxx6347</t>
  </si>
  <si>
    <t>xxxxxx1009</t>
  </si>
  <si>
    <t>xxxxxx5865</t>
  </si>
  <si>
    <t>xxxxxx3775</t>
  </si>
  <si>
    <t>xxxxxx1600</t>
  </si>
  <si>
    <t>xxxxxx4364</t>
  </si>
  <si>
    <t>xxxxxx4792</t>
  </si>
  <si>
    <t>xxxxxx2911</t>
  </si>
  <si>
    <t>xxxxxx4738</t>
  </si>
  <si>
    <t>xxxxxx2597</t>
  </si>
  <si>
    <t>xxxxxx3444</t>
  </si>
  <si>
    <t>xxxxxx2366</t>
  </si>
  <si>
    <t>xxxxxx1845</t>
  </si>
  <si>
    <t>xxxxxx7140</t>
  </si>
  <si>
    <t>xxxxxx4231</t>
  </si>
  <si>
    <t>xxxxxx5745</t>
  </si>
  <si>
    <t>xxxxxx1270</t>
  </si>
  <si>
    <t>xxxxxx8508</t>
  </si>
  <si>
    <t>xxxxxx7931</t>
  </si>
  <si>
    <t>xxxxxx8260</t>
  </si>
  <si>
    <t>xxxxxx5374</t>
  </si>
  <si>
    <t>xxxxxx8820</t>
  </si>
  <si>
    <t>xxxxxx3646</t>
  </si>
  <si>
    <t>xxxxxx4763</t>
  </si>
  <si>
    <t>xxxxxx3251</t>
  </si>
  <si>
    <t>xxxxxx2920</t>
  </si>
  <si>
    <t>xxxxxx94143</t>
  </si>
  <si>
    <t>xxxxxx4354</t>
  </si>
  <si>
    <t>xxxxxx5104</t>
  </si>
  <si>
    <t>xxxxxx3078</t>
  </si>
  <si>
    <t>xxxxxx4965</t>
  </si>
  <si>
    <t>xxxxxx1811</t>
  </si>
  <si>
    <t>xxxxxx7718</t>
  </si>
  <si>
    <t>xxxxxx96476</t>
  </si>
  <si>
    <t>xxxxxx4632</t>
  </si>
  <si>
    <t>xxxxxx6268</t>
  </si>
  <si>
    <t>xxxxxx4846</t>
  </si>
  <si>
    <t>xxxxxx2024</t>
  </si>
  <si>
    <t>xxxxxx7946</t>
  </si>
  <si>
    <t>xxxxxx5799</t>
  </si>
  <si>
    <t>xxxxxx3788</t>
  </si>
  <si>
    <t>xxxxxx8112</t>
  </si>
  <si>
    <t>xxxxxx1859</t>
  </si>
  <si>
    <t>xxxxxx5805</t>
  </si>
  <si>
    <t>xxxxxx1615</t>
  </si>
  <si>
    <t>xxxxxx6288</t>
  </si>
  <si>
    <t>xxxxxx2879</t>
  </si>
  <si>
    <t>xxxxxx3784</t>
  </si>
  <si>
    <t>xxxxxx8854</t>
  </si>
  <si>
    <t>xxxxxx7294</t>
  </si>
  <si>
    <t>xxxxxx3499</t>
  </si>
  <si>
    <t>xxxxxx7746</t>
  </si>
  <si>
    <t>xxxxxx8411</t>
  </si>
  <si>
    <t>xxxxxx6478</t>
  </si>
  <si>
    <t>xxxxxx3470</t>
  </si>
  <si>
    <t>xxxxxx8857</t>
  </si>
  <si>
    <t>xxxxxx8789</t>
  </si>
  <si>
    <t>xxxxxx8080</t>
  </si>
  <si>
    <t>xxxxxx91339</t>
  </si>
  <si>
    <t>xxxxxx2630</t>
  </si>
  <si>
    <t>xxxxxx6289</t>
  </si>
  <si>
    <t>xxxxxx7990</t>
  </si>
  <si>
    <t>xxxxxx5332</t>
  </si>
  <si>
    <t>xxxxxx5248</t>
  </si>
  <si>
    <t>xxxxxx4693</t>
  </si>
  <si>
    <t>xxxxxx1545</t>
  </si>
  <si>
    <t>xxxxxx4102</t>
  </si>
  <si>
    <t>xxxxxx2010</t>
  </si>
  <si>
    <t>xxxxxx2652</t>
  </si>
  <si>
    <t>xxxxxx8843</t>
  </si>
  <si>
    <t>xxxxxx1559</t>
  </si>
  <si>
    <t>xxxxxx8860</t>
  </si>
  <si>
    <t>xxxxxx5178</t>
  </si>
  <si>
    <t>xxxxxx4949</t>
  </si>
  <si>
    <t>xxxxxx94513</t>
  </si>
  <si>
    <t>xxxxxx5119</t>
  </si>
  <si>
    <t>xxxxxx8210</t>
  </si>
  <si>
    <t>xxxxxx4405</t>
  </si>
  <si>
    <t>xxxxxx5227</t>
  </si>
  <si>
    <t>xxxxxx1273</t>
  </si>
  <si>
    <t>xxxxxx6359</t>
  </si>
  <si>
    <t>xxxxxx3596</t>
  </si>
  <si>
    <t>xxxxxx5988</t>
  </si>
  <si>
    <t>xxxxxx92652</t>
  </si>
  <si>
    <t>xxxxxx7299</t>
  </si>
  <si>
    <t>xxxxxx93037</t>
  </si>
  <si>
    <t>xxxxxx3670</t>
  </si>
  <si>
    <t>xxxxxx5795</t>
  </si>
  <si>
    <t>xxxxxx4143</t>
  </si>
  <si>
    <t>xxxxxx8523</t>
  </si>
  <si>
    <t>xxxxxx2867</t>
  </si>
  <si>
    <t>xxxxxx2707</t>
  </si>
  <si>
    <t>xxxxxx6131</t>
  </si>
  <si>
    <t>xxxxxx7088</t>
  </si>
  <si>
    <t>xxxxxx8805</t>
  </si>
  <si>
    <t>xxxxxx5856</t>
  </si>
  <si>
    <t>xxxxxx3842</t>
  </si>
  <si>
    <t>xxxxxx6156</t>
  </si>
  <si>
    <t>xxxxxx7381</t>
  </si>
  <si>
    <t>xxxxxx3321</t>
  </si>
  <si>
    <t>xxxxxx8638</t>
  </si>
  <si>
    <t>xxxxxx7614</t>
  </si>
  <si>
    <t>xxxxxx7324</t>
  </si>
  <si>
    <t>xxxxxx4678</t>
  </si>
  <si>
    <t>xxxxxx5190</t>
  </si>
  <si>
    <t>xxxxxx5638</t>
  </si>
  <si>
    <t>xxxxxx2031</t>
  </si>
  <si>
    <t>xxxxxx3714</t>
  </si>
  <si>
    <t>xxxxxx1303</t>
  </si>
  <si>
    <t>xxxxxx1905</t>
  </si>
  <si>
    <t>xxxxxx7663</t>
  </si>
  <si>
    <t>xxxxxx2940</t>
  </si>
  <si>
    <t>xxxxxx5759</t>
  </si>
  <si>
    <t>xxxxxx90523</t>
  </si>
  <si>
    <t>xxxxxx2975</t>
  </si>
  <si>
    <t>xxxxxx7408</t>
  </si>
  <si>
    <t>xxxxxx4434</t>
  </si>
  <si>
    <t>xxxxxx2582</t>
  </si>
  <si>
    <t>xxxxxx6264</t>
  </si>
  <si>
    <t>xxxxxx7074</t>
  </si>
  <si>
    <t>xxxxxx2204</t>
  </si>
  <si>
    <t>xxxxxx3912</t>
  </si>
  <si>
    <t>xxxxxx2958</t>
  </si>
  <si>
    <t>xxxxxx3556</t>
  </si>
  <si>
    <t>xxxxxx7883</t>
  </si>
  <si>
    <t>xxxxxx95856</t>
  </si>
  <si>
    <t>xxxxxx3119</t>
  </si>
  <si>
    <t>xxxxxx7762</t>
  </si>
  <si>
    <t>xxxxxx2419</t>
  </si>
  <si>
    <t>xxxxxx4835</t>
  </si>
  <si>
    <t>xxxxxx4407</t>
  </si>
  <si>
    <t>xxxxxx6582</t>
  </si>
  <si>
    <t>xxxxxx2154</t>
  </si>
  <si>
    <t>xxxxxx3852</t>
  </si>
  <si>
    <t>xxxxxx2104</t>
  </si>
  <si>
    <t>xxxxxx7679</t>
  </si>
  <si>
    <t>xxxxxx2033</t>
  </si>
  <si>
    <t>xxxxxx8407</t>
  </si>
  <si>
    <t>xxxxxx4396</t>
  </si>
  <si>
    <t>xxxxxx8291</t>
  </si>
  <si>
    <t>xxxxxx94494</t>
  </si>
  <si>
    <t>xxxxxx1147</t>
  </si>
  <si>
    <t>xxxxxx8211</t>
  </si>
  <si>
    <t>xxxxxx8362</t>
  </si>
  <si>
    <t>xxxxxx5511</t>
  </si>
  <si>
    <t>xxxxxx4938</t>
  </si>
  <si>
    <t>xxxxxx2601</t>
  </si>
  <si>
    <t>xxxxxx2913</t>
  </si>
  <si>
    <t>xxxxxx2013</t>
  </si>
  <si>
    <t>xxxxxx7742</t>
  </si>
  <si>
    <t>xxxxxx4805</t>
  </si>
  <si>
    <t>xxxxxx2084</t>
  </si>
  <si>
    <t>xxxxxx8256</t>
  </si>
  <si>
    <t>xxxxxx6937</t>
  </si>
  <si>
    <t>xxxxxx3036</t>
  </si>
  <si>
    <t>xxxxxx7988</t>
  </si>
  <si>
    <t>xxxxxx2631</t>
  </si>
  <si>
    <t>xxxxxx8051</t>
  </si>
  <si>
    <t>xxxxxx3271</t>
  </si>
  <si>
    <t>xxxxxx2693</t>
  </si>
  <si>
    <t>xxxxxx4470</t>
  </si>
  <si>
    <t>xxxxxx5160</t>
  </si>
  <si>
    <t>xxxxxx8637</t>
  </si>
  <si>
    <t>xxxxxx6716</t>
  </si>
  <si>
    <t>xxxxxx5154</t>
  </si>
  <si>
    <t>xxxxxx5788</t>
  </si>
  <si>
    <t>xxxxxx6592</t>
  </si>
  <si>
    <t>xxxxxx7848</t>
  </si>
  <si>
    <t>xxxxxx1136</t>
  </si>
  <si>
    <t>xxxxxx4239</t>
  </si>
  <si>
    <t>xxxxxx1111</t>
  </si>
  <si>
    <t>xxxxxx7525</t>
  </si>
  <si>
    <t>xxxxxx7707</t>
  </si>
  <si>
    <t>xxxxxx5452</t>
  </si>
  <si>
    <t>xxxxxx4562</t>
  </si>
  <si>
    <t>xxxxxx7508</t>
  </si>
  <si>
    <t>xxxxxx6670</t>
  </si>
  <si>
    <t>xxxxxx92767</t>
  </si>
  <si>
    <t>xxxxxx3526</t>
  </si>
  <si>
    <t>xxxxxx8077</t>
  </si>
  <si>
    <t>xxxxxx6329</t>
  </si>
  <si>
    <t>xxxxxx8253</t>
  </si>
  <si>
    <t>xxxxxx8406</t>
  </si>
  <si>
    <t>xxxxxx1762</t>
  </si>
  <si>
    <t>xxxxxx1876</t>
  </si>
  <si>
    <t>xxxxxx1135</t>
  </si>
  <si>
    <t>xxxxxx4444</t>
  </si>
  <si>
    <t>xxxxxx3613</t>
  </si>
  <si>
    <t>xxxxxx2876</t>
  </si>
  <si>
    <t>xxxxxx2266</t>
  </si>
  <si>
    <t>xxxxxx1012</t>
  </si>
  <si>
    <t>xxxxxx3826</t>
  </si>
  <si>
    <t>xxxxxx91002</t>
  </si>
  <si>
    <t>xxxxxx7118</t>
  </si>
  <si>
    <t>xxxxxx3040</t>
  </si>
  <si>
    <t>xxxxxx8500</t>
  </si>
  <si>
    <t>xxxxxx1305</t>
  </si>
  <si>
    <t>xxxxxx1483</t>
  </si>
  <si>
    <t>xxxxxx8410</t>
  </si>
  <si>
    <t>xxxxxx3135</t>
  </si>
  <si>
    <t>xxxxxx4466</t>
  </si>
  <si>
    <t>xxxxxx8792</t>
  </si>
  <si>
    <t>xxxxxx2141</t>
  </si>
  <si>
    <t>xxxxxx6812</t>
  </si>
  <si>
    <t>xxxxxx2297</t>
  </si>
  <si>
    <t>xxxxxx7584</t>
  </si>
  <si>
    <t>xxxxxx97487</t>
  </si>
  <si>
    <t>xxxxxx2751</t>
  </si>
  <si>
    <t>xxxxxx6898</t>
  </si>
  <si>
    <t>xxxxxx1713</t>
  </si>
  <si>
    <t>xxxxxx2744</t>
  </si>
  <si>
    <t>xxxxxx7172</t>
  </si>
  <si>
    <t>xxxxxx2357</t>
  </si>
  <si>
    <t>xxxxxx2032</t>
  </si>
  <si>
    <t>xxxxxx4430</t>
  </si>
  <si>
    <t>xxxxxx1730</t>
  </si>
  <si>
    <t>xxxxxx4412</t>
  </si>
  <si>
    <t>xxxxxx7480</t>
  </si>
  <si>
    <t>xxxxxx3754</t>
  </si>
  <si>
    <t>xxxxxx5591</t>
  </si>
  <si>
    <t>xxxxxx8205</t>
  </si>
  <si>
    <t>xxxxxx2591</t>
  </si>
  <si>
    <t>xxxxxx5654</t>
  </si>
  <si>
    <t>xxxxxx2228</t>
  </si>
  <si>
    <t>xxxxxx5512</t>
  </si>
  <si>
    <t>xxxxxx7050</t>
  </si>
  <si>
    <t>xxxxxx3017</t>
  </si>
  <si>
    <t>xxxxxx7926</t>
  </si>
  <si>
    <t>xxxxxx6321</t>
  </si>
  <si>
    <t>xxxxxx4045</t>
  </si>
  <si>
    <t>xxxxxx4155</t>
  </si>
  <si>
    <t>xxxxxx4093</t>
  </si>
  <si>
    <t>xxxxxx6615</t>
  </si>
  <si>
    <t>xxxxxx4628</t>
  </si>
  <si>
    <t>xxxxxx7710</t>
  </si>
  <si>
    <t>xxxxxx6352</t>
  </si>
  <si>
    <t>xxxxxx2819</t>
  </si>
  <si>
    <t>xxxxxx2574</t>
  </si>
  <si>
    <t>xxxxxx5691</t>
  </si>
  <si>
    <t>xxxxxx3574</t>
  </si>
  <si>
    <t>xxxxxx7120</t>
  </si>
  <si>
    <t>xxxxxx3046</t>
  </si>
  <si>
    <t>xxxxxx1385</t>
  </si>
  <si>
    <t>xxxxxx2783</t>
  </si>
  <si>
    <t>xxxxxx5005</t>
  </si>
  <si>
    <t>xxxxxx4262</t>
  </si>
  <si>
    <t>xxxxxx6679</t>
  </si>
  <si>
    <t>xxxxxx3129</t>
  </si>
  <si>
    <t>xxxxxx97643</t>
  </si>
  <si>
    <t>xxxxxx2078</t>
  </si>
  <si>
    <t>xxxxxx6936</t>
  </si>
  <si>
    <t>xxxxxx4855</t>
  </si>
  <si>
    <t>xxxxxx3102</t>
  </si>
  <si>
    <t>xxxxxx2070</t>
  </si>
  <si>
    <t>xxxxxx93115</t>
  </si>
  <si>
    <t>xxxxxx2621</t>
  </si>
  <si>
    <t>xxxxxx5472</t>
  </si>
  <si>
    <t>xxxxxx4117</t>
  </si>
  <si>
    <t>xxxxxx3860</t>
  </si>
  <si>
    <t>xxxxxx2929</t>
  </si>
  <si>
    <t>xxxxxx2541</t>
  </si>
  <si>
    <t>xxxxxx6275</t>
  </si>
  <si>
    <t>xxxxxx3270</t>
  </si>
  <si>
    <t>xxxxxx94175</t>
  </si>
  <si>
    <t>xxxxxx8216</t>
  </si>
  <si>
    <t>xxxxxx3376</t>
  </si>
  <si>
    <t>xxxxxx3495</t>
  </si>
  <si>
    <t>xxxxxx4477</t>
  </si>
  <si>
    <t>xxxxxx7891</t>
  </si>
  <si>
    <t>xxxxxx4282</t>
  </si>
  <si>
    <t>xxxxxx2641</t>
  </si>
  <si>
    <t>xxxxxx5954</t>
  </si>
  <si>
    <t>xxxxxx4006</t>
  </si>
  <si>
    <t>xxxxxx7788</t>
  </si>
  <si>
    <t>xxxxxx4862</t>
  </si>
  <si>
    <t>xxxxxx5012</t>
  </si>
  <si>
    <t>xxxxxx1063</t>
  </si>
  <si>
    <t>xxxxxx4274</t>
  </si>
  <si>
    <t>xxxxxx5397</t>
  </si>
  <si>
    <t>xxxxxx3891</t>
  </si>
  <si>
    <t>xxxxxx8981</t>
  </si>
  <si>
    <t>xxxxxx8614</t>
  </si>
  <si>
    <t>xxxxxx1772</t>
  </si>
  <si>
    <t>xxxxxx6896</t>
  </si>
  <si>
    <t>xxxxxx1560</t>
  </si>
  <si>
    <t>xxxxxx7684</t>
  </si>
  <si>
    <t>xxxxxx8076</t>
  </si>
  <si>
    <t>xxxxxx7181</t>
  </si>
  <si>
    <t>xxxxxx5766</t>
  </si>
  <si>
    <t>xxxxxx1007</t>
  </si>
  <si>
    <t>xxxxxx2112</t>
  </si>
  <si>
    <t>xxxxxx3773</t>
  </si>
  <si>
    <t>xxxxxx8116</t>
  </si>
  <si>
    <t>xxxxxx8619</t>
  </si>
  <si>
    <t>xxxxxx8964</t>
  </si>
  <si>
    <t>xxxxxx4151</t>
  </si>
  <si>
    <t>xxxxxx3628</t>
  </si>
  <si>
    <t>xxxxxx5782</t>
  </si>
  <si>
    <t>xxxxxx2640</t>
  </si>
  <si>
    <t>xxxxxx1459</t>
  </si>
  <si>
    <t>xxxxxx6732</t>
  </si>
  <si>
    <t>xxxxxx1022</t>
  </si>
  <si>
    <t>xxxxxx6502</t>
  </si>
  <si>
    <t>xxxxxx7257</t>
  </si>
  <si>
    <t>xxxxxx6401</t>
  </si>
  <si>
    <t>xxxxxx3742</t>
  </si>
  <si>
    <t>xxxxxx8484</t>
  </si>
  <si>
    <t>xxxxxx7295</t>
  </si>
  <si>
    <t>xxxxxx92876</t>
  </si>
  <si>
    <t>xxxxxx7489</t>
  </si>
  <si>
    <t>xxxxxx96659</t>
  </si>
  <si>
    <t>xxxxxx5846</t>
  </si>
  <si>
    <t>xxxxxx8314</t>
  </si>
  <si>
    <t>xxxxxx5468</t>
  </si>
  <si>
    <t>xxxxxx3441</t>
  </si>
  <si>
    <t>xxxxxx8971</t>
  </si>
  <si>
    <t>xxxxxx2540</t>
  </si>
  <si>
    <t>xxxxxx1936</t>
  </si>
  <si>
    <t>xxxxxx4222</t>
  </si>
  <si>
    <t>xxxxxx8501</t>
  </si>
  <si>
    <t>xxxxxx8361</t>
  </si>
  <si>
    <t>xxxxxx7964</t>
  </si>
  <si>
    <t>xxxxxx6038</t>
  </si>
  <si>
    <t>xxxxxx6496</t>
  </si>
  <si>
    <t>xxxxxx8863</t>
  </si>
  <si>
    <t>xxxxxx6715</t>
  </si>
  <si>
    <t>xxxxxx4975</t>
  </si>
  <si>
    <t>xxxxxx1088</t>
  </si>
  <si>
    <t>xxxxxx8054</t>
  </si>
  <si>
    <t>xxxxxx8324</t>
  </si>
  <si>
    <t>xxxxxx6928</t>
  </si>
  <si>
    <t>xxxxxx2954</t>
  </si>
  <si>
    <t>xxxxxx8974</t>
  </si>
  <si>
    <t>xxxxxx2273</t>
  </si>
  <si>
    <t>xxxxxx2841</t>
  </si>
  <si>
    <t>xxxxxx7714</t>
  </si>
  <si>
    <t>xxxxxx5277</t>
  </si>
  <si>
    <t>xxxxxx4729</t>
  </si>
  <si>
    <t>xxxxxx4557</t>
  </si>
  <si>
    <t>xxxxxx5516</t>
  </si>
  <si>
    <t>xxxxxx7752</t>
  </si>
  <si>
    <t>xxxxxx4662</t>
  </si>
  <si>
    <t>xxxxxx7211</t>
  </si>
  <si>
    <t>xxxxxx8934</t>
  </si>
  <si>
    <t>xxxxxx7420</t>
  </si>
  <si>
    <t>xxxxxx7337</t>
  </si>
  <si>
    <t>xxxxxx5163</t>
  </si>
  <si>
    <t>xxxxxx4969</t>
  </si>
  <si>
    <t>xxxxxx8081</t>
  </si>
  <si>
    <t>xxxxxx6564</t>
  </si>
  <si>
    <t>xxxxxx2393</t>
  </si>
  <si>
    <t>xxxxxx6924</t>
  </si>
  <si>
    <t>xxxxxx1823</t>
  </si>
  <si>
    <t>xxxxxx8029</t>
  </si>
  <si>
    <t>xxxxxx7465</t>
  </si>
  <si>
    <t>xxxxxx1873</t>
  </si>
  <si>
    <t>xxxxxx6119</t>
  </si>
  <si>
    <t>xxxxxx4817</t>
  </si>
  <si>
    <t>xxxxxx5800</t>
  </si>
  <si>
    <t>xxxxxx6085</t>
  </si>
  <si>
    <t>xxxxxx5108</t>
  </si>
  <si>
    <t>xxxxxx5642</t>
  </si>
  <si>
    <t>xxxxxx8186</t>
  </si>
  <si>
    <t>xxxxxx4669</t>
  </si>
  <si>
    <t>xxxxxx6945</t>
  </si>
  <si>
    <t>xxxxxx3862</t>
  </si>
  <si>
    <t>xxxxxx3070</t>
  </si>
  <si>
    <t>xxxxxx8267</t>
  </si>
  <si>
    <t>xxxxxx5557</t>
  </si>
  <si>
    <t>xxxxxx6706</t>
  </si>
  <si>
    <t>xxxxxx6680</t>
  </si>
  <si>
    <t>xxxxxx7959</t>
  </si>
  <si>
    <t>xxxxxx3350</t>
  </si>
  <si>
    <t>xxxxxx4025</t>
  </si>
  <si>
    <t>xxxxxx7849</t>
  </si>
  <si>
    <t>xxxxxx2685</t>
  </si>
  <si>
    <t>xxxxxx6032</t>
  </si>
  <si>
    <t>xxxxxx2226</t>
  </si>
  <si>
    <t>xxxxxx1214</t>
  </si>
  <si>
    <t>xxxxxx5768</t>
  </si>
  <si>
    <t>xxxxxx6471</t>
  </si>
  <si>
    <t>xxxxxx7735</t>
  </si>
  <si>
    <t>xxxxxx1231</t>
  </si>
  <si>
    <t>xxxxxx7062</t>
  </si>
  <si>
    <t>xxxxxx5919</t>
  </si>
  <si>
    <t>xxxxxx1320</t>
  </si>
  <si>
    <t>xxxxxx8360</t>
  </si>
  <si>
    <t>xxxxxx4600</t>
  </si>
  <si>
    <t>xxxxxx3630</t>
  </si>
  <si>
    <t>xxxxxx7748</t>
  </si>
  <si>
    <t>xxxxxx2232</t>
  </si>
  <si>
    <t>xxxxxx8583</t>
  </si>
  <si>
    <t>xxxxxx3570</t>
  </si>
  <si>
    <t>xxxxxx2612</t>
  </si>
  <si>
    <t>xxxxxx3406</t>
  </si>
  <si>
    <t>xxxxxx6021</t>
  </si>
  <si>
    <t>xxxxxx8986</t>
  </si>
  <si>
    <t>xxxxxx6922</t>
  </si>
  <si>
    <t>xxxxxx8703</t>
  </si>
  <si>
    <t>xxxxxx2835</t>
  </si>
  <si>
    <t>xxxxxx4825</t>
  </si>
  <si>
    <t>xxxxxx4233</t>
  </si>
  <si>
    <t>xxxxxx3973</t>
  </si>
  <si>
    <t>xxxxxx4777</t>
  </si>
  <si>
    <t>xxxxxx5820</t>
  </si>
  <si>
    <t>xxxxxx1625</t>
  </si>
  <si>
    <t>xxxxxx8026</t>
  </si>
  <si>
    <t>xxxxxx7621</t>
  </si>
  <si>
    <t>xxxxxx4804</t>
  </si>
  <si>
    <t>xxxxxx5714</t>
  </si>
  <si>
    <t>xxxxxx3216</t>
  </si>
  <si>
    <t>xxxxxx8053</t>
  </si>
  <si>
    <t>xxxxxx8512</t>
  </si>
  <si>
    <t>xxxxxx4150</t>
  </si>
  <si>
    <t>xxxxxx8505</t>
  </si>
  <si>
    <t>xxxxxx7738</t>
  </si>
  <si>
    <t>xxxxxx3281</t>
  </si>
  <si>
    <t>xxxxxx5878</t>
  </si>
  <si>
    <t>xxxxxx3669</t>
  </si>
  <si>
    <t>xxxxxx8336</t>
  </si>
  <si>
    <t>xxxxxx4640</t>
  </si>
  <si>
    <t>xxxxxx1131</t>
  </si>
  <si>
    <t>xxxxxx3284</t>
  </si>
  <si>
    <t>xxxxxx7336</t>
  </si>
  <si>
    <t>xxxxxx5816</t>
  </si>
  <si>
    <t>xxxxxx2101</t>
  </si>
  <si>
    <t>xxxxxx3918</t>
  </si>
  <si>
    <t>xxxxxx3758</t>
  </si>
  <si>
    <t>xxxxxx1906</t>
  </si>
  <si>
    <t>xxxxxx8307</t>
  </si>
  <si>
    <t>xxxxxx5116</t>
  </si>
  <si>
    <t>xxxxxx7145</t>
  </si>
  <si>
    <t>xxxxxx7261</t>
  </si>
  <si>
    <t>xxxxxx7157</t>
  </si>
  <si>
    <t>xxxxxx6648</t>
  </si>
  <si>
    <t>xxxxxx5396</t>
  </si>
  <si>
    <t>xxxxxx2014</t>
  </si>
  <si>
    <t>xxxxxx3548</t>
  </si>
  <si>
    <t>xxxxxx2626</t>
  </si>
  <si>
    <t>xxxxxx2060</t>
  </si>
  <si>
    <t>xxxxxx6086</t>
  </si>
  <si>
    <t>xxxxxx6383</t>
  </si>
  <si>
    <t>xxxxxx4051</t>
  </si>
  <si>
    <t>xxxxxx1997</t>
  </si>
  <si>
    <t>xxxxxx5563</t>
  </si>
  <si>
    <t>xxxxxx7833</t>
  </si>
  <si>
    <t>xxxxxx2887</t>
  </si>
  <si>
    <t>xxxxxx2298</t>
  </si>
  <si>
    <t>xxxxxx6091</t>
  </si>
  <si>
    <t>xxxxxx3166</t>
  </si>
  <si>
    <t>xxxxxx6699</t>
  </si>
  <si>
    <t>xxxxxx5896</t>
  </si>
  <si>
    <t>xxxxxx8370</t>
  </si>
  <si>
    <t>xxxxxx5375</t>
  </si>
  <si>
    <t>xxxxxx1352</t>
  </si>
  <si>
    <t>xxxxxx3141</t>
  </si>
  <si>
    <t>xxxxxx7319</t>
  </si>
  <si>
    <t>xxxxxx3224</t>
  </si>
  <si>
    <t>xxxxxx2363</t>
  </si>
  <si>
    <t>xxxxxx1614</t>
  </si>
  <si>
    <t>xxxxxx5722</t>
  </si>
  <si>
    <t>xxxxxx5127</t>
  </si>
  <si>
    <t>xxxxxx7805</t>
  </si>
  <si>
    <t>xxxxxx1719</t>
  </si>
  <si>
    <t>xxxxxx3989</t>
  </si>
  <si>
    <t>xxxxxx5890</t>
  </si>
  <si>
    <t>xxxxxx3359</t>
  </si>
  <si>
    <t>xxxxxx5615</t>
  </si>
  <si>
    <t>xxxxxx3983</t>
  </si>
  <si>
    <t>xxxxxx2715</t>
  </si>
  <si>
    <t>xxxxxx3095</t>
  </si>
  <si>
    <t>xxxxxx8047</t>
  </si>
  <si>
    <t>xxxxxx5604</t>
  </si>
  <si>
    <t>xxxxxx6661</t>
  </si>
  <si>
    <t>xxxxxx91866</t>
  </si>
  <si>
    <t>xxxxxx1853</t>
  </si>
  <si>
    <t>xxxxxx3276</t>
  </si>
  <si>
    <t>xxxxxx5841</t>
  </si>
  <si>
    <t>xxxxxx2989</t>
  </si>
  <si>
    <t>xxxxxx8557</t>
  </si>
  <si>
    <t>xxxxxx6739</t>
  </si>
  <si>
    <t>xxxxxx3360</t>
  </si>
  <si>
    <t>xxxxxx7801</t>
  </si>
  <si>
    <t>xxxxxx5778</t>
  </si>
  <si>
    <t>xxxxxx95122</t>
  </si>
  <si>
    <t>xxxxxx6033</t>
  </si>
  <si>
    <t>xxxxxx5787</t>
  </si>
  <si>
    <t>xxxxxx6939</t>
  </si>
  <si>
    <t>xxxxxx8227</t>
  </si>
  <si>
    <t>xxxxxx7188</t>
  </si>
  <si>
    <t>xxxxxx6489</t>
  </si>
  <si>
    <t>xxxxxx6001</t>
  </si>
  <si>
    <t>xxxxxx2205</t>
  </si>
  <si>
    <t>xxxxxx6155</t>
  </si>
  <si>
    <t>xxxxxx3913</t>
  </si>
  <si>
    <t>xxxxxx6319</t>
  </si>
  <si>
    <t>xxxxxx6084</t>
  </si>
  <si>
    <t>xxxxxx4863</t>
  </si>
  <si>
    <t>xxxxxx8214</t>
  </si>
  <si>
    <t>xxxxxx4926</t>
  </si>
  <si>
    <t>xxxxxx3413</t>
  </si>
  <si>
    <t>xxxxxx2523</t>
  </si>
  <si>
    <t>xxxxxx6035</t>
  </si>
  <si>
    <t>xxxxxx7921</t>
  </si>
  <si>
    <t>xxxxxx2590</t>
  </si>
  <si>
    <t>xxxxxx8432</t>
  </si>
  <si>
    <t>xxxxxx1966</t>
  </si>
  <si>
    <t>xxxxxx1558</t>
  </si>
  <si>
    <t>xxxxxx8448</t>
  </si>
  <si>
    <t>xxxxxx1200</t>
  </si>
  <si>
    <t>xxxxxx4947</t>
  </si>
  <si>
    <t>xxxxxx1068</t>
  </si>
  <si>
    <t>xxxxxx7612</t>
  </si>
  <si>
    <t>xxxxxx2691</t>
  </si>
  <si>
    <t>xxxxxx6499</t>
  </si>
  <si>
    <t>xxxxxx6061</t>
  </si>
  <si>
    <t>xxxxxx8245</t>
  </si>
  <si>
    <t>xxxxxx4443</t>
  </si>
  <si>
    <t>xxxxxx5913</t>
  </si>
  <si>
    <t>xxxxxx6887</t>
  </si>
  <si>
    <t>xxxxxx8997</t>
  </si>
  <si>
    <t>xxxxxx1149</t>
  </si>
  <si>
    <t>xxxxxx3168</t>
  </si>
  <si>
    <t>xxxxxx2447</t>
  </si>
  <si>
    <t>xxxxxx5857</t>
  </si>
  <si>
    <t>xxxxxx4011</t>
  </si>
  <si>
    <t>xxxxxx5489</t>
  </si>
  <si>
    <t>xxxxxx2348</t>
  </si>
  <si>
    <t>xxxxxx8719</t>
  </si>
  <si>
    <t>xxxxxx8816</t>
  </si>
  <si>
    <t>xxxxxx4347</t>
  </si>
  <si>
    <t>xxxxxx8876</t>
  </si>
  <si>
    <t>xxxxxx1079</t>
  </si>
  <si>
    <t>xxxxxx4745</t>
  </si>
  <si>
    <t>xxxxxx8251</t>
  </si>
  <si>
    <t>xxxxxx95924</t>
  </si>
  <si>
    <t>xxxxxx3945</t>
  </si>
  <si>
    <t>xxxxxx2890</t>
  </si>
  <si>
    <t>xxxxxx6997</t>
  </si>
  <si>
    <t>xxxxxx8049</t>
  </si>
  <si>
    <t>xxxxxx6149</t>
  </si>
  <si>
    <t>xxxxxx6421</t>
  </si>
  <si>
    <t>xxxxxx1173</t>
  </si>
  <si>
    <t>xxxxxx3356</t>
  </si>
  <si>
    <t>xxxxxx6577</t>
  </si>
  <si>
    <t>xxxxxx2035</t>
  </si>
  <si>
    <t>xxxxxx3637</t>
  </si>
  <si>
    <t>xxxxxx1480</t>
  </si>
  <si>
    <t>xxxxxx4055</t>
  </si>
  <si>
    <t>xxxxxx4153</t>
  </si>
  <si>
    <t>xxxxxx3137</t>
  </si>
  <si>
    <t>xxxxxx5470</t>
  </si>
  <si>
    <t>xxxxxx1854</t>
  </si>
  <si>
    <t>xxxxxx7239</t>
  </si>
  <si>
    <t>xxxxxx4064</t>
  </si>
  <si>
    <t>xxxxxx8126</t>
  </si>
  <si>
    <t>xxxxxx5064</t>
  </si>
  <si>
    <t>xxxxxx2484</t>
  </si>
  <si>
    <t>xxxxxx5253</t>
  </si>
  <si>
    <t>xxxxxx5939</t>
  </si>
  <si>
    <t>xxxxxx93818</t>
  </si>
  <si>
    <t>xxxxxx8078</t>
  </si>
  <si>
    <t>xxxxxx5006</t>
  </si>
  <si>
    <t>xxxxxx1080</t>
  </si>
  <si>
    <t>xxxxxx2739</t>
  </si>
  <si>
    <t>xxxxxx1381</t>
  </si>
  <si>
    <t>xxxxxx3601</t>
  </si>
  <si>
    <t>xxxxxx1727</t>
  </si>
  <si>
    <t>xxxxxx2976</t>
  </si>
  <si>
    <t>xxxxxx1272</t>
  </si>
  <si>
    <t>xxxxxx2773</t>
  </si>
  <si>
    <t>xxxxxx1168</t>
  </si>
  <si>
    <t>xxxxxx6647</t>
  </si>
  <si>
    <t>xxxxxx3089</t>
  </si>
  <si>
    <t>xxxxxx8834</t>
  </si>
  <si>
    <t>xxxxxx4103</t>
  </si>
  <si>
    <t>xxxxxx7284</t>
  </si>
  <si>
    <t>xxxxxx97555</t>
  </si>
  <si>
    <t>xxxxxx1067</t>
  </si>
  <si>
    <t>xxxxxx2063</t>
  </si>
  <si>
    <t>xxxxxx7191</t>
  </si>
  <si>
    <t>xxxxxx1249</t>
  </si>
  <si>
    <t>xxxxxx5732</t>
  </si>
  <si>
    <t>xxxxxx4503</t>
  </si>
  <si>
    <t>xxxxxx8556</t>
  </si>
  <si>
    <t>xxxxxx4486</t>
  </si>
  <si>
    <t>xxxxxx4842</t>
  </si>
  <si>
    <t>xxxxxx1633</t>
  </si>
  <si>
    <t>xxxxxx6825</t>
  </si>
  <si>
    <t>xxxxxx1205</t>
  </si>
  <si>
    <t>xxxxxx5731</t>
  </si>
  <si>
    <t>xxxxxx7867</t>
  </si>
  <si>
    <t>xxxxxx6950</t>
  </si>
  <si>
    <t>xxxxxx7167</t>
  </si>
  <si>
    <t>xxxxxx2053</t>
  </si>
  <si>
    <t>xxxxxx1652</t>
  </si>
  <si>
    <t>xxxxxx4991</t>
  </si>
  <si>
    <t>xxxxxx1532</t>
  </si>
  <si>
    <t>xxxxxx4760</t>
  </si>
  <si>
    <t>xxxxxx4652</t>
  </si>
  <si>
    <t>xxxxxx6231</t>
  </si>
  <si>
    <t>xxxxxx6376</t>
  </si>
  <si>
    <t>xxxxxx6579</t>
  </si>
  <si>
    <t>xxxxxx2211</t>
  </si>
  <si>
    <t>xxxxxx4876</t>
  </si>
  <si>
    <t>xxxxxx8233</t>
  </si>
  <si>
    <t>xxxxxx3097</t>
  </si>
  <si>
    <t>xxxxxx5551</t>
  </si>
  <si>
    <t>xxxxxx4366</t>
  </si>
  <si>
    <t>xxxxxx1497</t>
  </si>
  <si>
    <t>xxxxxx7448</t>
  </si>
  <si>
    <t>xxxxxx4168</t>
  </si>
  <si>
    <t>xxxxxx6434</t>
  </si>
  <si>
    <t>xxxxxx5747</t>
  </si>
  <si>
    <t>xxxxxx7358</t>
  </si>
  <si>
    <t>xxxxxx6259</t>
  </si>
  <si>
    <t>xxxxxx5138</t>
  </si>
  <si>
    <t>xxxxxx4978</t>
  </si>
  <si>
    <t>xxxxxx5995</t>
  </si>
  <si>
    <t>xxxxxx4851</t>
  </si>
  <si>
    <t>xxxxxx2017</t>
  </si>
  <si>
    <t>xxxxxx6603</t>
  </si>
  <si>
    <t>xxxxxx5695</t>
  </si>
  <si>
    <t>xxxxxx4816</t>
  </si>
  <si>
    <t>xxxxxx8452</t>
  </si>
  <si>
    <t>xxxxxx2478</t>
  </si>
  <si>
    <t>xxxxxx4566</t>
  </si>
  <si>
    <t>xxxxxx7082</t>
  </si>
  <si>
    <t>xxxxxx8068</t>
  </si>
  <si>
    <t>xxxxxx5501</t>
  </si>
  <si>
    <t>xxxxxx3875</t>
  </si>
  <si>
    <t>xxxxxx3252</t>
  </si>
  <si>
    <t>xxxxxx6549</t>
  </si>
  <si>
    <t>xxxxxx3118</t>
  </si>
  <si>
    <t>xxxxxx8337</t>
  </si>
  <si>
    <t>xxxxxx4894</t>
  </si>
  <si>
    <t>xxxxxx6054</t>
  </si>
  <si>
    <t>xxxxxx7127</t>
  </si>
  <si>
    <t>xxxxxx6931</t>
  </si>
  <si>
    <t>xxxxxx2303</t>
  </si>
  <si>
    <t>xxxxxx6027</t>
  </si>
  <si>
    <t>xxxxxx7813</t>
  </si>
  <si>
    <t>xxxxxx8270</t>
  </si>
  <si>
    <t>xxxxxx6834</t>
  </si>
  <si>
    <t>xxxxxx3422</t>
  </si>
  <si>
    <t>xxxxxx3661</t>
  </si>
  <si>
    <t>xxxxxx6944</t>
  </si>
  <si>
    <t>xxxxxx5333</t>
  </si>
  <si>
    <t>xxxxxx5339</t>
  </si>
  <si>
    <t>xxxxxx2465</t>
  </si>
  <si>
    <t>xxxxxx7229</t>
  </si>
  <si>
    <t>xxxxxx6225</t>
  </si>
  <si>
    <t>xxxxxx4814</t>
  </si>
  <si>
    <t>xxxxxx2649</t>
  </si>
  <si>
    <t>xxxxxx2993</t>
  </si>
  <si>
    <t>xxxxxx6214</t>
  </si>
  <si>
    <t>xxxxxx6722</t>
  </si>
  <si>
    <t>xxxxxx4807</t>
  </si>
  <si>
    <t>xxxxxx6623</t>
  </si>
  <si>
    <t>xxxxxx4849</t>
  </si>
  <si>
    <t>xxxxxx5664</t>
  </si>
  <si>
    <t>xxxxxx7909</t>
  </si>
  <si>
    <t>xxxxxx1934</t>
  </si>
  <si>
    <t>xxxxxx8635</t>
  </si>
  <si>
    <t>xxxxxx3690</t>
  </si>
  <si>
    <t>xxxxxx2636</t>
  </si>
  <si>
    <t>xxxxxx5124</t>
  </si>
  <si>
    <t>xxxxxx7041</t>
  </si>
  <si>
    <t>xxxxxx2247</t>
  </si>
  <si>
    <t>xxxxxx5911</t>
  </si>
  <si>
    <t>xxxxxx4696</t>
  </si>
  <si>
    <t>xxxxxx6594</t>
  </si>
  <si>
    <t>xxxxxx8861</t>
  </si>
  <si>
    <t>xxxxxx6177</t>
  </si>
  <si>
    <t>xxxxxx2259</t>
  </si>
  <si>
    <t>xxxxxx6461</t>
  </si>
  <si>
    <t>xxxxxx5434</t>
  </si>
  <si>
    <t>xxxxxx8730</t>
  </si>
  <si>
    <t>xxxxxx3480</t>
  </si>
  <si>
    <t>xxxxxx4568</t>
  </si>
  <si>
    <t>xxxxxx5827</t>
  </si>
  <si>
    <t>xxxxxx6693</t>
  </si>
  <si>
    <t>xxxxxx3537</t>
  </si>
  <si>
    <t>xxxxxx7240</t>
  </si>
  <si>
    <t>xxxxxx7699</t>
  </si>
  <si>
    <t>xxxxxx8292</t>
  </si>
  <si>
    <t>xxxxxx6524</t>
  </si>
  <si>
    <t>xxxxxx1466</t>
  </si>
  <si>
    <t>xxxxxx4683</t>
  </si>
  <si>
    <t>xxxxxx6326</t>
  </si>
  <si>
    <t>xxxxxx7370</t>
  </si>
  <si>
    <t>xxxxxx6859</t>
  </si>
  <si>
    <t>xxxxxx1097</t>
  </si>
  <si>
    <t>xxxxxx5341</t>
  </si>
  <si>
    <t>xxxxxx8369</t>
  </si>
  <si>
    <t>xxxxxx6201</t>
  </si>
  <si>
    <t>xxxxxx3172</t>
  </si>
  <si>
    <t>xxxxxx5649</t>
  </si>
  <si>
    <t>xxxxxx4191</t>
  </si>
  <si>
    <t>xxxxxx2720</t>
  </si>
  <si>
    <t>xxxxxx4270</t>
  </si>
  <si>
    <t>xxxxxx95578</t>
  </si>
  <si>
    <t>xxxxxx8977</t>
  </si>
  <si>
    <t>xxxxxx2120</t>
  </si>
  <si>
    <t>xxxxxx8405</t>
  </si>
  <si>
    <t>xxxxxx8531</t>
  </si>
  <si>
    <t>xxxxxx4152</t>
  </si>
  <si>
    <t>xxxxxx4350</t>
  </si>
  <si>
    <t>xxxxxx6562</t>
  </si>
  <si>
    <t>xxxxxx1616</t>
  </si>
  <si>
    <t>xxxxxx4145</t>
  </si>
  <si>
    <t>xxxxxx1159</t>
  </si>
  <si>
    <t>xxxxxx6929</t>
  </si>
  <si>
    <t>xxxxxx7948</t>
  </si>
  <si>
    <t>xxxxxx2073</t>
  </si>
  <si>
    <t>xxxxxx8480</t>
  </si>
  <si>
    <t>xxxxxx7751</t>
  </si>
  <si>
    <t>xxxxxx7807</t>
  </si>
  <si>
    <t>xxxxxx8128</t>
  </si>
  <si>
    <t>xxxxxx2191</t>
  </si>
  <si>
    <t>xxxxxx6889</t>
  </si>
  <si>
    <t>xxxxxx8190</t>
  </si>
  <si>
    <t>xxxxxx1858</t>
  </si>
  <si>
    <t>xxxxxx6965</t>
  </si>
  <si>
    <t>xxxxxx1660</t>
  </si>
  <si>
    <t>xxxxxx7923</t>
  </si>
  <si>
    <t>xxxxxx2871</t>
  </si>
  <si>
    <t>xxxxxx2877</t>
  </si>
  <si>
    <t>xxxxxx6450</t>
  </si>
  <si>
    <t>xxxxxx3329</t>
  </si>
  <si>
    <t>xxxxxx2313</t>
  </si>
  <si>
    <t>xxxxxx6984</t>
  </si>
  <si>
    <t>xxxxxx6672</t>
  </si>
  <si>
    <t>xxxxxx4049</t>
  </si>
  <si>
    <t>xxxxxx2780</t>
  </si>
  <si>
    <t>xxxxxx3263</t>
  </si>
  <si>
    <t>xxxxxx1829</t>
  </si>
  <si>
    <t>xxxxxx4518</t>
  </si>
  <si>
    <t>xxxxxx6760</t>
  </si>
  <si>
    <t>xxxxxx8164</t>
  </si>
  <si>
    <t>xxxxxx6482</t>
  </si>
  <si>
    <t>xxxxxx5206</t>
  </si>
  <si>
    <t>xxxxxx90736</t>
  </si>
  <si>
    <t>xxxxxx4962</t>
  </si>
  <si>
    <t>xxxxxx4874</t>
  </si>
  <si>
    <t>xxxxxx2767</t>
  </si>
  <si>
    <t>xxxxxx3405</t>
  </si>
  <si>
    <t>xxxxxx6194</t>
  </si>
  <si>
    <t>xxxxxx3231</t>
  </si>
  <si>
    <t>xxxxxx2214</t>
  </si>
  <si>
    <t>xxxxxx1515</t>
  </si>
  <si>
    <t>xxxxxx8904</t>
  </si>
  <si>
    <t>xxxxxx6476</t>
  </si>
  <si>
    <t>xxxxxx3677</t>
  </si>
  <si>
    <t>xxxxxx1541</t>
  </si>
  <si>
    <t>xxxxxx4373</t>
  </si>
  <si>
    <t>xxxxxx8585</t>
  </si>
  <si>
    <t>xxxxxx6575</t>
  </si>
  <si>
    <t>xxxxxx5668</t>
  </si>
  <si>
    <t>xxxxxx7859</t>
  </si>
  <si>
    <t>xxxxxx5183</t>
  </si>
  <si>
    <t>xxxxxx6767</t>
  </si>
  <si>
    <t>xxxxxx1256</t>
  </si>
  <si>
    <t>xxxxxx2996</t>
  </si>
  <si>
    <t>xxxxxx1874</t>
  </si>
  <si>
    <t>xxxxxx7495</t>
  </si>
  <si>
    <t>xxxxxx7546</t>
  </si>
  <si>
    <t>xxxxxx8902</t>
  </si>
  <si>
    <t>xxxxxx6057</t>
  </si>
  <si>
    <t>xxxxxx4341</t>
  </si>
  <si>
    <t>xxxxxx1127</t>
  </si>
  <si>
    <t>xxxxxx2268</t>
  </si>
  <si>
    <t>xxxxxx1475</t>
  </si>
  <si>
    <t>xxxxxx5225</t>
  </si>
  <si>
    <t>xxxxxx2897</t>
  </si>
  <si>
    <t>xxxxxx4050</t>
  </si>
  <si>
    <t>xxxxxx7421</t>
  </si>
  <si>
    <t>xxxxxx5118</t>
  </si>
  <si>
    <t>xxxxxx7671</t>
  </si>
  <si>
    <t>xxxxxx6337</t>
  </si>
  <si>
    <t>xxxxxx8294</t>
  </si>
  <si>
    <t>xxxxxx3845</t>
  </si>
  <si>
    <t>xxxxxx3905</t>
  </si>
  <si>
    <t>xxxxxx4028</t>
  </si>
  <si>
    <t>xxxxxx4406</t>
  </si>
  <si>
    <t>xxxxxx2234</t>
  </si>
  <si>
    <t>xxxxxx5669</t>
  </si>
  <si>
    <t>xxxxxx5318</t>
  </si>
  <si>
    <t>xxxxxx1669</t>
  </si>
  <si>
    <t>xxxxxx93688</t>
  </si>
  <si>
    <t>xxxxxx3600</t>
  </si>
  <si>
    <t>xxxxxx2706</t>
  </si>
  <si>
    <t>xxxxxx2209</t>
  </si>
  <si>
    <t>xxxxxx8172</t>
  </si>
  <si>
    <t>xxxxxx4751</t>
  </si>
  <si>
    <t>xxxxxx8365</t>
  </si>
  <si>
    <t>xxxxxx7366</t>
  </si>
  <si>
    <t>xxxxxx5336</t>
  </si>
  <si>
    <t>xxxxxx3055</t>
  </si>
  <si>
    <t>xxxxxx8990</t>
  </si>
  <si>
    <t>xxxxxx8163</t>
  </si>
  <si>
    <t>xxxxxx3767</t>
  </si>
  <si>
    <t>xxxxxx1750</t>
  </si>
  <si>
    <t>xxxxxx1529</t>
  </si>
  <si>
    <t>xxxxxx4291</t>
  </si>
  <si>
    <t>xxxxxx2677</t>
  </si>
  <si>
    <t>xxxxxx4775</t>
  </si>
  <si>
    <t>xxxxxx6189</t>
  </si>
  <si>
    <t>xxxxxx8678</t>
  </si>
  <si>
    <t>xxxxxx5462</t>
  </si>
  <si>
    <t>xxxxxx3432</t>
  </si>
  <si>
    <t>xxxxxx6331</t>
  </si>
  <si>
    <t>xxxxxx8733</t>
  </si>
  <si>
    <t>xxxxxx2675</t>
  </si>
  <si>
    <t>xxxxxx5730</t>
  </si>
  <si>
    <t>xxxxxx2130</t>
  </si>
  <si>
    <t>xxxxxx3364</t>
  </si>
  <si>
    <t>xxxxxx5792</t>
  </si>
  <si>
    <t>xxxxxx5302</t>
  </si>
  <si>
    <t>xxxxxx8377</t>
  </si>
  <si>
    <t>xxxxxx2294</t>
  </si>
  <si>
    <t>xxxxxx1367</t>
  </si>
  <si>
    <t>xxxxxx4590</t>
  </si>
  <si>
    <t>xxxxxx7298</t>
  </si>
  <si>
    <t>xxxxxx5186</t>
  </si>
  <si>
    <t>xxxxxx1109</t>
  </si>
  <si>
    <t>xxxxxx2563</t>
  </si>
  <si>
    <t>xxxxxx8203</t>
  </si>
  <si>
    <t>xxxxxx6343</t>
  </si>
  <si>
    <t>xxxxxx8464</t>
  </si>
  <si>
    <t>xxxxxx7359</t>
  </si>
  <si>
    <t>xxxxxx7871</t>
  </si>
  <si>
    <t>xxxxxx2105</t>
  </si>
  <si>
    <t>xxxxxx3446</t>
  </si>
  <si>
    <t>xxxxxx3580</t>
  </si>
  <si>
    <t>xxxxxx2110</t>
  </si>
  <si>
    <t>xxxxxx5690</t>
  </si>
  <si>
    <t>xxxxxx7504</t>
  </si>
  <si>
    <t>xxxxxx2747</t>
  </si>
  <si>
    <t>xxxxxx6651</t>
  </si>
  <si>
    <t>xxxxxx8812</t>
  </si>
  <si>
    <t>xxxxxx3711</t>
  </si>
  <si>
    <t>xxxxxx7979</t>
  </si>
  <si>
    <t>xxxxxx7479</t>
  </si>
  <si>
    <t>xxxxxx8094</t>
  </si>
  <si>
    <t>xxxxxx6640</t>
  </si>
  <si>
    <t>xxxxxx6335</t>
  </si>
  <si>
    <t>xxxxxx6858</t>
  </si>
  <si>
    <t>xxxxxx7906</t>
  </si>
  <si>
    <t>xxxxxx2499</t>
  </si>
  <si>
    <t>xxxxxx7347</t>
  </si>
  <si>
    <t>xxxxxx1364</t>
  </si>
  <si>
    <t>xxxxxx95219</t>
  </si>
  <si>
    <t>xxxxxx5089</t>
  </si>
  <si>
    <t>xxxxxx2785</t>
  </si>
  <si>
    <t>xxxxxx1788</t>
  </si>
  <si>
    <t>xxxxxx7601</t>
  </si>
  <si>
    <t>xxxxxx6688</t>
  </si>
  <si>
    <t>xxxxxx8727</t>
  </si>
  <si>
    <t>xxxxxx6644</t>
  </si>
  <si>
    <t>xxxxxx8185</t>
  </si>
  <si>
    <t>xxxxxx2918</t>
  </si>
  <si>
    <t>xxxxxx4469</t>
  </si>
  <si>
    <t>xxxxxx6212</t>
  </si>
  <si>
    <t>xxxxxx6632</t>
  </si>
  <si>
    <t>xxxxxx6219</t>
  </si>
  <si>
    <t>xxxxxx6204</t>
  </si>
  <si>
    <t>xxxxxx2811</t>
  </si>
  <si>
    <t>xxxxxx4893</t>
  </si>
  <si>
    <t>xxxxxx8984</t>
  </si>
  <si>
    <t>xxxxxx6193</t>
  </si>
  <si>
    <t>xxxxxx7049</t>
  </si>
  <si>
    <t>xxxxxx4761</t>
  </si>
  <si>
    <t>xxxxxx8098</t>
  </si>
  <si>
    <t>xxxxxx1207</t>
  </si>
  <si>
    <t>xxxxxx8562</t>
  </si>
  <si>
    <t>xxxxxx3780</t>
  </si>
  <si>
    <t>xxxxxx1242</t>
  </si>
  <si>
    <t>xxxxxx2095</t>
  </si>
  <si>
    <t>xxxxxx8119</t>
  </si>
  <si>
    <t>xxxxxx5862</t>
  </si>
  <si>
    <t>xxxxxx7843</t>
  </si>
  <si>
    <t>xxxxxx8415</t>
  </si>
  <si>
    <t>xxxxxx3799</t>
  </si>
  <si>
    <t>xxxxxx2430</t>
  </si>
  <si>
    <t>xxxxxx7763</t>
  </si>
  <si>
    <t>xxxxxx3282</t>
  </si>
  <si>
    <t>xxxxxx4717</t>
  </si>
  <si>
    <t>xxxxxx6653</t>
  </si>
  <si>
    <t>xxxxxx2240</t>
  </si>
  <si>
    <t>xxxxxx5423</t>
  </si>
  <si>
    <t>xxxxxx3022</t>
  </si>
  <si>
    <t>xxxxxx6952</t>
  </si>
  <si>
    <t>xxxxxx6040</t>
  </si>
  <si>
    <t>xxxxxx6278</t>
  </si>
  <si>
    <t>xxxxxx4784</t>
  </si>
  <si>
    <t>xxxxxx1984</t>
  </si>
  <si>
    <t>xxxxxx4806</t>
  </si>
  <si>
    <t>xxxxxx3790</t>
  </si>
  <si>
    <t>xxxxxx1033</t>
  </si>
  <si>
    <t>xxxxxx6571</t>
  </si>
  <si>
    <t>xxxxxx3825</t>
  </si>
  <si>
    <t>xxxxxx3831</t>
  </si>
  <si>
    <t>xxxxxx5977</t>
  </si>
  <si>
    <t>xxxxxx8972</t>
  </si>
  <si>
    <t>xxxxxx7853</t>
  </si>
  <si>
    <t>xxxxxx7996</t>
  </si>
  <si>
    <t>xxxxxx7611</t>
  </si>
  <si>
    <t>xxxxxx92681</t>
  </si>
  <si>
    <t>xxxxxx7674</t>
  </si>
  <si>
    <t>xxxxxx2152</t>
  </si>
  <si>
    <t>xxxxxx4476</t>
  </si>
  <si>
    <t>xxxxxx3074</t>
  </si>
  <si>
    <t>xxxxxx6366</t>
  </si>
  <si>
    <t>xxxxxx8443</t>
  </si>
  <si>
    <t>xxxxxx1594</t>
  </si>
  <si>
    <t>xxxxxx6348</t>
  </si>
  <si>
    <t>xxxxxx2412</t>
  </si>
  <si>
    <t>xxxxxx1831</t>
  </si>
  <si>
    <t>xxxxxx8460</t>
  </si>
  <si>
    <t>xxxxxx7729</t>
  </si>
  <si>
    <t>xxxxxx5267</t>
  </si>
  <si>
    <t>xxxxxx7803</t>
  </si>
  <si>
    <t>xxxxxx3575</t>
  </si>
  <si>
    <t>xxxxxx4618</t>
  </si>
  <si>
    <t>xxxxxx1380</t>
  </si>
  <si>
    <t>xxxxxx1148</t>
  </si>
  <si>
    <t>xxxxxx1103</t>
  </si>
  <si>
    <t>xxxxxx4879</t>
  </si>
  <si>
    <t>xxxxxx5044</t>
  </si>
  <si>
    <t>xxxxxx6025</t>
  </si>
  <si>
    <t>xxxxxx5518</t>
  </si>
  <si>
    <t>xxxxxx96541</t>
  </si>
  <si>
    <t>xxxxxx2960</t>
  </si>
  <si>
    <t>xxxxxx8680</t>
  </si>
  <si>
    <t>xxxxxx5965</t>
  </si>
  <si>
    <t>xxxxxx2249</t>
  </si>
  <si>
    <t>xxxxxx1116</t>
  </si>
  <si>
    <t>xxxxxx90754</t>
  </si>
  <si>
    <t>xxxxxx1379</t>
  </si>
  <si>
    <t>xxxxxx1041</t>
  </si>
  <si>
    <t>xxxxxx1017</t>
  </si>
  <si>
    <t>xxxxxx2689</t>
  </si>
  <si>
    <t>xxxxxx8763</t>
  </si>
  <si>
    <t>xxxxxx1283</t>
  </si>
  <si>
    <t>xxxxxx7841</t>
  </si>
  <si>
    <t>xxxxxx5860</t>
  </si>
  <si>
    <t>xxxxxx5653</t>
  </si>
  <si>
    <t>xxxxxx2506</t>
  </si>
  <si>
    <t>xxxxxx3753</t>
  </si>
  <si>
    <t>xxxxxx94125</t>
  </si>
  <si>
    <t>xxxxxx8352</t>
  </si>
  <si>
    <t>xxxxxx8367</t>
  </si>
  <si>
    <t>xxxxxx1058</t>
  </si>
  <si>
    <t>xxxxxx3770</t>
  </si>
  <si>
    <t>xxxxxx1681</t>
  </si>
  <si>
    <t>xxxxxx6449</t>
  </si>
  <si>
    <t>xxxxxx2103</t>
  </si>
  <si>
    <t>xxxxxx8961</t>
  </si>
  <si>
    <t>xxxxxx1469</t>
  </si>
  <si>
    <t>xxxxxx3267</t>
  </si>
  <si>
    <t>xxxxxx5891</t>
  </si>
  <si>
    <t>xxxxxx5337</t>
  </si>
  <si>
    <t>xxxxxx6828</t>
  </si>
  <si>
    <t>xxxxxx8561</t>
  </si>
  <si>
    <t>xxxxxx2056</t>
  </si>
  <si>
    <t>xxxxxx8168</t>
  </si>
  <si>
    <t>xxxxxx2922</t>
  </si>
  <si>
    <t>xxxxxx7555</t>
  </si>
  <si>
    <t>xxxxxx2936</t>
  </si>
  <si>
    <t>xxxxxx5980</t>
  </si>
  <si>
    <t>xxxxxx4624</t>
  </si>
  <si>
    <t>xxxxxx2358</t>
  </si>
  <si>
    <t>xxxxxx1293</t>
  </si>
  <si>
    <t>xxxxxx1402</t>
  </si>
  <si>
    <t>xxxxxx5059</t>
  </si>
  <si>
    <t>xxxxxx5028</t>
  </si>
  <si>
    <t>xxxxxx4541</t>
  </si>
  <si>
    <t>xxxxxx1334</t>
  </si>
  <si>
    <t>xxxxxx5385</t>
  </si>
  <si>
    <t>xxxxxx1122</t>
  </si>
  <si>
    <t>xxxxxx4910</t>
  </si>
  <si>
    <t>xxxxxx7642</t>
  </si>
  <si>
    <t>xxxxxx6881</t>
  </si>
  <si>
    <t>xxxxxx4960</t>
  </si>
  <si>
    <t>xxxxxx90303</t>
  </si>
  <si>
    <t>xxxxxx2493</t>
  </si>
  <si>
    <t>xxxxxx8035</t>
  </si>
  <si>
    <t>xxxxxx8010</t>
  </si>
  <si>
    <t>xxxxxx4453</t>
  </si>
  <si>
    <t>xxxxxx6597</t>
  </si>
  <si>
    <t>xxxxxx2988</t>
  </si>
  <si>
    <t>xxxxxx8571</t>
  </si>
  <si>
    <t>xxxxxx3158</t>
  </si>
  <si>
    <t>xxxxxx5301</t>
  </si>
  <si>
    <t>xxxxxx3828</t>
  </si>
  <si>
    <t>xxxxxx4082</t>
  </si>
  <si>
    <t>xxxxxx8109</t>
  </si>
  <si>
    <t>xxxxxx2150</t>
  </si>
  <si>
    <t>xxxxxx2846</t>
  </si>
  <si>
    <t>xxxxxx4544</t>
  </si>
  <si>
    <t>xxxxxx8057</t>
  </si>
  <si>
    <t>xxxxxx8596</t>
  </si>
  <si>
    <t>xxxxxx2345</t>
  </si>
  <si>
    <t>xxxxxx3340</t>
  </si>
  <si>
    <t>xxxxxx6566</t>
  </si>
  <si>
    <t>xxxxxx7650</t>
  </si>
  <si>
    <t>xxxxxx7836</t>
  </si>
  <si>
    <t>xxxxxx95730</t>
  </si>
  <si>
    <t>xxxxxx2309</t>
  </si>
  <si>
    <t>xxxxxx4872</t>
  </si>
  <si>
    <t>xxxxxx5182</t>
  </si>
  <si>
    <t>xxxxxx8264</t>
  </si>
  <si>
    <t>xxxxxx7484</t>
  </si>
  <si>
    <t>xxxxxx3722</t>
  </si>
  <si>
    <t>xxxxxx2909</t>
  </si>
  <si>
    <t>xxxxxx7590</t>
  </si>
  <si>
    <t>xxxxxx5050</t>
  </si>
  <si>
    <t>xxxxxx6303</t>
  </si>
  <si>
    <t>xxxxxx4758</t>
  </si>
  <si>
    <t>xxxxxx4010</t>
  </si>
  <si>
    <t>xxxxxx5297</t>
  </si>
  <si>
    <t>xxxxxx2702</t>
  </si>
  <si>
    <t>xxxxxx2746</t>
  </si>
  <si>
    <t>xxxxxx5737</t>
  </si>
  <si>
    <t>xxxxxx5889</t>
  </si>
  <si>
    <t>xxxxxx8166</t>
  </si>
  <si>
    <t>xxxxxx3504</t>
  </si>
  <si>
    <t>xxxxxx5048</t>
  </si>
  <si>
    <t>xxxxxx8159</t>
  </si>
  <si>
    <t>xxxxxx6835</t>
  </si>
  <si>
    <t>xxxxxx5351</t>
  </si>
  <si>
    <t>xxxxxx7739</t>
  </si>
  <si>
    <t>xxxxxx2272</t>
  </si>
  <si>
    <t>xxxxxx97924</t>
  </si>
  <si>
    <t>xxxxxx1836</t>
  </si>
  <si>
    <t>xxxxxx2023</t>
  </si>
  <si>
    <t>xxxxxx2189</t>
  </si>
  <si>
    <t>xxxxxx8356</t>
  </si>
  <si>
    <t>xxxxxx4713</t>
  </si>
  <si>
    <t>xxxxxx8801</t>
  </si>
  <si>
    <t>xxxxxx4136</t>
  </si>
  <si>
    <t>xxxxxx8702</t>
  </si>
  <si>
    <t>xxxxxx5065</t>
  </si>
  <si>
    <t>xxxxxx3435</t>
  </si>
  <si>
    <t>xxxxxx2821</t>
  </si>
  <si>
    <t>xxxxxx4569</t>
  </si>
  <si>
    <t>xxxxxx2807</t>
  </si>
  <si>
    <t>xxxxxx4997</t>
  </si>
  <si>
    <t>xxxxxx2043</t>
  </si>
  <si>
    <t>xxxxxx4844</t>
  </si>
  <si>
    <t>xxxxxx5612</t>
  </si>
  <si>
    <t>xxxxxx2916</t>
  </si>
  <si>
    <t>xxxxxx7540</t>
  </si>
  <si>
    <t>xxxxxx7814</t>
  </si>
  <si>
    <t>xxxxxx5369</t>
  </si>
  <si>
    <t>xxxxxx2745</t>
  </si>
  <si>
    <t>xxxxxx3517</t>
  </si>
  <si>
    <t>xxxxxx1578</t>
  </si>
  <si>
    <t>xxxxxx6020</t>
  </si>
  <si>
    <t>xxxxxx1286</t>
  </si>
  <si>
    <t>xxxxxx7787</t>
  </si>
  <si>
    <t>xxxxxx1533</t>
  </si>
  <si>
    <t>xxxxxx7597</t>
  </si>
  <si>
    <t>xxxxxx1128</t>
  </si>
  <si>
    <t>xxxxxx6718</t>
  </si>
  <si>
    <t>xxxxxx1243</t>
  </si>
  <si>
    <t>xxxxxx2250</t>
  </si>
  <si>
    <t>xxxxxx5498</t>
  </si>
  <si>
    <t>xxxxxx5718</t>
  </si>
  <si>
    <t>xxxxxx4142</t>
  </si>
  <si>
    <t>xxxxxx2786</t>
  </si>
  <si>
    <t>xxxxxx4795</t>
  </si>
  <si>
    <t>xxxxxx8249</t>
  </si>
  <si>
    <t>xxxxxx7247</t>
  </si>
  <si>
    <t>xxxxxx94486</t>
  </si>
  <si>
    <t>xxxxxx4315</t>
  </si>
  <si>
    <t>xxxxxx3745</t>
  </si>
  <si>
    <t>xxxxxx5580</t>
  </si>
  <si>
    <t>xxxxxx4559</t>
  </si>
  <si>
    <t>xxxxxx6520</t>
  </si>
  <si>
    <t>xxxxxx4916</t>
  </si>
  <si>
    <t>xxxxxx5373</t>
  </si>
  <si>
    <t>xxxxxx2931</t>
  </si>
  <si>
    <t>xxxxxx8055</t>
  </si>
  <si>
    <t>xxxxxx3803</t>
  </si>
  <si>
    <t>xxxxxx1790</t>
  </si>
  <si>
    <t>xxxxxx2886</t>
  </si>
  <si>
    <t>xxxxxx5715</t>
  </si>
  <si>
    <t>xxxxxx3877</t>
  </si>
  <si>
    <t>xxxxxx5117</t>
  </si>
  <si>
    <t>xxxxxx7275</t>
  </si>
  <si>
    <t>xxxxxx2930</t>
  </si>
  <si>
    <t>xxxxxx3464</t>
  </si>
  <si>
    <t>xxxxxx4631</t>
  </si>
  <si>
    <t>xxxxxx3666</t>
  </si>
  <si>
    <t>xxxxxx2917</t>
  </si>
  <si>
    <t>xxxxxx1737</t>
  </si>
  <si>
    <t>xxxxxx3689</t>
  </si>
  <si>
    <t>xxxxxx2257</t>
  </si>
  <si>
    <t>xxxxxx4250</t>
  </si>
  <si>
    <t>xxxxxx1092</t>
  </si>
  <si>
    <t>xxxxxx1749</t>
  </si>
  <si>
    <t>xxxxxx6561</t>
  </si>
  <si>
    <t>xxxxxx8607</t>
  </si>
  <si>
    <t>xxxxxx6324</t>
  </si>
  <si>
    <t>xxxxxx7001</t>
  </si>
  <si>
    <t>xxxxxx7378</t>
  </si>
  <si>
    <t>xxxxxx1950</t>
  </si>
  <si>
    <t>xxxxxx3079</t>
  </si>
  <si>
    <t>xxxxxx1603</t>
  </si>
  <si>
    <t>xxxxxx3846</t>
  </si>
  <si>
    <t>xxxxxx5128</t>
  </si>
  <si>
    <t>xxxxxx5088</t>
  </si>
  <si>
    <t>xxxxxx4506</t>
  </si>
  <si>
    <t>xxxxxx93996</t>
  </si>
  <si>
    <t>xxxxxx2136</t>
  </si>
  <si>
    <t>xxxxxx5395</t>
  </si>
  <si>
    <t>xxxxxx8095</t>
  </si>
  <si>
    <t>xxxxxx5247</t>
  </si>
  <si>
    <t>xxxxxx4996</t>
  </si>
  <si>
    <t>xxxxxx6357</t>
  </si>
  <si>
    <t>xxxxxx5235</t>
  </si>
  <si>
    <t>xxxxxx8178</t>
  </si>
  <si>
    <t>xxxxxx6665</t>
  </si>
  <si>
    <t>xxxxxx1822</t>
  </si>
  <si>
    <t>xxxxxx8929</t>
  </si>
  <si>
    <t>xxxxxx93565</t>
  </si>
  <si>
    <t>xxxxxx5285</t>
  </si>
  <si>
    <t>xxxxxx1784</t>
  </si>
  <si>
    <t>xxxxxx6012</t>
  </si>
  <si>
    <t>xxxxxx3582</t>
  </si>
  <si>
    <t>xxxxxx8886</t>
  </si>
  <si>
    <t>xxxxxx2703</t>
  </si>
  <si>
    <t>xxxxxx3215</t>
  </si>
  <si>
    <t>xxxxxx4442</t>
  </si>
  <si>
    <t>xxxxxx2381</t>
  </si>
  <si>
    <t>xxxxxx4083</t>
  </si>
  <si>
    <t>xxxxxx2317</t>
  </si>
  <si>
    <t>xxxxxx8672</t>
  </si>
  <si>
    <t>xxxxxx7869</t>
  </si>
  <si>
    <t>xxxxxx5258</t>
  </si>
  <si>
    <t>xxxxxx2901</t>
  </si>
  <si>
    <t>xxxxxx2145</t>
  </si>
  <si>
    <t>xxxxxx3063</t>
  </si>
  <si>
    <t>xxxxxx6437</t>
  </si>
  <si>
    <t>xxxxxx2603</t>
  </si>
  <si>
    <t>xxxxxx6663</t>
  </si>
  <si>
    <t>xxxxxx1054</t>
  </si>
  <si>
    <t>xxxxxx8266</t>
  </si>
  <si>
    <t>xxxxxx1462</t>
  </si>
  <si>
    <t>xxxxxx7715</t>
  </si>
  <si>
    <t>xxxxxx2939</t>
  </si>
  <si>
    <t>xxxxxx7390</t>
  </si>
  <si>
    <t>xxxxxx7453</t>
  </si>
  <si>
    <t>xxxxxx4979</t>
  </si>
  <si>
    <t>xxxxxx7485</t>
  </si>
  <si>
    <t>xxxxxx4242</t>
  </si>
  <si>
    <t>xxxxxx7899</t>
  </si>
  <si>
    <t>xxxxxx5713</t>
  </si>
  <si>
    <t>xxxxxx6838</t>
  </si>
  <si>
    <t>xxxxxx8174</t>
  </si>
  <si>
    <t>xxxxxx4866</t>
  </si>
  <si>
    <t>xxxxxx4532</t>
  </si>
  <si>
    <t>xxxxxx7406</t>
  </si>
  <si>
    <t>xxxxxx5141</t>
  </si>
  <si>
    <t>xxxxxx2712</t>
  </si>
  <si>
    <t>xxxxxx2736</t>
  </si>
  <si>
    <t>xxxxxx4932</t>
  </si>
  <si>
    <t>xxxxxx91130</t>
  </si>
  <si>
    <t>xxxxxx7552</t>
  </si>
  <si>
    <t>xxxxxx1374</t>
  </si>
  <si>
    <t>xxxxxx6541</t>
  </si>
  <si>
    <t>xxxxxx7255</t>
  </si>
  <si>
    <t>xxxxxx1841</t>
  </si>
  <si>
    <t>xxxxxx5036</t>
  </si>
  <si>
    <t>xxxxxx7443</t>
  </si>
  <si>
    <t>xxxxxx6195</t>
  </si>
  <si>
    <t>xxxxxx5136</t>
  </si>
  <si>
    <t>xxxxxx4858</t>
  </si>
  <si>
    <t>xxxxxx2439</t>
  </si>
  <si>
    <t>xxxxxx4357</t>
  </si>
  <si>
    <t>xxxxxx4326</t>
  </si>
  <si>
    <t>xxxxxx4219</t>
  </si>
  <si>
    <t>xxxxxx6860</t>
  </si>
  <si>
    <t>xxxxxx6976</t>
  </si>
  <si>
    <t>xxxxxx6138</t>
  </si>
  <si>
    <t>xxxxxx2025</t>
  </si>
  <si>
    <t>xxxxxx6240</t>
  </si>
  <si>
    <t>xxxxxx7315</t>
  </si>
  <si>
    <t>xxxxxx3075</t>
  </si>
  <si>
    <t>xxxxxx2206</t>
  </si>
  <si>
    <t>xxxxxx8213</t>
  </si>
  <si>
    <t>xxxxxx1994</t>
  </si>
  <si>
    <t>xxxxxx7288</t>
  </si>
  <si>
    <t>xxxxxx1712</t>
  </si>
  <si>
    <t>xxxxxx1707</t>
  </si>
  <si>
    <t>xxxxxx8644</t>
  </si>
  <si>
    <t>xxxxxx2479</t>
  </si>
  <si>
    <t>xxxxxx7371</t>
  </si>
  <si>
    <t>xxxxxx1487</t>
  </si>
  <si>
    <t>xxxxxx3116</t>
  </si>
  <si>
    <t>xxxxxx8762</t>
  </si>
  <si>
    <t>xxxxxx7475</t>
  </si>
  <si>
    <t>xxxxxx95215</t>
  </si>
  <si>
    <t>xxxxxx7706</t>
  </si>
  <si>
    <t>xxxxxx3388</t>
  </si>
  <si>
    <t>xxxxxx7578</t>
  </si>
  <si>
    <t>xxxxxx8204</t>
  </si>
  <si>
    <t>xxxxxx8188</t>
  </si>
  <si>
    <t>xxxxxx5237</t>
  </si>
  <si>
    <t>xxxxxx4218</t>
  </si>
  <si>
    <t>xxxxxx4033</t>
  </si>
  <si>
    <t>xxxxxx1265</t>
  </si>
  <si>
    <t>xxxxxx7177</t>
  </si>
  <si>
    <t>xxxxxx5547</t>
  </si>
  <si>
    <t>xxxxxx1865</t>
  </si>
  <si>
    <t>xxxxxx8744</t>
  </si>
  <si>
    <t>xxxxxx2162</t>
  </si>
  <si>
    <t>xxxxxx4942</t>
  </si>
  <si>
    <t>xxxxxx8123</t>
  </si>
  <si>
    <t>xxxxxx8932</t>
  </si>
  <si>
    <t>xxxxxx2497</t>
  </si>
  <si>
    <t>xxxxxx5323</t>
  </si>
  <si>
    <t>xxxxxx8657</t>
  </si>
  <si>
    <t>xxxxxx8376</t>
  </si>
  <si>
    <t>xxxxxx1641</t>
  </si>
  <si>
    <t>xxxxxx3456</t>
  </si>
  <si>
    <t>xxxxxx7026</t>
  </si>
  <si>
    <t>xxxxxx7356</t>
  </si>
  <si>
    <t>xxxxxx6334</t>
  </si>
  <si>
    <t>xxxxxx3764</t>
  </si>
  <si>
    <t>xxxxxx5558</t>
  </si>
  <si>
    <t>xxxxxx5515</t>
  </si>
  <si>
    <t>xxxxxx8753</t>
  </si>
  <si>
    <t>xxxxxx6704</t>
  </si>
  <si>
    <t>xxxxxx6702</t>
  </si>
  <si>
    <t>xxxxxx8677</t>
  </si>
  <si>
    <t>xxxxxx7047</t>
  </si>
  <si>
    <t>xxxxxx2442</t>
  </si>
  <si>
    <t>xxxxxx1095</t>
  </si>
  <si>
    <t>xxxxxx1512</t>
  </si>
  <si>
    <t>xxxxxx5210</t>
  </si>
  <si>
    <t>xxxxxx8588</t>
  </si>
  <si>
    <t>xxxxxx5158</t>
  </si>
  <si>
    <t>xxxxxx7018</t>
  </si>
  <si>
    <t>xxxxxx6875</t>
  </si>
  <si>
    <t>xxxxxx5578</t>
  </si>
  <si>
    <t>xxxxxx1708</t>
  </si>
  <si>
    <t>xxxxxx8001</t>
  </si>
  <si>
    <t>xxxxxx5390</t>
  </si>
  <si>
    <t>xxxxxx6906</t>
  </si>
  <si>
    <t>xxxxxx93328</t>
  </si>
  <si>
    <t>xxxxxx6308</t>
  </si>
  <si>
    <t>xxxxxx1234</t>
  </si>
  <si>
    <t>xxxxxx3286</t>
  </si>
  <si>
    <t>xxxxxx3588</t>
  </si>
  <si>
    <t>xxxxxx8749</t>
  </si>
  <si>
    <t>xxxxxx3285</t>
  </si>
  <si>
    <t>xxxxxx5801</t>
  </si>
  <si>
    <t>xxxxxx5458</t>
  </si>
  <si>
    <t>xxxxxx1710</t>
  </si>
  <si>
    <t>xxxxxx2202</t>
  </si>
  <si>
    <t>xxxxxx1445</t>
  </si>
  <si>
    <t>xxxxxx6975</t>
  </si>
  <si>
    <t>xxxxxx3562</t>
  </si>
  <si>
    <t>xxxxxx5676</t>
  </si>
  <si>
    <t>xxxxxx3492</t>
  </si>
  <si>
    <t>xxxxxx2797</t>
  </si>
  <si>
    <t>xxxxxx2740</t>
  </si>
  <si>
    <t>xxxxxx5990</t>
  </si>
  <si>
    <t>xxxxxx7415</t>
  </si>
  <si>
    <t>xxxxxx3550</t>
  </si>
  <si>
    <t>xxxxxx4990</t>
  </si>
  <si>
    <t>xxxxxx91906</t>
  </si>
  <si>
    <t>xxxxxx3878</t>
  </si>
  <si>
    <t>xxxxxx8536</t>
  </si>
  <si>
    <t>xxxxxx1972</t>
  </si>
  <si>
    <t>xxxxxx1929</t>
  </si>
  <si>
    <t>xxxxxx1263</t>
  </si>
  <si>
    <t>xxxxxx1519</t>
  </si>
  <si>
    <t>xxxxxx3545</t>
  </si>
  <si>
    <t>xxxxxx2329</t>
  </si>
  <si>
    <t>xxxxxx8167</t>
  </si>
  <si>
    <t>xxxxxx3766</t>
  </si>
  <si>
    <t>xxxxxx4988</t>
  </si>
  <si>
    <t>xxxxxx6654</t>
  </si>
  <si>
    <t>xxxxxx5291</t>
  </si>
  <si>
    <t>xxxxxx6472</t>
  </si>
  <si>
    <t>xxxxxx3093</t>
  </si>
  <si>
    <t>xxxxxx1437</t>
  </si>
  <si>
    <t>xxxxxx6188</t>
  </si>
  <si>
    <t>xxxxxx5971</t>
  </si>
  <si>
    <t>xxxxxx4404</t>
  </si>
  <si>
    <t>xxxxxx8032</t>
  </si>
  <si>
    <t>xxxxxx2179</t>
  </si>
  <si>
    <t>xxxxxx8108</t>
  </si>
  <si>
    <t>xxxxxx3324</t>
  </si>
  <si>
    <t>xxxxxx2121</t>
  </si>
  <si>
    <t>xxxxxx1825</t>
  </si>
  <si>
    <t>xxxxxx7777</t>
  </si>
  <si>
    <t>xxxxxx2994</t>
  </si>
  <si>
    <t>xxxxxx7607</t>
  </si>
  <si>
    <t>xxxxxx8272</t>
  </si>
  <si>
    <t>xxxxxx3294</t>
  </si>
  <si>
    <t>xxxxxx1229</t>
  </si>
  <si>
    <t>xxxxxx2088</t>
  </si>
  <si>
    <t>xxxxxx94737</t>
  </si>
  <si>
    <t>xxxxxx1884</t>
  </si>
  <si>
    <t>xxxxxx8804</t>
  </si>
  <si>
    <t>xxxxxx1659</t>
  </si>
  <si>
    <t>xxxxxx3893</t>
  </si>
  <si>
    <t>xxxxxx3793</t>
  </si>
  <si>
    <t>xxxxxx8715</t>
  </si>
  <si>
    <t>xxxxxx2561</t>
  </si>
  <si>
    <t>xxxxxx4138</t>
  </si>
  <si>
    <t>xxxxxx6111</t>
  </si>
  <si>
    <t>xxxxxx4830</t>
  </si>
  <si>
    <t>xxxxxx2417</t>
  </si>
  <si>
    <t>xxxxxx1991</t>
  </si>
  <si>
    <t>xxxxxx3484</t>
  </si>
  <si>
    <t>xxxxxx2796</t>
  </si>
  <si>
    <t>xxxxxx5069</t>
  </si>
  <si>
    <t>xxxxxx7117</t>
  </si>
  <si>
    <t>xxxxxx8640</t>
  </si>
  <si>
    <t>xxxxxx2831</t>
  </si>
  <si>
    <t>xxxxxx1731</t>
  </si>
  <si>
    <t>xxxxxx6196</t>
  </si>
  <si>
    <t>xxxxxx7697</t>
  </si>
  <si>
    <t>xxxxxx8945</t>
  </si>
  <si>
    <t>xxxxxx8919</t>
  </si>
  <si>
    <t>xxxxxx2473</t>
  </si>
  <si>
    <t>xxxxxx3387</t>
  </si>
  <si>
    <t>xxxxxx2595</t>
  </si>
  <si>
    <t>xxxxxx7574</t>
  </si>
  <si>
    <t>xxxxxx2466</t>
  </si>
  <si>
    <t>xxxxxx6938</t>
  </si>
  <si>
    <t>xxxxxx4180</t>
  </si>
  <si>
    <t>xxxxxx4319</t>
  </si>
  <si>
    <t>xxxxxx3543</t>
  </si>
  <si>
    <t>xxxxxx6877</t>
  </si>
  <si>
    <t>xxxxxx5760</t>
  </si>
  <si>
    <t>xxxxxx6822</t>
  </si>
  <si>
    <t>xxxxxx8199</t>
  </si>
  <si>
    <t>xxxxxx2260</t>
  </si>
  <si>
    <t>xxxxxx8953</t>
  </si>
  <si>
    <t>xxxxxx1026</t>
  </si>
  <si>
    <t>xxxxxx8152</t>
  </si>
  <si>
    <t>xxxxxx2656</t>
  </si>
  <si>
    <t>xxxxxx5798</t>
  </si>
  <si>
    <t>xxxxxx3439</t>
  </si>
  <si>
    <t>xxxxxx7569</t>
  </si>
  <si>
    <t>xxxxxx5935</t>
  </si>
  <si>
    <t>xxxxxx5749</t>
  </si>
  <si>
    <t>xxxxxx7375</t>
  </si>
  <si>
    <t>xxxxxx5326</t>
  </si>
  <si>
    <t>xxxxxx4720</t>
  </si>
  <si>
    <t>xxxxxx4540</t>
  </si>
  <si>
    <t>xxxxxx5328</t>
  </si>
  <si>
    <t>xxxxxx97500</t>
  </si>
  <si>
    <t>xxxxxx2171</t>
  </si>
  <si>
    <t>xxxxxx1890</t>
  </si>
  <si>
    <t>xxxxxx6299</t>
  </si>
  <si>
    <t>xxxxxx5960</t>
  </si>
  <si>
    <t>xxxxxx4606</t>
  </si>
  <si>
    <t>xxxxxx3514</t>
  </si>
  <si>
    <t>xxxxxx8090</t>
  </si>
  <si>
    <t>xxxxxx3833</t>
  </si>
  <si>
    <t>xxxxxx3459</t>
  </si>
  <si>
    <t>xxxxxx7624</t>
  </si>
  <si>
    <t>xxxxxx6037</t>
  </si>
  <si>
    <t>xxxxxx7303</t>
  </si>
  <si>
    <t>xxxxxx3516</t>
  </si>
  <si>
    <t>xxxxxx4266</t>
  </si>
  <si>
    <t>xxxxxx2176</t>
  </si>
  <si>
    <t>xxxxxx8925</t>
  </si>
  <si>
    <t>xxxxxx2500</t>
  </si>
  <si>
    <t>xxxxxx4539</t>
  </si>
  <si>
    <t>xxxxxx5366</t>
  </si>
  <si>
    <t>xxxxxx5216</t>
  </si>
  <si>
    <t>xxxxxx2608</t>
  </si>
  <si>
    <t>xxxxxx4391</t>
  </si>
  <si>
    <t>xxxxxx6864</t>
  </si>
  <si>
    <t>xxxxxx1604</t>
  </si>
  <si>
    <t>xxxxxx4921</t>
  </si>
  <si>
    <t>xxxxxx7190</t>
  </si>
  <si>
    <t>xxxxxx6229</t>
  </si>
  <si>
    <t>xxxxxx7984</t>
  </si>
  <si>
    <t>xxxxxx1175</t>
  </si>
  <si>
    <t>xxxxxx4395</t>
  </si>
  <si>
    <t>xxxxxx6882</t>
  </si>
  <si>
    <t>xxxxxx1160</t>
  </si>
  <si>
    <t>xxxxxx4059</t>
  </si>
  <si>
    <t>xxxxxx7422</t>
  </si>
  <si>
    <t>xxxxxx4933</t>
  </si>
  <si>
    <t>xxxxxx3573</t>
  </si>
  <si>
    <t>xxxxxx8462</t>
  </si>
  <si>
    <t>xxxxxx3685</t>
  </si>
  <si>
    <t>xxxxxx6927</t>
  </si>
  <si>
    <t>xxxxxx5837</t>
  </si>
  <si>
    <t>xxxxxx4268</t>
  </si>
  <si>
    <t>xxxxxx2008</t>
  </si>
  <si>
    <t>xxxxxx3047</t>
  </si>
  <si>
    <t>xxxxxx3496</t>
  </si>
  <si>
    <t>xxxxxx6017</t>
  </si>
  <si>
    <t>xxxxxx7444</t>
  </si>
  <si>
    <t>xxxxxx1764</t>
  </si>
  <si>
    <t>xxxxxx3565</t>
  </si>
  <si>
    <t>xxxxxx4384</t>
  </si>
  <si>
    <t>xxxxxx1070</t>
  </si>
  <si>
    <t>xxxxxx6805</t>
  </si>
  <si>
    <t>xxxxxx92638</t>
  </si>
  <si>
    <t>xxxxxx5802</t>
  </si>
  <si>
    <t>xxxxxx8552</t>
  </si>
  <si>
    <t>xxxxxx6878</t>
  </si>
  <si>
    <t>xxxxxx4756</t>
  </si>
  <si>
    <t>xxxxxx7197</t>
  </si>
  <si>
    <t>xxxxxx6556</t>
  </si>
  <si>
    <t>xxxxxx6056</t>
  </si>
  <si>
    <t>xxxxxx5475</t>
  </si>
  <si>
    <t>xxxxxx7272</t>
  </si>
  <si>
    <t>xxxxxx4650</t>
  </si>
  <si>
    <t>xxxxxx4714</t>
  </si>
  <si>
    <t>xxxxxx1665</t>
  </si>
  <si>
    <t>xxxxxx8338</t>
  </si>
  <si>
    <t>xxxxxx5699</t>
  </si>
  <si>
    <t>xxxxxx6664</t>
  </si>
  <si>
    <t>xxxxxx5045</t>
  </si>
  <si>
    <t>xxxxxx1780</t>
  </si>
  <si>
    <t>xxxxxx6846</t>
  </si>
  <si>
    <t>xxxxxx2475</t>
  </si>
  <si>
    <t>xxxxxx95570</t>
  </si>
  <si>
    <t>xxxxxx1968</t>
  </si>
  <si>
    <t>xxxxxx6774</t>
  </si>
  <si>
    <t>xxxxxx6206</t>
  </si>
  <si>
    <t>xxxxxx1733</t>
  </si>
  <si>
    <t>xxxxxx1341</t>
  </si>
  <si>
    <t>xxxxxx3927</t>
  </si>
  <si>
    <t>xxxxxx5978</t>
  </si>
  <si>
    <t>xxxxxx6364</t>
  </si>
  <si>
    <t>xxxxxx3221</t>
  </si>
  <si>
    <t>xxxxxx1467</t>
  </si>
  <si>
    <t>xxxxxx3964</t>
  </si>
  <si>
    <t>xxxxxx8074</t>
  </si>
  <si>
    <t>xxxxxx2066</t>
  </si>
  <si>
    <t>xxxxxx4907</t>
  </si>
  <si>
    <t>xxxxxx5928</t>
  </si>
  <si>
    <t>xxxxxx6516</t>
  </si>
  <si>
    <t>xxxxxx5250</t>
  </si>
  <si>
    <t>xxxxxx2217</t>
  </si>
  <si>
    <t>xxxxxx6587</t>
  </si>
  <si>
    <t>xxxxxx1793</t>
  </si>
  <si>
    <t>xxxxxx5609</t>
  </si>
  <si>
    <t>xxxxxx8894</t>
  </si>
  <si>
    <t>xxxxxx94239</t>
  </si>
  <si>
    <t>xxxxxx1661</t>
  </si>
  <si>
    <t>xxxxxx6245</t>
  </si>
  <si>
    <t>xxxxxx3660</t>
  </si>
  <si>
    <t>xxxxxx8391</t>
  </si>
  <si>
    <t>xxxxxx5708</t>
  </si>
  <si>
    <t>xxxxxx7398</t>
  </si>
  <si>
    <t>xxxxxx7206</t>
  </si>
  <si>
    <t>xxxxxx5873</t>
  </si>
  <si>
    <t>xxxxxx7758</t>
  </si>
  <si>
    <t>xxxxxx5202</t>
  </si>
  <si>
    <t>xxxxxx6365</t>
  </si>
  <si>
    <t>xxxxxx6310</t>
  </si>
  <si>
    <t>xxxxxx97773</t>
  </si>
  <si>
    <t>xxxxxx7360</t>
  </si>
  <si>
    <t>xxxxxx5651</t>
  </si>
  <si>
    <t>xxxxxx6756</t>
  </si>
  <si>
    <t>xxxxxx1002</t>
  </si>
  <si>
    <t>xxxxxx2772</t>
  </si>
  <si>
    <t>xxxxxx4167</t>
  </si>
  <si>
    <t>xxxxxx5927</t>
  </si>
  <si>
    <t>xxxxxx1438</t>
  </si>
  <si>
    <t>xxxxxx4022</t>
  </si>
  <si>
    <t>xxxxxx8009</t>
  </si>
  <si>
    <t>xxxxxx5456</t>
  </si>
  <si>
    <t>xxxxxx3896</t>
  </si>
  <si>
    <t>xxxxxx7028</t>
  </si>
  <si>
    <t>xxxxxx4234</t>
  </si>
  <si>
    <t>xxxxxx7394</t>
  </si>
  <si>
    <t>xxxxxx5410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</si>
</sst>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/d/yy\ h:mm:ss\ AM/PM;@"/>
    <numFmt numFmtId="165" formatCode="m/d/yyyy\ h:mm\ AM/PM"/>
    <numFmt numFmtId="166" formatCode="_(&quot;$&quot;* #,##0_);_(&quot;$&quot;* \(#,##0\);_(&quot;$&quot;* &quot;-&quot;??_);_(@_)"/>
    <numFmt numFmtId="167" formatCode="_###_);\(_###_)"/>
    <numFmt numFmtId="168" formatCode="&quot;$&quot;#,##0"/>
    <numFmt numFmtId="169" formatCode="[$-F800]dddd\,\ mmmm\ dd\,\ yyyy"/>
    <numFmt numFmtId="170" formatCode="[$-F400]h:mm:ss\ AM/PM"/>
    <numFmt numFmtId="171" formatCode="&quot;$&quot;#,##0.00"/>
    <numFmt numFmtId="172" formatCode="0.0%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u/>
      <sz val="14"/>
      <name val="Arial"/>
      <family val="2"/>
    </font>
    <font>
      <b/>
      <sz val="12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u/>
      <sz val="10"/>
      <name val="Arial"/>
      <family val="2"/>
    </font>
    <font>
      <b/>
      <sz val="12"/>
      <color theme="1"/>
      <name val="Calibri"/>
      <family val="2"/>
      <scheme val="minor"/>
    </font>
    <font>
      <sz val="16"/>
      <name val="Arial"/>
      <family val="2"/>
    </font>
    <font>
      <b/>
      <sz val="11"/>
      <color rgb="FF000000"/>
      <name val="Arial"/>
      <family val="2"/>
    </font>
    <font>
      <b/>
      <sz val="16"/>
      <name val="Arial"/>
      <family val="2"/>
    </font>
    <font>
      <b/>
      <sz val="12"/>
      <color rgb="FF000000"/>
      <name val="Arial"/>
      <family val="2"/>
    </font>
    <font>
      <b/>
      <i/>
      <sz val="16"/>
      <name val="Arial"/>
      <family val="2"/>
    </font>
    <font>
      <b/>
      <i/>
      <sz val="18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rgb="FFC00000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b/>
      <sz val="20"/>
      <color rgb="FF339933"/>
      <name val="Arial"/>
      <family val="2"/>
    </font>
    <font>
      <sz val="12"/>
      <color theme="1"/>
      <name val="Calibri"/>
      <family val="2"/>
      <scheme val="minor"/>
    </font>
    <font>
      <b/>
      <i/>
      <u/>
      <sz val="22"/>
      <name val="Arial"/>
      <family val="2"/>
    </font>
    <font>
      <b/>
      <sz val="20"/>
      <color rgb="FFFF0000"/>
      <name val="Arial"/>
      <family val="2"/>
    </font>
    <font>
      <sz val="14"/>
      <name val="Arial"/>
      <family val="2"/>
    </font>
    <font>
      <b/>
      <sz val="12"/>
      <color indexed="8"/>
      <name val="Calibri"/>
      <family val="2"/>
    </font>
    <font>
      <b/>
      <i/>
      <u/>
      <sz val="20"/>
      <color theme="1"/>
      <name val="Calibri"/>
      <family val="2"/>
      <scheme val="minor"/>
    </font>
    <font>
      <b/>
      <i/>
      <u/>
      <sz val="11"/>
      <name val="Arial"/>
      <family val="2"/>
    </font>
    <font>
      <sz val="11"/>
      <color theme="1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sz val="10"/>
      <color theme="0"/>
      <name val="Arial"/>
      <family val="2"/>
    </font>
    <font>
      <b/>
      <u/>
      <sz val="11"/>
      <color rgb="FF000000"/>
      <name val="Tahoma"/>
      <family val="2"/>
    </font>
    <font>
      <sz val="11"/>
      <color rgb="FF000000"/>
      <name val="Tahoma"/>
      <family val="2"/>
    </font>
    <font>
      <u/>
      <sz val="11"/>
      <color rgb="FF000000"/>
      <name val="Tahoma"/>
      <family val="2"/>
    </font>
    <font>
      <b/>
      <sz val="12"/>
      <color rgb="FF000000"/>
      <name val="Calibri"/>
      <family val="2"/>
    </font>
    <font>
      <b/>
      <i/>
      <sz val="10"/>
      <color rgb="FF000000"/>
      <name val="Times New Roman"/>
      <family val="1"/>
    </font>
    <font>
      <b/>
      <sz val="11"/>
      <name val="Arial Black"/>
      <family val="2"/>
    </font>
    <font>
      <b/>
      <sz val="14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/>
        <bgColor theme="4"/>
      </patternFill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" fillId="0" borderId="0"/>
  </cellStyleXfs>
  <cellXfs count="248">
    <xf numFmtId="0" fontId="0" fillId="0" borderId="0" xfId="0"/>
    <xf numFmtId="0" fontId="6" fillId="0" borderId="4" xfId="0" applyFont="1" applyBorder="1" applyAlignment="1">
      <alignment horizontal="center" vertical="center" wrapText="1"/>
    </xf>
    <xf numFmtId="0" fontId="8" fillId="0" borderId="0" xfId="0" applyFont="1"/>
    <xf numFmtId="0" fontId="0" fillId="0" borderId="4" xfId="0" applyBorder="1" applyAlignment="1">
      <alignment horizontal="center" vertical="center"/>
    </xf>
    <xf numFmtId="0" fontId="3" fillId="0" borderId="0" xfId="5"/>
    <xf numFmtId="9" fontId="3" fillId="2" borderId="4" xfId="5" applyNumberFormat="1" applyFill="1" applyBorder="1" applyAlignment="1">
      <alignment horizontal="center"/>
    </xf>
    <xf numFmtId="0" fontId="3" fillId="0" borderId="4" xfId="5" applyBorder="1" applyAlignment="1">
      <alignment horizontal="center"/>
    </xf>
    <xf numFmtId="0" fontId="6" fillId="0" borderId="4" xfId="5" applyFont="1" applyBorder="1" applyAlignment="1">
      <alignment horizontal="center"/>
    </xf>
    <xf numFmtId="0" fontId="13" fillId="0" borderId="4" xfId="5" applyFont="1" applyBorder="1" applyAlignment="1">
      <alignment horizontal="center" wrapText="1"/>
    </xf>
    <xf numFmtId="6" fontId="3" fillId="3" borderId="4" xfId="5" applyNumberFormat="1" applyFill="1" applyBorder="1" applyAlignment="1">
      <alignment horizontal="center" vertical="center"/>
    </xf>
    <xf numFmtId="3" fontId="3" fillId="3" borderId="4" xfId="5" applyNumberFormat="1" applyFill="1" applyBorder="1" applyAlignment="1">
      <alignment horizontal="center" vertical="center"/>
    </xf>
    <xf numFmtId="3" fontId="3" fillId="8" borderId="4" xfId="5" applyNumberFormat="1" applyFill="1" applyBorder="1" applyAlignment="1">
      <alignment horizontal="center" vertical="center"/>
    </xf>
    <xf numFmtId="6" fontId="3" fillId="8" borderId="4" xfId="5" applyNumberForma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 wrapText="1"/>
    </xf>
    <xf numFmtId="14" fontId="6" fillId="6" borderId="4" xfId="0" applyNumberFormat="1" applyFont="1" applyFill="1" applyBorder="1" applyAlignment="1">
      <alignment horizontal="center" vertical="center"/>
    </xf>
    <xf numFmtId="170" fontId="0" fillId="7" borderId="4" xfId="0" applyNumberFormat="1" applyFill="1" applyBorder="1" applyAlignment="1">
      <alignment horizontal="center" vertical="center"/>
    </xf>
    <xf numFmtId="165" fontId="0" fillId="7" borderId="4" xfId="0" applyNumberForma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/>
    </xf>
    <xf numFmtId="167" fontId="5" fillId="2" borderId="2" xfId="0" applyNumberFormat="1" applyFont="1" applyFill="1" applyBorder="1" applyAlignment="1">
      <alignment horizontal="center" vertical="center"/>
    </xf>
    <xf numFmtId="0" fontId="3" fillId="0" borderId="0" xfId="5" applyAlignment="1">
      <alignment vertical="center"/>
    </xf>
    <xf numFmtId="0" fontId="5" fillId="0" borderId="13" xfId="0" applyFont="1" applyBorder="1" applyAlignment="1">
      <alignment horizontal="centerContinuous" vertical="center" wrapText="1"/>
    </xf>
    <xf numFmtId="0" fontId="5" fillId="0" borderId="14" xfId="0" applyFont="1" applyBorder="1" applyAlignment="1">
      <alignment horizontal="centerContinuous" vertical="center" wrapText="1"/>
    </xf>
    <xf numFmtId="0" fontId="5" fillId="10" borderId="13" xfId="0" applyFont="1" applyFill="1" applyBorder="1" applyAlignment="1">
      <alignment horizontal="centerContinuous" vertical="center"/>
    </xf>
    <xf numFmtId="0" fontId="5" fillId="10" borderId="14" xfId="0" applyFont="1" applyFill="1" applyBorder="1" applyAlignment="1">
      <alignment horizontal="centerContinuous" vertical="center"/>
    </xf>
    <xf numFmtId="0" fontId="5" fillId="5" borderId="4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14" fontId="5" fillId="13" borderId="4" xfId="0" applyNumberFormat="1" applyFont="1" applyFill="1" applyBorder="1" applyAlignment="1">
      <alignment horizontal="center" vertical="center"/>
    </xf>
    <xf numFmtId="0" fontId="25" fillId="14" borderId="7" xfId="0" applyFont="1" applyFill="1" applyBorder="1" applyAlignment="1">
      <alignment horizontal="center" wrapText="1"/>
    </xf>
    <xf numFmtId="166" fontId="24" fillId="7" borderId="4" xfId="1" applyNumberFormat="1" applyFont="1" applyFill="1" applyBorder="1"/>
    <xf numFmtId="166" fontId="24" fillId="7" borderId="4" xfId="1" applyNumberFormat="1" applyFont="1" applyFill="1" applyBorder="1" applyAlignment="1">
      <alignment horizontal="center"/>
    </xf>
    <xf numFmtId="44" fontId="24" fillId="7" borderId="4" xfId="1" applyFont="1" applyFill="1" applyBorder="1" applyAlignment="1">
      <alignment horizontal="center"/>
    </xf>
    <xf numFmtId="168" fontId="0" fillId="7" borderId="4" xfId="1" applyNumberFormat="1" applyFont="1" applyFill="1" applyBorder="1" applyAlignment="1">
      <alignment horizontal="center" vertical="center"/>
    </xf>
    <xf numFmtId="0" fontId="5" fillId="0" borderId="4" xfId="0" applyFont="1" applyBorder="1" applyAlignment="1">
      <alignment horizontal="right" vertical="center" wrapText="1"/>
    </xf>
    <xf numFmtId="14" fontId="7" fillId="4" borderId="4" xfId="0" applyNumberFormat="1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18" fontId="0" fillId="15" borderId="4" xfId="0" applyNumberFormat="1" applyFill="1" applyBorder="1" applyAlignment="1">
      <alignment horizontal="center" vertical="center"/>
    </xf>
    <xf numFmtId="8" fontId="5" fillId="2" borderId="2" xfId="1" applyNumberFormat="1" applyFont="1" applyFill="1" applyBorder="1" applyAlignment="1">
      <alignment horizontal="center" vertical="center"/>
    </xf>
    <xf numFmtId="6" fontId="5" fillId="2" borderId="2" xfId="1" applyNumberFormat="1" applyFont="1" applyFill="1" applyBorder="1" applyAlignment="1">
      <alignment horizontal="center" vertical="center"/>
    </xf>
    <xf numFmtId="0" fontId="20" fillId="0" borderId="4" xfId="0" applyFont="1" applyBorder="1" applyAlignment="1">
      <alignment horizontal="right" vertical="center" wrapText="1"/>
    </xf>
    <xf numFmtId="0" fontId="20" fillId="0" borderId="4" xfId="0" applyFont="1" applyBorder="1" applyAlignment="1">
      <alignment horizontal="centerContinuous" vertical="center" wrapText="1"/>
    </xf>
    <xf numFmtId="0" fontId="28" fillId="5" borderId="3" xfId="0" applyFont="1" applyFill="1" applyBorder="1" applyAlignment="1">
      <alignment horizontal="centerContinuous" vertical="center"/>
    </xf>
    <xf numFmtId="10" fontId="26" fillId="2" borderId="16" xfId="3" applyNumberFormat="1" applyFont="1" applyFill="1" applyBorder="1" applyAlignment="1">
      <alignment horizontal="center" vertical="center"/>
    </xf>
    <xf numFmtId="0" fontId="26" fillId="2" borderId="15" xfId="3" applyNumberFormat="1" applyFont="1" applyFill="1" applyBorder="1" applyAlignment="1">
      <alignment horizontal="center" vertical="center"/>
    </xf>
    <xf numFmtId="6" fontId="26" fillId="2" borderId="15" xfId="1" applyNumberFormat="1" applyFont="1" applyFill="1" applyBorder="1" applyAlignment="1">
      <alignment horizontal="center" vertical="center"/>
    </xf>
    <xf numFmtId="8" fontId="26" fillId="2" borderId="17" xfId="1" applyNumberFormat="1" applyFont="1" applyFill="1" applyBorder="1" applyAlignment="1">
      <alignment horizontal="center" vertical="center"/>
    </xf>
    <xf numFmtId="8" fontId="29" fillId="5" borderId="1" xfId="0" applyNumberFormat="1" applyFont="1" applyFill="1" applyBorder="1" applyAlignment="1">
      <alignment horizontal="centerContinuous" vertical="center"/>
    </xf>
    <xf numFmtId="6" fontId="27" fillId="3" borderId="4" xfId="0" applyNumberFormat="1" applyFont="1" applyFill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  <xf numFmtId="0" fontId="6" fillId="0" borderId="4" xfId="0" applyFont="1" applyBorder="1" applyAlignment="1">
      <alignment horizontal="right" vertical="center" wrapText="1"/>
    </xf>
    <xf numFmtId="0" fontId="30" fillId="8" borderId="4" xfId="5" applyFont="1" applyFill="1" applyBorder="1" applyAlignment="1">
      <alignment horizontal="center" vertical="center"/>
    </xf>
    <xf numFmtId="0" fontId="0" fillId="0" borderId="4" xfId="0" applyBorder="1" applyAlignment="1">
      <alignment horizontal="right" vertical="center" wrapText="1"/>
    </xf>
    <xf numFmtId="0" fontId="24" fillId="0" borderId="4" xfId="5" applyFont="1" applyBorder="1" applyAlignment="1">
      <alignment horizontal="right" vertical="center" wrapText="1"/>
    </xf>
    <xf numFmtId="6" fontId="0" fillId="3" borderId="4" xfId="0" applyNumberFormat="1" applyFill="1" applyBorder="1" applyAlignment="1">
      <alignment horizontal="center" vertical="center"/>
    </xf>
    <xf numFmtId="9" fontId="4" fillId="3" borderId="4" xfId="3" applyFont="1" applyFill="1" applyBorder="1" applyAlignment="1">
      <alignment horizontal="center" vertical="center"/>
    </xf>
    <xf numFmtId="9" fontId="4" fillId="3" borderId="4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169" fontId="7" fillId="16" borderId="4" xfId="0" applyNumberFormat="1" applyFont="1" applyFill="1" applyBorder="1" applyAlignment="1">
      <alignment horizontal="centerContinuous" vertical="center"/>
    </xf>
    <xf numFmtId="0" fontId="14" fillId="16" borderId="4" xfId="5" applyFont="1" applyFill="1" applyBorder="1" applyAlignment="1">
      <alignment horizontal="center" vertical="center"/>
    </xf>
    <xf numFmtId="0" fontId="13" fillId="0" borderId="4" xfId="5" applyFont="1" applyBorder="1" applyAlignment="1">
      <alignment horizontal="right" vertical="center" wrapText="1"/>
    </xf>
    <xf numFmtId="0" fontId="10" fillId="0" borderId="4" xfId="0" applyFont="1" applyBorder="1" applyAlignment="1">
      <alignment horizontal="center" vertical="center" wrapText="1"/>
    </xf>
    <xf numFmtId="171" fontId="0" fillId="7" borderId="4" xfId="1" applyNumberFormat="1" applyFont="1" applyFill="1" applyBorder="1" applyAlignment="1">
      <alignment horizontal="center" vertical="center"/>
    </xf>
    <xf numFmtId="44" fontId="20" fillId="8" borderId="4" xfId="1" applyFont="1" applyFill="1" applyBorder="1" applyAlignment="1">
      <alignment horizontal="center" vertical="center"/>
    </xf>
    <xf numFmtId="1" fontId="20" fillId="8" borderId="4" xfId="4" applyNumberFormat="1" applyFont="1" applyFill="1" applyBorder="1" applyAlignment="1">
      <alignment horizontal="center" vertical="center"/>
    </xf>
    <xf numFmtId="8" fontId="5" fillId="8" borderId="1" xfId="1" applyNumberFormat="1" applyFont="1" applyFill="1" applyBorder="1" applyAlignment="1">
      <alignment horizontal="center" vertical="center"/>
    </xf>
    <xf numFmtId="8" fontId="5" fillId="8" borderId="15" xfId="1" applyNumberFormat="1" applyFont="1" applyFill="1" applyBorder="1" applyAlignment="1">
      <alignment horizontal="center" vertical="center"/>
    </xf>
    <xf numFmtId="8" fontId="5" fillId="8" borderId="16" xfId="1" applyNumberFormat="1" applyFont="1" applyFill="1" applyBorder="1" applyAlignment="1">
      <alignment horizontal="center" vertical="center"/>
    </xf>
    <xf numFmtId="8" fontId="12" fillId="2" borderId="1" xfId="1" applyNumberFormat="1" applyFont="1" applyFill="1" applyBorder="1" applyAlignment="1">
      <alignment horizontal="center" vertical="center"/>
    </xf>
    <xf numFmtId="8" fontId="12" fillId="2" borderId="25" xfId="1" applyNumberFormat="1" applyFont="1" applyFill="1" applyBorder="1" applyAlignment="1">
      <alignment horizontal="center" vertical="center"/>
    </xf>
    <xf numFmtId="8" fontId="12" fillId="2" borderId="16" xfId="1" applyNumberFormat="1" applyFont="1" applyFill="1" applyBorder="1" applyAlignment="1">
      <alignment horizontal="center" vertical="center"/>
    </xf>
    <xf numFmtId="8" fontId="12" fillId="2" borderId="15" xfId="1" applyNumberFormat="1" applyFont="1" applyFill="1" applyBorder="1" applyAlignment="1">
      <alignment horizontal="center" vertical="center"/>
    </xf>
    <xf numFmtId="8" fontId="20" fillId="5" borderId="20" xfId="0" applyNumberFormat="1" applyFont="1" applyFill="1" applyBorder="1" applyAlignment="1">
      <alignment horizontal="center" vertical="center"/>
    </xf>
    <xf numFmtId="8" fontId="20" fillId="5" borderId="23" xfId="0" applyNumberFormat="1" applyFont="1" applyFill="1" applyBorder="1" applyAlignment="1">
      <alignment horizontal="center" vertical="center"/>
    </xf>
    <xf numFmtId="8" fontId="20" fillId="5" borderId="24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Continuous" wrapText="1"/>
    </xf>
    <xf numFmtId="0" fontId="5" fillId="0" borderId="4" xfId="0" applyFont="1" applyBorder="1" applyAlignment="1">
      <alignment horizontal="centerContinuous" vertical="center" wrapText="1"/>
    </xf>
    <xf numFmtId="10" fontId="32" fillId="5" borderId="4" xfId="0" applyNumberFormat="1" applyFont="1" applyFill="1" applyBorder="1" applyAlignment="1">
      <alignment horizontal="centerContinuous" vertical="center"/>
    </xf>
    <xf numFmtId="172" fontId="4" fillId="3" borderId="4" xfId="0" applyNumberFormat="1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33" fillId="0" borderId="0" xfId="0" applyFont="1"/>
    <xf numFmtId="10" fontId="3" fillId="9" borderId="4" xfId="5" applyNumberFormat="1" applyFill="1" applyBorder="1" applyAlignment="1">
      <alignment horizontal="center"/>
    </xf>
    <xf numFmtId="0" fontId="5" fillId="0" borderId="4" xfId="5" applyFont="1" applyBorder="1"/>
    <xf numFmtId="6" fontId="34" fillId="2" borderId="4" xfId="5" applyNumberFormat="1" applyFont="1" applyFill="1" applyBorder="1" applyAlignment="1">
      <alignment horizontal="center" vertical="center"/>
    </xf>
    <xf numFmtId="0" fontId="17" fillId="0" borderId="1" xfId="5" applyFont="1" applyBorder="1" applyAlignment="1">
      <alignment horizontal="centerContinuous" vertical="center"/>
    </xf>
    <xf numFmtId="0" fontId="3" fillId="0" borderId="2" xfId="5" applyBorder="1" applyAlignment="1">
      <alignment horizontal="centerContinuous"/>
    </xf>
    <xf numFmtId="0" fontId="3" fillId="0" borderId="3" xfId="5" applyBorder="1" applyAlignment="1">
      <alignment horizontal="centerContinuous"/>
    </xf>
    <xf numFmtId="6" fontId="4" fillId="8" borderId="4" xfId="5" applyNumberFormat="1" applyFont="1" applyFill="1" applyBorder="1" applyAlignment="1">
      <alignment horizontal="right"/>
    </xf>
    <xf numFmtId="0" fontId="0" fillId="16" borderId="0" xfId="0" applyFill="1"/>
    <xf numFmtId="6" fontId="37" fillId="2" borderId="4" xfId="5" applyNumberFormat="1" applyFont="1" applyFill="1" applyBorder="1" applyAlignment="1">
      <alignment vertical="center"/>
    </xf>
    <xf numFmtId="6" fontId="38" fillId="2" borderId="4" xfId="5" applyNumberFormat="1" applyFont="1" applyFill="1" applyBorder="1" applyAlignment="1">
      <alignment vertical="center"/>
    </xf>
    <xf numFmtId="0" fontId="4" fillId="16" borderId="0" xfId="0" applyFont="1" applyFill="1"/>
    <xf numFmtId="0" fontId="4" fillId="16" borderId="3" xfId="0" applyFont="1" applyFill="1" applyBorder="1"/>
    <xf numFmtId="0" fontId="39" fillId="0" borderId="19" xfId="5" applyFont="1" applyBorder="1"/>
    <xf numFmtId="0" fontId="39" fillId="0" borderId="18" xfId="5" applyFont="1" applyBorder="1"/>
    <xf numFmtId="6" fontId="39" fillId="8" borderId="26" xfId="5" applyNumberFormat="1" applyFont="1" applyFill="1" applyBorder="1" applyAlignment="1">
      <alignment vertical="center"/>
    </xf>
    <xf numFmtId="6" fontId="37" fillId="2" borderId="4" xfId="5" applyNumberFormat="1" applyFont="1" applyFill="1" applyBorder="1"/>
    <xf numFmtId="6" fontId="39" fillId="2" borderId="4" xfId="5" applyNumberFormat="1" applyFont="1" applyFill="1" applyBorder="1"/>
    <xf numFmtId="6" fontId="39" fillId="2" borderId="26" xfId="5" applyNumberFormat="1" applyFont="1" applyFill="1" applyBorder="1"/>
    <xf numFmtId="0" fontId="10" fillId="0" borderId="4" xfId="5" applyFont="1" applyBorder="1"/>
    <xf numFmtId="18" fontId="0" fillId="8" borderId="4" xfId="0" applyNumberFormat="1" applyFill="1" applyBorder="1" applyAlignment="1">
      <alignment horizontal="center" vertical="center"/>
    </xf>
    <xf numFmtId="0" fontId="6" fillId="0" borderId="4" xfId="0" applyFont="1" applyBorder="1"/>
    <xf numFmtId="10" fontId="26" fillId="2" borderId="27" xfId="3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18" fillId="11" borderId="3" xfId="0" applyFont="1" applyFill="1" applyBorder="1" applyAlignment="1">
      <alignment horizontal="center" vertical="center"/>
    </xf>
    <xf numFmtId="0" fontId="5" fillId="12" borderId="28" xfId="0" applyFont="1" applyFill="1" applyBorder="1" applyAlignment="1">
      <alignment horizontal="center" vertical="center" wrapText="1"/>
    </xf>
    <xf numFmtId="0" fontId="0" fillId="6" borderId="29" xfId="0" applyFill="1" applyBorder="1"/>
    <xf numFmtId="0" fontId="0" fillId="6" borderId="30" xfId="0" applyFill="1" applyBorder="1"/>
    <xf numFmtId="0" fontId="5" fillId="12" borderId="1" xfId="0" applyFont="1" applyFill="1" applyBorder="1" applyAlignment="1">
      <alignment horizontal="center" vertical="center" wrapText="1"/>
    </xf>
    <xf numFmtId="171" fontId="5" fillId="5" borderId="1" xfId="1" applyNumberFormat="1" applyFont="1" applyFill="1" applyBorder="1" applyAlignment="1">
      <alignment horizontal="center" vertical="center"/>
    </xf>
    <xf numFmtId="0" fontId="5" fillId="12" borderId="31" xfId="0" applyFont="1" applyFill="1" applyBorder="1" applyAlignment="1">
      <alignment horizontal="center" vertical="center" wrapText="1"/>
    </xf>
    <xf numFmtId="0" fontId="5" fillId="12" borderId="32" xfId="0" applyFont="1" applyFill="1" applyBorder="1" applyAlignment="1">
      <alignment horizontal="center" vertical="center" wrapText="1"/>
    </xf>
    <xf numFmtId="18" fontId="5" fillId="3" borderId="15" xfId="0" applyNumberFormat="1" applyFont="1" applyFill="1" applyBorder="1" applyAlignment="1">
      <alignment horizontal="center" vertical="center"/>
    </xf>
    <xf numFmtId="6" fontId="5" fillId="3" borderId="16" xfId="0" applyNumberFormat="1" applyFont="1" applyFill="1" applyBorder="1" applyAlignment="1">
      <alignment horizontal="center" vertical="center"/>
    </xf>
    <xf numFmtId="18" fontId="5" fillId="3" borderId="17" xfId="0" applyNumberFormat="1" applyFont="1" applyFill="1" applyBorder="1" applyAlignment="1">
      <alignment horizontal="center" vertical="center"/>
    </xf>
    <xf numFmtId="6" fontId="5" fillId="3" borderId="27" xfId="0" applyNumberFormat="1" applyFont="1" applyFill="1" applyBorder="1" applyAlignment="1">
      <alignment horizontal="center" vertical="center"/>
    </xf>
    <xf numFmtId="8" fontId="12" fillId="2" borderId="19" xfId="1" applyNumberFormat="1" applyFont="1" applyFill="1" applyBorder="1" applyAlignment="1">
      <alignment horizontal="center" vertical="center"/>
    </xf>
    <xf numFmtId="8" fontId="12" fillId="2" borderId="21" xfId="1" applyNumberFormat="1" applyFont="1" applyFill="1" applyBorder="1" applyAlignment="1">
      <alignment horizontal="center" vertical="center"/>
    </xf>
    <xf numFmtId="8" fontId="12" fillId="2" borderId="22" xfId="1" applyNumberFormat="1" applyFont="1" applyFill="1" applyBorder="1" applyAlignment="1">
      <alignment horizontal="center" vertical="center"/>
    </xf>
    <xf numFmtId="0" fontId="0" fillId="17" borderId="7" xfId="0" applyFill="1" applyBorder="1"/>
    <xf numFmtId="0" fontId="0" fillId="17" borderId="8" xfId="0" applyFill="1" applyBorder="1"/>
    <xf numFmtId="0" fontId="20" fillId="17" borderId="8" xfId="0" applyFont="1" applyFill="1" applyBorder="1" applyAlignment="1">
      <alignment horizontal="center" vertical="center"/>
    </xf>
    <xf numFmtId="0" fontId="0" fillId="17" borderId="5" xfId="0" applyFill="1" applyBorder="1"/>
    <xf numFmtId="0" fontId="5" fillId="17" borderId="0" xfId="0" applyFont="1" applyFill="1" applyAlignment="1">
      <alignment horizontal="right" vertical="center"/>
    </xf>
    <xf numFmtId="0" fontId="0" fillId="17" borderId="0" xfId="0" applyFill="1"/>
    <xf numFmtId="0" fontId="0" fillId="17" borderId="10" xfId="0" applyFill="1" applyBorder="1"/>
    <xf numFmtId="0" fontId="0" fillId="17" borderId="11" xfId="0" applyFill="1" applyBorder="1"/>
    <xf numFmtId="0" fontId="0" fillId="17" borderId="6" xfId="0" applyFill="1" applyBorder="1"/>
    <xf numFmtId="0" fontId="5" fillId="17" borderId="6" xfId="0" applyFont="1" applyFill="1" applyBorder="1" applyAlignment="1">
      <alignment horizontal="right" vertical="center"/>
    </xf>
    <xf numFmtId="0" fontId="5" fillId="17" borderId="12" xfId="0" applyFont="1" applyFill="1" applyBorder="1" applyAlignment="1">
      <alignment horizontal="right" vertical="center"/>
    </xf>
    <xf numFmtId="0" fontId="0" fillId="17" borderId="9" xfId="0" applyFill="1" applyBorder="1"/>
    <xf numFmtId="0" fontId="7" fillId="17" borderId="5" xfId="0" applyFont="1" applyFill="1" applyBorder="1" applyAlignment="1">
      <alignment horizontal="right" vertical="center"/>
    </xf>
    <xf numFmtId="0" fontId="7" fillId="17" borderId="0" xfId="0" applyFont="1" applyFill="1" applyAlignment="1">
      <alignment horizontal="right" vertical="center"/>
    </xf>
    <xf numFmtId="0" fontId="9" fillId="17" borderId="6" xfId="0" quotePrefix="1" applyFont="1" applyFill="1" applyBorder="1" applyAlignment="1">
      <alignment horizontal="center" vertical="center"/>
    </xf>
    <xf numFmtId="0" fontId="9" fillId="17" borderId="12" xfId="0" quotePrefix="1" applyFont="1" applyFill="1" applyBorder="1" applyAlignment="1">
      <alignment horizontal="center" vertical="center"/>
    </xf>
    <xf numFmtId="0" fontId="7" fillId="17" borderId="0" xfId="0" applyFont="1" applyFill="1" applyAlignment="1">
      <alignment horizontal="right" vertical="center" wrapText="1"/>
    </xf>
    <xf numFmtId="0" fontId="11" fillId="17" borderId="8" xfId="0" applyFont="1" applyFill="1" applyBorder="1" applyAlignment="1">
      <alignment horizontal="right" vertical="center"/>
    </xf>
    <xf numFmtId="0" fontId="7" fillId="17" borderId="8" xfId="0" applyFont="1" applyFill="1" applyBorder="1" applyAlignment="1">
      <alignment horizontal="left" vertical="center"/>
    </xf>
    <xf numFmtId="0" fontId="23" fillId="17" borderId="0" xfId="0" applyFont="1" applyFill="1" applyAlignment="1">
      <alignment horizontal="right" vertical="center"/>
    </xf>
    <xf numFmtId="0" fontId="14" fillId="17" borderId="0" xfId="5" applyFont="1" applyFill="1" applyAlignment="1">
      <alignment horizontal="right" vertical="center"/>
    </xf>
    <xf numFmtId="0" fontId="7" fillId="17" borderId="6" xfId="0" applyFont="1" applyFill="1" applyBorder="1" applyAlignment="1">
      <alignment horizontal="right" vertical="center"/>
    </xf>
    <xf numFmtId="0" fontId="7" fillId="17" borderId="11" xfId="0" applyFont="1" applyFill="1" applyBorder="1" applyAlignment="1">
      <alignment horizontal="right" vertical="center"/>
    </xf>
    <xf numFmtId="0" fontId="7" fillId="17" borderId="12" xfId="0" applyFont="1" applyFill="1" applyBorder="1" applyAlignment="1">
      <alignment horizontal="right" vertical="center"/>
    </xf>
    <xf numFmtId="0" fontId="0" fillId="17" borderId="0" xfId="0" applyFill="1" applyAlignment="1">
      <alignment horizontal="left"/>
    </xf>
    <xf numFmtId="0" fontId="0" fillId="17" borderId="12" xfId="0" applyFill="1" applyBorder="1"/>
    <xf numFmtId="0" fontId="35" fillId="17" borderId="7" xfId="5" applyFont="1" applyFill="1" applyBorder="1" applyAlignment="1">
      <alignment horizontal="centerContinuous" vertical="center"/>
    </xf>
    <xf numFmtId="0" fontId="5" fillId="17" borderId="8" xfId="5" applyFont="1" applyFill="1" applyBorder="1" applyAlignment="1">
      <alignment horizontal="centerContinuous"/>
    </xf>
    <xf numFmtId="0" fontId="3" fillId="17" borderId="5" xfId="5" applyFill="1" applyBorder="1"/>
    <xf numFmtId="0" fontId="17" fillId="17" borderId="0" xfId="5" applyFont="1" applyFill="1" applyAlignment="1">
      <alignment horizontal="right" vertical="center"/>
    </xf>
    <xf numFmtId="0" fontId="13" fillId="17" borderId="0" xfId="5" applyFont="1" applyFill="1" applyAlignment="1">
      <alignment horizontal="right" vertical="center"/>
    </xf>
    <xf numFmtId="0" fontId="3" fillId="17" borderId="0" xfId="5" applyFill="1"/>
    <xf numFmtId="9" fontId="3" fillId="17" borderId="5" xfId="5" applyNumberFormat="1" applyFill="1" applyBorder="1"/>
    <xf numFmtId="0" fontId="3" fillId="17" borderId="0" xfId="5" applyFill="1" applyAlignment="1">
      <alignment horizontal="center"/>
    </xf>
    <xf numFmtId="9" fontId="3" fillId="17" borderId="10" xfId="5" applyNumberFormat="1" applyFill="1" applyBorder="1"/>
    <xf numFmtId="0" fontId="3" fillId="17" borderId="11" xfId="5" applyFill="1" applyBorder="1" applyAlignment="1">
      <alignment horizontal="center"/>
    </xf>
    <xf numFmtId="0" fontId="5" fillId="17" borderId="9" xfId="5" applyFont="1" applyFill="1" applyBorder="1" applyAlignment="1">
      <alignment horizontal="centerContinuous"/>
    </xf>
    <xf numFmtId="3" fontId="3" fillId="17" borderId="0" xfId="5" applyNumberFormat="1" applyFill="1" applyAlignment="1">
      <alignment horizontal="center"/>
    </xf>
    <xf numFmtId="8" fontId="3" fillId="17" borderId="0" xfId="5" applyNumberFormat="1" applyFill="1"/>
    <xf numFmtId="0" fontId="15" fillId="17" borderId="0" xfId="5" applyFont="1" applyFill="1"/>
    <xf numFmtId="0" fontId="3" fillId="17" borderId="11" xfId="5" applyFill="1" applyBorder="1"/>
    <xf numFmtId="0" fontId="3" fillId="17" borderId="12" xfId="5" applyFill="1" applyBorder="1"/>
    <xf numFmtId="0" fontId="3" fillId="17" borderId="0" xfId="5" applyFill="1" applyAlignment="1">
      <alignment horizontal="right"/>
    </xf>
    <xf numFmtId="0" fontId="2" fillId="17" borderId="0" xfId="5" applyFont="1" applyFill="1" applyAlignment="1">
      <alignment horizontal="right"/>
    </xf>
    <xf numFmtId="0" fontId="3" fillId="17" borderId="6" xfId="5" applyFill="1" applyBorder="1"/>
    <xf numFmtId="164" fontId="24" fillId="16" borderId="4" xfId="0" applyNumberFormat="1" applyFont="1" applyFill="1" applyBorder="1"/>
    <xf numFmtId="0" fontId="24" fillId="16" borderId="4" xfId="0" applyFont="1" applyFill="1" applyBorder="1"/>
    <xf numFmtId="44" fontId="24" fillId="16" borderId="4" xfId="1" applyFont="1" applyFill="1" applyBorder="1" applyAlignment="1">
      <alignment horizontal="center"/>
    </xf>
    <xf numFmtId="44" fontId="24" fillId="16" borderId="4" xfId="1" applyFont="1" applyFill="1" applyBorder="1"/>
    <xf numFmtId="0" fontId="6" fillId="17" borderId="7" xfId="5" applyFont="1" applyFill="1" applyBorder="1"/>
    <xf numFmtId="0" fontId="6" fillId="17" borderId="0" xfId="5" applyFont="1" applyFill="1" applyAlignment="1">
      <alignment horizontal="center"/>
    </xf>
    <xf numFmtId="0" fontId="6" fillId="17" borderId="6" xfId="5" applyFont="1" applyFill="1" applyBorder="1" applyAlignment="1">
      <alignment horizontal="center"/>
    </xf>
    <xf numFmtId="0" fontId="36" fillId="17" borderId="5" xfId="5" applyFont="1" applyFill="1" applyBorder="1" applyAlignment="1">
      <alignment horizontal="left"/>
    </xf>
    <xf numFmtId="0" fontId="37" fillId="17" borderId="0" xfId="5" applyFont="1" applyFill="1" applyAlignment="1">
      <alignment vertical="center"/>
    </xf>
    <xf numFmtId="0" fontId="6" fillId="17" borderId="5" xfId="5" applyFont="1" applyFill="1" applyBorder="1" applyAlignment="1">
      <alignment horizontal="left"/>
    </xf>
    <xf numFmtId="0" fontId="37" fillId="17" borderId="0" xfId="5" applyFont="1" applyFill="1"/>
    <xf numFmtId="0" fontId="4" fillId="17" borderId="10" xfId="0" applyFont="1" applyFill="1" applyBorder="1"/>
    <xf numFmtId="0" fontId="4" fillId="17" borderId="0" xfId="0" applyFont="1" applyFill="1"/>
    <xf numFmtId="0" fontId="37" fillId="17" borderId="6" xfId="5" applyFont="1" applyFill="1" applyBorder="1" applyAlignment="1">
      <alignment vertical="center"/>
    </xf>
    <xf numFmtId="6" fontId="37" fillId="17" borderId="0" xfId="5" applyNumberFormat="1" applyFont="1" applyFill="1"/>
    <xf numFmtId="6" fontId="37" fillId="17" borderId="6" xfId="5" applyNumberFormat="1" applyFont="1" applyFill="1" applyBorder="1"/>
    <xf numFmtId="0" fontId="16" fillId="17" borderId="5" xfId="5" applyFont="1" applyFill="1" applyBorder="1" applyAlignment="1">
      <alignment horizontal="left"/>
    </xf>
    <xf numFmtId="0" fontId="37" fillId="17" borderId="6" xfId="5" applyFont="1" applyFill="1" applyBorder="1"/>
    <xf numFmtId="0" fontId="4" fillId="17" borderId="5" xfId="0" applyFont="1" applyFill="1" applyBorder="1"/>
    <xf numFmtId="0" fontId="37" fillId="17" borderId="5" xfId="5" applyFont="1" applyFill="1" applyBorder="1"/>
    <xf numFmtId="0" fontId="4" fillId="17" borderId="6" xfId="0" applyFont="1" applyFill="1" applyBorder="1"/>
    <xf numFmtId="0" fontId="37" fillId="17" borderId="12" xfId="5" applyFont="1" applyFill="1" applyBorder="1"/>
    <xf numFmtId="0" fontId="23" fillId="17" borderId="1" xfId="0" applyFont="1" applyFill="1" applyBorder="1" applyAlignment="1">
      <alignment horizontal="centerContinuous"/>
    </xf>
    <xf numFmtId="0" fontId="8" fillId="17" borderId="2" xfId="0" applyFont="1" applyFill="1" applyBorder="1" applyAlignment="1">
      <alignment horizontal="centerContinuous"/>
    </xf>
    <xf numFmtId="0" fontId="8" fillId="17" borderId="3" xfId="0" applyFont="1" applyFill="1" applyBorder="1" applyAlignment="1">
      <alignment horizontal="centerContinuous"/>
    </xf>
    <xf numFmtId="0" fontId="22" fillId="17" borderId="1" xfId="0" applyFont="1" applyFill="1" applyBorder="1" applyAlignment="1">
      <alignment horizontal="centerContinuous" vertical="center"/>
    </xf>
    <xf numFmtId="0" fontId="0" fillId="17" borderId="2" xfId="0" applyFill="1" applyBorder="1" applyAlignment="1">
      <alignment horizontal="centerContinuous"/>
    </xf>
    <xf numFmtId="0" fontId="0" fillId="17" borderId="3" xfId="0" applyFill="1" applyBorder="1" applyAlignment="1">
      <alignment horizontal="centerContinuous"/>
    </xf>
    <xf numFmtId="0" fontId="5" fillId="10" borderId="7" xfId="0" applyFont="1" applyFill="1" applyBorder="1" applyAlignment="1">
      <alignment horizontal="center" vertical="center" wrapText="1"/>
    </xf>
    <xf numFmtId="0" fontId="5" fillId="10" borderId="15" xfId="0" applyFont="1" applyFill="1" applyBorder="1" applyAlignment="1">
      <alignment horizontal="center" vertical="center" wrapText="1"/>
    </xf>
    <xf numFmtId="0" fontId="5" fillId="10" borderId="16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wrapText="1"/>
    </xf>
    <xf numFmtId="0" fontId="6" fillId="10" borderId="15" xfId="0" applyFont="1" applyFill="1" applyBorder="1" applyAlignment="1">
      <alignment horizontal="center" wrapText="1"/>
    </xf>
    <xf numFmtId="0" fontId="10" fillId="10" borderId="16" xfId="0" applyFont="1" applyFill="1" applyBorder="1" applyAlignment="1">
      <alignment horizontal="center" wrapText="1"/>
    </xf>
    <xf numFmtId="0" fontId="5" fillId="10" borderId="1" xfId="0" applyFont="1" applyFill="1" applyBorder="1" applyAlignment="1">
      <alignment horizontal="centerContinuous" vertical="center"/>
    </xf>
    <xf numFmtId="0" fontId="5" fillId="10" borderId="2" xfId="0" applyFont="1" applyFill="1" applyBorder="1" applyAlignment="1">
      <alignment horizontal="centerContinuous" vertical="center"/>
    </xf>
    <xf numFmtId="0" fontId="5" fillId="10" borderId="3" xfId="0" applyFont="1" applyFill="1" applyBorder="1" applyAlignment="1">
      <alignment horizontal="centerContinuous" vertical="center"/>
    </xf>
    <xf numFmtId="6" fontId="13" fillId="10" borderId="4" xfId="5" applyNumberFormat="1" applyFont="1" applyFill="1" applyBorder="1" applyAlignment="1">
      <alignment horizontal="centerContinuous" vertical="center" wrapText="1"/>
    </xf>
    <xf numFmtId="6" fontId="17" fillId="10" borderId="1" xfId="5" applyNumberFormat="1" applyFont="1" applyFill="1" applyBorder="1" applyAlignment="1">
      <alignment horizontal="centerContinuous" vertical="center" wrapText="1"/>
    </xf>
    <xf numFmtId="6" fontId="17" fillId="10" borderId="2" xfId="5" applyNumberFormat="1" applyFont="1" applyFill="1" applyBorder="1" applyAlignment="1">
      <alignment horizontal="centerContinuous" vertical="center" wrapText="1"/>
    </xf>
    <xf numFmtId="6" fontId="17" fillId="10" borderId="3" xfId="5" applyNumberFormat="1" applyFont="1" applyFill="1" applyBorder="1" applyAlignment="1">
      <alignment horizontal="centerContinuous" vertical="center" wrapText="1"/>
    </xf>
    <xf numFmtId="0" fontId="0" fillId="18" borderId="0" xfId="0" applyFill="1"/>
    <xf numFmtId="46" fontId="26" fillId="2" borderId="15" xfId="0" applyNumberFormat="1" applyFont="1" applyFill="1" applyBorder="1" applyAlignment="1">
      <alignment horizontal="center" vertical="center"/>
    </xf>
    <xf numFmtId="0" fontId="42" fillId="0" borderId="0" xfId="0" applyFont="1"/>
    <xf numFmtId="0" fontId="0" fillId="0" borderId="5" xfId="0" applyBorder="1"/>
    <xf numFmtId="0" fontId="0" fillId="0" borderId="33" xfId="0" applyBorder="1"/>
    <xf numFmtId="0" fontId="25" fillId="14" borderId="35" xfId="0" applyFont="1" applyFill="1" applyBorder="1" applyAlignment="1">
      <alignment horizontal="center" wrapText="1"/>
    </xf>
    <xf numFmtId="0" fontId="25" fillId="14" borderId="34" xfId="0" applyFont="1" applyFill="1" applyBorder="1" applyAlignment="1">
      <alignment horizontal="center" wrapText="1"/>
    </xf>
    <xf numFmtId="0" fontId="6" fillId="17" borderId="0" xfId="0" applyFont="1" applyFill="1"/>
    <xf numFmtId="6" fontId="0" fillId="4" borderId="4" xfId="0" applyNumberFormat="1" applyFill="1" applyBorder="1" applyAlignment="1">
      <alignment horizontal="center" vertical="center"/>
    </xf>
    <xf numFmtId="14" fontId="6" fillId="4" borderId="4" xfId="0" applyNumberFormat="1" applyFont="1" applyFill="1" applyBorder="1" applyAlignment="1">
      <alignment horizontal="center" vertical="center"/>
    </xf>
    <xf numFmtId="14" fontId="6" fillId="5" borderId="4" xfId="0" applyNumberFormat="1" applyFont="1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8" fontId="0" fillId="0" borderId="0" xfId="0" applyNumberFormat="1"/>
    <xf numFmtId="6" fontId="0" fillId="4" borderId="4" xfId="0" applyNumberFormat="1" applyFill="1" applyBorder="1" applyAlignment="1">
      <alignment vertical="center"/>
    </xf>
    <xf numFmtId="0" fontId="6" fillId="0" borderId="1" xfId="0" applyFont="1" applyBorder="1" applyAlignment="1">
      <alignment horizontal="right" vertical="center"/>
    </xf>
    <xf numFmtId="6" fontId="6" fillId="20" borderId="4" xfId="0" applyNumberFormat="1" applyFont="1" applyFill="1" applyBorder="1" applyAlignment="1">
      <alignment vertical="center"/>
    </xf>
    <xf numFmtId="0" fontId="6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4" fontId="6" fillId="4" borderId="4" xfId="0" applyNumberFormat="1" applyFont="1" applyFill="1" applyBorder="1" applyAlignment="1">
      <alignment horizontal="centerContinuous" vertical="center"/>
    </xf>
    <xf numFmtId="0" fontId="22" fillId="0" borderId="0" xfId="0" applyFont="1"/>
    <xf numFmtId="22" fontId="0" fillId="0" borderId="0" xfId="0" applyNumberFormat="1"/>
    <xf numFmtId="46" fontId="24" fillId="7" borderId="4" xfId="0" quotePrefix="1" applyNumberFormat="1" applyFont="1" applyFill="1" applyBorder="1"/>
    <xf numFmtId="0" fontId="0" fillId="4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6" fillId="0" borderId="36" xfId="0" applyFont="1" applyBorder="1" applyAlignment="1">
      <alignment horizontal="center" vertical="center" wrapText="1"/>
    </xf>
    <xf numFmtId="0" fontId="7" fillId="0" borderId="4" xfId="0" applyFont="1" applyBorder="1"/>
    <xf numFmtId="0" fontId="6" fillId="21" borderId="4" xfId="0" applyFont="1" applyFill="1" applyBorder="1"/>
    <xf numFmtId="6" fontId="6" fillId="21" borderId="4" xfId="0" applyNumberFormat="1" applyFont="1" applyFill="1" applyBorder="1"/>
    <xf numFmtId="0" fontId="48" fillId="0" borderId="5" xfId="0" applyFont="1" applyBorder="1" applyAlignment="1">
      <alignment horizontal="center"/>
    </xf>
    <xf numFmtId="0" fontId="48" fillId="0" borderId="0" xfId="0" applyFont="1" applyAlignment="1">
      <alignment horizontal="center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1" fillId="0" borderId="4" xfId="5" applyFont="1" applyBorder="1" applyAlignment="1">
      <alignment horizontal="center" vertical="center" wrapText="1"/>
    </xf>
  </cellXfs>
  <cellStyles count="6">
    <cellStyle name="Comma" xfId="4" builtinId="3"/>
    <cellStyle name="Currency" xfId="1" builtinId="4"/>
    <cellStyle name="Normal" xfId="0" builtinId="0"/>
    <cellStyle name="Normal 2" xfId="2" xr:uid="{00000000-0005-0000-0000-000003000000}"/>
    <cellStyle name="Normal 3" xfId="5" xr:uid="{00000000-0005-0000-0000-000004000000}"/>
    <cellStyle name="Per cent" xfId="3" builtinId="5"/>
  </cellStyles>
  <dxfs count="15"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/>
      </font>
      <fill>
        <patternFill>
          <bgColor theme="5" tint="0.79998168889431442"/>
        </patternFill>
      </fill>
    </dxf>
    <dxf>
      <font>
        <color theme="0" tint="-0.499984740745262"/>
      </font>
      <fill>
        <patternFill patternType="lightUp">
          <fgColor theme="0" tint="-0.34998626667073579"/>
          <bgColor theme="0" tint="-0.14993743705557422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173" formatCode="m/d/yyyy\ h:mm"/>
    </dxf>
    <dxf>
      <numFmt numFmtId="0" formatCode="General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colors>
    <mruColors>
      <color rgb="FFFFFF99"/>
      <color rgb="FF339933"/>
      <color rgb="FF00CC00"/>
      <color rgb="FFCCFFCC"/>
      <color rgb="FFFFFFCC"/>
      <color rgb="FF99FF99"/>
      <color rgb="FFFFFF66"/>
      <color rgb="FFFFCCCC"/>
      <color rgb="FFFFFF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'Analyze Replenishment Schedule'!$L$1</c:f>
          <c:strCache>
            <c:ptCount val="1"/>
            <c:pt idx="0">
              <c:v>ATM Cash Transactions From 10/01/2015 to 12/31/2015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'ATM Cash Transactions'!$H$6:$H$3563</c:f>
              <c:numCache>
                <c:formatCode>_("$"* #,##0_);_("$"* \(#,##0\);_("$"* "-"??_);_(@_)</c:formatCode>
                <c:ptCount val="3558"/>
                <c:pt idx="0">
                  <c:v>16000</c:v>
                </c:pt>
                <c:pt idx="1">
                  <c:v>15940</c:v>
                </c:pt>
                <c:pt idx="2">
                  <c:v>15840</c:v>
                </c:pt>
                <c:pt idx="3">
                  <c:v>15780</c:v>
                </c:pt>
                <c:pt idx="4">
                  <c:v>15740</c:v>
                </c:pt>
                <c:pt idx="5">
                  <c:v>15240</c:v>
                </c:pt>
                <c:pt idx="6">
                  <c:v>15220</c:v>
                </c:pt>
                <c:pt idx="7">
                  <c:v>15160</c:v>
                </c:pt>
                <c:pt idx="8">
                  <c:v>15060</c:v>
                </c:pt>
                <c:pt idx="9">
                  <c:v>14940</c:v>
                </c:pt>
                <c:pt idx="10">
                  <c:v>14840</c:v>
                </c:pt>
                <c:pt idx="11">
                  <c:v>14760</c:v>
                </c:pt>
                <c:pt idx="12">
                  <c:v>14660</c:v>
                </c:pt>
                <c:pt idx="13">
                  <c:v>14600</c:v>
                </c:pt>
                <c:pt idx="14">
                  <c:v>14480</c:v>
                </c:pt>
                <c:pt idx="15">
                  <c:v>14280</c:v>
                </c:pt>
                <c:pt idx="16">
                  <c:v>14220</c:v>
                </c:pt>
                <c:pt idx="17">
                  <c:v>13720</c:v>
                </c:pt>
                <c:pt idx="18">
                  <c:v>13680</c:v>
                </c:pt>
                <c:pt idx="19">
                  <c:v>13180</c:v>
                </c:pt>
                <c:pt idx="20">
                  <c:v>13140</c:v>
                </c:pt>
                <c:pt idx="21">
                  <c:v>12940</c:v>
                </c:pt>
                <c:pt idx="22">
                  <c:v>12840</c:v>
                </c:pt>
                <c:pt idx="23">
                  <c:v>12740</c:v>
                </c:pt>
                <c:pt idx="24">
                  <c:v>12640</c:v>
                </c:pt>
                <c:pt idx="25">
                  <c:v>12620</c:v>
                </c:pt>
                <c:pt idx="26">
                  <c:v>12500</c:v>
                </c:pt>
                <c:pt idx="27">
                  <c:v>12400</c:v>
                </c:pt>
                <c:pt idx="28">
                  <c:v>12360</c:v>
                </c:pt>
                <c:pt idx="29">
                  <c:v>12300</c:v>
                </c:pt>
                <c:pt idx="30">
                  <c:v>12140</c:v>
                </c:pt>
                <c:pt idx="31">
                  <c:v>12120</c:v>
                </c:pt>
                <c:pt idx="32">
                  <c:v>12020</c:v>
                </c:pt>
                <c:pt idx="33">
                  <c:v>11980</c:v>
                </c:pt>
                <c:pt idx="34">
                  <c:v>11920</c:v>
                </c:pt>
                <c:pt idx="35">
                  <c:v>11720</c:v>
                </c:pt>
                <c:pt idx="36">
                  <c:v>11700</c:v>
                </c:pt>
                <c:pt idx="37">
                  <c:v>11600</c:v>
                </c:pt>
                <c:pt idx="38">
                  <c:v>11500</c:v>
                </c:pt>
                <c:pt idx="39">
                  <c:v>11400</c:v>
                </c:pt>
                <c:pt idx="40">
                  <c:v>11300</c:v>
                </c:pt>
                <c:pt idx="41">
                  <c:v>11200</c:v>
                </c:pt>
                <c:pt idx="42">
                  <c:v>11160</c:v>
                </c:pt>
                <c:pt idx="43">
                  <c:v>11000</c:v>
                </c:pt>
                <c:pt idx="44">
                  <c:v>10960</c:v>
                </c:pt>
                <c:pt idx="45">
                  <c:v>10880</c:v>
                </c:pt>
                <c:pt idx="46">
                  <c:v>10840</c:v>
                </c:pt>
                <c:pt idx="47">
                  <c:v>10740</c:v>
                </c:pt>
                <c:pt idx="48">
                  <c:v>10640</c:v>
                </c:pt>
                <c:pt idx="49">
                  <c:v>10600</c:v>
                </c:pt>
                <c:pt idx="50">
                  <c:v>10560</c:v>
                </c:pt>
                <c:pt idx="51">
                  <c:v>10520</c:v>
                </c:pt>
                <c:pt idx="52">
                  <c:v>10480</c:v>
                </c:pt>
                <c:pt idx="53">
                  <c:v>10380</c:v>
                </c:pt>
                <c:pt idx="54">
                  <c:v>10280</c:v>
                </c:pt>
                <c:pt idx="55">
                  <c:v>10180</c:v>
                </c:pt>
                <c:pt idx="56">
                  <c:v>10080</c:v>
                </c:pt>
                <c:pt idx="57">
                  <c:v>9980</c:v>
                </c:pt>
                <c:pt idx="58">
                  <c:v>9960</c:v>
                </c:pt>
                <c:pt idx="59">
                  <c:v>9940</c:v>
                </c:pt>
                <c:pt idx="60">
                  <c:v>9880</c:v>
                </c:pt>
                <c:pt idx="61">
                  <c:v>9820</c:v>
                </c:pt>
                <c:pt idx="62">
                  <c:v>9760</c:v>
                </c:pt>
                <c:pt idx="63">
                  <c:v>9660</c:v>
                </c:pt>
                <c:pt idx="64">
                  <c:v>9560</c:v>
                </c:pt>
                <c:pt idx="65">
                  <c:v>9480</c:v>
                </c:pt>
                <c:pt idx="66">
                  <c:v>9380</c:v>
                </c:pt>
                <c:pt idx="67">
                  <c:v>9360</c:v>
                </c:pt>
                <c:pt idx="68">
                  <c:v>9060</c:v>
                </c:pt>
                <c:pt idx="69">
                  <c:v>9000</c:v>
                </c:pt>
                <c:pt idx="70">
                  <c:v>8880</c:v>
                </c:pt>
                <c:pt idx="71">
                  <c:v>8680</c:v>
                </c:pt>
                <c:pt idx="72">
                  <c:v>8660</c:v>
                </c:pt>
                <c:pt idx="73">
                  <c:v>8640</c:v>
                </c:pt>
                <c:pt idx="74">
                  <c:v>8540</c:v>
                </c:pt>
                <c:pt idx="75">
                  <c:v>8440</c:v>
                </c:pt>
                <c:pt idx="76">
                  <c:v>8420</c:v>
                </c:pt>
                <c:pt idx="77">
                  <c:v>8280</c:v>
                </c:pt>
                <c:pt idx="78">
                  <c:v>8200</c:v>
                </c:pt>
                <c:pt idx="79">
                  <c:v>8140</c:v>
                </c:pt>
                <c:pt idx="80">
                  <c:v>8120</c:v>
                </c:pt>
                <c:pt idx="81">
                  <c:v>8020</c:v>
                </c:pt>
                <c:pt idx="82">
                  <c:v>8000</c:v>
                </c:pt>
                <c:pt idx="83">
                  <c:v>7980</c:v>
                </c:pt>
                <c:pt idx="84">
                  <c:v>7940</c:v>
                </c:pt>
                <c:pt idx="85">
                  <c:v>7440</c:v>
                </c:pt>
                <c:pt idx="86">
                  <c:v>7380</c:v>
                </c:pt>
                <c:pt idx="87">
                  <c:v>7180</c:v>
                </c:pt>
                <c:pt idx="88">
                  <c:v>7080</c:v>
                </c:pt>
                <c:pt idx="89">
                  <c:v>6980</c:v>
                </c:pt>
                <c:pt idx="90">
                  <c:v>6920</c:v>
                </c:pt>
                <c:pt idx="91">
                  <c:v>6820</c:v>
                </c:pt>
                <c:pt idx="92">
                  <c:v>6720</c:v>
                </c:pt>
                <c:pt idx="93">
                  <c:v>6640</c:v>
                </c:pt>
                <c:pt idx="94">
                  <c:v>6140</c:v>
                </c:pt>
                <c:pt idx="95">
                  <c:v>6040</c:v>
                </c:pt>
                <c:pt idx="96">
                  <c:v>5940</c:v>
                </c:pt>
                <c:pt idx="97">
                  <c:v>5820</c:v>
                </c:pt>
                <c:pt idx="98">
                  <c:v>5800</c:v>
                </c:pt>
                <c:pt idx="99">
                  <c:v>5700</c:v>
                </c:pt>
                <c:pt idx="100">
                  <c:v>5500</c:v>
                </c:pt>
                <c:pt idx="101">
                  <c:v>5400</c:v>
                </c:pt>
                <c:pt idx="102">
                  <c:v>5280</c:v>
                </c:pt>
                <c:pt idx="103">
                  <c:v>4880</c:v>
                </c:pt>
                <c:pt idx="104">
                  <c:v>4760</c:v>
                </c:pt>
                <c:pt idx="105">
                  <c:v>4660</c:v>
                </c:pt>
                <c:pt idx="106">
                  <c:v>4620</c:v>
                </c:pt>
                <c:pt idx="107">
                  <c:v>4540</c:v>
                </c:pt>
                <c:pt idx="108">
                  <c:v>4440</c:v>
                </c:pt>
                <c:pt idx="109">
                  <c:v>4340</c:v>
                </c:pt>
                <c:pt idx="110">
                  <c:v>4240</c:v>
                </c:pt>
                <c:pt idx="111">
                  <c:v>4200</c:v>
                </c:pt>
                <c:pt idx="112">
                  <c:v>4140</c:v>
                </c:pt>
                <c:pt idx="113">
                  <c:v>4040</c:v>
                </c:pt>
                <c:pt idx="114">
                  <c:v>3540</c:v>
                </c:pt>
                <c:pt idx="115">
                  <c:v>3440</c:v>
                </c:pt>
                <c:pt idx="116">
                  <c:v>3360</c:v>
                </c:pt>
                <c:pt idx="117">
                  <c:v>3260</c:v>
                </c:pt>
                <c:pt idx="118">
                  <c:v>3200</c:v>
                </c:pt>
                <c:pt idx="119">
                  <c:v>3160</c:v>
                </c:pt>
                <c:pt idx="120">
                  <c:v>3060</c:v>
                </c:pt>
                <c:pt idx="121">
                  <c:v>2960</c:v>
                </c:pt>
                <c:pt idx="122">
                  <c:v>2860</c:v>
                </c:pt>
                <c:pt idx="123">
                  <c:v>2760</c:v>
                </c:pt>
                <c:pt idx="124">
                  <c:v>2560</c:v>
                </c:pt>
                <c:pt idx="125">
                  <c:v>2540</c:v>
                </c:pt>
                <c:pt idx="126">
                  <c:v>2480</c:v>
                </c:pt>
                <c:pt idx="127">
                  <c:v>2180</c:v>
                </c:pt>
                <c:pt idx="128">
                  <c:v>2140</c:v>
                </c:pt>
                <c:pt idx="129">
                  <c:v>2100</c:v>
                </c:pt>
                <c:pt idx="130">
                  <c:v>1980</c:v>
                </c:pt>
                <c:pt idx="131">
                  <c:v>1880</c:v>
                </c:pt>
                <c:pt idx="132">
                  <c:v>1840</c:v>
                </c:pt>
                <c:pt idx="133">
                  <c:v>1780</c:v>
                </c:pt>
                <c:pt idx="134">
                  <c:v>1580</c:v>
                </c:pt>
                <c:pt idx="135">
                  <c:v>1480</c:v>
                </c:pt>
                <c:pt idx="136">
                  <c:v>1440</c:v>
                </c:pt>
                <c:pt idx="137">
                  <c:v>1340</c:v>
                </c:pt>
                <c:pt idx="138">
                  <c:v>1240</c:v>
                </c:pt>
                <c:pt idx="139">
                  <c:v>1200</c:v>
                </c:pt>
                <c:pt idx="140">
                  <c:v>900</c:v>
                </c:pt>
                <c:pt idx="141">
                  <c:v>760</c:v>
                </c:pt>
                <c:pt idx="142">
                  <c:v>660</c:v>
                </c:pt>
                <c:pt idx="143">
                  <c:v>620</c:v>
                </c:pt>
                <c:pt idx="144">
                  <c:v>520</c:v>
                </c:pt>
                <c:pt idx="145">
                  <c:v>420</c:v>
                </c:pt>
                <c:pt idx="146">
                  <c:v>380</c:v>
                </c:pt>
                <c:pt idx="147">
                  <c:v>280</c:v>
                </c:pt>
                <c:pt idx="148">
                  <c:v>260</c:v>
                </c:pt>
                <c:pt idx="149">
                  <c:v>240</c:v>
                </c:pt>
                <c:pt idx="150">
                  <c:v>200</c:v>
                </c:pt>
                <c:pt idx="151">
                  <c:v>160</c:v>
                </c:pt>
                <c:pt idx="152">
                  <c:v>80</c:v>
                </c:pt>
                <c:pt idx="153">
                  <c:v>20</c:v>
                </c:pt>
                <c:pt idx="154">
                  <c:v>20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11000</c:v>
                </c:pt>
                <c:pt idx="163">
                  <c:v>10500</c:v>
                </c:pt>
                <c:pt idx="164">
                  <c:v>10400</c:v>
                </c:pt>
                <c:pt idx="165">
                  <c:v>10260</c:v>
                </c:pt>
                <c:pt idx="166">
                  <c:v>10160</c:v>
                </c:pt>
                <c:pt idx="167">
                  <c:v>10140</c:v>
                </c:pt>
                <c:pt idx="168">
                  <c:v>10040</c:v>
                </c:pt>
                <c:pt idx="169">
                  <c:v>9960</c:v>
                </c:pt>
                <c:pt idx="170">
                  <c:v>9940</c:v>
                </c:pt>
                <c:pt idx="171">
                  <c:v>9880</c:v>
                </c:pt>
                <c:pt idx="172">
                  <c:v>9860</c:v>
                </c:pt>
                <c:pt idx="173">
                  <c:v>9820</c:v>
                </c:pt>
                <c:pt idx="174">
                  <c:v>9780</c:v>
                </c:pt>
                <c:pt idx="175">
                  <c:v>9680</c:v>
                </c:pt>
                <c:pt idx="176">
                  <c:v>9580</c:v>
                </c:pt>
                <c:pt idx="177">
                  <c:v>9380</c:v>
                </c:pt>
                <c:pt idx="178">
                  <c:v>9320</c:v>
                </c:pt>
                <c:pt idx="179">
                  <c:v>9280</c:v>
                </c:pt>
                <c:pt idx="180">
                  <c:v>9240</c:v>
                </c:pt>
                <c:pt idx="181">
                  <c:v>9180</c:v>
                </c:pt>
                <c:pt idx="182">
                  <c:v>9080</c:v>
                </c:pt>
                <c:pt idx="183">
                  <c:v>9060</c:v>
                </c:pt>
                <c:pt idx="184">
                  <c:v>8960</c:v>
                </c:pt>
                <c:pt idx="185">
                  <c:v>8880</c:v>
                </c:pt>
                <c:pt idx="186">
                  <c:v>8800</c:v>
                </c:pt>
                <c:pt idx="187">
                  <c:v>8680</c:v>
                </c:pt>
                <c:pt idx="188">
                  <c:v>8580</c:v>
                </c:pt>
                <c:pt idx="189">
                  <c:v>8520</c:v>
                </c:pt>
                <c:pt idx="190">
                  <c:v>8480</c:v>
                </c:pt>
                <c:pt idx="191">
                  <c:v>8420</c:v>
                </c:pt>
                <c:pt idx="192">
                  <c:v>8220</c:v>
                </c:pt>
                <c:pt idx="193">
                  <c:v>8180</c:v>
                </c:pt>
                <c:pt idx="194">
                  <c:v>8160</c:v>
                </c:pt>
                <c:pt idx="195">
                  <c:v>8120</c:v>
                </c:pt>
                <c:pt idx="196">
                  <c:v>8020</c:v>
                </c:pt>
                <c:pt idx="197">
                  <c:v>7960</c:v>
                </c:pt>
                <c:pt idx="198">
                  <c:v>7940</c:v>
                </c:pt>
                <c:pt idx="199">
                  <c:v>7920</c:v>
                </c:pt>
                <c:pt idx="200">
                  <c:v>7820</c:v>
                </c:pt>
                <c:pt idx="201">
                  <c:v>7740</c:v>
                </c:pt>
                <c:pt idx="202">
                  <c:v>7700</c:v>
                </c:pt>
                <c:pt idx="203">
                  <c:v>7600</c:v>
                </c:pt>
                <c:pt idx="204">
                  <c:v>7560</c:v>
                </c:pt>
                <c:pt idx="205">
                  <c:v>7520</c:v>
                </c:pt>
                <c:pt idx="206">
                  <c:v>7480</c:v>
                </c:pt>
                <c:pt idx="207">
                  <c:v>7280</c:v>
                </c:pt>
                <c:pt idx="208">
                  <c:v>7220</c:v>
                </c:pt>
                <c:pt idx="209">
                  <c:v>7180</c:v>
                </c:pt>
                <c:pt idx="210">
                  <c:v>7120</c:v>
                </c:pt>
                <c:pt idx="211">
                  <c:v>7080</c:v>
                </c:pt>
                <c:pt idx="212">
                  <c:v>6700</c:v>
                </c:pt>
                <c:pt idx="213">
                  <c:v>6500</c:v>
                </c:pt>
                <c:pt idx="214">
                  <c:v>6400</c:v>
                </c:pt>
                <c:pt idx="215">
                  <c:v>6380</c:v>
                </c:pt>
                <c:pt idx="216">
                  <c:v>6320</c:v>
                </c:pt>
                <c:pt idx="217">
                  <c:v>6300</c:v>
                </c:pt>
                <c:pt idx="218">
                  <c:v>6280</c:v>
                </c:pt>
                <c:pt idx="219">
                  <c:v>6200</c:v>
                </c:pt>
                <c:pt idx="220">
                  <c:v>6140</c:v>
                </c:pt>
                <c:pt idx="221">
                  <c:v>5640</c:v>
                </c:pt>
                <c:pt idx="222">
                  <c:v>5620</c:v>
                </c:pt>
                <c:pt idx="223">
                  <c:v>5120</c:v>
                </c:pt>
                <c:pt idx="224">
                  <c:v>5080</c:v>
                </c:pt>
                <c:pt idx="225">
                  <c:v>4980</c:v>
                </c:pt>
                <c:pt idx="226">
                  <c:v>4880</c:v>
                </c:pt>
                <c:pt idx="227">
                  <c:v>4840</c:v>
                </c:pt>
                <c:pt idx="228">
                  <c:v>4760</c:v>
                </c:pt>
                <c:pt idx="229">
                  <c:v>4700</c:v>
                </c:pt>
                <c:pt idx="230">
                  <c:v>4600</c:v>
                </c:pt>
                <c:pt idx="231">
                  <c:v>4500</c:v>
                </c:pt>
                <c:pt idx="232">
                  <c:v>4480</c:v>
                </c:pt>
                <c:pt idx="233">
                  <c:v>4420</c:v>
                </c:pt>
                <c:pt idx="234">
                  <c:v>4380</c:v>
                </c:pt>
                <c:pt idx="235">
                  <c:v>4280</c:v>
                </c:pt>
                <c:pt idx="236">
                  <c:v>4180</c:v>
                </c:pt>
                <c:pt idx="237">
                  <c:v>4120</c:v>
                </c:pt>
                <c:pt idx="238">
                  <c:v>4060</c:v>
                </c:pt>
                <c:pt idx="239">
                  <c:v>3940</c:v>
                </c:pt>
                <c:pt idx="240">
                  <c:v>3840</c:v>
                </c:pt>
                <c:pt idx="241">
                  <c:v>3740</c:v>
                </c:pt>
                <c:pt idx="242">
                  <c:v>3700</c:v>
                </c:pt>
                <c:pt idx="243">
                  <c:v>3640</c:v>
                </c:pt>
                <c:pt idx="244">
                  <c:v>3540</c:v>
                </c:pt>
                <c:pt idx="245">
                  <c:v>3340</c:v>
                </c:pt>
                <c:pt idx="246">
                  <c:v>3240</c:v>
                </c:pt>
                <c:pt idx="247">
                  <c:v>3140</c:v>
                </c:pt>
                <c:pt idx="248">
                  <c:v>3100</c:v>
                </c:pt>
                <c:pt idx="249">
                  <c:v>3060</c:v>
                </c:pt>
                <c:pt idx="250">
                  <c:v>3020</c:v>
                </c:pt>
                <c:pt idx="251">
                  <c:v>2920</c:v>
                </c:pt>
                <c:pt idx="252">
                  <c:v>2820</c:v>
                </c:pt>
                <c:pt idx="253">
                  <c:v>2780</c:v>
                </c:pt>
                <c:pt idx="254">
                  <c:v>2660</c:v>
                </c:pt>
                <c:pt idx="255">
                  <c:v>2600</c:v>
                </c:pt>
                <c:pt idx="256">
                  <c:v>2520</c:v>
                </c:pt>
                <c:pt idx="257">
                  <c:v>2480</c:v>
                </c:pt>
                <c:pt idx="258">
                  <c:v>2420</c:v>
                </c:pt>
                <c:pt idx="259">
                  <c:v>2220</c:v>
                </c:pt>
                <c:pt idx="260">
                  <c:v>2180</c:v>
                </c:pt>
                <c:pt idx="261">
                  <c:v>2080</c:v>
                </c:pt>
                <c:pt idx="262">
                  <c:v>1980</c:v>
                </c:pt>
                <c:pt idx="263">
                  <c:v>1880</c:v>
                </c:pt>
                <c:pt idx="264">
                  <c:v>1700</c:v>
                </c:pt>
                <c:pt idx="265">
                  <c:v>1600</c:v>
                </c:pt>
                <c:pt idx="266">
                  <c:v>20000</c:v>
                </c:pt>
                <c:pt idx="267">
                  <c:v>19500</c:v>
                </c:pt>
                <c:pt idx="268">
                  <c:v>19400</c:v>
                </c:pt>
                <c:pt idx="269">
                  <c:v>19220</c:v>
                </c:pt>
                <c:pt idx="270">
                  <c:v>19060</c:v>
                </c:pt>
                <c:pt idx="271">
                  <c:v>18960</c:v>
                </c:pt>
                <c:pt idx="272">
                  <c:v>18880</c:v>
                </c:pt>
                <c:pt idx="273">
                  <c:v>18860</c:v>
                </c:pt>
                <c:pt idx="274">
                  <c:v>18840</c:v>
                </c:pt>
                <c:pt idx="275">
                  <c:v>18820</c:v>
                </c:pt>
                <c:pt idx="276">
                  <c:v>18720</c:v>
                </c:pt>
                <c:pt idx="277">
                  <c:v>18580</c:v>
                </c:pt>
                <c:pt idx="278">
                  <c:v>18540</c:v>
                </c:pt>
                <c:pt idx="279">
                  <c:v>18520</c:v>
                </c:pt>
                <c:pt idx="280">
                  <c:v>18480</c:v>
                </c:pt>
                <c:pt idx="281">
                  <c:v>17980</c:v>
                </c:pt>
                <c:pt idx="282">
                  <c:v>17940</c:v>
                </c:pt>
                <c:pt idx="283">
                  <c:v>17840</c:v>
                </c:pt>
                <c:pt idx="284">
                  <c:v>17820</c:v>
                </c:pt>
                <c:pt idx="285">
                  <c:v>17760</c:v>
                </c:pt>
                <c:pt idx="286">
                  <c:v>17720</c:v>
                </c:pt>
                <c:pt idx="287">
                  <c:v>17620</c:v>
                </c:pt>
                <c:pt idx="288">
                  <c:v>17520</c:v>
                </c:pt>
                <c:pt idx="289">
                  <c:v>17460</c:v>
                </c:pt>
                <c:pt idx="290">
                  <c:v>17260</c:v>
                </c:pt>
                <c:pt idx="291">
                  <c:v>17060</c:v>
                </c:pt>
                <c:pt idx="292">
                  <c:v>17000</c:v>
                </c:pt>
                <c:pt idx="293">
                  <c:v>16900</c:v>
                </c:pt>
                <c:pt idx="294">
                  <c:v>16800</c:v>
                </c:pt>
                <c:pt idx="295">
                  <c:v>16700</c:v>
                </c:pt>
                <c:pt idx="296">
                  <c:v>16640</c:v>
                </c:pt>
                <c:pt idx="297">
                  <c:v>16540</c:v>
                </c:pt>
                <c:pt idx="298">
                  <c:v>16440</c:v>
                </c:pt>
                <c:pt idx="299">
                  <c:v>16340</c:v>
                </c:pt>
                <c:pt idx="300">
                  <c:v>16240</c:v>
                </c:pt>
                <c:pt idx="301">
                  <c:v>16140</c:v>
                </c:pt>
                <c:pt idx="302">
                  <c:v>15740</c:v>
                </c:pt>
                <c:pt idx="303">
                  <c:v>15700</c:v>
                </c:pt>
                <c:pt idx="304">
                  <c:v>15640</c:v>
                </c:pt>
                <c:pt idx="305">
                  <c:v>15440</c:v>
                </c:pt>
                <c:pt idx="306">
                  <c:v>15360</c:v>
                </c:pt>
                <c:pt idx="307">
                  <c:v>15280</c:v>
                </c:pt>
                <c:pt idx="308">
                  <c:v>15220</c:v>
                </c:pt>
                <c:pt idx="309">
                  <c:v>15120</c:v>
                </c:pt>
                <c:pt idx="310">
                  <c:v>14920</c:v>
                </c:pt>
                <c:pt idx="311">
                  <c:v>14780</c:v>
                </c:pt>
                <c:pt idx="312">
                  <c:v>14660</c:v>
                </c:pt>
                <c:pt idx="313">
                  <c:v>14620</c:v>
                </c:pt>
                <c:pt idx="314">
                  <c:v>14540</c:v>
                </c:pt>
                <c:pt idx="315">
                  <c:v>14460</c:v>
                </c:pt>
                <c:pt idx="316">
                  <c:v>14380</c:v>
                </c:pt>
                <c:pt idx="317">
                  <c:v>14360</c:v>
                </c:pt>
                <c:pt idx="318">
                  <c:v>14260</c:v>
                </c:pt>
                <c:pt idx="319">
                  <c:v>14160</c:v>
                </c:pt>
                <c:pt idx="320">
                  <c:v>14120</c:v>
                </c:pt>
                <c:pt idx="321">
                  <c:v>14080</c:v>
                </c:pt>
                <c:pt idx="322">
                  <c:v>13880</c:v>
                </c:pt>
                <c:pt idx="323">
                  <c:v>13840</c:v>
                </c:pt>
                <c:pt idx="324">
                  <c:v>13780</c:v>
                </c:pt>
                <c:pt idx="325">
                  <c:v>13720</c:v>
                </c:pt>
                <c:pt idx="326">
                  <c:v>13660</c:v>
                </c:pt>
                <c:pt idx="327">
                  <c:v>13620</c:v>
                </c:pt>
                <c:pt idx="328">
                  <c:v>13520</c:v>
                </c:pt>
                <c:pt idx="329">
                  <c:v>13320</c:v>
                </c:pt>
                <c:pt idx="330">
                  <c:v>13280</c:v>
                </c:pt>
                <c:pt idx="331">
                  <c:v>13080</c:v>
                </c:pt>
                <c:pt idx="332">
                  <c:v>12980</c:v>
                </c:pt>
                <c:pt idx="333">
                  <c:v>12920</c:v>
                </c:pt>
                <c:pt idx="334">
                  <c:v>12860</c:v>
                </c:pt>
                <c:pt idx="335">
                  <c:v>12780</c:v>
                </c:pt>
                <c:pt idx="336">
                  <c:v>12660</c:v>
                </c:pt>
                <c:pt idx="337">
                  <c:v>12560</c:v>
                </c:pt>
                <c:pt idx="338">
                  <c:v>12460</c:v>
                </c:pt>
                <c:pt idx="339">
                  <c:v>12400</c:v>
                </c:pt>
                <c:pt idx="340">
                  <c:v>12340</c:v>
                </c:pt>
                <c:pt idx="341">
                  <c:v>12320</c:v>
                </c:pt>
                <c:pt idx="342">
                  <c:v>12120</c:v>
                </c:pt>
                <c:pt idx="343">
                  <c:v>12020</c:v>
                </c:pt>
                <c:pt idx="344">
                  <c:v>11920</c:v>
                </c:pt>
                <c:pt idx="345">
                  <c:v>11900</c:v>
                </c:pt>
                <c:pt idx="346">
                  <c:v>11840</c:v>
                </c:pt>
                <c:pt idx="347">
                  <c:v>11340</c:v>
                </c:pt>
                <c:pt idx="348">
                  <c:v>11320</c:v>
                </c:pt>
                <c:pt idx="349">
                  <c:v>11220</c:v>
                </c:pt>
                <c:pt idx="350">
                  <c:v>11120</c:v>
                </c:pt>
                <c:pt idx="351">
                  <c:v>11100</c:v>
                </c:pt>
                <c:pt idx="352">
                  <c:v>11060</c:v>
                </c:pt>
                <c:pt idx="353">
                  <c:v>10960</c:v>
                </c:pt>
                <c:pt idx="354">
                  <c:v>10760</c:v>
                </c:pt>
                <c:pt idx="355">
                  <c:v>10660</c:v>
                </c:pt>
                <c:pt idx="356">
                  <c:v>10460</c:v>
                </c:pt>
                <c:pt idx="357">
                  <c:v>10420</c:v>
                </c:pt>
                <c:pt idx="358">
                  <c:v>9980</c:v>
                </c:pt>
                <c:pt idx="359">
                  <c:v>9900</c:v>
                </c:pt>
                <c:pt idx="360">
                  <c:v>9880</c:v>
                </c:pt>
                <c:pt idx="361">
                  <c:v>9840</c:v>
                </c:pt>
                <c:pt idx="362">
                  <c:v>9720</c:v>
                </c:pt>
                <c:pt idx="363">
                  <c:v>9640</c:v>
                </c:pt>
                <c:pt idx="364">
                  <c:v>9620</c:v>
                </c:pt>
                <c:pt idx="365">
                  <c:v>9580</c:v>
                </c:pt>
                <c:pt idx="366">
                  <c:v>9480</c:v>
                </c:pt>
                <c:pt idx="367">
                  <c:v>9380</c:v>
                </c:pt>
                <c:pt idx="368">
                  <c:v>9220</c:v>
                </c:pt>
                <c:pt idx="369">
                  <c:v>9120</c:v>
                </c:pt>
                <c:pt idx="370">
                  <c:v>9020</c:v>
                </c:pt>
                <c:pt idx="371">
                  <c:v>8920</c:v>
                </c:pt>
                <c:pt idx="372">
                  <c:v>8880</c:v>
                </c:pt>
                <c:pt idx="373">
                  <c:v>8820</c:v>
                </c:pt>
                <c:pt idx="374">
                  <c:v>8800</c:v>
                </c:pt>
                <c:pt idx="375">
                  <c:v>8700</c:v>
                </c:pt>
                <c:pt idx="376">
                  <c:v>8620</c:v>
                </c:pt>
                <c:pt idx="377">
                  <c:v>8500</c:v>
                </c:pt>
                <c:pt idx="378">
                  <c:v>8400</c:v>
                </c:pt>
                <c:pt idx="379">
                  <c:v>8360</c:v>
                </c:pt>
                <c:pt idx="380">
                  <c:v>8260</c:v>
                </c:pt>
                <c:pt idx="381">
                  <c:v>8160</c:v>
                </c:pt>
                <c:pt idx="382">
                  <c:v>8120</c:v>
                </c:pt>
                <c:pt idx="383">
                  <c:v>8020</c:v>
                </c:pt>
                <c:pt idx="384">
                  <c:v>8000</c:v>
                </c:pt>
                <c:pt idx="385">
                  <c:v>7960</c:v>
                </c:pt>
                <c:pt idx="386">
                  <c:v>7860</c:v>
                </c:pt>
                <c:pt idx="387">
                  <c:v>7780</c:v>
                </c:pt>
                <c:pt idx="388">
                  <c:v>7760</c:v>
                </c:pt>
                <c:pt idx="389">
                  <c:v>7320</c:v>
                </c:pt>
                <c:pt idx="390">
                  <c:v>6820</c:v>
                </c:pt>
                <c:pt idx="391">
                  <c:v>6760</c:v>
                </c:pt>
                <c:pt idx="392">
                  <c:v>6660</c:v>
                </c:pt>
                <c:pt idx="393">
                  <c:v>6360</c:v>
                </c:pt>
                <c:pt idx="394">
                  <c:v>6320</c:v>
                </c:pt>
                <c:pt idx="395">
                  <c:v>6280</c:v>
                </c:pt>
                <c:pt idx="396">
                  <c:v>6180</c:v>
                </c:pt>
                <c:pt idx="397">
                  <c:v>6140</c:v>
                </c:pt>
                <c:pt idx="398">
                  <c:v>6120</c:v>
                </c:pt>
                <c:pt idx="399">
                  <c:v>6020</c:v>
                </c:pt>
                <c:pt idx="400">
                  <c:v>5980</c:v>
                </c:pt>
                <c:pt idx="401">
                  <c:v>5880</c:v>
                </c:pt>
                <c:pt idx="402">
                  <c:v>5840</c:v>
                </c:pt>
                <c:pt idx="403">
                  <c:v>5800</c:v>
                </c:pt>
                <c:pt idx="404">
                  <c:v>5740</c:v>
                </c:pt>
                <c:pt idx="405">
                  <c:v>5700</c:v>
                </c:pt>
                <c:pt idx="406">
                  <c:v>5600</c:v>
                </c:pt>
                <c:pt idx="407">
                  <c:v>5500</c:v>
                </c:pt>
                <c:pt idx="408">
                  <c:v>5400</c:v>
                </c:pt>
                <c:pt idx="409">
                  <c:v>5360</c:v>
                </c:pt>
                <c:pt idx="410">
                  <c:v>5160</c:v>
                </c:pt>
                <c:pt idx="411">
                  <c:v>5120</c:v>
                </c:pt>
                <c:pt idx="412">
                  <c:v>5020</c:v>
                </c:pt>
                <c:pt idx="413">
                  <c:v>4820</c:v>
                </c:pt>
                <c:pt idx="414">
                  <c:v>4800</c:v>
                </c:pt>
                <c:pt idx="415">
                  <c:v>4300</c:v>
                </c:pt>
                <c:pt idx="416">
                  <c:v>4200</c:v>
                </c:pt>
                <c:pt idx="417">
                  <c:v>4060</c:v>
                </c:pt>
                <c:pt idx="418">
                  <c:v>3960</c:v>
                </c:pt>
                <c:pt idx="419">
                  <c:v>3760</c:v>
                </c:pt>
                <c:pt idx="420">
                  <c:v>11000</c:v>
                </c:pt>
                <c:pt idx="421">
                  <c:v>10860</c:v>
                </c:pt>
                <c:pt idx="422">
                  <c:v>10820</c:v>
                </c:pt>
                <c:pt idx="423">
                  <c:v>10780</c:v>
                </c:pt>
                <c:pt idx="424">
                  <c:v>10700</c:v>
                </c:pt>
                <c:pt idx="425">
                  <c:v>10660</c:v>
                </c:pt>
                <c:pt idx="426">
                  <c:v>10620</c:v>
                </c:pt>
                <c:pt idx="427">
                  <c:v>10500</c:v>
                </c:pt>
                <c:pt idx="428">
                  <c:v>10400</c:v>
                </c:pt>
                <c:pt idx="429">
                  <c:v>10300</c:v>
                </c:pt>
                <c:pt idx="430">
                  <c:v>10260</c:v>
                </c:pt>
                <c:pt idx="431">
                  <c:v>10160</c:v>
                </c:pt>
                <c:pt idx="432">
                  <c:v>10120</c:v>
                </c:pt>
                <c:pt idx="433">
                  <c:v>10100</c:v>
                </c:pt>
                <c:pt idx="434">
                  <c:v>10000</c:v>
                </c:pt>
                <c:pt idx="435">
                  <c:v>9900</c:v>
                </c:pt>
                <c:pt idx="436">
                  <c:v>9800</c:v>
                </c:pt>
                <c:pt idx="437">
                  <c:v>9700</c:v>
                </c:pt>
                <c:pt idx="438">
                  <c:v>9660</c:v>
                </c:pt>
                <c:pt idx="439">
                  <c:v>9580</c:v>
                </c:pt>
                <c:pt idx="440">
                  <c:v>9480</c:v>
                </c:pt>
                <c:pt idx="441">
                  <c:v>9380</c:v>
                </c:pt>
                <c:pt idx="442">
                  <c:v>9280</c:v>
                </c:pt>
                <c:pt idx="443">
                  <c:v>9160</c:v>
                </c:pt>
                <c:pt idx="444">
                  <c:v>9120</c:v>
                </c:pt>
                <c:pt idx="445">
                  <c:v>9040</c:v>
                </c:pt>
                <c:pt idx="446">
                  <c:v>8940</c:v>
                </c:pt>
                <c:pt idx="447">
                  <c:v>8840</c:v>
                </c:pt>
                <c:pt idx="448">
                  <c:v>8780</c:v>
                </c:pt>
                <c:pt idx="449">
                  <c:v>8740</c:v>
                </c:pt>
                <c:pt idx="450">
                  <c:v>8720</c:v>
                </c:pt>
                <c:pt idx="451">
                  <c:v>8620</c:v>
                </c:pt>
                <c:pt idx="452">
                  <c:v>8420</c:v>
                </c:pt>
                <c:pt idx="453">
                  <c:v>8320</c:v>
                </c:pt>
                <c:pt idx="454">
                  <c:v>8140</c:v>
                </c:pt>
                <c:pt idx="455">
                  <c:v>8020</c:v>
                </c:pt>
                <c:pt idx="456">
                  <c:v>7940</c:v>
                </c:pt>
                <c:pt idx="457">
                  <c:v>7740</c:v>
                </c:pt>
                <c:pt idx="458">
                  <c:v>7700</c:v>
                </c:pt>
                <c:pt idx="459">
                  <c:v>7660</c:v>
                </c:pt>
                <c:pt idx="460">
                  <c:v>7560</c:v>
                </c:pt>
                <c:pt idx="461">
                  <c:v>7520</c:v>
                </c:pt>
                <c:pt idx="462">
                  <c:v>7420</c:v>
                </c:pt>
                <c:pt idx="463">
                  <c:v>7360</c:v>
                </c:pt>
                <c:pt idx="464">
                  <c:v>7280</c:v>
                </c:pt>
                <c:pt idx="465">
                  <c:v>6980</c:v>
                </c:pt>
                <c:pt idx="466">
                  <c:v>6900</c:v>
                </c:pt>
                <c:pt idx="467">
                  <c:v>6700</c:v>
                </c:pt>
                <c:pt idx="468">
                  <c:v>6680</c:v>
                </c:pt>
                <c:pt idx="469">
                  <c:v>6640</c:v>
                </c:pt>
                <c:pt idx="470">
                  <c:v>6600</c:v>
                </c:pt>
                <c:pt idx="471">
                  <c:v>6500</c:v>
                </c:pt>
                <c:pt idx="472">
                  <c:v>6300</c:v>
                </c:pt>
                <c:pt idx="473">
                  <c:v>6100</c:v>
                </c:pt>
                <c:pt idx="474">
                  <c:v>5700</c:v>
                </c:pt>
                <c:pt idx="475">
                  <c:v>5660</c:v>
                </c:pt>
                <c:pt idx="476">
                  <c:v>5560</c:v>
                </c:pt>
                <c:pt idx="477">
                  <c:v>5380</c:v>
                </c:pt>
                <c:pt idx="478">
                  <c:v>5360</c:v>
                </c:pt>
                <c:pt idx="479">
                  <c:v>5260</c:v>
                </c:pt>
                <c:pt idx="480">
                  <c:v>5220</c:v>
                </c:pt>
                <c:pt idx="481">
                  <c:v>5120</c:v>
                </c:pt>
                <c:pt idx="482">
                  <c:v>5040</c:v>
                </c:pt>
                <c:pt idx="483">
                  <c:v>5000</c:v>
                </c:pt>
                <c:pt idx="484">
                  <c:v>4900</c:v>
                </c:pt>
                <c:pt idx="485">
                  <c:v>4860</c:v>
                </c:pt>
                <c:pt idx="486">
                  <c:v>4840</c:v>
                </c:pt>
                <c:pt idx="487">
                  <c:v>4700</c:v>
                </c:pt>
                <c:pt idx="488">
                  <c:v>4500</c:v>
                </c:pt>
                <c:pt idx="489">
                  <c:v>4400</c:v>
                </c:pt>
                <c:pt idx="490">
                  <c:v>4380</c:v>
                </c:pt>
                <c:pt idx="491">
                  <c:v>4340</c:v>
                </c:pt>
                <c:pt idx="492">
                  <c:v>4260</c:v>
                </c:pt>
                <c:pt idx="493">
                  <c:v>3880</c:v>
                </c:pt>
                <c:pt idx="494">
                  <c:v>3680</c:v>
                </c:pt>
                <c:pt idx="495">
                  <c:v>3660</c:v>
                </c:pt>
                <c:pt idx="496">
                  <c:v>3560</c:v>
                </c:pt>
                <c:pt idx="497">
                  <c:v>3440</c:v>
                </c:pt>
                <c:pt idx="498">
                  <c:v>3140</c:v>
                </c:pt>
                <c:pt idx="499">
                  <c:v>3060</c:v>
                </c:pt>
                <c:pt idx="500">
                  <c:v>2860</c:v>
                </c:pt>
                <c:pt idx="501">
                  <c:v>2360</c:v>
                </c:pt>
                <c:pt idx="502">
                  <c:v>2300</c:v>
                </c:pt>
                <c:pt idx="503">
                  <c:v>2200</c:v>
                </c:pt>
                <c:pt idx="504">
                  <c:v>2160</c:v>
                </c:pt>
                <c:pt idx="505">
                  <c:v>1760</c:v>
                </c:pt>
                <c:pt idx="506">
                  <c:v>1560</c:v>
                </c:pt>
                <c:pt idx="507">
                  <c:v>1460</c:v>
                </c:pt>
                <c:pt idx="508">
                  <c:v>1280</c:v>
                </c:pt>
                <c:pt idx="509">
                  <c:v>1220</c:v>
                </c:pt>
                <c:pt idx="510">
                  <c:v>820</c:v>
                </c:pt>
                <c:pt idx="511">
                  <c:v>720</c:v>
                </c:pt>
                <c:pt idx="512">
                  <c:v>640</c:v>
                </c:pt>
                <c:pt idx="513">
                  <c:v>600</c:v>
                </c:pt>
                <c:pt idx="514">
                  <c:v>580</c:v>
                </c:pt>
                <c:pt idx="515">
                  <c:v>560</c:v>
                </c:pt>
                <c:pt idx="516">
                  <c:v>500</c:v>
                </c:pt>
                <c:pt idx="517">
                  <c:v>20000</c:v>
                </c:pt>
                <c:pt idx="518">
                  <c:v>19940</c:v>
                </c:pt>
                <c:pt idx="519">
                  <c:v>19740</c:v>
                </c:pt>
                <c:pt idx="520">
                  <c:v>19640</c:v>
                </c:pt>
                <c:pt idx="521">
                  <c:v>19580</c:v>
                </c:pt>
                <c:pt idx="522">
                  <c:v>19520</c:v>
                </c:pt>
                <c:pt idx="523">
                  <c:v>19420</c:v>
                </c:pt>
                <c:pt idx="524">
                  <c:v>19320</c:v>
                </c:pt>
                <c:pt idx="525">
                  <c:v>19240</c:v>
                </c:pt>
                <c:pt idx="526">
                  <c:v>19140</c:v>
                </c:pt>
                <c:pt idx="527">
                  <c:v>19020</c:v>
                </c:pt>
                <c:pt idx="528">
                  <c:v>18900</c:v>
                </c:pt>
                <c:pt idx="529">
                  <c:v>18840</c:v>
                </c:pt>
                <c:pt idx="530">
                  <c:v>18720</c:v>
                </c:pt>
                <c:pt idx="531">
                  <c:v>18620</c:v>
                </c:pt>
                <c:pt idx="532">
                  <c:v>18600</c:v>
                </c:pt>
                <c:pt idx="533">
                  <c:v>18560</c:v>
                </c:pt>
                <c:pt idx="534">
                  <c:v>18460</c:v>
                </c:pt>
                <c:pt idx="535">
                  <c:v>18420</c:v>
                </c:pt>
                <c:pt idx="536">
                  <c:v>18380</c:v>
                </c:pt>
                <c:pt idx="537">
                  <c:v>18360</c:v>
                </c:pt>
                <c:pt idx="538">
                  <c:v>18300</c:v>
                </c:pt>
                <c:pt idx="539">
                  <c:v>18200</c:v>
                </c:pt>
                <c:pt idx="540">
                  <c:v>18100</c:v>
                </c:pt>
                <c:pt idx="541">
                  <c:v>17980</c:v>
                </c:pt>
                <c:pt idx="542">
                  <c:v>17920</c:v>
                </c:pt>
                <c:pt idx="543">
                  <c:v>17820</c:v>
                </c:pt>
                <c:pt idx="544">
                  <c:v>17780</c:v>
                </c:pt>
                <c:pt idx="545">
                  <c:v>17420</c:v>
                </c:pt>
                <c:pt idx="546">
                  <c:v>17380</c:v>
                </c:pt>
                <c:pt idx="547">
                  <c:v>17280</c:v>
                </c:pt>
                <c:pt idx="548">
                  <c:v>17220</c:v>
                </c:pt>
                <c:pt idx="549">
                  <c:v>17180</c:v>
                </c:pt>
                <c:pt idx="550">
                  <c:v>17140</c:v>
                </c:pt>
                <c:pt idx="551">
                  <c:v>17040</c:v>
                </c:pt>
                <c:pt idx="552">
                  <c:v>16940</c:v>
                </c:pt>
                <c:pt idx="553">
                  <c:v>16540</c:v>
                </c:pt>
                <c:pt idx="554">
                  <c:v>16440</c:v>
                </c:pt>
                <c:pt idx="555">
                  <c:v>16000</c:v>
                </c:pt>
                <c:pt idx="556">
                  <c:v>15980</c:v>
                </c:pt>
                <c:pt idx="557">
                  <c:v>15880</c:v>
                </c:pt>
                <c:pt idx="558">
                  <c:v>15860</c:v>
                </c:pt>
                <c:pt idx="559">
                  <c:v>15760</c:v>
                </c:pt>
                <c:pt idx="560">
                  <c:v>15720</c:v>
                </c:pt>
                <c:pt idx="561">
                  <c:v>15620</c:v>
                </c:pt>
                <c:pt idx="562">
                  <c:v>15420</c:v>
                </c:pt>
                <c:pt idx="563">
                  <c:v>15380</c:v>
                </c:pt>
                <c:pt idx="564">
                  <c:v>15280</c:v>
                </c:pt>
                <c:pt idx="565">
                  <c:v>15080</c:v>
                </c:pt>
                <c:pt idx="566">
                  <c:v>15060</c:v>
                </c:pt>
                <c:pt idx="567">
                  <c:v>15020</c:v>
                </c:pt>
                <c:pt idx="568">
                  <c:v>14940</c:v>
                </c:pt>
                <c:pt idx="569">
                  <c:v>14880</c:v>
                </c:pt>
                <c:pt idx="570">
                  <c:v>14780</c:v>
                </c:pt>
                <c:pt idx="571">
                  <c:v>14680</c:v>
                </c:pt>
                <c:pt idx="572">
                  <c:v>14280</c:v>
                </c:pt>
                <c:pt idx="573">
                  <c:v>14180</c:v>
                </c:pt>
                <c:pt idx="574">
                  <c:v>14140</c:v>
                </c:pt>
                <c:pt idx="575">
                  <c:v>13960</c:v>
                </c:pt>
                <c:pt idx="576">
                  <c:v>13880</c:v>
                </c:pt>
                <c:pt idx="577">
                  <c:v>13780</c:v>
                </c:pt>
                <c:pt idx="578">
                  <c:v>13740</c:v>
                </c:pt>
                <c:pt idx="579">
                  <c:v>13560</c:v>
                </c:pt>
                <c:pt idx="580">
                  <c:v>13460</c:v>
                </c:pt>
                <c:pt idx="581">
                  <c:v>13360</c:v>
                </c:pt>
                <c:pt idx="582">
                  <c:v>13260</c:v>
                </c:pt>
                <c:pt idx="583">
                  <c:v>13060</c:v>
                </c:pt>
                <c:pt idx="584">
                  <c:v>12960</c:v>
                </c:pt>
                <c:pt idx="585">
                  <c:v>12760</c:v>
                </c:pt>
                <c:pt idx="586">
                  <c:v>12720</c:v>
                </c:pt>
                <c:pt idx="587">
                  <c:v>12680</c:v>
                </c:pt>
                <c:pt idx="588">
                  <c:v>12640</c:v>
                </c:pt>
                <c:pt idx="589">
                  <c:v>12580</c:v>
                </c:pt>
                <c:pt idx="590">
                  <c:v>12480</c:v>
                </c:pt>
                <c:pt idx="591">
                  <c:v>12380</c:v>
                </c:pt>
                <c:pt idx="592">
                  <c:v>12360</c:v>
                </c:pt>
                <c:pt idx="593">
                  <c:v>12260</c:v>
                </c:pt>
                <c:pt idx="594">
                  <c:v>11960</c:v>
                </c:pt>
                <c:pt idx="595">
                  <c:v>11860</c:v>
                </c:pt>
                <c:pt idx="596">
                  <c:v>11760</c:v>
                </c:pt>
                <c:pt idx="597">
                  <c:v>11660</c:v>
                </c:pt>
                <c:pt idx="598">
                  <c:v>11600</c:v>
                </c:pt>
                <c:pt idx="599">
                  <c:v>11500</c:v>
                </c:pt>
                <c:pt idx="600">
                  <c:v>11480</c:v>
                </c:pt>
                <c:pt idx="601">
                  <c:v>11440</c:v>
                </c:pt>
                <c:pt idx="602">
                  <c:v>11380</c:v>
                </c:pt>
                <c:pt idx="603">
                  <c:v>11180</c:v>
                </c:pt>
                <c:pt idx="604">
                  <c:v>11140</c:v>
                </c:pt>
                <c:pt idx="605">
                  <c:v>11060</c:v>
                </c:pt>
                <c:pt idx="606">
                  <c:v>11020</c:v>
                </c:pt>
                <c:pt idx="607">
                  <c:v>10980</c:v>
                </c:pt>
                <c:pt idx="608">
                  <c:v>10880</c:v>
                </c:pt>
                <c:pt idx="609">
                  <c:v>10840</c:v>
                </c:pt>
                <c:pt idx="610">
                  <c:v>10820</c:v>
                </c:pt>
                <c:pt idx="611">
                  <c:v>10760</c:v>
                </c:pt>
                <c:pt idx="612">
                  <c:v>10720</c:v>
                </c:pt>
                <c:pt idx="613">
                  <c:v>10620</c:v>
                </c:pt>
                <c:pt idx="614">
                  <c:v>10120</c:v>
                </c:pt>
                <c:pt idx="615">
                  <c:v>9620</c:v>
                </c:pt>
                <c:pt idx="616">
                  <c:v>9520</c:v>
                </c:pt>
                <c:pt idx="617">
                  <c:v>9420</c:v>
                </c:pt>
                <c:pt idx="618">
                  <c:v>9360</c:v>
                </c:pt>
                <c:pt idx="619">
                  <c:v>9260</c:v>
                </c:pt>
                <c:pt idx="620">
                  <c:v>9160</c:v>
                </c:pt>
                <c:pt idx="621">
                  <c:v>9080</c:v>
                </c:pt>
                <c:pt idx="622">
                  <c:v>9060</c:v>
                </c:pt>
                <c:pt idx="623">
                  <c:v>8960</c:v>
                </c:pt>
                <c:pt idx="624">
                  <c:v>8860</c:v>
                </c:pt>
                <c:pt idx="625">
                  <c:v>8740</c:v>
                </c:pt>
                <c:pt idx="626">
                  <c:v>8640</c:v>
                </c:pt>
                <c:pt idx="627">
                  <c:v>8600</c:v>
                </c:pt>
                <c:pt idx="628">
                  <c:v>8520</c:v>
                </c:pt>
                <c:pt idx="629">
                  <c:v>8480</c:v>
                </c:pt>
                <c:pt idx="630">
                  <c:v>8400</c:v>
                </c:pt>
                <c:pt idx="631">
                  <c:v>8200</c:v>
                </c:pt>
                <c:pt idx="632">
                  <c:v>8160</c:v>
                </c:pt>
                <c:pt idx="633">
                  <c:v>8000</c:v>
                </c:pt>
                <c:pt idx="634">
                  <c:v>7880</c:v>
                </c:pt>
                <c:pt idx="635">
                  <c:v>7780</c:v>
                </c:pt>
                <c:pt idx="636">
                  <c:v>7680</c:v>
                </c:pt>
                <c:pt idx="637">
                  <c:v>7600</c:v>
                </c:pt>
                <c:pt idx="638">
                  <c:v>7580</c:v>
                </c:pt>
                <c:pt idx="639">
                  <c:v>7520</c:v>
                </c:pt>
                <c:pt idx="640">
                  <c:v>7460</c:v>
                </c:pt>
                <c:pt idx="641">
                  <c:v>7420</c:v>
                </c:pt>
                <c:pt idx="642">
                  <c:v>7380</c:v>
                </c:pt>
                <c:pt idx="643">
                  <c:v>7180</c:v>
                </c:pt>
                <c:pt idx="644">
                  <c:v>7120</c:v>
                </c:pt>
                <c:pt idx="645">
                  <c:v>7100</c:v>
                </c:pt>
                <c:pt idx="646">
                  <c:v>7040</c:v>
                </c:pt>
                <c:pt idx="647">
                  <c:v>6780</c:v>
                </c:pt>
                <c:pt idx="648">
                  <c:v>6680</c:v>
                </c:pt>
                <c:pt idx="649">
                  <c:v>6580</c:v>
                </c:pt>
                <c:pt idx="650">
                  <c:v>6540</c:v>
                </c:pt>
                <c:pt idx="651">
                  <c:v>6440</c:v>
                </c:pt>
                <c:pt idx="652">
                  <c:v>5940</c:v>
                </c:pt>
                <c:pt idx="653">
                  <c:v>5840</c:v>
                </c:pt>
                <c:pt idx="654">
                  <c:v>5780</c:v>
                </c:pt>
                <c:pt idx="655">
                  <c:v>5720</c:v>
                </c:pt>
                <c:pt idx="656">
                  <c:v>5520</c:v>
                </c:pt>
                <c:pt idx="657">
                  <c:v>5420</c:v>
                </c:pt>
                <c:pt idx="658">
                  <c:v>5320</c:v>
                </c:pt>
                <c:pt idx="659">
                  <c:v>5220</c:v>
                </c:pt>
                <c:pt idx="660">
                  <c:v>5100</c:v>
                </c:pt>
                <c:pt idx="661">
                  <c:v>4980</c:v>
                </c:pt>
                <c:pt idx="662">
                  <c:v>4940</c:v>
                </c:pt>
                <c:pt idx="663">
                  <c:v>4780</c:v>
                </c:pt>
                <c:pt idx="664">
                  <c:v>4680</c:v>
                </c:pt>
                <c:pt idx="665">
                  <c:v>4660</c:v>
                </c:pt>
                <c:pt idx="666">
                  <c:v>4620</c:v>
                </c:pt>
                <c:pt idx="667">
                  <c:v>4540</c:v>
                </c:pt>
                <c:pt idx="668">
                  <c:v>4480</c:v>
                </c:pt>
                <c:pt idx="669">
                  <c:v>4400</c:v>
                </c:pt>
                <c:pt idx="670">
                  <c:v>4360</c:v>
                </c:pt>
                <c:pt idx="671">
                  <c:v>4160</c:v>
                </c:pt>
                <c:pt idx="672">
                  <c:v>4120</c:v>
                </c:pt>
                <c:pt idx="673">
                  <c:v>4020</c:v>
                </c:pt>
                <c:pt idx="674">
                  <c:v>3980</c:v>
                </c:pt>
                <c:pt idx="675">
                  <c:v>3960</c:v>
                </c:pt>
                <c:pt idx="676">
                  <c:v>3920</c:v>
                </c:pt>
                <c:pt idx="677">
                  <c:v>3820</c:v>
                </c:pt>
                <c:pt idx="678">
                  <c:v>3780</c:v>
                </c:pt>
                <c:pt idx="679">
                  <c:v>3720</c:v>
                </c:pt>
                <c:pt idx="680">
                  <c:v>3700</c:v>
                </c:pt>
                <c:pt idx="681">
                  <c:v>3640</c:v>
                </c:pt>
                <c:pt idx="682">
                  <c:v>3540</c:v>
                </c:pt>
                <c:pt idx="683">
                  <c:v>3500</c:v>
                </c:pt>
                <c:pt idx="684">
                  <c:v>3400</c:v>
                </c:pt>
                <c:pt idx="685">
                  <c:v>3300</c:v>
                </c:pt>
                <c:pt idx="686">
                  <c:v>3260</c:v>
                </c:pt>
                <c:pt idx="687">
                  <c:v>3240</c:v>
                </c:pt>
                <c:pt idx="688">
                  <c:v>3140</c:v>
                </c:pt>
                <c:pt idx="689">
                  <c:v>3100</c:v>
                </c:pt>
                <c:pt idx="690">
                  <c:v>3020</c:v>
                </c:pt>
                <c:pt idx="691">
                  <c:v>2980</c:v>
                </c:pt>
                <c:pt idx="692">
                  <c:v>2880</c:v>
                </c:pt>
                <c:pt idx="693">
                  <c:v>2860</c:v>
                </c:pt>
                <c:pt idx="694">
                  <c:v>2760</c:v>
                </c:pt>
                <c:pt idx="695">
                  <c:v>2700</c:v>
                </c:pt>
                <c:pt idx="696">
                  <c:v>2600</c:v>
                </c:pt>
                <c:pt idx="697">
                  <c:v>11000</c:v>
                </c:pt>
                <c:pt idx="698">
                  <c:v>10900</c:v>
                </c:pt>
                <c:pt idx="699">
                  <c:v>10800</c:v>
                </c:pt>
                <c:pt idx="700">
                  <c:v>10700</c:v>
                </c:pt>
                <c:pt idx="701">
                  <c:v>10620</c:v>
                </c:pt>
                <c:pt idx="702">
                  <c:v>10540</c:v>
                </c:pt>
                <c:pt idx="703">
                  <c:v>10420</c:v>
                </c:pt>
                <c:pt idx="704">
                  <c:v>10360</c:v>
                </c:pt>
                <c:pt idx="705">
                  <c:v>10260</c:v>
                </c:pt>
                <c:pt idx="706">
                  <c:v>10160</c:v>
                </c:pt>
                <c:pt idx="707">
                  <c:v>10140</c:v>
                </c:pt>
                <c:pt idx="708">
                  <c:v>10120</c:v>
                </c:pt>
                <c:pt idx="709">
                  <c:v>10020</c:v>
                </c:pt>
                <c:pt idx="710">
                  <c:v>9940</c:v>
                </c:pt>
                <c:pt idx="711">
                  <c:v>9840</c:v>
                </c:pt>
                <c:pt idx="712">
                  <c:v>9800</c:v>
                </c:pt>
                <c:pt idx="713">
                  <c:v>9760</c:v>
                </c:pt>
                <c:pt idx="714">
                  <c:v>9700</c:v>
                </c:pt>
                <c:pt idx="715">
                  <c:v>9620</c:v>
                </c:pt>
                <c:pt idx="716">
                  <c:v>9520</c:v>
                </c:pt>
                <c:pt idx="717">
                  <c:v>9420</c:v>
                </c:pt>
                <c:pt idx="718">
                  <c:v>9380</c:v>
                </c:pt>
                <c:pt idx="719">
                  <c:v>9320</c:v>
                </c:pt>
                <c:pt idx="720">
                  <c:v>8820</c:v>
                </c:pt>
                <c:pt idx="721">
                  <c:v>8720</c:v>
                </c:pt>
                <c:pt idx="722">
                  <c:v>8700</c:v>
                </c:pt>
                <c:pt idx="723">
                  <c:v>8560</c:v>
                </c:pt>
                <c:pt idx="724">
                  <c:v>8460</c:v>
                </c:pt>
                <c:pt idx="725">
                  <c:v>8380</c:v>
                </c:pt>
                <c:pt idx="726">
                  <c:v>8340</c:v>
                </c:pt>
                <c:pt idx="727">
                  <c:v>8280</c:v>
                </c:pt>
                <c:pt idx="728">
                  <c:v>8160</c:v>
                </c:pt>
                <c:pt idx="729">
                  <c:v>8060</c:v>
                </c:pt>
                <c:pt idx="730">
                  <c:v>8040</c:v>
                </c:pt>
                <c:pt idx="731">
                  <c:v>7940</c:v>
                </c:pt>
                <c:pt idx="732">
                  <c:v>7920</c:v>
                </c:pt>
                <c:pt idx="733">
                  <c:v>7860</c:v>
                </c:pt>
                <c:pt idx="734">
                  <c:v>7660</c:v>
                </c:pt>
                <c:pt idx="735">
                  <c:v>7620</c:v>
                </c:pt>
                <c:pt idx="736">
                  <c:v>7600</c:v>
                </c:pt>
                <c:pt idx="737">
                  <c:v>7560</c:v>
                </c:pt>
                <c:pt idx="738">
                  <c:v>7480</c:v>
                </c:pt>
                <c:pt idx="739">
                  <c:v>7180</c:v>
                </c:pt>
                <c:pt idx="740">
                  <c:v>7140</c:v>
                </c:pt>
                <c:pt idx="741">
                  <c:v>7100</c:v>
                </c:pt>
                <c:pt idx="742">
                  <c:v>6900</c:v>
                </c:pt>
                <c:pt idx="743">
                  <c:v>6860</c:v>
                </c:pt>
                <c:pt idx="744">
                  <c:v>6800</c:v>
                </c:pt>
                <c:pt idx="745">
                  <c:v>6760</c:v>
                </c:pt>
                <c:pt idx="746">
                  <c:v>6680</c:v>
                </c:pt>
                <c:pt idx="747">
                  <c:v>6640</c:v>
                </c:pt>
                <c:pt idx="748">
                  <c:v>6560</c:v>
                </c:pt>
                <c:pt idx="749">
                  <c:v>6460</c:v>
                </c:pt>
                <c:pt idx="750">
                  <c:v>6440</c:v>
                </c:pt>
                <c:pt idx="751">
                  <c:v>6340</c:v>
                </c:pt>
                <c:pt idx="752">
                  <c:v>6300</c:v>
                </c:pt>
                <c:pt idx="753">
                  <c:v>6260</c:v>
                </c:pt>
                <c:pt idx="754">
                  <c:v>6200</c:v>
                </c:pt>
                <c:pt idx="755">
                  <c:v>6120</c:v>
                </c:pt>
                <c:pt idx="756">
                  <c:v>6020</c:v>
                </c:pt>
                <c:pt idx="757">
                  <c:v>5940</c:v>
                </c:pt>
                <c:pt idx="758">
                  <c:v>5860</c:v>
                </c:pt>
                <c:pt idx="759">
                  <c:v>5360</c:v>
                </c:pt>
                <c:pt idx="760">
                  <c:v>5320</c:v>
                </c:pt>
                <c:pt idx="761">
                  <c:v>5000</c:v>
                </c:pt>
                <c:pt idx="762">
                  <c:v>4800</c:v>
                </c:pt>
                <c:pt idx="763">
                  <c:v>4760</c:v>
                </c:pt>
                <c:pt idx="764">
                  <c:v>4660</c:v>
                </c:pt>
                <c:pt idx="765">
                  <c:v>4620</c:v>
                </c:pt>
                <c:pt idx="766">
                  <c:v>4600</c:v>
                </c:pt>
                <c:pt idx="767">
                  <c:v>4400</c:v>
                </c:pt>
                <c:pt idx="768">
                  <c:v>4380</c:v>
                </c:pt>
                <c:pt idx="769">
                  <c:v>4280</c:v>
                </c:pt>
                <c:pt idx="770">
                  <c:v>4220</c:v>
                </c:pt>
                <c:pt idx="771">
                  <c:v>4120</c:v>
                </c:pt>
                <c:pt idx="772">
                  <c:v>4020</c:v>
                </c:pt>
                <c:pt idx="773">
                  <c:v>3980</c:v>
                </c:pt>
                <c:pt idx="774">
                  <c:v>3960</c:v>
                </c:pt>
                <c:pt idx="775">
                  <c:v>3880</c:v>
                </c:pt>
                <c:pt idx="776">
                  <c:v>3840</c:v>
                </c:pt>
                <c:pt idx="777">
                  <c:v>3800</c:v>
                </c:pt>
                <c:pt idx="778">
                  <c:v>3760</c:v>
                </c:pt>
                <c:pt idx="779">
                  <c:v>3740</c:v>
                </c:pt>
                <c:pt idx="780">
                  <c:v>3660</c:v>
                </c:pt>
                <c:pt idx="781">
                  <c:v>3620</c:v>
                </c:pt>
                <c:pt idx="782">
                  <c:v>3560</c:v>
                </c:pt>
                <c:pt idx="783">
                  <c:v>3440</c:v>
                </c:pt>
                <c:pt idx="784">
                  <c:v>3340</c:v>
                </c:pt>
                <c:pt idx="785">
                  <c:v>3300</c:v>
                </c:pt>
                <c:pt idx="786">
                  <c:v>3220</c:v>
                </c:pt>
                <c:pt idx="787">
                  <c:v>3120</c:v>
                </c:pt>
                <c:pt idx="788">
                  <c:v>3080</c:v>
                </c:pt>
                <c:pt idx="789">
                  <c:v>3040</c:v>
                </c:pt>
                <c:pt idx="790">
                  <c:v>2960</c:v>
                </c:pt>
                <c:pt idx="791">
                  <c:v>2860</c:v>
                </c:pt>
                <c:pt idx="792">
                  <c:v>2760</c:v>
                </c:pt>
                <c:pt idx="793">
                  <c:v>2700</c:v>
                </c:pt>
                <c:pt idx="794">
                  <c:v>2600</c:v>
                </c:pt>
                <c:pt idx="795">
                  <c:v>2100</c:v>
                </c:pt>
                <c:pt idx="796">
                  <c:v>2060</c:v>
                </c:pt>
                <c:pt idx="797">
                  <c:v>2020</c:v>
                </c:pt>
                <c:pt idx="798">
                  <c:v>1920</c:v>
                </c:pt>
                <c:pt idx="799">
                  <c:v>1880</c:v>
                </c:pt>
                <c:pt idx="800">
                  <c:v>1680</c:v>
                </c:pt>
                <c:pt idx="801">
                  <c:v>1660</c:v>
                </c:pt>
                <c:pt idx="802">
                  <c:v>1580</c:v>
                </c:pt>
                <c:pt idx="803">
                  <c:v>1440</c:v>
                </c:pt>
                <c:pt idx="804">
                  <c:v>1240</c:v>
                </c:pt>
                <c:pt idx="805">
                  <c:v>1180</c:v>
                </c:pt>
                <c:pt idx="806">
                  <c:v>1100</c:v>
                </c:pt>
                <c:pt idx="807">
                  <c:v>20000</c:v>
                </c:pt>
                <c:pt idx="808">
                  <c:v>19900</c:v>
                </c:pt>
                <c:pt idx="809">
                  <c:v>19840</c:v>
                </c:pt>
                <c:pt idx="810">
                  <c:v>19800</c:v>
                </c:pt>
                <c:pt idx="811">
                  <c:v>19700</c:v>
                </c:pt>
                <c:pt idx="812">
                  <c:v>19600</c:v>
                </c:pt>
                <c:pt idx="813">
                  <c:v>19500</c:v>
                </c:pt>
                <c:pt idx="814">
                  <c:v>19400</c:v>
                </c:pt>
                <c:pt idx="815">
                  <c:v>19300</c:v>
                </c:pt>
                <c:pt idx="816">
                  <c:v>19200</c:v>
                </c:pt>
                <c:pt idx="817">
                  <c:v>19100</c:v>
                </c:pt>
                <c:pt idx="818">
                  <c:v>19000</c:v>
                </c:pt>
                <c:pt idx="819">
                  <c:v>18500</c:v>
                </c:pt>
                <c:pt idx="820">
                  <c:v>18400</c:v>
                </c:pt>
                <c:pt idx="821">
                  <c:v>18320</c:v>
                </c:pt>
                <c:pt idx="822">
                  <c:v>18280</c:v>
                </c:pt>
                <c:pt idx="823">
                  <c:v>18080</c:v>
                </c:pt>
                <c:pt idx="824">
                  <c:v>17980</c:v>
                </c:pt>
                <c:pt idx="825">
                  <c:v>17960</c:v>
                </c:pt>
                <c:pt idx="826">
                  <c:v>17860</c:v>
                </c:pt>
                <c:pt idx="827">
                  <c:v>17820</c:v>
                </c:pt>
                <c:pt idx="828">
                  <c:v>17760</c:v>
                </c:pt>
                <c:pt idx="829">
                  <c:v>17700</c:v>
                </c:pt>
                <c:pt idx="830">
                  <c:v>17600</c:v>
                </c:pt>
                <c:pt idx="831">
                  <c:v>17500</c:v>
                </c:pt>
                <c:pt idx="832">
                  <c:v>17300</c:v>
                </c:pt>
                <c:pt idx="833">
                  <c:v>17260</c:v>
                </c:pt>
                <c:pt idx="834">
                  <c:v>17180</c:v>
                </c:pt>
                <c:pt idx="835">
                  <c:v>17140</c:v>
                </c:pt>
                <c:pt idx="836">
                  <c:v>17040</c:v>
                </c:pt>
                <c:pt idx="837">
                  <c:v>16940</c:v>
                </c:pt>
                <c:pt idx="838">
                  <c:v>16840</c:v>
                </c:pt>
                <c:pt idx="839">
                  <c:v>16820</c:v>
                </c:pt>
                <c:pt idx="840">
                  <c:v>16780</c:v>
                </c:pt>
                <c:pt idx="841">
                  <c:v>16740</c:v>
                </c:pt>
                <c:pt idx="842">
                  <c:v>16540</c:v>
                </c:pt>
                <c:pt idx="843">
                  <c:v>16340</c:v>
                </c:pt>
                <c:pt idx="844">
                  <c:v>16140</c:v>
                </c:pt>
                <c:pt idx="845">
                  <c:v>16100</c:v>
                </c:pt>
                <c:pt idx="846">
                  <c:v>16080</c:v>
                </c:pt>
                <c:pt idx="847">
                  <c:v>15980</c:v>
                </c:pt>
                <c:pt idx="848">
                  <c:v>15880</c:v>
                </c:pt>
                <c:pt idx="849">
                  <c:v>15720</c:v>
                </c:pt>
                <c:pt idx="850">
                  <c:v>15700</c:v>
                </c:pt>
                <c:pt idx="851">
                  <c:v>15600</c:v>
                </c:pt>
                <c:pt idx="852">
                  <c:v>15580</c:v>
                </c:pt>
                <c:pt idx="853">
                  <c:v>15380</c:v>
                </c:pt>
                <c:pt idx="854">
                  <c:v>15300</c:v>
                </c:pt>
                <c:pt idx="855">
                  <c:v>15260</c:v>
                </c:pt>
                <c:pt idx="856">
                  <c:v>15180</c:v>
                </c:pt>
                <c:pt idx="857">
                  <c:v>15140</c:v>
                </c:pt>
                <c:pt idx="858">
                  <c:v>15040</c:v>
                </c:pt>
                <c:pt idx="859">
                  <c:v>14960</c:v>
                </c:pt>
                <c:pt idx="860">
                  <c:v>14860</c:v>
                </c:pt>
                <c:pt idx="861">
                  <c:v>14760</c:v>
                </c:pt>
                <c:pt idx="862">
                  <c:v>14720</c:v>
                </c:pt>
                <c:pt idx="863">
                  <c:v>14680</c:v>
                </c:pt>
                <c:pt idx="864">
                  <c:v>14480</c:v>
                </c:pt>
                <c:pt idx="865">
                  <c:v>14380</c:v>
                </c:pt>
                <c:pt idx="866">
                  <c:v>14280</c:v>
                </c:pt>
                <c:pt idx="867">
                  <c:v>14240</c:v>
                </c:pt>
                <c:pt idx="868">
                  <c:v>14200</c:v>
                </c:pt>
                <c:pt idx="869">
                  <c:v>14000</c:v>
                </c:pt>
                <c:pt idx="870">
                  <c:v>13900</c:v>
                </c:pt>
                <c:pt idx="871">
                  <c:v>13800</c:v>
                </c:pt>
                <c:pt idx="872">
                  <c:v>13640</c:v>
                </c:pt>
                <c:pt idx="873">
                  <c:v>13600</c:v>
                </c:pt>
                <c:pt idx="874">
                  <c:v>13560</c:v>
                </c:pt>
                <c:pt idx="875">
                  <c:v>13420</c:v>
                </c:pt>
                <c:pt idx="876">
                  <c:v>13260</c:v>
                </c:pt>
                <c:pt idx="877">
                  <c:v>13220</c:v>
                </c:pt>
                <c:pt idx="878">
                  <c:v>13020</c:v>
                </c:pt>
                <c:pt idx="879">
                  <c:v>12920</c:v>
                </c:pt>
                <c:pt idx="880">
                  <c:v>12900</c:v>
                </c:pt>
                <c:pt idx="881">
                  <c:v>12700</c:v>
                </c:pt>
                <c:pt idx="882">
                  <c:v>12640</c:v>
                </c:pt>
                <c:pt idx="883">
                  <c:v>12520</c:v>
                </c:pt>
                <c:pt idx="884">
                  <c:v>12420</c:v>
                </c:pt>
                <c:pt idx="885">
                  <c:v>12320</c:v>
                </c:pt>
                <c:pt idx="886">
                  <c:v>12220</c:v>
                </c:pt>
                <c:pt idx="887">
                  <c:v>12160</c:v>
                </c:pt>
                <c:pt idx="888">
                  <c:v>12120</c:v>
                </c:pt>
                <c:pt idx="889">
                  <c:v>12020</c:v>
                </c:pt>
                <c:pt idx="890">
                  <c:v>11920</c:v>
                </c:pt>
                <c:pt idx="891">
                  <c:v>11820</c:v>
                </c:pt>
                <c:pt idx="892">
                  <c:v>11700</c:v>
                </c:pt>
                <c:pt idx="893">
                  <c:v>11620</c:v>
                </c:pt>
                <c:pt idx="894">
                  <c:v>11580</c:v>
                </c:pt>
                <c:pt idx="895">
                  <c:v>11540</c:v>
                </c:pt>
                <c:pt idx="896">
                  <c:v>11440</c:v>
                </c:pt>
                <c:pt idx="897">
                  <c:v>10940</c:v>
                </c:pt>
                <c:pt idx="898">
                  <c:v>10880</c:v>
                </c:pt>
                <c:pt idx="899">
                  <c:v>10760</c:v>
                </c:pt>
                <c:pt idx="900">
                  <c:v>10720</c:v>
                </c:pt>
                <c:pt idx="901">
                  <c:v>10680</c:v>
                </c:pt>
                <c:pt idx="902">
                  <c:v>10640</c:v>
                </c:pt>
                <c:pt idx="903">
                  <c:v>10540</c:v>
                </c:pt>
                <c:pt idx="904">
                  <c:v>10340</c:v>
                </c:pt>
                <c:pt idx="905">
                  <c:v>10320</c:v>
                </c:pt>
                <c:pt idx="906">
                  <c:v>10300</c:v>
                </c:pt>
                <c:pt idx="907">
                  <c:v>10200</c:v>
                </c:pt>
                <c:pt idx="908">
                  <c:v>10100</c:v>
                </c:pt>
                <c:pt idx="909">
                  <c:v>9800</c:v>
                </c:pt>
                <c:pt idx="910">
                  <c:v>9760</c:v>
                </c:pt>
                <c:pt idx="911">
                  <c:v>9560</c:v>
                </c:pt>
                <c:pt idx="912">
                  <c:v>9520</c:v>
                </c:pt>
                <c:pt idx="913">
                  <c:v>9420</c:v>
                </c:pt>
                <c:pt idx="914">
                  <c:v>9360</c:v>
                </c:pt>
                <c:pt idx="915">
                  <c:v>9320</c:v>
                </c:pt>
                <c:pt idx="916">
                  <c:v>9200</c:v>
                </c:pt>
                <c:pt idx="917">
                  <c:v>9100</c:v>
                </c:pt>
                <c:pt idx="918">
                  <c:v>9000</c:v>
                </c:pt>
                <c:pt idx="919">
                  <c:v>8800</c:v>
                </c:pt>
                <c:pt idx="920">
                  <c:v>8780</c:v>
                </c:pt>
                <c:pt idx="921">
                  <c:v>8680</c:v>
                </c:pt>
                <c:pt idx="922">
                  <c:v>8620</c:v>
                </c:pt>
                <c:pt idx="923">
                  <c:v>8520</c:v>
                </c:pt>
                <c:pt idx="924">
                  <c:v>8500</c:v>
                </c:pt>
                <c:pt idx="925">
                  <c:v>8380</c:v>
                </c:pt>
                <c:pt idx="926">
                  <c:v>8180</c:v>
                </c:pt>
                <c:pt idx="927">
                  <c:v>8140</c:v>
                </c:pt>
                <c:pt idx="928">
                  <c:v>8040</c:v>
                </c:pt>
                <c:pt idx="929">
                  <c:v>8020</c:v>
                </c:pt>
                <c:pt idx="930">
                  <c:v>7860</c:v>
                </c:pt>
                <c:pt idx="931">
                  <c:v>7820</c:v>
                </c:pt>
                <c:pt idx="932">
                  <c:v>7780</c:v>
                </c:pt>
                <c:pt idx="933">
                  <c:v>7640</c:v>
                </c:pt>
                <c:pt idx="934">
                  <c:v>7540</c:v>
                </c:pt>
                <c:pt idx="935">
                  <c:v>7440</c:v>
                </c:pt>
                <c:pt idx="936">
                  <c:v>7420</c:v>
                </c:pt>
                <c:pt idx="937">
                  <c:v>7220</c:v>
                </c:pt>
                <c:pt idx="938">
                  <c:v>7020</c:v>
                </c:pt>
                <c:pt idx="939">
                  <c:v>6960</c:v>
                </c:pt>
                <c:pt idx="940">
                  <c:v>6880</c:v>
                </c:pt>
                <c:pt idx="941">
                  <c:v>6780</c:v>
                </c:pt>
                <c:pt idx="942">
                  <c:v>6680</c:v>
                </c:pt>
                <c:pt idx="943">
                  <c:v>6640</c:v>
                </c:pt>
                <c:pt idx="944">
                  <c:v>6540</c:v>
                </c:pt>
                <c:pt idx="945">
                  <c:v>6340</c:v>
                </c:pt>
                <c:pt idx="946">
                  <c:v>6140</c:v>
                </c:pt>
                <c:pt idx="947">
                  <c:v>6080</c:v>
                </c:pt>
                <c:pt idx="948">
                  <c:v>5980</c:v>
                </c:pt>
                <c:pt idx="949">
                  <c:v>5880</c:v>
                </c:pt>
                <c:pt idx="950">
                  <c:v>5840</c:v>
                </c:pt>
                <c:pt idx="951">
                  <c:v>5740</c:v>
                </c:pt>
                <c:pt idx="952">
                  <c:v>5720</c:v>
                </c:pt>
                <c:pt idx="953">
                  <c:v>5620</c:v>
                </c:pt>
                <c:pt idx="954">
                  <c:v>5540</c:v>
                </c:pt>
                <c:pt idx="955">
                  <c:v>5500</c:v>
                </c:pt>
                <c:pt idx="956">
                  <c:v>5440</c:v>
                </c:pt>
                <c:pt idx="957">
                  <c:v>5340</c:v>
                </c:pt>
                <c:pt idx="958">
                  <c:v>11000</c:v>
                </c:pt>
                <c:pt idx="959">
                  <c:v>10980</c:v>
                </c:pt>
                <c:pt idx="960">
                  <c:v>10880</c:v>
                </c:pt>
                <c:pt idx="961">
                  <c:v>10380</c:v>
                </c:pt>
                <c:pt idx="962">
                  <c:v>10360</c:v>
                </c:pt>
                <c:pt idx="963">
                  <c:v>10260</c:v>
                </c:pt>
                <c:pt idx="964">
                  <c:v>10200</c:v>
                </c:pt>
                <c:pt idx="965">
                  <c:v>10120</c:v>
                </c:pt>
                <c:pt idx="966">
                  <c:v>10060</c:v>
                </c:pt>
                <c:pt idx="967">
                  <c:v>9960</c:v>
                </c:pt>
                <c:pt idx="968">
                  <c:v>9900</c:v>
                </c:pt>
                <c:pt idx="969">
                  <c:v>9800</c:v>
                </c:pt>
                <c:pt idx="970">
                  <c:v>9720</c:v>
                </c:pt>
                <c:pt idx="971">
                  <c:v>9700</c:v>
                </c:pt>
                <c:pt idx="972">
                  <c:v>9660</c:v>
                </c:pt>
                <c:pt idx="973">
                  <c:v>9540</c:v>
                </c:pt>
                <c:pt idx="974">
                  <c:v>9040</c:v>
                </c:pt>
                <c:pt idx="975">
                  <c:v>8980</c:v>
                </c:pt>
                <c:pt idx="976">
                  <c:v>8940</c:v>
                </c:pt>
                <c:pt idx="977">
                  <c:v>8920</c:v>
                </c:pt>
                <c:pt idx="978">
                  <c:v>8820</c:v>
                </c:pt>
                <c:pt idx="979">
                  <c:v>8660</c:v>
                </c:pt>
                <c:pt idx="980">
                  <c:v>8460</c:v>
                </c:pt>
                <c:pt idx="981">
                  <c:v>8440</c:v>
                </c:pt>
                <c:pt idx="982">
                  <c:v>8280</c:v>
                </c:pt>
                <c:pt idx="983">
                  <c:v>8180</c:v>
                </c:pt>
                <c:pt idx="984">
                  <c:v>8080</c:v>
                </c:pt>
                <c:pt idx="985">
                  <c:v>8020</c:v>
                </c:pt>
                <c:pt idx="986">
                  <c:v>7980</c:v>
                </c:pt>
                <c:pt idx="987">
                  <c:v>7780</c:v>
                </c:pt>
                <c:pt idx="988">
                  <c:v>7680</c:v>
                </c:pt>
                <c:pt idx="989">
                  <c:v>7640</c:v>
                </c:pt>
                <c:pt idx="990">
                  <c:v>7600</c:v>
                </c:pt>
                <c:pt idx="991">
                  <c:v>7520</c:v>
                </c:pt>
                <c:pt idx="992">
                  <c:v>7420</c:v>
                </c:pt>
                <c:pt idx="993">
                  <c:v>7340</c:v>
                </c:pt>
                <c:pt idx="994">
                  <c:v>7240</c:v>
                </c:pt>
                <c:pt idx="995">
                  <c:v>7140</c:v>
                </c:pt>
                <c:pt idx="996">
                  <c:v>7040</c:v>
                </c:pt>
                <c:pt idx="997">
                  <c:v>6920</c:v>
                </c:pt>
                <c:pt idx="998">
                  <c:v>6820</c:v>
                </c:pt>
                <c:pt idx="999">
                  <c:v>6740</c:v>
                </c:pt>
                <c:pt idx="1000">
                  <c:v>6540</c:v>
                </c:pt>
                <c:pt idx="1001">
                  <c:v>6480</c:v>
                </c:pt>
                <c:pt idx="1002">
                  <c:v>6380</c:v>
                </c:pt>
                <c:pt idx="1003">
                  <c:v>6280</c:v>
                </c:pt>
                <c:pt idx="1004">
                  <c:v>6240</c:v>
                </c:pt>
                <c:pt idx="1005">
                  <c:v>6200</c:v>
                </c:pt>
                <c:pt idx="1006">
                  <c:v>6160</c:v>
                </c:pt>
                <c:pt idx="1007">
                  <c:v>6060</c:v>
                </c:pt>
                <c:pt idx="1008">
                  <c:v>5960</c:v>
                </c:pt>
                <c:pt idx="1009">
                  <c:v>5920</c:v>
                </c:pt>
                <c:pt idx="1010">
                  <c:v>5740</c:v>
                </c:pt>
                <c:pt idx="1011">
                  <c:v>5700</c:v>
                </c:pt>
                <c:pt idx="1012">
                  <c:v>5500</c:v>
                </c:pt>
                <c:pt idx="1013">
                  <c:v>5420</c:v>
                </c:pt>
                <c:pt idx="1014">
                  <c:v>5380</c:v>
                </c:pt>
                <c:pt idx="1015">
                  <c:v>5280</c:v>
                </c:pt>
                <c:pt idx="1016">
                  <c:v>5240</c:v>
                </c:pt>
                <c:pt idx="1017">
                  <c:v>5160</c:v>
                </c:pt>
                <c:pt idx="1018">
                  <c:v>5060</c:v>
                </c:pt>
                <c:pt idx="1019">
                  <c:v>5020</c:v>
                </c:pt>
                <c:pt idx="1020">
                  <c:v>4980</c:v>
                </c:pt>
                <c:pt idx="1021">
                  <c:v>4920</c:v>
                </c:pt>
                <c:pt idx="1022">
                  <c:v>4720</c:v>
                </c:pt>
                <c:pt idx="1023">
                  <c:v>4680</c:v>
                </c:pt>
                <c:pt idx="1024">
                  <c:v>4660</c:v>
                </c:pt>
                <c:pt idx="1025">
                  <c:v>4260</c:v>
                </c:pt>
                <c:pt idx="1026">
                  <c:v>3760</c:v>
                </c:pt>
                <c:pt idx="1027">
                  <c:v>3720</c:v>
                </c:pt>
                <c:pt idx="1028">
                  <c:v>3620</c:v>
                </c:pt>
                <c:pt idx="1029">
                  <c:v>3560</c:v>
                </c:pt>
                <c:pt idx="1030">
                  <c:v>3520</c:v>
                </c:pt>
                <c:pt idx="1031">
                  <c:v>3320</c:v>
                </c:pt>
                <c:pt idx="1032">
                  <c:v>3240</c:v>
                </c:pt>
                <c:pt idx="1033">
                  <c:v>3140</c:v>
                </c:pt>
                <c:pt idx="1034">
                  <c:v>3040</c:v>
                </c:pt>
                <c:pt idx="1035">
                  <c:v>2940</c:v>
                </c:pt>
                <c:pt idx="1036">
                  <c:v>2900</c:v>
                </c:pt>
                <c:pt idx="1037">
                  <c:v>2800</c:v>
                </c:pt>
                <c:pt idx="1038">
                  <c:v>2740</c:v>
                </c:pt>
                <c:pt idx="1039">
                  <c:v>2640</c:v>
                </c:pt>
                <c:pt idx="1040">
                  <c:v>2500</c:v>
                </c:pt>
                <c:pt idx="1041">
                  <c:v>2400</c:v>
                </c:pt>
                <c:pt idx="1042">
                  <c:v>2360</c:v>
                </c:pt>
                <c:pt idx="1043">
                  <c:v>2260</c:v>
                </c:pt>
                <c:pt idx="1044">
                  <c:v>2180</c:v>
                </c:pt>
                <c:pt idx="1045">
                  <c:v>2140</c:v>
                </c:pt>
                <c:pt idx="1046">
                  <c:v>2040</c:v>
                </c:pt>
                <c:pt idx="1047">
                  <c:v>1980</c:v>
                </c:pt>
                <c:pt idx="1048">
                  <c:v>1900</c:v>
                </c:pt>
                <c:pt idx="1049">
                  <c:v>1760</c:v>
                </c:pt>
                <c:pt idx="1050">
                  <c:v>1480</c:v>
                </c:pt>
                <c:pt idx="1051">
                  <c:v>1180</c:v>
                </c:pt>
                <c:pt idx="1052">
                  <c:v>1120</c:v>
                </c:pt>
                <c:pt idx="1053">
                  <c:v>1060</c:v>
                </c:pt>
                <c:pt idx="1054">
                  <c:v>1040</c:v>
                </c:pt>
                <c:pt idx="1055">
                  <c:v>1000</c:v>
                </c:pt>
                <c:pt idx="1056">
                  <c:v>980</c:v>
                </c:pt>
                <c:pt idx="1057">
                  <c:v>940</c:v>
                </c:pt>
                <c:pt idx="1058">
                  <c:v>840</c:v>
                </c:pt>
                <c:pt idx="1059">
                  <c:v>780</c:v>
                </c:pt>
                <c:pt idx="1060">
                  <c:v>760</c:v>
                </c:pt>
                <c:pt idx="1061">
                  <c:v>20000</c:v>
                </c:pt>
                <c:pt idx="1062">
                  <c:v>19900</c:v>
                </c:pt>
                <c:pt idx="1063">
                  <c:v>19860</c:v>
                </c:pt>
                <c:pt idx="1064">
                  <c:v>19760</c:v>
                </c:pt>
                <c:pt idx="1065">
                  <c:v>19660</c:v>
                </c:pt>
                <c:pt idx="1066">
                  <c:v>19600</c:v>
                </c:pt>
                <c:pt idx="1067">
                  <c:v>19500</c:v>
                </c:pt>
                <c:pt idx="1068">
                  <c:v>19400</c:v>
                </c:pt>
                <c:pt idx="1069">
                  <c:v>19300</c:v>
                </c:pt>
                <c:pt idx="1070">
                  <c:v>19240</c:v>
                </c:pt>
                <c:pt idx="1071">
                  <c:v>19200</c:v>
                </c:pt>
                <c:pt idx="1072">
                  <c:v>19160</c:v>
                </c:pt>
                <c:pt idx="1073">
                  <c:v>19120</c:v>
                </c:pt>
                <c:pt idx="1074">
                  <c:v>19100</c:v>
                </c:pt>
                <c:pt idx="1075">
                  <c:v>19040</c:v>
                </c:pt>
                <c:pt idx="1076">
                  <c:v>18940</c:v>
                </c:pt>
                <c:pt idx="1077">
                  <c:v>18920</c:v>
                </c:pt>
                <c:pt idx="1078">
                  <c:v>18880</c:v>
                </c:pt>
                <c:pt idx="1079">
                  <c:v>18780</c:v>
                </c:pt>
                <c:pt idx="1080">
                  <c:v>18660</c:v>
                </c:pt>
                <c:pt idx="1081">
                  <c:v>18540</c:v>
                </c:pt>
                <c:pt idx="1082">
                  <c:v>18480</c:v>
                </c:pt>
                <c:pt idx="1083">
                  <c:v>18380</c:v>
                </c:pt>
                <c:pt idx="1084">
                  <c:v>18360</c:v>
                </c:pt>
                <c:pt idx="1085">
                  <c:v>18300</c:v>
                </c:pt>
                <c:pt idx="1086">
                  <c:v>18260</c:v>
                </c:pt>
                <c:pt idx="1087">
                  <c:v>18220</c:v>
                </c:pt>
                <c:pt idx="1088">
                  <c:v>18060</c:v>
                </c:pt>
                <c:pt idx="1089">
                  <c:v>18000</c:v>
                </c:pt>
                <c:pt idx="1090">
                  <c:v>17500</c:v>
                </c:pt>
                <c:pt idx="1091">
                  <c:v>17400</c:v>
                </c:pt>
                <c:pt idx="1092">
                  <c:v>17380</c:v>
                </c:pt>
                <c:pt idx="1093">
                  <c:v>17180</c:v>
                </c:pt>
                <c:pt idx="1094">
                  <c:v>17080</c:v>
                </c:pt>
                <c:pt idx="1095">
                  <c:v>16980</c:v>
                </c:pt>
                <c:pt idx="1096">
                  <c:v>16780</c:v>
                </c:pt>
                <c:pt idx="1097">
                  <c:v>16580</c:v>
                </c:pt>
                <c:pt idx="1098">
                  <c:v>16480</c:v>
                </c:pt>
                <c:pt idx="1099">
                  <c:v>16400</c:v>
                </c:pt>
                <c:pt idx="1100">
                  <c:v>16360</c:v>
                </c:pt>
                <c:pt idx="1101">
                  <c:v>16320</c:v>
                </c:pt>
                <c:pt idx="1102">
                  <c:v>16220</c:v>
                </c:pt>
                <c:pt idx="1103">
                  <c:v>16120</c:v>
                </c:pt>
                <c:pt idx="1104">
                  <c:v>16020</c:v>
                </c:pt>
                <c:pt idx="1105">
                  <c:v>15920</c:v>
                </c:pt>
                <c:pt idx="1106">
                  <c:v>15880</c:v>
                </c:pt>
                <c:pt idx="1107">
                  <c:v>15780</c:v>
                </c:pt>
                <c:pt idx="1108">
                  <c:v>15480</c:v>
                </c:pt>
                <c:pt idx="1109">
                  <c:v>15380</c:v>
                </c:pt>
                <c:pt idx="1110">
                  <c:v>15280</c:v>
                </c:pt>
                <c:pt idx="1111">
                  <c:v>15240</c:v>
                </c:pt>
                <c:pt idx="1112">
                  <c:v>15200</c:v>
                </c:pt>
                <c:pt idx="1113">
                  <c:v>15080</c:v>
                </c:pt>
                <c:pt idx="1114">
                  <c:v>15000</c:v>
                </c:pt>
                <c:pt idx="1115">
                  <c:v>14900</c:v>
                </c:pt>
                <c:pt idx="1116">
                  <c:v>14800</c:v>
                </c:pt>
                <c:pt idx="1117">
                  <c:v>14300</c:v>
                </c:pt>
                <c:pt idx="1118">
                  <c:v>14200</c:v>
                </c:pt>
                <c:pt idx="1119">
                  <c:v>14100</c:v>
                </c:pt>
                <c:pt idx="1120">
                  <c:v>14020</c:v>
                </c:pt>
                <c:pt idx="1121">
                  <c:v>13980</c:v>
                </c:pt>
                <c:pt idx="1122">
                  <c:v>13480</c:v>
                </c:pt>
                <c:pt idx="1123">
                  <c:v>13380</c:v>
                </c:pt>
                <c:pt idx="1124">
                  <c:v>13280</c:v>
                </c:pt>
                <c:pt idx="1125">
                  <c:v>13140</c:v>
                </c:pt>
                <c:pt idx="1126">
                  <c:v>13080</c:v>
                </c:pt>
                <c:pt idx="1127">
                  <c:v>12960</c:v>
                </c:pt>
                <c:pt idx="1128">
                  <c:v>12760</c:v>
                </c:pt>
                <c:pt idx="1129">
                  <c:v>12660</c:v>
                </c:pt>
                <c:pt idx="1130">
                  <c:v>12160</c:v>
                </c:pt>
                <c:pt idx="1131">
                  <c:v>11960</c:v>
                </c:pt>
                <c:pt idx="1132">
                  <c:v>11860</c:v>
                </c:pt>
                <c:pt idx="1133">
                  <c:v>11820</c:v>
                </c:pt>
                <c:pt idx="1134">
                  <c:v>11800</c:v>
                </c:pt>
                <c:pt idx="1135">
                  <c:v>11780</c:v>
                </c:pt>
                <c:pt idx="1136">
                  <c:v>11560</c:v>
                </c:pt>
                <c:pt idx="1137">
                  <c:v>11460</c:v>
                </c:pt>
                <c:pt idx="1138">
                  <c:v>11360</c:v>
                </c:pt>
                <c:pt idx="1139">
                  <c:v>11260</c:v>
                </c:pt>
                <c:pt idx="1140">
                  <c:v>10760</c:v>
                </c:pt>
                <c:pt idx="1141">
                  <c:v>10660</c:v>
                </c:pt>
                <c:pt idx="1142">
                  <c:v>10500</c:v>
                </c:pt>
                <c:pt idx="1143">
                  <c:v>10100</c:v>
                </c:pt>
                <c:pt idx="1144">
                  <c:v>10060</c:v>
                </c:pt>
                <c:pt idx="1145">
                  <c:v>9940</c:v>
                </c:pt>
                <c:pt idx="1146">
                  <c:v>9900</c:v>
                </c:pt>
                <c:pt idx="1147">
                  <c:v>9860</c:v>
                </c:pt>
                <c:pt idx="1148">
                  <c:v>9760</c:v>
                </c:pt>
                <c:pt idx="1149">
                  <c:v>9260</c:v>
                </c:pt>
                <c:pt idx="1150">
                  <c:v>9180</c:v>
                </c:pt>
                <c:pt idx="1151">
                  <c:v>9160</c:v>
                </c:pt>
                <c:pt idx="1152">
                  <c:v>9020</c:v>
                </c:pt>
                <c:pt idx="1153">
                  <c:v>9000</c:v>
                </c:pt>
                <c:pt idx="1154">
                  <c:v>8920</c:v>
                </c:pt>
                <c:pt idx="1155">
                  <c:v>8820</c:v>
                </c:pt>
                <c:pt idx="1156">
                  <c:v>8720</c:v>
                </c:pt>
                <c:pt idx="1157">
                  <c:v>8680</c:v>
                </c:pt>
                <c:pt idx="1158">
                  <c:v>8600</c:v>
                </c:pt>
                <c:pt idx="1159">
                  <c:v>8520</c:v>
                </c:pt>
                <c:pt idx="1160">
                  <c:v>8440</c:v>
                </c:pt>
                <c:pt idx="1161">
                  <c:v>8240</c:v>
                </c:pt>
                <c:pt idx="1162">
                  <c:v>8220</c:v>
                </c:pt>
                <c:pt idx="1163">
                  <c:v>8160</c:v>
                </c:pt>
                <c:pt idx="1164">
                  <c:v>8060</c:v>
                </c:pt>
                <c:pt idx="1165">
                  <c:v>8020</c:v>
                </c:pt>
                <c:pt idx="1166">
                  <c:v>7920</c:v>
                </c:pt>
                <c:pt idx="1167">
                  <c:v>7880</c:v>
                </c:pt>
                <c:pt idx="1168">
                  <c:v>7720</c:v>
                </c:pt>
                <c:pt idx="1169">
                  <c:v>7660</c:v>
                </c:pt>
                <c:pt idx="1170">
                  <c:v>7600</c:v>
                </c:pt>
                <c:pt idx="1171">
                  <c:v>7500</c:v>
                </c:pt>
                <c:pt idx="1172">
                  <c:v>7460</c:v>
                </c:pt>
                <c:pt idx="1173">
                  <c:v>7360</c:v>
                </c:pt>
                <c:pt idx="1174">
                  <c:v>7260</c:v>
                </c:pt>
                <c:pt idx="1175">
                  <c:v>7120</c:v>
                </c:pt>
                <c:pt idx="1176">
                  <c:v>7020</c:v>
                </c:pt>
                <c:pt idx="1177">
                  <c:v>6980</c:v>
                </c:pt>
                <c:pt idx="1178">
                  <c:v>6960</c:v>
                </c:pt>
                <c:pt idx="1179">
                  <c:v>6860</c:v>
                </c:pt>
                <c:pt idx="1180">
                  <c:v>6760</c:v>
                </c:pt>
                <c:pt idx="1181">
                  <c:v>6700</c:v>
                </c:pt>
                <c:pt idx="1182">
                  <c:v>6500</c:v>
                </c:pt>
                <c:pt idx="1183">
                  <c:v>6400</c:v>
                </c:pt>
                <c:pt idx="1184">
                  <c:v>6360</c:v>
                </c:pt>
                <c:pt idx="1185">
                  <c:v>6260</c:v>
                </c:pt>
                <c:pt idx="1186">
                  <c:v>6060</c:v>
                </c:pt>
                <c:pt idx="1187">
                  <c:v>5960</c:v>
                </c:pt>
                <c:pt idx="1188">
                  <c:v>5860</c:v>
                </c:pt>
                <c:pt idx="1189">
                  <c:v>5820</c:v>
                </c:pt>
                <c:pt idx="1190">
                  <c:v>5720</c:v>
                </c:pt>
                <c:pt idx="1191">
                  <c:v>5520</c:v>
                </c:pt>
                <c:pt idx="1192">
                  <c:v>5460</c:v>
                </c:pt>
                <c:pt idx="1193">
                  <c:v>5420</c:v>
                </c:pt>
                <c:pt idx="1194">
                  <c:v>5380</c:v>
                </c:pt>
                <c:pt idx="1195">
                  <c:v>5360</c:v>
                </c:pt>
                <c:pt idx="1196">
                  <c:v>5280</c:v>
                </c:pt>
                <c:pt idx="1197">
                  <c:v>5180</c:v>
                </c:pt>
                <c:pt idx="1198">
                  <c:v>5160</c:v>
                </c:pt>
                <c:pt idx="1199">
                  <c:v>5120</c:v>
                </c:pt>
                <c:pt idx="1200">
                  <c:v>5020</c:v>
                </c:pt>
                <c:pt idx="1201">
                  <c:v>4820</c:v>
                </c:pt>
                <c:pt idx="1202">
                  <c:v>4780</c:v>
                </c:pt>
                <c:pt idx="1203">
                  <c:v>4680</c:v>
                </c:pt>
                <c:pt idx="1204">
                  <c:v>4580</c:v>
                </c:pt>
                <c:pt idx="1205">
                  <c:v>4480</c:v>
                </c:pt>
                <c:pt idx="1206">
                  <c:v>4440</c:v>
                </c:pt>
                <c:pt idx="1207">
                  <c:v>4120</c:v>
                </c:pt>
                <c:pt idx="1208">
                  <c:v>4080</c:v>
                </c:pt>
                <c:pt idx="1209">
                  <c:v>4020</c:v>
                </c:pt>
                <c:pt idx="1210">
                  <c:v>3980</c:v>
                </c:pt>
                <c:pt idx="1211">
                  <c:v>3880</c:v>
                </c:pt>
                <c:pt idx="1212">
                  <c:v>3780</c:v>
                </c:pt>
                <c:pt idx="1213">
                  <c:v>3580</c:v>
                </c:pt>
                <c:pt idx="1214">
                  <c:v>3480</c:v>
                </c:pt>
                <c:pt idx="1215">
                  <c:v>3440</c:v>
                </c:pt>
                <c:pt idx="1216">
                  <c:v>3400</c:v>
                </c:pt>
                <c:pt idx="1217">
                  <c:v>3300</c:v>
                </c:pt>
                <c:pt idx="1218">
                  <c:v>3200</c:v>
                </c:pt>
                <c:pt idx="1219">
                  <c:v>3060</c:v>
                </c:pt>
                <c:pt idx="1220">
                  <c:v>2960</c:v>
                </c:pt>
                <c:pt idx="1221">
                  <c:v>2840</c:v>
                </c:pt>
                <c:pt idx="1222">
                  <c:v>2740</c:v>
                </c:pt>
                <c:pt idx="1223">
                  <c:v>2660</c:v>
                </c:pt>
                <c:pt idx="1224">
                  <c:v>2640</c:v>
                </c:pt>
                <c:pt idx="1225">
                  <c:v>2540</c:v>
                </c:pt>
                <c:pt idx="1226">
                  <c:v>2480</c:v>
                </c:pt>
                <c:pt idx="1227">
                  <c:v>2340</c:v>
                </c:pt>
                <c:pt idx="1228">
                  <c:v>2260</c:v>
                </c:pt>
                <c:pt idx="1229">
                  <c:v>1960</c:v>
                </c:pt>
                <c:pt idx="1230">
                  <c:v>1860</c:v>
                </c:pt>
                <c:pt idx="1231">
                  <c:v>1840</c:v>
                </c:pt>
                <c:pt idx="1232">
                  <c:v>1780</c:v>
                </c:pt>
                <c:pt idx="1233">
                  <c:v>1740</c:v>
                </c:pt>
                <c:pt idx="1234">
                  <c:v>1640</c:v>
                </c:pt>
                <c:pt idx="1235">
                  <c:v>11000</c:v>
                </c:pt>
                <c:pt idx="1236">
                  <c:v>10900</c:v>
                </c:pt>
                <c:pt idx="1237">
                  <c:v>10860</c:v>
                </c:pt>
                <c:pt idx="1238">
                  <c:v>10820</c:v>
                </c:pt>
                <c:pt idx="1239">
                  <c:v>10760</c:v>
                </c:pt>
                <c:pt idx="1240">
                  <c:v>10660</c:v>
                </c:pt>
                <c:pt idx="1241">
                  <c:v>10640</c:v>
                </c:pt>
                <c:pt idx="1242">
                  <c:v>10240</c:v>
                </c:pt>
                <c:pt idx="1243">
                  <c:v>10200</c:v>
                </c:pt>
                <c:pt idx="1244">
                  <c:v>10100</c:v>
                </c:pt>
                <c:pt idx="1245">
                  <c:v>10000</c:v>
                </c:pt>
                <c:pt idx="1246">
                  <c:v>9880</c:v>
                </c:pt>
                <c:pt idx="1247">
                  <c:v>9780</c:v>
                </c:pt>
                <c:pt idx="1248">
                  <c:v>9640</c:v>
                </c:pt>
                <c:pt idx="1249">
                  <c:v>9560</c:v>
                </c:pt>
                <c:pt idx="1250">
                  <c:v>9060</c:v>
                </c:pt>
                <c:pt idx="1251">
                  <c:v>8980</c:v>
                </c:pt>
                <c:pt idx="1252">
                  <c:v>8920</c:v>
                </c:pt>
                <c:pt idx="1253">
                  <c:v>8820</c:v>
                </c:pt>
                <c:pt idx="1254">
                  <c:v>8760</c:v>
                </c:pt>
                <c:pt idx="1255">
                  <c:v>8580</c:v>
                </c:pt>
                <c:pt idx="1256">
                  <c:v>8540</c:v>
                </c:pt>
                <c:pt idx="1257">
                  <c:v>8440</c:v>
                </c:pt>
                <c:pt idx="1258">
                  <c:v>8340</c:v>
                </c:pt>
                <c:pt idx="1259">
                  <c:v>8320</c:v>
                </c:pt>
                <c:pt idx="1260">
                  <c:v>8120</c:v>
                </c:pt>
                <c:pt idx="1261">
                  <c:v>7920</c:v>
                </c:pt>
                <c:pt idx="1262">
                  <c:v>7580</c:v>
                </c:pt>
                <c:pt idx="1263">
                  <c:v>7480</c:v>
                </c:pt>
                <c:pt idx="1264">
                  <c:v>7380</c:v>
                </c:pt>
                <c:pt idx="1265">
                  <c:v>7340</c:v>
                </c:pt>
                <c:pt idx="1266">
                  <c:v>7300</c:v>
                </c:pt>
                <c:pt idx="1267">
                  <c:v>7280</c:v>
                </c:pt>
                <c:pt idx="1268">
                  <c:v>7180</c:v>
                </c:pt>
                <c:pt idx="1269">
                  <c:v>7080</c:v>
                </c:pt>
                <c:pt idx="1270">
                  <c:v>6980</c:v>
                </c:pt>
                <c:pt idx="1271">
                  <c:v>6940</c:v>
                </c:pt>
                <c:pt idx="1272">
                  <c:v>6840</c:v>
                </c:pt>
                <c:pt idx="1273">
                  <c:v>6740</c:v>
                </c:pt>
                <c:pt idx="1274">
                  <c:v>6680</c:v>
                </c:pt>
                <c:pt idx="1275">
                  <c:v>6580</c:v>
                </c:pt>
                <c:pt idx="1276">
                  <c:v>6480</c:v>
                </c:pt>
                <c:pt idx="1277">
                  <c:v>6440</c:v>
                </c:pt>
                <c:pt idx="1278">
                  <c:v>5940</c:v>
                </c:pt>
                <c:pt idx="1279">
                  <c:v>5860</c:v>
                </c:pt>
                <c:pt idx="1280">
                  <c:v>5820</c:v>
                </c:pt>
                <c:pt idx="1281">
                  <c:v>5740</c:v>
                </c:pt>
                <c:pt idx="1282">
                  <c:v>5540</c:v>
                </c:pt>
                <c:pt idx="1283">
                  <c:v>5460</c:v>
                </c:pt>
                <c:pt idx="1284">
                  <c:v>5260</c:v>
                </c:pt>
                <c:pt idx="1285">
                  <c:v>5220</c:v>
                </c:pt>
                <c:pt idx="1286">
                  <c:v>5120</c:v>
                </c:pt>
                <c:pt idx="1287">
                  <c:v>4980</c:v>
                </c:pt>
                <c:pt idx="1288">
                  <c:v>4940</c:v>
                </c:pt>
                <c:pt idx="1289">
                  <c:v>4740</c:v>
                </c:pt>
                <c:pt idx="1290">
                  <c:v>4640</c:v>
                </c:pt>
                <c:pt idx="1291">
                  <c:v>4500</c:v>
                </c:pt>
                <c:pt idx="1292">
                  <c:v>4440</c:v>
                </c:pt>
                <c:pt idx="1293">
                  <c:v>4360</c:v>
                </c:pt>
                <c:pt idx="1294">
                  <c:v>4320</c:v>
                </c:pt>
                <c:pt idx="1295">
                  <c:v>4160</c:v>
                </c:pt>
                <c:pt idx="1296">
                  <c:v>4000</c:v>
                </c:pt>
                <c:pt idx="1297">
                  <c:v>3980</c:v>
                </c:pt>
                <c:pt idx="1298">
                  <c:v>3900</c:v>
                </c:pt>
                <c:pt idx="1299">
                  <c:v>3880</c:v>
                </c:pt>
                <c:pt idx="1300">
                  <c:v>3860</c:v>
                </c:pt>
                <c:pt idx="1301">
                  <c:v>3780</c:v>
                </c:pt>
                <c:pt idx="1302">
                  <c:v>3740</c:v>
                </c:pt>
                <c:pt idx="1303">
                  <c:v>3700</c:v>
                </c:pt>
                <c:pt idx="1304">
                  <c:v>3600</c:v>
                </c:pt>
                <c:pt idx="1305">
                  <c:v>3560</c:v>
                </c:pt>
                <c:pt idx="1306">
                  <c:v>3520</c:v>
                </c:pt>
                <c:pt idx="1307">
                  <c:v>3420</c:v>
                </c:pt>
                <c:pt idx="1308">
                  <c:v>3340</c:v>
                </c:pt>
                <c:pt idx="1309">
                  <c:v>3300</c:v>
                </c:pt>
                <c:pt idx="1310">
                  <c:v>3260</c:v>
                </c:pt>
                <c:pt idx="1311">
                  <c:v>3240</c:v>
                </c:pt>
                <c:pt idx="1312">
                  <c:v>3180</c:v>
                </c:pt>
                <c:pt idx="1313">
                  <c:v>3080</c:v>
                </c:pt>
                <c:pt idx="1314">
                  <c:v>3020</c:v>
                </c:pt>
                <c:pt idx="1315">
                  <c:v>2960</c:v>
                </c:pt>
                <c:pt idx="1316">
                  <c:v>2860</c:v>
                </c:pt>
                <c:pt idx="1317">
                  <c:v>2760</c:v>
                </c:pt>
                <c:pt idx="1318">
                  <c:v>2740</c:v>
                </c:pt>
                <c:pt idx="1319">
                  <c:v>2700</c:v>
                </c:pt>
                <c:pt idx="1320">
                  <c:v>2640</c:v>
                </c:pt>
                <c:pt idx="1321">
                  <c:v>2540</c:v>
                </c:pt>
                <c:pt idx="1322">
                  <c:v>2440</c:v>
                </c:pt>
                <c:pt idx="1323">
                  <c:v>2340</c:v>
                </c:pt>
                <c:pt idx="1324">
                  <c:v>2300</c:v>
                </c:pt>
                <c:pt idx="1325">
                  <c:v>2280</c:v>
                </c:pt>
                <c:pt idx="1326">
                  <c:v>2180</c:v>
                </c:pt>
                <c:pt idx="1327">
                  <c:v>2060</c:v>
                </c:pt>
                <c:pt idx="1328">
                  <c:v>2000</c:v>
                </c:pt>
                <c:pt idx="1329">
                  <c:v>1900</c:v>
                </c:pt>
                <c:pt idx="1330">
                  <c:v>1600</c:v>
                </c:pt>
                <c:pt idx="1331">
                  <c:v>1500</c:v>
                </c:pt>
                <c:pt idx="1332">
                  <c:v>1400</c:v>
                </c:pt>
                <c:pt idx="1333">
                  <c:v>1260</c:v>
                </c:pt>
                <c:pt idx="1334">
                  <c:v>1160</c:v>
                </c:pt>
                <c:pt idx="1335">
                  <c:v>1060</c:v>
                </c:pt>
                <c:pt idx="1336">
                  <c:v>960</c:v>
                </c:pt>
                <c:pt idx="1337">
                  <c:v>940</c:v>
                </c:pt>
                <c:pt idx="1338">
                  <c:v>880</c:v>
                </c:pt>
                <c:pt idx="1339">
                  <c:v>860</c:v>
                </c:pt>
                <c:pt idx="1340">
                  <c:v>840</c:v>
                </c:pt>
                <c:pt idx="1341">
                  <c:v>800</c:v>
                </c:pt>
                <c:pt idx="1342">
                  <c:v>20000</c:v>
                </c:pt>
                <c:pt idx="1343">
                  <c:v>19800</c:v>
                </c:pt>
                <c:pt idx="1344">
                  <c:v>19740</c:v>
                </c:pt>
                <c:pt idx="1345">
                  <c:v>19640</c:v>
                </c:pt>
                <c:pt idx="1346">
                  <c:v>19460</c:v>
                </c:pt>
                <c:pt idx="1347">
                  <c:v>19360</c:v>
                </c:pt>
                <c:pt idx="1348">
                  <c:v>19260</c:v>
                </c:pt>
                <c:pt idx="1349">
                  <c:v>19220</c:v>
                </c:pt>
                <c:pt idx="1350">
                  <c:v>19180</c:v>
                </c:pt>
                <c:pt idx="1351">
                  <c:v>19080</c:v>
                </c:pt>
                <c:pt idx="1352">
                  <c:v>19020</c:v>
                </c:pt>
                <c:pt idx="1353">
                  <c:v>18780</c:v>
                </c:pt>
                <c:pt idx="1354">
                  <c:v>18280</c:v>
                </c:pt>
                <c:pt idx="1355">
                  <c:v>18160</c:v>
                </c:pt>
                <c:pt idx="1356">
                  <c:v>18080</c:v>
                </c:pt>
                <c:pt idx="1357">
                  <c:v>17980</c:v>
                </c:pt>
                <c:pt idx="1358">
                  <c:v>17820</c:v>
                </c:pt>
                <c:pt idx="1359">
                  <c:v>17760</c:v>
                </c:pt>
                <c:pt idx="1360">
                  <c:v>17720</c:v>
                </c:pt>
                <c:pt idx="1361">
                  <c:v>17620</c:v>
                </c:pt>
                <c:pt idx="1362">
                  <c:v>17560</c:v>
                </c:pt>
                <c:pt idx="1363">
                  <c:v>17360</c:v>
                </c:pt>
                <c:pt idx="1364">
                  <c:v>17260</c:v>
                </c:pt>
                <c:pt idx="1365">
                  <c:v>17220</c:v>
                </c:pt>
                <c:pt idx="1366">
                  <c:v>17180</c:v>
                </c:pt>
                <c:pt idx="1367">
                  <c:v>17140</c:v>
                </c:pt>
                <c:pt idx="1368">
                  <c:v>17040</c:v>
                </c:pt>
                <c:pt idx="1369">
                  <c:v>16940</c:v>
                </c:pt>
                <c:pt idx="1370">
                  <c:v>16920</c:v>
                </c:pt>
                <c:pt idx="1371">
                  <c:v>16620</c:v>
                </c:pt>
                <c:pt idx="1372">
                  <c:v>16560</c:v>
                </c:pt>
                <c:pt idx="1373">
                  <c:v>16460</c:v>
                </c:pt>
                <c:pt idx="1374">
                  <c:v>15960</c:v>
                </c:pt>
                <c:pt idx="1375">
                  <c:v>15900</c:v>
                </c:pt>
                <c:pt idx="1376">
                  <c:v>15840</c:v>
                </c:pt>
                <c:pt idx="1377">
                  <c:v>15800</c:v>
                </c:pt>
                <c:pt idx="1378">
                  <c:v>15780</c:v>
                </c:pt>
                <c:pt idx="1379">
                  <c:v>15740</c:v>
                </c:pt>
                <c:pt idx="1380">
                  <c:v>15640</c:v>
                </c:pt>
                <c:pt idx="1381">
                  <c:v>15540</c:v>
                </c:pt>
                <c:pt idx="1382">
                  <c:v>15440</c:v>
                </c:pt>
                <c:pt idx="1383">
                  <c:v>15240</c:v>
                </c:pt>
                <c:pt idx="1384">
                  <c:v>15220</c:v>
                </c:pt>
                <c:pt idx="1385">
                  <c:v>15120</c:v>
                </c:pt>
                <c:pt idx="1386">
                  <c:v>15020</c:v>
                </c:pt>
                <c:pt idx="1387">
                  <c:v>14920</c:v>
                </c:pt>
                <c:pt idx="1388">
                  <c:v>14880</c:v>
                </c:pt>
                <c:pt idx="1389">
                  <c:v>14840</c:v>
                </c:pt>
                <c:pt idx="1390">
                  <c:v>14760</c:v>
                </c:pt>
                <c:pt idx="1391">
                  <c:v>14660</c:v>
                </c:pt>
                <c:pt idx="1392">
                  <c:v>14460</c:v>
                </c:pt>
                <c:pt idx="1393">
                  <c:v>14360</c:v>
                </c:pt>
                <c:pt idx="1394">
                  <c:v>14260</c:v>
                </c:pt>
                <c:pt idx="1395">
                  <c:v>14160</c:v>
                </c:pt>
                <c:pt idx="1396">
                  <c:v>14060</c:v>
                </c:pt>
                <c:pt idx="1397">
                  <c:v>13960</c:v>
                </c:pt>
                <c:pt idx="1398">
                  <c:v>13860</c:v>
                </c:pt>
                <c:pt idx="1399">
                  <c:v>13740</c:v>
                </c:pt>
                <c:pt idx="1400">
                  <c:v>13680</c:v>
                </c:pt>
                <c:pt idx="1401">
                  <c:v>13580</c:v>
                </c:pt>
                <c:pt idx="1402">
                  <c:v>13560</c:v>
                </c:pt>
                <c:pt idx="1403">
                  <c:v>13500</c:v>
                </c:pt>
                <c:pt idx="1404">
                  <c:v>13460</c:v>
                </c:pt>
                <c:pt idx="1405">
                  <c:v>13360</c:v>
                </c:pt>
                <c:pt idx="1406">
                  <c:v>13300</c:v>
                </c:pt>
                <c:pt idx="1407">
                  <c:v>13100</c:v>
                </c:pt>
                <c:pt idx="1408">
                  <c:v>13040</c:v>
                </c:pt>
                <c:pt idx="1409">
                  <c:v>12940</c:v>
                </c:pt>
                <c:pt idx="1410">
                  <c:v>12860</c:v>
                </c:pt>
                <c:pt idx="1411">
                  <c:v>12800</c:v>
                </c:pt>
                <c:pt idx="1412">
                  <c:v>12700</c:v>
                </c:pt>
                <c:pt idx="1413">
                  <c:v>12620</c:v>
                </c:pt>
                <c:pt idx="1414">
                  <c:v>12520</c:v>
                </c:pt>
                <c:pt idx="1415">
                  <c:v>12480</c:v>
                </c:pt>
                <c:pt idx="1416">
                  <c:v>12400</c:v>
                </c:pt>
                <c:pt idx="1417">
                  <c:v>12360</c:v>
                </c:pt>
                <c:pt idx="1418">
                  <c:v>12200</c:v>
                </c:pt>
                <c:pt idx="1419">
                  <c:v>12100</c:v>
                </c:pt>
                <c:pt idx="1420">
                  <c:v>11900</c:v>
                </c:pt>
                <c:pt idx="1421">
                  <c:v>11820</c:v>
                </c:pt>
                <c:pt idx="1422">
                  <c:v>11720</c:v>
                </c:pt>
                <c:pt idx="1423">
                  <c:v>11620</c:v>
                </c:pt>
                <c:pt idx="1424">
                  <c:v>11320</c:v>
                </c:pt>
                <c:pt idx="1425">
                  <c:v>11300</c:v>
                </c:pt>
                <c:pt idx="1426">
                  <c:v>11200</c:v>
                </c:pt>
                <c:pt idx="1427">
                  <c:v>10700</c:v>
                </c:pt>
                <c:pt idx="1428">
                  <c:v>10600</c:v>
                </c:pt>
                <c:pt idx="1429">
                  <c:v>10580</c:v>
                </c:pt>
                <c:pt idx="1430">
                  <c:v>10400</c:v>
                </c:pt>
                <c:pt idx="1431">
                  <c:v>10320</c:v>
                </c:pt>
                <c:pt idx="1432">
                  <c:v>10220</c:v>
                </c:pt>
                <c:pt idx="1433">
                  <c:v>10120</c:v>
                </c:pt>
                <c:pt idx="1434">
                  <c:v>10080</c:v>
                </c:pt>
                <c:pt idx="1435">
                  <c:v>9780</c:v>
                </c:pt>
                <c:pt idx="1436">
                  <c:v>9680</c:v>
                </c:pt>
                <c:pt idx="1437">
                  <c:v>9580</c:v>
                </c:pt>
                <c:pt idx="1438">
                  <c:v>9540</c:v>
                </c:pt>
                <c:pt idx="1439">
                  <c:v>9440</c:v>
                </c:pt>
                <c:pt idx="1440">
                  <c:v>9420</c:v>
                </c:pt>
                <c:pt idx="1441">
                  <c:v>9320</c:v>
                </c:pt>
                <c:pt idx="1442">
                  <c:v>9280</c:v>
                </c:pt>
                <c:pt idx="1443">
                  <c:v>9240</c:v>
                </c:pt>
                <c:pt idx="1444">
                  <c:v>9000</c:v>
                </c:pt>
                <c:pt idx="1445">
                  <c:v>8940</c:v>
                </c:pt>
                <c:pt idx="1446">
                  <c:v>8840</c:v>
                </c:pt>
                <c:pt idx="1447">
                  <c:v>8640</c:v>
                </c:pt>
                <c:pt idx="1448">
                  <c:v>8540</c:v>
                </c:pt>
                <c:pt idx="1449">
                  <c:v>8440</c:v>
                </c:pt>
                <c:pt idx="1450">
                  <c:v>8340</c:v>
                </c:pt>
                <c:pt idx="1451">
                  <c:v>8300</c:v>
                </c:pt>
                <c:pt idx="1452">
                  <c:v>8100</c:v>
                </c:pt>
                <c:pt idx="1453">
                  <c:v>7980</c:v>
                </c:pt>
                <c:pt idx="1454">
                  <c:v>7940</c:v>
                </c:pt>
                <c:pt idx="1455">
                  <c:v>7860</c:v>
                </c:pt>
                <c:pt idx="1456">
                  <c:v>7760</c:v>
                </c:pt>
                <c:pt idx="1457">
                  <c:v>7260</c:v>
                </c:pt>
                <c:pt idx="1458">
                  <c:v>6900</c:v>
                </c:pt>
                <c:pt idx="1459">
                  <c:v>6700</c:v>
                </c:pt>
                <c:pt idx="1460">
                  <c:v>6660</c:v>
                </c:pt>
                <c:pt idx="1461">
                  <c:v>6620</c:v>
                </c:pt>
                <c:pt idx="1462">
                  <c:v>6580</c:v>
                </c:pt>
                <c:pt idx="1463">
                  <c:v>6560</c:v>
                </c:pt>
                <c:pt idx="1464">
                  <c:v>6520</c:v>
                </c:pt>
                <c:pt idx="1465">
                  <c:v>6420</c:v>
                </c:pt>
                <c:pt idx="1466">
                  <c:v>6220</c:v>
                </c:pt>
                <c:pt idx="1467">
                  <c:v>6140</c:v>
                </c:pt>
                <c:pt idx="1468">
                  <c:v>6100</c:v>
                </c:pt>
                <c:pt idx="1469">
                  <c:v>6060</c:v>
                </c:pt>
                <c:pt idx="1470">
                  <c:v>5960</c:v>
                </c:pt>
                <c:pt idx="1471">
                  <c:v>5860</c:v>
                </c:pt>
                <c:pt idx="1472">
                  <c:v>5840</c:v>
                </c:pt>
                <c:pt idx="1473">
                  <c:v>5740</c:v>
                </c:pt>
                <c:pt idx="1474">
                  <c:v>5640</c:v>
                </c:pt>
                <c:pt idx="1475">
                  <c:v>5440</c:v>
                </c:pt>
                <c:pt idx="1476">
                  <c:v>5400</c:v>
                </c:pt>
                <c:pt idx="1477">
                  <c:v>5340</c:v>
                </c:pt>
                <c:pt idx="1478">
                  <c:v>5140</c:v>
                </c:pt>
                <c:pt idx="1479">
                  <c:v>5100</c:v>
                </c:pt>
                <c:pt idx="1480">
                  <c:v>5080</c:v>
                </c:pt>
                <c:pt idx="1481">
                  <c:v>5040</c:v>
                </c:pt>
                <c:pt idx="1482">
                  <c:v>5020</c:v>
                </c:pt>
                <c:pt idx="1483">
                  <c:v>4920</c:v>
                </c:pt>
                <c:pt idx="1484">
                  <c:v>4820</c:v>
                </c:pt>
                <c:pt idx="1485">
                  <c:v>4720</c:v>
                </c:pt>
                <c:pt idx="1486">
                  <c:v>4420</c:v>
                </c:pt>
                <c:pt idx="1487">
                  <c:v>4240</c:v>
                </c:pt>
                <c:pt idx="1488">
                  <c:v>4140</c:v>
                </c:pt>
                <c:pt idx="1489">
                  <c:v>4100</c:v>
                </c:pt>
                <c:pt idx="1490">
                  <c:v>4000</c:v>
                </c:pt>
                <c:pt idx="1491">
                  <c:v>3900</c:v>
                </c:pt>
                <c:pt idx="1492">
                  <c:v>3800</c:v>
                </c:pt>
                <c:pt idx="1493">
                  <c:v>3700</c:v>
                </c:pt>
                <c:pt idx="1494">
                  <c:v>3600</c:v>
                </c:pt>
                <c:pt idx="1495">
                  <c:v>3500</c:v>
                </c:pt>
                <c:pt idx="1496">
                  <c:v>3100</c:v>
                </c:pt>
                <c:pt idx="1497">
                  <c:v>3060</c:v>
                </c:pt>
                <c:pt idx="1498">
                  <c:v>2960</c:v>
                </c:pt>
                <c:pt idx="1499">
                  <c:v>2920</c:v>
                </c:pt>
                <c:pt idx="1500">
                  <c:v>2820</c:v>
                </c:pt>
                <c:pt idx="1501">
                  <c:v>2720</c:v>
                </c:pt>
                <c:pt idx="1502">
                  <c:v>2620</c:v>
                </c:pt>
                <c:pt idx="1503">
                  <c:v>2500</c:v>
                </c:pt>
                <c:pt idx="1504">
                  <c:v>2400</c:v>
                </c:pt>
                <c:pt idx="1505">
                  <c:v>2360</c:v>
                </c:pt>
                <c:pt idx="1506">
                  <c:v>2260</c:v>
                </c:pt>
                <c:pt idx="1507">
                  <c:v>2120</c:v>
                </c:pt>
                <c:pt idx="1508">
                  <c:v>2080</c:v>
                </c:pt>
                <c:pt idx="1509">
                  <c:v>1960</c:v>
                </c:pt>
                <c:pt idx="1510">
                  <c:v>1760</c:v>
                </c:pt>
                <c:pt idx="1511">
                  <c:v>1720</c:v>
                </c:pt>
                <c:pt idx="1512">
                  <c:v>1680</c:v>
                </c:pt>
                <c:pt idx="1513">
                  <c:v>1620</c:v>
                </c:pt>
                <c:pt idx="1514">
                  <c:v>1600</c:v>
                </c:pt>
                <c:pt idx="1515">
                  <c:v>1580</c:v>
                </c:pt>
                <c:pt idx="1516">
                  <c:v>1540</c:v>
                </c:pt>
                <c:pt idx="1517">
                  <c:v>1440</c:v>
                </c:pt>
                <c:pt idx="1518">
                  <c:v>1340</c:v>
                </c:pt>
                <c:pt idx="1519">
                  <c:v>840</c:v>
                </c:pt>
                <c:pt idx="1520">
                  <c:v>780</c:v>
                </c:pt>
                <c:pt idx="1521">
                  <c:v>660</c:v>
                </c:pt>
                <c:pt idx="1522">
                  <c:v>560</c:v>
                </c:pt>
                <c:pt idx="1523">
                  <c:v>11000</c:v>
                </c:pt>
                <c:pt idx="1524">
                  <c:v>10900</c:v>
                </c:pt>
                <c:pt idx="1525">
                  <c:v>10840</c:v>
                </c:pt>
                <c:pt idx="1526">
                  <c:v>10800</c:v>
                </c:pt>
                <c:pt idx="1527">
                  <c:v>10780</c:v>
                </c:pt>
                <c:pt idx="1528">
                  <c:v>10740</c:v>
                </c:pt>
                <c:pt idx="1529">
                  <c:v>10660</c:v>
                </c:pt>
                <c:pt idx="1530">
                  <c:v>10560</c:v>
                </c:pt>
                <c:pt idx="1531">
                  <c:v>10520</c:v>
                </c:pt>
                <c:pt idx="1532">
                  <c:v>10480</c:v>
                </c:pt>
                <c:pt idx="1533">
                  <c:v>10400</c:v>
                </c:pt>
                <c:pt idx="1534">
                  <c:v>10300</c:v>
                </c:pt>
                <c:pt idx="1535">
                  <c:v>10280</c:v>
                </c:pt>
                <c:pt idx="1536">
                  <c:v>10180</c:v>
                </c:pt>
                <c:pt idx="1537">
                  <c:v>10060</c:v>
                </c:pt>
                <c:pt idx="1538">
                  <c:v>10020</c:v>
                </c:pt>
                <c:pt idx="1539">
                  <c:v>9920</c:v>
                </c:pt>
                <c:pt idx="1540">
                  <c:v>9900</c:v>
                </c:pt>
                <c:pt idx="1541">
                  <c:v>9820</c:v>
                </c:pt>
                <c:pt idx="1542">
                  <c:v>9780</c:v>
                </c:pt>
                <c:pt idx="1543">
                  <c:v>9740</c:v>
                </c:pt>
                <c:pt idx="1544">
                  <c:v>9680</c:v>
                </c:pt>
                <c:pt idx="1545">
                  <c:v>9620</c:v>
                </c:pt>
                <c:pt idx="1546">
                  <c:v>9580</c:v>
                </c:pt>
                <c:pt idx="1547">
                  <c:v>9480</c:v>
                </c:pt>
                <c:pt idx="1548">
                  <c:v>9340</c:v>
                </c:pt>
                <c:pt idx="1549">
                  <c:v>9140</c:v>
                </c:pt>
                <c:pt idx="1550">
                  <c:v>9060</c:v>
                </c:pt>
                <c:pt idx="1551">
                  <c:v>9020</c:v>
                </c:pt>
                <c:pt idx="1552">
                  <c:v>9000</c:v>
                </c:pt>
                <c:pt idx="1553">
                  <c:v>8900</c:v>
                </c:pt>
                <c:pt idx="1554">
                  <c:v>8800</c:v>
                </c:pt>
                <c:pt idx="1555">
                  <c:v>8700</c:v>
                </c:pt>
                <c:pt idx="1556">
                  <c:v>8660</c:v>
                </c:pt>
                <c:pt idx="1557">
                  <c:v>8560</c:v>
                </c:pt>
                <c:pt idx="1558">
                  <c:v>8480</c:v>
                </c:pt>
                <c:pt idx="1559">
                  <c:v>8420</c:v>
                </c:pt>
                <c:pt idx="1560">
                  <c:v>8320</c:v>
                </c:pt>
                <c:pt idx="1561">
                  <c:v>8280</c:v>
                </c:pt>
                <c:pt idx="1562">
                  <c:v>8180</c:v>
                </c:pt>
                <c:pt idx="1563">
                  <c:v>8120</c:v>
                </c:pt>
                <c:pt idx="1564">
                  <c:v>8080</c:v>
                </c:pt>
                <c:pt idx="1565">
                  <c:v>7580</c:v>
                </c:pt>
                <c:pt idx="1566">
                  <c:v>7480</c:v>
                </c:pt>
                <c:pt idx="1567">
                  <c:v>7440</c:v>
                </c:pt>
                <c:pt idx="1568">
                  <c:v>7280</c:v>
                </c:pt>
                <c:pt idx="1569">
                  <c:v>7080</c:v>
                </c:pt>
                <c:pt idx="1570">
                  <c:v>7040</c:v>
                </c:pt>
                <c:pt idx="1571">
                  <c:v>6960</c:v>
                </c:pt>
                <c:pt idx="1572">
                  <c:v>6920</c:v>
                </c:pt>
                <c:pt idx="1573">
                  <c:v>6820</c:v>
                </c:pt>
                <c:pt idx="1574">
                  <c:v>6780</c:v>
                </c:pt>
                <c:pt idx="1575">
                  <c:v>6760</c:v>
                </c:pt>
                <c:pt idx="1576">
                  <c:v>6660</c:v>
                </c:pt>
                <c:pt idx="1577">
                  <c:v>6600</c:v>
                </c:pt>
                <c:pt idx="1578">
                  <c:v>6420</c:v>
                </c:pt>
                <c:pt idx="1579">
                  <c:v>6320</c:v>
                </c:pt>
                <c:pt idx="1580">
                  <c:v>6280</c:v>
                </c:pt>
                <c:pt idx="1581">
                  <c:v>6140</c:v>
                </c:pt>
                <c:pt idx="1582">
                  <c:v>6040</c:v>
                </c:pt>
                <c:pt idx="1583">
                  <c:v>5980</c:v>
                </c:pt>
                <c:pt idx="1584">
                  <c:v>5880</c:v>
                </c:pt>
                <c:pt idx="1585">
                  <c:v>5800</c:v>
                </c:pt>
                <c:pt idx="1586">
                  <c:v>5760</c:v>
                </c:pt>
                <c:pt idx="1587">
                  <c:v>5660</c:v>
                </c:pt>
                <c:pt idx="1588">
                  <c:v>5620</c:v>
                </c:pt>
                <c:pt idx="1589">
                  <c:v>5480</c:v>
                </c:pt>
                <c:pt idx="1590">
                  <c:v>5280</c:v>
                </c:pt>
                <c:pt idx="1591">
                  <c:v>5180</c:v>
                </c:pt>
                <c:pt idx="1592">
                  <c:v>5080</c:v>
                </c:pt>
                <c:pt idx="1593">
                  <c:v>5020</c:v>
                </c:pt>
                <c:pt idx="1594">
                  <c:v>4960</c:v>
                </c:pt>
                <c:pt idx="1595">
                  <c:v>4860</c:v>
                </c:pt>
                <c:pt idx="1596">
                  <c:v>4360</c:v>
                </c:pt>
                <c:pt idx="1597">
                  <c:v>4300</c:v>
                </c:pt>
                <c:pt idx="1598">
                  <c:v>4240</c:v>
                </c:pt>
                <c:pt idx="1599">
                  <c:v>4040</c:v>
                </c:pt>
                <c:pt idx="1600">
                  <c:v>4000</c:v>
                </c:pt>
                <c:pt idx="1601">
                  <c:v>3940</c:v>
                </c:pt>
                <c:pt idx="1602">
                  <c:v>3900</c:v>
                </c:pt>
                <c:pt idx="1603">
                  <c:v>3860</c:v>
                </c:pt>
                <c:pt idx="1604">
                  <c:v>3760</c:v>
                </c:pt>
                <c:pt idx="1605">
                  <c:v>3720</c:v>
                </c:pt>
                <c:pt idx="1606">
                  <c:v>3680</c:v>
                </c:pt>
                <c:pt idx="1607">
                  <c:v>3520</c:v>
                </c:pt>
                <c:pt idx="1608">
                  <c:v>3480</c:v>
                </c:pt>
                <c:pt idx="1609">
                  <c:v>3380</c:v>
                </c:pt>
                <c:pt idx="1610">
                  <c:v>3280</c:v>
                </c:pt>
                <c:pt idx="1611">
                  <c:v>3160</c:v>
                </c:pt>
                <c:pt idx="1612">
                  <c:v>3080</c:v>
                </c:pt>
                <c:pt idx="1613">
                  <c:v>3040</c:v>
                </c:pt>
                <c:pt idx="1614">
                  <c:v>2960</c:v>
                </c:pt>
                <c:pt idx="1615">
                  <c:v>2940</c:v>
                </c:pt>
                <c:pt idx="1616">
                  <c:v>2440</c:v>
                </c:pt>
                <c:pt idx="1617">
                  <c:v>2380</c:v>
                </c:pt>
                <c:pt idx="1618">
                  <c:v>2180</c:v>
                </c:pt>
                <c:pt idx="1619">
                  <c:v>2160</c:v>
                </c:pt>
                <c:pt idx="1620">
                  <c:v>2060</c:v>
                </c:pt>
                <c:pt idx="1621">
                  <c:v>1960</c:v>
                </c:pt>
                <c:pt idx="1622">
                  <c:v>1860</c:v>
                </c:pt>
                <c:pt idx="1623">
                  <c:v>1800</c:v>
                </c:pt>
                <c:pt idx="1624">
                  <c:v>1760</c:v>
                </c:pt>
                <c:pt idx="1625">
                  <c:v>1740</c:v>
                </c:pt>
                <c:pt idx="1626">
                  <c:v>1540</c:v>
                </c:pt>
                <c:pt idx="1627">
                  <c:v>1440</c:v>
                </c:pt>
                <c:pt idx="1628">
                  <c:v>1340</c:v>
                </c:pt>
                <c:pt idx="1629">
                  <c:v>840</c:v>
                </c:pt>
                <c:pt idx="1630">
                  <c:v>800</c:v>
                </c:pt>
                <c:pt idx="1631">
                  <c:v>600</c:v>
                </c:pt>
                <c:pt idx="1632">
                  <c:v>500</c:v>
                </c:pt>
                <c:pt idx="1633">
                  <c:v>480</c:v>
                </c:pt>
                <c:pt idx="1634">
                  <c:v>460</c:v>
                </c:pt>
                <c:pt idx="1635">
                  <c:v>360</c:v>
                </c:pt>
                <c:pt idx="1636">
                  <c:v>300</c:v>
                </c:pt>
                <c:pt idx="1637">
                  <c:v>200</c:v>
                </c:pt>
                <c:pt idx="1638">
                  <c:v>200</c:v>
                </c:pt>
                <c:pt idx="1639">
                  <c:v>80</c:v>
                </c:pt>
                <c:pt idx="1640">
                  <c:v>80</c:v>
                </c:pt>
                <c:pt idx="1641">
                  <c:v>80</c:v>
                </c:pt>
                <c:pt idx="1642">
                  <c:v>20</c:v>
                </c:pt>
                <c:pt idx="1643">
                  <c:v>20</c:v>
                </c:pt>
                <c:pt idx="1644">
                  <c:v>20</c:v>
                </c:pt>
                <c:pt idx="1645">
                  <c:v>20</c:v>
                </c:pt>
                <c:pt idx="1646">
                  <c:v>20</c:v>
                </c:pt>
                <c:pt idx="1647">
                  <c:v>20</c:v>
                </c:pt>
                <c:pt idx="1648">
                  <c:v>20</c:v>
                </c:pt>
                <c:pt idx="1649">
                  <c:v>20</c:v>
                </c:pt>
                <c:pt idx="1650">
                  <c:v>20000</c:v>
                </c:pt>
                <c:pt idx="1651">
                  <c:v>19900</c:v>
                </c:pt>
                <c:pt idx="1652">
                  <c:v>19800</c:v>
                </c:pt>
                <c:pt idx="1653">
                  <c:v>19720</c:v>
                </c:pt>
                <c:pt idx="1654">
                  <c:v>19620</c:v>
                </c:pt>
                <c:pt idx="1655">
                  <c:v>19520</c:v>
                </c:pt>
                <c:pt idx="1656">
                  <c:v>19340</c:v>
                </c:pt>
                <c:pt idx="1657">
                  <c:v>19320</c:v>
                </c:pt>
                <c:pt idx="1658">
                  <c:v>19220</c:v>
                </c:pt>
                <c:pt idx="1659">
                  <c:v>18720</c:v>
                </c:pt>
                <c:pt idx="1660">
                  <c:v>18520</c:v>
                </c:pt>
                <c:pt idx="1661">
                  <c:v>18460</c:v>
                </c:pt>
                <c:pt idx="1662">
                  <c:v>18340</c:v>
                </c:pt>
                <c:pt idx="1663">
                  <c:v>18240</c:v>
                </c:pt>
                <c:pt idx="1664">
                  <c:v>18160</c:v>
                </c:pt>
                <c:pt idx="1665">
                  <c:v>18080</c:v>
                </c:pt>
                <c:pt idx="1666">
                  <c:v>18040</c:v>
                </c:pt>
                <c:pt idx="1667">
                  <c:v>18000</c:v>
                </c:pt>
                <c:pt idx="1668">
                  <c:v>17960</c:v>
                </c:pt>
                <c:pt idx="1669">
                  <c:v>17860</c:v>
                </c:pt>
                <c:pt idx="1670">
                  <c:v>17660</c:v>
                </c:pt>
                <c:pt idx="1671">
                  <c:v>17620</c:v>
                </c:pt>
                <c:pt idx="1672">
                  <c:v>17560</c:v>
                </c:pt>
                <c:pt idx="1673">
                  <c:v>17540</c:v>
                </c:pt>
                <c:pt idx="1674">
                  <c:v>17500</c:v>
                </c:pt>
                <c:pt idx="1675">
                  <c:v>17460</c:v>
                </c:pt>
                <c:pt idx="1676">
                  <c:v>17380</c:v>
                </c:pt>
                <c:pt idx="1677">
                  <c:v>17340</c:v>
                </c:pt>
                <c:pt idx="1678">
                  <c:v>17300</c:v>
                </c:pt>
                <c:pt idx="1679">
                  <c:v>17080</c:v>
                </c:pt>
                <c:pt idx="1680">
                  <c:v>17020</c:v>
                </c:pt>
                <c:pt idx="1681">
                  <c:v>16920</c:v>
                </c:pt>
                <c:pt idx="1682">
                  <c:v>16880</c:v>
                </c:pt>
                <c:pt idx="1683">
                  <c:v>16820</c:v>
                </c:pt>
                <c:pt idx="1684">
                  <c:v>16720</c:v>
                </c:pt>
                <c:pt idx="1685">
                  <c:v>16620</c:v>
                </c:pt>
                <c:pt idx="1686">
                  <c:v>16540</c:v>
                </c:pt>
                <c:pt idx="1687">
                  <c:v>16440</c:v>
                </c:pt>
                <c:pt idx="1688">
                  <c:v>16380</c:v>
                </c:pt>
                <c:pt idx="1689">
                  <c:v>16280</c:v>
                </c:pt>
                <c:pt idx="1690">
                  <c:v>16160</c:v>
                </c:pt>
                <c:pt idx="1691">
                  <c:v>16100</c:v>
                </c:pt>
                <c:pt idx="1692">
                  <c:v>16000</c:v>
                </c:pt>
                <c:pt idx="1693">
                  <c:v>15800</c:v>
                </c:pt>
                <c:pt idx="1694">
                  <c:v>15360</c:v>
                </c:pt>
                <c:pt idx="1695">
                  <c:v>15260</c:v>
                </c:pt>
                <c:pt idx="1696">
                  <c:v>15160</c:v>
                </c:pt>
                <c:pt idx="1697">
                  <c:v>15140</c:v>
                </c:pt>
                <c:pt idx="1698">
                  <c:v>14940</c:v>
                </c:pt>
                <c:pt idx="1699">
                  <c:v>14920</c:v>
                </c:pt>
                <c:pt idx="1700">
                  <c:v>14860</c:v>
                </c:pt>
                <c:pt idx="1701">
                  <c:v>14760</c:v>
                </c:pt>
                <c:pt idx="1702">
                  <c:v>14660</c:v>
                </c:pt>
                <c:pt idx="1703">
                  <c:v>14560</c:v>
                </c:pt>
                <c:pt idx="1704">
                  <c:v>14440</c:v>
                </c:pt>
                <c:pt idx="1705">
                  <c:v>14360</c:v>
                </c:pt>
                <c:pt idx="1706">
                  <c:v>14280</c:v>
                </c:pt>
                <c:pt idx="1707">
                  <c:v>14220</c:v>
                </c:pt>
                <c:pt idx="1708">
                  <c:v>14020</c:v>
                </c:pt>
                <c:pt idx="1709">
                  <c:v>13960</c:v>
                </c:pt>
                <c:pt idx="1710">
                  <c:v>13940</c:v>
                </c:pt>
                <c:pt idx="1711">
                  <c:v>13840</c:v>
                </c:pt>
                <c:pt idx="1712">
                  <c:v>13740</c:v>
                </c:pt>
                <c:pt idx="1713">
                  <c:v>13660</c:v>
                </c:pt>
                <c:pt idx="1714">
                  <c:v>13600</c:v>
                </c:pt>
                <c:pt idx="1715">
                  <c:v>13540</c:v>
                </c:pt>
                <c:pt idx="1716">
                  <c:v>13420</c:v>
                </c:pt>
                <c:pt idx="1717">
                  <c:v>13280</c:v>
                </c:pt>
                <c:pt idx="1718">
                  <c:v>13260</c:v>
                </c:pt>
                <c:pt idx="1719">
                  <c:v>13060</c:v>
                </c:pt>
                <c:pt idx="1720">
                  <c:v>12960</c:v>
                </c:pt>
                <c:pt idx="1721">
                  <c:v>12920</c:v>
                </c:pt>
                <c:pt idx="1722">
                  <c:v>12880</c:v>
                </c:pt>
                <c:pt idx="1723">
                  <c:v>12480</c:v>
                </c:pt>
                <c:pt idx="1724">
                  <c:v>12460</c:v>
                </c:pt>
                <c:pt idx="1725">
                  <c:v>12420</c:v>
                </c:pt>
                <c:pt idx="1726">
                  <c:v>12320</c:v>
                </c:pt>
                <c:pt idx="1727">
                  <c:v>12120</c:v>
                </c:pt>
                <c:pt idx="1728">
                  <c:v>12040</c:v>
                </c:pt>
                <c:pt idx="1729">
                  <c:v>11940</c:v>
                </c:pt>
                <c:pt idx="1730">
                  <c:v>11740</c:v>
                </c:pt>
                <c:pt idx="1731">
                  <c:v>11640</c:v>
                </c:pt>
                <c:pt idx="1732">
                  <c:v>11140</c:v>
                </c:pt>
                <c:pt idx="1733">
                  <c:v>11040</c:v>
                </c:pt>
                <c:pt idx="1734">
                  <c:v>10840</c:v>
                </c:pt>
                <c:pt idx="1735">
                  <c:v>10640</c:v>
                </c:pt>
                <c:pt idx="1736">
                  <c:v>10540</c:v>
                </c:pt>
                <c:pt idx="1737">
                  <c:v>10480</c:v>
                </c:pt>
                <c:pt idx="1738">
                  <c:v>10380</c:v>
                </c:pt>
                <c:pt idx="1739">
                  <c:v>10340</c:v>
                </c:pt>
                <c:pt idx="1740">
                  <c:v>10240</c:v>
                </c:pt>
                <c:pt idx="1741">
                  <c:v>10140</c:v>
                </c:pt>
                <c:pt idx="1742">
                  <c:v>10080</c:v>
                </c:pt>
                <c:pt idx="1743">
                  <c:v>9900</c:v>
                </c:pt>
                <c:pt idx="1744">
                  <c:v>9880</c:v>
                </c:pt>
                <c:pt idx="1745">
                  <c:v>9820</c:v>
                </c:pt>
                <c:pt idx="1746">
                  <c:v>9700</c:v>
                </c:pt>
                <c:pt idx="1747">
                  <c:v>9640</c:v>
                </c:pt>
                <c:pt idx="1748">
                  <c:v>9540</c:v>
                </c:pt>
                <c:pt idx="1749">
                  <c:v>9480</c:v>
                </c:pt>
                <c:pt idx="1750">
                  <c:v>9340</c:v>
                </c:pt>
                <c:pt idx="1751">
                  <c:v>9320</c:v>
                </c:pt>
                <c:pt idx="1752">
                  <c:v>9280</c:v>
                </c:pt>
                <c:pt idx="1753">
                  <c:v>9180</c:v>
                </c:pt>
                <c:pt idx="1754">
                  <c:v>9080</c:v>
                </c:pt>
                <c:pt idx="1755">
                  <c:v>9020</c:v>
                </c:pt>
                <c:pt idx="1756">
                  <c:v>8980</c:v>
                </c:pt>
                <c:pt idx="1757">
                  <c:v>8940</c:v>
                </c:pt>
                <c:pt idx="1758">
                  <c:v>8840</c:v>
                </c:pt>
                <c:pt idx="1759">
                  <c:v>8740</c:v>
                </c:pt>
                <c:pt idx="1760">
                  <c:v>8600</c:v>
                </c:pt>
                <c:pt idx="1761">
                  <c:v>8100</c:v>
                </c:pt>
                <c:pt idx="1762">
                  <c:v>8080</c:v>
                </c:pt>
                <c:pt idx="1763">
                  <c:v>7980</c:v>
                </c:pt>
                <c:pt idx="1764">
                  <c:v>7780</c:v>
                </c:pt>
                <c:pt idx="1765">
                  <c:v>7740</c:v>
                </c:pt>
                <c:pt idx="1766">
                  <c:v>7540</c:v>
                </c:pt>
                <c:pt idx="1767">
                  <c:v>7520</c:v>
                </c:pt>
                <c:pt idx="1768">
                  <c:v>7480</c:v>
                </c:pt>
                <c:pt idx="1769">
                  <c:v>7320</c:v>
                </c:pt>
                <c:pt idx="1770">
                  <c:v>7280</c:v>
                </c:pt>
                <c:pt idx="1771">
                  <c:v>7260</c:v>
                </c:pt>
                <c:pt idx="1772">
                  <c:v>7240</c:v>
                </c:pt>
                <c:pt idx="1773">
                  <c:v>6740</c:v>
                </c:pt>
                <c:pt idx="1774">
                  <c:v>6660</c:v>
                </c:pt>
                <c:pt idx="1775">
                  <c:v>6540</c:v>
                </c:pt>
                <c:pt idx="1776">
                  <c:v>6520</c:v>
                </c:pt>
                <c:pt idx="1777">
                  <c:v>6420</c:v>
                </c:pt>
                <c:pt idx="1778">
                  <c:v>6320</c:v>
                </c:pt>
                <c:pt idx="1779">
                  <c:v>6260</c:v>
                </c:pt>
                <c:pt idx="1780">
                  <c:v>6240</c:v>
                </c:pt>
                <c:pt idx="1781">
                  <c:v>6140</c:v>
                </c:pt>
                <c:pt idx="1782">
                  <c:v>5740</c:v>
                </c:pt>
                <c:pt idx="1783">
                  <c:v>5640</c:v>
                </c:pt>
                <c:pt idx="1784">
                  <c:v>5620</c:v>
                </c:pt>
                <c:pt idx="1785">
                  <c:v>5580</c:v>
                </c:pt>
                <c:pt idx="1786">
                  <c:v>5540</c:v>
                </c:pt>
                <c:pt idx="1787">
                  <c:v>5340</c:v>
                </c:pt>
                <c:pt idx="1788">
                  <c:v>5280</c:v>
                </c:pt>
                <c:pt idx="1789">
                  <c:v>5200</c:v>
                </c:pt>
                <c:pt idx="1790">
                  <c:v>5160</c:v>
                </c:pt>
                <c:pt idx="1791">
                  <c:v>5120</c:v>
                </c:pt>
                <c:pt idx="1792">
                  <c:v>5080</c:v>
                </c:pt>
                <c:pt idx="1793">
                  <c:v>4980</c:v>
                </c:pt>
                <c:pt idx="1794">
                  <c:v>4880</c:v>
                </c:pt>
                <c:pt idx="1795">
                  <c:v>4780</c:v>
                </c:pt>
                <c:pt idx="1796">
                  <c:v>4740</c:v>
                </c:pt>
                <c:pt idx="1797">
                  <c:v>4640</c:v>
                </c:pt>
                <c:pt idx="1798">
                  <c:v>4620</c:v>
                </c:pt>
                <c:pt idx="1799">
                  <c:v>4520</c:v>
                </c:pt>
                <c:pt idx="1800">
                  <c:v>4440</c:v>
                </c:pt>
                <c:pt idx="1801">
                  <c:v>4340</c:v>
                </c:pt>
                <c:pt idx="1802">
                  <c:v>4300</c:v>
                </c:pt>
                <c:pt idx="1803">
                  <c:v>4280</c:v>
                </c:pt>
                <c:pt idx="1804">
                  <c:v>4100</c:v>
                </c:pt>
                <c:pt idx="1805">
                  <c:v>3900</c:v>
                </c:pt>
                <c:pt idx="1806">
                  <c:v>3860</c:v>
                </c:pt>
                <c:pt idx="1807">
                  <c:v>3720</c:v>
                </c:pt>
                <c:pt idx="1808">
                  <c:v>3640</c:v>
                </c:pt>
                <c:pt idx="1809">
                  <c:v>3540</c:v>
                </c:pt>
                <c:pt idx="1810">
                  <c:v>3440</c:v>
                </c:pt>
                <c:pt idx="1811">
                  <c:v>3340</c:v>
                </c:pt>
                <c:pt idx="1812">
                  <c:v>3300</c:v>
                </c:pt>
                <c:pt idx="1813">
                  <c:v>3280</c:v>
                </c:pt>
                <c:pt idx="1814">
                  <c:v>3260</c:v>
                </c:pt>
                <c:pt idx="1815">
                  <c:v>3200</c:v>
                </c:pt>
                <c:pt idx="1816">
                  <c:v>3100</c:v>
                </c:pt>
                <c:pt idx="1817">
                  <c:v>3000</c:v>
                </c:pt>
                <c:pt idx="1818">
                  <c:v>2900</c:v>
                </c:pt>
                <c:pt idx="1819">
                  <c:v>2700</c:v>
                </c:pt>
                <c:pt idx="1820">
                  <c:v>2600</c:v>
                </c:pt>
                <c:pt idx="1821">
                  <c:v>2500</c:v>
                </c:pt>
                <c:pt idx="1822">
                  <c:v>2400</c:v>
                </c:pt>
                <c:pt idx="1823">
                  <c:v>2340</c:v>
                </c:pt>
                <c:pt idx="1824">
                  <c:v>2260</c:v>
                </c:pt>
                <c:pt idx="1825">
                  <c:v>2160</c:v>
                </c:pt>
                <c:pt idx="1826">
                  <c:v>2100</c:v>
                </c:pt>
                <c:pt idx="1827">
                  <c:v>2040</c:v>
                </c:pt>
                <c:pt idx="1828">
                  <c:v>2000</c:v>
                </c:pt>
                <c:pt idx="1829">
                  <c:v>1940</c:v>
                </c:pt>
                <c:pt idx="1830">
                  <c:v>1880</c:v>
                </c:pt>
                <c:pt idx="1831">
                  <c:v>11000</c:v>
                </c:pt>
                <c:pt idx="1832">
                  <c:v>10900</c:v>
                </c:pt>
                <c:pt idx="1833">
                  <c:v>10860</c:v>
                </c:pt>
                <c:pt idx="1834">
                  <c:v>10760</c:v>
                </c:pt>
                <c:pt idx="1835">
                  <c:v>10260</c:v>
                </c:pt>
                <c:pt idx="1836">
                  <c:v>10240</c:v>
                </c:pt>
                <c:pt idx="1837">
                  <c:v>10160</c:v>
                </c:pt>
                <c:pt idx="1838">
                  <c:v>9960</c:v>
                </c:pt>
                <c:pt idx="1839">
                  <c:v>9900</c:v>
                </c:pt>
                <c:pt idx="1840">
                  <c:v>9880</c:v>
                </c:pt>
                <c:pt idx="1841">
                  <c:v>9820</c:v>
                </c:pt>
                <c:pt idx="1842">
                  <c:v>9620</c:v>
                </c:pt>
                <c:pt idx="1843">
                  <c:v>9580</c:v>
                </c:pt>
                <c:pt idx="1844">
                  <c:v>9460</c:v>
                </c:pt>
                <c:pt idx="1845">
                  <c:v>9360</c:v>
                </c:pt>
                <c:pt idx="1846">
                  <c:v>9320</c:v>
                </c:pt>
                <c:pt idx="1847">
                  <c:v>9280</c:v>
                </c:pt>
                <c:pt idx="1848">
                  <c:v>9260</c:v>
                </c:pt>
                <c:pt idx="1849">
                  <c:v>9240</c:v>
                </c:pt>
                <c:pt idx="1850">
                  <c:v>9160</c:v>
                </c:pt>
                <c:pt idx="1851">
                  <c:v>9140</c:v>
                </c:pt>
                <c:pt idx="1852">
                  <c:v>9040</c:v>
                </c:pt>
                <c:pt idx="1853">
                  <c:v>8940</c:v>
                </c:pt>
                <c:pt idx="1854">
                  <c:v>8920</c:v>
                </c:pt>
                <c:pt idx="1855">
                  <c:v>8740</c:v>
                </c:pt>
                <c:pt idx="1856">
                  <c:v>8340</c:v>
                </c:pt>
                <c:pt idx="1857">
                  <c:v>8300</c:v>
                </c:pt>
                <c:pt idx="1858">
                  <c:v>8100</c:v>
                </c:pt>
                <c:pt idx="1859">
                  <c:v>8000</c:v>
                </c:pt>
                <c:pt idx="1860">
                  <c:v>7900</c:v>
                </c:pt>
                <c:pt idx="1861">
                  <c:v>7780</c:v>
                </c:pt>
                <c:pt idx="1862">
                  <c:v>7720</c:v>
                </c:pt>
                <c:pt idx="1863">
                  <c:v>7620</c:v>
                </c:pt>
                <c:pt idx="1864">
                  <c:v>7520</c:v>
                </c:pt>
                <c:pt idx="1865">
                  <c:v>7420</c:v>
                </c:pt>
                <c:pt idx="1866">
                  <c:v>7340</c:v>
                </c:pt>
                <c:pt idx="1867">
                  <c:v>7200</c:v>
                </c:pt>
                <c:pt idx="1868">
                  <c:v>7120</c:v>
                </c:pt>
                <c:pt idx="1869">
                  <c:v>7020</c:v>
                </c:pt>
                <c:pt idx="1870">
                  <c:v>6920</c:v>
                </c:pt>
                <c:pt idx="1871">
                  <c:v>6820</c:v>
                </c:pt>
                <c:pt idx="1872">
                  <c:v>6780</c:v>
                </c:pt>
                <c:pt idx="1873">
                  <c:v>6660</c:v>
                </c:pt>
                <c:pt idx="1874">
                  <c:v>6560</c:v>
                </c:pt>
                <c:pt idx="1875">
                  <c:v>6500</c:v>
                </c:pt>
                <c:pt idx="1876">
                  <c:v>6480</c:v>
                </c:pt>
                <c:pt idx="1877">
                  <c:v>6380</c:v>
                </c:pt>
                <c:pt idx="1878">
                  <c:v>6340</c:v>
                </c:pt>
                <c:pt idx="1879">
                  <c:v>6240</c:v>
                </c:pt>
                <c:pt idx="1880">
                  <c:v>6140</c:v>
                </c:pt>
                <c:pt idx="1881">
                  <c:v>6040</c:v>
                </c:pt>
                <c:pt idx="1882">
                  <c:v>5980</c:v>
                </c:pt>
                <c:pt idx="1883">
                  <c:v>5940</c:v>
                </c:pt>
                <c:pt idx="1884">
                  <c:v>5740</c:v>
                </c:pt>
                <c:pt idx="1885">
                  <c:v>5700</c:v>
                </c:pt>
                <c:pt idx="1886">
                  <c:v>5660</c:v>
                </c:pt>
                <c:pt idx="1887">
                  <c:v>5520</c:v>
                </c:pt>
                <c:pt idx="1888">
                  <c:v>5480</c:v>
                </c:pt>
                <c:pt idx="1889">
                  <c:v>5460</c:v>
                </c:pt>
                <c:pt idx="1890">
                  <c:v>5360</c:v>
                </c:pt>
                <c:pt idx="1891">
                  <c:v>5260</c:v>
                </c:pt>
                <c:pt idx="1892">
                  <c:v>5240</c:v>
                </c:pt>
                <c:pt idx="1893">
                  <c:v>5200</c:v>
                </c:pt>
                <c:pt idx="1894">
                  <c:v>5100</c:v>
                </c:pt>
                <c:pt idx="1895">
                  <c:v>5000</c:v>
                </c:pt>
                <c:pt idx="1896">
                  <c:v>4900</c:v>
                </c:pt>
                <c:pt idx="1897">
                  <c:v>4860</c:v>
                </c:pt>
                <c:pt idx="1898">
                  <c:v>4760</c:v>
                </c:pt>
                <c:pt idx="1899">
                  <c:v>4680</c:v>
                </c:pt>
                <c:pt idx="1900">
                  <c:v>4580</c:v>
                </c:pt>
                <c:pt idx="1901">
                  <c:v>4380</c:v>
                </c:pt>
                <c:pt idx="1902">
                  <c:v>4340</c:v>
                </c:pt>
                <c:pt idx="1903">
                  <c:v>4300</c:v>
                </c:pt>
                <c:pt idx="1904">
                  <c:v>4260</c:v>
                </c:pt>
                <c:pt idx="1905">
                  <c:v>4160</c:v>
                </c:pt>
                <c:pt idx="1906">
                  <c:v>4040</c:v>
                </c:pt>
                <c:pt idx="1907">
                  <c:v>4000</c:v>
                </c:pt>
                <c:pt idx="1908">
                  <c:v>3960</c:v>
                </c:pt>
                <c:pt idx="1909">
                  <c:v>3460</c:v>
                </c:pt>
                <c:pt idx="1910">
                  <c:v>3400</c:v>
                </c:pt>
                <c:pt idx="1911">
                  <c:v>3300</c:v>
                </c:pt>
                <c:pt idx="1912">
                  <c:v>3240</c:v>
                </c:pt>
                <c:pt idx="1913">
                  <c:v>3040</c:v>
                </c:pt>
                <c:pt idx="1914">
                  <c:v>2940</c:v>
                </c:pt>
                <c:pt idx="1915">
                  <c:v>2740</c:v>
                </c:pt>
                <c:pt idx="1916">
                  <c:v>2720</c:v>
                </c:pt>
                <c:pt idx="1917">
                  <c:v>2680</c:v>
                </c:pt>
                <c:pt idx="1918">
                  <c:v>2540</c:v>
                </c:pt>
                <c:pt idx="1919">
                  <c:v>2500</c:v>
                </c:pt>
                <c:pt idx="1920">
                  <c:v>2440</c:v>
                </c:pt>
                <c:pt idx="1921">
                  <c:v>2380</c:v>
                </c:pt>
                <c:pt idx="1922">
                  <c:v>2280</c:v>
                </c:pt>
                <c:pt idx="1923">
                  <c:v>2180</c:v>
                </c:pt>
                <c:pt idx="1924">
                  <c:v>2080</c:v>
                </c:pt>
                <c:pt idx="1925">
                  <c:v>2020</c:v>
                </c:pt>
                <c:pt idx="1926">
                  <c:v>1920</c:v>
                </c:pt>
                <c:pt idx="1927">
                  <c:v>1840</c:v>
                </c:pt>
                <c:pt idx="1928">
                  <c:v>1800</c:v>
                </c:pt>
                <c:pt idx="1929">
                  <c:v>1600</c:v>
                </c:pt>
                <c:pt idx="1930">
                  <c:v>1400</c:v>
                </c:pt>
                <c:pt idx="1931">
                  <c:v>1340</c:v>
                </c:pt>
                <c:pt idx="1932">
                  <c:v>20000</c:v>
                </c:pt>
                <c:pt idx="1933">
                  <c:v>19940</c:v>
                </c:pt>
                <c:pt idx="1934">
                  <c:v>19800</c:v>
                </c:pt>
                <c:pt idx="1935">
                  <c:v>19600</c:v>
                </c:pt>
                <c:pt idx="1936">
                  <c:v>19560</c:v>
                </c:pt>
                <c:pt idx="1937">
                  <c:v>19500</c:v>
                </c:pt>
                <c:pt idx="1938">
                  <c:v>19400</c:v>
                </c:pt>
                <c:pt idx="1939">
                  <c:v>19200</c:v>
                </c:pt>
                <c:pt idx="1940">
                  <c:v>19000</c:v>
                </c:pt>
                <c:pt idx="1941">
                  <c:v>18940</c:v>
                </c:pt>
                <c:pt idx="1942">
                  <c:v>18900</c:v>
                </c:pt>
                <c:pt idx="1943">
                  <c:v>18860</c:v>
                </c:pt>
                <c:pt idx="1944">
                  <c:v>18840</c:v>
                </c:pt>
                <c:pt idx="1945">
                  <c:v>18740</c:v>
                </c:pt>
                <c:pt idx="1946">
                  <c:v>18680</c:v>
                </c:pt>
                <c:pt idx="1947">
                  <c:v>18480</c:v>
                </c:pt>
                <c:pt idx="1948">
                  <c:v>18300</c:v>
                </c:pt>
                <c:pt idx="1949">
                  <c:v>18100</c:v>
                </c:pt>
                <c:pt idx="1950">
                  <c:v>18000</c:v>
                </c:pt>
                <c:pt idx="1951">
                  <c:v>17900</c:v>
                </c:pt>
                <c:pt idx="1952">
                  <c:v>17800</c:v>
                </c:pt>
                <c:pt idx="1953">
                  <c:v>17680</c:v>
                </c:pt>
                <c:pt idx="1954">
                  <c:v>17580</c:v>
                </c:pt>
                <c:pt idx="1955">
                  <c:v>17380</c:v>
                </c:pt>
                <c:pt idx="1956">
                  <c:v>17300</c:v>
                </c:pt>
                <c:pt idx="1957">
                  <c:v>17240</c:v>
                </c:pt>
                <c:pt idx="1958">
                  <c:v>17140</c:v>
                </c:pt>
                <c:pt idx="1959">
                  <c:v>17060</c:v>
                </c:pt>
                <c:pt idx="1960">
                  <c:v>16960</c:v>
                </c:pt>
                <c:pt idx="1961">
                  <c:v>16860</c:v>
                </c:pt>
                <c:pt idx="1962">
                  <c:v>16740</c:v>
                </c:pt>
                <c:pt idx="1963">
                  <c:v>16540</c:v>
                </c:pt>
                <c:pt idx="1964">
                  <c:v>16500</c:v>
                </c:pt>
                <c:pt idx="1965">
                  <c:v>16200</c:v>
                </c:pt>
                <c:pt idx="1966">
                  <c:v>16100</c:v>
                </c:pt>
                <c:pt idx="1967">
                  <c:v>16040</c:v>
                </c:pt>
                <c:pt idx="1968">
                  <c:v>15840</c:v>
                </c:pt>
                <c:pt idx="1969">
                  <c:v>15740</c:v>
                </c:pt>
                <c:pt idx="1970">
                  <c:v>15640</c:v>
                </c:pt>
                <c:pt idx="1971">
                  <c:v>15540</c:v>
                </c:pt>
                <c:pt idx="1972">
                  <c:v>15500</c:v>
                </c:pt>
                <c:pt idx="1973">
                  <c:v>15460</c:v>
                </c:pt>
                <c:pt idx="1974">
                  <c:v>15420</c:v>
                </c:pt>
                <c:pt idx="1975">
                  <c:v>15320</c:v>
                </c:pt>
                <c:pt idx="1976">
                  <c:v>15300</c:v>
                </c:pt>
                <c:pt idx="1977">
                  <c:v>15220</c:v>
                </c:pt>
                <c:pt idx="1978">
                  <c:v>15200</c:v>
                </c:pt>
                <c:pt idx="1979">
                  <c:v>15180</c:v>
                </c:pt>
                <c:pt idx="1980">
                  <c:v>15160</c:v>
                </c:pt>
                <c:pt idx="1981">
                  <c:v>15140</c:v>
                </c:pt>
                <c:pt idx="1982">
                  <c:v>15040</c:v>
                </c:pt>
                <c:pt idx="1983">
                  <c:v>14940</c:v>
                </c:pt>
                <c:pt idx="1984">
                  <c:v>14880</c:v>
                </c:pt>
                <c:pt idx="1985">
                  <c:v>14860</c:v>
                </c:pt>
                <c:pt idx="1986">
                  <c:v>14760</c:v>
                </c:pt>
                <c:pt idx="1987">
                  <c:v>14680</c:v>
                </c:pt>
                <c:pt idx="1988">
                  <c:v>14580</c:v>
                </c:pt>
                <c:pt idx="1989">
                  <c:v>14480</c:v>
                </c:pt>
                <c:pt idx="1990">
                  <c:v>14420</c:v>
                </c:pt>
                <c:pt idx="1991">
                  <c:v>14400</c:v>
                </c:pt>
                <c:pt idx="1992">
                  <c:v>14380</c:v>
                </c:pt>
                <c:pt idx="1993">
                  <c:v>14280</c:v>
                </c:pt>
                <c:pt idx="1994">
                  <c:v>14240</c:v>
                </c:pt>
                <c:pt idx="1995">
                  <c:v>14200</c:v>
                </c:pt>
                <c:pt idx="1996">
                  <c:v>13700</c:v>
                </c:pt>
                <c:pt idx="1997">
                  <c:v>13600</c:v>
                </c:pt>
                <c:pt idx="1998">
                  <c:v>13580</c:v>
                </c:pt>
                <c:pt idx="1999">
                  <c:v>13520</c:v>
                </c:pt>
                <c:pt idx="2000">
                  <c:v>13480</c:v>
                </c:pt>
                <c:pt idx="2001">
                  <c:v>13420</c:v>
                </c:pt>
                <c:pt idx="2002">
                  <c:v>13380</c:v>
                </c:pt>
                <c:pt idx="2003">
                  <c:v>13280</c:v>
                </c:pt>
                <c:pt idx="2004">
                  <c:v>13240</c:v>
                </c:pt>
                <c:pt idx="2005">
                  <c:v>13140</c:v>
                </c:pt>
                <c:pt idx="2006">
                  <c:v>13080</c:v>
                </c:pt>
                <c:pt idx="2007">
                  <c:v>13040</c:v>
                </c:pt>
                <c:pt idx="2008">
                  <c:v>12940</c:v>
                </c:pt>
                <c:pt idx="2009">
                  <c:v>12840</c:v>
                </c:pt>
                <c:pt idx="2010">
                  <c:v>12760</c:v>
                </c:pt>
                <c:pt idx="2011">
                  <c:v>12720</c:v>
                </c:pt>
                <c:pt idx="2012">
                  <c:v>12220</c:v>
                </c:pt>
                <c:pt idx="2013">
                  <c:v>12180</c:v>
                </c:pt>
                <c:pt idx="2014">
                  <c:v>12080</c:v>
                </c:pt>
                <c:pt idx="2015">
                  <c:v>12040</c:v>
                </c:pt>
                <c:pt idx="2016">
                  <c:v>11940</c:v>
                </c:pt>
                <c:pt idx="2017">
                  <c:v>11840</c:v>
                </c:pt>
                <c:pt idx="2018">
                  <c:v>11800</c:v>
                </c:pt>
                <c:pt idx="2019">
                  <c:v>11700</c:v>
                </c:pt>
                <c:pt idx="2020">
                  <c:v>11600</c:v>
                </c:pt>
                <c:pt idx="2021">
                  <c:v>11560</c:v>
                </c:pt>
                <c:pt idx="2022">
                  <c:v>11520</c:v>
                </c:pt>
                <c:pt idx="2023">
                  <c:v>11420</c:v>
                </c:pt>
                <c:pt idx="2024">
                  <c:v>11220</c:v>
                </c:pt>
                <c:pt idx="2025">
                  <c:v>11180</c:v>
                </c:pt>
                <c:pt idx="2026">
                  <c:v>11040</c:v>
                </c:pt>
                <c:pt idx="2027">
                  <c:v>10980</c:v>
                </c:pt>
                <c:pt idx="2028">
                  <c:v>10920</c:v>
                </c:pt>
                <c:pt idx="2029">
                  <c:v>10820</c:v>
                </c:pt>
                <c:pt idx="2030">
                  <c:v>10760</c:v>
                </c:pt>
                <c:pt idx="2031">
                  <c:v>10260</c:v>
                </c:pt>
                <c:pt idx="2032">
                  <c:v>10160</c:v>
                </c:pt>
                <c:pt idx="2033">
                  <c:v>10040</c:v>
                </c:pt>
                <c:pt idx="2034">
                  <c:v>9940</c:v>
                </c:pt>
                <c:pt idx="2035">
                  <c:v>9860</c:v>
                </c:pt>
                <c:pt idx="2036">
                  <c:v>9820</c:v>
                </c:pt>
                <c:pt idx="2037">
                  <c:v>9740</c:v>
                </c:pt>
                <c:pt idx="2038">
                  <c:v>9600</c:v>
                </c:pt>
                <c:pt idx="2039">
                  <c:v>9520</c:v>
                </c:pt>
                <c:pt idx="2040">
                  <c:v>9420</c:v>
                </c:pt>
                <c:pt idx="2041">
                  <c:v>9400</c:v>
                </c:pt>
                <c:pt idx="2042">
                  <c:v>9380</c:v>
                </c:pt>
                <c:pt idx="2043">
                  <c:v>9340</c:v>
                </c:pt>
                <c:pt idx="2044">
                  <c:v>9260</c:v>
                </c:pt>
                <c:pt idx="2045">
                  <c:v>9160</c:v>
                </c:pt>
                <c:pt idx="2046">
                  <c:v>9060</c:v>
                </c:pt>
                <c:pt idx="2047">
                  <c:v>8560</c:v>
                </c:pt>
                <c:pt idx="2048">
                  <c:v>8360</c:v>
                </c:pt>
                <c:pt idx="2049">
                  <c:v>8320</c:v>
                </c:pt>
                <c:pt idx="2050">
                  <c:v>8280</c:v>
                </c:pt>
                <c:pt idx="2051">
                  <c:v>7920</c:v>
                </c:pt>
                <c:pt idx="2052">
                  <c:v>7880</c:v>
                </c:pt>
                <c:pt idx="2053">
                  <c:v>7800</c:v>
                </c:pt>
                <c:pt idx="2054">
                  <c:v>7760</c:v>
                </c:pt>
                <c:pt idx="2055">
                  <c:v>7660</c:v>
                </c:pt>
                <c:pt idx="2056">
                  <c:v>7460</c:v>
                </c:pt>
                <c:pt idx="2057">
                  <c:v>7360</c:v>
                </c:pt>
                <c:pt idx="2058">
                  <c:v>7320</c:v>
                </c:pt>
                <c:pt idx="2059">
                  <c:v>7280</c:v>
                </c:pt>
                <c:pt idx="2060">
                  <c:v>7260</c:v>
                </c:pt>
                <c:pt idx="2061">
                  <c:v>7220</c:v>
                </c:pt>
                <c:pt idx="2062">
                  <c:v>7180</c:v>
                </c:pt>
                <c:pt idx="2063">
                  <c:v>7080</c:v>
                </c:pt>
                <c:pt idx="2064">
                  <c:v>7000</c:v>
                </c:pt>
                <c:pt idx="2065">
                  <c:v>6900</c:v>
                </c:pt>
                <c:pt idx="2066">
                  <c:v>6800</c:v>
                </c:pt>
                <c:pt idx="2067">
                  <c:v>6780</c:v>
                </c:pt>
                <c:pt idx="2068">
                  <c:v>6720</c:v>
                </c:pt>
                <c:pt idx="2069">
                  <c:v>6700</c:v>
                </c:pt>
                <c:pt idx="2070">
                  <c:v>6200</c:v>
                </c:pt>
                <c:pt idx="2071">
                  <c:v>6140</c:v>
                </c:pt>
                <c:pt idx="2072">
                  <c:v>6040</c:v>
                </c:pt>
                <c:pt idx="2073">
                  <c:v>5940</c:v>
                </c:pt>
                <c:pt idx="2074">
                  <c:v>5440</c:v>
                </c:pt>
                <c:pt idx="2075">
                  <c:v>5400</c:v>
                </c:pt>
                <c:pt idx="2076">
                  <c:v>5300</c:v>
                </c:pt>
                <c:pt idx="2077">
                  <c:v>5240</c:v>
                </c:pt>
                <c:pt idx="2078">
                  <c:v>5140</c:v>
                </c:pt>
                <c:pt idx="2079">
                  <c:v>5040</c:v>
                </c:pt>
                <c:pt idx="2080">
                  <c:v>4920</c:v>
                </c:pt>
                <c:pt idx="2081">
                  <c:v>4820</c:v>
                </c:pt>
                <c:pt idx="2082">
                  <c:v>4720</c:v>
                </c:pt>
                <c:pt idx="2083">
                  <c:v>4660</c:v>
                </c:pt>
                <c:pt idx="2084">
                  <c:v>4460</c:v>
                </c:pt>
                <c:pt idx="2085">
                  <c:v>4420</c:v>
                </c:pt>
                <c:pt idx="2086">
                  <c:v>4340</c:v>
                </c:pt>
                <c:pt idx="2087">
                  <c:v>4280</c:v>
                </c:pt>
                <c:pt idx="2088">
                  <c:v>4260</c:v>
                </c:pt>
                <c:pt idx="2089">
                  <c:v>4160</c:v>
                </c:pt>
                <c:pt idx="2090">
                  <c:v>4140</c:v>
                </c:pt>
                <c:pt idx="2091">
                  <c:v>4100</c:v>
                </c:pt>
                <c:pt idx="2092">
                  <c:v>3960</c:v>
                </c:pt>
                <c:pt idx="2093">
                  <c:v>3860</c:v>
                </c:pt>
                <c:pt idx="2094">
                  <c:v>3760</c:v>
                </c:pt>
                <c:pt idx="2095">
                  <c:v>3680</c:v>
                </c:pt>
                <c:pt idx="2096">
                  <c:v>3660</c:v>
                </c:pt>
                <c:pt idx="2097">
                  <c:v>3460</c:v>
                </c:pt>
                <c:pt idx="2098">
                  <c:v>3260</c:v>
                </c:pt>
                <c:pt idx="2099">
                  <c:v>3240</c:v>
                </c:pt>
                <c:pt idx="2100">
                  <c:v>3160</c:v>
                </c:pt>
                <c:pt idx="2101">
                  <c:v>3020</c:v>
                </c:pt>
                <c:pt idx="2102">
                  <c:v>2980</c:v>
                </c:pt>
                <c:pt idx="2103">
                  <c:v>2920</c:v>
                </c:pt>
                <c:pt idx="2104">
                  <c:v>11000</c:v>
                </c:pt>
                <c:pt idx="2105">
                  <c:v>10980</c:v>
                </c:pt>
                <c:pt idx="2106">
                  <c:v>10940</c:v>
                </c:pt>
                <c:pt idx="2107">
                  <c:v>10900</c:v>
                </c:pt>
                <c:pt idx="2108">
                  <c:v>10840</c:v>
                </c:pt>
                <c:pt idx="2109">
                  <c:v>10820</c:v>
                </c:pt>
                <c:pt idx="2110">
                  <c:v>10720</c:v>
                </c:pt>
                <c:pt idx="2111">
                  <c:v>10620</c:v>
                </c:pt>
                <c:pt idx="2112">
                  <c:v>10420</c:v>
                </c:pt>
                <c:pt idx="2113">
                  <c:v>10320</c:v>
                </c:pt>
                <c:pt idx="2114">
                  <c:v>10140</c:v>
                </c:pt>
                <c:pt idx="2115">
                  <c:v>10040</c:v>
                </c:pt>
                <c:pt idx="2116">
                  <c:v>10020</c:v>
                </c:pt>
                <c:pt idx="2117">
                  <c:v>9720</c:v>
                </c:pt>
                <c:pt idx="2118">
                  <c:v>9680</c:v>
                </c:pt>
                <c:pt idx="2119">
                  <c:v>9580</c:v>
                </c:pt>
                <c:pt idx="2120">
                  <c:v>9560</c:v>
                </c:pt>
                <c:pt idx="2121">
                  <c:v>9480</c:v>
                </c:pt>
                <c:pt idx="2122">
                  <c:v>9380</c:v>
                </c:pt>
                <c:pt idx="2123">
                  <c:v>9320</c:v>
                </c:pt>
                <c:pt idx="2124">
                  <c:v>8820</c:v>
                </c:pt>
                <c:pt idx="2125">
                  <c:v>8720</c:v>
                </c:pt>
                <c:pt idx="2126">
                  <c:v>8620</c:v>
                </c:pt>
                <c:pt idx="2127">
                  <c:v>8220</c:v>
                </c:pt>
                <c:pt idx="2128">
                  <c:v>8020</c:v>
                </c:pt>
                <c:pt idx="2129">
                  <c:v>7920</c:v>
                </c:pt>
                <c:pt idx="2130">
                  <c:v>7720</c:v>
                </c:pt>
                <c:pt idx="2131">
                  <c:v>7520</c:v>
                </c:pt>
                <c:pt idx="2132">
                  <c:v>7460</c:v>
                </c:pt>
                <c:pt idx="2133">
                  <c:v>7360</c:v>
                </c:pt>
                <c:pt idx="2134">
                  <c:v>7240</c:v>
                </c:pt>
                <c:pt idx="2135">
                  <c:v>7040</c:v>
                </c:pt>
                <c:pt idx="2136">
                  <c:v>7020</c:v>
                </c:pt>
                <c:pt idx="2137">
                  <c:v>6980</c:v>
                </c:pt>
                <c:pt idx="2138">
                  <c:v>6840</c:v>
                </c:pt>
                <c:pt idx="2139">
                  <c:v>6820</c:v>
                </c:pt>
                <c:pt idx="2140">
                  <c:v>6620</c:v>
                </c:pt>
                <c:pt idx="2141">
                  <c:v>6560</c:v>
                </c:pt>
                <c:pt idx="2142">
                  <c:v>6520</c:v>
                </c:pt>
                <c:pt idx="2143">
                  <c:v>6420</c:v>
                </c:pt>
                <c:pt idx="2144">
                  <c:v>6380</c:v>
                </c:pt>
                <c:pt idx="2145">
                  <c:v>6360</c:v>
                </c:pt>
                <c:pt idx="2146">
                  <c:v>6240</c:v>
                </c:pt>
                <c:pt idx="2147">
                  <c:v>6140</c:v>
                </c:pt>
                <c:pt idx="2148">
                  <c:v>6080</c:v>
                </c:pt>
                <c:pt idx="2149">
                  <c:v>5960</c:v>
                </c:pt>
                <c:pt idx="2150">
                  <c:v>5880</c:v>
                </c:pt>
                <c:pt idx="2151">
                  <c:v>5820</c:v>
                </c:pt>
                <c:pt idx="2152">
                  <c:v>5780</c:v>
                </c:pt>
                <c:pt idx="2153">
                  <c:v>5700</c:v>
                </c:pt>
                <c:pt idx="2154">
                  <c:v>5620</c:v>
                </c:pt>
                <c:pt idx="2155">
                  <c:v>5540</c:v>
                </c:pt>
                <c:pt idx="2156">
                  <c:v>5460</c:v>
                </c:pt>
                <c:pt idx="2157">
                  <c:v>5360</c:v>
                </c:pt>
                <c:pt idx="2158">
                  <c:v>5260</c:v>
                </c:pt>
                <c:pt idx="2159">
                  <c:v>5160</c:v>
                </c:pt>
                <c:pt idx="2160">
                  <c:v>5120</c:v>
                </c:pt>
                <c:pt idx="2161">
                  <c:v>5000</c:v>
                </c:pt>
                <c:pt idx="2162">
                  <c:v>4900</c:v>
                </c:pt>
                <c:pt idx="2163">
                  <c:v>4800</c:v>
                </c:pt>
                <c:pt idx="2164">
                  <c:v>4300</c:v>
                </c:pt>
                <c:pt idx="2165">
                  <c:v>4260</c:v>
                </c:pt>
                <c:pt idx="2166">
                  <c:v>4220</c:v>
                </c:pt>
                <c:pt idx="2167">
                  <c:v>4180</c:v>
                </c:pt>
                <c:pt idx="2168">
                  <c:v>4140</c:v>
                </c:pt>
                <c:pt idx="2169">
                  <c:v>3940</c:v>
                </c:pt>
                <c:pt idx="2170">
                  <c:v>3860</c:v>
                </c:pt>
                <c:pt idx="2171">
                  <c:v>3760</c:v>
                </c:pt>
                <c:pt idx="2172">
                  <c:v>3640</c:v>
                </c:pt>
                <c:pt idx="2173">
                  <c:v>3240</c:v>
                </c:pt>
                <c:pt idx="2174">
                  <c:v>3160</c:v>
                </c:pt>
                <c:pt idx="2175">
                  <c:v>3080</c:v>
                </c:pt>
                <c:pt idx="2176">
                  <c:v>3000</c:v>
                </c:pt>
                <c:pt idx="2177">
                  <c:v>2940</c:v>
                </c:pt>
                <c:pt idx="2178">
                  <c:v>2860</c:v>
                </c:pt>
                <c:pt idx="2179">
                  <c:v>2840</c:v>
                </c:pt>
                <c:pt idx="2180">
                  <c:v>2800</c:v>
                </c:pt>
                <c:pt idx="2181">
                  <c:v>2780</c:v>
                </c:pt>
                <c:pt idx="2182">
                  <c:v>2700</c:v>
                </c:pt>
                <c:pt idx="2183">
                  <c:v>2620</c:v>
                </c:pt>
                <c:pt idx="2184">
                  <c:v>2520</c:v>
                </c:pt>
                <c:pt idx="2185">
                  <c:v>2460</c:v>
                </c:pt>
                <c:pt idx="2186">
                  <c:v>2420</c:v>
                </c:pt>
                <c:pt idx="2187">
                  <c:v>2400</c:v>
                </c:pt>
                <c:pt idx="2188">
                  <c:v>2320</c:v>
                </c:pt>
                <c:pt idx="2189">
                  <c:v>2260</c:v>
                </c:pt>
                <c:pt idx="2190">
                  <c:v>2200</c:v>
                </c:pt>
                <c:pt idx="2191">
                  <c:v>2120</c:v>
                </c:pt>
                <c:pt idx="2192">
                  <c:v>2100</c:v>
                </c:pt>
                <c:pt idx="2193">
                  <c:v>2040</c:v>
                </c:pt>
                <c:pt idx="2194">
                  <c:v>1980</c:v>
                </c:pt>
                <c:pt idx="2195">
                  <c:v>1940</c:v>
                </c:pt>
                <c:pt idx="2196">
                  <c:v>1860</c:v>
                </c:pt>
                <c:pt idx="2197">
                  <c:v>1760</c:v>
                </c:pt>
                <c:pt idx="2198">
                  <c:v>1660</c:v>
                </c:pt>
                <c:pt idx="2199">
                  <c:v>1540</c:v>
                </c:pt>
                <c:pt idx="2200">
                  <c:v>1140</c:v>
                </c:pt>
                <c:pt idx="2201">
                  <c:v>1040</c:v>
                </c:pt>
                <c:pt idx="2202">
                  <c:v>1000</c:v>
                </c:pt>
                <c:pt idx="2203">
                  <c:v>920</c:v>
                </c:pt>
                <c:pt idx="2204">
                  <c:v>820</c:v>
                </c:pt>
                <c:pt idx="2205">
                  <c:v>780</c:v>
                </c:pt>
                <c:pt idx="2206">
                  <c:v>760</c:v>
                </c:pt>
                <c:pt idx="2207">
                  <c:v>660</c:v>
                </c:pt>
                <c:pt idx="2208">
                  <c:v>620</c:v>
                </c:pt>
                <c:pt idx="2209">
                  <c:v>580</c:v>
                </c:pt>
                <c:pt idx="2210">
                  <c:v>520</c:v>
                </c:pt>
                <c:pt idx="2211">
                  <c:v>480</c:v>
                </c:pt>
                <c:pt idx="2212">
                  <c:v>420</c:v>
                </c:pt>
                <c:pt idx="2213">
                  <c:v>380</c:v>
                </c:pt>
                <c:pt idx="2214">
                  <c:v>280</c:v>
                </c:pt>
                <c:pt idx="2215">
                  <c:v>260</c:v>
                </c:pt>
                <c:pt idx="2216">
                  <c:v>260</c:v>
                </c:pt>
                <c:pt idx="2217">
                  <c:v>160</c:v>
                </c:pt>
                <c:pt idx="2218">
                  <c:v>120</c:v>
                </c:pt>
                <c:pt idx="2219">
                  <c:v>20</c:v>
                </c:pt>
                <c:pt idx="2220">
                  <c:v>20000</c:v>
                </c:pt>
                <c:pt idx="2221">
                  <c:v>19900</c:v>
                </c:pt>
                <c:pt idx="2222">
                  <c:v>19880</c:v>
                </c:pt>
                <c:pt idx="2223">
                  <c:v>19760</c:v>
                </c:pt>
                <c:pt idx="2224">
                  <c:v>19660</c:v>
                </c:pt>
                <c:pt idx="2225">
                  <c:v>19520</c:v>
                </c:pt>
                <c:pt idx="2226">
                  <c:v>19480</c:v>
                </c:pt>
                <c:pt idx="2227">
                  <c:v>19420</c:v>
                </c:pt>
                <c:pt idx="2228">
                  <c:v>19320</c:v>
                </c:pt>
                <c:pt idx="2229">
                  <c:v>19260</c:v>
                </c:pt>
                <c:pt idx="2230">
                  <c:v>19140</c:v>
                </c:pt>
                <c:pt idx="2231">
                  <c:v>19100</c:v>
                </c:pt>
                <c:pt idx="2232">
                  <c:v>18960</c:v>
                </c:pt>
                <c:pt idx="2233">
                  <c:v>18860</c:v>
                </c:pt>
                <c:pt idx="2234">
                  <c:v>18760</c:v>
                </c:pt>
                <c:pt idx="2235">
                  <c:v>18660</c:v>
                </c:pt>
                <c:pt idx="2236">
                  <c:v>18560</c:v>
                </c:pt>
                <c:pt idx="2237">
                  <c:v>18460</c:v>
                </c:pt>
                <c:pt idx="2238">
                  <c:v>18420</c:v>
                </c:pt>
                <c:pt idx="2239">
                  <c:v>18220</c:v>
                </c:pt>
                <c:pt idx="2240">
                  <c:v>18160</c:v>
                </c:pt>
                <c:pt idx="2241">
                  <c:v>18140</c:v>
                </c:pt>
                <c:pt idx="2242">
                  <c:v>18060</c:v>
                </c:pt>
                <c:pt idx="2243">
                  <c:v>18040</c:v>
                </c:pt>
                <c:pt idx="2244">
                  <c:v>18000</c:v>
                </c:pt>
                <c:pt idx="2245">
                  <c:v>17900</c:v>
                </c:pt>
                <c:pt idx="2246">
                  <c:v>17840</c:v>
                </c:pt>
                <c:pt idx="2247">
                  <c:v>17740</c:v>
                </c:pt>
                <c:pt idx="2248">
                  <c:v>17580</c:v>
                </c:pt>
                <c:pt idx="2249">
                  <c:v>17480</c:v>
                </c:pt>
                <c:pt idx="2250">
                  <c:v>17380</c:v>
                </c:pt>
                <c:pt idx="2251">
                  <c:v>17260</c:v>
                </c:pt>
                <c:pt idx="2252">
                  <c:v>17220</c:v>
                </c:pt>
                <c:pt idx="2253">
                  <c:v>17120</c:v>
                </c:pt>
                <c:pt idx="2254">
                  <c:v>17080</c:v>
                </c:pt>
                <c:pt idx="2255">
                  <c:v>16780</c:v>
                </c:pt>
                <c:pt idx="2256">
                  <c:v>16680</c:v>
                </c:pt>
                <c:pt idx="2257">
                  <c:v>16480</c:v>
                </c:pt>
                <c:pt idx="2258">
                  <c:v>16460</c:v>
                </c:pt>
                <c:pt idx="2259">
                  <c:v>16360</c:v>
                </c:pt>
                <c:pt idx="2260">
                  <c:v>16300</c:v>
                </c:pt>
                <c:pt idx="2261">
                  <c:v>16000</c:v>
                </c:pt>
                <c:pt idx="2262">
                  <c:v>15900</c:v>
                </c:pt>
                <c:pt idx="2263">
                  <c:v>15840</c:v>
                </c:pt>
                <c:pt idx="2264">
                  <c:v>15740</c:v>
                </c:pt>
                <c:pt idx="2265">
                  <c:v>15700</c:v>
                </c:pt>
                <c:pt idx="2266">
                  <c:v>15640</c:v>
                </c:pt>
                <c:pt idx="2267">
                  <c:v>15540</c:v>
                </c:pt>
                <c:pt idx="2268">
                  <c:v>15520</c:v>
                </c:pt>
                <c:pt idx="2269">
                  <c:v>15420</c:v>
                </c:pt>
                <c:pt idx="2270">
                  <c:v>15260</c:v>
                </c:pt>
                <c:pt idx="2271">
                  <c:v>15180</c:v>
                </c:pt>
                <c:pt idx="2272">
                  <c:v>15080</c:v>
                </c:pt>
                <c:pt idx="2273">
                  <c:v>15040</c:v>
                </c:pt>
                <c:pt idx="2274">
                  <c:v>14640</c:v>
                </c:pt>
                <c:pt idx="2275">
                  <c:v>14600</c:v>
                </c:pt>
                <c:pt idx="2276">
                  <c:v>14400</c:v>
                </c:pt>
                <c:pt idx="2277">
                  <c:v>13900</c:v>
                </c:pt>
                <c:pt idx="2278">
                  <c:v>13800</c:v>
                </c:pt>
                <c:pt idx="2279">
                  <c:v>13720</c:v>
                </c:pt>
                <c:pt idx="2280">
                  <c:v>13680</c:v>
                </c:pt>
                <c:pt idx="2281">
                  <c:v>13580</c:v>
                </c:pt>
                <c:pt idx="2282">
                  <c:v>13520</c:v>
                </c:pt>
                <c:pt idx="2283">
                  <c:v>13420</c:v>
                </c:pt>
                <c:pt idx="2284">
                  <c:v>13120</c:v>
                </c:pt>
                <c:pt idx="2285">
                  <c:v>13080</c:v>
                </c:pt>
                <c:pt idx="2286">
                  <c:v>12880</c:v>
                </c:pt>
                <c:pt idx="2287">
                  <c:v>12840</c:v>
                </c:pt>
                <c:pt idx="2288">
                  <c:v>12800</c:v>
                </c:pt>
                <c:pt idx="2289">
                  <c:v>12740</c:v>
                </c:pt>
                <c:pt idx="2290">
                  <c:v>12640</c:v>
                </c:pt>
                <c:pt idx="2291">
                  <c:v>12500</c:v>
                </c:pt>
                <c:pt idx="2292">
                  <c:v>12420</c:v>
                </c:pt>
                <c:pt idx="2293">
                  <c:v>12380</c:v>
                </c:pt>
                <c:pt idx="2294">
                  <c:v>12180</c:v>
                </c:pt>
                <c:pt idx="2295">
                  <c:v>12120</c:v>
                </c:pt>
                <c:pt idx="2296">
                  <c:v>12040</c:v>
                </c:pt>
                <c:pt idx="2297">
                  <c:v>11740</c:v>
                </c:pt>
                <c:pt idx="2298">
                  <c:v>11240</c:v>
                </c:pt>
                <c:pt idx="2299">
                  <c:v>11200</c:v>
                </c:pt>
                <c:pt idx="2300">
                  <c:v>11100</c:v>
                </c:pt>
                <c:pt idx="2301">
                  <c:v>10700</c:v>
                </c:pt>
                <c:pt idx="2302">
                  <c:v>10200</c:v>
                </c:pt>
                <c:pt idx="2303">
                  <c:v>10160</c:v>
                </c:pt>
                <c:pt idx="2304">
                  <c:v>10000</c:v>
                </c:pt>
                <c:pt idx="2305">
                  <c:v>9980</c:v>
                </c:pt>
                <c:pt idx="2306">
                  <c:v>9940</c:v>
                </c:pt>
                <c:pt idx="2307">
                  <c:v>9700</c:v>
                </c:pt>
                <c:pt idx="2308">
                  <c:v>9500</c:v>
                </c:pt>
                <c:pt idx="2309">
                  <c:v>9400</c:v>
                </c:pt>
                <c:pt idx="2310">
                  <c:v>9300</c:v>
                </c:pt>
                <c:pt idx="2311">
                  <c:v>9280</c:v>
                </c:pt>
                <c:pt idx="2312">
                  <c:v>9240</c:v>
                </c:pt>
                <c:pt idx="2313">
                  <c:v>9180</c:v>
                </c:pt>
                <c:pt idx="2314">
                  <c:v>9080</c:v>
                </c:pt>
                <c:pt idx="2315">
                  <c:v>8980</c:v>
                </c:pt>
                <c:pt idx="2316">
                  <c:v>8920</c:v>
                </c:pt>
                <c:pt idx="2317">
                  <c:v>8880</c:v>
                </c:pt>
                <c:pt idx="2318">
                  <c:v>8780</c:v>
                </c:pt>
                <c:pt idx="2319">
                  <c:v>8680</c:v>
                </c:pt>
                <c:pt idx="2320">
                  <c:v>8640</c:v>
                </c:pt>
                <c:pt idx="2321">
                  <c:v>8600</c:v>
                </c:pt>
                <c:pt idx="2322">
                  <c:v>8500</c:v>
                </c:pt>
                <c:pt idx="2323">
                  <c:v>8460</c:v>
                </c:pt>
                <c:pt idx="2324">
                  <c:v>8420</c:v>
                </c:pt>
                <c:pt idx="2325">
                  <c:v>8380</c:v>
                </c:pt>
                <c:pt idx="2326">
                  <c:v>8080</c:v>
                </c:pt>
                <c:pt idx="2327">
                  <c:v>7980</c:v>
                </c:pt>
                <c:pt idx="2328">
                  <c:v>7940</c:v>
                </c:pt>
                <c:pt idx="2329">
                  <c:v>7900</c:v>
                </c:pt>
                <c:pt idx="2330">
                  <c:v>7880</c:v>
                </c:pt>
                <c:pt idx="2331">
                  <c:v>7780</c:v>
                </c:pt>
                <c:pt idx="2332">
                  <c:v>7740</c:v>
                </c:pt>
                <c:pt idx="2333">
                  <c:v>7700</c:v>
                </c:pt>
                <c:pt idx="2334">
                  <c:v>7560</c:v>
                </c:pt>
                <c:pt idx="2335">
                  <c:v>7480</c:v>
                </c:pt>
                <c:pt idx="2336">
                  <c:v>7420</c:v>
                </c:pt>
                <c:pt idx="2337">
                  <c:v>7340</c:v>
                </c:pt>
                <c:pt idx="2338">
                  <c:v>7280</c:v>
                </c:pt>
                <c:pt idx="2339">
                  <c:v>7240</c:v>
                </c:pt>
                <c:pt idx="2340">
                  <c:v>6740</c:v>
                </c:pt>
                <c:pt idx="2341">
                  <c:v>6720</c:v>
                </c:pt>
                <c:pt idx="2342">
                  <c:v>6680</c:v>
                </c:pt>
                <c:pt idx="2343">
                  <c:v>6620</c:v>
                </c:pt>
                <c:pt idx="2344">
                  <c:v>6420</c:v>
                </c:pt>
                <c:pt idx="2345">
                  <c:v>6380</c:v>
                </c:pt>
                <c:pt idx="2346">
                  <c:v>6340</c:v>
                </c:pt>
                <c:pt idx="2347">
                  <c:v>6280</c:v>
                </c:pt>
                <c:pt idx="2348">
                  <c:v>6220</c:v>
                </c:pt>
                <c:pt idx="2349">
                  <c:v>6120</c:v>
                </c:pt>
                <c:pt idx="2350">
                  <c:v>6100</c:v>
                </c:pt>
                <c:pt idx="2351">
                  <c:v>6000</c:v>
                </c:pt>
                <c:pt idx="2352">
                  <c:v>5960</c:v>
                </c:pt>
                <c:pt idx="2353">
                  <c:v>5860</c:v>
                </c:pt>
                <c:pt idx="2354">
                  <c:v>5720</c:v>
                </c:pt>
                <c:pt idx="2355">
                  <c:v>5620</c:v>
                </c:pt>
                <c:pt idx="2356">
                  <c:v>5580</c:v>
                </c:pt>
                <c:pt idx="2357">
                  <c:v>5180</c:v>
                </c:pt>
                <c:pt idx="2358">
                  <c:v>5140</c:v>
                </c:pt>
                <c:pt idx="2359">
                  <c:v>5060</c:v>
                </c:pt>
                <c:pt idx="2360">
                  <c:v>4980</c:v>
                </c:pt>
                <c:pt idx="2361">
                  <c:v>4920</c:v>
                </c:pt>
                <c:pt idx="2362">
                  <c:v>4820</c:v>
                </c:pt>
                <c:pt idx="2363">
                  <c:v>4780</c:v>
                </c:pt>
                <c:pt idx="2364">
                  <c:v>4660</c:v>
                </c:pt>
                <c:pt idx="2365">
                  <c:v>4620</c:v>
                </c:pt>
                <c:pt idx="2366">
                  <c:v>4580</c:v>
                </c:pt>
                <c:pt idx="2367">
                  <c:v>4480</c:v>
                </c:pt>
                <c:pt idx="2368">
                  <c:v>4380</c:v>
                </c:pt>
                <c:pt idx="2369">
                  <c:v>4260</c:v>
                </c:pt>
                <c:pt idx="2370">
                  <c:v>4140</c:v>
                </c:pt>
                <c:pt idx="2371">
                  <c:v>4040</c:v>
                </c:pt>
                <c:pt idx="2372">
                  <c:v>3980</c:v>
                </c:pt>
                <c:pt idx="2373">
                  <c:v>11000</c:v>
                </c:pt>
                <c:pt idx="2374">
                  <c:v>10980</c:v>
                </c:pt>
                <c:pt idx="2375">
                  <c:v>10880</c:v>
                </c:pt>
                <c:pt idx="2376">
                  <c:v>10820</c:v>
                </c:pt>
                <c:pt idx="2377">
                  <c:v>10780</c:v>
                </c:pt>
                <c:pt idx="2378">
                  <c:v>10640</c:v>
                </c:pt>
                <c:pt idx="2379">
                  <c:v>10560</c:v>
                </c:pt>
                <c:pt idx="2380">
                  <c:v>10360</c:v>
                </c:pt>
                <c:pt idx="2381">
                  <c:v>10160</c:v>
                </c:pt>
                <c:pt idx="2382">
                  <c:v>10080</c:v>
                </c:pt>
                <c:pt idx="2383">
                  <c:v>9980</c:v>
                </c:pt>
                <c:pt idx="2384">
                  <c:v>9880</c:v>
                </c:pt>
                <c:pt idx="2385">
                  <c:v>9800</c:v>
                </c:pt>
                <c:pt idx="2386">
                  <c:v>9700</c:v>
                </c:pt>
                <c:pt idx="2387">
                  <c:v>9400</c:v>
                </c:pt>
                <c:pt idx="2388">
                  <c:v>9300</c:v>
                </c:pt>
                <c:pt idx="2389">
                  <c:v>9240</c:v>
                </c:pt>
                <c:pt idx="2390">
                  <c:v>9140</c:v>
                </c:pt>
                <c:pt idx="2391">
                  <c:v>9040</c:v>
                </c:pt>
                <c:pt idx="2392">
                  <c:v>8980</c:v>
                </c:pt>
                <c:pt idx="2393">
                  <c:v>8900</c:v>
                </c:pt>
                <c:pt idx="2394">
                  <c:v>8800</c:v>
                </c:pt>
                <c:pt idx="2395">
                  <c:v>8780</c:v>
                </c:pt>
                <c:pt idx="2396">
                  <c:v>8680</c:v>
                </c:pt>
                <c:pt idx="2397">
                  <c:v>8640</c:v>
                </c:pt>
                <c:pt idx="2398">
                  <c:v>8560</c:v>
                </c:pt>
                <c:pt idx="2399">
                  <c:v>8520</c:v>
                </c:pt>
                <c:pt idx="2400">
                  <c:v>8480</c:v>
                </c:pt>
                <c:pt idx="2401">
                  <c:v>8380</c:v>
                </c:pt>
                <c:pt idx="2402">
                  <c:v>8300</c:v>
                </c:pt>
                <c:pt idx="2403">
                  <c:v>8020</c:v>
                </c:pt>
                <c:pt idx="2404">
                  <c:v>7920</c:v>
                </c:pt>
                <c:pt idx="2405">
                  <c:v>7800</c:v>
                </c:pt>
                <c:pt idx="2406">
                  <c:v>7780</c:v>
                </c:pt>
                <c:pt idx="2407">
                  <c:v>7740</c:v>
                </c:pt>
                <c:pt idx="2408">
                  <c:v>7660</c:v>
                </c:pt>
                <c:pt idx="2409">
                  <c:v>7560</c:v>
                </c:pt>
                <c:pt idx="2410">
                  <c:v>7520</c:v>
                </c:pt>
                <c:pt idx="2411">
                  <c:v>7440</c:v>
                </c:pt>
                <c:pt idx="2412">
                  <c:v>7380</c:v>
                </c:pt>
                <c:pt idx="2413">
                  <c:v>7300</c:v>
                </c:pt>
                <c:pt idx="2414">
                  <c:v>7260</c:v>
                </c:pt>
                <c:pt idx="2415">
                  <c:v>7060</c:v>
                </c:pt>
                <c:pt idx="2416">
                  <c:v>6960</c:v>
                </c:pt>
                <c:pt idx="2417">
                  <c:v>6900</c:v>
                </c:pt>
                <c:pt idx="2418">
                  <c:v>6800</c:v>
                </c:pt>
                <c:pt idx="2419">
                  <c:v>6700</c:v>
                </c:pt>
                <c:pt idx="2420">
                  <c:v>6620</c:v>
                </c:pt>
                <c:pt idx="2421">
                  <c:v>6540</c:v>
                </c:pt>
                <c:pt idx="2422">
                  <c:v>6340</c:v>
                </c:pt>
                <c:pt idx="2423">
                  <c:v>6280</c:v>
                </c:pt>
                <c:pt idx="2424">
                  <c:v>6240</c:v>
                </c:pt>
                <c:pt idx="2425">
                  <c:v>6200</c:v>
                </c:pt>
                <c:pt idx="2426">
                  <c:v>6100</c:v>
                </c:pt>
                <c:pt idx="2427">
                  <c:v>6000</c:v>
                </c:pt>
                <c:pt idx="2428">
                  <c:v>5920</c:v>
                </c:pt>
                <c:pt idx="2429">
                  <c:v>5860</c:v>
                </c:pt>
                <c:pt idx="2430">
                  <c:v>5660</c:v>
                </c:pt>
                <c:pt idx="2431">
                  <c:v>5620</c:v>
                </c:pt>
                <c:pt idx="2432">
                  <c:v>5560</c:v>
                </c:pt>
                <c:pt idx="2433">
                  <c:v>5500</c:v>
                </c:pt>
                <c:pt idx="2434">
                  <c:v>5480</c:v>
                </c:pt>
                <c:pt idx="2435">
                  <c:v>5380</c:v>
                </c:pt>
                <c:pt idx="2436">
                  <c:v>5360</c:v>
                </c:pt>
                <c:pt idx="2437">
                  <c:v>5320</c:v>
                </c:pt>
                <c:pt idx="2438">
                  <c:v>5280</c:v>
                </c:pt>
                <c:pt idx="2439">
                  <c:v>5180</c:v>
                </c:pt>
                <c:pt idx="2440">
                  <c:v>5080</c:v>
                </c:pt>
                <c:pt idx="2441">
                  <c:v>4980</c:v>
                </c:pt>
                <c:pt idx="2442">
                  <c:v>4940</c:v>
                </c:pt>
                <c:pt idx="2443">
                  <c:v>4840</c:v>
                </c:pt>
                <c:pt idx="2444">
                  <c:v>4740</c:v>
                </c:pt>
                <c:pt idx="2445">
                  <c:v>4640</c:v>
                </c:pt>
                <c:pt idx="2446">
                  <c:v>4440</c:v>
                </c:pt>
                <c:pt idx="2447">
                  <c:v>4340</c:v>
                </c:pt>
                <c:pt idx="2448">
                  <c:v>4140</c:v>
                </c:pt>
                <c:pt idx="2449">
                  <c:v>3940</c:v>
                </c:pt>
                <c:pt idx="2450">
                  <c:v>3540</c:v>
                </c:pt>
                <c:pt idx="2451">
                  <c:v>3440</c:v>
                </c:pt>
                <c:pt idx="2452">
                  <c:v>3340</c:v>
                </c:pt>
                <c:pt idx="2453">
                  <c:v>3200</c:v>
                </c:pt>
                <c:pt idx="2454">
                  <c:v>3100</c:v>
                </c:pt>
                <c:pt idx="2455">
                  <c:v>3000</c:v>
                </c:pt>
                <c:pt idx="2456">
                  <c:v>2980</c:v>
                </c:pt>
                <c:pt idx="2457">
                  <c:v>2940</c:v>
                </c:pt>
                <c:pt idx="2458">
                  <c:v>2840</c:v>
                </c:pt>
                <c:pt idx="2459">
                  <c:v>2740</c:v>
                </c:pt>
                <c:pt idx="2460">
                  <c:v>2640</c:v>
                </c:pt>
                <c:pt idx="2461">
                  <c:v>2600</c:v>
                </c:pt>
                <c:pt idx="2462">
                  <c:v>2500</c:v>
                </c:pt>
                <c:pt idx="2463">
                  <c:v>2460</c:v>
                </c:pt>
                <c:pt idx="2464">
                  <c:v>2160</c:v>
                </c:pt>
                <c:pt idx="2465">
                  <c:v>1960</c:v>
                </c:pt>
                <c:pt idx="2466">
                  <c:v>1840</c:v>
                </c:pt>
                <c:pt idx="2467">
                  <c:v>1640</c:v>
                </c:pt>
                <c:pt idx="2468">
                  <c:v>1540</c:v>
                </c:pt>
                <c:pt idx="2469">
                  <c:v>1440</c:v>
                </c:pt>
                <c:pt idx="2470">
                  <c:v>1400</c:v>
                </c:pt>
                <c:pt idx="2471">
                  <c:v>1380</c:v>
                </c:pt>
                <c:pt idx="2472">
                  <c:v>1280</c:v>
                </c:pt>
                <c:pt idx="2473">
                  <c:v>1240</c:v>
                </c:pt>
                <c:pt idx="2474">
                  <c:v>1040</c:v>
                </c:pt>
                <c:pt idx="2475">
                  <c:v>1000</c:v>
                </c:pt>
                <c:pt idx="2476">
                  <c:v>900</c:v>
                </c:pt>
                <c:pt idx="2477">
                  <c:v>800</c:v>
                </c:pt>
                <c:pt idx="2478">
                  <c:v>760</c:v>
                </c:pt>
                <c:pt idx="2479">
                  <c:v>20000</c:v>
                </c:pt>
                <c:pt idx="2480">
                  <c:v>19940</c:v>
                </c:pt>
                <c:pt idx="2481">
                  <c:v>19440</c:v>
                </c:pt>
                <c:pt idx="2482">
                  <c:v>19340</c:v>
                </c:pt>
                <c:pt idx="2483">
                  <c:v>19300</c:v>
                </c:pt>
                <c:pt idx="2484">
                  <c:v>19180</c:v>
                </c:pt>
                <c:pt idx="2485">
                  <c:v>19140</c:v>
                </c:pt>
                <c:pt idx="2486">
                  <c:v>19040</c:v>
                </c:pt>
                <c:pt idx="2487">
                  <c:v>18880</c:v>
                </c:pt>
                <c:pt idx="2488">
                  <c:v>18820</c:v>
                </c:pt>
                <c:pt idx="2489">
                  <c:v>18720</c:v>
                </c:pt>
                <c:pt idx="2490">
                  <c:v>18220</c:v>
                </c:pt>
                <c:pt idx="2491">
                  <c:v>18120</c:v>
                </c:pt>
                <c:pt idx="2492">
                  <c:v>18040</c:v>
                </c:pt>
                <c:pt idx="2493">
                  <c:v>17940</c:v>
                </c:pt>
                <c:pt idx="2494">
                  <c:v>17840</c:v>
                </c:pt>
                <c:pt idx="2495">
                  <c:v>17800</c:v>
                </c:pt>
                <c:pt idx="2496">
                  <c:v>17600</c:v>
                </c:pt>
                <c:pt idx="2497">
                  <c:v>17400</c:v>
                </c:pt>
                <c:pt idx="2498">
                  <c:v>17300</c:v>
                </c:pt>
                <c:pt idx="2499">
                  <c:v>17200</c:v>
                </c:pt>
                <c:pt idx="2500">
                  <c:v>17180</c:v>
                </c:pt>
                <c:pt idx="2501">
                  <c:v>17060</c:v>
                </c:pt>
                <c:pt idx="2502">
                  <c:v>17040</c:v>
                </c:pt>
                <c:pt idx="2503">
                  <c:v>16980</c:v>
                </c:pt>
                <c:pt idx="2504">
                  <c:v>16880</c:v>
                </c:pt>
                <c:pt idx="2505">
                  <c:v>16840</c:v>
                </c:pt>
                <c:pt idx="2506">
                  <c:v>16740</c:v>
                </c:pt>
                <c:pt idx="2507">
                  <c:v>16600</c:v>
                </c:pt>
                <c:pt idx="2508">
                  <c:v>16560</c:v>
                </c:pt>
                <c:pt idx="2509">
                  <c:v>16500</c:v>
                </c:pt>
                <c:pt idx="2510">
                  <c:v>16400</c:v>
                </c:pt>
                <c:pt idx="2511">
                  <c:v>16380</c:v>
                </c:pt>
                <c:pt idx="2512">
                  <c:v>16280</c:v>
                </c:pt>
                <c:pt idx="2513">
                  <c:v>16240</c:v>
                </c:pt>
                <c:pt idx="2514">
                  <c:v>16140</c:v>
                </c:pt>
                <c:pt idx="2515">
                  <c:v>16020</c:v>
                </c:pt>
                <c:pt idx="2516">
                  <c:v>15920</c:v>
                </c:pt>
                <c:pt idx="2517">
                  <c:v>15900</c:v>
                </c:pt>
                <c:pt idx="2518">
                  <c:v>15700</c:v>
                </c:pt>
                <c:pt idx="2519">
                  <c:v>15600</c:v>
                </c:pt>
                <c:pt idx="2520">
                  <c:v>15500</c:v>
                </c:pt>
                <c:pt idx="2521">
                  <c:v>15260</c:v>
                </c:pt>
                <c:pt idx="2522">
                  <c:v>15240</c:v>
                </c:pt>
                <c:pt idx="2523">
                  <c:v>15140</c:v>
                </c:pt>
                <c:pt idx="2524">
                  <c:v>14940</c:v>
                </c:pt>
                <c:pt idx="2525">
                  <c:v>14840</c:v>
                </c:pt>
                <c:pt idx="2526">
                  <c:v>14660</c:v>
                </c:pt>
                <c:pt idx="2527">
                  <c:v>14620</c:v>
                </c:pt>
                <c:pt idx="2528">
                  <c:v>14420</c:v>
                </c:pt>
                <c:pt idx="2529">
                  <c:v>14380</c:v>
                </c:pt>
                <c:pt idx="2530">
                  <c:v>14280</c:v>
                </c:pt>
                <c:pt idx="2531">
                  <c:v>14180</c:v>
                </c:pt>
                <c:pt idx="2532">
                  <c:v>14080</c:v>
                </c:pt>
                <c:pt idx="2533">
                  <c:v>14020</c:v>
                </c:pt>
                <c:pt idx="2534">
                  <c:v>13820</c:v>
                </c:pt>
                <c:pt idx="2535">
                  <c:v>13780</c:v>
                </c:pt>
                <c:pt idx="2536">
                  <c:v>13740</c:v>
                </c:pt>
                <c:pt idx="2537">
                  <c:v>13720</c:v>
                </c:pt>
                <c:pt idx="2538">
                  <c:v>13620</c:v>
                </c:pt>
                <c:pt idx="2539">
                  <c:v>13120</c:v>
                </c:pt>
                <c:pt idx="2540">
                  <c:v>12620</c:v>
                </c:pt>
                <c:pt idx="2541">
                  <c:v>12520</c:v>
                </c:pt>
                <c:pt idx="2542">
                  <c:v>12380</c:v>
                </c:pt>
                <c:pt idx="2543">
                  <c:v>12280</c:v>
                </c:pt>
                <c:pt idx="2544">
                  <c:v>12180</c:v>
                </c:pt>
                <c:pt idx="2545">
                  <c:v>12140</c:v>
                </c:pt>
                <c:pt idx="2546">
                  <c:v>12100</c:v>
                </c:pt>
                <c:pt idx="2547">
                  <c:v>12040</c:v>
                </c:pt>
                <c:pt idx="2548">
                  <c:v>12020</c:v>
                </c:pt>
                <c:pt idx="2549">
                  <c:v>11960</c:v>
                </c:pt>
                <c:pt idx="2550">
                  <c:v>11540</c:v>
                </c:pt>
                <c:pt idx="2551">
                  <c:v>11500</c:v>
                </c:pt>
                <c:pt idx="2552">
                  <c:v>11380</c:v>
                </c:pt>
                <c:pt idx="2553">
                  <c:v>11180</c:v>
                </c:pt>
                <c:pt idx="2554">
                  <c:v>11140</c:v>
                </c:pt>
                <c:pt idx="2555">
                  <c:v>11040</c:v>
                </c:pt>
                <c:pt idx="2556">
                  <c:v>10960</c:v>
                </c:pt>
                <c:pt idx="2557">
                  <c:v>10900</c:v>
                </c:pt>
                <c:pt idx="2558">
                  <c:v>10800</c:v>
                </c:pt>
                <c:pt idx="2559">
                  <c:v>10720</c:v>
                </c:pt>
                <c:pt idx="2560">
                  <c:v>10660</c:v>
                </c:pt>
                <c:pt idx="2561">
                  <c:v>10600</c:v>
                </c:pt>
                <c:pt idx="2562">
                  <c:v>10560</c:v>
                </c:pt>
                <c:pt idx="2563">
                  <c:v>10360</c:v>
                </c:pt>
                <c:pt idx="2564">
                  <c:v>10320</c:v>
                </c:pt>
                <c:pt idx="2565">
                  <c:v>10260</c:v>
                </c:pt>
                <c:pt idx="2566">
                  <c:v>10120</c:v>
                </c:pt>
                <c:pt idx="2567">
                  <c:v>9620</c:v>
                </c:pt>
                <c:pt idx="2568">
                  <c:v>9600</c:v>
                </c:pt>
                <c:pt idx="2569">
                  <c:v>9560</c:v>
                </c:pt>
                <c:pt idx="2570">
                  <c:v>9360</c:v>
                </c:pt>
                <c:pt idx="2571">
                  <c:v>9260</c:v>
                </c:pt>
                <c:pt idx="2572">
                  <c:v>9200</c:v>
                </c:pt>
                <c:pt idx="2573">
                  <c:v>9140</c:v>
                </c:pt>
                <c:pt idx="2574">
                  <c:v>9080</c:v>
                </c:pt>
                <c:pt idx="2575">
                  <c:v>9060</c:v>
                </c:pt>
                <c:pt idx="2576">
                  <c:v>8960</c:v>
                </c:pt>
                <c:pt idx="2577">
                  <c:v>8760</c:v>
                </c:pt>
                <c:pt idx="2578">
                  <c:v>8660</c:v>
                </c:pt>
                <c:pt idx="2579">
                  <c:v>8600</c:v>
                </c:pt>
                <c:pt idx="2580">
                  <c:v>8580</c:v>
                </c:pt>
                <c:pt idx="2581">
                  <c:v>8520</c:v>
                </c:pt>
                <c:pt idx="2582">
                  <c:v>8480</c:v>
                </c:pt>
                <c:pt idx="2583">
                  <c:v>8360</c:v>
                </c:pt>
                <c:pt idx="2584">
                  <c:v>8340</c:v>
                </c:pt>
                <c:pt idx="2585">
                  <c:v>8240</c:v>
                </c:pt>
                <c:pt idx="2586">
                  <c:v>7740</c:v>
                </c:pt>
                <c:pt idx="2587">
                  <c:v>7620</c:v>
                </c:pt>
                <c:pt idx="2588">
                  <c:v>7600</c:v>
                </c:pt>
                <c:pt idx="2589">
                  <c:v>7500</c:v>
                </c:pt>
                <c:pt idx="2590">
                  <c:v>7300</c:v>
                </c:pt>
                <c:pt idx="2591">
                  <c:v>7240</c:v>
                </c:pt>
                <c:pt idx="2592">
                  <c:v>7180</c:v>
                </c:pt>
                <c:pt idx="2593">
                  <c:v>6880</c:v>
                </c:pt>
                <c:pt idx="2594">
                  <c:v>6860</c:v>
                </c:pt>
                <c:pt idx="2595">
                  <c:v>6660</c:v>
                </c:pt>
                <c:pt idx="2596">
                  <c:v>6540</c:v>
                </c:pt>
                <c:pt idx="2597">
                  <c:v>6460</c:v>
                </c:pt>
                <c:pt idx="2598">
                  <c:v>6380</c:v>
                </c:pt>
                <c:pt idx="2599">
                  <c:v>6360</c:v>
                </c:pt>
                <c:pt idx="2600">
                  <c:v>6260</c:v>
                </c:pt>
                <c:pt idx="2601">
                  <c:v>6160</c:v>
                </c:pt>
                <c:pt idx="2602">
                  <c:v>6140</c:v>
                </c:pt>
                <c:pt idx="2603">
                  <c:v>6080</c:v>
                </c:pt>
                <c:pt idx="2604">
                  <c:v>5980</c:v>
                </c:pt>
                <c:pt idx="2605">
                  <c:v>5940</c:v>
                </c:pt>
                <c:pt idx="2606">
                  <c:v>5900</c:v>
                </c:pt>
                <c:pt idx="2607">
                  <c:v>5800</c:v>
                </c:pt>
                <c:pt idx="2608">
                  <c:v>5700</c:v>
                </c:pt>
                <c:pt idx="2609">
                  <c:v>5600</c:v>
                </c:pt>
                <c:pt idx="2610">
                  <c:v>5560</c:v>
                </c:pt>
                <c:pt idx="2611">
                  <c:v>5060</c:v>
                </c:pt>
                <c:pt idx="2612">
                  <c:v>5020</c:v>
                </c:pt>
                <c:pt idx="2613">
                  <c:v>4820</c:v>
                </c:pt>
                <c:pt idx="2614">
                  <c:v>4640</c:v>
                </c:pt>
                <c:pt idx="2615">
                  <c:v>4560</c:v>
                </c:pt>
                <c:pt idx="2616">
                  <c:v>4500</c:v>
                </c:pt>
                <c:pt idx="2617">
                  <c:v>4400</c:v>
                </c:pt>
                <c:pt idx="2618">
                  <c:v>4320</c:v>
                </c:pt>
                <c:pt idx="2619">
                  <c:v>4280</c:v>
                </c:pt>
                <c:pt idx="2620">
                  <c:v>4180</c:v>
                </c:pt>
                <c:pt idx="2621">
                  <c:v>4140</c:v>
                </c:pt>
                <c:pt idx="2622">
                  <c:v>4120</c:v>
                </c:pt>
                <c:pt idx="2623">
                  <c:v>3820</c:v>
                </c:pt>
                <c:pt idx="2624">
                  <c:v>3760</c:v>
                </c:pt>
                <c:pt idx="2625">
                  <c:v>3720</c:v>
                </c:pt>
                <c:pt idx="2626">
                  <c:v>3640</c:v>
                </c:pt>
                <c:pt idx="2627">
                  <c:v>3560</c:v>
                </c:pt>
                <c:pt idx="2628">
                  <c:v>3480</c:v>
                </c:pt>
                <c:pt idx="2629">
                  <c:v>3340</c:v>
                </c:pt>
                <c:pt idx="2630">
                  <c:v>3320</c:v>
                </c:pt>
                <c:pt idx="2631">
                  <c:v>3120</c:v>
                </c:pt>
                <c:pt idx="2632">
                  <c:v>3020</c:v>
                </c:pt>
                <c:pt idx="2633">
                  <c:v>2940</c:v>
                </c:pt>
                <c:pt idx="2634">
                  <c:v>2880</c:v>
                </c:pt>
                <c:pt idx="2635">
                  <c:v>2820</c:v>
                </c:pt>
                <c:pt idx="2636">
                  <c:v>2800</c:v>
                </c:pt>
                <c:pt idx="2637">
                  <c:v>2700</c:v>
                </c:pt>
                <c:pt idx="2638">
                  <c:v>2500</c:v>
                </c:pt>
                <c:pt idx="2639">
                  <c:v>2460</c:v>
                </c:pt>
                <c:pt idx="2640">
                  <c:v>2380</c:v>
                </c:pt>
                <c:pt idx="2641">
                  <c:v>2340</c:v>
                </c:pt>
                <c:pt idx="2642">
                  <c:v>2260</c:v>
                </c:pt>
                <c:pt idx="2643">
                  <c:v>11000</c:v>
                </c:pt>
                <c:pt idx="2644">
                  <c:v>10800</c:v>
                </c:pt>
                <c:pt idx="2645">
                  <c:v>10760</c:v>
                </c:pt>
                <c:pt idx="2646">
                  <c:v>10700</c:v>
                </c:pt>
                <c:pt idx="2647">
                  <c:v>10640</c:v>
                </c:pt>
                <c:pt idx="2648">
                  <c:v>10500</c:v>
                </c:pt>
                <c:pt idx="2649">
                  <c:v>10300</c:v>
                </c:pt>
                <c:pt idx="2650">
                  <c:v>10160</c:v>
                </c:pt>
                <c:pt idx="2651">
                  <c:v>10060</c:v>
                </c:pt>
                <c:pt idx="2652">
                  <c:v>9960</c:v>
                </c:pt>
                <c:pt idx="2653">
                  <c:v>9920</c:v>
                </c:pt>
                <c:pt idx="2654">
                  <c:v>9900</c:v>
                </c:pt>
                <c:pt idx="2655">
                  <c:v>9860</c:v>
                </c:pt>
                <c:pt idx="2656">
                  <c:v>9820</c:v>
                </c:pt>
                <c:pt idx="2657">
                  <c:v>9740</c:v>
                </c:pt>
                <c:pt idx="2658">
                  <c:v>9640</c:v>
                </c:pt>
                <c:pt idx="2659">
                  <c:v>9560</c:v>
                </c:pt>
                <c:pt idx="2660">
                  <c:v>9420</c:v>
                </c:pt>
                <c:pt idx="2661">
                  <c:v>9320</c:v>
                </c:pt>
                <c:pt idx="2662">
                  <c:v>9280</c:v>
                </c:pt>
                <c:pt idx="2663">
                  <c:v>9260</c:v>
                </c:pt>
                <c:pt idx="2664">
                  <c:v>9220</c:v>
                </c:pt>
                <c:pt idx="2665">
                  <c:v>9120</c:v>
                </c:pt>
                <c:pt idx="2666">
                  <c:v>8980</c:v>
                </c:pt>
                <c:pt idx="2667">
                  <c:v>8920</c:v>
                </c:pt>
                <c:pt idx="2668">
                  <c:v>8820</c:v>
                </c:pt>
                <c:pt idx="2669">
                  <c:v>8780</c:v>
                </c:pt>
                <c:pt idx="2670">
                  <c:v>8380</c:v>
                </c:pt>
                <c:pt idx="2671">
                  <c:v>8340</c:v>
                </c:pt>
                <c:pt idx="2672">
                  <c:v>8220</c:v>
                </c:pt>
                <c:pt idx="2673">
                  <c:v>8180</c:v>
                </c:pt>
                <c:pt idx="2674">
                  <c:v>8080</c:v>
                </c:pt>
                <c:pt idx="2675">
                  <c:v>7780</c:v>
                </c:pt>
                <c:pt idx="2676">
                  <c:v>7680</c:v>
                </c:pt>
                <c:pt idx="2677">
                  <c:v>7660</c:v>
                </c:pt>
                <c:pt idx="2678">
                  <c:v>7560</c:v>
                </c:pt>
                <c:pt idx="2679">
                  <c:v>7360</c:v>
                </c:pt>
                <c:pt idx="2680">
                  <c:v>7320</c:v>
                </c:pt>
                <c:pt idx="2681">
                  <c:v>7280</c:v>
                </c:pt>
                <c:pt idx="2682">
                  <c:v>7180</c:v>
                </c:pt>
                <c:pt idx="2683">
                  <c:v>6680</c:v>
                </c:pt>
                <c:pt idx="2684">
                  <c:v>6640</c:v>
                </c:pt>
                <c:pt idx="2685">
                  <c:v>6540</c:v>
                </c:pt>
                <c:pt idx="2686">
                  <c:v>6340</c:v>
                </c:pt>
                <c:pt idx="2687">
                  <c:v>6140</c:v>
                </c:pt>
                <c:pt idx="2688">
                  <c:v>6120</c:v>
                </c:pt>
                <c:pt idx="2689">
                  <c:v>6080</c:v>
                </c:pt>
                <c:pt idx="2690">
                  <c:v>5880</c:v>
                </c:pt>
                <c:pt idx="2691">
                  <c:v>5860</c:v>
                </c:pt>
                <c:pt idx="2692">
                  <c:v>5820</c:v>
                </c:pt>
                <c:pt idx="2693">
                  <c:v>5760</c:v>
                </c:pt>
                <c:pt idx="2694">
                  <c:v>5740</c:v>
                </c:pt>
                <c:pt idx="2695">
                  <c:v>5640</c:v>
                </c:pt>
                <c:pt idx="2696">
                  <c:v>5540</c:v>
                </c:pt>
                <c:pt idx="2697">
                  <c:v>5460</c:v>
                </c:pt>
                <c:pt idx="2698">
                  <c:v>5380</c:v>
                </c:pt>
                <c:pt idx="2699">
                  <c:v>4880</c:v>
                </c:pt>
                <c:pt idx="2700">
                  <c:v>4820</c:v>
                </c:pt>
                <c:pt idx="2701">
                  <c:v>4800</c:v>
                </c:pt>
                <c:pt idx="2702">
                  <c:v>4740</c:v>
                </c:pt>
                <c:pt idx="2703">
                  <c:v>4700</c:v>
                </c:pt>
                <c:pt idx="2704">
                  <c:v>4600</c:v>
                </c:pt>
                <c:pt idx="2705">
                  <c:v>4500</c:v>
                </c:pt>
                <c:pt idx="2706">
                  <c:v>4440</c:v>
                </c:pt>
                <c:pt idx="2707">
                  <c:v>4420</c:v>
                </c:pt>
                <c:pt idx="2708">
                  <c:v>4320</c:v>
                </c:pt>
                <c:pt idx="2709">
                  <c:v>4260</c:v>
                </c:pt>
                <c:pt idx="2710">
                  <c:v>4060</c:v>
                </c:pt>
                <c:pt idx="2711">
                  <c:v>4000</c:v>
                </c:pt>
                <c:pt idx="2712">
                  <c:v>3960</c:v>
                </c:pt>
                <c:pt idx="2713">
                  <c:v>3920</c:v>
                </c:pt>
                <c:pt idx="2714">
                  <c:v>3900</c:v>
                </c:pt>
                <c:pt idx="2715">
                  <c:v>3800</c:v>
                </c:pt>
                <c:pt idx="2716">
                  <c:v>3300</c:v>
                </c:pt>
                <c:pt idx="2717">
                  <c:v>3260</c:v>
                </c:pt>
                <c:pt idx="2718">
                  <c:v>3160</c:v>
                </c:pt>
                <c:pt idx="2719">
                  <c:v>3020</c:v>
                </c:pt>
                <c:pt idx="2720">
                  <c:v>2920</c:v>
                </c:pt>
                <c:pt idx="2721">
                  <c:v>2720</c:v>
                </c:pt>
                <c:pt idx="2722">
                  <c:v>2520</c:v>
                </c:pt>
                <c:pt idx="2723">
                  <c:v>2480</c:v>
                </c:pt>
                <c:pt idx="2724">
                  <c:v>2400</c:v>
                </c:pt>
                <c:pt idx="2725">
                  <c:v>2340</c:v>
                </c:pt>
                <c:pt idx="2726">
                  <c:v>2300</c:v>
                </c:pt>
                <c:pt idx="2727">
                  <c:v>2240</c:v>
                </c:pt>
                <c:pt idx="2728">
                  <c:v>1940</c:v>
                </c:pt>
                <c:pt idx="2729">
                  <c:v>1920</c:v>
                </c:pt>
                <c:pt idx="2730">
                  <c:v>1900</c:v>
                </c:pt>
                <c:pt idx="2731">
                  <c:v>1860</c:v>
                </c:pt>
                <c:pt idx="2732">
                  <c:v>1760</c:v>
                </c:pt>
                <c:pt idx="2733">
                  <c:v>1560</c:v>
                </c:pt>
                <c:pt idx="2734">
                  <c:v>1520</c:v>
                </c:pt>
                <c:pt idx="2735">
                  <c:v>1440</c:v>
                </c:pt>
                <c:pt idx="2736">
                  <c:v>1380</c:v>
                </c:pt>
                <c:pt idx="2737">
                  <c:v>1280</c:v>
                </c:pt>
                <c:pt idx="2738">
                  <c:v>1240</c:v>
                </c:pt>
                <c:pt idx="2739">
                  <c:v>1160</c:v>
                </c:pt>
                <c:pt idx="2740">
                  <c:v>1100</c:v>
                </c:pt>
                <c:pt idx="2741">
                  <c:v>600</c:v>
                </c:pt>
                <c:pt idx="2742">
                  <c:v>500</c:v>
                </c:pt>
                <c:pt idx="2743">
                  <c:v>20000</c:v>
                </c:pt>
                <c:pt idx="2744">
                  <c:v>19860</c:v>
                </c:pt>
                <c:pt idx="2745">
                  <c:v>19460</c:v>
                </c:pt>
                <c:pt idx="2746">
                  <c:v>19400</c:v>
                </c:pt>
                <c:pt idx="2747">
                  <c:v>19380</c:v>
                </c:pt>
                <c:pt idx="2748">
                  <c:v>19280</c:v>
                </c:pt>
                <c:pt idx="2749">
                  <c:v>19080</c:v>
                </c:pt>
                <c:pt idx="2750">
                  <c:v>18980</c:v>
                </c:pt>
                <c:pt idx="2751">
                  <c:v>18880</c:v>
                </c:pt>
                <c:pt idx="2752">
                  <c:v>18780</c:v>
                </c:pt>
                <c:pt idx="2753">
                  <c:v>18280</c:v>
                </c:pt>
                <c:pt idx="2754">
                  <c:v>18180</c:v>
                </c:pt>
                <c:pt idx="2755">
                  <c:v>18140</c:v>
                </c:pt>
                <c:pt idx="2756">
                  <c:v>18040</c:v>
                </c:pt>
                <c:pt idx="2757">
                  <c:v>17860</c:v>
                </c:pt>
                <c:pt idx="2758">
                  <c:v>17760</c:v>
                </c:pt>
                <c:pt idx="2759">
                  <c:v>17720</c:v>
                </c:pt>
                <c:pt idx="2760">
                  <c:v>17700</c:v>
                </c:pt>
                <c:pt idx="2761">
                  <c:v>17680</c:v>
                </c:pt>
                <c:pt idx="2762">
                  <c:v>17500</c:v>
                </c:pt>
                <c:pt idx="2763">
                  <c:v>17420</c:v>
                </c:pt>
                <c:pt idx="2764">
                  <c:v>17400</c:v>
                </c:pt>
                <c:pt idx="2765">
                  <c:v>17300</c:v>
                </c:pt>
                <c:pt idx="2766">
                  <c:v>17200</c:v>
                </c:pt>
                <c:pt idx="2767">
                  <c:v>17120</c:v>
                </c:pt>
                <c:pt idx="2768">
                  <c:v>17040</c:v>
                </c:pt>
                <c:pt idx="2769">
                  <c:v>16960</c:v>
                </c:pt>
                <c:pt idx="2770">
                  <c:v>16900</c:v>
                </c:pt>
                <c:pt idx="2771">
                  <c:v>16860</c:v>
                </c:pt>
                <c:pt idx="2772">
                  <c:v>16780</c:v>
                </c:pt>
                <c:pt idx="2773">
                  <c:v>16680</c:v>
                </c:pt>
                <c:pt idx="2774">
                  <c:v>16580</c:v>
                </c:pt>
                <c:pt idx="2775">
                  <c:v>16500</c:v>
                </c:pt>
                <c:pt idx="2776">
                  <c:v>16480</c:v>
                </c:pt>
                <c:pt idx="2777">
                  <c:v>16280</c:v>
                </c:pt>
                <c:pt idx="2778">
                  <c:v>16240</c:v>
                </c:pt>
                <c:pt idx="2779">
                  <c:v>16200</c:v>
                </c:pt>
                <c:pt idx="2780">
                  <c:v>16060</c:v>
                </c:pt>
                <c:pt idx="2781">
                  <c:v>15980</c:v>
                </c:pt>
                <c:pt idx="2782">
                  <c:v>15960</c:v>
                </c:pt>
                <c:pt idx="2783">
                  <c:v>15600</c:v>
                </c:pt>
                <c:pt idx="2784">
                  <c:v>15580</c:v>
                </c:pt>
                <c:pt idx="2785">
                  <c:v>15540</c:v>
                </c:pt>
                <c:pt idx="2786">
                  <c:v>15460</c:v>
                </c:pt>
                <c:pt idx="2787">
                  <c:v>15420</c:v>
                </c:pt>
                <c:pt idx="2788">
                  <c:v>15320</c:v>
                </c:pt>
                <c:pt idx="2789">
                  <c:v>15280</c:v>
                </c:pt>
                <c:pt idx="2790">
                  <c:v>15200</c:v>
                </c:pt>
                <c:pt idx="2791">
                  <c:v>15140</c:v>
                </c:pt>
                <c:pt idx="2792">
                  <c:v>15040</c:v>
                </c:pt>
                <c:pt idx="2793">
                  <c:v>15020</c:v>
                </c:pt>
                <c:pt idx="2794">
                  <c:v>14920</c:v>
                </c:pt>
                <c:pt idx="2795">
                  <c:v>14880</c:v>
                </c:pt>
                <c:pt idx="2796">
                  <c:v>14680</c:v>
                </c:pt>
                <c:pt idx="2797">
                  <c:v>14640</c:v>
                </c:pt>
                <c:pt idx="2798">
                  <c:v>14600</c:v>
                </c:pt>
                <c:pt idx="2799">
                  <c:v>14580</c:v>
                </c:pt>
                <c:pt idx="2800">
                  <c:v>14520</c:v>
                </c:pt>
                <c:pt idx="2801">
                  <c:v>14400</c:v>
                </c:pt>
                <c:pt idx="2802">
                  <c:v>13900</c:v>
                </c:pt>
                <c:pt idx="2803">
                  <c:v>13860</c:v>
                </c:pt>
                <c:pt idx="2804">
                  <c:v>13660</c:v>
                </c:pt>
                <c:pt idx="2805">
                  <c:v>13620</c:v>
                </c:pt>
                <c:pt idx="2806">
                  <c:v>13520</c:v>
                </c:pt>
                <c:pt idx="2807">
                  <c:v>13420</c:v>
                </c:pt>
                <c:pt idx="2808">
                  <c:v>13320</c:v>
                </c:pt>
                <c:pt idx="2809">
                  <c:v>13300</c:v>
                </c:pt>
                <c:pt idx="2810">
                  <c:v>13200</c:v>
                </c:pt>
                <c:pt idx="2811">
                  <c:v>13100</c:v>
                </c:pt>
                <c:pt idx="2812">
                  <c:v>12940</c:v>
                </c:pt>
                <c:pt idx="2813">
                  <c:v>12740</c:v>
                </c:pt>
                <c:pt idx="2814">
                  <c:v>12660</c:v>
                </c:pt>
                <c:pt idx="2815">
                  <c:v>12580</c:v>
                </c:pt>
                <c:pt idx="2816">
                  <c:v>12500</c:v>
                </c:pt>
                <c:pt idx="2817">
                  <c:v>12460</c:v>
                </c:pt>
                <c:pt idx="2818">
                  <c:v>12220</c:v>
                </c:pt>
                <c:pt idx="2819">
                  <c:v>12180</c:v>
                </c:pt>
                <c:pt idx="2820">
                  <c:v>12060</c:v>
                </c:pt>
                <c:pt idx="2821">
                  <c:v>12040</c:v>
                </c:pt>
                <c:pt idx="2822">
                  <c:v>11940</c:v>
                </c:pt>
                <c:pt idx="2823">
                  <c:v>11920</c:v>
                </c:pt>
                <c:pt idx="2824">
                  <c:v>11720</c:v>
                </c:pt>
                <c:pt idx="2825">
                  <c:v>11660</c:v>
                </c:pt>
                <c:pt idx="2826">
                  <c:v>11600</c:v>
                </c:pt>
                <c:pt idx="2827">
                  <c:v>11580</c:v>
                </c:pt>
                <c:pt idx="2828">
                  <c:v>11540</c:v>
                </c:pt>
                <c:pt idx="2829">
                  <c:v>11500</c:v>
                </c:pt>
                <c:pt idx="2830">
                  <c:v>11400</c:v>
                </c:pt>
                <c:pt idx="2831">
                  <c:v>11340</c:v>
                </c:pt>
                <c:pt idx="2832">
                  <c:v>11140</c:v>
                </c:pt>
                <c:pt idx="2833">
                  <c:v>11040</c:v>
                </c:pt>
                <c:pt idx="2834">
                  <c:v>11000</c:v>
                </c:pt>
                <c:pt idx="2835">
                  <c:v>10920</c:v>
                </c:pt>
                <c:pt idx="2836">
                  <c:v>10860</c:v>
                </c:pt>
                <c:pt idx="2837">
                  <c:v>10820</c:v>
                </c:pt>
                <c:pt idx="2838">
                  <c:v>10720</c:v>
                </c:pt>
                <c:pt idx="2839">
                  <c:v>10680</c:v>
                </c:pt>
                <c:pt idx="2840">
                  <c:v>10580</c:v>
                </c:pt>
                <c:pt idx="2841">
                  <c:v>10480</c:v>
                </c:pt>
                <c:pt idx="2842">
                  <c:v>10460</c:v>
                </c:pt>
                <c:pt idx="2843">
                  <c:v>10360</c:v>
                </c:pt>
                <c:pt idx="2844">
                  <c:v>10160</c:v>
                </c:pt>
                <c:pt idx="2845">
                  <c:v>10100</c:v>
                </c:pt>
                <c:pt idx="2846">
                  <c:v>10000</c:v>
                </c:pt>
                <c:pt idx="2847">
                  <c:v>9880</c:v>
                </c:pt>
                <c:pt idx="2848">
                  <c:v>9680</c:v>
                </c:pt>
                <c:pt idx="2849">
                  <c:v>9640</c:v>
                </c:pt>
                <c:pt idx="2850">
                  <c:v>9540</c:v>
                </c:pt>
                <c:pt idx="2851">
                  <c:v>9500</c:v>
                </c:pt>
                <c:pt idx="2852">
                  <c:v>9440</c:v>
                </c:pt>
                <c:pt idx="2853">
                  <c:v>8940</c:v>
                </c:pt>
                <c:pt idx="2854">
                  <c:v>8900</c:v>
                </c:pt>
                <c:pt idx="2855">
                  <c:v>8840</c:v>
                </c:pt>
                <c:pt idx="2856">
                  <c:v>8800</c:v>
                </c:pt>
                <c:pt idx="2857">
                  <c:v>8700</c:v>
                </c:pt>
                <c:pt idx="2858">
                  <c:v>8620</c:v>
                </c:pt>
                <c:pt idx="2859">
                  <c:v>8540</c:v>
                </c:pt>
                <c:pt idx="2860">
                  <c:v>8440</c:v>
                </c:pt>
                <c:pt idx="2861">
                  <c:v>8340</c:v>
                </c:pt>
                <c:pt idx="2862">
                  <c:v>8240</c:v>
                </c:pt>
                <c:pt idx="2863">
                  <c:v>8140</c:v>
                </c:pt>
                <c:pt idx="2864">
                  <c:v>8040</c:v>
                </c:pt>
                <c:pt idx="2865">
                  <c:v>7840</c:v>
                </c:pt>
                <c:pt idx="2866">
                  <c:v>7740</c:v>
                </c:pt>
                <c:pt idx="2867">
                  <c:v>7660</c:v>
                </c:pt>
                <c:pt idx="2868">
                  <c:v>7600</c:v>
                </c:pt>
                <c:pt idx="2869">
                  <c:v>7400</c:v>
                </c:pt>
                <c:pt idx="2870">
                  <c:v>7300</c:v>
                </c:pt>
                <c:pt idx="2871">
                  <c:v>7260</c:v>
                </c:pt>
                <c:pt idx="2872">
                  <c:v>7100</c:v>
                </c:pt>
                <c:pt idx="2873">
                  <c:v>7040</c:v>
                </c:pt>
                <c:pt idx="2874">
                  <c:v>6640</c:v>
                </c:pt>
                <c:pt idx="2875">
                  <c:v>6320</c:v>
                </c:pt>
                <c:pt idx="2876">
                  <c:v>6220</c:v>
                </c:pt>
                <c:pt idx="2877">
                  <c:v>6180</c:v>
                </c:pt>
                <c:pt idx="2878">
                  <c:v>6160</c:v>
                </c:pt>
                <c:pt idx="2879">
                  <c:v>6060</c:v>
                </c:pt>
                <c:pt idx="2880">
                  <c:v>5960</c:v>
                </c:pt>
                <c:pt idx="2881">
                  <c:v>5840</c:v>
                </c:pt>
                <c:pt idx="2882">
                  <c:v>5800</c:v>
                </c:pt>
                <c:pt idx="2883">
                  <c:v>5600</c:v>
                </c:pt>
                <c:pt idx="2884">
                  <c:v>5400</c:v>
                </c:pt>
                <c:pt idx="2885">
                  <c:v>5300</c:v>
                </c:pt>
                <c:pt idx="2886">
                  <c:v>5200</c:v>
                </c:pt>
                <c:pt idx="2887">
                  <c:v>5100</c:v>
                </c:pt>
                <c:pt idx="2888">
                  <c:v>5000</c:v>
                </c:pt>
                <c:pt idx="2889">
                  <c:v>4980</c:v>
                </c:pt>
                <c:pt idx="2890">
                  <c:v>4780</c:v>
                </c:pt>
                <c:pt idx="2891">
                  <c:v>4680</c:v>
                </c:pt>
                <c:pt idx="2892">
                  <c:v>4580</c:v>
                </c:pt>
                <c:pt idx="2893">
                  <c:v>4560</c:v>
                </c:pt>
                <c:pt idx="2894">
                  <c:v>4420</c:v>
                </c:pt>
                <c:pt idx="2895">
                  <c:v>4340</c:v>
                </c:pt>
                <c:pt idx="2896">
                  <c:v>4320</c:v>
                </c:pt>
                <c:pt idx="2897">
                  <c:v>4120</c:v>
                </c:pt>
                <c:pt idx="2898">
                  <c:v>3920</c:v>
                </c:pt>
                <c:pt idx="2899">
                  <c:v>3820</c:v>
                </c:pt>
                <c:pt idx="2900">
                  <c:v>3780</c:v>
                </c:pt>
                <c:pt idx="2901">
                  <c:v>3700</c:v>
                </c:pt>
                <c:pt idx="2902">
                  <c:v>3680</c:v>
                </c:pt>
                <c:pt idx="2903">
                  <c:v>3580</c:v>
                </c:pt>
                <c:pt idx="2904">
                  <c:v>3380</c:v>
                </c:pt>
                <c:pt idx="2905">
                  <c:v>3340</c:v>
                </c:pt>
                <c:pt idx="2906">
                  <c:v>3300</c:v>
                </c:pt>
                <c:pt idx="2907">
                  <c:v>3100</c:v>
                </c:pt>
                <c:pt idx="2908">
                  <c:v>3060</c:v>
                </c:pt>
                <c:pt idx="2909">
                  <c:v>2980</c:v>
                </c:pt>
                <c:pt idx="2910">
                  <c:v>2940</c:v>
                </c:pt>
                <c:pt idx="2911">
                  <c:v>2900</c:v>
                </c:pt>
                <c:pt idx="2912">
                  <c:v>2860</c:v>
                </c:pt>
                <c:pt idx="2913">
                  <c:v>2780</c:v>
                </c:pt>
                <c:pt idx="2914">
                  <c:v>2680</c:v>
                </c:pt>
                <c:pt idx="2915">
                  <c:v>11000</c:v>
                </c:pt>
                <c:pt idx="2916">
                  <c:v>10920</c:v>
                </c:pt>
                <c:pt idx="2917">
                  <c:v>10880</c:v>
                </c:pt>
                <c:pt idx="2918">
                  <c:v>10660</c:v>
                </c:pt>
                <c:pt idx="2919">
                  <c:v>10640</c:v>
                </c:pt>
                <c:pt idx="2920">
                  <c:v>10540</c:v>
                </c:pt>
                <c:pt idx="2921">
                  <c:v>10500</c:v>
                </c:pt>
                <c:pt idx="2922">
                  <c:v>10420</c:v>
                </c:pt>
                <c:pt idx="2923">
                  <c:v>10340</c:v>
                </c:pt>
                <c:pt idx="2924">
                  <c:v>10300</c:v>
                </c:pt>
                <c:pt idx="2925">
                  <c:v>10260</c:v>
                </c:pt>
                <c:pt idx="2926">
                  <c:v>10080</c:v>
                </c:pt>
                <c:pt idx="2927">
                  <c:v>10040</c:v>
                </c:pt>
                <c:pt idx="2928">
                  <c:v>10000</c:v>
                </c:pt>
                <c:pt idx="2929">
                  <c:v>9900</c:v>
                </c:pt>
                <c:pt idx="2930">
                  <c:v>9840</c:v>
                </c:pt>
                <c:pt idx="2931">
                  <c:v>9800</c:v>
                </c:pt>
                <c:pt idx="2932">
                  <c:v>9760</c:v>
                </c:pt>
                <c:pt idx="2933">
                  <c:v>9740</c:v>
                </c:pt>
                <c:pt idx="2934">
                  <c:v>9700</c:v>
                </c:pt>
                <c:pt idx="2935">
                  <c:v>9620</c:v>
                </c:pt>
                <c:pt idx="2936">
                  <c:v>9600</c:v>
                </c:pt>
                <c:pt idx="2937">
                  <c:v>9540</c:v>
                </c:pt>
                <c:pt idx="2938">
                  <c:v>9500</c:v>
                </c:pt>
                <c:pt idx="2939">
                  <c:v>9400</c:v>
                </c:pt>
                <c:pt idx="2940">
                  <c:v>9320</c:v>
                </c:pt>
                <c:pt idx="2941">
                  <c:v>9200</c:v>
                </c:pt>
                <c:pt idx="2942">
                  <c:v>9160</c:v>
                </c:pt>
                <c:pt idx="2943">
                  <c:v>9060</c:v>
                </c:pt>
                <c:pt idx="2944">
                  <c:v>9020</c:v>
                </c:pt>
                <c:pt idx="2945">
                  <c:v>8920</c:v>
                </c:pt>
                <c:pt idx="2946">
                  <c:v>8720</c:v>
                </c:pt>
                <c:pt idx="2947">
                  <c:v>8520</c:v>
                </c:pt>
                <c:pt idx="2948">
                  <c:v>8480</c:v>
                </c:pt>
                <c:pt idx="2949">
                  <c:v>8420</c:v>
                </c:pt>
                <c:pt idx="2950">
                  <c:v>8380</c:v>
                </c:pt>
                <c:pt idx="2951">
                  <c:v>8340</c:v>
                </c:pt>
                <c:pt idx="2952">
                  <c:v>8240</c:v>
                </c:pt>
                <c:pt idx="2953">
                  <c:v>8200</c:v>
                </c:pt>
                <c:pt idx="2954">
                  <c:v>8100</c:v>
                </c:pt>
                <c:pt idx="2955">
                  <c:v>8000</c:v>
                </c:pt>
                <c:pt idx="2956">
                  <c:v>7880</c:v>
                </c:pt>
                <c:pt idx="2957">
                  <c:v>7840</c:v>
                </c:pt>
                <c:pt idx="2958">
                  <c:v>7800</c:v>
                </c:pt>
                <c:pt idx="2959">
                  <c:v>7400</c:v>
                </c:pt>
                <c:pt idx="2960">
                  <c:v>7320</c:v>
                </c:pt>
                <c:pt idx="2961">
                  <c:v>7280</c:v>
                </c:pt>
                <c:pt idx="2962">
                  <c:v>7160</c:v>
                </c:pt>
                <c:pt idx="2963">
                  <c:v>7120</c:v>
                </c:pt>
                <c:pt idx="2964">
                  <c:v>7080</c:v>
                </c:pt>
                <c:pt idx="2965">
                  <c:v>7060</c:v>
                </c:pt>
                <c:pt idx="2966">
                  <c:v>7020</c:v>
                </c:pt>
                <c:pt idx="2967">
                  <c:v>6980</c:v>
                </c:pt>
                <c:pt idx="2968">
                  <c:v>6920</c:v>
                </c:pt>
                <c:pt idx="2969">
                  <c:v>6720</c:v>
                </c:pt>
                <c:pt idx="2970">
                  <c:v>6700</c:v>
                </c:pt>
                <c:pt idx="2971">
                  <c:v>6580</c:v>
                </c:pt>
                <c:pt idx="2972">
                  <c:v>6380</c:v>
                </c:pt>
                <c:pt idx="2973">
                  <c:v>6280</c:v>
                </c:pt>
                <c:pt idx="2974">
                  <c:v>6220</c:v>
                </c:pt>
                <c:pt idx="2975">
                  <c:v>5720</c:v>
                </c:pt>
                <c:pt idx="2976">
                  <c:v>5680</c:v>
                </c:pt>
                <c:pt idx="2977">
                  <c:v>5640</c:v>
                </c:pt>
                <c:pt idx="2978">
                  <c:v>5620</c:v>
                </c:pt>
                <c:pt idx="2979">
                  <c:v>5560</c:v>
                </c:pt>
                <c:pt idx="2980">
                  <c:v>5460</c:v>
                </c:pt>
                <c:pt idx="2981">
                  <c:v>5440</c:v>
                </c:pt>
                <c:pt idx="2982">
                  <c:v>5420</c:v>
                </c:pt>
                <c:pt idx="2983">
                  <c:v>5360</c:v>
                </c:pt>
                <c:pt idx="2984">
                  <c:v>5320</c:v>
                </c:pt>
                <c:pt idx="2985">
                  <c:v>5120</c:v>
                </c:pt>
                <c:pt idx="2986">
                  <c:v>5060</c:v>
                </c:pt>
                <c:pt idx="2987">
                  <c:v>5020</c:v>
                </c:pt>
                <c:pt idx="2988">
                  <c:v>4620</c:v>
                </c:pt>
                <c:pt idx="2989">
                  <c:v>4580</c:v>
                </c:pt>
                <c:pt idx="2990">
                  <c:v>4480</c:v>
                </c:pt>
                <c:pt idx="2991">
                  <c:v>4380</c:v>
                </c:pt>
                <c:pt idx="2992">
                  <c:v>4280</c:v>
                </c:pt>
                <c:pt idx="2993">
                  <c:v>4160</c:v>
                </c:pt>
                <c:pt idx="2994">
                  <c:v>4020</c:v>
                </c:pt>
                <c:pt idx="2995">
                  <c:v>3900</c:v>
                </c:pt>
                <c:pt idx="2996">
                  <c:v>3700</c:v>
                </c:pt>
                <c:pt idx="2997">
                  <c:v>3600</c:v>
                </c:pt>
                <c:pt idx="2998">
                  <c:v>3400</c:v>
                </c:pt>
                <c:pt idx="2999">
                  <c:v>2900</c:v>
                </c:pt>
                <c:pt idx="3000">
                  <c:v>2800</c:v>
                </c:pt>
                <c:pt idx="3001">
                  <c:v>2700</c:v>
                </c:pt>
                <c:pt idx="3002">
                  <c:v>2600</c:v>
                </c:pt>
                <c:pt idx="3003">
                  <c:v>2500</c:v>
                </c:pt>
                <c:pt idx="3004">
                  <c:v>2380</c:v>
                </c:pt>
                <c:pt idx="3005">
                  <c:v>2300</c:v>
                </c:pt>
                <c:pt idx="3006">
                  <c:v>2200</c:v>
                </c:pt>
                <c:pt idx="3007">
                  <c:v>2100</c:v>
                </c:pt>
                <c:pt idx="3008">
                  <c:v>2000</c:v>
                </c:pt>
                <c:pt idx="3009">
                  <c:v>1940</c:v>
                </c:pt>
                <c:pt idx="3010">
                  <c:v>1840</c:v>
                </c:pt>
                <c:pt idx="3011">
                  <c:v>1800</c:v>
                </c:pt>
                <c:pt idx="3012">
                  <c:v>1720</c:v>
                </c:pt>
                <c:pt idx="3013">
                  <c:v>1620</c:v>
                </c:pt>
                <c:pt idx="3014">
                  <c:v>1120</c:v>
                </c:pt>
                <c:pt idx="3015">
                  <c:v>1080</c:v>
                </c:pt>
                <c:pt idx="3016">
                  <c:v>920</c:v>
                </c:pt>
                <c:pt idx="3017">
                  <c:v>880</c:v>
                </c:pt>
                <c:pt idx="3018">
                  <c:v>760</c:v>
                </c:pt>
                <c:pt idx="3019">
                  <c:v>720</c:v>
                </c:pt>
                <c:pt idx="3020">
                  <c:v>520</c:v>
                </c:pt>
                <c:pt idx="3021">
                  <c:v>460</c:v>
                </c:pt>
                <c:pt idx="3022">
                  <c:v>420</c:v>
                </c:pt>
                <c:pt idx="3023">
                  <c:v>220</c:v>
                </c:pt>
                <c:pt idx="3024">
                  <c:v>120</c:v>
                </c:pt>
                <c:pt idx="3025">
                  <c:v>120</c:v>
                </c:pt>
                <c:pt idx="3026">
                  <c:v>120</c:v>
                </c:pt>
                <c:pt idx="3027">
                  <c:v>80</c:v>
                </c:pt>
                <c:pt idx="3028">
                  <c:v>80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20000</c:v>
                </c:pt>
                <c:pt idx="3039">
                  <c:v>19800</c:v>
                </c:pt>
                <c:pt idx="3040">
                  <c:v>19760</c:v>
                </c:pt>
                <c:pt idx="3041">
                  <c:v>19660</c:v>
                </c:pt>
                <c:pt idx="3042">
                  <c:v>19560</c:v>
                </c:pt>
                <c:pt idx="3043">
                  <c:v>19480</c:v>
                </c:pt>
                <c:pt idx="3044">
                  <c:v>19400</c:v>
                </c:pt>
                <c:pt idx="3045">
                  <c:v>19340</c:v>
                </c:pt>
                <c:pt idx="3046">
                  <c:v>19300</c:v>
                </c:pt>
                <c:pt idx="3047">
                  <c:v>19200</c:v>
                </c:pt>
                <c:pt idx="3048">
                  <c:v>19160</c:v>
                </c:pt>
                <c:pt idx="3049">
                  <c:v>19060</c:v>
                </c:pt>
                <c:pt idx="3050">
                  <c:v>18960</c:v>
                </c:pt>
                <c:pt idx="3051">
                  <c:v>18920</c:v>
                </c:pt>
                <c:pt idx="3052">
                  <c:v>18860</c:v>
                </c:pt>
                <c:pt idx="3053">
                  <c:v>18760</c:v>
                </c:pt>
                <c:pt idx="3054">
                  <c:v>18660</c:v>
                </c:pt>
                <c:pt idx="3055">
                  <c:v>18560</c:v>
                </c:pt>
                <c:pt idx="3056">
                  <c:v>18520</c:v>
                </c:pt>
                <c:pt idx="3057">
                  <c:v>18460</c:v>
                </c:pt>
                <c:pt idx="3058">
                  <c:v>18400</c:v>
                </c:pt>
                <c:pt idx="3059">
                  <c:v>18340</c:v>
                </c:pt>
                <c:pt idx="3060">
                  <c:v>18220</c:v>
                </c:pt>
                <c:pt idx="3061">
                  <c:v>18200</c:v>
                </c:pt>
                <c:pt idx="3062">
                  <c:v>18100</c:v>
                </c:pt>
                <c:pt idx="3063">
                  <c:v>18060</c:v>
                </c:pt>
                <c:pt idx="3064">
                  <c:v>18040</c:v>
                </c:pt>
                <c:pt idx="3065">
                  <c:v>18000</c:v>
                </c:pt>
                <c:pt idx="3066">
                  <c:v>17800</c:v>
                </c:pt>
                <c:pt idx="3067">
                  <c:v>17760</c:v>
                </c:pt>
                <c:pt idx="3068">
                  <c:v>17740</c:v>
                </c:pt>
                <c:pt idx="3069">
                  <c:v>17680</c:v>
                </c:pt>
                <c:pt idx="3070">
                  <c:v>17660</c:v>
                </c:pt>
                <c:pt idx="3071">
                  <c:v>17620</c:v>
                </c:pt>
                <c:pt idx="3072">
                  <c:v>17580</c:v>
                </c:pt>
                <c:pt idx="3073">
                  <c:v>17480</c:v>
                </c:pt>
                <c:pt idx="3074">
                  <c:v>17440</c:v>
                </c:pt>
                <c:pt idx="3075">
                  <c:v>17340</c:v>
                </c:pt>
                <c:pt idx="3076">
                  <c:v>17220</c:v>
                </c:pt>
                <c:pt idx="3077">
                  <c:v>17160</c:v>
                </c:pt>
                <c:pt idx="3078">
                  <c:v>17040</c:v>
                </c:pt>
                <c:pt idx="3079">
                  <c:v>16920</c:v>
                </c:pt>
                <c:pt idx="3080">
                  <c:v>16880</c:v>
                </c:pt>
                <c:pt idx="3081">
                  <c:v>16780</c:v>
                </c:pt>
                <c:pt idx="3082">
                  <c:v>16680</c:v>
                </c:pt>
                <c:pt idx="3083">
                  <c:v>16600</c:v>
                </c:pt>
                <c:pt idx="3084">
                  <c:v>16540</c:v>
                </c:pt>
                <c:pt idx="3085">
                  <c:v>16500</c:v>
                </c:pt>
                <c:pt idx="3086">
                  <c:v>16300</c:v>
                </c:pt>
                <c:pt idx="3087">
                  <c:v>16240</c:v>
                </c:pt>
                <c:pt idx="3088">
                  <c:v>16140</c:v>
                </c:pt>
                <c:pt idx="3089">
                  <c:v>16040</c:v>
                </c:pt>
                <c:pt idx="3090">
                  <c:v>16000</c:v>
                </c:pt>
                <c:pt idx="3091">
                  <c:v>15900</c:v>
                </c:pt>
                <c:pt idx="3092">
                  <c:v>15700</c:v>
                </c:pt>
                <c:pt idx="3093">
                  <c:v>15660</c:v>
                </c:pt>
                <c:pt idx="3094">
                  <c:v>15460</c:v>
                </c:pt>
                <c:pt idx="3095">
                  <c:v>15440</c:v>
                </c:pt>
                <c:pt idx="3096">
                  <c:v>15340</c:v>
                </c:pt>
                <c:pt idx="3097">
                  <c:v>15240</c:v>
                </c:pt>
                <c:pt idx="3098">
                  <c:v>15040</c:v>
                </c:pt>
                <c:pt idx="3099">
                  <c:v>14940</c:v>
                </c:pt>
                <c:pt idx="3100">
                  <c:v>14900</c:v>
                </c:pt>
                <c:pt idx="3101">
                  <c:v>14820</c:v>
                </c:pt>
                <c:pt idx="3102">
                  <c:v>14780</c:v>
                </c:pt>
                <c:pt idx="3103">
                  <c:v>14680</c:v>
                </c:pt>
                <c:pt idx="3104">
                  <c:v>14660</c:v>
                </c:pt>
                <c:pt idx="3105">
                  <c:v>14560</c:v>
                </c:pt>
                <c:pt idx="3106">
                  <c:v>14460</c:v>
                </c:pt>
                <c:pt idx="3107">
                  <c:v>14360</c:v>
                </c:pt>
                <c:pt idx="3108">
                  <c:v>14340</c:v>
                </c:pt>
                <c:pt idx="3109">
                  <c:v>14300</c:v>
                </c:pt>
                <c:pt idx="3110">
                  <c:v>14220</c:v>
                </c:pt>
                <c:pt idx="3111">
                  <c:v>14200</c:v>
                </c:pt>
                <c:pt idx="3112">
                  <c:v>13700</c:v>
                </c:pt>
                <c:pt idx="3113">
                  <c:v>13600</c:v>
                </c:pt>
                <c:pt idx="3114">
                  <c:v>13560</c:v>
                </c:pt>
                <c:pt idx="3115">
                  <c:v>13520</c:v>
                </c:pt>
                <c:pt idx="3116">
                  <c:v>13420</c:v>
                </c:pt>
                <c:pt idx="3117">
                  <c:v>13380</c:v>
                </c:pt>
                <c:pt idx="3118">
                  <c:v>13280</c:v>
                </c:pt>
                <c:pt idx="3119">
                  <c:v>13180</c:v>
                </c:pt>
                <c:pt idx="3120">
                  <c:v>13080</c:v>
                </c:pt>
                <c:pt idx="3121">
                  <c:v>12980</c:v>
                </c:pt>
                <c:pt idx="3122">
                  <c:v>12880</c:v>
                </c:pt>
                <c:pt idx="3123">
                  <c:v>12580</c:v>
                </c:pt>
                <c:pt idx="3124">
                  <c:v>12480</c:v>
                </c:pt>
                <c:pt idx="3125">
                  <c:v>12360</c:v>
                </c:pt>
                <c:pt idx="3126">
                  <c:v>12300</c:v>
                </c:pt>
                <c:pt idx="3127">
                  <c:v>12220</c:v>
                </c:pt>
                <c:pt idx="3128">
                  <c:v>12120</c:v>
                </c:pt>
                <c:pt idx="3129">
                  <c:v>12020</c:v>
                </c:pt>
                <c:pt idx="3130">
                  <c:v>11940</c:v>
                </c:pt>
                <c:pt idx="3131">
                  <c:v>11920</c:v>
                </c:pt>
                <c:pt idx="3132">
                  <c:v>11820</c:v>
                </c:pt>
                <c:pt idx="3133">
                  <c:v>11780</c:v>
                </c:pt>
                <c:pt idx="3134">
                  <c:v>11760</c:v>
                </c:pt>
                <c:pt idx="3135">
                  <c:v>11720</c:v>
                </c:pt>
                <c:pt idx="3136">
                  <c:v>11620</c:v>
                </c:pt>
                <c:pt idx="3137">
                  <c:v>11580</c:v>
                </c:pt>
                <c:pt idx="3138">
                  <c:v>11480</c:v>
                </c:pt>
                <c:pt idx="3139">
                  <c:v>11460</c:v>
                </c:pt>
                <c:pt idx="3140">
                  <c:v>11420</c:v>
                </c:pt>
                <c:pt idx="3141">
                  <c:v>11320</c:v>
                </c:pt>
                <c:pt idx="3142">
                  <c:v>11240</c:v>
                </c:pt>
                <c:pt idx="3143">
                  <c:v>11200</c:v>
                </c:pt>
                <c:pt idx="3144">
                  <c:v>11160</c:v>
                </c:pt>
                <c:pt idx="3145">
                  <c:v>11120</c:v>
                </c:pt>
                <c:pt idx="3146">
                  <c:v>10920</c:v>
                </c:pt>
                <c:pt idx="3147">
                  <c:v>10820</c:v>
                </c:pt>
                <c:pt idx="3148">
                  <c:v>10800</c:v>
                </c:pt>
                <c:pt idx="3149">
                  <c:v>10700</c:v>
                </c:pt>
                <c:pt idx="3150">
                  <c:v>10640</c:v>
                </c:pt>
                <c:pt idx="3151">
                  <c:v>10140</c:v>
                </c:pt>
                <c:pt idx="3152">
                  <c:v>10120</c:v>
                </c:pt>
                <c:pt idx="3153">
                  <c:v>10020</c:v>
                </c:pt>
                <c:pt idx="3154">
                  <c:v>9520</c:v>
                </c:pt>
                <c:pt idx="3155">
                  <c:v>9460</c:v>
                </c:pt>
                <c:pt idx="3156">
                  <c:v>9440</c:v>
                </c:pt>
                <c:pt idx="3157">
                  <c:v>9400</c:v>
                </c:pt>
                <c:pt idx="3158">
                  <c:v>9320</c:v>
                </c:pt>
                <c:pt idx="3159">
                  <c:v>9220</c:v>
                </c:pt>
                <c:pt idx="3160">
                  <c:v>9180</c:v>
                </c:pt>
                <c:pt idx="3161">
                  <c:v>9140</c:v>
                </c:pt>
                <c:pt idx="3162">
                  <c:v>9120</c:v>
                </c:pt>
                <c:pt idx="3163">
                  <c:v>8920</c:v>
                </c:pt>
                <c:pt idx="3164">
                  <c:v>8880</c:v>
                </c:pt>
                <c:pt idx="3165">
                  <c:v>8840</c:v>
                </c:pt>
                <c:pt idx="3166">
                  <c:v>8800</c:v>
                </c:pt>
                <c:pt idx="3167">
                  <c:v>8780</c:v>
                </c:pt>
                <c:pt idx="3168">
                  <c:v>8660</c:v>
                </c:pt>
                <c:pt idx="3169">
                  <c:v>8620</c:v>
                </c:pt>
                <c:pt idx="3170">
                  <c:v>8420</c:v>
                </c:pt>
                <c:pt idx="3171">
                  <c:v>8320</c:v>
                </c:pt>
                <c:pt idx="3172">
                  <c:v>8220</c:v>
                </c:pt>
                <c:pt idx="3173">
                  <c:v>8120</c:v>
                </c:pt>
                <c:pt idx="3174">
                  <c:v>7620</c:v>
                </c:pt>
                <c:pt idx="3175">
                  <c:v>7600</c:v>
                </c:pt>
                <c:pt idx="3176">
                  <c:v>7400</c:v>
                </c:pt>
                <c:pt idx="3177">
                  <c:v>7000</c:v>
                </c:pt>
                <c:pt idx="3178">
                  <c:v>6900</c:v>
                </c:pt>
                <c:pt idx="3179">
                  <c:v>6780</c:v>
                </c:pt>
                <c:pt idx="3180">
                  <c:v>6680</c:v>
                </c:pt>
                <c:pt idx="3181">
                  <c:v>6180</c:v>
                </c:pt>
                <c:pt idx="3182">
                  <c:v>6120</c:v>
                </c:pt>
                <c:pt idx="3183">
                  <c:v>6100</c:v>
                </c:pt>
                <c:pt idx="3184">
                  <c:v>5980</c:v>
                </c:pt>
                <c:pt idx="3185">
                  <c:v>5920</c:v>
                </c:pt>
                <c:pt idx="3186">
                  <c:v>5820</c:v>
                </c:pt>
                <c:pt idx="3187">
                  <c:v>5780</c:v>
                </c:pt>
                <c:pt idx="3188">
                  <c:v>5480</c:v>
                </c:pt>
                <c:pt idx="3189">
                  <c:v>5080</c:v>
                </c:pt>
                <c:pt idx="3190">
                  <c:v>4960</c:v>
                </c:pt>
                <c:pt idx="3191">
                  <c:v>4920</c:v>
                </c:pt>
                <c:pt idx="3192">
                  <c:v>4880</c:v>
                </c:pt>
                <c:pt idx="3193">
                  <c:v>4860</c:v>
                </c:pt>
                <c:pt idx="3194">
                  <c:v>4820</c:v>
                </c:pt>
                <c:pt idx="3195">
                  <c:v>4700</c:v>
                </c:pt>
                <c:pt idx="3196">
                  <c:v>4600</c:v>
                </c:pt>
                <c:pt idx="3197">
                  <c:v>4560</c:v>
                </c:pt>
                <c:pt idx="3198">
                  <c:v>4460</c:v>
                </c:pt>
                <c:pt idx="3199">
                  <c:v>4380</c:v>
                </c:pt>
                <c:pt idx="3200">
                  <c:v>4260</c:v>
                </c:pt>
                <c:pt idx="3201">
                  <c:v>4160</c:v>
                </c:pt>
                <c:pt idx="3202">
                  <c:v>4060</c:v>
                </c:pt>
                <c:pt idx="3203">
                  <c:v>4020</c:v>
                </c:pt>
                <c:pt idx="3204">
                  <c:v>3940</c:v>
                </c:pt>
                <c:pt idx="3205">
                  <c:v>11000</c:v>
                </c:pt>
                <c:pt idx="3206">
                  <c:v>10900</c:v>
                </c:pt>
                <c:pt idx="3207">
                  <c:v>10800</c:v>
                </c:pt>
                <c:pt idx="3208">
                  <c:v>10760</c:v>
                </c:pt>
                <c:pt idx="3209">
                  <c:v>10660</c:v>
                </c:pt>
                <c:pt idx="3210">
                  <c:v>10560</c:v>
                </c:pt>
                <c:pt idx="3211">
                  <c:v>10480</c:v>
                </c:pt>
                <c:pt idx="3212">
                  <c:v>10420</c:v>
                </c:pt>
                <c:pt idx="3213">
                  <c:v>10380</c:v>
                </c:pt>
                <c:pt idx="3214">
                  <c:v>9880</c:v>
                </c:pt>
                <c:pt idx="3215">
                  <c:v>9800</c:v>
                </c:pt>
                <c:pt idx="3216">
                  <c:v>9760</c:v>
                </c:pt>
                <c:pt idx="3217">
                  <c:v>9660</c:v>
                </c:pt>
                <c:pt idx="3218">
                  <c:v>9600</c:v>
                </c:pt>
                <c:pt idx="3219">
                  <c:v>9560</c:v>
                </c:pt>
                <c:pt idx="3220">
                  <c:v>9080</c:v>
                </c:pt>
                <c:pt idx="3221">
                  <c:v>9040</c:v>
                </c:pt>
                <c:pt idx="3222">
                  <c:v>8940</c:v>
                </c:pt>
                <c:pt idx="3223">
                  <c:v>8840</c:v>
                </c:pt>
                <c:pt idx="3224">
                  <c:v>8760</c:v>
                </c:pt>
                <c:pt idx="3225">
                  <c:v>8700</c:v>
                </c:pt>
                <c:pt idx="3226">
                  <c:v>8200</c:v>
                </c:pt>
                <c:pt idx="3227">
                  <c:v>8100</c:v>
                </c:pt>
                <c:pt idx="3228">
                  <c:v>8040</c:v>
                </c:pt>
                <c:pt idx="3229">
                  <c:v>7940</c:v>
                </c:pt>
                <c:pt idx="3230">
                  <c:v>7880</c:v>
                </c:pt>
                <c:pt idx="3231">
                  <c:v>7820</c:v>
                </c:pt>
                <c:pt idx="3232">
                  <c:v>7780</c:v>
                </c:pt>
                <c:pt idx="3233">
                  <c:v>7580</c:v>
                </c:pt>
                <c:pt idx="3234">
                  <c:v>7480</c:v>
                </c:pt>
                <c:pt idx="3235">
                  <c:v>7420</c:v>
                </c:pt>
                <c:pt idx="3236">
                  <c:v>7400</c:v>
                </c:pt>
                <c:pt idx="3237">
                  <c:v>7360</c:v>
                </c:pt>
                <c:pt idx="3238">
                  <c:v>7260</c:v>
                </c:pt>
                <c:pt idx="3239">
                  <c:v>7200</c:v>
                </c:pt>
                <c:pt idx="3240">
                  <c:v>7040</c:v>
                </c:pt>
                <c:pt idx="3241">
                  <c:v>6940</c:v>
                </c:pt>
                <c:pt idx="3242">
                  <c:v>6740</c:v>
                </c:pt>
                <c:pt idx="3243">
                  <c:v>6700</c:v>
                </c:pt>
                <c:pt idx="3244">
                  <c:v>6600</c:v>
                </c:pt>
                <c:pt idx="3245">
                  <c:v>6560</c:v>
                </c:pt>
                <c:pt idx="3246">
                  <c:v>6360</c:v>
                </c:pt>
                <c:pt idx="3247">
                  <c:v>6200</c:v>
                </c:pt>
                <c:pt idx="3248">
                  <c:v>6160</c:v>
                </c:pt>
                <c:pt idx="3249">
                  <c:v>5860</c:v>
                </c:pt>
                <c:pt idx="3250">
                  <c:v>5800</c:v>
                </c:pt>
                <c:pt idx="3251">
                  <c:v>5700</c:v>
                </c:pt>
                <c:pt idx="3252">
                  <c:v>5660</c:v>
                </c:pt>
                <c:pt idx="3253">
                  <c:v>5560</c:v>
                </c:pt>
                <c:pt idx="3254">
                  <c:v>5440</c:v>
                </c:pt>
                <c:pt idx="3255">
                  <c:v>4940</c:v>
                </c:pt>
                <c:pt idx="3256">
                  <c:v>4840</c:v>
                </c:pt>
                <c:pt idx="3257">
                  <c:v>4760</c:v>
                </c:pt>
                <c:pt idx="3258">
                  <c:v>4700</c:v>
                </c:pt>
                <c:pt idx="3259">
                  <c:v>4600</c:v>
                </c:pt>
                <c:pt idx="3260">
                  <c:v>4500</c:v>
                </c:pt>
                <c:pt idx="3261">
                  <c:v>4400</c:v>
                </c:pt>
                <c:pt idx="3262">
                  <c:v>4360</c:v>
                </c:pt>
                <c:pt idx="3263">
                  <c:v>4260</c:v>
                </c:pt>
                <c:pt idx="3264">
                  <c:v>4220</c:v>
                </c:pt>
                <c:pt idx="3265">
                  <c:v>4160</c:v>
                </c:pt>
                <c:pt idx="3266">
                  <c:v>4060</c:v>
                </c:pt>
                <c:pt idx="3267">
                  <c:v>4040</c:v>
                </c:pt>
                <c:pt idx="3268">
                  <c:v>3940</c:v>
                </c:pt>
                <c:pt idx="3269">
                  <c:v>3900</c:v>
                </c:pt>
                <c:pt idx="3270">
                  <c:v>3460</c:v>
                </c:pt>
                <c:pt idx="3271">
                  <c:v>3360</c:v>
                </c:pt>
                <c:pt idx="3272">
                  <c:v>2880</c:v>
                </c:pt>
                <c:pt idx="3273">
                  <c:v>2780</c:v>
                </c:pt>
                <c:pt idx="3274">
                  <c:v>2680</c:v>
                </c:pt>
                <c:pt idx="3275">
                  <c:v>2620</c:v>
                </c:pt>
                <c:pt idx="3276">
                  <c:v>2120</c:v>
                </c:pt>
                <c:pt idx="3277">
                  <c:v>1940</c:v>
                </c:pt>
                <c:pt idx="3278">
                  <c:v>1900</c:v>
                </c:pt>
                <c:pt idx="3279">
                  <c:v>1520</c:v>
                </c:pt>
                <c:pt idx="3280">
                  <c:v>1400</c:v>
                </c:pt>
                <c:pt idx="3281">
                  <c:v>1320</c:v>
                </c:pt>
                <c:pt idx="3282">
                  <c:v>1260</c:v>
                </c:pt>
                <c:pt idx="3283">
                  <c:v>1220</c:v>
                </c:pt>
                <c:pt idx="3284">
                  <c:v>1100</c:v>
                </c:pt>
                <c:pt idx="3285">
                  <c:v>1000</c:v>
                </c:pt>
                <c:pt idx="3286">
                  <c:v>960</c:v>
                </c:pt>
                <c:pt idx="3287">
                  <c:v>900</c:v>
                </c:pt>
                <c:pt idx="3288">
                  <c:v>860</c:v>
                </c:pt>
                <c:pt idx="3289">
                  <c:v>820</c:v>
                </c:pt>
                <c:pt idx="3290">
                  <c:v>720</c:v>
                </c:pt>
                <c:pt idx="3291">
                  <c:v>620</c:v>
                </c:pt>
                <c:pt idx="3292">
                  <c:v>560</c:v>
                </c:pt>
                <c:pt idx="3293">
                  <c:v>520</c:v>
                </c:pt>
                <c:pt idx="3294">
                  <c:v>420</c:v>
                </c:pt>
                <c:pt idx="3295">
                  <c:v>220</c:v>
                </c:pt>
                <c:pt idx="3296">
                  <c:v>100</c:v>
                </c:pt>
                <c:pt idx="3297">
                  <c:v>80</c:v>
                </c:pt>
                <c:pt idx="3298">
                  <c:v>80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20000</c:v>
                </c:pt>
                <c:pt idx="3309">
                  <c:v>19900</c:v>
                </c:pt>
                <c:pt idx="3310">
                  <c:v>19800</c:v>
                </c:pt>
                <c:pt idx="3311">
                  <c:v>19720</c:v>
                </c:pt>
                <c:pt idx="3312">
                  <c:v>19320</c:v>
                </c:pt>
                <c:pt idx="3313">
                  <c:v>19220</c:v>
                </c:pt>
                <c:pt idx="3314">
                  <c:v>19180</c:v>
                </c:pt>
                <c:pt idx="3315">
                  <c:v>18980</c:v>
                </c:pt>
                <c:pt idx="3316">
                  <c:v>18780</c:v>
                </c:pt>
                <c:pt idx="3317">
                  <c:v>18660</c:v>
                </c:pt>
                <c:pt idx="3318">
                  <c:v>18540</c:v>
                </c:pt>
                <c:pt idx="3319">
                  <c:v>18480</c:v>
                </c:pt>
                <c:pt idx="3320">
                  <c:v>18460</c:v>
                </c:pt>
                <c:pt idx="3321">
                  <c:v>18360</c:v>
                </c:pt>
                <c:pt idx="3322">
                  <c:v>18260</c:v>
                </c:pt>
                <c:pt idx="3323">
                  <c:v>18060</c:v>
                </c:pt>
                <c:pt idx="3324">
                  <c:v>18020</c:v>
                </c:pt>
                <c:pt idx="3325">
                  <c:v>17820</c:v>
                </c:pt>
                <c:pt idx="3326">
                  <c:v>17780</c:v>
                </c:pt>
                <c:pt idx="3327">
                  <c:v>17680</c:v>
                </c:pt>
                <c:pt idx="3328">
                  <c:v>17600</c:v>
                </c:pt>
                <c:pt idx="3329">
                  <c:v>17500</c:v>
                </c:pt>
                <c:pt idx="3330">
                  <c:v>17440</c:v>
                </c:pt>
                <c:pt idx="3331">
                  <c:v>17360</c:v>
                </c:pt>
                <c:pt idx="3332">
                  <c:v>17280</c:v>
                </c:pt>
                <c:pt idx="3333">
                  <c:v>17160</c:v>
                </c:pt>
                <c:pt idx="3334">
                  <c:v>17140</c:v>
                </c:pt>
                <c:pt idx="3335">
                  <c:v>17040</c:v>
                </c:pt>
                <c:pt idx="3336">
                  <c:v>17000</c:v>
                </c:pt>
                <c:pt idx="3337">
                  <c:v>16960</c:v>
                </c:pt>
                <c:pt idx="3338">
                  <c:v>16920</c:v>
                </c:pt>
                <c:pt idx="3339">
                  <c:v>16880</c:v>
                </c:pt>
                <c:pt idx="3340">
                  <c:v>16800</c:v>
                </c:pt>
                <c:pt idx="3341">
                  <c:v>16700</c:v>
                </c:pt>
                <c:pt idx="3342">
                  <c:v>16540</c:v>
                </c:pt>
                <c:pt idx="3343">
                  <c:v>16440</c:v>
                </c:pt>
                <c:pt idx="3344">
                  <c:v>16240</c:v>
                </c:pt>
                <c:pt idx="3345">
                  <c:v>16120</c:v>
                </c:pt>
                <c:pt idx="3346">
                  <c:v>15720</c:v>
                </c:pt>
                <c:pt idx="3347">
                  <c:v>15680</c:v>
                </c:pt>
                <c:pt idx="3348">
                  <c:v>15620</c:v>
                </c:pt>
                <c:pt idx="3349">
                  <c:v>15520</c:v>
                </c:pt>
                <c:pt idx="3350">
                  <c:v>15420</c:v>
                </c:pt>
                <c:pt idx="3351">
                  <c:v>15380</c:v>
                </c:pt>
                <c:pt idx="3352">
                  <c:v>15280</c:v>
                </c:pt>
                <c:pt idx="3353">
                  <c:v>15200</c:v>
                </c:pt>
                <c:pt idx="3354">
                  <c:v>15140</c:v>
                </c:pt>
                <c:pt idx="3355">
                  <c:v>15040</c:v>
                </c:pt>
                <c:pt idx="3356">
                  <c:v>14940</c:v>
                </c:pt>
                <c:pt idx="3357">
                  <c:v>14900</c:v>
                </c:pt>
                <c:pt idx="3358">
                  <c:v>14840</c:v>
                </c:pt>
                <c:pt idx="3359">
                  <c:v>14760</c:v>
                </c:pt>
                <c:pt idx="3360">
                  <c:v>14660</c:v>
                </c:pt>
                <c:pt idx="3361">
                  <c:v>14640</c:v>
                </c:pt>
                <c:pt idx="3362">
                  <c:v>14560</c:v>
                </c:pt>
                <c:pt idx="3363">
                  <c:v>14460</c:v>
                </c:pt>
                <c:pt idx="3364">
                  <c:v>14320</c:v>
                </c:pt>
                <c:pt idx="3365">
                  <c:v>14280</c:v>
                </c:pt>
                <c:pt idx="3366">
                  <c:v>14160</c:v>
                </c:pt>
                <c:pt idx="3367">
                  <c:v>14140</c:v>
                </c:pt>
                <c:pt idx="3368">
                  <c:v>14120</c:v>
                </c:pt>
                <c:pt idx="3369">
                  <c:v>14080</c:v>
                </c:pt>
                <c:pt idx="3370">
                  <c:v>14040</c:v>
                </c:pt>
                <c:pt idx="3371">
                  <c:v>13940</c:v>
                </c:pt>
                <c:pt idx="3372">
                  <c:v>13840</c:v>
                </c:pt>
                <c:pt idx="3373">
                  <c:v>13820</c:v>
                </c:pt>
                <c:pt idx="3374">
                  <c:v>13720</c:v>
                </c:pt>
                <c:pt idx="3375">
                  <c:v>13680</c:v>
                </c:pt>
                <c:pt idx="3376">
                  <c:v>13580</c:v>
                </c:pt>
                <c:pt idx="3377">
                  <c:v>13480</c:v>
                </c:pt>
                <c:pt idx="3378">
                  <c:v>13380</c:v>
                </c:pt>
                <c:pt idx="3379">
                  <c:v>13340</c:v>
                </c:pt>
                <c:pt idx="3380">
                  <c:v>13220</c:v>
                </c:pt>
                <c:pt idx="3381">
                  <c:v>13040</c:v>
                </c:pt>
                <c:pt idx="3382">
                  <c:v>12940</c:v>
                </c:pt>
                <c:pt idx="3383">
                  <c:v>12900</c:v>
                </c:pt>
                <c:pt idx="3384">
                  <c:v>12720</c:v>
                </c:pt>
                <c:pt idx="3385">
                  <c:v>12620</c:v>
                </c:pt>
                <c:pt idx="3386">
                  <c:v>12540</c:v>
                </c:pt>
                <c:pt idx="3387">
                  <c:v>12520</c:v>
                </c:pt>
                <c:pt idx="3388">
                  <c:v>12420</c:v>
                </c:pt>
                <c:pt idx="3389">
                  <c:v>12340</c:v>
                </c:pt>
                <c:pt idx="3390">
                  <c:v>12180</c:v>
                </c:pt>
                <c:pt idx="3391">
                  <c:v>12140</c:v>
                </c:pt>
                <c:pt idx="3392">
                  <c:v>11940</c:v>
                </c:pt>
                <c:pt idx="3393">
                  <c:v>11920</c:v>
                </c:pt>
                <c:pt idx="3394">
                  <c:v>11720</c:v>
                </c:pt>
                <c:pt idx="3395">
                  <c:v>11680</c:v>
                </c:pt>
                <c:pt idx="3396">
                  <c:v>11600</c:v>
                </c:pt>
                <c:pt idx="3397">
                  <c:v>11500</c:v>
                </c:pt>
                <c:pt idx="3398">
                  <c:v>11420</c:v>
                </c:pt>
                <c:pt idx="3399">
                  <c:v>11220</c:v>
                </c:pt>
                <c:pt idx="3400">
                  <c:v>10940</c:v>
                </c:pt>
                <c:pt idx="3401">
                  <c:v>10920</c:v>
                </c:pt>
                <c:pt idx="3402">
                  <c:v>10840</c:v>
                </c:pt>
                <c:pt idx="3403">
                  <c:v>10800</c:v>
                </c:pt>
                <c:pt idx="3404">
                  <c:v>10740</c:v>
                </c:pt>
                <c:pt idx="3405">
                  <c:v>10640</c:v>
                </c:pt>
                <c:pt idx="3406">
                  <c:v>10500</c:v>
                </c:pt>
                <c:pt idx="3407">
                  <c:v>10460</c:v>
                </c:pt>
                <c:pt idx="3408">
                  <c:v>10380</c:v>
                </c:pt>
                <c:pt idx="3409">
                  <c:v>10340</c:v>
                </c:pt>
                <c:pt idx="3410">
                  <c:v>10240</c:v>
                </c:pt>
                <c:pt idx="3411">
                  <c:v>10140</c:v>
                </c:pt>
                <c:pt idx="3412">
                  <c:v>9940</c:v>
                </c:pt>
                <c:pt idx="3413">
                  <c:v>9840</c:v>
                </c:pt>
                <c:pt idx="3414">
                  <c:v>9800</c:v>
                </c:pt>
                <c:pt idx="3415">
                  <c:v>9720</c:v>
                </c:pt>
                <c:pt idx="3416">
                  <c:v>9620</c:v>
                </c:pt>
                <c:pt idx="3417">
                  <c:v>9420</c:v>
                </c:pt>
                <c:pt idx="3418">
                  <c:v>9380</c:v>
                </c:pt>
                <c:pt idx="3419">
                  <c:v>9280</c:v>
                </c:pt>
                <c:pt idx="3420">
                  <c:v>9240</c:v>
                </c:pt>
                <c:pt idx="3421">
                  <c:v>9140</c:v>
                </c:pt>
                <c:pt idx="3422">
                  <c:v>9060</c:v>
                </c:pt>
                <c:pt idx="3423">
                  <c:v>8940</c:v>
                </c:pt>
                <c:pt idx="3424">
                  <c:v>8880</c:v>
                </c:pt>
                <c:pt idx="3425">
                  <c:v>8840</c:v>
                </c:pt>
                <c:pt idx="3426">
                  <c:v>8740</c:v>
                </c:pt>
                <c:pt idx="3427">
                  <c:v>8680</c:v>
                </c:pt>
                <c:pt idx="3428">
                  <c:v>8620</c:v>
                </c:pt>
                <c:pt idx="3429">
                  <c:v>8600</c:v>
                </c:pt>
                <c:pt idx="3430">
                  <c:v>8520</c:v>
                </c:pt>
                <c:pt idx="3431">
                  <c:v>8460</c:v>
                </c:pt>
                <c:pt idx="3432">
                  <c:v>8440</c:v>
                </c:pt>
                <c:pt idx="3433">
                  <c:v>8340</c:v>
                </c:pt>
                <c:pt idx="3434">
                  <c:v>8320</c:v>
                </c:pt>
                <c:pt idx="3435">
                  <c:v>8220</c:v>
                </c:pt>
                <c:pt idx="3436">
                  <c:v>8180</c:v>
                </c:pt>
                <c:pt idx="3437">
                  <c:v>8160</c:v>
                </c:pt>
                <c:pt idx="3438">
                  <c:v>8060</c:v>
                </c:pt>
                <c:pt idx="3439">
                  <c:v>7980</c:v>
                </c:pt>
                <c:pt idx="3440">
                  <c:v>7960</c:v>
                </c:pt>
                <c:pt idx="3441">
                  <c:v>7860</c:v>
                </c:pt>
                <c:pt idx="3442">
                  <c:v>7660</c:v>
                </c:pt>
                <c:pt idx="3443">
                  <c:v>7560</c:v>
                </c:pt>
                <c:pt idx="3444">
                  <c:v>7520</c:v>
                </c:pt>
                <c:pt idx="3445">
                  <c:v>7500</c:v>
                </c:pt>
                <c:pt idx="3446">
                  <c:v>7400</c:v>
                </c:pt>
                <c:pt idx="3447">
                  <c:v>7380</c:v>
                </c:pt>
                <c:pt idx="3448">
                  <c:v>6980</c:v>
                </c:pt>
                <c:pt idx="3449">
                  <c:v>6880</c:v>
                </c:pt>
                <c:pt idx="3450">
                  <c:v>6820</c:v>
                </c:pt>
                <c:pt idx="3451">
                  <c:v>6700</c:v>
                </c:pt>
                <c:pt idx="3452">
                  <c:v>6640</c:v>
                </c:pt>
                <c:pt idx="3453">
                  <c:v>6540</c:v>
                </c:pt>
                <c:pt idx="3454">
                  <c:v>6480</c:v>
                </c:pt>
                <c:pt idx="3455">
                  <c:v>6420</c:v>
                </c:pt>
                <c:pt idx="3456">
                  <c:v>6400</c:v>
                </c:pt>
                <c:pt idx="3457">
                  <c:v>6360</c:v>
                </c:pt>
                <c:pt idx="3458">
                  <c:v>6260</c:v>
                </c:pt>
                <c:pt idx="3459">
                  <c:v>6220</c:v>
                </c:pt>
                <c:pt idx="3460">
                  <c:v>6180</c:v>
                </c:pt>
                <c:pt idx="3461">
                  <c:v>6080</c:v>
                </c:pt>
                <c:pt idx="3462">
                  <c:v>5860</c:v>
                </c:pt>
                <c:pt idx="3463">
                  <c:v>5760</c:v>
                </c:pt>
                <c:pt idx="3464">
                  <c:v>5680</c:v>
                </c:pt>
                <c:pt idx="3465">
                  <c:v>5480</c:v>
                </c:pt>
                <c:pt idx="3466">
                  <c:v>5380</c:v>
                </c:pt>
                <c:pt idx="3467">
                  <c:v>5340</c:v>
                </c:pt>
                <c:pt idx="3468">
                  <c:v>5240</c:v>
                </c:pt>
                <c:pt idx="3469">
                  <c:v>5220</c:v>
                </c:pt>
                <c:pt idx="3470">
                  <c:v>5140</c:v>
                </c:pt>
                <c:pt idx="3471">
                  <c:v>5100</c:v>
                </c:pt>
                <c:pt idx="3472">
                  <c:v>5060</c:v>
                </c:pt>
                <c:pt idx="3473">
                  <c:v>5020</c:v>
                </c:pt>
                <c:pt idx="3474">
                  <c:v>4960</c:v>
                </c:pt>
                <c:pt idx="3475">
                  <c:v>4900</c:v>
                </c:pt>
                <c:pt idx="3476">
                  <c:v>4860</c:v>
                </c:pt>
                <c:pt idx="3477">
                  <c:v>4760</c:v>
                </c:pt>
                <c:pt idx="3478">
                  <c:v>4740</c:v>
                </c:pt>
                <c:pt idx="3479">
                  <c:v>4680</c:v>
                </c:pt>
                <c:pt idx="3480">
                  <c:v>4660</c:v>
                </c:pt>
                <c:pt idx="3481">
                  <c:v>4580</c:v>
                </c:pt>
                <c:pt idx="3482">
                  <c:v>4480</c:v>
                </c:pt>
                <c:pt idx="3483">
                  <c:v>11000</c:v>
                </c:pt>
                <c:pt idx="3484">
                  <c:v>10940</c:v>
                </c:pt>
                <c:pt idx="3485">
                  <c:v>10800</c:v>
                </c:pt>
                <c:pt idx="3486">
                  <c:v>10760</c:v>
                </c:pt>
                <c:pt idx="3487">
                  <c:v>10660</c:v>
                </c:pt>
                <c:pt idx="3488">
                  <c:v>10560</c:v>
                </c:pt>
                <c:pt idx="3489">
                  <c:v>10420</c:v>
                </c:pt>
                <c:pt idx="3490">
                  <c:v>10380</c:v>
                </c:pt>
                <c:pt idx="3491">
                  <c:v>10280</c:v>
                </c:pt>
                <c:pt idx="3492">
                  <c:v>10180</c:v>
                </c:pt>
                <c:pt idx="3493">
                  <c:v>10160</c:v>
                </c:pt>
                <c:pt idx="3494">
                  <c:v>10120</c:v>
                </c:pt>
                <c:pt idx="3495">
                  <c:v>10100</c:v>
                </c:pt>
                <c:pt idx="3496">
                  <c:v>10060</c:v>
                </c:pt>
                <c:pt idx="3497">
                  <c:v>9960</c:v>
                </c:pt>
                <c:pt idx="3498">
                  <c:v>9940</c:v>
                </c:pt>
                <c:pt idx="3499">
                  <c:v>9740</c:v>
                </c:pt>
                <c:pt idx="3500">
                  <c:v>9540</c:v>
                </c:pt>
                <c:pt idx="3501">
                  <c:v>9440</c:v>
                </c:pt>
                <c:pt idx="3502">
                  <c:v>9340</c:v>
                </c:pt>
                <c:pt idx="3503">
                  <c:v>9240</c:v>
                </c:pt>
                <c:pt idx="3504">
                  <c:v>9160</c:v>
                </c:pt>
                <c:pt idx="3505">
                  <c:v>9080</c:v>
                </c:pt>
                <c:pt idx="3506">
                  <c:v>9020</c:v>
                </c:pt>
                <c:pt idx="3507">
                  <c:v>8880</c:v>
                </c:pt>
                <c:pt idx="3508">
                  <c:v>8820</c:v>
                </c:pt>
                <c:pt idx="3509">
                  <c:v>8740</c:v>
                </c:pt>
                <c:pt idx="3510">
                  <c:v>8700</c:v>
                </c:pt>
                <c:pt idx="3511">
                  <c:v>8660</c:v>
                </c:pt>
                <c:pt idx="3512">
                  <c:v>8260</c:v>
                </c:pt>
                <c:pt idx="3513">
                  <c:v>8160</c:v>
                </c:pt>
                <c:pt idx="3514">
                  <c:v>8120</c:v>
                </c:pt>
                <c:pt idx="3515">
                  <c:v>7820</c:v>
                </c:pt>
                <c:pt idx="3516">
                  <c:v>7640</c:v>
                </c:pt>
                <c:pt idx="3517">
                  <c:v>7540</c:v>
                </c:pt>
                <c:pt idx="3518">
                  <c:v>7440</c:v>
                </c:pt>
                <c:pt idx="3519">
                  <c:v>7360</c:v>
                </c:pt>
                <c:pt idx="3520">
                  <c:v>6860</c:v>
                </c:pt>
                <c:pt idx="3521">
                  <c:v>6820</c:v>
                </c:pt>
                <c:pt idx="3522">
                  <c:v>6740</c:v>
                </c:pt>
                <c:pt idx="3523">
                  <c:v>6600</c:v>
                </c:pt>
                <c:pt idx="3524">
                  <c:v>6540</c:v>
                </c:pt>
                <c:pt idx="3525">
                  <c:v>6480</c:v>
                </c:pt>
                <c:pt idx="3526">
                  <c:v>5980</c:v>
                </c:pt>
                <c:pt idx="3527">
                  <c:v>5860</c:v>
                </c:pt>
                <c:pt idx="3528">
                  <c:v>5460</c:v>
                </c:pt>
                <c:pt idx="3529">
                  <c:v>5340</c:v>
                </c:pt>
                <c:pt idx="3530">
                  <c:v>5240</c:v>
                </c:pt>
                <c:pt idx="3531">
                  <c:v>5160</c:v>
                </c:pt>
                <c:pt idx="3532">
                  <c:v>5060</c:v>
                </c:pt>
                <c:pt idx="3533">
                  <c:v>5020</c:v>
                </c:pt>
                <c:pt idx="3534">
                  <c:v>5000</c:v>
                </c:pt>
                <c:pt idx="3535">
                  <c:v>4800</c:v>
                </c:pt>
                <c:pt idx="3536">
                  <c:v>4700</c:v>
                </c:pt>
                <c:pt idx="3537">
                  <c:v>4600</c:v>
                </c:pt>
                <c:pt idx="3538">
                  <c:v>4500</c:v>
                </c:pt>
                <c:pt idx="3539">
                  <c:v>4420</c:v>
                </c:pt>
                <c:pt idx="3540">
                  <c:v>4380</c:v>
                </c:pt>
                <c:pt idx="3541">
                  <c:v>4280</c:v>
                </c:pt>
                <c:pt idx="3542">
                  <c:v>4200</c:v>
                </c:pt>
                <c:pt idx="3543">
                  <c:v>4180</c:v>
                </c:pt>
                <c:pt idx="3544">
                  <c:v>4080</c:v>
                </c:pt>
                <c:pt idx="3545">
                  <c:v>4040</c:v>
                </c:pt>
                <c:pt idx="3546">
                  <c:v>3940</c:v>
                </c:pt>
                <c:pt idx="3547">
                  <c:v>3840</c:v>
                </c:pt>
                <c:pt idx="3548">
                  <c:v>3740</c:v>
                </c:pt>
                <c:pt idx="3549">
                  <c:v>3680</c:v>
                </c:pt>
                <c:pt idx="3550">
                  <c:v>3580</c:v>
                </c:pt>
                <c:pt idx="3551">
                  <c:v>3480</c:v>
                </c:pt>
                <c:pt idx="3552">
                  <c:v>3440</c:v>
                </c:pt>
                <c:pt idx="3553">
                  <c:v>3400</c:v>
                </c:pt>
                <c:pt idx="3554">
                  <c:v>3300</c:v>
                </c:pt>
                <c:pt idx="3555">
                  <c:v>3200</c:v>
                </c:pt>
                <c:pt idx="3556">
                  <c:v>3100</c:v>
                </c:pt>
                <c:pt idx="3557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C4-D44D-B5DC-4EA5D4355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34447"/>
        <c:axId val="1433389392"/>
      </c:lineChart>
      <c:catAx>
        <c:axId val="121334447"/>
        <c:scaling>
          <c:orientation val="minMax"/>
        </c:scaling>
        <c:delete val="1"/>
        <c:axPos val="b"/>
        <c:majorTickMark val="none"/>
        <c:minorTickMark val="none"/>
        <c:tickLblPos val="nextTo"/>
        <c:crossAx val="1433389392"/>
        <c:crosses val="autoZero"/>
        <c:auto val="1"/>
        <c:lblAlgn val="ctr"/>
        <c:lblOffset val="100"/>
        <c:noMultiLvlLbl val="0"/>
      </c:catAx>
      <c:valAx>
        <c:axId val="143338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34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'Analyze Replenishment Schedule'!$T$13</c:f>
              <c:strCache>
                <c:ptCount val="1"/>
                <c:pt idx="0">
                  <c:v>Annual After-Tax Estimates</c:v>
                </c:pt>
              </c:strCache>
            </c:strRef>
          </c:tx>
          <c:spPr>
            <a:solidFill>
              <a:srgbClr val="9BBB59">
                <a:alpha val="76863"/>
              </a:srgbClr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'Analyze Replenishment Schedule'!$Q$14:$Q$18</c:f>
              <c:strCache>
                <c:ptCount val="5"/>
                <c:pt idx="0">
                  <c:v>Net ATM Transaction Fees</c:v>
                </c:pt>
                <c:pt idx="1">
                  <c:v>ATM Replenishment Cost</c:v>
                </c:pt>
                <c:pt idx="2">
                  <c:v>ATM Working Capital Cost</c:v>
                </c:pt>
                <c:pt idx="3">
                  <c:v>ATM Cost of Ownership</c:v>
                </c:pt>
                <c:pt idx="4">
                  <c:v>ATM Net Profit</c:v>
                </c:pt>
              </c:strCache>
            </c:strRef>
          </c:cat>
          <c:val>
            <c:numRef>
              <c:f>'Analyze Replenishment Schedule'!$T$14:$T$18</c:f>
              <c:numCache>
                <c:formatCode>"$"#,##0.00_);[Red]\("$"#,##0.00\)</c:formatCode>
                <c:ptCount val="5"/>
                <c:pt idx="0">
                  <c:v>5389.0107608695635</c:v>
                </c:pt>
                <c:pt idx="1">
                  <c:v>-1625.3391304347826</c:v>
                </c:pt>
                <c:pt idx="2">
                  <c:v>-538.20858846330088</c:v>
                </c:pt>
                <c:pt idx="3">
                  <c:v>-2131.4934517410293</c:v>
                </c:pt>
                <c:pt idx="4">
                  <c:v>1093.9695902304511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D99694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547-6645-AA43-3E852283B87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39420095"/>
        <c:axId val="400480160"/>
      </c:barChart>
      <c:catAx>
        <c:axId val="939420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480160"/>
        <c:crossesAt val="0"/>
        <c:auto val="1"/>
        <c:lblAlgn val="ctr"/>
        <c:lblOffset val="100"/>
        <c:noMultiLvlLbl val="0"/>
      </c:catAx>
      <c:valAx>
        <c:axId val="4004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420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15" fmlaLink="$M$10" max="100" page="10" val="21"/>
</file>

<file path=xl/ctrlProps/ctrlProp4.xml><?xml version="1.0" encoding="utf-8"?>
<formControlPr xmlns="http://schemas.microsoft.com/office/spreadsheetml/2009/9/main" objectType="Spin" dx="15" fmlaLink="$M$11" max="100" page="10" val="6"/>
</file>

<file path=xl/ctrlProps/ctrlProp5.xml><?xml version="1.0" encoding="utf-8"?>
<formControlPr xmlns="http://schemas.microsoft.com/office/spreadsheetml/2009/9/main" objectType="Spin" dx="15" fmlaLink="$I$11" inc="1000" max="20000" page="10" val="16000"/>
</file>

<file path=xl/ctrlProps/ctrlProp6.xml><?xml version="1.0" encoding="utf-8"?>
<formControlPr xmlns="http://schemas.microsoft.com/office/spreadsheetml/2009/9/main" objectType="Spin" dx="15" fmlaLink="$J$12" max="100" page="10" val="2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Spin" dx="16" fmlaLink="$G$6" inc="1000" max="20000" page="10" val="11000"/>
</file>

<file path=xl/ctrlProps/ctrlProp15.xml><?xml version="1.0" encoding="utf-8"?>
<formControlPr xmlns="http://schemas.microsoft.com/office/spreadsheetml/2009/9/main" objectType="Spin" dx="16" fmlaLink="$G$7" inc="1000" max="20000" page="10" val="16000"/>
</file>

<file path=xl/ctrlProps/ctrlProp16.xml><?xml version="1.0" encoding="utf-8"?>
<formControlPr xmlns="http://schemas.microsoft.com/office/spreadsheetml/2009/9/main" objectType="Spin" dx="16" fmlaLink="$G$8" inc="1000" max="20000" page="10" val="20000"/>
</file>

<file path=xl/ctrlProps/ctrlProp17.xml><?xml version="1.0" encoding="utf-8"?>
<formControlPr xmlns="http://schemas.microsoft.com/office/spreadsheetml/2009/9/main" objectType="Spin" dx="16" fmlaLink="$G$9" inc="1000" max="20000" page="10" val="20000"/>
</file>

<file path=xl/ctrlProps/ctrlProp18.xml><?xml version="1.0" encoding="utf-8"?>
<formControlPr xmlns="http://schemas.microsoft.com/office/spreadsheetml/2009/9/main" objectType="Spin" dx="16" fmlaLink="$G$10" inc="1000" max="20000" page="10" val="12000"/>
</file>

<file path=xl/ctrlProps/ctrlProp19.xml><?xml version="1.0" encoding="utf-8"?>
<formControlPr xmlns="http://schemas.microsoft.com/office/spreadsheetml/2009/9/main" objectType="Spin" dx="16" fmlaLink="$G$11" inc="1000" max="20000" page="10" val="11000"/>
</file>

<file path=xl/ctrlProps/ctrlProp20.xml><?xml version="1.0" encoding="utf-8"?>
<formControlPr xmlns="http://schemas.microsoft.com/office/spreadsheetml/2009/9/main" objectType="Spin" dx="16" fmlaLink="$G$12" inc="1000" max="20000" page="10" val="14000"/>
</file>

<file path=xl/ctrlProps/ctrlProp2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95251</xdr:colOff>
      <xdr:row>3</xdr:row>
      <xdr:rowOff>79375</xdr:rowOff>
    </xdr:from>
    <xdr:ext cx="6138332" cy="561283"/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164418" y="862542"/>
          <a:ext cx="6138332" cy="561283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2400" b="1" i="1">
              <a:solidFill>
                <a:schemeClr val="tx1"/>
              </a:solidFill>
            </a:rPr>
            <a:t>STEP</a:t>
          </a:r>
          <a:r>
            <a:rPr lang="en-US" sz="2400" b="1" i="1" baseline="0">
              <a:solidFill>
                <a:schemeClr val="tx1"/>
              </a:solidFill>
            </a:rPr>
            <a:t> 1:  Select ATM and Transaction Dates</a:t>
          </a:r>
          <a:endParaRPr lang="en-US" sz="1600" b="1" i="1">
            <a:solidFill>
              <a:schemeClr val="tx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330200</xdr:colOff>
          <xdr:row>3</xdr:row>
          <xdr:rowOff>469900</xdr:rowOff>
        </xdr:from>
        <xdr:to>
          <xdr:col>16</xdr:col>
          <xdr:colOff>215900</xdr:colOff>
          <xdr:row>5</xdr:row>
          <xdr:rowOff>368300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Step 2: Enter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330200</xdr:colOff>
          <xdr:row>6</xdr:row>
          <xdr:rowOff>139700</xdr:rowOff>
        </xdr:from>
        <xdr:to>
          <xdr:col>16</xdr:col>
          <xdr:colOff>101600</xdr:colOff>
          <xdr:row>8</xdr:row>
          <xdr:rowOff>38100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1" i="1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Refresh ATM Transactions</a:t>
              </a:r>
            </a:p>
            <a:p>
              <a:pPr algn="ctr" rtl="0">
                <a:defRPr sz="1000"/>
              </a:pPr>
              <a:endParaRPr lang="en-GB" sz="1000" b="1" i="1" u="none" strike="noStrike" baseline="0">
                <a:solidFill>
                  <a:srgbClr val="000000"/>
                </a:solidFill>
                <a:latin typeface="Times New Roman" pitchFamily="1" charset="0"/>
                <a:cs typeface="Times New Roman" pitchFamily="1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171449</xdr:colOff>
      <xdr:row>1</xdr:row>
      <xdr:rowOff>108188</xdr:rowOff>
    </xdr:from>
    <xdr:ext cx="4191001" cy="561283"/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78668" y="274876"/>
          <a:ext cx="4191001" cy="561283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2400" b="1" i="1">
              <a:solidFill>
                <a:schemeClr val="tx1"/>
              </a:solidFill>
            </a:rPr>
            <a:t>STEP</a:t>
          </a:r>
          <a:r>
            <a:rPr lang="en-US" sz="2400" b="1" i="1" baseline="0">
              <a:solidFill>
                <a:schemeClr val="tx1"/>
              </a:solidFill>
            </a:rPr>
            <a:t> 2: Enter Cost Parameters</a:t>
          </a:r>
          <a:endParaRPr lang="en-US" sz="1600" b="1" i="1">
            <a:solidFill>
              <a:schemeClr val="tx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8</xdr:row>
          <xdr:rowOff>330200</xdr:rowOff>
        </xdr:from>
        <xdr:to>
          <xdr:col>12</xdr:col>
          <xdr:colOff>520700</xdr:colOff>
          <xdr:row>10</xdr:row>
          <xdr:rowOff>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10</xdr:row>
          <xdr:rowOff>12700</xdr:rowOff>
        </xdr:from>
        <xdr:to>
          <xdr:col>12</xdr:col>
          <xdr:colOff>546100</xdr:colOff>
          <xdr:row>11</xdr:row>
          <xdr:rowOff>12700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9</xdr:row>
          <xdr:rowOff>342900</xdr:rowOff>
        </xdr:from>
        <xdr:to>
          <xdr:col>9</xdr:col>
          <xdr:colOff>520700</xdr:colOff>
          <xdr:row>11</xdr:row>
          <xdr:rowOff>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11</xdr:row>
          <xdr:rowOff>25400</xdr:rowOff>
        </xdr:from>
        <xdr:to>
          <xdr:col>9</xdr:col>
          <xdr:colOff>546100</xdr:colOff>
          <xdr:row>11</xdr:row>
          <xdr:rowOff>330200</xdr:rowOff>
        </xdr:to>
        <xdr:sp macro="" textlink="">
          <xdr:nvSpPr>
            <xdr:cNvPr id="5124" name="Spinner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5</xdr:row>
          <xdr:rowOff>63500</xdr:rowOff>
        </xdr:from>
        <xdr:to>
          <xdr:col>1</xdr:col>
          <xdr:colOff>1562100</xdr:colOff>
          <xdr:row>5</xdr:row>
          <xdr:rowOff>520700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Monday On/Off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6</xdr:row>
          <xdr:rowOff>63500</xdr:rowOff>
        </xdr:from>
        <xdr:to>
          <xdr:col>1</xdr:col>
          <xdr:colOff>1562100</xdr:colOff>
          <xdr:row>6</xdr:row>
          <xdr:rowOff>520700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Tuesday On/Off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7</xdr:row>
          <xdr:rowOff>63500</xdr:rowOff>
        </xdr:from>
        <xdr:to>
          <xdr:col>1</xdr:col>
          <xdr:colOff>1549400</xdr:colOff>
          <xdr:row>7</xdr:row>
          <xdr:rowOff>520700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Wednesday On/Off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8</xdr:row>
          <xdr:rowOff>63500</xdr:rowOff>
        </xdr:from>
        <xdr:to>
          <xdr:col>1</xdr:col>
          <xdr:colOff>1549400</xdr:colOff>
          <xdr:row>8</xdr:row>
          <xdr:rowOff>520700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Thursday On/Off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9</xdr:row>
          <xdr:rowOff>63500</xdr:rowOff>
        </xdr:from>
        <xdr:to>
          <xdr:col>1</xdr:col>
          <xdr:colOff>1549400</xdr:colOff>
          <xdr:row>9</xdr:row>
          <xdr:rowOff>520700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Friday On/Off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10</xdr:row>
          <xdr:rowOff>63500</xdr:rowOff>
        </xdr:from>
        <xdr:to>
          <xdr:col>1</xdr:col>
          <xdr:colOff>1549400</xdr:colOff>
          <xdr:row>10</xdr:row>
          <xdr:rowOff>520700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Saturday On/Off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11</xdr:row>
          <xdr:rowOff>63500</xdr:rowOff>
        </xdr:from>
        <xdr:to>
          <xdr:col>1</xdr:col>
          <xdr:colOff>1549400</xdr:colOff>
          <xdr:row>11</xdr:row>
          <xdr:rowOff>520700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Sunday On/Off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158750</xdr:colOff>
      <xdr:row>1</xdr:row>
      <xdr:rowOff>127001</xdr:rowOff>
    </xdr:from>
    <xdr:ext cx="4460875" cy="561283"/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9286875" y="381001"/>
          <a:ext cx="4460875" cy="561283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2400" b="1" i="1">
              <a:solidFill>
                <a:schemeClr val="tx1"/>
              </a:solidFill>
            </a:rPr>
            <a:t>STEP</a:t>
          </a:r>
          <a:r>
            <a:rPr lang="en-US" sz="2400" b="1" i="1" baseline="0">
              <a:solidFill>
                <a:schemeClr val="tx1"/>
              </a:solidFill>
            </a:rPr>
            <a:t> 4: Evaluate Performance</a:t>
          </a:r>
          <a:endParaRPr lang="en-US" sz="1600" b="1" i="1">
            <a:solidFill>
              <a:schemeClr val="tx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7</xdr:col>
          <xdr:colOff>406400</xdr:colOff>
          <xdr:row>5</xdr:row>
          <xdr:rowOff>520700</xdr:rowOff>
        </xdr:to>
        <xdr:sp macro="" textlink="">
          <xdr:nvSpPr>
            <xdr:cNvPr id="1066" name="Spinner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7</xdr:col>
          <xdr:colOff>406400</xdr:colOff>
          <xdr:row>6</xdr:row>
          <xdr:rowOff>520700</xdr:rowOff>
        </xdr:to>
        <xdr:sp macro="" textlink="">
          <xdr:nvSpPr>
            <xdr:cNvPr id="1067" name="Spinner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7</xdr:col>
          <xdr:colOff>406400</xdr:colOff>
          <xdr:row>7</xdr:row>
          <xdr:rowOff>520700</xdr:rowOff>
        </xdr:to>
        <xdr:sp macro="" textlink="">
          <xdr:nvSpPr>
            <xdr:cNvPr id="1068" name="Spinner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3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7</xdr:col>
          <xdr:colOff>406400</xdr:colOff>
          <xdr:row>8</xdr:row>
          <xdr:rowOff>520700</xdr:rowOff>
        </xdr:to>
        <xdr:sp macro="" textlink="">
          <xdr:nvSpPr>
            <xdr:cNvPr id="1069" name="Spinner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3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7</xdr:col>
          <xdr:colOff>406400</xdr:colOff>
          <xdr:row>9</xdr:row>
          <xdr:rowOff>520700</xdr:rowOff>
        </xdr:to>
        <xdr:sp macro="" textlink="">
          <xdr:nvSpPr>
            <xdr:cNvPr id="1070" name="Spinner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3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7</xdr:col>
          <xdr:colOff>406400</xdr:colOff>
          <xdr:row>10</xdr:row>
          <xdr:rowOff>520700</xdr:rowOff>
        </xdr:to>
        <xdr:sp macro="" textlink="">
          <xdr:nvSpPr>
            <xdr:cNvPr id="1071" name="Spinner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0</xdr:rowOff>
        </xdr:from>
        <xdr:to>
          <xdr:col>7</xdr:col>
          <xdr:colOff>406400</xdr:colOff>
          <xdr:row>11</xdr:row>
          <xdr:rowOff>520700</xdr:rowOff>
        </xdr:to>
        <xdr:sp macro="" textlink="">
          <xdr:nvSpPr>
            <xdr:cNvPr id="1072" name="Spinner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3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</xdr:col>
      <xdr:colOff>92075</xdr:colOff>
      <xdr:row>1</xdr:row>
      <xdr:rowOff>111125</xdr:rowOff>
    </xdr:from>
    <xdr:ext cx="7702550" cy="561283"/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409575" y="365125"/>
          <a:ext cx="7702550" cy="561283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n-US" sz="2400" b="1" i="1">
              <a:solidFill>
                <a:schemeClr val="tx1"/>
              </a:solidFill>
            </a:rPr>
            <a:t>STEP</a:t>
          </a:r>
          <a:r>
            <a:rPr lang="en-US" sz="2400" b="1" i="1" baseline="0">
              <a:solidFill>
                <a:schemeClr val="tx1"/>
              </a:solidFill>
            </a:rPr>
            <a:t> 3: Select Replenishment Days, Times, and Amounts</a:t>
          </a:r>
          <a:endParaRPr lang="en-US" sz="1600" b="1" i="1">
            <a:solidFill>
              <a:schemeClr val="tx1"/>
            </a:solidFill>
          </a:endParaRPr>
        </a:p>
      </xdr:txBody>
    </xdr:sp>
    <xdr:clientData/>
  </xdr:oneCellAnchor>
  <xdr:twoCellAnchor>
    <xdr:from>
      <xdr:col>9</xdr:col>
      <xdr:colOff>492124</xdr:colOff>
      <xdr:row>2</xdr:row>
      <xdr:rowOff>142874</xdr:rowOff>
    </xdr:from>
    <xdr:to>
      <xdr:col>13</xdr:col>
      <xdr:colOff>1365249</xdr:colOff>
      <xdr:row>11</xdr:row>
      <xdr:rowOff>380999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254000</xdr:colOff>
      <xdr:row>14</xdr:row>
      <xdr:rowOff>111125</xdr:rowOff>
    </xdr:from>
    <xdr:to>
      <xdr:col>13</xdr:col>
      <xdr:colOff>968376</xdr:colOff>
      <xdr:row>24</xdr:row>
      <xdr:rowOff>79375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215900</xdr:colOff>
          <xdr:row>13</xdr:row>
          <xdr:rowOff>330200</xdr:rowOff>
        </xdr:from>
        <xdr:to>
          <xdr:col>22</xdr:col>
          <xdr:colOff>762000</xdr:colOff>
          <xdr:row>15</xdr:row>
          <xdr:rowOff>25400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3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Preprocessing Result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14623839-B536-4401-AC4B-729B6407C354}" autoFormatId="16" applyNumberFormats="0" applyBorderFormats="0" applyFontFormats="0" applyPatternFormats="0" applyAlignmentFormats="0" applyWidthHeightFormats="0">
  <queryTableRefresh nextId="7">
    <queryTableFields count="6">
      <queryTableField id="1" name="ATM ID" tableColumnId="1"/>
      <queryTableField id="2" name="Timestamp" tableColumnId="2"/>
      <queryTableField id="3" name="Account" tableColumnId="3"/>
      <queryTableField id="4" name="Transaction Type" tableColumnId="4"/>
      <queryTableField id="5" name="Amount" tableColumnId="5"/>
      <queryTableField id="6" name="Transaction Fe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09075D-2B41-4724-A549-51CCBE3E1D9A}" name="ATM_Transaction_Query_2" displayName="ATM_Transaction_Query_2" ref="A1:F3638" tableType="queryTable" totalsRowShown="0">
  <autoFilter ref="A1:F3638" xr:uid="{9449B1BD-C3C0-425A-965C-40802D771748}"/>
  <tableColumns count="6">
    <tableColumn id="1" xr3:uid="{9286DFAF-6A39-49FF-A271-45E142EAA4B3}" uniqueName="1" name="ATM ID" queryTableFieldId="1" dataDxfId="10"/>
    <tableColumn id="2" xr3:uid="{36C0D725-657F-4F03-A274-3C693B4127D6}" uniqueName="2" name="Timestamp" queryTableFieldId="2" dataDxfId="9"/>
    <tableColumn id="3" xr3:uid="{34AF16AE-7D45-4479-A06E-28E53168073D}" uniqueName="3" name="Account" queryTableFieldId="3" dataDxfId="8"/>
    <tableColumn id="4" xr3:uid="{10819761-3339-44CB-8E02-6AB9DDA9B339}" uniqueName="4" name="Transaction Type" queryTableFieldId="4" dataDxfId="7"/>
    <tableColumn id="5" xr3:uid="{2D5E60D6-10EC-4F80-9FF9-31AA43B749C7}" uniqueName="5" name="Amount" queryTableFieldId="5"/>
    <tableColumn id="6" xr3:uid="{055BC4A3-FD16-4C99-A801-654655B5D2E5}" uniqueName="6" name="Transaction Fee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19" Type="http://schemas.openxmlformats.org/officeDocument/2006/relationships/comments" Target="../comments1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F1:N11"/>
  <sheetViews>
    <sheetView showGridLines="0" zoomScale="110" zoomScaleNormal="110" workbookViewId="0">
      <selection activeCell="J10" sqref="J10"/>
    </sheetView>
  </sheetViews>
  <sheetFormatPr baseColWidth="10" defaultColWidth="8.83203125" defaultRowHeight="13" x14ac:dyDescent="0.15"/>
  <cols>
    <col min="1" max="1" width="10.1640625" customWidth="1"/>
    <col min="6" max="6" width="15.33203125" customWidth="1"/>
    <col min="10" max="10" width="15.5" customWidth="1"/>
  </cols>
  <sheetData>
    <row r="1" spans="6:14" ht="21.75" customHeight="1" x14ac:dyDescent="0.15"/>
    <row r="2" spans="6:14" ht="28" x14ac:dyDescent="0.15">
      <c r="F2" s="56" t="s">
        <v>24</v>
      </c>
      <c r="G2" s="35"/>
      <c r="H2" s="35"/>
      <c r="I2" s="35"/>
      <c r="J2" s="35"/>
      <c r="K2" s="35"/>
      <c r="L2" s="35"/>
      <c r="M2" s="35"/>
      <c r="N2" s="35"/>
    </row>
    <row r="4" spans="6:14" ht="37.5" customHeight="1" x14ac:dyDescent="0.15">
      <c r="F4" s="118"/>
      <c r="G4" s="119"/>
      <c r="H4" s="119"/>
      <c r="I4" s="119"/>
      <c r="J4" s="119"/>
      <c r="K4" s="119"/>
      <c r="L4" s="119"/>
      <c r="M4" s="119"/>
      <c r="N4" s="129"/>
    </row>
    <row r="5" spans="6:14" ht="27.75" customHeight="1" x14ac:dyDescent="0.15">
      <c r="F5" s="121"/>
      <c r="G5" s="123"/>
      <c r="H5" s="123"/>
      <c r="I5" s="123"/>
      <c r="J5" s="123"/>
      <c r="K5" s="123"/>
      <c r="L5" s="123"/>
      <c r="M5" s="123"/>
      <c r="N5" s="126"/>
    </row>
    <row r="6" spans="6:14" ht="42.75" customHeight="1" x14ac:dyDescent="0.15">
      <c r="F6" s="121"/>
      <c r="G6" s="123"/>
      <c r="H6" s="123"/>
      <c r="I6" s="122" t="s">
        <v>69</v>
      </c>
      <c r="J6" s="26" t="s">
        <v>210</v>
      </c>
      <c r="K6" s="123"/>
      <c r="L6" s="123"/>
      <c r="M6" s="123"/>
      <c r="N6" s="126"/>
    </row>
    <row r="7" spans="6:14" x14ac:dyDescent="0.15">
      <c r="F7" s="121"/>
      <c r="G7" s="123"/>
      <c r="H7" s="123"/>
      <c r="I7" s="123"/>
      <c r="J7" s="123"/>
      <c r="K7" s="123"/>
      <c r="L7" s="123"/>
      <c r="M7" s="123"/>
      <c r="N7" s="126"/>
    </row>
    <row r="8" spans="6:14" ht="30.75" customHeight="1" x14ac:dyDescent="0.15">
      <c r="F8" s="121"/>
      <c r="G8" s="123"/>
      <c r="H8" s="123"/>
      <c r="I8" s="122" t="s">
        <v>147</v>
      </c>
      <c r="J8" s="27">
        <v>42278</v>
      </c>
      <c r="K8" s="123"/>
      <c r="L8" s="123"/>
      <c r="M8" s="123"/>
      <c r="N8" s="126"/>
    </row>
    <row r="9" spans="6:14" ht="30.75" customHeight="1" x14ac:dyDescent="0.15">
      <c r="F9" s="121"/>
      <c r="G9" s="123"/>
      <c r="H9" s="123"/>
      <c r="I9" s="122" t="s">
        <v>148</v>
      </c>
      <c r="J9" s="27">
        <v>42369</v>
      </c>
      <c r="K9" s="123"/>
      <c r="L9" s="123"/>
      <c r="M9" s="123"/>
      <c r="N9" s="126"/>
    </row>
    <row r="10" spans="6:14" x14ac:dyDescent="0.15">
      <c r="F10" s="121"/>
      <c r="G10" s="123"/>
      <c r="H10" s="123"/>
      <c r="I10" s="123"/>
      <c r="J10" s="123"/>
      <c r="K10" s="123"/>
      <c r="L10" s="123"/>
      <c r="M10" s="123"/>
      <c r="N10" s="126"/>
    </row>
    <row r="11" spans="6:14" x14ac:dyDescent="0.15">
      <c r="F11" s="124"/>
      <c r="G11" s="125"/>
      <c r="H11" s="125"/>
      <c r="I11" s="125"/>
      <c r="J11" s="125"/>
      <c r="K11" s="125"/>
      <c r="L11" s="125"/>
      <c r="M11" s="125"/>
      <c r="N11" s="143"/>
    </row>
  </sheetData>
  <conditionalFormatting sqref="J6">
    <cfRule type="containsBlanks" dxfId="14" priority="4">
      <formula>LEN(TRIM(J6))=0</formula>
    </cfRule>
  </conditionalFormatting>
  <conditionalFormatting sqref="J8:J9">
    <cfRule type="expression" dxfId="13" priority="3">
      <formula>$J$8&gt;$J$9</formula>
    </cfRule>
  </conditionalFormatting>
  <conditionalFormatting sqref="J8">
    <cfRule type="containsBlanks" dxfId="12" priority="2">
      <formula>LEN(TRIM(J8))=0</formula>
    </cfRule>
  </conditionalFormatting>
  <conditionalFormatting sqref="J9">
    <cfRule type="containsBlanks" dxfId="11" priority="1">
      <formula>LEN(TRIM(J9))=0</formula>
    </cfRule>
  </conditionalFormatting>
  <dataValidations count="3">
    <dataValidation type="list" allowBlank="1" showInputMessage="1" showErrorMessage="1" errorTitle="Invalid ATM ID" error="Please select an ATM from the dropdown list provided." sqref="J6" xr:uid="{00000000-0002-0000-0000-000000000000}">
      <formula1>Off_Premise_ATM_List</formula1>
    </dataValidation>
    <dataValidation type="date" allowBlank="1" showInputMessage="1" showErrorMessage="1" errorTitle="Invalid Date" error="Pleas enter a date within the valid range" sqref="J8" xr:uid="{67A8B8F8-8D32-4088-8463-15CDA98FA5DA}">
      <formula1>1</formula1>
      <formula2>TODAY()</formula2>
    </dataValidation>
    <dataValidation type="date" allowBlank="1" showInputMessage="1" showErrorMessage="1" errorTitle="Invalid Date" error="Please enter a date within the valid range" sqref="J9" xr:uid="{64814381-620B-4D83-BE8C-AAF7A09200CD}">
      <formula1>J8</formula1>
      <formula2>TODAY()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oTo_Parameters_Sheet">
                <anchor moveWithCells="1" sizeWithCells="1">
                  <from>
                    <xdr:col>14</xdr:col>
                    <xdr:colOff>330200</xdr:colOff>
                    <xdr:row>3</xdr:row>
                    <xdr:rowOff>469900</xdr:rowOff>
                  </from>
                  <to>
                    <xdr:col>16</xdr:col>
                    <xdr:colOff>215900</xdr:colOff>
                    <xdr:row>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Refresh_ATM_Transactions">
                <anchor moveWithCells="1">
                  <from>
                    <xdr:col>14</xdr:col>
                    <xdr:colOff>330200</xdr:colOff>
                    <xdr:row>6</xdr:row>
                    <xdr:rowOff>139700</xdr:rowOff>
                  </from>
                  <to>
                    <xdr:col>16</xdr:col>
                    <xdr:colOff>101600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3ACB-BC83-4698-A94F-31141A5168D4}">
  <sheetPr codeName="Sheet8"/>
  <dimension ref="A1:F3638"/>
  <sheetViews>
    <sheetView workbookViewId="0">
      <selection activeCell="H217" sqref="H217"/>
    </sheetView>
  </sheetViews>
  <sheetFormatPr baseColWidth="10" defaultColWidth="8.83203125" defaultRowHeight="13" x14ac:dyDescent="0.15"/>
  <cols>
    <col min="1" max="1" width="9.6640625" bestFit="1" customWidth="1"/>
    <col min="2" max="2" width="15.5" bestFit="1" customWidth="1"/>
    <col min="3" max="3" width="12" bestFit="1" customWidth="1"/>
    <col min="4" max="4" width="19" bestFit="1" customWidth="1"/>
    <col min="5" max="5" width="10.33203125" bestFit="1" customWidth="1"/>
    <col min="6" max="6" width="18" bestFit="1" customWidth="1"/>
  </cols>
  <sheetData>
    <row r="1" spans="1:6" x14ac:dyDescent="0.15">
      <c r="A1" t="s">
        <v>67</v>
      </c>
      <c r="B1" t="s">
        <v>0</v>
      </c>
      <c r="C1" t="s">
        <v>1</v>
      </c>
      <c r="D1" t="s">
        <v>3</v>
      </c>
      <c r="E1" t="s">
        <v>2</v>
      </c>
      <c r="F1" t="s">
        <v>4</v>
      </c>
    </row>
    <row r="2" spans="1:6" x14ac:dyDescent="0.15">
      <c r="A2" t="s">
        <v>210</v>
      </c>
      <c r="B2" s="226">
        <v>42278.251144189817</v>
      </c>
      <c r="C2" t="s">
        <v>561</v>
      </c>
      <c r="D2" t="s">
        <v>13</v>
      </c>
      <c r="E2">
        <v>60</v>
      </c>
      <c r="F2">
        <v>0</v>
      </c>
    </row>
    <row r="3" spans="1:6" x14ac:dyDescent="0.15">
      <c r="A3" t="s">
        <v>210</v>
      </c>
      <c r="B3" s="226">
        <v>42278.294699259262</v>
      </c>
      <c r="C3" t="s">
        <v>562</v>
      </c>
      <c r="D3" t="s">
        <v>13</v>
      </c>
      <c r="E3">
        <v>100</v>
      </c>
      <c r="F3">
        <v>0</v>
      </c>
    </row>
    <row r="4" spans="1:6" x14ac:dyDescent="0.15">
      <c r="A4" t="s">
        <v>210</v>
      </c>
      <c r="B4" s="226">
        <v>42278.299432256943</v>
      </c>
      <c r="C4" t="s">
        <v>563</v>
      </c>
      <c r="D4" t="s">
        <v>13</v>
      </c>
      <c r="E4">
        <v>60</v>
      </c>
      <c r="F4">
        <v>0</v>
      </c>
    </row>
    <row r="5" spans="1:6" x14ac:dyDescent="0.15">
      <c r="A5" t="s">
        <v>210</v>
      </c>
      <c r="B5" s="226">
        <v>42278.317737384263</v>
      </c>
      <c r="C5" t="s">
        <v>14</v>
      </c>
      <c r="D5" t="s">
        <v>13</v>
      </c>
      <c r="E5">
        <v>40</v>
      </c>
      <c r="F5">
        <v>3.5</v>
      </c>
    </row>
    <row r="6" spans="1:6" x14ac:dyDescent="0.15">
      <c r="A6" t="s">
        <v>210</v>
      </c>
      <c r="B6" s="226">
        <v>42278.321448564813</v>
      </c>
      <c r="C6" t="s">
        <v>564</v>
      </c>
      <c r="D6" t="s">
        <v>13</v>
      </c>
      <c r="E6">
        <v>500</v>
      </c>
      <c r="F6">
        <v>0</v>
      </c>
    </row>
    <row r="7" spans="1:6" x14ac:dyDescent="0.15">
      <c r="A7" t="s">
        <v>210</v>
      </c>
      <c r="B7" s="226">
        <v>42278.322269722223</v>
      </c>
      <c r="C7" t="s">
        <v>565</v>
      </c>
      <c r="D7" t="s">
        <v>13</v>
      </c>
      <c r="E7">
        <v>20</v>
      </c>
      <c r="F7">
        <v>0</v>
      </c>
    </row>
    <row r="8" spans="1:6" x14ac:dyDescent="0.15">
      <c r="A8" t="s">
        <v>210</v>
      </c>
      <c r="B8" s="226">
        <v>42278.32946277778</v>
      </c>
      <c r="C8" t="s">
        <v>14</v>
      </c>
      <c r="D8" t="s">
        <v>13</v>
      </c>
      <c r="E8">
        <v>60</v>
      </c>
      <c r="F8">
        <v>3.5</v>
      </c>
    </row>
    <row r="9" spans="1:6" x14ac:dyDescent="0.15">
      <c r="A9" t="s">
        <v>210</v>
      </c>
      <c r="B9" s="226">
        <v>42278.345726712963</v>
      </c>
      <c r="C9" t="s">
        <v>566</v>
      </c>
      <c r="D9" t="s">
        <v>13</v>
      </c>
      <c r="E9">
        <v>100</v>
      </c>
      <c r="F9">
        <v>0</v>
      </c>
    </row>
    <row r="10" spans="1:6" x14ac:dyDescent="0.15">
      <c r="A10" t="s">
        <v>210</v>
      </c>
      <c r="B10" s="226">
        <v>42278.354618425925</v>
      </c>
      <c r="C10" t="s">
        <v>567</v>
      </c>
      <c r="D10" t="s">
        <v>13</v>
      </c>
      <c r="E10">
        <v>120</v>
      </c>
      <c r="F10">
        <v>0</v>
      </c>
    </row>
    <row r="11" spans="1:6" x14ac:dyDescent="0.15">
      <c r="A11" t="s">
        <v>210</v>
      </c>
      <c r="B11" s="226">
        <v>42278.389455289354</v>
      </c>
      <c r="C11" t="s">
        <v>568</v>
      </c>
      <c r="D11" t="s">
        <v>13</v>
      </c>
      <c r="E11">
        <v>100</v>
      </c>
      <c r="F11">
        <v>0</v>
      </c>
    </row>
    <row r="12" spans="1:6" x14ac:dyDescent="0.15">
      <c r="A12" t="s">
        <v>210</v>
      </c>
      <c r="B12" s="226">
        <v>42278.407390451386</v>
      </c>
      <c r="C12" t="s">
        <v>569</v>
      </c>
      <c r="D12" t="s">
        <v>13</v>
      </c>
      <c r="E12">
        <v>80</v>
      </c>
      <c r="F12">
        <v>0</v>
      </c>
    </row>
    <row r="13" spans="1:6" x14ac:dyDescent="0.15">
      <c r="A13" t="s">
        <v>210</v>
      </c>
      <c r="B13" s="226">
        <v>42278.408873726854</v>
      </c>
      <c r="C13" t="s">
        <v>570</v>
      </c>
      <c r="D13" t="s">
        <v>13</v>
      </c>
      <c r="E13">
        <v>100</v>
      </c>
      <c r="F13">
        <v>0</v>
      </c>
    </row>
    <row r="14" spans="1:6" x14ac:dyDescent="0.15">
      <c r="A14" t="s">
        <v>210</v>
      </c>
      <c r="B14" s="226">
        <v>42278.416082546297</v>
      </c>
      <c r="C14" t="s">
        <v>571</v>
      </c>
      <c r="D14" t="s">
        <v>13</v>
      </c>
      <c r="E14">
        <v>60</v>
      </c>
      <c r="F14">
        <v>0</v>
      </c>
    </row>
    <row r="15" spans="1:6" x14ac:dyDescent="0.15">
      <c r="A15" t="s">
        <v>210</v>
      </c>
      <c r="B15" s="226">
        <v>42278.424253414349</v>
      </c>
      <c r="C15" t="s">
        <v>572</v>
      </c>
      <c r="D15" t="s">
        <v>13</v>
      </c>
      <c r="E15">
        <v>120</v>
      </c>
      <c r="F15">
        <v>0</v>
      </c>
    </row>
    <row r="16" spans="1:6" x14ac:dyDescent="0.15">
      <c r="A16" t="s">
        <v>210</v>
      </c>
      <c r="B16" s="226">
        <v>42278.434125844906</v>
      </c>
      <c r="C16" t="s">
        <v>573</v>
      </c>
      <c r="D16" t="s">
        <v>13</v>
      </c>
      <c r="E16">
        <v>200</v>
      </c>
      <c r="F16">
        <v>0</v>
      </c>
    </row>
    <row r="17" spans="1:6" x14ac:dyDescent="0.15">
      <c r="A17" t="s">
        <v>210</v>
      </c>
      <c r="B17" s="226">
        <v>42278.458395624999</v>
      </c>
      <c r="C17" t="s">
        <v>574</v>
      </c>
      <c r="D17" t="s">
        <v>13</v>
      </c>
      <c r="E17">
        <v>60</v>
      </c>
      <c r="F17">
        <v>0</v>
      </c>
    </row>
    <row r="18" spans="1:6" x14ac:dyDescent="0.15">
      <c r="A18" t="s">
        <v>210</v>
      </c>
      <c r="B18" s="226">
        <v>42278.459787245367</v>
      </c>
      <c r="C18" t="s">
        <v>292</v>
      </c>
      <c r="D18" t="s">
        <v>13</v>
      </c>
      <c r="E18">
        <v>500</v>
      </c>
      <c r="F18">
        <v>0</v>
      </c>
    </row>
    <row r="19" spans="1:6" x14ac:dyDescent="0.15">
      <c r="A19" t="s">
        <v>210</v>
      </c>
      <c r="B19" s="226">
        <v>42278.460287893518</v>
      </c>
      <c r="C19" t="s">
        <v>106</v>
      </c>
      <c r="D19" t="s">
        <v>13</v>
      </c>
      <c r="E19">
        <v>40</v>
      </c>
      <c r="F19">
        <v>0</v>
      </c>
    </row>
    <row r="20" spans="1:6" x14ac:dyDescent="0.15">
      <c r="A20" t="s">
        <v>210</v>
      </c>
      <c r="B20" s="226">
        <v>42278.466432175926</v>
      </c>
      <c r="C20" t="s">
        <v>575</v>
      </c>
      <c r="D20" t="s">
        <v>13</v>
      </c>
      <c r="E20">
        <v>500</v>
      </c>
      <c r="F20">
        <v>0</v>
      </c>
    </row>
    <row r="21" spans="1:6" x14ac:dyDescent="0.15">
      <c r="A21" t="s">
        <v>210</v>
      </c>
      <c r="B21" s="226">
        <v>42278.472931655095</v>
      </c>
      <c r="C21" t="s">
        <v>576</v>
      </c>
      <c r="D21" t="s">
        <v>13</v>
      </c>
      <c r="E21">
        <v>40</v>
      </c>
      <c r="F21">
        <v>0</v>
      </c>
    </row>
    <row r="22" spans="1:6" x14ac:dyDescent="0.15">
      <c r="A22" t="s">
        <v>210</v>
      </c>
      <c r="B22" s="226">
        <v>42278.475861284722</v>
      </c>
      <c r="C22" t="s">
        <v>577</v>
      </c>
      <c r="D22" t="s">
        <v>13</v>
      </c>
      <c r="E22">
        <v>200</v>
      </c>
      <c r="F22">
        <v>0</v>
      </c>
    </row>
    <row r="23" spans="1:6" x14ac:dyDescent="0.15">
      <c r="A23" t="s">
        <v>210</v>
      </c>
      <c r="B23" s="226">
        <v>42278.48157841435</v>
      </c>
      <c r="C23" t="s">
        <v>578</v>
      </c>
      <c r="D23" t="s">
        <v>13</v>
      </c>
      <c r="E23">
        <v>100</v>
      </c>
      <c r="F23">
        <v>0</v>
      </c>
    </row>
    <row r="24" spans="1:6" x14ac:dyDescent="0.15">
      <c r="A24" t="s">
        <v>210</v>
      </c>
      <c r="B24" s="226">
        <v>42278.4966728125</v>
      </c>
      <c r="C24" t="s">
        <v>579</v>
      </c>
      <c r="D24" t="s">
        <v>15</v>
      </c>
      <c r="E24">
        <v>100</v>
      </c>
      <c r="F24">
        <v>3</v>
      </c>
    </row>
    <row r="25" spans="1:6" x14ac:dyDescent="0.15">
      <c r="A25" t="s">
        <v>210</v>
      </c>
      <c r="B25" s="226">
        <v>42278.508020231478</v>
      </c>
      <c r="C25" t="s">
        <v>580</v>
      </c>
      <c r="D25" t="s">
        <v>13</v>
      </c>
      <c r="E25">
        <v>100</v>
      </c>
      <c r="F25">
        <v>0</v>
      </c>
    </row>
    <row r="26" spans="1:6" x14ac:dyDescent="0.15">
      <c r="A26" t="s">
        <v>210</v>
      </c>
      <c r="B26" s="226">
        <v>42278.517902615742</v>
      </c>
      <c r="C26" t="s">
        <v>581</v>
      </c>
      <c r="D26" t="s">
        <v>13</v>
      </c>
      <c r="E26">
        <v>20</v>
      </c>
      <c r="F26">
        <v>0</v>
      </c>
    </row>
    <row r="27" spans="1:6" x14ac:dyDescent="0.15">
      <c r="A27" t="s">
        <v>210</v>
      </c>
      <c r="B27" s="226">
        <v>42278.52490715278</v>
      </c>
      <c r="C27" t="s">
        <v>582</v>
      </c>
      <c r="D27" t="s">
        <v>13</v>
      </c>
      <c r="E27">
        <v>120</v>
      </c>
      <c r="F27">
        <v>0</v>
      </c>
    </row>
    <row r="28" spans="1:6" x14ac:dyDescent="0.15">
      <c r="A28" t="s">
        <v>210</v>
      </c>
      <c r="B28" s="226">
        <v>42278.528443912037</v>
      </c>
      <c r="C28" t="s">
        <v>293</v>
      </c>
      <c r="D28" t="s">
        <v>13</v>
      </c>
      <c r="E28">
        <v>100</v>
      </c>
      <c r="F28">
        <v>0</v>
      </c>
    </row>
    <row r="29" spans="1:6" x14ac:dyDescent="0.15">
      <c r="A29" t="s">
        <v>210</v>
      </c>
      <c r="B29" s="226">
        <v>42278.53258835648</v>
      </c>
      <c r="C29" t="s">
        <v>583</v>
      </c>
      <c r="D29" t="s">
        <v>13</v>
      </c>
      <c r="E29">
        <v>40</v>
      </c>
      <c r="F29">
        <v>0</v>
      </c>
    </row>
    <row r="30" spans="1:6" x14ac:dyDescent="0.15">
      <c r="A30" t="s">
        <v>210</v>
      </c>
      <c r="B30" s="226">
        <v>42278.561146979169</v>
      </c>
      <c r="C30" t="s">
        <v>584</v>
      </c>
      <c r="D30" t="s">
        <v>13</v>
      </c>
      <c r="E30">
        <v>60</v>
      </c>
      <c r="F30">
        <v>0</v>
      </c>
    </row>
    <row r="31" spans="1:6" x14ac:dyDescent="0.15">
      <c r="A31" t="s">
        <v>210</v>
      </c>
      <c r="B31" s="226">
        <v>42278.562382766206</v>
      </c>
      <c r="C31" t="s">
        <v>585</v>
      </c>
      <c r="D31" t="s">
        <v>13</v>
      </c>
      <c r="E31">
        <v>160</v>
      </c>
      <c r="F31">
        <v>0</v>
      </c>
    </row>
    <row r="32" spans="1:6" x14ac:dyDescent="0.15">
      <c r="A32" t="s">
        <v>210</v>
      </c>
      <c r="B32" s="226">
        <v>42278.572740821757</v>
      </c>
      <c r="C32" t="s">
        <v>586</v>
      </c>
      <c r="D32" t="s">
        <v>13</v>
      </c>
      <c r="E32">
        <v>20</v>
      </c>
      <c r="F32">
        <v>0</v>
      </c>
    </row>
    <row r="33" spans="1:6" x14ac:dyDescent="0.15">
      <c r="A33" t="s">
        <v>210</v>
      </c>
      <c r="B33" s="226">
        <v>42278.58698068287</v>
      </c>
      <c r="C33" t="s">
        <v>587</v>
      </c>
      <c r="D33" t="s">
        <v>13</v>
      </c>
      <c r="E33">
        <v>100</v>
      </c>
      <c r="F33">
        <v>0</v>
      </c>
    </row>
    <row r="34" spans="1:6" x14ac:dyDescent="0.15">
      <c r="A34" t="s">
        <v>210</v>
      </c>
      <c r="B34" s="226">
        <v>42278.595113564814</v>
      </c>
      <c r="C34" t="s">
        <v>588</v>
      </c>
      <c r="D34" t="s">
        <v>13</v>
      </c>
      <c r="E34">
        <v>40</v>
      </c>
      <c r="F34">
        <v>0</v>
      </c>
    </row>
    <row r="35" spans="1:6" x14ac:dyDescent="0.15">
      <c r="A35" t="s">
        <v>210</v>
      </c>
      <c r="B35" s="226">
        <v>42278.614921712964</v>
      </c>
      <c r="C35" t="s">
        <v>589</v>
      </c>
      <c r="D35" t="s">
        <v>13</v>
      </c>
      <c r="E35">
        <v>60</v>
      </c>
      <c r="F35">
        <v>0</v>
      </c>
    </row>
    <row r="36" spans="1:6" x14ac:dyDescent="0.15">
      <c r="A36" t="s">
        <v>210</v>
      </c>
      <c r="B36" s="226">
        <v>42278.618507800929</v>
      </c>
      <c r="C36" t="s">
        <v>590</v>
      </c>
      <c r="D36" t="s">
        <v>13</v>
      </c>
      <c r="E36">
        <v>200</v>
      </c>
      <c r="F36">
        <v>0</v>
      </c>
    </row>
    <row r="37" spans="1:6" x14ac:dyDescent="0.15">
      <c r="A37" t="s">
        <v>210</v>
      </c>
      <c r="B37" s="226">
        <v>42278.645689895835</v>
      </c>
      <c r="C37" t="s">
        <v>591</v>
      </c>
      <c r="D37" t="s">
        <v>13</v>
      </c>
      <c r="E37">
        <v>20</v>
      </c>
      <c r="F37">
        <v>0</v>
      </c>
    </row>
    <row r="38" spans="1:6" x14ac:dyDescent="0.15">
      <c r="A38" t="s">
        <v>210</v>
      </c>
      <c r="B38" s="226">
        <v>42278.652910752317</v>
      </c>
      <c r="C38" t="s">
        <v>592</v>
      </c>
      <c r="D38" t="s">
        <v>13</v>
      </c>
      <c r="E38">
        <v>100</v>
      </c>
      <c r="F38">
        <v>0</v>
      </c>
    </row>
    <row r="39" spans="1:6" x14ac:dyDescent="0.15">
      <c r="A39" t="s">
        <v>210</v>
      </c>
      <c r="B39" s="226">
        <v>42278.656697743056</v>
      </c>
      <c r="C39" t="s">
        <v>593</v>
      </c>
      <c r="D39" t="s">
        <v>13</v>
      </c>
      <c r="E39">
        <v>100</v>
      </c>
      <c r="F39">
        <v>0</v>
      </c>
    </row>
    <row r="40" spans="1:6" x14ac:dyDescent="0.15">
      <c r="A40" t="s">
        <v>210</v>
      </c>
      <c r="B40" s="226">
        <v>42278.657740868053</v>
      </c>
      <c r="C40" t="s">
        <v>14</v>
      </c>
      <c r="D40" t="s">
        <v>13</v>
      </c>
      <c r="E40">
        <v>100</v>
      </c>
      <c r="F40">
        <v>3.5</v>
      </c>
    </row>
    <row r="41" spans="1:6" x14ac:dyDescent="0.15">
      <c r="A41" t="s">
        <v>210</v>
      </c>
      <c r="B41" s="226">
        <v>42278.673627905089</v>
      </c>
      <c r="C41" t="s">
        <v>594</v>
      </c>
      <c r="D41" t="s">
        <v>13</v>
      </c>
      <c r="E41">
        <v>100</v>
      </c>
      <c r="F41">
        <v>0</v>
      </c>
    </row>
    <row r="42" spans="1:6" x14ac:dyDescent="0.15">
      <c r="A42" t="s">
        <v>210</v>
      </c>
      <c r="B42" s="226">
        <v>42278.714144675927</v>
      </c>
      <c r="C42" t="s">
        <v>294</v>
      </c>
      <c r="D42" t="s">
        <v>13</v>
      </c>
      <c r="E42">
        <v>100</v>
      </c>
      <c r="F42">
        <v>0</v>
      </c>
    </row>
    <row r="43" spans="1:6" x14ac:dyDescent="0.15">
      <c r="A43" t="s">
        <v>210</v>
      </c>
      <c r="B43" s="226">
        <v>42278.731947060187</v>
      </c>
      <c r="C43" t="s">
        <v>595</v>
      </c>
      <c r="D43" t="s">
        <v>13</v>
      </c>
      <c r="E43">
        <v>40</v>
      </c>
      <c r="F43">
        <v>0</v>
      </c>
    </row>
    <row r="44" spans="1:6" x14ac:dyDescent="0.15">
      <c r="A44" t="s">
        <v>210</v>
      </c>
      <c r="B44" s="226">
        <v>42278.753424976851</v>
      </c>
      <c r="C44" t="s">
        <v>14</v>
      </c>
      <c r="D44" t="s">
        <v>13</v>
      </c>
      <c r="E44">
        <v>160</v>
      </c>
      <c r="F44">
        <v>3.5</v>
      </c>
    </row>
    <row r="45" spans="1:6" x14ac:dyDescent="0.15">
      <c r="A45" t="s">
        <v>210</v>
      </c>
      <c r="B45" s="226">
        <v>42278.778473009261</v>
      </c>
      <c r="C45" t="s">
        <v>596</v>
      </c>
      <c r="D45" t="s">
        <v>13</v>
      </c>
      <c r="E45">
        <v>40</v>
      </c>
      <c r="F45">
        <v>0</v>
      </c>
    </row>
    <row r="46" spans="1:6" x14ac:dyDescent="0.15">
      <c r="A46" t="s">
        <v>210</v>
      </c>
      <c r="B46" s="226">
        <v>42278.782484074072</v>
      </c>
      <c r="C46" t="s">
        <v>295</v>
      </c>
      <c r="D46" t="s">
        <v>13</v>
      </c>
      <c r="E46">
        <v>80</v>
      </c>
      <c r="F46">
        <v>0</v>
      </c>
    </row>
    <row r="47" spans="1:6" x14ac:dyDescent="0.15">
      <c r="A47" t="s">
        <v>210</v>
      </c>
      <c r="B47" s="226">
        <v>42278.788205150464</v>
      </c>
      <c r="C47" t="s">
        <v>597</v>
      </c>
      <c r="D47" t="s">
        <v>13</v>
      </c>
      <c r="E47">
        <v>40</v>
      </c>
      <c r="F47">
        <v>0</v>
      </c>
    </row>
    <row r="48" spans="1:6" x14ac:dyDescent="0.15">
      <c r="A48" t="s">
        <v>210</v>
      </c>
      <c r="B48" s="226">
        <v>42278.789010370368</v>
      </c>
      <c r="C48" t="s">
        <v>598</v>
      </c>
      <c r="D48" t="s">
        <v>13</v>
      </c>
      <c r="E48">
        <v>100</v>
      </c>
      <c r="F48">
        <v>0</v>
      </c>
    </row>
    <row r="49" spans="1:6" x14ac:dyDescent="0.15">
      <c r="A49" t="s">
        <v>210</v>
      </c>
      <c r="B49" s="226">
        <v>42278.808903599536</v>
      </c>
      <c r="C49" t="s">
        <v>599</v>
      </c>
      <c r="D49" t="s">
        <v>13</v>
      </c>
      <c r="E49">
        <v>100</v>
      </c>
      <c r="F49">
        <v>0</v>
      </c>
    </row>
    <row r="50" spans="1:6" x14ac:dyDescent="0.15">
      <c r="A50" t="s">
        <v>210</v>
      </c>
      <c r="B50" s="226">
        <v>42278.834298229165</v>
      </c>
      <c r="C50" t="s">
        <v>267</v>
      </c>
      <c r="D50" t="s">
        <v>13</v>
      </c>
      <c r="E50">
        <v>40</v>
      </c>
      <c r="F50">
        <v>0</v>
      </c>
    </row>
    <row r="51" spans="1:6" x14ac:dyDescent="0.15">
      <c r="A51" t="s">
        <v>210</v>
      </c>
      <c r="B51" s="226">
        <v>42278.852059826386</v>
      </c>
      <c r="C51" t="s">
        <v>600</v>
      </c>
      <c r="D51" t="s">
        <v>13</v>
      </c>
      <c r="E51">
        <v>40</v>
      </c>
      <c r="F51">
        <v>0</v>
      </c>
    </row>
    <row r="52" spans="1:6" x14ac:dyDescent="0.15">
      <c r="A52" t="s">
        <v>210</v>
      </c>
      <c r="B52" s="226">
        <v>42279.294088981478</v>
      </c>
      <c r="C52" t="s">
        <v>601</v>
      </c>
      <c r="D52" t="s">
        <v>13</v>
      </c>
      <c r="E52">
        <v>40</v>
      </c>
      <c r="F52">
        <v>0</v>
      </c>
    </row>
    <row r="53" spans="1:6" x14ac:dyDescent="0.15">
      <c r="A53" t="s">
        <v>210</v>
      </c>
      <c r="B53" s="226">
        <v>42279.299277199076</v>
      </c>
      <c r="C53" t="s">
        <v>602</v>
      </c>
      <c r="D53" t="s">
        <v>13</v>
      </c>
      <c r="E53">
        <v>40</v>
      </c>
      <c r="F53">
        <v>0</v>
      </c>
    </row>
    <row r="54" spans="1:6" x14ac:dyDescent="0.15">
      <c r="A54" t="s">
        <v>210</v>
      </c>
      <c r="B54" s="226">
        <v>42279.348129953702</v>
      </c>
      <c r="C54" t="s">
        <v>603</v>
      </c>
      <c r="D54" t="s">
        <v>13</v>
      </c>
      <c r="E54">
        <v>100</v>
      </c>
      <c r="F54">
        <v>0</v>
      </c>
    </row>
    <row r="55" spans="1:6" x14ac:dyDescent="0.15">
      <c r="A55" t="s">
        <v>210</v>
      </c>
      <c r="B55" s="226">
        <v>42279.358041458334</v>
      </c>
      <c r="C55" t="s">
        <v>604</v>
      </c>
      <c r="D55" t="s">
        <v>13</v>
      </c>
      <c r="E55">
        <v>100</v>
      </c>
      <c r="F55">
        <v>0</v>
      </c>
    </row>
    <row r="56" spans="1:6" x14ac:dyDescent="0.15">
      <c r="A56" t="s">
        <v>210</v>
      </c>
      <c r="B56" s="226">
        <v>42279.435383854165</v>
      </c>
      <c r="C56" t="s">
        <v>605</v>
      </c>
      <c r="D56" t="s">
        <v>13</v>
      </c>
      <c r="E56">
        <v>100</v>
      </c>
      <c r="F56">
        <v>0</v>
      </c>
    </row>
    <row r="57" spans="1:6" x14ac:dyDescent="0.15">
      <c r="A57" t="s">
        <v>210</v>
      </c>
      <c r="B57" s="226">
        <v>42279.45965715278</v>
      </c>
      <c r="C57" t="s">
        <v>606</v>
      </c>
      <c r="D57" t="s">
        <v>13</v>
      </c>
      <c r="E57">
        <v>100</v>
      </c>
      <c r="F57">
        <v>0</v>
      </c>
    </row>
    <row r="58" spans="1:6" x14ac:dyDescent="0.15">
      <c r="A58" t="s">
        <v>210</v>
      </c>
      <c r="B58" s="226">
        <v>42279.464399837962</v>
      </c>
      <c r="C58" t="s">
        <v>14</v>
      </c>
      <c r="D58" t="s">
        <v>13</v>
      </c>
      <c r="E58">
        <v>100</v>
      </c>
      <c r="F58">
        <v>3.5</v>
      </c>
    </row>
    <row r="59" spans="1:6" x14ac:dyDescent="0.15">
      <c r="A59" t="s">
        <v>210</v>
      </c>
      <c r="B59" s="226">
        <v>42279.469249953705</v>
      </c>
      <c r="C59" t="s">
        <v>14</v>
      </c>
      <c r="D59" t="s">
        <v>13</v>
      </c>
      <c r="E59">
        <v>20</v>
      </c>
      <c r="F59">
        <v>3.5</v>
      </c>
    </row>
    <row r="60" spans="1:6" x14ac:dyDescent="0.15">
      <c r="A60" t="s">
        <v>210</v>
      </c>
      <c r="B60" s="226">
        <v>42279.470478530093</v>
      </c>
      <c r="C60" t="s">
        <v>607</v>
      </c>
      <c r="D60" t="s">
        <v>13</v>
      </c>
      <c r="E60">
        <v>20</v>
      </c>
      <c r="F60">
        <v>0</v>
      </c>
    </row>
    <row r="61" spans="1:6" x14ac:dyDescent="0.15">
      <c r="A61" t="s">
        <v>210</v>
      </c>
      <c r="B61" s="226">
        <v>42279.476848969905</v>
      </c>
      <c r="C61" t="s">
        <v>608</v>
      </c>
      <c r="D61" t="s">
        <v>15</v>
      </c>
      <c r="E61">
        <v>60</v>
      </c>
      <c r="F61">
        <v>1.8</v>
      </c>
    </row>
    <row r="62" spans="1:6" x14ac:dyDescent="0.15">
      <c r="A62" t="s">
        <v>210</v>
      </c>
      <c r="B62" s="226">
        <v>42279.480869571758</v>
      </c>
      <c r="C62" t="s">
        <v>609</v>
      </c>
      <c r="D62" t="s">
        <v>13</v>
      </c>
      <c r="E62">
        <v>60</v>
      </c>
      <c r="F62">
        <v>0</v>
      </c>
    </row>
    <row r="63" spans="1:6" x14ac:dyDescent="0.15">
      <c r="A63" t="s">
        <v>210</v>
      </c>
      <c r="B63" s="226">
        <v>42279.483048310183</v>
      </c>
      <c r="C63" t="s">
        <v>296</v>
      </c>
      <c r="D63" t="s">
        <v>13</v>
      </c>
      <c r="E63">
        <v>60</v>
      </c>
      <c r="F63">
        <v>0</v>
      </c>
    </row>
    <row r="64" spans="1:6" x14ac:dyDescent="0.15">
      <c r="A64" t="s">
        <v>210</v>
      </c>
      <c r="B64" s="226">
        <v>42279.492815428239</v>
      </c>
      <c r="C64" t="s">
        <v>610</v>
      </c>
      <c r="D64" t="s">
        <v>13</v>
      </c>
      <c r="E64">
        <v>100</v>
      </c>
      <c r="F64">
        <v>0</v>
      </c>
    </row>
    <row r="65" spans="1:6" x14ac:dyDescent="0.15">
      <c r="A65" t="s">
        <v>210</v>
      </c>
      <c r="B65" s="226">
        <v>42279.495412592594</v>
      </c>
      <c r="C65" t="s">
        <v>611</v>
      </c>
      <c r="D65" t="s">
        <v>13</v>
      </c>
      <c r="E65">
        <v>100</v>
      </c>
      <c r="F65">
        <v>0</v>
      </c>
    </row>
    <row r="66" spans="1:6" x14ac:dyDescent="0.15">
      <c r="A66" t="s">
        <v>210</v>
      </c>
      <c r="B66" s="226">
        <v>42279.524069236111</v>
      </c>
      <c r="C66" t="s">
        <v>612</v>
      </c>
      <c r="D66" t="s">
        <v>13</v>
      </c>
      <c r="E66">
        <v>80</v>
      </c>
      <c r="F66">
        <v>0</v>
      </c>
    </row>
    <row r="67" spans="1:6" x14ac:dyDescent="0.15">
      <c r="A67" t="s">
        <v>210</v>
      </c>
      <c r="B67" s="226">
        <v>42279.526144062504</v>
      </c>
      <c r="C67" t="s">
        <v>613</v>
      </c>
      <c r="D67" t="s">
        <v>13</v>
      </c>
      <c r="E67">
        <v>100</v>
      </c>
      <c r="F67">
        <v>0</v>
      </c>
    </row>
    <row r="68" spans="1:6" x14ac:dyDescent="0.15">
      <c r="A68" t="s">
        <v>210</v>
      </c>
      <c r="B68" s="226">
        <v>42279.534607326386</v>
      </c>
      <c r="C68" t="s">
        <v>297</v>
      </c>
      <c r="D68" t="s">
        <v>13</v>
      </c>
      <c r="E68">
        <v>20</v>
      </c>
      <c r="F68">
        <v>0</v>
      </c>
    </row>
    <row r="69" spans="1:6" x14ac:dyDescent="0.15">
      <c r="A69" t="s">
        <v>210</v>
      </c>
      <c r="B69" s="226">
        <v>42279.539646759258</v>
      </c>
      <c r="C69" t="s">
        <v>614</v>
      </c>
      <c r="D69" t="s">
        <v>13</v>
      </c>
      <c r="E69">
        <v>300</v>
      </c>
      <c r="F69">
        <v>0</v>
      </c>
    </row>
    <row r="70" spans="1:6" x14ac:dyDescent="0.15">
      <c r="A70" t="s">
        <v>210</v>
      </c>
      <c r="B70" s="226">
        <v>42279.552860787036</v>
      </c>
      <c r="C70" t="s">
        <v>298</v>
      </c>
      <c r="D70" t="s">
        <v>13</v>
      </c>
      <c r="E70">
        <v>60</v>
      </c>
      <c r="F70">
        <v>0</v>
      </c>
    </row>
    <row r="71" spans="1:6" x14ac:dyDescent="0.15">
      <c r="A71" t="s">
        <v>210</v>
      </c>
      <c r="B71" s="226">
        <v>42279.563423240739</v>
      </c>
      <c r="C71" t="s">
        <v>615</v>
      </c>
      <c r="D71" t="s">
        <v>13</v>
      </c>
      <c r="E71">
        <v>120</v>
      </c>
      <c r="F71">
        <v>0</v>
      </c>
    </row>
    <row r="72" spans="1:6" x14ac:dyDescent="0.15">
      <c r="A72" t="s">
        <v>210</v>
      </c>
      <c r="B72" s="226">
        <v>42279.565088379626</v>
      </c>
      <c r="C72" t="s">
        <v>616</v>
      </c>
      <c r="D72" t="s">
        <v>13</v>
      </c>
      <c r="E72">
        <v>200</v>
      </c>
      <c r="F72">
        <v>0</v>
      </c>
    </row>
    <row r="73" spans="1:6" x14ac:dyDescent="0.15">
      <c r="A73" t="s">
        <v>210</v>
      </c>
      <c r="B73" s="226">
        <v>42279.571405543982</v>
      </c>
      <c r="C73" t="s">
        <v>101</v>
      </c>
      <c r="D73" t="s">
        <v>13</v>
      </c>
      <c r="E73">
        <v>20</v>
      </c>
      <c r="F73">
        <v>0</v>
      </c>
    </row>
    <row r="74" spans="1:6" x14ac:dyDescent="0.15">
      <c r="A74" t="s">
        <v>210</v>
      </c>
      <c r="B74" s="226">
        <v>42279.574184884259</v>
      </c>
      <c r="C74" t="s">
        <v>617</v>
      </c>
      <c r="D74" t="s">
        <v>13</v>
      </c>
      <c r="E74">
        <v>20</v>
      </c>
      <c r="F74">
        <v>0</v>
      </c>
    </row>
    <row r="75" spans="1:6" x14ac:dyDescent="0.15">
      <c r="A75" t="s">
        <v>210</v>
      </c>
      <c r="B75" s="226">
        <v>42279.594150243058</v>
      </c>
      <c r="C75" t="s">
        <v>14</v>
      </c>
      <c r="D75" t="s">
        <v>13</v>
      </c>
      <c r="E75">
        <v>100</v>
      </c>
      <c r="F75">
        <v>3.5</v>
      </c>
    </row>
    <row r="76" spans="1:6" x14ac:dyDescent="0.15">
      <c r="A76" t="s">
        <v>210</v>
      </c>
      <c r="B76" s="226">
        <v>42279.606842939815</v>
      </c>
      <c r="C76" t="s">
        <v>618</v>
      </c>
      <c r="D76" t="s">
        <v>13</v>
      </c>
      <c r="E76">
        <v>100</v>
      </c>
      <c r="F76">
        <v>0</v>
      </c>
    </row>
    <row r="77" spans="1:6" x14ac:dyDescent="0.15">
      <c r="A77" t="s">
        <v>210</v>
      </c>
      <c r="B77" s="226">
        <v>42279.62945270833</v>
      </c>
      <c r="C77" t="s">
        <v>619</v>
      </c>
      <c r="D77" t="s">
        <v>15</v>
      </c>
      <c r="E77">
        <v>20</v>
      </c>
      <c r="F77">
        <v>0.6</v>
      </c>
    </row>
    <row r="78" spans="1:6" x14ac:dyDescent="0.15">
      <c r="A78" t="s">
        <v>210</v>
      </c>
      <c r="B78" s="226">
        <v>42279.638139421295</v>
      </c>
      <c r="C78" t="s">
        <v>620</v>
      </c>
      <c r="D78" t="s">
        <v>13</v>
      </c>
      <c r="E78">
        <v>140</v>
      </c>
      <c r="F78">
        <v>0</v>
      </c>
    </row>
    <row r="79" spans="1:6" x14ac:dyDescent="0.15">
      <c r="A79" t="s">
        <v>210</v>
      </c>
      <c r="B79" s="226">
        <v>42279.640143611112</v>
      </c>
      <c r="C79" t="s">
        <v>14</v>
      </c>
      <c r="D79" t="s">
        <v>13</v>
      </c>
      <c r="E79">
        <v>80</v>
      </c>
      <c r="F79">
        <v>3.5</v>
      </c>
    </row>
    <row r="80" spans="1:6" x14ac:dyDescent="0.15">
      <c r="A80" t="s">
        <v>210</v>
      </c>
      <c r="B80" s="226">
        <v>42279.647527407411</v>
      </c>
      <c r="C80" t="s">
        <v>621</v>
      </c>
      <c r="D80" t="s">
        <v>13</v>
      </c>
      <c r="E80">
        <v>60</v>
      </c>
      <c r="F80">
        <v>0</v>
      </c>
    </row>
    <row r="81" spans="1:6" x14ac:dyDescent="0.15">
      <c r="A81" t="s">
        <v>210</v>
      </c>
      <c r="B81" s="226">
        <v>42279.649163923612</v>
      </c>
      <c r="C81" t="s">
        <v>299</v>
      </c>
      <c r="D81" t="s">
        <v>13</v>
      </c>
      <c r="E81">
        <v>20</v>
      </c>
      <c r="F81">
        <v>0</v>
      </c>
    </row>
    <row r="82" spans="1:6" x14ac:dyDescent="0.15">
      <c r="A82" t="s">
        <v>210</v>
      </c>
      <c r="B82" s="226">
        <v>42279.658044571763</v>
      </c>
      <c r="C82" t="s">
        <v>622</v>
      </c>
      <c r="D82" t="s">
        <v>13</v>
      </c>
      <c r="E82">
        <v>100</v>
      </c>
      <c r="F82">
        <v>0</v>
      </c>
    </row>
    <row r="83" spans="1:6" x14ac:dyDescent="0.15">
      <c r="A83" t="s">
        <v>210</v>
      </c>
      <c r="B83" s="226">
        <v>42279.65899974537</v>
      </c>
      <c r="C83" t="s">
        <v>623</v>
      </c>
      <c r="D83" t="s">
        <v>13</v>
      </c>
      <c r="E83">
        <v>20</v>
      </c>
      <c r="F83">
        <v>0</v>
      </c>
    </row>
    <row r="84" spans="1:6" x14ac:dyDescent="0.15">
      <c r="A84" t="s">
        <v>210</v>
      </c>
      <c r="B84" s="226">
        <v>42279.671767777778</v>
      </c>
      <c r="C84" t="s">
        <v>300</v>
      </c>
      <c r="D84" t="s">
        <v>13</v>
      </c>
      <c r="E84">
        <v>20</v>
      </c>
      <c r="F84">
        <v>0</v>
      </c>
    </row>
    <row r="85" spans="1:6" x14ac:dyDescent="0.15">
      <c r="A85" t="s">
        <v>210</v>
      </c>
      <c r="B85" s="226">
        <v>42279.707055057872</v>
      </c>
      <c r="C85" t="s">
        <v>624</v>
      </c>
      <c r="D85" t="s">
        <v>13</v>
      </c>
      <c r="E85">
        <v>40</v>
      </c>
      <c r="F85">
        <v>0</v>
      </c>
    </row>
    <row r="86" spans="1:6" x14ac:dyDescent="0.15">
      <c r="A86" t="s">
        <v>210</v>
      </c>
      <c r="B86" s="226">
        <v>42279.714697233794</v>
      </c>
      <c r="C86" t="s">
        <v>301</v>
      </c>
      <c r="D86" t="s">
        <v>13</v>
      </c>
      <c r="E86">
        <v>500</v>
      </c>
      <c r="F86">
        <v>0</v>
      </c>
    </row>
    <row r="87" spans="1:6" x14ac:dyDescent="0.15">
      <c r="A87" t="s">
        <v>210</v>
      </c>
      <c r="B87" s="226">
        <v>42279.72513071759</v>
      </c>
      <c r="C87" t="s">
        <v>625</v>
      </c>
      <c r="D87" t="s">
        <v>13</v>
      </c>
      <c r="E87">
        <v>60</v>
      </c>
      <c r="F87">
        <v>0</v>
      </c>
    </row>
    <row r="88" spans="1:6" x14ac:dyDescent="0.15">
      <c r="A88" t="s">
        <v>210</v>
      </c>
      <c r="B88" s="226">
        <v>42279.733250185185</v>
      </c>
      <c r="C88" t="s">
        <v>93</v>
      </c>
      <c r="D88" t="s">
        <v>13</v>
      </c>
      <c r="E88">
        <v>200</v>
      </c>
      <c r="F88">
        <v>0</v>
      </c>
    </row>
    <row r="89" spans="1:6" x14ac:dyDescent="0.15">
      <c r="A89" t="s">
        <v>210</v>
      </c>
      <c r="B89" s="226">
        <v>42279.739876967593</v>
      </c>
      <c r="C89" t="s">
        <v>14</v>
      </c>
      <c r="D89" t="s">
        <v>13</v>
      </c>
      <c r="E89">
        <v>100</v>
      </c>
      <c r="F89">
        <v>3.5</v>
      </c>
    </row>
    <row r="90" spans="1:6" x14ac:dyDescent="0.15">
      <c r="A90" t="s">
        <v>210</v>
      </c>
      <c r="B90" s="226">
        <v>42279.747984074071</v>
      </c>
      <c r="C90" t="s">
        <v>121</v>
      </c>
      <c r="D90" t="s">
        <v>13</v>
      </c>
      <c r="E90">
        <v>100</v>
      </c>
      <c r="F90">
        <v>0</v>
      </c>
    </row>
    <row r="91" spans="1:6" x14ac:dyDescent="0.15">
      <c r="A91" t="s">
        <v>210</v>
      </c>
      <c r="B91" s="226">
        <v>42279.758972731484</v>
      </c>
      <c r="C91" t="s">
        <v>14</v>
      </c>
      <c r="D91" t="s">
        <v>13</v>
      </c>
      <c r="E91">
        <v>60</v>
      </c>
      <c r="F91">
        <v>3.5</v>
      </c>
    </row>
    <row r="92" spans="1:6" x14ac:dyDescent="0.15">
      <c r="A92" t="s">
        <v>210</v>
      </c>
      <c r="B92" s="226">
        <v>42279.760918229164</v>
      </c>
      <c r="C92" t="s">
        <v>626</v>
      </c>
      <c r="D92" t="s">
        <v>13</v>
      </c>
      <c r="E92">
        <v>100</v>
      </c>
      <c r="F92">
        <v>0</v>
      </c>
    </row>
    <row r="93" spans="1:6" x14ac:dyDescent="0.15">
      <c r="A93" t="s">
        <v>210</v>
      </c>
      <c r="B93" s="226">
        <v>42279.790346064816</v>
      </c>
      <c r="C93" t="s">
        <v>627</v>
      </c>
      <c r="D93" t="s">
        <v>13</v>
      </c>
      <c r="E93">
        <v>100</v>
      </c>
      <c r="F93">
        <v>0</v>
      </c>
    </row>
    <row r="94" spans="1:6" x14ac:dyDescent="0.15">
      <c r="A94" t="s">
        <v>210</v>
      </c>
      <c r="B94" s="226">
        <v>42279.840672754632</v>
      </c>
      <c r="C94" t="s">
        <v>628</v>
      </c>
      <c r="D94" t="s">
        <v>13</v>
      </c>
      <c r="E94">
        <v>80</v>
      </c>
      <c r="F94">
        <v>0</v>
      </c>
    </row>
    <row r="95" spans="1:6" x14ac:dyDescent="0.15">
      <c r="A95" t="s">
        <v>210</v>
      </c>
      <c r="B95" s="226">
        <v>42279.848915439812</v>
      </c>
      <c r="C95" t="s">
        <v>629</v>
      </c>
      <c r="D95" t="s">
        <v>13</v>
      </c>
      <c r="E95">
        <v>500</v>
      </c>
      <c r="F95">
        <v>0</v>
      </c>
    </row>
    <row r="96" spans="1:6" x14ac:dyDescent="0.15">
      <c r="A96" t="s">
        <v>210</v>
      </c>
      <c r="B96" s="226">
        <v>42279.873767569443</v>
      </c>
      <c r="C96" t="s">
        <v>243</v>
      </c>
      <c r="D96" t="s">
        <v>13</v>
      </c>
      <c r="E96">
        <v>100</v>
      </c>
      <c r="F96">
        <v>0</v>
      </c>
    </row>
    <row r="97" spans="1:6" x14ac:dyDescent="0.15">
      <c r="A97" t="s">
        <v>210</v>
      </c>
      <c r="B97" s="226">
        <v>42279.882912604167</v>
      </c>
      <c r="C97" t="s">
        <v>14</v>
      </c>
      <c r="D97" t="s">
        <v>13</v>
      </c>
      <c r="E97">
        <v>100</v>
      </c>
      <c r="F97">
        <v>3.5</v>
      </c>
    </row>
    <row r="98" spans="1:6" x14ac:dyDescent="0.15">
      <c r="A98" t="s">
        <v>210</v>
      </c>
      <c r="B98" s="226">
        <v>42279.908619953705</v>
      </c>
      <c r="C98" t="s">
        <v>630</v>
      </c>
      <c r="D98" t="s">
        <v>13</v>
      </c>
      <c r="E98">
        <v>120</v>
      </c>
      <c r="F98">
        <v>0</v>
      </c>
    </row>
    <row r="99" spans="1:6" x14ac:dyDescent="0.15">
      <c r="A99" t="s">
        <v>210</v>
      </c>
      <c r="B99" s="226">
        <v>42280.045092546294</v>
      </c>
      <c r="C99" t="s">
        <v>631</v>
      </c>
      <c r="D99" t="s">
        <v>13</v>
      </c>
      <c r="E99">
        <v>20</v>
      </c>
      <c r="F99">
        <v>0</v>
      </c>
    </row>
    <row r="100" spans="1:6" x14ac:dyDescent="0.15">
      <c r="A100" t="s">
        <v>210</v>
      </c>
      <c r="B100" s="226">
        <v>42280.303034594908</v>
      </c>
      <c r="C100" t="s">
        <v>632</v>
      </c>
      <c r="D100" t="s">
        <v>15</v>
      </c>
      <c r="E100">
        <v>100</v>
      </c>
      <c r="F100">
        <v>3</v>
      </c>
    </row>
    <row r="101" spans="1:6" x14ac:dyDescent="0.15">
      <c r="A101" t="s">
        <v>210</v>
      </c>
      <c r="B101" s="226">
        <v>42280.376007696759</v>
      </c>
      <c r="C101" t="s">
        <v>633</v>
      </c>
      <c r="D101" t="s">
        <v>13</v>
      </c>
      <c r="E101">
        <v>200</v>
      </c>
      <c r="F101">
        <v>0</v>
      </c>
    </row>
    <row r="102" spans="1:6" x14ac:dyDescent="0.15">
      <c r="A102" t="s">
        <v>210</v>
      </c>
      <c r="B102" s="226">
        <v>42280.407905902779</v>
      </c>
      <c r="C102" t="s">
        <v>634</v>
      </c>
      <c r="D102" t="s">
        <v>13</v>
      </c>
      <c r="E102">
        <v>100</v>
      </c>
      <c r="F102">
        <v>0</v>
      </c>
    </row>
    <row r="103" spans="1:6" x14ac:dyDescent="0.15">
      <c r="A103" t="s">
        <v>210</v>
      </c>
      <c r="B103" s="226">
        <v>42280.437833715281</v>
      </c>
      <c r="C103" t="s">
        <v>635</v>
      </c>
      <c r="D103" t="s">
        <v>13</v>
      </c>
      <c r="E103">
        <v>120</v>
      </c>
      <c r="F103">
        <v>0</v>
      </c>
    </row>
    <row r="104" spans="1:6" x14ac:dyDescent="0.15">
      <c r="A104" t="s">
        <v>210</v>
      </c>
      <c r="B104" s="226">
        <v>42280.43986677083</v>
      </c>
      <c r="C104" t="s">
        <v>14</v>
      </c>
      <c r="D104" t="s">
        <v>13</v>
      </c>
      <c r="E104">
        <v>400</v>
      </c>
      <c r="F104">
        <v>3.5</v>
      </c>
    </row>
    <row r="105" spans="1:6" x14ac:dyDescent="0.15">
      <c r="A105" t="s">
        <v>210</v>
      </c>
      <c r="B105" s="226">
        <v>42280.44818550926</v>
      </c>
      <c r="C105" t="s">
        <v>14</v>
      </c>
      <c r="D105" t="s">
        <v>13</v>
      </c>
      <c r="E105">
        <v>120</v>
      </c>
      <c r="F105">
        <v>3.5</v>
      </c>
    </row>
    <row r="106" spans="1:6" x14ac:dyDescent="0.15">
      <c r="A106" t="s">
        <v>210</v>
      </c>
      <c r="B106" s="226">
        <v>42280.451104270833</v>
      </c>
      <c r="C106" t="s">
        <v>636</v>
      </c>
      <c r="D106" t="s">
        <v>13</v>
      </c>
      <c r="E106">
        <v>100</v>
      </c>
      <c r="F106">
        <v>0</v>
      </c>
    </row>
    <row r="107" spans="1:6" x14ac:dyDescent="0.15">
      <c r="A107" t="s">
        <v>210</v>
      </c>
      <c r="B107" s="226">
        <v>42280.464760798612</v>
      </c>
      <c r="C107" t="s">
        <v>302</v>
      </c>
      <c r="D107" t="s">
        <v>13</v>
      </c>
      <c r="E107">
        <v>40</v>
      </c>
      <c r="F107">
        <v>0</v>
      </c>
    </row>
    <row r="108" spans="1:6" x14ac:dyDescent="0.15">
      <c r="A108" t="s">
        <v>210</v>
      </c>
      <c r="B108" s="226">
        <v>42280.491674375</v>
      </c>
      <c r="C108" t="s">
        <v>637</v>
      </c>
      <c r="D108" t="s">
        <v>15</v>
      </c>
      <c r="E108">
        <v>80</v>
      </c>
      <c r="F108">
        <v>2.4</v>
      </c>
    </row>
    <row r="109" spans="1:6" x14ac:dyDescent="0.15">
      <c r="A109" t="s">
        <v>210</v>
      </c>
      <c r="B109" s="226">
        <v>42280.519083657404</v>
      </c>
      <c r="C109" t="s">
        <v>14</v>
      </c>
      <c r="D109" t="s">
        <v>15</v>
      </c>
      <c r="E109">
        <v>100</v>
      </c>
      <c r="F109">
        <v>5.5</v>
      </c>
    </row>
    <row r="110" spans="1:6" x14ac:dyDescent="0.15">
      <c r="A110" t="s">
        <v>210</v>
      </c>
      <c r="B110" s="226">
        <v>42280.521403969906</v>
      </c>
      <c r="C110" t="s">
        <v>638</v>
      </c>
      <c r="D110" t="s">
        <v>13</v>
      </c>
      <c r="E110">
        <v>100</v>
      </c>
      <c r="F110">
        <v>0</v>
      </c>
    </row>
    <row r="111" spans="1:6" x14ac:dyDescent="0.15">
      <c r="A111" t="s">
        <v>210</v>
      </c>
      <c r="B111" s="226">
        <v>42280.534889826391</v>
      </c>
      <c r="C111" t="s">
        <v>14</v>
      </c>
      <c r="D111" t="s">
        <v>13</v>
      </c>
      <c r="E111">
        <v>100</v>
      </c>
      <c r="F111">
        <v>3.5</v>
      </c>
    </row>
    <row r="112" spans="1:6" x14ac:dyDescent="0.15">
      <c r="A112" t="s">
        <v>210</v>
      </c>
      <c r="B112" s="226">
        <v>42280.535611273146</v>
      </c>
      <c r="C112" t="s">
        <v>639</v>
      </c>
      <c r="D112" t="s">
        <v>13</v>
      </c>
      <c r="E112">
        <v>40</v>
      </c>
      <c r="F112">
        <v>0</v>
      </c>
    </row>
    <row r="113" spans="1:6" x14ac:dyDescent="0.15">
      <c r="A113" t="s">
        <v>210</v>
      </c>
      <c r="B113" s="226">
        <v>42280.540025543982</v>
      </c>
      <c r="C113" t="s">
        <v>640</v>
      </c>
      <c r="D113" t="s">
        <v>13</v>
      </c>
      <c r="E113">
        <v>60</v>
      </c>
      <c r="F113">
        <v>0</v>
      </c>
    </row>
    <row r="114" spans="1:6" x14ac:dyDescent="0.15">
      <c r="A114" t="s">
        <v>210</v>
      </c>
      <c r="B114" s="226">
        <v>42280.586990474534</v>
      </c>
      <c r="C114" t="s">
        <v>641</v>
      </c>
      <c r="D114" t="s">
        <v>13</v>
      </c>
      <c r="E114">
        <v>100</v>
      </c>
      <c r="F114">
        <v>0</v>
      </c>
    </row>
    <row r="115" spans="1:6" x14ac:dyDescent="0.15">
      <c r="A115" t="s">
        <v>210</v>
      </c>
      <c r="B115" s="226">
        <v>42280.601652800928</v>
      </c>
      <c r="C115" t="s">
        <v>642</v>
      </c>
      <c r="D115" t="s">
        <v>13</v>
      </c>
      <c r="E115">
        <v>500</v>
      </c>
      <c r="F115">
        <v>0</v>
      </c>
    </row>
    <row r="116" spans="1:6" x14ac:dyDescent="0.15">
      <c r="A116" t="s">
        <v>210</v>
      </c>
      <c r="B116" s="226">
        <v>42280.617112638887</v>
      </c>
      <c r="C116" t="s">
        <v>643</v>
      </c>
      <c r="D116" t="s">
        <v>13</v>
      </c>
      <c r="E116">
        <v>100</v>
      </c>
      <c r="F116">
        <v>0</v>
      </c>
    </row>
    <row r="117" spans="1:6" x14ac:dyDescent="0.15">
      <c r="A117" t="s">
        <v>210</v>
      </c>
      <c r="B117" s="226">
        <v>42280.626945243057</v>
      </c>
      <c r="C117" t="s">
        <v>644</v>
      </c>
      <c r="D117" t="s">
        <v>13</v>
      </c>
      <c r="E117">
        <v>80</v>
      </c>
      <c r="F117">
        <v>0</v>
      </c>
    </row>
    <row r="118" spans="1:6" x14ac:dyDescent="0.15">
      <c r="A118" t="s">
        <v>210</v>
      </c>
      <c r="B118" s="226">
        <v>42280.640452673608</v>
      </c>
      <c r="C118" t="s">
        <v>14</v>
      </c>
      <c r="D118" t="s">
        <v>13</v>
      </c>
      <c r="E118">
        <v>100</v>
      </c>
      <c r="F118">
        <v>3.5</v>
      </c>
    </row>
    <row r="119" spans="1:6" x14ac:dyDescent="0.15">
      <c r="A119" t="s">
        <v>210</v>
      </c>
      <c r="B119" s="226">
        <v>42280.643470208335</v>
      </c>
      <c r="C119" t="s">
        <v>14</v>
      </c>
      <c r="D119" t="s">
        <v>13</v>
      </c>
      <c r="E119">
        <v>60</v>
      </c>
      <c r="F119">
        <v>3.5</v>
      </c>
    </row>
    <row r="120" spans="1:6" x14ac:dyDescent="0.15">
      <c r="A120" t="s">
        <v>210</v>
      </c>
      <c r="B120" s="226">
        <v>42280.659993657406</v>
      </c>
      <c r="C120" t="s">
        <v>645</v>
      </c>
      <c r="D120" t="s">
        <v>13</v>
      </c>
      <c r="E120">
        <v>40</v>
      </c>
      <c r="F120">
        <v>0</v>
      </c>
    </row>
    <row r="121" spans="1:6" x14ac:dyDescent="0.15">
      <c r="A121" t="s">
        <v>210</v>
      </c>
      <c r="B121" s="226">
        <v>42280.669032847225</v>
      </c>
      <c r="C121" t="s">
        <v>646</v>
      </c>
      <c r="D121" t="s">
        <v>13</v>
      </c>
      <c r="E121">
        <v>100</v>
      </c>
      <c r="F121">
        <v>0</v>
      </c>
    </row>
    <row r="122" spans="1:6" x14ac:dyDescent="0.15">
      <c r="A122" t="s">
        <v>210</v>
      </c>
      <c r="B122" s="226">
        <v>42280.673148148147</v>
      </c>
      <c r="C122" t="s">
        <v>647</v>
      </c>
      <c r="D122" t="s">
        <v>13</v>
      </c>
      <c r="E122">
        <v>100</v>
      </c>
      <c r="F122">
        <v>0</v>
      </c>
    </row>
    <row r="123" spans="1:6" x14ac:dyDescent="0.15">
      <c r="A123" t="s">
        <v>210</v>
      </c>
      <c r="B123" s="226">
        <v>42280.691219733795</v>
      </c>
      <c r="C123" t="s">
        <v>648</v>
      </c>
      <c r="D123" t="s">
        <v>13</v>
      </c>
      <c r="E123">
        <v>100</v>
      </c>
      <c r="F123">
        <v>0</v>
      </c>
    </row>
    <row r="124" spans="1:6" x14ac:dyDescent="0.15">
      <c r="A124" t="s">
        <v>210</v>
      </c>
      <c r="B124" s="226">
        <v>42280.717712824073</v>
      </c>
      <c r="C124" t="s">
        <v>303</v>
      </c>
      <c r="D124" t="s">
        <v>13</v>
      </c>
      <c r="E124">
        <v>100</v>
      </c>
      <c r="F124">
        <v>0</v>
      </c>
    </row>
    <row r="125" spans="1:6" x14ac:dyDescent="0.15">
      <c r="A125" t="s">
        <v>210</v>
      </c>
      <c r="B125" s="226">
        <v>42280.725003738429</v>
      </c>
      <c r="C125" t="s">
        <v>649</v>
      </c>
      <c r="D125" t="s">
        <v>13</v>
      </c>
      <c r="E125">
        <v>200</v>
      </c>
      <c r="F125">
        <v>0</v>
      </c>
    </row>
    <row r="126" spans="1:6" x14ac:dyDescent="0.15">
      <c r="A126" t="s">
        <v>210</v>
      </c>
      <c r="B126" s="226">
        <v>42280.747728402777</v>
      </c>
      <c r="C126" t="s">
        <v>650</v>
      </c>
      <c r="D126" t="s">
        <v>13</v>
      </c>
      <c r="E126">
        <v>20</v>
      </c>
      <c r="F126">
        <v>0</v>
      </c>
    </row>
    <row r="127" spans="1:6" x14ac:dyDescent="0.15">
      <c r="A127" t="s">
        <v>210</v>
      </c>
      <c r="B127" s="226">
        <v>42280.750327337963</v>
      </c>
      <c r="C127" t="s">
        <v>651</v>
      </c>
      <c r="D127" t="s">
        <v>13</v>
      </c>
      <c r="E127">
        <v>60</v>
      </c>
      <c r="F127">
        <v>0</v>
      </c>
    </row>
    <row r="128" spans="1:6" x14ac:dyDescent="0.15">
      <c r="A128" t="s">
        <v>210</v>
      </c>
      <c r="B128" s="226">
        <v>42280.773271909726</v>
      </c>
      <c r="C128" t="s">
        <v>652</v>
      </c>
      <c r="D128" t="s">
        <v>13</v>
      </c>
      <c r="E128">
        <v>300</v>
      </c>
      <c r="F128">
        <v>0</v>
      </c>
    </row>
    <row r="129" spans="1:6" x14ac:dyDescent="0.15">
      <c r="A129" t="s">
        <v>210</v>
      </c>
      <c r="B129" s="226">
        <v>42280.783273159723</v>
      </c>
      <c r="C129" t="s">
        <v>653</v>
      </c>
      <c r="D129" t="s">
        <v>13</v>
      </c>
      <c r="E129">
        <v>40</v>
      </c>
      <c r="F129">
        <v>0</v>
      </c>
    </row>
    <row r="130" spans="1:6" x14ac:dyDescent="0.15">
      <c r="A130" t="s">
        <v>210</v>
      </c>
      <c r="B130" s="226">
        <v>42280.80099880787</v>
      </c>
      <c r="C130" t="s">
        <v>654</v>
      </c>
      <c r="D130" t="s">
        <v>13</v>
      </c>
      <c r="E130">
        <v>40</v>
      </c>
      <c r="F130">
        <v>0</v>
      </c>
    </row>
    <row r="131" spans="1:6" x14ac:dyDescent="0.15">
      <c r="A131" t="s">
        <v>210</v>
      </c>
      <c r="B131" s="226">
        <v>42280.801813229169</v>
      </c>
      <c r="C131" t="s">
        <v>655</v>
      </c>
      <c r="D131" t="s">
        <v>13</v>
      </c>
      <c r="E131">
        <v>120</v>
      </c>
      <c r="F131">
        <v>0</v>
      </c>
    </row>
    <row r="132" spans="1:6" x14ac:dyDescent="0.15">
      <c r="A132" t="s">
        <v>210</v>
      </c>
      <c r="B132" s="226">
        <v>42280.819642407405</v>
      </c>
      <c r="C132" t="s">
        <v>304</v>
      </c>
      <c r="D132" t="s">
        <v>13</v>
      </c>
      <c r="E132">
        <v>100</v>
      </c>
      <c r="F132">
        <v>0</v>
      </c>
    </row>
    <row r="133" spans="1:6" x14ac:dyDescent="0.15">
      <c r="A133" t="s">
        <v>210</v>
      </c>
      <c r="B133" s="226">
        <v>42280.834548576386</v>
      </c>
      <c r="C133" t="s">
        <v>656</v>
      </c>
      <c r="D133" t="s">
        <v>13</v>
      </c>
      <c r="E133">
        <v>40</v>
      </c>
      <c r="F133">
        <v>0</v>
      </c>
    </row>
    <row r="134" spans="1:6" x14ac:dyDescent="0.15">
      <c r="A134" t="s">
        <v>210</v>
      </c>
      <c r="B134" s="226">
        <v>42280.835581053238</v>
      </c>
      <c r="C134" t="s">
        <v>657</v>
      </c>
      <c r="D134" t="s">
        <v>13</v>
      </c>
      <c r="E134">
        <v>60</v>
      </c>
      <c r="F134">
        <v>0</v>
      </c>
    </row>
    <row r="135" spans="1:6" x14ac:dyDescent="0.15">
      <c r="A135" t="s">
        <v>210</v>
      </c>
      <c r="B135" s="226">
        <v>42280.89003934028</v>
      </c>
      <c r="C135" t="s">
        <v>658</v>
      </c>
      <c r="D135" t="s">
        <v>13</v>
      </c>
      <c r="E135">
        <v>200</v>
      </c>
      <c r="F135">
        <v>0</v>
      </c>
    </row>
    <row r="136" spans="1:6" x14ac:dyDescent="0.15">
      <c r="A136" t="s">
        <v>210</v>
      </c>
      <c r="B136" s="226">
        <v>42280.914203460648</v>
      </c>
      <c r="C136" t="s">
        <v>659</v>
      </c>
      <c r="D136" t="s">
        <v>13</v>
      </c>
      <c r="E136">
        <v>100</v>
      </c>
      <c r="F136">
        <v>0</v>
      </c>
    </row>
    <row r="137" spans="1:6" x14ac:dyDescent="0.15">
      <c r="A137" t="s">
        <v>210</v>
      </c>
      <c r="B137" s="226">
        <v>42280.924714560184</v>
      </c>
      <c r="C137" t="s">
        <v>616</v>
      </c>
      <c r="D137" t="s">
        <v>13</v>
      </c>
      <c r="E137">
        <v>40</v>
      </c>
      <c r="F137">
        <v>0</v>
      </c>
    </row>
    <row r="138" spans="1:6" x14ac:dyDescent="0.15">
      <c r="A138" t="s">
        <v>210</v>
      </c>
      <c r="B138" s="226">
        <v>42280.960981956021</v>
      </c>
      <c r="C138" t="s">
        <v>660</v>
      </c>
      <c r="D138" t="s">
        <v>13</v>
      </c>
      <c r="E138">
        <v>100</v>
      </c>
      <c r="F138">
        <v>0</v>
      </c>
    </row>
    <row r="139" spans="1:6" x14ac:dyDescent="0.15">
      <c r="A139" t="s">
        <v>210</v>
      </c>
      <c r="B139" s="226">
        <v>42280.964373113427</v>
      </c>
      <c r="C139" t="s">
        <v>661</v>
      </c>
      <c r="D139" t="s">
        <v>13</v>
      </c>
      <c r="E139">
        <v>100</v>
      </c>
      <c r="F139">
        <v>0</v>
      </c>
    </row>
    <row r="140" spans="1:6" x14ac:dyDescent="0.15">
      <c r="A140" t="s">
        <v>210</v>
      </c>
      <c r="B140" s="226">
        <v>42281.397770416668</v>
      </c>
      <c r="C140" t="s">
        <v>662</v>
      </c>
      <c r="D140" t="s">
        <v>13</v>
      </c>
      <c r="E140">
        <v>40</v>
      </c>
      <c r="F140">
        <v>0</v>
      </c>
    </row>
    <row r="141" spans="1:6" x14ac:dyDescent="0.15">
      <c r="A141" t="s">
        <v>210</v>
      </c>
      <c r="B141" s="226">
        <v>42281.411153923611</v>
      </c>
      <c r="C141" t="s">
        <v>663</v>
      </c>
      <c r="D141" t="s">
        <v>13</v>
      </c>
      <c r="E141">
        <v>300</v>
      </c>
      <c r="F141">
        <v>0</v>
      </c>
    </row>
    <row r="142" spans="1:6" x14ac:dyDescent="0.15">
      <c r="A142" t="s">
        <v>210</v>
      </c>
      <c r="B142" s="226">
        <v>42281.463975219907</v>
      </c>
      <c r="C142" t="s">
        <v>664</v>
      </c>
      <c r="D142" t="s">
        <v>13</v>
      </c>
      <c r="E142">
        <v>140</v>
      </c>
      <c r="F142">
        <v>0</v>
      </c>
    </row>
    <row r="143" spans="1:6" x14ac:dyDescent="0.15">
      <c r="A143" t="s">
        <v>210</v>
      </c>
      <c r="B143" s="226">
        <v>42281.46714666667</v>
      </c>
      <c r="C143" t="s">
        <v>305</v>
      </c>
      <c r="D143" t="s">
        <v>13</v>
      </c>
      <c r="E143">
        <v>100</v>
      </c>
      <c r="F143">
        <v>0</v>
      </c>
    </row>
    <row r="144" spans="1:6" x14ac:dyDescent="0.15">
      <c r="A144" t="s">
        <v>210</v>
      </c>
      <c r="B144" s="226">
        <v>42281.47900579861</v>
      </c>
      <c r="C144" t="s">
        <v>665</v>
      </c>
      <c r="D144" t="s">
        <v>13</v>
      </c>
      <c r="E144">
        <v>40</v>
      </c>
      <c r="F144">
        <v>0</v>
      </c>
    </row>
    <row r="145" spans="1:6" x14ac:dyDescent="0.15">
      <c r="A145" t="s">
        <v>210</v>
      </c>
      <c r="B145" s="226">
        <v>42281.479720925927</v>
      </c>
      <c r="C145" t="s">
        <v>666</v>
      </c>
      <c r="D145" t="s">
        <v>13</v>
      </c>
      <c r="E145">
        <v>100</v>
      </c>
      <c r="F145">
        <v>0</v>
      </c>
    </row>
    <row r="146" spans="1:6" x14ac:dyDescent="0.15">
      <c r="A146" t="s">
        <v>210</v>
      </c>
      <c r="B146" s="226">
        <v>42281.547673194444</v>
      </c>
      <c r="C146" t="s">
        <v>667</v>
      </c>
      <c r="D146" t="s">
        <v>13</v>
      </c>
      <c r="E146">
        <v>100</v>
      </c>
      <c r="F146">
        <v>0</v>
      </c>
    </row>
    <row r="147" spans="1:6" x14ac:dyDescent="0.15">
      <c r="A147" t="s">
        <v>210</v>
      </c>
      <c r="B147" s="226">
        <v>42281.583658067131</v>
      </c>
      <c r="C147" t="s">
        <v>668</v>
      </c>
      <c r="D147" t="s">
        <v>13</v>
      </c>
      <c r="E147">
        <v>40</v>
      </c>
      <c r="F147">
        <v>0</v>
      </c>
    </row>
    <row r="148" spans="1:6" x14ac:dyDescent="0.15">
      <c r="A148" t="s">
        <v>210</v>
      </c>
      <c r="B148" s="226">
        <v>42281.601460185186</v>
      </c>
      <c r="C148" t="s">
        <v>669</v>
      </c>
      <c r="D148" t="s">
        <v>13</v>
      </c>
      <c r="E148">
        <v>100</v>
      </c>
      <c r="F148">
        <v>0</v>
      </c>
    </row>
    <row r="149" spans="1:6" x14ac:dyDescent="0.15">
      <c r="A149" t="s">
        <v>210</v>
      </c>
      <c r="B149" s="226">
        <v>42281.603096122686</v>
      </c>
      <c r="C149" t="s">
        <v>670</v>
      </c>
      <c r="D149" t="s">
        <v>13</v>
      </c>
      <c r="E149">
        <v>20</v>
      </c>
      <c r="F149">
        <v>0</v>
      </c>
    </row>
    <row r="150" spans="1:6" x14ac:dyDescent="0.15">
      <c r="A150" t="s">
        <v>210</v>
      </c>
      <c r="B150" s="226">
        <v>42281.614352349534</v>
      </c>
      <c r="C150" t="s">
        <v>306</v>
      </c>
      <c r="D150" t="s">
        <v>13</v>
      </c>
      <c r="E150">
        <v>20</v>
      </c>
      <c r="F150">
        <v>0</v>
      </c>
    </row>
    <row r="151" spans="1:6" x14ac:dyDescent="0.15">
      <c r="A151" t="s">
        <v>210</v>
      </c>
      <c r="B151" s="226">
        <v>42281.629108842593</v>
      </c>
      <c r="C151" t="s">
        <v>14</v>
      </c>
      <c r="D151" t="s">
        <v>15</v>
      </c>
      <c r="E151">
        <v>40</v>
      </c>
      <c r="F151">
        <v>3.7</v>
      </c>
    </row>
    <row r="152" spans="1:6" x14ac:dyDescent="0.15">
      <c r="A152" t="s">
        <v>210</v>
      </c>
      <c r="B152" s="226">
        <v>42281.64580204861</v>
      </c>
      <c r="C152" t="s">
        <v>671</v>
      </c>
      <c r="D152" t="s">
        <v>13</v>
      </c>
      <c r="E152">
        <v>40</v>
      </c>
      <c r="F152">
        <v>0</v>
      </c>
    </row>
    <row r="153" spans="1:6" x14ac:dyDescent="0.15">
      <c r="A153" t="s">
        <v>210</v>
      </c>
      <c r="B153" s="226">
        <v>42281.657174305554</v>
      </c>
      <c r="C153" t="s">
        <v>672</v>
      </c>
      <c r="D153" t="s">
        <v>13</v>
      </c>
      <c r="E153">
        <v>80</v>
      </c>
      <c r="F153">
        <v>0</v>
      </c>
    </row>
    <row r="154" spans="1:6" x14ac:dyDescent="0.15">
      <c r="A154" t="s">
        <v>210</v>
      </c>
      <c r="B154" s="226">
        <v>42281.660465578701</v>
      </c>
      <c r="C154" t="s">
        <v>673</v>
      </c>
      <c r="D154" t="s">
        <v>13</v>
      </c>
      <c r="E154">
        <v>60</v>
      </c>
      <c r="F154">
        <v>0</v>
      </c>
    </row>
    <row r="155" spans="1:6" x14ac:dyDescent="0.15">
      <c r="A155" t="s">
        <v>210</v>
      </c>
      <c r="B155" s="226">
        <v>42281.677325555553</v>
      </c>
      <c r="C155" t="s">
        <v>14</v>
      </c>
      <c r="D155" t="s">
        <v>13</v>
      </c>
      <c r="E155">
        <v>100</v>
      </c>
      <c r="F155">
        <v>3.5</v>
      </c>
    </row>
    <row r="156" spans="1:6" x14ac:dyDescent="0.15">
      <c r="A156" t="s">
        <v>210</v>
      </c>
      <c r="B156" s="226">
        <v>42281.683684502314</v>
      </c>
      <c r="C156" t="s">
        <v>674</v>
      </c>
      <c r="D156" t="s">
        <v>13</v>
      </c>
      <c r="E156">
        <v>20</v>
      </c>
      <c r="F156">
        <v>0</v>
      </c>
    </row>
    <row r="157" spans="1:6" x14ac:dyDescent="0.15">
      <c r="A157" t="s">
        <v>210</v>
      </c>
      <c r="B157" s="226">
        <v>42281.686310833335</v>
      </c>
      <c r="C157" t="s">
        <v>675</v>
      </c>
      <c r="D157" t="s">
        <v>13</v>
      </c>
      <c r="E157">
        <v>140</v>
      </c>
      <c r="F157">
        <v>0</v>
      </c>
    </row>
    <row r="158" spans="1:6" x14ac:dyDescent="0.15">
      <c r="A158" t="s">
        <v>210</v>
      </c>
      <c r="B158" s="226">
        <v>42281.688957268518</v>
      </c>
      <c r="C158" t="s">
        <v>676</v>
      </c>
      <c r="D158" t="s">
        <v>13</v>
      </c>
      <c r="E158">
        <v>100</v>
      </c>
      <c r="F158">
        <v>0</v>
      </c>
    </row>
    <row r="159" spans="1:6" x14ac:dyDescent="0.15">
      <c r="A159" t="s">
        <v>210</v>
      </c>
      <c r="B159" s="226">
        <v>42281.698288692132</v>
      </c>
      <c r="C159" t="s">
        <v>677</v>
      </c>
      <c r="D159" t="s">
        <v>13</v>
      </c>
      <c r="E159">
        <v>100</v>
      </c>
      <c r="F159">
        <v>0</v>
      </c>
    </row>
    <row r="160" spans="1:6" x14ac:dyDescent="0.15">
      <c r="A160" t="s">
        <v>210</v>
      </c>
      <c r="B160" s="226">
        <v>42281.699411793983</v>
      </c>
      <c r="C160" t="s">
        <v>678</v>
      </c>
      <c r="D160" t="s">
        <v>13</v>
      </c>
      <c r="E160">
        <v>100</v>
      </c>
      <c r="F160">
        <v>0</v>
      </c>
    </row>
    <row r="161" spans="1:6" x14ac:dyDescent="0.15">
      <c r="A161" t="s">
        <v>210</v>
      </c>
      <c r="B161" s="226">
        <v>42281.715156678241</v>
      </c>
      <c r="C161" t="s">
        <v>679</v>
      </c>
      <c r="D161" t="s">
        <v>13</v>
      </c>
      <c r="E161">
        <v>60</v>
      </c>
      <c r="F161">
        <v>0</v>
      </c>
    </row>
    <row r="162" spans="1:6" x14ac:dyDescent="0.15">
      <c r="A162" t="s">
        <v>210</v>
      </c>
      <c r="B162" s="226">
        <v>42281.757935162037</v>
      </c>
      <c r="C162" t="s">
        <v>680</v>
      </c>
      <c r="D162" t="s">
        <v>13</v>
      </c>
      <c r="E162">
        <v>100</v>
      </c>
      <c r="F162">
        <v>0</v>
      </c>
    </row>
    <row r="163" spans="1:6" x14ac:dyDescent="0.15">
      <c r="A163" t="s">
        <v>210</v>
      </c>
      <c r="B163" s="226">
        <v>42281.770657291665</v>
      </c>
      <c r="C163" t="s">
        <v>681</v>
      </c>
      <c r="D163" t="s">
        <v>15</v>
      </c>
      <c r="E163">
        <v>40</v>
      </c>
      <c r="F163">
        <v>1.2</v>
      </c>
    </row>
    <row r="164" spans="1:6" x14ac:dyDescent="0.15">
      <c r="A164" t="s">
        <v>210</v>
      </c>
      <c r="B164" s="226">
        <v>42282.30505657407</v>
      </c>
      <c r="C164" t="s">
        <v>682</v>
      </c>
      <c r="D164" t="s">
        <v>13</v>
      </c>
      <c r="E164">
        <v>500</v>
      </c>
      <c r="F164">
        <v>0</v>
      </c>
    </row>
    <row r="165" spans="1:6" x14ac:dyDescent="0.15">
      <c r="A165" t="s">
        <v>210</v>
      </c>
      <c r="B165" s="226">
        <v>42282.308061412034</v>
      </c>
      <c r="C165" t="s">
        <v>14</v>
      </c>
      <c r="D165" t="s">
        <v>13</v>
      </c>
      <c r="E165">
        <v>100</v>
      </c>
      <c r="F165">
        <v>3.5</v>
      </c>
    </row>
    <row r="166" spans="1:6" x14ac:dyDescent="0.15">
      <c r="A166" t="s">
        <v>210</v>
      </c>
      <c r="B166" s="226">
        <v>42282.313992187497</v>
      </c>
      <c r="C166" t="s">
        <v>683</v>
      </c>
      <c r="D166" t="s">
        <v>13</v>
      </c>
      <c r="E166">
        <v>140</v>
      </c>
      <c r="F166">
        <v>0</v>
      </c>
    </row>
    <row r="167" spans="1:6" x14ac:dyDescent="0.15">
      <c r="A167" t="s">
        <v>210</v>
      </c>
      <c r="B167" s="226">
        <v>42282.320687268519</v>
      </c>
      <c r="C167" t="s">
        <v>684</v>
      </c>
      <c r="D167" t="s">
        <v>13</v>
      </c>
      <c r="E167">
        <v>100</v>
      </c>
      <c r="F167">
        <v>0</v>
      </c>
    </row>
    <row r="168" spans="1:6" x14ac:dyDescent="0.15">
      <c r="A168" t="s">
        <v>210</v>
      </c>
      <c r="B168" s="226">
        <v>42282.327411238424</v>
      </c>
      <c r="C168" t="s">
        <v>685</v>
      </c>
      <c r="D168" t="s">
        <v>13</v>
      </c>
      <c r="E168">
        <v>20</v>
      </c>
      <c r="F168">
        <v>0</v>
      </c>
    </row>
    <row r="169" spans="1:6" x14ac:dyDescent="0.15">
      <c r="A169" t="s">
        <v>210</v>
      </c>
      <c r="B169" s="226">
        <v>42282.344146747688</v>
      </c>
      <c r="C169" t="s">
        <v>686</v>
      </c>
      <c r="D169" t="s">
        <v>13</v>
      </c>
      <c r="E169">
        <v>100</v>
      </c>
      <c r="F169">
        <v>0</v>
      </c>
    </row>
    <row r="170" spans="1:6" x14ac:dyDescent="0.15">
      <c r="A170" t="s">
        <v>210</v>
      </c>
      <c r="B170" s="226">
        <v>42282.351484583334</v>
      </c>
      <c r="C170" t="s">
        <v>687</v>
      </c>
      <c r="D170" t="s">
        <v>13</v>
      </c>
      <c r="E170">
        <v>80</v>
      </c>
      <c r="F170">
        <v>0</v>
      </c>
    </row>
    <row r="171" spans="1:6" x14ac:dyDescent="0.15">
      <c r="A171" t="s">
        <v>210</v>
      </c>
      <c r="B171" s="226">
        <v>42282.352309016205</v>
      </c>
      <c r="C171" t="s">
        <v>688</v>
      </c>
      <c r="D171" t="s">
        <v>13</v>
      </c>
      <c r="E171">
        <v>20</v>
      </c>
      <c r="F171">
        <v>0</v>
      </c>
    </row>
    <row r="172" spans="1:6" x14ac:dyDescent="0.15">
      <c r="A172" t="s">
        <v>210</v>
      </c>
      <c r="B172" s="226">
        <v>42282.358757731483</v>
      </c>
      <c r="C172" t="s">
        <v>14</v>
      </c>
      <c r="D172" t="s">
        <v>13</v>
      </c>
      <c r="E172">
        <v>60</v>
      </c>
      <c r="F172">
        <v>3.5</v>
      </c>
    </row>
    <row r="173" spans="1:6" x14ac:dyDescent="0.15">
      <c r="A173" t="s">
        <v>210</v>
      </c>
      <c r="B173" s="226">
        <v>42282.367089201391</v>
      </c>
      <c r="C173" t="s">
        <v>689</v>
      </c>
      <c r="D173" t="s">
        <v>13</v>
      </c>
      <c r="E173">
        <v>20</v>
      </c>
      <c r="F173">
        <v>0</v>
      </c>
    </row>
    <row r="174" spans="1:6" x14ac:dyDescent="0.15">
      <c r="A174" t="s">
        <v>210</v>
      </c>
      <c r="B174" s="226">
        <v>42282.387937650463</v>
      </c>
      <c r="C174" t="s">
        <v>690</v>
      </c>
      <c r="D174" t="s">
        <v>13</v>
      </c>
      <c r="E174">
        <v>40</v>
      </c>
      <c r="F174">
        <v>0</v>
      </c>
    </row>
    <row r="175" spans="1:6" x14ac:dyDescent="0.15">
      <c r="A175" t="s">
        <v>210</v>
      </c>
      <c r="B175" s="226">
        <v>42282.38963701389</v>
      </c>
      <c r="C175" t="s">
        <v>691</v>
      </c>
      <c r="D175" t="s">
        <v>13</v>
      </c>
      <c r="E175">
        <v>40</v>
      </c>
      <c r="F175">
        <v>0</v>
      </c>
    </row>
    <row r="176" spans="1:6" x14ac:dyDescent="0.15">
      <c r="A176" t="s">
        <v>210</v>
      </c>
      <c r="B176" s="226">
        <v>42282.394705497682</v>
      </c>
      <c r="C176" t="s">
        <v>307</v>
      </c>
      <c r="D176" t="s">
        <v>13</v>
      </c>
      <c r="E176">
        <v>100</v>
      </c>
      <c r="F176">
        <v>0</v>
      </c>
    </row>
    <row r="177" spans="1:6" x14ac:dyDescent="0.15">
      <c r="A177" t="s">
        <v>210</v>
      </c>
      <c r="B177" s="226">
        <v>42282.409502546296</v>
      </c>
      <c r="C177" t="s">
        <v>692</v>
      </c>
      <c r="D177" t="s">
        <v>13</v>
      </c>
      <c r="E177">
        <v>100</v>
      </c>
      <c r="F177">
        <v>0</v>
      </c>
    </row>
    <row r="178" spans="1:6" x14ac:dyDescent="0.15">
      <c r="A178" t="s">
        <v>210</v>
      </c>
      <c r="B178" s="226">
        <v>42282.440711493058</v>
      </c>
      <c r="C178" t="s">
        <v>693</v>
      </c>
      <c r="D178" t="s">
        <v>15</v>
      </c>
      <c r="E178">
        <v>200</v>
      </c>
      <c r="F178">
        <v>6</v>
      </c>
    </row>
    <row r="179" spans="1:6" x14ac:dyDescent="0.15">
      <c r="A179" t="s">
        <v>210</v>
      </c>
      <c r="B179" s="226">
        <v>42282.44198826389</v>
      </c>
      <c r="C179" t="s">
        <v>694</v>
      </c>
      <c r="D179" t="s">
        <v>13</v>
      </c>
      <c r="E179">
        <v>60</v>
      </c>
      <c r="F179">
        <v>0</v>
      </c>
    </row>
    <row r="180" spans="1:6" x14ac:dyDescent="0.15">
      <c r="A180" t="s">
        <v>210</v>
      </c>
      <c r="B180" s="226">
        <v>42282.471231793985</v>
      </c>
      <c r="C180" t="s">
        <v>695</v>
      </c>
      <c r="D180" t="s">
        <v>13</v>
      </c>
      <c r="E180">
        <v>40</v>
      </c>
      <c r="F180">
        <v>0</v>
      </c>
    </row>
    <row r="181" spans="1:6" x14ac:dyDescent="0.15">
      <c r="A181" t="s">
        <v>210</v>
      </c>
      <c r="B181" s="226">
        <v>42282.473584328705</v>
      </c>
      <c r="C181" t="s">
        <v>655</v>
      </c>
      <c r="D181" t="s">
        <v>13</v>
      </c>
      <c r="E181">
        <v>40</v>
      </c>
      <c r="F181">
        <v>0</v>
      </c>
    </row>
    <row r="182" spans="1:6" x14ac:dyDescent="0.15">
      <c r="A182" t="s">
        <v>210</v>
      </c>
      <c r="B182" s="226">
        <v>42282.476156006946</v>
      </c>
      <c r="C182" t="s">
        <v>696</v>
      </c>
      <c r="D182" t="s">
        <v>13</v>
      </c>
      <c r="E182">
        <v>60</v>
      </c>
      <c r="F182">
        <v>0</v>
      </c>
    </row>
    <row r="183" spans="1:6" x14ac:dyDescent="0.15">
      <c r="A183" t="s">
        <v>210</v>
      </c>
      <c r="B183" s="226">
        <v>42282.477999097224</v>
      </c>
      <c r="C183" t="s">
        <v>697</v>
      </c>
      <c r="D183" t="s">
        <v>13</v>
      </c>
      <c r="E183">
        <v>100</v>
      </c>
      <c r="F183">
        <v>0</v>
      </c>
    </row>
    <row r="184" spans="1:6" x14ac:dyDescent="0.15">
      <c r="A184" t="s">
        <v>210</v>
      </c>
      <c r="B184" s="226">
        <v>42282.488326608793</v>
      </c>
      <c r="C184" t="s">
        <v>698</v>
      </c>
      <c r="D184" t="s">
        <v>13</v>
      </c>
      <c r="E184">
        <v>20</v>
      </c>
      <c r="F184">
        <v>0</v>
      </c>
    </row>
    <row r="185" spans="1:6" x14ac:dyDescent="0.15">
      <c r="A185" t="s">
        <v>210</v>
      </c>
      <c r="B185" s="226">
        <v>42282.490823506945</v>
      </c>
      <c r="C185" t="s">
        <v>14</v>
      </c>
      <c r="D185" t="s">
        <v>13</v>
      </c>
      <c r="E185">
        <v>100</v>
      </c>
      <c r="F185">
        <v>3.5</v>
      </c>
    </row>
    <row r="186" spans="1:6" x14ac:dyDescent="0.15">
      <c r="A186" t="s">
        <v>210</v>
      </c>
      <c r="B186" s="226">
        <v>42282.492098078706</v>
      </c>
      <c r="C186" t="s">
        <v>699</v>
      </c>
      <c r="D186" t="s">
        <v>13</v>
      </c>
      <c r="E186">
        <v>80</v>
      </c>
      <c r="F186">
        <v>0</v>
      </c>
    </row>
    <row r="187" spans="1:6" x14ac:dyDescent="0.15">
      <c r="A187" t="s">
        <v>210</v>
      </c>
      <c r="B187" s="226">
        <v>42282.496835694445</v>
      </c>
      <c r="C187" t="s">
        <v>700</v>
      </c>
      <c r="D187" t="s">
        <v>13</v>
      </c>
      <c r="E187">
        <v>80</v>
      </c>
      <c r="F187">
        <v>0</v>
      </c>
    </row>
    <row r="188" spans="1:6" x14ac:dyDescent="0.15">
      <c r="A188" t="s">
        <v>210</v>
      </c>
      <c r="B188" s="226">
        <v>42282.497819456017</v>
      </c>
      <c r="C188" t="s">
        <v>701</v>
      </c>
      <c r="D188" t="s">
        <v>13</v>
      </c>
      <c r="E188">
        <v>120</v>
      </c>
      <c r="F188">
        <v>0</v>
      </c>
    </row>
    <row r="189" spans="1:6" x14ac:dyDescent="0.15">
      <c r="A189" t="s">
        <v>210</v>
      </c>
      <c r="B189" s="226">
        <v>42282.517362696759</v>
      </c>
      <c r="C189" t="s">
        <v>14</v>
      </c>
      <c r="D189" t="s">
        <v>13</v>
      </c>
      <c r="E189">
        <v>100</v>
      </c>
      <c r="F189">
        <v>3.5</v>
      </c>
    </row>
    <row r="190" spans="1:6" x14ac:dyDescent="0.15">
      <c r="A190" t="s">
        <v>210</v>
      </c>
      <c r="B190" s="226">
        <v>42282.518353634259</v>
      </c>
      <c r="C190" t="s">
        <v>702</v>
      </c>
      <c r="D190" t="s">
        <v>13</v>
      </c>
      <c r="E190">
        <v>60</v>
      </c>
      <c r="F190">
        <v>0</v>
      </c>
    </row>
    <row r="191" spans="1:6" x14ac:dyDescent="0.15">
      <c r="A191" t="s">
        <v>210</v>
      </c>
      <c r="B191" s="226">
        <v>42282.524100486109</v>
      </c>
      <c r="C191" t="s">
        <v>308</v>
      </c>
      <c r="D191" t="s">
        <v>13</v>
      </c>
      <c r="E191">
        <v>40</v>
      </c>
      <c r="F191">
        <v>0</v>
      </c>
    </row>
    <row r="192" spans="1:6" x14ac:dyDescent="0.15">
      <c r="A192" t="s">
        <v>210</v>
      </c>
      <c r="B192" s="226">
        <v>42282.533501979167</v>
      </c>
      <c r="C192" t="s">
        <v>703</v>
      </c>
      <c r="D192" t="s">
        <v>13</v>
      </c>
      <c r="E192">
        <v>60</v>
      </c>
      <c r="F192">
        <v>0</v>
      </c>
    </row>
    <row r="193" spans="1:6" x14ac:dyDescent="0.15">
      <c r="A193" t="s">
        <v>210</v>
      </c>
      <c r="B193" s="226">
        <v>42282.551832025463</v>
      </c>
      <c r="C193" t="s">
        <v>309</v>
      </c>
      <c r="D193" t="s">
        <v>13</v>
      </c>
      <c r="E193">
        <v>200</v>
      </c>
      <c r="F193">
        <v>0</v>
      </c>
    </row>
    <row r="194" spans="1:6" x14ac:dyDescent="0.15">
      <c r="A194" t="s">
        <v>210</v>
      </c>
      <c r="B194" s="226">
        <v>42282.572768136575</v>
      </c>
      <c r="C194" t="s">
        <v>704</v>
      </c>
      <c r="D194" t="s">
        <v>13</v>
      </c>
      <c r="E194">
        <v>40</v>
      </c>
      <c r="F194">
        <v>0</v>
      </c>
    </row>
    <row r="195" spans="1:6" x14ac:dyDescent="0.15">
      <c r="A195" t="s">
        <v>210</v>
      </c>
      <c r="B195" s="226">
        <v>42282.593263807874</v>
      </c>
      <c r="C195" t="s">
        <v>705</v>
      </c>
      <c r="D195" t="s">
        <v>13</v>
      </c>
      <c r="E195">
        <v>20</v>
      </c>
      <c r="F195">
        <v>0</v>
      </c>
    </row>
    <row r="196" spans="1:6" x14ac:dyDescent="0.15">
      <c r="A196" t="s">
        <v>210</v>
      </c>
      <c r="B196" s="226">
        <v>42282.617094363428</v>
      </c>
      <c r="C196" t="s">
        <v>310</v>
      </c>
      <c r="D196" t="s">
        <v>13</v>
      </c>
      <c r="E196">
        <v>40</v>
      </c>
      <c r="F196">
        <v>0</v>
      </c>
    </row>
    <row r="197" spans="1:6" x14ac:dyDescent="0.15">
      <c r="A197" t="s">
        <v>210</v>
      </c>
      <c r="B197" s="226">
        <v>42282.633821203701</v>
      </c>
      <c r="C197" t="s">
        <v>706</v>
      </c>
      <c r="D197" t="s">
        <v>13</v>
      </c>
      <c r="E197">
        <v>100</v>
      </c>
      <c r="F197">
        <v>0</v>
      </c>
    </row>
    <row r="198" spans="1:6" x14ac:dyDescent="0.15">
      <c r="A198" t="s">
        <v>210</v>
      </c>
      <c r="B198" s="226">
        <v>42282.640391793982</v>
      </c>
      <c r="C198" t="s">
        <v>302</v>
      </c>
      <c r="D198" t="s">
        <v>13</v>
      </c>
      <c r="E198">
        <v>60</v>
      </c>
      <c r="F198">
        <v>0</v>
      </c>
    </row>
    <row r="199" spans="1:6" x14ac:dyDescent="0.15">
      <c r="A199" t="s">
        <v>210</v>
      </c>
      <c r="B199" s="226">
        <v>42282.647901226854</v>
      </c>
      <c r="C199" t="s">
        <v>707</v>
      </c>
      <c r="D199" t="s">
        <v>13</v>
      </c>
      <c r="E199">
        <v>20</v>
      </c>
      <c r="F199">
        <v>0</v>
      </c>
    </row>
    <row r="200" spans="1:6" x14ac:dyDescent="0.15">
      <c r="A200" t="s">
        <v>210</v>
      </c>
      <c r="B200" s="226">
        <v>42282.66285670139</v>
      </c>
      <c r="C200" t="s">
        <v>708</v>
      </c>
      <c r="D200" t="s">
        <v>13</v>
      </c>
      <c r="E200">
        <v>20</v>
      </c>
      <c r="F200">
        <v>0</v>
      </c>
    </row>
    <row r="201" spans="1:6" x14ac:dyDescent="0.15">
      <c r="A201" t="s">
        <v>210</v>
      </c>
      <c r="B201" s="226">
        <v>42282.672045925923</v>
      </c>
      <c r="C201" t="s">
        <v>14</v>
      </c>
      <c r="D201" t="s">
        <v>13</v>
      </c>
      <c r="E201">
        <v>100</v>
      </c>
      <c r="F201">
        <v>3.5</v>
      </c>
    </row>
    <row r="202" spans="1:6" x14ac:dyDescent="0.15">
      <c r="A202" t="s">
        <v>210</v>
      </c>
      <c r="B202" s="226">
        <v>42282.680119131946</v>
      </c>
      <c r="C202" t="s">
        <v>709</v>
      </c>
      <c r="D202" t="s">
        <v>15</v>
      </c>
      <c r="E202">
        <v>80</v>
      </c>
      <c r="F202">
        <v>2.4</v>
      </c>
    </row>
    <row r="203" spans="1:6" x14ac:dyDescent="0.15">
      <c r="A203" t="s">
        <v>210</v>
      </c>
      <c r="B203" s="226">
        <v>42282.693150787039</v>
      </c>
      <c r="C203" t="s">
        <v>14</v>
      </c>
      <c r="D203" t="s">
        <v>15</v>
      </c>
      <c r="E203">
        <v>40</v>
      </c>
      <c r="F203">
        <v>3.7</v>
      </c>
    </row>
    <row r="204" spans="1:6" x14ac:dyDescent="0.15">
      <c r="A204" t="s">
        <v>210</v>
      </c>
      <c r="B204" s="226">
        <v>42282.709338067129</v>
      </c>
      <c r="C204" t="s">
        <v>710</v>
      </c>
      <c r="D204" t="s">
        <v>13</v>
      </c>
      <c r="E204">
        <v>100</v>
      </c>
      <c r="F204">
        <v>0</v>
      </c>
    </row>
    <row r="205" spans="1:6" x14ac:dyDescent="0.15">
      <c r="A205" t="s">
        <v>210</v>
      </c>
      <c r="B205" s="226">
        <v>42282.72037289352</v>
      </c>
      <c r="C205" t="s">
        <v>711</v>
      </c>
      <c r="D205" t="s">
        <v>13</v>
      </c>
      <c r="E205">
        <v>40</v>
      </c>
      <c r="F205">
        <v>0</v>
      </c>
    </row>
    <row r="206" spans="1:6" x14ac:dyDescent="0.15">
      <c r="A206" t="s">
        <v>210</v>
      </c>
      <c r="B206" s="226">
        <v>42282.741719999998</v>
      </c>
      <c r="C206" t="s">
        <v>712</v>
      </c>
      <c r="D206" t="s">
        <v>13</v>
      </c>
      <c r="E206">
        <v>40</v>
      </c>
      <c r="F206">
        <v>0</v>
      </c>
    </row>
    <row r="207" spans="1:6" x14ac:dyDescent="0.15">
      <c r="A207" t="s">
        <v>210</v>
      </c>
      <c r="B207" s="226">
        <v>42282.74803865741</v>
      </c>
      <c r="C207" t="s">
        <v>311</v>
      </c>
      <c r="D207" t="s">
        <v>13</v>
      </c>
      <c r="E207">
        <v>40</v>
      </c>
      <c r="F207">
        <v>0</v>
      </c>
    </row>
    <row r="208" spans="1:6" x14ac:dyDescent="0.15">
      <c r="A208" t="s">
        <v>210</v>
      </c>
      <c r="B208" s="226">
        <v>42282.753756388891</v>
      </c>
      <c r="C208" t="s">
        <v>663</v>
      </c>
      <c r="D208" t="s">
        <v>13</v>
      </c>
      <c r="E208">
        <v>200</v>
      </c>
      <c r="F208">
        <v>0</v>
      </c>
    </row>
    <row r="209" spans="1:6" x14ac:dyDescent="0.15">
      <c r="A209" t="s">
        <v>210</v>
      </c>
      <c r="B209" s="226">
        <v>42282.75431931713</v>
      </c>
      <c r="C209" t="s">
        <v>14</v>
      </c>
      <c r="D209" t="s">
        <v>13</v>
      </c>
      <c r="E209">
        <v>60</v>
      </c>
      <c r="F209">
        <v>3.5</v>
      </c>
    </row>
    <row r="210" spans="1:6" x14ac:dyDescent="0.15">
      <c r="A210" t="s">
        <v>210</v>
      </c>
      <c r="B210" s="226">
        <v>42282.778554548611</v>
      </c>
      <c r="C210" t="s">
        <v>713</v>
      </c>
      <c r="D210" t="s">
        <v>15</v>
      </c>
      <c r="E210">
        <v>40</v>
      </c>
      <c r="F210">
        <v>1.2</v>
      </c>
    </row>
    <row r="211" spans="1:6" x14ac:dyDescent="0.15">
      <c r="A211" t="s">
        <v>210</v>
      </c>
      <c r="B211" s="226">
        <v>42282.781913425926</v>
      </c>
      <c r="C211" t="s">
        <v>714</v>
      </c>
      <c r="D211" t="s">
        <v>13</v>
      </c>
      <c r="E211">
        <v>60</v>
      </c>
      <c r="F211">
        <v>0</v>
      </c>
    </row>
    <row r="212" spans="1:6" x14ac:dyDescent="0.15">
      <c r="A212" t="s">
        <v>210</v>
      </c>
      <c r="B212" s="226">
        <v>42282.850058009259</v>
      </c>
      <c r="C212" t="s">
        <v>715</v>
      </c>
      <c r="D212" t="s">
        <v>13</v>
      </c>
      <c r="E212">
        <v>40</v>
      </c>
      <c r="F212">
        <v>0</v>
      </c>
    </row>
    <row r="213" spans="1:6" x14ac:dyDescent="0.15">
      <c r="A213" t="s">
        <v>210</v>
      </c>
      <c r="B213" s="226">
        <v>42282.85753335648</v>
      </c>
      <c r="C213" t="s">
        <v>716</v>
      </c>
      <c r="D213" t="s">
        <v>13</v>
      </c>
      <c r="E213">
        <v>380</v>
      </c>
      <c r="F213">
        <v>0</v>
      </c>
    </row>
    <row r="214" spans="1:6" x14ac:dyDescent="0.15">
      <c r="A214" t="s">
        <v>210</v>
      </c>
      <c r="B214" s="226">
        <v>42282.87938071759</v>
      </c>
      <c r="C214" t="s">
        <v>717</v>
      </c>
      <c r="D214" t="s">
        <v>13</v>
      </c>
      <c r="E214">
        <v>200</v>
      </c>
      <c r="F214">
        <v>0</v>
      </c>
    </row>
    <row r="215" spans="1:6" x14ac:dyDescent="0.15">
      <c r="A215" t="s">
        <v>210</v>
      </c>
      <c r="B215" s="226">
        <v>42282.983526226853</v>
      </c>
      <c r="C215" t="s">
        <v>718</v>
      </c>
      <c r="D215" t="s">
        <v>13</v>
      </c>
      <c r="E215">
        <v>100</v>
      </c>
      <c r="F215">
        <v>0</v>
      </c>
    </row>
    <row r="216" spans="1:6" x14ac:dyDescent="0.15">
      <c r="A216" t="s">
        <v>210</v>
      </c>
      <c r="B216" s="226">
        <v>42283.297725613425</v>
      </c>
      <c r="C216" t="s">
        <v>312</v>
      </c>
      <c r="D216" t="s">
        <v>13</v>
      </c>
      <c r="E216">
        <v>20</v>
      </c>
      <c r="F216">
        <v>0</v>
      </c>
    </row>
    <row r="217" spans="1:6" x14ac:dyDescent="0.15">
      <c r="A217" t="s">
        <v>210</v>
      </c>
      <c r="B217" s="226">
        <v>42283.303969085646</v>
      </c>
      <c r="C217" t="s">
        <v>14</v>
      </c>
      <c r="D217" t="s">
        <v>13</v>
      </c>
      <c r="E217">
        <v>60</v>
      </c>
      <c r="F217">
        <v>3.5</v>
      </c>
    </row>
    <row r="218" spans="1:6" x14ac:dyDescent="0.15">
      <c r="A218" t="s">
        <v>210</v>
      </c>
      <c r="B218" s="226">
        <v>42283.315001099538</v>
      </c>
      <c r="C218" t="s">
        <v>719</v>
      </c>
      <c r="D218" t="s">
        <v>13</v>
      </c>
      <c r="E218">
        <v>20</v>
      </c>
      <c r="F218">
        <v>0</v>
      </c>
    </row>
    <row r="219" spans="1:6" x14ac:dyDescent="0.15">
      <c r="A219" t="s">
        <v>210</v>
      </c>
      <c r="B219" s="226">
        <v>42283.323999930559</v>
      </c>
      <c r="C219" t="s">
        <v>720</v>
      </c>
      <c r="D219" t="s">
        <v>13</v>
      </c>
      <c r="E219">
        <v>20</v>
      </c>
      <c r="F219">
        <v>0</v>
      </c>
    </row>
    <row r="220" spans="1:6" x14ac:dyDescent="0.15">
      <c r="A220" t="s">
        <v>210</v>
      </c>
      <c r="B220" s="226">
        <v>42283.338599236115</v>
      </c>
      <c r="C220" t="s">
        <v>721</v>
      </c>
      <c r="D220" t="s">
        <v>13</v>
      </c>
      <c r="E220">
        <v>80</v>
      </c>
      <c r="F220">
        <v>0</v>
      </c>
    </row>
    <row r="221" spans="1:6" x14ac:dyDescent="0.15">
      <c r="A221" t="s">
        <v>210</v>
      </c>
      <c r="B221" s="226">
        <v>42283.339417418982</v>
      </c>
      <c r="C221" t="s">
        <v>722</v>
      </c>
      <c r="D221" t="s">
        <v>13</v>
      </c>
      <c r="E221">
        <v>60</v>
      </c>
      <c r="F221">
        <v>0</v>
      </c>
    </row>
    <row r="222" spans="1:6" x14ac:dyDescent="0.15">
      <c r="A222" t="s">
        <v>210</v>
      </c>
      <c r="B222" s="226">
        <v>42283.390810266203</v>
      </c>
      <c r="C222" t="s">
        <v>723</v>
      </c>
      <c r="D222" t="s">
        <v>13</v>
      </c>
      <c r="E222">
        <v>500</v>
      </c>
      <c r="F222">
        <v>0</v>
      </c>
    </row>
    <row r="223" spans="1:6" x14ac:dyDescent="0.15">
      <c r="A223" t="s">
        <v>210</v>
      </c>
      <c r="B223" s="226">
        <v>42283.419101354164</v>
      </c>
      <c r="C223" t="s">
        <v>724</v>
      </c>
      <c r="D223" t="s">
        <v>13</v>
      </c>
      <c r="E223">
        <v>20</v>
      </c>
      <c r="F223">
        <v>0</v>
      </c>
    </row>
    <row r="224" spans="1:6" x14ac:dyDescent="0.15">
      <c r="A224" t="s">
        <v>210</v>
      </c>
      <c r="B224" s="226">
        <v>42283.426450868057</v>
      </c>
      <c r="C224" t="s">
        <v>14</v>
      </c>
      <c r="D224" t="s">
        <v>13</v>
      </c>
      <c r="E224">
        <v>500</v>
      </c>
      <c r="F224">
        <v>3.5</v>
      </c>
    </row>
    <row r="225" spans="1:6" x14ac:dyDescent="0.15">
      <c r="A225" t="s">
        <v>210</v>
      </c>
      <c r="B225" s="226">
        <v>42283.437150763886</v>
      </c>
      <c r="C225" t="s">
        <v>725</v>
      </c>
      <c r="D225" t="s">
        <v>13</v>
      </c>
      <c r="E225">
        <v>40</v>
      </c>
      <c r="F225">
        <v>0</v>
      </c>
    </row>
    <row r="226" spans="1:6" x14ac:dyDescent="0.15">
      <c r="A226" t="s">
        <v>210</v>
      </c>
      <c r="B226" s="226">
        <v>42283.438087210649</v>
      </c>
      <c r="C226" t="s">
        <v>726</v>
      </c>
      <c r="D226" t="s">
        <v>13</v>
      </c>
      <c r="E226">
        <v>100</v>
      </c>
      <c r="F226">
        <v>0</v>
      </c>
    </row>
    <row r="227" spans="1:6" x14ac:dyDescent="0.15">
      <c r="A227" t="s">
        <v>210</v>
      </c>
      <c r="B227" s="226">
        <v>42283.440665752314</v>
      </c>
      <c r="C227" t="s">
        <v>727</v>
      </c>
      <c r="D227" t="s">
        <v>13</v>
      </c>
      <c r="E227">
        <v>100</v>
      </c>
      <c r="F227">
        <v>0</v>
      </c>
    </row>
    <row r="228" spans="1:6" x14ac:dyDescent="0.15">
      <c r="A228" t="s">
        <v>210</v>
      </c>
      <c r="B228" s="226">
        <v>42283.460021724539</v>
      </c>
      <c r="C228" t="s">
        <v>14</v>
      </c>
      <c r="D228" t="s">
        <v>13</v>
      </c>
      <c r="E228">
        <v>40</v>
      </c>
      <c r="F228">
        <v>3.5</v>
      </c>
    </row>
    <row r="229" spans="1:6" x14ac:dyDescent="0.15">
      <c r="A229" t="s">
        <v>210</v>
      </c>
      <c r="B229" s="226">
        <v>42283.476900636575</v>
      </c>
      <c r="C229" t="s">
        <v>728</v>
      </c>
      <c r="D229" t="s">
        <v>13</v>
      </c>
      <c r="E229">
        <v>80</v>
      </c>
      <c r="F229">
        <v>0</v>
      </c>
    </row>
    <row r="230" spans="1:6" x14ac:dyDescent="0.15">
      <c r="A230" t="s">
        <v>210</v>
      </c>
      <c r="B230" s="226">
        <v>42283.495749490743</v>
      </c>
      <c r="C230" t="s">
        <v>729</v>
      </c>
      <c r="D230" t="s">
        <v>15</v>
      </c>
      <c r="E230">
        <v>60</v>
      </c>
      <c r="F230">
        <v>1.8</v>
      </c>
    </row>
    <row r="231" spans="1:6" x14ac:dyDescent="0.15">
      <c r="A231" t="s">
        <v>210</v>
      </c>
      <c r="B231" s="226">
        <v>42283.500290555552</v>
      </c>
      <c r="C231" t="s">
        <v>730</v>
      </c>
      <c r="D231" t="s">
        <v>13</v>
      </c>
      <c r="E231">
        <v>100</v>
      </c>
      <c r="F231">
        <v>0</v>
      </c>
    </row>
    <row r="232" spans="1:6" x14ac:dyDescent="0.15">
      <c r="A232" t="s">
        <v>210</v>
      </c>
      <c r="B232" s="226">
        <v>42283.518095624997</v>
      </c>
      <c r="C232" t="s">
        <v>731</v>
      </c>
      <c r="D232" t="s">
        <v>13</v>
      </c>
      <c r="E232">
        <v>100</v>
      </c>
      <c r="F232">
        <v>0</v>
      </c>
    </row>
    <row r="233" spans="1:6" x14ac:dyDescent="0.15">
      <c r="A233" t="s">
        <v>210</v>
      </c>
      <c r="B233" s="226">
        <v>42283.528102557873</v>
      </c>
      <c r="C233" t="s">
        <v>732</v>
      </c>
      <c r="D233" t="s">
        <v>13</v>
      </c>
      <c r="E233">
        <v>20</v>
      </c>
      <c r="F233">
        <v>0</v>
      </c>
    </row>
    <row r="234" spans="1:6" x14ac:dyDescent="0.15">
      <c r="A234" t="s">
        <v>210</v>
      </c>
      <c r="B234" s="226">
        <v>42283.537909166669</v>
      </c>
      <c r="C234" t="s">
        <v>14</v>
      </c>
      <c r="D234" t="s">
        <v>13</v>
      </c>
      <c r="E234">
        <v>60</v>
      </c>
      <c r="F234">
        <v>3.5</v>
      </c>
    </row>
    <row r="235" spans="1:6" x14ac:dyDescent="0.15">
      <c r="A235" t="s">
        <v>210</v>
      </c>
      <c r="B235" s="226">
        <v>42283.539590127315</v>
      </c>
      <c r="C235" t="s">
        <v>733</v>
      </c>
      <c r="D235" t="s">
        <v>13</v>
      </c>
      <c r="E235">
        <v>40</v>
      </c>
      <c r="F235">
        <v>0</v>
      </c>
    </row>
    <row r="236" spans="1:6" x14ac:dyDescent="0.15">
      <c r="A236" t="s">
        <v>210</v>
      </c>
      <c r="B236" s="226">
        <v>42283.56308216435</v>
      </c>
      <c r="C236" t="s">
        <v>734</v>
      </c>
      <c r="D236" t="s">
        <v>13</v>
      </c>
      <c r="E236">
        <v>100</v>
      </c>
      <c r="F236">
        <v>0</v>
      </c>
    </row>
    <row r="237" spans="1:6" x14ac:dyDescent="0.15">
      <c r="A237" t="s">
        <v>210</v>
      </c>
      <c r="B237" s="226">
        <v>42283.588880312498</v>
      </c>
      <c r="C237" t="s">
        <v>735</v>
      </c>
      <c r="D237" t="s">
        <v>15</v>
      </c>
      <c r="E237">
        <v>100</v>
      </c>
      <c r="F237">
        <v>3</v>
      </c>
    </row>
    <row r="238" spans="1:6" x14ac:dyDescent="0.15">
      <c r="A238" t="s">
        <v>210</v>
      </c>
      <c r="B238" s="226">
        <v>42283.607699756947</v>
      </c>
      <c r="C238" t="s">
        <v>736</v>
      </c>
      <c r="D238" t="s">
        <v>13</v>
      </c>
      <c r="E238">
        <v>60</v>
      </c>
      <c r="F238">
        <v>0</v>
      </c>
    </row>
    <row r="239" spans="1:6" x14ac:dyDescent="0.15">
      <c r="A239" t="s">
        <v>210</v>
      </c>
      <c r="B239" s="226">
        <v>42283.672693460649</v>
      </c>
      <c r="C239" t="s">
        <v>737</v>
      </c>
      <c r="D239" t="s">
        <v>13</v>
      </c>
      <c r="E239">
        <v>60</v>
      </c>
      <c r="F239">
        <v>0</v>
      </c>
    </row>
    <row r="240" spans="1:6" x14ac:dyDescent="0.15">
      <c r="A240" t="s">
        <v>210</v>
      </c>
      <c r="B240" s="226">
        <v>42283.675392060184</v>
      </c>
      <c r="C240" t="s">
        <v>738</v>
      </c>
      <c r="D240" t="s">
        <v>13</v>
      </c>
      <c r="E240">
        <v>120</v>
      </c>
      <c r="F240">
        <v>0</v>
      </c>
    </row>
    <row r="241" spans="1:6" x14ac:dyDescent="0.15">
      <c r="A241" t="s">
        <v>210</v>
      </c>
      <c r="B241" s="226">
        <v>42283.676068935187</v>
      </c>
      <c r="C241" t="s">
        <v>739</v>
      </c>
      <c r="D241" t="s">
        <v>13</v>
      </c>
      <c r="E241">
        <v>100</v>
      </c>
      <c r="F241">
        <v>0</v>
      </c>
    </row>
    <row r="242" spans="1:6" x14ac:dyDescent="0.15">
      <c r="A242" t="s">
        <v>210</v>
      </c>
      <c r="B242" s="226">
        <v>42283.677098252316</v>
      </c>
      <c r="C242" t="s">
        <v>313</v>
      </c>
      <c r="D242" t="s">
        <v>13</v>
      </c>
      <c r="E242">
        <v>100</v>
      </c>
      <c r="F242">
        <v>0</v>
      </c>
    </row>
    <row r="243" spans="1:6" x14ac:dyDescent="0.15">
      <c r="A243" t="s">
        <v>210</v>
      </c>
      <c r="B243" s="226">
        <v>42283.744257615741</v>
      </c>
      <c r="C243" t="s">
        <v>740</v>
      </c>
      <c r="D243" t="s">
        <v>13</v>
      </c>
      <c r="E243">
        <v>40</v>
      </c>
      <c r="F243">
        <v>0</v>
      </c>
    </row>
    <row r="244" spans="1:6" x14ac:dyDescent="0.15">
      <c r="A244" t="s">
        <v>210</v>
      </c>
      <c r="B244" s="226">
        <v>42283.782250393517</v>
      </c>
      <c r="C244" t="s">
        <v>741</v>
      </c>
      <c r="D244" t="s">
        <v>13</v>
      </c>
      <c r="E244">
        <v>60</v>
      </c>
      <c r="F244">
        <v>0</v>
      </c>
    </row>
    <row r="245" spans="1:6" x14ac:dyDescent="0.15">
      <c r="A245" t="s">
        <v>210</v>
      </c>
      <c r="B245" s="226">
        <v>42284.298215949071</v>
      </c>
      <c r="C245" t="s">
        <v>742</v>
      </c>
      <c r="D245" t="s">
        <v>13</v>
      </c>
      <c r="E245">
        <v>100</v>
      </c>
      <c r="F245">
        <v>0</v>
      </c>
    </row>
    <row r="246" spans="1:6" x14ac:dyDescent="0.15">
      <c r="A246" t="s">
        <v>210</v>
      </c>
      <c r="B246" s="226">
        <v>42284.327755486112</v>
      </c>
      <c r="C246" t="s">
        <v>743</v>
      </c>
      <c r="D246" t="s">
        <v>13</v>
      </c>
      <c r="E246">
        <v>200</v>
      </c>
      <c r="F246">
        <v>0</v>
      </c>
    </row>
    <row r="247" spans="1:6" x14ac:dyDescent="0.15">
      <c r="A247" t="s">
        <v>210</v>
      </c>
      <c r="B247" s="226">
        <v>42284.339842627312</v>
      </c>
      <c r="C247" t="s">
        <v>314</v>
      </c>
      <c r="D247" t="s">
        <v>13</v>
      </c>
      <c r="E247">
        <v>100</v>
      </c>
      <c r="F247">
        <v>0</v>
      </c>
    </row>
    <row r="248" spans="1:6" x14ac:dyDescent="0.15">
      <c r="A248" t="s">
        <v>210</v>
      </c>
      <c r="B248" s="226">
        <v>42284.363803287037</v>
      </c>
      <c r="C248" t="s">
        <v>744</v>
      </c>
      <c r="D248" t="s">
        <v>13</v>
      </c>
      <c r="E248">
        <v>100</v>
      </c>
      <c r="F248">
        <v>0</v>
      </c>
    </row>
    <row r="249" spans="1:6" x14ac:dyDescent="0.15">
      <c r="A249" t="s">
        <v>210</v>
      </c>
      <c r="B249" s="226">
        <v>42284.454029166664</v>
      </c>
      <c r="C249" t="s">
        <v>745</v>
      </c>
      <c r="D249" t="s">
        <v>13</v>
      </c>
      <c r="E249">
        <v>40</v>
      </c>
      <c r="F249">
        <v>0</v>
      </c>
    </row>
    <row r="250" spans="1:6" x14ac:dyDescent="0.15">
      <c r="A250" t="s">
        <v>210</v>
      </c>
      <c r="B250" s="226">
        <v>42284.465395520834</v>
      </c>
      <c r="C250" t="s">
        <v>14</v>
      </c>
      <c r="D250" t="s">
        <v>13</v>
      </c>
      <c r="E250">
        <v>40</v>
      </c>
      <c r="F250">
        <v>3.5</v>
      </c>
    </row>
    <row r="251" spans="1:6" x14ac:dyDescent="0.15">
      <c r="A251" t="s">
        <v>210</v>
      </c>
      <c r="B251" s="226">
        <v>42284.466533692132</v>
      </c>
      <c r="C251" t="s">
        <v>746</v>
      </c>
      <c r="D251" t="s">
        <v>13</v>
      </c>
      <c r="E251">
        <v>40</v>
      </c>
      <c r="F251">
        <v>0</v>
      </c>
    </row>
    <row r="252" spans="1:6" x14ac:dyDescent="0.15">
      <c r="A252" t="s">
        <v>210</v>
      </c>
      <c r="B252" s="226">
        <v>42284.471191203702</v>
      </c>
      <c r="C252" t="s">
        <v>167</v>
      </c>
      <c r="D252" t="s">
        <v>13</v>
      </c>
      <c r="E252">
        <v>100</v>
      </c>
      <c r="F252">
        <v>0</v>
      </c>
    </row>
    <row r="253" spans="1:6" x14ac:dyDescent="0.15">
      <c r="A253" t="s">
        <v>210</v>
      </c>
      <c r="B253" s="226">
        <v>42284.47236738426</v>
      </c>
      <c r="C253" t="s">
        <v>747</v>
      </c>
      <c r="D253" t="s">
        <v>13</v>
      </c>
      <c r="E253">
        <v>100</v>
      </c>
      <c r="F253">
        <v>0</v>
      </c>
    </row>
    <row r="254" spans="1:6" x14ac:dyDescent="0.15">
      <c r="A254" t="s">
        <v>210</v>
      </c>
      <c r="B254" s="226">
        <v>42284.49433425926</v>
      </c>
      <c r="C254" t="s">
        <v>14</v>
      </c>
      <c r="D254" t="s">
        <v>13</v>
      </c>
      <c r="E254">
        <v>40</v>
      </c>
      <c r="F254">
        <v>3.5</v>
      </c>
    </row>
    <row r="255" spans="1:6" x14ac:dyDescent="0.15">
      <c r="A255" t="s">
        <v>210</v>
      </c>
      <c r="B255" s="226">
        <v>42284.508963993052</v>
      </c>
      <c r="C255" t="s">
        <v>748</v>
      </c>
      <c r="D255" t="s">
        <v>13</v>
      </c>
      <c r="E255">
        <v>120</v>
      </c>
      <c r="F255">
        <v>0</v>
      </c>
    </row>
    <row r="256" spans="1:6" x14ac:dyDescent="0.15">
      <c r="A256" t="s">
        <v>210</v>
      </c>
      <c r="B256" s="226">
        <v>42284.521827743054</v>
      </c>
      <c r="C256" t="s">
        <v>749</v>
      </c>
      <c r="D256" t="s">
        <v>13</v>
      </c>
      <c r="E256">
        <v>60</v>
      </c>
      <c r="F256">
        <v>0</v>
      </c>
    </row>
    <row r="257" spans="1:6" x14ac:dyDescent="0.15">
      <c r="A257" t="s">
        <v>210</v>
      </c>
      <c r="B257" s="226">
        <v>42284.540284444447</v>
      </c>
      <c r="C257" t="s">
        <v>750</v>
      </c>
      <c r="D257" t="s">
        <v>15</v>
      </c>
      <c r="E257">
        <v>80</v>
      </c>
      <c r="F257">
        <v>2.4</v>
      </c>
    </row>
    <row r="258" spans="1:6" x14ac:dyDescent="0.15">
      <c r="A258" t="s">
        <v>210</v>
      </c>
      <c r="B258" s="226">
        <v>42284.545604398147</v>
      </c>
      <c r="C258" t="s">
        <v>14</v>
      </c>
      <c r="D258" t="s">
        <v>13</v>
      </c>
      <c r="E258">
        <v>40</v>
      </c>
      <c r="F258">
        <v>3.5</v>
      </c>
    </row>
    <row r="259" spans="1:6" x14ac:dyDescent="0.15">
      <c r="A259" t="s">
        <v>210</v>
      </c>
      <c r="B259" s="226">
        <v>42284.552134479163</v>
      </c>
      <c r="C259" t="s">
        <v>751</v>
      </c>
      <c r="D259" t="s">
        <v>13</v>
      </c>
      <c r="E259">
        <v>60</v>
      </c>
      <c r="F259">
        <v>0</v>
      </c>
    </row>
    <row r="260" spans="1:6" x14ac:dyDescent="0.15">
      <c r="A260" t="s">
        <v>210</v>
      </c>
      <c r="B260" s="226">
        <v>42284.639858078706</v>
      </c>
      <c r="C260" t="s">
        <v>752</v>
      </c>
      <c r="D260" t="s">
        <v>15</v>
      </c>
      <c r="E260">
        <v>200</v>
      </c>
      <c r="F260">
        <v>6</v>
      </c>
    </row>
    <row r="261" spans="1:6" x14ac:dyDescent="0.15">
      <c r="A261" t="s">
        <v>210</v>
      </c>
      <c r="B261" s="226">
        <v>42284.640389664353</v>
      </c>
      <c r="C261" t="s">
        <v>753</v>
      </c>
      <c r="D261" t="s">
        <v>13</v>
      </c>
      <c r="E261">
        <v>40</v>
      </c>
      <c r="F261">
        <v>0</v>
      </c>
    </row>
    <row r="262" spans="1:6" x14ac:dyDescent="0.15">
      <c r="A262" t="s">
        <v>210</v>
      </c>
      <c r="B262" s="226">
        <v>42284.655469432873</v>
      </c>
      <c r="C262" t="s">
        <v>754</v>
      </c>
      <c r="D262" t="s">
        <v>13</v>
      </c>
      <c r="E262">
        <v>100</v>
      </c>
      <c r="F262">
        <v>0</v>
      </c>
    </row>
    <row r="263" spans="1:6" x14ac:dyDescent="0.15">
      <c r="A263" t="s">
        <v>210</v>
      </c>
      <c r="B263" s="226">
        <v>42284.662368483798</v>
      </c>
      <c r="C263" t="s">
        <v>755</v>
      </c>
      <c r="D263" t="s">
        <v>13</v>
      </c>
      <c r="E263">
        <v>100</v>
      </c>
      <c r="F263">
        <v>0</v>
      </c>
    </row>
    <row r="264" spans="1:6" x14ac:dyDescent="0.15">
      <c r="A264" t="s">
        <v>210</v>
      </c>
      <c r="B264" s="226">
        <v>42284.663083981482</v>
      </c>
      <c r="C264" t="s">
        <v>756</v>
      </c>
      <c r="D264" t="s">
        <v>13</v>
      </c>
      <c r="E264">
        <v>100</v>
      </c>
      <c r="F264">
        <v>0</v>
      </c>
    </row>
    <row r="265" spans="1:6" x14ac:dyDescent="0.15">
      <c r="A265" t="s">
        <v>210</v>
      </c>
      <c r="B265" s="226">
        <v>42284.682448391206</v>
      </c>
      <c r="C265" t="s">
        <v>757</v>
      </c>
      <c r="D265" t="s">
        <v>13</v>
      </c>
      <c r="E265">
        <v>180</v>
      </c>
      <c r="F265">
        <v>0</v>
      </c>
    </row>
    <row r="266" spans="1:6" x14ac:dyDescent="0.15">
      <c r="A266" t="s">
        <v>210</v>
      </c>
      <c r="B266" s="226">
        <v>42284.704425937503</v>
      </c>
      <c r="C266" t="s">
        <v>758</v>
      </c>
      <c r="D266" t="s">
        <v>13</v>
      </c>
      <c r="E266">
        <v>100</v>
      </c>
      <c r="F266">
        <v>0</v>
      </c>
    </row>
    <row r="267" spans="1:6" x14ac:dyDescent="0.15">
      <c r="A267" t="s">
        <v>210</v>
      </c>
      <c r="B267" s="226">
        <v>42284.707501990742</v>
      </c>
      <c r="C267" t="s">
        <v>315</v>
      </c>
      <c r="D267" t="s">
        <v>13</v>
      </c>
      <c r="E267">
        <v>100</v>
      </c>
      <c r="F267">
        <v>0</v>
      </c>
    </row>
    <row r="268" spans="1:6" x14ac:dyDescent="0.15">
      <c r="A268" t="s">
        <v>210</v>
      </c>
      <c r="B268" s="226">
        <v>42284.720418807869</v>
      </c>
      <c r="C268" t="s">
        <v>14</v>
      </c>
      <c r="D268" t="s">
        <v>15</v>
      </c>
      <c r="E268">
        <v>500</v>
      </c>
      <c r="F268">
        <v>17.5</v>
      </c>
    </row>
    <row r="269" spans="1:6" x14ac:dyDescent="0.15">
      <c r="A269" t="s">
        <v>210</v>
      </c>
      <c r="B269" s="226">
        <v>42284.761835046294</v>
      </c>
      <c r="C269" t="s">
        <v>759</v>
      </c>
      <c r="D269" t="s">
        <v>13</v>
      </c>
      <c r="E269">
        <v>100</v>
      </c>
      <c r="F269">
        <v>0</v>
      </c>
    </row>
    <row r="270" spans="1:6" x14ac:dyDescent="0.15">
      <c r="A270" t="s">
        <v>210</v>
      </c>
      <c r="B270" s="226">
        <v>42284.768185347224</v>
      </c>
      <c r="C270" t="s">
        <v>760</v>
      </c>
      <c r="D270" t="s">
        <v>13</v>
      </c>
      <c r="E270">
        <v>180</v>
      </c>
      <c r="F270">
        <v>0</v>
      </c>
    </row>
    <row r="271" spans="1:6" x14ac:dyDescent="0.15">
      <c r="A271" t="s">
        <v>210</v>
      </c>
      <c r="B271" s="226">
        <v>42284.771688321758</v>
      </c>
      <c r="C271" t="s">
        <v>14</v>
      </c>
      <c r="D271" t="s">
        <v>13</v>
      </c>
      <c r="E271">
        <v>160</v>
      </c>
      <c r="F271">
        <v>3.5</v>
      </c>
    </row>
    <row r="272" spans="1:6" x14ac:dyDescent="0.15">
      <c r="A272" t="s">
        <v>210</v>
      </c>
      <c r="B272" s="226">
        <v>42284.779889409721</v>
      </c>
      <c r="C272" t="s">
        <v>649</v>
      </c>
      <c r="D272" t="s">
        <v>13</v>
      </c>
      <c r="E272">
        <v>100</v>
      </c>
      <c r="F272">
        <v>0</v>
      </c>
    </row>
    <row r="273" spans="1:6" x14ac:dyDescent="0.15">
      <c r="A273" t="s">
        <v>210</v>
      </c>
      <c r="B273" s="226">
        <v>42284.784603865737</v>
      </c>
      <c r="C273" t="s">
        <v>316</v>
      </c>
      <c r="D273" t="s">
        <v>13</v>
      </c>
      <c r="E273">
        <v>80</v>
      </c>
      <c r="F273">
        <v>0</v>
      </c>
    </row>
    <row r="274" spans="1:6" x14ac:dyDescent="0.15">
      <c r="A274" t="s">
        <v>210</v>
      </c>
      <c r="B274" s="226">
        <v>42284.790894548612</v>
      </c>
      <c r="C274" t="s">
        <v>761</v>
      </c>
      <c r="D274" t="s">
        <v>13</v>
      </c>
      <c r="E274">
        <v>20</v>
      </c>
      <c r="F274">
        <v>0</v>
      </c>
    </row>
    <row r="275" spans="1:6" x14ac:dyDescent="0.15">
      <c r="A275" t="s">
        <v>210</v>
      </c>
      <c r="B275" s="226">
        <v>42284.895155844904</v>
      </c>
      <c r="C275" t="s">
        <v>762</v>
      </c>
      <c r="D275" t="s">
        <v>13</v>
      </c>
      <c r="E275">
        <v>20</v>
      </c>
      <c r="F275">
        <v>0</v>
      </c>
    </row>
    <row r="276" spans="1:6" x14ac:dyDescent="0.15">
      <c r="A276" t="s">
        <v>210</v>
      </c>
      <c r="B276" s="226">
        <v>42284.933207650465</v>
      </c>
      <c r="C276" t="s">
        <v>317</v>
      </c>
      <c r="D276" t="s">
        <v>13</v>
      </c>
      <c r="E276">
        <v>20</v>
      </c>
      <c r="F276">
        <v>0</v>
      </c>
    </row>
    <row r="277" spans="1:6" x14ac:dyDescent="0.15">
      <c r="A277" t="s">
        <v>210</v>
      </c>
      <c r="B277" s="226">
        <v>42285.322059027778</v>
      </c>
      <c r="C277" t="s">
        <v>763</v>
      </c>
      <c r="D277" t="s">
        <v>13</v>
      </c>
      <c r="E277">
        <v>100</v>
      </c>
      <c r="F277">
        <v>0</v>
      </c>
    </row>
    <row r="278" spans="1:6" x14ac:dyDescent="0.15">
      <c r="A278" t="s">
        <v>210</v>
      </c>
      <c r="B278" s="226">
        <v>42285.326387719906</v>
      </c>
      <c r="C278" t="s">
        <v>764</v>
      </c>
      <c r="D278" t="s">
        <v>13</v>
      </c>
      <c r="E278">
        <v>140</v>
      </c>
      <c r="F278">
        <v>0</v>
      </c>
    </row>
    <row r="279" spans="1:6" x14ac:dyDescent="0.15">
      <c r="A279" t="s">
        <v>210</v>
      </c>
      <c r="B279" s="226">
        <v>42285.327109872684</v>
      </c>
      <c r="C279" t="s">
        <v>765</v>
      </c>
      <c r="D279" t="s">
        <v>13</v>
      </c>
      <c r="E279">
        <v>40</v>
      </c>
      <c r="F279">
        <v>0</v>
      </c>
    </row>
    <row r="280" spans="1:6" x14ac:dyDescent="0.15">
      <c r="A280" t="s">
        <v>210</v>
      </c>
      <c r="B280" s="226">
        <v>42285.370155578705</v>
      </c>
      <c r="C280" t="s">
        <v>766</v>
      </c>
      <c r="D280" t="s">
        <v>13</v>
      </c>
      <c r="E280">
        <v>20</v>
      </c>
      <c r="F280">
        <v>0</v>
      </c>
    </row>
    <row r="281" spans="1:6" x14ac:dyDescent="0.15">
      <c r="A281" t="s">
        <v>210</v>
      </c>
      <c r="B281" s="226">
        <v>42285.393725335649</v>
      </c>
      <c r="C281" t="s">
        <v>767</v>
      </c>
      <c r="D281" t="s">
        <v>13</v>
      </c>
      <c r="E281">
        <v>40</v>
      </c>
      <c r="F281">
        <v>0</v>
      </c>
    </row>
    <row r="282" spans="1:6" x14ac:dyDescent="0.15">
      <c r="A282" t="s">
        <v>210</v>
      </c>
      <c r="B282" s="226">
        <v>42285.406992835648</v>
      </c>
      <c r="C282" t="s">
        <v>318</v>
      </c>
      <c r="D282" t="s">
        <v>13</v>
      </c>
      <c r="E282">
        <v>500</v>
      </c>
      <c r="F282">
        <v>0</v>
      </c>
    </row>
    <row r="283" spans="1:6" x14ac:dyDescent="0.15">
      <c r="A283" t="s">
        <v>210</v>
      </c>
      <c r="B283" s="226">
        <v>42285.465173379627</v>
      </c>
      <c r="C283" t="s">
        <v>768</v>
      </c>
      <c r="D283" t="s">
        <v>13</v>
      </c>
      <c r="E283">
        <v>40</v>
      </c>
      <c r="F283">
        <v>0</v>
      </c>
    </row>
    <row r="284" spans="1:6" x14ac:dyDescent="0.15">
      <c r="A284" t="s">
        <v>210</v>
      </c>
      <c r="B284" s="226">
        <v>42285.469920046293</v>
      </c>
      <c r="C284" t="s">
        <v>769</v>
      </c>
      <c r="D284" t="s">
        <v>13</v>
      </c>
      <c r="E284">
        <v>100</v>
      </c>
      <c r="F284">
        <v>0</v>
      </c>
    </row>
    <row r="285" spans="1:6" x14ac:dyDescent="0.15">
      <c r="A285" t="s">
        <v>210</v>
      </c>
      <c r="B285" s="226">
        <v>42285.476169837966</v>
      </c>
      <c r="C285" t="s">
        <v>770</v>
      </c>
      <c r="D285" t="s">
        <v>13</v>
      </c>
      <c r="E285">
        <v>20</v>
      </c>
      <c r="F285">
        <v>0</v>
      </c>
    </row>
    <row r="286" spans="1:6" x14ac:dyDescent="0.15">
      <c r="A286" t="s">
        <v>210</v>
      </c>
      <c r="B286" s="226">
        <v>42285.481117592593</v>
      </c>
      <c r="C286" t="s">
        <v>771</v>
      </c>
      <c r="D286" t="s">
        <v>13</v>
      </c>
      <c r="E286">
        <v>60</v>
      </c>
      <c r="F286">
        <v>0</v>
      </c>
    </row>
    <row r="287" spans="1:6" x14ac:dyDescent="0.15">
      <c r="A287" t="s">
        <v>210</v>
      </c>
      <c r="B287" s="226">
        <v>42285.500820381945</v>
      </c>
      <c r="C287" t="s">
        <v>14</v>
      </c>
      <c r="D287" t="s">
        <v>15</v>
      </c>
      <c r="E287">
        <v>40</v>
      </c>
      <c r="F287">
        <v>3.7</v>
      </c>
    </row>
    <row r="288" spans="1:6" x14ac:dyDescent="0.15">
      <c r="A288" t="s">
        <v>210</v>
      </c>
      <c r="B288" s="226">
        <v>42285.507757777777</v>
      </c>
      <c r="C288" t="s">
        <v>772</v>
      </c>
      <c r="D288" t="s">
        <v>13</v>
      </c>
      <c r="E288">
        <v>100</v>
      </c>
      <c r="F288">
        <v>0</v>
      </c>
    </row>
    <row r="289" spans="1:6" x14ac:dyDescent="0.15">
      <c r="A289" t="s">
        <v>210</v>
      </c>
      <c r="B289" s="226">
        <v>42285.512369606484</v>
      </c>
      <c r="C289" t="s">
        <v>773</v>
      </c>
      <c r="D289" t="s">
        <v>13</v>
      </c>
      <c r="E289">
        <v>100</v>
      </c>
      <c r="F289">
        <v>0</v>
      </c>
    </row>
    <row r="290" spans="1:6" x14ac:dyDescent="0.15">
      <c r="A290" t="s">
        <v>210</v>
      </c>
      <c r="B290" s="226">
        <v>42285.514127164352</v>
      </c>
      <c r="C290" t="s">
        <v>774</v>
      </c>
      <c r="D290" t="s">
        <v>13</v>
      </c>
      <c r="E290">
        <v>60</v>
      </c>
      <c r="F290">
        <v>0</v>
      </c>
    </row>
    <row r="291" spans="1:6" x14ac:dyDescent="0.15">
      <c r="A291" t="s">
        <v>210</v>
      </c>
      <c r="B291" s="226">
        <v>42285.514879085647</v>
      </c>
      <c r="C291" t="s">
        <v>775</v>
      </c>
      <c r="D291" t="s">
        <v>13</v>
      </c>
      <c r="E291">
        <v>200</v>
      </c>
      <c r="F291">
        <v>0</v>
      </c>
    </row>
    <row r="292" spans="1:6" x14ac:dyDescent="0.15">
      <c r="A292" t="s">
        <v>210</v>
      </c>
      <c r="B292" s="226">
        <v>42285.516648101853</v>
      </c>
      <c r="C292" t="s">
        <v>776</v>
      </c>
      <c r="D292" t="s">
        <v>13</v>
      </c>
      <c r="E292">
        <v>200</v>
      </c>
      <c r="F292">
        <v>0</v>
      </c>
    </row>
    <row r="293" spans="1:6" x14ac:dyDescent="0.15">
      <c r="A293" t="s">
        <v>210</v>
      </c>
      <c r="B293" s="226">
        <v>42285.520028310188</v>
      </c>
      <c r="C293" t="s">
        <v>14</v>
      </c>
      <c r="D293" t="s">
        <v>15</v>
      </c>
      <c r="E293">
        <v>60</v>
      </c>
      <c r="F293">
        <v>4.3</v>
      </c>
    </row>
    <row r="294" spans="1:6" x14ac:dyDescent="0.15">
      <c r="A294" t="s">
        <v>210</v>
      </c>
      <c r="B294" s="226">
        <v>42285.5341944213</v>
      </c>
      <c r="C294" t="s">
        <v>319</v>
      </c>
      <c r="D294" t="s">
        <v>13</v>
      </c>
      <c r="E294">
        <v>100</v>
      </c>
      <c r="F294">
        <v>0</v>
      </c>
    </row>
    <row r="295" spans="1:6" x14ac:dyDescent="0.15">
      <c r="A295" t="s">
        <v>210</v>
      </c>
      <c r="B295" s="226">
        <v>42285.54290453704</v>
      </c>
      <c r="C295" t="s">
        <v>777</v>
      </c>
      <c r="D295" t="s">
        <v>13</v>
      </c>
      <c r="E295">
        <v>100</v>
      </c>
      <c r="F295">
        <v>0</v>
      </c>
    </row>
    <row r="296" spans="1:6" x14ac:dyDescent="0.15">
      <c r="A296" t="s">
        <v>210</v>
      </c>
      <c r="B296" s="226">
        <v>42285.552747303242</v>
      </c>
      <c r="C296" t="s">
        <v>778</v>
      </c>
      <c r="D296" t="s">
        <v>13</v>
      </c>
      <c r="E296">
        <v>100</v>
      </c>
      <c r="F296">
        <v>0</v>
      </c>
    </row>
    <row r="297" spans="1:6" x14ac:dyDescent="0.15">
      <c r="A297" t="s">
        <v>210</v>
      </c>
      <c r="B297" s="226">
        <v>42285.569445868059</v>
      </c>
      <c r="C297" t="s">
        <v>779</v>
      </c>
      <c r="D297" t="s">
        <v>13</v>
      </c>
      <c r="E297">
        <v>60</v>
      </c>
      <c r="F297">
        <v>0</v>
      </c>
    </row>
    <row r="298" spans="1:6" x14ac:dyDescent="0.15">
      <c r="A298" t="s">
        <v>210</v>
      </c>
      <c r="B298" s="226">
        <v>42285.592076921297</v>
      </c>
      <c r="C298" t="s">
        <v>780</v>
      </c>
      <c r="D298" t="s">
        <v>13</v>
      </c>
      <c r="E298">
        <v>100</v>
      </c>
      <c r="F298">
        <v>0</v>
      </c>
    </row>
    <row r="299" spans="1:6" x14ac:dyDescent="0.15">
      <c r="A299" t="s">
        <v>210</v>
      </c>
      <c r="B299" s="226">
        <v>42285.594986388889</v>
      </c>
      <c r="C299" t="s">
        <v>781</v>
      </c>
      <c r="D299" t="s">
        <v>13</v>
      </c>
      <c r="E299">
        <v>100</v>
      </c>
      <c r="F299">
        <v>0</v>
      </c>
    </row>
    <row r="300" spans="1:6" x14ac:dyDescent="0.15">
      <c r="A300" t="s">
        <v>210</v>
      </c>
      <c r="B300" s="226">
        <v>42285.600474050923</v>
      </c>
      <c r="C300" t="s">
        <v>782</v>
      </c>
      <c r="D300" t="s">
        <v>13</v>
      </c>
      <c r="E300">
        <v>100</v>
      </c>
      <c r="F300">
        <v>0</v>
      </c>
    </row>
    <row r="301" spans="1:6" x14ac:dyDescent="0.15">
      <c r="A301" t="s">
        <v>210</v>
      </c>
      <c r="B301" s="226">
        <v>42285.614807789352</v>
      </c>
      <c r="C301" t="s">
        <v>320</v>
      </c>
      <c r="D301" t="s">
        <v>13</v>
      </c>
      <c r="E301">
        <v>100</v>
      </c>
      <c r="F301">
        <v>0</v>
      </c>
    </row>
    <row r="302" spans="1:6" x14ac:dyDescent="0.15">
      <c r="A302" t="s">
        <v>210</v>
      </c>
      <c r="B302" s="226">
        <v>42285.635817291666</v>
      </c>
      <c r="C302" t="s">
        <v>783</v>
      </c>
      <c r="D302" t="s">
        <v>13</v>
      </c>
      <c r="E302">
        <v>100</v>
      </c>
      <c r="F302">
        <v>0</v>
      </c>
    </row>
    <row r="303" spans="1:6" x14ac:dyDescent="0.15">
      <c r="A303" t="s">
        <v>210</v>
      </c>
      <c r="B303" s="226">
        <v>42285.649262025465</v>
      </c>
      <c r="C303" t="s">
        <v>784</v>
      </c>
      <c r="D303" t="s">
        <v>13</v>
      </c>
      <c r="E303">
        <v>400</v>
      </c>
      <c r="F303">
        <v>0</v>
      </c>
    </row>
    <row r="304" spans="1:6" x14ac:dyDescent="0.15">
      <c r="A304" t="s">
        <v>210</v>
      </c>
      <c r="B304" s="226">
        <v>42285.653085115744</v>
      </c>
      <c r="C304" t="s">
        <v>785</v>
      </c>
      <c r="D304" t="s">
        <v>13</v>
      </c>
      <c r="E304">
        <v>40</v>
      </c>
      <c r="F304">
        <v>0</v>
      </c>
    </row>
    <row r="305" spans="1:6" x14ac:dyDescent="0.15">
      <c r="A305" t="s">
        <v>210</v>
      </c>
      <c r="B305" s="226">
        <v>42285.667512025466</v>
      </c>
      <c r="C305" t="s">
        <v>786</v>
      </c>
      <c r="D305" t="s">
        <v>13</v>
      </c>
      <c r="E305">
        <v>60</v>
      </c>
      <c r="F305">
        <v>0</v>
      </c>
    </row>
    <row r="306" spans="1:6" x14ac:dyDescent="0.15">
      <c r="A306" t="s">
        <v>210</v>
      </c>
      <c r="B306" s="226">
        <v>42285.672471388891</v>
      </c>
      <c r="C306" t="s">
        <v>787</v>
      </c>
      <c r="D306" t="s">
        <v>13</v>
      </c>
      <c r="E306">
        <v>200</v>
      </c>
      <c r="F306">
        <v>0</v>
      </c>
    </row>
    <row r="307" spans="1:6" x14ac:dyDescent="0.15">
      <c r="A307" t="s">
        <v>210</v>
      </c>
      <c r="B307" s="226">
        <v>42285.710507476855</v>
      </c>
      <c r="C307" t="s">
        <v>788</v>
      </c>
      <c r="D307" t="s">
        <v>13</v>
      </c>
      <c r="E307">
        <v>80</v>
      </c>
      <c r="F307">
        <v>0</v>
      </c>
    </row>
    <row r="308" spans="1:6" x14ac:dyDescent="0.15">
      <c r="A308" t="s">
        <v>210</v>
      </c>
      <c r="B308" s="226">
        <v>42285.718137094904</v>
      </c>
      <c r="C308" t="s">
        <v>296</v>
      </c>
      <c r="D308" t="s">
        <v>13</v>
      </c>
      <c r="E308">
        <v>80</v>
      </c>
      <c r="F308">
        <v>0</v>
      </c>
    </row>
    <row r="309" spans="1:6" x14ac:dyDescent="0.15">
      <c r="A309" t="s">
        <v>210</v>
      </c>
      <c r="B309" s="226">
        <v>42285.727015648146</v>
      </c>
      <c r="C309" t="s">
        <v>789</v>
      </c>
      <c r="D309" t="s">
        <v>13</v>
      </c>
      <c r="E309">
        <v>60</v>
      </c>
      <c r="F309">
        <v>0</v>
      </c>
    </row>
    <row r="310" spans="1:6" x14ac:dyDescent="0.15">
      <c r="A310" t="s">
        <v>210</v>
      </c>
      <c r="B310" s="226">
        <v>42285.733381006947</v>
      </c>
      <c r="C310" t="s">
        <v>790</v>
      </c>
      <c r="D310" t="s">
        <v>13</v>
      </c>
      <c r="E310">
        <v>100</v>
      </c>
      <c r="F310">
        <v>0</v>
      </c>
    </row>
    <row r="311" spans="1:6" x14ac:dyDescent="0.15">
      <c r="A311" t="s">
        <v>210</v>
      </c>
      <c r="B311" s="226">
        <v>42285.735863784721</v>
      </c>
      <c r="C311" t="s">
        <v>791</v>
      </c>
      <c r="D311" t="s">
        <v>13</v>
      </c>
      <c r="E311">
        <v>200</v>
      </c>
      <c r="F311">
        <v>0</v>
      </c>
    </row>
    <row r="312" spans="1:6" x14ac:dyDescent="0.15">
      <c r="A312" t="s">
        <v>210</v>
      </c>
      <c r="B312" s="226">
        <v>42285.742219687498</v>
      </c>
      <c r="C312" t="s">
        <v>792</v>
      </c>
      <c r="D312" t="s">
        <v>13</v>
      </c>
      <c r="E312">
        <v>140</v>
      </c>
      <c r="F312">
        <v>0</v>
      </c>
    </row>
    <row r="313" spans="1:6" x14ac:dyDescent="0.15">
      <c r="A313" t="s">
        <v>210</v>
      </c>
      <c r="B313" s="226">
        <v>42285.743338194443</v>
      </c>
      <c r="C313" t="s">
        <v>793</v>
      </c>
      <c r="D313" t="s">
        <v>13</v>
      </c>
      <c r="E313">
        <v>120</v>
      </c>
      <c r="F313">
        <v>0</v>
      </c>
    </row>
    <row r="314" spans="1:6" x14ac:dyDescent="0.15">
      <c r="A314" t="s">
        <v>210</v>
      </c>
      <c r="B314" s="226">
        <v>42285.761614039351</v>
      </c>
      <c r="C314" t="s">
        <v>14</v>
      </c>
      <c r="D314" t="s">
        <v>13</v>
      </c>
      <c r="E314">
        <v>40</v>
      </c>
      <c r="F314">
        <v>3.5</v>
      </c>
    </row>
    <row r="315" spans="1:6" x14ac:dyDescent="0.15">
      <c r="A315" t="s">
        <v>210</v>
      </c>
      <c r="B315" s="226">
        <v>42285.835825405091</v>
      </c>
      <c r="C315" t="s">
        <v>794</v>
      </c>
      <c r="D315" t="s">
        <v>13</v>
      </c>
      <c r="E315">
        <v>80</v>
      </c>
      <c r="F315">
        <v>0</v>
      </c>
    </row>
    <row r="316" spans="1:6" x14ac:dyDescent="0.15">
      <c r="A316" t="s">
        <v>210</v>
      </c>
      <c r="B316" s="226">
        <v>42285.869069791668</v>
      </c>
      <c r="C316" t="s">
        <v>321</v>
      </c>
      <c r="D316" t="s">
        <v>13</v>
      </c>
      <c r="E316">
        <v>80</v>
      </c>
      <c r="F316">
        <v>0</v>
      </c>
    </row>
    <row r="317" spans="1:6" x14ac:dyDescent="0.15">
      <c r="A317" t="s">
        <v>210</v>
      </c>
      <c r="B317" s="226">
        <v>42285.884507013892</v>
      </c>
      <c r="C317" t="s">
        <v>795</v>
      </c>
      <c r="D317" t="s">
        <v>13</v>
      </c>
      <c r="E317">
        <v>80</v>
      </c>
      <c r="F317">
        <v>0</v>
      </c>
    </row>
    <row r="318" spans="1:6" x14ac:dyDescent="0.15">
      <c r="A318" t="s">
        <v>210</v>
      </c>
      <c r="B318" s="226">
        <v>42285.890746145837</v>
      </c>
      <c r="C318" t="s">
        <v>796</v>
      </c>
      <c r="D318" t="s">
        <v>13</v>
      </c>
      <c r="E318">
        <v>20</v>
      </c>
      <c r="F318">
        <v>0</v>
      </c>
    </row>
    <row r="319" spans="1:6" x14ac:dyDescent="0.15">
      <c r="A319" t="s">
        <v>210</v>
      </c>
      <c r="B319" s="226">
        <v>42285.920929236112</v>
      </c>
      <c r="C319" t="s">
        <v>797</v>
      </c>
      <c r="D319" t="s">
        <v>13</v>
      </c>
      <c r="E319">
        <v>100</v>
      </c>
      <c r="F319">
        <v>0</v>
      </c>
    </row>
    <row r="320" spans="1:6" x14ac:dyDescent="0.15">
      <c r="A320" t="s">
        <v>210</v>
      </c>
      <c r="B320" s="226">
        <v>42286.295331770831</v>
      </c>
      <c r="C320" t="s">
        <v>798</v>
      </c>
      <c r="D320" t="s">
        <v>13</v>
      </c>
      <c r="E320">
        <v>100</v>
      </c>
      <c r="F320">
        <v>0</v>
      </c>
    </row>
    <row r="321" spans="1:6" x14ac:dyDescent="0.15">
      <c r="A321" t="s">
        <v>210</v>
      </c>
      <c r="B321" s="226">
        <v>42286.306731770834</v>
      </c>
      <c r="C321" t="s">
        <v>799</v>
      </c>
      <c r="D321" t="s">
        <v>13</v>
      </c>
      <c r="E321">
        <v>40</v>
      </c>
      <c r="F321">
        <v>0</v>
      </c>
    </row>
    <row r="322" spans="1:6" x14ac:dyDescent="0.15">
      <c r="A322" t="s">
        <v>210</v>
      </c>
      <c r="B322" s="226">
        <v>42286.309330891207</v>
      </c>
      <c r="C322" t="s">
        <v>14</v>
      </c>
      <c r="D322" t="s">
        <v>13</v>
      </c>
      <c r="E322">
        <v>40</v>
      </c>
      <c r="F322">
        <v>3.5</v>
      </c>
    </row>
    <row r="323" spans="1:6" x14ac:dyDescent="0.15">
      <c r="A323" t="s">
        <v>210</v>
      </c>
      <c r="B323" s="226">
        <v>42286.320832974539</v>
      </c>
      <c r="C323" t="s">
        <v>14</v>
      </c>
      <c r="D323" t="s">
        <v>13</v>
      </c>
      <c r="E323">
        <v>200</v>
      </c>
      <c r="F323">
        <v>3.5</v>
      </c>
    </row>
    <row r="324" spans="1:6" x14ac:dyDescent="0.15">
      <c r="A324" t="s">
        <v>210</v>
      </c>
      <c r="B324" s="226">
        <v>42286.323071921295</v>
      </c>
      <c r="C324" t="s">
        <v>800</v>
      </c>
      <c r="D324" t="s">
        <v>13</v>
      </c>
      <c r="E324">
        <v>40</v>
      </c>
      <c r="F324">
        <v>0</v>
      </c>
    </row>
    <row r="325" spans="1:6" x14ac:dyDescent="0.15">
      <c r="A325" t="s">
        <v>210</v>
      </c>
      <c r="B325" s="226">
        <v>42286.331577048608</v>
      </c>
      <c r="C325" t="s">
        <v>801</v>
      </c>
      <c r="D325" t="s">
        <v>13</v>
      </c>
      <c r="E325">
        <v>60</v>
      </c>
      <c r="F325">
        <v>0</v>
      </c>
    </row>
    <row r="326" spans="1:6" x14ac:dyDescent="0.15">
      <c r="A326" t="s">
        <v>210</v>
      </c>
      <c r="B326" s="226">
        <v>42286.35695454861</v>
      </c>
      <c r="C326" t="s">
        <v>97</v>
      </c>
      <c r="D326" t="s">
        <v>13</v>
      </c>
      <c r="E326">
        <v>60</v>
      </c>
      <c r="F326">
        <v>0</v>
      </c>
    </row>
    <row r="327" spans="1:6" x14ac:dyDescent="0.15">
      <c r="A327" t="s">
        <v>210</v>
      </c>
      <c r="B327" s="226">
        <v>42286.376115613428</v>
      </c>
      <c r="C327" t="s">
        <v>802</v>
      </c>
      <c r="D327" t="s">
        <v>13</v>
      </c>
      <c r="E327">
        <v>60</v>
      </c>
      <c r="F327">
        <v>0</v>
      </c>
    </row>
    <row r="328" spans="1:6" x14ac:dyDescent="0.15">
      <c r="A328" t="s">
        <v>210</v>
      </c>
      <c r="B328" s="226">
        <v>42286.378091354163</v>
      </c>
      <c r="C328" t="s">
        <v>14</v>
      </c>
      <c r="D328" t="s">
        <v>13</v>
      </c>
      <c r="E328">
        <v>40</v>
      </c>
      <c r="F328">
        <v>3.5</v>
      </c>
    </row>
    <row r="329" spans="1:6" x14ac:dyDescent="0.15">
      <c r="A329" t="s">
        <v>210</v>
      </c>
      <c r="B329" s="226">
        <v>42286.418578946759</v>
      </c>
      <c r="C329" t="s">
        <v>803</v>
      </c>
      <c r="D329" t="s">
        <v>13</v>
      </c>
      <c r="E329">
        <v>100</v>
      </c>
      <c r="F329">
        <v>0</v>
      </c>
    </row>
    <row r="330" spans="1:6" x14ac:dyDescent="0.15">
      <c r="A330" t="s">
        <v>210</v>
      </c>
      <c r="B330" s="226">
        <v>42286.456761203706</v>
      </c>
      <c r="C330" t="s">
        <v>804</v>
      </c>
      <c r="D330" t="s">
        <v>13</v>
      </c>
      <c r="E330">
        <v>200</v>
      </c>
      <c r="F330">
        <v>0</v>
      </c>
    </row>
    <row r="331" spans="1:6" x14ac:dyDescent="0.15">
      <c r="A331" t="s">
        <v>210</v>
      </c>
      <c r="B331" s="226">
        <v>42286.462095115741</v>
      </c>
      <c r="C331" t="s">
        <v>805</v>
      </c>
      <c r="D331" t="s">
        <v>13</v>
      </c>
      <c r="E331">
        <v>40</v>
      </c>
      <c r="F331">
        <v>0</v>
      </c>
    </row>
    <row r="332" spans="1:6" x14ac:dyDescent="0.15">
      <c r="A332" t="s">
        <v>210</v>
      </c>
      <c r="B332" s="226">
        <v>42286.471016747688</v>
      </c>
      <c r="C332" t="s">
        <v>806</v>
      </c>
      <c r="D332" t="s">
        <v>13</v>
      </c>
      <c r="E332">
        <v>200</v>
      </c>
      <c r="F332">
        <v>0</v>
      </c>
    </row>
    <row r="333" spans="1:6" x14ac:dyDescent="0.15">
      <c r="A333" t="s">
        <v>210</v>
      </c>
      <c r="B333" s="226">
        <v>42286.483392858798</v>
      </c>
      <c r="C333" t="s">
        <v>807</v>
      </c>
      <c r="D333" t="s">
        <v>13</v>
      </c>
      <c r="E333">
        <v>100</v>
      </c>
      <c r="F333">
        <v>0</v>
      </c>
    </row>
    <row r="334" spans="1:6" x14ac:dyDescent="0.15">
      <c r="A334" t="s">
        <v>210</v>
      </c>
      <c r="B334" s="226">
        <v>42286.486652106483</v>
      </c>
      <c r="C334" t="s">
        <v>808</v>
      </c>
      <c r="D334" t="s">
        <v>13</v>
      </c>
      <c r="E334">
        <v>60</v>
      </c>
      <c r="F334">
        <v>0</v>
      </c>
    </row>
    <row r="335" spans="1:6" x14ac:dyDescent="0.15">
      <c r="A335" t="s">
        <v>210</v>
      </c>
      <c r="B335" s="226">
        <v>42286.493767094908</v>
      </c>
      <c r="C335" t="s">
        <v>809</v>
      </c>
      <c r="D335" t="s">
        <v>13</v>
      </c>
      <c r="E335">
        <v>60</v>
      </c>
      <c r="F335">
        <v>0</v>
      </c>
    </row>
    <row r="336" spans="1:6" x14ac:dyDescent="0.15">
      <c r="A336" t="s">
        <v>210</v>
      </c>
      <c r="B336" s="226">
        <v>42286.507948125</v>
      </c>
      <c r="C336" t="s">
        <v>322</v>
      </c>
      <c r="D336" t="s">
        <v>13</v>
      </c>
      <c r="E336">
        <v>80</v>
      </c>
      <c r="F336">
        <v>0</v>
      </c>
    </row>
    <row r="337" spans="1:6" x14ac:dyDescent="0.15">
      <c r="A337" t="s">
        <v>210</v>
      </c>
      <c r="B337" s="226">
        <v>42286.517983379628</v>
      </c>
      <c r="C337" t="s">
        <v>810</v>
      </c>
      <c r="D337" t="s">
        <v>13</v>
      </c>
      <c r="E337">
        <v>120</v>
      </c>
      <c r="F337">
        <v>0</v>
      </c>
    </row>
    <row r="338" spans="1:6" x14ac:dyDescent="0.15">
      <c r="A338" t="s">
        <v>210</v>
      </c>
      <c r="B338" s="226">
        <v>42286.519378703706</v>
      </c>
      <c r="C338" t="s">
        <v>811</v>
      </c>
      <c r="D338" t="s">
        <v>13</v>
      </c>
      <c r="E338">
        <v>100</v>
      </c>
      <c r="F338">
        <v>0</v>
      </c>
    </row>
    <row r="339" spans="1:6" x14ac:dyDescent="0.15">
      <c r="A339" t="s">
        <v>210</v>
      </c>
      <c r="B339" s="226">
        <v>42286.529744363426</v>
      </c>
      <c r="C339" t="s">
        <v>812</v>
      </c>
      <c r="D339" t="s">
        <v>13</v>
      </c>
      <c r="E339">
        <v>100</v>
      </c>
      <c r="F339">
        <v>0</v>
      </c>
    </row>
    <row r="340" spans="1:6" x14ac:dyDescent="0.15">
      <c r="A340" t="s">
        <v>210</v>
      </c>
      <c r="B340" s="226">
        <v>42286.533298287039</v>
      </c>
      <c r="C340" t="s">
        <v>813</v>
      </c>
      <c r="D340" t="s">
        <v>13</v>
      </c>
      <c r="E340">
        <v>60</v>
      </c>
      <c r="F340">
        <v>0</v>
      </c>
    </row>
    <row r="341" spans="1:6" x14ac:dyDescent="0.15">
      <c r="A341" t="s">
        <v>210</v>
      </c>
      <c r="B341" s="226">
        <v>42286.533913923609</v>
      </c>
      <c r="C341" t="s">
        <v>244</v>
      </c>
      <c r="D341" t="s">
        <v>13</v>
      </c>
      <c r="E341">
        <v>60</v>
      </c>
      <c r="F341">
        <v>0</v>
      </c>
    </row>
    <row r="342" spans="1:6" x14ac:dyDescent="0.15">
      <c r="A342" t="s">
        <v>210</v>
      </c>
      <c r="B342" s="226">
        <v>42286.546296215274</v>
      </c>
      <c r="C342" t="s">
        <v>814</v>
      </c>
      <c r="D342" t="s">
        <v>13</v>
      </c>
      <c r="E342">
        <v>20</v>
      </c>
      <c r="F342">
        <v>0</v>
      </c>
    </row>
    <row r="343" spans="1:6" x14ac:dyDescent="0.15">
      <c r="A343" t="s">
        <v>210</v>
      </c>
      <c r="B343" s="226">
        <v>42286.596800358799</v>
      </c>
      <c r="C343" t="s">
        <v>815</v>
      </c>
      <c r="D343" t="s">
        <v>13</v>
      </c>
      <c r="E343">
        <v>200</v>
      </c>
      <c r="F343">
        <v>0</v>
      </c>
    </row>
    <row r="344" spans="1:6" x14ac:dyDescent="0.15">
      <c r="A344" t="s">
        <v>210</v>
      </c>
      <c r="B344" s="226">
        <v>42286.608475243054</v>
      </c>
      <c r="C344" t="s">
        <v>14</v>
      </c>
      <c r="D344" t="s">
        <v>13</v>
      </c>
      <c r="E344">
        <v>100</v>
      </c>
      <c r="F344">
        <v>3.5</v>
      </c>
    </row>
    <row r="345" spans="1:6" x14ac:dyDescent="0.15">
      <c r="A345" t="s">
        <v>210</v>
      </c>
      <c r="B345" s="226">
        <v>42286.622918298614</v>
      </c>
      <c r="C345" t="s">
        <v>816</v>
      </c>
      <c r="D345" t="s">
        <v>13</v>
      </c>
      <c r="E345">
        <v>100</v>
      </c>
      <c r="F345">
        <v>0</v>
      </c>
    </row>
    <row r="346" spans="1:6" x14ac:dyDescent="0.15">
      <c r="A346" t="s">
        <v>210</v>
      </c>
      <c r="B346" s="226">
        <v>42286.631382685184</v>
      </c>
      <c r="C346" t="s">
        <v>817</v>
      </c>
      <c r="D346" t="s">
        <v>13</v>
      </c>
      <c r="E346">
        <v>20</v>
      </c>
      <c r="F346">
        <v>0</v>
      </c>
    </row>
    <row r="347" spans="1:6" x14ac:dyDescent="0.15">
      <c r="A347" t="s">
        <v>210</v>
      </c>
      <c r="B347" s="226">
        <v>42286.632961111114</v>
      </c>
      <c r="C347" t="s">
        <v>14</v>
      </c>
      <c r="D347" t="s">
        <v>13</v>
      </c>
      <c r="E347">
        <v>60</v>
      </c>
      <c r="F347">
        <v>3.5</v>
      </c>
    </row>
    <row r="348" spans="1:6" x14ac:dyDescent="0.15">
      <c r="A348" t="s">
        <v>210</v>
      </c>
      <c r="B348" s="226">
        <v>42286.704152812497</v>
      </c>
      <c r="C348" t="s">
        <v>818</v>
      </c>
      <c r="D348" t="s">
        <v>13</v>
      </c>
      <c r="E348">
        <v>500</v>
      </c>
      <c r="F348">
        <v>0</v>
      </c>
    </row>
    <row r="349" spans="1:6" x14ac:dyDescent="0.15">
      <c r="A349" t="s">
        <v>210</v>
      </c>
      <c r="B349" s="226">
        <v>42286.7060178588</v>
      </c>
      <c r="C349" t="s">
        <v>819</v>
      </c>
      <c r="D349" t="s">
        <v>13</v>
      </c>
      <c r="E349">
        <v>20</v>
      </c>
      <c r="F349">
        <v>0</v>
      </c>
    </row>
    <row r="350" spans="1:6" x14ac:dyDescent="0.15">
      <c r="A350" t="s">
        <v>210</v>
      </c>
      <c r="B350" s="226">
        <v>42286.711404444446</v>
      </c>
      <c r="C350" t="s">
        <v>820</v>
      </c>
      <c r="D350" t="s">
        <v>13</v>
      </c>
      <c r="E350">
        <v>100</v>
      </c>
      <c r="F350">
        <v>0</v>
      </c>
    </row>
    <row r="351" spans="1:6" x14ac:dyDescent="0.15">
      <c r="A351" t="s">
        <v>210</v>
      </c>
      <c r="B351" s="226">
        <v>42286.724482025464</v>
      </c>
      <c r="C351" t="s">
        <v>821</v>
      </c>
      <c r="D351" t="s">
        <v>13</v>
      </c>
      <c r="E351">
        <v>100</v>
      </c>
      <c r="F351">
        <v>0</v>
      </c>
    </row>
    <row r="352" spans="1:6" x14ac:dyDescent="0.15">
      <c r="A352" t="s">
        <v>210</v>
      </c>
      <c r="B352" s="226">
        <v>42286.753317650466</v>
      </c>
      <c r="C352" t="s">
        <v>14</v>
      </c>
      <c r="D352" t="s">
        <v>13</v>
      </c>
      <c r="E352">
        <v>20</v>
      </c>
      <c r="F352">
        <v>3.5</v>
      </c>
    </row>
    <row r="353" spans="1:6" x14ac:dyDescent="0.15">
      <c r="A353" t="s">
        <v>210</v>
      </c>
      <c r="B353" s="226">
        <v>42286.769610474534</v>
      </c>
      <c r="C353" t="s">
        <v>822</v>
      </c>
      <c r="D353" t="s">
        <v>13</v>
      </c>
      <c r="E353">
        <v>40</v>
      </c>
      <c r="F353">
        <v>0</v>
      </c>
    </row>
    <row r="354" spans="1:6" x14ac:dyDescent="0.15">
      <c r="A354" t="s">
        <v>210</v>
      </c>
      <c r="B354" s="226">
        <v>42286.780994976849</v>
      </c>
      <c r="C354" t="s">
        <v>823</v>
      </c>
      <c r="D354" t="s">
        <v>13</v>
      </c>
      <c r="E354">
        <v>100</v>
      </c>
      <c r="F354">
        <v>0</v>
      </c>
    </row>
    <row r="355" spans="1:6" x14ac:dyDescent="0.15">
      <c r="A355" t="s">
        <v>210</v>
      </c>
      <c r="B355" s="226">
        <v>42286.793669976854</v>
      </c>
      <c r="C355" t="s">
        <v>824</v>
      </c>
      <c r="D355" t="s">
        <v>13</v>
      </c>
      <c r="E355">
        <v>200</v>
      </c>
      <c r="F355">
        <v>0</v>
      </c>
    </row>
    <row r="356" spans="1:6" x14ac:dyDescent="0.15">
      <c r="A356" t="s">
        <v>210</v>
      </c>
      <c r="B356" s="226">
        <v>42286.799760034723</v>
      </c>
      <c r="C356" t="s">
        <v>323</v>
      </c>
      <c r="D356" t="s">
        <v>13</v>
      </c>
      <c r="E356">
        <v>100</v>
      </c>
      <c r="F356">
        <v>0</v>
      </c>
    </row>
    <row r="357" spans="1:6" x14ac:dyDescent="0.15">
      <c r="A357" t="s">
        <v>210</v>
      </c>
      <c r="B357" s="226">
        <v>42286.85917236111</v>
      </c>
      <c r="C357" t="s">
        <v>14</v>
      </c>
      <c r="D357" t="s">
        <v>13</v>
      </c>
      <c r="E357">
        <v>200</v>
      </c>
      <c r="F357">
        <v>3.5</v>
      </c>
    </row>
    <row r="358" spans="1:6" x14ac:dyDescent="0.15">
      <c r="A358" t="s">
        <v>210</v>
      </c>
      <c r="B358" s="226">
        <v>42286.888979282405</v>
      </c>
      <c r="C358" t="s">
        <v>107</v>
      </c>
      <c r="D358" t="s">
        <v>13</v>
      </c>
      <c r="E358">
        <v>40</v>
      </c>
      <c r="F358">
        <v>0</v>
      </c>
    </row>
    <row r="359" spans="1:6" x14ac:dyDescent="0.15">
      <c r="A359" t="s">
        <v>210</v>
      </c>
      <c r="B359" s="226">
        <v>42286.914136539352</v>
      </c>
      <c r="C359" t="s">
        <v>825</v>
      </c>
      <c r="D359" t="s">
        <v>13</v>
      </c>
      <c r="E359">
        <v>440</v>
      </c>
      <c r="F359">
        <v>0</v>
      </c>
    </row>
    <row r="360" spans="1:6" x14ac:dyDescent="0.15">
      <c r="A360" t="s">
        <v>210</v>
      </c>
      <c r="B360" s="226">
        <v>42286.937185069444</v>
      </c>
      <c r="C360" t="s">
        <v>826</v>
      </c>
      <c r="D360" t="s">
        <v>13</v>
      </c>
      <c r="E360">
        <v>80</v>
      </c>
      <c r="F360">
        <v>0</v>
      </c>
    </row>
    <row r="361" spans="1:6" x14ac:dyDescent="0.15">
      <c r="A361" t="s">
        <v>210</v>
      </c>
      <c r="B361" s="226">
        <v>42286.94303318287</v>
      </c>
      <c r="C361" t="s">
        <v>827</v>
      </c>
      <c r="D361" t="s">
        <v>13</v>
      </c>
      <c r="E361">
        <v>20</v>
      </c>
      <c r="F361">
        <v>0</v>
      </c>
    </row>
    <row r="362" spans="1:6" x14ac:dyDescent="0.15">
      <c r="A362" t="s">
        <v>210</v>
      </c>
      <c r="B362" s="226">
        <v>42286.990605370367</v>
      </c>
      <c r="C362" t="s">
        <v>828</v>
      </c>
      <c r="D362" t="s">
        <v>13</v>
      </c>
      <c r="E362">
        <v>40</v>
      </c>
      <c r="F362">
        <v>0</v>
      </c>
    </row>
    <row r="363" spans="1:6" x14ac:dyDescent="0.15">
      <c r="A363" t="s">
        <v>210</v>
      </c>
      <c r="B363" s="226">
        <v>42286.99354171296</v>
      </c>
      <c r="C363" t="s">
        <v>829</v>
      </c>
      <c r="D363" t="s">
        <v>13</v>
      </c>
      <c r="E363">
        <v>120</v>
      </c>
      <c r="F363">
        <v>0</v>
      </c>
    </row>
    <row r="364" spans="1:6" x14ac:dyDescent="0.15">
      <c r="A364" t="s">
        <v>210</v>
      </c>
      <c r="B364" s="226">
        <v>42287.39521505787</v>
      </c>
      <c r="C364" t="s">
        <v>830</v>
      </c>
      <c r="D364" t="s">
        <v>13</v>
      </c>
      <c r="E364">
        <v>80</v>
      </c>
      <c r="F364">
        <v>0</v>
      </c>
    </row>
    <row r="365" spans="1:6" x14ac:dyDescent="0.15">
      <c r="A365" t="s">
        <v>210</v>
      </c>
      <c r="B365" s="226">
        <v>42287.464950127316</v>
      </c>
      <c r="C365" t="s">
        <v>263</v>
      </c>
      <c r="D365" t="s">
        <v>13</v>
      </c>
      <c r="E365">
        <v>20</v>
      </c>
      <c r="F365">
        <v>0</v>
      </c>
    </row>
    <row r="366" spans="1:6" x14ac:dyDescent="0.15">
      <c r="A366" t="s">
        <v>210</v>
      </c>
      <c r="B366" s="226">
        <v>42287.50067947917</v>
      </c>
      <c r="C366" t="s">
        <v>72</v>
      </c>
      <c r="D366" t="s">
        <v>13</v>
      </c>
      <c r="E366">
        <v>40</v>
      </c>
      <c r="F366">
        <v>0</v>
      </c>
    </row>
    <row r="367" spans="1:6" x14ac:dyDescent="0.15">
      <c r="A367" t="s">
        <v>210</v>
      </c>
      <c r="B367" s="226">
        <v>42287.506959872684</v>
      </c>
      <c r="C367" t="s">
        <v>831</v>
      </c>
      <c r="D367" t="s">
        <v>13</v>
      </c>
      <c r="E367">
        <v>100</v>
      </c>
      <c r="F367">
        <v>0</v>
      </c>
    </row>
    <row r="368" spans="1:6" x14ac:dyDescent="0.15">
      <c r="A368" t="s">
        <v>210</v>
      </c>
      <c r="B368" s="226">
        <v>42287.558651064814</v>
      </c>
      <c r="C368" t="s">
        <v>324</v>
      </c>
      <c r="D368" t="s">
        <v>13</v>
      </c>
      <c r="E368">
        <v>100</v>
      </c>
      <c r="F368">
        <v>0</v>
      </c>
    </row>
    <row r="369" spans="1:6" x14ac:dyDescent="0.15">
      <c r="A369" t="s">
        <v>210</v>
      </c>
      <c r="B369" s="226">
        <v>42287.572365868058</v>
      </c>
      <c r="C369" t="s">
        <v>14</v>
      </c>
      <c r="D369" t="s">
        <v>13</v>
      </c>
      <c r="E369">
        <v>160</v>
      </c>
      <c r="F369">
        <v>3.5</v>
      </c>
    </row>
    <row r="370" spans="1:6" x14ac:dyDescent="0.15">
      <c r="A370" t="s">
        <v>210</v>
      </c>
      <c r="B370" s="226">
        <v>42287.59809255787</v>
      </c>
      <c r="C370" t="s">
        <v>832</v>
      </c>
      <c r="D370" t="s">
        <v>13</v>
      </c>
      <c r="E370">
        <v>100</v>
      </c>
      <c r="F370">
        <v>0</v>
      </c>
    </row>
    <row r="371" spans="1:6" x14ac:dyDescent="0.15">
      <c r="A371" t="s">
        <v>210</v>
      </c>
      <c r="B371" s="226">
        <v>42287.598790231481</v>
      </c>
      <c r="C371" t="s">
        <v>833</v>
      </c>
      <c r="D371" t="s">
        <v>13</v>
      </c>
      <c r="E371">
        <v>100</v>
      </c>
      <c r="F371">
        <v>0</v>
      </c>
    </row>
    <row r="372" spans="1:6" x14ac:dyDescent="0.15">
      <c r="A372" t="s">
        <v>210</v>
      </c>
      <c r="B372" s="226">
        <v>42287.60354009259</v>
      </c>
      <c r="C372" t="s">
        <v>834</v>
      </c>
      <c r="D372" t="s">
        <v>13</v>
      </c>
      <c r="E372">
        <v>100</v>
      </c>
      <c r="F372">
        <v>0</v>
      </c>
    </row>
    <row r="373" spans="1:6" x14ac:dyDescent="0.15">
      <c r="A373" t="s">
        <v>210</v>
      </c>
      <c r="B373" s="226">
        <v>42287.608991597219</v>
      </c>
      <c r="C373" t="s">
        <v>835</v>
      </c>
      <c r="D373" t="s">
        <v>13</v>
      </c>
      <c r="E373">
        <v>40</v>
      </c>
      <c r="F373">
        <v>0</v>
      </c>
    </row>
    <row r="374" spans="1:6" x14ac:dyDescent="0.15">
      <c r="A374" t="s">
        <v>210</v>
      </c>
      <c r="B374" s="226">
        <v>42287.613007881948</v>
      </c>
      <c r="C374" t="s">
        <v>836</v>
      </c>
      <c r="D374" t="s">
        <v>13</v>
      </c>
      <c r="E374">
        <v>60</v>
      </c>
      <c r="F374">
        <v>0</v>
      </c>
    </row>
    <row r="375" spans="1:6" x14ac:dyDescent="0.15">
      <c r="A375" t="s">
        <v>210</v>
      </c>
      <c r="B375" s="226">
        <v>42287.622062847222</v>
      </c>
      <c r="C375" t="s">
        <v>837</v>
      </c>
      <c r="D375" t="s">
        <v>13</v>
      </c>
      <c r="E375">
        <v>20</v>
      </c>
      <c r="F375">
        <v>0</v>
      </c>
    </row>
    <row r="376" spans="1:6" x14ac:dyDescent="0.15">
      <c r="A376" t="s">
        <v>210</v>
      </c>
      <c r="B376" s="226">
        <v>42287.647044050929</v>
      </c>
      <c r="C376" t="s">
        <v>838</v>
      </c>
      <c r="D376" t="s">
        <v>13</v>
      </c>
      <c r="E376">
        <v>100</v>
      </c>
      <c r="F376">
        <v>0</v>
      </c>
    </row>
    <row r="377" spans="1:6" x14ac:dyDescent="0.15">
      <c r="A377" t="s">
        <v>210</v>
      </c>
      <c r="B377" s="226">
        <v>42287.655215775463</v>
      </c>
      <c r="C377" t="s">
        <v>839</v>
      </c>
      <c r="D377" t="s">
        <v>13</v>
      </c>
      <c r="E377">
        <v>80</v>
      </c>
      <c r="F377">
        <v>0</v>
      </c>
    </row>
    <row r="378" spans="1:6" x14ac:dyDescent="0.15">
      <c r="A378" t="s">
        <v>210</v>
      </c>
      <c r="B378" s="226">
        <v>42287.660610902778</v>
      </c>
      <c r="C378" t="s">
        <v>840</v>
      </c>
      <c r="D378" t="s">
        <v>13</v>
      </c>
      <c r="E378">
        <v>120</v>
      </c>
      <c r="F378">
        <v>0</v>
      </c>
    </row>
    <row r="379" spans="1:6" x14ac:dyDescent="0.15">
      <c r="A379" t="s">
        <v>210</v>
      </c>
      <c r="B379" s="226">
        <v>42287.669616145831</v>
      </c>
      <c r="C379" t="s">
        <v>104</v>
      </c>
      <c r="D379" t="s">
        <v>13</v>
      </c>
      <c r="E379">
        <v>100</v>
      </c>
      <c r="F379">
        <v>0</v>
      </c>
    </row>
    <row r="380" spans="1:6" x14ac:dyDescent="0.15">
      <c r="A380" t="s">
        <v>210</v>
      </c>
      <c r="B380" s="226">
        <v>42287.673561215277</v>
      </c>
      <c r="C380" t="s">
        <v>841</v>
      </c>
      <c r="D380" t="s">
        <v>13</v>
      </c>
      <c r="E380">
        <v>40</v>
      </c>
      <c r="F380">
        <v>0</v>
      </c>
    </row>
    <row r="381" spans="1:6" x14ac:dyDescent="0.15">
      <c r="A381" t="s">
        <v>210</v>
      </c>
      <c r="B381" s="226">
        <v>42287.679695497682</v>
      </c>
      <c r="C381" t="s">
        <v>14</v>
      </c>
      <c r="D381" t="s">
        <v>13</v>
      </c>
      <c r="E381">
        <v>100</v>
      </c>
      <c r="F381">
        <v>3.5</v>
      </c>
    </row>
    <row r="382" spans="1:6" x14ac:dyDescent="0.15">
      <c r="A382" t="s">
        <v>210</v>
      </c>
      <c r="B382" s="226">
        <v>42287.715490891205</v>
      </c>
      <c r="C382" t="s">
        <v>325</v>
      </c>
      <c r="D382" t="s">
        <v>13</v>
      </c>
      <c r="E382">
        <v>100</v>
      </c>
      <c r="F382">
        <v>0</v>
      </c>
    </row>
    <row r="383" spans="1:6" x14ac:dyDescent="0.15">
      <c r="A383" t="s">
        <v>210</v>
      </c>
      <c r="B383" s="226">
        <v>42287.717026192127</v>
      </c>
      <c r="C383" t="s">
        <v>842</v>
      </c>
      <c r="D383" t="s">
        <v>13</v>
      </c>
      <c r="E383">
        <v>40</v>
      </c>
      <c r="F383">
        <v>0</v>
      </c>
    </row>
    <row r="384" spans="1:6" x14ac:dyDescent="0.15">
      <c r="A384" t="s">
        <v>210</v>
      </c>
      <c r="B384" s="226">
        <v>42287.731993958332</v>
      </c>
      <c r="C384" t="s">
        <v>843</v>
      </c>
      <c r="D384" t="s">
        <v>13</v>
      </c>
      <c r="E384">
        <v>100</v>
      </c>
      <c r="F384">
        <v>0</v>
      </c>
    </row>
    <row r="385" spans="1:6" x14ac:dyDescent="0.15">
      <c r="A385" t="s">
        <v>210</v>
      </c>
      <c r="B385" s="226">
        <v>42287.735313067133</v>
      </c>
      <c r="C385" t="s">
        <v>844</v>
      </c>
      <c r="D385" t="s">
        <v>13</v>
      </c>
      <c r="E385">
        <v>20</v>
      </c>
      <c r="F385">
        <v>0</v>
      </c>
    </row>
    <row r="386" spans="1:6" x14ac:dyDescent="0.15">
      <c r="A386" t="s">
        <v>210</v>
      </c>
      <c r="B386" s="226">
        <v>42287.73745479167</v>
      </c>
      <c r="C386" t="s">
        <v>845</v>
      </c>
      <c r="D386" t="s">
        <v>13</v>
      </c>
      <c r="E386">
        <v>40</v>
      </c>
      <c r="F386">
        <v>0</v>
      </c>
    </row>
    <row r="387" spans="1:6" x14ac:dyDescent="0.15">
      <c r="A387" t="s">
        <v>210</v>
      </c>
      <c r="B387" s="226">
        <v>42287.755093344909</v>
      </c>
      <c r="C387" t="s">
        <v>257</v>
      </c>
      <c r="D387" t="s">
        <v>13</v>
      </c>
      <c r="E387">
        <v>100</v>
      </c>
      <c r="F387">
        <v>0</v>
      </c>
    </row>
    <row r="388" spans="1:6" x14ac:dyDescent="0.15">
      <c r="A388" t="s">
        <v>210</v>
      </c>
      <c r="B388" s="226">
        <v>42287.769778090274</v>
      </c>
      <c r="C388" t="s">
        <v>846</v>
      </c>
      <c r="D388" t="s">
        <v>13</v>
      </c>
      <c r="E388">
        <v>80</v>
      </c>
      <c r="F388">
        <v>0</v>
      </c>
    </row>
    <row r="389" spans="1:6" x14ac:dyDescent="0.15">
      <c r="A389" t="s">
        <v>210</v>
      </c>
      <c r="B389" s="226">
        <v>42287.771660972219</v>
      </c>
      <c r="C389" t="s">
        <v>847</v>
      </c>
      <c r="D389" t="s">
        <v>13</v>
      </c>
      <c r="E389">
        <v>20</v>
      </c>
      <c r="F389">
        <v>0</v>
      </c>
    </row>
    <row r="390" spans="1:6" x14ac:dyDescent="0.15">
      <c r="A390" t="s">
        <v>210</v>
      </c>
      <c r="B390" s="226">
        <v>42287.773237141206</v>
      </c>
      <c r="C390" t="s">
        <v>14</v>
      </c>
      <c r="D390" t="s">
        <v>13</v>
      </c>
      <c r="E390">
        <v>440</v>
      </c>
      <c r="F390">
        <v>3.5</v>
      </c>
    </row>
    <row r="391" spans="1:6" x14ac:dyDescent="0.15">
      <c r="A391" t="s">
        <v>210</v>
      </c>
      <c r="B391" s="226">
        <v>42287.782597812497</v>
      </c>
      <c r="C391" t="s">
        <v>848</v>
      </c>
      <c r="D391" t="s">
        <v>13</v>
      </c>
      <c r="E391">
        <v>500</v>
      </c>
      <c r="F391">
        <v>0</v>
      </c>
    </row>
    <row r="392" spans="1:6" x14ac:dyDescent="0.15">
      <c r="A392" t="s">
        <v>210</v>
      </c>
      <c r="B392" s="226">
        <v>42287.785055300927</v>
      </c>
      <c r="C392" t="s">
        <v>849</v>
      </c>
      <c r="D392" t="s">
        <v>13</v>
      </c>
      <c r="E392">
        <v>60</v>
      </c>
      <c r="F392">
        <v>0</v>
      </c>
    </row>
    <row r="393" spans="1:6" x14ac:dyDescent="0.15">
      <c r="A393" t="s">
        <v>210</v>
      </c>
      <c r="B393" s="226">
        <v>42287.830916006948</v>
      </c>
      <c r="C393" t="s">
        <v>850</v>
      </c>
      <c r="D393" t="s">
        <v>13</v>
      </c>
      <c r="E393">
        <v>100</v>
      </c>
      <c r="F393">
        <v>0</v>
      </c>
    </row>
    <row r="394" spans="1:6" x14ac:dyDescent="0.15">
      <c r="A394" t="s">
        <v>210</v>
      </c>
      <c r="B394" s="226">
        <v>42287.898786423611</v>
      </c>
      <c r="C394" t="s">
        <v>851</v>
      </c>
      <c r="D394" t="s">
        <v>13</v>
      </c>
      <c r="E394">
        <v>300</v>
      </c>
      <c r="F394">
        <v>0</v>
      </c>
    </row>
    <row r="395" spans="1:6" x14ac:dyDescent="0.15">
      <c r="A395" t="s">
        <v>210</v>
      </c>
      <c r="B395" s="226">
        <v>42287.966969918984</v>
      </c>
      <c r="C395" t="s">
        <v>852</v>
      </c>
      <c r="D395" t="s">
        <v>13</v>
      </c>
      <c r="E395">
        <v>40</v>
      </c>
      <c r="F395">
        <v>0</v>
      </c>
    </row>
    <row r="396" spans="1:6" x14ac:dyDescent="0.15">
      <c r="A396" t="s">
        <v>210</v>
      </c>
      <c r="B396" s="226">
        <v>42287.997574988425</v>
      </c>
      <c r="C396" t="s">
        <v>853</v>
      </c>
      <c r="D396" t="s">
        <v>13</v>
      </c>
      <c r="E396">
        <v>40</v>
      </c>
      <c r="F396">
        <v>0</v>
      </c>
    </row>
    <row r="397" spans="1:6" x14ac:dyDescent="0.15">
      <c r="A397" t="s">
        <v>210</v>
      </c>
      <c r="B397" s="226">
        <v>42288.069379791668</v>
      </c>
      <c r="C397" t="s">
        <v>326</v>
      </c>
      <c r="D397" t="s">
        <v>13</v>
      </c>
      <c r="E397">
        <v>100</v>
      </c>
      <c r="F397">
        <v>0</v>
      </c>
    </row>
    <row r="398" spans="1:6" x14ac:dyDescent="0.15">
      <c r="A398" t="s">
        <v>210</v>
      </c>
      <c r="B398" s="226">
        <v>42288.396606504626</v>
      </c>
      <c r="C398" t="s">
        <v>854</v>
      </c>
      <c r="D398" t="s">
        <v>13</v>
      </c>
      <c r="E398">
        <v>40</v>
      </c>
      <c r="F398">
        <v>0</v>
      </c>
    </row>
    <row r="399" spans="1:6" x14ac:dyDescent="0.15">
      <c r="A399" t="s">
        <v>210</v>
      </c>
      <c r="B399" s="226">
        <v>42288.405734548614</v>
      </c>
      <c r="C399" t="s">
        <v>855</v>
      </c>
      <c r="D399" t="s">
        <v>13</v>
      </c>
      <c r="E399">
        <v>20</v>
      </c>
      <c r="F399">
        <v>0</v>
      </c>
    </row>
    <row r="400" spans="1:6" x14ac:dyDescent="0.15">
      <c r="A400" t="s">
        <v>210</v>
      </c>
      <c r="B400" s="226">
        <v>42288.426092662034</v>
      </c>
      <c r="C400" t="s">
        <v>856</v>
      </c>
      <c r="D400" t="s">
        <v>13</v>
      </c>
      <c r="E400">
        <v>100</v>
      </c>
      <c r="F400">
        <v>0</v>
      </c>
    </row>
    <row r="401" spans="1:6" x14ac:dyDescent="0.15">
      <c r="A401" t="s">
        <v>210</v>
      </c>
      <c r="B401" s="226">
        <v>42288.454324444443</v>
      </c>
      <c r="C401" t="s">
        <v>327</v>
      </c>
      <c r="D401" t="s">
        <v>13</v>
      </c>
      <c r="E401">
        <v>40</v>
      </c>
      <c r="F401">
        <v>0</v>
      </c>
    </row>
    <row r="402" spans="1:6" x14ac:dyDescent="0.15">
      <c r="A402" t="s">
        <v>210</v>
      </c>
      <c r="B402" s="226">
        <v>42288.465300069445</v>
      </c>
      <c r="C402" t="s">
        <v>857</v>
      </c>
      <c r="D402" t="s">
        <v>13</v>
      </c>
      <c r="E402">
        <v>100</v>
      </c>
      <c r="F402">
        <v>0</v>
      </c>
    </row>
    <row r="403" spans="1:6" x14ac:dyDescent="0.15">
      <c r="A403" t="s">
        <v>210</v>
      </c>
      <c r="B403" s="226">
        <v>42288.472245138888</v>
      </c>
      <c r="C403" t="s">
        <v>621</v>
      </c>
      <c r="D403" t="s">
        <v>13</v>
      </c>
      <c r="E403">
        <v>40</v>
      </c>
      <c r="F403">
        <v>0</v>
      </c>
    </row>
    <row r="404" spans="1:6" x14ac:dyDescent="0.15">
      <c r="A404" t="s">
        <v>210</v>
      </c>
      <c r="B404" s="226">
        <v>42288.478879513888</v>
      </c>
      <c r="C404" t="s">
        <v>697</v>
      </c>
      <c r="D404" t="s">
        <v>13</v>
      </c>
      <c r="E404">
        <v>40</v>
      </c>
      <c r="F404">
        <v>0</v>
      </c>
    </row>
    <row r="405" spans="1:6" x14ac:dyDescent="0.15">
      <c r="A405" t="s">
        <v>210</v>
      </c>
      <c r="B405" s="226">
        <v>42288.486162847221</v>
      </c>
      <c r="C405" t="s">
        <v>858</v>
      </c>
      <c r="D405" t="s">
        <v>13</v>
      </c>
      <c r="E405">
        <v>60</v>
      </c>
      <c r="F405">
        <v>0</v>
      </c>
    </row>
    <row r="406" spans="1:6" x14ac:dyDescent="0.15">
      <c r="A406" t="s">
        <v>210</v>
      </c>
      <c r="B406" s="226">
        <v>42288.501938182868</v>
      </c>
      <c r="C406" t="s">
        <v>859</v>
      </c>
      <c r="D406" t="s">
        <v>13</v>
      </c>
      <c r="E406">
        <v>40</v>
      </c>
      <c r="F406">
        <v>0</v>
      </c>
    </row>
    <row r="407" spans="1:6" x14ac:dyDescent="0.15">
      <c r="A407" t="s">
        <v>210</v>
      </c>
      <c r="B407" s="226">
        <v>42288.560082673612</v>
      </c>
      <c r="C407" t="s">
        <v>860</v>
      </c>
      <c r="D407" t="s">
        <v>13</v>
      </c>
      <c r="E407">
        <v>100</v>
      </c>
      <c r="F407">
        <v>0</v>
      </c>
    </row>
    <row r="408" spans="1:6" x14ac:dyDescent="0.15">
      <c r="A408" t="s">
        <v>210</v>
      </c>
      <c r="B408" s="226">
        <v>42288.575740949076</v>
      </c>
      <c r="C408" t="s">
        <v>328</v>
      </c>
      <c r="D408" t="s">
        <v>13</v>
      </c>
      <c r="E408">
        <v>100</v>
      </c>
      <c r="F408">
        <v>0</v>
      </c>
    </row>
    <row r="409" spans="1:6" x14ac:dyDescent="0.15">
      <c r="A409" t="s">
        <v>210</v>
      </c>
      <c r="B409" s="226">
        <v>42288.592368229169</v>
      </c>
      <c r="C409" t="s">
        <v>14</v>
      </c>
      <c r="D409" t="s">
        <v>13</v>
      </c>
      <c r="E409">
        <v>100</v>
      </c>
      <c r="F409">
        <v>3.5</v>
      </c>
    </row>
    <row r="410" spans="1:6" x14ac:dyDescent="0.15">
      <c r="A410" t="s">
        <v>210</v>
      </c>
      <c r="B410" s="226">
        <v>42288.593375370372</v>
      </c>
      <c r="C410" t="s">
        <v>861</v>
      </c>
      <c r="D410" t="s">
        <v>13</v>
      </c>
      <c r="E410">
        <v>40</v>
      </c>
      <c r="F410">
        <v>0</v>
      </c>
    </row>
    <row r="411" spans="1:6" x14ac:dyDescent="0.15">
      <c r="A411" t="s">
        <v>210</v>
      </c>
      <c r="B411" s="226">
        <v>42288.621305081018</v>
      </c>
      <c r="C411" t="s">
        <v>862</v>
      </c>
      <c r="D411" t="s">
        <v>13</v>
      </c>
      <c r="E411">
        <v>200</v>
      </c>
      <c r="F411">
        <v>0</v>
      </c>
    </row>
    <row r="412" spans="1:6" x14ac:dyDescent="0.15">
      <c r="A412" t="s">
        <v>210</v>
      </c>
      <c r="B412" s="226">
        <v>42288.630952881947</v>
      </c>
      <c r="C412" t="s">
        <v>863</v>
      </c>
      <c r="D412" t="s">
        <v>13</v>
      </c>
      <c r="E412">
        <v>40</v>
      </c>
      <c r="F412">
        <v>0</v>
      </c>
    </row>
    <row r="413" spans="1:6" x14ac:dyDescent="0.15">
      <c r="A413" t="s">
        <v>210</v>
      </c>
      <c r="B413" s="226">
        <v>42288.631923310182</v>
      </c>
      <c r="C413" t="s">
        <v>14</v>
      </c>
      <c r="D413" t="s">
        <v>13</v>
      </c>
      <c r="E413">
        <v>100</v>
      </c>
      <c r="F413">
        <v>3.5</v>
      </c>
    </row>
    <row r="414" spans="1:6" x14ac:dyDescent="0.15">
      <c r="A414" t="s">
        <v>210</v>
      </c>
      <c r="B414" s="226">
        <v>42288.644217048612</v>
      </c>
      <c r="C414" t="s">
        <v>864</v>
      </c>
      <c r="D414" t="s">
        <v>13</v>
      </c>
      <c r="E414">
        <v>200</v>
      </c>
      <c r="F414">
        <v>0</v>
      </c>
    </row>
    <row r="415" spans="1:6" x14ac:dyDescent="0.15">
      <c r="A415" t="s">
        <v>210</v>
      </c>
      <c r="B415" s="226">
        <v>42288.648500312498</v>
      </c>
      <c r="C415" t="s">
        <v>865</v>
      </c>
      <c r="D415" t="s">
        <v>13</v>
      </c>
      <c r="E415">
        <v>20</v>
      </c>
      <c r="F415">
        <v>0</v>
      </c>
    </row>
    <row r="416" spans="1:6" x14ac:dyDescent="0.15">
      <c r="A416" t="s">
        <v>210</v>
      </c>
      <c r="B416" s="226">
        <v>42288.665286770833</v>
      </c>
      <c r="C416" t="s">
        <v>181</v>
      </c>
      <c r="D416" t="s">
        <v>13</v>
      </c>
      <c r="E416">
        <v>500</v>
      </c>
      <c r="F416">
        <v>0</v>
      </c>
    </row>
    <row r="417" spans="1:6" x14ac:dyDescent="0.15">
      <c r="A417" t="s">
        <v>210</v>
      </c>
      <c r="B417" s="226">
        <v>42288.724898900466</v>
      </c>
      <c r="C417" t="s">
        <v>866</v>
      </c>
      <c r="D417" t="s">
        <v>13</v>
      </c>
      <c r="E417">
        <v>100</v>
      </c>
      <c r="F417">
        <v>0</v>
      </c>
    </row>
    <row r="418" spans="1:6" x14ac:dyDescent="0.15">
      <c r="A418" t="s">
        <v>210</v>
      </c>
      <c r="B418" s="226">
        <v>42288.755284212966</v>
      </c>
      <c r="C418" t="s">
        <v>867</v>
      </c>
      <c r="D418" t="s">
        <v>13</v>
      </c>
      <c r="E418">
        <v>140</v>
      </c>
      <c r="F418">
        <v>0</v>
      </c>
    </row>
    <row r="419" spans="1:6" x14ac:dyDescent="0.15">
      <c r="A419" t="s">
        <v>210</v>
      </c>
      <c r="B419" s="226">
        <v>42288.828744687497</v>
      </c>
      <c r="C419" t="s">
        <v>329</v>
      </c>
      <c r="D419" t="s">
        <v>13</v>
      </c>
      <c r="E419">
        <v>100</v>
      </c>
      <c r="F419">
        <v>0</v>
      </c>
    </row>
    <row r="420" spans="1:6" x14ac:dyDescent="0.15">
      <c r="A420" t="s">
        <v>210</v>
      </c>
      <c r="B420" s="226">
        <v>42288.903909814813</v>
      </c>
      <c r="C420" t="s">
        <v>868</v>
      </c>
      <c r="D420" t="s">
        <v>13</v>
      </c>
      <c r="E420">
        <v>200</v>
      </c>
      <c r="F420">
        <v>0</v>
      </c>
    </row>
    <row r="421" spans="1:6" x14ac:dyDescent="0.15">
      <c r="A421" t="s">
        <v>210</v>
      </c>
      <c r="B421" s="226">
        <v>42288.985936597222</v>
      </c>
      <c r="C421" t="s">
        <v>262</v>
      </c>
      <c r="D421" t="s">
        <v>13</v>
      </c>
      <c r="E421">
        <v>80</v>
      </c>
      <c r="F421">
        <v>0</v>
      </c>
    </row>
    <row r="422" spans="1:6" x14ac:dyDescent="0.15">
      <c r="A422" t="s">
        <v>210</v>
      </c>
      <c r="B422" s="226">
        <v>42289.226911550926</v>
      </c>
      <c r="C422" t="s">
        <v>268</v>
      </c>
      <c r="D422" t="s">
        <v>13</v>
      </c>
      <c r="E422">
        <v>140</v>
      </c>
      <c r="F422">
        <v>0</v>
      </c>
    </row>
    <row r="423" spans="1:6" x14ac:dyDescent="0.15">
      <c r="A423" t="s">
        <v>210</v>
      </c>
      <c r="B423" s="226">
        <v>42289.292191840279</v>
      </c>
      <c r="C423" t="s">
        <v>869</v>
      </c>
      <c r="D423" t="s">
        <v>13</v>
      </c>
      <c r="E423">
        <v>40</v>
      </c>
      <c r="F423">
        <v>0</v>
      </c>
    </row>
    <row r="424" spans="1:6" x14ac:dyDescent="0.15">
      <c r="A424" t="s">
        <v>210</v>
      </c>
      <c r="B424" s="226">
        <v>42289.322367372682</v>
      </c>
      <c r="C424" t="s">
        <v>14</v>
      </c>
      <c r="D424" t="s">
        <v>13</v>
      </c>
      <c r="E424">
        <v>40</v>
      </c>
      <c r="F424">
        <v>3.5</v>
      </c>
    </row>
    <row r="425" spans="1:6" x14ac:dyDescent="0.15">
      <c r="A425" t="s">
        <v>210</v>
      </c>
      <c r="B425" s="226">
        <v>42289.326359722225</v>
      </c>
      <c r="C425" t="s">
        <v>870</v>
      </c>
      <c r="D425" t="s">
        <v>13</v>
      </c>
      <c r="E425">
        <v>80</v>
      </c>
      <c r="F425">
        <v>0</v>
      </c>
    </row>
    <row r="426" spans="1:6" x14ac:dyDescent="0.15">
      <c r="A426" t="s">
        <v>210</v>
      </c>
      <c r="B426" s="226">
        <v>42289.333225567127</v>
      </c>
      <c r="C426" t="s">
        <v>871</v>
      </c>
      <c r="D426" t="s">
        <v>15</v>
      </c>
      <c r="E426">
        <v>40</v>
      </c>
      <c r="F426">
        <v>1.2</v>
      </c>
    </row>
    <row r="427" spans="1:6" x14ac:dyDescent="0.15">
      <c r="A427" t="s">
        <v>210</v>
      </c>
      <c r="B427" s="226">
        <v>42289.339614340279</v>
      </c>
      <c r="C427" t="s">
        <v>14</v>
      </c>
      <c r="D427" t="s">
        <v>13</v>
      </c>
      <c r="E427">
        <v>40</v>
      </c>
      <c r="F427">
        <v>3.5</v>
      </c>
    </row>
    <row r="428" spans="1:6" x14ac:dyDescent="0.15">
      <c r="A428" t="s">
        <v>210</v>
      </c>
      <c r="B428" s="226">
        <v>42289.34830553241</v>
      </c>
      <c r="C428" t="s">
        <v>872</v>
      </c>
      <c r="D428" t="s">
        <v>13</v>
      </c>
      <c r="E428">
        <v>120</v>
      </c>
      <c r="F428">
        <v>0</v>
      </c>
    </row>
    <row r="429" spans="1:6" x14ac:dyDescent="0.15">
      <c r="A429" t="s">
        <v>210</v>
      </c>
      <c r="B429" s="226">
        <v>42289.36384928241</v>
      </c>
      <c r="C429" t="s">
        <v>873</v>
      </c>
      <c r="D429" t="s">
        <v>13</v>
      </c>
      <c r="E429">
        <v>100</v>
      </c>
      <c r="F429">
        <v>0</v>
      </c>
    </row>
    <row r="430" spans="1:6" x14ac:dyDescent="0.15">
      <c r="A430" t="s">
        <v>210</v>
      </c>
      <c r="B430" s="226">
        <v>42289.396145243052</v>
      </c>
      <c r="C430" t="s">
        <v>330</v>
      </c>
      <c r="D430" t="s">
        <v>13</v>
      </c>
      <c r="E430">
        <v>100</v>
      </c>
      <c r="F430">
        <v>0</v>
      </c>
    </row>
    <row r="431" spans="1:6" x14ac:dyDescent="0.15">
      <c r="A431" t="s">
        <v>210</v>
      </c>
      <c r="B431" s="226">
        <v>42289.41718916667</v>
      </c>
      <c r="C431" t="s">
        <v>874</v>
      </c>
      <c r="D431" t="s">
        <v>13</v>
      </c>
      <c r="E431">
        <v>40</v>
      </c>
      <c r="F431">
        <v>0</v>
      </c>
    </row>
    <row r="432" spans="1:6" x14ac:dyDescent="0.15">
      <c r="A432" t="s">
        <v>210</v>
      </c>
      <c r="B432" s="226">
        <v>42289.429057766203</v>
      </c>
      <c r="C432" t="s">
        <v>875</v>
      </c>
      <c r="D432" t="s">
        <v>13</v>
      </c>
      <c r="E432">
        <v>100</v>
      </c>
      <c r="F432">
        <v>0</v>
      </c>
    </row>
    <row r="433" spans="1:6" x14ac:dyDescent="0.15">
      <c r="A433" t="s">
        <v>210</v>
      </c>
      <c r="B433" s="226">
        <v>42289.430239398149</v>
      </c>
      <c r="C433" t="s">
        <v>876</v>
      </c>
      <c r="D433" t="s">
        <v>13</v>
      </c>
      <c r="E433">
        <v>40</v>
      </c>
      <c r="F433">
        <v>0</v>
      </c>
    </row>
    <row r="434" spans="1:6" x14ac:dyDescent="0.15">
      <c r="A434" t="s">
        <v>210</v>
      </c>
      <c r="B434" s="226">
        <v>42289.455943634261</v>
      </c>
      <c r="C434" t="s">
        <v>877</v>
      </c>
      <c r="D434" t="s">
        <v>13</v>
      </c>
      <c r="E434">
        <v>20</v>
      </c>
      <c r="F434">
        <v>0</v>
      </c>
    </row>
    <row r="435" spans="1:6" x14ac:dyDescent="0.15">
      <c r="A435" t="s">
        <v>210</v>
      </c>
      <c r="B435" s="226">
        <v>42289.457993171294</v>
      </c>
      <c r="C435" t="s">
        <v>331</v>
      </c>
      <c r="D435" t="s">
        <v>13</v>
      </c>
      <c r="E435">
        <v>100</v>
      </c>
      <c r="F435">
        <v>0</v>
      </c>
    </row>
    <row r="436" spans="1:6" x14ac:dyDescent="0.15">
      <c r="A436" t="s">
        <v>210</v>
      </c>
      <c r="B436" s="226">
        <v>42289.477843703702</v>
      </c>
      <c r="C436" t="s">
        <v>878</v>
      </c>
      <c r="D436" t="s">
        <v>13</v>
      </c>
      <c r="E436">
        <v>100</v>
      </c>
      <c r="F436">
        <v>0</v>
      </c>
    </row>
    <row r="437" spans="1:6" x14ac:dyDescent="0.15">
      <c r="A437" t="s">
        <v>210</v>
      </c>
      <c r="B437" s="226">
        <v>42289.480772488423</v>
      </c>
      <c r="C437" t="s">
        <v>879</v>
      </c>
      <c r="D437" t="s">
        <v>13</v>
      </c>
      <c r="E437">
        <v>100</v>
      </c>
      <c r="F437">
        <v>0</v>
      </c>
    </row>
    <row r="438" spans="1:6" x14ac:dyDescent="0.15">
      <c r="A438" t="s">
        <v>210</v>
      </c>
      <c r="B438" s="226">
        <v>42289.482781319442</v>
      </c>
      <c r="C438" t="s">
        <v>14</v>
      </c>
      <c r="D438" t="s">
        <v>15</v>
      </c>
      <c r="E438">
        <v>100</v>
      </c>
      <c r="F438">
        <v>5.5</v>
      </c>
    </row>
    <row r="439" spans="1:6" x14ac:dyDescent="0.15">
      <c r="A439" t="s">
        <v>210</v>
      </c>
      <c r="B439" s="226">
        <v>42289.492994675929</v>
      </c>
      <c r="C439" t="s">
        <v>880</v>
      </c>
      <c r="D439" t="s">
        <v>13</v>
      </c>
      <c r="E439">
        <v>40</v>
      </c>
      <c r="F439">
        <v>0</v>
      </c>
    </row>
    <row r="440" spans="1:6" x14ac:dyDescent="0.15">
      <c r="A440" t="s">
        <v>210</v>
      </c>
      <c r="B440" s="226">
        <v>42289.507220706022</v>
      </c>
      <c r="C440" t="s">
        <v>881</v>
      </c>
      <c r="D440" t="s">
        <v>13</v>
      </c>
      <c r="E440">
        <v>80</v>
      </c>
      <c r="F440">
        <v>0</v>
      </c>
    </row>
    <row r="441" spans="1:6" x14ac:dyDescent="0.15">
      <c r="A441" t="s">
        <v>210</v>
      </c>
      <c r="B441" s="226">
        <v>42289.508284224539</v>
      </c>
      <c r="C441" t="s">
        <v>882</v>
      </c>
      <c r="D441" t="s">
        <v>15</v>
      </c>
      <c r="E441">
        <v>100</v>
      </c>
      <c r="F441">
        <v>3</v>
      </c>
    </row>
    <row r="442" spans="1:6" x14ac:dyDescent="0.15">
      <c r="A442" t="s">
        <v>210</v>
      </c>
      <c r="B442" s="226">
        <v>42289.516454467594</v>
      </c>
      <c r="C442" t="s">
        <v>883</v>
      </c>
      <c r="D442" t="s">
        <v>13</v>
      </c>
      <c r="E442">
        <v>100</v>
      </c>
      <c r="F442">
        <v>0</v>
      </c>
    </row>
    <row r="443" spans="1:6" x14ac:dyDescent="0.15">
      <c r="A443" t="s">
        <v>210</v>
      </c>
      <c r="B443" s="226">
        <v>42289.521938738428</v>
      </c>
      <c r="C443" t="s">
        <v>884</v>
      </c>
      <c r="D443" t="s">
        <v>15</v>
      </c>
      <c r="E443">
        <v>100</v>
      </c>
      <c r="F443">
        <v>3</v>
      </c>
    </row>
    <row r="444" spans="1:6" x14ac:dyDescent="0.15">
      <c r="A444" t="s">
        <v>210</v>
      </c>
      <c r="B444" s="226">
        <v>42289.524432048609</v>
      </c>
      <c r="C444" t="s">
        <v>885</v>
      </c>
      <c r="D444" t="s">
        <v>13</v>
      </c>
      <c r="E444">
        <v>120</v>
      </c>
      <c r="F444">
        <v>0</v>
      </c>
    </row>
    <row r="445" spans="1:6" x14ac:dyDescent="0.15">
      <c r="A445" t="s">
        <v>210</v>
      </c>
      <c r="B445" s="226">
        <v>42289.535978599539</v>
      </c>
      <c r="C445" t="s">
        <v>14</v>
      </c>
      <c r="D445" t="s">
        <v>13</v>
      </c>
      <c r="E445">
        <v>40</v>
      </c>
      <c r="F445">
        <v>3.5</v>
      </c>
    </row>
    <row r="446" spans="1:6" x14ac:dyDescent="0.15">
      <c r="A446" t="s">
        <v>210</v>
      </c>
      <c r="B446" s="226">
        <v>42289.538777708331</v>
      </c>
      <c r="C446" t="s">
        <v>886</v>
      </c>
      <c r="D446" t="s">
        <v>13</v>
      </c>
      <c r="E446">
        <v>80</v>
      </c>
      <c r="F446">
        <v>0</v>
      </c>
    </row>
    <row r="447" spans="1:6" x14ac:dyDescent="0.15">
      <c r="A447" t="s">
        <v>210</v>
      </c>
      <c r="B447" s="226">
        <v>42289.541175601851</v>
      </c>
      <c r="C447" t="s">
        <v>887</v>
      </c>
      <c r="D447" t="s">
        <v>13</v>
      </c>
      <c r="E447">
        <v>100</v>
      </c>
      <c r="F447">
        <v>0</v>
      </c>
    </row>
    <row r="448" spans="1:6" x14ac:dyDescent="0.15">
      <c r="A448" t="s">
        <v>210</v>
      </c>
      <c r="B448" s="226">
        <v>42289.55627857639</v>
      </c>
      <c r="C448" t="s">
        <v>888</v>
      </c>
      <c r="D448" t="s">
        <v>13</v>
      </c>
      <c r="E448">
        <v>100</v>
      </c>
      <c r="F448">
        <v>0</v>
      </c>
    </row>
    <row r="449" spans="1:6" x14ac:dyDescent="0.15">
      <c r="A449" t="s">
        <v>210</v>
      </c>
      <c r="B449" s="226">
        <v>42289.587904201391</v>
      </c>
      <c r="C449" t="s">
        <v>251</v>
      </c>
      <c r="D449" t="s">
        <v>13</v>
      </c>
      <c r="E449">
        <v>60</v>
      </c>
      <c r="F449">
        <v>0</v>
      </c>
    </row>
    <row r="450" spans="1:6" x14ac:dyDescent="0.15">
      <c r="A450" t="s">
        <v>210</v>
      </c>
      <c r="B450" s="226">
        <v>42289.596788391202</v>
      </c>
      <c r="C450" t="s">
        <v>889</v>
      </c>
      <c r="D450" t="s">
        <v>13</v>
      </c>
      <c r="E450">
        <v>40</v>
      </c>
      <c r="F450">
        <v>0</v>
      </c>
    </row>
    <row r="451" spans="1:6" x14ac:dyDescent="0.15">
      <c r="A451" t="s">
        <v>210</v>
      </c>
      <c r="B451" s="226">
        <v>42289.616371550925</v>
      </c>
      <c r="C451" t="s">
        <v>890</v>
      </c>
      <c r="D451" t="s">
        <v>13</v>
      </c>
      <c r="E451">
        <v>20</v>
      </c>
      <c r="F451">
        <v>0</v>
      </c>
    </row>
    <row r="452" spans="1:6" x14ac:dyDescent="0.15">
      <c r="A452" t="s">
        <v>210</v>
      </c>
      <c r="B452" s="226">
        <v>42289.619392754626</v>
      </c>
      <c r="C452" t="s">
        <v>891</v>
      </c>
      <c r="D452" t="s">
        <v>13</v>
      </c>
      <c r="E452">
        <v>100</v>
      </c>
      <c r="F452">
        <v>0</v>
      </c>
    </row>
    <row r="453" spans="1:6" x14ac:dyDescent="0.15">
      <c r="A453" t="s">
        <v>210</v>
      </c>
      <c r="B453" s="226">
        <v>42289.634079444448</v>
      </c>
      <c r="C453" t="s">
        <v>892</v>
      </c>
      <c r="D453" t="s">
        <v>13</v>
      </c>
      <c r="E453">
        <v>200</v>
      </c>
      <c r="F453">
        <v>0</v>
      </c>
    </row>
    <row r="454" spans="1:6" x14ac:dyDescent="0.15">
      <c r="A454" t="s">
        <v>210</v>
      </c>
      <c r="B454" s="226">
        <v>42289.636031643517</v>
      </c>
      <c r="C454" t="s">
        <v>893</v>
      </c>
      <c r="D454" t="s">
        <v>13</v>
      </c>
      <c r="E454">
        <v>100</v>
      </c>
      <c r="F454">
        <v>0</v>
      </c>
    </row>
    <row r="455" spans="1:6" x14ac:dyDescent="0.15">
      <c r="A455" t="s">
        <v>210</v>
      </c>
      <c r="B455" s="226">
        <v>42289.643336307869</v>
      </c>
      <c r="C455" t="s">
        <v>894</v>
      </c>
      <c r="D455" t="s">
        <v>13</v>
      </c>
      <c r="E455">
        <v>180</v>
      </c>
      <c r="F455">
        <v>0</v>
      </c>
    </row>
    <row r="456" spans="1:6" x14ac:dyDescent="0.15">
      <c r="A456" t="s">
        <v>210</v>
      </c>
      <c r="B456" s="226">
        <v>42289.656100486114</v>
      </c>
      <c r="C456" t="s">
        <v>895</v>
      </c>
      <c r="D456" t="s">
        <v>13</v>
      </c>
      <c r="E456">
        <v>120</v>
      </c>
      <c r="F456">
        <v>0</v>
      </c>
    </row>
    <row r="457" spans="1:6" x14ac:dyDescent="0.15">
      <c r="A457" t="s">
        <v>210</v>
      </c>
      <c r="B457" s="226">
        <v>42289.66464328704</v>
      </c>
      <c r="C457" t="s">
        <v>896</v>
      </c>
      <c r="D457" t="s">
        <v>13</v>
      </c>
      <c r="E457">
        <v>80</v>
      </c>
      <c r="F457">
        <v>0</v>
      </c>
    </row>
    <row r="458" spans="1:6" x14ac:dyDescent="0.15">
      <c r="A458" t="s">
        <v>210</v>
      </c>
      <c r="B458" s="226">
        <v>42289.670954004629</v>
      </c>
      <c r="C458" t="s">
        <v>14</v>
      </c>
      <c r="D458" t="s">
        <v>15</v>
      </c>
      <c r="E458">
        <v>200</v>
      </c>
      <c r="F458">
        <v>8.5</v>
      </c>
    </row>
    <row r="459" spans="1:6" x14ac:dyDescent="0.15">
      <c r="A459" t="s">
        <v>210</v>
      </c>
      <c r="B459" s="226">
        <v>42289.681359097223</v>
      </c>
      <c r="C459" t="s">
        <v>117</v>
      </c>
      <c r="D459" t="s">
        <v>13</v>
      </c>
      <c r="E459">
        <v>40</v>
      </c>
      <c r="F459">
        <v>0</v>
      </c>
    </row>
    <row r="460" spans="1:6" x14ac:dyDescent="0.15">
      <c r="A460" t="s">
        <v>210</v>
      </c>
      <c r="B460" s="226">
        <v>42289.688324513889</v>
      </c>
      <c r="C460" t="s">
        <v>332</v>
      </c>
      <c r="D460" t="s">
        <v>13</v>
      </c>
      <c r="E460">
        <v>40</v>
      </c>
      <c r="F460">
        <v>0</v>
      </c>
    </row>
    <row r="461" spans="1:6" x14ac:dyDescent="0.15">
      <c r="A461" t="s">
        <v>210</v>
      </c>
      <c r="B461" s="226">
        <v>42289.691463564814</v>
      </c>
      <c r="C461" t="s">
        <v>897</v>
      </c>
      <c r="D461" t="s">
        <v>13</v>
      </c>
      <c r="E461">
        <v>100</v>
      </c>
      <c r="F461">
        <v>0</v>
      </c>
    </row>
    <row r="462" spans="1:6" x14ac:dyDescent="0.15">
      <c r="A462" t="s">
        <v>210</v>
      </c>
      <c r="B462" s="226">
        <v>42289.698808946756</v>
      </c>
      <c r="C462" t="s">
        <v>333</v>
      </c>
      <c r="D462" t="s">
        <v>13</v>
      </c>
      <c r="E462">
        <v>40</v>
      </c>
      <c r="F462">
        <v>0</v>
      </c>
    </row>
    <row r="463" spans="1:6" x14ac:dyDescent="0.15">
      <c r="A463" t="s">
        <v>210</v>
      </c>
      <c r="B463" s="226">
        <v>42289.708473553241</v>
      </c>
      <c r="C463" t="s">
        <v>898</v>
      </c>
      <c r="D463" t="s">
        <v>13</v>
      </c>
      <c r="E463">
        <v>100</v>
      </c>
      <c r="F463">
        <v>0</v>
      </c>
    </row>
    <row r="464" spans="1:6" x14ac:dyDescent="0.15">
      <c r="A464" t="s">
        <v>210</v>
      </c>
      <c r="B464" s="226">
        <v>42289.712411099536</v>
      </c>
      <c r="C464" t="s">
        <v>334</v>
      </c>
      <c r="D464" t="s">
        <v>13</v>
      </c>
      <c r="E464">
        <v>60</v>
      </c>
      <c r="F464">
        <v>0</v>
      </c>
    </row>
    <row r="465" spans="1:6" x14ac:dyDescent="0.15">
      <c r="A465" t="s">
        <v>210</v>
      </c>
      <c r="B465" s="226">
        <v>42289.751293807873</v>
      </c>
      <c r="C465" t="s">
        <v>14</v>
      </c>
      <c r="D465" t="s">
        <v>13</v>
      </c>
      <c r="E465">
        <v>80</v>
      </c>
      <c r="F465">
        <v>3.5</v>
      </c>
    </row>
    <row r="466" spans="1:6" x14ac:dyDescent="0.15">
      <c r="A466" t="s">
        <v>210</v>
      </c>
      <c r="B466" s="226">
        <v>42289.768881851851</v>
      </c>
      <c r="C466" t="s">
        <v>335</v>
      </c>
      <c r="D466" t="s">
        <v>13</v>
      </c>
      <c r="E466">
        <v>300</v>
      </c>
      <c r="F466">
        <v>0</v>
      </c>
    </row>
    <row r="467" spans="1:6" x14ac:dyDescent="0.15">
      <c r="A467" t="s">
        <v>210</v>
      </c>
      <c r="B467" s="226">
        <v>42289.774762615743</v>
      </c>
      <c r="C467" t="s">
        <v>336</v>
      </c>
      <c r="D467" t="s">
        <v>13</v>
      </c>
      <c r="E467">
        <v>80</v>
      </c>
      <c r="F467">
        <v>0</v>
      </c>
    </row>
    <row r="468" spans="1:6" x14ac:dyDescent="0.15">
      <c r="A468" t="s">
        <v>210</v>
      </c>
      <c r="B468" s="226">
        <v>42289.778681979165</v>
      </c>
      <c r="C468" t="s">
        <v>899</v>
      </c>
      <c r="D468" t="s">
        <v>13</v>
      </c>
      <c r="E468">
        <v>200</v>
      </c>
      <c r="F468">
        <v>0</v>
      </c>
    </row>
    <row r="469" spans="1:6" x14ac:dyDescent="0.15">
      <c r="A469" t="s">
        <v>210</v>
      </c>
      <c r="B469" s="226">
        <v>42289.935846886576</v>
      </c>
      <c r="C469" t="s">
        <v>900</v>
      </c>
      <c r="D469" t="s">
        <v>13</v>
      </c>
      <c r="E469">
        <v>20</v>
      </c>
      <c r="F469">
        <v>0</v>
      </c>
    </row>
    <row r="470" spans="1:6" x14ac:dyDescent="0.15">
      <c r="A470" t="s">
        <v>210</v>
      </c>
      <c r="B470" s="226">
        <v>42290.242108599537</v>
      </c>
      <c r="C470" t="s">
        <v>337</v>
      </c>
      <c r="D470" t="s">
        <v>13</v>
      </c>
      <c r="E470">
        <v>40</v>
      </c>
      <c r="F470">
        <v>0</v>
      </c>
    </row>
    <row r="471" spans="1:6" x14ac:dyDescent="0.15">
      <c r="A471" t="s">
        <v>210</v>
      </c>
      <c r="B471" s="226">
        <v>42290.285114212966</v>
      </c>
      <c r="C471" t="s">
        <v>311</v>
      </c>
      <c r="D471" t="s">
        <v>13</v>
      </c>
      <c r="E471">
        <v>40</v>
      </c>
      <c r="F471">
        <v>0</v>
      </c>
    </row>
    <row r="472" spans="1:6" x14ac:dyDescent="0.15">
      <c r="A472" t="s">
        <v>210</v>
      </c>
      <c r="B472" s="226">
        <v>42290.306020127318</v>
      </c>
      <c r="C472" t="s">
        <v>901</v>
      </c>
      <c r="D472" t="s">
        <v>13</v>
      </c>
      <c r="E472">
        <v>100</v>
      </c>
      <c r="F472">
        <v>0</v>
      </c>
    </row>
    <row r="473" spans="1:6" x14ac:dyDescent="0.15">
      <c r="A473" t="s">
        <v>210</v>
      </c>
      <c r="B473" s="226">
        <v>42290.309861388887</v>
      </c>
      <c r="C473" t="s">
        <v>902</v>
      </c>
      <c r="D473" t="s">
        <v>13</v>
      </c>
      <c r="E473">
        <v>200</v>
      </c>
      <c r="F473">
        <v>0</v>
      </c>
    </row>
    <row r="474" spans="1:6" x14ac:dyDescent="0.15">
      <c r="A474" t="s">
        <v>210</v>
      </c>
      <c r="B474" s="226">
        <v>42290.339084247687</v>
      </c>
      <c r="C474" t="s">
        <v>903</v>
      </c>
      <c r="D474" t="s">
        <v>13</v>
      </c>
      <c r="E474">
        <v>200</v>
      </c>
      <c r="F474">
        <v>0</v>
      </c>
    </row>
    <row r="475" spans="1:6" x14ac:dyDescent="0.15">
      <c r="A475" t="s">
        <v>210</v>
      </c>
      <c r="B475" s="226">
        <v>42290.380335127316</v>
      </c>
      <c r="C475" t="s">
        <v>904</v>
      </c>
      <c r="D475" t="s">
        <v>13</v>
      </c>
      <c r="E475">
        <v>400</v>
      </c>
      <c r="F475">
        <v>0</v>
      </c>
    </row>
    <row r="476" spans="1:6" x14ac:dyDescent="0.15">
      <c r="A476" t="s">
        <v>210</v>
      </c>
      <c r="B476" s="226">
        <v>42290.399229247683</v>
      </c>
      <c r="C476" t="s">
        <v>905</v>
      </c>
      <c r="D476" t="s">
        <v>13</v>
      </c>
      <c r="E476">
        <v>40</v>
      </c>
      <c r="F476">
        <v>0</v>
      </c>
    </row>
    <row r="477" spans="1:6" x14ac:dyDescent="0.15">
      <c r="A477" t="s">
        <v>210</v>
      </c>
      <c r="B477" s="226">
        <v>42290.402240509262</v>
      </c>
      <c r="C477" t="s">
        <v>86</v>
      </c>
      <c r="D477" t="s">
        <v>13</v>
      </c>
      <c r="E477">
        <v>100</v>
      </c>
      <c r="F477">
        <v>0</v>
      </c>
    </row>
    <row r="478" spans="1:6" x14ac:dyDescent="0.15">
      <c r="A478" t="s">
        <v>210</v>
      </c>
      <c r="B478" s="226">
        <v>42290.44182630787</v>
      </c>
      <c r="C478" t="s">
        <v>906</v>
      </c>
      <c r="D478" t="s">
        <v>13</v>
      </c>
      <c r="E478">
        <v>180</v>
      </c>
      <c r="F478">
        <v>0</v>
      </c>
    </row>
    <row r="479" spans="1:6" x14ac:dyDescent="0.15">
      <c r="A479" t="s">
        <v>210</v>
      </c>
      <c r="B479" s="226">
        <v>42290.450301620367</v>
      </c>
      <c r="C479" t="s">
        <v>907</v>
      </c>
      <c r="D479" t="s">
        <v>13</v>
      </c>
      <c r="E479">
        <v>20</v>
      </c>
      <c r="F479">
        <v>0</v>
      </c>
    </row>
    <row r="480" spans="1:6" x14ac:dyDescent="0.15">
      <c r="A480" t="s">
        <v>210</v>
      </c>
      <c r="B480" s="226">
        <v>42290.464784942131</v>
      </c>
      <c r="C480" t="s">
        <v>338</v>
      </c>
      <c r="D480" t="s">
        <v>13</v>
      </c>
      <c r="E480">
        <v>100</v>
      </c>
      <c r="F480">
        <v>0</v>
      </c>
    </row>
    <row r="481" spans="1:6" x14ac:dyDescent="0.15">
      <c r="A481" t="s">
        <v>210</v>
      </c>
      <c r="B481" s="226">
        <v>42290.465553263886</v>
      </c>
      <c r="C481" t="s">
        <v>908</v>
      </c>
      <c r="D481" t="s">
        <v>13</v>
      </c>
      <c r="E481">
        <v>40</v>
      </c>
      <c r="F481">
        <v>0</v>
      </c>
    </row>
    <row r="482" spans="1:6" x14ac:dyDescent="0.15">
      <c r="A482" t="s">
        <v>210</v>
      </c>
      <c r="B482" s="226">
        <v>42290.48487896991</v>
      </c>
      <c r="C482" t="s">
        <v>14</v>
      </c>
      <c r="D482" t="s">
        <v>13</v>
      </c>
      <c r="E482">
        <v>100</v>
      </c>
      <c r="F482">
        <v>3.5</v>
      </c>
    </row>
    <row r="483" spans="1:6" x14ac:dyDescent="0.15">
      <c r="A483" t="s">
        <v>210</v>
      </c>
      <c r="B483" s="226">
        <v>42290.49099510417</v>
      </c>
      <c r="C483" t="s">
        <v>339</v>
      </c>
      <c r="D483" t="s">
        <v>13</v>
      </c>
      <c r="E483">
        <v>80</v>
      </c>
      <c r="F483">
        <v>0</v>
      </c>
    </row>
    <row r="484" spans="1:6" x14ac:dyDescent="0.15">
      <c r="A484" t="s">
        <v>210</v>
      </c>
      <c r="B484" s="226">
        <v>42290.495381608795</v>
      </c>
      <c r="C484" t="s">
        <v>909</v>
      </c>
      <c r="D484" t="s">
        <v>13</v>
      </c>
      <c r="E484">
        <v>40</v>
      </c>
      <c r="F484">
        <v>0</v>
      </c>
    </row>
    <row r="485" spans="1:6" x14ac:dyDescent="0.15">
      <c r="A485" t="s">
        <v>210</v>
      </c>
      <c r="B485" s="226">
        <v>42290.522141527777</v>
      </c>
      <c r="C485" t="s">
        <v>910</v>
      </c>
      <c r="D485" t="s">
        <v>13</v>
      </c>
      <c r="E485">
        <v>100</v>
      </c>
      <c r="F485">
        <v>0</v>
      </c>
    </row>
    <row r="486" spans="1:6" x14ac:dyDescent="0.15">
      <c r="A486" t="s">
        <v>210</v>
      </c>
      <c r="B486" s="226">
        <v>42290.52749497685</v>
      </c>
      <c r="C486" t="s">
        <v>340</v>
      </c>
      <c r="D486" t="s">
        <v>13</v>
      </c>
      <c r="E486">
        <v>40</v>
      </c>
      <c r="F486">
        <v>0</v>
      </c>
    </row>
    <row r="487" spans="1:6" x14ac:dyDescent="0.15">
      <c r="A487" t="s">
        <v>210</v>
      </c>
      <c r="B487" s="226">
        <v>42290.540503819444</v>
      </c>
      <c r="C487" t="s">
        <v>911</v>
      </c>
      <c r="D487" t="s">
        <v>13</v>
      </c>
      <c r="E487">
        <v>20</v>
      </c>
      <c r="F487">
        <v>0</v>
      </c>
    </row>
    <row r="488" spans="1:6" x14ac:dyDescent="0.15">
      <c r="A488" t="s">
        <v>210</v>
      </c>
      <c r="B488" s="226">
        <v>42290.552833217589</v>
      </c>
      <c r="C488" t="s">
        <v>14</v>
      </c>
      <c r="D488" t="s">
        <v>13</v>
      </c>
      <c r="E488">
        <v>140</v>
      </c>
      <c r="F488">
        <v>3.5</v>
      </c>
    </row>
    <row r="489" spans="1:6" x14ac:dyDescent="0.15">
      <c r="A489" t="s">
        <v>210</v>
      </c>
      <c r="B489" s="226">
        <v>42290.589279583335</v>
      </c>
      <c r="C489" t="s">
        <v>912</v>
      </c>
      <c r="D489" t="s">
        <v>15</v>
      </c>
      <c r="E489">
        <v>200</v>
      </c>
      <c r="F489">
        <v>6</v>
      </c>
    </row>
    <row r="490" spans="1:6" x14ac:dyDescent="0.15">
      <c r="A490" t="s">
        <v>210</v>
      </c>
      <c r="B490" s="226">
        <v>42290.590999004628</v>
      </c>
      <c r="C490" t="s">
        <v>913</v>
      </c>
      <c r="D490" t="s">
        <v>13</v>
      </c>
      <c r="E490">
        <v>100</v>
      </c>
      <c r="F490">
        <v>0</v>
      </c>
    </row>
    <row r="491" spans="1:6" x14ac:dyDescent="0.15">
      <c r="A491" t="s">
        <v>210</v>
      </c>
      <c r="B491" s="226">
        <v>42290.592322870369</v>
      </c>
      <c r="C491" t="s">
        <v>14</v>
      </c>
      <c r="D491" t="s">
        <v>13</v>
      </c>
      <c r="E491">
        <v>20</v>
      </c>
      <c r="F491">
        <v>3.5</v>
      </c>
    </row>
    <row r="492" spans="1:6" x14ac:dyDescent="0.15">
      <c r="A492" t="s">
        <v>210</v>
      </c>
      <c r="B492" s="226">
        <v>42290.625071921299</v>
      </c>
      <c r="C492" t="s">
        <v>914</v>
      </c>
      <c r="D492" t="s">
        <v>13</v>
      </c>
      <c r="E492">
        <v>40</v>
      </c>
      <c r="F492">
        <v>0</v>
      </c>
    </row>
    <row r="493" spans="1:6" x14ac:dyDescent="0.15">
      <c r="A493" t="s">
        <v>210</v>
      </c>
      <c r="B493" s="226">
        <v>42290.661071712966</v>
      </c>
      <c r="C493" t="s">
        <v>915</v>
      </c>
      <c r="D493" t="s">
        <v>13</v>
      </c>
      <c r="E493">
        <v>80</v>
      </c>
      <c r="F493">
        <v>0</v>
      </c>
    </row>
    <row r="494" spans="1:6" x14ac:dyDescent="0.15">
      <c r="A494" t="s">
        <v>210</v>
      </c>
      <c r="B494" s="226">
        <v>42290.665598460648</v>
      </c>
      <c r="C494" t="s">
        <v>916</v>
      </c>
      <c r="D494" t="s">
        <v>13</v>
      </c>
      <c r="E494">
        <v>380</v>
      </c>
      <c r="F494">
        <v>0</v>
      </c>
    </row>
    <row r="495" spans="1:6" x14ac:dyDescent="0.15">
      <c r="A495" t="s">
        <v>210</v>
      </c>
      <c r="B495" s="226">
        <v>42290.696883946759</v>
      </c>
      <c r="C495" t="s">
        <v>14</v>
      </c>
      <c r="D495" t="s">
        <v>13</v>
      </c>
      <c r="E495">
        <v>200</v>
      </c>
      <c r="F495">
        <v>3.5</v>
      </c>
    </row>
    <row r="496" spans="1:6" x14ac:dyDescent="0.15">
      <c r="A496" t="s">
        <v>210</v>
      </c>
      <c r="B496" s="226">
        <v>42290.712427199076</v>
      </c>
      <c r="C496" t="s">
        <v>917</v>
      </c>
      <c r="D496" t="s">
        <v>13</v>
      </c>
      <c r="E496">
        <v>20</v>
      </c>
      <c r="F496">
        <v>0</v>
      </c>
    </row>
    <row r="497" spans="1:6" x14ac:dyDescent="0.15">
      <c r="A497" t="s">
        <v>210</v>
      </c>
      <c r="B497" s="226">
        <v>42290.720295891202</v>
      </c>
      <c r="C497" t="s">
        <v>918</v>
      </c>
      <c r="D497" t="s">
        <v>13</v>
      </c>
      <c r="E497">
        <v>100</v>
      </c>
      <c r="F497">
        <v>0</v>
      </c>
    </row>
    <row r="498" spans="1:6" x14ac:dyDescent="0.15">
      <c r="A498" t="s">
        <v>210</v>
      </c>
      <c r="B498" s="226">
        <v>42290.722356319442</v>
      </c>
      <c r="C498" t="s">
        <v>919</v>
      </c>
      <c r="D498" t="s">
        <v>13</v>
      </c>
      <c r="E498">
        <v>120</v>
      </c>
      <c r="F498">
        <v>0</v>
      </c>
    </row>
    <row r="499" spans="1:6" x14ac:dyDescent="0.15">
      <c r="A499" t="s">
        <v>210</v>
      </c>
      <c r="B499" s="226">
        <v>42290.737565370371</v>
      </c>
      <c r="C499" t="s">
        <v>341</v>
      </c>
      <c r="D499" t="s">
        <v>13</v>
      </c>
      <c r="E499">
        <v>300</v>
      </c>
      <c r="F499">
        <v>0</v>
      </c>
    </row>
    <row r="500" spans="1:6" x14ac:dyDescent="0.15">
      <c r="A500" t="s">
        <v>210</v>
      </c>
      <c r="B500" s="226">
        <v>42290.821753946759</v>
      </c>
      <c r="C500" t="s">
        <v>14</v>
      </c>
      <c r="D500" t="s">
        <v>13</v>
      </c>
      <c r="E500">
        <v>80</v>
      </c>
      <c r="F500">
        <v>3.5</v>
      </c>
    </row>
    <row r="501" spans="1:6" x14ac:dyDescent="0.15">
      <c r="A501" t="s">
        <v>210</v>
      </c>
      <c r="B501" s="226">
        <v>42290.906831550928</v>
      </c>
      <c r="C501" t="s">
        <v>920</v>
      </c>
      <c r="D501" t="s">
        <v>13</v>
      </c>
      <c r="E501">
        <v>200</v>
      </c>
      <c r="F501">
        <v>0</v>
      </c>
    </row>
    <row r="502" spans="1:6" x14ac:dyDescent="0.15">
      <c r="A502" t="s">
        <v>210</v>
      </c>
      <c r="B502" s="226">
        <v>42290.968607662035</v>
      </c>
      <c r="C502" t="s">
        <v>921</v>
      </c>
      <c r="D502" t="s">
        <v>13</v>
      </c>
      <c r="E502">
        <v>500</v>
      </c>
      <c r="F502">
        <v>0</v>
      </c>
    </row>
    <row r="503" spans="1:6" x14ac:dyDescent="0.15">
      <c r="A503" t="s">
        <v>210</v>
      </c>
      <c r="B503" s="226">
        <v>42290.997780578706</v>
      </c>
      <c r="C503" t="s">
        <v>850</v>
      </c>
      <c r="D503" t="s">
        <v>13</v>
      </c>
      <c r="E503">
        <v>60</v>
      </c>
      <c r="F503">
        <v>0</v>
      </c>
    </row>
    <row r="504" spans="1:6" x14ac:dyDescent="0.15">
      <c r="A504" t="s">
        <v>210</v>
      </c>
      <c r="B504" s="226">
        <v>42291.249388425924</v>
      </c>
      <c r="C504" t="s">
        <v>14</v>
      </c>
      <c r="D504" t="s">
        <v>13</v>
      </c>
      <c r="E504">
        <v>100</v>
      </c>
      <c r="F504">
        <v>3.5</v>
      </c>
    </row>
    <row r="505" spans="1:6" x14ac:dyDescent="0.15">
      <c r="A505" t="s">
        <v>210</v>
      </c>
      <c r="B505" s="226">
        <v>42291.409476782406</v>
      </c>
      <c r="C505" t="s">
        <v>922</v>
      </c>
      <c r="D505" t="s">
        <v>13</v>
      </c>
      <c r="E505">
        <v>40</v>
      </c>
      <c r="F505">
        <v>0</v>
      </c>
    </row>
    <row r="506" spans="1:6" x14ac:dyDescent="0.15">
      <c r="A506" t="s">
        <v>210</v>
      </c>
      <c r="B506" s="226">
        <v>42291.429267662039</v>
      </c>
      <c r="C506" t="s">
        <v>923</v>
      </c>
      <c r="D506" t="s">
        <v>13</v>
      </c>
      <c r="E506">
        <v>400</v>
      </c>
      <c r="F506">
        <v>0</v>
      </c>
    </row>
    <row r="507" spans="1:6" x14ac:dyDescent="0.15">
      <c r="A507" t="s">
        <v>210</v>
      </c>
      <c r="B507" s="226">
        <v>42291.464488784724</v>
      </c>
      <c r="C507" t="s">
        <v>924</v>
      </c>
      <c r="D507" t="s">
        <v>13</v>
      </c>
      <c r="E507">
        <v>200</v>
      </c>
      <c r="F507">
        <v>0</v>
      </c>
    </row>
    <row r="508" spans="1:6" x14ac:dyDescent="0.15">
      <c r="A508" t="s">
        <v>210</v>
      </c>
      <c r="B508" s="226">
        <v>42291.478716493053</v>
      </c>
      <c r="C508" t="s">
        <v>14</v>
      </c>
      <c r="D508" t="s">
        <v>13</v>
      </c>
      <c r="E508">
        <v>100</v>
      </c>
      <c r="F508">
        <v>3.5</v>
      </c>
    </row>
    <row r="509" spans="1:6" x14ac:dyDescent="0.15">
      <c r="A509" t="s">
        <v>210</v>
      </c>
      <c r="B509" s="226">
        <v>42291.507185532406</v>
      </c>
      <c r="C509" t="s">
        <v>925</v>
      </c>
      <c r="D509" t="s">
        <v>13</v>
      </c>
      <c r="E509">
        <v>180</v>
      </c>
      <c r="F509">
        <v>0</v>
      </c>
    </row>
    <row r="510" spans="1:6" x14ac:dyDescent="0.15">
      <c r="A510" t="s">
        <v>210</v>
      </c>
      <c r="B510" s="226">
        <v>42291.510352164354</v>
      </c>
      <c r="C510" t="s">
        <v>926</v>
      </c>
      <c r="D510" t="s">
        <v>13</v>
      </c>
      <c r="E510">
        <v>60</v>
      </c>
      <c r="F510">
        <v>0</v>
      </c>
    </row>
    <row r="511" spans="1:6" x14ac:dyDescent="0.15">
      <c r="A511" t="s">
        <v>210</v>
      </c>
      <c r="B511" s="226">
        <v>42291.530034675925</v>
      </c>
      <c r="C511" t="s">
        <v>14</v>
      </c>
      <c r="D511" t="s">
        <v>15</v>
      </c>
      <c r="E511">
        <v>400</v>
      </c>
      <c r="F511">
        <v>14.5</v>
      </c>
    </row>
    <row r="512" spans="1:6" x14ac:dyDescent="0.15">
      <c r="A512" t="s">
        <v>210</v>
      </c>
      <c r="B512" s="226">
        <v>42291.574169282409</v>
      </c>
      <c r="C512" t="s">
        <v>14</v>
      </c>
      <c r="D512" t="s">
        <v>13</v>
      </c>
      <c r="E512">
        <v>100</v>
      </c>
      <c r="F512">
        <v>3.5</v>
      </c>
    </row>
    <row r="513" spans="1:6" x14ac:dyDescent="0.15">
      <c r="A513" t="s">
        <v>210</v>
      </c>
      <c r="B513" s="226">
        <v>42291.601758599536</v>
      </c>
      <c r="C513" t="s">
        <v>927</v>
      </c>
      <c r="D513" t="s">
        <v>13</v>
      </c>
      <c r="E513">
        <v>80</v>
      </c>
      <c r="F513">
        <v>0</v>
      </c>
    </row>
    <row r="514" spans="1:6" x14ac:dyDescent="0.15">
      <c r="A514" t="s">
        <v>210</v>
      </c>
      <c r="B514" s="226">
        <v>42291.613048449071</v>
      </c>
      <c r="C514" t="s">
        <v>342</v>
      </c>
      <c r="D514" t="s">
        <v>13</v>
      </c>
      <c r="E514">
        <v>40</v>
      </c>
      <c r="F514">
        <v>0</v>
      </c>
    </row>
    <row r="515" spans="1:6" x14ac:dyDescent="0.15">
      <c r="A515" t="s">
        <v>210</v>
      </c>
      <c r="B515" s="226">
        <v>42291.644200821756</v>
      </c>
      <c r="C515" t="s">
        <v>928</v>
      </c>
      <c r="D515" t="s">
        <v>13</v>
      </c>
      <c r="E515">
        <v>20</v>
      </c>
      <c r="F515">
        <v>0</v>
      </c>
    </row>
    <row r="516" spans="1:6" x14ac:dyDescent="0.15">
      <c r="A516" t="s">
        <v>210</v>
      </c>
      <c r="B516" s="226">
        <v>42291.670752523147</v>
      </c>
      <c r="C516" t="s">
        <v>227</v>
      </c>
      <c r="D516" t="s">
        <v>13</v>
      </c>
      <c r="E516">
        <v>20</v>
      </c>
      <c r="F516">
        <v>0</v>
      </c>
    </row>
    <row r="517" spans="1:6" x14ac:dyDescent="0.15">
      <c r="A517" t="s">
        <v>210</v>
      </c>
      <c r="B517" s="226">
        <v>42291.671898854169</v>
      </c>
      <c r="C517" t="s">
        <v>929</v>
      </c>
      <c r="D517" t="s">
        <v>13</v>
      </c>
      <c r="E517">
        <v>60</v>
      </c>
      <c r="F517">
        <v>0</v>
      </c>
    </row>
    <row r="518" spans="1:6" x14ac:dyDescent="0.15">
      <c r="A518" t="s">
        <v>210</v>
      </c>
      <c r="B518" s="226">
        <v>42291.681089872684</v>
      </c>
      <c r="C518" t="s">
        <v>14</v>
      </c>
      <c r="D518" t="s">
        <v>15</v>
      </c>
      <c r="E518">
        <v>100</v>
      </c>
      <c r="F518">
        <v>5.5</v>
      </c>
    </row>
    <row r="519" spans="1:6" x14ac:dyDescent="0.15">
      <c r="A519" t="s">
        <v>210</v>
      </c>
      <c r="B519" s="226">
        <v>42291.709973784724</v>
      </c>
      <c r="C519" t="s">
        <v>930</v>
      </c>
      <c r="D519" t="s">
        <v>13</v>
      </c>
      <c r="E519">
        <v>60</v>
      </c>
      <c r="F519">
        <v>0</v>
      </c>
    </row>
    <row r="520" spans="1:6" x14ac:dyDescent="0.15">
      <c r="A520" t="s">
        <v>210</v>
      </c>
      <c r="B520" s="226">
        <v>42291.715302094904</v>
      </c>
      <c r="C520" t="s">
        <v>931</v>
      </c>
      <c r="D520" t="s">
        <v>13</v>
      </c>
      <c r="E520">
        <v>200</v>
      </c>
      <c r="F520">
        <v>0</v>
      </c>
    </row>
    <row r="521" spans="1:6" x14ac:dyDescent="0.15">
      <c r="A521" t="s">
        <v>210</v>
      </c>
      <c r="B521" s="226">
        <v>42291.722476944444</v>
      </c>
      <c r="C521" t="s">
        <v>932</v>
      </c>
      <c r="D521" t="s">
        <v>13</v>
      </c>
      <c r="E521">
        <v>100</v>
      </c>
      <c r="F521">
        <v>0</v>
      </c>
    </row>
    <row r="522" spans="1:6" x14ac:dyDescent="0.15">
      <c r="A522" t="s">
        <v>210</v>
      </c>
      <c r="B522" s="226">
        <v>42291.723248391201</v>
      </c>
      <c r="C522" t="s">
        <v>933</v>
      </c>
      <c r="D522" t="s">
        <v>13</v>
      </c>
      <c r="E522">
        <v>60</v>
      </c>
      <c r="F522">
        <v>0</v>
      </c>
    </row>
    <row r="523" spans="1:6" x14ac:dyDescent="0.15">
      <c r="A523" t="s">
        <v>210</v>
      </c>
      <c r="B523" s="226">
        <v>42291.735446782404</v>
      </c>
      <c r="C523" t="s">
        <v>934</v>
      </c>
      <c r="D523" t="s">
        <v>13</v>
      </c>
      <c r="E523">
        <v>60</v>
      </c>
      <c r="F523">
        <v>0</v>
      </c>
    </row>
    <row r="524" spans="1:6" x14ac:dyDescent="0.15">
      <c r="A524" t="s">
        <v>210</v>
      </c>
      <c r="B524" s="226">
        <v>42291.737560787034</v>
      </c>
      <c r="C524" t="s">
        <v>935</v>
      </c>
      <c r="D524" t="s">
        <v>13</v>
      </c>
      <c r="E524">
        <v>100</v>
      </c>
      <c r="F524">
        <v>0</v>
      </c>
    </row>
    <row r="525" spans="1:6" x14ac:dyDescent="0.15">
      <c r="A525" t="s">
        <v>210</v>
      </c>
      <c r="B525" s="226">
        <v>42291.776934027781</v>
      </c>
      <c r="C525" t="s">
        <v>936</v>
      </c>
      <c r="D525" t="s">
        <v>13</v>
      </c>
      <c r="E525">
        <v>100</v>
      </c>
      <c r="F525">
        <v>0</v>
      </c>
    </row>
    <row r="526" spans="1:6" x14ac:dyDescent="0.15">
      <c r="A526" t="s">
        <v>210</v>
      </c>
      <c r="B526" s="226">
        <v>42291.782380914352</v>
      </c>
      <c r="C526" t="s">
        <v>937</v>
      </c>
      <c r="D526" t="s">
        <v>13</v>
      </c>
      <c r="E526">
        <v>80</v>
      </c>
      <c r="F526">
        <v>0</v>
      </c>
    </row>
    <row r="527" spans="1:6" x14ac:dyDescent="0.15">
      <c r="A527" t="s">
        <v>210</v>
      </c>
      <c r="B527" s="226">
        <v>42291.999311504631</v>
      </c>
      <c r="C527" t="s">
        <v>88</v>
      </c>
      <c r="D527" t="s">
        <v>13</v>
      </c>
      <c r="E527">
        <v>100</v>
      </c>
      <c r="F527">
        <v>0</v>
      </c>
    </row>
    <row r="528" spans="1:6" x14ac:dyDescent="0.15">
      <c r="A528" t="s">
        <v>210</v>
      </c>
      <c r="B528" s="226">
        <v>42292.302814155089</v>
      </c>
      <c r="C528" t="s">
        <v>938</v>
      </c>
      <c r="D528" t="s">
        <v>13</v>
      </c>
      <c r="E528">
        <v>120</v>
      </c>
      <c r="F528">
        <v>0</v>
      </c>
    </row>
    <row r="529" spans="1:6" x14ac:dyDescent="0.15">
      <c r="A529" t="s">
        <v>210</v>
      </c>
      <c r="B529" s="226">
        <v>42292.319624756943</v>
      </c>
      <c r="C529" t="s">
        <v>939</v>
      </c>
      <c r="D529" t="s">
        <v>13</v>
      </c>
      <c r="E529">
        <v>120</v>
      </c>
      <c r="F529">
        <v>0</v>
      </c>
    </row>
    <row r="530" spans="1:6" x14ac:dyDescent="0.15">
      <c r="A530" t="s">
        <v>210</v>
      </c>
      <c r="B530" s="226">
        <v>42292.349280497685</v>
      </c>
      <c r="C530" t="s">
        <v>940</v>
      </c>
      <c r="D530" t="s">
        <v>13</v>
      </c>
      <c r="E530">
        <v>60</v>
      </c>
      <c r="F530">
        <v>0</v>
      </c>
    </row>
    <row r="531" spans="1:6" x14ac:dyDescent="0.15">
      <c r="A531" t="s">
        <v>210</v>
      </c>
      <c r="B531" s="226">
        <v>42292.357623449076</v>
      </c>
      <c r="C531" t="s">
        <v>941</v>
      </c>
      <c r="D531" t="s">
        <v>13</v>
      </c>
      <c r="E531">
        <v>120</v>
      </c>
      <c r="F531">
        <v>0</v>
      </c>
    </row>
    <row r="532" spans="1:6" x14ac:dyDescent="0.15">
      <c r="A532" t="s">
        <v>210</v>
      </c>
      <c r="B532" s="226">
        <v>42292.366651759257</v>
      </c>
      <c r="C532" t="s">
        <v>14</v>
      </c>
      <c r="D532" t="s">
        <v>13</v>
      </c>
      <c r="E532">
        <v>100</v>
      </c>
      <c r="F532">
        <v>3.5</v>
      </c>
    </row>
    <row r="533" spans="1:6" x14ac:dyDescent="0.15">
      <c r="A533" t="s">
        <v>210</v>
      </c>
      <c r="B533" s="226">
        <v>42292.427593472225</v>
      </c>
      <c r="C533" t="s">
        <v>942</v>
      </c>
      <c r="D533" t="s">
        <v>13</v>
      </c>
      <c r="E533">
        <v>20</v>
      </c>
      <c r="F533">
        <v>0</v>
      </c>
    </row>
    <row r="534" spans="1:6" x14ac:dyDescent="0.15">
      <c r="A534" t="s">
        <v>210</v>
      </c>
      <c r="B534" s="226">
        <v>42292.452264398147</v>
      </c>
      <c r="C534" t="s">
        <v>343</v>
      </c>
      <c r="D534" t="s">
        <v>13</v>
      </c>
      <c r="E534">
        <v>40</v>
      </c>
      <c r="F534">
        <v>0</v>
      </c>
    </row>
    <row r="535" spans="1:6" x14ac:dyDescent="0.15">
      <c r="A535" t="s">
        <v>210</v>
      </c>
      <c r="B535" s="226">
        <v>42292.460013275464</v>
      </c>
      <c r="C535" t="s">
        <v>943</v>
      </c>
      <c r="D535" t="s">
        <v>13</v>
      </c>
      <c r="E535">
        <v>100</v>
      </c>
      <c r="F535">
        <v>0</v>
      </c>
    </row>
    <row r="536" spans="1:6" x14ac:dyDescent="0.15">
      <c r="A536" t="s">
        <v>210</v>
      </c>
      <c r="B536" s="226">
        <v>42292.470473310183</v>
      </c>
      <c r="C536" t="s">
        <v>944</v>
      </c>
      <c r="D536" t="s">
        <v>13</v>
      </c>
      <c r="E536">
        <v>40</v>
      </c>
      <c r="F536">
        <v>0</v>
      </c>
    </row>
    <row r="537" spans="1:6" x14ac:dyDescent="0.15">
      <c r="A537" t="s">
        <v>210</v>
      </c>
      <c r="B537" s="226">
        <v>42292.487720555553</v>
      </c>
      <c r="C537" t="s">
        <v>14</v>
      </c>
      <c r="D537" t="s">
        <v>13</v>
      </c>
      <c r="E537">
        <v>40</v>
      </c>
      <c r="F537">
        <v>3.5</v>
      </c>
    </row>
    <row r="538" spans="1:6" x14ac:dyDescent="0.15">
      <c r="A538" t="s">
        <v>210</v>
      </c>
      <c r="B538" s="226">
        <v>42292.493003333337</v>
      </c>
      <c r="C538" t="s">
        <v>945</v>
      </c>
      <c r="D538" t="s">
        <v>13</v>
      </c>
      <c r="E538">
        <v>20</v>
      </c>
      <c r="F538">
        <v>0</v>
      </c>
    </row>
    <row r="539" spans="1:6" x14ac:dyDescent="0.15">
      <c r="A539" t="s">
        <v>210</v>
      </c>
      <c r="B539" s="226">
        <v>42292.500998124997</v>
      </c>
      <c r="C539" t="s">
        <v>946</v>
      </c>
      <c r="D539" t="s">
        <v>13</v>
      </c>
      <c r="E539">
        <v>60</v>
      </c>
      <c r="F539">
        <v>0</v>
      </c>
    </row>
    <row r="540" spans="1:6" x14ac:dyDescent="0.15">
      <c r="A540" t="s">
        <v>210</v>
      </c>
      <c r="B540" s="226">
        <v>42292.531000648145</v>
      </c>
      <c r="C540" t="s">
        <v>14</v>
      </c>
      <c r="D540" t="s">
        <v>13</v>
      </c>
      <c r="E540">
        <v>100</v>
      </c>
      <c r="F540">
        <v>3.5</v>
      </c>
    </row>
    <row r="541" spans="1:6" x14ac:dyDescent="0.15">
      <c r="A541" t="s">
        <v>210</v>
      </c>
      <c r="B541" s="226">
        <v>42292.53149119213</v>
      </c>
      <c r="C541" t="s">
        <v>947</v>
      </c>
      <c r="D541" t="s">
        <v>13</v>
      </c>
      <c r="E541">
        <v>100</v>
      </c>
      <c r="F541">
        <v>0</v>
      </c>
    </row>
    <row r="542" spans="1:6" x14ac:dyDescent="0.15">
      <c r="A542" t="s">
        <v>210</v>
      </c>
      <c r="B542" s="226">
        <v>42292.566238321757</v>
      </c>
      <c r="C542" t="s">
        <v>948</v>
      </c>
      <c r="D542" t="s">
        <v>13</v>
      </c>
      <c r="E542">
        <v>120</v>
      </c>
      <c r="F542">
        <v>0</v>
      </c>
    </row>
    <row r="543" spans="1:6" x14ac:dyDescent="0.15">
      <c r="A543" t="s">
        <v>210</v>
      </c>
      <c r="B543" s="226">
        <v>42292.590697002313</v>
      </c>
      <c r="C543" t="s">
        <v>949</v>
      </c>
      <c r="D543" t="s">
        <v>13</v>
      </c>
      <c r="E543">
        <v>60</v>
      </c>
      <c r="F543">
        <v>0</v>
      </c>
    </row>
    <row r="544" spans="1:6" x14ac:dyDescent="0.15">
      <c r="A544" t="s">
        <v>210</v>
      </c>
      <c r="B544" s="226">
        <v>42292.619456550929</v>
      </c>
      <c r="C544" t="s">
        <v>950</v>
      </c>
      <c r="D544" t="s">
        <v>13</v>
      </c>
      <c r="E544">
        <v>100</v>
      </c>
      <c r="F544">
        <v>0</v>
      </c>
    </row>
    <row r="545" spans="1:6" x14ac:dyDescent="0.15">
      <c r="A545" t="s">
        <v>210</v>
      </c>
      <c r="B545" s="226">
        <v>42292.623404398146</v>
      </c>
      <c r="C545" t="s">
        <v>344</v>
      </c>
      <c r="D545" t="s">
        <v>13</v>
      </c>
      <c r="E545">
        <v>40</v>
      </c>
      <c r="F545">
        <v>0</v>
      </c>
    </row>
    <row r="546" spans="1:6" x14ac:dyDescent="0.15">
      <c r="A546" t="s">
        <v>210</v>
      </c>
      <c r="B546" s="226">
        <v>42292.639938796296</v>
      </c>
      <c r="C546" t="s">
        <v>951</v>
      </c>
      <c r="D546" t="s">
        <v>13</v>
      </c>
      <c r="E546">
        <v>360</v>
      </c>
      <c r="F546">
        <v>0</v>
      </c>
    </row>
    <row r="547" spans="1:6" x14ac:dyDescent="0.15">
      <c r="A547" t="s">
        <v>210</v>
      </c>
      <c r="B547" s="226">
        <v>42292.647419606481</v>
      </c>
      <c r="C547" t="s">
        <v>952</v>
      </c>
      <c r="D547" t="s">
        <v>13</v>
      </c>
      <c r="E547">
        <v>40</v>
      </c>
      <c r="F547">
        <v>0</v>
      </c>
    </row>
    <row r="548" spans="1:6" x14ac:dyDescent="0.15">
      <c r="A548" t="s">
        <v>210</v>
      </c>
      <c r="B548" s="226">
        <v>42292.653874861113</v>
      </c>
      <c r="C548" t="s">
        <v>953</v>
      </c>
      <c r="D548" t="s">
        <v>13</v>
      </c>
      <c r="E548">
        <v>100</v>
      </c>
      <c r="F548">
        <v>0</v>
      </c>
    </row>
    <row r="549" spans="1:6" x14ac:dyDescent="0.15">
      <c r="A549" t="s">
        <v>210</v>
      </c>
      <c r="B549" s="226">
        <v>42292.655319421297</v>
      </c>
      <c r="C549" t="s">
        <v>954</v>
      </c>
      <c r="D549" t="s">
        <v>13</v>
      </c>
      <c r="E549">
        <v>60</v>
      </c>
      <c r="F549">
        <v>0</v>
      </c>
    </row>
    <row r="550" spans="1:6" x14ac:dyDescent="0.15">
      <c r="A550" t="s">
        <v>210</v>
      </c>
      <c r="B550" s="226">
        <v>42292.674306828703</v>
      </c>
      <c r="C550" t="s">
        <v>14</v>
      </c>
      <c r="D550" t="s">
        <v>15</v>
      </c>
      <c r="E550">
        <v>40</v>
      </c>
      <c r="F550">
        <v>3.7</v>
      </c>
    </row>
    <row r="551" spans="1:6" x14ac:dyDescent="0.15">
      <c r="A551" t="s">
        <v>210</v>
      </c>
      <c r="B551" s="226">
        <v>42292.684886157411</v>
      </c>
      <c r="C551" t="s">
        <v>955</v>
      </c>
      <c r="D551" t="s">
        <v>13</v>
      </c>
      <c r="E551">
        <v>40</v>
      </c>
      <c r="F551">
        <v>0</v>
      </c>
    </row>
    <row r="552" spans="1:6" x14ac:dyDescent="0.15">
      <c r="A552" t="s">
        <v>210</v>
      </c>
      <c r="B552" s="226">
        <v>42292.687675104164</v>
      </c>
      <c r="C552" t="s">
        <v>956</v>
      </c>
      <c r="D552" t="s">
        <v>15</v>
      </c>
      <c r="E552">
        <v>100</v>
      </c>
      <c r="F552">
        <v>3</v>
      </c>
    </row>
    <row r="553" spans="1:6" x14ac:dyDescent="0.15">
      <c r="A553" t="s">
        <v>210</v>
      </c>
      <c r="B553" s="226">
        <v>42292.68826260417</v>
      </c>
      <c r="C553" t="s">
        <v>957</v>
      </c>
      <c r="D553" t="s">
        <v>13</v>
      </c>
      <c r="E553">
        <v>100</v>
      </c>
      <c r="F553">
        <v>0</v>
      </c>
    </row>
    <row r="554" spans="1:6" x14ac:dyDescent="0.15">
      <c r="A554" t="s">
        <v>210</v>
      </c>
      <c r="B554" s="226">
        <v>42292.710363888888</v>
      </c>
      <c r="C554" t="s">
        <v>958</v>
      </c>
      <c r="D554" t="s">
        <v>13</v>
      </c>
      <c r="E554">
        <v>400</v>
      </c>
      <c r="F554">
        <v>0</v>
      </c>
    </row>
    <row r="555" spans="1:6" x14ac:dyDescent="0.15">
      <c r="A555" t="s">
        <v>210</v>
      </c>
      <c r="B555" s="226">
        <v>42292.716403946761</v>
      </c>
      <c r="C555" t="s">
        <v>959</v>
      </c>
      <c r="D555" t="s">
        <v>13</v>
      </c>
      <c r="E555">
        <v>100</v>
      </c>
      <c r="F555">
        <v>0</v>
      </c>
    </row>
    <row r="556" spans="1:6" x14ac:dyDescent="0.15">
      <c r="A556" t="s">
        <v>210</v>
      </c>
      <c r="B556" s="226">
        <v>42292.731278125</v>
      </c>
      <c r="C556" t="s">
        <v>960</v>
      </c>
      <c r="D556" t="s">
        <v>13</v>
      </c>
      <c r="E556">
        <v>440</v>
      </c>
      <c r="F556">
        <v>0</v>
      </c>
    </row>
    <row r="557" spans="1:6" x14ac:dyDescent="0.15">
      <c r="A557" t="s">
        <v>210</v>
      </c>
      <c r="B557" s="226">
        <v>42292.734511273149</v>
      </c>
      <c r="C557" t="s">
        <v>345</v>
      </c>
      <c r="D557" t="s">
        <v>13</v>
      </c>
      <c r="E557">
        <v>20</v>
      </c>
      <c r="F557">
        <v>0</v>
      </c>
    </row>
    <row r="558" spans="1:6" x14ac:dyDescent="0.15">
      <c r="A558" t="s">
        <v>210</v>
      </c>
      <c r="B558" s="226">
        <v>42292.735161342593</v>
      </c>
      <c r="C558" t="s">
        <v>961</v>
      </c>
      <c r="D558" t="s">
        <v>13</v>
      </c>
      <c r="E558">
        <v>100</v>
      </c>
      <c r="F558">
        <v>0</v>
      </c>
    </row>
    <row r="559" spans="1:6" x14ac:dyDescent="0.15">
      <c r="A559" t="s">
        <v>210</v>
      </c>
      <c r="B559" s="226">
        <v>42292.741997800927</v>
      </c>
      <c r="C559" t="s">
        <v>231</v>
      </c>
      <c r="D559" t="s">
        <v>13</v>
      </c>
      <c r="E559">
        <v>20</v>
      </c>
      <c r="F559">
        <v>0</v>
      </c>
    </row>
    <row r="560" spans="1:6" x14ac:dyDescent="0.15">
      <c r="A560" t="s">
        <v>210</v>
      </c>
      <c r="B560" s="226">
        <v>42292.743959803243</v>
      </c>
      <c r="C560" t="s">
        <v>962</v>
      </c>
      <c r="D560" t="s">
        <v>13</v>
      </c>
      <c r="E560">
        <v>100</v>
      </c>
      <c r="F560">
        <v>0</v>
      </c>
    </row>
    <row r="561" spans="1:6" x14ac:dyDescent="0.15">
      <c r="A561" t="s">
        <v>210</v>
      </c>
      <c r="B561" s="226">
        <v>42292.747143067128</v>
      </c>
      <c r="C561" t="s">
        <v>963</v>
      </c>
      <c r="D561" t="s">
        <v>13</v>
      </c>
      <c r="E561">
        <v>40</v>
      </c>
      <c r="F561">
        <v>0</v>
      </c>
    </row>
    <row r="562" spans="1:6" x14ac:dyDescent="0.15">
      <c r="A562" t="s">
        <v>210</v>
      </c>
      <c r="B562" s="226">
        <v>42292.748009120369</v>
      </c>
      <c r="C562" t="s">
        <v>964</v>
      </c>
      <c r="D562" t="s">
        <v>13</v>
      </c>
      <c r="E562">
        <v>100</v>
      </c>
      <c r="F562">
        <v>0</v>
      </c>
    </row>
    <row r="563" spans="1:6" x14ac:dyDescent="0.15">
      <c r="A563" t="s">
        <v>210</v>
      </c>
      <c r="B563" s="226">
        <v>42292.751047546299</v>
      </c>
      <c r="C563" t="s">
        <v>965</v>
      </c>
      <c r="D563" t="s">
        <v>13</v>
      </c>
      <c r="E563">
        <v>200</v>
      </c>
      <c r="F563">
        <v>0</v>
      </c>
    </row>
    <row r="564" spans="1:6" x14ac:dyDescent="0.15">
      <c r="A564" t="s">
        <v>210</v>
      </c>
      <c r="B564" s="226">
        <v>42292.752531087965</v>
      </c>
      <c r="C564" t="s">
        <v>966</v>
      </c>
      <c r="D564" t="s">
        <v>13</v>
      </c>
      <c r="E564">
        <v>40</v>
      </c>
      <c r="F564">
        <v>0</v>
      </c>
    </row>
    <row r="565" spans="1:6" x14ac:dyDescent="0.15">
      <c r="A565" t="s">
        <v>210</v>
      </c>
      <c r="B565" s="226">
        <v>42292.75684011574</v>
      </c>
      <c r="C565" t="s">
        <v>14</v>
      </c>
      <c r="D565" t="s">
        <v>13</v>
      </c>
      <c r="E565">
        <v>100</v>
      </c>
      <c r="F565">
        <v>3.5</v>
      </c>
    </row>
    <row r="566" spans="1:6" x14ac:dyDescent="0.15">
      <c r="A566" t="s">
        <v>210</v>
      </c>
      <c r="B566" s="226">
        <v>42292.76396866898</v>
      </c>
      <c r="C566" t="s">
        <v>967</v>
      </c>
      <c r="D566" t="s">
        <v>13</v>
      </c>
      <c r="E566">
        <v>200</v>
      </c>
      <c r="F566">
        <v>0</v>
      </c>
    </row>
    <row r="567" spans="1:6" x14ac:dyDescent="0.15">
      <c r="A567" t="s">
        <v>210</v>
      </c>
      <c r="B567" s="226">
        <v>42292.773693414354</v>
      </c>
      <c r="C567" t="s">
        <v>346</v>
      </c>
      <c r="D567" t="s">
        <v>13</v>
      </c>
      <c r="E567">
        <v>20</v>
      </c>
      <c r="F567">
        <v>0</v>
      </c>
    </row>
    <row r="568" spans="1:6" x14ac:dyDescent="0.15">
      <c r="A568" t="s">
        <v>210</v>
      </c>
      <c r="B568" s="226">
        <v>42292.785012708337</v>
      </c>
      <c r="C568" t="s">
        <v>347</v>
      </c>
      <c r="D568" t="s">
        <v>13</v>
      </c>
      <c r="E568">
        <v>40</v>
      </c>
      <c r="F568">
        <v>0</v>
      </c>
    </row>
    <row r="569" spans="1:6" x14ac:dyDescent="0.15">
      <c r="A569" t="s">
        <v>210</v>
      </c>
      <c r="B569" s="226">
        <v>42292.786273506943</v>
      </c>
      <c r="C569" t="s">
        <v>968</v>
      </c>
      <c r="D569" t="s">
        <v>13</v>
      </c>
      <c r="E569">
        <v>80</v>
      </c>
      <c r="F569">
        <v>0</v>
      </c>
    </row>
    <row r="570" spans="1:6" x14ac:dyDescent="0.15">
      <c r="A570" t="s">
        <v>210</v>
      </c>
      <c r="B570" s="226">
        <v>42292.814486331015</v>
      </c>
      <c r="C570" t="s">
        <v>348</v>
      </c>
      <c r="D570" t="s">
        <v>13</v>
      </c>
      <c r="E570">
        <v>60</v>
      </c>
      <c r="F570">
        <v>0</v>
      </c>
    </row>
    <row r="571" spans="1:6" x14ac:dyDescent="0.15">
      <c r="A571" t="s">
        <v>210</v>
      </c>
      <c r="B571" s="226">
        <v>42292.909209942132</v>
      </c>
      <c r="C571" t="s">
        <v>969</v>
      </c>
      <c r="D571" t="s">
        <v>13</v>
      </c>
      <c r="E571">
        <v>100</v>
      </c>
      <c r="F571">
        <v>0</v>
      </c>
    </row>
    <row r="572" spans="1:6" x14ac:dyDescent="0.15">
      <c r="A572" t="s">
        <v>210</v>
      </c>
      <c r="B572" s="226">
        <v>42292.99228309028</v>
      </c>
      <c r="C572" t="s">
        <v>970</v>
      </c>
      <c r="D572" t="s">
        <v>13</v>
      </c>
      <c r="E572">
        <v>100</v>
      </c>
      <c r="F572">
        <v>0</v>
      </c>
    </row>
    <row r="573" spans="1:6" x14ac:dyDescent="0.15">
      <c r="A573" t="s">
        <v>210</v>
      </c>
      <c r="B573" s="226">
        <v>42293.142394803239</v>
      </c>
      <c r="C573" t="s">
        <v>971</v>
      </c>
      <c r="D573" t="s">
        <v>15</v>
      </c>
      <c r="E573">
        <v>400</v>
      </c>
      <c r="F573">
        <v>12</v>
      </c>
    </row>
    <row r="574" spans="1:6" x14ac:dyDescent="0.15">
      <c r="A574" t="s">
        <v>210</v>
      </c>
      <c r="B574" s="226">
        <v>42293.276330428242</v>
      </c>
      <c r="C574" t="s">
        <v>972</v>
      </c>
      <c r="D574" t="s">
        <v>13</v>
      </c>
      <c r="E574">
        <v>100</v>
      </c>
      <c r="F574">
        <v>0</v>
      </c>
    </row>
    <row r="575" spans="1:6" x14ac:dyDescent="0.15">
      <c r="A575" t="s">
        <v>210</v>
      </c>
      <c r="B575" s="226">
        <v>42293.306839861114</v>
      </c>
      <c r="C575" t="s">
        <v>973</v>
      </c>
      <c r="D575" t="s">
        <v>13</v>
      </c>
      <c r="E575">
        <v>40</v>
      </c>
      <c r="F575">
        <v>0</v>
      </c>
    </row>
    <row r="576" spans="1:6" x14ac:dyDescent="0.15">
      <c r="A576" t="s">
        <v>210</v>
      </c>
      <c r="B576" s="226">
        <v>42293.321397754633</v>
      </c>
      <c r="C576" t="s">
        <v>974</v>
      </c>
      <c r="D576" t="s">
        <v>13</v>
      </c>
      <c r="E576">
        <v>180</v>
      </c>
      <c r="F576">
        <v>0</v>
      </c>
    </row>
    <row r="577" spans="1:6" x14ac:dyDescent="0.15">
      <c r="A577" t="s">
        <v>210</v>
      </c>
      <c r="B577" s="226">
        <v>42293.326979780089</v>
      </c>
      <c r="C577" t="s">
        <v>14</v>
      </c>
      <c r="D577" t="s">
        <v>15</v>
      </c>
      <c r="E577">
        <v>80</v>
      </c>
      <c r="F577">
        <v>4.9000000000000004</v>
      </c>
    </row>
    <row r="578" spans="1:6" x14ac:dyDescent="0.15">
      <c r="A578" t="s">
        <v>210</v>
      </c>
      <c r="B578" s="226">
        <v>42293.347503414348</v>
      </c>
      <c r="C578" t="s">
        <v>975</v>
      </c>
      <c r="D578" t="s">
        <v>13</v>
      </c>
      <c r="E578">
        <v>100</v>
      </c>
      <c r="F578">
        <v>0</v>
      </c>
    </row>
    <row r="579" spans="1:6" x14ac:dyDescent="0.15">
      <c r="A579" t="s">
        <v>210</v>
      </c>
      <c r="B579" s="226">
        <v>42293.371513773149</v>
      </c>
      <c r="C579" t="s">
        <v>976</v>
      </c>
      <c r="D579" t="s">
        <v>13</v>
      </c>
      <c r="E579">
        <v>40</v>
      </c>
      <c r="F579">
        <v>0</v>
      </c>
    </row>
    <row r="580" spans="1:6" x14ac:dyDescent="0.15">
      <c r="A580" t="s">
        <v>210</v>
      </c>
      <c r="B580" s="226">
        <v>42293.383108611109</v>
      </c>
      <c r="C580" t="s">
        <v>977</v>
      </c>
      <c r="D580" t="s">
        <v>13</v>
      </c>
      <c r="E580">
        <v>180</v>
      </c>
      <c r="F580">
        <v>0</v>
      </c>
    </row>
    <row r="581" spans="1:6" x14ac:dyDescent="0.15">
      <c r="A581" t="s">
        <v>210</v>
      </c>
      <c r="B581" s="226">
        <v>42293.41562861111</v>
      </c>
      <c r="C581" t="s">
        <v>349</v>
      </c>
      <c r="D581" t="s">
        <v>13</v>
      </c>
      <c r="E581">
        <v>100</v>
      </c>
      <c r="F581">
        <v>0</v>
      </c>
    </row>
    <row r="582" spans="1:6" x14ac:dyDescent="0.15">
      <c r="A582" t="s">
        <v>210</v>
      </c>
      <c r="B582" s="226">
        <v>42293.418671458334</v>
      </c>
      <c r="C582" t="s">
        <v>978</v>
      </c>
      <c r="D582" t="s">
        <v>13</v>
      </c>
      <c r="E582">
        <v>100</v>
      </c>
      <c r="F582">
        <v>0</v>
      </c>
    </row>
    <row r="583" spans="1:6" x14ac:dyDescent="0.15">
      <c r="A583" t="s">
        <v>210</v>
      </c>
      <c r="B583" s="226">
        <v>42293.433721076392</v>
      </c>
      <c r="C583" t="s">
        <v>350</v>
      </c>
      <c r="D583" t="s">
        <v>13</v>
      </c>
      <c r="E583">
        <v>100</v>
      </c>
      <c r="F583">
        <v>0</v>
      </c>
    </row>
    <row r="584" spans="1:6" x14ac:dyDescent="0.15">
      <c r="A584" t="s">
        <v>210</v>
      </c>
      <c r="B584" s="226">
        <v>42293.43792178241</v>
      </c>
      <c r="C584" t="s">
        <v>979</v>
      </c>
      <c r="D584" t="s">
        <v>13</v>
      </c>
      <c r="E584">
        <v>200</v>
      </c>
      <c r="F584">
        <v>0</v>
      </c>
    </row>
    <row r="585" spans="1:6" x14ac:dyDescent="0.15">
      <c r="A585" t="s">
        <v>210</v>
      </c>
      <c r="B585" s="226">
        <v>42293.440517060182</v>
      </c>
      <c r="C585" t="s">
        <v>980</v>
      </c>
      <c r="D585" t="s">
        <v>13</v>
      </c>
      <c r="E585">
        <v>100</v>
      </c>
      <c r="F585">
        <v>0</v>
      </c>
    </row>
    <row r="586" spans="1:6" x14ac:dyDescent="0.15">
      <c r="A586" t="s">
        <v>210</v>
      </c>
      <c r="B586" s="226">
        <v>42293.444903506941</v>
      </c>
      <c r="C586" t="s">
        <v>981</v>
      </c>
      <c r="D586" t="s">
        <v>13</v>
      </c>
      <c r="E586">
        <v>200</v>
      </c>
      <c r="F586">
        <v>0</v>
      </c>
    </row>
    <row r="587" spans="1:6" x14ac:dyDescent="0.15">
      <c r="A587" t="s">
        <v>210</v>
      </c>
      <c r="B587" s="226">
        <v>42293.459687060182</v>
      </c>
      <c r="C587" t="s">
        <v>982</v>
      </c>
      <c r="D587" t="s">
        <v>13</v>
      </c>
      <c r="E587">
        <v>40</v>
      </c>
      <c r="F587">
        <v>0</v>
      </c>
    </row>
    <row r="588" spans="1:6" x14ac:dyDescent="0.15">
      <c r="A588" t="s">
        <v>210</v>
      </c>
      <c r="B588" s="226">
        <v>42293.483728784726</v>
      </c>
      <c r="C588" t="s">
        <v>983</v>
      </c>
      <c r="D588" t="s">
        <v>13</v>
      </c>
      <c r="E588">
        <v>40</v>
      </c>
      <c r="F588">
        <v>0</v>
      </c>
    </row>
    <row r="589" spans="1:6" x14ac:dyDescent="0.15">
      <c r="A589" t="s">
        <v>210</v>
      </c>
      <c r="B589" s="226">
        <v>42293.498208854166</v>
      </c>
      <c r="C589" t="s">
        <v>984</v>
      </c>
      <c r="D589" t="s">
        <v>13</v>
      </c>
      <c r="E589">
        <v>40</v>
      </c>
      <c r="F589">
        <v>0</v>
      </c>
    </row>
    <row r="590" spans="1:6" x14ac:dyDescent="0.15">
      <c r="A590" t="s">
        <v>210</v>
      </c>
      <c r="B590" s="226">
        <v>42293.500664317129</v>
      </c>
      <c r="C590" t="s">
        <v>985</v>
      </c>
      <c r="D590" t="s">
        <v>13</v>
      </c>
      <c r="E590">
        <v>60</v>
      </c>
      <c r="F590">
        <v>0</v>
      </c>
    </row>
    <row r="591" spans="1:6" x14ac:dyDescent="0.15">
      <c r="A591" t="s">
        <v>210</v>
      </c>
      <c r="B591" s="226">
        <v>42293.502848101853</v>
      </c>
      <c r="C591" t="s">
        <v>986</v>
      </c>
      <c r="D591" t="s">
        <v>13</v>
      </c>
      <c r="E591">
        <v>100</v>
      </c>
      <c r="F591">
        <v>0</v>
      </c>
    </row>
    <row r="592" spans="1:6" x14ac:dyDescent="0.15">
      <c r="A592" t="s">
        <v>210</v>
      </c>
      <c r="B592" s="226">
        <v>42293.505884375001</v>
      </c>
      <c r="C592" t="s">
        <v>987</v>
      </c>
      <c r="D592" t="s">
        <v>13</v>
      </c>
      <c r="E592">
        <v>100</v>
      </c>
      <c r="F592">
        <v>0</v>
      </c>
    </row>
    <row r="593" spans="1:6" x14ac:dyDescent="0.15">
      <c r="A593" t="s">
        <v>210</v>
      </c>
      <c r="B593" s="226">
        <v>42293.508294733794</v>
      </c>
      <c r="C593" t="s">
        <v>988</v>
      </c>
      <c r="D593" t="s">
        <v>13</v>
      </c>
      <c r="E593">
        <v>20</v>
      </c>
      <c r="F593">
        <v>0</v>
      </c>
    </row>
    <row r="594" spans="1:6" x14ac:dyDescent="0.15">
      <c r="A594" t="s">
        <v>210</v>
      </c>
      <c r="B594" s="226">
        <v>42293.510665891205</v>
      </c>
      <c r="C594" t="s">
        <v>989</v>
      </c>
      <c r="D594" t="s">
        <v>13</v>
      </c>
      <c r="E594">
        <v>100</v>
      </c>
      <c r="F594">
        <v>0</v>
      </c>
    </row>
    <row r="595" spans="1:6" x14ac:dyDescent="0.15">
      <c r="A595" t="s">
        <v>210</v>
      </c>
      <c r="B595" s="226">
        <v>42293.5136221875</v>
      </c>
      <c r="C595" t="s">
        <v>990</v>
      </c>
      <c r="D595" t="s">
        <v>13</v>
      </c>
      <c r="E595">
        <v>300</v>
      </c>
      <c r="F595">
        <v>0</v>
      </c>
    </row>
    <row r="596" spans="1:6" x14ac:dyDescent="0.15">
      <c r="A596" t="s">
        <v>210</v>
      </c>
      <c r="B596" s="226">
        <v>42293.53777920139</v>
      </c>
      <c r="C596" t="s">
        <v>991</v>
      </c>
      <c r="D596" t="s">
        <v>13</v>
      </c>
      <c r="E596">
        <v>100</v>
      </c>
      <c r="F596">
        <v>0</v>
      </c>
    </row>
    <row r="597" spans="1:6" x14ac:dyDescent="0.15">
      <c r="A597" t="s">
        <v>210</v>
      </c>
      <c r="B597" s="226">
        <v>42293.539597870367</v>
      </c>
      <c r="C597" t="s">
        <v>992</v>
      </c>
      <c r="D597" t="s">
        <v>13</v>
      </c>
      <c r="E597">
        <v>100</v>
      </c>
      <c r="F597">
        <v>0</v>
      </c>
    </row>
    <row r="598" spans="1:6" x14ac:dyDescent="0.15">
      <c r="A598" t="s">
        <v>210</v>
      </c>
      <c r="B598" s="226">
        <v>42293.557081666666</v>
      </c>
      <c r="C598" t="s">
        <v>993</v>
      </c>
      <c r="D598" t="s">
        <v>13</v>
      </c>
      <c r="E598">
        <v>100</v>
      </c>
      <c r="F598">
        <v>0</v>
      </c>
    </row>
    <row r="599" spans="1:6" x14ac:dyDescent="0.15">
      <c r="A599" t="s">
        <v>210</v>
      </c>
      <c r="B599" s="226">
        <v>42293.586546087965</v>
      </c>
      <c r="C599" t="s">
        <v>994</v>
      </c>
      <c r="D599" t="s">
        <v>13</v>
      </c>
      <c r="E599">
        <v>60</v>
      </c>
      <c r="F599">
        <v>0</v>
      </c>
    </row>
    <row r="600" spans="1:6" x14ac:dyDescent="0.15">
      <c r="A600" t="s">
        <v>210</v>
      </c>
      <c r="B600" s="226">
        <v>42293.587591770833</v>
      </c>
      <c r="C600" t="s">
        <v>347</v>
      </c>
      <c r="D600" t="s">
        <v>13</v>
      </c>
      <c r="E600">
        <v>100</v>
      </c>
      <c r="F600">
        <v>0</v>
      </c>
    </row>
    <row r="601" spans="1:6" x14ac:dyDescent="0.15">
      <c r="A601" t="s">
        <v>210</v>
      </c>
      <c r="B601" s="226">
        <v>42293.591035081015</v>
      </c>
      <c r="C601" t="s">
        <v>995</v>
      </c>
      <c r="D601" t="s">
        <v>13</v>
      </c>
      <c r="E601">
        <v>20</v>
      </c>
      <c r="F601">
        <v>0</v>
      </c>
    </row>
    <row r="602" spans="1:6" x14ac:dyDescent="0.15">
      <c r="A602" t="s">
        <v>210</v>
      </c>
      <c r="B602" s="226">
        <v>42293.630287939814</v>
      </c>
      <c r="C602" t="s">
        <v>996</v>
      </c>
      <c r="D602" t="s">
        <v>13</v>
      </c>
      <c r="E602">
        <v>40</v>
      </c>
      <c r="F602">
        <v>0</v>
      </c>
    </row>
    <row r="603" spans="1:6" x14ac:dyDescent="0.15">
      <c r="A603" t="s">
        <v>210</v>
      </c>
      <c r="B603" s="226">
        <v>42293.636700555558</v>
      </c>
      <c r="C603" t="s">
        <v>351</v>
      </c>
      <c r="D603" t="s">
        <v>13</v>
      </c>
      <c r="E603">
        <v>60</v>
      </c>
      <c r="F603">
        <v>0</v>
      </c>
    </row>
    <row r="604" spans="1:6" x14ac:dyDescent="0.15">
      <c r="A604" t="s">
        <v>210</v>
      </c>
      <c r="B604" s="226">
        <v>42293.643453518518</v>
      </c>
      <c r="C604" t="s">
        <v>14</v>
      </c>
      <c r="D604" t="s">
        <v>13</v>
      </c>
      <c r="E604">
        <v>200</v>
      </c>
      <c r="F604">
        <v>3.5</v>
      </c>
    </row>
    <row r="605" spans="1:6" x14ac:dyDescent="0.15">
      <c r="A605" t="s">
        <v>210</v>
      </c>
      <c r="B605" s="226">
        <v>42293.656584259261</v>
      </c>
      <c r="C605" t="s">
        <v>997</v>
      </c>
      <c r="D605" t="s">
        <v>15</v>
      </c>
      <c r="E605">
        <v>40</v>
      </c>
      <c r="F605">
        <v>1.2</v>
      </c>
    </row>
    <row r="606" spans="1:6" x14ac:dyDescent="0.15">
      <c r="A606" t="s">
        <v>210</v>
      </c>
      <c r="B606" s="226">
        <v>42293.657166655095</v>
      </c>
      <c r="C606" t="s">
        <v>74</v>
      </c>
      <c r="D606" t="s">
        <v>13</v>
      </c>
      <c r="E606">
        <v>80</v>
      </c>
      <c r="F606">
        <v>0</v>
      </c>
    </row>
    <row r="607" spans="1:6" x14ac:dyDescent="0.15">
      <c r="A607" t="s">
        <v>210</v>
      </c>
      <c r="B607" s="226">
        <v>42293.65779957176</v>
      </c>
      <c r="C607" t="s">
        <v>998</v>
      </c>
      <c r="D607" t="s">
        <v>13</v>
      </c>
      <c r="E607">
        <v>40</v>
      </c>
      <c r="F607">
        <v>0</v>
      </c>
    </row>
    <row r="608" spans="1:6" x14ac:dyDescent="0.15">
      <c r="A608" t="s">
        <v>210</v>
      </c>
      <c r="B608" s="226">
        <v>42293.659338680554</v>
      </c>
      <c r="C608" t="s">
        <v>999</v>
      </c>
      <c r="D608" t="s">
        <v>13</v>
      </c>
      <c r="E608">
        <v>40</v>
      </c>
      <c r="F608">
        <v>0</v>
      </c>
    </row>
    <row r="609" spans="1:6" x14ac:dyDescent="0.15">
      <c r="A609" t="s">
        <v>210</v>
      </c>
      <c r="B609" s="226">
        <v>42293.660075381944</v>
      </c>
      <c r="C609" t="s">
        <v>1000</v>
      </c>
      <c r="D609" t="s">
        <v>13</v>
      </c>
      <c r="E609">
        <v>100</v>
      </c>
      <c r="F609">
        <v>0</v>
      </c>
    </row>
    <row r="610" spans="1:6" x14ac:dyDescent="0.15">
      <c r="A610" t="s">
        <v>210</v>
      </c>
      <c r="B610" s="226">
        <v>42293.664248541667</v>
      </c>
      <c r="C610" t="s">
        <v>1001</v>
      </c>
      <c r="D610" t="s">
        <v>13</v>
      </c>
      <c r="E610">
        <v>40</v>
      </c>
      <c r="F610">
        <v>0</v>
      </c>
    </row>
    <row r="611" spans="1:6" x14ac:dyDescent="0.15">
      <c r="A611" t="s">
        <v>210</v>
      </c>
      <c r="B611" s="226">
        <v>42293.701612893521</v>
      </c>
      <c r="C611" t="s">
        <v>1002</v>
      </c>
      <c r="D611" t="s">
        <v>13</v>
      </c>
      <c r="E611">
        <v>20</v>
      </c>
      <c r="F611">
        <v>0</v>
      </c>
    </row>
    <row r="612" spans="1:6" x14ac:dyDescent="0.15">
      <c r="A612" t="s">
        <v>210</v>
      </c>
      <c r="B612" s="226">
        <v>42293.758072962963</v>
      </c>
      <c r="C612" t="s">
        <v>1003</v>
      </c>
      <c r="D612" t="s">
        <v>13</v>
      </c>
      <c r="E612">
        <v>60</v>
      </c>
      <c r="F612">
        <v>0</v>
      </c>
    </row>
    <row r="613" spans="1:6" x14ac:dyDescent="0.15">
      <c r="A613" t="s">
        <v>210</v>
      </c>
      <c r="B613" s="226">
        <v>42293.766176863428</v>
      </c>
      <c r="C613" t="s">
        <v>1004</v>
      </c>
      <c r="D613" t="s">
        <v>13</v>
      </c>
      <c r="E613">
        <v>40</v>
      </c>
      <c r="F613">
        <v>0</v>
      </c>
    </row>
    <row r="614" spans="1:6" x14ac:dyDescent="0.15">
      <c r="A614" t="s">
        <v>210</v>
      </c>
      <c r="B614" s="226">
        <v>42293.781270671294</v>
      </c>
      <c r="C614" t="s">
        <v>352</v>
      </c>
      <c r="D614" t="s">
        <v>13</v>
      </c>
      <c r="E614">
        <v>100</v>
      </c>
      <c r="F614">
        <v>0</v>
      </c>
    </row>
    <row r="615" spans="1:6" x14ac:dyDescent="0.15">
      <c r="A615" t="s">
        <v>210</v>
      </c>
      <c r="B615" s="226">
        <v>42293.784770300925</v>
      </c>
      <c r="C615" t="s">
        <v>1005</v>
      </c>
      <c r="D615" t="s">
        <v>13</v>
      </c>
      <c r="E615">
        <v>500</v>
      </c>
      <c r="F615">
        <v>0</v>
      </c>
    </row>
    <row r="616" spans="1:6" x14ac:dyDescent="0.15">
      <c r="A616" t="s">
        <v>210</v>
      </c>
      <c r="B616" s="226">
        <v>42293.788585358794</v>
      </c>
      <c r="C616" t="s">
        <v>710</v>
      </c>
      <c r="D616" t="s">
        <v>13</v>
      </c>
      <c r="E616">
        <v>500</v>
      </c>
      <c r="F616">
        <v>0</v>
      </c>
    </row>
    <row r="617" spans="1:6" x14ac:dyDescent="0.15">
      <c r="A617" t="s">
        <v>210</v>
      </c>
      <c r="B617" s="226">
        <v>42293.792003854163</v>
      </c>
      <c r="C617" t="s">
        <v>1006</v>
      </c>
      <c r="D617" t="s">
        <v>13</v>
      </c>
      <c r="E617">
        <v>100</v>
      </c>
      <c r="F617">
        <v>0</v>
      </c>
    </row>
    <row r="618" spans="1:6" x14ac:dyDescent="0.15">
      <c r="A618" t="s">
        <v>210</v>
      </c>
      <c r="B618" s="226">
        <v>42293.826987835651</v>
      </c>
      <c r="C618" t="s">
        <v>1007</v>
      </c>
      <c r="D618" t="s">
        <v>13</v>
      </c>
      <c r="E618">
        <v>100</v>
      </c>
      <c r="F618">
        <v>0</v>
      </c>
    </row>
    <row r="619" spans="1:6" x14ac:dyDescent="0.15">
      <c r="A619" t="s">
        <v>210</v>
      </c>
      <c r="B619" s="226">
        <v>42293.837893969911</v>
      </c>
      <c r="C619" t="s">
        <v>14</v>
      </c>
      <c r="D619" t="s">
        <v>13</v>
      </c>
      <c r="E619">
        <v>60</v>
      </c>
      <c r="F619">
        <v>3.5</v>
      </c>
    </row>
    <row r="620" spans="1:6" x14ac:dyDescent="0.15">
      <c r="A620" t="s">
        <v>210</v>
      </c>
      <c r="B620" s="226">
        <v>42293.852807430558</v>
      </c>
      <c r="C620" t="s">
        <v>1002</v>
      </c>
      <c r="D620" t="s">
        <v>13</v>
      </c>
      <c r="E620">
        <v>100</v>
      </c>
      <c r="F620">
        <v>0</v>
      </c>
    </row>
    <row r="621" spans="1:6" x14ac:dyDescent="0.15">
      <c r="A621" t="s">
        <v>210</v>
      </c>
      <c r="B621" s="226">
        <v>42293.861221504631</v>
      </c>
      <c r="C621" t="s">
        <v>1008</v>
      </c>
      <c r="D621" t="s">
        <v>13</v>
      </c>
      <c r="E621">
        <v>100</v>
      </c>
      <c r="F621">
        <v>0</v>
      </c>
    </row>
    <row r="622" spans="1:6" x14ac:dyDescent="0.15">
      <c r="A622" t="s">
        <v>210</v>
      </c>
      <c r="B622" s="226">
        <v>42293.904430381946</v>
      </c>
      <c r="C622" t="s">
        <v>1009</v>
      </c>
      <c r="D622" t="s">
        <v>13</v>
      </c>
      <c r="E622">
        <v>80</v>
      </c>
      <c r="F622">
        <v>0</v>
      </c>
    </row>
    <row r="623" spans="1:6" x14ac:dyDescent="0.15">
      <c r="A623" t="s">
        <v>210</v>
      </c>
      <c r="B623" s="226">
        <v>42293.911580405096</v>
      </c>
      <c r="C623" t="s">
        <v>1010</v>
      </c>
      <c r="D623" t="s">
        <v>13</v>
      </c>
      <c r="E623">
        <v>20</v>
      </c>
      <c r="F623">
        <v>0</v>
      </c>
    </row>
    <row r="624" spans="1:6" x14ac:dyDescent="0.15">
      <c r="A624" t="s">
        <v>210</v>
      </c>
      <c r="B624" s="226">
        <v>42294.008817337963</v>
      </c>
      <c r="C624" t="s">
        <v>1011</v>
      </c>
      <c r="D624" t="s">
        <v>13</v>
      </c>
      <c r="E624">
        <v>100</v>
      </c>
      <c r="F624">
        <v>0</v>
      </c>
    </row>
    <row r="625" spans="1:6" x14ac:dyDescent="0.15">
      <c r="A625" t="s">
        <v>210</v>
      </c>
      <c r="B625" s="226">
        <v>42294.016608564816</v>
      </c>
      <c r="C625" t="s">
        <v>1012</v>
      </c>
      <c r="D625" t="s">
        <v>13</v>
      </c>
      <c r="E625">
        <v>100</v>
      </c>
      <c r="F625">
        <v>0</v>
      </c>
    </row>
    <row r="626" spans="1:6" x14ac:dyDescent="0.15">
      <c r="A626" t="s">
        <v>210</v>
      </c>
      <c r="B626" s="226">
        <v>42294.385578020832</v>
      </c>
      <c r="C626" t="s">
        <v>1013</v>
      </c>
      <c r="D626" t="s">
        <v>13</v>
      </c>
      <c r="E626">
        <v>120</v>
      </c>
      <c r="F626">
        <v>0</v>
      </c>
    </row>
    <row r="627" spans="1:6" x14ac:dyDescent="0.15">
      <c r="A627" t="s">
        <v>210</v>
      </c>
      <c r="B627" s="226">
        <v>42294.407951435183</v>
      </c>
      <c r="C627" t="s">
        <v>1014</v>
      </c>
      <c r="D627" t="s">
        <v>13</v>
      </c>
      <c r="E627">
        <v>100</v>
      </c>
      <c r="F627">
        <v>0</v>
      </c>
    </row>
    <row r="628" spans="1:6" x14ac:dyDescent="0.15">
      <c r="A628" t="s">
        <v>210</v>
      </c>
      <c r="B628" s="226">
        <v>42294.428243055554</v>
      </c>
      <c r="C628" t="s">
        <v>974</v>
      </c>
      <c r="D628" t="s">
        <v>13</v>
      </c>
      <c r="E628">
        <v>40</v>
      </c>
      <c r="F628">
        <v>0</v>
      </c>
    </row>
    <row r="629" spans="1:6" x14ac:dyDescent="0.15">
      <c r="A629" t="s">
        <v>210</v>
      </c>
      <c r="B629" s="226">
        <v>42294.441879988422</v>
      </c>
      <c r="C629" t="s">
        <v>14</v>
      </c>
      <c r="D629" t="s">
        <v>13</v>
      </c>
      <c r="E629">
        <v>80</v>
      </c>
      <c r="F629">
        <v>3.5</v>
      </c>
    </row>
    <row r="630" spans="1:6" x14ac:dyDescent="0.15">
      <c r="A630" t="s">
        <v>210</v>
      </c>
      <c r="B630" s="226">
        <v>42294.455768101849</v>
      </c>
      <c r="C630" t="s">
        <v>1015</v>
      </c>
      <c r="D630" t="s">
        <v>13</v>
      </c>
      <c r="E630">
        <v>40</v>
      </c>
      <c r="F630">
        <v>0</v>
      </c>
    </row>
    <row r="631" spans="1:6" x14ac:dyDescent="0.15">
      <c r="A631" t="s">
        <v>210</v>
      </c>
      <c r="B631" s="226">
        <v>42294.463578981478</v>
      </c>
      <c r="C631" t="s">
        <v>1016</v>
      </c>
      <c r="D631" t="s">
        <v>13</v>
      </c>
      <c r="E631">
        <v>80</v>
      </c>
      <c r="F631">
        <v>0</v>
      </c>
    </row>
    <row r="632" spans="1:6" x14ac:dyDescent="0.15">
      <c r="A632" t="s">
        <v>210</v>
      </c>
      <c r="B632" s="226">
        <v>42294.464846712966</v>
      </c>
      <c r="C632" t="s">
        <v>1017</v>
      </c>
      <c r="D632" t="s">
        <v>13</v>
      </c>
      <c r="E632">
        <v>200</v>
      </c>
      <c r="F632">
        <v>0</v>
      </c>
    </row>
    <row r="633" spans="1:6" x14ac:dyDescent="0.15">
      <c r="A633" t="s">
        <v>210</v>
      </c>
      <c r="B633" s="226">
        <v>42294.471974409724</v>
      </c>
      <c r="C633" t="s">
        <v>1018</v>
      </c>
      <c r="D633" t="s">
        <v>13</v>
      </c>
      <c r="E633">
        <v>40</v>
      </c>
      <c r="F633">
        <v>0</v>
      </c>
    </row>
    <row r="634" spans="1:6" x14ac:dyDescent="0.15">
      <c r="A634" t="s">
        <v>210</v>
      </c>
      <c r="B634" s="226">
        <v>42294.500574027777</v>
      </c>
      <c r="C634" t="s">
        <v>1019</v>
      </c>
      <c r="D634" t="s">
        <v>13</v>
      </c>
      <c r="E634">
        <v>160</v>
      </c>
      <c r="F634">
        <v>0</v>
      </c>
    </row>
    <row r="635" spans="1:6" x14ac:dyDescent="0.15">
      <c r="A635" t="s">
        <v>210</v>
      </c>
      <c r="B635" s="226">
        <v>42294.510906319447</v>
      </c>
      <c r="C635" t="s">
        <v>1020</v>
      </c>
      <c r="D635" t="s">
        <v>13</v>
      </c>
      <c r="E635">
        <v>120</v>
      </c>
      <c r="F635">
        <v>0</v>
      </c>
    </row>
    <row r="636" spans="1:6" x14ac:dyDescent="0.15">
      <c r="A636" t="s">
        <v>210</v>
      </c>
      <c r="B636" s="226">
        <v>42294.528910497684</v>
      </c>
      <c r="C636" t="s">
        <v>1021</v>
      </c>
      <c r="D636" t="s">
        <v>13</v>
      </c>
      <c r="E636">
        <v>100</v>
      </c>
      <c r="F636">
        <v>0</v>
      </c>
    </row>
    <row r="637" spans="1:6" x14ac:dyDescent="0.15">
      <c r="A637" t="s">
        <v>210</v>
      </c>
      <c r="B637" s="226">
        <v>42294.530452060186</v>
      </c>
      <c r="C637" t="s">
        <v>353</v>
      </c>
      <c r="D637" t="s">
        <v>13</v>
      </c>
      <c r="E637">
        <v>100</v>
      </c>
      <c r="F637">
        <v>0</v>
      </c>
    </row>
    <row r="638" spans="1:6" x14ac:dyDescent="0.15">
      <c r="A638" t="s">
        <v>210</v>
      </c>
      <c r="B638" s="226">
        <v>42294.536183090277</v>
      </c>
      <c r="C638" t="s">
        <v>1022</v>
      </c>
      <c r="D638" t="s">
        <v>13</v>
      </c>
      <c r="E638">
        <v>80</v>
      </c>
      <c r="F638">
        <v>0</v>
      </c>
    </row>
    <row r="639" spans="1:6" x14ac:dyDescent="0.15">
      <c r="A639" t="s">
        <v>210</v>
      </c>
      <c r="B639" s="226">
        <v>42294.556335138892</v>
      </c>
      <c r="C639" t="s">
        <v>1023</v>
      </c>
      <c r="D639" t="s">
        <v>13</v>
      </c>
      <c r="E639">
        <v>20</v>
      </c>
      <c r="F639">
        <v>0</v>
      </c>
    </row>
    <row r="640" spans="1:6" x14ac:dyDescent="0.15">
      <c r="A640" t="s">
        <v>210</v>
      </c>
      <c r="B640" s="226">
        <v>42294.57561482639</v>
      </c>
      <c r="C640" t="s">
        <v>1024</v>
      </c>
      <c r="D640" t="s">
        <v>13</v>
      </c>
      <c r="E640">
        <v>60</v>
      </c>
      <c r="F640">
        <v>0</v>
      </c>
    </row>
    <row r="641" spans="1:6" x14ac:dyDescent="0.15">
      <c r="A641" t="s">
        <v>210</v>
      </c>
      <c r="B641" s="226">
        <v>42294.598080266202</v>
      </c>
      <c r="C641" t="s">
        <v>1025</v>
      </c>
      <c r="D641" t="s">
        <v>13</v>
      </c>
      <c r="E641">
        <v>60</v>
      </c>
      <c r="F641">
        <v>0</v>
      </c>
    </row>
    <row r="642" spans="1:6" x14ac:dyDescent="0.15">
      <c r="A642" t="s">
        <v>210</v>
      </c>
      <c r="B642" s="226">
        <v>42294.605411805554</v>
      </c>
      <c r="C642" t="s">
        <v>1026</v>
      </c>
      <c r="D642" t="s">
        <v>13</v>
      </c>
      <c r="E642">
        <v>40</v>
      </c>
      <c r="F642">
        <v>0</v>
      </c>
    </row>
    <row r="643" spans="1:6" x14ac:dyDescent="0.15">
      <c r="A643" t="s">
        <v>210</v>
      </c>
      <c r="B643" s="226">
        <v>42294.620924340277</v>
      </c>
      <c r="C643" t="s">
        <v>1027</v>
      </c>
      <c r="D643" t="s">
        <v>13</v>
      </c>
      <c r="E643">
        <v>40</v>
      </c>
      <c r="F643">
        <v>0</v>
      </c>
    </row>
    <row r="644" spans="1:6" x14ac:dyDescent="0.15">
      <c r="A644" t="s">
        <v>210</v>
      </c>
      <c r="B644" s="226">
        <v>42294.622199004632</v>
      </c>
      <c r="C644" t="s">
        <v>354</v>
      </c>
      <c r="D644" t="s">
        <v>13</v>
      </c>
      <c r="E644">
        <v>200</v>
      </c>
      <c r="F644">
        <v>0</v>
      </c>
    </row>
    <row r="645" spans="1:6" x14ac:dyDescent="0.15">
      <c r="A645" t="s">
        <v>210</v>
      </c>
      <c r="B645" s="226">
        <v>42294.627205023149</v>
      </c>
      <c r="C645" t="s">
        <v>1028</v>
      </c>
      <c r="D645" t="s">
        <v>15</v>
      </c>
      <c r="E645">
        <v>60</v>
      </c>
      <c r="F645">
        <v>1.8</v>
      </c>
    </row>
    <row r="646" spans="1:6" x14ac:dyDescent="0.15">
      <c r="A646" t="s">
        <v>210</v>
      </c>
      <c r="B646" s="226">
        <v>42294.681848993052</v>
      </c>
      <c r="C646" t="s">
        <v>1029</v>
      </c>
      <c r="D646" t="s">
        <v>13</v>
      </c>
      <c r="E646">
        <v>20</v>
      </c>
      <c r="F646">
        <v>0</v>
      </c>
    </row>
    <row r="647" spans="1:6" x14ac:dyDescent="0.15">
      <c r="A647" t="s">
        <v>210</v>
      </c>
      <c r="B647" s="226">
        <v>42294.682511828702</v>
      </c>
      <c r="C647" t="s">
        <v>1030</v>
      </c>
      <c r="D647" t="s">
        <v>13</v>
      </c>
      <c r="E647">
        <v>60</v>
      </c>
      <c r="F647">
        <v>0</v>
      </c>
    </row>
    <row r="648" spans="1:6" x14ac:dyDescent="0.15">
      <c r="A648" t="s">
        <v>210</v>
      </c>
      <c r="B648" s="226">
        <v>42294.700151967591</v>
      </c>
      <c r="C648" t="s">
        <v>1031</v>
      </c>
      <c r="D648" t="s">
        <v>13</v>
      </c>
      <c r="E648">
        <v>260</v>
      </c>
      <c r="F648">
        <v>0</v>
      </c>
    </row>
    <row r="649" spans="1:6" x14ac:dyDescent="0.15">
      <c r="A649" t="s">
        <v>210</v>
      </c>
      <c r="B649" s="226">
        <v>42294.701037407409</v>
      </c>
      <c r="C649" t="s">
        <v>1032</v>
      </c>
      <c r="D649" t="s">
        <v>13</v>
      </c>
      <c r="E649">
        <v>100</v>
      </c>
      <c r="F649">
        <v>0</v>
      </c>
    </row>
    <row r="650" spans="1:6" x14ac:dyDescent="0.15">
      <c r="A650" t="s">
        <v>210</v>
      </c>
      <c r="B650" s="226">
        <v>42294.710148958337</v>
      </c>
      <c r="C650" t="s">
        <v>182</v>
      </c>
      <c r="D650" t="s">
        <v>13</v>
      </c>
      <c r="E650">
        <v>100</v>
      </c>
      <c r="F650">
        <v>0</v>
      </c>
    </row>
    <row r="651" spans="1:6" x14ac:dyDescent="0.15">
      <c r="A651" t="s">
        <v>210</v>
      </c>
      <c r="B651" s="226">
        <v>42294.738156516207</v>
      </c>
      <c r="C651" t="s">
        <v>1033</v>
      </c>
      <c r="D651" t="s">
        <v>13</v>
      </c>
      <c r="E651">
        <v>40</v>
      </c>
      <c r="F651">
        <v>0</v>
      </c>
    </row>
    <row r="652" spans="1:6" x14ac:dyDescent="0.15">
      <c r="A652" t="s">
        <v>210</v>
      </c>
      <c r="B652" s="226">
        <v>42294.740426597222</v>
      </c>
      <c r="C652" t="s">
        <v>1034</v>
      </c>
      <c r="D652" t="s">
        <v>13</v>
      </c>
      <c r="E652">
        <v>100</v>
      </c>
      <c r="F652">
        <v>0</v>
      </c>
    </row>
    <row r="653" spans="1:6" x14ac:dyDescent="0.15">
      <c r="A653" t="s">
        <v>210</v>
      </c>
      <c r="B653" s="226">
        <v>42294.751106122683</v>
      </c>
      <c r="C653" t="s">
        <v>696</v>
      </c>
      <c r="D653" t="s">
        <v>13</v>
      </c>
      <c r="E653">
        <v>500</v>
      </c>
      <c r="F653">
        <v>0</v>
      </c>
    </row>
    <row r="654" spans="1:6" x14ac:dyDescent="0.15">
      <c r="A654" t="s">
        <v>210</v>
      </c>
      <c r="B654" s="226">
        <v>42294.758723298612</v>
      </c>
      <c r="C654" t="s">
        <v>355</v>
      </c>
      <c r="D654" t="s">
        <v>13</v>
      </c>
      <c r="E654">
        <v>100</v>
      </c>
      <c r="F654">
        <v>0</v>
      </c>
    </row>
    <row r="655" spans="1:6" x14ac:dyDescent="0.15">
      <c r="A655" t="s">
        <v>210</v>
      </c>
      <c r="B655" s="226">
        <v>42294.759761921297</v>
      </c>
      <c r="C655" t="s">
        <v>1035</v>
      </c>
      <c r="D655" t="s">
        <v>13</v>
      </c>
      <c r="E655">
        <v>60</v>
      </c>
      <c r="F655">
        <v>0</v>
      </c>
    </row>
    <row r="656" spans="1:6" x14ac:dyDescent="0.15">
      <c r="A656" t="s">
        <v>210</v>
      </c>
      <c r="B656" s="226">
        <v>42294.768996724539</v>
      </c>
      <c r="C656" t="s">
        <v>1036</v>
      </c>
      <c r="D656" t="s">
        <v>13</v>
      </c>
      <c r="E656">
        <v>60</v>
      </c>
      <c r="F656">
        <v>0</v>
      </c>
    </row>
    <row r="657" spans="1:6" x14ac:dyDescent="0.15">
      <c r="A657" t="s">
        <v>210</v>
      </c>
      <c r="B657" s="226">
        <v>42294.780847534719</v>
      </c>
      <c r="C657" t="s">
        <v>1037</v>
      </c>
      <c r="D657" t="s">
        <v>13</v>
      </c>
      <c r="E657">
        <v>200</v>
      </c>
      <c r="F657">
        <v>0</v>
      </c>
    </row>
    <row r="658" spans="1:6" x14ac:dyDescent="0.15">
      <c r="A658" t="s">
        <v>210</v>
      </c>
      <c r="B658" s="226">
        <v>42294.784633692128</v>
      </c>
      <c r="C658" t="s">
        <v>1038</v>
      </c>
      <c r="D658" t="s">
        <v>13</v>
      </c>
      <c r="E658">
        <v>100</v>
      </c>
      <c r="F658">
        <v>0</v>
      </c>
    </row>
    <row r="659" spans="1:6" x14ac:dyDescent="0.15">
      <c r="A659" t="s">
        <v>210</v>
      </c>
      <c r="B659" s="226">
        <v>42294.819486666667</v>
      </c>
      <c r="C659" t="s">
        <v>1039</v>
      </c>
      <c r="D659" t="s">
        <v>13</v>
      </c>
      <c r="E659">
        <v>100</v>
      </c>
      <c r="F659">
        <v>0</v>
      </c>
    </row>
    <row r="660" spans="1:6" x14ac:dyDescent="0.15">
      <c r="A660" t="s">
        <v>210</v>
      </c>
      <c r="B660" s="226">
        <v>42294.822690162036</v>
      </c>
      <c r="C660" t="s">
        <v>14</v>
      </c>
      <c r="D660" t="s">
        <v>13</v>
      </c>
      <c r="E660">
        <v>100</v>
      </c>
      <c r="F660">
        <v>3.5</v>
      </c>
    </row>
    <row r="661" spans="1:6" x14ac:dyDescent="0.15">
      <c r="A661" t="s">
        <v>210</v>
      </c>
      <c r="B661" s="226">
        <v>42294.827527997688</v>
      </c>
      <c r="C661" t="s">
        <v>1040</v>
      </c>
      <c r="D661" t="s">
        <v>13</v>
      </c>
      <c r="E661">
        <v>120</v>
      </c>
      <c r="F661">
        <v>0</v>
      </c>
    </row>
    <row r="662" spans="1:6" x14ac:dyDescent="0.15">
      <c r="A662" t="s">
        <v>210</v>
      </c>
      <c r="B662" s="226">
        <v>42294.834981956017</v>
      </c>
      <c r="C662" t="s">
        <v>1041</v>
      </c>
      <c r="D662" t="s">
        <v>13</v>
      </c>
      <c r="E662">
        <v>120</v>
      </c>
      <c r="F662">
        <v>0</v>
      </c>
    </row>
    <row r="663" spans="1:6" x14ac:dyDescent="0.15">
      <c r="A663" t="s">
        <v>210</v>
      </c>
      <c r="B663" s="226">
        <v>42294.883827893522</v>
      </c>
      <c r="C663" t="s">
        <v>14</v>
      </c>
      <c r="D663" t="s">
        <v>13</v>
      </c>
      <c r="E663">
        <v>40</v>
      </c>
      <c r="F663">
        <v>3.5</v>
      </c>
    </row>
    <row r="664" spans="1:6" x14ac:dyDescent="0.15">
      <c r="A664" t="s">
        <v>210</v>
      </c>
      <c r="B664" s="226">
        <v>42294.907018726852</v>
      </c>
      <c r="C664" t="s">
        <v>315</v>
      </c>
      <c r="D664" t="s">
        <v>13</v>
      </c>
      <c r="E664">
        <v>160</v>
      </c>
      <c r="F664">
        <v>0</v>
      </c>
    </row>
    <row r="665" spans="1:6" x14ac:dyDescent="0.15">
      <c r="A665" t="s">
        <v>210</v>
      </c>
      <c r="B665" s="226">
        <v>42294.925274872687</v>
      </c>
      <c r="C665" t="s">
        <v>1042</v>
      </c>
      <c r="D665" t="s">
        <v>13</v>
      </c>
      <c r="E665">
        <v>100</v>
      </c>
      <c r="F665">
        <v>0</v>
      </c>
    </row>
    <row r="666" spans="1:6" x14ac:dyDescent="0.15">
      <c r="A666" t="s">
        <v>210</v>
      </c>
      <c r="B666" s="226">
        <v>42294.926177407404</v>
      </c>
      <c r="C666" t="s">
        <v>356</v>
      </c>
      <c r="D666" t="s">
        <v>13</v>
      </c>
      <c r="E666">
        <v>20</v>
      </c>
      <c r="F666">
        <v>0</v>
      </c>
    </row>
    <row r="667" spans="1:6" x14ac:dyDescent="0.15">
      <c r="A667" t="s">
        <v>210</v>
      </c>
      <c r="B667" s="226">
        <v>42294.927600104165</v>
      </c>
      <c r="C667" t="s">
        <v>1043</v>
      </c>
      <c r="D667" t="s">
        <v>13</v>
      </c>
      <c r="E667">
        <v>40</v>
      </c>
      <c r="F667">
        <v>0</v>
      </c>
    </row>
    <row r="668" spans="1:6" x14ac:dyDescent="0.15">
      <c r="A668" t="s">
        <v>210</v>
      </c>
      <c r="B668" s="226">
        <v>42294.947140312499</v>
      </c>
      <c r="C668" t="s">
        <v>14</v>
      </c>
      <c r="D668" t="s">
        <v>13</v>
      </c>
      <c r="E668">
        <v>80</v>
      </c>
      <c r="F668">
        <v>3.5</v>
      </c>
    </row>
    <row r="669" spans="1:6" x14ac:dyDescent="0.15">
      <c r="A669" t="s">
        <v>210</v>
      </c>
      <c r="B669" s="226">
        <v>42295.042867152777</v>
      </c>
      <c r="C669" t="s">
        <v>1044</v>
      </c>
      <c r="D669" t="s">
        <v>13</v>
      </c>
      <c r="E669">
        <v>60</v>
      </c>
      <c r="F669">
        <v>0</v>
      </c>
    </row>
    <row r="670" spans="1:6" x14ac:dyDescent="0.15">
      <c r="A670" t="s">
        <v>210</v>
      </c>
      <c r="B670" s="226">
        <v>42295.35032459491</v>
      </c>
      <c r="C670" t="s">
        <v>1045</v>
      </c>
      <c r="D670" t="s">
        <v>13</v>
      </c>
      <c r="E670">
        <v>80</v>
      </c>
      <c r="F670">
        <v>0</v>
      </c>
    </row>
    <row r="671" spans="1:6" x14ac:dyDescent="0.15">
      <c r="A671" t="s">
        <v>210</v>
      </c>
      <c r="B671" s="226">
        <v>42295.391302361109</v>
      </c>
      <c r="C671" t="s">
        <v>1046</v>
      </c>
      <c r="D671" t="s">
        <v>13</v>
      </c>
      <c r="E671">
        <v>40</v>
      </c>
      <c r="F671">
        <v>0</v>
      </c>
    </row>
    <row r="672" spans="1:6" x14ac:dyDescent="0.15">
      <c r="A672" t="s">
        <v>210</v>
      </c>
      <c r="B672" s="226">
        <v>42295.424042604165</v>
      </c>
      <c r="C672" t="s">
        <v>1047</v>
      </c>
      <c r="D672" t="s">
        <v>13</v>
      </c>
      <c r="E672">
        <v>200</v>
      </c>
      <c r="F672">
        <v>0</v>
      </c>
    </row>
    <row r="673" spans="1:6" x14ac:dyDescent="0.15">
      <c r="A673" t="s">
        <v>210</v>
      </c>
      <c r="B673" s="226">
        <v>42295.429330636573</v>
      </c>
      <c r="C673" t="s">
        <v>1002</v>
      </c>
      <c r="D673" t="s">
        <v>13</v>
      </c>
      <c r="E673">
        <v>40</v>
      </c>
      <c r="F673">
        <v>0</v>
      </c>
    </row>
    <row r="674" spans="1:6" x14ac:dyDescent="0.15">
      <c r="A674" t="s">
        <v>210</v>
      </c>
      <c r="B674" s="226">
        <v>42295.43964733796</v>
      </c>
      <c r="C674" t="s">
        <v>1048</v>
      </c>
      <c r="D674" t="s">
        <v>13</v>
      </c>
      <c r="E674">
        <v>100</v>
      </c>
      <c r="F674">
        <v>0</v>
      </c>
    </row>
    <row r="675" spans="1:6" x14ac:dyDescent="0.15">
      <c r="A675" t="s">
        <v>210</v>
      </c>
      <c r="B675" s="226">
        <v>42295.484828599539</v>
      </c>
      <c r="C675" t="s">
        <v>357</v>
      </c>
      <c r="D675" t="s">
        <v>13</v>
      </c>
      <c r="E675">
        <v>40</v>
      </c>
      <c r="F675">
        <v>0</v>
      </c>
    </row>
    <row r="676" spans="1:6" x14ac:dyDescent="0.15">
      <c r="A676" t="s">
        <v>210</v>
      </c>
      <c r="B676" s="226">
        <v>42295.485471550928</v>
      </c>
      <c r="C676" t="s">
        <v>319</v>
      </c>
      <c r="D676" t="s">
        <v>13</v>
      </c>
      <c r="E676">
        <v>20</v>
      </c>
      <c r="F676">
        <v>0</v>
      </c>
    </row>
    <row r="677" spans="1:6" x14ac:dyDescent="0.15">
      <c r="A677" t="s">
        <v>210</v>
      </c>
      <c r="B677" s="226">
        <v>42295.490509768519</v>
      </c>
      <c r="C677" t="s">
        <v>1049</v>
      </c>
      <c r="D677" t="s">
        <v>13</v>
      </c>
      <c r="E677">
        <v>40</v>
      </c>
      <c r="F677">
        <v>0</v>
      </c>
    </row>
    <row r="678" spans="1:6" x14ac:dyDescent="0.15">
      <c r="A678" t="s">
        <v>210</v>
      </c>
      <c r="B678" s="226">
        <v>42295.492904976854</v>
      </c>
      <c r="C678" t="s">
        <v>1050</v>
      </c>
      <c r="D678" t="s">
        <v>13</v>
      </c>
      <c r="E678">
        <v>100</v>
      </c>
      <c r="F678">
        <v>0</v>
      </c>
    </row>
    <row r="679" spans="1:6" x14ac:dyDescent="0.15">
      <c r="A679" t="s">
        <v>210</v>
      </c>
      <c r="B679" s="226">
        <v>42295.495345706018</v>
      </c>
      <c r="C679" t="s">
        <v>1051</v>
      </c>
      <c r="D679" t="s">
        <v>13</v>
      </c>
      <c r="E679">
        <v>40</v>
      </c>
      <c r="F679">
        <v>0</v>
      </c>
    </row>
    <row r="680" spans="1:6" x14ac:dyDescent="0.15">
      <c r="A680" t="s">
        <v>210</v>
      </c>
      <c r="B680" s="226">
        <v>42295.512372349534</v>
      </c>
      <c r="C680" t="s">
        <v>1052</v>
      </c>
      <c r="D680" t="s">
        <v>13</v>
      </c>
      <c r="E680">
        <v>60</v>
      </c>
      <c r="F680">
        <v>0</v>
      </c>
    </row>
    <row r="681" spans="1:6" x14ac:dyDescent="0.15">
      <c r="A681" t="s">
        <v>210</v>
      </c>
      <c r="B681" s="226">
        <v>42295.525315046296</v>
      </c>
      <c r="C681" t="s">
        <v>14</v>
      </c>
      <c r="D681" t="s">
        <v>15</v>
      </c>
      <c r="E681">
        <v>20</v>
      </c>
      <c r="F681">
        <v>3.1</v>
      </c>
    </row>
    <row r="682" spans="1:6" x14ac:dyDescent="0.15">
      <c r="A682" t="s">
        <v>210</v>
      </c>
      <c r="B682" s="226">
        <v>42295.532324583335</v>
      </c>
      <c r="C682" t="s">
        <v>1053</v>
      </c>
      <c r="D682" t="s">
        <v>13</v>
      </c>
      <c r="E682">
        <v>60</v>
      </c>
      <c r="F682">
        <v>0</v>
      </c>
    </row>
    <row r="683" spans="1:6" x14ac:dyDescent="0.15">
      <c r="A683" t="s">
        <v>210</v>
      </c>
      <c r="B683" s="226">
        <v>42295.545653321758</v>
      </c>
      <c r="C683" t="s">
        <v>1054</v>
      </c>
      <c r="D683" t="s">
        <v>13</v>
      </c>
      <c r="E683">
        <v>100</v>
      </c>
      <c r="F683">
        <v>0</v>
      </c>
    </row>
    <row r="684" spans="1:6" x14ac:dyDescent="0.15">
      <c r="A684" t="s">
        <v>210</v>
      </c>
      <c r="B684" s="226">
        <v>42295.55261013889</v>
      </c>
      <c r="C684" t="s">
        <v>1055</v>
      </c>
      <c r="D684" t="s">
        <v>13</v>
      </c>
      <c r="E684">
        <v>40</v>
      </c>
      <c r="F684">
        <v>0</v>
      </c>
    </row>
    <row r="685" spans="1:6" x14ac:dyDescent="0.15">
      <c r="A685" t="s">
        <v>210</v>
      </c>
      <c r="B685" s="226">
        <v>42295.565941666668</v>
      </c>
      <c r="C685" t="s">
        <v>1056</v>
      </c>
      <c r="D685" t="s">
        <v>13</v>
      </c>
      <c r="E685">
        <v>100</v>
      </c>
      <c r="F685">
        <v>0</v>
      </c>
    </row>
    <row r="686" spans="1:6" x14ac:dyDescent="0.15">
      <c r="A686" t="s">
        <v>210</v>
      </c>
      <c r="B686" s="226">
        <v>42295.569567442129</v>
      </c>
      <c r="C686" t="s">
        <v>1045</v>
      </c>
      <c r="D686" t="s">
        <v>13</v>
      </c>
      <c r="E686">
        <v>100</v>
      </c>
      <c r="F686">
        <v>0</v>
      </c>
    </row>
    <row r="687" spans="1:6" x14ac:dyDescent="0.15">
      <c r="A687" t="s">
        <v>210</v>
      </c>
      <c r="B687" s="226">
        <v>42295.581522395834</v>
      </c>
      <c r="C687" t="s">
        <v>1057</v>
      </c>
      <c r="D687" t="s">
        <v>13</v>
      </c>
      <c r="E687">
        <v>40</v>
      </c>
      <c r="F687">
        <v>0</v>
      </c>
    </row>
    <row r="688" spans="1:6" x14ac:dyDescent="0.15">
      <c r="A688" t="s">
        <v>210</v>
      </c>
      <c r="B688" s="226">
        <v>42295.599725509259</v>
      </c>
      <c r="C688" t="s">
        <v>1058</v>
      </c>
      <c r="D688" t="s">
        <v>13</v>
      </c>
      <c r="E688">
        <v>20</v>
      </c>
      <c r="F688">
        <v>0</v>
      </c>
    </row>
    <row r="689" spans="1:6" x14ac:dyDescent="0.15">
      <c r="A689" t="s">
        <v>210</v>
      </c>
      <c r="B689" s="226">
        <v>42295.603525474537</v>
      </c>
      <c r="C689" t="s">
        <v>1059</v>
      </c>
      <c r="D689" t="s">
        <v>13</v>
      </c>
      <c r="E689">
        <v>100</v>
      </c>
      <c r="F689">
        <v>0</v>
      </c>
    </row>
    <row r="690" spans="1:6" x14ac:dyDescent="0.15">
      <c r="A690" t="s">
        <v>210</v>
      </c>
      <c r="B690" s="226">
        <v>42295.611738807871</v>
      </c>
      <c r="C690" t="s">
        <v>1060</v>
      </c>
      <c r="D690" t="s">
        <v>15</v>
      </c>
      <c r="E690">
        <v>40</v>
      </c>
      <c r="F690">
        <v>1.2</v>
      </c>
    </row>
    <row r="691" spans="1:6" x14ac:dyDescent="0.15">
      <c r="A691" t="s">
        <v>210</v>
      </c>
      <c r="B691" s="226">
        <v>42295.638047094908</v>
      </c>
      <c r="C691" t="s">
        <v>1061</v>
      </c>
      <c r="D691" t="s">
        <v>13</v>
      </c>
      <c r="E691">
        <v>80</v>
      </c>
      <c r="F691">
        <v>0</v>
      </c>
    </row>
    <row r="692" spans="1:6" x14ac:dyDescent="0.15">
      <c r="A692" t="s">
        <v>210</v>
      </c>
      <c r="B692" s="226">
        <v>42295.682621655091</v>
      </c>
      <c r="C692" t="s">
        <v>1062</v>
      </c>
      <c r="D692" t="s">
        <v>13</v>
      </c>
      <c r="E692">
        <v>40</v>
      </c>
      <c r="F692">
        <v>0</v>
      </c>
    </row>
    <row r="693" spans="1:6" x14ac:dyDescent="0.15">
      <c r="A693" t="s">
        <v>210</v>
      </c>
      <c r="B693" s="226">
        <v>42295.683773831021</v>
      </c>
      <c r="C693" t="s">
        <v>1063</v>
      </c>
      <c r="D693" t="s">
        <v>13</v>
      </c>
      <c r="E693">
        <v>100</v>
      </c>
      <c r="F693">
        <v>0</v>
      </c>
    </row>
    <row r="694" spans="1:6" x14ac:dyDescent="0.15">
      <c r="A694" t="s">
        <v>210</v>
      </c>
      <c r="B694" s="226">
        <v>42295.697220601854</v>
      </c>
      <c r="C694" t="s">
        <v>1064</v>
      </c>
      <c r="D694" t="s">
        <v>13</v>
      </c>
      <c r="E694">
        <v>20</v>
      </c>
      <c r="F694">
        <v>0</v>
      </c>
    </row>
    <row r="695" spans="1:6" x14ac:dyDescent="0.15">
      <c r="A695" t="s">
        <v>210</v>
      </c>
      <c r="B695" s="226">
        <v>42295.774917337963</v>
      </c>
      <c r="C695" t="s">
        <v>1065</v>
      </c>
      <c r="D695" t="s">
        <v>13</v>
      </c>
      <c r="E695">
        <v>100</v>
      </c>
      <c r="F695">
        <v>0</v>
      </c>
    </row>
    <row r="696" spans="1:6" x14ac:dyDescent="0.15">
      <c r="A696" t="s">
        <v>210</v>
      </c>
      <c r="B696" s="226">
        <v>42295.808091597224</v>
      </c>
      <c r="C696" t="s">
        <v>1066</v>
      </c>
      <c r="D696" t="s">
        <v>13</v>
      </c>
      <c r="E696">
        <v>60</v>
      </c>
      <c r="F696">
        <v>0</v>
      </c>
    </row>
    <row r="697" spans="1:6" x14ac:dyDescent="0.15">
      <c r="A697" t="s">
        <v>210</v>
      </c>
      <c r="B697" s="226">
        <v>42295.859699942128</v>
      </c>
      <c r="C697" t="s">
        <v>1067</v>
      </c>
      <c r="D697" t="s">
        <v>13</v>
      </c>
      <c r="E697">
        <v>100</v>
      </c>
      <c r="F697">
        <v>0</v>
      </c>
    </row>
    <row r="698" spans="1:6" x14ac:dyDescent="0.15">
      <c r="A698" t="s">
        <v>210</v>
      </c>
      <c r="B698" s="226">
        <v>42295.865169351855</v>
      </c>
      <c r="C698" t="s">
        <v>1068</v>
      </c>
      <c r="D698" t="s">
        <v>13</v>
      </c>
      <c r="E698">
        <v>20</v>
      </c>
      <c r="F698">
        <v>0</v>
      </c>
    </row>
    <row r="699" spans="1:6" x14ac:dyDescent="0.15">
      <c r="A699" t="s">
        <v>210</v>
      </c>
      <c r="B699" s="226">
        <v>42296.26122497685</v>
      </c>
      <c r="C699" t="s">
        <v>1069</v>
      </c>
      <c r="D699" t="s">
        <v>13</v>
      </c>
      <c r="E699">
        <v>100</v>
      </c>
      <c r="F699">
        <v>0</v>
      </c>
    </row>
    <row r="700" spans="1:6" x14ac:dyDescent="0.15">
      <c r="A700" t="s">
        <v>210</v>
      </c>
      <c r="B700" s="226">
        <v>42296.296295138891</v>
      </c>
      <c r="C700" t="s">
        <v>1070</v>
      </c>
      <c r="D700" t="s">
        <v>13</v>
      </c>
      <c r="E700">
        <v>100</v>
      </c>
      <c r="F700">
        <v>0</v>
      </c>
    </row>
    <row r="701" spans="1:6" x14ac:dyDescent="0.15">
      <c r="A701" t="s">
        <v>210</v>
      </c>
      <c r="B701" s="226">
        <v>42296.297067766202</v>
      </c>
      <c r="C701" t="s">
        <v>1071</v>
      </c>
      <c r="D701" t="s">
        <v>13</v>
      </c>
      <c r="E701">
        <v>100</v>
      </c>
      <c r="F701">
        <v>0</v>
      </c>
    </row>
    <row r="702" spans="1:6" x14ac:dyDescent="0.15">
      <c r="A702" t="s">
        <v>210</v>
      </c>
      <c r="B702" s="226">
        <v>42296.335493495368</v>
      </c>
      <c r="C702" t="s">
        <v>1072</v>
      </c>
      <c r="D702" t="s">
        <v>13</v>
      </c>
      <c r="E702">
        <v>80</v>
      </c>
      <c r="F702">
        <v>0</v>
      </c>
    </row>
    <row r="703" spans="1:6" x14ac:dyDescent="0.15">
      <c r="A703" t="s">
        <v>210</v>
      </c>
      <c r="B703" s="226">
        <v>42296.347783055557</v>
      </c>
      <c r="C703" t="s">
        <v>1073</v>
      </c>
      <c r="D703" t="s">
        <v>13</v>
      </c>
      <c r="E703">
        <v>80</v>
      </c>
      <c r="F703">
        <v>0</v>
      </c>
    </row>
    <row r="704" spans="1:6" x14ac:dyDescent="0.15">
      <c r="A704" t="s">
        <v>210</v>
      </c>
      <c r="B704" s="226">
        <v>42296.37288195602</v>
      </c>
      <c r="C704" t="s">
        <v>14</v>
      </c>
      <c r="D704" t="s">
        <v>13</v>
      </c>
      <c r="E704">
        <v>120</v>
      </c>
      <c r="F704">
        <v>3.5</v>
      </c>
    </row>
    <row r="705" spans="1:6" x14ac:dyDescent="0.15">
      <c r="A705" t="s">
        <v>210</v>
      </c>
      <c r="B705" s="226">
        <v>42296.380298842596</v>
      </c>
      <c r="C705" t="s">
        <v>1074</v>
      </c>
      <c r="D705" t="s">
        <v>13</v>
      </c>
      <c r="E705">
        <v>60</v>
      </c>
      <c r="F705">
        <v>0</v>
      </c>
    </row>
    <row r="706" spans="1:6" x14ac:dyDescent="0.15">
      <c r="A706" t="s">
        <v>210</v>
      </c>
      <c r="B706" s="226">
        <v>42296.415557685184</v>
      </c>
      <c r="C706" t="s">
        <v>14</v>
      </c>
      <c r="D706" t="s">
        <v>13</v>
      </c>
      <c r="E706">
        <v>100</v>
      </c>
      <c r="F706">
        <v>3.5</v>
      </c>
    </row>
    <row r="707" spans="1:6" x14ac:dyDescent="0.15">
      <c r="A707" t="s">
        <v>210</v>
      </c>
      <c r="B707" s="226">
        <v>42296.452561967591</v>
      </c>
      <c r="C707" t="s">
        <v>1075</v>
      </c>
      <c r="D707" t="s">
        <v>13</v>
      </c>
      <c r="E707">
        <v>100</v>
      </c>
      <c r="F707">
        <v>0</v>
      </c>
    </row>
    <row r="708" spans="1:6" x14ac:dyDescent="0.15">
      <c r="A708" t="s">
        <v>210</v>
      </c>
      <c r="B708" s="226">
        <v>42296.475228437499</v>
      </c>
      <c r="C708" t="s">
        <v>1076</v>
      </c>
      <c r="D708" t="s">
        <v>13</v>
      </c>
      <c r="E708">
        <v>20</v>
      </c>
      <c r="F708">
        <v>0</v>
      </c>
    </row>
    <row r="709" spans="1:6" x14ac:dyDescent="0.15">
      <c r="A709" t="s">
        <v>210</v>
      </c>
      <c r="B709" s="226">
        <v>42296.476313449071</v>
      </c>
      <c r="C709" t="s">
        <v>1077</v>
      </c>
      <c r="D709" t="s">
        <v>13</v>
      </c>
      <c r="E709">
        <v>20</v>
      </c>
      <c r="F709">
        <v>0</v>
      </c>
    </row>
    <row r="710" spans="1:6" x14ac:dyDescent="0.15">
      <c r="A710" t="s">
        <v>210</v>
      </c>
      <c r="B710" s="226">
        <v>42296.477635370371</v>
      </c>
      <c r="C710" t="s">
        <v>1078</v>
      </c>
      <c r="D710" t="s">
        <v>13</v>
      </c>
      <c r="E710">
        <v>100</v>
      </c>
      <c r="F710">
        <v>0</v>
      </c>
    </row>
    <row r="711" spans="1:6" x14ac:dyDescent="0.15">
      <c r="A711" t="s">
        <v>210</v>
      </c>
      <c r="B711" s="226">
        <v>42296.508439861114</v>
      </c>
      <c r="C711" t="s">
        <v>14</v>
      </c>
      <c r="D711" t="s">
        <v>13</v>
      </c>
      <c r="E711">
        <v>80</v>
      </c>
      <c r="F711">
        <v>3.5</v>
      </c>
    </row>
    <row r="712" spans="1:6" x14ac:dyDescent="0.15">
      <c r="A712" t="s">
        <v>210</v>
      </c>
      <c r="B712" s="226">
        <v>42296.514152962962</v>
      </c>
      <c r="C712" t="s">
        <v>1079</v>
      </c>
      <c r="D712" t="s">
        <v>13</v>
      </c>
      <c r="E712">
        <v>100</v>
      </c>
      <c r="F712">
        <v>0</v>
      </c>
    </row>
    <row r="713" spans="1:6" x14ac:dyDescent="0.15">
      <c r="A713" t="s">
        <v>210</v>
      </c>
      <c r="B713" s="226">
        <v>42296.518604444442</v>
      </c>
      <c r="C713" t="s">
        <v>1080</v>
      </c>
      <c r="D713" t="s">
        <v>13</v>
      </c>
      <c r="E713">
        <v>40</v>
      </c>
      <c r="F713">
        <v>0</v>
      </c>
    </row>
    <row r="714" spans="1:6" x14ac:dyDescent="0.15">
      <c r="A714" t="s">
        <v>210</v>
      </c>
      <c r="B714" s="226">
        <v>42296.532336724536</v>
      </c>
      <c r="C714" t="s">
        <v>1081</v>
      </c>
      <c r="D714" t="s">
        <v>13</v>
      </c>
      <c r="E714">
        <v>40</v>
      </c>
      <c r="F714">
        <v>0</v>
      </c>
    </row>
    <row r="715" spans="1:6" x14ac:dyDescent="0.15">
      <c r="A715" t="s">
        <v>210</v>
      </c>
      <c r="B715" s="226">
        <v>42296.535098020831</v>
      </c>
      <c r="C715" t="s">
        <v>1082</v>
      </c>
      <c r="D715" t="s">
        <v>13</v>
      </c>
      <c r="E715">
        <v>60</v>
      </c>
      <c r="F715">
        <v>0</v>
      </c>
    </row>
    <row r="716" spans="1:6" x14ac:dyDescent="0.15">
      <c r="A716" t="s">
        <v>210</v>
      </c>
      <c r="B716" s="226">
        <v>42296.53847699074</v>
      </c>
      <c r="C716" t="s">
        <v>1083</v>
      </c>
      <c r="D716" t="s">
        <v>13</v>
      </c>
      <c r="E716">
        <v>80</v>
      </c>
      <c r="F716">
        <v>0</v>
      </c>
    </row>
    <row r="717" spans="1:6" x14ac:dyDescent="0.15">
      <c r="A717" t="s">
        <v>210</v>
      </c>
      <c r="B717" s="226">
        <v>42296.542254004627</v>
      </c>
      <c r="C717" t="s">
        <v>1084</v>
      </c>
      <c r="D717" t="s">
        <v>13</v>
      </c>
      <c r="E717">
        <v>100</v>
      </c>
      <c r="F717">
        <v>0</v>
      </c>
    </row>
    <row r="718" spans="1:6" x14ac:dyDescent="0.15">
      <c r="A718" t="s">
        <v>210</v>
      </c>
      <c r="B718" s="226">
        <v>42296.554052465275</v>
      </c>
      <c r="C718" t="s">
        <v>1085</v>
      </c>
      <c r="D718" t="s">
        <v>13</v>
      </c>
      <c r="E718">
        <v>100</v>
      </c>
      <c r="F718">
        <v>0</v>
      </c>
    </row>
    <row r="719" spans="1:6" x14ac:dyDescent="0.15">
      <c r="A719" t="s">
        <v>210</v>
      </c>
      <c r="B719" s="226">
        <v>42296.582393634257</v>
      </c>
      <c r="C719" t="s">
        <v>1086</v>
      </c>
      <c r="D719" t="s">
        <v>13</v>
      </c>
      <c r="E719">
        <v>40</v>
      </c>
      <c r="F719">
        <v>0</v>
      </c>
    </row>
    <row r="720" spans="1:6" x14ac:dyDescent="0.15">
      <c r="A720" t="s">
        <v>210</v>
      </c>
      <c r="B720" s="226">
        <v>42296.583633206021</v>
      </c>
      <c r="C720" t="s">
        <v>322</v>
      </c>
      <c r="D720" t="s">
        <v>13</v>
      </c>
      <c r="E720">
        <v>60</v>
      </c>
      <c r="F720">
        <v>0</v>
      </c>
    </row>
    <row r="721" spans="1:6" x14ac:dyDescent="0.15">
      <c r="A721" t="s">
        <v>210</v>
      </c>
      <c r="B721" s="226">
        <v>42296.594129999998</v>
      </c>
      <c r="C721" t="s">
        <v>358</v>
      </c>
      <c r="D721" t="s">
        <v>13</v>
      </c>
      <c r="E721">
        <v>500</v>
      </c>
      <c r="F721">
        <v>0</v>
      </c>
    </row>
    <row r="722" spans="1:6" x14ac:dyDescent="0.15">
      <c r="A722" t="s">
        <v>210</v>
      </c>
      <c r="B722" s="226">
        <v>42296.595156203701</v>
      </c>
      <c r="C722" t="s">
        <v>1087</v>
      </c>
      <c r="D722" t="s">
        <v>13</v>
      </c>
      <c r="E722">
        <v>100</v>
      </c>
      <c r="F722">
        <v>0</v>
      </c>
    </row>
    <row r="723" spans="1:6" x14ac:dyDescent="0.15">
      <c r="A723" t="s">
        <v>210</v>
      </c>
      <c r="B723" s="226">
        <v>42296.597310081015</v>
      </c>
      <c r="C723" t="s">
        <v>1088</v>
      </c>
      <c r="D723" t="s">
        <v>13</v>
      </c>
      <c r="E723">
        <v>20</v>
      </c>
      <c r="F723">
        <v>0</v>
      </c>
    </row>
    <row r="724" spans="1:6" x14ac:dyDescent="0.15">
      <c r="A724" t="s">
        <v>210</v>
      </c>
      <c r="B724" s="226">
        <v>42296.607216574077</v>
      </c>
      <c r="C724" t="s">
        <v>359</v>
      </c>
      <c r="D724" t="s">
        <v>13</v>
      </c>
      <c r="E724">
        <v>140</v>
      </c>
      <c r="F724">
        <v>0</v>
      </c>
    </row>
    <row r="725" spans="1:6" x14ac:dyDescent="0.15">
      <c r="A725" t="s">
        <v>210</v>
      </c>
      <c r="B725" s="226">
        <v>42296.639579826391</v>
      </c>
      <c r="C725" t="s">
        <v>1089</v>
      </c>
      <c r="D725" t="s">
        <v>13</v>
      </c>
      <c r="E725">
        <v>100</v>
      </c>
      <c r="F725">
        <v>0</v>
      </c>
    </row>
    <row r="726" spans="1:6" x14ac:dyDescent="0.15">
      <c r="A726" t="s">
        <v>210</v>
      </c>
      <c r="B726" s="226">
        <v>42296.671070613425</v>
      </c>
      <c r="C726" t="s">
        <v>1090</v>
      </c>
      <c r="D726" t="s">
        <v>13</v>
      </c>
      <c r="E726">
        <v>80</v>
      </c>
      <c r="F726">
        <v>0</v>
      </c>
    </row>
    <row r="727" spans="1:6" x14ac:dyDescent="0.15">
      <c r="A727" t="s">
        <v>210</v>
      </c>
      <c r="B727" s="226">
        <v>42296.683695312502</v>
      </c>
      <c r="C727" t="s">
        <v>360</v>
      </c>
      <c r="D727" t="s">
        <v>13</v>
      </c>
      <c r="E727">
        <v>40</v>
      </c>
      <c r="F727">
        <v>0</v>
      </c>
    </row>
    <row r="728" spans="1:6" x14ac:dyDescent="0.15">
      <c r="A728" t="s">
        <v>210</v>
      </c>
      <c r="B728" s="226">
        <v>42296.701332384262</v>
      </c>
      <c r="C728" t="s">
        <v>1091</v>
      </c>
      <c r="D728" t="s">
        <v>13</v>
      </c>
      <c r="E728">
        <v>60</v>
      </c>
      <c r="F728">
        <v>0</v>
      </c>
    </row>
    <row r="729" spans="1:6" x14ac:dyDescent="0.15">
      <c r="A729" t="s">
        <v>210</v>
      </c>
      <c r="B729" s="226">
        <v>42296.702087800928</v>
      </c>
      <c r="C729" t="s">
        <v>1092</v>
      </c>
      <c r="D729" t="s">
        <v>13</v>
      </c>
      <c r="E729">
        <v>120</v>
      </c>
      <c r="F729">
        <v>0</v>
      </c>
    </row>
    <row r="730" spans="1:6" x14ac:dyDescent="0.15">
      <c r="A730" t="s">
        <v>210</v>
      </c>
      <c r="B730" s="226">
        <v>42296.734094814812</v>
      </c>
      <c r="C730" t="s">
        <v>1093</v>
      </c>
      <c r="D730" t="s">
        <v>13</v>
      </c>
      <c r="E730">
        <v>100</v>
      </c>
      <c r="F730">
        <v>0</v>
      </c>
    </row>
    <row r="731" spans="1:6" x14ac:dyDescent="0.15">
      <c r="A731" t="s">
        <v>210</v>
      </c>
      <c r="B731" s="226">
        <v>42296.735641388892</v>
      </c>
      <c r="C731" t="s">
        <v>1094</v>
      </c>
      <c r="D731" t="s">
        <v>13</v>
      </c>
      <c r="E731">
        <v>20</v>
      </c>
      <c r="F731">
        <v>0</v>
      </c>
    </row>
    <row r="732" spans="1:6" x14ac:dyDescent="0.15">
      <c r="A732" t="s">
        <v>210</v>
      </c>
      <c r="B732" s="226">
        <v>42296.737487546299</v>
      </c>
      <c r="C732" t="s">
        <v>616</v>
      </c>
      <c r="D732" t="s">
        <v>13</v>
      </c>
      <c r="E732">
        <v>100</v>
      </c>
      <c r="F732">
        <v>0</v>
      </c>
    </row>
    <row r="733" spans="1:6" x14ac:dyDescent="0.15">
      <c r="A733" t="s">
        <v>210</v>
      </c>
      <c r="B733" s="226">
        <v>42296.749887268517</v>
      </c>
      <c r="C733" t="s">
        <v>361</v>
      </c>
      <c r="D733" t="s">
        <v>13</v>
      </c>
      <c r="E733">
        <v>20</v>
      </c>
      <c r="F733">
        <v>0</v>
      </c>
    </row>
    <row r="734" spans="1:6" x14ac:dyDescent="0.15">
      <c r="A734" t="s">
        <v>210</v>
      </c>
      <c r="B734" s="226">
        <v>42296.752230081016</v>
      </c>
      <c r="C734" t="s">
        <v>14</v>
      </c>
      <c r="D734" t="s">
        <v>13</v>
      </c>
      <c r="E734">
        <v>60</v>
      </c>
      <c r="F734">
        <v>3.5</v>
      </c>
    </row>
    <row r="735" spans="1:6" x14ac:dyDescent="0.15">
      <c r="A735" t="s">
        <v>210</v>
      </c>
      <c r="B735" s="226">
        <v>42296.753874444446</v>
      </c>
      <c r="C735" t="s">
        <v>1095</v>
      </c>
      <c r="D735" t="s">
        <v>13</v>
      </c>
      <c r="E735">
        <v>200</v>
      </c>
      <c r="F735">
        <v>0</v>
      </c>
    </row>
    <row r="736" spans="1:6" x14ac:dyDescent="0.15">
      <c r="A736" t="s">
        <v>210</v>
      </c>
      <c r="B736" s="226">
        <v>42296.759766828705</v>
      </c>
      <c r="C736" t="s">
        <v>1096</v>
      </c>
      <c r="D736" t="s">
        <v>13</v>
      </c>
      <c r="E736">
        <v>40</v>
      </c>
      <c r="F736">
        <v>0</v>
      </c>
    </row>
    <row r="737" spans="1:6" x14ac:dyDescent="0.15">
      <c r="A737" t="s">
        <v>210</v>
      </c>
      <c r="B737" s="226">
        <v>42296.764745995373</v>
      </c>
      <c r="C737" t="s">
        <v>362</v>
      </c>
      <c r="D737" t="s">
        <v>13</v>
      </c>
      <c r="E737">
        <v>20</v>
      </c>
      <c r="F737">
        <v>0</v>
      </c>
    </row>
    <row r="738" spans="1:6" x14ac:dyDescent="0.15">
      <c r="A738" t="s">
        <v>210</v>
      </c>
      <c r="B738" s="226">
        <v>42296.787954467596</v>
      </c>
      <c r="C738" t="s">
        <v>1097</v>
      </c>
      <c r="D738" t="s">
        <v>13</v>
      </c>
      <c r="E738">
        <v>40</v>
      </c>
      <c r="F738">
        <v>0</v>
      </c>
    </row>
    <row r="739" spans="1:6" x14ac:dyDescent="0.15">
      <c r="A739" t="s">
        <v>210</v>
      </c>
      <c r="B739" s="226">
        <v>42296.967790393515</v>
      </c>
      <c r="C739" t="s">
        <v>1098</v>
      </c>
      <c r="D739" t="s">
        <v>13</v>
      </c>
      <c r="E739">
        <v>80</v>
      </c>
      <c r="F739">
        <v>0</v>
      </c>
    </row>
    <row r="740" spans="1:6" x14ac:dyDescent="0.15">
      <c r="A740" t="s">
        <v>210</v>
      </c>
      <c r="B740" s="226">
        <v>42297.2122275</v>
      </c>
      <c r="C740" t="s">
        <v>14</v>
      </c>
      <c r="D740" t="s">
        <v>13</v>
      </c>
      <c r="E740">
        <v>300</v>
      </c>
      <c r="F740">
        <v>3.5</v>
      </c>
    </row>
    <row r="741" spans="1:6" x14ac:dyDescent="0.15">
      <c r="A741" t="s">
        <v>210</v>
      </c>
      <c r="B741" s="226">
        <v>42297.246519409724</v>
      </c>
      <c r="C741" t="s">
        <v>1099</v>
      </c>
      <c r="D741" t="s">
        <v>13</v>
      </c>
      <c r="E741">
        <v>40</v>
      </c>
      <c r="F741">
        <v>0</v>
      </c>
    </row>
    <row r="742" spans="1:6" x14ac:dyDescent="0.15">
      <c r="A742" t="s">
        <v>210</v>
      </c>
      <c r="B742" s="226">
        <v>42297.29365954861</v>
      </c>
      <c r="C742" t="s">
        <v>1100</v>
      </c>
      <c r="D742" t="s">
        <v>13</v>
      </c>
      <c r="E742">
        <v>40</v>
      </c>
      <c r="F742">
        <v>0</v>
      </c>
    </row>
    <row r="743" spans="1:6" x14ac:dyDescent="0.15">
      <c r="A743" t="s">
        <v>210</v>
      </c>
      <c r="B743" s="226">
        <v>42297.309361562497</v>
      </c>
      <c r="C743" t="s">
        <v>1101</v>
      </c>
      <c r="D743" t="s">
        <v>13</v>
      </c>
      <c r="E743">
        <v>200</v>
      </c>
      <c r="F743">
        <v>0</v>
      </c>
    </row>
    <row r="744" spans="1:6" x14ac:dyDescent="0.15">
      <c r="A744" t="s">
        <v>210</v>
      </c>
      <c r="B744" s="226">
        <v>42297.34170946759</v>
      </c>
      <c r="C744" t="s">
        <v>1102</v>
      </c>
      <c r="D744" t="s">
        <v>13</v>
      </c>
      <c r="E744">
        <v>40</v>
      </c>
      <c r="F744">
        <v>0</v>
      </c>
    </row>
    <row r="745" spans="1:6" x14ac:dyDescent="0.15">
      <c r="A745" t="s">
        <v>210</v>
      </c>
      <c r="B745" s="226">
        <v>42297.368236516202</v>
      </c>
      <c r="C745" t="s">
        <v>1103</v>
      </c>
      <c r="D745" t="s">
        <v>13</v>
      </c>
      <c r="E745">
        <v>60</v>
      </c>
      <c r="F745">
        <v>0</v>
      </c>
    </row>
    <row r="746" spans="1:6" x14ac:dyDescent="0.15">
      <c r="A746" t="s">
        <v>210</v>
      </c>
      <c r="B746" s="226">
        <v>42297.391704513888</v>
      </c>
      <c r="C746" t="s">
        <v>1104</v>
      </c>
      <c r="D746" t="s">
        <v>13</v>
      </c>
      <c r="E746">
        <v>40</v>
      </c>
      <c r="F746">
        <v>0</v>
      </c>
    </row>
    <row r="747" spans="1:6" x14ac:dyDescent="0.15">
      <c r="A747" t="s">
        <v>210</v>
      </c>
      <c r="B747" s="226">
        <v>42297.458454641201</v>
      </c>
      <c r="C747" t="s">
        <v>1105</v>
      </c>
      <c r="D747" t="s">
        <v>13</v>
      </c>
      <c r="E747">
        <v>80</v>
      </c>
      <c r="F747">
        <v>0</v>
      </c>
    </row>
    <row r="748" spans="1:6" x14ac:dyDescent="0.15">
      <c r="A748" t="s">
        <v>210</v>
      </c>
      <c r="B748" s="226">
        <v>42297.481207881945</v>
      </c>
      <c r="C748" t="s">
        <v>1106</v>
      </c>
      <c r="D748" t="s">
        <v>13</v>
      </c>
      <c r="E748">
        <v>40</v>
      </c>
      <c r="F748">
        <v>0</v>
      </c>
    </row>
    <row r="749" spans="1:6" x14ac:dyDescent="0.15">
      <c r="A749" t="s">
        <v>210</v>
      </c>
      <c r="B749" s="226">
        <v>42297.482560138887</v>
      </c>
      <c r="C749" t="s">
        <v>1107</v>
      </c>
      <c r="D749" t="s">
        <v>13</v>
      </c>
      <c r="E749">
        <v>80</v>
      </c>
      <c r="F749">
        <v>0</v>
      </c>
    </row>
    <row r="750" spans="1:6" x14ac:dyDescent="0.15">
      <c r="A750" t="s">
        <v>210</v>
      </c>
      <c r="B750" s="226">
        <v>42297.49997827546</v>
      </c>
      <c r="C750" t="s">
        <v>1108</v>
      </c>
      <c r="D750" t="s">
        <v>13</v>
      </c>
      <c r="E750">
        <v>100</v>
      </c>
      <c r="F750">
        <v>0</v>
      </c>
    </row>
    <row r="751" spans="1:6" x14ac:dyDescent="0.15">
      <c r="A751" t="s">
        <v>210</v>
      </c>
      <c r="B751" s="226">
        <v>42297.50506152778</v>
      </c>
      <c r="C751" t="s">
        <v>363</v>
      </c>
      <c r="D751" t="s">
        <v>13</v>
      </c>
      <c r="E751">
        <v>20</v>
      </c>
      <c r="F751">
        <v>0</v>
      </c>
    </row>
    <row r="752" spans="1:6" x14ac:dyDescent="0.15">
      <c r="A752" t="s">
        <v>210</v>
      </c>
      <c r="B752" s="226">
        <v>42297.522838750003</v>
      </c>
      <c r="C752" t="s">
        <v>1109</v>
      </c>
      <c r="D752" t="s">
        <v>13</v>
      </c>
      <c r="E752">
        <v>100</v>
      </c>
      <c r="F752">
        <v>0</v>
      </c>
    </row>
    <row r="753" spans="1:6" x14ac:dyDescent="0.15">
      <c r="A753" t="s">
        <v>210</v>
      </c>
      <c r="B753" s="226">
        <v>42297.523379189814</v>
      </c>
      <c r="C753" t="s">
        <v>1110</v>
      </c>
      <c r="D753" t="s">
        <v>13</v>
      </c>
      <c r="E753">
        <v>40</v>
      </c>
      <c r="F753">
        <v>0</v>
      </c>
    </row>
    <row r="754" spans="1:6" x14ac:dyDescent="0.15">
      <c r="A754" t="s">
        <v>210</v>
      </c>
      <c r="B754" s="226">
        <v>42297.531363252318</v>
      </c>
      <c r="C754" t="s">
        <v>1111</v>
      </c>
      <c r="D754" t="s">
        <v>13</v>
      </c>
      <c r="E754">
        <v>40</v>
      </c>
      <c r="F754">
        <v>0</v>
      </c>
    </row>
    <row r="755" spans="1:6" x14ac:dyDescent="0.15">
      <c r="A755" t="s">
        <v>210</v>
      </c>
      <c r="B755" s="226">
        <v>42297.533722638887</v>
      </c>
      <c r="C755" t="s">
        <v>1112</v>
      </c>
      <c r="D755" t="s">
        <v>15</v>
      </c>
      <c r="E755">
        <v>60</v>
      </c>
      <c r="F755">
        <v>1.8</v>
      </c>
    </row>
    <row r="756" spans="1:6" x14ac:dyDescent="0.15">
      <c r="A756" t="s">
        <v>210</v>
      </c>
      <c r="B756" s="226">
        <v>42297.535724837966</v>
      </c>
      <c r="C756" t="s">
        <v>1113</v>
      </c>
      <c r="D756" t="s">
        <v>13</v>
      </c>
      <c r="E756">
        <v>80</v>
      </c>
      <c r="F756">
        <v>0</v>
      </c>
    </row>
    <row r="757" spans="1:6" x14ac:dyDescent="0.15">
      <c r="A757" t="s">
        <v>210</v>
      </c>
      <c r="B757" s="226">
        <v>42297.539466863425</v>
      </c>
      <c r="C757" t="s">
        <v>1114</v>
      </c>
      <c r="D757" t="s">
        <v>13</v>
      </c>
      <c r="E757">
        <v>100</v>
      </c>
      <c r="F757">
        <v>0</v>
      </c>
    </row>
    <row r="758" spans="1:6" x14ac:dyDescent="0.15">
      <c r="A758" t="s">
        <v>210</v>
      </c>
      <c r="B758" s="226">
        <v>42297.553593553239</v>
      </c>
      <c r="C758" t="s">
        <v>1115</v>
      </c>
      <c r="D758" t="s">
        <v>13</v>
      </c>
      <c r="E758">
        <v>80</v>
      </c>
      <c r="F758">
        <v>0</v>
      </c>
    </row>
    <row r="759" spans="1:6" x14ac:dyDescent="0.15">
      <c r="A759" t="s">
        <v>210</v>
      </c>
      <c r="B759" s="226">
        <v>42297.562964490739</v>
      </c>
      <c r="C759" t="s">
        <v>364</v>
      </c>
      <c r="D759" t="s">
        <v>13</v>
      </c>
      <c r="E759">
        <v>80</v>
      </c>
      <c r="F759">
        <v>0</v>
      </c>
    </row>
    <row r="760" spans="1:6" x14ac:dyDescent="0.15">
      <c r="A760" t="s">
        <v>210</v>
      </c>
      <c r="B760" s="226">
        <v>42297.566067939813</v>
      </c>
      <c r="C760" t="s">
        <v>1116</v>
      </c>
      <c r="D760" t="s">
        <v>13</v>
      </c>
      <c r="E760">
        <v>500</v>
      </c>
      <c r="F760">
        <v>0</v>
      </c>
    </row>
    <row r="761" spans="1:6" x14ac:dyDescent="0.15">
      <c r="A761" t="s">
        <v>210</v>
      </c>
      <c r="B761" s="226">
        <v>42297.583453043982</v>
      </c>
      <c r="C761" t="s">
        <v>1117</v>
      </c>
      <c r="D761" t="s">
        <v>13</v>
      </c>
      <c r="E761">
        <v>40</v>
      </c>
      <c r="F761">
        <v>0</v>
      </c>
    </row>
    <row r="762" spans="1:6" x14ac:dyDescent="0.15">
      <c r="A762" t="s">
        <v>210</v>
      </c>
      <c r="B762" s="226">
        <v>42297.59235013889</v>
      </c>
      <c r="C762" t="s">
        <v>1118</v>
      </c>
      <c r="D762" t="s">
        <v>15</v>
      </c>
      <c r="E762">
        <v>320</v>
      </c>
      <c r="F762">
        <v>9.6</v>
      </c>
    </row>
    <row r="763" spans="1:6" x14ac:dyDescent="0.15">
      <c r="A763" t="s">
        <v>210</v>
      </c>
      <c r="B763" s="226">
        <v>42297.597010995371</v>
      </c>
      <c r="C763" t="s">
        <v>1119</v>
      </c>
      <c r="D763" t="s">
        <v>13</v>
      </c>
      <c r="E763">
        <v>200</v>
      </c>
      <c r="F763">
        <v>0</v>
      </c>
    </row>
    <row r="764" spans="1:6" x14ac:dyDescent="0.15">
      <c r="A764" t="s">
        <v>210</v>
      </c>
      <c r="B764" s="226">
        <v>42297.612752372683</v>
      </c>
      <c r="C764" t="s">
        <v>1120</v>
      </c>
      <c r="D764" t="s">
        <v>13</v>
      </c>
      <c r="E764">
        <v>40</v>
      </c>
      <c r="F764">
        <v>0</v>
      </c>
    </row>
    <row r="765" spans="1:6" x14ac:dyDescent="0.15">
      <c r="A765" t="s">
        <v>210</v>
      </c>
      <c r="B765" s="226">
        <v>42297.631805243058</v>
      </c>
      <c r="C765" t="s">
        <v>1121</v>
      </c>
      <c r="D765" t="s">
        <v>13</v>
      </c>
      <c r="E765">
        <v>100</v>
      </c>
      <c r="F765">
        <v>0</v>
      </c>
    </row>
    <row r="766" spans="1:6" x14ac:dyDescent="0.15">
      <c r="A766" t="s">
        <v>210</v>
      </c>
      <c r="B766" s="226">
        <v>42297.642465138888</v>
      </c>
      <c r="C766" t="s">
        <v>1122</v>
      </c>
      <c r="D766" t="s">
        <v>13</v>
      </c>
      <c r="E766">
        <v>40</v>
      </c>
      <c r="F766">
        <v>0</v>
      </c>
    </row>
    <row r="767" spans="1:6" x14ac:dyDescent="0.15">
      <c r="A767" t="s">
        <v>210</v>
      </c>
      <c r="B767" s="226">
        <v>42297.667992222225</v>
      </c>
      <c r="C767" t="s">
        <v>365</v>
      </c>
      <c r="D767" t="s">
        <v>13</v>
      </c>
      <c r="E767">
        <v>20</v>
      </c>
      <c r="F767">
        <v>0</v>
      </c>
    </row>
    <row r="768" spans="1:6" x14ac:dyDescent="0.15">
      <c r="A768" t="s">
        <v>210</v>
      </c>
      <c r="B768" s="226">
        <v>42297.702023391204</v>
      </c>
      <c r="C768" t="s">
        <v>1123</v>
      </c>
      <c r="D768" t="s">
        <v>13</v>
      </c>
      <c r="E768">
        <v>200</v>
      </c>
      <c r="F768">
        <v>0</v>
      </c>
    </row>
    <row r="769" spans="1:6" x14ac:dyDescent="0.15">
      <c r="A769" t="s">
        <v>210</v>
      </c>
      <c r="B769" s="226">
        <v>42297.706070219909</v>
      </c>
      <c r="C769" t="s">
        <v>1124</v>
      </c>
      <c r="D769" t="s">
        <v>13</v>
      </c>
      <c r="E769">
        <v>20</v>
      </c>
      <c r="F769">
        <v>0</v>
      </c>
    </row>
    <row r="770" spans="1:6" x14ac:dyDescent="0.15">
      <c r="A770" t="s">
        <v>210</v>
      </c>
      <c r="B770" s="226">
        <v>42297.71662958333</v>
      </c>
      <c r="C770" t="s">
        <v>1125</v>
      </c>
      <c r="D770" t="s">
        <v>13</v>
      </c>
      <c r="E770">
        <v>100</v>
      </c>
      <c r="F770">
        <v>0</v>
      </c>
    </row>
    <row r="771" spans="1:6" x14ac:dyDescent="0.15">
      <c r="A771" t="s">
        <v>210</v>
      </c>
      <c r="B771" s="226">
        <v>42297.724344745373</v>
      </c>
      <c r="C771" t="s">
        <v>1126</v>
      </c>
      <c r="D771" t="s">
        <v>13</v>
      </c>
      <c r="E771">
        <v>60</v>
      </c>
      <c r="F771">
        <v>0</v>
      </c>
    </row>
    <row r="772" spans="1:6" x14ac:dyDescent="0.15">
      <c r="A772" t="s">
        <v>210</v>
      </c>
      <c r="B772" s="226">
        <v>42297.726447372683</v>
      </c>
      <c r="C772" t="s">
        <v>1127</v>
      </c>
      <c r="D772" t="s">
        <v>13</v>
      </c>
      <c r="E772">
        <v>100</v>
      </c>
      <c r="F772">
        <v>0</v>
      </c>
    </row>
    <row r="773" spans="1:6" x14ac:dyDescent="0.15">
      <c r="A773" t="s">
        <v>210</v>
      </c>
      <c r="B773" s="226">
        <v>42297.728956990744</v>
      </c>
      <c r="C773" t="s">
        <v>612</v>
      </c>
      <c r="D773" t="s">
        <v>13</v>
      </c>
      <c r="E773">
        <v>100</v>
      </c>
      <c r="F773">
        <v>0</v>
      </c>
    </row>
    <row r="774" spans="1:6" x14ac:dyDescent="0.15">
      <c r="A774" t="s">
        <v>210</v>
      </c>
      <c r="B774" s="226">
        <v>42297.731872083335</v>
      </c>
      <c r="C774" t="s">
        <v>1012</v>
      </c>
      <c r="D774" t="s">
        <v>13</v>
      </c>
      <c r="E774">
        <v>40</v>
      </c>
      <c r="F774">
        <v>0</v>
      </c>
    </row>
    <row r="775" spans="1:6" x14ac:dyDescent="0.15">
      <c r="A775" t="s">
        <v>210</v>
      </c>
      <c r="B775" s="226">
        <v>42297.764982071756</v>
      </c>
      <c r="C775" t="s">
        <v>1128</v>
      </c>
      <c r="D775" t="s">
        <v>13</v>
      </c>
      <c r="E775">
        <v>20</v>
      </c>
      <c r="F775">
        <v>0</v>
      </c>
    </row>
    <row r="776" spans="1:6" x14ac:dyDescent="0.15">
      <c r="A776" t="s">
        <v>210</v>
      </c>
      <c r="B776" s="226">
        <v>42297.77875060185</v>
      </c>
      <c r="C776" t="s">
        <v>366</v>
      </c>
      <c r="D776" t="s">
        <v>13</v>
      </c>
      <c r="E776">
        <v>80</v>
      </c>
      <c r="F776">
        <v>0</v>
      </c>
    </row>
    <row r="777" spans="1:6" x14ac:dyDescent="0.15">
      <c r="A777" t="s">
        <v>210</v>
      </c>
      <c r="B777" s="226">
        <v>42297.784654560186</v>
      </c>
      <c r="C777" t="s">
        <v>1129</v>
      </c>
      <c r="D777" t="s">
        <v>13</v>
      </c>
      <c r="E777">
        <v>40</v>
      </c>
      <c r="F777">
        <v>0</v>
      </c>
    </row>
    <row r="778" spans="1:6" x14ac:dyDescent="0.15">
      <c r="A778" t="s">
        <v>210</v>
      </c>
      <c r="B778" s="226">
        <v>42297.786158229166</v>
      </c>
      <c r="C778" t="s">
        <v>1130</v>
      </c>
      <c r="D778" t="s">
        <v>13</v>
      </c>
      <c r="E778">
        <v>40</v>
      </c>
      <c r="F778">
        <v>0</v>
      </c>
    </row>
    <row r="779" spans="1:6" x14ac:dyDescent="0.15">
      <c r="A779" t="s">
        <v>210</v>
      </c>
      <c r="B779" s="226">
        <v>42297.786854537037</v>
      </c>
      <c r="C779" t="s">
        <v>115</v>
      </c>
      <c r="D779" t="s">
        <v>13</v>
      </c>
      <c r="E779">
        <v>40</v>
      </c>
      <c r="F779">
        <v>0</v>
      </c>
    </row>
    <row r="780" spans="1:6" x14ac:dyDescent="0.15">
      <c r="A780" t="s">
        <v>210</v>
      </c>
      <c r="B780" s="226">
        <v>42297.828705057873</v>
      </c>
      <c r="C780" t="s">
        <v>1131</v>
      </c>
      <c r="D780" t="s">
        <v>13</v>
      </c>
      <c r="E780">
        <v>20</v>
      </c>
      <c r="F780">
        <v>0</v>
      </c>
    </row>
    <row r="781" spans="1:6" x14ac:dyDescent="0.15">
      <c r="A781" t="s">
        <v>210</v>
      </c>
      <c r="B781" s="226">
        <v>42297.87098644676</v>
      </c>
      <c r="C781" t="s">
        <v>1132</v>
      </c>
      <c r="D781" t="s">
        <v>13</v>
      </c>
      <c r="E781">
        <v>80</v>
      </c>
      <c r="F781">
        <v>0</v>
      </c>
    </row>
    <row r="782" spans="1:6" x14ac:dyDescent="0.15">
      <c r="A782" t="s">
        <v>210</v>
      </c>
      <c r="B782" s="226">
        <v>42298.210906400462</v>
      </c>
      <c r="C782" t="s">
        <v>1133</v>
      </c>
      <c r="D782" t="s">
        <v>15</v>
      </c>
      <c r="E782">
        <v>40</v>
      </c>
      <c r="F782">
        <v>1.2</v>
      </c>
    </row>
    <row r="783" spans="1:6" x14ac:dyDescent="0.15">
      <c r="A783" t="s">
        <v>210</v>
      </c>
      <c r="B783" s="226">
        <v>42298.29790542824</v>
      </c>
      <c r="C783" t="s">
        <v>1134</v>
      </c>
      <c r="D783" t="s">
        <v>13</v>
      </c>
      <c r="E783">
        <v>60</v>
      </c>
      <c r="F783">
        <v>0</v>
      </c>
    </row>
    <row r="784" spans="1:6" x14ac:dyDescent="0.15">
      <c r="A784" t="s">
        <v>210</v>
      </c>
      <c r="B784" s="226">
        <v>42298.337183807867</v>
      </c>
      <c r="C784" t="s">
        <v>1135</v>
      </c>
      <c r="D784" t="s">
        <v>13</v>
      </c>
      <c r="E784">
        <v>120</v>
      </c>
      <c r="F784">
        <v>0</v>
      </c>
    </row>
    <row r="785" spans="1:6" x14ac:dyDescent="0.15">
      <c r="A785" t="s">
        <v>210</v>
      </c>
      <c r="B785" s="226">
        <v>42298.379425289349</v>
      </c>
      <c r="C785" t="s">
        <v>1136</v>
      </c>
      <c r="D785" t="s">
        <v>13</v>
      </c>
      <c r="E785">
        <v>100</v>
      </c>
      <c r="F785">
        <v>0</v>
      </c>
    </row>
    <row r="786" spans="1:6" x14ac:dyDescent="0.15">
      <c r="A786" t="s">
        <v>210</v>
      </c>
      <c r="B786" s="226">
        <v>42298.389281620373</v>
      </c>
      <c r="C786" t="s">
        <v>1137</v>
      </c>
      <c r="D786" t="s">
        <v>13</v>
      </c>
      <c r="E786">
        <v>40</v>
      </c>
      <c r="F786">
        <v>0</v>
      </c>
    </row>
    <row r="787" spans="1:6" x14ac:dyDescent="0.15">
      <c r="A787" t="s">
        <v>210</v>
      </c>
      <c r="B787" s="226">
        <v>42298.413037858794</v>
      </c>
      <c r="C787" t="s">
        <v>1138</v>
      </c>
      <c r="D787" t="s">
        <v>13</v>
      </c>
      <c r="E787">
        <v>80</v>
      </c>
      <c r="F787">
        <v>0</v>
      </c>
    </row>
    <row r="788" spans="1:6" x14ac:dyDescent="0.15">
      <c r="A788" t="s">
        <v>210</v>
      </c>
      <c r="B788" s="226">
        <v>42298.433537384262</v>
      </c>
      <c r="C788" t="s">
        <v>367</v>
      </c>
      <c r="D788" t="s">
        <v>13</v>
      </c>
      <c r="E788">
        <v>100</v>
      </c>
      <c r="F788">
        <v>0</v>
      </c>
    </row>
    <row r="789" spans="1:6" x14ac:dyDescent="0.15">
      <c r="A789" t="s">
        <v>210</v>
      </c>
      <c r="B789" s="226">
        <v>42298.447209351849</v>
      </c>
      <c r="C789" t="s">
        <v>1139</v>
      </c>
      <c r="D789" t="s">
        <v>13</v>
      </c>
      <c r="E789">
        <v>40</v>
      </c>
      <c r="F789">
        <v>0</v>
      </c>
    </row>
    <row r="790" spans="1:6" x14ac:dyDescent="0.15">
      <c r="A790" t="s">
        <v>210</v>
      </c>
      <c r="B790" s="226">
        <v>42298.46703359954</v>
      </c>
      <c r="C790" t="s">
        <v>1140</v>
      </c>
      <c r="D790" t="s">
        <v>13</v>
      </c>
      <c r="E790">
        <v>40</v>
      </c>
      <c r="F790">
        <v>0</v>
      </c>
    </row>
    <row r="791" spans="1:6" x14ac:dyDescent="0.15">
      <c r="A791" t="s">
        <v>210</v>
      </c>
      <c r="B791" s="226">
        <v>42298.473035115741</v>
      </c>
      <c r="C791" t="s">
        <v>1141</v>
      </c>
      <c r="D791" t="s">
        <v>13</v>
      </c>
      <c r="E791">
        <v>80</v>
      </c>
      <c r="F791">
        <v>0</v>
      </c>
    </row>
    <row r="792" spans="1:6" x14ac:dyDescent="0.15">
      <c r="A792" t="s">
        <v>210</v>
      </c>
      <c r="B792" s="226">
        <v>42298.492381122684</v>
      </c>
      <c r="C792" t="s">
        <v>14</v>
      </c>
      <c r="D792" t="s">
        <v>13</v>
      </c>
      <c r="E792">
        <v>100</v>
      </c>
      <c r="F792">
        <v>3.5</v>
      </c>
    </row>
    <row r="793" spans="1:6" x14ac:dyDescent="0.15">
      <c r="A793" t="s">
        <v>210</v>
      </c>
      <c r="B793" s="226">
        <v>42298.499074375002</v>
      </c>
      <c r="C793" t="s">
        <v>1142</v>
      </c>
      <c r="D793" t="s">
        <v>13</v>
      </c>
      <c r="E793">
        <v>100</v>
      </c>
      <c r="F793">
        <v>0</v>
      </c>
    </row>
    <row r="794" spans="1:6" x14ac:dyDescent="0.15">
      <c r="A794" t="s">
        <v>210</v>
      </c>
      <c r="B794" s="226">
        <v>42298.501608402781</v>
      </c>
      <c r="C794" t="s">
        <v>1143</v>
      </c>
      <c r="D794" t="s">
        <v>13</v>
      </c>
      <c r="E794">
        <v>60</v>
      </c>
      <c r="F794">
        <v>0</v>
      </c>
    </row>
    <row r="795" spans="1:6" x14ac:dyDescent="0.15">
      <c r="A795" t="s">
        <v>210</v>
      </c>
      <c r="B795" s="226">
        <v>42298.522743981484</v>
      </c>
      <c r="C795" t="s">
        <v>14</v>
      </c>
      <c r="D795" t="s">
        <v>13</v>
      </c>
      <c r="E795">
        <v>100</v>
      </c>
      <c r="F795">
        <v>3.5</v>
      </c>
    </row>
    <row r="796" spans="1:6" x14ac:dyDescent="0.15">
      <c r="A796" t="s">
        <v>210</v>
      </c>
      <c r="B796" s="226">
        <v>42298.523324293979</v>
      </c>
      <c r="C796" t="s">
        <v>1144</v>
      </c>
      <c r="D796" t="s">
        <v>13</v>
      </c>
      <c r="E796">
        <v>500</v>
      </c>
      <c r="F796">
        <v>0</v>
      </c>
    </row>
    <row r="797" spans="1:6" x14ac:dyDescent="0.15">
      <c r="A797" t="s">
        <v>210</v>
      </c>
      <c r="B797" s="226">
        <v>42298.524027754633</v>
      </c>
      <c r="C797" t="s">
        <v>577</v>
      </c>
      <c r="D797" t="s">
        <v>13</v>
      </c>
      <c r="E797">
        <v>40</v>
      </c>
      <c r="F797">
        <v>0</v>
      </c>
    </row>
    <row r="798" spans="1:6" x14ac:dyDescent="0.15">
      <c r="A798" t="s">
        <v>210</v>
      </c>
      <c r="B798" s="226">
        <v>42298.530774247687</v>
      </c>
      <c r="C798" t="s">
        <v>1145</v>
      </c>
      <c r="D798" t="s">
        <v>13</v>
      </c>
      <c r="E798">
        <v>40</v>
      </c>
      <c r="F798">
        <v>0</v>
      </c>
    </row>
    <row r="799" spans="1:6" x14ac:dyDescent="0.15">
      <c r="A799" t="s">
        <v>210</v>
      </c>
      <c r="B799" s="226">
        <v>42298.545607465276</v>
      </c>
      <c r="C799" t="s">
        <v>14</v>
      </c>
      <c r="D799" t="s">
        <v>13</v>
      </c>
      <c r="E799">
        <v>100</v>
      </c>
      <c r="F799">
        <v>3.5</v>
      </c>
    </row>
    <row r="800" spans="1:6" x14ac:dyDescent="0.15">
      <c r="A800" t="s">
        <v>210</v>
      </c>
      <c r="B800" s="226">
        <v>42298.553193437503</v>
      </c>
      <c r="C800" t="s">
        <v>1146</v>
      </c>
      <c r="D800" t="s">
        <v>13</v>
      </c>
      <c r="E800">
        <v>40</v>
      </c>
      <c r="F800">
        <v>0</v>
      </c>
    </row>
    <row r="801" spans="1:6" x14ac:dyDescent="0.15">
      <c r="A801" t="s">
        <v>210</v>
      </c>
      <c r="B801" s="226">
        <v>42298.57628681713</v>
      </c>
      <c r="C801" t="s">
        <v>1147</v>
      </c>
      <c r="D801" t="s">
        <v>13</v>
      </c>
      <c r="E801">
        <v>200</v>
      </c>
      <c r="F801">
        <v>0</v>
      </c>
    </row>
    <row r="802" spans="1:6" x14ac:dyDescent="0.15">
      <c r="A802" t="s">
        <v>210</v>
      </c>
      <c r="B802" s="226">
        <v>42298.63235983796</v>
      </c>
      <c r="C802" t="s">
        <v>1148</v>
      </c>
      <c r="D802" t="s">
        <v>13</v>
      </c>
      <c r="E802">
        <v>20</v>
      </c>
      <c r="F802">
        <v>0</v>
      </c>
    </row>
    <row r="803" spans="1:6" x14ac:dyDescent="0.15">
      <c r="A803" t="s">
        <v>210</v>
      </c>
      <c r="B803" s="226">
        <v>42298.635007673613</v>
      </c>
      <c r="C803" t="s">
        <v>1149</v>
      </c>
      <c r="D803" t="s">
        <v>13</v>
      </c>
      <c r="E803">
        <v>80</v>
      </c>
      <c r="F803">
        <v>0</v>
      </c>
    </row>
    <row r="804" spans="1:6" x14ac:dyDescent="0.15">
      <c r="A804" t="s">
        <v>210</v>
      </c>
      <c r="B804" s="226">
        <v>42298.656329050929</v>
      </c>
      <c r="C804" t="s">
        <v>1150</v>
      </c>
      <c r="D804" t="s">
        <v>13</v>
      </c>
      <c r="E804">
        <v>140</v>
      </c>
      <c r="F804">
        <v>0</v>
      </c>
    </row>
    <row r="805" spans="1:6" x14ac:dyDescent="0.15">
      <c r="A805" t="s">
        <v>210</v>
      </c>
      <c r="B805" s="226">
        <v>42298.656832789355</v>
      </c>
      <c r="C805" t="s">
        <v>1151</v>
      </c>
      <c r="D805" t="s">
        <v>13</v>
      </c>
      <c r="E805">
        <v>200</v>
      </c>
      <c r="F805">
        <v>0</v>
      </c>
    </row>
    <row r="806" spans="1:6" x14ac:dyDescent="0.15">
      <c r="A806" t="s">
        <v>210</v>
      </c>
      <c r="B806" s="226">
        <v>42298.681287731481</v>
      </c>
      <c r="C806" t="s">
        <v>644</v>
      </c>
      <c r="D806" t="s">
        <v>13</v>
      </c>
      <c r="E806">
        <v>60</v>
      </c>
      <c r="F806">
        <v>0</v>
      </c>
    </row>
    <row r="807" spans="1:6" x14ac:dyDescent="0.15">
      <c r="A807" t="s">
        <v>210</v>
      </c>
      <c r="B807" s="226">
        <v>42298.682275370367</v>
      </c>
      <c r="C807" t="s">
        <v>1152</v>
      </c>
      <c r="D807" t="s">
        <v>13</v>
      </c>
      <c r="E807">
        <v>80</v>
      </c>
      <c r="F807">
        <v>0</v>
      </c>
    </row>
    <row r="808" spans="1:6" x14ac:dyDescent="0.15">
      <c r="A808" t="s">
        <v>210</v>
      </c>
      <c r="B808" s="226">
        <v>42298.703321400462</v>
      </c>
      <c r="C808" t="s">
        <v>368</v>
      </c>
      <c r="D808" t="s">
        <v>13</v>
      </c>
      <c r="E808">
        <v>40</v>
      </c>
      <c r="F808">
        <v>0</v>
      </c>
    </row>
    <row r="809" spans="1:6" x14ac:dyDescent="0.15">
      <c r="A809" t="s">
        <v>210</v>
      </c>
      <c r="B809" s="226">
        <v>42298.71449810185</v>
      </c>
      <c r="C809" t="s">
        <v>14</v>
      </c>
      <c r="D809" t="s">
        <v>13</v>
      </c>
      <c r="E809">
        <v>100</v>
      </c>
      <c r="F809">
        <v>3.5</v>
      </c>
    </row>
    <row r="810" spans="1:6" x14ac:dyDescent="0.15">
      <c r="A810" t="s">
        <v>210</v>
      </c>
      <c r="B810" s="226">
        <v>42298.726733414354</v>
      </c>
      <c r="C810" t="s">
        <v>1153</v>
      </c>
      <c r="D810" t="s">
        <v>13</v>
      </c>
      <c r="E810">
        <v>60</v>
      </c>
      <c r="F810">
        <v>0</v>
      </c>
    </row>
    <row r="811" spans="1:6" x14ac:dyDescent="0.15">
      <c r="A811" t="s">
        <v>210</v>
      </c>
      <c r="B811" s="226">
        <v>42298.756163958336</v>
      </c>
      <c r="C811" t="s">
        <v>1154</v>
      </c>
      <c r="D811" t="s">
        <v>13</v>
      </c>
      <c r="E811">
        <v>40</v>
      </c>
      <c r="F811">
        <v>0</v>
      </c>
    </row>
    <row r="812" spans="1:6" x14ac:dyDescent="0.15">
      <c r="A812" t="s">
        <v>210</v>
      </c>
      <c r="B812" s="226">
        <v>42298.767524108793</v>
      </c>
      <c r="C812" t="s">
        <v>1155</v>
      </c>
      <c r="D812" t="s">
        <v>13</v>
      </c>
      <c r="E812">
        <v>100</v>
      </c>
      <c r="F812">
        <v>0</v>
      </c>
    </row>
    <row r="813" spans="1:6" x14ac:dyDescent="0.15">
      <c r="A813" t="s">
        <v>210</v>
      </c>
      <c r="B813" s="226">
        <v>42298.775123865744</v>
      </c>
      <c r="C813" t="s">
        <v>1156</v>
      </c>
      <c r="D813" t="s">
        <v>13</v>
      </c>
      <c r="E813">
        <v>100</v>
      </c>
      <c r="F813">
        <v>0</v>
      </c>
    </row>
    <row r="814" spans="1:6" x14ac:dyDescent="0.15">
      <c r="A814" t="s">
        <v>210</v>
      </c>
      <c r="B814" s="226">
        <v>42298.790914050929</v>
      </c>
      <c r="C814" t="s">
        <v>1157</v>
      </c>
      <c r="D814" t="s">
        <v>13</v>
      </c>
      <c r="E814">
        <v>100</v>
      </c>
      <c r="F814">
        <v>0</v>
      </c>
    </row>
    <row r="815" spans="1:6" x14ac:dyDescent="0.15">
      <c r="A815" t="s">
        <v>210</v>
      </c>
      <c r="B815" s="226">
        <v>42298.888061770835</v>
      </c>
      <c r="C815" t="s">
        <v>1158</v>
      </c>
      <c r="D815" t="s">
        <v>13</v>
      </c>
      <c r="E815">
        <v>100</v>
      </c>
      <c r="F815">
        <v>0</v>
      </c>
    </row>
    <row r="816" spans="1:6" x14ac:dyDescent="0.15">
      <c r="A816" t="s">
        <v>210</v>
      </c>
      <c r="B816" s="226">
        <v>42298.895781689818</v>
      </c>
      <c r="C816" t="s">
        <v>1159</v>
      </c>
      <c r="D816" t="s">
        <v>13</v>
      </c>
      <c r="E816">
        <v>100</v>
      </c>
      <c r="F816">
        <v>0</v>
      </c>
    </row>
    <row r="817" spans="1:6" x14ac:dyDescent="0.15">
      <c r="A817" t="s">
        <v>210</v>
      </c>
      <c r="B817" s="226">
        <v>42298.912500995371</v>
      </c>
      <c r="C817" t="s">
        <v>1160</v>
      </c>
      <c r="D817" t="s">
        <v>13</v>
      </c>
      <c r="E817">
        <v>100</v>
      </c>
      <c r="F817">
        <v>0</v>
      </c>
    </row>
    <row r="818" spans="1:6" x14ac:dyDescent="0.15">
      <c r="A818" t="s">
        <v>210</v>
      </c>
      <c r="B818" s="226">
        <v>42299.223693402775</v>
      </c>
      <c r="C818" t="s">
        <v>1161</v>
      </c>
      <c r="D818" t="s">
        <v>13</v>
      </c>
      <c r="E818">
        <v>100</v>
      </c>
      <c r="F818">
        <v>0</v>
      </c>
    </row>
    <row r="819" spans="1:6" x14ac:dyDescent="0.15">
      <c r="A819" t="s">
        <v>210</v>
      </c>
      <c r="B819" s="226">
        <v>42299.243996134261</v>
      </c>
      <c r="C819" t="s">
        <v>1162</v>
      </c>
      <c r="D819" t="s">
        <v>13</v>
      </c>
      <c r="E819">
        <v>100</v>
      </c>
      <c r="F819">
        <v>0</v>
      </c>
    </row>
    <row r="820" spans="1:6" x14ac:dyDescent="0.15">
      <c r="A820" t="s">
        <v>210</v>
      </c>
      <c r="B820" s="226">
        <v>42299.380559652775</v>
      </c>
      <c r="C820" t="s">
        <v>369</v>
      </c>
      <c r="D820" t="s">
        <v>13</v>
      </c>
      <c r="E820">
        <v>500</v>
      </c>
      <c r="F820">
        <v>0</v>
      </c>
    </row>
    <row r="821" spans="1:6" x14ac:dyDescent="0.15">
      <c r="A821" t="s">
        <v>210</v>
      </c>
      <c r="B821" s="226">
        <v>42299.382174039354</v>
      </c>
      <c r="C821" t="s">
        <v>370</v>
      </c>
      <c r="D821" t="s">
        <v>13</v>
      </c>
      <c r="E821">
        <v>100</v>
      </c>
      <c r="F821">
        <v>0</v>
      </c>
    </row>
    <row r="822" spans="1:6" x14ac:dyDescent="0.15">
      <c r="A822" t="s">
        <v>210</v>
      </c>
      <c r="B822" s="226">
        <v>42299.38530898148</v>
      </c>
      <c r="C822" t="s">
        <v>1163</v>
      </c>
      <c r="D822" t="s">
        <v>13</v>
      </c>
      <c r="E822">
        <v>80</v>
      </c>
      <c r="F822">
        <v>0</v>
      </c>
    </row>
    <row r="823" spans="1:6" x14ac:dyDescent="0.15">
      <c r="A823" t="s">
        <v>210</v>
      </c>
      <c r="B823" s="226">
        <v>42299.451873541664</v>
      </c>
      <c r="C823" t="s">
        <v>1164</v>
      </c>
      <c r="D823" t="s">
        <v>13</v>
      </c>
      <c r="E823">
        <v>40</v>
      </c>
      <c r="F823">
        <v>0</v>
      </c>
    </row>
    <row r="824" spans="1:6" x14ac:dyDescent="0.15">
      <c r="A824" t="s">
        <v>210</v>
      </c>
      <c r="B824" s="226">
        <v>42299.455033391205</v>
      </c>
      <c r="C824" t="s">
        <v>1165</v>
      </c>
      <c r="D824" t="s">
        <v>13</v>
      </c>
      <c r="E824">
        <v>200</v>
      </c>
      <c r="F824">
        <v>0</v>
      </c>
    </row>
    <row r="825" spans="1:6" x14ac:dyDescent="0.15">
      <c r="A825" t="s">
        <v>210</v>
      </c>
      <c r="B825" s="226">
        <v>42299.469304861108</v>
      </c>
      <c r="C825" t="s">
        <v>14</v>
      </c>
      <c r="D825" t="s">
        <v>13</v>
      </c>
      <c r="E825">
        <v>100</v>
      </c>
      <c r="F825">
        <v>3.5</v>
      </c>
    </row>
    <row r="826" spans="1:6" x14ac:dyDescent="0.15">
      <c r="A826" t="s">
        <v>210</v>
      </c>
      <c r="B826" s="226">
        <v>42299.480788321758</v>
      </c>
      <c r="C826" t="s">
        <v>1166</v>
      </c>
      <c r="D826" t="s">
        <v>13</v>
      </c>
      <c r="E826">
        <v>20</v>
      </c>
      <c r="F826">
        <v>0</v>
      </c>
    </row>
    <row r="827" spans="1:6" x14ac:dyDescent="0.15">
      <c r="A827" t="s">
        <v>210</v>
      </c>
      <c r="B827" s="226">
        <v>42299.486099363428</v>
      </c>
      <c r="C827" t="s">
        <v>1167</v>
      </c>
      <c r="D827" t="s">
        <v>13</v>
      </c>
      <c r="E827">
        <v>100</v>
      </c>
      <c r="F827">
        <v>0</v>
      </c>
    </row>
    <row r="828" spans="1:6" x14ac:dyDescent="0.15">
      <c r="A828" t="s">
        <v>210</v>
      </c>
      <c r="B828" s="226">
        <v>42299.495876412038</v>
      </c>
      <c r="C828" t="s">
        <v>792</v>
      </c>
      <c r="D828" t="s">
        <v>13</v>
      </c>
      <c r="E828">
        <v>40</v>
      </c>
      <c r="F828">
        <v>0</v>
      </c>
    </row>
    <row r="829" spans="1:6" x14ac:dyDescent="0.15">
      <c r="A829" t="s">
        <v>210</v>
      </c>
      <c r="B829" s="226">
        <v>42299.497940289351</v>
      </c>
      <c r="C829" t="s">
        <v>1168</v>
      </c>
      <c r="D829" t="s">
        <v>13</v>
      </c>
      <c r="E829">
        <v>60</v>
      </c>
      <c r="F829">
        <v>0</v>
      </c>
    </row>
    <row r="830" spans="1:6" x14ac:dyDescent="0.15">
      <c r="A830" t="s">
        <v>210</v>
      </c>
      <c r="B830" s="226">
        <v>42299.502871481483</v>
      </c>
      <c r="C830" t="s">
        <v>1169</v>
      </c>
      <c r="D830" t="s">
        <v>13</v>
      </c>
      <c r="E830">
        <v>60</v>
      </c>
      <c r="F830">
        <v>0</v>
      </c>
    </row>
    <row r="831" spans="1:6" x14ac:dyDescent="0.15">
      <c r="A831" t="s">
        <v>210</v>
      </c>
      <c r="B831" s="226">
        <v>42299.516309710649</v>
      </c>
      <c r="C831" t="s">
        <v>679</v>
      </c>
      <c r="D831" t="s">
        <v>13</v>
      </c>
      <c r="E831">
        <v>100</v>
      </c>
      <c r="F831">
        <v>0</v>
      </c>
    </row>
    <row r="832" spans="1:6" x14ac:dyDescent="0.15">
      <c r="A832" t="s">
        <v>210</v>
      </c>
      <c r="B832" s="226">
        <v>42299.520981851849</v>
      </c>
      <c r="C832" t="s">
        <v>1170</v>
      </c>
      <c r="D832" t="s">
        <v>13</v>
      </c>
      <c r="E832">
        <v>100</v>
      </c>
      <c r="F832">
        <v>0</v>
      </c>
    </row>
    <row r="833" spans="1:6" x14ac:dyDescent="0.15">
      <c r="A833" t="s">
        <v>210</v>
      </c>
      <c r="B833" s="226">
        <v>42299.523091030096</v>
      </c>
      <c r="C833" t="s">
        <v>1171</v>
      </c>
      <c r="D833" t="s">
        <v>13</v>
      </c>
      <c r="E833">
        <v>200</v>
      </c>
      <c r="F833">
        <v>0</v>
      </c>
    </row>
    <row r="834" spans="1:6" x14ac:dyDescent="0.15">
      <c r="A834" t="s">
        <v>210</v>
      </c>
      <c r="B834" s="226">
        <v>42299.57249121528</v>
      </c>
      <c r="C834" t="s">
        <v>1172</v>
      </c>
      <c r="D834" t="s">
        <v>13</v>
      </c>
      <c r="E834">
        <v>40</v>
      </c>
      <c r="F834">
        <v>0</v>
      </c>
    </row>
    <row r="835" spans="1:6" x14ac:dyDescent="0.15">
      <c r="A835" t="s">
        <v>210</v>
      </c>
      <c r="B835" s="226">
        <v>42299.574833379629</v>
      </c>
      <c r="C835" t="s">
        <v>1173</v>
      </c>
      <c r="D835" t="s">
        <v>13</v>
      </c>
      <c r="E835">
        <v>80</v>
      </c>
      <c r="F835">
        <v>0</v>
      </c>
    </row>
    <row r="836" spans="1:6" x14ac:dyDescent="0.15">
      <c r="A836" t="s">
        <v>210</v>
      </c>
      <c r="B836" s="226">
        <v>42299.576267569442</v>
      </c>
      <c r="C836" t="s">
        <v>371</v>
      </c>
      <c r="D836" t="s">
        <v>13</v>
      </c>
      <c r="E836">
        <v>40</v>
      </c>
      <c r="F836">
        <v>0</v>
      </c>
    </row>
    <row r="837" spans="1:6" x14ac:dyDescent="0.15">
      <c r="A837" t="s">
        <v>210</v>
      </c>
      <c r="B837" s="226">
        <v>42299.583297407407</v>
      </c>
      <c r="C837" t="s">
        <v>1174</v>
      </c>
      <c r="D837" t="s">
        <v>13</v>
      </c>
      <c r="E837">
        <v>100</v>
      </c>
      <c r="F837">
        <v>0</v>
      </c>
    </row>
    <row r="838" spans="1:6" x14ac:dyDescent="0.15">
      <c r="A838" t="s">
        <v>210</v>
      </c>
      <c r="B838" s="226">
        <v>42299.59392728009</v>
      </c>
      <c r="C838" t="s">
        <v>1175</v>
      </c>
      <c r="D838" t="s">
        <v>13</v>
      </c>
      <c r="E838">
        <v>100</v>
      </c>
      <c r="F838">
        <v>0</v>
      </c>
    </row>
    <row r="839" spans="1:6" x14ac:dyDescent="0.15">
      <c r="A839" t="s">
        <v>210</v>
      </c>
      <c r="B839" s="226">
        <v>42299.647972453706</v>
      </c>
      <c r="C839" t="s">
        <v>1176</v>
      </c>
      <c r="D839" t="s">
        <v>13</v>
      </c>
      <c r="E839">
        <v>100</v>
      </c>
      <c r="F839">
        <v>0</v>
      </c>
    </row>
    <row r="840" spans="1:6" x14ac:dyDescent="0.15">
      <c r="A840" t="s">
        <v>210</v>
      </c>
      <c r="B840" s="226">
        <v>42299.650168460648</v>
      </c>
      <c r="C840" t="s">
        <v>1177</v>
      </c>
      <c r="D840" t="s">
        <v>13</v>
      </c>
      <c r="E840">
        <v>20</v>
      </c>
      <c r="F840">
        <v>0</v>
      </c>
    </row>
    <row r="841" spans="1:6" x14ac:dyDescent="0.15">
      <c r="A841" t="s">
        <v>210</v>
      </c>
      <c r="B841" s="226">
        <v>42299.655733333333</v>
      </c>
      <c r="C841" t="s">
        <v>1178</v>
      </c>
      <c r="D841" t="s">
        <v>13</v>
      </c>
      <c r="E841">
        <v>40</v>
      </c>
      <c r="F841">
        <v>0</v>
      </c>
    </row>
    <row r="842" spans="1:6" x14ac:dyDescent="0.15">
      <c r="A842" t="s">
        <v>210</v>
      </c>
      <c r="B842" s="226">
        <v>42299.686236956019</v>
      </c>
      <c r="C842" t="s">
        <v>1179</v>
      </c>
      <c r="D842" t="s">
        <v>13</v>
      </c>
      <c r="E842">
        <v>40</v>
      </c>
      <c r="F842">
        <v>0</v>
      </c>
    </row>
    <row r="843" spans="1:6" x14ac:dyDescent="0.15">
      <c r="A843" t="s">
        <v>210</v>
      </c>
      <c r="B843" s="226">
        <v>42299.711274201392</v>
      </c>
      <c r="C843" t="s">
        <v>1180</v>
      </c>
      <c r="D843" t="s">
        <v>13</v>
      </c>
      <c r="E843">
        <v>200</v>
      </c>
      <c r="F843">
        <v>0</v>
      </c>
    </row>
    <row r="844" spans="1:6" x14ac:dyDescent="0.15">
      <c r="A844" t="s">
        <v>210</v>
      </c>
      <c r="B844" s="226">
        <v>42299.727249456017</v>
      </c>
      <c r="C844" t="s">
        <v>1181</v>
      </c>
      <c r="D844" t="s">
        <v>13</v>
      </c>
      <c r="E844">
        <v>200</v>
      </c>
      <c r="F844">
        <v>0</v>
      </c>
    </row>
    <row r="845" spans="1:6" x14ac:dyDescent="0.15">
      <c r="A845" t="s">
        <v>210</v>
      </c>
      <c r="B845" s="226">
        <v>42299.738719930552</v>
      </c>
      <c r="C845" t="s">
        <v>1182</v>
      </c>
      <c r="D845" t="s">
        <v>13</v>
      </c>
      <c r="E845">
        <v>200</v>
      </c>
      <c r="F845">
        <v>0</v>
      </c>
    </row>
    <row r="846" spans="1:6" x14ac:dyDescent="0.15">
      <c r="A846" t="s">
        <v>210</v>
      </c>
      <c r="B846" s="226">
        <v>42299.759583009261</v>
      </c>
      <c r="C846" t="s">
        <v>1183</v>
      </c>
      <c r="D846" t="s">
        <v>13</v>
      </c>
      <c r="E846">
        <v>40</v>
      </c>
      <c r="F846">
        <v>0</v>
      </c>
    </row>
    <row r="847" spans="1:6" x14ac:dyDescent="0.15">
      <c r="A847" t="s">
        <v>210</v>
      </c>
      <c r="B847" s="226">
        <v>42299.760200011573</v>
      </c>
      <c r="C847" t="s">
        <v>1184</v>
      </c>
      <c r="D847" t="s">
        <v>13</v>
      </c>
      <c r="E847">
        <v>20</v>
      </c>
      <c r="F847">
        <v>0</v>
      </c>
    </row>
    <row r="848" spans="1:6" x14ac:dyDescent="0.15">
      <c r="A848" t="s">
        <v>210</v>
      </c>
      <c r="B848" s="226">
        <v>42299.774843749998</v>
      </c>
      <c r="C848" t="s">
        <v>1185</v>
      </c>
      <c r="D848" t="s">
        <v>15</v>
      </c>
      <c r="E848">
        <v>100</v>
      </c>
      <c r="F848">
        <v>3</v>
      </c>
    </row>
    <row r="849" spans="1:6" x14ac:dyDescent="0.15">
      <c r="A849" t="s">
        <v>210</v>
      </c>
      <c r="B849" s="226">
        <v>42299.779869120372</v>
      </c>
      <c r="C849" t="s">
        <v>1186</v>
      </c>
      <c r="D849" t="s">
        <v>13</v>
      </c>
      <c r="E849">
        <v>100</v>
      </c>
      <c r="F849">
        <v>0</v>
      </c>
    </row>
    <row r="850" spans="1:6" x14ac:dyDescent="0.15">
      <c r="A850" t="s">
        <v>210</v>
      </c>
      <c r="B850" s="226">
        <v>42299.831857881945</v>
      </c>
      <c r="C850" t="s">
        <v>93</v>
      </c>
      <c r="D850" t="s">
        <v>13</v>
      </c>
      <c r="E850">
        <v>160</v>
      </c>
      <c r="F850">
        <v>0</v>
      </c>
    </row>
    <row r="851" spans="1:6" x14ac:dyDescent="0.15">
      <c r="A851" t="s">
        <v>210</v>
      </c>
      <c r="B851" s="226">
        <v>42299.842837847224</v>
      </c>
      <c r="C851" t="s">
        <v>1187</v>
      </c>
      <c r="D851" t="s">
        <v>13</v>
      </c>
      <c r="E851">
        <v>20</v>
      </c>
      <c r="F851">
        <v>0</v>
      </c>
    </row>
    <row r="852" spans="1:6" x14ac:dyDescent="0.15">
      <c r="A852" t="s">
        <v>210</v>
      </c>
      <c r="B852" s="226">
        <v>42299.857572141205</v>
      </c>
      <c r="C852" t="s">
        <v>1188</v>
      </c>
      <c r="D852" t="s">
        <v>13</v>
      </c>
      <c r="E852">
        <v>100</v>
      </c>
      <c r="F852">
        <v>0</v>
      </c>
    </row>
    <row r="853" spans="1:6" x14ac:dyDescent="0.15">
      <c r="A853" t="s">
        <v>210</v>
      </c>
      <c r="B853" s="226">
        <v>42299.875299027779</v>
      </c>
      <c r="C853" t="s">
        <v>1189</v>
      </c>
      <c r="D853" t="s">
        <v>13</v>
      </c>
      <c r="E853">
        <v>20</v>
      </c>
      <c r="F853">
        <v>0</v>
      </c>
    </row>
    <row r="854" spans="1:6" x14ac:dyDescent="0.15">
      <c r="A854" t="s">
        <v>210</v>
      </c>
      <c r="B854" s="226">
        <v>42299.924558530096</v>
      </c>
      <c r="C854" t="s">
        <v>1190</v>
      </c>
      <c r="D854" t="s">
        <v>13</v>
      </c>
      <c r="E854">
        <v>200</v>
      </c>
      <c r="F854">
        <v>0</v>
      </c>
    </row>
    <row r="855" spans="1:6" x14ac:dyDescent="0.15">
      <c r="A855" t="s">
        <v>210</v>
      </c>
      <c r="B855" s="226">
        <v>42300.068048506946</v>
      </c>
      <c r="C855" t="s">
        <v>1191</v>
      </c>
      <c r="D855" t="s">
        <v>13</v>
      </c>
      <c r="E855">
        <v>80</v>
      </c>
      <c r="F855">
        <v>0</v>
      </c>
    </row>
    <row r="856" spans="1:6" x14ac:dyDescent="0.15">
      <c r="A856" t="s">
        <v>210</v>
      </c>
      <c r="B856" s="226">
        <v>42300.276306412037</v>
      </c>
      <c r="C856" t="s">
        <v>175</v>
      </c>
      <c r="D856" t="s">
        <v>13</v>
      </c>
      <c r="E856">
        <v>40</v>
      </c>
      <c r="F856">
        <v>0</v>
      </c>
    </row>
    <row r="857" spans="1:6" x14ac:dyDescent="0.15">
      <c r="A857" t="s">
        <v>210</v>
      </c>
      <c r="B857" s="226">
        <v>42300.292640879627</v>
      </c>
      <c r="C857" t="s">
        <v>1192</v>
      </c>
      <c r="D857" t="s">
        <v>13</v>
      </c>
      <c r="E857">
        <v>80</v>
      </c>
      <c r="F857">
        <v>0</v>
      </c>
    </row>
    <row r="858" spans="1:6" x14ac:dyDescent="0.15">
      <c r="A858" t="s">
        <v>210</v>
      </c>
      <c r="B858" s="226">
        <v>42300.309765428239</v>
      </c>
      <c r="C858" t="s">
        <v>1193</v>
      </c>
      <c r="D858" t="s">
        <v>13</v>
      </c>
      <c r="E858">
        <v>40</v>
      </c>
      <c r="F858">
        <v>0</v>
      </c>
    </row>
    <row r="859" spans="1:6" x14ac:dyDescent="0.15">
      <c r="A859" t="s">
        <v>210</v>
      </c>
      <c r="B859" s="226">
        <v>42300.313559490744</v>
      </c>
      <c r="C859" t="s">
        <v>14</v>
      </c>
      <c r="D859" t="s">
        <v>13</v>
      </c>
      <c r="E859">
        <v>100</v>
      </c>
      <c r="F859">
        <v>3.5</v>
      </c>
    </row>
    <row r="860" spans="1:6" x14ac:dyDescent="0.15">
      <c r="A860" t="s">
        <v>210</v>
      </c>
      <c r="B860" s="226">
        <v>42300.340603958335</v>
      </c>
      <c r="C860" t="s">
        <v>1194</v>
      </c>
      <c r="D860" t="s">
        <v>13</v>
      </c>
      <c r="E860">
        <v>80</v>
      </c>
      <c r="F860">
        <v>0</v>
      </c>
    </row>
    <row r="861" spans="1:6" x14ac:dyDescent="0.15">
      <c r="A861" t="s">
        <v>210</v>
      </c>
      <c r="B861" s="226">
        <v>42300.345289999997</v>
      </c>
      <c r="C861" t="s">
        <v>1195</v>
      </c>
      <c r="D861" t="s">
        <v>13</v>
      </c>
      <c r="E861">
        <v>100</v>
      </c>
      <c r="F861">
        <v>0</v>
      </c>
    </row>
    <row r="862" spans="1:6" x14ac:dyDescent="0.15">
      <c r="A862" t="s">
        <v>210</v>
      </c>
      <c r="B862" s="226">
        <v>42300.35677121528</v>
      </c>
      <c r="C862" t="s">
        <v>1196</v>
      </c>
      <c r="D862" t="s">
        <v>13</v>
      </c>
      <c r="E862">
        <v>100</v>
      </c>
      <c r="F862">
        <v>0</v>
      </c>
    </row>
    <row r="863" spans="1:6" x14ac:dyDescent="0.15">
      <c r="A863" t="s">
        <v>210</v>
      </c>
      <c r="B863" s="226">
        <v>42300.40569792824</v>
      </c>
      <c r="C863" t="s">
        <v>1197</v>
      </c>
      <c r="D863" t="s">
        <v>13</v>
      </c>
      <c r="E863">
        <v>40</v>
      </c>
      <c r="F863">
        <v>0</v>
      </c>
    </row>
    <row r="864" spans="1:6" x14ac:dyDescent="0.15">
      <c r="A864" t="s">
        <v>210</v>
      </c>
      <c r="B864" s="226">
        <v>42300.419629953707</v>
      </c>
      <c r="C864" t="s">
        <v>975</v>
      </c>
      <c r="D864" t="s">
        <v>13</v>
      </c>
      <c r="E864">
        <v>40</v>
      </c>
      <c r="F864">
        <v>0</v>
      </c>
    </row>
    <row r="865" spans="1:6" x14ac:dyDescent="0.15">
      <c r="A865" t="s">
        <v>210</v>
      </c>
      <c r="B865" s="226">
        <v>42300.420491574077</v>
      </c>
      <c r="C865" t="s">
        <v>1198</v>
      </c>
      <c r="D865" t="s">
        <v>13</v>
      </c>
      <c r="E865">
        <v>200</v>
      </c>
      <c r="F865">
        <v>0</v>
      </c>
    </row>
    <row r="866" spans="1:6" x14ac:dyDescent="0.15">
      <c r="A866" t="s">
        <v>210</v>
      </c>
      <c r="B866" s="226">
        <v>42300.443864513887</v>
      </c>
      <c r="C866" t="s">
        <v>1199</v>
      </c>
      <c r="D866" t="s">
        <v>15</v>
      </c>
      <c r="E866">
        <v>100</v>
      </c>
      <c r="F866">
        <v>3</v>
      </c>
    </row>
    <row r="867" spans="1:6" x14ac:dyDescent="0.15">
      <c r="A867" t="s">
        <v>210</v>
      </c>
      <c r="B867" s="226">
        <v>42300.449955601849</v>
      </c>
      <c r="C867" t="s">
        <v>372</v>
      </c>
      <c r="D867" t="s">
        <v>13</v>
      </c>
      <c r="E867">
        <v>100</v>
      </c>
      <c r="F867">
        <v>0</v>
      </c>
    </row>
    <row r="868" spans="1:6" x14ac:dyDescent="0.15">
      <c r="A868" t="s">
        <v>210</v>
      </c>
      <c r="B868" s="226">
        <v>42300.461989085648</v>
      </c>
      <c r="C868" t="s">
        <v>1200</v>
      </c>
      <c r="D868" t="s">
        <v>13</v>
      </c>
      <c r="E868">
        <v>40</v>
      </c>
      <c r="F868">
        <v>0</v>
      </c>
    </row>
    <row r="869" spans="1:6" x14ac:dyDescent="0.15">
      <c r="A869" t="s">
        <v>210</v>
      </c>
      <c r="B869" s="226">
        <v>42300.463585324076</v>
      </c>
      <c r="C869" t="s">
        <v>1201</v>
      </c>
      <c r="D869" t="s">
        <v>13</v>
      </c>
      <c r="E869">
        <v>40</v>
      </c>
      <c r="F869">
        <v>0</v>
      </c>
    </row>
    <row r="870" spans="1:6" x14ac:dyDescent="0.15">
      <c r="A870" t="s">
        <v>210</v>
      </c>
      <c r="B870" s="226">
        <v>42300.483700763885</v>
      </c>
      <c r="C870" t="s">
        <v>1202</v>
      </c>
      <c r="D870" t="s">
        <v>13</v>
      </c>
      <c r="E870">
        <v>200</v>
      </c>
      <c r="F870">
        <v>0</v>
      </c>
    </row>
    <row r="871" spans="1:6" x14ac:dyDescent="0.15">
      <c r="A871" t="s">
        <v>210</v>
      </c>
      <c r="B871" s="226">
        <v>42300.484651921295</v>
      </c>
      <c r="C871" t="s">
        <v>1203</v>
      </c>
      <c r="D871" t="s">
        <v>13</v>
      </c>
      <c r="E871">
        <v>100</v>
      </c>
      <c r="F871">
        <v>0</v>
      </c>
    </row>
    <row r="872" spans="1:6" x14ac:dyDescent="0.15">
      <c r="A872" t="s">
        <v>210</v>
      </c>
      <c r="B872" s="226">
        <v>42300.485192037035</v>
      </c>
      <c r="C872" t="s">
        <v>1204</v>
      </c>
      <c r="D872" t="s">
        <v>13</v>
      </c>
      <c r="E872">
        <v>100</v>
      </c>
      <c r="F872">
        <v>0</v>
      </c>
    </row>
    <row r="873" spans="1:6" x14ac:dyDescent="0.15">
      <c r="A873" t="s">
        <v>210</v>
      </c>
      <c r="B873" s="226">
        <v>42300.488786898146</v>
      </c>
      <c r="C873" t="s">
        <v>1205</v>
      </c>
      <c r="D873" t="s">
        <v>13</v>
      </c>
      <c r="E873">
        <v>160</v>
      </c>
      <c r="F873">
        <v>0</v>
      </c>
    </row>
    <row r="874" spans="1:6" x14ac:dyDescent="0.15">
      <c r="A874" t="s">
        <v>210</v>
      </c>
      <c r="B874" s="226">
        <v>42300.499770439812</v>
      </c>
      <c r="C874" t="s">
        <v>1206</v>
      </c>
      <c r="D874" t="s">
        <v>13</v>
      </c>
      <c r="E874">
        <v>40</v>
      </c>
      <c r="F874">
        <v>0</v>
      </c>
    </row>
    <row r="875" spans="1:6" x14ac:dyDescent="0.15">
      <c r="A875" t="s">
        <v>210</v>
      </c>
      <c r="B875" s="226">
        <v>42300.516535138886</v>
      </c>
      <c r="C875" t="s">
        <v>14</v>
      </c>
      <c r="D875" t="s">
        <v>15</v>
      </c>
      <c r="E875">
        <v>40</v>
      </c>
      <c r="F875">
        <v>3.7</v>
      </c>
    </row>
    <row r="876" spans="1:6" x14ac:dyDescent="0.15">
      <c r="A876" t="s">
        <v>210</v>
      </c>
      <c r="B876" s="226">
        <v>42300.518434490739</v>
      </c>
      <c r="C876" t="s">
        <v>1207</v>
      </c>
      <c r="D876" t="s">
        <v>13</v>
      </c>
      <c r="E876">
        <v>140</v>
      </c>
      <c r="F876">
        <v>0</v>
      </c>
    </row>
    <row r="877" spans="1:6" x14ac:dyDescent="0.15">
      <c r="A877" t="s">
        <v>210</v>
      </c>
      <c r="B877" s="226">
        <v>42300.535268611115</v>
      </c>
      <c r="C877" t="s">
        <v>1208</v>
      </c>
      <c r="D877" t="s">
        <v>13</v>
      </c>
      <c r="E877">
        <v>160</v>
      </c>
      <c r="F877">
        <v>0</v>
      </c>
    </row>
    <row r="878" spans="1:6" x14ac:dyDescent="0.15">
      <c r="A878" t="s">
        <v>210</v>
      </c>
      <c r="B878" s="226">
        <v>42300.556257812503</v>
      </c>
      <c r="C878" t="s">
        <v>1209</v>
      </c>
      <c r="D878" t="s">
        <v>13</v>
      </c>
      <c r="E878">
        <v>40</v>
      </c>
      <c r="F878">
        <v>0</v>
      </c>
    </row>
    <row r="879" spans="1:6" x14ac:dyDescent="0.15">
      <c r="A879" t="s">
        <v>210</v>
      </c>
      <c r="B879" s="226">
        <v>42300.558284363426</v>
      </c>
      <c r="C879" t="s">
        <v>1210</v>
      </c>
      <c r="D879" t="s">
        <v>13</v>
      </c>
      <c r="E879">
        <v>200</v>
      </c>
      <c r="F879">
        <v>0</v>
      </c>
    </row>
    <row r="880" spans="1:6" x14ac:dyDescent="0.15">
      <c r="A880" t="s">
        <v>210</v>
      </c>
      <c r="B880" s="226">
        <v>42300.563224224534</v>
      </c>
      <c r="C880" t="s">
        <v>1211</v>
      </c>
      <c r="D880" t="s">
        <v>13</v>
      </c>
      <c r="E880">
        <v>100</v>
      </c>
      <c r="F880">
        <v>0</v>
      </c>
    </row>
    <row r="881" spans="1:6" x14ac:dyDescent="0.15">
      <c r="A881" t="s">
        <v>210</v>
      </c>
      <c r="B881" s="226">
        <v>42300.584384016205</v>
      </c>
      <c r="C881" t="s">
        <v>1212</v>
      </c>
      <c r="D881" t="s">
        <v>13</v>
      </c>
      <c r="E881">
        <v>20</v>
      </c>
      <c r="F881">
        <v>0</v>
      </c>
    </row>
    <row r="882" spans="1:6" x14ac:dyDescent="0.15">
      <c r="A882" t="s">
        <v>210</v>
      </c>
      <c r="B882" s="226">
        <v>42300.592191898148</v>
      </c>
      <c r="C882" t="s">
        <v>1213</v>
      </c>
      <c r="D882" t="s">
        <v>13</v>
      </c>
      <c r="E882">
        <v>200</v>
      </c>
      <c r="F882">
        <v>0</v>
      </c>
    </row>
    <row r="883" spans="1:6" x14ac:dyDescent="0.15">
      <c r="A883" t="s">
        <v>210</v>
      </c>
      <c r="B883" s="226">
        <v>42300.616513738423</v>
      </c>
      <c r="C883" t="s">
        <v>14</v>
      </c>
      <c r="D883" t="s">
        <v>13</v>
      </c>
      <c r="E883">
        <v>60</v>
      </c>
      <c r="F883">
        <v>3.5</v>
      </c>
    </row>
    <row r="884" spans="1:6" x14ac:dyDescent="0.15">
      <c r="A884" t="s">
        <v>210</v>
      </c>
      <c r="B884" s="226">
        <v>42300.638803159723</v>
      </c>
      <c r="C884" t="s">
        <v>373</v>
      </c>
      <c r="D884" t="s">
        <v>13</v>
      </c>
      <c r="E884">
        <v>120</v>
      </c>
      <c r="F884">
        <v>0</v>
      </c>
    </row>
    <row r="885" spans="1:6" x14ac:dyDescent="0.15">
      <c r="A885" t="s">
        <v>210</v>
      </c>
      <c r="B885" s="226">
        <v>42300.653947210645</v>
      </c>
      <c r="C885" t="s">
        <v>1214</v>
      </c>
      <c r="D885" t="s">
        <v>13</v>
      </c>
      <c r="E885">
        <v>100</v>
      </c>
      <c r="F885">
        <v>0</v>
      </c>
    </row>
    <row r="886" spans="1:6" x14ac:dyDescent="0.15">
      <c r="A886" t="s">
        <v>210</v>
      </c>
      <c r="B886" s="226">
        <v>42300.656342650465</v>
      </c>
      <c r="C886" t="s">
        <v>1215</v>
      </c>
      <c r="D886" t="s">
        <v>13</v>
      </c>
      <c r="E886">
        <v>100</v>
      </c>
      <c r="F886">
        <v>0</v>
      </c>
    </row>
    <row r="887" spans="1:6" x14ac:dyDescent="0.15">
      <c r="A887" t="s">
        <v>210</v>
      </c>
      <c r="B887" s="226">
        <v>42300.658048599536</v>
      </c>
      <c r="C887" t="s">
        <v>1216</v>
      </c>
      <c r="D887" t="s">
        <v>13</v>
      </c>
      <c r="E887">
        <v>100</v>
      </c>
      <c r="F887">
        <v>0</v>
      </c>
    </row>
    <row r="888" spans="1:6" x14ac:dyDescent="0.15">
      <c r="A888" t="s">
        <v>210</v>
      </c>
      <c r="B888" s="226">
        <v>42300.677431863427</v>
      </c>
      <c r="C888" t="s">
        <v>1217</v>
      </c>
      <c r="D888" t="s">
        <v>13</v>
      </c>
      <c r="E888">
        <v>60</v>
      </c>
      <c r="F888">
        <v>0</v>
      </c>
    </row>
    <row r="889" spans="1:6" x14ac:dyDescent="0.15">
      <c r="A889" t="s">
        <v>210</v>
      </c>
      <c r="B889" s="226">
        <v>42300.682448229163</v>
      </c>
      <c r="C889" t="s">
        <v>233</v>
      </c>
      <c r="D889" t="s">
        <v>13</v>
      </c>
      <c r="E889">
        <v>40</v>
      </c>
      <c r="F889">
        <v>0</v>
      </c>
    </row>
    <row r="890" spans="1:6" x14ac:dyDescent="0.15">
      <c r="A890" t="s">
        <v>210</v>
      </c>
      <c r="B890" s="226">
        <v>42300.685709375</v>
      </c>
      <c r="C890" t="s">
        <v>1218</v>
      </c>
      <c r="D890" t="s">
        <v>13</v>
      </c>
      <c r="E890">
        <v>100</v>
      </c>
      <c r="F890">
        <v>0</v>
      </c>
    </row>
    <row r="891" spans="1:6" x14ac:dyDescent="0.15">
      <c r="A891" t="s">
        <v>210</v>
      </c>
      <c r="B891" s="226">
        <v>42300.690852037034</v>
      </c>
      <c r="C891" t="s">
        <v>1219</v>
      </c>
      <c r="D891" t="s">
        <v>13</v>
      </c>
      <c r="E891">
        <v>100</v>
      </c>
      <c r="F891">
        <v>0</v>
      </c>
    </row>
    <row r="892" spans="1:6" x14ac:dyDescent="0.15">
      <c r="A892" t="s">
        <v>210</v>
      </c>
      <c r="B892" s="226">
        <v>42300.703268784724</v>
      </c>
      <c r="C892" t="s">
        <v>1220</v>
      </c>
      <c r="D892" t="s">
        <v>13</v>
      </c>
      <c r="E892">
        <v>100</v>
      </c>
      <c r="F892">
        <v>0</v>
      </c>
    </row>
    <row r="893" spans="1:6" x14ac:dyDescent="0.15">
      <c r="A893" t="s">
        <v>210</v>
      </c>
      <c r="B893" s="226">
        <v>42300.718235949076</v>
      </c>
      <c r="C893" t="s">
        <v>14</v>
      </c>
      <c r="D893" t="s">
        <v>13</v>
      </c>
      <c r="E893">
        <v>120</v>
      </c>
      <c r="F893">
        <v>3.5</v>
      </c>
    </row>
    <row r="894" spans="1:6" x14ac:dyDescent="0.15">
      <c r="A894" t="s">
        <v>210</v>
      </c>
      <c r="B894" s="226">
        <v>42300.722700254628</v>
      </c>
      <c r="C894" t="s">
        <v>1221</v>
      </c>
      <c r="D894" t="s">
        <v>13</v>
      </c>
      <c r="E894">
        <v>80</v>
      </c>
      <c r="F894">
        <v>0</v>
      </c>
    </row>
    <row r="895" spans="1:6" x14ac:dyDescent="0.15">
      <c r="A895" t="s">
        <v>210</v>
      </c>
      <c r="B895" s="226">
        <v>42300.747444108798</v>
      </c>
      <c r="C895" t="s">
        <v>1222</v>
      </c>
      <c r="D895" t="s">
        <v>13</v>
      </c>
      <c r="E895">
        <v>40</v>
      </c>
      <c r="F895">
        <v>0</v>
      </c>
    </row>
    <row r="896" spans="1:6" x14ac:dyDescent="0.15">
      <c r="A896" t="s">
        <v>210</v>
      </c>
      <c r="B896" s="226">
        <v>42300.754726261577</v>
      </c>
      <c r="C896" t="s">
        <v>1167</v>
      </c>
      <c r="D896" t="s">
        <v>13</v>
      </c>
      <c r="E896">
        <v>40</v>
      </c>
      <c r="F896">
        <v>0</v>
      </c>
    </row>
    <row r="897" spans="1:6" x14ac:dyDescent="0.15">
      <c r="A897" t="s">
        <v>210</v>
      </c>
      <c r="B897" s="226">
        <v>42300.755635648151</v>
      </c>
      <c r="C897" t="s">
        <v>1223</v>
      </c>
      <c r="D897" t="s">
        <v>13</v>
      </c>
      <c r="E897">
        <v>100</v>
      </c>
      <c r="F897">
        <v>0</v>
      </c>
    </row>
    <row r="898" spans="1:6" x14ac:dyDescent="0.15">
      <c r="A898" t="s">
        <v>210</v>
      </c>
      <c r="B898" s="226">
        <v>42300.759326851854</v>
      </c>
      <c r="C898" t="s">
        <v>1224</v>
      </c>
      <c r="D898" t="s">
        <v>13</v>
      </c>
      <c r="E898">
        <v>500</v>
      </c>
      <c r="F898">
        <v>0</v>
      </c>
    </row>
    <row r="899" spans="1:6" x14ac:dyDescent="0.15">
      <c r="A899" t="s">
        <v>210</v>
      </c>
      <c r="B899" s="226">
        <v>42300.777678900464</v>
      </c>
      <c r="C899" t="s">
        <v>14</v>
      </c>
      <c r="D899" t="s">
        <v>13</v>
      </c>
      <c r="E899">
        <v>60</v>
      </c>
      <c r="F899">
        <v>3.5</v>
      </c>
    </row>
    <row r="900" spans="1:6" x14ac:dyDescent="0.15">
      <c r="A900" t="s">
        <v>210</v>
      </c>
      <c r="B900" s="226">
        <v>42300.830736041666</v>
      </c>
      <c r="C900" t="s">
        <v>374</v>
      </c>
      <c r="D900" t="s">
        <v>13</v>
      </c>
      <c r="E900">
        <v>120</v>
      </c>
      <c r="F900">
        <v>0</v>
      </c>
    </row>
    <row r="901" spans="1:6" x14ac:dyDescent="0.15">
      <c r="A901" t="s">
        <v>210</v>
      </c>
      <c r="B901" s="226">
        <v>42300.851058425927</v>
      </c>
      <c r="C901" t="s">
        <v>272</v>
      </c>
      <c r="D901" t="s">
        <v>13</v>
      </c>
      <c r="E901">
        <v>40</v>
      </c>
      <c r="F901">
        <v>0</v>
      </c>
    </row>
    <row r="902" spans="1:6" x14ac:dyDescent="0.15">
      <c r="A902" t="s">
        <v>210</v>
      </c>
      <c r="B902" s="226">
        <v>42300.885821261574</v>
      </c>
      <c r="C902" t="s">
        <v>1225</v>
      </c>
      <c r="D902" t="s">
        <v>13</v>
      </c>
      <c r="E902">
        <v>40</v>
      </c>
      <c r="F902">
        <v>0</v>
      </c>
    </row>
    <row r="903" spans="1:6" x14ac:dyDescent="0.15">
      <c r="A903" t="s">
        <v>210</v>
      </c>
      <c r="B903" s="226">
        <v>42300.998204490737</v>
      </c>
      <c r="C903" t="s">
        <v>1226</v>
      </c>
      <c r="D903" t="s">
        <v>13</v>
      </c>
      <c r="E903">
        <v>40</v>
      </c>
      <c r="F903">
        <v>0</v>
      </c>
    </row>
    <row r="904" spans="1:6" x14ac:dyDescent="0.15">
      <c r="A904" t="s">
        <v>210</v>
      </c>
      <c r="B904" s="226">
        <v>42301.281981006941</v>
      </c>
      <c r="C904" t="s">
        <v>1227</v>
      </c>
      <c r="D904" t="s">
        <v>13</v>
      </c>
      <c r="E904">
        <v>100</v>
      </c>
      <c r="F904">
        <v>0</v>
      </c>
    </row>
    <row r="905" spans="1:6" x14ac:dyDescent="0.15">
      <c r="A905" t="s">
        <v>210</v>
      </c>
      <c r="B905" s="226">
        <v>42301.303856006947</v>
      </c>
      <c r="C905" t="s">
        <v>1073</v>
      </c>
      <c r="D905" t="s">
        <v>13</v>
      </c>
      <c r="E905">
        <v>200</v>
      </c>
      <c r="F905">
        <v>0</v>
      </c>
    </row>
    <row r="906" spans="1:6" x14ac:dyDescent="0.15">
      <c r="A906" t="s">
        <v>210</v>
      </c>
      <c r="B906" s="226">
        <v>42301.306730787037</v>
      </c>
      <c r="C906" t="s">
        <v>1228</v>
      </c>
      <c r="D906" t="s">
        <v>13</v>
      </c>
      <c r="E906">
        <v>20</v>
      </c>
      <c r="F906">
        <v>0</v>
      </c>
    </row>
    <row r="907" spans="1:6" x14ac:dyDescent="0.15">
      <c r="A907" t="s">
        <v>210</v>
      </c>
      <c r="B907" s="226">
        <v>42301.321742361113</v>
      </c>
      <c r="C907" t="s">
        <v>14</v>
      </c>
      <c r="D907" t="s">
        <v>15</v>
      </c>
      <c r="E907">
        <v>20</v>
      </c>
      <c r="F907">
        <v>3.1</v>
      </c>
    </row>
    <row r="908" spans="1:6" x14ac:dyDescent="0.15">
      <c r="A908" t="s">
        <v>210</v>
      </c>
      <c r="B908" s="226">
        <v>42301.366507569444</v>
      </c>
      <c r="C908" t="s">
        <v>1229</v>
      </c>
      <c r="D908" t="s">
        <v>15</v>
      </c>
      <c r="E908">
        <v>100</v>
      </c>
      <c r="F908">
        <v>3</v>
      </c>
    </row>
    <row r="909" spans="1:6" x14ac:dyDescent="0.15">
      <c r="A909" t="s">
        <v>210</v>
      </c>
      <c r="B909" s="226">
        <v>42301.382812534721</v>
      </c>
      <c r="C909" t="s">
        <v>14</v>
      </c>
      <c r="D909" t="s">
        <v>13</v>
      </c>
      <c r="E909">
        <v>100</v>
      </c>
      <c r="F909">
        <v>3.5</v>
      </c>
    </row>
    <row r="910" spans="1:6" x14ac:dyDescent="0.15">
      <c r="A910" t="s">
        <v>210</v>
      </c>
      <c r="B910" s="226">
        <v>42301.403129629631</v>
      </c>
      <c r="C910" t="s">
        <v>1230</v>
      </c>
      <c r="D910" t="s">
        <v>13</v>
      </c>
      <c r="E910">
        <v>300</v>
      </c>
      <c r="F910">
        <v>0</v>
      </c>
    </row>
    <row r="911" spans="1:6" x14ac:dyDescent="0.15">
      <c r="A911" t="s">
        <v>210</v>
      </c>
      <c r="B911" s="226">
        <v>42301.440852650463</v>
      </c>
      <c r="C911" t="s">
        <v>1231</v>
      </c>
      <c r="D911" t="s">
        <v>13</v>
      </c>
      <c r="E911">
        <v>40</v>
      </c>
      <c r="F911">
        <v>0</v>
      </c>
    </row>
    <row r="912" spans="1:6" x14ac:dyDescent="0.15">
      <c r="A912" t="s">
        <v>210</v>
      </c>
      <c r="B912" s="226">
        <v>42301.445883263892</v>
      </c>
      <c r="C912" t="s">
        <v>1232</v>
      </c>
      <c r="D912" t="s">
        <v>13</v>
      </c>
      <c r="E912">
        <v>200</v>
      </c>
      <c r="F912">
        <v>0</v>
      </c>
    </row>
    <row r="913" spans="1:6" x14ac:dyDescent="0.15">
      <c r="A913" t="s">
        <v>210</v>
      </c>
      <c r="B913" s="226">
        <v>42301.44652179398</v>
      </c>
      <c r="C913" t="s">
        <v>375</v>
      </c>
      <c r="D913" t="s">
        <v>13</v>
      </c>
      <c r="E913">
        <v>40</v>
      </c>
      <c r="F913">
        <v>0</v>
      </c>
    </row>
    <row r="914" spans="1:6" x14ac:dyDescent="0.15">
      <c r="A914" t="s">
        <v>210</v>
      </c>
      <c r="B914" s="226">
        <v>42301.457395231482</v>
      </c>
      <c r="C914" t="s">
        <v>376</v>
      </c>
      <c r="D914" t="s">
        <v>13</v>
      </c>
      <c r="E914">
        <v>100</v>
      </c>
      <c r="F914">
        <v>0</v>
      </c>
    </row>
    <row r="915" spans="1:6" x14ac:dyDescent="0.15">
      <c r="A915" t="s">
        <v>210</v>
      </c>
      <c r="B915" s="226">
        <v>42301.493233611109</v>
      </c>
      <c r="C915" t="s">
        <v>377</v>
      </c>
      <c r="D915" t="s">
        <v>13</v>
      </c>
      <c r="E915">
        <v>60</v>
      </c>
      <c r="F915">
        <v>0</v>
      </c>
    </row>
    <row r="916" spans="1:6" x14ac:dyDescent="0.15">
      <c r="A916" t="s">
        <v>210</v>
      </c>
      <c r="B916" s="226">
        <v>42301.497521331017</v>
      </c>
      <c r="C916" t="s">
        <v>14</v>
      </c>
      <c r="D916" t="s">
        <v>13</v>
      </c>
      <c r="E916">
        <v>40</v>
      </c>
      <c r="F916">
        <v>3.5</v>
      </c>
    </row>
    <row r="917" spans="1:6" x14ac:dyDescent="0.15">
      <c r="A917" t="s">
        <v>210</v>
      </c>
      <c r="B917" s="226">
        <v>42301.538409791669</v>
      </c>
      <c r="C917" t="s">
        <v>1233</v>
      </c>
      <c r="D917" t="s">
        <v>13</v>
      </c>
      <c r="E917">
        <v>120</v>
      </c>
      <c r="F917">
        <v>0</v>
      </c>
    </row>
    <row r="918" spans="1:6" x14ac:dyDescent="0.15">
      <c r="A918" t="s">
        <v>210</v>
      </c>
      <c r="B918" s="226">
        <v>42301.547717800924</v>
      </c>
      <c r="C918" t="s">
        <v>1234</v>
      </c>
      <c r="D918" t="s">
        <v>13</v>
      </c>
      <c r="E918">
        <v>100</v>
      </c>
      <c r="F918">
        <v>0</v>
      </c>
    </row>
    <row r="919" spans="1:6" x14ac:dyDescent="0.15">
      <c r="A919" t="s">
        <v>210</v>
      </c>
      <c r="B919" s="226">
        <v>42301.551917442128</v>
      </c>
      <c r="C919" t="s">
        <v>1235</v>
      </c>
      <c r="D919" t="s">
        <v>13</v>
      </c>
      <c r="E919">
        <v>100</v>
      </c>
      <c r="F919">
        <v>0</v>
      </c>
    </row>
    <row r="920" spans="1:6" x14ac:dyDescent="0.15">
      <c r="A920" t="s">
        <v>210</v>
      </c>
      <c r="B920" s="226">
        <v>42301.573601018521</v>
      </c>
      <c r="C920" t="s">
        <v>1236</v>
      </c>
      <c r="D920" t="s">
        <v>13</v>
      </c>
      <c r="E920">
        <v>200</v>
      </c>
      <c r="F920">
        <v>0</v>
      </c>
    </row>
    <row r="921" spans="1:6" x14ac:dyDescent="0.15">
      <c r="A921" t="s">
        <v>210</v>
      </c>
      <c r="B921" s="226">
        <v>42301.604236527775</v>
      </c>
      <c r="C921" t="s">
        <v>313</v>
      </c>
      <c r="D921" t="s">
        <v>13</v>
      </c>
      <c r="E921">
        <v>20</v>
      </c>
      <c r="F921">
        <v>0</v>
      </c>
    </row>
    <row r="922" spans="1:6" x14ac:dyDescent="0.15">
      <c r="A922" t="s">
        <v>210</v>
      </c>
      <c r="B922" s="226">
        <v>42301.620449479167</v>
      </c>
      <c r="C922" t="s">
        <v>1237</v>
      </c>
      <c r="D922" t="s">
        <v>13</v>
      </c>
      <c r="E922">
        <v>100</v>
      </c>
      <c r="F922">
        <v>0</v>
      </c>
    </row>
    <row r="923" spans="1:6" x14ac:dyDescent="0.15">
      <c r="A923" t="s">
        <v>210</v>
      </c>
      <c r="B923" s="226">
        <v>42301.62115619213</v>
      </c>
      <c r="C923" t="s">
        <v>1238</v>
      </c>
      <c r="D923" t="s">
        <v>13</v>
      </c>
      <c r="E923">
        <v>60</v>
      </c>
      <c r="F923">
        <v>0</v>
      </c>
    </row>
    <row r="924" spans="1:6" x14ac:dyDescent="0.15">
      <c r="A924" t="s">
        <v>210</v>
      </c>
      <c r="B924" s="226">
        <v>42301.629670092596</v>
      </c>
      <c r="C924" t="s">
        <v>1239</v>
      </c>
      <c r="D924" t="s">
        <v>13</v>
      </c>
      <c r="E924">
        <v>100</v>
      </c>
      <c r="F924">
        <v>0</v>
      </c>
    </row>
    <row r="925" spans="1:6" x14ac:dyDescent="0.15">
      <c r="A925" t="s">
        <v>210</v>
      </c>
      <c r="B925" s="226">
        <v>42301.690932453705</v>
      </c>
      <c r="C925" t="s">
        <v>14</v>
      </c>
      <c r="D925" t="s">
        <v>13</v>
      </c>
      <c r="E925">
        <v>20</v>
      </c>
      <c r="F925">
        <v>3.5</v>
      </c>
    </row>
    <row r="926" spans="1:6" x14ac:dyDescent="0.15">
      <c r="A926" t="s">
        <v>210</v>
      </c>
      <c r="B926" s="226">
        <v>42301.69903171296</v>
      </c>
      <c r="C926" t="s">
        <v>1240</v>
      </c>
      <c r="D926" t="s">
        <v>13</v>
      </c>
      <c r="E926">
        <v>120</v>
      </c>
      <c r="F926">
        <v>0</v>
      </c>
    </row>
    <row r="927" spans="1:6" x14ac:dyDescent="0.15">
      <c r="A927" t="s">
        <v>210</v>
      </c>
      <c r="B927" s="226">
        <v>42301.73554681713</v>
      </c>
      <c r="C927" t="s">
        <v>258</v>
      </c>
      <c r="D927" t="s">
        <v>13</v>
      </c>
      <c r="E927">
        <v>200</v>
      </c>
      <c r="F927">
        <v>0</v>
      </c>
    </row>
    <row r="928" spans="1:6" x14ac:dyDescent="0.15">
      <c r="A928" t="s">
        <v>210</v>
      </c>
      <c r="B928" s="226">
        <v>42301.743557905094</v>
      </c>
      <c r="C928" t="s">
        <v>1241</v>
      </c>
      <c r="D928" t="s">
        <v>13</v>
      </c>
      <c r="E928">
        <v>40</v>
      </c>
      <c r="F928">
        <v>0</v>
      </c>
    </row>
    <row r="929" spans="1:6" x14ac:dyDescent="0.15">
      <c r="A929" t="s">
        <v>210</v>
      </c>
      <c r="B929" s="226">
        <v>42301.750353078707</v>
      </c>
      <c r="C929" t="s">
        <v>1242</v>
      </c>
      <c r="D929" t="s">
        <v>13</v>
      </c>
      <c r="E929">
        <v>100</v>
      </c>
      <c r="F929">
        <v>0</v>
      </c>
    </row>
    <row r="930" spans="1:6" x14ac:dyDescent="0.15">
      <c r="A930" t="s">
        <v>210</v>
      </c>
      <c r="B930" s="226">
        <v>42301.754573194441</v>
      </c>
      <c r="C930" t="s">
        <v>1243</v>
      </c>
      <c r="D930" t="s">
        <v>13</v>
      </c>
      <c r="E930">
        <v>20</v>
      </c>
      <c r="F930">
        <v>0</v>
      </c>
    </row>
    <row r="931" spans="1:6" x14ac:dyDescent="0.15">
      <c r="A931" t="s">
        <v>210</v>
      </c>
      <c r="B931" s="226">
        <v>42301.783139652776</v>
      </c>
      <c r="C931" t="s">
        <v>1133</v>
      </c>
      <c r="D931" t="s">
        <v>15</v>
      </c>
      <c r="E931">
        <v>160</v>
      </c>
      <c r="F931">
        <v>4.8</v>
      </c>
    </row>
    <row r="932" spans="1:6" x14ac:dyDescent="0.15">
      <c r="A932" t="s">
        <v>210</v>
      </c>
      <c r="B932" s="226">
        <v>42301.784094814815</v>
      </c>
      <c r="C932" t="s">
        <v>109</v>
      </c>
      <c r="D932" t="s">
        <v>13</v>
      </c>
      <c r="E932">
        <v>40</v>
      </c>
      <c r="F932">
        <v>0</v>
      </c>
    </row>
    <row r="933" spans="1:6" x14ac:dyDescent="0.15">
      <c r="A933" t="s">
        <v>210</v>
      </c>
      <c r="B933" s="226">
        <v>42301.790142997685</v>
      </c>
      <c r="C933" t="s">
        <v>1244</v>
      </c>
      <c r="D933" t="s">
        <v>13</v>
      </c>
      <c r="E933">
        <v>40</v>
      </c>
      <c r="F933">
        <v>0</v>
      </c>
    </row>
    <row r="934" spans="1:6" x14ac:dyDescent="0.15">
      <c r="A934" t="s">
        <v>210</v>
      </c>
      <c r="B934" s="226">
        <v>42301.821455671299</v>
      </c>
      <c r="C934" t="s">
        <v>747</v>
      </c>
      <c r="D934" t="s">
        <v>13</v>
      </c>
      <c r="E934">
        <v>140</v>
      </c>
      <c r="F934">
        <v>0</v>
      </c>
    </row>
    <row r="935" spans="1:6" x14ac:dyDescent="0.15">
      <c r="A935" t="s">
        <v>210</v>
      </c>
      <c r="B935" s="226">
        <v>42301.858882997687</v>
      </c>
      <c r="C935" t="s">
        <v>785</v>
      </c>
      <c r="D935" t="s">
        <v>13</v>
      </c>
      <c r="E935">
        <v>100</v>
      </c>
      <c r="F935">
        <v>0</v>
      </c>
    </row>
    <row r="936" spans="1:6" x14ac:dyDescent="0.15">
      <c r="A936" t="s">
        <v>210</v>
      </c>
      <c r="B936" s="226">
        <v>42301.86510260417</v>
      </c>
      <c r="C936" t="s">
        <v>85</v>
      </c>
      <c r="D936" t="s">
        <v>13</v>
      </c>
      <c r="E936">
        <v>100</v>
      </c>
      <c r="F936">
        <v>0</v>
      </c>
    </row>
    <row r="937" spans="1:6" x14ac:dyDescent="0.15">
      <c r="A937" t="s">
        <v>210</v>
      </c>
      <c r="B937" s="226">
        <v>42301.967718645836</v>
      </c>
      <c r="C937" t="s">
        <v>1016</v>
      </c>
      <c r="D937" t="s">
        <v>13</v>
      </c>
      <c r="E937">
        <v>20</v>
      </c>
      <c r="F937">
        <v>0</v>
      </c>
    </row>
    <row r="938" spans="1:6" x14ac:dyDescent="0.15">
      <c r="A938" t="s">
        <v>210</v>
      </c>
      <c r="B938" s="226">
        <v>42301.979171793981</v>
      </c>
      <c r="C938" t="s">
        <v>1245</v>
      </c>
      <c r="D938" t="s">
        <v>13</v>
      </c>
      <c r="E938">
        <v>200</v>
      </c>
      <c r="F938">
        <v>0</v>
      </c>
    </row>
    <row r="939" spans="1:6" x14ac:dyDescent="0.15">
      <c r="A939" t="s">
        <v>210</v>
      </c>
      <c r="B939" s="226">
        <v>42301.98510820602</v>
      </c>
      <c r="C939" t="s">
        <v>1246</v>
      </c>
      <c r="D939" t="s">
        <v>13</v>
      </c>
      <c r="E939">
        <v>200</v>
      </c>
      <c r="F939">
        <v>0</v>
      </c>
    </row>
    <row r="940" spans="1:6" x14ac:dyDescent="0.15">
      <c r="A940" t="s">
        <v>210</v>
      </c>
      <c r="B940" s="226">
        <v>42302.04091729167</v>
      </c>
      <c r="C940" t="s">
        <v>1247</v>
      </c>
      <c r="D940" t="s">
        <v>13</v>
      </c>
      <c r="E940">
        <v>60</v>
      </c>
      <c r="F940">
        <v>0</v>
      </c>
    </row>
    <row r="941" spans="1:6" x14ac:dyDescent="0.15">
      <c r="A941" t="s">
        <v>210</v>
      </c>
      <c r="B941" s="226">
        <v>42302.061297719905</v>
      </c>
      <c r="C941" t="s">
        <v>1248</v>
      </c>
      <c r="D941" t="s">
        <v>13</v>
      </c>
      <c r="E941">
        <v>80</v>
      </c>
      <c r="F941">
        <v>0</v>
      </c>
    </row>
    <row r="942" spans="1:6" x14ac:dyDescent="0.15">
      <c r="A942" t="s">
        <v>210</v>
      </c>
      <c r="B942" s="226">
        <v>42302.062157638888</v>
      </c>
      <c r="C942" t="s">
        <v>378</v>
      </c>
      <c r="D942" t="s">
        <v>13</v>
      </c>
      <c r="E942">
        <v>100</v>
      </c>
      <c r="F942">
        <v>0</v>
      </c>
    </row>
    <row r="943" spans="1:6" x14ac:dyDescent="0.15">
      <c r="A943" t="s">
        <v>210</v>
      </c>
      <c r="B943" s="226">
        <v>42302.399271840281</v>
      </c>
      <c r="C943" t="s">
        <v>730</v>
      </c>
      <c r="D943" t="s">
        <v>13</v>
      </c>
      <c r="E943">
        <v>100</v>
      </c>
      <c r="F943">
        <v>0</v>
      </c>
    </row>
    <row r="944" spans="1:6" x14ac:dyDescent="0.15">
      <c r="A944" t="s">
        <v>210</v>
      </c>
      <c r="B944" s="226">
        <v>42302.415721724537</v>
      </c>
      <c r="C944" t="s">
        <v>1249</v>
      </c>
      <c r="D944" t="s">
        <v>13</v>
      </c>
      <c r="E944">
        <v>40</v>
      </c>
      <c r="F944">
        <v>0</v>
      </c>
    </row>
    <row r="945" spans="1:6" x14ac:dyDescent="0.15">
      <c r="A945" t="s">
        <v>210</v>
      </c>
      <c r="B945" s="226">
        <v>42302.453419108795</v>
      </c>
      <c r="C945" t="s">
        <v>1250</v>
      </c>
      <c r="D945" t="s">
        <v>13</v>
      </c>
      <c r="E945">
        <v>100</v>
      </c>
      <c r="F945">
        <v>0</v>
      </c>
    </row>
    <row r="946" spans="1:6" x14ac:dyDescent="0.15">
      <c r="A946" t="s">
        <v>210</v>
      </c>
      <c r="B946" s="226">
        <v>42302.482441979169</v>
      </c>
      <c r="C946" t="s">
        <v>1251</v>
      </c>
      <c r="D946" t="s">
        <v>13</v>
      </c>
      <c r="E946">
        <v>200</v>
      </c>
      <c r="F946">
        <v>0</v>
      </c>
    </row>
    <row r="947" spans="1:6" x14ac:dyDescent="0.15">
      <c r="A947" t="s">
        <v>210</v>
      </c>
      <c r="B947" s="226">
        <v>42302.513243773152</v>
      </c>
      <c r="C947" t="s">
        <v>1252</v>
      </c>
      <c r="D947" t="s">
        <v>15</v>
      </c>
      <c r="E947">
        <v>200</v>
      </c>
      <c r="F947">
        <v>6</v>
      </c>
    </row>
    <row r="948" spans="1:6" x14ac:dyDescent="0.15">
      <c r="A948" t="s">
        <v>210</v>
      </c>
      <c r="B948" s="226">
        <v>42302.51953928241</v>
      </c>
      <c r="C948" t="s">
        <v>321</v>
      </c>
      <c r="D948" t="s">
        <v>13</v>
      </c>
      <c r="E948">
        <v>60</v>
      </c>
      <c r="F948">
        <v>0</v>
      </c>
    </row>
    <row r="949" spans="1:6" x14ac:dyDescent="0.15">
      <c r="A949" t="s">
        <v>210</v>
      </c>
      <c r="B949" s="226">
        <v>42302.550945844909</v>
      </c>
      <c r="C949" t="s">
        <v>1253</v>
      </c>
      <c r="D949" t="s">
        <v>13</v>
      </c>
      <c r="E949">
        <v>100</v>
      </c>
      <c r="F949">
        <v>0</v>
      </c>
    </row>
    <row r="950" spans="1:6" x14ac:dyDescent="0.15">
      <c r="A950" t="s">
        <v>210</v>
      </c>
      <c r="B950" s="226">
        <v>42302.573129837961</v>
      </c>
      <c r="C950" t="s">
        <v>1254</v>
      </c>
      <c r="D950" t="s">
        <v>13</v>
      </c>
      <c r="E950">
        <v>100</v>
      </c>
      <c r="F950">
        <v>0</v>
      </c>
    </row>
    <row r="951" spans="1:6" x14ac:dyDescent="0.15">
      <c r="A951" t="s">
        <v>210</v>
      </c>
      <c r="B951" s="226">
        <v>42302.587882951389</v>
      </c>
      <c r="C951" t="s">
        <v>1255</v>
      </c>
      <c r="D951" t="s">
        <v>13</v>
      </c>
      <c r="E951">
        <v>40</v>
      </c>
      <c r="F951">
        <v>0</v>
      </c>
    </row>
    <row r="952" spans="1:6" x14ac:dyDescent="0.15">
      <c r="A952" t="s">
        <v>210</v>
      </c>
      <c r="B952" s="226">
        <v>42302.605867488426</v>
      </c>
      <c r="C952" t="s">
        <v>196</v>
      </c>
      <c r="D952" t="s">
        <v>13</v>
      </c>
      <c r="E952">
        <v>100</v>
      </c>
      <c r="F952">
        <v>0</v>
      </c>
    </row>
    <row r="953" spans="1:6" x14ac:dyDescent="0.15">
      <c r="A953" t="s">
        <v>210</v>
      </c>
      <c r="B953" s="226">
        <v>42302.61319142361</v>
      </c>
      <c r="C953" t="s">
        <v>1256</v>
      </c>
      <c r="D953" t="s">
        <v>13</v>
      </c>
      <c r="E953">
        <v>20</v>
      </c>
      <c r="F953">
        <v>0</v>
      </c>
    </row>
    <row r="954" spans="1:6" x14ac:dyDescent="0.15">
      <c r="A954" t="s">
        <v>210</v>
      </c>
      <c r="B954" s="226">
        <v>42302.645183796296</v>
      </c>
      <c r="C954" t="s">
        <v>1257</v>
      </c>
      <c r="D954" t="s">
        <v>13</v>
      </c>
      <c r="E954">
        <v>100</v>
      </c>
      <c r="F954">
        <v>0</v>
      </c>
    </row>
    <row r="955" spans="1:6" x14ac:dyDescent="0.15">
      <c r="A955" t="s">
        <v>210</v>
      </c>
      <c r="B955" s="226">
        <v>42302.648137476855</v>
      </c>
      <c r="C955" t="s">
        <v>1258</v>
      </c>
      <c r="D955" t="s">
        <v>13</v>
      </c>
      <c r="E955">
        <v>80</v>
      </c>
      <c r="F955">
        <v>0</v>
      </c>
    </row>
    <row r="956" spans="1:6" x14ac:dyDescent="0.15">
      <c r="A956" t="s">
        <v>210</v>
      </c>
      <c r="B956" s="226">
        <v>42302.67000726852</v>
      </c>
      <c r="C956" t="s">
        <v>1259</v>
      </c>
      <c r="D956" t="s">
        <v>13</v>
      </c>
      <c r="E956">
        <v>40</v>
      </c>
      <c r="F956">
        <v>0</v>
      </c>
    </row>
    <row r="957" spans="1:6" x14ac:dyDescent="0.15">
      <c r="A957" t="s">
        <v>210</v>
      </c>
      <c r="B957" s="226">
        <v>42302.689738958332</v>
      </c>
      <c r="C957" t="s">
        <v>14</v>
      </c>
      <c r="D957" t="s">
        <v>13</v>
      </c>
      <c r="E957">
        <v>60</v>
      </c>
      <c r="F957">
        <v>3.5</v>
      </c>
    </row>
    <row r="958" spans="1:6" x14ac:dyDescent="0.15">
      <c r="A958" t="s">
        <v>210</v>
      </c>
      <c r="B958" s="226">
        <v>42302.70846976852</v>
      </c>
      <c r="C958" t="s">
        <v>1260</v>
      </c>
      <c r="D958" t="s">
        <v>13</v>
      </c>
      <c r="E958">
        <v>100</v>
      </c>
      <c r="F958">
        <v>0</v>
      </c>
    </row>
    <row r="959" spans="1:6" x14ac:dyDescent="0.15">
      <c r="A959" t="s">
        <v>210</v>
      </c>
      <c r="B959" s="226">
        <v>42302.738221307867</v>
      </c>
      <c r="C959" t="s">
        <v>1261</v>
      </c>
      <c r="D959" t="s">
        <v>13</v>
      </c>
      <c r="E959">
        <v>60</v>
      </c>
      <c r="F959">
        <v>0</v>
      </c>
    </row>
    <row r="960" spans="1:6" x14ac:dyDescent="0.15">
      <c r="A960" t="s">
        <v>210</v>
      </c>
      <c r="B960" s="226">
        <v>42303.257360057869</v>
      </c>
      <c r="C960" t="s">
        <v>226</v>
      </c>
      <c r="D960" t="s">
        <v>13</v>
      </c>
      <c r="E960">
        <v>20</v>
      </c>
      <c r="F960">
        <v>0</v>
      </c>
    </row>
    <row r="961" spans="1:6" x14ac:dyDescent="0.15">
      <c r="A961" t="s">
        <v>210</v>
      </c>
      <c r="B961" s="226">
        <v>42303.295235162041</v>
      </c>
      <c r="C961" t="s">
        <v>1262</v>
      </c>
      <c r="D961" t="s">
        <v>13</v>
      </c>
      <c r="E961">
        <v>100</v>
      </c>
      <c r="F961">
        <v>0</v>
      </c>
    </row>
    <row r="962" spans="1:6" x14ac:dyDescent="0.15">
      <c r="A962" t="s">
        <v>210</v>
      </c>
      <c r="B962" s="226">
        <v>42303.369555428239</v>
      </c>
      <c r="C962" t="s">
        <v>1263</v>
      </c>
      <c r="D962" t="s">
        <v>13</v>
      </c>
      <c r="E962">
        <v>500</v>
      </c>
      <c r="F962">
        <v>0</v>
      </c>
    </row>
    <row r="963" spans="1:6" x14ac:dyDescent="0.15">
      <c r="A963" t="s">
        <v>210</v>
      </c>
      <c r="B963" s="226">
        <v>42303.371169583334</v>
      </c>
      <c r="C963" t="s">
        <v>1264</v>
      </c>
      <c r="D963" t="s">
        <v>13</v>
      </c>
      <c r="E963">
        <v>20</v>
      </c>
      <c r="F963">
        <v>0</v>
      </c>
    </row>
    <row r="964" spans="1:6" x14ac:dyDescent="0.15">
      <c r="A964" t="s">
        <v>210</v>
      </c>
      <c r="B964" s="226">
        <v>42303.373092812501</v>
      </c>
      <c r="C964" t="s">
        <v>1265</v>
      </c>
      <c r="D964" t="s">
        <v>15</v>
      </c>
      <c r="E964">
        <v>100</v>
      </c>
      <c r="F964">
        <v>3</v>
      </c>
    </row>
    <row r="965" spans="1:6" x14ac:dyDescent="0.15">
      <c r="A965" t="s">
        <v>210</v>
      </c>
      <c r="B965" s="226">
        <v>42303.420531215277</v>
      </c>
      <c r="C965" t="s">
        <v>1266</v>
      </c>
      <c r="D965" t="s">
        <v>13</v>
      </c>
      <c r="E965">
        <v>60</v>
      </c>
      <c r="F965">
        <v>0</v>
      </c>
    </row>
    <row r="966" spans="1:6" x14ac:dyDescent="0.15">
      <c r="A966" t="s">
        <v>210</v>
      </c>
      <c r="B966" s="226">
        <v>42303.441107615741</v>
      </c>
      <c r="C966" t="s">
        <v>379</v>
      </c>
      <c r="D966" t="s">
        <v>13</v>
      </c>
      <c r="E966">
        <v>80</v>
      </c>
      <c r="F966">
        <v>0</v>
      </c>
    </row>
    <row r="967" spans="1:6" x14ac:dyDescent="0.15">
      <c r="A967" t="s">
        <v>210</v>
      </c>
      <c r="B967" s="226">
        <v>42303.44440695602</v>
      </c>
      <c r="C967" t="s">
        <v>1267</v>
      </c>
      <c r="D967" t="s">
        <v>13</v>
      </c>
      <c r="E967">
        <v>60</v>
      </c>
      <c r="F967">
        <v>0</v>
      </c>
    </row>
    <row r="968" spans="1:6" x14ac:dyDescent="0.15">
      <c r="A968" t="s">
        <v>210</v>
      </c>
      <c r="B968" s="226">
        <v>42303.459121851854</v>
      </c>
      <c r="C968" t="s">
        <v>1268</v>
      </c>
      <c r="D968" t="s">
        <v>13</v>
      </c>
      <c r="E968">
        <v>100</v>
      </c>
      <c r="F968">
        <v>0</v>
      </c>
    </row>
    <row r="969" spans="1:6" x14ac:dyDescent="0.15">
      <c r="A969" t="s">
        <v>210</v>
      </c>
      <c r="B969" s="226">
        <v>42303.467791770832</v>
      </c>
      <c r="C969" t="s">
        <v>1269</v>
      </c>
      <c r="D969" t="s">
        <v>13</v>
      </c>
      <c r="E969">
        <v>60</v>
      </c>
      <c r="F969">
        <v>0</v>
      </c>
    </row>
    <row r="970" spans="1:6" x14ac:dyDescent="0.15">
      <c r="A970" t="s">
        <v>210</v>
      </c>
      <c r="B970" s="226">
        <v>42303.47397269676</v>
      </c>
      <c r="C970" t="s">
        <v>1270</v>
      </c>
      <c r="D970" t="s">
        <v>13</v>
      </c>
      <c r="E970">
        <v>100</v>
      </c>
      <c r="F970">
        <v>0</v>
      </c>
    </row>
    <row r="971" spans="1:6" x14ac:dyDescent="0.15">
      <c r="A971" t="s">
        <v>210</v>
      </c>
      <c r="B971" s="226">
        <v>42303.48515940972</v>
      </c>
      <c r="C971" t="s">
        <v>1056</v>
      </c>
      <c r="D971" t="s">
        <v>13</v>
      </c>
      <c r="E971">
        <v>80</v>
      </c>
      <c r="F971">
        <v>0</v>
      </c>
    </row>
    <row r="972" spans="1:6" x14ac:dyDescent="0.15">
      <c r="A972" t="s">
        <v>210</v>
      </c>
      <c r="B972" s="226">
        <v>42303.504579108798</v>
      </c>
      <c r="C972" t="s">
        <v>1271</v>
      </c>
      <c r="D972" t="s">
        <v>13</v>
      </c>
      <c r="E972">
        <v>20</v>
      </c>
      <c r="F972">
        <v>0</v>
      </c>
    </row>
    <row r="973" spans="1:6" x14ac:dyDescent="0.15">
      <c r="A973" t="s">
        <v>210</v>
      </c>
      <c r="B973" s="226">
        <v>42303.506489236112</v>
      </c>
      <c r="C973" t="s">
        <v>14</v>
      </c>
      <c r="D973" t="s">
        <v>13</v>
      </c>
      <c r="E973">
        <v>40</v>
      </c>
      <c r="F973">
        <v>3.5</v>
      </c>
    </row>
    <row r="974" spans="1:6" x14ac:dyDescent="0.15">
      <c r="A974" t="s">
        <v>210</v>
      </c>
      <c r="B974" s="226">
        <v>42303.507136967593</v>
      </c>
      <c r="C974" t="s">
        <v>14</v>
      </c>
      <c r="D974" t="s">
        <v>13</v>
      </c>
      <c r="E974">
        <v>120</v>
      </c>
      <c r="F974">
        <v>3.5</v>
      </c>
    </row>
    <row r="975" spans="1:6" x14ac:dyDescent="0.15">
      <c r="A975" t="s">
        <v>210</v>
      </c>
      <c r="B975" s="226">
        <v>42303.513774282408</v>
      </c>
      <c r="C975" t="s">
        <v>14</v>
      </c>
      <c r="D975" t="s">
        <v>13</v>
      </c>
      <c r="E975">
        <v>500</v>
      </c>
      <c r="F975">
        <v>3.5</v>
      </c>
    </row>
    <row r="976" spans="1:6" x14ac:dyDescent="0.15">
      <c r="A976" t="s">
        <v>210</v>
      </c>
      <c r="B976" s="226">
        <v>42303.540735243056</v>
      </c>
      <c r="C976" t="s">
        <v>1272</v>
      </c>
      <c r="D976" t="s">
        <v>13</v>
      </c>
      <c r="E976">
        <v>60</v>
      </c>
      <c r="F976">
        <v>0</v>
      </c>
    </row>
    <row r="977" spans="1:6" x14ac:dyDescent="0.15">
      <c r="A977" t="s">
        <v>210</v>
      </c>
      <c r="B977" s="226">
        <v>42303.601849710649</v>
      </c>
      <c r="C977" t="s">
        <v>1273</v>
      </c>
      <c r="D977" t="s">
        <v>13</v>
      </c>
      <c r="E977">
        <v>40</v>
      </c>
      <c r="F977">
        <v>0</v>
      </c>
    </row>
    <row r="978" spans="1:6" x14ac:dyDescent="0.15">
      <c r="A978" t="s">
        <v>210</v>
      </c>
      <c r="B978" s="226">
        <v>42303.607223564817</v>
      </c>
      <c r="C978" t="s">
        <v>1274</v>
      </c>
      <c r="D978" t="s">
        <v>13</v>
      </c>
      <c r="E978">
        <v>20</v>
      </c>
      <c r="F978">
        <v>0</v>
      </c>
    </row>
    <row r="979" spans="1:6" x14ac:dyDescent="0.15">
      <c r="A979" t="s">
        <v>210</v>
      </c>
      <c r="B979" s="226">
        <v>42303.62306445602</v>
      </c>
      <c r="C979" t="s">
        <v>14</v>
      </c>
      <c r="D979" t="s">
        <v>13</v>
      </c>
      <c r="E979">
        <v>100</v>
      </c>
      <c r="F979">
        <v>3.5</v>
      </c>
    </row>
    <row r="980" spans="1:6" x14ac:dyDescent="0.15">
      <c r="A980" t="s">
        <v>210</v>
      </c>
      <c r="B980" s="226">
        <v>42303.633722789353</v>
      </c>
      <c r="C980" t="s">
        <v>1275</v>
      </c>
      <c r="D980" t="s">
        <v>13</v>
      </c>
      <c r="E980">
        <v>160</v>
      </c>
      <c r="F980">
        <v>0</v>
      </c>
    </row>
    <row r="981" spans="1:6" x14ac:dyDescent="0.15">
      <c r="A981" t="s">
        <v>210</v>
      </c>
      <c r="B981" s="226">
        <v>42303.664673541665</v>
      </c>
      <c r="C981" t="s">
        <v>1276</v>
      </c>
      <c r="D981" t="s">
        <v>13</v>
      </c>
      <c r="E981">
        <v>200</v>
      </c>
      <c r="F981">
        <v>0</v>
      </c>
    </row>
    <row r="982" spans="1:6" x14ac:dyDescent="0.15">
      <c r="A982" t="s">
        <v>210</v>
      </c>
      <c r="B982" s="226">
        <v>42303.676993564812</v>
      </c>
      <c r="C982" t="s">
        <v>1277</v>
      </c>
      <c r="D982" t="s">
        <v>13</v>
      </c>
      <c r="E982">
        <v>20</v>
      </c>
      <c r="F982">
        <v>0</v>
      </c>
    </row>
    <row r="983" spans="1:6" x14ac:dyDescent="0.15">
      <c r="A983" t="s">
        <v>210</v>
      </c>
      <c r="B983" s="226">
        <v>42303.67932333333</v>
      </c>
      <c r="C983" t="s">
        <v>1278</v>
      </c>
      <c r="D983" t="s">
        <v>15</v>
      </c>
      <c r="E983">
        <v>160</v>
      </c>
      <c r="F983">
        <v>4.8</v>
      </c>
    </row>
    <row r="984" spans="1:6" x14ac:dyDescent="0.15">
      <c r="A984" t="s">
        <v>210</v>
      </c>
      <c r="B984" s="226">
        <v>42303.681000636578</v>
      </c>
      <c r="C984" t="s">
        <v>1279</v>
      </c>
      <c r="D984" t="s">
        <v>13</v>
      </c>
      <c r="E984">
        <v>100</v>
      </c>
      <c r="F984">
        <v>0</v>
      </c>
    </row>
    <row r="985" spans="1:6" x14ac:dyDescent="0.15">
      <c r="A985" t="s">
        <v>210</v>
      </c>
      <c r="B985" s="226">
        <v>42303.682191597225</v>
      </c>
      <c r="C985" t="s">
        <v>1280</v>
      </c>
      <c r="D985" t="s">
        <v>13</v>
      </c>
      <c r="E985">
        <v>100</v>
      </c>
      <c r="F985">
        <v>0</v>
      </c>
    </row>
    <row r="986" spans="1:6" x14ac:dyDescent="0.15">
      <c r="A986" t="s">
        <v>210</v>
      </c>
      <c r="B986" s="226">
        <v>42303.686228310187</v>
      </c>
      <c r="C986" t="s">
        <v>1281</v>
      </c>
      <c r="D986" t="s">
        <v>13</v>
      </c>
      <c r="E986">
        <v>60</v>
      </c>
      <c r="F986">
        <v>0</v>
      </c>
    </row>
    <row r="987" spans="1:6" x14ac:dyDescent="0.15">
      <c r="A987" t="s">
        <v>210</v>
      </c>
      <c r="B987" s="226">
        <v>42303.714559247688</v>
      </c>
      <c r="C987" t="s">
        <v>1282</v>
      </c>
      <c r="D987" t="s">
        <v>13</v>
      </c>
      <c r="E987">
        <v>40</v>
      </c>
      <c r="F987">
        <v>0</v>
      </c>
    </row>
    <row r="988" spans="1:6" x14ac:dyDescent="0.15">
      <c r="A988" t="s">
        <v>210</v>
      </c>
      <c r="B988" s="226">
        <v>42303.73362071759</v>
      </c>
      <c r="C988" t="s">
        <v>1283</v>
      </c>
      <c r="D988" t="s">
        <v>13</v>
      </c>
      <c r="E988">
        <v>200</v>
      </c>
      <c r="F988">
        <v>0</v>
      </c>
    </row>
    <row r="989" spans="1:6" x14ac:dyDescent="0.15">
      <c r="A989" t="s">
        <v>210</v>
      </c>
      <c r="B989" s="226">
        <v>42303.735364247688</v>
      </c>
      <c r="C989" t="s">
        <v>94</v>
      </c>
      <c r="D989" t="s">
        <v>13</v>
      </c>
      <c r="E989">
        <v>100</v>
      </c>
      <c r="F989">
        <v>0</v>
      </c>
    </row>
    <row r="990" spans="1:6" x14ac:dyDescent="0.15">
      <c r="A990" t="s">
        <v>210</v>
      </c>
      <c r="B990" s="226">
        <v>42303.736206030095</v>
      </c>
      <c r="C990" t="s">
        <v>1284</v>
      </c>
      <c r="D990" t="s">
        <v>13</v>
      </c>
      <c r="E990">
        <v>40</v>
      </c>
      <c r="F990">
        <v>0</v>
      </c>
    </row>
    <row r="991" spans="1:6" x14ac:dyDescent="0.15">
      <c r="A991" t="s">
        <v>210</v>
      </c>
      <c r="B991" s="226">
        <v>42303.739000601854</v>
      </c>
      <c r="C991" t="s">
        <v>696</v>
      </c>
      <c r="D991" t="s">
        <v>13</v>
      </c>
      <c r="E991">
        <v>40</v>
      </c>
      <c r="F991">
        <v>0</v>
      </c>
    </row>
    <row r="992" spans="1:6" x14ac:dyDescent="0.15">
      <c r="A992" t="s">
        <v>210</v>
      </c>
      <c r="B992" s="226">
        <v>42303.74941246528</v>
      </c>
      <c r="C992" t="s">
        <v>1126</v>
      </c>
      <c r="D992" t="s">
        <v>13</v>
      </c>
      <c r="E992">
        <v>80</v>
      </c>
      <c r="F992">
        <v>0</v>
      </c>
    </row>
    <row r="993" spans="1:6" x14ac:dyDescent="0.15">
      <c r="A993" t="s">
        <v>210</v>
      </c>
      <c r="B993" s="226">
        <v>42303.765461608797</v>
      </c>
      <c r="C993" t="s">
        <v>380</v>
      </c>
      <c r="D993" t="s">
        <v>13</v>
      </c>
      <c r="E993">
        <v>100</v>
      </c>
      <c r="F993">
        <v>0</v>
      </c>
    </row>
    <row r="994" spans="1:6" x14ac:dyDescent="0.15">
      <c r="A994" t="s">
        <v>210</v>
      </c>
      <c r="B994" s="226">
        <v>42303.768006550927</v>
      </c>
      <c r="C994" t="s">
        <v>1285</v>
      </c>
      <c r="D994" t="s">
        <v>13</v>
      </c>
      <c r="E994">
        <v>80</v>
      </c>
      <c r="F994">
        <v>0</v>
      </c>
    </row>
    <row r="995" spans="1:6" x14ac:dyDescent="0.15">
      <c r="A995" t="s">
        <v>210</v>
      </c>
      <c r="B995" s="226">
        <v>42303.772742719906</v>
      </c>
      <c r="C995" t="s">
        <v>711</v>
      </c>
      <c r="D995" t="s">
        <v>13</v>
      </c>
      <c r="E995">
        <v>100</v>
      </c>
      <c r="F995">
        <v>0</v>
      </c>
    </row>
    <row r="996" spans="1:6" x14ac:dyDescent="0.15">
      <c r="A996" t="s">
        <v>210</v>
      </c>
      <c r="B996" s="226">
        <v>42303.780128900464</v>
      </c>
      <c r="C996" t="s">
        <v>796</v>
      </c>
      <c r="D996" t="s">
        <v>13</v>
      </c>
      <c r="E996">
        <v>100</v>
      </c>
      <c r="F996">
        <v>0</v>
      </c>
    </row>
    <row r="997" spans="1:6" x14ac:dyDescent="0.15">
      <c r="A997" t="s">
        <v>210</v>
      </c>
      <c r="B997" s="226">
        <v>42303.789972627317</v>
      </c>
      <c r="C997" t="s">
        <v>1286</v>
      </c>
      <c r="D997" t="s">
        <v>13</v>
      </c>
      <c r="E997">
        <v>100</v>
      </c>
      <c r="F997">
        <v>0</v>
      </c>
    </row>
    <row r="998" spans="1:6" x14ac:dyDescent="0.15">
      <c r="A998" t="s">
        <v>210</v>
      </c>
      <c r="B998" s="226">
        <v>42303.85558732639</v>
      </c>
      <c r="C998" t="s">
        <v>1287</v>
      </c>
      <c r="D998" t="s">
        <v>13</v>
      </c>
      <c r="E998">
        <v>120</v>
      </c>
      <c r="F998">
        <v>0</v>
      </c>
    </row>
    <row r="999" spans="1:6" x14ac:dyDescent="0.15">
      <c r="A999" t="s">
        <v>210</v>
      </c>
      <c r="B999" s="226">
        <v>42304.302223564817</v>
      </c>
      <c r="C999" t="s">
        <v>1288</v>
      </c>
      <c r="D999" t="s">
        <v>13</v>
      </c>
      <c r="E999">
        <v>100</v>
      </c>
      <c r="F999">
        <v>0</v>
      </c>
    </row>
    <row r="1000" spans="1:6" x14ac:dyDescent="0.15">
      <c r="A1000" t="s">
        <v>210</v>
      </c>
      <c r="B1000" s="226">
        <v>42304.306078553243</v>
      </c>
      <c r="C1000" t="s">
        <v>1289</v>
      </c>
      <c r="D1000" t="s">
        <v>13</v>
      </c>
      <c r="E1000">
        <v>80</v>
      </c>
      <c r="F1000">
        <v>0</v>
      </c>
    </row>
    <row r="1001" spans="1:6" x14ac:dyDescent="0.15">
      <c r="A1001" t="s">
        <v>210</v>
      </c>
      <c r="B1001" s="226">
        <v>42304.309361979169</v>
      </c>
      <c r="C1001" t="s">
        <v>1290</v>
      </c>
      <c r="D1001" t="s">
        <v>13</v>
      </c>
      <c r="E1001">
        <v>200</v>
      </c>
      <c r="F1001">
        <v>0</v>
      </c>
    </row>
    <row r="1002" spans="1:6" x14ac:dyDescent="0.15">
      <c r="A1002" t="s">
        <v>210</v>
      </c>
      <c r="B1002" s="226">
        <v>42304.339996678238</v>
      </c>
      <c r="C1002" t="s">
        <v>1291</v>
      </c>
      <c r="D1002" t="s">
        <v>13</v>
      </c>
      <c r="E1002">
        <v>60</v>
      </c>
      <c r="F1002">
        <v>0</v>
      </c>
    </row>
    <row r="1003" spans="1:6" x14ac:dyDescent="0.15">
      <c r="A1003" t="s">
        <v>210</v>
      </c>
      <c r="B1003" s="226">
        <v>42304.369599490739</v>
      </c>
      <c r="C1003" t="s">
        <v>14</v>
      </c>
      <c r="D1003" t="s">
        <v>13</v>
      </c>
      <c r="E1003">
        <v>100</v>
      </c>
      <c r="F1003">
        <v>3.5</v>
      </c>
    </row>
    <row r="1004" spans="1:6" x14ac:dyDescent="0.15">
      <c r="A1004" t="s">
        <v>210</v>
      </c>
      <c r="B1004" s="226">
        <v>42304.399962118056</v>
      </c>
      <c r="C1004" t="s">
        <v>1292</v>
      </c>
      <c r="D1004" t="s">
        <v>13</v>
      </c>
      <c r="E1004">
        <v>100</v>
      </c>
      <c r="F1004">
        <v>0</v>
      </c>
    </row>
    <row r="1005" spans="1:6" x14ac:dyDescent="0.15">
      <c r="A1005" t="s">
        <v>210</v>
      </c>
      <c r="B1005" s="226">
        <v>42304.402376481485</v>
      </c>
      <c r="C1005" t="s">
        <v>1293</v>
      </c>
      <c r="D1005" t="s">
        <v>13</v>
      </c>
      <c r="E1005">
        <v>40</v>
      </c>
      <c r="F1005">
        <v>0</v>
      </c>
    </row>
    <row r="1006" spans="1:6" x14ac:dyDescent="0.15">
      <c r="A1006" t="s">
        <v>210</v>
      </c>
      <c r="B1006" s="226">
        <v>42304.407956597221</v>
      </c>
      <c r="C1006" t="s">
        <v>1294</v>
      </c>
      <c r="D1006" t="s">
        <v>15</v>
      </c>
      <c r="E1006">
        <v>40</v>
      </c>
      <c r="F1006">
        <v>1.2</v>
      </c>
    </row>
    <row r="1007" spans="1:6" x14ac:dyDescent="0.15">
      <c r="A1007" t="s">
        <v>210</v>
      </c>
      <c r="B1007" s="226">
        <v>42304.408841365737</v>
      </c>
      <c r="C1007" t="s">
        <v>1295</v>
      </c>
      <c r="D1007" t="s">
        <v>13</v>
      </c>
      <c r="E1007">
        <v>40</v>
      </c>
      <c r="F1007">
        <v>0</v>
      </c>
    </row>
    <row r="1008" spans="1:6" x14ac:dyDescent="0.15">
      <c r="A1008" t="s">
        <v>210</v>
      </c>
      <c r="B1008" s="226">
        <v>42304.444483333333</v>
      </c>
      <c r="C1008" t="s">
        <v>1296</v>
      </c>
      <c r="D1008" t="s">
        <v>13</v>
      </c>
      <c r="E1008">
        <v>100</v>
      </c>
      <c r="F1008">
        <v>0</v>
      </c>
    </row>
    <row r="1009" spans="1:6" x14ac:dyDescent="0.15">
      <c r="A1009" t="s">
        <v>210</v>
      </c>
      <c r="B1009" s="226">
        <v>42304.460720787036</v>
      </c>
      <c r="C1009" t="s">
        <v>1297</v>
      </c>
      <c r="D1009" t="s">
        <v>13</v>
      </c>
      <c r="E1009">
        <v>100</v>
      </c>
      <c r="F1009">
        <v>0</v>
      </c>
    </row>
    <row r="1010" spans="1:6" x14ac:dyDescent="0.15">
      <c r="A1010" t="s">
        <v>210</v>
      </c>
      <c r="B1010" s="226">
        <v>42304.500153321758</v>
      </c>
      <c r="C1010" t="s">
        <v>1298</v>
      </c>
      <c r="D1010" t="s">
        <v>13</v>
      </c>
      <c r="E1010">
        <v>40</v>
      </c>
      <c r="F1010">
        <v>0</v>
      </c>
    </row>
    <row r="1011" spans="1:6" x14ac:dyDescent="0.15">
      <c r="A1011" t="s">
        <v>210</v>
      </c>
      <c r="B1011" s="226">
        <v>42304.505291030095</v>
      </c>
      <c r="C1011" t="s">
        <v>381</v>
      </c>
      <c r="D1011" t="s">
        <v>13</v>
      </c>
      <c r="E1011">
        <v>180</v>
      </c>
      <c r="F1011">
        <v>0</v>
      </c>
    </row>
    <row r="1012" spans="1:6" x14ac:dyDescent="0.15">
      <c r="A1012" t="s">
        <v>210</v>
      </c>
      <c r="B1012" s="226">
        <v>42304.517295914353</v>
      </c>
      <c r="C1012" t="s">
        <v>1299</v>
      </c>
      <c r="D1012" t="s">
        <v>15</v>
      </c>
      <c r="E1012">
        <v>40</v>
      </c>
      <c r="F1012">
        <v>1.2</v>
      </c>
    </row>
    <row r="1013" spans="1:6" x14ac:dyDescent="0.15">
      <c r="A1013" t="s">
        <v>210</v>
      </c>
      <c r="B1013" s="226">
        <v>42304.517944837964</v>
      </c>
      <c r="C1013" t="s">
        <v>14</v>
      </c>
      <c r="D1013" t="s">
        <v>13</v>
      </c>
      <c r="E1013">
        <v>200</v>
      </c>
      <c r="F1013">
        <v>3.5</v>
      </c>
    </row>
    <row r="1014" spans="1:6" x14ac:dyDescent="0.15">
      <c r="A1014" t="s">
        <v>210</v>
      </c>
      <c r="B1014" s="226">
        <v>42304.558532280091</v>
      </c>
      <c r="C1014" t="s">
        <v>1300</v>
      </c>
      <c r="D1014" t="s">
        <v>13</v>
      </c>
      <c r="E1014">
        <v>80</v>
      </c>
      <c r="F1014">
        <v>0</v>
      </c>
    </row>
    <row r="1015" spans="1:6" x14ac:dyDescent="0.15">
      <c r="A1015" t="s">
        <v>210</v>
      </c>
      <c r="B1015" s="226">
        <v>42304.566230381941</v>
      </c>
      <c r="C1015" t="s">
        <v>1301</v>
      </c>
      <c r="D1015" t="s">
        <v>13</v>
      </c>
      <c r="E1015">
        <v>40</v>
      </c>
      <c r="F1015">
        <v>0</v>
      </c>
    </row>
    <row r="1016" spans="1:6" x14ac:dyDescent="0.15">
      <c r="A1016" t="s">
        <v>210</v>
      </c>
      <c r="B1016" s="226">
        <v>42304.580412916664</v>
      </c>
      <c r="C1016" t="s">
        <v>1302</v>
      </c>
      <c r="D1016" t="s">
        <v>13</v>
      </c>
      <c r="E1016">
        <v>100</v>
      </c>
      <c r="F1016">
        <v>0</v>
      </c>
    </row>
    <row r="1017" spans="1:6" x14ac:dyDescent="0.15">
      <c r="A1017" t="s">
        <v>210</v>
      </c>
      <c r="B1017" s="226">
        <v>42304.592301817131</v>
      </c>
      <c r="C1017" t="s">
        <v>1303</v>
      </c>
      <c r="D1017" t="s">
        <v>13</v>
      </c>
      <c r="E1017">
        <v>40</v>
      </c>
      <c r="F1017">
        <v>0</v>
      </c>
    </row>
    <row r="1018" spans="1:6" x14ac:dyDescent="0.15">
      <c r="A1018" t="s">
        <v>210</v>
      </c>
      <c r="B1018" s="226">
        <v>42304.595756238428</v>
      </c>
      <c r="C1018" t="s">
        <v>1304</v>
      </c>
      <c r="D1018" t="s">
        <v>13</v>
      </c>
      <c r="E1018">
        <v>80</v>
      </c>
      <c r="F1018">
        <v>0</v>
      </c>
    </row>
    <row r="1019" spans="1:6" x14ac:dyDescent="0.15">
      <c r="A1019" t="s">
        <v>210</v>
      </c>
      <c r="B1019" s="226">
        <v>42304.603089965276</v>
      </c>
      <c r="C1019" t="s">
        <v>14</v>
      </c>
      <c r="D1019" t="s">
        <v>13</v>
      </c>
      <c r="E1019">
        <v>100</v>
      </c>
      <c r="F1019">
        <v>3.5</v>
      </c>
    </row>
    <row r="1020" spans="1:6" x14ac:dyDescent="0.15">
      <c r="A1020" t="s">
        <v>210</v>
      </c>
      <c r="B1020" s="226">
        <v>42304.604699282405</v>
      </c>
      <c r="C1020" t="s">
        <v>1305</v>
      </c>
      <c r="D1020" t="s">
        <v>13</v>
      </c>
      <c r="E1020">
        <v>40</v>
      </c>
      <c r="F1020">
        <v>0</v>
      </c>
    </row>
    <row r="1021" spans="1:6" x14ac:dyDescent="0.15">
      <c r="A1021" t="s">
        <v>210</v>
      </c>
      <c r="B1021" s="226">
        <v>42304.611852592592</v>
      </c>
      <c r="C1021" t="s">
        <v>1306</v>
      </c>
      <c r="D1021" t="s">
        <v>13</v>
      </c>
      <c r="E1021">
        <v>40</v>
      </c>
      <c r="F1021">
        <v>0</v>
      </c>
    </row>
    <row r="1022" spans="1:6" x14ac:dyDescent="0.15">
      <c r="A1022" t="s">
        <v>210</v>
      </c>
      <c r="B1022" s="226">
        <v>42304.63425516204</v>
      </c>
      <c r="C1022" t="s">
        <v>77</v>
      </c>
      <c r="D1022" t="s">
        <v>13</v>
      </c>
      <c r="E1022">
        <v>60</v>
      </c>
      <c r="F1022">
        <v>0</v>
      </c>
    </row>
    <row r="1023" spans="1:6" x14ac:dyDescent="0.15">
      <c r="A1023" t="s">
        <v>210</v>
      </c>
      <c r="B1023" s="226">
        <v>42304.639892754632</v>
      </c>
      <c r="C1023" t="s">
        <v>1307</v>
      </c>
      <c r="D1023" t="s">
        <v>13</v>
      </c>
      <c r="E1023">
        <v>200</v>
      </c>
      <c r="F1023">
        <v>0</v>
      </c>
    </row>
    <row r="1024" spans="1:6" x14ac:dyDescent="0.15">
      <c r="A1024" t="s">
        <v>210</v>
      </c>
      <c r="B1024" s="226">
        <v>42304.656473726849</v>
      </c>
      <c r="C1024" t="s">
        <v>1308</v>
      </c>
      <c r="D1024" t="s">
        <v>13</v>
      </c>
      <c r="E1024">
        <v>40</v>
      </c>
      <c r="F1024">
        <v>0</v>
      </c>
    </row>
    <row r="1025" spans="1:6" x14ac:dyDescent="0.15">
      <c r="A1025" t="s">
        <v>210</v>
      </c>
      <c r="B1025" s="226">
        <v>42304.661466921294</v>
      </c>
      <c r="C1025" t="s">
        <v>809</v>
      </c>
      <c r="D1025" t="s">
        <v>13</v>
      </c>
      <c r="E1025">
        <v>20</v>
      </c>
      <c r="F1025">
        <v>0</v>
      </c>
    </row>
    <row r="1026" spans="1:6" x14ac:dyDescent="0.15">
      <c r="A1026" t="s">
        <v>210</v>
      </c>
      <c r="B1026" s="226">
        <v>42304.698402685186</v>
      </c>
      <c r="C1026" t="s">
        <v>1309</v>
      </c>
      <c r="D1026" t="s">
        <v>13</v>
      </c>
      <c r="E1026">
        <v>400</v>
      </c>
      <c r="F1026">
        <v>0</v>
      </c>
    </row>
    <row r="1027" spans="1:6" x14ac:dyDescent="0.15">
      <c r="A1027" t="s">
        <v>210</v>
      </c>
      <c r="B1027" s="226">
        <v>42304.699760254633</v>
      </c>
      <c r="C1027" t="s">
        <v>1310</v>
      </c>
      <c r="D1027" t="s">
        <v>13</v>
      </c>
      <c r="E1027">
        <v>500</v>
      </c>
      <c r="F1027">
        <v>0</v>
      </c>
    </row>
    <row r="1028" spans="1:6" x14ac:dyDescent="0.15">
      <c r="A1028" t="s">
        <v>210</v>
      </c>
      <c r="B1028" s="226">
        <v>42304.701595208331</v>
      </c>
      <c r="C1028" t="s">
        <v>1311</v>
      </c>
      <c r="D1028" t="s">
        <v>13</v>
      </c>
      <c r="E1028">
        <v>40</v>
      </c>
      <c r="F1028">
        <v>0</v>
      </c>
    </row>
    <row r="1029" spans="1:6" x14ac:dyDescent="0.15">
      <c r="A1029" t="s">
        <v>210</v>
      </c>
      <c r="B1029" s="226">
        <v>42304.719892442132</v>
      </c>
      <c r="C1029" t="s">
        <v>756</v>
      </c>
      <c r="D1029" t="s">
        <v>13</v>
      </c>
      <c r="E1029">
        <v>100</v>
      </c>
      <c r="F1029">
        <v>0</v>
      </c>
    </row>
    <row r="1030" spans="1:6" x14ac:dyDescent="0.15">
      <c r="A1030" t="s">
        <v>210</v>
      </c>
      <c r="B1030" s="226">
        <v>42304.720933263889</v>
      </c>
      <c r="C1030" t="s">
        <v>382</v>
      </c>
      <c r="D1030" t="s">
        <v>13</v>
      </c>
      <c r="E1030">
        <v>60</v>
      </c>
      <c r="F1030">
        <v>0</v>
      </c>
    </row>
    <row r="1031" spans="1:6" x14ac:dyDescent="0.15">
      <c r="A1031" t="s">
        <v>210</v>
      </c>
      <c r="B1031" s="226">
        <v>42304.727432997686</v>
      </c>
      <c r="C1031" t="s">
        <v>1193</v>
      </c>
      <c r="D1031" t="s">
        <v>13</v>
      </c>
      <c r="E1031">
        <v>40</v>
      </c>
      <c r="F1031">
        <v>0</v>
      </c>
    </row>
    <row r="1032" spans="1:6" x14ac:dyDescent="0.15">
      <c r="A1032" t="s">
        <v>210</v>
      </c>
      <c r="B1032" s="226">
        <v>42304.760797361108</v>
      </c>
      <c r="C1032" t="s">
        <v>293</v>
      </c>
      <c r="D1032" t="s">
        <v>13</v>
      </c>
      <c r="E1032">
        <v>200</v>
      </c>
      <c r="F1032">
        <v>0</v>
      </c>
    </row>
    <row r="1033" spans="1:6" x14ac:dyDescent="0.15">
      <c r="A1033" t="s">
        <v>210</v>
      </c>
      <c r="B1033" s="226">
        <v>42304.764867280093</v>
      </c>
      <c r="C1033" t="s">
        <v>1312</v>
      </c>
      <c r="D1033" t="s">
        <v>13</v>
      </c>
      <c r="E1033">
        <v>80</v>
      </c>
      <c r="F1033">
        <v>0</v>
      </c>
    </row>
    <row r="1034" spans="1:6" x14ac:dyDescent="0.15">
      <c r="A1034" t="s">
        <v>210</v>
      </c>
      <c r="B1034" s="226">
        <v>42304.842920532406</v>
      </c>
      <c r="C1034" t="s">
        <v>1313</v>
      </c>
      <c r="D1034" t="s">
        <v>13</v>
      </c>
      <c r="E1034">
        <v>100</v>
      </c>
      <c r="F1034">
        <v>0</v>
      </c>
    </row>
    <row r="1035" spans="1:6" x14ac:dyDescent="0.15">
      <c r="A1035" t="s">
        <v>210</v>
      </c>
      <c r="B1035" s="226">
        <v>42304.945749108796</v>
      </c>
      <c r="C1035" t="s">
        <v>1314</v>
      </c>
      <c r="D1035" t="s">
        <v>13</v>
      </c>
      <c r="E1035">
        <v>100</v>
      </c>
      <c r="F1035">
        <v>0</v>
      </c>
    </row>
    <row r="1036" spans="1:6" x14ac:dyDescent="0.15">
      <c r="A1036" t="s">
        <v>210</v>
      </c>
      <c r="B1036" s="226">
        <v>42304.955003275463</v>
      </c>
      <c r="C1036" t="s">
        <v>1315</v>
      </c>
      <c r="D1036" t="s">
        <v>13</v>
      </c>
      <c r="E1036">
        <v>100</v>
      </c>
      <c r="F1036">
        <v>0</v>
      </c>
    </row>
    <row r="1037" spans="1:6" x14ac:dyDescent="0.15">
      <c r="A1037" t="s">
        <v>210</v>
      </c>
      <c r="B1037" s="226">
        <v>42304.986303379628</v>
      </c>
      <c r="C1037" t="s">
        <v>1316</v>
      </c>
      <c r="D1037" t="s">
        <v>13</v>
      </c>
      <c r="E1037">
        <v>40</v>
      </c>
      <c r="F1037">
        <v>0</v>
      </c>
    </row>
    <row r="1038" spans="1:6" x14ac:dyDescent="0.15">
      <c r="A1038" t="s">
        <v>210</v>
      </c>
      <c r="B1038" s="226">
        <v>42304.999709328702</v>
      </c>
      <c r="C1038" t="s">
        <v>1317</v>
      </c>
      <c r="D1038" t="s">
        <v>13</v>
      </c>
      <c r="E1038">
        <v>100</v>
      </c>
      <c r="F1038">
        <v>0</v>
      </c>
    </row>
    <row r="1039" spans="1:6" x14ac:dyDescent="0.15">
      <c r="A1039" t="s">
        <v>210</v>
      </c>
      <c r="B1039" s="226">
        <v>42305.069433425924</v>
      </c>
      <c r="C1039" t="s">
        <v>1318</v>
      </c>
      <c r="D1039" t="s">
        <v>13</v>
      </c>
      <c r="E1039">
        <v>60</v>
      </c>
      <c r="F1039">
        <v>0</v>
      </c>
    </row>
    <row r="1040" spans="1:6" x14ac:dyDescent="0.15">
      <c r="A1040" t="s">
        <v>210</v>
      </c>
      <c r="B1040" s="226">
        <v>42305.259573298608</v>
      </c>
      <c r="C1040" t="s">
        <v>1319</v>
      </c>
      <c r="D1040" t="s">
        <v>13</v>
      </c>
      <c r="E1040">
        <v>100</v>
      </c>
      <c r="F1040">
        <v>0</v>
      </c>
    </row>
    <row r="1041" spans="1:6" x14ac:dyDescent="0.15">
      <c r="A1041" t="s">
        <v>210</v>
      </c>
      <c r="B1041" s="226">
        <v>42305.318304942128</v>
      </c>
      <c r="C1041" t="s">
        <v>748</v>
      </c>
      <c r="D1041" t="s">
        <v>13</v>
      </c>
      <c r="E1041">
        <v>140</v>
      </c>
      <c r="F1041">
        <v>0</v>
      </c>
    </row>
    <row r="1042" spans="1:6" x14ac:dyDescent="0.15">
      <c r="A1042" t="s">
        <v>210</v>
      </c>
      <c r="B1042" s="226">
        <v>42305.324314328704</v>
      </c>
      <c r="C1042" t="s">
        <v>14</v>
      </c>
      <c r="D1042" t="s">
        <v>13</v>
      </c>
      <c r="E1042">
        <v>100</v>
      </c>
      <c r="F1042">
        <v>3.5</v>
      </c>
    </row>
    <row r="1043" spans="1:6" x14ac:dyDescent="0.15">
      <c r="A1043" t="s">
        <v>210</v>
      </c>
      <c r="B1043" s="226">
        <v>42305.333700208335</v>
      </c>
      <c r="C1043" t="s">
        <v>250</v>
      </c>
      <c r="D1043" t="s">
        <v>13</v>
      </c>
      <c r="E1043">
        <v>40</v>
      </c>
      <c r="F1043">
        <v>0</v>
      </c>
    </row>
    <row r="1044" spans="1:6" x14ac:dyDescent="0.15">
      <c r="A1044" t="s">
        <v>210</v>
      </c>
      <c r="B1044" s="226">
        <v>42305.363325995371</v>
      </c>
      <c r="C1044" t="s">
        <v>1320</v>
      </c>
      <c r="D1044" t="s">
        <v>13</v>
      </c>
      <c r="E1044">
        <v>100</v>
      </c>
      <c r="F1044">
        <v>0</v>
      </c>
    </row>
    <row r="1045" spans="1:6" x14ac:dyDescent="0.15">
      <c r="A1045" t="s">
        <v>210</v>
      </c>
      <c r="B1045" s="226">
        <v>42305.372382094909</v>
      </c>
      <c r="C1045" t="s">
        <v>1321</v>
      </c>
      <c r="D1045" t="s">
        <v>13</v>
      </c>
      <c r="E1045">
        <v>80</v>
      </c>
      <c r="F1045">
        <v>0</v>
      </c>
    </row>
    <row r="1046" spans="1:6" x14ac:dyDescent="0.15">
      <c r="A1046" t="s">
        <v>210</v>
      </c>
      <c r="B1046" s="226">
        <v>42305.38017434028</v>
      </c>
      <c r="C1046" t="s">
        <v>14</v>
      </c>
      <c r="D1046" t="s">
        <v>15</v>
      </c>
      <c r="E1046">
        <v>40</v>
      </c>
      <c r="F1046">
        <v>3.7</v>
      </c>
    </row>
    <row r="1047" spans="1:6" x14ac:dyDescent="0.15">
      <c r="A1047" t="s">
        <v>210</v>
      </c>
      <c r="B1047" s="226">
        <v>42305.381521932868</v>
      </c>
      <c r="C1047" t="s">
        <v>1322</v>
      </c>
      <c r="D1047" t="s">
        <v>15</v>
      </c>
      <c r="E1047">
        <v>100</v>
      </c>
      <c r="F1047">
        <v>3</v>
      </c>
    </row>
    <row r="1048" spans="1:6" x14ac:dyDescent="0.15">
      <c r="A1048" t="s">
        <v>210</v>
      </c>
      <c r="B1048" s="226">
        <v>42305.43074920139</v>
      </c>
      <c r="C1048" t="s">
        <v>383</v>
      </c>
      <c r="D1048" t="s">
        <v>13</v>
      </c>
      <c r="E1048">
        <v>60</v>
      </c>
      <c r="F1048">
        <v>0</v>
      </c>
    </row>
    <row r="1049" spans="1:6" x14ac:dyDescent="0.15">
      <c r="A1049" t="s">
        <v>210</v>
      </c>
      <c r="B1049" s="226">
        <v>42305.43185158565</v>
      </c>
      <c r="C1049" t="s">
        <v>384</v>
      </c>
      <c r="D1049" t="s">
        <v>13</v>
      </c>
      <c r="E1049">
        <v>80</v>
      </c>
      <c r="F1049">
        <v>0</v>
      </c>
    </row>
    <row r="1050" spans="1:6" x14ac:dyDescent="0.15">
      <c r="A1050" t="s">
        <v>210</v>
      </c>
      <c r="B1050" s="226">
        <v>42305.439203391201</v>
      </c>
      <c r="C1050" t="s">
        <v>1323</v>
      </c>
      <c r="D1050" t="s">
        <v>13</v>
      </c>
      <c r="E1050">
        <v>140</v>
      </c>
      <c r="F1050">
        <v>0</v>
      </c>
    </row>
    <row r="1051" spans="1:6" x14ac:dyDescent="0.15">
      <c r="A1051" t="s">
        <v>210</v>
      </c>
      <c r="B1051" s="226">
        <v>42305.479937488424</v>
      </c>
      <c r="C1051" t="s">
        <v>1324</v>
      </c>
      <c r="D1051" t="s">
        <v>13</v>
      </c>
      <c r="E1051">
        <v>280</v>
      </c>
      <c r="F1051">
        <v>0</v>
      </c>
    </row>
    <row r="1052" spans="1:6" x14ac:dyDescent="0.15">
      <c r="A1052" t="s">
        <v>210</v>
      </c>
      <c r="B1052" s="226">
        <v>42305.499206504632</v>
      </c>
      <c r="C1052" t="s">
        <v>1325</v>
      </c>
      <c r="D1052" t="s">
        <v>13</v>
      </c>
      <c r="E1052">
        <v>300</v>
      </c>
      <c r="F1052">
        <v>0</v>
      </c>
    </row>
    <row r="1053" spans="1:6" x14ac:dyDescent="0.15">
      <c r="A1053" t="s">
        <v>210</v>
      </c>
      <c r="B1053" s="226">
        <v>42305.510679699073</v>
      </c>
      <c r="C1053" t="s">
        <v>1326</v>
      </c>
      <c r="D1053" t="s">
        <v>13</v>
      </c>
      <c r="E1053">
        <v>60</v>
      </c>
      <c r="F1053">
        <v>0</v>
      </c>
    </row>
    <row r="1054" spans="1:6" x14ac:dyDescent="0.15">
      <c r="A1054" t="s">
        <v>210</v>
      </c>
      <c r="B1054" s="226">
        <v>42305.555776168978</v>
      </c>
      <c r="C1054" t="s">
        <v>826</v>
      </c>
      <c r="D1054" t="s">
        <v>13</v>
      </c>
      <c r="E1054">
        <v>60</v>
      </c>
      <c r="F1054">
        <v>0</v>
      </c>
    </row>
    <row r="1055" spans="1:6" x14ac:dyDescent="0.15">
      <c r="A1055" t="s">
        <v>210</v>
      </c>
      <c r="B1055" s="226">
        <v>42305.55996071759</v>
      </c>
      <c r="C1055" t="s">
        <v>1327</v>
      </c>
      <c r="D1055" t="s">
        <v>13</v>
      </c>
      <c r="E1055">
        <v>20</v>
      </c>
      <c r="F1055">
        <v>0</v>
      </c>
    </row>
    <row r="1056" spans="1:6" x14ac:dyDescent="0.15">
      <c r="A1056" t="s">
        <v>210</v>
      </c>
      <c r="B1056" s="226">
        <v>42305.576289456018</v>
      </c>
      <c r="C1056" t="s">
        <v>571</v>
      </c>
      <c r="D1056" t="s">
        <v>13</v>
      </c>
      <c r="E1056">
        <v>40</v>
      </c>
      <c r="F1056">
        <v>0</v>
      </c>
    </row>
    <row r="1057" spans="1:6" x14ac:dyDescent="0.15">
      <c r="A1057" t="s">
        <v>210</v>
      </c>
      <c r="B1057" s="226">
        <v>42305.600125636571</v>
      </c>
      <c r="C1057" t="s">
        <v>1328</v>
      </c>
      <c r="D1057" t="s">
        <v>13</v>
      </c>
      <c r="E1057">
        <v>20</v>
      </c>
      <c r="F1057">
        <v>0</v>
      </c>
    </row>
    <row r="1058" spans="1:6" x14ac:dyDescent="0.15">
      <c r="A1058" t="s">
        <v>210</v>
      </c>
      <c r="B1058" s="226">
        <v>42305.611847372682</v>
      </c>
      <c r="C1058" t="s">
        <v>14</v>
      </c>
      <c r="D1058" t="s">
        <v>15</v>
      </c>
      <c r="E1058">
        <v>40</v>
      </c>
      <c r="F1058">
        <v>3.7</v>
      </c>
    </row>
    <row r="1059" spans="1:6" x14ac:dyDescent="0.15">
      <c r="A1059" t="s">
        <v>210</v>
      </c>
      <c r="B1059" s="226">
        <v>42305.626664699077</v>
      </c>
      <c r="C1059" t="s">
        <v>1329</v>
      </c>
      <c r="D1059" t="s">
        <v>13</v>
      </c>
      <c r="E1059">
        <v>100</v>
      </c>
      <c r="F1059">
        <v>0</v>
      </c>
    </row>
    <row r="1060" spans="1:6" x14ac:dyDescent="0.15">
      <c r="A1060" t="s">
        <v>210</v>
      </c>
      <c r="B1060" s="226">
        <v>42305.645512268522</v>
      </c>
      <c r="C1060" t="s">
        <v>1330</v>
      </c>
      <c r="D1060" t="s">
        <v>13</v>
      </c>
      <c r="E1060">
        <v>60</v>
      </c>
      <c r="F1060">
        <v>0</v>
      </c>
    </row>
    <row r="1061" spans="1:6" x14ac:dyDescent="0.15">
      <c r="A1061" t="s">
        <v>210</v>
      </c>
      <c r="B1061" s="226">
        <v>42305.654373750003</v>
      </c>
      <c r="C1061" t="s">
        <v>14</v>
      </c>
      <c r="D1061" t="s">
        <v>13</v>
      </c>
      <c r="E1061">
        <v>20</v>
      </c>
      <c r="F1061">
        <v>3.5</v>
      </c>
    </row>
    <row r="1062" spans="1:6" x14ac:dyDescent="0.15">
      <c r="A1062" t="s">
        <v>210</v>
      </c>
      <c r="B1062" s="226">
        <v>42305.66146865741</v>
      </c>
      <c r="C1062" t="s">
        <v>1331</v>
      </c>
      <c r="D1062" t="s">
        <v>13</v>
      </c>
      <c r="E1062">
        <v>40</v>
      </c>
      <c r="F1062">
        <v>0</v>
      </c>
    </row>
    <row r="1063" spans="1:6" x14ac:dyDescent="0.15">
      <c r="A1063" t="s">
        <v>210</v>
      </c>
      <c r="B1063" s="226">
        <v>42305.742883564817</v>
      </c>
      <c r="C1063" t="s">
        <v>247</v>
      </c>
      <c r="D1063" t="s">
        <v>13</v>
      </c>
      <c r="E1063">
        <v>100</v>
      </c>
      <c r="F1063">
        <v>0</v>
      </c>
    </row>
    <row r="1064" spans="1:6" x14ac:dyDescent="0.15">
      <c r="A1064" t="s">
        <v>210</v>
      </c>
      <c r="B1064" s="226">
        <v>42305.751242465281</v>
      </c>
      <c r="C1064" t="s">
        <v>1332</v>
      </c>
      <c r="D1064" t="s">
        <v>13</v>
      </c>
      <c r="E1064">
        <v>40</v>
      </c>
      <c r="F1064">
        <v>0</v>
      </c>
    </row>
    <row r="1065" spans="1:6" x14ac:dyDescent="0.15">
      <c r="A1065" t="s">
        <v>210</v>
      </c>
      <c r="B1065" s="226">
        <v>42305.762740092592</v>
      </c>
      <c r="C1065" t="s">
        <v>1333</v>
      </c>
      <c r="D1065" t="s">
        <v>13</v>
      </c>
      <c r="E1065">
        <v>100</v>
      </c>
      <c r="F1065">
        <v>0</v>
      </c>
    </row>
    <row r="1066" spans="1:6" x14ac:dyDescent="0.15">
      <c r="A1066" t="s">
        <v>210</v>
      </c>
      <c r="B1066" s="226">
        <v>42305.766307233796</v>
      </c>
      <c r="C1066" t="s">
        <v>1334</v>
      </c>
      <c r="D1066" t="s">
        <v>13</v>
      </c>
      <c r="E1066">
        <v>100</v>
      </c>
      <c r="F1066">
        <v>0</v>
      </c>
    </row>
    <row r="1067" spans="1:6" x14ac:dyDescent="0.15">
      <c r="A1067" t="s">
        <v>210</v>
      </c>
      <c r="B1067" s="226">
        <v>42305.789447164352</v>
      </c>
      <c r="C1067" t="s">
        <v>1335</v>
      </c>
      <c r="D1067" t="s">
        <v>13</v>
      </c>
      <c r="E1067">
        <v>60</v>
      </c>
      <c r="F1067">
        <v>0</v>
      </c>
    </row>
    <row r="1068" spans="1:6" x14ac:dyDescent="0.15">
      <c r="A1068" t="s">
        <v>210</v>
      </c>
      <c r="B1068" s="226">
        <v>42305.866597175926</v>
      </c>
      <c r="C1068" t="s">
        <v>1336</v>
      </c>
      <c r="D1068" t="s">
        <v>13</v>
      </c>
      <c r="E1068">
        <v>100</v>
      </c>
      <c r="F1068">
        <v>0</v>
      </c>
    </row>
    <row r="1069" spans="1:6" x14ac:dyDescent="0.15">
      <c r="A1069" t="s">
        <v>210</v>
      </c>
      <c r="B1069" s="226">
        <v>42306.257053703703</v>
      </c>
      <c r="C1069" t="s">
        <v>1337</v>
      </c>
      <c r="D1069" t="s">
        <v>13</v>
      </c>
      <c r="E1069">
        <v>100</v>
      </c>
      <c r="F1069">
        <v>0</v>
      </c>
    </row>
    <row r="1070" spans="1:6" x14ac:dyDescent="0.15">
      <c r="A1070" t="s">
        <v>210</v>
      </c>
      <c r="B1070" s="226">
        <v>42306.268927245372</v>
      </c>
      <c r="C1070" t="s">
        <v>1338</v>
      </c>
      <c r="D1070" t="s">
        <v>13</v>
      </c>
      <c r="E1070">
        <v>100</v>
      </c>
      <c r="F1070">
        <v>0</v>
      </c>
    </row>
    <row r="1071" spans="1:6" x14ac:dyDescent="0.15">
      <c r="A1071" t="s">
        <v>210</v>
      </c>
      <c r="B1071" s="226">
        <v>42306.320785914351</v>
      </c>
      <c r="C1071" t="s">
        <v>1339</v>
      </c>
      <c r="D1071" t="s">
        <v>13</v>
      </c>
      <c r="E1071">
        <v>60</v>
      </c>
      <c r="F1071">
        <v>0</v>
      </c>
    </row>
    <row r="1072" spans="1:6" x14ac:dyDescent="0.15">
      <c r="A1072" t="s">
        <v>210</v>
      </c>
      <c r="B1072" s="226">
        <v>42306.323873703703</v>
      </c>
      <c r="C1072" t="s">
        <v>1340</v>
      </c>
      <c r="D1072" t="s">
        <v>13</v>
      </c>
      <c r="E1072">
        <v>40</v>
      </c>
      <c r="F1072">
        <v>0</v>
      </c>
    </row>
    <row r="1073" spans="1:6" x14ac:dyDescent="0.15">
      <c r="A1073" t="s">
        <v>210</v>
      </c>
      <c r="B1073" s="226">
        <v>42306.328577418979</v>
      </c>
      <c r="C1073" t="s">
        <v>1341</v>
      </c>
      <c r="D1073" t="s">
        <v>13</v>
      </c>
      <c r="E1073">
        <v>40</v>
      </c>
      <c r="F1073">
        <v>0</v>
      </c>
    </row>
    <row r="1074" spans="1:6" x14ac:dyDescent="0.15">
      <c r="A1074" t="s">
        <v>210</v>
      </c>
      <c r="B1074" s="226">
        <v>42306.33777283565</v>
      </c>
      <c r="C1074" t="s">
        <v>1342</v>
      </c>
      <c r="D1074" t="s">
        <v>13</v>
      </c>
      <c r="E1074">
        <v>40</v>
      </c>
      <c r="F1074">
        <v>0</v>
      </c>
    </row>
    <row r="1075" spans="1:6" x14ac:dyDescent="0.15">
      <c r="A1075" t="s">
        <v>210</v>
      </c>
      <c r="B1075" s="226">
        <v>42306.340134710648</v>
      </c>
      <c r="C1075" t="s">
        <v>1343</v>
      </c>
      <c r="D1075" t="s">
        <v>13</v>
      </c>
      <c r="E1075">
        <v>20</v>
      </c>
      <c r="F1075">
        <v>0</v>
      </c>
    </row>
    <row r="1076" spans="1:6" x14ac:dyDescent="0.15">
      <c r="A1076" t="s">
        <v>210</v>
      </c>
      <c r="B1076" s="226">
        <v>42306.347821331015</v>
      </c>
      <c r="C1076" t="s">
        <v>1344</v>
      </c>
      <c r="D1076" t="s">
        <v>13</v>
      </c>
      <c r="E1076">
        <v>60</v>
      </c>
      <c r="F1076">
        <v>0</v>
      </c>
    </row>
    <row r="1077" spans="1:6" x14ac:dyDescent="0.15">
      <c r="A1077" t="s">
        <v>210</v>
      </c>
      <c r="B1077" s="226">
        <v>42306.35453960648</v>
      </c>
      <c r="C1077" t="s">
        <v>1345</v>
      </c>
      <c r="D1077" t="s">
        <v>13</v>
      </c>
      <c r="E1077">
        <v>100</v>
      </c>
      <c r="F1077">
        <v>0</v>
      </c>
    </row>
    <row r="1078" spans="1:6" x14ac:dyDescent="0.15">
      <c r="A1078" t="s">
        <v>210</v>
      </c>
      <c r="B1078" s="226">
        <v>42306.385788634259</v>
      </c>
      <c r="C1078" t="s">
        <v>1346</v>
      </c>
      <c r="D1078" t="s">
        <v>13</v>
      </c>
      <c r="E1078">
        <v>20</v>
      </c>
      <c r="F1078">
        <v>0</v>
      </c>
    </row>
    <row r="1079" spans="1:6" x14ac:dyDescent="0.15">
      <c r="A1079" t="s">
        <v>210</v>
      </c>
      <c r="B1079" s="226">
        <v>42306.394754062501</v>
      </c>
      <c r="C1079" t="s">
        <v>1347</v>
      </c>
      <c r="D1079" t="s">
        <v>13</v>
      </c>
      <c r="E1079">
        <v>40</v>
      </c>
      <c r="F1079">
        <v>0</v>
      </c>
    </row>
    <row r="1080" spans="1:6" x14ac:dyDescent="0.15">
      <c r="A1080" t="s">
        <v>210</v>
      </c>
      <c r="B1080" s="226">
        <v>42306.416357905095</v>
      </c>
      <c r="C1080" t="s">
        <v>1348</v>
      </c>
      <c r="D1080" t="s">
        <v>13</v>
      </c>
      <c r="E1080">
        <v>100</v>
      </c>
      <c r="F1080">
        <v>0</v>
      </c>
    </row>
    <row r="1081" spans="1:6" x14ac:dyDescent="0.15">
      <c r="A1081" t="s">
        <v>210</v>
      </c>
      <c r="B1081" s="226">
        <v>42306.419869606485</v>
      </c>
      <c r="C1081" t="s">
        <v>1349</v>
      </c>
      <c r="D1081" t="s">
        <v>13</v>
      </c>
      <c r="E1081">
        <v>120</v>
      </c>
      <c r="F1081">
        <v>0</v>
      </c>
    </row>
    <row r="1082" spans="1:6" x14ac:dyDescent="0.15">
      <c r="A1082" t="s">
        <v>210</v>
      </c>
      <c r="B1082" s="226">
        <v>42306.420550127317</v>
      </c>
      <c r="C1082" t="s">
        <v>1350</v>
      </c>
      <c r="D1082" t="s">
        <v>13</v>
      </c>
      <c r="E1082">
        <v>120</v>
      </c>
      <c r="F1082">
        <v>0</v>
      </c>
    </row>
    <row r="1083" spans="1:6" x14ac:dyDescent="0.15">
      <c r="A1083" t="s">
        <v>210</v>
      </c>
      <c r="B1083" s="226">
        <v>42306.472307025462</v>
      </c>
      <c r="C1083" t="s">
        <v>14</v>
      </c>
      <c r="D1083" t="s">
        <v>13</v>
      </c>
      <c r="E1083">
        <v>60</v>
      </c>
      <c r="F1083">
        <v>3.5</v>
      </c>
    </row>
    <row r="1084" spans="1:6" x14ac:dyDescent="0.15">
      <c r="A1084" t="s">
        <v>210</v>
      </c>
      <c r="B1084" s="226">
        <v>42306.477628946763</v>
      </c>
      <c r="C1084" t="s">
        <v>266</v>
      </c>
      <c r="D1084" t="s">
        <v>13</v>
      </c>
      <c r="E1084">
        <v>100</v>
      </c>
      <c r="F1084">
        <v>0</v>
      </c>
    </row>
    <row r="1085" spans="1:6" x14ac:dyDescent="0.15">
      <c r="A1085" t="s">
        <v>210</v>
      </c>
      <c r="B1085" s="226">
        <v>42306.481989953703</v>
      </c>
      <c r="C1085" t="s">
        <v>385</v>
      </c>
      <c r="D1085" t="s">
        <v>13</v>
      </c>
      <c r="E1085">
        <v>20</v>
      </c>
      <c r="F1085">
        <v>0</v>
      </c>
    </row>
    <row r="1086" spans="1:6" x14ac:dyDescent="0.15">
      <c r="A1086" t="s">
        <v>210</v>
      </c>
      <c r="B1086" s="226">
        <v>42306.518679050925</v>
      </c>
      <c r="C1086" t="s">
        <v>1351</v>
      </c>
      <c r="D1086" t="s">
        <v>13</v>
      </c>
      <c r="E1086">
        <v>60</v>
      </c>
      <c r="F1086">
        <v>0</v>
      </c>
    </row>
    <row r="1087" spans="1:6" x14ac:dyDescent="0.15">
      <c r="A1087" t="s">
        <v>210</v>
      </c>
      <c r="B1087" s="226">
        <v>42306.52502375</v>
      </c>
      <c r="C1087" t="s">
        <v>1352</v>
      </c>
      <c r="D1087" t="s">
        <v>13</v>
      </c>
      <c r="E1087">
        <v>40</v>
      </c>
      <c r="F1087">
        <v>0</v>
      </c>
    </row>
    <row r="1088" spans="1:6" x14ac:dyDescent="0.15">
      <c r="A1088" t="s">
        <v>210</v>
      </c>
      <c r="B1088" s="226">
        <v>42306.535712048608</v>
      </c>
      <c r="C1088" t="s">
        <v>386</v>
      </c>
      <c r="D1088" t="s">
        <v>13</v>
      </c>
      <c r="E1088">
        <v>40</v>
      </c>
      <c r="F1088">
        <v>0</v>
      </c>
    </row>
    <row r="1089" spans="1:6" x14ac:dyDescent="0.15">
      <c r="A1089" t="s">
        <v>210</v>
      </c>
      <c r="B1089" s="226">
        <v>42306.54257636574</v>
      </c>
      <c r="C1089" t="s">
        <v>1353</v>
      </c>
      <c r="D1089" t="s">
        <v>13</v>
      </c>
      <c r="E1089">
        <v>160</v>
      </c>
      <c r="F1089">
        <v>0</v>
      </c>
    </row>
    <row r="1090" spans="1:6" x14ac:dyDescent="0.15">
      <c r="A1090" t="s">
        <v>210</v>
      </c>
      <c r="B1090" s="226">
        <v>42306.546963067129</v>
      </c>
      <c r="C1090" t="s">
        <v>1354</v>
      </c>
      <c r="D1090" t="s">
        <v>13</v>
      </c>
      <c r="E1090">
        <v>60</v>
      </c>
      <c r="F1090">
        <v>0</v>
      </c>
    </row>
    <row r="1091" spans="1:6" x14ac:dyDescent="0.15">
      <c r="A1091" t="s">
        <v>210</v>
      </c>
      <c r="B1091" s="226">
        <v>42306.558187743052</v>
      </c>
      <c r="C1091" t="s">
        <v>387</v>
      </c>
      <c r="D1091" t="s">
        <v>13</v>
      </c>
      <c r="E1091">
        <v>500</v>
      </c>
      <c r="F1091">
        <v>0</v>
      </c>
    </row>
    <row r="1092" spans="1:6" x14ac:dyDescent="0.15">
      <c r="A1092" t="s">
        <v>210</v>
      </c>
      <c r="B1092" s="226">
        <v>42306.592929189814</v>
      </c>
      <c r="C1092" t="s">
        <v>343</v>
      </c>
      <c r="D1092" t="s">
        <v>13</v>
      </c>
      <c r="E1092">
        <v>100</v>
      </c>
      <c r="F1092">
        <v>0</v>
      </c>
    </row>
    <row r="1093" spans="1:6" x14ac:dyDescent="0.15">
      <c r="A1093" t="s">
        <v>210</v>
      </c>
      <c r="B1093" s="226">
        <v>42306.600041296297</v>
      </c>
      <c r="C1093" t="s">
        <v>1355</v>
      </c>
      <c r="D1093" t="s">
        <v>13</v>
      </c>
      <c r="E1093">
        <v>20</v>
      </c>
      <c r="F1093">
        <v>0</v>
      </c>
    </row>
    <row r="1094" spans="1:6" x14ac:dyDescent="0.15">
      <c r="A1094" t="s">
        <v>210</v>
      </c>
      <c r="B1094" s="226">
        <v>42306.605384918985</v>
      </c>
      <c r="C1094" t="s">
        <v>1356</v>
      </c>
      <c r="D1094" t="s">
        <v>13</v>
      </c>
      <c r="E1094">
        <v>200</v>
      </c>
      <c r="F1094">
        <v>0</v>
      </c>
    </row>
    <row r="1095" spans="1:6" x14ac:dyDescent="0.15">
      <c r="A1095" t="s">
        <v>210</v>
      </c>
      <c r="B1095" s="226">
        <v>42306.630243414351</v>
      </c>
      <c r="C1095" t="s">
        <v>1357</v>
      </c>
      <c r="D1095" t="s">
        <v>13</v>
      </c>
      <c r="E1095">
        <v>100</v>
      </c>
      <c r="F1095">
        <v>0</v>
      </c>
    </row>
    <row r="1096" spans="1:6" x14ac:dyDescent="0.15">
      <c r="A1096" t="s">
        <v>210</v>
      </c>
      <c r="B1096" s="226">
        <v>42306.6487671875</v>
      </c>
      <c r="C1096" t="s">
        <v>1358</v>
      </c>
      <c r="D1096" t="s">
        <v>13</v>
      </c>
      <c r="E1096">
        <v>100</v>
      </c>
      <c r="F1096">
        <v>0</v>
      </c>
    </row>
    <row r="1097" spans="1:6" x14ac:dyDescent="0.15">
      <c r="A1097" t="s">
        <v>210</v>
      </c>
      <c r="B1097" s="226">
        <v>42306.667576238426</v>
      </c>
      <c r="C1097" t="s">
        <v>14</v>
      </c>
      <c r="D1097" t="s">
        <v>13</v>
      </c>
      <c r="E1097">
        <v>200</v>
      </c>
      <c r="F1097">
        <v>3.5</v>
      </c>
    </row>
    <row r="1098" spans="1:6" x14ac:dyDescent="0.15">
      <c r="A1098" t="s">
        <v>210</v>
      </c>
      <c r="B1098" s="226">
        <v>42306.674007951391</v>
      </c>
      <c r="C1098" t="s">
        <v>388</v>
      </c>
      <c r="D1098" t="s">
        <v>13</v>
      </c>
      <c r="E1098">
        <v>200</v>
      </c>
      <c r="F1098">
        <v>0</v>
      </c>
    </row>
    <row r="1099" spans="1:6" x14ac:dyDescent="0.15">
      <c r="A1099" t="s">
        <v>210</v>
      </c>
      <c r="B1099" s="226">
        <v>42306.681106909724</v>
      </c>
      <c r="C1099" t="s">
        <v>1359</v>
      </c>
      <c r="D1099" t="s">
        <v>13</v>
      </c>
      <c r="E1099">
        <v>100</v>
      </c>
      <c r="F1099">
        <v>0</v>
      </c>
    </row>
    <row r="1100" spans="1:6" x14ac:dyDescent="0.15">
      <c r="A1100" t="s">
        <v>210</v>
      </c>
      <c r="B1100" s="226">
        <v>42306.705065092596</v>
      </c>
      <c r="C1100" t="s">
        <v>1360</v>
      </c>
      <c r="D1100" t="s">
        <v>13</v>
      </c>
      <c r="E1100">
        <v>80</v>
      </c>
      <c r="F1100">
        <v>0</v>
      </c>
    </row>
    <row r="1101" spans="1:6" x14ac:dyDescent="0.15">
      <c r="A1101" t="s">
        <v>210</v>
      </c>
      <c r="B1101" s="226">
        <v>42306.718076064812</v>
      </c>
      <c r="C1101" t="s">
        <v>1361</v>
      </c>
      <c r="D1101" t="s">
        <v>13</v>
      </c>
      <c r="E1101">
        <v>40</v>
      </c>
      <c r="F1101">
        <v>0</v>
      </c>
    </row>
    <row r="1102" spans="1:6" x14ac:dyDescent="0.15">
      <c r="A1102" t="s">
        <v>210</v>
      </c>
      <c r="B1102" s="226">
        <v>42306.718836828702</v>
      </c>
      <c r="C1102" t="s">
        <v>676</v>
      </c>
      <c r="D1102" t="s">
        <v>13</v>
      </c>
      <c r="E1102">
        <v>40</v>
      </c>
      <c r="F1102">
        <v>0</v>
      </c>
    </row>
    <row r="1103" spans="1:6" x14ac:dyDescent="0.15">
      <c r="A1103" t="s">
        <v>210</v>
      </c>
      <c r="B1103" s="226">
        <v>42306.730075740743</v>
      </c>
      <c r="C1103" t="s">
        <v>14</v>
      </c>
      <c r="D1103" t="s">
        <v>13</v>
      </c>
      <c r="E1103">
        <v>100</v>
      </c>
      <c r="F1103">
        <v>3.5</v>
      </c>
    </row>
    <row r="1104" spans="1:6" x14ac:dyDescent="0.15">
      <c r="A1104" t="s">
        <v>210</v>
      </c>
      <c r="B1104" s="226">
        <v>42306.746217581021</v>
      </c>
      <c r="C1104" t="s">
        <v>188</v>
      </c>
      <c r="D1104" t="s">
        <v>13</v>
      </c>
      <c r="E1104">
        <v>100</v>
      </c>
      <c r="F1104">
        <v>0</v>
      </c>
    </row>
    <row r="1105" spans="1:6" x14ac:dyDescent="0.15">
      <c r="A1105" t="s">
        <v>210</v>
      </c>
      <c r="B1105" s="226">
        <v>42306.761902835649</v>
      </c>
      <c r="C1105" t="s">
        <v>1362</v>
      </c>
      <c r="D1105" t="s">
        <v>13</v>
      </c>
      <c r="E1105">
        <v>100</v>
      </c>
      <c r="F1105">
        <v>0</v>
      </c>
    </row>
    <row r="1106" spans="1:6" x14ac:dyDescent="0.15">
      <c r="A1106" t="s">
        <v>210</v>
      </c>
      <c r="B1106" s="226">
        <v>42306.789230902781</v>
      </c>
      <c r="C1106" t="s">
        <v>1363</v>
      </c>
      <c r="D1106" t="s">
        <v>13</v>
      </c>
      <c r="E1106">
        <v>100</v>
      </c>
      <c r="F1106">
        <v>0</v>
      </c>
    </row>
    <row r="1107" spans="1:6" x14ac:dyDescent="0.15">
      <c r="A1107" t="s">
        <v>210</v>
      </c>
      <c r="B1107" s="226">
        <v>42306.794654432873</v>
      </c>
      <c r="C1107" t="s">
        <v>1364</v>
      </c>
      <c r="D1107" t="s">
        <v>13</v>
      </c>
      <c r="E1107">
        <v>40</v>
      </c>
      <c r="F1107">
        <v>0</v>
      </c>
    </row>
    <row r="1108" spans="1:6" x14ac:dyDescent="0.15">
      <c r="A1108" t="s">
        <v>210</v>
      </c>
      <c r="B1108" s="226">
        <v>42306.831386284721</v>
      </c>
      <c r="C1108" t="s">
        <v>14</v>
      </c>
      <c r="D1108" t="s">
        <v>15</v>
      </c>
      <c r="E1108">
        <v>100</v>
      </c>
      <c r="F1108">
        <v>5.5</v>
      </c>
    </row>
    <row r="1109" spans="1:6" x14ac:dyDescent="0.15">
      <c r="A1109" t="s">
        <v>210</v>
      </c>
      <c r="B1109" s="226">
        <v>42306.845773217596</v>
      </c>
      <c r="C1109" t="s">
        <v>1365</v>
      </c>
      <c r="D1109" t="s">
        <v>13</v>
      </c>
      <c r="E1109">
        <v>300</v>
      </c>
      <c r="F1109">
        <v>0</v>
      </c>
    </row>
    <row r="1110" spans="1:6" x14ac:dyDescent="0.15">
      <c r="A1110" t="s">
        <v>210</v>
      </c>
      <c r="B1110" s="226">
        <v>42306.880086458332</v>
      </c>
      <c r="C1110" t="s">
        <v>14</v>
      </c>
      <c r="D1110" t="s">
        <v>13</v>
      </c>
      <c r="E1110">
        <v>100</v>
      </c>
      <c r="F1110">
        <v>3.5</v>
      </c>
    </row>
    <row r="1111" spans="1:6" x14ac:dyDescent="0.15">
      <c r="A1111" t="s">
        <v>210</v>
      </c>
      <c r="B1111" s="226">
        <v>42306.980439756946</v>
      </c>
      <c r="C1111" t="s">
        <v>1083</v>
      </c>
      <c r="D1111" t="s">
        <v>13</v>
      </c>
      <c r="E1111">
        <v>100</v>
      </c>
      <c r="F1111">
        <v>0</v>
      </c>
    </row>
    <row r="1112" spans="1:6" x14ac:dyDescent="0.15">
      <c r="A1112" t="s">
        <v>210</v>
      </c>
      <c r="B1112" s="226">
        <v>42306.983626238427</v>
      </c>
      <c r="C1112" t="s">
        <v>949</v>
      </c>
      <c r="D1112" t="s">
        <v>13</v>
      </c>
      <c r="E1112">
        <v>40</v>
      </c>
      <c r="F1112">
        <v>0</v>
      </c>
    </row>
    <row r="1113" spans="1:6" x14ac:dyDescent="0.15">
      <c r="A1113" t="s">
        <v>210</v>
      </c>
      <c r="B1113" s="226">
        <v>42307.312076377311</v>
      </c>
      <c r="C1113" t="s">
        <v>14</v>
      </c>
      <c r="D1113" t="s">
        <v>15</v>
      </c>
      <c r="E1113">
        <v>40</v>
      </c>
      <c r="F1113">
        <v>3.7</v>
      </c>
    </row>
    <row r="1114" spans="1:6" x14ac:dyDescent="0.15">
      <c r="A1114" t="s">
        <v>210</v>
      </c>
      <c r="B1114" s="226">
        <v>42307.320312638891</v>
      </c>
      <c r="C1114" t="s">
        <v>389</v>
      </c>
      <c r="D1114" t="s">
        <v>13</v>
      </c>
      <c r="E1114">
        <v>120</v>
      </c>
      <c r="F1114">
        <v>0</v>
      </c>
    </row>
    <row r="1115" spans="1:6" x14ac:dyDescent="0.15">
      <c r="A1115" t="s">
        <v>210</v>
      </c>
      <c r="B1115" s="226">
        <v>42307.328707939814</v>
      </c>
      <c r="C1115" t="s">
        <v>14</v>
      </c>
      <c r="D1115" t="s">
        <v>13</v>
      </c>
      <c r="E1115">
        <v>80</v>
      </c>
      <c r="F1115">
        <v>3.5</v>
      </c>
    </row>
    <row r="1116" spans="1:6" x14ac:dyDescent="0.15">
      <c r="A1116" t="s">
        <v>210</v>
      </c>
      <c r="B1116" s="226">
        <v>42307.331992222222</v>
      </c>
      <c r="C1116" t="s">
        <v>1366</v>
      </c>
      <c r="D1116" t="s">
        <v>13</v>
      </c>
      <c r="E1116">
        <v>100</v>
      </c>
      <c r="F1116">
        <v>0</v>
      </c>
    </row>
    <row r="1117" spans="1:6" x14ac:dyDescent="0.15">
      <c r="A1117" t="s">
        <v>210</v>
      </c>
      <c r="B1117" s="226">
        <v>42307.374402638889</v>
      </c>
      <c r="C1117" t="s">
        <v>234</v>
      </c>
      <c r="D1117" t="s">
        <v>13</v>
      </c>
      <c r="E1117">
        <v>100</v>
      </c>
      <c r="F1117">
        <v>0</v>
      </c>
    </row>
    <row r="1118" spans="1:6" x14ac:dyDescent="0.15">
      <c r="A1118" t="s">
        <v>210</v>
      </c>
      <c r="B1118" s="226">
        <v>42307.382749988428</v>
      </c>
      <c r="C1118" t="s">
        <v>1367</v>
      </c>
      <c r="D1118" t="s">
        <v>13</v>
      </c>
      <c r="E1118">
        <v>500</v>
      </c>
      <c r="F1118">
        <v>0</v>
      </c>
    </row>
    <row r="1119" spans="1:6" x14ac:dyDescent="0.15">
      <c r="A1119" t="s">
        <v>210</v>
      </c>
      <c r="B1119" s="226">
        <v>42307.443554317128</v>
      </c>
      <c r="C1119" t="s">
        <v>14</v>
      </c>
      <c r="D1119" t="s">
        <v>13</v>
      </c>
      <c r="E1119">
        <v>100</v>
      </c>
      <c r="F1119">
        <v>3.5</v>
      </c>
    </row>
    <row r="1120" spans="1:6" x14ac:dyDescent="0.15">
      <c r="A1120" t="s">
        <v>210</v>
      </c>
      <c r="B1120" s="226">
        <v>42307.445959074073</v>
      </c>
      <c r="C1120" t="s">
        <v>1368</v>
      </c>
      <c r="D1120" t="s">
        <v>13</v>
      </c>
      <c r="E1120">
        <v>100</v>
      </c>
      <c r="F1120">
        <v>0</v>
      </c>
    </row>
    <row r="1121" spans="1:6" x14ac:dyDescent="0.15">
      <c r="A1121" t="s">
        <v>210</v>
      </c>
      <c r="B1121" s="226">
        <v>42307.447437824077</v>
      </c>
      <c r="C1121" t="s">
        <v>390</v>
      </c>
      <c r="D1121" t="s">
        <v>13</v>
      </c>
      <c r="E1121">
        <v>80</v>
      </c>
      <c r="F1121">
        <v>0</v>
      </c>
    </row>
    <row r="1122" spans="1:6" x14ac:dyDescent="0.15">
      <c r="A1122" t="s">
        <v>210</v>
      </c>
      <c r="B1122" s="226">
        <v>42307.451510439816</v>
      </c>
      <c r="C1122" t="s">
        <v>1369</v>
      </c>
      <c r="D1122" t="s">
        <v>13</v>
      </c>
      <c r="E1122">
        <v>40</v>
      </c>
      <c r="F1122">
        <v>0</v>
      </c>
    </row>
    <row r="1123" spans="1:6" x14ac:dyDescent="0.15">
      <c r="A1123" t="s">
        <v>210</v>
      </c>
      <c r="B1123" s="226">
        <v>42307.461494976851</v>
      </c>
      <c r="C1123" t="s">
        <v>1370</v>
      </c>
      <c r="D1123" t="s">
        <v>13</v>
      </c>
      <c r="E1123">
        <v>500</v>
      </c>
      <c r="F1123">
        <v>0</v>
      </c>
    </row>
    <row r="1124" spans="1:6" x14ac:dyDescent="0.15">
      <c r="A1124" t="s">
        <v>210</v>
      </c>
      <c r="B1124" s="226">
        <v>42307.473450011574</v>
      </c>
      <c r="C1124" t="s">
        <v>14</v>
      </c>
      <c r="D1124" t="s">
        <v>13</v>
      </c>
      <c r="E1124">
        <v>100</v>
      </c>
      <c r="F1124">
        <v>3.5</v>
      </c>
    </row>
    <row r="1125" spans="1:6" x14ac:dyDescent="0.15">
      <c r="A1125" t="s">
        <v>210</v>
      </c>
      <c r="B1125" s="226">
        <v>42307.476003796299</v>
      </c>
      <c r="C1125" t="s">
        <v>1371</v>
      </c>
      <c r="D1125" t="s">
        <v>13</v>
      </c>
      <c r="E1125">
        <v>100</v>
      </c>
      <c r="F1125">
        <v>0</v>
      </c>
    </row>
    <row r="1126" spans="1:6" x14ac:dyDescent="0.15">
      <c r="A1126" t="s">
        <v>210</v>
      </c>
      <c r="B1126" s="226">
        <v>42307.477295509256</v>
      </c>
      <c r="C1126" t="s">
        <v>1372</v>
      </c>
      <c r="D1126" t="s">
        <v>13</v>
      </c>
      <c r="E1126">
        <v>140</v>
      </c>
      <c r="F1126">
        <v>0</v>
      </c>
    </row>
    <row r="1127" spans="1:6" x14ac:dyDescent="0.15">
      <c r="A1127" t="s">
        <v>210</v>
      </c>
      <c r="B1127" s="226">
        <v>42307.484865879633</v>
      </c>
      <c r="C1127" t="s">
        <v>391</v>
      </c>
      <c r="D1127" t="s">
        <v>13</v>
      </c>
      <c r="E1127">
        <v>60</v>
      </c>
      <c r="F1127">
        <v>0</v>
      </c>
    </row>
    <row r="1128" spans="1:6" x14ac:dyDescent="0.15">
      <c r="A1128" t="s">
        <v>210</v>
      </c>
      <c r="B1128" s="226">
        <v>42307.49745008102</v>
      </c>
      <c r="C1128" t="s">
        <v>392</v>
      </c>
      <c r="D1128" t="s">
        <v>13</v>
      </c>
      <c r="E1128">
        <v>120</v>
      </c>
      <c r="F1128">
        <v>0</v>
      </c>
    </row>
    <row r="1129" spans="1:6" x14ac:dyDescent="0.15">
      <c r="A1129" t="s">
        <v>210</v>
      </c>
      <c r="B1129" s="226">
        <v>42307.504558437497</v>
      </c>
      <c r="C1129" t="s">
        <v>1373</v>
      </c>
      <c r="D1129" t="s">
        <v>13</v>
      </c>
      <c r="E1129">
        <v>200</v>
      </c>
      <c r="F1129">
        <v>0</v>
      </c>
    </row>
    <row r="1130" spans="1:6" x14ac:dyDescent="0.15">
      <c r="A1130" t="s">
        <v>210</v>
      </c>
      <c r="B1130" s="226">
        <v>42307.505337326387</v>
      </c>
      <c r="C1130" t="s">
        <v>184</v>
      </c>
      <c r="D1130" t="s">
        <v>13</v>
      </c>
      <c r="E1130">
        <v>100</v>
      </c>
      <c r="F1130">
        <v>0</v>
      </c>
    </row>
    <row r="1131" spans="1:6" x14ac:dyDescent="0.15">
      <c r="A1131" t="s">
        <v>210</v>
      </c>
      <c r="B1131" s="226">
        <v>42307.514044143521</v>
      </c>
      <c r="C1131" t="s">
        <v>1077</v>
      </c>
      <c r="D1131" t="s">
        <v>13</v>
      </c>
      <c r="E1131">
        <v>500</v>
      </c>
      <c r="F1131">
        <v>0</v>
      </c>
    </row>
    <row r="1132" spans="1:6" x14ac:dyDescent="0.15">
      <c r="A1132" t="s">
        <v>210</v>
      </c>
      <c r="B1132" s="226">
        <v>42307.517256145831</v>
      </c>
      <c r="C1132" t="s">
        <v>1374</v>
      </c>
      <c r="D1132" t="s">
        <v>13</v>
      </c>
      <c r="E1132">
        <v>200</v>
      </c>
      <c r="F1132">
        <v>0</v>
      </c>
    </row>
    <row r="1133" spans="1:6" x14ac:dyDescent="0.15">
      <c r="A1133" t="s">
        <v>210</v>
      </c>
      <c r="B1133" s="226">
        <v>42307.519025775466</v>
      </c>
      <c r="C1133" t="s">
        <v>1375</v>
      </c>
      <c r="D1133" t="s">
        <v>13</v>
      </c>
      <c r="E1133">
        <v>100</v>
      </c>
      <c r="F1133">
        <v>0</v>
      </c>
    </row>
    <row r="1134" spans="1:6" x14ac:dyDescent="0.15">
      <c r="A1134" t="s">
        <v>210</v>
      </c>
      <c r="B1134" s="226">
        <v>42307.525870474536</v>
      </c>
      <c r="C1134" t="s">
        <v>1376</v>
      </c>
      <c r="D1134" t="s">
        <v>13</v>
      </c>
      <c r="E1134">
        <v>40</v>
      </c>
      <c r="F1134">
        <v>0</v>
      </c>
    </row>
    <row r="1135" spans="1:6" x14ac:dyDescent="0.15">
      <c r="A1135" t="s">
        <v>210</v>
      </c>
      <c r="B1135" s="226">
        <v>42307.529265729165</v>
      </c>
      <c r="C1135" t="s">
        <v>1377</v>
      </c>
      <c r="D1135" t="s">
        <v>13</v>
      </c>
      <c r="E1135">
        <v>20</v>
      </c>
      <c r="F1135">
        <v>0</v>
      </c>
    </row>
    <row r="1136" spans="1:6" x14ac:dyDescent="0.15">
      <c r="A1136" t="s">
        <v>210</v>
      </c>
      <c r="B1136" s="226">
        <v>42307.534284918984</v>
      </c>
      <c r="C1136" t="s">
        <v>1378</v>
      </c>
      <c r="D1136" t="s">
        <v>13</v>
      </c>
      <c r="E1136">
        <v>20</v>
      </c>
      <c r="F1136">
        <v>0</v>
      </c>
    </row>
    <row r="1137" spans="1:6" x14ac:dyDescent="0.15">
      <c r="A1137" t="s">
        <v>210</v>
      </c>
      <c r="B1137" s="226">
        <v>42307.53931172454</v>
      </c>
      <c r="C1137" t="s">
        <v>1379</v>
      </c>
      <c r="D1137" t="s">
        <v>13</v>
      </c>
      <c r="E1137">
        <v>220</v>
      </c>
      <c r="F1137">
        <v>0</v>
      </c>
    </row>
    <row r="1138" spans="1:6" x14ac:dyDescent="0.15">
      <c r="A1138" t="s">
        <v>210</v>
      </c>
      <c r="B1138" s="226">
        <v>42307.551051192131</v>
      </c>
      <c r="C1138" t="s">
        <v>167</v>
      </c>
      <c r="D1138" t="s">
        <v>13</v>
      </c>
      <c r="E1138">
        <v>100</v>
      </c>
      <c r="F1138">
        <v>0</v>
      </c>
    </row>
    <row r="1139" spans="1:6" x14ac:dyDescent="0.15">
      <c r="A1139" t="s">
        <v>210</v>
      </c>
      <c r="B1139" s="226">
        <v>42307.563062349538</v>
      </c>
      <c r="C1139" t="s">
        <v>1380</v>
      </c>
      <c r="D1139" t="s">
        <v>13</v>
      </c>
      <c r="E1139">
        <v>100</v>
      </c>
      <c r="F1139">
        <v>0</v>
      </c>
    </row>
    <row r="1140" spans="1:6" x14ac:dyDescent="0.15">
      <c r="A1140" t="s">
        <v>210</v>
      </c>
      <c r="B1140" s="226">
        <v>42307.569340717593</v>
      </c>
      <c r="C1140" t="s">
        <v>1381</v>
      </c>
      <c r="D1140" t="s">
        <v>13</v>
      </c>
      <c r="E1140">
        <v>100</v>
      </c>
      <c r="F1140">
        <v>0</v>
      </c>
    </row>
    <row r="1141" spans="1:6" x14ac:dyDescent="0.15">
      <c r="A1141" t="s">
        <v>210</v>
      </c>
      <c r="B1141" s="226">
        <v>42307.576358888888</v>
      </c>
      <c r="C1141" t="s">
        <v>14</v>
      </c>
      <c r="D1141" t="s">
        <v>13</v>
      </c>
      <c r="E1141">
        <v>500</v>
      </c>
      <c r="F1141">
        <v>3.5</v>
      </c>
    </row>
    <row r="1142" spans="1:6" x14ac:dyDescent="0.15">
      <c r="A1142" t="s">
        <v>210</v>
      </c>
      <c r="B1142" s="226">
        <v>42307.577431597223</v>
      </c>
      <c r="C1142" t="s">
        <v>1382</v>
      </c>
      <c r="D1142" t="s">
        <v>13</v>
      </c>
      <c r="E1142">
        <v>100</v>
      </c>
      <c r="F1142">
        <v>0</v>
      </c>
    </row>
    <row r="1143" spans="1:6" x14ac:dyDescent="0.15">
      <c r="A1143" t="s">
        <v>210</v>
      </c>
      <c r="B1143" s="226">
        <v>42307.59007672454</v>
      </c>
      <c r="C1143" t="s">
        <v>1383</v>
      </c>
      <c r="D1143" t="s">
        <v>13</v>
      </c>
      <c r="E1143">
        <v>160</v>
      </c>
      <c r="F1143">
        <v>0</v>
      </c>
    </row>
    <row r="1144" spans="1:6" x14ac:dyDescent="0.15">
      <c r="A1144" t="s">
        <v>210</v>
      </c>
      <c r="B1144" s="226">
        <v>42307.59539141204</v>
      </c>
      <c r="C1144" t="s">
        <v>1384</v>
      </c>
      <c r="D1144" t="s">
        <v>13</v>
      </c>
      <c r="E1144">
        <v>400</v>
      </c>
      <c r="F1144">
        <v>0</v>
      </c>
    </row>
    <row r="1145" spans="1:6" x14ac:dyDescent="0.15">
      <c r="A1145" t="s">
        <v>210</v>
      </c>
      <c r="B1145" s="226">
        <v>42307.601044537034</v>
      </c>
      <c r="C1145" t="s">
        <v>868</v>
      </c>
      <c r="D1145" t="s">
        <v>13</v>
      </c>
      <c r="E1145">
        <v>40</v>
      </c>
      <c r="F1145">
        <v>0</v>
      </c>
    </row>
    <row r="1146" spans="1:6" x14ac:dyDescent="0.15">
      <c r="A1146" t="s">
        <v>210</v>
      </c>
      <c r="B1146" s="226">
        <v>42307.608062581021</v>
      </c>
      <c r="C1146" t="s">
        <v>1385</v>
      </c>
      <c r="D1146" t="s">
        <v>13</v>
      </c>
      <c r="E1146">
        <v>120</v>
      </c>
      <c r="F1146">
        <v>0</v>
      </c>
    </row>
    <row r="1147" spans="1:6" x14ac:dyDescent="0.15">
      <c r="A1147" t="s">
        <v>210</v>
      </c>
      <c r="B1147" s="226">
        <v>42307.612495613423</v>
      </c>
      <c r="C1147" t="s">
        <v>1386</v>
      </c>
      <c r="D1147" t="s">
        <v>13</v>
      </c>
      <c r="E1147">
        <v>40</v>
      </c>
      <c r="F1147">
        <v>0</v>
      </c>
    </row>
    <row r="1148" spans="1:6" x14ac:dyDescent="0.15">
      <c r="A1148" t="s">
        <v>210</v>
      </c>
      <c r="B1148" s="226">
        <v>42307.619157314817</v>
      </c>
      <c r="C1148" t="s">
        <v>917</v>
      </c>
      <c r="D1148" t="s">
        <v>13</v>
      </c>
      <c r="E1148">
        <v>40</v>
      </c>
      <c r="F1148">
        <v>0</v>
      </c>
    </row>
    <row r="1149" spans="1:6" x14ac:dyDescent="0.15">
      <c r="A1149" t="s">
        <v>210</v>
      </c>
      <c r="B1149" s="226">
        <v>42307.627108379631</v>
      </c>
      <c r="C1149" t="s">
        <v>1387</v>
      </c>
      <c r="D1149" t="s">
        <v>13</v>
      </c>
      <c r="E1149">
        <v>100</v>
      </c>
      <c r="F1149">
        <v>0</v>
      </c>
    </row>
    <row r="1150" spans="1:6" x14ac:dyDescent="0.15">
      <c r="A1150" t="s">
        <v>210</v>
      </c>
      <c r="B1150" s="226">
        <v>42307.628724594906</v>
      </c>
      <c r="C1150" t="s">
        <v>1388</v>
      </c>
      <c r="D1150" t="s">
        <v>13</v>
      </c>
      <c r="E1150">
        <v>500</v>
      </c>
      <c r="F1150">
        <v>0</v>
      </c>
    </row>
    <row r="1151" spans="1:6" x14ac:dyDescent="0.15">
      <c r="A1151" t="s">
        <v>210</v>
      </c>
      <c r="B1151" s="226">
        <v>42307.643437141203</v>
      </c>
      <c r="C1151" t="s">
        <v>1389</v>
      </c>
      <c r="D1151" t="s">
        <v>13</v>
      </c>
      <c r="E1151">
        <v>80</v>
      </c>
      <c r="F1151">
        <v>0</v>
      </c>
    </row>
    <row r="1152" spans="1:6" x14ac:dyDescent="0.15">
      <c r="A1152" t="s">
        <v>210</v>
      </c>
      <c r="B1152" s="226">
        <v>42307.648895428239</v>
      </c>
      <c r="C1152" t="s">
        <v>1390</v>
      </c>
      <c r="D1152" t="s">
        <v>15</v>
      </c>
      <c r="E1152">
        <v>20</v>
      </c>
      <c r="F1152">
        <v>0.6</v>
      </c>
    </row>
    <row r="1153" spans="1:6" x14ac:dyDescent="0.15">
      <c r="A1153" t="s">
        <v>210</v>
      </c>
      <c r="B1153" s="226">
        <v>42307.652467673608</v>
      </c>
      <c r="C1153" t="s">
        <v>1391</v>
      </c>
      <c r="D1153" t="s">
        <v>13</v>
      </c>
      <c r="E1153">
        <v>140</v>
      </c>
      <c r="F1153">
        <v>0</v>
      </c>
    </row>
    <row r="1154" spans="1:6" x14ac:dyDescent="0.15">
      <c r="A1154" t="s">
        <v>210</v>
      </c>
      <c r="B1154" s="226">
        <v>42307.65634908565</v>
      </c>
      <c r="C1154" t="s">
        <v>1392</v>
      </c>
      <c r="D1154" t="s">
        <v>13</v>
      </c>
      <c r="E1154">
        <v>20</v>
      </c>
      <c r="F1154">
        <v>0</v>
      </c>
    </row>
    <row r="1155" spans="1:6" x14ac:dyDescent="0.15">
      <c r="A1155" t="s">
        <v>210</v>
      </c>
      <c r="B1155" s="226">
        <v>42307.665057847225</v>
      </c>
      <c r="C1155" t="s">
        <v>1393</v>
      </c>
      <c r="D1155" t="s">
        <v>13</v>
      </c>
      <c r="E1155">
        <v>80</v>
      </c>
      <c r="F1155">
        <v>0</v>
      </c>
    </row>
    <row r="1156" spans="1:6" x14ac:dyDescent="0.15">
      <c r="A1156" t="s">
        <v>210</v>
      </c>
      <c r="B1156" s="226">
        <v>42307.700049016203</v>
      </c>
      <c r="C1156" t="s">
        <v>14</v>
      </c>
      <c r="D1156" t="s">
        <v>13</v>
      </c>
      <c r="E1156">
        <v>100</v>
      </c>
      <c r="F1156">
        <v>3.5</v>
      </c>
    </row>
    <row r="1157" spans="1:6" x14ac:dyDescent="0.15">
      <c r="A1157" t="s">
        <v>210</v>
      </c>
      <c r="B1157" s="226">
        <v>42307.715148807867</v>
      </c>
      <c r="C1157" t="s">
        <v>1394</v>
      </c>
      <c r="D1157" t="s">
        <v>13</v>
      </c>
      <c r="E1157">
        <v>100</v>
      </c>
      <c r="F1157">
        <v>0</v>
      </c>
    </row>
    <row r="1158" spans="1:6" x14ac:dyDescent="0.15">
      <c r="A1158" t="s">
        <v>210</v>
      </c>
      <c r="B1158" s="226">
        <v>42307.724252175925</v>
      </c>
      <c r="C1158" t="s">
        <v>1395</v>
      </c>
      <c r="D1158" t="s">
        <v>13</v>
      </c>
      <c r="E1158">
        <v>40</v>
      </c>
      <c r="F1158">
        <v>0</v>
      </c>
    </row>
    <row r="1159" spans="1:6" x14ac:dyDescent="0.15">
      <c r="A1159" t="s">
        <v>210</v>
      </c>
      <c r="B1159" s="226">
        <v>42307.7337309375</v>
      </c>
      <c r="C1159" t="s">
        <v>1396</v>
      </c>
      <c r="D1159" t="s">
        <v>13</v>
      </c>
      <c r="E1159">
        <v>80</v>
      </c>
      <c r="F1159">
        <v>0</v>
      </c>
    </row>
    <row r="1160" spans="1:6" x14ac:dyDescent="0.15">
      <c r="A1160" t="s">
        <v>210</v>
      </c>
      <c r="B1160" s="226">
        <v>42307.737086747686</v>
      </c>
      <c r="C1160" t="s">
        <v>393</v>
      </c>
      <c r="D1160" t="s">
        <v>13</v>
      </c>
      <c r="E1160">
        <v>80</v>
      </c>
      <c r="F1160">
        <v>0</v>
      </c>
    </row>
    <row r="1161" spans="1:6" x14ac:dyDescent="0.15">
      <c r="A1161" t="s">
        <v>210</v>
      </c>
      <c r="B1161" s="226">
        <v>42307.741385092595</v>
      </c>
      <c r="C1161" t="s">
        <v>1397</v>
      </c>
      <c r="D1161" t="s">
        <v>15</v>
      </c>
      <c r="E1161">
        <v>80</v>
      </c>
      <c r="F1161">
        <v>2.4</v>
      </c>
    </row>
    <row r="1162" spans="1:6" x14ac:dyDescent="0.15">
      <c r="A1162" t="s">
        <v>210</v>
      </c>
      <c r="B1162" s="226">
        <v>42307.752094328702</v>
      </c>
      <c r="C1162" t="s">
        <v>14</v>
      </c>
      <c r="D1162" t="s">
        <v>13</v>
      </c>
      <c r="E1162">
        <v>200</v>
      </c>
      <c r="F1162">
        <v>3.5</v>
      </c>
    </row>
    <row r="1163" spans="1:6" x14ac:dyDescent="0.15">
      <c r="A1163" t="s">
        <v>210</v>
      </c>
      <c r="B1163" s="226">
        <v>42307.777677268517</v>
      </c>
      <c r="C1163" t="s">
        <v>1398</v>
      </c>
      <c r="D1163" t="s">
        <v>13</v>
      </c>
      <c r="E1163">
        <v>20</v>
      </c>
      <c r="F1163">
        <v>0</v>
      </c>
    </row>
    <row r="1164" spans="1:6" x14ac:dyDescent="0.15">
      <c r="A1164" t="s">
        <v>210</v>
      </c>
      <c r="B1164" s="226">
        <v>42307.861120162037</v>
      </c>
      <c r="C1164" t="s">
        <v>1140</v>
      </c>
      <c r="D1164" t="s">
        <v>13</v>
      </c>
      <c r="E1164">
        <v>60</v>
      </c>
      <c r="F1164">
        <v>0</v>
      </c>
    </row>
    <row r="1165" spans="1:6" x14ac:dyDescent="0.15">
      <c r="A1165" t="s">
        <v>210</v>
      </c>
      <c r="B1165" s="226">
        <v>42307.862921134256</v>
      </c>
      <c r="C1165" t="s">
        <v>1399</v>
      </c>
      <c r="D1165" t="s">
        <v>13</v>
      </c>
      <c r="E1165">
        <v>100</v>
      </c>
      <c r="F1165">
        <v>0</v>
      </c>
    </row>
    <row r="1166" spans="1:6" x14ac:dyDescent="0.15">
      <c r="A1166" t="s">
        <v>210</v>
      </c>
      <c r="B1166" s="226">
        <v>42307.872494710646</v>
      </c>
      <c r="C1166" t="s">
        <v>14</v>
      </c>
      <c r="D1166" t="s">
        <v>13</v>
      </c>
      <c r="E1166">
        <v>40</v>
      </c>
      <c r="F1166">
        <v>3.5</v>
      </c>
    </row>
    <row r="1167" spans="1:6" x14ac:dyDescent="0.15">
      <c r="A1167" t="s">
        <v>210</v>
      </c>
      <c r="B1167" s="226">
        <v>42307.884781990739</v>
      </c>
      <c r="C1167" t="s">
        <v>1400</v>
      </c>
      <c r="D1167" t="s">
        <v>13</v>
      </c>
      <c r="E1167">
        <v>100</v>
      </c>
      <c r="F1167">
        <v>0</v>
      </c>
    </row>
    <row r="1168" spans="1:6" x14ac:dyDescent="0.15">
      <c r="A1168" t="s">
        <v>210</v>
      </c>
      <c r="B1168" s="226">
        <v>42307.950277997683</v>
      </c>
      <c r="C1168" t="s">
        <v>1401</v>
      </c>
      <c r="D1168" t="s">
        <v>13</v>
      </c>
      <c r="E1168">
        <v>40</v>
      </c>
      <c r="F1168">
        <v>0</v>
      </c>
    </row>
    <row r="1169" spans="1:6" x14ac:dyDescent="0.15">
      <c r="A1169" t="s">
        <v>210</v>
      </c>
      <c r="B1169" s="226">
        <v>42307.979639293982</v>
      </c>
      <c r="C1169" t="s">
        <v>1402</v>
      </c>
      <c r="D1169" t="s">
        <v>13</v>
      </c>
      <c r="E1169">
        <v>160</v>
      </c>
      <c r="F1169">
        <v>0</v>
      </c>
    </row>
    <row r="1170" spans="1:6" x14ac:dyDescent="0.15">
      <c r="A1170" t="s">
        <v>210</v>
      </c>
      <c r="B1170" s="226">
        <v>42308.01278646991</v>
      </c>
      <c r="C1170" t="s">
        <v>1403</v>
      </c>
      <c r="D1170" t="s">
        <v>13</v>
      </c>
      <c r="E1170">
        <v>60</v>
      </c>
      <c r="F1170">
        <v>0</v>
      </c>
    </row>
    <row r="1171" spans="1:6" x14ac:dyDescent="0.15">
      <c r="A1171" t="s">
        <v>210</v>
      </c>
      <c r="B1171" s="226">
        <v>42308.231943379629</v>
      </c>
      <c r="C1171" t="s">
        <v>1404</v>
      </c>
      <c r="D1171" t="s">
        <v>13</v>
      </c>
      <c r="E1171">
        <v>60</v>
      </c>
      <c r="F1171">
        <v>0</v>
      </c>
    </row>
    <row r="1172" spans="1:6" x14ac:dyDescent="0.15">
      <c r="A1172" t="s">
        <v>210</v>
      </c>
      <c r="B1172" s="226">
        <v>42308.316072534719</v>
      </c>
      <c r="C1172" t="s">
        <v>1405</v>
      </c>
      <c r="D1172" t="s">
        <v>13</v>
      </c>
      <c r="E1172">
        <v>100</v>
      </c>
      <c r="F1172">
        <v>0</v>
      </c>
    </row>
    <row r="1173" spans="1:6" x14ac:dyDescent="0.15">
      <c r="A1173" t="s">
        <v>210</v>
      </c>
      <c r="B1173" s="226">
        <v>42308.320901805557</v>
      </c>
      <c r="C1173" t="s">
        <v>1406</v>
      </c>
      <c r="D1173" t="s">
        <v>13</v>
      </c>
      <c r="E1173">
        <v>40</v>
      </c>
      <c r="F1173">
        <v>0</v>
      </c>
    </row>
    <row r="1174" spans="1:6" x14ac:dyDescent="0.15">
      <c r="A1174" t="s">
        <v>210</v>
      </c>
      <c r="B1174" s="226">
        <v>42308.325861319441</v>
      </c>
      <c r="C1174" t="s">
        <v>1407</v>
      </c>
      <c r="D1174" t="s">
        <v>13</v>
      </c>
      <c r="E1174">
        <v>100</v>
      </c>
      <c r="F1174">
        <v>0</v>
      </c>
    </row>
    <row r="1175" spans="1:6" x14ac:dyDescent="0.15">
      <c r="A1175" t="s">
        <v>210</v>
      </c>
      <c r="B1175" s="226">
        <v>42308.329753113423</v>
      </c>
      <c r="C1175" t="s">
        <v>1408</v>
      </c>
      <c r="D1175" t="s">
        <v>13</v>
      </c>
      <c r="E1175">
        <v>100</v>
      </c>
      <c r="F1175">
        <v>0</v>
      </c>
    </row>
    <row r="1176" spans="1:6" x14ac:dyDescent="0.15">
      <c r="A1176" t="s">
        <v>210</v>
      </c>
      <c r="B1176" s="226">
        <v>42308.363469016207</v>
      </c>
      <c r="C1176" t="s">
        <v>1309</v>
      </c>
      <c r="D1176" t="s">
        <v>13</v>
      </c>
      <c r="E1176">
        <v>140</v>
      </c>
      <c r="F1176">
        <v>0</v>
      </c>
    </row>
    <row r="1177" spans="1:6" x14ac:dyDescent="0.15">
      <c r="A1177" t="s">
        <v>210</v>
      </c>
      <c r="B1177" s="226">
        <v>42308.385422349536</v>
      </c>
      <c r="C1177" t="s">
        <v>14</v>
      </c>
      <c r="D1177" t="s">
        <v>13</v>
      </c>
      <c r="E1177">
        <v>100</v>
      </c>
      <c r="F1177">
        <v>3.5</v>
      </c>
    </row>
    <row r="1178" spans="1:6" x14ac:dyDescent="0.15">
      <c r="A1178" t="s">
        <v>210</v>
      </c>
      <c r="B1178" s="226">
        <v>42308.389141539352</v>
      </c>
      <c r="C1178" t="s">
        <v>1409</v>
      </c>
      <c r="D1178" t="s">
        <v>13</v>
      </c>
      <c r="E1178">
        <v>40</v>
      </c>
      <c r="F1178">
        <v>0</v>
      </c>
    </row>
    <row r="1179" spans="1:6" x14ac:dyDescent="0.15">
      <c r="A1179" t="s">
        <v>210</v>
      </c>
      <c r="B1179" s="226">
        <v>42308.399890509259</v>
      </c>
      <c r="C1179" t="s">
        <v>14</v>
      </c>
      <c r="D1179" t="s">
        <v>13</v>
      </c>
      <c r="E1179">
        <v>20</v>
      </c>
      <c r="F1179">
        <v>3.5</v>
      </c>
    </row>
    <row r="1180" spans="1:6" x14ac:dyDescent="0.15">
      <c r="A1180" t="s">
        <v>210</v>
      </c>
      <c r="B1180" s="226">
        <v>42308.417452615744</v>
      </c>
      <c r="C1180" t="s">
        <v>1410</v>
      </c>
      <c r="D1180" t="s">
        <v>13</v>
      </c>
      <c r="E1180">
        <v>100</v>
      </c>
      <c r="F1180">
        <v>0</v>
      </c>
    </row>
    <row r="1181" spans="1:6" x14ac:dyDescent="0.15">
      <c r="A1181" t="s">
        <v>210</v>
      </c>
      <c r="B1181" s="226">
        <v>42308.484215636578</v>
      </c>
      <c r="C1181" t="s">
        <v>1411</v>
      </c>
      <c r="D1181" t="s">
        <v>13</v>
      </c>
      <c r="E1181">
        <v>100</v>
      </c>
      <c r="F1181">
        <v>0</v>
      </c>
    </row>
    <row r="1182" spans="1:6" x14ac:dyDescent="0.15">
      <c r="A1182" t="s">
        <v>210</v>
      </c>
      <c r="B1182" s="226">
        <v>42308.501315729169</v>
      </c>
      <c r="C1182" t="s">
        <v>1412</v>
      </c>
      <c r="D1182" t="s">
        <v>13</v>
      </c>
      <c r="E1182">
        <v>60</v>
      </c>
      <c r="F1182">
        <v>0</v>
      </c>
    </row>
    <row r="1183" spans="1:6" x14ac:dyDescent="0.15">
      <c r="A1183" t="s">
        <v>210</v>
      </c>
      <c r="B1183" s="226">
        <v>42308.530048483794</v>
      </c>
      <c r="C1183" t="s">
        <v>394</v>
      </c>
      <c r="D1183" t="s">
        <v>13</v>
      </c>
      <c r="E1183">
        <v>200</v>
      </c>
      <c r="F1183">
        <v>0</v>
      </c>
    </row>
    <row r="1184" spans="1:6" x14ac:dyDescent="0.15">
      <c r="A1184" t="s">
        <v>210</v>
      </c>
      <c r="B1184" s="226">
        <v>42308.553633668984</v>
      </c>
      <c r="C1184" t="s">
        <v>1263</v>
      </c>
      <c r="D1184" t="s">
        <v>13</v>
      </c>
      <c r="E1184">
        <v>100</v>
      </c>
      <c r="F1184">
        <v>0</v>
      </c>
    </row>
    <row r="1185" spans="1:6" x14ac:dyDescent="0.15">
      <c r="A1185" t="s">
        <v>210</v>
      </c>
      <c r="B1185" s="226">
        <v>42308.5661562963</v>
      </c>
      <c r="C1185" t="s">
        <v>1413</v>
      </c>
      <c r="D1185" t="s">
        <v>13</v>
      </c>
      <c r="E1185">
        <v>40</v>
      </c>
      <c r="F1185">
        <v>0</v>
      </c>
    </row>
    <row r="1186" spans="1:6" x14ac:dyDescent="0.15">
      <c r="A1186" t="s">
        <v>210</v>
      </c>
      <c r="B1186" s="226">
        <v>42308.571580462965</v>
      </c>
      <c r="C1186" t="s">
        <v>1414</v>
      </c>
      <c r="D1186" t="s">
        <v>13</v>
      </c>
      <c r="E1186">
        <v>100</v>
      </c>
      <c r="F1186">
        <v>0</v>
      </c>
    </row>
    <row r="1187" spans="1:6" x14ac:dyDescent="0.15">
      <c r="A1187" t="s">
        <v>210</v>
      </c>
      <c r="B1187" s="226">
        <v>42308.599863067131</v>
      </c>
      <c r="C1187" t="s">
        <v>1237</v>
      </c>
      <c r="D1187" t="s">
        <v>13</v>
      </c>
      <c r="E1187">
        <v>200</v>
      </c>
      <c r="F1187">
        <v>0</v>
      </c>
    </row>
    <row r="1188" spans="1:6" x14ac:dyDescent="0.15">
      <c r="A1188" t="s">
        <v>210</v>
      </c>
      <c r="B1188" s="226">
        <v>42308.608214490741</v>
      </c>
      <c r="C1188" t="s">
        <v>14</v>
      </c>
      <c r="D1188" t="s">
        <v>13</v>
      </c>
      <c r="E1188">
        <v>100</v>
      </c>
      <c r="F1188">
        <v>3.5</v>
      </c>
    </row>
    <row r="1189" spans="1:6" x14ac:dyDescent="0.15">
      <c r="A1189" t="s">
        <v>210</v>
      </c>
      <c r="B1189" s="226">
        <v>42308.610140567129</v>
      </c>
      <c r="C1189" t="s">
        <v>1415</v>
      </c>
      <c r="D1189" t="s">
        <v>13</v>
      </c>
      <c r="E1189">
        <v>100</v>
      </c>
      <c r="F1189">
        <v>0</v>
      </c>
    </row>
    <row r="1190" spans="1:6" x14ac:dyDescent="0.15">
      <c r="A1190" t="s">
        <v>210</v>
      </c>
      <c r="B1190" s="226">
        <v>42308.646123020837</v>
      </c>
      <c r="C1190" t="s">
        <v>1416</v>
      </c>
      <c r="D1190" t="s">
        <v>13</v>
      </c>
      <c r="E1190">
        <v>40</v>
      </c>
      <c r="F1190">
        <v>0</v>
      </c>
    </row>
    <row r="1191" spans="1:6" x14ac:dyDescent="0.15">
      <c r="A1191" t="s">
        <v>210</v>
      </c>
      <c r="B1191" s="226">
        <v>42308.663279247688</v>
      </c>
      <c r="C1191" t="s">
        <v>1417</v>
      </c>
      <c r="D1191" t="s">
        <v>13</v>
      </c>
      <c r="E1191">
        <v>100</v>
      </c>
      <c r="F1191">
        <v>0</v>
      </c>
    </row>
    <row r="1192" spans="1:6" x14ac:dyDescent="0.15">
      <c r="A1192" t="s">
        <v>210</v>
      </c>
      <c r="B1192" s="226">
        <v>42308.663930324074</v>
      </c>
      <c r="C1192" t="s">
        <v>650</v>
      </c>
      <c r="D1192" t="s">
        <v>13</v>
      </c>
      <c r="E1192">
        <v>200</v>
      </c>
      <c r="F1192">
        <v>0</v>
      </c>
    </row>
    <row r="1193" spans="1:6" x14ac:dyDescent="0.15">
      <c r="A1193" t="s">
        <v>210</v>
      </c>
      <c r="B1193" s="226">
        <v>42308.694241886573</v>
      </c>
      <c r="C1193" t="s">
        <v>1418</v>
      </c>
      <c r="D1193" t="s">
        <v>13</v>
      </c>
      <c r="E1193">
        <v>60</v>
      </c>
      <c r="F1193">
        <v>0</v>
      </c>
    </row>
    <row r="1194" spans="1:6" x14ac:dyDescent="0.15">
      <c r="A1194" t="s">
        <v>210</v>
      </c>
      <c r="B1194" s="226">
        <v>42308.696964270835</v>
      </c>
      <c r="C1194" t="s">
        <v>1419</v>
      </c>
      <c r="D1194" t="s">
        <v>13</v>
      </c>
      <c r="E1194">
        <v>40</v>
      </c>
      <c r="F1194">
        <v>0</v>
      </c>
    </row>
    <row r="1195" spans="1:6" x14ac:dyDescent="0.15">
      <c r="A1195" t="s">
        <v>210</v>
      </c>
      <c r="B1195" s="226">
        <v>42308.698556238429</v>
      </c>
      <c r="C1195" t="s">
        <v>1420</v>
      </c>
      <c r="D1195" t="s">
        <v>13</v>
      </c>
      <c r="E1195">
        <v>40</v>
      </c>
      <c r="F1195">
        <v>0</v>
      </c>
    </row>
    <row r="1196" spans="1:6" x14ac:dyDescent="0.15">
      <c r="A1196" t="s">
        <v>210</v>
      </c>
      <c r="B1196" s="226">
        <v>42308.705256782407</v>
      </c>
      <c r="C1196" t="s">
        <v>1421</v>
      </c>
      <c r="D1196" t="s">
        <v>13</v>
      </c>
      <c r="E1196">
        <v>20</v>
      </c>
      <c r="F1196">
        <v>0</v>
      </c>
    </row>
    <row r="1197" spans="1:6" x14ac:dyDescent="0.15">
      <c r="A1197" t="s">
        <v>210</v>
      </c>
      <c r="B1197" s="226">
        <v>42308.708766076386</v>
      </c>
      <c r="C1197" t="s">
        <v>1332</v>
      </c>
      <c r="D1197" t="s">
        <v>13</v>
      </c>
      <c r="E1197">
        <v>80</v>
      </c>
      <c r="F1197">
        <v>0</v>
      </c>
    </row>
    <row r="1198" spans="1:6" x14ac:dyDescent="0.15">
      <c r="A1198" t="s">
        <v>210</v>
      </c>
      <c r="B1198" s="226">
        <v>42308.731404999999</v>
      </c>
      <c r="C1198" t="s">
        <v>14</v>
      </c>
      <c r="D1198" t="s">
        <v>15</v>
      </c>
      <c r="E1198">
        <v>100</v>
      </c>
      <c r="F1198">
        <v>5.5</v>
      </c>
    </row>
    <row r="1199" spans="1:6" x14ac:dyDescent="0.15">
      <c r="A1199" t="s">
        <v>210</v>
      </c>
      <c r="B1199" s="226">
        <v>42308.733674131945</v>
      </c>
      <c r="C1199" t="s">
        <v>1422</v>
      </c>
      <c r="D1199" t="s">
        <v>15</v>
      </c>
      <c r="E1199">
        <v>20</v>
      </c>
      <c r="F1199">
        <v>0.6</v>
      </c>
    </row>
    <row r="1200" spans="1:6" x14ac:dyDescent="0.15">
      <c r="A1200" t="s">
        <v>210</v>
      </c>
      <c r="B1200" s="226">
        <v>42308.746993148146</v>
      </c>
      <c r="C1200" t="s">
        <v>1423</v>
      </c>
      <c r="D1200" t="s">
        <v>13</v>
      </c>
      <c r="E1200">
        <v>40</v>
      </c>
      <c r="F1200">
        <v>0</v>
      </c>
    </row>
    <row r="1201" spans="1:6" x14ac:dyDescent="0.15">
      <c r="A1201" t="s">
        <v>210</v>
      </c>
      <c r="B1201" s="226">
        <v>42308.747499016201</v>
      </c>
      <c r="C1201" t="s">
        <v>14</v>
      </c>
      <c r="D1201" t="s">
        <v>13</v>
      </c>
      <c r="E1201">
        <v>100</v>
      </c>
      <c r="F1201">
        <v>3.5</v>
      </c>
    </row>
    <row r="1202" spans="1:6" x14ac:dyDescent="0.15">
      <c r="A1202" t="s">
        <v>210</v>
      </c>
      <c r="B1202" s="226">
        <v>42308.760149479167</v>
      </c>
      <c r="C1202" t="s">
        <v>14</v>
      </c>
      <c r="D1202" t="s">
        <v>13</v>
      </c>
      <c r="E1202">
        <v>200</v>
      </c>
      <c r="F1202">
        <v>3.5</v>
      </c>
    </row>
    <row r="1203" spans="1:6" x14ac:dyDescent="0.15">
      <c r="A1203" t="s">
        <v>210</v>
      </c>
      <c r="B1203" s="226">
        <v>42308.796178298609</v>
      </c>
      <c r="C1203" t="s">
        <v>1424</v>
      </c>
      <c r="D1203" t="s">
        <v>13</v>
      </c>
      <c r="E1203">
        <v>40</v>
      </c>
      <c r="F1203">
        <v>0</v>
      </c>
    </row>
    <row r="1204" spans="1:6" x14ac:dyDescent="0.15">
      <c r="A1204" t="s">
        <v>210</v>
      </c>
      <c r="B1204" s="226">
        <v>42308.813482523146</v>
      </c>
      <c r="C1204" t="s">
        <v>1425</v>
      </c>
      <c r="D1204" t="s">
        <v>13</v>
      </c>
      <c r="E1204">
        <v>100</v>
      </c>
      <c r="F1204">
        <v>0</v>
      </c>
    </row>
    <row r="1205" spans="1:6" x14ac:dyDescent="0.15">
      <c r="A1205" t="s">
        <v>210</v>
      </c>
      <c r="B1205" s="226">
        <v>42308.822792743056</v>
      </c>
      <c r="C1205" t="s">
        <v>14</v>
      </c>
      <c r="D1205" t="s">
        <v>13</v>
      </c>
      <c r="E1205">
        <v>100</v>
      </c>
      <c r="F1205">
        <v>3.5</v>
      </c>
    </row>
    <row r="1206" spans="1:6" x14ac:dyDescent="0.15">
      <c r="A1206" t="s">
        <v>210</v>
      </c>
      <c r="B1206" s="226">
        <v>42308.876256967589</v>
      </c>
      <c r="C1206" t="s">
        <v>1218</v>
      </c>
      <c r="D1206" t="s">
        <v>13</v>
      </c>
      <c r="E1206">
        <v>100</v>
      </c>
      <c r="F1206">
        <v>0</v>
      </c>
    </row>
    <row r="1207" spans="1:6" x14ac:dyDescent="0.15">
      <c r="A1207" t="s">
        <v>210</v>
      </c>
      <c r="B1207" s="226">
        <v>42308.889190509261</v>
      </c>
      <c r="C1207" t="s">
        <v>1375</v>
      </c>
      <c r="D1207" t="s">
        <v>13</v>
      </c>
      <c r="E1207">
        <v>40</v>
      </c>
      <c r="F1207">
        <v>0</v>
      </c>
    </row>
    <row r="1208" spans="1:6" x14ac:dyDescent="0.15">
      <c r="A1208" t="s">
        <v>210</v>
      </c>
      <c r="B1208" s="226">
        <v>42308.923214872688</v>
      </c>
      <c r="C1208" t="s">
        <v>1426</v>
      </c>
      <c r="D1208" t="s">
        <v>13</v>
      </c>
      <c r="E1208">
        <v>320</v>
      </c>
      <c r="F1208">
        <v>0</v>
      </c>
    </row>
    <row r="1209" spans="1:6" x14ac:dyDescent="0.15">
      <c r="A1209" t="s">
        <v>210</v>
      </c>
      <c r="B1209" s="226">
        <v>42308.937959791663</v>
      </c>
      <c r="C1209" t="s">
        <v>1427</v>
      </c>
      <c r="D1209" t="s">
        <v>13</v>
      </c>
      <c r="E1209">
        <v>40</v>
      </c>
      <c r="F1209">
        <v>0</v>
      </c>
    </row>
    <row r="1210" spans="1:6" x14ac:dyDescent="0.15">
      <c r="A1210" t="s">
        <v>210</v>
      </c>
      <c r="B1210" s="226">
        <v>42309.397056550923</v>
      </c>
      <c r="C1210" t="s">
        <v>1428</v>
      </c>
      <c r="D1210" t="s">
        <v>13</v>
      </c>
      <c r="E1210">
        <v>60</v>
      </c>
      <c r="F1210">
        <v>0</v>
      </c>
    </row>
    <row r="1211" spans="1:6" x14ac:dyDescent="0.15">
      <c r="A1211" t="s">
        <v>210</v>
      </c>
      <c r="B1211" s="226">
        <v>42309.421230092594</v>
      </c>
      <c r="C1211" t="s">
        <v>1429</v>
      </c>
      <c r="D1211" t="s">
        <v>13</v>
      </c>
      <c r="E1211">
        <v>40</v>
      </c>
      <c r="F1211">
        <v>0</v>
      </c>
    </row>
    <row r="1212" spans="1:6" x14ac:dyDescent="0.15">
      <c r="A1212" t="s">
        <v>210</v>
      </c>
      <c r="B1212" s="226">
        <v>42309.451609675925</v>
      </c>
      <c r="C1212" t="s">
        <v>395</v>
      </c>
      <c r="D1212" t="s">
        <v>13</v>
      </c>
      <c r="E1212">
        <v>100</v>
      </c>
      <c r="F1212">
        <v>0</v>
      </c>
    </row>
    <row r="1213" spans="1:6" x14ac:dyDescent="0.15">
      <c r="A1213" t="s">
        <v>210</v>
      </c>
      <c r="B1213" s="226">
        <v>42309.469056678237</v>
      </c>
      <c r="C1213" t="s">
        <v>1430</v>
      </c>
      <c r="D1213" t="s">
        <v>13</v>
      </c>
      <c r="E1213">
        <v>100</v>
      </c>
      <c r="F1213">
        <v>0</v>
      </c>
    </row>
    <row r="1214" spans="1:6" x14ac:dyDescent="0.15">
      <c r="A1214" t="s">
        <v>210</v>
      </c>
      <c r="B1214" s="226">
        <v>42309.504895347221</v>
      </c>
      <c r="C1214" t="s">
        <v>14</v>
      </c>
      <c r="D1214" t="s">
        <v>13</v>
      </c>
      <c r="E1214">
        <v>200</v>
      </c>
      <c r="F1214">
        <v>3.5</v>
      </c>
    </row>
    <row r="1215" spans="1:6" x14ac:dyDescent="0.15">
      <c r="A1215" t="s">
        <v>210</v>
      </c>
      <c r="B1215" s="226">
        <v>42309.532642627317</v>
      </c>
      <c r="C1215" t="s">
        <v>192</v>
      </c>
      <c r="D1215" t="s">
        <v>13</v>
      </c>
      <c r="E1215">
        <v>100</v>
      </c>
      <c r="F1215">
        <v>0</v>
      </c>
    </row>
    <row r="1216" spans="1:6" x14ac:dyDescent="0.15">
      <c r="A1216" t="s">
        <v>210</v>
      </c>
      <c r="B1216" s="226">
        <v>42309.541921840275</v>
      </c>
      <c r="C1216" t="s">
        <v>1431</v>
      </c>
      <c r="D1216" t="s">
        <v>13</v>
      </c>
      <c r="E1216">
        <v>40</v>
      </c>
      <c r="F1216">
        <v>0</v>
      </c>
    </row>
    <row r="1217" spans="1:6" x14ac:dyDescent="0.15">
      <c r="A1217" t="s">
        <v>210</v>
      </c>
      <c r="B1217" s="226">
        <v>42309.543247314818</v>
      </c>
      <c r="C1217" t="s">
        <v>14</v>
      </c>
      <c r="D1217" t="s">
        <v>15</v>
      </c>
      <c r="E1217">
        <v>40</v>
      </c>
      <c r="F1217">
        <v>3.7</v>
      </c>
    </row>
    <row r="1218" spans="1:6" x14ac:dyDescent="0.15">
      <c r="A1218" t="s">
        <v>210</v>
      </c>
      <c r="B1218" s="226">
        <v>42309.543848379632</v>
      </c>
      <c r="C1218" t="s">
        <v>14</v>
      </c>
      <c r="D1218" t="s">
        <v>13</v>
      </c>
      <c r="E1218">
        <v>100</v>
      </c>
      <c r="F1218">
        <v>3.5</v>
      </c>
    </row>
    <row r="1219" spans="1:6" x14ac:dyDescent="0.15">
      <c r="A1219" t="s">
        <v>210</v>
      </c>
      <c r="B1219" s="226">
        <v>42309.547651354165</v>
      </c>
      <c r="C1219" t="s">
        <v>1432</v>
      </c>
      <c r="D1219" t="s">
        <v>13</v>
      </c>
      <c r="E1219">
        <v>100</v>
      </c>
      <c r="F1219">
        <v>0</v>
      </c>
    </row>
    <row r="1220" spans="1:6" x14ac:dyDescent="0.15">
      <c r="A1220" t="s">
        <v>210</v>
      </c>
      <c r="B1220" s="226">
        <v>42309.552081747686</v>
      </c>
      <c r="C1220" t="s">
        <v>1101</v>
      </c>
      <c r="D1220" t="s">
        <v>13</v>
      </c>
      <c r="E1220">
        <v>140</v>
      </c>
      <c r="F1220">
        <v>0</v>
      </c>
    </row>
    <row r="1221" spans="1:6" x14ac:dyDescent="0.15">
      <c r="A1221" t="s">
        <v>210</v>
      </c>
      <c r="B1221" s="226">
        <v>42309.552775810182</v>
      </c>
      <c r="C1221" t="s">
        <v>14</v>
      </c>
      <c r="D1221" t="s">
        <v>13</v>
      </c>
      <c r="E1221">
        <v>100</v>
      </c>
      <c r="F1221">
        <v>3.5</v>
      </c>
    </row>
    <row r="1222" spans="1:6" x14ac:dyDescent="0.15">
      <c r="A1222" t="s">
        <v>210</v>
      </c>
      <c r="B1222" s="226">
        <v>42309.574824374999</v>
      </c>
      <c r="C1222" t="s">
        <v>1264</v>
      </c>
      <c r="D1222" t="s">
        <v>13</v>
      </c>
      <c r="E1222">
        <v>120</v>
      </c>
      <c r="F1222">
        <v>0</v>
      </c>
    </row>
    <row r="1223" spans="1:6" x14ac:dyDescent="0.15">
      <c r="A1223" t="s">
        <v>210</v>
      </c>
      <c r="B1223" s="226">
        <v>42309.579249456016</v>
      </c>
      <c r="C1223" t="s">
        <v>1433</v>
      </c>
      <c r="D1223" t="s">
        <v>13</v>
      </c>
      <c r="E1223">
        <v>100</v>
      </c>
      <c r="F1223">
        <v>0</v>
      </c>
    </row>
    <row r="1224" spans="1:6" x14ac:dyDescent="0.15">
      <c r="A1224" t="s">
        <v>210</v>
      </c>
      <c r="B1224" s="226">
        <v>42309.581724606483</v>
      </c>
      <c r="C1224" t="s">
        <v>1434</v>
      </c>
      <c r="D1224" t="s">
        <v>13</v>
      </c>
      <c r="E1224">
        <v>80</v>
      </c>
      <c r="F1224">
        <v>0</v>
      </c>
    </row>
    <row r="1225" spans="1:6" x14ac:dyDescent="0.15">
      <c r="A1225" t="s">
        <v>210</v>
      </c>
      <c r="B1225" s="226">
        <v>42309.589275706021</v>
      </c>
      <c r="C1225" t="s">
        <v>910</v>
      </c>
      <c r="D1225" t="s">
        <v>13</v>
      </c>
      <c r="E1225">
        <v>20</v>
      </c>
      <c r="F1225">
        <v>0</v>
      </c>
    </row>
    <row r="1226" spans="1:6" x14ac:dyDescent="0.15">
      <c r="A1226" t="s">
        <v>210</v>
      </c>
      <c r="B1226" s="226">
        <v>42309.603599872687</v>
      </c>
      <c r="C1226" t="s">
        <v>1435</v>
      </c>
      <c r="D1226" t="s">
        <v>13</v>
      </c>
      <c r="E1226">
        <v>100</v>
      </c>
      <c r="F1226">
        <v>0</v>
      </c>
    </row>
    <row r="1227" spans="1:6" x14ac:dyDescent="0.15">
      <c r="A1227" t="s">
        <v>210</v>
      </c>
      <c r="B1227" s="226">
        <v>42309.607131307872</v>
      </c>
      <c r="C1227" t="s">
        <v>1436</v>
      </c>
      <c r="D1227" t="s">
        <v>13</v>
      </c>
      <c r="E1227">
        <v>60</v>
      </c>
      <c r="F1227">
        <v>0</v>
      </c>
    </row>
    <row r="1228" spans="1:6" x14ac:dyDescent="0.15">
      <c r="A1228" t="s">
        <v>210</v>
      </c>
      <c r="B1228" s="226">
        <v>42309.635366331022</v>
      </c>
      <c r="C1228" t="s">
        <v>396</v>
      </c>
      <c r="D1228" t="s">
        <v>13</v>
      </c>
      <c r="E1228">
        <v>140</v>
      </c>
      <c r="F1228">
        <v>0</v>
      </c>
    </row>
    <row r="1229" spans="1:6" x14ac:dyDescent="0.15">
      <c r="A1229" t="s">
        <v>210</v>
      </c>
      <c r="B1229" s="226">
        <v>42309.652691782409</v>
      </c>
      <c r="C1229" t="s">
        <v>1437</v>
      </c>
      <c r="D1229" t="s">
        <v>13</v>
      </c>
      <c r="E1229">
        <v>80</v>
      </c>
      <c r="F1229">
        <v>0</v>
      </c>
    </row>
    <row r="1230" spans="1:6" x14ac:dyDescent="0.15">
      <c r="A1230" t="s">
        <v>210</v>
      </c>
      <c r="B1230" s="226">
        <v>42309.66648482639</v>
      </c>
      <c r="C1230" t="s">
        <v>1438</v>
      </c>
      <c r="D1230" t="s">
        <v>15</v>
      </c>
      <c r="E1230">
        <v>300</v>
      </c>
      <c r="F1230">
        <v>9</v>
      </c>
    </row>
    <row r="1231" spans="1:6" x14ac:dyDescent="0.15">
      <c r="A1231" t="s">
        <v>210</v>
      </c>
      <c r="B1231" s="226">
        <v>42309.695726886574</v>
      </c>
      <c r="C1231" t="s">
        <v>1439</v>
      </c>
      <c r="D1231" t="s">
        <v>13</v>
      </c>
      <c r="E1231">
        <v>100</v>
      </c>
      <c r="F1231">
        <v>0</v>
      </c>
    </row>
    <row r="1232" spans="1:6" x14ac:dyDescent="0.15">
      <c r="A1232" t="s">
        <v>210</v>
      </c>
      <c r="B1232" s="226">
        <v>42309.700259178244</v>
      </c>
      <c r="C1232" t="s">
        <v>1440</v>
      </c>
      <c r="D1232" t="s">
        <v>13</v>
      </c>
      <c r="E1232">
        <v>20</v>
      </c>
      <c r="F1232">
        <v>0</v>
      </c>
    </row>
    <row r="1233" spans="1:6" x14ac:dyDescent="0.15">
      <c r="A1233" t="s">
        <v>210</v>
      </c>
      <c r="B1233" s="226">
        <v>42309.745679143518</v>
      </c>
      <c r="C1233" t="s">
        <v>1441</v>
      </c>
      <c r="D1233" t="s">
        <v>13</v>
      </c>
      <c r="E1233">
        <v>60</v>
      </c>
      <c r="F1233">
        <v>0</v>
      </c>
    </row>
    <row r="1234" spans="1:6" x14ac:dyDescent="0.15">
      <c r="A1234" t="s">
        <v>210</v>
      </c>
      <c r="B1234" s="226">
        <v>42309.791403391202</v>
      </c>
      <c r="C1234" t="s">
        <v>14</v>
      </c>
      <c r="D1234" t="s">
        <v>13</v>
      </c>
      <c r="E1234">
        <v>40</v>
      </c>
      <c r="F1234">
        <v>3.5</v>
      </c>
    </row>
    <row r="1235" spans="1:6" x14ac:dyDescent="0.15">
      <c r="A1235" t="s">
        <v>210</v>
      </c>
      <c r="B1235" s="226">
        <v>42309.865395266206</v>
      </c>
      <c r="C1235" t="s">
        <v>1042</v>
      </c>
      <c r="D1235" t="s">
        <v>13</v>
      </c>
      <c r="E1235">
        <v>100</v>
      </c>
      <c r="F1235">
        <v>0</v>
      </c>
    </row>
    <row r="1236" spans="1:6" x14ac:dyDescent="0.15">
      <c r="A1236" t="s">
        <v>210</v>
      </c>
      <c r="B1236" s="226">
        <v>42309.907679074073</v>
      </c>
      <c r="C1236" t="s">
        <v>1442</v>
      </c>
      <c r="D1236" t="s">
        <v>13</v>
      </c>
      <c r="E1236">
        <v>100</v>
      </c>
      <c r="F1236">
        <v>0</v>
      </c>
    </row>
    <row r="1237" spans="1:6" x14ac:dyDescent="0.15">
      <c r="A1237" t="s">
        <v>210</v>
      </c>
      <c r="B1237" s="226">
        <v>42310.16778635417</v>
      </c>
      <c r="C1237" t="s">
        <v>168</v>
      </c>
      <c r="D1237" t="s">
        <v>13</v>
      </c>
      <c r="E1237">
        <v>100</v>
      </c>
      <c r="F1237">
        <v>0</v>
      </c>
    </row>
    <row r="1238" spans="1:6" x14ac:dyDescent="0.15">
      <c r="A1238" t="s">
        <v>210</v>
      </c>
      <c r="B1238" s="226">
        <v>42310.282732199077</v>
      </c>
      <c r="C1238" t="s">
        <v>1443</v>
      </c>
      <c r="D1238" t="s">
        <v>13</v>
      </c>
      <c r="E1238">
        <v>40</v>
      </c>
      <c r="F1238">
        <v>0</v>
      </c>
    </row>
    <row r="1239" spans="1:6" x14ac:dyDescent="0.15">
      <c r="A1239" t="s">
        <v>210</v>
      </c>
      <c r="B1239" s="226">
        <v>42310.303098958335</v>
      </c>
      <c r="C1239" t="s">
        <v>83</v>
      </c>
      <c r="D1239" t="s">
        <v>13</v>
      </c>
      <c r="E1239">
        <v>40</v>
      </c>
      <c r="F1239">
        <v>0</v>
      </c>
    </row>
    <row r="1240" spans="1:6" x14ac:dyDescent="0.15">
      <c r="A1240" t="s">
        <v>210</v>
      </c>
      <c r="B1240" s="226">
        <v>42310.321333067128</v>
      </c>
      <c r="C1240" t="s">
        <v>397</v>
      </c>
      <c r="D1240" t="s">
        <v>13</v>
      </c>
      <c r="E1240">
        <v>60</v>
      </c>
      <c r="F1240">
        <v>0</v>
      </c>
    </row>
    <row r="1241" spans="1:6" x14ac:dyDescent="0.15">
      <c r="A1241" t="s">
        <v>210</v>
      </c>
      <c r="B1241" s="226">
        <v>42310.354596203702</v>
      </c>
      <c r="C1241" t="s">
        <v>14</v>
      </c>
      <c r="D1241" t="s">
        <v>13</v>
      </c>
      <c r="E1241">
        <v>100</v>
      </c>
      <c r="F1241">
        <v>3.5</v>
      </c>
    </row>
    <row r="1242" spans="1:6" x14ac:dyDescent="0.15">
      <c r="A1242" t="s">
        <v>210</v>
      </c>
      <c r="B1242" s="226">
        <v>42310.359498784725</v>
      </c>
      <c r="C1242" t="s">
        <v>1444</v>
      </c>
      <c r="D1242" t="s">
        <v>13</v>
      </c>
      <c r="E1242">
        <v>20</v>
      </c>
      <c r="F1242">
        <v>0</v>
      </c>
    </row>
    <row r="1243" spans="1:6" x14ac:dyDescent="0.15">
      <c r="A1243" t="s">
        <v>210</v>
      </c>
      <c r="B1243" s="226">
        <v>42310.380227835645</v>
      </c>
      <c r="C1243" t="s">
        <v>1445</v>
      </c>
      <c r="D1243" t="s">
        <v>13</v>
      </c>
      <c r="E1243">
        <v>400</v>
      </c>
      <c r="F1243">
        <v>0</v>
      </c>
    </row>
    <row r="1244" spans="1:6" x14ac:dyDescent="0.15">
      <c r="A1244" t="s">
        <v>210</v>
      </c>
      <c r="B1244" s="226">
        <v>42310.380985185184</v>
      </c>
      <c r="C1244" t="s">
        <v>170</v>
      </c>
      <c r="D1244" t="s">
        <v>13</v>
      </c>
      <c r="E1244">
        <v>40</v>
      </c>
      <c r="F1244">
        <v>0</v>
      </c>
    </row>
    <row r="1245" spans="1:6" x14ac:dyDescent="0.15">
      <c r="A1245" t="s">
        <v>210</v>
      </c>
      <c r="B1245" s="226">
        <v>42310.382980104165</v>
      </c>
      <c r="C1245" t="s">
        <v>1446</v>
      </c>
      <c r="D1245" t="s">
        <v>13</v>
      </c>
      <c r="E1245">
        <v>100</v>
      </c>
      <c r="F1245">
        <v>0</v>
      </c>
    </row>
    <row r="1246" spans="1:6" x14ac:dyDescent="0.15">
      <c r="A1246" t="s">
        <v>210</v>
      </c>
      <c r="B1246" s="226">
        <v>42310.412548043983</v>
      </c>
      <c r="C1246" t="s">
        <v>398</v>
      </c>
      <c r="D1246" t="s">
        <v>13</v>
      </c>
      <c r="E1246">
        <v>100</v>
      </c>
      <c r="F1246">
        <v>0</v>
      </c>
    </row>
    <row r="1247" spans="1:6" x14ac:dyDescent="0.15">
      <c r="A1247" t="s">
        <v>210</v>
      </c>
      <c r="B1247" s="226">
        <v>42310.457923796297</v>
      </c>
      <c r="C1247" t="s">
        <v>1447</v>
      </c>
      <c r="D1247" t="s">
        <v>15</v>
      </c>
      <c r="E1247">
        <v>120</v>
      </c>
      <c r="F1247">
        <v>3.6</v>
      </c>
    </row>
    <row r="1248" spans="1:6" x14ac:dyDescent="0.15">
      <c r="A1248" t="s">
        <v>210</v>
      </c>
      <c r="B1248" s="226">
        <v>42310.463082986113</v>
      </c>
      <c r="C1248" t="s">
        <v>836</v>
      </c>
      <c r="D1248" t="s">
        <v>13</v>
      </c>
      <c r="E1248">
        <v>100</v>
      </c>
      <c r="F1248">
        <v>0</v>
      </c>
    </row>
    <row r="1249" spans="1:6" x14ac:dyDescent="0.15">
      <c r="A1249" t="s">
        <v>210</v>
      </c>
      <c r="B1249" s="226">
        <v>42310.469717870372</v>
      </c>
      <c r="C1249" t="s">
        <v>1134</v>
      </c>
      <c r="D1249" t="s">
        <v>13</v>
      </c>
      <c r="E1249">
        <v>140</v>
      </c>
      <c r="F1249">
        <v>0</v>
      </c>
    </row>
    <row r="1250" spans="1:6" x14ac:dyDescent="0.15">
      <c r="A1250" t="s">
        <v>210</v>
      </c>
      <c r="B1250" s="226">
        <v>42310.475084722224</v>
      </c>
      <c r="C1250" t="s">
        <v>1448</v>
      </c>
      <c r="D1250" t="s">
        <v>13</v>
      </c>
      <c r="E1250">
        <v>80</v>
      </c>
      <c r="F1250">
        <v>0</v>
      </c>
    </row>
    <row r="1251" spans="1:6" x14ac:dyDescent="0.15">
      <c r="A1251" t="s">
        <v>210</v>
      </c>
      <c r="B1251" s="226">
        <v>42310.479744895834</v>
      </c>
      <c r="C1251" t="s">
        <v>1449</v>
      </c>
      <c r="D1251" t="s">
        <v>15</v>
      </c>
      <c r="E1251">
        <v>500</v>
      </c>
      <c r="F1251">
        <v>15</v>
      </c>
    </row>
    <row r="1252" spans="1:6" x14ac:dyDescent="0.15">
      <c r="A1252" t="s">
        <v>210</v>
      </c>
      <c r="B1252" s="226">
        <v>42310.485717777781</v>
      </c>
      <c r="C1252" t="s">
        <v>1450</v>
      </c>
      <c r="D1252" t="s">
        <v>13</v>
      </c>
      <c r="E1252">
        <v>80</v>
      </c>
      <c r="F1252">
        <v>0</v>
      </c>
    </row>
    <row r="1253" spans="1:6" x14ac:dyDescent="0.15">
      <c r="A1253" t="s">
        <v>210</v>
      </c>
      <c r="B1253" s="226">
        <v>42310.504081562503</v>
      </c>
      <c r="C1253" t="s">
        <v>1451</v>
      </c>
      <c r="D1253" t="s">
        <v>13</v>
      </c>
      <c r="E1253">
        <v>60</v>
      </c>
      <c r="F1253">
        <v>0</v>
      </c>
    </row>
    <row r="1254" spans="1:6" x14ac:dyDescent="0.15">
      <c r="A1254" t="s">
        <v>210</v>
      </c>
      <c r="B1254" s="226">
        <v>42310.511811261575</v>
      </c>
      <c r="C1254" t="s">
        <v>1452</v>
      </c>
      <c r="D1254" t="s">
        <v>13</v>
      </c>
      <c r="E1254">
        <v>100</v>
      </c>
      <c r="F1254">
        <v>0</v>
      </c>
    </row>
    <row r="1255" spans="1:6" x14ac:dyDescent="0.15">
      <c r="A1255" t="s">
        <v>210</v>
      </c>
      <c r="B1255" s="226">
        <v>42310.513421331016</v>
      </c>
      <c r="C1255" t="s">
        <v>1453</v>
      </c>
      <c r="D1255" t="s">
        <v>13</v>
      </c>
      <c r="E1255">
        <v>60</v>
      </c>
      <c r="F1255">
        <v>0</v>
      </c>
    </row>
    <row r="1256" spans="1:6" x14ac:dyDescent="0.15">
      <c r="A1256" t="s">
        <v>210</v>
      </c>
      <c r="B1256" s="226">
        <v>42310.526211122684</v>
      </c>
      <c r="C1256" t="s">
        <v>1079</v>
      </c>
      <c r="D1256" t="s">
        <v>13</v>
      </c>
      <c r="E1256">
        <v>180</v>
      </c>
      <c r="F1256">
        <v>0</v>
      </c>
    </row>
    <row r="1257" spans="1:6" x14ac:dyDescent="0.15">
      <c r="A1257" t="s">
        <v>210</v>
      </c>
      <c r="B1257" s="226">
        <v>42310.533539456017</v>
      </c>
      <c r="C1257" t="s">
        <v>399</v>
      </c>
      <c r="D1257" t="s">
        <v>13</v>
      </c>
      <c r="E1257">
        <v>40</v>
      </c>
      <c r="F1257">
        <v>0</v>
      </c>
    </row>
    <row r="1258" spans="1:6" x14ac:dyDescent="0.15">
      <c r="A1258" t="s">
        <v>210</v>
      </c>
      <c r="B1258" s="226">
        <v>42310.536085729167</v>
      </c>
      <c r="C1258" t="s">
        <v>1454</v>
      </c>
      <c r="D1258" t="s">
        <v>13</v>
      </c>
      <c r="E1258">
        <v>100</v>
      </c>
      <c r="F1258">
        <v>0</v>
      </c>
    </row>
    <row r="1259" spans="1:6" x14ac:dyDescent="0.15">
      <c r="A1259" t="s">
        <v>210</v>
      </c>
      <c r="B1259" s="226">
        <v>42310.536812048609</v>
      </c>
      <c r="C1259" t="s">
        <v>1455</v>
      </c>
      <c r="D1259" t="s">
        <v>13</v>
      </c>
      <c r="E1259">
        <v>100</v>
      </c>
      <c r="F1259">
        <v>0</v>
      </c>
    </row>
    <row r="1260" spans="1:6" x14ac:dyDescent="0.15">
      <c r="A1260" t="s">
        <v>210</v>
      </c>
      <c r="B1260" s="226">
        <v>42310.538677557874</v>
      </c>
      <c r="C1260" t="s">
        <v>1456</v>
      </c>
      <c r="D1260" t="s">
        <v>13</v>
      </c>
      <c r="E1260">
        <v>20</v>
      </c>
      <c r="F1260">
        <v>0</v>
      </c>
    </row>
    <row r="1261" spans="1:6" x14ac:dyDescent="0.15">
      <c r="A1261" t="s">
        <v>210</v>
      </c>
      <c r="B1261" s="226">
        <v>42310.547086388891</v>
      </c>
      <c r="C1261" t="s">
        <v>1457</v>
      </c>
      <c r="D1261" t="s">
        <v>13</v>
      </c>
      <c r="E1261">
        <v>200</v>
      </c>
      <c r="F1261">
        <v>0</v>
      </c>
    </row>
    <row r="1262" spans="1:6" x14ac:dyDescent="0.15">
      <c r="A1262" t="s">
        <v>210</v>
      </c>
      <c r="B1262" s="226">
        <v>42310.553062002313</v>
      </c>
      <c r="C1262" t="s">
        <v>14</v>
      </c>
      <c r="D1262" t="s">
        <v>13</v>
      </c>
      <c r="E1262">
        <v>200</v>
      </c>
      <c r="F1262">
        <v>3.5</v>
      </c>
    </row>
    <row r="1263" spans="1:6" x14ac:dyDescent="0.15">
      <c r="A1263" t="s">
        <v>210</v>
      </c>
      <c r="B1263" s="226">
        <v>42310.561144664352</v>
      </c>
      <c r="C1263" t="s">
        <v>400</v>
      </c>
      <c r="D1263" t="s">
        <v>13</v>
      </c>
      <c r="E1263">
        <v>340</v>
      </c>
      <c r="F1263">
        <v>0</v>
      </c>
    </row>
    <row r="1264" spans="1:6" x14ac:dyDescent="0.15">
      <c r="A1264" t="s">
        <v>210</v>
      </c>
      <c r="B1264" s="226">
        <v>42310.590542013888</v>
      </c>
      <c r="C1264" t="s">
        <v>14</v>
      </c>
      <c r="D1264" t="s">
        <v>13</v>
      </c>
      <c r="E1264">
        <v>100</v>
      </c>
      <c r="F1264">
        <v>3.5</v>
      </c>
    </row>
    <row r="1265" spans="1:6" x14ac:dyDescent="0.15">
      <c r="A1265" t="s">
        <v>210</v>
      </c>
      <c r="B1265" s="226">
        <v>42310.591055254627</v>
      </c>
      <c r="C1265" t="s">
        <v>1458</v>
      </c>
      <c r="D1265" t="s">
        <v>13</v>
      </c>
      <c r="E1265">
        <v>100</v>
      </c>
      <c r="F1265">
        <v>0</v>
      </c>
    </row>
    <row r="1266" spans="1:6" x14ac:dyDescent="0.15">
      <c r="A1266" t="s">
        <v>210</v>
      </c>
      <c r="B1266" s="226">
        <v>42310.605390925928</v>
      </c>
      <c r="C1266" t="s">
        <v>1459</v>
      </c>
      <c r="D1266" t="s">
        <v>13</v>
      </c>
      <c r="E1266">
        <v>40</v>
      </c>
      <c r="F1266">
        <v>0</v>
      </c>
    </row>
    <row r="1267" spans="1:6" x14ac:dyDescent="0.15">
      <c r="A1267" t="s">
        <v>210</v>
      </c>
      <c r="B1267" s="226">
        <v>42310.636389537038</v>
      </c>
      <c r="C1267" t="s">
        <v>1460</v>
      </c>
      <c r="D1267" t="s">
        <v>13</v>
      </c>
      <c r="E1267">
        <v>40</v>
      </c>
      <c r="F1267">
        <v>0</v>
      </c>
    </row>
    <row r="1268" spans="1:6" x14ac:dyDescent="0.15">
      <c r="A1268" t="s">
        <v>210</v>
      </c>
      <c r="B1268" s="226">
        <v>42310.652418958336</v>
      </c>
      <c r="C1268" t="s">
        <v>1461</v>
      </c>
      <c r="D1268" t="s">
        <v>13</v>
      </c>
      <c r="E1268">
        <v>20</v>
      </c>
      <c r="F1268">
        <v>0</v>
      </c>
    </row>
    <row r="1269" spans="1:6" x14ac:dyDescent="0.15">
      <c r="A1269" t="s">
        <v>210</v>
      </c>
      <c r="B1269" s="226">
        <v>42310.662965509262</v>
      </c>
      <c r="C1269" t="s">
        <v>1462</v>
      </c>
      <c r="D1269" t="s">
        <v>13</v>
      </c>
      <c r="E1269">
        <v>100</v>
      </c>
      <c r="F1269">
        <v>0</v>
      </c>
    </row>
    <row r="1270" spans="1:6" x14ac:dyDescent="0.15">
      <c r="A1270" t="s">
        <v>210</v>
      </c>
      <c r="B1270" s="226">
        <v>42310.676569444448</v>
      </c>
      <c r="C1270" t="s">
        <v>584</v>
      </c>
      <c r="D1270" t="s">
        <v>13</v>
      </c>
      <c r="E1270">
        <v>100</v>
      </c>
      <c r="F1270">
        <v>0</v>
      </c>
    </row>
    <row r="1271" spans="1:6" x14ac:dyDescent="0.15">
      <c r="A1271" t="s">
        <v>210</v>
      </c>
      <c r="B1271" s="226">
        <v>42310.692265925929</v>
      </c>
      <c r="C1271" t="s">
        <v>1463</v>
      </c>
      <c r="D1271" t="s">
        <v>13</v>
      </c>
      <c r="E1271">
        <v>100</v>
      </c>
      <c r="F1271">
        <v>0</v>
      </c>
    </row>
    <row r="1272" spans="1:6" x14ac:dyDescent="0.15">
      <c r="A1272" t="s">
        <v>210</v>
      </c>
      <c r="B1272" s="226">
        <v>42310.711061631948</v>
      </c>
      <c r="C1272" t="s">
        <v>1464</v>
      </c>
      <c r="D1272" t="s">
        <v>13</v>
      </c>
      <c r="E1272">
        <v>40</v>
      </c>
      <c r="F1272">
        <v>0</v>
      </c>
    </row>
    <row r="1273" spans="1:6" x14ac:dyDescent="0.15">
      <c r="A1273" t="s">
        <v>210</v>
      </c>
      <c r="B1273" s="226">
        <v>42310.72451216435</v>
      </c>
      <c r="C1273" t="s">
        <v>1465</v>
      </c>
      <c r="D1273" t="s">
        <v>13</v>
      </c>
      <c r="E1273">
        <v>100</v>
      </c>
      <c r="F1273">
        <v>0</v>
      </c>
    </row>
    <row r="1274" spans="1:6" x14ac:dyDescent="0.15">
      <c r="A1274" t="s">
        <v>210</v>
      </c>
      <c r="B1274" s="226">
        <v>42310.726877986112</v>
      </c>
      <c r="C1274" t="s">
        <v>1466</v>
      </c>
      <c r="D1274" t="s">
        <v>13</v>
      </c>
      <c r="E1274">
        <v>100</v>
      </c>
      <c r="F1274">
        <v>0</v>
      </c>
    </row>
    <row r="1275" spans="1:6" x14ac:dyDescent="0.15">
      <c r="A1275" t="s">
        <v>210</v>
      </c>
      <c r="B1275" s="226">
        <v>42310.728521203702</v>
      </c>
      <c r="C1275" t="s">
        <v>1467</v>
      </c>
      <c r="D1275" t="s">
        <v>13</v>
      </c>
      <c r="E1275">
        <v>60</v>
      </c>
      <c r="F1275">
        <v>0</v>
      </c>
    </row>
    <row r="1276" spans="1:6" x14ac:dyDescent="0.15">
      <c r="A1276" t="s">
        <v>210</v>
      </c>
      <c r="B1276" s="226">
        <v>42310.733444016201</v>
      </c>
      <c r="C1276" t="s">
        <v>1468</v>
      </c>
      <c r="D1276" t="s">
        <v>13</v>
      </c>
      <c r="E1276">
        <v>100</v>
      </c>
      <c r="F1276">
        <v>0</v>
      </c>
    </row>
    <row r="1277" spans="1:6" x14ac:dyDescent="0.15">
      <c r="A1277" t="s">
        <v>210</v>
      </c>
      <c r="B1277" s="226">
        <v>42310.734371319442</v>
      </c>
      <c r="C1277" t="s">
        <v>1469</v>
      </c>
      <c r="D1277" t="s">
        <v>13</v>
      </c>
      <c r="E1277">
        <v>100</v>
      </c>
      <c r="F1277">
        <v>0</v>
      </c>
    </row>
    <row r="1278" spans="1:6" x14ac:dyDescent="0.15">
      <c r="A1278" t="s">
        <v>210</v>
      </c>
      <c r="B1278" s="226">
        <v>42310.760926655093</v>
      </c>
      <c r="C1278" t="s">
        <v>1470</v>
      </c>
      <c r="D1278" t="s">
        <v>13</v>
      </c>
      <c r="E1278">
        <v>40</v>
      </c>
      <c r="F1278">
        <v>0</v>
      </c>
    </row>
    <row r="1279" spans="1:6" x14ac:dyDescent="0.15">
      <c r="A1279" t="s">
        <v>210</v>
      </c>
      <c r="B1279" s="226">
        <v>42310.762908252313</v>
      </c>
      <c r="C1279" t="s">
        <v>82</v>
      </c>
      <c r="D1279" t="s">
        <v>13</v>
      </c>
      <c r="E1279">
        <v>500</v>
      </c>
      <c r="F1279">
        <v>0</v>
      </c>
    </row>
    <row r="1280" spans="1:6" x14ac:dyDescent="0.15">
      <c r="A1280" t="s">
        <v>210</v>
      </c>
      <c r="B1280" s="226">
        <v>42310.76437178241</v>
      </c>
      <c r="C1280" t="s">
        <v>1471</v>
      </c>
      <c r="D1280" t="s">
        <v>13</v>
      </c>
      <c r="E1280">
        <v>80</v>
      </c>
      <c r="F1280">
        <v>0</v>
      </c>
    </row>
    <row r="1281" spans="1:6" x14ac:dyDescent="0.15">
      <c r="A1281" t="s">
        <v>210</v>
      </c>
      <c r="B1281" s="226">
        <v>42310.76854690972</v>
      </c>
      <c r="C1281" t="s">
        <v>1472</v>
      </c>
      <c r="D1281" t="s">
        <v>13</v>
      </c>
      <c r="E1281">
        <v>40</v>
      </c>
      <c r="F1281">
        <v>0</v>
      </c>
    </row>
    <row r="1282" spans="1:6" x14ac:dyDescent="0.15">
      <c r="A1282" t="s">
        <v>210</v>
      </c>
      <c r="B1282" s="226">
        <v>42310.771015752318</v>
      </c>
      <c r="C1282" t="s">
        <v>1473</v>
      </c>
      <c r="D1282" t="s">
        <v>13</v>
      </c>
      <c r="E1282">
        <v>80</v>
      </c>
      <c r="F1282">
        <v>0</v>
      </c>
    </row>
    <row r="1283" spans="1:6" x14ac:dyDescent="0.15">
      <c r="A1283" t="s">
        <v>210</v>
      </c>
      <c r="B1283" s="226">
        <v>42310.779158564816</v>
      </c>
      <c r="C1283" t="s">
        <v>1474</v>
      </c>
      <c r="D1283" t="s">
        <v>13</v>
      </c>
      <c r="E1283">
        <v>200</v>
      </c>
      <c r="F1283">
        <v>0</v>
      </c>
    </row>
    <row r="1284" spans="1:6" x14ac:dyDescent="0.15">
      <c r="A1284" t="s">
        <v>210</v>
      </c>
      <c r="B1284" s="226">
        <v>42310.780991840278</v>
      </c>
      <c r="C1284" t="s">
        <v>617</v>
      </c>
      <c r="D1284" t="s">
        <v>13</v>
      </c>
      <c r="E1284">
        <v>80</v>
      </c>
      <c r="F1284">
        <v>0</v>
      </c>
    </row>
    <row r="1285" spans="1:6" x14ac:dyDescent="0.15">
      <c r="A1285" t="s">
        <v>210</v>
      </c>
      <c r="B1285" s="226">
        <v>42310.783203611114</v>
      </c>
      <c r="C1285" t="s">
        <v>1475</v>
      </c>
      <c r="D1285" t="s">
        <v>13</v>
      </c>
      <c r="E1285">
        <v>200</v>
      </c>
      <c r="F1285">
        <v>0</v>
      </c>
    </row>
    <row r="1286" spans="1:6" x14ac:dyDescent="0.15">
      <c r="A1286" t="s">
        <v>210</v>
      </c>
      <c r="B1286" s="226">
        <v>42311.294313541664</v>
      </c>
      <c r="C1286" t="s">
        <v>1476</v>
      </c>
      <c r="D1286" t="s">
        <v>13</v>
      </c>
      <c r="E1286">
        <v>40</v>
      </c>
      <c r="F1286">
        <v>0</v>
      </c>
    </row>
    <row r="1287" spans="1:6" x14ac:dyDescent="0.15">
      <c r="A1287" t="s">
        <v>210</v>
      </c>
      <c r="B1287" s="226">
        <v>42311.305364976855</v>
      </c>
      <c r="C1287" t="s">
        <v>1477</v>
      </c>
      <c r="D1287" t="s">
        <v>15</v>
      </c>
      <c r="E1287">
        <v>100</v>
      </c>
      <c r="F1287">
        <v>3</v>
      </c>
    </row>
    <row r="1288" spans="1:6" x14ac:dyDescent="0.15">
      <c r="A1288" t="s">
        <v>210</v>
      </c>
      <c r="B1288" s="226">
        <v>42311.328049224539</v>
      </c>
      <c r="C1288" t="s">
        <v>927</v>
      </c>
      <c r="D1288" t="s">
        <v>13</v>
      </c>
      <c r="E1288">
        <v>140</v>
      </c>
      <c r="F1288">
        <v>0</v>
      </c>
    </row>
    <row r="1289" spans="1:6" x14ac:dyDescent="0.15">
      <c r="A1289" t="s">
        <v>210</v>
      </c>
      <c r="B1289" s="226">
        <v>42311.360135381947</v>
      </c>
      <c r="C1289" t="s">
        <v>1478</v>
      </c>
      <c r="D1289" t="s">
        <v>13</v>
      </c>
      <c r="E1289">
        <v>40</v>
      </c>
      <c r="F1289">
        <v>0</v>
      </c>
    </row>
    <row r="1290" spans="1:6" x14ac:dyDescent="0.15">
      <c r="A1290" t="s">
        <v>210</v>
      </c>
      <c r="B1290" s="226">
        <v>42311.381416493059</v>
      </c>
      <c r="C1290" t="s">
        <v>1479</v>
      </c>
      <c r="D1290" t="s">
        <v>13</v>
      </c>
      <c r="E1290">
        <v>200</v>
      </c>
      <c r="F1290">
        <v>0</v>
      </c>
    </row>
    <row r="1291" spans="1:6" x14ac:dyDescent="0.15">
      <c r="A1291" t="s">
        <v>210</v>
      </c>
      <c r="B1291" s="226">
        <v>42311.408835787035</v>
      </c>
      <c r="C1291" t="s">
        <v>1480</v>
      </c>
      <c r="D1291" t="s">
        <v>13</v>
      </c>
      <c r="E1291">
        <v>100</v>
      </c>
      <c r="F1291">
        <v>0</v>
      </c>
    </row>
    <row r="1292" spans="1:6" x14ac:dyDescent="0.15">
      <c r="A1292" t="s">
        <v>210</v>
      </c>
      <c r="B1292" s="226">
        <v>42311.482673229169</v>
      </c>
      <c r="C1292" t="s">
        <v>1481</v>
      </c>
      <c r="D1292" t="s">
        <v>13</v>
      </c>
      <c r="E1292">
        <v>140</v>
      </c>
      <c r="F1292">
        <v>0</v>
      </c>
    </row>
    <row r="1293" spans="1:6" x14ac:dyDescent="0.15">
      <c r="A1293" t="s">
        <v>210</v>
      </c>
      <c r="B1293" s="226">
        <v>42311.489905983799</v>
      </c>
      <c r="C1293" t="s">
        <v>1482</v>
      </c>
      <c r="D1293" t="s">
        <v>13</v>
      </c>
      <c r="E1293">
        <v>60</v>
      </c>
      <c r="F1293">
        <v>0</v>
      </c>
    </row>
    <row r="1294" spans="1:6" x14ac:dyDescent="0.15">
      <c r="A1294" t="s">
        <v>210</v>
      </c>
      <c r="B1294" s="226">
        <v>42311.492871851849</v>
      </c>
      <c r="C1294" t="s">
        <v>1483</v>
      </c>
      <c r="D1294" t="s">
        <v>13</v>
      </c>
      <c r="E1294">
        <v>80</v>
      </c>
      <c r="F1294">
        <v>0</v>
      </c>
    </row>
    <row r="1295" spans="1:6" x14ac:dyDescent="0.15">
      <c r="A1295" t="s">
        <v>210</v>
      </c>
      <c r="B1295" s="226">
        <v>42311.501144872687</v>
      </c>
      <c r="C1295" t="s">
        <v>1484</v>
      </c>
      <c r="D1295" t="s">
        <v>13</v>
      </c>
      <c r="E1295">
        <v>40</v>
      </c>
      <c r="F1295">
        <v>0</v>
      </c>
    </row>
    <row r="1296" spans="1:6" x14ac:dyDescent="0.15">
      <c r="A1296" t="s">
        <v>210</v>
      </c>
      <c r="B1296" s="226">
        <v>42311.518903344906</v>
      </c>
      <c r="C1296" t="s">
        <v>1485</v>
      </c>
      <c r="D1296" t="s">
        <v>13</v>
      </c>
      <c r="E1296">
        <v>160</v>
      </c>
      <c r="F1296">
        <v>0</v>
      </c>
    </row>
    <row r="1297" spans="1:6" x14ac:dyDescent="0.15">
      <c r="A1297" t="s">
        <v>210</v>
      </c>
      <c r="B1297" s="226">
        <v>42311.524212546297</v>
      </c>
      <c r="C1297" t="s">
        <v>14</v>
      </c>
      <c r="D1297" t="s">
        <v>13</v>
      </c>
      <c r="E1297">
        <v>160</v>
      </c>
      <c r="F1297">
        <v>3.5</v>
      </c>
    </row>
    <row r="1298" spans="1:6" x14ac:dyDescent="0.15">
      <c r="A1298" t="s">
        <v>210</v>
      </c>
      <c r="B1298" s="226">
        <v>42311.528457881941</v>
      </c>
      <c r="C1298" t="s">
        <v>941</v>
      </c>
      <c r="D1298" t="s">
        <v>13</v>
      </c>
      <c r="E1298">
        <v>20</v>
      </c>
      <c r="F1298">
        <v>0</v>
      </c>
    </row>
    <row r="1299" spans="1:6" x14ac:dyDescent="0.15">
      <c r="A1299" t="s">
        <v>210</v>
      </c>
      <c r="B1299" s="226">
        <v>42311.543983958334</v>
      </c>
      <c r="C1299" t="s">
        <v>1486</v>
      </c>
      <c r="D1299" t="s">
        <v>13</v>
      </c>
      <c r="E1299">
        <v>80</v>
      </c>
      <c r="F1299">
        <v>0</v>
      </c>
    </row>
    <row r="1300" spans="1:6" x14ac:dyDescent="0.15">
      <c r="A1300" t="s">
        <v>210</v>
      </c>
      <c r="B1300" s="226">
        <v>42311.559372638891</v>
      </c>
      <c r="C1300" t="s">
        <v>1487</v>
      </c>
      <c r="D1300" t="s">
        <v>13</v>
      </c>
      <c r="E1300">
        <v>20</v>
      </c>
      <c r="F1300">
        <v>0</v>
      </c>
    </row>
    <row r="1301" spans="1:6" x14ac:dyDescent="0.15">
      <c r="A1301" t="s">
        <v>210</v>
      </c>
      <c r="B1301" s="226">
        <v>42311.561793148147</v>
      </c>
      <c r="C1301" t="s">
        <v>1488</v>
      </c>
      <c r="D1301" t="s">
        <v>13</v>
      </c>
      <c r="E1301">
        <v>20</v>
      </c>
      <c r="F1301">
        <v>0</v>
      </c>
    </row>
    <row r="1302" spans="1:6" x14ac:dyDescent="0.15">
      <c r="A1302" t="s">
        <v>210</v>
      </c>
      <c r="B1302" s="226">
        <v>42311.567107789349</v>
      </c>
      <c r="C1302" t="s">
        <v>1489</v>
      </c>
      <c r="D1302" t="s">
        <v>15</v>
      </c>
      <c r="E1302">
        <v>80</v>
      </c>
      <c r="F1302">
        <v>2.4</v>
      </c>
    </row>
    <row r="1303" spans="1:6" x14ac:dyDescent="0.15">
      <c r="A1303" t="s">
        <v>210</v>
      </c>
      <c r="B1303" s="226">
        <v>42311.588198263889</v>
      </c>
      <c r="C1303" t="s">
        <v>633</v>
      </c>
      <c r="D1303" t="s">
        <v>13</v>
      </c>
      <c r="E1303">
        <v>40</v>
      </c>
      <c r="F1303">
        <v>0</v>
      </c>
    </row>
    <row r="1304" spans="1:6" x14ac:dyDescent="0.15">
      <c r="A1304" t="s">
        <v>210</v>
      </c>
      <c r="B1304" s="226">
        <v>42311.601793680558</v>
      </c>
      <c r="C1304" t="s">
        <v>1490</v>
      </c>
      <c r="D1304" t="s">
        <v>13</v>
      </c>
      <c r="E1304">
        <v>40</v>
      </c>
      <c r="F1304">
        <v>0</v>
      </c>
    </row>
    <row r="1305" spans="1:6" x14ac:dyDescent="0.15">
      <c r="A1305" t="s">
        <v>210</v>
      </c>
      <c r="B1305" s="226">
        <v>42311.609763078704</v>
      </c>
      <c r="C1305" t="s">
        <v>1491</v>
      </c>
      <c r="D1305" t="s">
        <v>13</v>
      </c>
      <c r="E1305">
        <v>100</v>
      </c>
      <c r="F1305">
        <v>0</v>
      </c>
    </row>
    <row r="1306" spans="1:6" x14ac:dyDescent="0.15">
      <c r="A1306" t="s">
        <v>210</v>
      </c>
      <c r="B1306" s="226">
        <v>42311.688710949071</v>
      </c>
      <c r="C1306" t="s">
        <v>1492</v>
      </c>
      <c r="D1306" t="s">
        <v>13</v>
      </c>
      <c r="E1306">
        <v>40</v>
      </c>
      <c r="F1306">
        <v>0</v>
      </c>
    </row>
    <row r="1307" spans="1:6" x14ac:dyDescent="0.15">
      <c r="A1307" t="s">
        <v>210</v>
      </c>
      <c r="B1307" s="226">
        <v>42311.706614062503</v>
      </c>
      <c r="C1307" t="s">
        <v>1493</v>
      </c>
      <c r="D1307" t="s">
        <v>13</v>
      </c>
      <c r="E1307">
        <v>40</v>
      </c>
      <c r="F1307">
        <v>0</v>
      </c>
    </row>
    <row r="1308" spans="1:6" x14ac:dyDescent="0.15">
      <c r="A1308" t="s">
        <v>210</v>
      </c>
      <c r="B1308" s="226">
        <v>42311.722728958332</v>
      </c>
      <c r="C1308" t="s">
        <v>1494</v>
      </c>
      <c r="D1308" t="s">
        <v>13</v>
      </c>
      <c r="E1308">
        <v>100</v>
      </c>
      <c r="F1308">
        <v>0</v>
      </c>
    </row>
    <row r="1309" spans="1:6" x14ac:dyDescent="0.15">
      <c r="A1309" t="s">
        <v>210</v>
      </c>
      <c r="B1309" s="226">
        <v>42311.772085902776</v>
      </c>
      <c r="C1309" t="s">
        <v>1357</v>
      </c>
      <c r="D1309" t="s">
        <v>13</v>
      </c>
      <c r="E1309">
        <v>80</v>
      </c>
      <c r="F1309">
        <v>0</v>
      </c>
    </row>
    <row r="1310" spans="1:6" x14ac:dyDescent="0.15">
      <c r="A1310" t="s">
        <v>210</v>
      </c>
      <c r="B1310" s="226">
        <v>42311.783822673613</v>
      </c>
      <c r="C1310" t="s">
        <v>75</v>
      </c>
      <c r="D1310" t="s">
        <v>13</v>
      </c>
      <c r="E1310">
        <v>40</v>
      </c>
      <c r="F1310">
        <v>0</v>
      </c>
    </row>
    <row r="1311" spans="1:6" x14ac:dyDescent="0.15">
      <c r="A1311" t="s">
        <v>210</v>
      </c>
      <c r="B1311" s="226">
        <v>42311.828913379628</v>
      </c>
      <c r="C1311" t="s">
        <v>1495</v>
      </c>
      <c r="D1311" t="s">
        <v>13</v>
      </c>
      <c r="E1311">
        <v>40</v>
      </c>
      <c r="F1311">
        <v>0</v>
      </c>
    </row>
    <row r="1312" spans="1:6" x14ac:dyDescent="0.15">
      <c r="A1312" t="s">
        <v>210</v>
      </c>
      <c r="B1312" s="226">
        <v>42311.910348738427</v>
      </c>
      <c r="C1312" t="s">
        <v>1496</v>
      </c>
      <c r="D1312" t="s">
        <v>13</v>
      </c>
      <c r="E1312">
        <v>20</v>
      </c>
      <c r="F1312">
        <v>0</v>
      </c>
    </row>
    <row r="1313" spans="1:6" x14ac:dyDescent="0.15">
      <c r="A1313" t="s">
        <v>210</v>
      </c>
      <c r="B1313" s="226">
        <v>42311.914734050923</v>
      </c>
      <c r="C1313" t="s">
        <v>1497</v>
      </c>
      <c r="D1313" t="s">
        <v>13</v>
      </c>
      <c r="E1313">
        <v>60</v>
      </c>
      <c r="F1313">
        <v>0</v>
      </c>
    </row>
    <row r="1314" spans="1:6" x14ac:dyDescent="0.15">
      <c r="A1314" t="s">
        <v>210</v>
      </c>
      <c r="B1314" s="226">
        <v>42312.03466607639</v>
      </c>
      <c r="C1314" t="s">
        <v>376</v>
      </c>
      <c r="D1314" t="s">
        <v>13</v>
      </c>
      <c r="E1314">
        <v>100</v>
      </c>
      <c r="F1314">
        <v>0</v>
      </c>
    </row>
    <row r="1315" spans="1:6" x14ac:dyDescent="0.15">
      <c r="A1315" t="s">
        <v>210</v>
      </c>
      <c r="B1315" s="226">
        <v>42312.257140127316</v>
      </c>
      <c r="C1315" t="s">
        <v>1498</v>
      </c>
      <c r="D1315" t="s">
        <v>13</v>
      </c>
      <c r="E1315">
        <v>60</v>
      </c>
      <c r="F1315">
        <v>0</v>
      </c>
    </row>
    <row r="1316" spans="1:6" x14ac:dyDescent="0.15">
      <c r="A1316" t="s">
        <v>210</v>
      </c>
      <c r="B1316" s="226">
        <v>42312.293325057872</v>
      </c>
      <c r="C1316" t="s">
        <v>1499</v>
      </c>
      <c r="D1316" t="s">
        <v>13</v>
      </c>
      <c r="E1316">
        <v>60</v>
      </c>
      <c r="F1316">
        <v>0</v>
      </c>
    </row>
    <row r="1317" spans="1:6" x14ac:dyDescent="0.15">
      <c r="A1317" t="s">
        <v>210</v>
      </c>
      <c r="B1317" s="226">
        <v>42312.297047314816</v>
      </c>
      <c r="C1317" t="s">
        <v>1500</v>
      </c>
      <c r="D1317" t="s">
        <v>13</v>
      </c>
      <c r="E1317">
        <v>100</v>
      </c>
      <c r="F1317">
        <v>0</v>
      </c>
    </row>
    <row r="1318" spans="1:6" x14ac:dyDescent="0.15">
      <c r="A1318" t="s">
        <v>210</v>
      </c>
      <c r="B1318" s="226">
        <v>42312.332664641202</v>
      </c>
      <c r="C1318" t="s">
        <v>1209</v>
      </c>
      <c r="D1318" t="s">
        <v>13</v>
      </c>
      <c r="E1318">
        <v>100</v>
      </c>
      <c r="F1318">
        <v>0</v>
      </c>
    </row>
    <row r="1319" spans="1:6" x14ac:dyDescent="0.15">
      <c r="A1319" t="s">
        <v>210</v>
      </c>
      <c r="B1319" s="226">
        <v>42312.364330393517</v>
      </c>
      <c r="C1319" t="s">
        <v>1501</v>
      </c>
      <c r="D1319" t="s">
        <v>13</v>
      </c>
      <c r="E1319">
        <v>20</v>
      </c>
      <c r="F1319">
        <v>0</v>
      </c>
    </row>
    <row r="1320" spans="1:6" x14ac:dyDescent="0.15">
      <c r="A1320" t="s">
        <v>210</v>
      </c>
      <c r="B1320" s="226">
        <v>42312.378291134257</v>
      </c>
      <c r="C1320" t="s">
        <v>14</v>
      </c>
      <c r="D1320" t="s">
        <v>13</v>
      </c>
      <c r="E1320">
        <v>40</v>
      </c>
      <c r="F1320">
        <v>3.5</v>
      </c>
    </row>
    <row r="1321" spans="1:6" x14ac:dyDescent="0.15">
      <c r="A1321" t="s">
        <v>210</v>
      </c>
      <c r="B1321" s="226">
        <v>42312.395752476848</v>
      </c>
      <c r="C1321" t="s">
        <v>1502</v>
      </c>
      <c r="D1321" t="s">
        <v>13</v>
      </c>
      <c r="E1321">
        <v>60</v>
      </c>
      <c r="F1321">
        <v>0</v>
      </c>
    </row>
    <row r="1322" spans="1:6" x14ac:dyDescent="0.15">
      <c r="A1322" t="s">
        <v>210</v>
      </c>
      <c r="B1322" s="226">
        <v>42312.406517013886</v>
      </c>
      <c r="C1322" t="s">
        <v>401</v>
      </c>
      <c r="D1322" t="s">
        <v>13</v>
      </c>
      <c r="E1322">
        <v>100</v>
      </c>
      <c r="F1322">
        <v>0</v>
      </c>
    </row>
    <row r="1323" spans="1:6" x14ac:dyDescent="0.15">
      <c r="A1323" t="s">
        <v>210</v>
      </c>
      <c r="B1323" s="226">
        <v>42312.449211331019</v>
      </c>
      <c r="C1323" t="s">
        <v>1503</v>
      </c>
      <c r="D1323" t="s">
        <v>13</v>
      </c>
      <c r="E1323">
        <v>100</v>
      </c>
      <c r="F1323">
        <v>0</v>
      </c>
    </row>
    <row r="1324" spans="1:6" x14ac:dyDescent="0.15">
      <c r="A1324" t="s">
        <v>210</v>
      </c>
      <c r="B1324" s="226">
        <v>42312.450069016202</v>
      </c>
      <c r="C1324" t="s">
        <v>1504</v>
      </c>
      <c r="D1324" t="s">
        <v>15</v>
      </c>
      <c r="E1324">
        <v>100</v>
      </c>
      <c r="F1324">
        <v>3</v>
      </c>
    </row>
    <row r="1325" spans="1:6" x14ac:dyDescent="0.15">
      <c r="A1325" t="s">
        <v>210</v>
      </c>
      <c r="B1325" s="226">
        <v>42312.471106608798</v>
      </c>
      <c r="C1325" t="s">
        <v>1008</v>
      </c>
      <c r="D1325" t="s">
        <v>13</v>
      </c>
      <c r="E1325">
        <v>40</v>
      </c>
      <c r="F1325">
        <v>0</v>
      </c>
    </row>
    <row r="1326" spans="1:6" x14ac:dyDescent="0.15">
      <c r="A1326" t="s">
        <v>210</v>
      </c>
      <c r="B1326" s="226">
        <v>42312.490114618056</v>
      </c>
      <c r="C1326" t="s">
        <v>1505</v>
      </c>
      <c r="D1326" t="s">
        <v>13</v>
      </c>
      <c r="E1326">
        <v>20</v>
      </c>
      <c r="F1326">
        <v>0</v>
      </c>
    </row>
    <row r="1327" spans="1:6" x14ac:dyDescent="0.15">
      <c r="A1327" t="s">
        <v>210</v>
      </c>
      <c r="B1327" s="226">
        <v>42312.495235185183</v>
      </c>
      <c r="C1327" t="s">
        <v>1506</v>
      </c>
      <c r="D1327" t="s">
        <v>13</v>
      </c>
      <c r="E1327">
        <v>100</v>
      </c>
      <c r="F1327">
        <v>0</v>
      </c>
    </row>
    <row r="1328" spans="1:6" x14ac:dyDescent="0.15">
      <c r="A1328" t="s">
        <v>210</v>
      </c>
      <c r="B1328" s="226">
        <v>42312.503481099535</v>
      </c>
      <c r="C1328" t="s">
        <v>1507</v>
      </c>
      <c r="D1328" t="s">
        <v>13</v>
      </c>
      <c r="E1328">
        <v>120</v>
      </c>
      <c r="F1328">
        <v>0</v>
      </c>
    </row>
    <row r="1329" spans="1:6" x14ac:dyDescent="0.15">
      <c r="A1329" t="s">
        <v>210</v>
      </c>
      <c r="B1329" s="226">
        <v>42312.51211329861</v>
      </c>
      <c r="C1329" t="s">
        <v>402</v>
      </c>
      <c r="D1329" t="s">
        <v>13</v>
      </c>
      <c r="E1329">
        <v>60</v>
      </c>
      <c r="F1329">
        <v>0</v>
      </c>
    </row>
    <row r="1330" spans="1:6" x14ac:dyDescent="0.15">
      <c r="A1330" t="s">
        <v>210</v>
      </c>
      <c r="B1330" s="226">
        <v>42312.512744675929</v>
      </c>
      <c r="C1330" t="s">
        <v>1508</v>
      </c>
      <c r="D1330" t="s">
        <v>13</v>
      </c>
      <c r="E1330">
        <v>100</v>
      </c>
      <c r="F1330">
        <v>0</v>
      </c>
    </row>
    <row r="1331" spans="1:6" x14ac:dyDescent="0.15">
      <c r="A1331" t="s">
        <v>210</v>
      </c>
      <c r="B1331" s="226">
        <v>42312.51618496528</v>
      </c>
      <c r="C1331" t="s">
        <v>1509</v>
      </c>
      <c r="D1331" t="s">
        <v>13</v>
      </c>
      <c r="E1331">
        <v>300</v>
      </c>
      <c r="F1331">
        <v>0</v>
      </c>
    </row>
    <row r="1332" spans="1:6" x14ac:dyDescent="0.15">
      <c r="A1332" t="s">
        <v>210</v>
      </c>
      <c r="B1332" s="226">
        <v>42312.541903993057</v>
      </c>
      <c r="C1332" t="s">
        <v>1510</v>
      </c>
      <c r="D1332" t="s">
        <v>13</v>
      </c>
      <c r="E1332">
        <v>100</v>
      </c>
      <c r="F1332">
        <v>0</v>
      </c>
    </row>
    <row r="1333" spans="1:6" x14ac:dyDescent="0.15">
      <c r="A1333" t="s">
        <v>210</v>
      </c>
      <c r="B1333" s="226">
        <v>42312.579609456021</v>
      </c>
      <c r="C1333" t="s">
        <v>1511</v>
      </c>
      <c r="D1333" t="s">
        <v>13</v>
      </c>
      <c r="E1333">
        <v>100</v>
      </c>
      <c r="F1333">
        <v>0</v>
      </c>
    </row>
    <row r="1334" spans="1:6" x14ac:dyDescent="0.15">
      <c r="A1334" t="s">
        <v>210</v>
      </c>
      <c r="B1334" s="226">
        <v>42312.588286550927</v>
      </c>
      <c r="C1334" t="s">
        <v>14</v>
      </c>
      <c r="D1334" t="s">
        <v>13</v>
      </c>
      <c r="E1334">
        <v>140</v>
      </c>
      <c r="F1334">
        <v>3.5</v>
      </c>
    </row>
    <row r="1335" spans="1:6" x14ac:dyDescent="0.15">
      <c r="A1335" t="s">
        <v>210</v>
      </c>
      <c r="B1335" s="226">
        <v>42312.605234513889</v>
      </c>
      <c r="C1335" t="s">
        <v>403</v>
      </c>
      <c r="D1335" t="s">
        <v>13</v>
      </c>
      <c r="E1335">
        <v>100</v>
      </c>
      <c r="F1335">
        <v>0</v>
      </c>
    </row>
    <row r="1336" spans="1:6" x14ac:dyDescent="0.15">
      <c r="A1336" t="s">
        <v>210</v>
      </c>
      <c r="B1336" s="226">
        <v>42312.620135185185</v>
      </c>
      <c r="C1336" t="s">
        <v>404</v>
      </c>
      <c r="D1336" t="s">
        <v>13</v>
      </c>
      <c r="E1336">
        <v>100</v>
      </c>
      <c r="F1336">
        <v>0</v>
      </c>
    </row>
    <row r="1337" spans="1:6" x14ac:dyDescent="0.15">
      <c r="A1337" t="s">
        <v>210</v>
      </c>
      <c r="B1337" s="226">
        <v>42312.630305891202</v>
      </c>
      <c r="C1337" t="s">
        <v>1512</v>
      </c>
      <c r="D1337" t="s">
        <v>13</v>
      </c>
      <c r="E1337">
        <v>100</v>
      </c>
      <c r="F1337">
        <v>0</v>
      </c>
    </row>
    <row r="1338" spans="1:6" x14ac:dyDescent="0.15">
      <c r="A1338" t="s">
        <v>210</v>
      </c>
      <c r="B1338" s="226">
        <v>42312.638377442127</v>
      </c>
      <c r="C1338" t="s">
        <v>1513</v>
      </c>
      <c r="D1338" t="s">
        <v>13</v>
      </c>
      <c r="E1338">
        <v>20</v>
      </c>
      <c r="F1338">
        <v>0</v>
      </c>
    </row>
    <row r="1339" spans="1:6" x14ac:dyDescent="0.15">
      <c r="A1339" t="s">
        <v>210</v>
      </c>
      <c r="B1339" s="226">
        <v>42312.639523321763</v>
      </c>
      <c r="C1339" t="s">
        <v>1514</v>
      </c>
      <c r="D1339" t="s">
        <v>13</v>
      </c>
      <c r="E1339">
        <v>60</v>
      </c>
      <c r="F1339">
        <v>0</v>
      </c>
    </row>
    <row r="1340" spans="1:6" x14ac:dyDescent="0.15">
      <c r="A1340" t="s">
        <v>210</v>
      </c>
      <c r="B1340" s="226">
        <v>42312.642003611109</v>
      </c>
      <c r="C1340" t="s">
        <v>1515</v>
      </c>
      <c r="D1340" t="s">
        <v>13</v>
      </c>
      <c r="E1340">
        <v>20</v>
      </c>
      <c r="F1340">
        <v>0</v>
      </c>
    </row>
    <row r="1341" spans="1:6" x14ac:dyDescent="0.15">
      <c r="A1341" t="s">
        <v>210</v>
      </c>
      <c r="B1341" s="226">
        <v>42312.65341309028</v>
      </c>
      <c r="C1341" t="s">
        <v>1516</v>
      </c>
      <c r="D1341" t="s">
        <v>13</v>
      </c>
      <c r="E1341">
        <v>20</v>
      </c>
      <c r="F1341">
        <v>0</v>
      </c>
    </row>
    <row r="1342" spans="1:6" x14ac:dyDescent="0.15">
      <c r="A1342" t="s">
        <v>210</v>
      </c>
      <c r="B1342" s="226">
        <v>42312.703405196757</v>
      </c>
      <c r="C1342" t="s">
        <v>1517</v>
      </c>
      <c r="D1342" t="s">
        <v>13</v>
      </c>
      <c r="E1342">
        <v>40</v>
      </c>
      <c r="F1342">
        <v>0</v>
      </c>
    </row>
    <row r="1343" spans="1:6" x14ac:dyDescent="0.15">
      <c r="A1343" t="s">
        <v>210</v>
      </c>
      <c r="B1343" s="226">
        <v>42312.707762731479</v>
      </c>
      <c r="C1343" t="s">
        <v>1165</v>
      </c>
      <c r="D1343" t="s">
        <v>13</v>
      </c>
      <c r="E1343">
        <v>40</v>
      </c>
      <c r="F1343">
        <v>0</v>
      </c>
    </row>
    <row r="1344" spans="1:6" x14ac:dyDescent="0.15">
      <c r="A1344" t="s">
        <v>210</v>
      </c>
      <c r="B1344" s="226">
        <v>42312.726382835652</v>
      </c>
      <c r="C1344" t="s">
        <v>1518</v>
      </c>
      <c r="D1344" t="s">
        <v>13</v>
      </c>
      <c r="E1344">
        <v>200</v>
      </c>
      <c r="F1344">
        <v>0</v>
      </c>
    </row>
    <row r="1345" spans="1:6" x14ac:dyDescent="0.15">
      <c r="A1345" t="s">
        <v>210</v>
      </c>
      <c r="B1345" s="226">
        <v>42312.732426805553</v>
      </c>
      <c r="C1345" t="s">
        <v>14</v>
      </c>
      <c r="D1345" t="s">
        <v>15</v>
      </c>
      <c r="E1345">
        <v>60</v>
      </c>
      <c r="F1345">
        <v>4.3</v>
      </c>
    </row>
    <row r="1346" spans="1:6" x14ac:dyDescent="0.15">
      <c r="A1346" t="s">
        <v>210</v>
      </c>
      <c r="B1346" s="226">
        <v>42312.733422766207</v>
      </c>
      <c r="C1346" t="s">
        <v>405</v>
      </c>
      <c r="D1346" t="s">
        <v>13</v>
      </c>
      <c r="E1346">
        <v>100</v>
      </c>
      <c r="F1346">
        <v>0</v>
      </c>
    </row>
    <row r="1347" spans="1:6" x14ac:dyDescent="0.15">
      <c r="A1347" t="s">
        <v>210</v>
      </c>
      <c r="B1347" s="226">
        <v>42312.746860046296</v>
      </c>
      <c r="C1347" t="s">
        <v>1519</v>
      </c>
      <c r="D1347" t="s">
        <v>13</v>
      </c>
      <c r="E1347">
        <v>180</v>
      </c>
      <c r="F1347">
        <v>0</v>
      </c>
    </row>
    <row r="1348" spans="1:6" x14ac:dyDescent="0.15">
      <c r="A1348" t="s">
        <v>210</v>
      </c>
      <c r="B1348" s="226">
        <v>42312.75264337963</v>
      </c>
      <c r="C1348" t="s">
        <v>1520</v>
      </c>
      <c r="D1348" t="s">
        <v>13</v>
      </c>
      <c r="E1348">
        <v>100</v>
      </c>
      <c r="F1348">
        <v>0</v>
      </c>
    </row>
    <row r="1349" spans="1:6" x14ac:dyDescent="0.15">
      <c r="A1349" t="s">
        <v>210</v>
      </c>
      <c r="B1349" s="226">
        <v>42312.753474849538</v>
      </c>
      <c r="C1349" t="s">
        <v>1521</v>
      </c>
      <c r="D1349" t="s">
        <v>13</v>
      </c>
      <c r="E1349">
        <v>100</v>
      </c>
      <c r="F1349">
        <v>0</v>
      </c>
    </row>
    <row r="1350" spans="1:6" x14ac:dyDescent="0.15">
      <c r="A1350" t="s">
        <v>210</v>
      </c>
      <c r="B1350" s="226">
        <v>42312.8600184838</v>
      </c>
      <c r="C1350" t="s">
        <v>1522</v>
      </c>
      <c r="D1350" t="s">
        <v>13</v>
      </c>
      <c r="E1350">
        <v>40</v>
      </c>
      <c r="F1350">
        <v>0</v>
      </c>
    </row>
    <row r="1351" spans="1:6" x14ac:dyDescent="0.15">
      <c r="A1351" t="s">
        <v>210</v>
      </c>
      <c r="B1351" s="226">
        <v>42312.896826886572</v>
      </c>
      <c r="C1351" t="s">
        <v>14</v>
      </c>
      <c r="D1351" t="s">
        <v>13</v>
      </c>
      <c r="E1351">
        <v>40</v>
      </c>
      <c r="F1351">
        <v>3.5</v>
      </c>
    </row>
    <row r="1352" spans="1:6" x14ac:dyDescent="0.15">
      <c r="A1352" t="s">
        <v>210</v>
      </c>
      <c r="B1352" s="226">
        <v>42312.91230009259</v>
      </c>
      <c r="C1352" t="s">
        <v>1523</v>
      </c>
      <c r="D1352" t="s">
        <v>13</v>
      </c>
      <c r="E1352">
        <v>100</v>
      </c>
      <c r="F1352">
        <v>0</v>
      </c>
    </row>
    <row r="1353" spans="1:6" x14ac:dyDescent="0.15">
      <c r="A1353" t="s">
        <v>210</v>
      </c>
      <c r="B1353" s="226">
        <v>42313.06610462963</v>
      </c>
      <c r="C1353" t="s">
        <v>1524</v>
      </c>
      <c r="D1353" t="s">
        <v>13</v>
      </c>
      <c r="E1353">
        <v>60</v>
      </c>
      <c r="F1353">
        <v>0</v>
      </c>
    </row>
    <row r="1354" spans="1:6" x14ac:dyDescent="0.15">
      <c r="A1354" t="s">
        <v>210</v>
      </c>
      <c r="B1354" s="226">
        <v>42313.291445902774</v>
      </c>
      <c r="C1354" t="s">
        <v>1525</v>
      </c>
      <c r="D1354" t="s">
        <v>13</v>
      </c>
      <c r="E1354">
        <v>240</v>
      </c>
      <c r="F1354">
        <v>0</v>
      </c>
    </row>
    <row r="1355" spans="1:6" x14ac:dyDescent="0.15">
      <c r="A1355" t="s">
        <v>210</v>
      </c>
      <c r="B1355" s="226">
        <v>42313.295984803241</v>
      </c>
      <c r="C1355" t="s">
        <v>1526</v>
      </c>
      <c r="D1355" t="s">
        <v>13</v>
      </c>
      <c r="E1355">
        <v>500</v>
      </c>
      <c r="F1355">
        <v>0</v>
      </c>
    </row>
    <row r="1356" spans="1:6" x14ac:dyDescent="0.15">
      <c r="A1356" t="s">
        <v>210</v>
      </c>
      <c r="B1356" s="226">
        <v>42313.326092326388</v>
      </c>
      <c r="C1356" t="s">
        <v>14</v>
      </c>
      <c r="D1356" t="s">
        <v>13</v>
      </c>
      <c r="E1356">
        <v>120</v>
      </c>
      <c r="F1356">
        <v>3.5</v>
      </c>
    </row>
    <row r="1357" spans="1:6" x14ac:dyDescent="0.15">
      <c r="A1357" t="s">
        <v>210</v>
      </c>
      <c r="B1357" s="226">
        <v>42313.33388215278</v>
      </c>
      <c r="C1357" t="s">
        <v>1527</v>
      </c>
      <c r="D1357" t="s">
        <v>13</v>
      </c>
      <c r="E1357">
        <v>80</v>
      </c>
      <c r="F1357">
        <v>0</v>
      </c>
    </row>
    <row r="1358" spans="1:6" x14ac:dyDescent="0.15">
      <c r="A1358" t="s">
        <v>210</v>
      </c>
      <c r="B1358" s="226">
        <v>42313.365400949071</v>
      </c>
      <c r="C1358" t="s">
        <v>1528</v>
      </c>
      <c r="D1358" t="s">
        <v>13</v>
      </c>
      <c r="E1358">
        <v>100</v>
      </c>
      <c r="F1358">
        <v>0</v>
      </c>
    </row>
    <row r="1359" spans="1:6" x14ac:dyDescent="0.15">
      <c r="A1359" t="s">
        <v>210</v>
      </c>
      <c r="B1359" s="226">
        <v>42313.368105277776</v>
      </c>
      <c r="C1359" t="s">
        <v>1529</v>
      </c>
      <c r="D1359" t="s">
        <v>13</v>
      </c>
      <c r="E1359">
        <v>160</v>
      </c>
      <c r="F1359">
        <v>0</v>
      </c>
    </row>
    <row r="1360" spans="1:6" x14ac:dyDescent="0.15">
      <c r="A1360" t="s">
        <v>210</v>
      </c>
      <c r="B1360" s="226">
        <v>42313.392463078701</v>
      </c>
      <c r="C1360" t="s">
        <v>1530</v>
      </c>
      <c r="D1360" t="s">
        <v>13</v>
      </c>
      <c r="E1360">
        <v>60</v>
      </c>
      <c r="F1360">
        <v>0</v>
      </c>
    </row>
    <row r="1361" spans="1:6" x14ac:dyDescent="0.15">
      <c r="A1361" t="s">
        <v>210</v>
      </c>
      <c r="B1361" s="226">
        <v>42313.423622685186</v>
      </c>
      <c r="C1361" t="s">
        <v>1531</v>
      </c>
      <c r="D1361" t="s">
        <v>13</v>
      </c>
      <c r="E1361">
        <v>40</v>
      </c>
      <c r="F1361">
        <v>0</v>
      </c>
    </row>
    <row r="1362" spans="1:6" x14ac:dyDescent="0.15">
      <c r="A1362" t="s">
        <v>210</v>
      </c>
      <c r="B1362" s="226">
        <v>42313.440515451388</v>
      </c>
      <c r="C1362" t="s">
        <v>1532</v>
      </c>
      <c r="D1362" t="s">
        <v>13</v>
      </c>
      <c r="E1362">
        <v>100</v>
      </c>
      <c r="F1362">
        <v>0</v>
      </c>
    </row>
    <row r="1363" spans="1:6" x14ac:dyDescent="0.15">
      <c r="A1363" t="s">
        <v>210</v>
      </c>
      <c r="B1363" s="226">
        <v>42313.456177280095</v>
      </c>
      <c r="C1363" t="s">
        <v>1533</v>
      </c>
      <c r="D1363" t="s">
        <v>13</v>
      </c>
      <c r="E1363">
        <v>60</v>
      </c>
      <c r="F1363">
        <v>0</v>
      </c>
    </row>
    <row r="1364" spans="1:6" x14ac:dyDescent="0.15">
      <c r="A1364" t="s">
        <v>210</v>
      </c>
      <c r="B1364" s="226">
        <v>42313.466131111112</v>
      </c>
      <c r="C1364" t="s">
        <v>634</v>
      </c>
      <c r="D1364" t="s">
        <v>13</v>
      </c>
      <c r="E1364">
        <v>200</v>
      </c>
      <c r="F1364">
        <v>0</v>
      </c>
    </row>
    <row r="1365" spans="1:6" x14ac:dyDescent="0.15">
      <c r="A1365" t="s">
        <v>210</v>
      </c>
      <c r="B1365" s="226">
        <v>42313.467580358796</v>
      </c>
      <c r="C1365" t="s">
        <v>406</v>
      </c>
      <c r="D1365" t="s">
        <v>13</v>
      </c>
      <c r="E1365">
        <v>100</v>
      </c>
      <c r="F1365">
        <v>0</v>
      </c>
    </row>
    <row r="1366" spans="1:6" x14ac:dyDescent="0.15">
      <c r="A1366" t="s">
        <v>210</v>
      </c>
      <c r="B1366" s="226">
        <v>42313.468564745373</v>
      </c>
      <c r="C1366" t="s">
        <v>194</v>
      </c>
      <c r="D1366" t="s">
        <v>13</v>
      </c>
      <c r="E1366">
        <v>40</v>
      </c>
      <c r="F1366">
        <v>0</v>
      </c>
    </row>
    <row r="1367" spans="1:6" x14ac:dyDescent="0.15">
      <c r="A1367" t="s">
        <v>210</v>
      </c>
      <c r="B1367" s="226">
        <v>42313.469306284722</v>
      </c>
      <c r="C1367" t="s">
        <v>1534</v>
      </c>
      <c r="D1367" t="s">
        <v>13</v>
      </c>
      <c r="E1367">
        <v>40</v>
      </c>
      <c r="F1367">
        <v>0</v>
      </c>
    </row>
    <row r="1368" spans="1:6" x14ac:dyDescent="0.15">
      <c r="A1368" t="s">
        <v>210</v>
      </c>
      <c r="B1368" s="226">
        <v>42313.470875104169</v>
      </c>
      <c r="C1368" t="s">
        <v>1535</v>
      </c>
      <c r="D1368" t="s">
        <v>13</v>
      </c>
      <c r="E1368">
        <v>40</v>
      </c>
      <c r="F1368">
        <v>0</v>
      </c>
    </row>
    <row r="1369" spans="1:6" x14ac:dyDescent="0.15">
      <c r="A1369" t="s">
        <v>210</v>
      </c>
      <c r="B1369" s="226">
        <v>42313.489577546294</v>
      </c>
      <c r="C1369" t="s">
        <v>1536</v>
      </c>
      <c r="D1369" t="s">
        <v>13</v>
      </c>
      <c r="E1369">
        <v>100</v>
      </c>
      <c r="F1369">
        <v>0</v>
      </c>
    </row>
    <row r="1370" spans="1:6" x14ac:dyDescent="0.15">
      <c r="A1370" t="s">
        <v>210</v>
      </c>
      <c r="B1370" s="226">
        <v>42313.503583530095</v>
      </c>
      <c r="C1370" t="s">
        <v>1537</v>
      </c>
      <c r="D1370" t="s">
        <v>13</v>
      </c>
      <c r="E1370">
        <v>100</v>
      </c>
      <c r="F1370">
        <v>0</v>
      </c>
    </row>
    <row r="1371" spans="1:6" x14ac:dyDescent="0.15">
      <c r="A1371" t="s">
        <v>210</v>
      </c>
      <c r="B1371" s="226">
        <v>42313.511640300923</v>
      </c>
      <c r="C1371" t="s">
        <v>269</v>
      </c>
      <c r="D1371" t="s">
        <v>13</v>
      </c>
      <c r="E1371">
        <v>20</v>
      </c>
      <c r="F1371">
        <v>0</v>
      </c>
    </row>
    <row r="1372" spans="1:6" x14ac:dyDescent="0.15">
      <c r="A1372" t="s">
        <v>210</v>
      </c>
      <c r="B1372" s="226">
        <v>42313.522562453705</v>
      </c>
      <c r="C1372" t="s">
        <v>14</v>
      </c>
      <c r="D1372" t="s">
        <v>13</v>
      </c>
      <c r="E1372">
        <v>300</v>
      </c>
      <c r="F1372">
        <v>3.5</v>
      </c>
    </row>
    <row r="1373" spans="1:6" x14ac:dyDescent="0.15">
      <c r="A1373" t="s">
        <v>210</v>
      </c>
      <c r="B1373" s="226">
        <v>42313.525089537034</v>
      </c>
      <c r="C1373" t="s">
        <v>1538</v>
      </c>
      <c r="D1373" t="s">
        <v>13</v>
      </c>
      <c r="E1373">
        <v>60</v>
      </c>
      <c r="F1373">
        <v>0</v>
      </c>
    </row>
    <row r="1374" spans="1:6" x14ac:dyDescent="0.15">
      <c r="A1374" t="s">
        <v>210</v>
      </c>
      <c r="B1374" s="226">
        <v>42313.525804016201</v>
      </c>
      <c r="C1374" t="s">
        <v>14</v>
      </c>
      <c r="D1374" t="s">
        <v>13</v>
      </c>
      <c r="E1374">
        <v>100</v>
      </c>
      <c r="F1374">
        <v>3.5</v>
      </c>
    </row>
    <row r="1375" spans="1:6" x14ac:dyDescent="0.15">
      <c r="A1375" t="s">
        <v>210</v>
      </c>
      <c r="B1375" s="226">
        <v>42313.566798831016</v>
      </c>
      <c r="C1375" t="s">
        <v>1539</v>
      </c>
      <c r="D1375" t="s">
        <v>13</v>
      </c>
      <c r="E1375">
        <v>500</v>
      </c>
      <c r="F1375">
        <v>0</v>
      </c>
    </row>
    <row r="1376" spans="1:6" x14ac:dyDescent="0.15">
      <c r="A1376" t="s">
        <v>210</v>
      </c>
      <c r="B1376" s="226">
        <v>42313.571074884261</v>
      </c>
      <c r="C1376" t="s">
        <v>102</v>
      </c>
      <c r="D1376" t="s">
        <v>13</v>
      </c>
      <c r="E1376">
        <v>60</v>
      </c>
      <c r="F1376">
        <v>0</v>
      </c>
    </row>
    <row r="1377" spans="1:6" x14ac:dyDescent="0.15">
      <c r="A1377" t="s">
        <v>210</v>
      </c>
      <c r="B1377" s="226">
        <v>42313.577330682871</v>
      </c>
      <c r="C1377" t="s">
        <v>1540</v>
      </c>
      <c r="D1377" t="s">
        <v>13</v>
      </c>
      <c r="E1377">
        <v>60</v>
      </c>
      <c r="F1377">
        <v>0</v>
      </c>
    </row>
    <row r="1378" spans="1:6" x14ac:dyDescent="0.15">
      <c r="A1378" t="s">
        <v>210</v>
      </c>
      <c r="B1378" s="226">
        <v>42313.615387812497</v>
      </c>
      <c r="C1378" t="s">
        <v>1541</v>
      </c>
      <c r="D1378" t="s">
        <v>15</v>
      </c>
      <c r="E1378">
        <v>40</v>
      </c>
      <c r="F1378">
        <v>1.2</v>
      </c>
    </row>
    <row r="1379" spans="1:6" x14ac:dyDescent="0.15">
      <c r="A1379" t="s">
        <v>210</v>
      </c>
      <c r="B1379" s="226">
        <v>42313.619460462964</v>
      </c>
      <c r="C1379" t="s">
        <v>1542</v>
      </c>
      <c r="D1379" t="s">
        <v>13</v>
      </c>
      <c r="E1379">
        <v>20</v>
      </c>
      <c r="F1379">
        <v>0</v>
      </c>
    </row>
    <row r="1380" spans="1:6" x14ac:dyDescent="0.15">
      <c r="A1380" t="s">
        <v>210</v>
      </c>
      <c r="B1380" s="226">
        <v>42313.620578680559</v>
      </c>
      <c r="C1380" t="s">
        <v>1543</v>
      </c>
      <c r="D1380" t="s">
        <v>13</v>
      </c>
      <c r="E1380">
        <v>40</v>
      </c>
      <c r="F1380">
        <v>0</v>
      </c>
    </row>
    <row r="1381" spans="1:6" x14ac:dyDescent="0.15">
      <c r="A1381" t="s">
        <v>210</v>
      </c>
      <c r="B1381" s="226">
        <v>42313.621289571762</v>
      </c>
      <c r="C1381" t="s">
        <v>1544</v>
      </c>
      <c r="D1381" t="s">
        <v>13</v>
      </c>
      <c r="E1381">
        <v>100</v>
      </c>
      <c r="F1381">
        <v>0</v>
      </c>
    </row>
    <row r="1382" spans="1:6" x14ac:dyDescent="0.15">
      <c r="A1382" t="s">
        <v>210</v>
      </c>
      <c r="B1382" s="226">
        <v>42313.67234232639</v>
      </c>
      <c r="C1382" t="s">
        <v>1545</v>
      </c>
      <c r="D1382" t="s">
        <v>13</v>
      </c>
      <c r="E1382">
        <v>100</v>
      </c>
      <c r="F1382">
        <v>0</v>
      </c>
    </row>
    <row r="1383" spans="1:6" x14ac:dyDescent="0.15">
      <c r="A1383" t="s">
        <v>210</v>
      </c>
      <c r="B1383" s="226">
        <v>42313.698088263889</v>
      </c>
      <c r="C1383" t="s">
        <v>1546</v>
      </c>
      <c r="D1383" t="s">
        <v>13</v>
      </c>
      <c r="E1383">
        <v>100</v>
      </c>
      <c r="F1383">
        <v>0</v>
      </c>
    </row>
    <row r="1384" spans="1:6" x14ac:dyDescent="0.15">
      <c r="A1384" t="s">
        <v>210</v>
      </c>
      <c r="B1384" s="226">
        <v>42313.720859583336</v>
      </c>
      <c r="C1384" t="s">
        <v>14</v>
      </c>
      <c r="D1384" t="s">
        <v>15</v>
      </c>
      <c r="E1384">
        <v>200</v>
      </c>
      <c r="F1384">
        <v>8.5</v>
      </c>
    </row>
    <row r="1385" spans="1:6" x14ac:dyDescent="0.15">
      <c r="A1385" t="s">
        <v>210</v>
      </c>
      <c r="B1385" s="226">
        <v>42313.724855925924</v>
      </c>
      <c r="C1385" t="s">
        <v>1547</v>
      </c>
      <c r="D1385" t="s">
        <v>13</v>
      </c>
      <c r="E1385">
        <v>20</v>
      </c>
      <c r="F1385">
        <v>0</v>
      </c>
    </row>
    <row r="1386" spans="1:6" x14ac:dyDescent="0.15">
      <c r="A1386" t="s">
        <v>210</v>
      </c>
      <c r="B1386" s="226">
        <v>42313.751703159724</v>
      </c>
      <c r="C1386" t="s">
        <v>1548</v>
      </c>
      <c r="D1386" t="s">
        <v>13</v>
      </c>
      <c r="E1386">
        <v>100</v>
      </c>
      <c r="F1386">
        <v>0</v>
      </c>
    </row>
    <row r="1387" spans="1:6" x14ac:dyDescent="0.15">
      <c r="A1387" t="s">
        <v>210</v>
      </c>
      <c r="B1387" s="226">
        <v>42313.754594467595</v>
      </c>
      <c r="C1387" t="s">
        <v>1370</v>
      </c>
      <c r="D1387" t="s">
        <v>13</v>
      </c>
      <c r="E1387">
        <v>100</v>
      </c>
      <c r="F1387">
        <v>0</v>
      </c>
    </row>
    <row r="1388" spans="1:6" x14ac:dyDescent="0.15">
      <c r="A1388" t="s">
        <v>210</v>
      </c>
      <c r="B1388" s="226">
        <v>42313.769318275467</v>
      </c>
      <c r="C1388" t="s">
        <v>1549</v>
      </c>
      <c r="D1388" t="s">
        <v>13</v>
      </c>
      <c r="E1388">
        <v>100</v>
      </c>
      <c r="F1388">
        <v>0</v>
      </c>
    </row>
    <row r="1389" spans="1:6" x14ac:dyDescent="0.15">
      <c r="A1389" t="s">
        <v>210</v>
      </c>
      <c r="B1389" s="226">
        <v>42313.779741446757</v>
      </c>
      <c r="C1389" t="s">
        <v>1550</v>
      </c>
      <c r="D1389" t="s">
        <v>13</v>
      </c>
      <c r="E1389">
        <v>40</v>
      </c>
      <c r="F1389">
        <v>0</v>
      </c>
    </row>
    <row r="1390" spans="1:6" x14ac:dyDescent="0.15">
      <c r="A1390" t="s">
        <v>210</v>
      </c>
      <c r="B1390" s="226">
        <v>42313.789857314812</v>
      </c>
      <c r="C1390" t="s">
        <v>1389</v>
      </c>
      <c r="D1390" t="s">
        <v>13</v>
      </c>
      <c r="E1390">
        <v>40</v>
      </c>
      <c r="F1390">
        <v>0</v>
      </c>
    </row>
    <row r="1391" spans="1:6" x14ac:dyDescent="0.15">
      <c r="A1391" t="s">
        <v>210</v>
      </c>
      <c r="B1391" s="226">
        <v>42313.819224178238</v>
      </c>
      <c r="C1391" t="s">
        <v>1551</v>
      </c>
      <c r="D1391" t="s">
        <v>13</v>
      </c>
      <c r="E1391">
        <v>80</v>
      </c>
      <c r="F1391">
        <v>0</v>
      </c>
    </row>
    <row r="1392" spans="1:6" x14ac:dyDescent="0.15">
      <c r="A1392" t="s">
        <v>210</v>
      </c>
      <c r="B1392" s="226">
        <v>42313.874582094904</v>
      </c>
      <c r="C1392" t="s">
        <v>1552</v>
      </c>
      <c r="D1392" t="s">
        <v>13</v>
      </c>
      <c r="E1392">
        <v>100</v>
      </c>
      <c r="F1392">
        <v>0</v>
      </c>
    </row>
    <row r="1393" spans="1:6" x14ac:dyDescent="0.15">
      <c r="A1393" t="s">
        <v>210</v>
      </c>
      <c r="B1393" s="226">
        <v>42313.970818252317</v>
      </c>
      <c r="C1393" t="s">
        <v>14</v>
      </c>
      <c r="D1393" t="s">
        <v>13</v>
      </c>
      <c r="E1393">
        <v>200</v>
      </c>
      <c r="F1393">
        <v>3.5</v>
      </c>
    </row>
    <row r="1394" spans="1:6" x14ac:dyDescent="0.15">
      <c r="A1394" t="s">
        <v>210</v>
      </c>
      <c r="B1394" s="226">
        <v>42314.020577928241</v>
      </c>
      <c r="C1394" t="s">
        <v>1553</v>
      </c>
      <c r="D1394" t="s">
        <v>13</v>
      </c>
      <c r="E1394">
        <v>100</v>
      </c>
      <c r="F1394">
        <v>0</v>
      </c>
    </row>
    <row r="1395" spans="1:6" x14ac:dyDescent="0.15">
      <c r="A1395" t="s">
        <v>210</v>
      </c>
      <c r="B1395" s="226">
        <v>42314.228125671296</v>
      </c>
      <c r="C1395" t="s">
        <v>1554</v>
      </c>
      <c r="D1395" t="s">
        <v>13</v>
      </c>
      <c r="E1395">
        <v>100</v>
      </c>
      <c r="F1395">
        <v>0</v>
      </c>
    </row>
    <row r="1396" spans="1:6" x14ac:dyDescent="0.15">
      <c r="A1396" t="s">
        <v>210</v>
      </c>
      <c r="B1396" s="226">
        <v>42314.320691493056</v>
      </c>
      <c r="C1396" t="s">
        <v>1555</v>
      </c>
      <c r="D1396" t="s">
        <v>13</v>
      </c>
      <c r="E1396">
        <v>100</v>
      </c>
      <c r="F1396">
        <v>0</v>
      </c>
    </row>
    <row r="1397" spans="1:6" x14ac:dyDescent="0.15">
      <c r="A1397" t="s">
        <v>210</v>
      </c>
      <c r="B1397" s="226">
        <v>42314.325633171298</v>
      </c>
      <c r="C1397" t="s">
        <v>1556</v>
      </c>
      <c r="D1397" t="s">
        <v>15</v>
      </c>
      <c r="E1397">
        <v>100</v>
      </c>
      <c r="F1397">
        <v>3</v>
      </c>
    </row>
    <row r="1398" spans="1:6" x14ac:dyDescent="0.15">
      <c r="A1398" t="s">
        <v>210</v>
      </c>
      <c r="B1398" s="226">
        <v>42314.329472187499</v>
      </c>
      <c r="C1398" t="s">
        <v>839</v>
      </c>
      <c r="D1398" t="s">
        <v>13</v>
      </c>
      <c r="E1398">
        <v>100</v>
      </c>
      <c r="F1398">
        <v>0</v>
      </c>
    </row>
    <row r="1399" spans="1:6" x14ac:dyDescent="0.15">
      <c r="A1399" t="s">
        <v>210</v>
      </c>
      <c r="B1399" s="226">
        <v>42314.342293773145</v>
      </c>
      <c r="C1399" t="s">
        <v>1557</v>
      </c>
      <c r="D1399" t="s">
        <v>13</v>
      </c>
      <c r="E1399">
        <v>100</v>
      </c>
      <c r="F1399">
        <v>0</v>
      </c>
    </row>
    <row r="1400" spans="1:6" x14ac:dyDescent="0.15">
      <c r="A1400" t="s">
        <v>210</v>
      </c>
      <c r="B1400" s="226">
        <v>42314.353053553241</v>
      </c>
      <c r="C1400" t="s">
        <v>1558</v>
      </c>
      <c r="D1400" t="s">
        <v>13</v>
      </c>
      <c r="E1400">
        <v>120</v>
      </c>
      <c r="F1400">
        <v>0</v>
      </c>
    </row>
    <row r="1401" spans="1:6" x14ac:dyDescent="0.15">
      <c r="A1401" t="s">
        <v>210</v>
      </c>
      <c r="B1401" s="226">
        <v>42314.367972777778</v>
      </c>
      <c r="C1401" t="s">
        <v>195</v>
      </c>
      <c r="D1401" t="s">
        <v>13</v>
      </c>
      <c r="E1401">
        <v>60</v>
      </c>
      <c r="F1401">
        <v>0</v>
      </c>
    </row>
    <row r="1402" spans="1:6" x14ac:dyDescent="0.15">
      <c r="A1402" t="s">
        <v>210</v>
      </c>
      <c r="B1402" s="226">
        <v>42314.373033819444</v>
      </c>
      <c r="C1402" t="s">
        <v>407</v>
      </c>
      <c r="D1402" t="s">
        <v>13</v>
      </c>
      <c r="E1402">
        <v>100</v>
      </c>
      <c r="F1402">
        <v>0</v>
      </c>
    </row>
    <row r="1403" spans="1:6" x14ac:dyDescent="0.15">
      <c r="A1403" t="s">
        <v>210</v>
      </c>
      <c r="B1403" s="226">
        <v>42314.391704479167</v>
      </c>
      <c r="C1403" t="s">
        <v>408</v>
      </c>
      <c r="D1403" t="s">
        <v>13</v>
      </c>
      <c r="E1403">
        <v>20</v>
      </c>
      <c r="F1403">
        <v>0</v>
      </c>
    </row>
    <row r="1404" spans="1:6" x14ac:dyDescent="0.15">
      <c r="A1404" t="s">
        <v>210</v>
      </c>
      <c r="B1404" s="226">
        <v>42314.446665393516</v>
      </c>
      <c r="C1404" t="s">
        <v>1559</v>
      </c>
      <c r="D1404" t="s">
        <v>13</v>
      </c>
      <c r="E1404">
        <v>60</v>
      </c>
      <c r="F1404">
        <v>0</v>
      </c>
    </row>
    <row r="1405" spans="1:6" x14ac:dyDescent="0.15">
      <c r="A1405" t="s">
        <v>210</v>
      </c>
      <c r="B1405" s="226">
        <v>42314.451333206016</v>
      </c>
      <c r="C1405" t="s">
        <v>1560</v>
      </c>
      <c r="D1405" t="s">
        <v>13</v>
      </c>
      <c r="E1405">
        <v>40</v>
      </c>
      <c r="F1405">
        <v>0</v>
      </c>
    </row>
    <row r="1406" spans="1:6" x14ac:dyDescent="0.15">
      <c r="A1406" t="s">
        <v>210</v>
      </c>
      <c r="B1406" s="226">
        <v>42314.460345752312</v>
      </c>
      <c r="C1406" t="s">
        <v>1074</v>
      </c>
      <c r="D1406" t="s">
        <v>13</v>
      </c>
      <c r="E1406">
        <v>100</v>
      </c>
      <c r="F1406">
        <v>0</v>
      </c>
    </row>
    <row r="1407" spans="1:6" x14ac:dyDescent="0.15">
      <c r="A1407" t="s">
        <v>210</v>
      </c>
      <c r="B1407" s="226">
        <v>42314.463410578704</v>
      </c>
      <c r="C1407" t="s">
        <v>14</v>
      </c>
      <c r="D1407" t="s">
        <v>13</v>
      </c>
      <c r="E1407">
        <v>60</v>
      </c>
      <c r="F1407">
        <v>3.5</v>
      </c>
    </row>
    <row r="1408" spans="1:6" x14ac:dyDescent="0.15">
      <c r="A1408" t="s">
        <v>210</v>
      </c>
      <c r="B1408" s="226">
        <v>42314.465136365739</v>
      </c>
      <c r="C1408" t="s">
        <v>1561</v>
      </c>
      <c r="D1408" t="s">
        <v>13</v>
      </c>
      <c r="E1408">
        <v>200</v>
      </c>
      <c r="F1408">
        <v>0</v>
      </c>
    </row>
    <row r="1409" spans="1:6" x14ac:dyDescent="0.15">
      <c r="A1409" t="s">
        <v>210</v>
      </c>
      <c r="B1409" s="226">
        <v>42314.467428703705</v>
      </c>
      <c r="C1409" t="s">
        <v>1309</v>
      </c>
      <c r="D1409" t="s">
        <v>13</v>
      </c>
      <c r="E1409">
        <v>60</v>
      </c>
      <c r="F1409">
        <v>0</v>
      </c>
    </row>
    <row r="1410" spans="1:6" x14ac:dyDescent="0.15">
      <c r="A1410" t="s">
        <v>210</v>
      </c>
      <c r="B1410" s="226">
        <v>42314.473341446763</v>
      </c>
      <c r="C1410" t="s">
        <v>1435</v>
      </c>
      <c r="D1410" t="s">
        <v>13</v>
      </c>
      <c r="E1410">
        <v>100</v>
      </c>
      <c r="F1410">
        <v>0</v>
      </c>
    </row>
    <row r="1411" spans="1:6" x14ac:dyDescent="0.15">
      <c r="A1411" t="s">
        <v>210</v>
      </c>
      <c r="B1411" s="226">
        <v>42314.475451099534</v>
      </c>
      <c r="C1411" t="s">
        <v>14</v>
      </c>
      <c r="D1411" t="s">
        <v>13</v>
      </c>
      <c r="E1411">
        <v>80</v>
      </c>
      <c r="F1411">
        <v>3.5</v>
      </c>
    </row>
    <row r="1412" spans="1:6" x14ac:dyDescent="0.15">
      <c r="A1412" t="s">
        <v>210</v>
      </c>
      <c r="B1412" s="226">
        <v>42314.477763738425</v>
      </c>
      <c r="C1412" t="s">
        <v>1562</v>
      </c>
      <c r="D1412" t="s">
        <v>13</v>
      </c>
      <c r="E1412">
        <v>60</v>
      </c>
      <c r="F1412">
        <v>0</v>
      </c>
    </row>
    <row r="1413" spans="1:6" x14ac:dyDescent="0.15">
      <c r="A1413" t="s">
        <v>210</v>
      </c>
      <c r="B1413" s="226">
        <v>42314.480932094906</v>
      </c>
      <c r="C1413" t="s">
        <v>1563</v>
      </c>
      <c r="D1413" t="s">
        <v>13</v>
      </c>
      <c r="E1413">
        <v>100</v>
      </c>
      <c r="F1413">
        <v>0</v>
      </c>
    </row>
    <row r="1414" spans="1:6" x14ac:dyDescent="0.15">
      <c r="A1414" t="s">
        <v>210</v>
      </c>
      <c r="B1414" s="226">
        <v>42314.492232372686</v>
      </c>
      <c r="C1414" t="s">
        <v>14</v>
      </c>
      <c r="D1414" t="s">
        <v>13</v>
      </c>
      <c r="E1414">
        <v>80</v>
      </c>
      <c r="F1414">
        <v>3.5</v>
      </c>
    </row>
    <row r="1415" spans="1:6" x14ac:dyDescent="0.15">
      <c r="A1415" t="s">
        <v>210</v>
      </c>
      <c r="B1415" s="226">
        <v>42314.498194432868</v>
      </c>
      <c r="C1415" t="s">
        <v>1564</v>
      </c>
      <c r="D1415" t="s">
        <v>13</v>
      </c>
      <c r="E1415">
        <v>100</v>
      </c>
      <c r="F1415">
        <v>0</v>
      </c>
    </row>
    <row r="1416" spans="1:6" x14ac:dyDescent="0.15">
      <c r="A1416" t="s">
        <v>210</v>
      </c>
      <c r="B1416" s="226">
        <v>42314.501393946761</v>
      </c>
      <c r="C1416" t="s">
        <v>1565</v>
      </c>
      <c r="D1416" t="s">
        <v>13</v>
      </c>
      <c r="E1416">
        <v>40</v>
      </c>
      <c r="F1416">
        <v>0</v>
      </c>
    </row>
    <row r="1417" spans="1:6" x14ac:dyDescent="0.15">
      <c r="A1417" t="s">
        <v>210</v>
      </c>
      <c r="B1417" s="226">
        <v>42314.50672099537</v>
      </c>
      <c r="C1417" t="s">
        <v>248</v>
      </c>
      <c r="D1417" t="s">
        <v>13</v>
      </c>
      <c r="E1417">
        <v>80</v>
      </c>
      <c r="F1417">
        <v>0</v>
      </c>
    </row>
    <row r="1418" spans="1:6" x14ac:dyDescent="0.15">
      <c r="A1418" t="s">
        <v>210</v>
      </c>
      <c r="B1418" s="226">
        <v>42314.513837210645</v>
      </c>
      <c r="C1418" t="s">
        <v>239</v>
      </c>
      <c r="D1418" t="s">
        <v>13</v>
      </c>
      <c r="E1418">
        <v>40</v>
      </c>
      <c r="F1418">
        <v>0</v>
      </c>
    </row>
    <row r="1419" spans="1:6" x14ac:dyDescent="0.15">
      <c r="A1419" t="s">
        <v>210</v>
      </c>
      <c r="B1419" s="226">
        <v>42314.516813263886</v>
      </c>
      <c r="C1419" t="s">
        <v>1566</v>
      </c>
      <c r="D1419" t="s">
        <v>13</v>
      </c>
      <c r="E1419">
        <v>160</v>
      </c>
      <c r="F1419">
        <v>0</v>
      </c>
    </row>
    <row r="1420" spans="1:6" x14ac:dyDescent="0.15">
      <c r="A1420" t="s">
        <v>210</v>
      </c>
      <c r="B1420" s="226">
        <v>42314.520950428239</v>
      </c>
      <c r="C1420" t="s">
        <v>1567</v>
      </c>
      <c r="D1420" t="s">
        <v>13</v>
      </c>
      <c r="E1420">
        <v>100</v>
      </c>
      <c r="F1420">
        <v>0</v>
      </c>
    </row>
    <row r="1421" spans="1:6" x14ac:dyDescent="0.15">
      <c r="A1421" t="s">
        <v>210</v>
      </c>
      <c r="B1421" s="226">
        <v>42314.522463703703</v>
      </c>
      <c r="C1421" t="s">
        <v>1568</v>
      </c>
      <c r="D1421" t="s">
        <v>13</v>
      </c>
      <c r="E1421">
        <v>200</v>
      </c>
      <c r="F1421">
        <v>0</v>
      </c>
    </row>
    <row r="1422" spans="1:6" x14ac:dyDescent="0.15">
      <c r="A1422" t="s">
        <v>210</v>
      </c>
      <c r="B1422" s="226">
        <v>42314.542927233793</v>
      </c>
      <c r="C1422" t="s">
        <v>14</v>
      </c>
      <c r="D1422" t="s">
        <v>13</v>
      </c>
      <c r="E1422">
        <v>80</v>
      </c>
      <c r="F1422">
        <v>3.5</v>
      </c>
    </row>
    <row r="1423" spans="1:6" x14ac:dyDescent="0.15">
      <c r="A1423" t="s">
        <v>210</v>
      </c>
      <c r="B1423" s="226">
        <v>42314.566632002316</v>
      </c>
      <c r="C1423" t="s">
        <v>1569</v>
      </c>
      <c r="D1423" t="s">
        <v>13</v>
      </c>
      <c r="E1423">
        <v>100</v>
      </c>
      <c r="F1423">
        <v>0</v>
      </c>
    </row>
    <row r="1424" spans="1:6" x14ac:dyDescent="0.15">
      <c r="A1424" t="s">
        <v>210</v>
      </c>
      <c r="B1424" s="226">
        <v>42314.602001701387</v>
      </c>
      <c r="C1424" t="s">
        <v>1092</v>
      </c>
      <c r="D1424" t="s">
        <v>13</v>
      </c>
      <c r="E1424">
        <v>100</v>
      </c>
      <c r="F1424">
        <v>0</v>
      </c>
    </row>
    <row r="1425" spans="1:6" x14ac:dyDescent="0.15">
      <c r="A1425" t="s">
        <v>210</v>
      </c>
      <c r="B1425" s="226">
        <v>42314.604664444443</v>
      </c>
      <c r="C1425" t="s">
        <v>1570</v>
      </c>
      <c r="D1425" t="s">
        <v>15</v>
      </c>
      <c r="E1425">
        <v>300</v>
      </c>
      <c r="F1425">
        <v>9</v>
      </c>
    </row>
    <row r="1426" spans="1:6" x14ac:dyDescent="0.15">
      <c r="A1426" t="s">
        <v>210</v>
      </c>
      <c r="B1426" s="226">
        <v>42314.607232164351</v>
      </c>
      <c r="C1426" t="s">
        <v>14</v>
      </c>
      <c r="D1426" t="s">
        <v>13</v>
      </c>
      <c r="E1426">
        <v>20</v>
      </c>
      <c r="F1426">
        <v>3.5</v>
      </c>
    </row>
    <row r="1427" spans="1:6" x14ac:dyDescent="0.15">
      <c r="A1427" t="s">
        <v>210</v>
      </c>
      <c r="B1427" s="226">
        <v>42314.609150428238</v>
      </c>
      <c r="C1427" t="s">
        <v>817</v>
      </c>
      <c r="D1427" t="s">
        <v>13</v>
      </c>
      <c r="E1427">
        <v>100</v>
      </c>
      <c r="F1427">
        <v>0</v>
      </c>
    </row>
    <row r="1428" spans="1:6" x14ac:dyDescent="0.15">
      <c r="A1428" t="s">
        <v>210</v>
      </c>
      <c r="B1428" s="226">
        <v>42314.611499930557</v>
      </c>
      <c r="C1428" t="s">
        <v>1571</v>
      </c>
      <c r="D1428" t="s">
        <v>13</v>
      </c>
      <c r="E1428">
        <v>500</v>
      </c>
      <c r="F1428">
        <v>0</v>
      </c>
    </row>
    <row r="1429" spans="1:6" x14ac:dyDescent="0.15">
      <c r="A1429" t="s">
        <v>210</v>
      </c>
      <c r="B1429" s="226">
        <v>42314.617280740742</v>
      </c>
      <c r="C1429" t="s">
        <v>1572</v>
      </c>
      <c r="D1429" t="s">
        <v>13</v>
      </c>
      <c r="E1429">
        <v>100</v>
      </c>
      <c r="F1429">
        <v>0</v>
      </c>
    </row>
    <row r="1430" spans="1:6" x14ac:dyDescent="0.15">
      <c r="A1430" t="s">
        <v>210</v>
      </c>
      <c r="B1430" s="226">
        <v>42314.619646956016</v>
      </c>
      <c r="C1430" t="s">
        <v>14</v>
      </c>
      <c r="D1430" t="s">
        <v>15</v>
      </c>
      <c r="E1430">
        <v>20</v>
      </c>
      <c r="F1430">
        <v>3.1</v>
      </c>
    </row>
    <row r="1431" spans="1:6" x14ac:dyDescent="0.15">
      <c r="A1431" t="s">
        <v>210</v>
      </c>
      <c r="B1431" s="226">
        <v>42314.635321435184</v>
      </c>
      <c r="C1431" t="s">
        <v>1573</v>
      </c>
      <c r="D1431" t="s">
        <v>13</v>
      </c>
      <c r="E1431">
        <v>180</v>
      </c>
      <c r="F1431">
        <v>0</v>
      </c>
    </row>
    <row r="1432" spans="1:6" x14ac:dyDescent="0.15">
      <c r="A1432" t="s">
        <v>210</v>
      </c>
      <c r="B1432" s="226">
        <v>42314.637833541667</v>
      </c>
      <c r="C1432" t="s">
        <v>1574</v>
      </c>
      <c r="D1432" t="s">
        <v>13</v>
      </c>
      <c r="E1432">
        <v>80</v>
      </c>
      <c r="F1432">
        <v>0</v>
      </c>
    </row>
    <row r="1433" spans="1:6" x14ac:dyDescent="0.15">
      <c r="A1433" t="s">
        <v>210</v>
      </c>
      <c r="B1433" s="226">
        <v>42314.639263032404</v>
      </c>
      <c r="C1433" t="s">
        <v>1575</v>
      </c>
      <c r="D1433" t="s">
        <v>13</v>
      </c>
      <c r="E1433">
        <v>100</v>
      </c>
      <c r="F1433">
        <v>0</v>
      </c>
    </row>
    <row r="1434" spans="1:6" x14ac:dyDescent="0.15">
      <c r="A1434" t="s">
        <v>210</v>
      </c>
      <c r="B1434" s="226">
        <v>42314.671102106484</v>
      </c>
      <c r="C1434" t="s">
        <v>1576</v>
      </c>
      <c r="D1434" t="s">
        <v>13</v>
      </c>
      <c r="E1434">
        <v>100</v>
      </c>
      <c r="F1434">
        <v>0</v>
      </c>
    </row>
    <row r="1435" spans="1:6" x14ac:dyDescent="0.15">
      <c r="A1435" t="s">
        <v>210</v>
      </c>
      <c r="B1435" s="226">
        <v>42314.695680462966</v>
      </c>
      <c r="C1435" t="s">
        <v>1577</v>
      </c>
      <c r="D1435" t="s">
        <v>13</v>
      </c>
      <c r="E1435">
        <v>40</v>
      </c>
      <c r="F1435">
        <v>0</v>
      </c>
    </row>
    <row r="1436" spans="1:6" x14ac:dyDescent="0.15">
      <c r="A1436" t="s">
        <v>210</v>
      </c>
      <c r="B1436" s="226">
        <v>42314.700473703706</v>
      </c>
      <c r="C1436" t="s">
        <v>1578</v>
      </c>
      <c r="D1436" t="s">
        <v>13</v>
      </c>
      <c r="E1436">
        <v>300</v>
      </c>
      <c r="F1436">
        <v>0</v>
      </c>
    </row>
    <row r="1437" spans="1:6" x14ac:dyDescent="0.15">
      <c r="A1437" t="s">
        <v>210</v>
      </c>
      <c r="B1437" s="226">
        <v>42314.722393055556</v>
      </c>
      <c r="C1437" t="s">
        <v>1579</v>
      </c>
      <c r="D1437" t="s">
        <v>13</v>
      </c>
      <c r="E1437">
        <v>100</v>
      </c>
      <c r="F1437">
        <v>0</v>
      </c>
    </row>
    <row r="1438" spans="1:6" x14ac:dyDescent="0.15">
      <c r="A1438" t="s">
        <v>210</v>
      </c>
      <c r="B1438" s="226">
        <v>42314.728464409724</v>
      </c>
      <c r="C1438" t="s">
        <v>1580</v>
      </c>
      <c r="D1438" t="s">
        <v>13</v>
      </c>
      <c r="E1438">
        <v>100</v>
      </c>
      <c r="F1438">
        <v>0</v>
      </c>
    </row>
    <row r="1439" spans="1:6" x14ac:dyDescent="0.15">
      <c r="A1439" t="s">
        <v>210</v>
      </c>
      <c r="B1439" s="226">
        <v>42314.745776504627</v>
      </c>
      <c r="C1439" t="s">
        <v>1248</v>
      </c>
      <c r="D1439" t="s">
        <v>13</v>
      </c>
      <c r="E1439">
        <v>40</v>
      </c>
      <c r="F1439">
        <v>0</v>
      </c>
    </row>
    <row r="1440" spans="1:6" x14ac:dyDescent="0.15">
      <c r="A1440" t="s">
        <v>210</v>
      </c>
      <c r="B1440" s="226">
        <v>42314.761005717592</v>
      </c>
      <c r="C1440" t="s">
        <v>1581</v>
      </c>
      <c r="D1440" t="s">
        <v>13</v>
      </c>
      <c r="E1440">
        <v>100</v>
      </c>
      <c r="F1440">
        <v>0</v>
      </c>
    </row>
    <row r="1441" spans="1:6" x14ac:dyDescent="0.15">
      <c r="A1441" t="s">
        <v>210</v>
      </c>
      <c r="B1441" s="226">
        <v>42314.811929537034</v>
      </c>
      <c r="C1441" t="s">
        <v>1582</v>
      </c>
      <c r="D1441" t="s">
        <v>13</v>
      </c>
      <c r="E1441">
        <v>20</v>
      </c>
      <c r="F1441">
        <v>0</v>
      </c>
    </row>
    <row r="1442" spans="1:6" x14ac:dyDescent="0.15">
      <c r="A1442" t="s">
        <v>210</v>
      </c>
      <c r="B1442" s="226">
        <v>42314.825637905094</v>
      </c>
      <c r="C1442" t="s">
        <v>1583</v>
      </c>
      <c r="D1442" t="s">
        <v>13</v>
      </c>
      <c r="E1442">
        <v>100</v>
      </c>
      <c r="F1442">
        <v>0</v>
      </c>
    </row>
    <row r="1443" spans="1:6" x14ac:dyDescent="0.15">
      <c r="A1443" t="s">
        <v>210</v>
      </c>
      <c r="B1443" s="226">
        <v>42314.844256111108</v>
      </c>
      <c r="C1443" t="s">
        <v>1584</v>
      </c>
      <c r="D1443" t="s">
        <v>13</v>
      </c>
      <c r="E1443">
        <v>40</v>
      </c>
      <c r="F1443">
        <v>0</v>
      </c>
    </row>
    <row r="1444" spans="1:6" x14ac:dyDescent="0.15">
      <c r="A1444" t="s">
        <v>210</v>
      </c>
      <c r="B1444" s="226">
        <v>42314.922765949072</v>
      </c>
      <c r="C1444" t="s">
        <v>1585</v>
      </c>
      <c r="D1444" t="s">
        <v>13</v>
      </c>
      <c r="E1444">
        <v>40</v>
      </c>
      <c r="F1444">
        <v>0</v>
      </c>
    </row>
    <row r="1445" spans="1:6" x14ac:dyDescent="0.15">
      <c r="A1445" t="s">
        <v>210</v>
      </c>
      <c r="B1445" s="226">
        <v>42314.929145856484</v>
      </c>
      <c r="C1445" t="s">
        <v>182</v>
      </c>
      <c r="D1445" t="s">
        <v>13</v>
      </c>
      <c r="E1445">
        <v>240</v>
      </c>
      <c r="F1445">
        <v>0</v>
      </c>
    </row>
    <row r="1446" spans="1:6" x14ac:dyDescent="0.15">
      <c r="A1446" t="s">
        <v>210</v>
      </c>
      <c r="B1446" s="226">
        <v>42314.940123125001</v>
      </c>
      <c r="C1446" t="s">
        <v>1586</v>
      </c>
      <c r="D1446" t="s">
        <v>13</v>
      </c>
      <c r="E1446">
        <v>60</v>
      </c>
      <c r="F1446">
        <v>0</v>
      </c>
    </row>
    <row r="1447" spans="1:6" x14ac:dyDescent="0.15">
      <c r="A1447" t="s">
        <v>210</v>
      </c>
      <c r="B1447" s="226">
        <v>42314.981285879629</v>
      </c>
      <c r="C1447" t="s">
        <v>409</v>
      </c>
      <c r="D1447" t="s">
        <v>13</v>
      </c>
      <c r="E1447">
        <v>100</v>
      </c>
      <c r="F1447">
        <v>0</v>
      </c>
    </row>
    <row r="1448" spans="1:6" x14ac:dyDescent="0.15">
      <c r="A1448" t="s">
        <v>210</v>
      </c>
      <c r="B1448" s="226">
        <v>42315.054632511572</v>
      </c>
      <c r="C1448" t="s">
        <v>1587</v>
      </c>
      <c r="D1448" t="s">
        <v>13</v>
      </c>
      <c r="E1448">
        <v>200</v>
      </c>
      <c r="F1448">
        <v>0</v>
      </c>
    </row>
    <row r="1449" spans="1:6" x14ac:dyDescent="0.15">
      <c r="A1449" t="s">
        <v>210</v>
      </c>
      <c r="B1449" s="226">
        <v>42315.294810601852</v>
      </c>
      <c r="C1449" t="s">
        <v>14</v>
      </c>
      <c r="D1449" t="s">
        <v>13</v>
      </c>
      <c r="E1449">
        <v>100</v>
      </c>
      <c r="F1449">
        <v>3.5</v>
      </c>
    </row>
    <row r="1450" spans="1:6" x14ac:dyDescent="0.15">
      <c r="A1450" t="s">
        <v>210</v>
      </c>
      <c r="B1450" s="226">
        <v>42315.319499097219</v>
      </c>
      <c r="C1450" t="s">
        <v>1588</v>
      </c>
      <c r="D1450" t="s">
        <v>13</v>
      </c>
      <c r="E1450">
        <v>100</v>
      </c>
      <c r="F1450">
        <v>0</v>
      </c>
    </row>
    <row r="1451" spans="1:6" x14ac:dyDescent="0.15">
      <c r="A1451" t="s">
        <v>210</v>
      </c>
      <c r="B1451" s="226">
        <v>42315.341819953705</v>
      </c>
      <c r="C1451" t="s">
        <v>1589</v>
      </c>
      <c r="D1451" t="s">
        <v>13</v>
      </c>
      <c r="E1451">
        <v>100</v>
      </c>
      <c r="F1451">
        <v>0</v>
      </c>
    </row>
    <row r="1452" spans="1:6" x14ac:dyDescent="0.15">
      <c r="A1452" t="s">
        <v>210</v>
      </c>
      <c r="B1452" s="226">
        <v>42315.34309047454</v>
      </c>
      <c r="C1452" t="s">
        <v>1590</v>
      </c>
      <c r="D1452" t="s">
        <v>13</v>
      </c>
      <c r="E1452">
        <v>40</v>
      </c>
      <c r="F1452">
        <v>0</v>
      </c>
    </row>
    <row r="1453" spans="1:6" x14ac:dyDescent="0.15">
      <c r="A1453" t="s">
        <v>210</v>
      </c>
      <c r="B1453" s="226">
        <v>42315.355879305556</v>
      </c>
      <c r="C1453" t="s">
        <v>586</v>
      </c>
      <c r="D1453" t="s">
        <v>13</v>
      </c>
      <c r="E1453">
        <v>200</v>
      </c>
      <c r="F1453">
        <v>0</v>
      </c>
    </row>
    <row r="1454" spans="1:6" x14ac:dyDescent="0.15">
      <c r="A1454" t="s">
        <v>210</v>
      </c>
      <c r="B1454" s="226">
        <v>42315.366416689816</v>
      </c>
      <c r="C1454" t="s">
        <v>1591</v>
      </c>
      <c r="D1454" t="s">
        <v>13</v>
      </c>
      <c r="E1454">
        <v>120</v>
      </c>
      <c r="F1454">
        <v>0</v>
      </c>
    </row>
    <row r="1455" spans="1:6" x14ac:dyDescent="0.15">
      <c r="A1455" t="s">
        <v>210</v>
      </c>
      <c r="B1455" s="226">
        <v>42315.370067974538</v>
      </c>
      <c r="C1455" t="s">
        <v>172</v>
      </c>
      <c r="D1455" t="s">
        <v>13</v>
      </c>
      <c r="E1455">
        <v>40</v>
      </c>
      <c r="F1455">
        <v>0</v>
      </c>
    </row>
    <row r="1456" spans="1:6" x14ac:dyDescent="0.15">
      <c r="A1456" t="s">
        <v>210</v>
      </c>
      <c r="B1456" s="226">
        <v>42315.376473715274</v>
      </c>
      <c r="C1456" t="s">
        <v>410</v>
      </c>
      <c r="D1456" t="s">
        <v>13</v>
      </c>
      <c r="E1456">
        <v>80</v>
      </c>
      <c r="F1456">
        <v>0</v>
      </c>
    </row>
    <row r="1457" spans="1:6" x14ac:dyDescent="0.15">
      <c r="A1457" t="s">
        <v>210</v>
      </c>
      <c r="B1457" s="226">
        <v>42315.388914479168</v>
      </c>
      <c r="C1457" t="s">
        <v>1592</v>
      </c>
      <c r="D1457" t="s">
        <v>13</v>
      </c>
      <c r="E1457">
        <v>100</v>
      </c>
      <c r="F1457">
        <v>0</v>
      </c>
    </row>
    <row r="1458" spans="1:6" x14ac:dyDescent="0.15">
      <c r="A1458" t="s">
        <v>210</v>
      </c>
      <c r="B1458" s="226">
        <v>42315.406234780094</v>
      </c>
      <c r="C1458" t="s">
        <v>1593</v>
      </c>
      <c r="D1458" t="s">
        <v>13</v>
      </c>
      <c r="E1458">
        <v>500</v>
      </c>
      <c r="F1458">
        <v>0</v>
      </c>
    </row>
    <row r="1459" spans="1:6" x14ac:dyDescent="0.15">
      <c r="A1459" t="s">
        <v>210</v>
      </c>
      <c r="B1459" s="226">
        <v>42315.422864780092</v>
      </c>
      <c r="C1459" t="s">
        <v>411</v>
      </c>
      <c r="D1459" t="s">
        <v>13</v>
      </c>
      <c r="E1459">
        <v>360</v>
      </c>
      <c r="F1459">
        <v>0</v>
      </c>
    </row>
    <row r="1460" spans="1:6" x14ac:dyDescent="0.15">
      <c r="A1460" t="s">
        <v>210</v>
      </c>
      <c r="B1460" s="226">
        <v>42315.426538564818</v>
      </c>
      <c r="C1460" t="s">
        <v>412</v>
      </c>
      <c r="D1460" t="s">
        <v>13</v>
      </c>
      <c r="E1460">
        <v>200</v>
      </c>
      <c r="F1460">
        <v>0</v>
      </c>
    </row>
    <row r="1461" spans="1:6" x14ac:dyDescent="0.15">
      <c r="A1461" t="s">
        <v>210</v>
      </c>
      <c r="B1461" s="226">
        <v>42315.43684224537</v>
      </c>
      <c r="C1461" t="s">
        <v>413</v>
      </c>
      <c r="D1461" t="s">
        <v>13</v>
      </c>
      <c r="E1461">
        <v>40</v>
      </c>
      <c r="F1461">
        <v>0</v>
      </c>
    </row>
    <row r="1462" spans="1:6" x14ac:dyDescent="0.15">
      <c r="A1462" t="s">
        <v>210</v>
      </c>
      <c r="B1462" s="226">
        <v>42315.455671435186</v>
      </c>
      <c r="C1462" t="s">
        <v>1594</v>
      </c>
      <c r="D1462" t="s">
        <v>13</v>
      </c>
      <c r="E1462">
        <v>40</v>
      </c>
      <c r="F1462">
        <v>0</v>
      </c>
    </row>
    <row r="1463" spans="1:6" x14ac:dyDescent="0.15">
      <c r="A1463" t="s">
        <v>210</v>
      </c>
      <c r="B1463" s="226">
        <v>42315.46557980324</v>
      </c>
      <c r="C1463" t="s">
        <v>1595</v>
      </c>
      <c r="D1463" t="s">
        <v>13</v>
      </c>
      <c r="E1463">
        <v>40</v>
      </c>
      <c r="F1463">
        <v>0</v>
      </c>
    </row>
    <row r="1464" spans="1:6" x14ac:dyDescent="0.15">
      <c r="A1464" t="s">
        <v>210</v>
      </c>
      <c r="B1464" s="226">
        <v>42315.510322337963</v>
      </c>
      <c r="C1464" t="s">
        <v>1596</v>
      </c>
      <c r="D1464" t="s">
        <v>13</v>
      </c>
      <c r="E1464">
        <v>20</v>
      </c>
      <c r="F1464">
        <v>0</v>
      </c>
    </row>
    <row r="1465" spans="1:6" x14ac:dyDescent="0.15">
      <c r="A1465" t="s">
        <v>210</v>
      </c>
      <c r="B1465" s="226">
        <v>42315.515388726853</v>
      </c>
      <c r="C1465" t="s">
        <v>120</v>
      </c>
      <c r="D1465" t="s">
        <v>13</v>
      </c>
      <c r="E1465">
        <v>40</v>
      </c>
      <c r="F1465">
        <v>0</v>
      </c>
    </row>
    <row r="1466" spans="1:6" x14ac:dyDescent="0.15">
      <c r="A1466" t="s">
        <v>210</v>
      </c>
      <c r="B1466" s="226">
        <v>42315.51896833333</v>
      </c>
      <c r="C1466" t="s">
        <v>14</v>
      </c>
      <c r="D1466" t="s">
        <v>13</v>
      </c>
      <c r="E1466">
        <v>100</v>
      </c>
      <c r="F1466">
        <v>3.5</v>
      </c>
    </row>
    <row r="1467" spans="1:6" x14ac:dyDescent="0.15">
      <c r="A1467" t="s">
        <v>210</v>
      </c>
      <c r="B1467" s="226">
        <v>42315.609565439816</v>
      </c>
      <c r="C1467" t="s">
        <v>14</v>
      </c>
      <c r="D1467" t="s">
        <v>13</v>
      </c>
      <c r="E1467">
        <v>200</v>
      </c>
      <c r="F1467">
        <v>3.5</v>
      </c>
    </row>
    <row r="1468" spans="1:6" x14ac:dyDescent="0.15">
      <c r="A1468" t="s">
        <v>210</v>
      </c>
      <c r="B1468" s="226">
        <v>42315.613787685186</v>
      </c>
      <c r="C1468" t="s">
        <v>14</v>
      </c>
      <c r="D1468" t="s">
        <v>13</v>
      </c>
      <c r="E1468">
        <v>80</v>
      </c>
      <c r="F1468">
        <v>3.5</v>
      </c>
    </row>
    <row r="1469" spans="1:6" x14ac:dyDescent="0.15">
      <c r="A1469" t="s">
        <v>210</v>
      </c>
      <c r="B1469" s="226">
        <v>42315.629103333333</v>
      </c>
      <c r="C1469" t="s">
        <v>1597</v>
      </c>
      <c r="D1469" t="s">
        <v>13</v>
      </c>
      <c r="E1469">
        <v>40</v>
      </c>
      <c r="F1469">
        <v>0</v>
      </c>
    </row>
    <row r="1470" spans="1:6" x14ac:dyDescent="0.15">
      <c r="A1470" t="s">
        <v>210</v>
      </c>
      <c r="B1470" s="226">
        <v>42315.650509502317</v>
      </c>
      <c r="C1470" t="s">
        <v>236</v>
      </c>
      <c r="D1470" t="s">
        <v>13</v>
      </c>
      <c r="E1470">
        <v>40</v>
      </c>
      <c r="F1470">
        <v>0</v>
      </c>
    </row>
    <row r="1471" spans="1:6" x14ac:dyDescent="0.15">
      <c r="A1471" t="s">
        <v>210</v>
      </c>
      <c r="B1471" s="226">
        <v>42315.651714004627</v>
      </c>
      <c r="C1471" t="s">
        <v>1598</v>
      </c>
      <c r="D1471" t="s">
        <v>13</v>
      </c>
      <c r="E1471">
        <v>100</v>
      </c>
      <c r="F1471">
        <v>0</v>
      </c>
    </row>
    <row r="1472" spans="1:6" x14ac:dyDescent="0.15">
      <c r="A1472" t="s">
        <v>210</v>
      </c>
      <c r="B1472" s="226">
        <v>42315.657553159719</v>
      </c>
      <c r="C1472" t="s">
        <v>1599</v>
      </c>
      <c r="D1472" t="s">
        <v>13</v>
      </c>
      <c r="E1472">
        <v>100</v>
      </c>
      <c r="F1472">
        <v>0</v>
      </c>
    </row>
    <row r="1473" spans="1:6" x14ac:dyDescent="0.15">
      <c r="A1473" t="s">
        <v>210</v>
      </c>
      <c r="B1473" s="226">
        <v>42315.658757152778</v>
      </c>
      <c r="C1473" t="s">
        <v>14</v>
      </c>
      <c r="D1473" t="s">
        <v>13</v>
      </c>
      <c r="E1473">
        <v>20</v>
      </c>
      <c r="F1473">
        <v>3.5</v>
      </c>
    </row>
    <row r="1474" spans="1:6" x14ac:dyDescent="0.15">
      <c r="A1474" t="s">
        <v>210</v>
      </c>
      <c r="B1474" s="226">
        <v>42315.660210405091</v>
      </c>
      <c r="C1474" t="s">
        <v>1114</v>
      </c>
      <c r="D1474" t="s">
        <v>13</v>
      </c>
      <c r="E1474">
        <v>100</v>
      </c>
      <c r="F1474">
        <v>0</v>
      </c>
    </row>
    <row r="1475" spans="1:6" x14ac:dyDescent="0.15">
      <c r="A1475" t="s">
        <v>210</v>
      </c>
      <c r="B1475" s="226">
        <v>42315.672378831019</v>
      </c>
      <c r="C1475" t="s">
        <v>1600</v>
      </c>
      <c r="D1475" t="s">
        <v>13</v>
      </c>
      <c r="E1475">
        <v>100</v>
      </c>
      <c r="F1475">
        <v>0</v>
      </c>
    </row>
    <row r="1476" spans="1:6" x14ac:dyDescent="0.15">
      <c r="A1476" t="s">
        <v>210</v>
      </c>
      <c r="B1476" s="226">
        <v>42315.675313854168</v>
      </c>
      <c r="C1476" t="s">
        <v>1601</v>
      </c>
      <c r="D1476" t="s">
        <v>13</v>
      </c>
      <c r="E1476">
        <v>200</v>
      </c>
      <c r="F1476">
        <v>0</v>
      </c>
    </row>
    <row r="1477" spans="1:6" x14ac:dyDescent="0.15">
      <c r="A1477" t="s">
        <v>210</v>
      </c>
      <c r="B1477" s="226">
        <v>42315.688816423608</v>
      </c>
      <c r="C1477" t="s">
        <v>414</v>
      </c>
      <c r="D1477" t="s">
        <v>13</v>
      </c>
      <c r="E1477">
        <v>40</v>
      </c>
      <c r="F1477">
        <v>0</v>
      </c>
    </row>
    <row r="1478" spans="1:6" x14ac:dyDescent="0.15">
      <c r="A1478" t="s">
        <v>210</v>
      </c>
      <c r="B1478" s="226">
        <v>42315.692784953702</v>
      </c>
      <c r="C1478" t="s">
        <v>1602</v>
      </c>
      <c r="D1478" t="s">
        <v>13</v>
      </c>
      <c r="E1478">
        <v>60</v>
      </c>
      <c r="F1478">
        <v>0</v>
      </c>
    </row>
    <row r="1479" spans="1:6" x14ac:dyDescent="0.15">
      <c r="A1479" t="s">
        <v>210</v>
      </c>
      <c r="B1479" s="226">
        <v>42315.698469386574</v>
      </c>
      <c r="C1479" t="s">
        <v>415</v>
      </c>
      <c r="D1479" t="s">
        <v>13</v>
      </c>
      <c r="E1479">
        <v>200</v>
      </c>
      <c r="F1479">
        <v>0</v>
      </c>
    </row>
    <row r="1480" spans="1:6" x14ac:dyDescent="0.15">
      <c r="A1480" t="s">
        <v>210</v>
      </c>
      <c r="B1480" s="226">
        <v>42315.703107719906</v>
      </c>
      <c r="C1480" t="s">
        <v>14</v>
      </c>
      <c r="D1480" t="s">
        <v>15</v>
      </c>
      <c r="E1480">
        <v>40</v>
      </c>
      <c r="F1480">
        <v>3.7</v>
      </c>
    </row>
    <row r="1481" spans="1:6" x14ac:dyDescent="0.15">
      <c r="A1481" t="s">
        <v>210</v>
      </c>
      <c r="B1481" s="226">
        <v>42315.704028206019</v>
      </c>
      <c r="C1481" t="s">
        <v>183</v>
      </c>
      <c r="D1481" t="s">
        <v>13</v>
      </c>
      <c r="E1481">
        <v>20</v>
      </c>
      <c r="F1481">
        <v>0</v>
      </c>
    </row>
    <row r="1482" spans="1:6" x14ac:dyDescent="0.15">
      <c r="A1482" t="s">
        <v>210</v>
      </c>
      <c r="B1482" s="226">
        <v>42315.707383564812</v>
      </c>
      <c r="C1482" t="s">
        <v>1603</v>
      </c>
      <c r="D1482" t="s">
        <v>13</v>
      </c>
      <c r="E1482">
        <v>40</v>
      </c>
      <c r="F1482">
        <v>0</v>
      </c>
    </row>
    <row r="1483" spans="1:6" x14ac:dyDescent="0.15">
      <c r="A1483" t="s">
        <v>210</v>
      </c>
      <c r="B1483" s="226">
        <v>42315.717777175923</v>
      </c>
      <c r="C1483" t="s">
        <v>232</v>
      </c>
      <c r="D1483" t="s">
        <v>13</v>
      </c>
      <c r="E1483">
        <v>20</v>
      </c>
      <c r="F1483">
        <v>0</v>
      </c>
    </row>
    <row r="1484" spans="1:6" x14ac:dyDescent="0.15">
      <c r="A1484" t="s">
        <v>210</v>
      </c>
      <c r="B1484" s="226">
        <v>42315.723078437499</v>
      </c>
      <c r="C1484" t="s">
        <v>1604</v>
      </c>
      <c r="D1484" t="s">
        <v>13</v>
      </c>
      <c r="E1484">
        <v>100</v>
      </c>
      <c r="F1484">
        <v>0</v>
      </c>
    </row>
    <row r="1485" spans="1:6" x14ac:dyDescent="0.15">
      <c r="A1485" t="s">
        <v>210</v>
      </c>
      <c r="B1485" s="226">
        <v>42315.732241655096</v>
      </c>
      <c r="C1485" t="s">
        <v>416</v>
      </c>
      <c r="D1485" t="s">
        <v>13</v>
      </c>
      <c r="E1485">
        <v>100</v>
      </c>
      <c r="F1485">
        <v>0</v>
      </c>
    </row>
    <row r="1486" spans="1:6" x14ac:dyDescent="0.15">
      <c r="A1486" t="s">
        <v>210</v>
      </c>
      <c r="B1486" s="226">
        <v>42315.74099471065</v>
      </c>
      <c r="C1486" t="s">
        <v>14</v>
      </c>
      <c r="D1486" t="s">
        <v>13</v>
      </c>
      <c r="E1486">
        <v>100</v>
      </c>
      <c r="F1486">
        <v>3.5</v>
      </c>
    </row>
    <row r="1487" spans="1:6" x14ac:dyDescent="0.15">
      <c r="A1487" t="s">
        <v>210</v>
      </c>
      <c r="B1487" s="226">
        <v>42315.744750902777</v>
      </c>
      <c r="C1487" t="s">
        <v>1605</v>
      </c>
      <c r="D1487" t="s">
        <v>13</v>
      </c>
      <c r="E1487">
        <v>300</v>
      </c>
      <c r="F1487">
        <v>0</v>
      </c>
    </row>
    <row r="1488" spans="1:6" x14ac:dyDescent="0.15">
      <c r="A1488" t="s">
        <v>210</v>
      </c>
      <c r="B1488" s="226">
        <v>42315.755911400462</v>
      </c>
      <c r="C1488" t="s">
        <v>417</v>
      </c>
      <c r="D1488" t="s">
        <v>13</v>
      </c>
      <c r="E1488">
        <v>180</v>
      </c>
      <c r="F1488">
        <v>0</v>
      </c>
    </row>
    <row r="1489" spans="1:6" x14ac:dyDescent="0.15">
      <c r="A1489" t="s">
        <v>210</v>
      </c>
      <c r="B1489" s="226">
        <v>42315.808853414354</v>
      </c>
      <c r="C1489" t="s">
        <v>1606</v>
      </c>
      <c r="D1489" t="s">
        <v>13</v>
      </c>
      <c r="E1489">
        <v>100</v>
      </c>
      <c r="F1489">
        <v>0</v>
      </c>
    </row>
    <row r="1490" spans="1:6" x14ac:dyDescent="0.15">
      <c r="A1490" t="s">
        <v>210</v>
      </c>
      <c r="B1490" s="226">
        <v>42315.83759314815</v>
      </c>
      <c r="C1490" t="s">
        <v>1607</v>
      </c>
      <c r="D1490" t="s">
        <v>13</v>
      </c>
      <c r="E1490">
        <v>40</v>
      </c>
      <c r="F1490">
        <v>0</v>
      </c>
    </row>
    <row r="1491" spans="1:6" x14ac:dyDescent="0.15">
      <c r="A1491" t="s">
        <v>210</v>
      </c>
      <c r="B1491" s="226">
        <v>42315.848922696758</v>
      </c>
      <c r="C1491" t="s">
        <v>1608</v>
      </c>
      <c r="D1491" t="s">
        <v>13</v>
      </c>
      <c r="E1491">
        <v>100</v>
      </c>
      <c r="F1491">
        <v>0</v>
      </c>
    </row>
    <row r="1492" spans="1:6" x14ac:dyDescent="0.15">
      <c r="A1492" t="s">
        <v>210</v>
      </c>
      <c r="B1492" s="226">
        <v>42315.946151666663</v>
      </c>
      <c r="C1492" t="s">
        <v>14</v>
      </c>
      <c r="D1492" t="s">
        <v>15</v>
      </c>
      <c r="E1492">
        <v>100</v>
      </c>
      <c r="F1492">
        <v>5.5</v>
      </c>
    </row>
    <row r="1493" spans="1:6" x14ac:dyDescent="0.15">
      <c r="A1493" t="s">
        <v>210</v>
      </c>
      <c r="B1493" s="226">
        <v>42315.952715995372</v>
      </c>
      <c r="C1493" t="s">
        <v>1609</v>
      </c>
      <c r="D1493" t="s">
        <v>13</v>
      </c>
      <c r="E1493">
        <v>100</v>
      </c>
      <c r="F1493">
        <v>0</v>
      </c>
    </row>
    <row r="1494" spans="1:6" x14ac:dyDescent="0.15">
      <c r="A1494" t="s">
        <v>210</v>
      </c>
      <c r="B1494" s="226">
        <v>42315.975392152781</v>
      </c>
      <c r="C1494" t="s">
        <v>1610</v>
      </c>
      <c r="D1494" t="s">
        <v>13</v>
      </c>
      <c r="E1494">
        <v>100</v>
      </c>
      <c r="F1494">
        <v>0</v>
      </c>
    </row>
    <row r="1495" spans="1:6" x14ac:dyDescent="0.15">
      <c r="A1495" t="s">
        <v>210</v>
      </c>
      <c r="B1495" s="226">
        <v>42315.99870773148</v>
      </c>
      <c r="C1495" t="s">
        <v>1611</v>
      </c>
      <c r="D1495" t="s">
        <v>13</v>
      </c>
      <c r="E1495">
        <v>100</v>
      </c>
      <c r="F1495">
        <v>0</v>
      </c>
    </row>
    <row r="1496" spans="1:6" x14ac:dyDescent="0.15">
      <c r="A1496" t="s">
        <v>210</v>
      </c>
      <c r="B1496" s="226">
        <v>42316.013726458332</v>
      </c>
      <c r="C1496" t="s">
        <v>1612</v>
      </c>
      <c r="D1496" t="s">
        <v>15</v>
      </c>
      <c r="E1496">
        <v>100</v>
      </c>
      <c r="F1496">
        <v>3</v>
      </c>
    </row>
    <row r="1497" spans="1:6" x14ac:dyDescent="0.15">
      <c r="A1497" t="s">
        <v>210</v>
      </c>
      <c r="B1497" s="226">
        <v>42316.018087175929</v>
      </c>
      <c r="C1497" t="s">
        <v>418</v>
      </c>
      <c r="D1497" t="s">
        <v>13</v>
      </c>
      <c r="E1497">
        <v>400</v>
      </c>
      <c r="F1497">
        <v>0</v>
      </c>
    </row>
    <row r="1498" spans="1:6" x14ac:dyDescent="0.15">
      <c r="A1498" t="s">
        <v>210</v>
      </c>
      <c r="B1498" s="226">
        <v>42316.074567141201</v>
      </c>
      <c r="C1498" t="s">
        <v>1613</v>
      </c>
      <c r="D1498" t="s">
        <v>13</v>
      </c>
      <c r="E1498">
        <v>40</v>
      </c>
      <c r="F1498">
        <v>0</v>
      </c>
    </row>
    <row r="1499" spans="1:6" x14ac:dyDescent="0.15">
      <c r="A1499" t="s">
        <v>210</v>
      </c>
      <c r="B1499" s="226">
        <v>42316.075308240739</v>
      </c>
      <c r="C1499" t="s">
        <v>1614</v>
      </c>
      <c r="D1499" t="s">
        <v>13</v>
      </c>
      <c r="E1499">
        <v>100</v>
      </c>
      <c r="F1499">
        <v>0</v>
      </c>
    </row>
    <row r="1500" spans="1:6" x14ac:dyDescent="0.15">
      <c r="A1500" t="s">
        <v>210</v>
      </c>
      <c r="B1500" s="226">
        <v>42316.328701979168</v>
      </c>
      <c r="C1500" t="s">
        <v>676</v>
      </c>
      <c r="D1500" t="s">
        <v>13</v>
      </c>
      <c r="E1500">
        <v>40</v>
      </c>
      <c r="F1500">
        <v>0</v>
      </c>
    </row>
    <row r="1501" spans="1:6" x14ac:dyDescent="0.15">
      <c r="A1501" t="s">
        <v>210</v>
      </c>
      <c r="B1501" s="226">
        <v>42316.433127719909</v>
      </c>
      <c r="C1501" t="s">
        <v>1615</v>
      </c>
      <c r="D1501" t="s">
        <v>13</v>
      </c>
      <c r="E1501">
        <v>100</v>
      </c>
      <c r="F1501">
        <v>0</v>
      </c>
    </row>
    <row r="1502" spans="1:6" x14ac:dyDescent="0.15">
      <c r="A1502" t="s">
        <v>210</v>
      </c>
      <c r="B1502" s="226">
        <v>42316.443331736111</v>
      </c>
      <c r="C1502" t="s">
        <v>14</v>
      </c>
      <c r="D1502" t="s">
        <v>13</v>
      </c>
      <c r="E1502">
        <v>100</v>
      </c>
      <c r="F1502">
        <v>3.5</v>
      </c>
    </row>
    <row r="1503" spans="1:6" x14ac:dyDescent="0.15">
      <c r="A1503" t="s">
        <v>210</v>
      </c>
      <c r="B1503" s="226">
        <v>42316.463786168984</v>
      </c>
      <c r="C1503" t="s">
        <v>419</v>
      </c>
      <c r="D1503" t="s">
        <v>13</v>
      </c>
      <c r="E1503">
        <v>100</v>
      </c>
      <c r="F1503">
        <v>0</v>
      </c>
    </row>
    <row r="1504" spans="1:6" x14ac:dyDescent="0.15">
      <c r="A1504" t="s">
        <v>210</v>
      </c>
      <c r="B1504" s="226">
        <v>42316.473035509262</v>
      </c>
      <c r="C1504" t="s">
        <v>1182</v>
      </c>
      <c r="D1504" t="s">
        <v>13</v>
      </c>
      <c r="E1504">
        <v>120</v>
      </c>
      <c r="F1504">
        <v>0</v>
      </c>
    </row>
    <row r="1505" spans="1:6" x14ac:dyDescent="0.15">
      <c r="A1505" t="s">
        <v>210</v>
      </c>
      <c r="B1505" s="226">
        <v>42316.481774432868</v>
      </c>
      <c r="C1505" t="s">
        <v>1616</v>
      </c>
      <c r="D1505" t="s">
        <v>13</v>
      </c>
      <c r="E1505">
        <v>100</v>
      </c>
      <c r="F1505">
        <v>0</v>
      </c>
    </row>
    <row r="1506" spans="1:6" x14ac:dyDescent="0.15">
      <c r="A1506" t="s">
        <v>210</v>
      </c>
      <c r="B1506" s="226">
        <v>42316.509657372684</v>
      </c>
      <c r="C1506" t="s">
        <v>401</v>
      </c>
      <c r="D1506" t="s">
        <v>13</v>
      </c>
      <c r="E1506">
        <v>40</v>
      </c>
      <c r="F1506">
        <v>0</v>
      </c>
    </row>
    <row r="1507" spans="1:6" x14ac:dyDescent="0.15">
      <c r="A1507" t="s">
        <v>210</v>
      </c>
      <c r="B1507" s="226">
        <v>42316.513732870371</v>
      </c>
      <c r="C1507" t="s">
        <v>1617</v>
      </c>
      <c r="D1507" t="s">
        <v>13</v>
      </c>
      <c r="E1507">
        <v>100</v>
      </c>
      <c r="F1507">
        <v>0</v>
      </c>
    </row>
    <row r="1508" spans="1:6" x14ac:dyDescent="0.15">
      <c r="A1508" t="s">
        <v>210</v>
      </c>
      <c r="B1508" s="226">
        <v>42316.516792499999</v>
      </c>
      <c r="C1508" t="s">
        <v>1618</v>
      </c>
      <c r="D1508" t="s">
        <v>15</v>
      </c>
      <c r="E1508">
        <v>140</v>
      </c>
      <c r="F1508">
        <v>4.2</v>
      </c>
    </row>
    <row r="1509" spans="1:6" x14ac:dyDescent="0.15">
      <c r="A1509" t="s">
        <v>210</v>
      </c>
      <c r="B1509" s="226">
        <v>42316.520400972222</v>
      </c>
      <c r="C1509" t="s">
        <v>270</v>
      </c>
      <c r="D1509" t="s">
        <v>13</v>
      </c>
      <c r="E1509">
        <v>40</v>
      </c>
      <c r="F1509">
        <v>0</v>
      </c>
    </row>
    <row r="1510" spans="1:6" x14ac:dyDescent="0.15">
      <c r="A1510" t="s">
        <v>210</v>
      </c>
      <c r="B1510" s="226">
        <v>42316.524899699078</v>
      </c>
      <c r="C1510" t="s">
        <v>1619</v>
      </c>
      <c r="D1510" t="s">
        <v>13</v>
      </c>
      <c r="E1510">
        <v>120</v>
      </c>
      <c r="F1510">
        <v>0</v>
      </c>
    </row>
    <row r="1511" spans="1:6" x14ac:dyDescent="0.15">
      <c r="A1511" t="s">
        <v>210</v>
      </c>
      <c r="B1511" s="226">
        <v>42316.542079664352</v>
      </c>
      <c r="C1511" t="s">
        <v>1620</v>
      </c>
      <c r="D1511" t="s">
        <v>13</v>
      </c>
      <c r="E1511">
        <v>200</v>
      </c>
      <c r="F1511">
        <v>0</v>
      </c>
    </row>
    <row r="1512" spans="1:6" x14ac:dyDescent="0.15">
      <c r="A1512" t="s">
        <v>210</v>
      </c>
      <c r="B1512" s="226">
        <v>42316.551801064816</v>
      </c>
      <c r="C1512" t="s">
        <v>1621</v>
      </c>
      <c r="D1512" t="s">
        <v>13</v>
      </c>
      <c r="E1512">
        <v>40</v>
      </c>
      <c r="F1512">
        <v>0</v>
      </c>
    </row>
    <row r="1513" spans="1:6" x14ac:dyDescent="0.15">
      <c r="A1513" t="s">
        <v>210</v>
      </c>
      <c r="B1513" s="226">
        <v>42316.552387361109</v>
      </c>
      <c r="C1513" t="s">
        <v>14</v>
      </c>
      <c r="D1513" t="s">
        <v>13</v>
      </c>
      <c r="E1513">
        <v>40</v>
      </c>
      <c r="F1513">
        <v>3.5</v>
      </c>
    </row>
    <row r="1514" spans="1:6" x14ac:dyDescent="0.15">
      <c r="A1514" t="s">
        <v>210</v>
      </c>
      <c r="B1514" s="226">
        <v>42316.554330798608</v>
      </c>
      <c r="C1514" t="s">
        <v>111</v>
      </c>
      <c r="D1514" t="s">
        <v>13</v>
      </c>
      <c r="E1514">
        <v>60</v>
      </c>
      <c r="F1514">
        <v>0</v>
      </c>
    </row>
    <row r="1515" spans="1:6" x14ac:dyDescent="0.15">
      <c r="A1515" t="s">
        <v>210</v>
      </c>
      <c r="B1515" s="226">
        <v>42316.557135451389</v>
      </c>
      <c r="C1515" t="s">
        <v>1026</v>
      </c>
      <c r="D1515" t="s">
        <v>13</v>
      </c>
      <c r="E1515">
        <v>20</v>
      </c>
      <c r="F1515">
        <v>0</v>
      </c>
    </row>
    <row r="1516" spans="1:6" x14ac:dyDescent="0.15">
      <c r="A1516" t="s">
        <v>210</v>
      </c>
      <c r="B1516" s="226">
        <v>42316.559051678239</v>
      </c>
      <c r="C1516" t="s">
        <v>1622</v>
      </c>
      <c r="D1516" t="s">
        <v>13</v>
      </c>
      <c r="E1516">
        <v>20</v>
      </c>
      <c r="F1516">
        <v>0</v>
      </c>
    </row>
    <row r="1517" spans="1:6" x14ac:dyDescent="0.15">
      <c r="A1517" t="s">
        <v>210</v>
      </c>
      <c r="B1517" s="226">
        <v>42316.655863749998</v>
      </c>
      <c r="C1517" t="s">
        <v>1623</v>
      </c>
      <c r="D1517" t="s">
        <v>13</v>
      </c>
      <c r="E1517">
        <v>40</v>
      </c>
      <c r="F1517">
        <v>0</v>
      </c>
    </row>
    <row r="1518" spans="1:6" x14ac:dyDescent="0.15">
      <c r="A1518" t="s">
        <v>210</v>
      </c>
      <c r="B1518" s="226">
        <v>42316.658079953704</v>
      </c>
      <c r="C1518" t="s">
        <v>1624</v>
      </c>
      <c r="D1518" t="s">
        <v>13</v>
      </c>
      <c r="E1518">
        <v>100</v>
      </c>
      <c r="F1518">
        <v>0</v>
      </c>
    </row>
    <row r="1519" spans="1:6" x14ac:dyDescent="0.15">
      <c r="A1519" t="s">
        <v>210</v>
      </c>
      <c r="B1519" s="226">
        <v>42316.71861640046</v>
      </c>
      <c r="C1519" t="s">
        <v>1625</v>
      </c>
      <c r="D1519" t="s">
        <v>13</v>
      </c>
      <c r="E1519">
        <v>100</v>
      </c>
      <c r="F1519">
        <v>0</v>
      </c>
    </row>
    <row r="1520" spans="1:6" x14ac:dyDescent="0.15">
      <c r="A1520" t="s">
        <v>210</v>
      </c>
      <c r="B1520" s="226">
        <v>42316.745568645834</v>
      </c>
      <c r="C1520" t="s">
        <v>1626</v>
      </c>
      <c r="D1520" t="s">
        <v>13</v>
      </c>
      <c r="E1520">
        <v>500</v>
      </c>
      <c r="F1520">
        <v>0</v>
      </c>
    </row>
    <row r="1521" spans="1:6" x14ac:dyDescent="0.15">
      <c r="A1521" t="s">
        <v>210</v>
      </c>
      <c r="B1521" s="226">
        <v>42316.754111319446</v>
      </c>
      <c r="C1521" t="s">
        <v>14</v>
      </c>
      <c r="D1521" t="s">
        <v>13</v>
      </c>
      <c r="E1521">
        <v>60</v>
      </c>
      <c r="F1521">
        <v>3.5</v>
      </c>
    </row>
    <row r="1522" spans="1:6" x14ac:dyDescent="0.15">
      <c r="A1522" t="s">
        <v>210</v>
      </c>
      <c r="B1522" s="226">
        <v>42316.759477800922</v>
      </c>
      <c r="C1522" t="s">
        <v>1627</v>
      </c>
      <c r="D1522" t="s">
        <v>15</v>
      </c>
      <c r="E1522">
        <v>120</v>
      </c>
      <c r="F1522">
        <v>3.6</v>
      </c>
    </row>
    <row r="1523" spans="1:6" x14ac:dyDescent="0.15">
      <c r="A1523" t="s">
        <v>210</v>
      </c>
      <c r="B1523" s="226">
        <v>42316.780306284723</v>
      </c>
      <c r="C1523" t="s">
        <v>1628</v>
      </c>
      <c r="D1523" t="s">
        <v>13</v>
      </c>
      <c r="E1523">
        <v>100</v>
      </c>
      <c r="F1523">
        <v>0</v>
      </c>
    </row>
    <row r="1524" spans="1:6" x14ac:dyDescent="0.15">
      <c r="A1524" t="s">
        <v>210</v>
      </c>
      <c r="B1524" s="226">
        <v>42316.974632233796</v>
      </c>
      <c r="C1524" t="s">
        <v>1281</v>
      </c>
      <c r="D1524" t="s">
        <v>13</v>
      </c>
      <c r="E1524">
        <v>100</v>
      </c>
      <c r="F1524">
        <v>0</v>
      </c>
    </row>
    <row r="1525" spans="1:6" x14ac:dyDescent="0.15">
      <c r="A1525" t="s">
        <v>210</v>
      </c>
      <c r="B1525" s="226">
        <v>42317.212026250003</v>
      </c>
      <c r="C1525" t="s">
        <v>1629</v>
      </c>
      <c r="D1525" t="s">
        <v>13</v>
      </c>
      <c r="E1525">
        <v>100</v>
      </c>
      <c r="F1525">
        <v>0</v>
      </c>
    </row>
    <row r="1526" spans="1:6" x14ac:dyDescent="0.15">
      <c r="A1526" t="s">
        <v>210</v>
      </c>
      <c r="B1526" s="226">
        <v>42317.239667349539</v>
      </c>
      <c r="C1526" t="s">
        <v>1630</v>
      </c>
      <c r="D1526" t="s">
        <v>13</v>
      </c>
      <c r="E1526">
        <v>60</v>
      </c>
      <c r="F1526">
        <v>0</v>
      </c>
    </row>
    <row r="1527" spans="1:6" x14ac:dyDescent="0.15">
      <c r="A1527" t="s">
        <v>210</v>
      </c>
      <c r="B1527" s="226">
        <v>42317.252783263888</v>
      </c>
      <c r="C1527" t="s">
        <v>1631</v>
      </c>
      <c r="D1527" t="s">
        <v>13</v>
      </c>
      <c r="E1527">
        <v>40</v>
      </c>
      <c r="F1527">
        <v>0</v>
      </c>
    </row>
    <row r="1528" spans="1:6" x14ac:dyDescent="0.15">
      <c r="A1528" t="s">
        <v>210</v>
      </c>
      <c r="B1528" s="226">
        <v>42317.316945983795</v>
      </c>
      <c r="C1528" t="s">
        <v>1632</v>
      </c>
      <c r="D1528" t="s">
        <v>13</v>
      </c>
      <c r="E1528">
        <v>20</v>
      </c>
      <c r="F1528">
        <v>0</v>
      </c>
    </row>
    <row r="1529" spans="1:6" x14ac:dyDescent="0.15">
      <c r="A1529" t="s">
        <v>210</v>
      </c>
      <c r="B1529" s="226">
        <v>42317.361065046294</v>
      </c>
      <c r="C1529" t="s">
        <v>1633</v>
      </c>
      <c r="D1529" t="s">
        <v>13</v>
      </c>
      <c r="E1529">
        <v>40</v>
      </c>
      <c r="F1529">
        <v>0</v>
      </c>
    </row>
    <row r="1530" spans="1:6" x14ac:dyDescent="0.15">
      <c r="A1530" t="s">
        <v>210</v>
      </c>
      <c r="B1530" s="226">
        <v>42317.372925509262</v>
      </c>
      <c r="C1530" t="s">
        <v>1634</v>
      </c>
      <c r="D1530" t="s">
        <v>13</v>
      </c>
      <c r="E1530">
        <v>80</v>
      </c>
      <c r="F1530">
        <v>0</v>
      </c>
    </row>
    <row r="1531" spans="1:6" x14ac:dyDescent="0.15">
      <c r="A1531" t="s">
        <v>210</v>
      </c>
      <c r="B1531" s="226">
        <v>42317.373529351855</v>
      </c>
      <c r="C1531" t="s">
        <v>14</v>
      </c>
      <c r="D1531" t="s">
        <v>13</v>
      </c>
      <c r="E1531">
        <v>100</v>
      </c>
      <c r="F1531">
        <v>3.5</v>
      </c>
    </row>
    <row r="1532" spans="1:6" x14ac:dyDescent="0.15">
      <c r="A1532" t="s">
        <v>210</v>
      </c>
      <c r="B1532" s="226">
        <v>42317.387469097222</v>
      </c>
      <c r="C1532" t="s">
        <v>1635</v>
      </c>
      <c r="D1532" t="s">
        <v>13</v>
      </c>
      <c r="E1532">
        <v>40</v>
      </c>
      <c r="F1532">
        <v>0</v>
      </c>
    </row>
    <row r="1533" spans="1:6" x14ac:dyDescent="0.15">
      <c r="A1533" t="s">
        <v>210</v>
      </c>
      <c r="B1533" s="226">
        <v>42317.39322583333</v>
      </c>
      <c r="C1533" t="s">
        <v>1636</v>
      </c>
      <c r="D1533" t="s">
        <v>13</v>
      </c>
      <c r="E1533">
        <v>40</v>
      </c>
      <c r="F1533">
        <v>0</v>
      </c>
    </row>
    <row r="1534" spans="1:6" x14ac:dyDescent="0.15">
      <c r="A1534" t="s">
        <v>210</v>
      </c>
      <c r="B1534" s="226">
        <v>42317.397922037038</v>
      </c>
      <c r="C1534" t="s">
        <v>420</v>
      </c>
      <c r="D1534" t="s">
        <v>13</v>
      </c>
      <c r="E1534">
        <v>80</v>
      </c>
      <c r="F1534">
        <v>0</v>
      </c>
    </row>
    <row r="1535" spans="1:6" x14ac:dyDescent="0.15">
      <c r="A1535" t="s">
        <v>210</v>
      </c>
      <c r="B1535" s="226">
        <v>42317.407184456017</v>
      </c>
      <c r="C1535" t="s">
        <v>1637</v>
      </c>
      <c r="D1535" t="s">
        <v>13</v>
      </c>
      <c r="E1535">
        <v>100</v>
      </c>
      <c r="F1535">
        <v>0</v>
      </c>
    </row>
    <row r="1536" spans="1:6" x14ac:dyDescent="0.15">
      <c r="A1536" t="s">
        <v>210</v>
      </c>
      <c r="B1536" s="226">
        <v>42317.431922141201</v>
      </c>
      <c r="C1536" t="s">
        <v>674</v>
      </c>
      <c r="D1536" t="s">
        <v>13</v>
      </c>
      <c r="E1536">
        <v>20</v>
      </c>
      <c r="F1536">
        <v>0</v>
      </c>
    </row>
    <row r="1537" spans="1:6" x14ac:dyDescent="0.15">
      <c r="A1537" t="s">
        <v>210</v>
      </c>
      <c r="B1537" s="226">
        <v>42317.438024467592</v>
      </c>
      <c r="C1537" t="s">
        <v>1638</v>
      </c>
      <c r="D1537" t="s">
        <v>13</v>
      </c>
      <c r="E1537">
        <v>100</v>
      </c>
      <c r="F1537">
        <v>0</v>
      </c>
    </row>
    <row r="1538" spans="1:6" x14ac:dyDescent="0.15">
      <c r="A1538" t="s">
        <v>210</v>
      </c>
      <c r="B1538" s="226">
        <v>42317.464923437503</v>
      </c>
      <c r="C1538" t="s">
        <v>1480</v>
      </c>
      <c r="D1538" t="s">
        <v>13</v>
      </c>
      <c r="E1538">
        <v>120</v>
      </c>
      <c r="F1538">
        <v>0</v>
      </c>
    </row>
    <row r="1539" spans="1:6" x14ac:dyDescent="0.15">
      <c r="A1539" t="s">
        <v>210</v>
      </c>
      <c r="B1539" s="226">
        <v>42317.487496168978</v>
      </c>
      <c r="C1539" t="s">
        <v>421</v>
      </c>
      <c r="D1539" t="s">
        <v>13</v>
      </c>
      <c r="E1539">
        <v>40</v>
      </c>
      <c r="F1539">
        <v>0</v>
      </c>
    </row>
    <row r="1540" spans="1:6" x14ac:dyDescent="0.15">
      <c r="A1540" t="s">
        <v>210</v>
      </c>
      <c r="B1540" s="226">
        <v>42317.491423460648</v>
      </c>
      <c r="C1540" t="s">
        <v>1639</v>
      </c>
      <c r="D1540" t="s">
        <v>13</v>
      </c>
      <c r="E1540">
        <v>100</v>
      </c>
      <c r="F1540">
        <v>0</v>
      </c>
    </row>
    <row r="1541" spans="1:6" x14ac:dyDescent="0.15">
      <c r="A1541" t="s">
        <v>210</v>
      </c>
      <c r="B1541" s="226">
        <v>42317.504946122688</v>
      </c>
      <c r="C1541" t="s">
        <v>1640</v>
      </c>
      <c r="D1541" t="s">
        <v>13</v>
      </c>
      <c r="E1541">
        <v>20</v>
      </c>
      <c r="F1541">
        <v>0</v>
      </c>
    </row>
    <row r="1542" spans="1:6" x14ac:dyDescent="0.15">
      <c r="A1542" t="s">
        <v>210</v>
      </c>
      <c r="B1542" s="226">
        <v>42317.505759386571</v>
      </c>
      <c r="C1542" t="s">
        <v>228</v>
      </c>
      <c r="D1542" t="s">
        <v>13</v>
      </c>
      <c r="E1542">
        <v>80</v>
      </c>
      <c r="F1542">
        <v>0</v>
      </c>
    </row>
    <row r="1543" spans="1:6" x14ac:dyDescent="0.15">
      <c r="A1543" t="s">
        <v>210</v>
      </c>
      <c r="B1543" s="226">
        <v>42317.520170266202</v>
      </c>
      <c r="C1543" t="s">
        <v>1641</v>
      </c>
      <c r="D1543" t="s">
        <v>13</v>
      </c>
      <c r="E1543">
        <v>40</v>
      </c>
      <c r="F1543">
        <v>0</v>
      </c>
    </row>
    <row r="1544" spans="1:6" x14ac:dyDescent="0.15">
      <c r="A1544" t="s">
        <v>210</v>
      </c>
      <c r="B1544" s="226">
        <v>42317.537097916669</v>
      </c>
      <c r="C1544" t="s">
        <v>1153</v>
      </c>
      <c r="D1544" t="s">
        <v>13</v>
      </c>
      <c r="E1544">
        <v>40</v>
      </c>
      <c r="F1544">
        <v>0</v>
      </c>
    </row>
    <row r="1545" spans="1:6" x14ac:dyDescent="0.15">
      <c r="A1545" t="s">
        <v>210</v>
      </c>
      <c r="B1545" s="226">
        <v>42317.537899537034</v>
      </c>
      <c r="C1545" t="s">
        <v>1642</v>
      </c>
      <c r="D1545" t="s">
        <v>13</v>
      </c>
      <c r="E1545">
        <v>60</v>
      </c>
      <c r="F1545">
        <v>0</v>
      </c>
    </row>
    <row r="1546" spans="1:6" x14ac:dyDescent="0.15">
      <c r="A1546" t="s">
        <v>210</v>
      </c>
      <c r="B1546" s="226">
        <v>42317.546637280095</v>
      </c>
      <c r="C1546" t="s">
        <v>1643</v>
      </c>
      <c r="D1546" t="s">
        <v>13</v>
      </c>
      <c r="E1546">
        <v>60</v>
      </c>
      <c r="F1546">
        <v>0</v>
      </c>
    </row>
    <row r="1547" spans="1:6" x14ac:dyDescent="0.15">
      <c r="A1547" t="s">
        <v>210</v>
      </c>
      <c r="B1547" s="226">
        <v>42317.562660729163</v>
      </c>
      <c r="C1547" t="s">
        <v>1555</v>
      </c>
      <c r="D1547" t="s">
        <v>13</v>
      </c>
      <c r="E1547">
        <v>40</v>
      </c>
      <c r="F1547">
        <v>0</v>
      </c>
    </row>
    <row r="1548" spans="1:6" x14ac:dyDescent="0.15">
      <c r="A1548" t="s">
        <v>210</v>
      </c>
      <c r="B1548" s="226">
        <v>42317.564750555553</v>
      </c>
      <c r="C1548" t="s">
        <v>1644</v>
      </c>
      <c r="D1548" t="s">
        <v>13</v>
      </c>
      <c r="E1548">
        <v>100</v>
      </c>
      <c r="F1548">
        <v>0</v>
      </c>
    </row>
    <row r="1549" spans="1:6" x14ac:dyDescent="0.15">
      <c r="A1549" t="s">
        <v>210</v>
      </c>
      <c r="B1549" s="226">
        <v>42317.566004351851</v>
      </c>
      <c r="C1549" t="s">
        <v>1645</v>
      </c>
      <c r="D1549" t="s">
        <v>13</v>
      </c>
      <c r="E1549">
        <v>140</v>
      </c>
      <c r="F1549">
        <v>0</v>
      </c>
    </row>
    <row r="1550" spans="1:6" x14ac:dyDescent="0.15">
      <c r="A1550" t="s">
        <v>210</v>
      </c>
      <c r="B1550" s="226">
        <v>42317.568081527781</v>
      </c>
      <c r="C1550" t="s">
        <v>14</v>
      </c>
      <c r="D1550" t="s">
        <v>13</v>
      </c>
      <c r="E1550">
        <v>200</v>
      </c>
      <c r="F1550">
        <v>3.5</v>
      </c>
    </row>
    <row r="1551" spans="1:6" x14ac:dyDescent="0.15">
      <c r="A1551" t="s">
        <v>210</v>
      </c>
      <c r="B1551" s="226">
        <v>42317.587440972224</v>
      </c>
      <c r="C1551" t="s">
        <v>1646</v>
      </c>
      <c r="D1551" t="s">
        <v>13</v>
      </c>
      <c r="E1551">
        <v>80</v>
      </c>
      <c r="F1551">
        <v>0</v>
      </c>
    </row>
    <row r="1552" spans="1:6" x14ac:dyDescent="0.15">
      <c r="A1552" t="s">
        <v>210</v>
      </c>
      <c r="B1552" s="226">
        <v>42317.6085337037</v>
      </c>
      <c r="C1552" t="s">
        <v>1647</v>
      </c>
      <c r="D1552" t="s">
        <v>13</v>
      </c>
      <c r="E1552">
        <v>40</v>
      </c>
      <c r="F1552">
        <v>0</v>
      </c>
    </row>
    <row r="1553" spans="1:6" x14ac:dyDescent="0.15">
      <c r="A1553" t="s">
        <v>210</v>
      </c>
      <c r="B1553" s="226">
        <v>42317.631834074076</v>
      </c>
      <c r="C1553" t="s">
        <v>1648</v>
      </c>
      <c r="D1553" t="s">
        <v>13</v>
      </c>
      <c r="E1553">
        <v>20</v>
      </c>
      <c r="F1553">
        <v>0</v>
      </c>
    </row>
    <row r="1554" spans="1:6" x14ac:dyDescent="0.15">
      <c r="A1554" t="s">
        <v>210</v>
      </c>
      <c r="B1554" s="226">
        <v>42317.634155023145</v>
      </c>
      <c r="C1554" t="s">
        <v>1649</v>
      </c>
      <c r="D1554" t="s">
        <v>13</v>
      </c>
      <c r="E1554">
        <v>100</v>
      </c>
      <c r="F1554">
        <v>0</v>
      </c>
    </row>
    <row r="1555" spans="1:6" x14ac:dyDescent="0.15">
      <c r="A1555" t="s">
        <v>210</v>
      </c>
      <c r="B1555" s="226">
        <v>42317.637647407406</v>
      </c>
      <c r="C1555" t="s">
        <v>1650</v>
      </c>
      <c r="D1555" t="s">
        <v>13</v>
      </c>
      <c r="E1555">
        <v>100</v>
      </c>
      <c r="F1555">
        <v>0</v>
      </c>
    </row>
    <row r="1556" spans="1:6" x14ac:dyDescent="0.15">
      <c r="A1556" t="s">
        <v>210</v>
      </c>
      <c r="B1556" s="226">
        <v>42317.644396608797</v>
      </c>
      <c r="C1556" t="s">
        <v>271</v>
      </c>
      <c r="D1556" t="s">
        <v>13</v>
      </c>
      <c r="E1556">
        <v>100</v>
      </c>
      <c r="F1556">
        <v>0</v>
      </c>
    </row>
    <row r="1557" spans="1:6" x14ac:dyDescent="0.15">
      <c r="A1557" t="s">
        <v>210</v>
      </c>
      <c r="B1557" s="226">
        <v>42317.656223541664</v>
      </c>
      <c r="C1557" t="s">
        <v>1651</v>
      </c>
      <c r="D1557" t="s">
        <v>13</v>
      </c>
      <c r="E1557">
        <v>40</v>
      </c>
      <c r="F1557">
        <v>0</v>
      </c>
    </row>
    <row r="1558" spans="1:6" x14ac:dyDescent="0.15">
      <c r="A1558" t="s">
        <v>210</v>
      </c>
      <c r="B1558" s="226">
        <v>42317.712491458333</v>
      </c>
      <c r="C1558" t="s">
        <v>14</v>
      </c>
      <c r="D1558" t="s">
        <v>13</v>
      </c>
      <c r="E1558">
        <v>100</v>
      </c>
      <c r="F1558">
        <v>3.5</v>
      </c>
    </row>
    <row r="1559" spans="1:6" x14ac:dyDescent="0.15">
      <c r="A1559" t="s">
        <v>210</v>
      </c>
      <c r="B1559" s="226">
        <v>42317.736837500001</v>
      </c>
      <c r="C1559" t="s">
        <v>422</v>
      </c>
      <c r="D1559" t="s">
        <v>13</v>
      </c>
      <c r="E1559">
        <v>80</v>
      </c>
      <c r="F1559">
        <v>0</v>
      </c>
    </row>
    <row r="1560" spans="1:6" x14ac:dyDescent="0.15">
      <c r="A1560" t="s">
        <v>210</v>
      </c>
      <c r="B1560" s="226">
        <v>42317.740484872687</v>
      </c>
      <c r="C1560" t="s">
        <v>1652</v>
      </c>
      <c r="D1560" t="s">
        <v>13</v>
      </c>
      <c r="E1560">
        <v>60</v>
      </c>
      <c r="F1560">
        <v>0</v>
      </c>
    </row>
    <row r="1561" spans="1:6" x14ac:dyDescent="0.15">
      <c r="A1561" t="s">
        <v>210</v>
      </c>
      <c r="B1561" s="226">
        <v>42317.745230173612</v>
      </c>
      <c r="C1561" t="s">
        <v>1653</v>
      </c>
      <c r="D1561" t="s">
        <v>13</v>
      </c>
      <c r="E1561">
        <v>100</v>
      </c>
      <c r="F1561">
        <v>0</v>
      </c>
    </row>
    <row r="1562" spans="1:6" x14ac:dyDescent="0.15">
      <c r="A1562" t="s">
        <v>210</v>
      </c>
      <c r="B1562" s="226">
        <v>42317.74764021991</v>
      </c>
      <c r="C1562" t="s">
        <v>126</v>
      </c>
      <c r="D1562" t="s">
        <v>13</v>
      </c>
      <c r="E1562">
        <v>40</v>
      </c>
      <c r="F1562">
        <v>0</v>
      </c>
    </row>
    <row r="1563" spans="1:6" x14ac:dyDescent="0.15">
      <c r="A1563" t="s">
        <v>210</v>
      </c>
      <c r="B1563" s="226">
        <v>42317.766520474535</v>
      </c>
      <c r="C1563" t="s">
        <v>1654</v>
      </c>
      <c r="D1563" t="s">
        <v>13</v>
      </c>
      <c r="E1563">
        <v>100</v>
      </c>
      <c r="F1563">
        <v>0</v>
      </c>
    </row>
    <row r="1564" spans="1:6" x14ac:dyDescent="0.15">
      <c r="A1564" t="s">
        <v>210</v>
      </c>
      <c r="B1564" s="226">
        <v>42317.776252974538</v>
      </c>
      <c r="C1564" t="s">
        <v>698</v>
      </c>
      <c r="D1564" t="s">
        <v>13</v>
      </c>
      <c r="E1564">
        <v>60</v>
      </c>
      <c r="F1564">
        <v>0</v>
      </c>
    </row>
    <row r="1565" spans="1:6" x14ac:dyDescent="0.15">
      <c r="A1565" t="s">
        <v>210</v>
      </c>
      <c r="B1565" s="226">
        <v>42317.777239560186</v>
      </c>
      <c r="C1565" t="s">
        <v>1655</v>
      </c>
      <c r="D1565" t="s">
        <v>13</v>
      </c>
      <c r="E1565">
        <v>40</v>
      </c>
      <c r="F1565">
        <v>0</v>
      </c>
    </row>
    <row r="1566" spans="1:6" x14ac:dyDescent="0.15">
      <c r="A1566" t="s">
        <v>210</v>
      </c>
      <c r="B1566" s="226">
        <v>42317.783545451392</v>
      </c>
      <c r="C1566" t="s">
        <v>423</v>
      </c>
      <c r="D1566" t="s">
        <v>13</v>
      </c>
      <c r="E1566">
        <v>500</v>
      </c>
      <c r="F1566">
        <v>0</v>
      </c>
    </row>
    <row r="1567" spans="1:6" x14ac:dyDescent="0.15">
      <c r="A1567" t="s">
        <v>210</v>
      </c>
      <c r="B1567" s="226">
        <v>42317.785180555555</v>
      </c>
      <c r="C1567" t="s">
        <v>14</v>
      </c>
      <c r="D1567" t="s">
        <v>13</v>
      </c>
      <c r="E1567">
        <v>100</v>
      </c>
      <c r="F1567">
        <v>3.5</v>
      </c>
    </row>
    <row r="1568" spans="1:6" x14ac:dyDescent="0.15">
      <c r="A1568" t="s">
        <v>210</v>
      </c>
      <c r="B1568" s="226">
        <v>42317.786011041666</v>
      </c>
      <c r="C1568" t="s">
        <v>1656</v>
      </c>
      <c r="D1568" t="s">
        <v>13</v>
      </c>
      <c r="E1568">
        <v>40</v>
      </c>
      <c r="F1568">
        <v>0</v>
      </c>
    </row>
    <row r="1569" spans="1:6" x14ac:dyDescent="0.15">
      <c r="A1569" t="s">
        <v>210</v>
      </c>
      <c r="B1569" s="226">
        <v>42317.790324548609</v>
      </c>
      <c r="C1569" t="s">
        <v>424</v>
      </c>
      <c r="D1569" t="s">
        <v>13</v>
      </c>
      <c r="E1569">
        <v>160</v>
      </c>
      <c r="F1569">
        <v>0</v>
      </c>
    </row>
    <row r="1570" spans="1:6" x14ac:dyDescent="0.15">
      <c r="A1570" t="s">
        <v>210</v>
      </c>
      <c r="B1570" s="226">
        <v>42317.882176863423</v>
      </c>
      <c r="C1570" t="s">
        <v>14</v>
      </c>
      <c r="D1570" t="s">
        <v>13</v>
      </c>
      <c r="E1570">
        <v>200</v>
      </c>
      <c r="F1570">
        <v>3.5</v>
      </c>
    </row>
    <row r="1571" spans="1:6" x14ac:dyDescent="0.15">
      <c r="A1571" t="s">
        <v>210</v>
      </c>
      <c r="B1571" s="226">
        <v>42317.9311250463</v>
      </c>
      <c r="C1571" t="s">
        <v>1657</v>
      </c>
      <c r="D1571" t="s">
        <v>13</v>
      </c>
      <c r="E1571">
        <v>40</v>
      </c>
      <c r="F1571">
        <v>0</v>
      </c>
    </row>
    <row r="1572" spans="1:6" x14ac:dyDescent="0.15">
      <c r="A1572" t="s">
        <v>210</v>
      </c>
      <c r="B1572" s="226">
        <v>42318.287271076391</v>
      </c>
      <c r="C1572" t="s">
        <v>1658</v>
      </c>
      <c r="D1572" t="s">
        <v>13</v>
      </c>
      <c r="E1572">
        <v>80</v>
      </c>
      <c r="F1572">
        <v>0</v>
      </c>
    </row>
    <row r="1573" spans="1:6" x14ac:dyDescent="0.15">
      <c r="A1573" t="s">
        <v>210</v>
      </c>
      <c r="B1573" s="226">
        <v>42318.308122326387</v>
      </c>
      <c r="C1573" t="s">
        <v>1659</v>
      </c>
      <c r="D1573" t="s">
        <v>13</v>
      </c>
      <c r="E1573">
        <v>40</v>
      </c>
      <c r="F1573">
        <v>0</v>
      </c>
    </row>
    <row r="1574" spans="1:6" x14ac:dyDescent="0.15">
      <c r="A1574" t="s">
        <v>210</v>
      </c>
      <c r="B1574" s="226">
        <v>42318.345848912038</v>
      </c>
      <c r="C1574" t="s">
        <v>425</v>
      </c>
      <c r="D1574" t="s">
        <v>13</v>
      </c>
      <c r="E1574">
        <v>100</v>
      </c>
      <c r="F1574">
        <v>0</v>
      </c>
    </row>
    <row r="1575" spans="1:6" x14ac:dyDescent="0.15">
      <c r="A1575" t="s">
        <v>210</v>
      </c>
      <c r="B1575" s="226">
        <v>42318.355903368058</v>
      </c>
      <c r="C1575" t="s">
        <v>1660</v>
      </c>
      <c r="D1575" t="s">
        <v>13</v>
      </c>
      <c r="E1575">
        <v>40</v>
      </c>
      <c r="F1575">
        <v>0</v>
      </c>
    </row>
    <row r="1576" spans="1:6" x14ac:dyDescent="0.15">
      <c r="A1576" t="s">
        <v>210</v>
      </c>
      <c r="B1576" s="226">
        <v>42318.362565833333</v>
      </c>
      <c r="C1576" t="s">
        <v>14</v>
      </c>
      <c r="D1576" t="s">
        <v>15</v>
      </c>
      <c r="E1576">
        <v>20</v>
      </c>
      <c r="F1576">
        <v>3.1</v>
      </c>
    </row>
    <row r="1577" spans="1:6" x14ac:dyDescent="0.15">
      <c r="A1577" t="s">
        <v>210</v>
      </c>
      <c r="B1577" s="226">
        <v>42318.368325532407</v>
      </c>
      <c r="C1577" t="s">
        <v>14</v>
      </c>
      <c r="D1577" t="s">
        <v>13</v>
      </c>
      <c r="E1577">
        <v>100</v>
      </c>
      <c r="F1577">
        <v>3.5</v>
      </c>
    </row>
    <row r="1578" spans="1:6" x14ac:dyDescent="0.15">
      <c r="A1578" t="s">
        <v>210</v>
      </c>
      <c r="B1578" s="226">
        <v>42318.393595474539</v>
      </c>
      <c r="C1578" t="s">
        <v>1432</v>
      </c>
      <c r="D1578" t="s">
        <v>13</v>
      </c>
      <c r="E1578">
        <v>60</v>
      </c>
      <c r="F1578">
        <v>0</v>
      </c>
    </row>
    <row r="1579" spans="1:6" x14ac:dyDescent="0.15">
      <c r="A1579" t="s">
        <v>210</v>
      </c>
      <c r="B1579" s="226">
        <v>42318.401813275465</v>
      </c>
      <c r="C1579" t="s">
        <v>1661</v>
      </c>
      <c r="D1579" t="s">
        <v>13</v>
      </c>
      <c r="E1579">
        <v>180</v>
      </c>
      <c r="F1579">
        <v>0</v>
      </c>
    </row>
    <row r="1580" spans="1:6" x14ac:dyDescent="0.15">
      <c r="A1580" t="s">
        <v>210</v>
      </c>
      <c r="B1580" s="226">
        <v>42318.406756759257</v>
      </c>
      <c r="C1580" t="s">
        <v>186</v>
      </c>
      <c r="D1580" t="s">
        <v>13</v>
      </c>
      <c r="E1580">
        <v>100</v>
      </c>
      <c r="F1580">
        <v>0</v>
      </c>
    </row>
    <row r="1581" spans="1:6" x14ac:dyDescent="0.15">
      <c r="A1581" t="s">
        <v>210</v>
      </c>
      <c r="B1581" s="226">
        <v>42318.419604386574</v>
      </c>
      <c r="C1581" t="s">
        <v>14</v>
      </c>
      <c r="D1581" t="s">
        <v>13</v>
      </c>
      <c r="E1581">
        <v>40</v>
      </c>
      <c r="F1581">
        <v>3.5</v>
      </c>
    </row>
    <row r="1582" spans="1:6" x14ac:dyDescent="0.15">
      <c r="A1582" t="s">
        <v>210</v>
      </c>
      <c r="B1582" s="226">
        <v>42318.426250324075</v>
      </c>
      <c r="C1582" t="s">
        <v>14</v>
      </c>
      <c r="D1582" t="s">
        <v>13</v>
      </c>
      <c r="E1582">
        <v>140</v>
      </c>
      <c r="F1582">
        <v>3.5</v>
      </c>
    </row>
    <row r="1583" spans="1:6" x14ac:dyDescent="0.15">
      <c r="A1583" t="s">
        <v>210</v>
      </c>
      <c r="B1583" s="226">
        <v>42318.436614085651</v>
      </c>
      <c r="C1583" t="s">
        <v>1662</v>
      </c>
      <c r="D1583" t="s">
        <v>13</v>
      </c>
      <c r="E1583">
        <v>100</v>
      </c>
      <c r="F1583">
        <v>0</v>
      </c>
    </row>
    <row r="1584" spans="1:6" x14ac:dyDescent="0.15">
      <c r="A1584" t="s">
        <v>210</v>
      </c>
      <c r="B1584" s="226">
        <v>42318.449803449075</v>
      </c>
      <c r="C1584" t="s">
        <v>1202</v>
      </c>
      <c r="D1584" t="s">
        <v>13</v>
      </c>
      <c r="E1584">
        <v>60</v>
      </c>
      <c r="F1584">
        <v>0</v>
      </c>
    </row>
    <row r="1585" spans="1:6" x14ac:dyDescent="0.15">
      <c r="A1585" t="s">
        <v>210</v>
      </c>
      <c r="B1585" s="226">
        <v>42318.460927499997</v>
      </c>
      <c r="C1585" t="s">
        <v>1663</v>
      </c>
      <c r="D1585" t="s">
        <v>13</v>
      </c>
      <c r="E1585">
        <v>100</v>
      </c>
      <c r="F1585">
        <v>0</v>
      </c>
    </row>
    <row r="1586" spans="1:6" x14ac:dyDescent="0.15">
      <c r="A1586" t="s">
        <v>210</v>
      </c>
      <c r="B1586" s="226">
        <v>42318.466833275466</v>
      </c>
      <c r="C1586" t="s">
        <v>251</v>
      </c>
      <c r="D1586" t="s">
        <v>13</v>
      </c>
      <c r="E1586">
        <v>80</v>
      </c>
      <c r="F1586">
        <v>0</v>
      </c>
    </row>
    <row r="1587" spans="1:6" x14ac:dyDescent="0.15">
      <c r="A1587" t="s">
        <v>210</v>
      </c>
      <c r="B1587" s="226">
        <v>42318.472998136574</v>
      </c>
      <c r="C1587" t="s">
        <v>1664</v>
      </c>
      <c r="D1587" t="s">
        <v>13</v>
      </c>
      <c r="E1587">
        <v>40</v>
      </c>
      <c r="F1587">
        <v>0</v>
      </c>
    </row>
    <row r="1588" spans="1:6" x14ac:dyDescent="0.15">
      <c r="A1588" t="s">
        <v>210</v>
      </c>
      <c r="B1588" s="226">
        <v>42318.477009270835</v>
      </c>
      <c r="C1588" t="s">
        <v>273</v>
      </c>
      <c r="D1588" t="s">
        <v>13</v>
      </c>
      <c r="E1588">
        <v>100</v>
      </c>
      <c r="F1588">
        <v>0</v>
      </c>
    </row>
    <row r="1589" spans="1:6" x14ac:dyDescent="0.15">
      <c r="A1589" t="s">
        <v>210</v>
      </c>
      <c r="B1589" s="226">
        <v>42318.483858078704</v>
      </c>
      <c r="C1589" t="s">
        <v>320</v>
      </c>
      <c r="D1589" t="s">
        <v>13</v>
      </c>
      <c r="E1589">
        <v>40</v>
      </c>
      <c r="F1589">
        <v>0</v>
      </c>
    </row>
    <row r="1590" spans="1:6" x14ac:dyDescent="0.15">
      <c r="A1590" t="s">
        <v>210</v>
      </c>
      <c r="B1590" s="226">
        <v>42318.486729687502</v>
      </c>
      <c r="C1590" t="s">
        <v>1665</v>
      </c>
      <c r="D1590" t="s">
        <v>13</v>
      </c>
      <c r="E1590">
        <v>140</v>
      </c>
      <c r="F1590">
        <v>0</v>
      </c>
    </row>
    <row r="1591" spans="1:6" x14ac:dyDescent="0.15">
      <c r="A1591" t="s">
        <v>210</v>
      </c>
      <c r="B1591" s="226">
        <v>42318.487474502312</v>
      </c>
      <c r="C1591" t="s">
        <v>1666</v>
      </c>
      <c r="D1591" t="s">
        <v>13</v>
      </c>
      <c r="E1591">
        <v>200</v>
      </c>
      <c r="F1591">
        <v>0</v>
      </c>
    </row>
    <row r="1592" spans="1:6" x14ac:dyDescent="0.15">
      <c r="A1592" t="s">
        <v>210</v>
      </c>
      <c r="B1592" s="226">
        <v>42318.493507789353</v>
      </c>
      <c r="C1592" t="s">
        <v>1667</v>
      </c>
      <c r="D1592" t="s">
        <v>13</v>
      </c>
      <c r="E1592">
        <v>100</v>
      </c>
      <c r="F1592">
        <v>0</v>
      </c>
    </row>
    <row r="1593" spans="1:6" x14ac:dyDescent="0.15">
      <c r="A1593" t="s">
        <v>210</v>
      </c>
      <c r="B1593" s="226">
        <v>42318.505342129632</v>
      </c>
      <c r="C1593" t="s">
        <v>1518</v>
      </c>
      <c r="D1593" t="s">
        <v>13</v>
      </c>
      <c r="E1593">
        <v>100</v>
      </c>
      <c r="F1593">
        <v>0</v>
      </c>
    </row>
    <row r="1594" spans="1:6" x14ac:dyDescent="0.15">
      <c r="A1594" t="s">
        <v>210</v>
      </c>
      <c r="B1594" s="226">
        <v>42318.509532557873</v>
      </c>
      <c r="C1594" t="s">
        <v>426</v>
      </c>
      <c r="D1594" t="s">
        <v>13</v>
      </c>
      <c r="E1594">
        <v>60</v>
      </c>
      <c r="F1594">
        <v>0</v>
      </c>
    </row>
    <row r="1595" spans="1:6" x14ac:dyDescent="0.15">
      <c r="A1595" t="s">
        <v>210</v>
      </c>
      <c r="B1595" s="226">
        <v>42318.547951851855</v>
      </c>
      <c r="C1595" t="s">
        <v>14</v>
      </c>
      <c r="D1595" t="s">
        <v>13</v>
      </c>
      <c r="E1595">
        <v>60</v>
      </c>
      <c r="F1595">
        <v>3.5</v>
      </c>
    </row>
    <row r="1596" spans="1:6" x14ac:dyDescent="0.15">
      <c r="A1596" t="s">
        <v>210</v>
      </c>
      <c r="B1596" s="226">
        <v>42318.560027164349</v>
      </c>
      <c r="C1596" t="s">
        <v>427</v>
      </c>
      <c r="D1596" t="s">
        <v>13</v>
      </c>
      <c r="E1596">
        <v>100</v>
      </c>
      <c r="F1596">
        <v>0</v>
      </c>
    </row>
    <row r="1597" spans="1:6" x14ac:dyDescent="0.15">
      <c r="A1597" t="s">
        <v>210</v>
      </c>
      <c r="B1597" s="226">
        <v>42318.565802951387</v>
      </c>
      <c r="C1597" t="s">
        <v>913</v>
      </c>
      <c r="D1597" t="s">
        <v>13</v>
      </c>
      <c r="E1597">
        <v>500</v>
      </c>
      <c r="F1597">
        <v>0</v>
      </c>
    </row>
    <row r="1598" spans="1:6" x14ac:dyDescent="0.15">
      <c r="A1598" t="s">
        <v>210</v>
      </c>
      <c r="B1598" s="226">
        <v>42318.570141909724</v>
      </c>
      <c r="C1598" t="s">
        <v>1668</v>
      </c>
      <c r="D1598" t="s">
        <v>13</v>
      </c>
      <c r="E1598">
        <v>60</v>
      </c>
      <c r="F1598">
        <v>0</v>
      </c>
    </row>
    <row r="1599" spans="1:6" x14ac:dyDescent="0.15">
      <c r="A1599" t="s">
        <v>210</v>
      </c>
      <c r="B1599" s="226">
        <v>42318.579803055552</v>
      </c>
      <c r="C1599" t="s">
        <v>14</v>
      </c>
      <c r="D1599" t="s">
        <v>13</v>
      </c>
      <c r="E1599">
        <v>60</v>
      </c>
      <c r="F1599">
        <v>3.5</v>
      </c>
    </row>
    <row r="1600" spans="1:6" x14ac:dyDescent="0.15">
      <c r="A1600" t="s">
        <v>210</v>
      </c>
      <c r="B1600" s="226">
        <v>42318.58220261574</v>
      </c>
      <c r="C1600" t="s">
        <v>1669</v>
      </c>
      <c r="D1600" t="s">
        <v>13</v>
      </c>
      <c r="E1600">
        <v>200</v>
      </c>
      <c r="F1600">
        <v>0</v>
      </c>
    </row>
    <row r="1601" spans="1:6" x14ac:dyDescent="0.15">
      <c r="A1601" t="s">
        <v>210</v>
      </c>
      <c r="B1601" s="226">
        <v>42318.583800393521</v>
      </c>
      <c r="C1601" t="s">
        <v>14</v>
      </c>
      <c r="D1601" t="s">
        <v>13</v>
      </c>
      <c r="E1601">
        <v>40</v>
      </c>
      <c r="F1601">
        <v>3.5</v>
      </c>
    </row>
    <row r="1602" spans="1:6" x14ac:dyDescent="0.15">
      <c r="A1602" t="s">
        <v>210</v>
      </c>
      <c r="B1602" s="226">
        <v>42318.600324085652</v>
      </c>
      <c r="C1602" t="s">
        <v>1670</v>
      </c>
      <c r="D1602" t="s">
        <v>13</v>
      </c>
      <c r="E1602">
        <v>60</v>
      </c>
      <c r="F1602">
        <v>0</v>
      </c>
    </row>
    <row r="1603" spans="1:6" x14ac:dyDescent="0.15">
      <c r="A1603" t="s">
        <v>210</v>
      </c>
      <c r="B1603" s="226">
        <v>42318.653055821756</v>
      </c>
      <c r="C1603" t="s">
        <v>1671</v>
      </c>
      <c r="D1603" t="s">
        <v>13</v>
      </c>
      <c r="E1603">
        <v>40</v>
      </c>
      <c r="F1603">
        <v>0</v>
      </c>
    </row>
    <row r="1604" spans="1:6" x14ac:dyDescent="0.15">
      <c r="A1604" t="s">
        <v>210</v>
      </c>
      <c r="B1604" s="226">
        <v>42318.672436053239</v>
      </c>
      <c r="C1604" t="s">
        <v>1672</v>
      </c>
      <c r="D1604" t="s">
        <v>15</v>
      </c>
      <c r="E1604">
        <v>40</v>
      </c>
      <c r="F1604">
        <v>1.2</v>
      </c>
    </row>
    <row r="1605" spans="1:6" x14ac:dyDescent="0.15">
      <c r="A1605" t="s">
        <v>210</v>
      </c>
      <c r="B1605" s="226">
        <v>42318.677348958336</v>
      </c>
      <c r="C1605" t="s">
        <v>1673</v>
      </c>
      <c r="D1605" t="s">
        <v>13</v>
      </c>
      <c r="E1605">
        <v>100</v>
      </c>
      <c r="F1605">
        <v>0</v>
      </c>
    </row>
    <row r="1606" spans="1:6" x14ac:dyDescent="0.15">
      <c r="A1606" t="s">
        <v>210</v>
      </c>
      <c r="B1606" s="226">
        <v>42318.678059155092</v>
      </c>
      <c r="C1606" t="s">
        <v>1674</v>
      </c>
      <c r="D1606" t="s">
        <v>15</v>
      </c>
      <c r="E1606">
        <v>40</v>
      </c>
      <c r="F1606">
        <v>1.2</v>
      </c>
    </row>
    <row r="1607" spans="1:6" x14ac:dyDescent="0.15">
      <c r="A1607" t="s">
        <v>210</v>
      </c>
      <c r="B1607" s="226">
        <v>42318.678897245372</v>
      </c>
      <c r="C1607" t="s">
        <v>1675</v>
      </c>
      <c r="D1607" t="s">
        <v>13</v>
      </c>
      <c r="E1607">
        <v>40</v>
      </c>
      <c r="F1607">
        <v>0</v>
      </c>
    </row>
    <row r="1608" spans="1:6" x14ac:dyDescent="0.15">
      <c r="A1608" t="s">
        <v>210</v>
      </c>
      <c r="B1608" s="226">
        <v>42318.679685567127</v>
      </c>
      <c r="C1608" t="s">
        <v>1676</v>
      </c>
      <c r="D1608" t="s">
        <v>13</v>
      </c>
      <c r="E1608">
        <v>160</v>
      </c>
      <c r="F1608">
        <v>0</v>
      </c>
    </row>
    <row r="1609" spans="1:6" x14ac:dyDescent="0.15">
      <c r="A1609" t="s">
        <v>210</v>
      </c>
      <c r="B1609" s="226">
        <v>42318.707678333332</v>
      </c>
      <c r="C1609" t="s">
        <v>1677</v>
      </c>
      <c r="D1609" t="s">
        <v>13</v>
      </c>
      <c r="E1609">
        <v>40</v>
      </c>
      <c r="F1609">
        <v>0</v>
      </c>
    </row>
    <row r="1610" spans="1:6" x14ac:dyDescent="0.15">
      <c r="A1610" t="s">
        <v>210</v>
      </c>
      <c r="B1610" s="226">
        <v>42318.720737719908</v>
      </c>
      <c r="C1610" t="s">
        <v>1678</v>
      </c>
      <c r="D1610" t="s">
        <v>13</v>
      </c>
      <c r="E1610">
        <v>100</v>
      </c>
      <c r="F1610">
        <v>0</v>
      </c>
    </row>
    <row r="1611" spans="1:6" x14ac:dyDescent="0.15">
      <c r="A1611" t="s">
        <v>210</v>
      </c>
      <c r="B1611" s="226">
        <v>42318.729048796296</v>
      </c>
      <c r="C1611" t="s">
        <v>1679</v>
      </c>
      <c r="D1611" t="s">
        <v>13</v>
      </c>
      <c r="E1611">
        <v>100</v>
      </c>
      <c r="F1611">
        <v>0</v>
      </c>
    </row>
    <row r="1612" spans="1:6" x14ac:dyDescent="0.15">
      <c r="A1612" t="s">
        <v>210</v>
      </c>
      <c r="B1612" s="226">
        <v>42318.748510798614</v>
      </c>
      <c r="C1612" t="s">
        <v>428</v>
      </c>
      <c r="D1612" t="s">
        <v>13</v>
      </c>
      <c r="E1612">
        <v>120</v>
      </c>
      <c r="F1612">
        <v>0</v>
      </c>
    </row>
    <row r="1613" spans="1:6" x14ac:dyDescent="0.15">
      <c r="A1613" t="s">
        <v>210</v>
      </c>
      <c r="B1613" s="226">
        <v>42318.749331817133</v>
      </c>
      <c r="C1613" t="s">
        <v>1680</v>
      </c>
      <c r="D1613" t="s">
        <v>13</v>
      </c>
      <c r="E1613">
        <v>80</v>
      </c>
      <c r="F1613">
        <v>0</v>
      </c>
    </row>
    <row r="1614" spans="1:6" x14ac:dyDescent="0.15">
      <c r="A1614" t="s">
        <v>210</v>
      </c>
      <c r="B1614" s="226">
        <v>42318.768210624999</v>
      </c>
      <c r="C1614" t="s">
        <v>1681</v>
      </c>
      <c r="D1614" t="s">
        <v>13</v>
      </c>
      <c r="E1614">
        <v>40</v>
      </c>
      <c r="F1614">
        <v>0</v>
      </c>
    </row>
    <row r="1615" spans="1:6" x14ac:dyDescent="0.15">
      <c r="A1615" t="s">
        <v>210</v>
      </c>
      <c r="B1615" s="226">
        <v>42318.786169884261</v>
      </c>
      <c r="C1615" t="s">
        <v>1682</v>
      </c>
      <c r="D1615" t="s">
        <v>13</v>
      </c>
      <c r="E1615">
        <v>80</v>
      </c>
      <c r="F1615">
        <v>0</v>
      </c>
    </row>
    <row r="1616" spans="1:6" x14ac:dyDescent="0.15">
      <c r="A1616" t="s">
        <v>210</v>
      </c>
      <c r="B1616" s="226">
        <v>42318.877596956016</v>
      </c>
      <c r="C1616" t="s">
        <v>1683</v>
      </c>
      <c r="D1616" t="s">
        <v>13</v>
      </c>
      <c r="E1616">
        <v>20</v>
      </c>
      <c r="F1616">
        <v>0</v>
      </c>
    </row>
    <row r="1617" spans="1:6" x14ac:dyDescent="0.15">
      <c r="A1617" t="s">
        <v>210</v>
      </c>
      <c r="B1617" s="226">
        <v>42319.003430821758</v>
      </c>
      <c r="C1617" t="s">
        <v>429</v>
      </c>
      <c r="D1617" t="s">
        <v>13</v>
      </c>
      <c r="E1617">
        <v>500</v>
      </c>
      <c r="F1617">
        <v>0</v>
      </c>
    </row>
    <row r="1618" spans="1:6" x14ac:dyDescent="0.15">
      <c r="A1618" t="s">
        <v>210</v>
      </c>
      <c r="B1618" s="226">
        <v>42319.29237422454</v>
      </c>
      <c r="C1618" t="s">
        <v>1684</v>
      </c>
      <c r="D1618" t="s">
        <v>13</v>
      </c>
      <c r="E1618">
        <v>60</v>
      </c>
      <c r="F1618">
        <v>0</v>
      </c>
    </row>
    <row r="1619" spans="1:6" x14ac:dyDescent="0.15">
      <c r="A1619" t="s">
        <v>210</v>
      </c>
      <c r="B1619" s="226">
        <v>42319.309043159723</v>
      </c>
      <c r="C1619" t="s">
        <v>1685</v>
      </c>
      <c r="D1619" t="s">
        <v>13</v>
      </c>
      <c r="E1619">
        <v>200</v>
      </c>
      <c r="F1619">
        <v>0</v>
      </c>
    </row>
    <row r="1620" spans="1:6" x14ac:dyDescent="0.15">
      <c r="A1620" t="s">
        <v>210</v>
      </c>
      <c r="B1620" s="226">
        <v>42319.325135335646</v>
      </c>
      <c r="C1620" t="s">
        <v>1686</v>
      </c>
      <c r="D1620" t="s">
        <v>13</v>
      </c>
      <c r="E1620">
        <v>20</v>
      </c>
      <c r="F1620">
        <v>0</v>
      </c>
    </row>
    <row r="1621" spans="1:6" x14ac:dyDescent="0.15">
      <c r="A1621" t="s">
        <v>210</v>
      </c>
      <c r="B1621" s="226">
        <v>42319.328210590276</v>
      </c>
      <c r="C1621" t="s">
        <v>1687</v>
      </c>
      <c r="D1621" t="s">
        <v>13</v>
      </c>
      <c r="E1621">
        <v>100</v>
      </c>
      <c r="F1621">
        <v>0</v>
      </c>
    </row>
    <row r="1622" spans="1:6" x14ac:dyDescent="0.15">
      <c r="A1622" t="s">
        <v>210</v>
      </c>
      <c r="B1622" s="226">
        <v>42319.335291863426</v>
      </c>
      <c r="C1622" t="s">
        <v>1688</v>
      </c>
      <c r="D1622" t="s">
        <v>13</v>
      </c>
      <c r="E1622">
        <v>100</v>
      </c>
      <c r="F1622">
        <v>0</v>
      </c>
    </row>
    <row r="1623" spans="1:6" x14ac:dyDescent="0.15">
      <c r="A1623" t="s">
        <v>210</v>
      </c>
      <c r="B1623" s="226">
        <v>42319.338488263886</v>
      </c>
      <c r="C1623" t="s">
        <v>14</v>
      </c>
      <c r="D1623" t="s">
        <v>13</v>
      </c>
      <c r="E1623">
        <v>100</v>
      </c>
      <c r="F1623">
        <v>3.5</v>
      </c>
    </row>
    <row r="1624" spans="1:6" x14ac:dyDescent="0.15">
      <c r="A1624" t="s">
        <v>210</v>
      </c>
      <c r="B1624" s="226">
        <v>42319.353330590275</v>
      </c>
      <c r="C1624" t="s">
        <v>1689</v>
      </c>
      <c r="D1624" t="s">
        <v>13</v>
      </c>
      <c r="E1624">
        <v>60</v>
      </c>
      <c r="F1624">
        <v>0</v>
      </c>
    </row>
    <row r="1625" spans="1:6" x14ac:dyDescent="0.15">
      <c r="A1625" t="s">
        <v>210</v>
      </c>
      <c r="B1625" s="226">
        <v>42319.404322916664</v>
      </c>
      <c r="C1625" t="s">
        <v>741</v>
      </c>
      <c r="D1625" t="s">
        <v>13</v>
      </c>
      <c r="E1625">
        <v>40</v>
      </c>
      <c r="F1625">
        <v>0</v>
      </c>
    </row>
    <row r="1626" spans="1:6" x14ac:dyDescent="0.15">
      <c r="A1626" t="s">
        <v>210</v>
      </c>
      <c r="B1626" s="226">
        <v>42319.434826319448</v>
      </c>
      <c r="C1626" t="s">
        <v>1690</v>
      </c>
      <c r="D1626" t="s">
        <v>13</v>
      </c>
      <c r="E1626">
        <v>20</v>
      </c>
      <c r="F1626">
        <v>0</v>
      </c>
    </row>
    <row r="1627" spans="1:6" x14ac:dyDescent="0.15">
      <c r="A1627" t="s">
        <v>210</v>
      </c>
      <c r="B1627" s="226">
        <v>42319.451859490742</v>
      </c>
      <c r="C1627" t="s">
        <v>1691</v>
      </c>
      <c r="D1627" t="s">
        <v>13</v>
      </c>
      <c r="E1627">
        <v>200</v>
      </c>
      <c r="F1627">
        <v>0</v>
      </c>
    </row>
    <row r="1628" spans="1:6" x14ac:dyDescent="0.15">
      <c r="A1628" t="s">
        <v>210</v>
      </c>
      <c r="B1628" s="226">
        <v>42319.466093402778</v>
      </c>
      <c r="C1628" t="s">
        <v>14</v>
      </c>
      <c r="D1628" t="s">
        <v>13</v>
      </c>
      <c r="E1628">
        <v>100</v>
      </c>
      <c r="F1628">
        <v>3.5</v>
      </c>
    </row>
    <row r="1629" spans="1:6" x14ac:dyDescent="0.15">
      <c r="A1629" t="s">
        <v>210</v>
      </c>
      <c r="B1629" s="226">
        <v>42319.477918576391</v>
      </c>
      <c r="C1629" t="s">
        <v>14</v>
      </c>
      <c r="D1629" t="s">
        <v>13</v>
      </c>
      <c r="E1629">
        <v>100</v>
      </c>
      <c r="F1629">
        <v>3.5</v>
      </c>
    </row>
    <row r="1630" spans="1:6" x14ac:dyDescent="0.15">
      <c r="A1630" t="s">
        <v>210</v>
      </c>
      <c r="B1630" s="226">
        <v>42319.484631226849</v>
      </c>
      <c r="C1630" t="s">
        <v>1692</v>
      </c>
      <c r="D1630" t="s">
        <v>13</v>
      </c>
      <c r="E1630">
        <v>500</v>
      </c>
      <c r="F1630">
        <v>0</v>
      </c>
    </row>
    <row r="1631" spans="1:6" x14ac:dyDescent="0.15">
      <c r="A1631" t="s">
        <v>210</v>
      </c>
      <c r="B1631" s="226">
        <v>42319.508266018522</v>
      </c>
      <c r="C1631" t="s">
        <v>430</v>
      </c>
      <c r="D1631" t="s">
        <v>13</v>
      </c>
      <c r="E1631">
        <v>40</v>
      </c>
      <c r="F1631">
        <v>0</v>
      </c>
    </row>
    <row r="1632" spans="1:6" x14ac:dyDescent="0.15">
      <c r="A1632" t="s">
        <v>210</v>
      </c>
      <c r="B1632" s="226">
        <v>42319.518662488423</v>
      </c>
      <c r="C1632" t="s">
        <v>305</v>
      </c>
      <c r="D1632" t="s">
        <v>13</v>
      </c>
      <c r="E1632">
        <v>200</v>
      </c>
      <c r="F1632">
        <v>0</v>
      </c>
    </row>
    <row r="1633" spans="1:6" x14ac:dyDescent="0.15">
      <c r="A1633" t="s">
        <v>210</v>
      </c>
      <c r="B1633" s="226">
        <v>42319.522380092596</v>
      </c>
      <c r="C1633" t="s">
        <v>1693</v>
      </c>
      <c r="D1633" t="s">
        <v>13</v>
      </c>
      <c r="E1633">
        <v>100</v>
      </c>
      <c r="F1633">
        <v>0</v>
      </c>
    </row>
    <row r="1634" spans="1:6" x14ac:dyDescent="0.15">
      <c r="A1634" t="s">
        <v>210</v>
      </c>
      <c r="B1634" s="226">
        <v>42319.53702210648</v>
      </c>
      <c r="C1634" t="s">
        <v>1694</v>
      </c>
      <c r="D1634" t="s">
        <v>13</v>
      </c>
      <c r="E1634">
        <v>20</v>
      </c>
      <c r="F1634">
        <v>0</v>
      </c>
    </row>
    <row r="1635" spans="1:6" x14ac:dyDescent="0.15">
      <c r="A1635" t="s">
        <v>210</v>
      </c>
      <c r="B1635" s="226">
        <v>42319.543687361111</v>
      </c>
      <c r="C1635" t="s">
        <v>177</v>
      </c>
      <c r="D1635" t="s">
        <v>13</v>
      </c>
      <c r="E1635">
        <v>20</v>
      </c>
      <c r="F1635">
        <v>0</v>
      </c>
    </row>
    <row r="1636" spans="1:6" x14ac:dyDescent="0.15">
      <c r="A1636" t="s">
        <v>210</v>
      </c>
      <c r="B1636" s="226">
        <v>42319.550605092591</v>
      </c>
      <c r="C1636" t="s">
        <v>1695</v>
      </c>
      <c r="D1636" t="s">
        <v>13</v>
      </c>
      <c r="E1636">
        <v>100</v>
      </c>
      <c r="F1636">
        <v>0</v>
      </c>
    </row>
    <row r="1637" spans="1:6" x14ac:dyDescent="0.15">
      <c r="A1637" t="s">
        <v>210</v>
      </c>
      <c r="B1637" s="226">
        <v>42319.554095081017</v>
      </c>
      <c r="C1637" t="s">
        <v>1696</v>
      </c>
      <c r="D1637" t="s">
        <v>13</v>
      </c>
      <c r="E1637">
        <v>60</v>
      </c>
      <c r="F1637">
        <v>0</v>
      </c>
    </row>
    <row r="1638" spans="1:6" x14ac:dyDescent="0.15">
      <c r="A1638" t="s">
        <v>210</v>
      </c>
      <c r="B1638" s="226">
        <v>42319.561675462966</v>
      </c>
      <c r="C1638" t="s">
        <v>1697</v>
      </c>
      <c r="D1638" t="s">
        <v>13</v>
      </c>
      <c r="E1638">
        <v>100</v>
      </c>
      <c r="F1638">
        <v>0</v>
      </c>
    </row>
    <row r="1639" spans="1:6" x14ac:dyDescent="0.15">
      <c r="A1639" t="s">
        <v>210</v>
      </c>
      <c r="B1639" s="226">
        <v>42319.588595266207</v>
      </c>
      <c r="C1639" t="s">
        <v>974</v>
      </c>
      <c r="D1639" t="s">
        <v>13</v>
      </c>
      <c r="E1639">
        <v>400</v>
      </c>
      <c r="F1639">
        <v>0</v>
      </c>
    </row>
    <row r="1640" spans="1:6" x14ac:dyDescent="0.15">
      <c r="A1640" t="s">
        <v>210</v>
      </c>
      <c r="B1640" s="226">
        <v>42319.590768275462</v>
      </c>
      <c r="C1640" t="s">
        <v>1698</v>
      </c>
      <c r="D1640" t="s">
        <v>13</v>
      </c>
      <c r="E1640">
        <v>120</v>
      </c>
      <c r="F1640">
        <v>0</v>
      </c>
    </row>
    <row r="1641" spans="1:6" x14ac:dyDescent="0.15">
      <c r="A1641" t="s">
        <v>210</v>
      </c>
      <c r="B1641" s="226">
        <v>42319.593394085648</v>
      </c>
      <c r="C1641" t="s">
        <v>431</v>
      </c>
      <c r="D1641" t="s">
        <v>13</v>
      </c>
      <c r="E1641">
        <v>100</v>
      </c>
      <c r="F1641">
        <v>0</v>
      </c>
    </row>
    <row r="1642" spans="1:6" x14ac:dyDescent="0.15">
      <c r="A1642" t="s">
        <v>210</v>
      </c>
      <c r="B1642" s="226">
        <v>42319.614971319446</v>
      </c>
      <c r="C1642" t="s">
        <v>1699</v>
      </c>
      <c r="D1642" t="s">
        <v>13</v>
      </c>
      <c r="E1642">
        <v>100</v>
      </c>
      <c r="F1642">
        <v>0</v>
      </c>
    </row>
    <row r="1643" spans="1:6" x14ac:dyDescent="0.15">
      <c r="A1643" t="s">
        <v>210</v>
      </c>
      <c r="B1643" s="226">
        <v>42319.617304652777</v>
      </c>
      <c r="C1643" t="s">
        <v>1700</v>
      </c>
      <c r="D1643" t="s">
        <v>13</v>
      </c>
      <c r="E1643">
        <v>60</v>
      </c>
      <c r="F1643">
        <v>0</v>
      </c>
    </row>
    <row r="1644" spans="1:6" x14ac:dyDescent="0.15">
      <c r="A1644" t="s">
        <v>210</v>
      </c>
      <c r="B1644" s="226">
        <v>42319.627895659723</v>
      </c>
      <c r="C1644" t="s">
        <v>14</v>
      </c>
      <c r="D1644" t="s">
        <v>13</v>
      </c>
      <c r="E1644">
        <v>120</v>
      </c>
      <c r="F1644">
        <v>3.5</v>
      </c>
    </row>
    <row r="1645" spans="1:6" x14ac:dyDescent="0.15">
      <c r="A1645" t="s">
        <v>210</v>
      </c>
      <c r="B1645" s="226">
        <v>42319.64127724537</v>
      </c>
      <c r="C1645" t="s">
        <v>1701</v>
      </c>
      <c r="D1645" t="s">
        <v>13</v>
      </c>
      <c r="E1645">
        <v>160</v>
      </c>
      <c r="F1645">
        <v>0</v>
      </c>
    </row>
    <row r="1646" spans="1:6" x14ac:dyDescent="0.15">
      <c r="A1646" t="s">
        <v>210</v>
      </c>
      <c r="B1646" s="226">
        <v>42319.654788576387</v>
      </c>
      <c r="C1646" t="s">
        <v>432</v>
      </c>
      <c r="D1646" t="s">
        <v>13</v>
      </c>
      <c r="E1646">
        <v>80</v>
      </c>
      <c r="F1646">
        <v>0</v>
      </c>
    </row>
    <row r="1647" spans="1:6" x14ac:dyDescent="0.15">
      <c r="A1647" t="s">
        <v>210</v>
      </c>
      <c r="B1647" s="226">
        <v>42319.67416101852</v>
      </c>
      <c r="C1647" t="s">
        <v>1702</v>
      </c>
      <c r="D1647" t="s">
        <v>13</v>
      </c>
      <c r="E1647">
        <v>100</v>
      </c>
      <c r="F1647">
        <v>0</v>
      </c>
    </row>
    <row r="1648" spans="1:6" x14ac:dyDescent="0.15">
      <c r="A1648" t="s">
        <v>210</v>
      </c>
      <c r="B1648" s="226">
        <v>42319.678248692129</v>
      </c>
      <c r="C1648" t="s">
        <v>1703</v>
      </c>
      <c r="D1648" t="s">
        <v>13</v>
      </c>
      <c r="E1648">
        <v>160</v>
      </c>
      <c r="F1648">
        <v>0</v>
      </c>
    </row>
    <row r="1649" spans="1:6" x14ac:dyDescent="0.15">
      <c r="A1649" t="s">
        <v>210</v>
      </c>
      <c r="B1649" s="226">
        <v>42319.679698043983</v>
      </c>
      <c r="C1649" t="s">
        <v>1704</v>
      </c>
      <c r="D1649" t="s">
        <v>13</v>
      </c>
      <c r="E1649">
        <v>100</v>
      </c>
      <c r="F1649">
        <v>0</v>
      </c>
    </row>
    <row r="1650" spans="1:6" x14ac:dyDescent="0.15">
      <c r="A1650" t="s">
        <v>210</v>
      </c>
      <c r="B1650" s="226">
        <v>42319.699478981478</v>
      </c>
      <c r="C1650" t="s">
        <v>1705</v>
      </c>
      <c r="D1650" t="s">
        <v>13</v>
      </c>
      <c r="E1650">
        <v>100</v>
      </c>
      <c r="F1650">
        <v>0</v>
      </c>
    </row>
    <row r="1651" spans="1:6" x14ac:dyDescent="0.15">
      <c r="A1651" t="s">
        <v>210</v>
      </c>
      <c r="B1651" s="226">
        <v>42319.700051446758</v>
      </c>
      <c r="C1651" t="s">
        <v>1706</v>
      </c>
      <c r="D1651" t="s">
        <v>13</v>
      </c>
      <c r="E1651">
        <v>40</v>
      </c>
      <c r="F1651">
        <v>0</v>
      </c>
    </row>
    <row r="1652" spans="1:6" x14ac:dyDescent="0.15">
      <c r="A1652" t="s">
        <v>210</v>
      </c>
      <c r="B1652" s="226">
        <v>42319.709846412035</v>
      </c>
      <c r="C1652" t="s">
        <v>1488</v>
      </c>
      <c r="D1652" t="s">
        <v>13</v>
      </c>
      <c r="E1652">
        <v>100</v>
      </c>
      <c r="F1652">
        <v>0</v>
      </c>
    </row>
    <row r="1653" spans="1:6" x14ac:dyDescent="0.15">
      <c r="A1653" t="s">
        <v>210</v>
      </c>
      <c r="B1653" s="226">
        <v>42319.750912488424</v>
      </c>
      <c r="C1653" t="s">
        <v>1259</v>
      </c>
      <c r="D1653" t="s">
        <v>13</v>
      </c>
      <c r="E1653">
        <v>100</v>
      </c>
      <c r="F1653">
        <v>0</v>
      </c>
    </row>
    <row r="1654" spans="1:6" x14ac:dyDescent="0.15">
      <c r="A1654" t="s">
        <v>210</v>
      </c>
      <c r="B1654" s="226">
        <v>42319.800122685185</v>
      </c>
      <c r="C1654" t="s">
        <v>1707</v>
      </c>
      <c r="D1654" t="s">
        <v>13</v>
      </c>
      <c r="E1654">
        <v>80</v>
      </c>
      <c r="F1654">
        <v>0</v>
      </c>
    </row>
    <row r="1655" spans="1:6" x14ac:dyDescent="0.15">
      <c r="A1655" t="s">
        <v>210</v>
      </c>
      <c r="B1655" s="226">
        <v>42319.868294641201</v>
      </c>
      <c r="C1655" t="s">
        <v>1708</v>
      </c>
      <c r="D1655" t="s">
        <v>13</v>
      </c>
      <c r="E1655">
        <v>100</v>
      </c>
      <c r="F1655">
        <v>0</v>
      </c>
    </row>
    <row r="1656" spans="1:6" x14ac:dyDescent="0.15">
      <c r="A1656" t="s">
        <v>210</v>
      </c>
      <c r="B1656" s="226">
        <v>42319.892488888887</v>
      </c>
      <c r="C1656" t="s">
        <v>14</v>
      </c>
      <c r="D1656" t="s">
        <v>13</v>
      </c>
      <c r="E1656">
        <v>100</v>
      </c>
      <c r="F1656">
        <v>3.5</v>
      </c>
    </row>
    <row r="1657" spans="1:6" x14ac:dyDescent="0.15">
      <c r="A1657" t="s">
        <v>210</v>
      </c>
      <c r="B1657" s="226">
        <v>42319.91479166667</v>
      </c>
      <c r="C1657" t="s">
        <v>14</v>
      </c>
      <c r="D1657" t="s">
        <v>13</v>
      </c>
      <c r="E1657">
        <v>180</v>
      </c>
      <c r="F1657">
        <v>3.5</v>
      </c>
    </row>
    <row r="1658" spans="1:6" x14ac:dyDescent="0.15">
      <c r="A1658" t="s">
        <v>210</v>
      </c>
      <c r="B1658" s="226">
        <v>42319.918282314815</v>
      </c>
      <c r="C1658" t="s">
        <v>948</v>
      </c>
      <c r="D1658" t="s">
        <v>13</v>
      </c>
      <c r="E1658">
        <v>20</v>
      </c>
      <c r="F1658">
        <v>0</v>
      </c>
    </row>
    <row r="1659" spans="1:6" x14ac:dyDescent="0.15">
      <c r="A1659" t="s">
        <v>210</v>
      </c>
      <c r="B1659" s="226">
        <v>42320.133937118058</v>
      </c>
      <c r="C1659" t="s">
        <v>1709</v>
      </c>
      <c r="D1659" t="s">
        <v>13</v>
      </c>
      <c r="E1659">
        <v>100</v>
      </c>
      <c r="F1659">
        <v>0</v>
      </c>
    </row>
    <row r="1660" spans="1:6" x14ac:dyDescent="0.15">
      <c r="A1660" t="s">
        <v>210</v>
      </c>
      <c r="B1660" s="226">
        <v>42320.277284097225</v>
      </c>
      <c r="C1660" t="s">
        <v>1710</v>
      </c>
      <c r="D1660" t="s">
        <v>13</v>
      </c>
      <c r="E1660">
        <v>500</v>
      </c>
      <c r="F1660">
        <v>0</v>
      </c>
    </row>
    <row r="1661" spans="1:6" x14ac:dyDescent="0.15">
      <c r="A1661" t="s">
        <v>210</v>
      </c>
      <c r="B1661" s="226">
        <v>42320.288668171299</v>
      </c>
      <c r="C1661" t="s">
        <v>1711</v>
      </c>
      <c r="D1661" t="s">
        <v>13</v>
      </c>
      <c r="E1661">
        <v>200</v>
      </c>
      <c r="F1661">
        <v>0</v>
      </c>
    </row>
    <row r="1662" spans="1:6" x14ac:dyDescent="0.15">
      <c r="A1662" t="s">
        <v>210</v>
      </c>
      <c r="B1662" s="226">
        <v>42320.301516099535</v>
      </c>
      <c r="C1662" t="s">
        <v>1712</v>
      </c>
      <c r="D1662" t="s">
        <v>13</v>
      </c>
      <c r="E1662">
        <v>60</v>
      </c>
      <c r="F1662">
        <v>0</v>
      </c>
    </row>
    <row r="1663" spans="1:6" x14ac:dyDescent="0.15">
      <c r="A1663" t="s">
        <v>210</v>
      </c>
      <c r="B1663" s="226">
        <v>42320.307982928243</v>
      </c>
      <c r="C1663" t="s">
        <v>1532</v>
      </c>
      <c r="D1663" t="s">
        <v>13</v>
      </c>
      <c r="E1663">
        <v>120</v>
      </c>
      <c r="F1663">
        <v>0</v>
      </c>
    </row>
    <row r="1664" spans="1:6" x14ac:dyDescent="0.15">
      <c r="A1664" t="s">
        <v>210</v>
      </c>
      <c r="B1664" s="226">
        <v>42320.337656006945</v>
      </c>
      <c r="C1664" t="s">
        <v>1713</v>
      </c>
      <c r="D1664" t="s">
        <v>13</v>
      </c>
      <c r="E1664">
        <v>100</v>
      </c>
      <c r="F1664">
        <v>0</v>
      </c>
    </row>
    <row r="1665" spans="1:6" x14ac:dyDescent="0.15">
      <c r="A1665" t="s">
        <v>210</v>
      </c>
      <c r="B1665" s="226">
        <v>42320.343506226855</v>
      </c>
      <c r="C1665" t="s">
        <v>1714</v>
      </c>
      <c r="D1665" t="s">
        <v>13</v>
      </c>
      <c r="E1665">
        <v>80</v>
      </c>
      <c r="F1665">
        <v>0</v>
      </c>
    </row>
    <row r="1666" spans="1:6" x14ac:dyDescent="0.15">
      <c r="A1666" t="s">
        <v>210</v>
      </c>
      <c r="B1666" s="226">
        <v>42320.348398668983</v>
      </c>
      <c r="C1666" t="s">
        <v>1715</v>
      </c>
      <c r="D1666" t="s">
        <v>13</v>
      </c>
      <c r="E1666">
        <v>80</v>
      </c>
      <c r="F1666">
        <v>0</v>
      </c>
    </row>
    <row r="1667" spans="1:6" x14ac:dyDescent="0.15">
      <c r="A1667" t="s">
        <v>210</v>
      </c>
      <c r="B1667" s="226">
        <v>42320.393385787036</v>
      </c>
      <c r="C1667" t="s">
        <v>1716</v>
      </c>
      <c r="D1667" t="s">
        <v>13</v>
      </c>
      <c r="E1667">
        <v>40</v>
      </c>
      <c r="F1667">
        <v>0</v>
      </c>
    </row>
    <row r="1668" spans="1:6" x14ac:dyDescent="0.15">
      <c r="A1668" t="s">
        <v>210</v>
      </c>
      <c r="B1668" s="226">
        <v>42320.400346435184</v>
      </c>
      <c r="C1668" t="s">
        <v>1717</v>
      </c>
      <c r="D1668" t="s">
        <v>13</v>
      </c>
      <c r="E1668">
        <v>40</v>
      </c>
      <c r="F1668">
        <v>0</v>
      </c>
    </row>
    <row r="1669" spans="1:6" x14ac:dyDescent="0.15">
      <c r="A1669" t="s">
        <v>210</v>
      </c>
      <c r="B1669" s="226">
        <v>42320.445940266203</v>
      </c>
      <c r="C1669" t="s">
        <v>1718</v>
      </c>
      <c r="D1669" t="s">
        <v>13</v>
      </c>
      <c r="E1669">
        <v>40</v>
      </c>
      <c r="F1669">
        <v>0</v>
      </c>
    </row>
    <row r="1670" spans="1:6" x14ac:dyDescent="0.15">
      <c r="A1670" t="s">
        <v>210</v>
      </c>
      <c r="B1670" s="226">
        <v>42320.448490173614</v>
      </c>
      <c r="C1670" t="s">
        <v>1719</v>
      </c>
      <c r="D1670" t="s">
        <v>13</v>
      </c>
      <c r="E1670">
        <v>100</v>
      </c>
      <c r="F1670">
        <v>0</v>
      </c>
    </row>
    <row r="1671" spans="1:6" x14ac:dyDescent="0.15">
      <c r="A1671" t="s">
        <v>210</v>
      </c>
      <c r="B1671" s="226">
        <v>42320.46391309028</v>
      </c>
      <c r="C1671" t="s">
        <v>1720</v>
      </c>
      <c r="D1671" t="s">
        <v>13</v>
      </c>
      <c r="E1671">
        <v>200</v>
      </c>
      <c r="F1671">
        <v>0</v>
      </c>
    </row>
    <row r="1672" spans="1:6" x14ac:dyDescent="0.15">
      <c r="A1672" t="s">
        <v>210</v>
      </c>
      <c r="B1672" s="226">
        <v>42320.479072141206</v>
      </c>
      <c r="C1672" t="s">
        <v>1715</v>
      </c>
      <c r="D1672" t="s">
        <v>13</v>
      </c>
      <c r="E1672">
        <v>40</v>
      </c>
      <c r="F1672">
        <v>0</v>
      </c>
    </row>
    <row r="1673" spans="1:6" x14ac:dyDescent="0.15">
      <c r="A1673" t="s">
        <v>210</v>
      </c>
      <c r="B1673" s="226">
        <v>42320.481071076392</v>
      </c>
      <c r="C1673" t="s">
        <v>1721</v>
      </c>
      <c r="D1673" t="s">
        <v>13</v>
      </c>
      <c r="E1673">
        <v>60</v>
      </c>
      <c r="F1673">
        <v>0</v>
      </c>
    </row>
    <row r="1674" spans="1:6" x14ac:dyDescent="0.15">
      <c r="A1674" t="s">
        <v>210</v>
      </c>
      <c r="B1674" s="226">
        <v>42320.481656099539</v>
      </c>
      <c r="C1674" t="s">
        <v>1722</v>
      </c>
      <c r="D1674" t="s">
        <v>13</v>
      </c>
      <c r="E1674">
        <v>20</v>
      </c>
      <c r="F1674">
        <v>0</v>
      </c>
    </row>
    <row r="1675" spans="1:6" x14ac:dyDescent="0.15">
      <c r="A1675" t="s">
        <v>210</v>
      </c>
      <c r="B1675" s="226">
        <v>42320.482367476849</v>
      </c>
      <c r="C1675" t="s">
        <v>1723</v>
      </c>
      <c r="D1675" t="s">
        <v>13</v>
      </c>
      <c r="E1675">
        <v>40</v>
      </c>
      <c r="F1675">
        <v>0</v>
      </c>
    </row>
    <row r="1676" spans="1:6" x14ac:dyDescent="0.15">
      <c r="A1676" t="s">
        <v>210</v>
      </c>
      <c r="B1676" s="226">
        <v>42320.512371643519</v>
      </c>
      <c r="C1676" t="s">
        <v>14</v>
      </c>
      <c r="D1676" t="s">
        <v>13</v>
      </c>
      <c r="E1676">
        <v>40</v>
      </c>
      <c r="F1676">
        <v>3.5</v>
      </c>
    </row>
    <row r="1677" spans="1:6" x14ac:dyDescent="0.15">
      <c r="A1677" t="s">
        <v>210</v>
      </c>
      <c r="B1677" s="226">
        <v>42320.517193726853</v>
      </c>
      <c r="C1677" t="s">
        <v>1724</v>
      </c>
      <c r="D1677" t="s">
        <v>13</v>
      </c>
      <c r="E1677">
        <v>80</v>
      </c>
      <c r="F1677">
        <v>0</v>
      </c>
    </row>
    <row r="1678" spans="1:6" x14ac:dyDescent="0.15">
      <c r="A1678" t="s">
        <v>210</v>
      </c>
      <c r="B1678" s="226">
        <v>42320.520827430555</v>
      </c>
      <c r="C1678" t="s">
        <v>1725</v>
      </c>
      <c r="D1678" t="s">
        <v>13</v>
      </c>
      <c r="E1678">
        <v>40</v>
      </c>
      <c r="F1678">
        <v>0</v>
      </c>
    </row>
    <row r="1679" spans="1:6" x14ac:dyDescent="0.15">
      <c r="A1679" t="s">
        <v>210</v>
      </c>
      <c r="B1679" s="226">
        <v>42320.528781134257</v>
      </c>
      <c r="C1679" t="s">
        <v>1726</v>
      </c>
      <c r="D1679" t="s">
        <v>13</v>
      </c>
      <c r="E1679">
        <v>40</v>
      </c>
      <c r="F1679">
        <v>0</v>
      </c>
    </row>
    <row r="1680" spans="1:6" x14ac:dyDescent="0.15">
      <c r="A1680" t="s">
        <v>210</v>
      </c>
      <c r="B1680" s="226">
        <v>42320.52989510417</v>
      </c>
      <c r="C1680" t="s">
        <v>1727</v>
      </c>
      <c r="D1680" t="s">
        <v>13</v>
      </c>
      <c r="E1680">
        <v>220</v>
      </c>
      <c r="F1680">
        <v>0</v>
      </c>
    </row>
    <row r="1681" spans="1:6" x14ac:dyDescent="0.15">
      <c r="A1681" t="s">
        <v>210</v>
      </c>
      <c r="B1681" s="226">
        <v>42320.559579224537</v>
      </c>
      <c r="C1681" t="s">
        <v>1728</v>
      </c>
      <c r="D1681" t="s">
        <v>13</v>
      </c>
      <c r="E1681">
        <v>60</v>
      </c>
      <c r="F1681">
        <v>0</v>
      </c>
    </row>
    <row r="1682" spans="1:6" x14ac:dyDescent="0.15">
      <c r="A1682" t="s">
        <v>210</v>
      </c>
      <c r="B1682" s="226">
        <v>42320.577374004628</v>
      </c>
      <c r="C1682" t="s">
        <v>1729</v>
      </c>
      <c r="D1682" t="s">
        <v>13</v>
      </c>
      <c r="E1682">
        <v>100</v>
      </c>
      <c r="F1682">
        <v>0</v>
      </c>
    </row>
    <row r="1683" spans="1:6" x14ac:dyDescent="0.15">
      <c r="A1683" t="s">
        <v>210</v>
      </c>
      <c r="B1683" s="226">
        <v>42320.630891377317</v>
      </c>
      <c r="C1683" t="s">
        <v>1730</v>
      </c>
      <c r="D1683" t="s">
        <v>13</v>
      </c>
      <c r="E1683">
        <v>40</v>
      </c>
      <c r="F1683">
        <v>0</v>
      </c>
    </row>
    <row r="1684" spans="1:6" x14ac:dyDescent="0.15">
      <c r="A1684" t="s">
        <v>210</v>
      </c>
      <c r="B1684" s="226">
        <v>42320.63638491898</v>
      </c>
      <c r="C1684" t="s">
        <v>14</v>
      </c>
      <c r="D1684" t="s">
        <v>15</v>
      </c>
      <c r="E1684">
        <v>60</v>
      </c>
      <c r="F1684">
        <v>4.3</v>
      </c>
    </row>
    <row r="1685" spans="1:6" x14ac:dyDescent="0.15">
      <c r="A1685" t="s">
        <v>210</v>
      </c>
      <c r="B1685" s="226">
        <v>42320.637806979168</v>
      </c>
      <c r="C1685" t="s">
        <v>1731</v>
      </c>
      <c r="D1685" t="s">
        <v>13</v>
      </c>
      <c r="E1685">
        <v>100</v>
      </c>
      <c r="F1685">
        <v>0</v>
      </c>
    </row>
    <row r="1686" spans="1:6" x14ac:dyDescent="0.15">
      <c r="A1686" t="s">
        <v>210</v>
      </c>
      <c r="B1686" s="226">
        <v>42320.64086068287</v>
      </c>
      <c r="C1686" t="s">
        <v>1732</v>
      </c>
      <c r="D1686" t="s">
        <v>13</v>
      </c>
      <c r="E1686">
        <v>100</v>
      </c>
      <c r="F1686">
        <v>0</v>
      </c>
    </row>
    <row r="1687" spans="1:6" x14ac:dyDescent="0.15">
      <c r="A1687" t="s">
        <v>210</v>
      </c>
      <c r="B1687" s="226">
        <v>42320.649294756942</v>
      </c>
      <c r="C1687" t="s">
        <v>14</v>
      </c>
      <c r="D1687" t="s">
        <v>13</v>
      </c>
      <c r="E1687">
        <v>80</v>
      </c>
      <c r="F1687">
        <v>3.5</v>
      </c>
    </row>
    <row r="1688" spans="1:6" x14ac:dyDescent="0.15">
      <c r="A1688" t="s">
        <v>210</v>
      </c>
      <c r="B1688" s="226">
        <v>42320.667350810189</v>
      </c>
      <c r="C1688" t="s">
        <v>14</v>
      </c>
      <c r="D1688" t="s">
        <v>13</v>
      </c>
      <c r="E1688">
        <v>100</v>
      </c>
      <c r="F1688">
        <v>3.5</v>
      </c>
    </row>
    <row r="1689" spans="1:6" x14ac:dyDescent="0.15">
      <c r="A1689" t="s">
        <v>210</v>
      </c>
      <c r="B1689" s="226">
        <v>42320.6851202662</v>
      </c>
      <c r="C1689" t="s">
        <v>433</v>
      </c>
      <c r="D1689" t="s">
        <v>13</v>
      </c>
      <c r="E1689">
        <v>60</v>
      </c>
      <c r="F1689">
        <v>0</v>
      </c>
    </row>
    <row r="1690" spans="1:6" x14ac:dyDescent="0.15">
      <c r="A1690" t="s">
        <v>210</v>
      </c>
      <c r="B1690" s="226">
        <v>42320.687230462965</v>
      </c>
      <c r="C1690" t="s">
        <v>117</v>
      </c>
      <c r="D1690" t="s">
        <v>13</v>
      </c>
      <c r="E1690">
        <v>100</v>
      </c>
      <c r="F1690">
        <v>0</v>
      </c>
    </row>
    <row r="1691" spans="1:6" x14ac:dyDescent="0.15">
      <c r="A1691" t="s">
        <v>210</v>
      </c>
      <c r="B1691" s="226">
        <v>42320.693704513891</v>
      </c>
      <c r="C1691" t="s">
        <v>1733</v>
      </c>
      <c r="D1691" t="s">
        <v>13</v>
      </c>
      <c r="E1691">
        <v>120</v>
      </c>
      <c r="F1691">
        <v>0</v>
      </c>
    </row>
    <row r="1692" spans="1:6" x14ac:dyDescent="0.15">
      <c r="A1692" t="s">
        <v>210</v>
      </c>
      <c r="B1692" s="226">
        <v>42320.697030682873</v>
      </c>
      <c r="C1692" t="s">
        <v>434</v>
      </c>
      <c r="D1692" t="s">
        <v>13</v>
      </c>
      <c r="E1692">
        <v>60</v>
      </c>
      <c r="F1692">
        <v>0</v>
      </c>
    </row>
    <row r="1693" spans="1:6" x14ac:dyDescent="0.15">
      <c r="A1693" t="s">
        <v>210</v>
      </c>
      <c r="B1693" s="226">
        <v>42320.700949930557</v>
      </c>
      <c r="C1693" t="s">
        <v>1734</v>
      </c>
      <c r="D1693" t="s">
        <v>13</v>
      </c>
      <c r="E1693">
        <v>100</v>
      </c>
      <c r="F1693">
        <v>0</v>
      </c>
    </row>
    <row r="1694" spans="1:6" x14ac:dyDescent="0.15">
      <c r="A1694" t="s">
        <v>210</v>
      </c>
      <c r="B1694" s="226">
        <v>42320.706442662035</v>
      </c>
      <c r="C1694" t="s">
        <v>1735</v>
      </c>
      <c r="D1694" t="s">
        <v>13</v>
      </c>
      <c r="E1694">
        <v>200</v>
      </c>
      <c r="F1694">
        <v>0</v>
      </c>
    </row>
    <row r="1695" spans="1:6" x14ac:dyDescent="0.15">
      <c r="A1695" t="s">
        <v>210</v>
      </c>
      <c r="B1695" s="226">
        <v>42320.710395162037</v>
      </c>
      <c r="C1695" t="s">
        <v>1736</v>
      </c>
      <c r="D1695" t="s">
        <v>13</v>
      </c>
      <c r="E1695">
        <v>440</v>
      </c>
      <c r="F1695">
        <v>0</v>
      </c>
    </row>
    <row r="1696" spans="1:6" x14ac:dyDescent="0.15">
      <c r="A1696" t="s">
        <v>210</v>
      </c>
      <c r="B1696" s="226">
        <v>42320.751060057868</v>
      </c>
      <c r="C1696" t="s">
        <v>1737</v>
      </c>
      <c r="D1696" t="s">
        <v>13</v>
      </c>
      <c r="E1696">
        <v>100</v>
      </c>
      <c r="F1696">
        <v>0</v>
      </c>
    </row>
    <row r="1697" spans="1:6" x14ac:dyDescent="0.15">
      <c r="A1697" t="s">
        <v>210</v>
      </c>
      <c r="B1697" s="226">
        <v>42320.763760578702</v>
      </c>
      <c r="C1697" t="s">
        <v>1738</v>
      </c>
      <c r="D1697" t="s">
        <v>13</v>
      </c>
      <c r="E1697">
        <v>100</v>
      </c>
      <c r="F1697">
        <v>0</v>
      </c>
    </row>
    <row r="1698" spans="1:6" x14ac:dyDescent="0.15">
      <c r="A1698" t="s">
        <v>210</v>
      </c>
      <c r="B1698" s="226">
        <v>42320.765567962961</v>
      </c>
      <c r="C1698" t="s">
        <v>14</v>
      </c>
      <c r="D1698" t="s">
        <v>13</v>
      </c>
      <c r="E1698">
        <v>20</v>
      </c>
      <c r="F1698">
        <v>3.5</v>
      </c>
    </row>
    <row r="1699" spans="1:6" x14ac:dyDescent="0.15">
      <c r="A1699" t="s">
        <v>210</v>
      </c>
      <c r="B1699" s="226">
        <v>42320.786074699077</v>
      </c>
      <c r="C1699" t="s">
        <v>1739</v>
      </c>
      <c r="D1699" t="s">
        <v>13</v>
      </c>
      <c r="E1699">
        <v>200</v>
      </c>
      <c r="F1699">
        <v>0</v>
      </c>
    </row>
    <row r="1700" spans="1:6" x14ac:dyDescent="0.15">
      <c r="A1700" t="s">
        <v>210</v>
      </c>
      <c r="B1700" s="226">
        <v>42320.786712777779</v>
      </c>
      <c r="C1700" t="s">
        <v>14</v>
      </c>
      <c r="D1700" t="s">
        <v>15</v>
      </c>
      <c r="E1700">
        <v>20</v>
      </c>
      <c r="F1700">
        <v>3.1</v>
      </c>
    </row>
    <row r="1701" spans="1:6" x14ac:dyDescent="0.15">
      <c r="A1701" t="s">
        <v>210</v>
      </c>
      <c r="B1701" s="226">
        <v>42320.788898506944</v>
      </c>
      <c r="C1701" t="s">
        <v>1740</v>
      </c>
      <c r="D1701" t="s">
        <v>13</v>
      </c>
      <c r="E1701">
        <v>60</v>
      </c>
      <c r="F1701">
        <v>0</v>
      </c>
    </row>
    <row r="1702" spans="1:6" x14ac:dyDescent="0.15">
      <c r="A1702" t="s">
        <v>210</v>
      </c>
      <c r="B1702" s="226">
        <v>42320.800171180555</v>
      </c>
      <c r="C1702" t="s">
        <v>1741</v>
      </c>
      <c r="D1702" t="s">
        <v>13</v>
      </c>
      <c r="E1702">
        <v>100</v>
      </c>
      <c r="F1702">
        <v>0</v>
      </c>
    </row>
    <row r="1703" spans="1:6" x14ac:dyDescent="0.15">
      <c r="A1703" t="s">
        <v>210</v>
      </c>
      <c r="B1703" s="226">
        <v>42320.834752372684</v>
      </c>
      <c r="C1703" t="s">
        <v>1742</v>
      </c>
      <c r="D1703" t="s">
        <v>13</v>
      </c>
      <c r="E1703">
        <v>100</v>
      </c>
      <c r="F1703">
        <v>0</v>
      </c>
    </row>
    <row r="1704" spans="1:6" x14ac:dyDescent="0.15">
      <c r="A1704" t="s">
        <v>210</v>
      </c>
      <c r="B1704" s="226">
        <v>42320.836984872687</v>
      </c>
      <c r="C1704" t="s">
        <v>1743</v>
      </c>
      <c r="D1704" t="s">
        <v>13</v>
      </c>
      <c r="E1704">
        <v>100</v>
      </c>
      <c r="F1704">
        <v>0</v>
      </c>
    </row>
    <row r="1705" spans="1:6" x14ac:dyDescent="0.15">
      <c r="A1705" t="s">
        <v>210</v>
      </c>
      <c r="B1705" s="226">
        <v>42320.853492083334</v>
      </c>
      <c r="C1705" t="s">
        <v>1744</v>
      </c>
      <c r="D1705" t="s">
        <v>13</v>
      </c>
      <c r="E1705">
        <v>120</v>
      </c>
      <c r="F1705">
        <v>0</v>
      </c>
    </row>
    <row r="1706" spans="1:6" x14ac:dyDescent="0.15">
      <c r="A1706" t="s">
        <v>210</v>
      </c>
      <c r="B1706" s="226">
        <v>42320.854577500002</v>
      </c>
      <c r="C1706" t="s">
        <v>1592</v>
      </c>
      <c r="D1706" t="s">
        <v>13</v>
      </c>
      <c r="E1706">
        <v>80</v>
      </c>
      <c r="F1706">
        <v>0</v>
      </c>
    </row>
    <row r="1707" spans="1:6" x14ac:dyDescent="0.15">
      <c r="A1707" t="s">
        <v>210</v>
      </c>
      <c r="B1707" s="226">
        <v>42320.918020914352</v>
      </c>
      <c r="C1707" t="s">
        <v>1745</v>
      </c>
      <c r="D1707" t="s">
        <v>13</v>
      </c>
      <c r="E1707">
        <v>80</v>
      </c>
      <c r="F1707">
        <v>0</v>
      </c>
    </row>
    <row r="1708" spans="1:6" x14ac:dyDescent="0.15">
      <c r="A1708" t="s">
        <v>210</v>
      </c>
      <c r="B1708" s="226">
        <v>42320.920521701388</v>
      </c>
      <c r="C1708" t="s">
        <v>198</v>
      </c>
      <c r="D1708" t="s">
        <v>13</v>
      </c>
      <c r="E1708">
        <v>60</v>
      </c>
      <c r="F1708">
        <v>0</v>
      </c>
    </row>
    <row r="1709" spans="1:6" x14ac:dyDescent="0.15">
      <c r="A1709" t="s">
        <v>210</v>
      </c>
      <c r="B1709" s="226">
        <v>42320.940404988425</v>
      </c>
      <c r="C1709" t="s">
        <v>1746</v>
      </c>
      <c r="D1709" t="s">
        <v>13</v>
      </c>
      <c r="E1709">
        <v>200</v>
      </c>
      <c r="F1709">
        <v>0</v>
      </c>
    </row>
    <row r="1710" spans="1:6" x14ac:dyDescent="0.15">
      <c r="A1710" t="s">
        <v>210</v>
      </c>
      <c r="B1710" s="226">
        <v>42320.960937094904</v>
      </c>
      <c r="C1710" t="s">
        <v>633</v>
      </c>
      <c r="D1710" t="s">
        <v>13</v>
      </c>
      <c r="E1710">
        <v>60</v>
      </c>
      <c r="F1710">
        <v>0</v>
      </c>
    </row>
    <row r="1711" spans="1:6" x14ac:dyDescent="0.15">
      <c r="A1711" t="s">
        <v>210</v>
      </c>
      <c r="B1711" s="226">
        <v>42321.271560150461</v>
      </c>
      <c r="C1711" t="s">
        <v>1747</v>
      </c>
      <c r="D1711" t="s">
        <v>13</v>
      </c>
      <c r="E1711">
        <v>20</v>
      </c>
      <c r="F1711">
        <v>0</v>
      </c>
    </row>
    <row r="1712" spans="1:6" x14ac:dyDescent="0.15">
      <c r="A1712" t="s">
        <v>210</v>
      </c>
      <c r="B1712" s="226">
        <v>42321.313022847222</v>
      </c>
      <c r="C1712" t="s">
        <v>14</v>
      </c>
      <c r="D1712" t="s">
        <v>15</v>
      </c>
      <c r="E1712">
        <v>100</v>
      </c>
      <c r="F1712">
        <v>5.5</v>
      </c>
    </row>
    <row r="1713" spans="1:6" x14ac:dyDescent="0.15">
      <c r="A1713" t="s">
        <v>210</v>
      </c>
      <c r="B1713" s="226">
        <v>42321.324675011572</v>
      </c>
      <c r="C1713" t="s">
        <v>14</v>
      </c>
      <c r="D1713" t="s">
        <v>13</v>
      </c>
      <c r="E1713">
        <v>100</v>
      </c>
      <c r="F1713">
        <v>3.5</v>
      </c>
    </row>
    <row r="1714" spans="1:6" x14ac:dyDescent="0.15">
      <c r="A1714" t="s">
        <v>210</v>
      </c>
      <c r="B1714" s="226">
        <v>42321.32721239583</v>
      </c>
      <c r="C1714" t="s">
        <v>1748</v>
      </c>
      <c r="D1714" t="s">
        <v>13</v>
      </c>
      <c r="E1714">
        <v>80</v>
      </c>
      <c r="F1714">
        <v>0</v>
      </c>
    </row>
    <row r="1715" spans="1:6" x14ac:dyDescent="0.15">
      <c r="A1715" t="s">
        <v>210</v>
      </c>
      <c r="B1715" s="226">
        <v>42321.336359629633</v>
      </c>
      <c r="C1715" t="s">
        <v>1749</v>
      </c>
      <c r="D1715" t="s">
        <v>13</v>
      </c>
      <c r="E1715">
        <v>60</v>
      </c>
      <c r="F1715">
        <v>0</v>
      </c>
    </row>
    <row r="1716" spans="1:6" x14ac:dyDescent="0.15">
      <c r="A1716" t="s">
        <v>210</v>
      </c>
      <c r="B1716" s="226">
        <v>42321.340203761574</v>
      </c>
      <c r="C1716" t="s">
        <v>1750</v>
      </c>
      <c r="D1716" t="s">
        <v>13</v>
      </c>
      <c r="E1716">
        <v>60</v>
      </c>
      <c r="F1716">
        <v>0</v>
      </c>
    </row>
    <row r="1717" spans="1:6" x14ac:dyDescent="0.15">
      <c r="A1717" t="s">
        <v>210</v>
      </c>
      <c r="B1717" s="226">
        <v>42321.347098298611</v>
      </c>
      <c r="C1717" t="s">
        <v>1751</v>
      </c>
      <c r="D1717" t="s">
        <v>13</v>
      </c>
      <c r="E1717">
        <v>120</v>
      </c>
      <c r="F1717">
        <v>0</v>
      </c>
    </row>
    <row r="1718" spans="1:6" x14ac:dyDescent="0.15">
      <c r="A1718" t="s">
        <v>210</v>
      </c>
      <c r="B1718" s="226">
        <v>42321.361350219908</v>
      </c>
      <c r="C1718" t="s">
        <v>1752</v>
      </c>
      <c r="D1718" t="s">
        <v>13</v>
      </c>
      <c r="E1718">
        <v>140</v>
      </c>
      <c r="F1718">
        <v>0</v>
      </c>
    </row>
    <row r="1719" spans="1:6" x14ac:dyDescent="0.15">
      <c r="A1719" t="s">
        <v>210</v>
      </c>
      <c r="B1719" s="226">
        <v>42321.370274687499</v>
      </c>
      <c r="C1719" t="s">
        <v>163</v>
      </c>
      <c r="D1719" t="s">
        <v>13</v>
      </c>
      <c r="E1719">
        <v>20</v>
      </c>
      <c r="F1719">
        <v>0</v>
      </c>
    </row>
    <row r="1720" spans="1:6" x14ac:dyDescent="0.15">
      <c r="A1720" t="s">
        <v>210</v>
      </c>
      <c r="B1720" s="226">
        <v>42321.385124583336</v>
      </c>
      <c r="C1720" t="s">
        <v>1753</v>
      </c>
      <c r="D1720" t="s">
        <v>13</v>
      </c>
      <c r="E1720">
        <v>200</v>
      </c>
      <c r="F1720">
        <v>0</v>
      </c>
    </row>
    <row r="1721" spans="1:6" x14ac:dyDescent="0.15">
      <c r="A1721" t="s">
        <v>210</v>
      </c>
      <c r="B1721" s="226">
        <v>42321.405537592589</v>
      </c>
      <c r="C1721" t="s">
        <v>14</v>
      </c>
      <c r="D1721" t="s">
        <v>13</v>
      </c>
      <c r="E1721">
        <v>100</v>
      </c>
      <c r="F1721">
        <v>3.5</v>
      </c>
    </row>
    <row r="1722" spans="1:6" x14ac:dyDescent="0.15">
      <c r="A1722" t="s">
        <v>210</v>
      </c>
      <c r="B1722" s="226">
        <v>42321.407977222225</v>
      </c>
      <c r="C1722" t="s">
        <v>435</v>
      </c>
      <c r="D1722" t="s">
        <v>13</v>
      </c>
      <c r="E1722">
        <v>40</v>
      </c>
      <c r="F1722">
        <v>0</v>
      </c>
    </row>
    <row r="1723" spans="1:6" x14ac:dyDescent="0.15">
      <c r="A1723" t="s">
        <v>210</v>
      </c>
      <c r="B1723" s="226">
        <v>42321.416219259256</v>
      </c>
      <c r="C1723" t="s">
        <v>1754</v>
      </c>
      <c r="D1723" t="s">
        <v>13</v>
      </c>
      <c r="E1723">
        <v>40</v>
      </c>
      <c r="F1723">
        <v>0</v>
      </c>
    </row>
    <row r="1724" spans="1:6" x14ac:dyDescent="0.15">
      <c r="A1724" t="s">
        <v>210</v>
      </c>
      <c r="B1724" s="226">
        <v>42321.426645324071</v>
      </c>
      <c r="C1724" t="s">
        <v>14</v>
      </c>
      <c r="D1724" t="s">
        <v>13</v>
      </c>
      <c r="E1724">
        <v>400</v>
      </c>
      <c r="F1724">
        <v>3.5</v>
      </c>
    </row>
    <row r="1725" spans="1:6" x14ac:dyDescent="0.15">
      <c r="A1725" t="s">
        <v>210</v>
      </c>
      <c r="B1725" s="226">
        <v>42321.437147314813</v>
      </c>
      <c r="C1725" t="s">
        <v>1755</v>
      </c>
      <c r="D1725" t="s">
        <v>13</v>
      </c>
      <c r="E1725">
        <v>20</v>
      </c>
      <c r="F1725">
        <v>0</v>
      </c>
    </row>
    <row r="1726" spans="1:6" x14ac:dyDescent="0.15">
      <c r="A1726" t="s">
        <v>210</v>
      </c>
      <c r="B1726" s="226">
        <v>42321.438809976855</v>
      </c>
      <c r="C1726" t="s">
        <v>1756</v>
      </c>
      <c r="D1726" t="s">
        <v>13</v>
      </c>
      <c r="E1726">
        <v>40</v>
      </c>
      <c r="F1726">
        <v>0</v>
      </c>
    </row>
    <row r="1727" spans="1:6" x14ac:dyDescent="0.15">
      <c r="A1727" t="s">
        <v>210</v>
      </c>
      <c r="B1727" s="226">
        <v>42321.441747233795</v>
      </c>
      <c r="C1727" t="s">
        <v>1757</v>
      </c>
      <c r="D1727" t="s">
        <v>13</v>
      </c>
      <c r="E1727">
        <v>100</v>
      </c>
      <c r="F1727">
        <v>0</v>
      </c>
    </row>
    <row r="1728" spans="1:6" x14ac:dyDescent="0.15">
      <c r="A1728" t="s">
        <v>210</v>
      </c>
      <c r="B1728" s="226">
        <v>42321.453505011574</v>
      </c>
      <c r="C1728" t="s">
        <v>436</v>
      </c>
      <c r="D1728" t="s">
        <v>13</v>
      </c>
      <c r="E1728">
        <v>200</v>
      </c>
      <c r="F1728">
        <v>0</v>
      </c>
    </row>
    <row r="1729" spans="1:6" x14ac:dyDescent="0.15">
      <c r="A1729" t="s">
        <v>210</v>
      </c>
      <c r="B1729" s="226">
        <v>42321.462721446762</v>
      </c>
      <c r="C1729" t="s">
        <v>1758</v>
      </c>
      <c r="D1729" t="s">
        <v>13</v>
      </c>
      <c r="E1729">
        <v>80</v>
      </c>
      <c r="F1729">
        <v>0</v>
      </c>
    </row>
    <row r="1730" spans="1:6" x14ac:dyDescent="0.15">
      <c r="A1730" t="s">
        <v>210</v>
      </c>
      <c r="B1730" s="226">
        <v>42321.465857118055</v>
      </c>
      <c r="C1730" t="s">
        <v>1759</v>
      </c>
      <c r="D1730" t="s">
        <v>13</v>
      </c>
      <c r="E1730">
        <v>100</v>
      </c>
      <c r="F1730">
        <v>0</v>
      </c>
    </row>
    <row r="1731" spans="1:6" x14ac:dyDescent="0.15">
      <c r="A1731" t="s">
        <v>210</v>
      </c>
      <c r="B1731" s="226">
        <v>42321.471223217595</v>
      </c>
      <c r="C1731" t="s">
        <v>437</v>
      </c>
      <c r="D1731" t="s">
        <v>13</v>
      </c>
      <c r="E1731">
        <v>200</v>
      </c>
      <c r="F1731">
        <v>0</v>
      </c>
    </row>
    <row r="1732" spans="1:6" x14ac:dyDescent="0.15">
      <c r="A1732" t="s">
        <v>210</v>
      </c>
      <c r="B1732" s="226">
        <v>42321.484663009258</v>
      </c>
      <c r="C1732" t="s">
        <v>1760</v>
      </c>
      <c r="D1732" t="s">
        <v>13</v>
      </c>
      <c r="E1732">
        <v>100</v>
      </c>
      <c r="F1732">
        <v>0</v>
      </c>
    </row>
    <row r="1733" spans="1:6" x14ac:dyDescent="0.15">
      <c r="A1733" t="s">
        <v>210</v>
      </c>
      <c r="B1733" s="226">
        <v>42321.488052291665</v>
      </c>
      <c r="C1733" t="s">
        <v>1761</v>
      </c>
      <c r="D1733" t="s">
        <v>13</v>
      </c>
      <c r="E1733">
        <v>500</v>
      </c>
      <c r="F1733">
        <v>0</v>
      </c>
    </row>
    <row r="1734" spans="1:6" x14ac:dyDescent="0.15">
      <c r="A1734" t="s">
        <v>210</v>
      </c>
      <c r="B1734" s="226">
        <v>42321.493074942133</v>
      </c>
      <c r="C1734" t="s">
        <v>1762</v>
      </c>
      <c r="D1734" t="s">
        <v>13</v>
      </c>
      <c r="E1734">
        <v>100</v>
      </c>
      <c r="F1734">
        <v>0</v>
      </c>
    </row>
    <row r="1735" spans="1:6" x14ac:dyDescent="0.15">
      <c r="A1735" t="s">
        <v>210</v>
      </c>
      <c r="B1735" s="226">
        <v>42321.498201273149</v>
      </c>
      <c r="C1735" t="s">
        <v>1763</v>
      </c>
      <c r="D1735" t="s">
        <v>13</v>
      </c>
      <c r="E1735">
        <v>200</v>
      </c>
      <c r="F1735">
        <v>0</v>
      </c>
    </row>
    <row r="1736" spans="1:6" x14ac:dyDescent="0.15">
      <c r="A1736" t="s">
        <v>210</v>
      </c>
      <c r="B1736" s="226">
        <v>42321.499251400463</v>
      </c>
      <c r="C1736" t="s">
        <v>1764</v>
      </c>
      <c r="D1736" t="s">
        <v>13</v>
      </c>
      <c r="E1736">
        <v>200</v>
      </c>
      <c r="F1736">
        <v>0</v>
      </c>
    </row>
    <row r="1737" spans="1:6" x14ac:dyDescent="0.15">
      <c r="A1737" t="s">
        <v>210</v>
      </c>
      <c r="B1737" s="226">
        <v>42321.500401666664</v>
      </c>
      <c r="C1737" t="s">
        <v>1765</v>
      </c>
      <c r="D1737" t="s">
        <v>13</v>
      </c>
      <c r="E1737">
        <v>100</v>
      </c>
      <c r="F1737">
        <v>0</v>
      </c>
    </row>
    <row r="1738" spans="1:6" x14ac:dyDescent="0.15">
      <c r="A1738" t="s">
        <v>210</v>
      </c>
      <c r="B1738" s="226">
        <v>42321.503244594911</v>
      </c>
      <c r="C1738" t="s">
        <v>1624</v>
      </c>
      <c r="D1738" t="s">
        <v>13</v>
      </c>
      <c r="E1738">
        <v>60</v>
      </c>
      <c r="F1738">
        <v>0</v>
      </c>
    </row>
    <row r="1739" spans="1:6" x14ac:dyDescent="0.15">
      <c r="A1739" t="s">
        <v>210</v>
      </c>
      <c r="B1739" s="226">
        <v>42321.532277048609</v>
      </c>
      <c r="C1739" t="s">
        <v>1766</v>
      </c>
      <c r="D1739" t="s">
        <v>13</v>
      </c>
      <c r="E1739">
        <v>100</v>
      </c>
      <c r="F1739">
        <v>0</v>
      </c>
    </row>
    <row r="1740" spans="1:6" x14ac:dyDescent="0.15">
      <c r="A1740" t="s">
        <v>210</v>
      </c>
      <c r="B1740" s="226">
        <v>42321.553452812499</v>
      </c>
      <c r="C1740" t="s">
        <v>1767</v>
      </c>
      <c r="D1740" t="s">
        <v>13</v>
      </c>
      <c r="E1740">
        <v>40</v>
      </c>
      <c r="F1740">
        <v>0</v>
      </c>
    </row>
    <row r="1741" spans="1:6" x14ac:dyDescent="0.15">
      <c r="A1741" t="s">
        <v>210</v>
      </c>
      <c r="B1741" s="226">
        <v>42321.556842199076</v>
      </c>
      <c r="C1741" t="s">
        <v>1768</v>
      </c>
      <c r="D1741" t="s">
        <v>13</v>
      </c>
      <c r="E1741">
        <v>100</v>
      </c>
      <c r="F1741">
        <v>0</v>
      </c>
    </row>
    <row r="1742" spans="1:6" x14ac:dyDescent="0.15">
      <c r="A1742" t="s">
        <v>210</v>
      </c>
      <c r="B1742" s="226">
        <v>42321.579162407405</v>
      </c>
      <c r="C1742" t="s">
        <v>1769</v>
      </c>
      <c r="D1742" t="s">
        <v>13</v>
      </c>
      <c r="E1742">
        <v>100</v>
      </c>
      <c r="F1742">
        <v>0</v>
      </c>
    </row>
    <row r="1743" spans="1:6" x14ac:dyDescent="0.15">
      <c r="A1743" t="s">
        <v>210</v>
      </c>
      <c r="B1743" s="226">
        <v>42321.595747210646</v>
      </c>
      <c r="C1743" t="s">
        <v>1770</v>
      </c>
      <c r="D1743" t="s">
        <v>13</v>
      </c>
      <c r="E1743">
        <v>60</v>
      </c>
      <c r="F1743">
        <v>0</v>
      </c>
    </row>
    <row r="1744" spans="1:6" x14ac:dyDescent="0.15">
      <c r="A1744" t="s">
        <v>210</v>
      </c>
      <c r="B1744" s="226">
        <v>42321.598157106484</v>
      </c>
      <c r="C1744" t="s">
        <v>14</v>
      </c>
      <c r="D1744" t="s">
        <v>13</v>
      </c>
      <c r="E1744">
        <v>180</v>
      </c>
      <c r="F1744">
        <v>3.5</v>
      </c>
    </row>
    <row r="1745" spans="1:6" x14ac:dyDescent="0.15">
      <c r="A1745" t="s">
        <v>210</v>
      </c>
      <c r="B1745" s="226">
        <v>42321.606289560186</v>
      </c>
      <c r="C1745" t="s">
        <v>1771</v>
      </c>
      <c r="D1745" t="s">
        <v>13</v>
      </c>
      <c r="E1745">
        <v>20</v>
      </c>
      <c r="F1745">
        <v>0</v>
      </c>
    </row>
    <row r="1746" spans="1:6" x14ac:dyDescent="0.15">
      <c r="A1746" t="s">
        <v>210</v>
      </c>
      <c r="B1746" s="226">
        <v>42321.652859965281</v>
      </c>
      <c r="C1746" t="s">
        <v>1772</v>
      </c>
      <c r="D1746" t="s">
        <v>13</v>
      </c>
      <c r="E1746">
        <v>60</v>
      </c>
      <c r="F1746">
        <v>0</v>
      </c>
    </row>
    <row r="1747" spans="1:6" x14ac:dyDescent="0.15">
      <c r="A1747" t="s">
        <v>210</v>
      </c>
      <c r="B1747" s="226">
        <v>42321.65697059028</v>
      </c>
      <c r="C1747" t="s">
        <v>1773</v>
      </c>
      <c r="D1747" t="s">
        <v>13</v>
      </c>
      <c r="E1747">
        <v>120</v>
      </c>
      <c r="F1747">
        <v>0</v>
      </c>
    </row>
    <row r="1748" spans="1:6" x14ac:dyDescent="0.15">
      <c r="A1748" t="s">
        <v>210</v>
      </c>
      <c r="B1748" s="226">
        <v>42321.662876909722</v>
      </c>
      <c r="C1748" t="s">
        <v>438</v>
      </c>
      <c r="D1748" t="s">
        <v>13</v>
      </c>
      <c r="E1748">
        <v>60</v>
      </c>
      <c r="F1748">
        <v>0</v>
      </c>
    </row>
    <row r="1749" spans="1:6" x14ac:dyDescent="0.15">
      <c r="A1749" t="s">
        <v>210</v>
      </c>
      <c r="B1749" s="226">
        <v>42321.668286585649</v>
      </c>
      <c r="C1749" t="s">
        <v>14</v>
      </c>
      <c r="D1749" t="s">
        <v>13</v>
      </c>
      <c r="E1749">
        <v>100</v>
      </c>
      <c r="F1749">
        <v>3.5</v>
      </c>
    </row>
    <row r="1750" spans="1:6" x14ac:dyDescent="0.15">
      <c r="A1750" t="s">
        <v>210</v>
      </c>
      <c r="B1750" s="226">
        <v>42321.678173333334</v>
      </c>
      <c r="C1750" t="s">
        <v>1774</v>
      </c>
      <c r="D1750" t="s">
        <v>13</v>
      </c>
      <c r="E1750">
        <v>60</v>
      </c>
      <c r="F1750">
        <v>0</v>
      </c>
    </row>
    <row r="1751" spans="1:6" x14ac:dyDescent="0.15">
      <c r="A1751" t="s">
        <v>210</v>
      </c>
      <c r="B1751" s="226">
        <v>42321.693320509257</v>
      </c>
      <c r="C1751" t="s">
        <v>1775</v>
      </c>
      <c r="D1751" t="s">
        <v>13</v>
      </c>
      <c r="E1751">
        <v>140</v>
      </c>
      <c r="F1751">
        <v>0</v>
      </c>
    </row>
    <row r="1752" spans="1:6" x14ac:dyDescent="0.15">
      <c r="A1752" t="s">
        <v>210</v>
      </c>
      <c r="B1752" s="226">
        <v>42321.703826412035</v>
      </c>
      <c r="C1752" t="s">
        <v>1776</v>
      </c>
      <c r="D1752" t="s">
        <v>13</v>
      </c>
      <c r="E1752">
        <v>20</v>
      </c>
      <c r="F1752">
        <v>0</v>
      </c>
    </row>
    <row r="1753" spans="1:6" x14ac:dyDescent="0.15">
      <c r="A1753" t="s">
        <v>210</v>
      </c>
      <c r="B1753" s="226">
        <v>42321.719660277777</v>
      </c>
      <c r="C1753" t="s">
        <v>1777</v>
      </c>
      <c r="D1753" t="s">
        <v>13</v>
      </c>
      <c r="E1753">
        <v>40</v>
      </c>
      <c r="F1753">
        <v>0</v>
      </c>
    </row>
    <row r="1754" spans="1:6" x14ac:dyDescent="0.15">
      <c r="A1754" t="s">
        <v>210</v>
      </c>
      <c r="B1754" s="226">
        <v>42321.720999756944</v>
      </c>
      <c r="C1754" t="s">
        <v>229</v>
      </c>
      <c r="D1754" t="s">
        <v>13</v>
      </c>
      <c r="E1754">
        <v>100</v>
      </c>
      <c r="F1754">
        <v>0</v>
      </c>
    </row>
    <row r="1755" spans="1:6" x14ac:dyDescent="0.15">
      <c r="A1755" t="s">
        <v>210</v>
      </c>
      <c r="B1755" s="226">
        <v>42321.723679814815</v>
      </c>
      <c r="C1755" t="s">
        <v>572</v>
      </c>
      <c r="D1755" t="s">
        <v>13</v>
      </c>
      <c r="E1755">
        <v>100</v>
      </c>
      <c r="F1755">
        <v>0</v>
      </c>
    </row>
    <row r="1756" spans="1:6" x14ac:dyDescent="0.15">
      <c r="A1756" t="s">
        <v>210</v>
      </c>
      <c r="B1756" s="226">
        <v>42321.72640388889</v>
      </c>
      <c r="C1756" t="s">
        <v>1778</v>
      </c>
      <c r="D1756" t="s">
        <v>13</v>
      </c>
      <c r="E1756">
        <v>60</v>
      </c>
      <c r="F1756">
        <v>0</v>
      </c>
    </row>
    <row r="1757" spans="1:6" x14ac:dyDescent="0.15">
      <c r="A1757" t="s">
        <v>210</v>
      </c>
      <c r="B1757" s="226">
        <v>42321.771016226849</v>
      </c>
      <c r="C1757" t="s">
        <v>1779</v>
      </c>
      <c r="D1757" t="s">
        <v>13</v>
      </c>
      <c r="E1757">
        <v>40</v>
      </c>
      <c r="F1757">
        <v>0</v>
      </c>
    </row>
    <row r="1758" spans="1:6" x14ac:dyDescent="0.15">
      <c r="A1758" t="s">
        <v>210</v>
      </c>
      <c r="B1758" s="226">
        <v>42321.783919224537</v>
      </c>
      <c r="C1758" t="s">
        <v>14</v>
      </c>
      <c r="D1758" t="s">
        <v>13</v>
      </c>
      <c r="E1758">
        <v>40</v>
      </c>
      <c r="F1758">
        <v>3.5</v>
      </c>
    </row>
    <row r="1759" spans="1:6" x14ac:dyDescent="0.15">
      <c r="A1759" t="s">
        <v>210</v>
      </c>
      <c r="B1759" s="226">
        <v>42321.845383171298</v>
      </c>
      <c r="C1759" t="s">
        <v>1780</v>
      </c>
      <c r="D1759" t="s">
        <v>13</v>
      </c>
      <c r="E1759">
        <v>100</v>
      </c>
      <c r="F1759">
        <v>0</v>
      </c>
    </row>
    <row r="1760" spans="1:6" x14ac:dyDescent="0.15">
      <c r="A1760" t="s">
        <v>210</v>
      </c>
      <c r="B1760" s="226">
        <v>42321.853682210647</v>
      </c>
      <c r="C1760" t="s">
        <v>1781</v>
      </c>
      <c r="D1760" t="s">
        <v>13</v>
      </c>
      <c r="E1760">
        <v>100</v>
      </c>
      <c r="F1760">
        <v>0</v>
      </c>
    </row>
    <row r="1761" spans="1:6" x14ac:dyDescent="0.15">
      <c r="A1761" t="s">
        <v>210</v>
      </c>
      <c r="B1761" s="226">
        <v>42321.98213798611</v>
      </c>
      <c r="C1761" t="s">
        <v>14</v>
      </c>
      <c r="D1761" t="s">
        <v>13</v>
      </c>
      <c r="E1761">
        <v>140</v>
      </c>
      <c r="F1761">
        <v>3.5</v>
      </c>
    </row>
    <row r="1762" spans="1:6" x14ac:dyDescent="0.15">
      <c r="A1762" t="s">
        <v>210</v>
      </c>
      <c r="B1762" s="226">
        <v>42322.194387847223</v>
      </c>
      <c r="C1762" t="s">
        <v>1782</v>
      </c>
      <c r="D1762" t="s">
        <v>13</v>
      </c>
      <c r="E1762">
        <v>500</v>
      </c>
      <c r="F1762">
        <v>0</v>
      </c>
    </row>
    <row r="1763" spans="1:6" x14ac:dyDescent="0.15">
      <c r="A1763" t="s">
        <v>210</v>
      </c>
      <c r="B1763" s="226">
        <v>42322.237789305553</v>
      </c>
      <c r="C1763" t="s">
        <v>1783</v>
      </c>
      <c r="D1763" t="s">
        <v>13</v>
      </c>
      <c r="E1763">
        <v>20</v>
      </c>
      <c r="F1763">
        <v>0</v>
      </c>
    </row>
    <row r="1764" spans="1:6" x14ac:dyDescent="0.15">
      <c r="A1764" t="s">
        <v>210</v>
      </c>
      <c r="B1764" s="226">
        <v>42322.339644618056</v>
      </c>
      <c r="C1764" t="s">
        <v>14</v>
      </c>
      <c r="D1764" t="s">
        <v>13</v>
      </c>
      <c r="E1764">
        <v>100</v>
      </c>
      <c r="F1764">
        <v>3.5</v>
      </c>
    </row>
    <row r="1765" spans="1:6" x14ac:dyDescent="0.15">
      <c r="A1765" t="s">
        <v>210</v>
      </c>
      <c r="B1765" s="226">
        <v>42322.391098067128</v>
      </c>
      <c r="C1765" t="s">
        <v>1784</v>
      </c>
      <c r="D1765" t="s">
        <v>13</v>
      </c>
      <c r="E1765">
        <v>200</v>
      </c>
      <c r="F1765">
        <v>0</v>
      </c>
    </row>
    <row r="1766" spans="1:6" x14ac:dyDescent="0.15">
      <c r="A1766" t="s">
        <v>210</v>
      </c>
      <c r="B1766" s="226">
        <v>42322.395361030096</v>
      </c>
      <c r="C1766" t="s">
        <v>1785</v>
      </c>
      <c r="D1766" t="s">
        <v>13</v>
      </c>
      <c r="E1766">
        <v>40</v>
      </c>
      <c r="F1766">
        <v>0</v>
      </c>
    </row>
    <row r="1767" spans="1:6" x14ac:dyDescent="0.15">
      <c r="A1767" t="s">
        <v>210</v>
      </c>
      <c r="B1767" s="226">
        <v>42322.430823090275</v>
      </c>
      <c r="C1767" t="s">
        <v>1786</v>
      </c>
      <c r="D1767" t="s">
        <v>13</v>
      </c>
      <c r="E1767">
        <v>200</v>
      </c>
      <c r="F1767">
        <v>0</v>
      </c>
    </row>
    <row r="1768" spans="1:6" x14ac:dyDescent="0.15">
      <c r="A1768" t="s">
        <v>210</v>
      </c>
      <c r="B1768" s="226">
        <v>42322.440561388888</v>
      </c>
      <c r="C1768" t="s">
        <v>1787</v>
      </c>
      <c r="D1768" t="s">
        <v>13</v>
      </c>
      <c r="E1768">
        <v>20</v>
      </c>
      <c r="F1768">
        <v>0</v>
      </c>
    </row>
    <row r="1769" spans="1:6" x14ac:dyDescent="0.15">
      <c r="A1769" t="s">
        <v>210</v>
      </c>
      <c r="B1769" s="226">
        <v>42322.449191597225</v>
      </c>
      <c r="C1769" t="s">
        <v>14</v>
      </c>
      <c r="D1769" t="s">
        <v>13</v>
      </c>
      <c r="E1769">
        <v>40</v>
      </c>
      <c r="F1769">
        <v>3.5</v>
      </c>
    </row>
    <row r="1770" spans="1:6" x14ac:dyDescent="0.15">
      <c r="A1770" t="s">
        <v>210</v>
      </c>
      <c r="B1770" s="226">
        <v>42322.471658032409</v>
      </c>
      <c r="C1770" t="s">
        <v>1788</v>
      </c>
      <c r="D1770" t="s">
        <v>13</v>
      </c>
      <c r="E1770">
        <v>160</v>
      </c>
      <c r="F1770">
        <v>0</v>
      </c>
    </row>
    <row r="1771" spans="1:6" x14ac:dyDescent="0.15">
      <c r="A1771" t="s">
        <v>210</v>
      </c>
      <c r="B1771" s="226">
        <v>42322.484972986109</v>
      </c>
      <c r="C1771" t="s">
        <v>1789</v>
      </c>
      <c r="D1771" t="s">
        <v>13</v>
      </c>
      <c r="E1771">
        <v>40</v>
      </c>
      <c r="F1771">
        <v>0</v>
      </c>
    </row>
    <row r="1772" spans="1:6" x14ac:dyDescent="0.15">
      <c r="A1772" t="s">
        <v>210</v>
      </c>
      <c r="B1772" s="226">
        <v>42322.498925312502</v>
      </c>
      <c r="C1772" t="s">
        <v>1790</v>
      </c>
      <c r="D1772" t="s">
        <v>13</v>
      </c>
      <c r="E1772">
        <v>20</v>
      </c>
      <c r="F1772">
        <v>0</v>
      </c>
    </row>
    <row r="1773" spans="1:6" x14ac:dyDescent="0.15">
      <c r="A1773" t="s">
        <v>210</v>
      </c>
      <c r="B1773" s="226">
        <v>42322.532541817127</v>
      </c>
      <c r="C1773" t="s">
        <v>1791</v>
      </c>
      <c r="D1773" t="s">
        <v>13</v>
      </c>
      <c r="E1773">
        <v>20</v>
      </c>
      <c r="F1773">
        <v>0</v>
      </c>
    </row>
    <row r="1774" spans="1:6" x14ac:dyDescent="0.15">
      <c r="A1774" t="s">
        <v>210</v>
      </c>
      <c r="B1774" s="226">
        <v>42322.542392048614</v>
      </c>
      <c r="C1774" t="s">
        <v>903</v>
      </c>
      <c r="D1774" t="s">
        <v>13</v>
      </c>
      <c r="E1774">
        <v>500</v>
      </c>
      <c r="F1774">
        <v>0</v>
      </c>
    </row>
    <row r="1775" spans="1:6" x14ac:dyDescent="0.15">
      <c r="A1775" t="s">
        <v>210</v>
      </c>
      <c r="B1775" s="226">
        <v>42322.557585717594</v>
      </c>
      <c r="C1775" t="s">
        <v>14</v>
      </c>
      <c r="D1775" t="s">
        <v>15</v>
      </c>
      <c r="E1775">
        <v>80</v>
      </c>
      <c r="F1775">
        <v>4.9000000000000004</v>
      </c>
    </row>
    <row r="1776" spans="1:6" x14ac:dyDescent="0.15">
      <c r="A1776" t="s">
        <v>210</v>
      </c>
      <c r="B1776" s="226">
        <v>42322.566837199076</v>
      </c>
      <c r="C1776" t="s">
        <v>169</v>
      </c>
      <c r="D1776" t="s">
        <v>13</v>
      </c>
      <c r="E1776">
        <v>120</v>
      </c>
      <c r="F1776">
        <v>0</v>
      </c>
    </row>
    <row r="1777" spans="1:6" x14ac:dyDescent="0.15">
      <c r="A1777" t="s">
        <v>210</v>
      </c>
      <c r="B1777" s="226">
        <v>42322.572295104168</v>
      </c>
      <c r="C1777" t="s">
        <v>1642</v>
      </c>
      <c r="D1777" t="s">
        <v>13</v>
      </c>
      <c r="E1777">
        <v>20</v>
      </c>
      <c r="F1777">
        <v>0</v>
      </c>
    </row>
    <row r="1778" spans="1:6" x14ac:dyDescent="0.15">
      <c r="A1778" t="s">
        <v>210</v>
      </c>
      <c r="B1778" s="226">
        <v>42322.573321284719</v>
      </c>
      <c r="C1778" t="s">
        <v>1792</v>
      </c>
      <c r="D1778" t="s">
        <v>13</v>
      </c>
      <c r="E1778">
        <v>100</v>
      </c>
      <c r="F1778">
        <v>0</v>
      </c>
    </row>
    <row r="1779" spans="1:6" x14ac:dyDescent="0.15">
      <c r="A1779" t="s">
        <v>210</v>
      </c>
      <c r="B1779" s="226">
        <v>42322.592977986111</v>
      </c>
      <c r="C1779" t="s">
        <v>1793</v>
      </c>
      <c r="D1779" t="s">
        <v>13</v>
      </c>
      <c r="E1779">
        <v>100</v>
      </c>
      <c r="F1779">
        <v>0</v>
      </c>
    </row>
    <row r="1780" spans="1:6" x14ac:dyDescent="0.15">
      <c r="A1780" t="s">
        <v>210</v>
      </c>
      <c r="B1780" s="226">
        <v>42322.594248171299</v>
      </c>
      <c r="C1780" t="s">
        <v>1794</v>
      </c>
      <c r="D1780" t="s">
        <v>13</v>
      </c>
      <c r="E1780">
        <v>60</v>
      </c>
      <c r="F1780">
        <v>0</v>
      </c>
    </row>
    <row r="1781" spans="1:6" x14ac:dyDescent="0.15">
      <c r="A1781" t="s">
        <v>210</v>
      </c>
      <c r="B1781" s="226">
        <v>42322.649448518518</v>
      </c>
      <c r="C1781" t="s">
        <v>1795</v>
      </c>
      <c r="D1781" t="s">
        <v>13</v>
      </c>
      <c r="E1781">
        <v>20</v>
      </c>
      <c r="F1781">
        <v>0</v>
      </c>
    </row>
    <row r="1782" spans="1:6" x14ac:dyDescent="0.15">
      <c r="A1782" t="s">
        <v>210</v>
      </c>
      <c r="B1782" s="226">
        <v>42322.654933622682</v>
      </c>
      <c r="C1782" t="s">
        <v>1796</v>
      </c>
      <c r="D1782" t="s">
        <v>13</v>
      </c>
      <c r="E1782">
        <v>100</v>
      </c>
      <c r="F1782">
        <v>0</v>
      </c>
    </row>
    <row r="1783" spans="1:6" x14ac:dyDescent="0.15">
      <c r="A1783" t="s">
        <v>210</v>
      </c>
      <c r="B1783" s="226">
        <v>42322.670191724537</v>
      </c>
      <c r="C1783" t="s">
        <v>1797</v>
      </c>
      <c r="D1783" t="s">
        <v>13</v>
      </c>
      <c r="E1783">
        <v>400</v>
      </c>
      <c r="F1783">
        <v>0</v>
      </c>
    </row>
    <row r="1784" spans="1:6" x14ac:dyDescent="0.15">
      <c r="A1784" t="s">
        <v>210</v>
      </c>
      <c r="B1784" s="226">
        <v>42322.679003576392</v>
      </c>
      <c r="C1784" t="s">
        <v>1798</v>
      </c>
      <c r="D1784" t="s">
        <v>13</v>
      </c>
      <c r="E1784">
        <v>100</v>
      </c>
      <c r="F1784">
        <v>0</v>
      </c>
    </row>
    <row r="1785" spans="1:6" x14ac:dyDescent="0.15">
      <c r="A1785" t="s">
        <v>210</v>
      </c>
      <c r="B1785" s="226">
        <v>42322.682265833333</v>
      </c>
      <c r="C1785" t="s">
        <v>1799</v>
      </c>
      <c r="D1785" t="s">
        <v>13</v>
      </c>
      <c r="E1785">
        <v>20</v>
      </c>
      <c r="F1785">
        <v>0</v>
      </c>
    </row>
    <row r="1786" spans="1:6" x14ac:dyDescent="0.15">
      <c r="A1786" t="s">
        <v>210</v>
      </c>
      <c r="B1786" s="226">
        <v>42322.692488252316</v>
      </c>
      <c r="C1786" t="s">
        <v>1800</v>
      </c>
      <c r="D1786" t="s">
        <v>13</v>
      </c>
      <c r="E1786">
        <v>40</v>
      </c>
      <c r="F1786">
        <v>0</v>
      </c>
    </row>
    <row r="1787" spans="1:6" x14ac:dyDescent="0.15">
      <c r="A1787" t="s">
        <v>210</v>
      </c>
      <c r="B1787" s="226">
        <v>42322.70033363426</v>
      </c>
      <c r="C1787" t="s">
        <v>439</v>
      </c>
      <c r="D1787" t="s">
        <v>13</v>
      </c>
      <c r="E1787">
        <v>40</v>
      </c>
      <c r="F1787">
        <v>0</v>
      </c>
    </row>
    <row r="1788" spans="1:6" x14ac:dyDescent="0.15">
      <c r="A1788" t="s">
        <v>210</v>
      </c>
      <c r="B1788" s="226">
        <v>42322.724517407405</v>
      </c>
      <c r="C1788" t="s">
        <v>1801</v>
      </c>
      <c r="D1788" t="s">
        <v>13</v>
      </c>
      <c r="E1788">
        <v>200</v>
      </c>
      <c r="F1788">
        <v>0</v>
      </c>
    </row>
    <row r="1789" spans="1:6" x14ac:dyDescent="0.15">
      <c r="A1789" t="s">
        <v>210</v>
      </c>
      <c r="B1789" s="226">
        <v>42322.743357511572</v>
      </c>
      <c r="C1789" t="s">
        <v>1802</v>
      </c>
      <c r="D1789" t="s">
        <v>13</v>
      </c>
      <c r="E1789">
        <v>60</v>
      </c>
      <c r="F1789">
        <v>0</v>
      </c>
    </row>
    <row r="1790" spans="1:6" x14ac:dyDescent="0.15">
      <c r="A1790" t="s">
        <v>210</v>
      </c>
      <c r="B1790" s="226">
        <v>42322.751259317127</v>
      </c>
      <c r="C1790" t="s">
        <v>1803</v>
      </c>
      <c r="D1790" t="s">
        <v>13</v>
      </c>
      <c r="E1790">
        <v>80</v>
      </c>
      <c r="F1790">
        <v>0</v>
      </c>
    </row>
    <row r="1791" spans="1:6" x14ac:dyDescent="0.15">
      <c r="A1791" t="s">
        <v>210</v>
      </c>
      <c r="B1791" s="226">
        <v>42322.751820868056</v>
      </c>
      <c r="C1791" t="s">
        <v>1804</v>
      </c>
      <c r="D1791" t="s">
        <v>13</v>
      </c>
      <c r="E1791">
        <v>40</v>
      </c>
      <c r="F1791">
        <v>0</v>
      </c>
    </row>
    <row r="1792" spans="1:6" x14ac:dyDescent="0.15">
      <c r="A1792" t="s">
        <v>210</v>
      </c>
      <c r="B1792" s="226">
        <v>42322.754260266207</v>
      </c>
      <c r="C1792" t="s">
        <v>14</v>
      </c>
      <c r="D1792" t="s">
        <v>13</v>
      </c>
      <c r="E1792">
        <v>40</v>
      </c>
      <c r="F1792">
        <v>3.5</v>
      </c>
    </row>
    <row r="1793" spans="1:6" x14ac:dyDescent="0.15">
      <c r="A1793" t="s">
        <v>210</v>
      </c>
      <c r="B1793" s="226">
        <v>42322.757912685185</v>
      </c>
      <c r="C1793" t="s">
        <v>440</v>
      </c>
      <c r="D1793" t="s">
        <v>13</v>
      </c>
      <c r="E1793">
        <v>40</v>
      </c>
      <c r="F1793">
        <v>0</v>
      </c>
    </row>
    <row r="1794" spans="1:6" x14ac:dyDescent="0.15">
      <c r="A1794" t="s">
        <v>210</v>
      </c>
      <c r="B1794" s="226">
        <v>42322.77864016204</v>
      </c>
      <c r="C1794" t="s">
        <v>1805</v>
      </c>
      <c r="D1794" t="s">
        <v>13</v>
      </c>
      <c r="E1794">
        <v>100</v>
      </c>
      <c r="F1794">
        <v>0</v>
      </c>
    </row>
    <row r="1795" spans="1:6" x14ac:dyDescent="0.15">
      <c r="A1795" t="s">
        <v>210</v>
      </c>
      <c r="B1795" s="226">
        <v>42322.819444386572</v>
      </c>
      <c r="C1795" t="s">
        <v>1806</v>
      </c>
      <c r="D1795" t="s">
        <v>13</v>
      </c>
      <c r="E1795">
        <v>100</v>
      </c>
      <c r="F1795">
        <v>0</v>
      </c>
    </row>
    <row r="1796" spans="1:6" x14ac:dyDescent="0.15">
      <c r="A1796" t="s">
        <v>210</v>
      </c>
      <c r="B1796" s="226">
        <v>42322.859046018515</v>
      </c>
      <c r="C1796" t="s">
        <v>1807</v>
      </c>
      <c r="D1796" t="s">
        <v>13</v>
      </c>
      <c r="E1796">
        <v>100</v>
      </c>
      <c r="F1796">
        <v>0</v>
      </c>
    </row>
    <row r="1797" spans="1:6" x14ac:dyDescent="0.15">
      <c r="A1797" t="s">
        <v>210</v>
      </c>
      <c r="B1797" s="226">
        <v>42322.910883101853</v>
      </c>
      <c r="C1797" t="s">
        <v>1808</v>
      </c>
      <c r="D1797" t="s">
        <v>13</v>
      </c>
      <c r="E1797">
        <v>40</v>
      </c>
      <c r="F1797">
        <v>0</v>
      </c>
    </row>
    <row r="1798" spans="1:6" x14ac:dyDescent="0.15">
      <c r="A1798" t="s">
        <v>210</v>
      </c>
      <c r="B1798" s="226">
        <v>42322.912051250001</v>
      </c>
      <c r="C1798" t="s">
        <v>1809</v>
      </c>
      <c r="D1798" t="s">
        <v>13</v>
      </c>
      <c r="E1798">
        <v>100</v>
      </c>
      <c r="F1798">
        <v>0</v>
      </c>
    </row>
    <row r="1799" spans="1:6" x14ac:dyDescent="0.15">
      <c r="A1799" t="s">
        <v>210</v>
      </c>
      <c r="B1799" s="226">
        <v>42322.925257615738</v>
      </c>
      <c r="C1799" t="s">
        <v>14</v>
      </c>
      <c r="D1799" t="s">
        <v>13</v>
      </c>
      <c r="E1799">
        <v>20</v>
      </c>
      <c r="F1799">
        <v>3.5</v>
      </c>
    </row>
    <row r="1800" spans="1:6" x14ac:dyDescent="0.15">
      <c r="A1800" t="s">
        <v>210</v>
      </c>
      <c r="B1800" s="226">
        <v>42322.947199849536</v>
      </c>
      <c r="C1800" t="s">
        <v>1810</v>
      </c>
      <c r="D1800" t="s">
        <v>13</v>
      </c>
      <c r="E1800">
        <v>100</v>
      </c>
      <c r="F1800">
        <v>0</v>
      </c>
    </row>
    <row r="1801" spans="1:6" x14ac:dyDescent="0.15">
      <c r="A1801" t="s">
        <v>210</v>
      </c>
      <c r="B1801" s="226">
        <v>42322.956052349538</v>
      </c>
      <c r="C1801" t="s">
        <v>441</v>
      </c>
      <c r="D1801" t="s">
        <v>13</v>
      </c>
      <c r="E1801">
        <v>80</v>
      </c>
      <c r="F1801">
        <v>0</v>
      </c>
    </row>
    <row r="1802" spans="1:6" x14ac:dyDescent="0.15">
      <c r="A1802" t="s">
        <v>210</v>
      </c>
      <c r="B1802" s="226">
        <v>42323.00962060185</v>
      </c>
      <c r="C1802" t="s">
        <v>14</v>
      </c>
      <c r="D1802" t="s">
        <v>13</v>
      </c>
      <c r="E1802">
        <v>100</v>
      </c>
      <c r="F1802">
        <v>3.5</v>
      </c>
    </row>
    <row r="1803" spans="1:6" x14ac:dyDescent="0.15">
      <c r="A1803" t="s">
        <v>210</v>
      </c>
      <c r="B1803" s="226">
        <v>42323.022060266201</v>
      </c>
      <c r="C1803" t="s">
        <v>1811</v>
      </c>
      <c r="D1803" t="s">
        <v>13</v>
      </c>
      <c r="E1803">
        <v>40</v>
      </c>
      <c r="F1803">
        <v>0</v>
      </c>
    </row>
    <row r="1804" spans="1:6" x14ac:dyDescent="0.15">
      <c r="A1804" t="s">
        <v>210</v>
      </c>
      <c r="B1804" s="226">
        <v>42323.422093773152</v>
      </c>
      <c r="C1804" t="s">
        <v>185</v>
      </c>
      <c r="D1804" t="s">
        <v>13</v>
      </c>
      <c r="E1804">
        <v>20</v>
      </c>
      <c r="F1804">
        <v>0</v>
      </c>
    </row>
    <row r="1805" spans="1:6" x14ac:dyDescent="0.15">
      <c r="A1805" t="s">
        <v>210</v>
      </c>
      <c r="B1805" s="226">
        <v>42323.425560752316</v>
      </c>
      <c r="C1805" t="s">
        <v>1812</v>
      </c>
      <c r="D1805" t="s">
        <v>13</v>
      </c>
      <c r="E1805">
        <v>180</v>
      </c>
      <c r="F1805">
        <v>0</v>
      </c>
    </row>
    <row r="1806" spans="1:6" x14ac:dyDescent="0.15">
      <c r="A1806" t="s">
        <v>210</v>
      </c>
      <c r="B1806" s="226">
        <v>42323.465915636574</v>
      </c>
      <c r="C1806" t="s">
        <v>1813</v>
      </c>
      <c r="D1806" t="s">
        <v>13</v>
      </c>
      <c r="E1806">
        <v>200</v>
      </c>
      <c r="F1806">
        <v>0</v>
      </c>
    </row>
    <row r="1807" spans="1:6" x14ac:dyDescent="0.15">
      <c r="A1807" t="s">
        <v>210</v>
      </c>
      <c r="B1807" s="226">
        <v>42323.499875208334</v>
      </c>
      <c r="C1807" t="s">
        <v>1814</v>
      </c>
      <c r="D1807" t="s">
        <v>13</v>
      </c>
      <c r="E1807">
        <v>40</v>
      </c>
      <c r="F1807">
        <v>0</v>
      </c>
    </row>
    <row r="1808" spans="1:6" x14ac:dyDescent="0.15">
      <c r="A1808" t="s">
        <v>210</v>
      </c>
      <c r="B1808" s="226">
        <v>42323.511048888889</v>
      </c>
      <c r="C1808" t="s">
        <v>1815</v>
      </c>
      <c r="D1808" t="s">
        <v>13</v>
      </c>
      <c r="E1808">
        <v>140</v>
      </c>
      <c r="F1808">
        <v>0</v>
      </c>
    </row>
    <row r="1809" spans="1:6" x14ac:dyDescent="0.15">
      <c r="A1809" t="s">
        <v>210</v>
      </c>
      <c r="B1809" s="226">
        <v>42323.543989120371</v>
      </c>
      <c r="C1809" t="s">
        <v>741</v>
      </c>
      <c r="D1809" t="s">
        <v>13</v>
      </c>
      <c r="E1809">
        <v>80</v>
      </c>
      <c r="F1809">
        <v>0</v>
      </c>
    </row>
    <row r="1810" spans="1:6" x14ac:dyDescent="0.15">
      <c r="A1810" t="s">
        <v>210</v>
      </c>
      <c r="B1810" s="226">
        <v>42323.551427858794</v>
      </c>
      <c r="C1810" t="s">
        <v>1816</v>
      </c>
      <c r="D1810" t="s">
        <v>13</v>
      </c>
      <c r="E1810">
        <v>100</v>
      </c>
      <c r="F1810">
        <v>0</v>
      </c>
    </row>
    <row r="1811" spans="1:6" x14ac:dyDescent="0.15">
      <c r="A1811" t="s">
        <v>210</v>
      </c>
      <c r="B1811" s="226">
        <v>42323.589419641205</v>
      </c>
      <c r="C1811" t="s">
        <v>382</v>
      </c>
      <c r="D1811" t="s">
        <v>13</v>
      </c>
      <c r="E1811">
        <v>100</v>
      </c>
      <c r="F1811">
        <v>0</v>
      </c>
    </row>
    <row r="1812" spans="1:6" x14ac:dyDescent="0.15">
      <c r="A1812" t="s">
        <v>210</v>
      </c>
      <c r="B1812" s="226">
        <v>42323.591802511575</v>
      </c>
      <c r="C1812" t="s">
        <v>165</v>
      </c>
      <c r="D1812" t="s">
        <v>13</v>
      </c>
      <c r="E1812">
        <v>100</v>
      </c>
      <c r="F1812">
        <v>0</v>
      </c>
    </row>
    <row r="1813" spans="1:6" x14ac:dyDescent="0.15">
      <c r="A1813" t="s">
        <v>210</v>
      </c>
      <c r="B1813" s="226">
        <v>42323.599658136576</v>
      </c>
      <c r="C1813" t="s">
        <v>1817</v>
      </c>
      <c r="D1813" t="s">
        <v>13</v>
      </c>
      <c r="E1813">
        <v>40</v>
      </c>
      <c r="F1813">
        <v>0</v>
      </c>
    </row>
    <row r="1814" spans="1:6" x14ac:dyDescent="0.15">
      <c r="A1814" t="s">
        <v>210</v>
      </c>
      <c r="B1814" s="226">
        <v>42323.600372280096</v>
      </c>
      <c r="C1814" t="s">
        <v>14</v>
      </c>
      <c r="D1814" t="s">
        <v>15</v>
      </c>
      <c r="E1814">
        <v>20</v>
      </c>
      <c r="F1814">
        <v>3.1</v>
      </c>
    </row>
    <row r="1815" spans="1:6" x14ac:dyDescent="0.15">
      <c r="A1815" t="s">
        <v>210</v>
      </c>
      <c r="B1815" s="226">
        <v>42323.615307488428</v>
      </c>
      <c r="C1815" t="s">
        <v>442</v>
      </c>
      <c r="D1815" t="s">
        <v>13</v>
      </c>
      <c r="E1815">
        <v>20</v>
      </c>
      <c r="F1815">
        <v>0</v>
      </c>
    </row>
    <row r="1816" spans="1:6" x14ac:dyDescent="0.15">
      <c r="A1816" t="s">
        <v>210</v>
      </c>
      <c r="B1816" s="226">
        <v>42323.629932488424</v>
      </c>
      <c r="C1816" t="s">
        <v>1818</v>
      </c>
      <c r="D1816" t="s">
        <v>13</v>
      </c>
      <c r="E1816">
        <v>60</v>
      </c>
      <c r="F1816">
        <v>0</v>
      </c>
    </row>
    <row r="1817" spans="1:6" x14ac:dyDescent="0.15">
      <c r="A1817" t="s">
        <v>210</v>
      </c>
      <c r="B1817" s="226">
        <v>42323.64404806713</v>
      </c>
      <c r="C1817" t="s">
        <v>14</v>
      </c>
      <c r="D1817" t="s">
        <v>13</v>
      </c>
      <c r="E1817">
        <v>100</v>
      </c>
      <c r="F1817">
        <v>3.5</v>
      </c>
    </row>
    <row r="1818" spans="1:6" x14ac:dyDescent="0.15">
      <c r="A1818" t="s">
        <v>210</v>
      </c>
      <c r="B1818" s="226">
        <v>42323.644742534721</v>
      </c>
      <c r="C1818" t="s">
        <v>834</v>
      </c>
      <c r="D1818" t="s">
        <v>13</v>
      </c>
      <c r="E1818">
        <v>100</v>
      </c>
      <c r="F1818">
        <v>0</v>
      </c>
    </row>
    <row r="1819" spans="1:6" x14ac:dyDescent="0.15">
      <c r="A1819" t="s">
        <v>210</v>
      </c>
      <c r="B1819" s="226">
        <v>42323.656294722219</v>
      </c>
      <c r="C1819" t="s">
        <v>1819</v>
      </c>
      <c r="D1819" t="s">
        <v>13</v>
      </c>
      <c r="E1819">
        <v>100</v>
      </c>
      <c r="F1819">
        <v>0</v>
      </c>
    </row>
    <row r="1820" spans="1:6" x14ac:dyDescent="0.15">
      <c r="A1820" t="s">
        <v>210</v>
      </c>
      <c r="B1820" s="226">
        <v>42323.663557731481</v>
      </c>
      <c r="C1820" t="s">
        <v>14</v>
      </c>
      <c r="D1820" t="s">
        <v>13</v>
      </c>
      <c r="E1820">
        <v>200</v>
      </c>
      <c r="F1820">
        <v>3.5</v>
      </c>
    </row>
    <row r="1821" spans="1:6" x14ac:dyDescent="0.15">
      <c r="A1821" t="s">
        <v>210</v>
      </c>
      <c r="B1821" s="226">
        <v>42323.669932476849</v>
      </c>
      <c r="C1821" t="s">
        <v>14</v>
      </c>
      <c r="D1821" t="s">
        <v>13</v>
      </c>
      <c r="E1821">
        <v>100</v>
      </c>
      <c r="F1821">
        <v>3.5</v>
      </c>
    </row>
    <row r="1822" spans="1:6" x14ac:dyDescent="0.15">
      <c r="A1822" t="s">
        <v>210</v>
      </c>
      <c r="B1822" s="226">
        <v>42323.675913796294</v>
      </c>
      <c r="C1822" t="s">
        <v>1820</v>
      </c>
      <c r="D1822" t="s">
        <v>13</v>
      </c>
      <c r="E1822">
        <v>100</v>
      </c>
      <c r="F1822">
        <v>0</v>
      </c>
    </row>
    <row r="1823" spans="1:6" x14ac:dyDescent="0.15">
      <c r="A1823" t="s">
        <v>210</v>
      </c>
      <c r="B1823" s="226">
        <v>42323.679220868056</v>
      </c>
      <c r="C1823" t="s">
        <v>1821</v>
      </c>
      <c r="D1823" t="s">
        <v>13</v>
      </c>
      <c r="E1823">
        <v>100</v>
      </c>
      <c r="F1823">
        <v>0</v>
      </c>
    </row>
    <row r="1824" spans="1:6" x14ac:dyDescent="0.15">
      <c r="A1824" t="s">
        <v>210</v>
      </c>
      <c r="B1824" s="226">
        <v>42323.681626412035</v>
      </c>
      <c r="C1824" t="s">
        <v>1822</v>
      </c>
      <c r="D1824" t="s">
        <v>13</v>
      </c>
      <c r="E1824">
        <v>60</v>
      </c>
      <c r="F1824">
        <v>0</v>
      </c>
    </row>
    <row r="1825" spans="1:6" x14ac:dyDescent="0.15">
      <c r="A1825" t="s">
        <v>210</v>
      </c>
      <c r="B1825" s="226">
        <v>42323.69239059028</v>
      </c>
      <c r="C1825" t="s">
        <v>1823</v>
      </c>
      <c r="D1825" t="s">
        <v>13</v>
      </c>
      <c r="E1825">
        <v>80</v>
      </c>
      <c r="F1825">
        <v>0</v>
      </c>
    </row>
    <row r="1826" spans="1:6" x14ac:dyDescent="0.15">
      <c r="A1826" t="s">
        <v>210</v>
      </c>
      <c r="B1826" s="226">
        <v>42323.710248784722</v>
      </c>
      <c r="C1826" t="s">
        <v>1824</v>
      </c>
      <c r="D1826" t="s">
        <v>13</v>
      </c>
      <c r="E1826">
        <v>100</v>
      </c>
      <c r="F1826">
        <v>0</v>
      </c>
    </row>
    <row r="1827" spans="1:6" x14ac:dyDescent="0.15">
      <c r="A1827" t="s">
        <v>210</v>
      </c>
      <c r="B1827" s="226">
        <v>42323.741897349537</v>
      </c>
      <c r="C1827" t="s">
        <v>1825</v>
      </c>
      <c r="D1827" t="s">
        <v>13</v>
      </c>
      <c r="E1827">
        <v>60</v>
      </c>
      <c r="F1827">
        <v>0</v>
      </c>
    </row>
    <row r="1828" spans="1:6" x14ac:dyDescent="0.15">
      <c r="A1828" t="s">
        <v>210</v>
      </c>
      <c r="B1828" s="226">
        <v>42323.743915300925</v>
      </c>
      <c r="C1828" t="s">
        <v>1826</v>
      </c>
      <c r="D1828" t="s">
        <v>13</v>
      </c>
      <c r="E1828">
        <v>60</v>
      </c>
      <c r="F1828">
        <v>0</v>
      </c>
    </row>
    <row r="1829" spans="1:6" x14ac:dyDescent="0.15">
      <c r="A1829" t="s">
        <v>210</v>
      </c>
      <c r="B1829" s="226">
        <v>42323.749612569445</v>
      </c>
      <c r="C1829" t="s">
        <v>1827</v>
      </c>
      <c r="D1829" t="s">
        <v>13</v>
      </c>
      <c r="E1829">
        <v>40</v>
      </c>
      <c r="F1829">
        <v>0</v>
      </c>
    </row>
    <row r="1830" spans="1:6" x14ac:dyDescent="0.15">
      <c r="A1830" t="s">
        <v>210</v>
      </c>
      <c r="B1830" s="226">
        <v>42323.767643796295</v>
      </c>
      <c r="C1830" t="s">
        <v>1828</v>
      </c>
      <c r="D1830" t="s">
        <v>13</v>
      </c>
      <c r="E1830">
        <v>60</v>
      </c>
      <c r="F1830">
        <v>0</v>
      </c>
    </row>
    <row r="1831" spans="1:6" x14ac:dyDescent="0.15">
      <c r="A1831" t="s">
        <v>210</v>
      </c>
      <c r="B1831" s="226">
        <v>42324.003041956021</v>
      </c>
      <c r="C1831" t="s">
        <v>1049</v>
      </c>
      <c r="D1831" t="s">
        <v>13</v>
      </c>
      <c r="E1831">
        <v>60</v>
      </c>
      <c r="F1831">
        <v>0</v>
      </c>
    </row>
    <row r="1832" spans="1:6" x14ac:dyDescent="0.15">
      <c r="A1832" t="s">
        <v>210</v>
      </c>
      <c r="B1832" s="226">
        <v>42324.033997627317</v>
      </c>
      <c r="C1832" t="s">
        <v>1521</v>
      </c>
      <c r="D1832" t="s">
        <v>13</v>
      </c>
      <c r="E1832">
        <v>60</v>
      </c>
      <c r="F1832">
        <v>0</v>
      </c>
    </row>
    <row r="1833" spans="1:6" x14ac:dyDescent="0.15">
      <c r="A1833" t="s">
        <v>210</v>
      </c>
      <c r="B1833" s="226">
        <v>42324.306945914352</v>
      </c>
      <c r="C1833" t="s">
        <v>164</v>
      </c>
      <c r="D1833" t="s">
        <v>13</v>
      </c>
      <c r="E1833">
        <v>100</v>
      </c>
      <c r="F1833">
        <v>0</v>
      </c>
    </row>
    <row r="1834" spans="1:6" x14ac:dyDescent="0.15">
      <c r="A1834" t="s">
        <v>210</v>
      </c>
      <c r="B1834" s="226">
        <v>42324.311602141206</v>
      </c>
      <c r="C1834" t="s">
        <v>1678</v>
      </c>
      <c r="D1834" t="s">
        <v>13</v>
      </c>
      <c r="E1834">
        <v>40</v>
      </c>
      <c r="F1834">
        <v>0</v>
      </c>
    </row>
    <row r="1835" spans="1:6" x14ac:dyDescent="0.15">
      <c r="A1835" t="s">
        <v>210</v>
      </c>
      <c r="B1835" s="226">
        <v>42324.314839907405</v>
      </c>
      <c r="C1835" t="s">
        <v>1829</v>
      </c>
      <c r="D1835" t="s">
        <v>13</v>
      </c>
      <c r="E1835">
        <v>100</v>
      </c>
      <c r="F1835">
        <v>0</v>
      </c>
    </row>
    <row r="1836" spans="1:6" x14ac:dyDescent="0.15">
      <c r="A1836" t="s">
        <v>210</v>
      </c>
      <c r="B1836" s="226">
        <v>42324.337157337963</v>
      </c>
      <c r="C1836" t="s">
        <v>1830</v>
      </c>
      <c r="D1836" t="s">
        <v>13</v>
      </c>
      <c r="E1836">
        <v>500</v>
      </c>
      <c r="F1836">
        <v>0</v>
      </c>
    </row>
    <row r="1837" spans="1:6" x14ac:dyDescent="0.15">
      <c r="A1837" t="s">
        <v>210</v>
      </c>
      <c r="B1837" s="226">
        <v>42324.350645034719</v>
      </c>
      <c r="C1837" t="s">
        <v>1831</v>
      </c>
      <c r="D1837" t="s">
        <v>13</v>
      </c>
      <c r="E1837">
        <v>20</v>
      </c>
      <c r="F1837">
        <v>0</v>
      </c>
    </row>
    <row r="1838" spans="1:6" x14ac:dyDescent="0.15">
      <c r="A1838" t="s">
        <v>210</v>
      </c>
      <c r="B1838" s="226">
        <v>42324.358633773147</v>
      </c>
      <c r="C1838" t="s">
        <v>1156</v>
      </c>
      <c r="D1838" t="s">
        <v>13</v>
      </c>
      <c r="E1838">
        <v>80</v>
      </c>
      <c r="F1838">
        <v>0</v>
      </c>
    </row>
    <row r="1839" spans="1:6" x14ac:dyDescent="0.15">
      <c r="A1839" t="s">
        <v>210</v>
      </c>
      <c r="B1839" s="226">
        <v>42324.395376030094</v>
      </c>
      <c r="C1839" t="s">
        <v>1832</v>
      </c>
      <c r="D1839" t="s">
        <v>13</v>
      </c>
      <c r="E1839">
        <v>200</v>
      </c>
      <c r="F1839">
        <v>0</v>
      </c>
    </row>
    <row r="1840" spans="1:6" x14ac:dyDescent="0.15">
      <c r="A1840" t="s">
        <v>210</v>
      </c>
      <c r="B1840" s="226">
        <v>42324.410244861108</v>
      </c>
      <c r="C1840" t="s">
        <v>443</v>
      </c>
      <c r="D1840" t="s">
        <v>13</v>
      </c>
      <c r="E1840">
        <v>60</v>
      </c>
      <c r="F1840">
        <v>0</v>
      </c>
    </row>
    <row r="1841" spans="1:6" x14ac:dyDescent="0.15">
      <c r="A1841" t="s">
        <v>210</v>
      </c>
      <c r="B1841" s="226">
        <v>42324.457083136571</v>
      </c>
      <c r="C1841" t="s">
        <v>1654</v>
      </c>
      <c r="D1841" t="s">
        <v>13</v>
      </c>
      <c r="E1841">
        <v>20</v>
      </c>
      <c r="F1841">
        <v>0</v>
      </c>
    </row>
    <row r="1842" spans="1:6" x14ac:dyDescent="0.15">
      <c r="A1842" t="s">
        <v>210</v>
      </c>
      <c r="B1842" s="226">
        <v>42324.459415879632</v>
      </c>
      <c r="C1842" t="s">
        <v>669</v>
      </c>
      <c r="D1842" t="s">
        <v>13</v>
      </c>
      <c r="E1842">
        <v>60</v>
      </c>
      <c r="F1842">
        <v>0</v>
      </c>
    </row>
    <row r="1843" spans="1:6" x14ac:dyDescent="0.15">
      <c r="A1843" t="s">
        <v>210</v>
      </c>
      <c r="B1843" s="226">
        <v>42324.460567650465</v>
      </c>
      <c r="C1843" t="s">
        <v>444</v>
      </c>
      <c r="D1843" t="s">
        <v>13</v>
      </c>
      <c r="E1843">
        <v>200</v>
      </c>
      <c r="F1843">
        <v>0</v>
      </c>
    </row>
    <row r="1844" spans="1:6" x14ac:dyDescent="0.15">
      <c r="A1844" t="s">
        <v>210</v>
      </c>
      <c r="B1844" s="226">
        <v>42324.487337280094</v>
      </c>
      <c r="C1844" t="s">
        <v>1833</v>
      </c>
      <c r="D1844" t="s">
        <v>13</v>
      </c>
      <c r="E1844">
        <v>40</v>
      </c>
      <c r="F1844">
        <v>0</v>
      </c>
    </row>
    <row r="1845" spans="1:6" x14ac:dyDescent="0.15">
      <c r="A1845" t="s">
        <v>210</v>
      </c>
      <c r="B1845" s="226">
        <v>42324.511746562501</v>
      </c>
      <c r="C1845" t="s">
        <v>1834</v>
      </c>
      <c r="D1845" t="s">
        <v>13</v>
      </c>
      <c r="E1845">
        <v>120</v>
      </c>
      <c r="F1845">
        <v>0</v>
      </c>
    </row>
    <row r="1846" spans="1:6" x14ac:dyDescent="0.15">
      <c r="A1846" t="s">
        <v>210</v>
      </c>
      <c r="B1846" s="226">
        <v>42324.525895069448</v>
      </c>
      <c r="C1846" t="s">
        <v>1835</v>
      </c>
      <c r="D1846" t="s">
        <v>13</v>
      </c>
      <c r="E1846">
        <v>100</v>
      </c>
      <c r="F1846">
        <v>0</v>
      </c>
    </row>
    <row r="1847" spans="1:6" x14ac:dyDescent="0.15">
      <c r="A1847" t="s">
        <v>210</v>
      </c>
      <c r="B1847" s="226">
        <v>42324.53785414352</v>
      </c>
      <c r="C1847" t="s">
        <v>14</v>
      </c>
      <c r="D1847" t="s">
        <v>13</v>
      </c>
      <c r="E1847">
        <v>40</v>
      </c>
      <c r="F1847">
        <v>3.5</v>
      </c>
    </row>
    <row r="1848" spans="1:6" x14ac:dyDescent="0.15">
      <c r="A1848" t="s">
        <v>210</v>
      </c>
      <c r="B1848" s="226">
        <v>42324.553345844906</v>
      </c>
      <c r="C1848" t="s">
        <v>1836</v>
      </c>
      <c r="D1848" t="s">
        <v>13</v>
      </c>
      <c r="E1848">
        <v>40</v>
      </c>
      <c r="F1848">
        <v>0</v>
      </c>
    </row>
    <row r="1849" spans="1:6" x14ac:dyDescent="0.15">
      <c r="A1849" t="s">
        <v>210</v>
      </c>
      <c r="B1849" s="226">
        <v>42324.559604513888</v>
      </c>
      <c r="C1849" t="s">
        <v>1837</v>
      </c>
      <c r="D1849" t="s">
        <v>13</v>
      </c>
      <c r="E1849">
        <v>20</v>
      </c>
      <c r="F1849">
        <v>0</v>
      </c>
    </row>
    <row r="1850" spans="1:6" x14ac:dyDescent="0.15">
      <c r="A1850" t="s">
        <v>210</v>
      </c>
      <c r="B1850" s="226">
        <v>42324.573700925925</v>
      </c>
      <c r="C1850" t="s">
        <v>1823</v>
      </c>
      <c r="D1850" t="s">
        <v>13</v>
      </c>
      <c r="E1850">
        <v>20</v>
      </c>
      <c r="F1850">
        <v>0</v>
      </c>
    </row>
    <row r="1851" spans="1:6" x14ac:dyDescent="0.15">
      <c r="A1851" t="s">
        <v>210</v>
      </c>
      <c r="B1851" s="226">
        <v>42324.586345011572</v>
      </c>
      <c r="C1851" t="s">
        <v>14</v>
      </c>
      <c r="D1851" t="s">
        <v>13</v>
      </c>
      <c r="E1851">
        <v>80</v>
      </c>
      <c r="F1851">
        <v>3.5</v>
      </c>
    </row>
    <row r="1852" spans="1:6" x14ac:dyDescent="0.15">
      <c r="A1852" t="s">
        <v>210</v>
      </c>
      <c r="B1852" s="226">
        <v>42324.595916168983</v>
      </c>
      <c r="C1852" t="s">
        <v>1838</v>
      </c>
      <c r="D1852" t="s">
        <v>15</v>
      </c>
      <c r="E1852">
        <v>20</v>
      </c>
      <c r="F1852">
        <v>0.6</v>
      </c>
    </row>
    <row r="1853" spans="1:6" x14ac:dyDescent="0.15">
      <c r="A1853" t="s">
        <v>210</v>
      </c>
      <c r="B1853" s="226">
        <v>42324.615256851852</v>
      </c>
      <c r="C1853" t="s">
        <v>1839</v>
      </c>
      <c r="D1853" t="s">
        <v>13</v>
      </c>
      <c r="E1853">
        <v>100</v>
      </c>
      <c r="F1853">
        <v>0</v>
      </c>
    </row>
    <row r="1854" spans="1:6" x14ac:dyDescent="0.15">
      <c r="A1854" t="s">
        <v>210</v>
      </c>
      <c r="B1854" s="226">
        <v>42324.619580578707</v>
      </c>
      <c r="C1854" t="s">
        <v>1840</v>
      </c>
      <c r="D1854" t="s">
        <v>13</v>
      </c>
      <c r="E1854">
        <v>100</v>
      </c>
      <c r="F1854">
        <v>0</v>
      </c>
    </row>
    <row r="1855" spans="1:6" x14ac:dyDescent="0.15">
      <c r="A1855" t="s">
        <v>210</v>
      </c>
      <c r="B1855" s="226">
        <v>42324.639355057872</v>
      </c>
      <c r="C1855" t="s">
        <v>260</v>
      </c>
      <c r="D1855" t="s">
        <v>13</v>
      </c>
      <c r="E1855">
        <v>20</v>
      </c>
      <c r="F1855">
        <v>0</v>
      </c>
    </row>
    <row r="1856" spans="1:6" x14ac:dyDescent="0.15">
      <c r="A1856" t="s">
        <v>210</v>
      </c>
      <c r="B1856" s="226">
        <v>42324.643953437502</v>
      </c>
      <c r="C1856" t="s">
        <v>1841</v>
      </c>
      <c r="D1856" t="s">
        <v>13</v>
      </c>
      <c r="E1856">
        <v>180</v>
      </c>
      <c r="F1856">
        <v>0</v>
      </c>
    </row>
    <row r="1857" spans="1:6" x14ac:dyDescent="0.15">
      <c r="A1857" t="s">
        <v>210</v>
      </c>
      <c r="B1857" s="226">
        <v>42324.644668379631</v>
      </c>
      <c r="C1857" t="s">
        <v>1842</v>
      </c>
      <c r="D1857" t="s">
        <v>13</v>
      </c>
      <c r="E1857">
        <v>400</v>
      </c>
      <c r="F1857">
        <v>0</v>
      </c>
    </row>
    <row r="1858" spans="1:6" x14ac:dyDescent="0.15">
      <c r="A1858" t="s">
        <v>210</v>
      </c>
      <c r="B1858" s="226">
        <v>42324.645238449077</v>
      </c>
      <c r="C1858" t="s">
        <v>1149</v>
      </c>
      <c r="D1858" t="s">
        <v>13</v>
      </c>
      <c r="E1858">
        <v>40</v>
      </c>
      <c r="F1858">
        <v>0</v>
      </c>
    </row>
    <row r="1859" spans="1:6" x14ac:dyDescent="0.15">
      <c r="A1859" t="s">
        <v>210</v>
      </c>
      <c r="B1859" s="226">
        <v>42324.661609502313</v>
      </c>
      <c r="C1859" t="s">
        <v>753</v>
      </c>
      <c r="D1859" t="s">
        <v>13</v>
      </c>
      <c r="E1859">
        <v>200</v>
      </c>
      <c r="F1859">
        <v>0</v>
      </c>
    </row>
    <row r="1860" spans="1:6" x14ac:dyDescent="0.15">
      <c r="A1860" t="s">
        <v>210</v>
      </c>
      <c r="B1860" s="226">
        <v>42324.674616585646</v>
      </c>
      <c r="C1860" t="s">
        <v>1843</v>
      </c>
      <c r="D1860" t="s">
        <v>13</v>
      </c>
      <c r="E1860">
        <v>100</v>
      </c>
      <c r="F1860">
        <v>0</v>
      </c>
    </row>
    <row r="1861" spans="1:6" x14ac:dyDescent="0.15">
      <c r="A1861" t="s">
        <v>210</v>
      </c>
      <c r="B1861" s="226">
        <v>42324.700545277781</v>
      </c>
      <c r="C1861" t="s">
        <v>1844</v>
      </c>
      <c r="D1861" t="s">
        <v>13</v>
      </c>
      <c r="E1861">
        <v>100</v>
      </c>
      <c r="F1861">
        <v>0</v>
      </c>
    </row>
    <row r="1862" spans="1:6" x14ac:dyDescent="0.15">
      <c r="A1862" t="s">
        <v>210</v>
      </c>
      <c r="B1862" s="226">
        <v>42324.722085972222</v>
      </c>
      <c r="C1862" t="s">
        <v>1845</v>
      </c>
      <c r="D1862" t="s">
        <v>13</v>
      </c>
      <c r="E1862">
        <v>120</v>
      </c>
      <c r="F1862">
        <v>0</v>
      </c>
    </row>
    <row r="1863" spans="1:6" x14ac:dyDescent="0.15">
      <c r="A1863" t="s">
        <v>210</v>
      </c>
      <c r="B1863" s="226">
        <v>42324.731061493054</v>
      </c>
      <c r="C1863" t="s">
        <v>1846</v>
      </c>
      <c r="D1863" t="s">
        <v>13</v>
      </c>
      <c r="E1863">
        <v>60</v>
      </c>
      <c r="F1863">
        <v>0</v>
      </c>
    </row>
    <row r="1864" spans="1:6" x14ac:dyDescent="0.15">
      <c r="A1864" t="s">
        <v>210</v>
      </c>
      <c r="B1864" s="226">
        <v>42324.734217708334</v>
      </c>
      <c r="C1864" t="s">
        <v>1847</v>
      </c>
      <c r="D1864" t="s">
        <v>13</v>
      </c>
      <c r="E1864">
        <v>100</v>
      </c>
      <c r="F1864">
        <v>0</v>
      </c>
    </row>
    <row r="1865" spans="1:6" x14ac:dyDescent="0.15">
      <c r="A1865" t="s">
        <v>210</v>
      </c>
      <c r="B1865" s="226">
        <v>42324.756902314817</v>
      </c>
      <c r="C1865" t="s">
        <v>1848</v>
      </c>
      <c r="D1865" t="s">
        <v>15</v>
      </c>
      <c r="E1865">
        <v>100</v>
      </c>
      <c r="F1865">
        <v>3</v>
      </c>
    </row>
    <row r="1866" spans="1:6" x14ac:dyDescent="0.15">
      <c r="A1866" t="s">
        <v>210</v>
      </c>
      <c r="B1866" s="226">
        <v>42324.763837708335</v>
      </c>
      <c r="C1866" t="s">
        <v>441</v>
      </c>
      <c r="D1866" t="s">
        <v>13</v>
      </c>
      <c r="E1866">
        <v>100</v>
      </c>
      <c r="F1866">
        <v>0</v>
      </c>
    </row>
    <row r="1867" spans="1:6" x14ac:dyDescent="0.15">
      <c r="A1867" t="s">
        <v>210</v>
      </c>
      <c r="B1867" s="226">
        <v>42324.799375879629</v>
      </c>
      <c r="C1867" t="s">
        <v>14</v>
      </c>
      <c r="D1867" t="s">
        <v>13</v>
      </c>
      <c r="E1867">
        <v>80</v>
      </c>
      <c r="F1867">
        <v>3.5</v>
      </c>
    </row>
    <row r="1868" spans="1:6" x14ac:dyDescent="0.15">
      <c r="A1868" t="s">
        <v>210</v>
      </c>
      <c r="B1868" s="226">
        <v>42325.054327928243</v>
      </c>
      <c r="C1868" t="s">
        <v>14</v>
      </c>
      <c r="D1868" t="s">
        <v>13</v>
      </c>
      <c r="E1868">
        <v>140</v>
      </c>
      <c r="F1868">
        <v>3.5</v>
      </c>
    </row>
    <row r="1869" spans="1:6" x14ac:dyDescent="0.15">
      <c r="A1869" t="s">
        <v>210</v>
      </c>
      <c r="B1869" s="226">
        <v>42325.21152636574</v>
      </c>
      <c r="C1869" t="s">
        <v>1849</v>
      </c>
      <c r="D1869" t="s">
        <v>13</v>
      </c>
      <c r="E1869">
        <v>80</v>
      </c>
      <c r="F1869">
        <v>0</v>
      </c>
    </row>
    <row r="1870" spans="1:6" x14ac:dyDescent="0.15">
      <c r="A1870" t="s">
        <v>210</v>
      </c>
      <c r="B1870" s="226">
        <v>42325.29476070602</v>
      </c>
      <c r="C1870" t="s">
        <v>1850</v>
      </c>
      <c r="D1870" t="s">
        <v>13</v>
      </c>
      <c r="E1870">
        <v>100</v>
      </c>
      <c r="F1870">
        <v>0</v>
      </c>
    </row>
    <row r="1871" spans="1:6" x14ac:dyDescent="0.15">
      <c r="A1871" t="s">
        <v>210</v>
      </c>
      <c r="B1871" s="226">
        <v>42325.309507280093</v>
      </c>
      <c r="C1871" t="s">
        <v>165</v>
      </c>
      <c r="D1871" t="s">
        <v>13</v>
      </c>
      <c r="E1871">
        <v>100</v>
      </c>
      <c r="F1871">
        <v>0</v>
      </c>
    </row>
    <row r="1872" spans="1:6" x14ac:dyDescent="0.15">
      <c r="A1872" t="s">
        <v>210</v>
      </c>
      <c r="B1872" s="226">
        <v>42325.310342152778</v>
      </c>
      <c r="C1872" t="s">
        <v>1851</v>
      </c>
      <c r="D1872" t="s">
        <v>13</v>
      </c>
      <c r="E1872">
        <v>100</v>
      </c>
      <c r="F1872">
        <v>0</v>
      </c>
    </row>
    <row r="1873" spans="1:6" x14ac:dyDescent="0.15">
      <c r="A1873" t="s">
        <v>210</v>
      </c>
      <c r="B1873" s="226">
        <v>42325.318849895833</v>
      </c>
      <c r="C1873" t="s">
        <v>1184</v>
      </c>
      <c r="D1873" t="s">
        <v>13</v>
      </c>
      <c r="E1873">
        <v>40</v>
      </c>
      <c r="F1873">
        <v>0</v>
      </c>
    </row>
    <row r="1874" spans="1:6" x14ac:dyDescent="0.15">
      <c r="A1874" t="s">
        <v>210</v>
      </c>
      <c r="B1874" s="226">
        <v>42325.320431319444</v>
      </c>
      <c r="C1874" t="s">
        <v>1852</v>
      </c>
      <c r="D1874" t="s">
        <v>13</v>
      </c>
      <c r="E1874">
        <v>120</v>
      </c>
      <c r="F1874">
        <v>0</v>
      </c>
    </row>
    <row r="1875" spans="1:6" x14ac:dyDescent="0.15">
      <c r="A1875" t="s">
        <v>210</v>
      </c>
      <c r="B1875" s="226">
        <v>42325.323677488428</v>
      </c>
      <c r="C1875" t="s">
        <v>14</v>
      </c>
      <c r="D1875" t="s">
        <v>13</v>
      </c>
      <c r="E1875">
        <v>100</v>
      </c>
      <c r="F1875">
        <v>3.5</v>
      </c>
    </row>
    <row r="1876" spans="1:6" x14ac:dyDescent="0.15">
      <c r="A1876" t="s">
        <v>210</v>
      </c>
      <c r="B1876" s="226">
        <v>42325.337300324078</v>
      </c>
      <c r="C1876" t="s">
        <v>1853</v>
      </c>
      <c r="D1876" t="s">
        <v>13</v>
      </c>
      <c r="E1876">
        <v>60</v>
      </c>
      <c r="F1876">
        <v>0</v>
      </c>
    </row>
    <row r="1877" spans="1:6" x14ac:dyDescent="0.15">
      <c r="A1877" t="s">
        <v>210</v>
      </c>
      <c r="B1877" s="226">
        <v>42325.348031979163</v>
      </c>
      <c r="C1877" t="s">
        <v>1854</v>
      </c>
      <c r="D1877" t="s">
        <v>13</v>
      </c>
      <c r="E1877">
        <v>20</v>
      </c>
      <c r="F1877">
        <v>0</v>
      </c>
    </row>
    <row r="1878" spans="1:6" x14ac:dyDescent="0.15">
      <c r="A1878" t="s">
        <v>210</v>
      </c>
      <c r="B1878" s="226">
        <v>42325.355825185186</v>
      </c>
      <c r="C1878" t="s">
        <v>1855</v>
      </c>
      <c r="D1878" t="s">
        <v>13</v>
      </c>
      <c r="E1878">
        <v>100</v>
      </c>
      <c r="F1878">
        <v>0</v>
      </c>
    </row>
    <row r="1879" spans="1:6" x14ac:dyDescent="0.15">
      <c r="A1879" t="s">
        <v>210</v>
      </c>
      <c r="B1879" s="226">
        <v>42325.372362106478</v>
      </c>
      <c r="C1879" t="s">
        <v>1856</v>
      </c>
      <c r="D1879" t="s">
        <v>13</v>
      </c>
      <c r="E1879">
        <v>40</v>
      </c>
      <c r="F1879">
        <v>0</v>
      </c>
    </row>
    <row r="1880" spans="1:6" x14ac:dyDescent="0.15">
      <c r="A1880" t="s">
        <v>210</v>
      </c>
      <c r="B1880" s="226">
        <v>42325.373801979164</v>
      </c>
      <c r="C1880" t="s">
        <v>862</v>
      </c>
      <c r="D1880" t="s">
        <v>13</v>
      </c>
      <c r="E1880">
        <v>100</v>
      </c>
      <c r="F1880">
        <v>0</v>
      </c>
    </row>
    <row r="1881" spans="1:6" x14ac:dyDescent="0.15">
      <c r="A1881" t="s">
        <v>210</v>
      </c>
      <c r="B1881" s="226">
        <v>42325.390905208333</v>
      </c>
      <c r="C1881" t="s">
        <v>1857</v>
      </c>
      <c r="D1881" t="s">
        <v>13</v>
      </c>
      <c r="E1881">
        <v>100</v>
      </c>
      <c r="F1881">
        <v>0</v>
      </c>
    </row>
    <row r="1882" spans="1:6" x14ac:dyDescent="0.15">
      <c r="A1882" t="s">
        <v>210</v>
      </c>
      <c r="B1882" s="226">
        <v>42325.404131296295</v>
      </c>
      <c r="C1882" t="s">
        <v>1858</v>
      </c>
      <c r="D1882" t="s">
        <v>13</v>
      </c>
      <c r="E1882">
        <v>100</v>
      </c>
      <c r="F1882">
        <v>0</v>
      </c>
    </row>
    <row r="1883" spans="1:6" x14ac:dyDescent="0.15">
      <c r="A1883" t="s">
        <v>210</v>
      </c>
      <c r="B1883" s="226">
        <v>42325.417683240739</v>
      </c>
      <c r="C1883" t="s">
        <v>1859</v>
      </c>
      <c r="D1883" t="s">
        <v>13</v>
      </c>
      <c r="E1883">
        <v>60</v>
      </c>
      <c r="F1883">
        <v>0</v>
      </c>
    </row>
    <row r="1884" spans="1:6" x14ac:dyDescent="0.15">
      <c r="A1884" t="s">
        <v>210</v>
      </c>
      <c r="B1884" s="226">
        <v>42325.427085439813</v>
      </c>
      <c r="C1884" t="s">
        <v>1860</v>
      </c>
      <c r="D1884" t="s">
        <v>13</v>
      </c>
      <c r="E1884">
        <v>40</v>
      </c>
      <c r="F1884">
        <v>0</v>
      </c>
    </row>
    <row r="1885" spans="1:6" x14ac:dyDescent="0.15">
      <c r="A1885" t="s">
        <v>210</v>
      </c>
      <c r="B1885" s="226">
        <v>42325.440192430557</v>
      </c>
      <c r="C1885" t="s">
        <v>1861</v>
      </c>
      <c r="D1885" t="s">
        <v>13</v>
      </c>
      <c r="E1885">
        <v>200</v>
      </c>
      <c r="F1885">
        <v>0</v>
      </c>
    </row>
    <row r="1886" spans="1:6" x14ac:dyDescent="0.15">
      <c r="A1886" t="s">
        <v>210</v>
      </c>
      <c r="B1886" s="226">
        <v>42325.464166087964</v>
      </c>
      <c r="C1886" t="s">
        <v>90</v>
      </c>
      <c r="D1886" t="s">
        <v>13</v>
      </c>
      <c r="E1886">
        <v>40</v>
      </c>
      <c r="F1886">
        <v>0</v>
      </c>
    </row>
    <row r="1887" spans="1:6" x14ac:dyDescent="0.15">
      <c r="A1887" t="s">
        <v>210</v>
      </c>
      <c r="B1887" s="226">
        <v>42325.470210439817</v>
      </c>
      <c r="C1887" t="s">
        <v>14</v>
      </c>
      <c r="D1887" t="s">
        <v>13</v>
      </c>
      <c r="E1887">
        <v>40</v>
      </c>
      <c r="F1887">
        <v>3.5</v>
      </c>
    </row>
    <row r="1888" spans="1:6" x14ac:dyDescent="0.15">
      <c r="A1888" t="s">
        <v>210</v>
      </c>
      <c r="B1888" s="226">
        <v>42325.474456307871</v>
      </c>
      <c r="C1888" t="s">
        <v>1862</v>
      </c>
      <c r="D1888" t="s">
        <v>13</v>
      </c>
      <c r="E1888">
        <v>140</v>
      </c>
      <c r="F1888">
        <v>0</v>
      </c>
    </row>
    <row r="1889" spans="1:6" x14ac:dyDescent="0.15">
      <c r="A1889" t="s">
        <v>210</v>
      </c>
      <c r="B1889" s="226">
        <v>42325.48706550926</v>
      </c>
      <c r="C1889" t="s">
        <v>445</v>
      </c>
      <c r="D1889" t="s">
        <v>13</v>
      </c>
      <c r="E1889">
        <v>40</v>
      </c>
      <c r="F1889">
        <v>0</v>
      </c>
    </row>
    <row r="1890" spans="1:6" x14ac:dyDescent="0.15">
      <c r="A1890" t="s">
        <v>210</v>
      </c>
      <c r="B1890" s="226">
        <v>42325.508537939815</v>
      </c>
      <c r="C1890" t="s">
        <v>1662</v>
      </c>
      <c r="D1890" t="s">
        <v>13</v>
      </c>
      <c r="E1890">
        <v>20</v>
      </c>
      <c r="F1890">
        <v>0</v>
      </c>
    </row>
    <row r="1891" spans="1:6" x14ac:dyDescent="0.15">
      <c r="A1891" t="s">
        <v>210</v>
      </c>
      <c r="B1891" s="226">
        <v>42325.509036736112</v>
      </c>
      <c r="C1891" t="s">
        <v>1863</v>
      </c>
      <c r="D1891" t="s">
        <v>13</v>
      </c>
      <c r="E1891">
        <v>100</v>
      </c>
      <c r="F1891">
        <v>0</v>
      </c>
    </row>
    <row r="1892" spans="1:6" x14ac:dyDescent="0.15">
      <c r="A1892" t="s">
        <v>210</v>
      </c>
      <c r="B1892" s="226">
        <v>42325.524538124999</v>
      </c>
      <c r="C1892" t="s">
        <v>1864</v>
      </c>
      <c r="D1892" t="s">
        <v>13</v>
      </c>
      <c r="E1892">
        <v>100</v>
      </c>
      <c r="F1892">
        <v>0</v>
      </c>
    </row>
    <row r="1893" spans="1:6" x14ac:dyDescent="0.15">
      <c r="A1893" t="s">
        <v>210</v>
      </c>
      <c r="B1893" s="226">
        <v>42325.525265254626</v>
      </c>
      <c r="C1893" t="s">
        <v>1865</v>
      </c>
      <c r="D1893" t="s">
        <v>13</v>
      </c>
      <c r="E1893">
        <v>20</v>
      </c>
      <c r="F1893">
        <v>0</v>
      </c>
    </row>
    <row r="1894" spans="1:6" x14ac:dyDescent="0.15">
      <c r="A1894" t="s">
        <v>210</v>
      </c>
      <c r="B1894" s="226">
        <v>42325.539539641206</v>
      </c>
      <c r="C1894" t="s">
        <v>815</v>
      </c>
      <c r="D1894" t="s">
        <v>13</v>
      </c>
      <c r="E1894">
        <v>40</v>
      </c>
      <c r="F1894">
        <v>0</v>
      </c>
    </row>
    <row r="1895" spans="1:6" x14ac:dyDescent="0.15">
      <c r="A1895" t="s">
        <v>210</v>
      </c>
      <c r="B1895" s="226">
        <v>42325.54633164352</v>
      </c>
      <c r="C1895" t="s">
        <v>1866</v>
      </c>
      <c r="D1895" t="s">
        <v>13</v>
      </c>
      <c r="E1895">
        <v>100</v>
      </c>
      <c r="F1895">
        <v>0</v>
      </c>
    </row>
    <row r="1896" spans="1:6" x14ac:dyDescent="0.15">
      <c r="A1896" t="s">
        <v>210</v>
      </c>
      <c r="B1896" s="226">
        <v>42325.552190046299</v>
      </c>
      <c r="C1896" t="s">
        <v>446</v>
      </c>
      <c r="D1896" t="s">
        <v>13</v>
      </c>
      <c r="E1896">
        <v>100</v>
      </c>
      <c r="F1896">
        <v>0</v>
      </c>
    </row>
    <row r="1897" spans="1:6" x14ac:dyDescent="0.15">
      <c r="A1897" t="s">
        <v>210</v>
      </c>
      <c r="B1897" s="226">
        <v>42325.566367534724</v>
      </c>
      <c r="C1897" t="s">
        <v>966</v>
      </c>
      <c r="D1897" t="s">
        <v>13</v>
      </c>
      <c r="E1897">
        <v>100</v>
      </c>
      <c r="F1897">
        <v>0</v>
      </c>
    </row>
    <row r="1898" spans="1:6" x14ac:dyDescent="0.15">
      <c r="A1898" t="s">
        <v>210</v>
      </c>
      <c r="B1898" s="226">
        <v>42325.605380937501</v>
      </c>
      <c r="C1898" t="s">
        <v>1263</v>
      </c>
      <c r="D1898" t="s">
        <v>13</v>
      </c>
      <c r="E1898">
        <v>40</v>
      </c>
      <c r="F1898">
        <v>0</v>
      </c>
    </row>
    <row r="1899" spans="1:6" x14ac:dyDescent="0.15">
      <c r="A1899" t="s">
        <v>210</v>
      </c>
      <c r="B1899" s="226">
        <v>42325.622394120372</v>
      </c>
      <c r="C1899" t="s">
        <v>903</v>
      </c>
      <c r="D1899" t="s">
        <v>13</v>
      </c>
      <c r="E1899">
        <v>100</v>
      </c>
      <c r="F1899">
        <v>0</v>
      </c>
    </row>
    <row r="1900" spans="1:6" x14ac:dyDescent="0.15">
      <c r="A1900" t="s">
        <v>210</v>
      </c>
      <c r="B1900" s="226">
        <v>42325.643897013892</v>
      </c>
      <c r="C1900" t="s">
        <v>346</v>
      </c>
      <c r="D1900" t="s">
        <v>13</v>
      </c>
      <c r="E1900">
        <v>80</v>
      </c>
      <c r="F1900">
        <v>0</v>
      </c>
    </row>
    <row r="1901" spans="1:6" x14ac:dyDescent="0.15">
      <c r="A1901" t="s">
        <v>210</v>
      </c>
      <c r="B1901" s="226">
        <v>42325.656911342594</v>
      </c>
      <c r="C1901" t="s">
        <v>1867</v>
      </c>
      <c r="D1901" t="s">
        <v>13</v>
      </c>
      <c r="E1901">
        <v>100</v>
      </c>
      <c r="F1901">
        <v>0</v>
      </c>
    </row>
    <row r="1902" spans="1:6" x14ac:dyDescent="0.15">
      <c r="A1902" t="s">
        <v>210</v>
      </c>
      <c r="B1902" s="226">
        <v>42325.675011053238</v>
      </c>
      <c r="C1902" t="s">
        <v>1868</v>
      </c>
      <c r="D1902" t="s">
        <v>13</v>
      </c>
      <c r="E1902">
        <v>200</v>
      </c>
      <c r="F1902">
        <v>0</v>
      </c>
    </row>
    <row r="1903" spans="1:6" x14ac:dyDescent="0.15">
      <c r="A1903" t="s">
        <v>210</v>
      </c>
      <c r="B1903" s="226">
        <v>42325.676950000001</v>
      </c>
      <c r="C1903" t="s">
        <v>14</v>
      </c>
      <c r="D1903" t="s">
        <v>13</v>
      </c>
      <c r="E1903">
        <v>40</v>
      </c>
      <c r="F1903">
        <v>3.5</v>
      </c>
    </row>
    <row r="1904" spans="1:6" x14ac:dyDescent="0.15">
      <c r="A1904" t="s">
        <v>210</v>
      </c>
      <c r="B1904" s="226">
        <v>42325.681296990741</v>
      </c>
      <c r="C1904" t="s">
        <v>1869</v>
      </c>
      <c r="D1904" t="s">
        <v>13</v>
      </c>
      <c r="E1904">
        <v>40</v>
      </c>
      <c r="F1904">
        <v>0</v>
      </c>
    </row>
    <row r="1905" spans="1:6" x14ac:dyDescent="0.15">
      <c r="A1905" t="s">
        <v>210</v>
      </c>
      <c r="B1905" s="226">
        <v>42325.683580868055</v>
      </c>
      <c r="C1905" t="s">
        <v>122</v>
      </c>
      <c r="D1905" t="s">
        <v>13</v>
      </c>
      <c r="E1905">
        <v>40</v>
      </c>
      <c r="F1905">
        <v>0</v>
      </c>
    </row>
    <row r="1906" spans="1:6" x14ac:dyDescent="0.15">
      <c r="A1906" t="s">
        <v>210</v>
      </c>
      <c r="B1906" s="226">
        <v>42325.691080046294</v>
      </c>
      <c r="C1906" t="s">
        <v>1870</v>
      </c>
      <c r="D1906" t="s">
        <v>13</v>
      </c>
      <c r="E1906">
        <v>100</v>
      </c>
      <c r="F1906">
        <v>0</v>
      </c>
    </row>
    <row r="1907" spans="1:6" x14ac:dyDescent="0.15">
      <c r="A1907" t="s">
        <v>210</v>
      </c>
      <c r="B1907" s="226">
        <v>42325.698996041669</v>
      </c>
      <c r="C1907" t="s">
        <v>447</v>
      </c>
      <c r="D1907" t="s">
        <v>13</v>
      </c>
      <c r="E1907">
        <v>120</v>
      </c>
      <c r="F1907">
        <v>0</v>
      </c>
    </row>
    <row r="1908" spans="1:6" x14ac:dyDescent="0.15">
      <c r="A1908" t="s">
        <v>210</v>
      </c>
      <c r="B1908" s="226">
        <v>42325.719144675924</v>
      </c>
      <c r="C1908" t="s">
        <v>448</v>
      </c>
      <c r="D1908" t="s">
        <v>13</v>
      </c>
      <c r="E1908">
        <v>40</v>
      </c>
      <c r="F1908">
        <v>0</v>
      </c>
    </row>
    <row r="1909" spans="1:6" x14ac:dyDescent="0.15">
      <c r="A1909" t="s">
        <v>210</v>
      </c>
      <c r="B1909" s="226">
        <v>42325.768544675928</v>
      </c>
      <c r="C1909" t="s">
        <v>123</v>
      </c>
      <c r="D1909" t="s">
        <v>13</v>
      </c>
      <c r="E1909">
        <v>40</v>
      </c>
      <c r="F1909">
        <v>0</v>
      </c>
    </row>
    <row r="1910" spans="1:6" x14ac:dyDescent="0.15">
      <c r="A1910" t="s">
        <v>210</v>
      </c>
      <c r="B1910" s="226">
        <v>42325.874322766205</v>
      </c>
      <c r="C1910" t="s">
        <v>449</v>
      </c>
      <c r="D1910" t="s">
        <v>13</v>
      </c>
      <c r="E1910">
        <v>500</v>
      </c>
      <c r="F1910">
        <v>0</v>
      </c>
    </row>
    <row r="1911" spans="1:6" x14ac:dyDescent="0.15">
      <c r="A1911" t="s">
        <v>210</v>
      </c>
      <c r="B1911" s="226">
        <v>42325.999572696761</v>
      </c>
      <c r="C1911" t="s">
        <v>1871</v>
      </c>
      <c r="D1911" t="s">
        <v>13</v>
      </c>
      <c r="E1911">
        <v>60</v>
      </c>
      <c r="F1911">
        <v>0</v>
      </c>
    </row>
    <row r="1912" spans="1:6" x14ac:dyDescent="0.15">
      <c r="A1912" t="s">
        <v>210</v>
      </c>
      <c r="B1912" s="226">
        <v>42326.262251400462</v>
      </c>
      <c r="C1912" t="s">
        <v>1872</v>
      </c>
      <c r="D1912" t="s">
        <v>13</v>
      </c>
      <c r="E1912">
        <v>100</v>
      </c>
      <c r="F1912">
        <v>0</v>
      </c>
    </row>
    <row r="1913" spans="1:6" x14ac:dyDescent="0.15">
      <c r="A1913" t="s">
        <v>210</v>
      </c>
      <c r="B1913" s="226">
        <v>42326.297547187503</v>
      </c>
      <c r="C1913" t="s">
        <v>1873</v>
      </c>
      <c r="D1913" t="s">
        <v>13</v>
      </c>
      <c r="E1913">
        <v>60</v>
      </c>
      <c r="F1913">
        <v>0</v>
      </c>
    </row>
    <row r="1914" spans="1:6" x14ac:dyDescent="0.15">
      <c r="A1914" t="s">
        <v>210</v>
      </c>
      <c r="B1914" s="226">
        <v>42326.312798703701</v>
      </c>
      <c r="C1914" t="s">
        <v>313</v>
      </c>
      <c r="D1914" t="s">
        <v>13</v>
      </c>
      <c r="E1914">
        <v>200</v>
      </c>
      <c r="F1914">
        <v>0</v>
      </c>
    </row>
    <row r="1915" spans="1:6" x14ac:dyDescent="0.15">
      <c r="A1915" t="s">
        <v>210</v>
      </c>
      <c r="B1915" s="226">
        <v>42326.326586516203</v>
      </c>
      <c r="C1915" t="s">
        <v>1874</v>
      </c>
      <c r="D1915" t="s">
        <v>13</v>
      </c>
      <c r="E1915">
        <v>100</v>
      </c>
      <c r="F1915">
        <v>0</v>
      </c>
    </row>
    <row r="1916" spans="1:6" x14ac:dyDescent="0.15">
      <c r="A1916" t="s">
        <v>210</v>
      </c>
      <c r="B1916" s="226">
        <v>42326.331498831016</v>
      </c>
      <c r="C1916" t="s">
        <v>450</v>
      </c>
      <c r="D1916" t="s">
        <v>13</v>
      </c>
      <c r="E1916">
        <v>200</v>
      </c>
      <c r="F1916">
        <v>0</v>
      </c>
    </row>
    <row r="1917" spans="1:6" x14ac:dyDescent="0.15">
      <c r="A1917" t="s">
        <v>210</v>
      </c>
      <c r="B1917" s="226">
        <v>42326.348467557873</v>
      </c>
      <c r="C1917" t="s">
        <v>14</v>
      </c>
      <c r="D1917" t="s">
        <v>13</v>
      </c>
      <c r="E1917">
        <v>20</v>
      </c>
      <c r="F1917">
        <v>3.5</v>
      </c>
    </row>
    <row r="1918" spans="1:6" x14ac:dyDescent="0.15">
      <c r="A1918" t="s">
        <v>210</v>
      </c>
      <c r="B1918" s="226">
        <v>42326.362925833331</v>
      </c>
      <c r="C1918" t="s">
        <v>1875</v>
      </c>
      <c r="D1918" t="s">
        <v>13</v>
      </c>
      <c r="E1918">
        <v>40</v>
      </c>
      <c r="F1918">
        <v>0</v>
      </c>
    </row>
    <row r="1919" spans="1:6" x14ac:dyDescent="0.15">
      <c r="A1919" t="s">
        <v>210</v>
      </c>
      <c r="B1919" s="226">
        <v>42326.374984965281</v>
      </c>
      <c r="C1919" t="s">
        <v>1876</v>
      </c>
      <c r="D1919" t="s">
        <v>13</v>
      </c>
      <c r="E1919">
        <v>140</v>
      </c>
      <c r="F1919">
        <v>0</v>
      </c>
    </row>
    <row r="1920" spans="1:6" x14ac:dyDescent="0.15">
      <c r="A1920" t="s">
        <v>210</v>
      </c>
      <c r="B1920" s="226">
        <v>42326.379236886576</v>
      </c>
      <c r="C1920" t="s">
        <v>451</v>
      </c>
      <c r="D1920" t="s">
        <v>13</v>
      </c>
      <c r="E1920">
        <v>40</v>
      </c>
      <c r="F1920">
        <v>0</v>
      </c>
    </row>
    <row r="1921" spans="1:6" x14ac:dyDescent="0.15">
      <c r="A1921" t="s">
        <v>210</v>
      </c>
      <c r="B1921" s="226">
        <v>42326.383934328704</v>
      </c>
      <c r="C1921" t="s">
        <v>1877</v>
      </c>
      <c r="D1921" t="s">
        <v>13</v>
      </c>
      <c r="E1921">
        <v>60</v>
      </c>
      <c r="F1921">
        <v>0</v>
      </c>
    </row>
    <row r="1922" spans="1:6" x14ac:dyDescent="0.15">
      <c r="A1922" t="s">
        <v>210</v>
      </c>
      <c r="B1922" s="226">
        <v>42326.425835532405</v>
      </c>
      <c r="C1922" t="s">
        <v>14</v>
      </c>
      <c r="D1922" t="s">
        <v>13</v>
      </c>
      <c r="E1922">
        <v>60</v>
      </c>
      <c r="F1922">
        <v>3.5</v>
      </c>
    </row>
    <row r="1923" spans="1:6" x14ac:dyDescent="0.15">
      <c r="A1923" t="s">
        <v>210</v>
      </c>
      <c r="B1923" s="226">
        <v>42326.474979004626</v>
      </c>
      <c r="C1923" t="s">
        <v>1878</v>
      </c>
      <c r="D1923" t="s">
        <v>13</v>
      </c>
      <c r="E1923">
        <v>100</v>
      </c>
      <c r="F1923">
        <v>0</v>
      </c>
    </row>
    <row r="1924" spans="1:6" x14ac:dyDescent="0.15">
      <c r="A1924" t="s">
        <v>210</v>
      </c>
      <c r="B1924" s="226">
        <v>42326.47893099537</v>
      </c>
      <c r="C1924" t="s">
        <v>1879</v>
      </c>
      <c r="D1924" t="s">
        <v>13</v>
      </c>
      <c r="E1924">
        <v>100</v>
      </c>
      <c r="F1924">
        <v>0</v>
      </c>
    </row>
    <row r="1925" spans="1:6" x14ac:dyDescent="0.15">
      <c r="A1925" t="s">
        <v>210</v>
      </c>
      <c r="B1925" s="226">
        <v>42326.48468869213</v>
      </c>
      <c r="C1925" t="s">
        <v>1880</v>
      </c>
      <c r="D1925" t="s">
        <v>13</v>
      </c>
      <c r="E1925">
        <v>100</v>
      </c>
      <c r="F1925">
        <v>0</v>
      </c>
    </row>
    <row r="1926" spans="1:6" x14ac:dyDescent="0.15">
      <c r="A1926" t="s">
        <v>210</v>
      </c>
      <c r="B1926" s="226">
        <v>42326.525048275464</v>
      </c>
      <c r="C1926" t="s">
        <v>1881</v>
      </c>
      <c r="D1926" t="s">
        <v>13</v>
      </c>
      <c r="E1926">
        <v>60</v>
      </c>
      <c r="F1926">
        <v>0</v>
      </c>
    </row>
    <row r="1927" spans="1:6" x14ac:dyDescent="0.15">
      <c r="A1927" t="s">
        <v>210</v>
      </c>
      <c r="B1927" s="226">
        <v>42326.592776226855</v>
      </c>
      <c r="C1927" t="s">
        <v>1386</v>
      </c>
      <c r="D1927" t="s">
        <v>13</v>
      </c>
      <c r="E1927">
        <v>100</v>
      </c>
      <c r="F1927">
        <v>0</v>
      </c>
    </row>
    <row r="1928" spans="1:6" x14ac:dyDescent="0.15">
      <c r="A1928" t="s">
        <v>210</v>
      </c>
      <c r="B1928" s="226">
        <v>42326.618236678238</v>
      </c>
      <c r="C1928" t="s">
        <v>14</v>
      </c>
      <c r="D1928" t="s">
        <v>15</v>
      </c>
      <c r="E1928">
        <v>80</v>
      </c>
      <c r="F1928">
        <v>4.9000000000000004</v>
      </c>
    </row>
    <row r="1929" spans="1:6" x14ac:dyDescent="0.15">
      <c r="A1929" t="s">
        <v>210</v>
      </c>
      <c r="B1929" s="226">
        <v>42326.631577685184</v>
      </c>
      <c r="C1929" t="s">
        <v>1882</v>
      </c>
      <c r="D1929" t="s">
        <v>13</v>
      </c>
      <c r="E1929">
        <v>40</v>
      </c>
      <c r="F1929">
        <v>0</v>
      </c>
    </row>
    <row r="1930" spans="1:6" x14ac:dyDescent="0.15">
      <c r="A1930" t="s">
        <v>210</v>
      </c>
      <c r="B1930" s="226">
        <v>42326.656413668985</v>
      </c>
      <c r="C1930" t="s">
        <v>1016</v>
      </c>
      <c r="D1930" t="s">
        <v>13</v>
      </c>
      <c r="E1930">
        <v>200</v>
      </c>
      <c r="F1930">
        <v>0</v>
      </c>
    </row>
    <row r="1931" spans="1:6" x14ac:dyDescent="0.15">
      <c r="A1931" t="s">
        <v>210</v>
      </c>
      <c r="B1931" s="226">
        <v>42326.662785069442</v>
      </c>
      <c r="C1931" t="s">
        <v>859</v>
      </c>
      <c r="D1931" t="s">
        <v>13</v>
      </c>
      <c r="E1931">
        <v>200</v>
      </c>
      <c r="F1931">
        <v>0</v>
      </c>
    </row>
    <row r="1932" spans="1:6" x14ac:dyDescent="0.15">
      <c r="A1932" t="s">
        <v>210</v>
      </c>
      <c r="B1932" s="226">
        <v>42326.677163194443</v>
      </c>
      <c r="C1932" t="s">
        <v>14</v>
      </c>
      <c r="D1932" t="s">
        <v>13</v>
      </c>
      <c r="E1932">
        <v>60</v>
      </c>
      <c r="F1932">
        <v>3.5</v>
      </c>
    </row>
    <row r="1933" spans="1:6" x14ac:dyDescent="0.15">
      <c r="A1933" t="s">
        <v>210</v>
      </c>
      <c r="B1933" s="226">
        <v>42326.68212755787</v>
      </c>
      <c r="C1933" t="s">
        <v>1883</v>
      </c>
      <c r="D1933" t="s">
        <v>13</v>
      </c>
      <c r="E1933">
        <v>80</v>
      </c>
      <c r="F1933">
        <v>0</v>
      </c>
    </row>
    <row r="1934" spans="1:6" x14ac:dyDescent="0.15">
      <c r="A1934" t="s">
        <v>210</v>
      </c>
      <c r="B1934" s="226">
        <v>42326.714449155093</v>
      </c>
      <c r="C1934" t="s">
        <v>1884</v>
      </c>
      <c r="D1934" t="s">
        <v>13</v>
      </c>
      <c r="E1934">
        <v>60</v>
      </c>
      <c r="F1934">
        <v>0</v>
      </c>
    </row>
    <row r="1935" spans="1:6" x14ac:dyDescent="0.15">
      <c r="A1935" t="s">
        <v>210</v>
      </c>
      <c r="B1935" s="226">
        <v>42326.715563113423</v>
      </c>
      <c r="C1935" t="s">
        <v>1827</v>
      </c>
      <c r="D1935" t="s">
        <v>13</v>
      </c>
      <c r="E1935">
        <v>140</v>
      </c>
      <c r="F1935">
        <v>0</v>
      </c>
    </row>
    <row r="1936" spans="1:6" x14ac:dyDescent="0.15">
      <c r="A1936" t="s">
        <v>210</v>
      </c>
      <c r="B1936" s="226">
        <v>42326.7473374537</v>
      </c>
      <c r="C1936" t="s">
        <v>1885</v>
      </c>
      <c r="D1936" t="s">
        <v>13</v>
      </c>
      <c r="E1936">
        <v>200</v>
      </c>
      <c r="F1936">
        <v>0</v>
      </c>
    </row>
    <row r="1937" spans="1:6" x14ac:dyDescent="0.15">
      <c r="A1937" t="s">
        <v>210</v>
      </c>
      <c r="B1937" s="226">
        <v>42326.756161446756</v>
      </c>
      <c r="C1937" t="s">
        <v>1886</v>
      </c>
      <c r="D1937" t="s">
        <v>13</v>
      </c>
      <c r="E1937">
        <v>40</v>
      </c>
      <c r="F1937">
        <v>0</v>
      </c>
    </row>
    <row r="1938" spans="1:6" x14ac:dyDescent="0.15">
      <c r="A1938" t="s">
        <v>210</v>
      </c>
      <c r="B1938" s="226">
        <v>42326.763958298608</v>
      </c>
      <c r="C1938" t="s">
        <v>1887</v>
      </c>
      <c r="D1938" t="s">
        <v>13</v>
      </c>
      <c r="E1938">
        <v>60</v>
      </c>
      <c r="F1938">
        <v>0</v>
      </c>
    </row>
    <row r="1939" spans="1:6" x14ac:dyDescent="0.15">
      <c r="A1939" t="s">
        <v>210</v>
      </c>
      <c r="B1939" s="226">
        <v>42326.778639490738</v>
      </c>
      <c r="C1939" t="s">
        <v>1888</v>
      </c>
      <c r="D1939" t="s">
        <v>13</v>
      </c>
      <c r="E1939">
        <v>100</v>
      </c>
      <c r="F1939">
        <v>0</v>
      </c>
    </row>
    <row r="1940" spans="1:6" x14ac:dyDescent="0.15">
      <c r="A1940" t="s">
        <v>210</v>
      </c>
      <c r="B1940" s="226">
        <v>42326.783854803238</v>
      </c>
      <c r="C1940" t="s">
        <v>1889</v>
      </c>
      <c r="D1940" t="s">
        <v>13</v>
      </c>
      <c r="E1940">
        <v>200</v>
      </c>
      <c r="F1940">
        <v>0</v>
      </c>
    </row>
    <row r="1941" spans="1:6" x14ac:dyDescent="0.15">
      <c r="A1941" t="s">
        <v>210</v>
      </c>
      <c r="B1941" s="226">
        <v>42326.900785555554</v>
      </c>
      <c r="C1941" t="s">
        <v>1890</v>
      </c>
      <c r="D1941" t="s">
        <v>13</v>
      </c>
      <c r="E1941">
        <v>200</v>
      </c>
      <c r="F1941">
        <v>0</v>
      </c>
    </row>
    <row r="1942" spans="1:6" x14ac:dyDescent="0.15">
      <c r="A1942" t="s">
        <v>210</v>
      </c>
      <c r="B1942" s="226">
        <v>42327.297359108794</v>
      </c>
      <c r="C1942" t="s">
        <v>1891</v>
      </c>
      <c r="D1942" t="s">
        <v>13</v>
      </c>
      <c r="E1942">
        <v>60</v>
      </c>
      <c r="F1942">
        <v>0</v>
      </c>
    </row>
    <row r="1943" spans="1:6" x14ac:dyDescent="0.15">
      <c r="A1943" t="s">
        <v>210</v>
      </c>
      <c r="B1943" s="226">
        <v>42327.316601539351</v>
      </c>
      <c r="C1943" t="s">
        <v>91</v>
      </c>
      <c r="D1943" t="s">
        <v>13</v>
      </c>
      <c r="E1943">
        <v>40</v>
      </c>
      <c r="F1943">
        <v>0</v>
      </c>
    </row>
    <row r="1944" spans="1:6" x14ac:dyDescent="0.15">
      <c r="A1944" t="s">
        <v>210</v>
      </c>
      <c r="B1944" s="226">
        <v>42327.334402604167</v>
      </c>
      <c r="C1944" t="s">
        <v>1486</v>
      </c>
      <c r="D1944" t="s">
        <v>13</v>
      </c>
      <c r="E1944">
        <v>40</v>
      </c>
      <c r="F1944">
        <v>0</v>
      </c>
    </row>
    <row r="1945" spans="1:6" x14ac:dyDescent="0.15">
      <c r="A1945" t="s">
        <v>210</v>
      </c>
      <c r="B1945" s="226">
        <v>42327.336838553238</v>
      </c>
      <c r="C1945" t="s">
        <v>14</v>
      </c>
      <c r="D1945" t="s">
        <v>13</v>
      </c>
      <c r="E1945">
        <v>20</v>
      </c>
      <c r="F1945">
        <v>3.5</v>
      </c>
    </row>
    <row r="1946" spans="1:6" x14ac:dyDescent="0.15">
      <c r="A1946" t="s">
        <v>210</v>
      </c>
      <c r="B1946" s="226">
        <v>42327.36796826389</v>
      </c>
      <c r="C1946" t="s">
        <v>1892</v>
      </c>
      <c r="D1946" t="s">
        <v>13</v>
      </c>
      <c r="E1946">
        <v>100</v>
      </c>
      <c r="F1946">
        <v>0</v>
      </c>
    </row>
    <row r="1947" spans="1:6" x14ac:dyDescent="0.15">
      <c r="A1947" t="s">
        <v>210</v>
      </c>
      <c r="B1947" s="226">
        <v>42327.384578541663</v>
      </c>
      <c r="C1947" t="s">
        <v>1893</v>
      </c>
      <c r="D1947" t="s">
        <v>13</v>
      </c>
      <c r="E1947">
        <v>60</v>
      </c>
      <c r="F1947">
        <v>0</v>
      </c>
    </row>
    <row r="1948" spans="1:6" x14ac:dyDescent="0.15">
      <c r="A1948" t="s">
        <v>210</v>
      </c>
      <c r="B1948" s="226">
        <v>42327.396091840281</v>
      </c>
      <c r="C1948" t="s">
        <v>1600</v>
      </c>
      <c r="D1948" t="s">
        <v>13</v>
      </c>
      <c r="E1948">
        <v>200</v>
      </c>
      <c r="F1948">
        <v>0</v>
      </c>
    </row>
    <row r="1949" spans="1:6" x14ac:dyDescent="0.15">
      <c r="A1949" t="s">
        <v>210</v>
      </c>
      <c r="B1949" s="226">
        <v>42327.406482384256</v>
      </c>
      <c r="C1949" t="s">
        <v>1894</v>
      </c>
      <c r="D1949" t="s">
        <v>13</v>
      </c>
      <c r="E1949">
        <v>180</v>
      </c>
      <c r="F1949">
        <v>0</v>
      </c>
    </row>
    <row r="1950" spans="1:6" x14ac:dyDescent="0.15">
      <c r="A1950" t="s">
        <v>210</v>
      </c>
      <c r="B1950" s="226">
        <v>42327.43482292824</v>
      </c>
      <c r="C1950" t="s">
        <v>1895</v>
      </c>
      <c r="D1950" t="s">
        <v>13</v>
      </c>
      <c r="E1950">
        <v>200</v>
      </c>
      <c r="F1950">
        <v>0</v>
      </c>
    </row>
    <row r="1951" spans="1:6" x14ac:dyDescent="0.15">
      <c r="A1951" t="s">
        <v>210</v>
      </c>
      <c r="B1951" s="226">
        <v>42327.44682824074</v>
      </c>
      <c r="C1951" t="s">
        <v>993</v>
      </c>
      <c r="D1951" t="s">
        <v>13</v>
      </c>
      <c r="E1951">
        <v>100</v>
      </c>
      <c r="F1951">
        <v>0</v>
      </c>
    </row>
    <row r="1952" spans="1:6" x14ac:dyDescent="0.15">
      <c r="A1952" t="s">
        <v>210</v>
      </c>
      <c r="B1952" s="226">
        <v>42327.450198472223</v>
      </c>
      <c r="C1952" t="s">
        <v>1896</v>
      </c>
      <c r="D1952" t="s">
        <v>13</v>
      </c>
      <c r="E1952">
        <v>100</v>
      </c>
      <c r="F1952">
        <v>0</v>
      </c>
    </row>
    <row r="1953" spans="1:6" x14ac:dyDescent="0.15">
      <c r="A1953" t="s">
        <v>210</v>
      </c>
      <c r="B1953" s="226">
        <v>42327.469849502311</v>
      </c>
      <c r="C1953" t="s">
        <v>1897</v>
      </c>
      <c r="D1953" t="s">
        <v>13</v>
      </c>
      <c r="E1953">
        <v>100</v>
      </c>
      <c r="F1953">
        <v>0</v>
      </c>
    </row>
    <row r="1954" spans="1:6" x14ac:dyDescent="0.15">
      <c r="A1954" t="s">
        <v>210</v>
      </c>
      <c r="B1954" s="226">
        <v>42327.472775810187</v>
      </c>
      <c r="C1954" t="s">
        <v>452</v>
      </c>
      <c r="D1954" t="s">
        <v>13</v>
      </c>
      <c r="E1954">
        <v>120</v>
      </c>
      <c r="F1954">
        <v>0</v>
      </c>
    </row>
    <row r="1955" spans="1:6" x14ac:dyDescent="0.15">
      <c r="A1955" t="s">
        <v>210</v>
      </c>
      <c r="B1955" s="226">
        <v>42327.499667256947</v>
      </c>
      <c r="C1955" t="s">
        <v>762</v>
      </c>
      <c r="D1955" t="s">
        <v>13</v>
      </c>
      <c r="E1955">
        <v>100</v>
      </c>
      <c r="F1955">
        <v>0</v>
      </c>
    </row>
    <row r="1956" spans="1:6" x14ac:dyDescent="0.15">
      <c r="A1956" t="s">
        <v>210</v>
      </c>
      <c r="B1956" s="226">
        <v>42327.510625960647</v>
      </c>
      <c r="C1956" t="s">
        <v>14</v>
      </c>
      <c r="D1956" t="s">
        <v>13</v>
      </c>
      <c r="E1956">
        <v>200</v>
      </c>
      <c r="F1956">
        <v>3.5</v>
      </c>
    </row>
    <row r="1957" spans="1:6" x14ac:dyDescent="0.15">
      <c r="A1957" t="s">
        <v>210</v>
      </c>
      <c r="B1957" s="226">
        <v>42327.511478831017</v>
      </c>
      <c r="C1957" t="s">
        <v>1898</v>
      </c>
      <c r="D1957" t="s">
        <v>13</v>
      </c>
      <c r="E1957">
        <v>80</v>
      </c>
      <c r="F1957">
        <v>0</v>
      </c>
    </row>
    <row r="1958" spans="1:6" x14ac:dyDescent="0.15">
      <c r="A1958" t="s">
        <v>210</v>
      </c>
      <c r="B1958" s="226">
        <v>42327.518743067129</v>
      </c>
      <c r="C1958" t="s">
        <v>1899</v>
      </c>
      <c r="D1958" t="s">
        <v>15</v>
      </c>
      <c r="E1958">
        <v>60</v>
      </c>
      <c r="F1958">
        <v>1.8</v>
      </c>
    </row>
    <row r="1959" spans="1:6" x14ac:dyDescent="0.15">
      <c r="A1959" t="s">
        <v>210</v>
      </c>
      <c r="B1959" s="226">
        <v>42327.521770208332</v>
      </c>
      <c r="C1959" t="s">
        <v>704</v>
      </c>
      <c r="D1959" t="s">
        <v>13</v>
      </c>
      <c r="E1959">
        <v>100</v>
      </c>
      <c r="F1959">
        <v>0</v>
      </c>
    </row>
    <row r="1960" spans="1:6" x14ac:dyDescent="0.15">
      <c r="A1960" t="s">
        <v>210</v>
      </c>
      <c r="B1960" s="226">
        <v>42327.523281828704</v>
      </c>
      <c r="C1960" t="s">
        <v>1900</v>
      </c>
      <c r="D1960" t="s">
        <v>13</v>
      </c>
      <c r="E1960">
        <v>80</v>
      </c>
      <c r="F1960">
        <v>0</v>
      </c>
    </row>
    <row r="1961" spans="1:6" x14ac:dyDescent="0.15">
      <c r="A1961" t="s">
        <v>210</v>
      </c>
      <c r="B1961" s="226">
        <v>42327.526433067127</v>
      </c>
      <c r="C1961" t="s">
        <v>1901</v>
      </c>
      <c r="D1961" t="s">
        <v>13</v>
      </c>
      <c r="E1961">
        <v>100</v>
      </c>
      <c r="F1961">
        <v>0</v>
      </c>
    </row>
    <row r="1962" spans="1:6" x14ac:dyDescent="0.15">
      <c r="A1962" t="s">
        <v>210</v>
      </c>
      <c r="B1962" s="226">
        <v>42327.527396423611</v>
      </c>
      <c r="C1962" t="s">
        <v>14</v>
      </c>
      <c r="D1962" t="s">
        <v>13</v>
      </c>
      <c r="E1962">
        <v>100</v>
      </c>
      <c r="F1962">
        <v>3.5</v>
      </c>
    </row>
    <row r="1963" spans="1:6" x14ac:dyDescent="0.15">
      <c r="A1963" t="s">
        <v>210</v>
      </c>
      <c r="B1963" s="226">
        <v>42327.530954768517</v>
      </c>
      <c r="C1963" t="s">
        <v>1902</v>
      </c>
      <c r="D1963" t="s">
        <v>13</v>
      </c>
      <c r="E1963">
        <v>120</v>
      </c>
      <c r="F1963">
        <v>0</v>
      </c>
    </row>
    <row r="1964" spans="1:6" x14ac:dyDescent="0.15">
      <c r="A1964" t="s">
        <v>210</v>
      </c>
      <c r="B1964" s="226">
        <v>42327.540919907406</v>
      </c>
      <c r="C1964" t="s">
        <v>453</v>
      </c>
      <c r="D1964" t="s">
        <v>13</v>
      </c>
      <c r="E1964">
        <v>200</v>
      </c>
      <c r="F1964">
        <v>0</v>
      </c>
    </row>
    <row r="1965" spans="1:6" x14ac:dyDescent="0.15">
      <c r="A1965" t="s">
        <v>210</v>
      </c>
      <c r="B1965" s="226">
        <v>42327.544350439814</v>
      </c>
      <c r="C1965" t="s">
        <v>652</v>
      </c>
      <c r="D1965" t="s">
        <v>13</v>
      </c>
      <c r="E1965">
        <v>40</v>
      </c>
      <c r="F1965">
        <v>0</v>
      </c>
    </row>
    <row r="1966" spans="1:6" x14ac:dyDescent="0.15">
      <c r="A1966" t="s">
        <v>210</v>
      </c>
      <c r="B1966" s="226">
        <v>42327.562959953706</v>
      </c>
      <c r="C1966" t="s">
        <v>454</v>
      </c>
      <c r="D1966" t="s">
        <v>13</v>
      </c>
      <c r="E1966">
        <v>300</v>
      </c>
      <c r="F1966">
        <v>0</v>
      </c>
    </row>
    <row r="1967" spans="1:6" x14ac:dyDescent="0.15">
      <c r="A1967" t="s">
        <v>210</v>
      </c>
      <c r="B1967" s="226">
        <v>42327.602710312502</v>
      </c>
      <c r="C1967" t="s">
        <v>1903</v>
      </c>
      <c r="D1967" t="s">
        <v>13</v>
      </c>
      <c r="E1967">
        <v>100</v>
      </c>
      <c r="F1967">
        <v>0</v>
      </c>
    </row>
    <row r="1968" spans="1:6" x14ac:dyDescent="0.15">
      <c r="A1968" t="s">
        <v>210</v>
      </c>
      <c r="B1968" s="226">
        <v>42327.605776828706</v>
      </c>
      <c r="C1968" t="s">
        <v>76</v>
      </c>
      <c r="D1968" t="s">
        <v>13</v>
      </c>
      <c r="E1968">
        <v>60</v>
      </c>
      <c r="F1968">
        <v>0</v>
      </c>
    </row>
    <row r="1969" spans="1:6" x14ac:dyDescent="0.15">
      <c r="A1969" t="s">
        <v>210</v>
      </c>
      <c r="B1969" s="226">
        <v>42327.608134282411</v>
      </c>
      <c r="C1969" t="s">
        <v>1292</v>
      </c>
      <c r="D1969" t="s">
        <v>13</v>
      </c>
      <c r="E1969">
        <v>200</v>
      </c>
      <c r="F1969">
        <v>0</v>
      </c>
    </row>
    <row r="1970" spans="1:6" x14ac:dyDescent="0.15">
      <c r="A1970" t="s">
        <v>210</v>
      </c>
      <c r="B1970" s="226">
        <v>42327.621933518516</v>
      </c>
      <c r="C1970" t="s">
        <v>1904</v>
      </c>
      <c r="D1970" t="s">
        <v>13</v>
      </c>
      <c r="E1970">
        <v>100</v>
      </c>
      <c r="F1970">
        <v>0</v>
      </c>
    </row>
    <row r="1971" spans="1:6" x14ac:dyDescent="0.15">
      <c r="A1971" t="s">
        <v>210</v>
      </c>
      <c r="B1971" s="226">
        <v>42327.640041030092</v>
      </c>
      <c r="C1971" t="s">
        <v>1905</v>
      </c>
      <c r="D1971" t="s">
        <v>13</v>
      </c>
      <c r="E1971">
        <v>100</v>
      </c>
      <c r="F1971">
        <v>0</v>
      </c>
    </row>
    <row r="1972" spans="1:6" x14ac:dyDescent="0.15">
      <c r="A1972" t="s">
        <v>210</v>
      </c>
      <c r="B1972" s="226">
        <v>42327.682251446757</v>
      </c>
      <c r="C1972" t="s">
        <v>1906</v>
      </c>
      <c r="D1972" t="s">
        <v>13</v>
      </c>
      <c r="E1972">
        <v>100</v>
      </c>
      <c r="F1972">
        <v>0</v>
      </c>
    </row>
    <row r="1973" spans="1:6" x14ac:dyDescent="0.15">
      <c r="A1973" t="s">
        <v>210</v>
      </c>
      <c r="B1973" s="226">
        <v>42327.687377002316</v>
      </c>
      <c r="C1973" t="s">
        <v>1907</v>
      </c>
      <c r="D1973" t="s">
        <v>13</v>
      </c>
      <c r="E1973">
        <v>40</v>
      </c>
      <c r="F1973">
        <v>0</v>
      </c>
    </row>
    <row r="1974" spans="1:6" x14ac:dyDescent="0.15">
      <c r="A1974" t="s">
        <v>210</v>
      </c>
      <c r="B1974" s="226">
        <v>42327.700569675922</v>
      </c>
      <c r="C1974" t="s">
        <v>1908</v>
      </c>
      <c r="D1974" t="s">
        <v>13</v>
      </c>
      <c r="E1974">
        <v>40</v>
      </c>
      <c r="F1974">
        <v>0</v>
      </c>
    </row>
    <row r="1975" spans="1:6" x14ac:dyDescent="0.15">
      <c r="A1975" t="s">
        <v>210</v>
      </c>
      <c r="B1975" s="226">
        <v>42327.7184653125</v>
      </c>
      <c r="C1975" t="s">
        <v>177</v>
      </c>
      <c r="D1975" t="s">
        <v>13</v>
      </c>
      <c r="E1975">
        <v>40</v>
      </c>
      <c r="F1975">
        <v>0</v>
      </c>
    </row>
    <row r="1976" spans="1:6" x14ac:dyDescent="0.15">
      <c r="A1976" t="s">
        <v>210</v>
      </c>
      <c r="B1976" s="226">
        <v>42327.733112708331</v>
      </c>
      <c r="C1976" t="s">
        <v>1909</v>
      </c>
      <c r="D1976" t="s">
        <v>13</v>
      </c>
      <c r="E1976">
        <v>100</v>
      </c>
      <c r="F1976">
        <v>0</v>
      </c>
    </row>
    <row r="1977" spans="1:6" x14ac:dyDescent="0.15">
      <c r="A1977" t="s">
        <v>210</v>
      </c>
      <c r="B1977" s="226">
        <v>42327.733781030096</v>
      </c>
      <c r="C1977" t="s">
        <v>1287</v>
      </c>
      <c r="D1977" t="s">
        <v>13</v>
      </c>
      <c r="E1977">
        <v>20</v>
      </c>
      <c r="F1977">
        <v>0</v>
      </c>
    </row>
    <row r="1978" spans="1:6" x14ac:dyDescent="0.15">
      <c r="A1978" t="s">
        <v>210</v>
      </c>
      <c r="B1978" s="226">
        <v>42327.752747523147</v>
      </c>
      <c r="C1978" t="s">
        <v>1910</v>
      </c>
      <c r="D1978" t="s">
        <v>13</v>
      </c>
      <c r="E1978">
        <v>80</v>
      </c>
      <c r="F1978">
        <v>0</v>
      </c>
    </row>
    <row r="1979" spans="1:6" x14ac:dyDescent="0.15">
      <c r="A1979" t="s">
        <v>210</v>
      </c>
      <c r="B1979" s="226">
        <v>42327.757469710647</v>
      </c>
      <c r="C1979" t="s">
        <v>455</v>
      </c>
      <c r="D1979" t="s">
        <v>13</v>
      </c>
      <c r="E1979">
        <v>20</v>
      </c>
      <c r="F1979">
        <v>0</v>
      </c>
    </row>
    <row r="1980" spans="1:6" x14ac:dyDescent="0.15">
      <c r="A1980" t="s">
        <v>210</v>
      </c>
      <c r="B1980" s="226">
        <v>42327.76235488426</v>
      </c>
      <c r="C1980" t="s">
        <v>1911</v>
      </c>
      <c r="D1980" t="s">
        <v>13</v>
      </c>
      <c r="E1980">
        <v>20</v>
      </c>
      <c r="F1980">
        <v>0</v>
      </c>
    </row>
    <row r="1981" spans="1:6" x14ac:dyDescent="0.15">
      <c r="A1981" t="s">
        <v>210</v>
      </c>
      <c r="B1981" s="226">
        <v>42327.767157430557</v>
      </c>
      <c r="C1981" t="s">
        <v>14</v>
      </c>
      <c r="D1981" t="s">
        <v>13</v>
      </c>
      <c r="E1981">
        <v>20</v>
      </c>
      <c r="F1981">
        <v>3.5</v>
      </c>
    </row>
    <row r="1982" spans="1:6" x14ac:dyDescent="0.15">
      <c r="A1982" t="s">
        <v>210</v>
      </c>
      <c r="B1982" s="226">
        <v>42327.782015405093</v>
      </c>
      <c r="C1982" t="s">
        <v>1912</v>
      </c>
      <c r="D1982" t="s">
        <v>13</v>
      </c>
      <c r="E1982">
        <v>20</v>
      </c>
      <c r="F1982">
        <v>0</v>
      </c>
    </row>
    <row r="1983" spans="1:6" x14ac:dyDescent="0.15">
      <c r="A1983" t="s">
        <v>210</v>
      </c>
      <c r="B1983" s="226">
        <v>42327.813923402777</v>
      </c>
      <c r="C1983" t="s">
        <v>1913</v>
      </c>
      <c r="D1983" t="s">
        <v>13</v>
      </c>
      <c r="E1983">
        <v>100</v>
      </c>
      <c r="F1983">
        <v>0</v>
      </c>
    </row>
    <row r="1984" spans="1:6" x14ac:dyDescent="0.15">
      <c r="A1984" t="s">
        <v>210</v>
      </c>
      <c r="B1984" s="226">
        <v>42327.849915023151</v>
      </c>
      <c r="C1984" t="s">
        <v>14</v>
      </c>
      <c r="D1984" t="s">
        <v>13</v>
      </c>
      <c r="E1984">
        <v>100</v>
      </c>
      <c r="F1984">
        <v>3.5</v>
      </c>
    </row>
    <row r="1985" spans="1:6" x14ac:dyDescent="0.15">
      <c r="A1985" t="s">
        <v>210</v>
      </c>
      <c r="B1985" s="226">
        <v>42327.914042060183</v>
      </c>
      <c r="C1985" t="s">
        <v>1604</v>
      </c>
      <c r="D1985" t="s">
        <v>13</v>
      </c>
      <c r="E1985">
        <v>60</v>
      </c>
      <c r="F1985">
        <v>0</v>
      </c>
    </row>
    <row r="1986" spans="1:6" x14ac:dyDescent="0.15">
      <c r="A1986" t="s">
        <v>210</v>
      </c>
      <c r="B1986" s="226">
        <v>42327.936280185182</v>
      </c>
      <c r="C1986" t="s">
        <v>804</v>
      </c>
      <c r="D1986" t="s">
        <v>13</v>
      </c>
      <c r="E1986">
        <v>20</v>
      </c>
      <c r="F1986">
        <v>0</v>
      </c>
    </row>
    <row r="1987" spans="1:6" x14ac:dyDescent="0.15">
      <c r="A1987" t="s">
        <v>210</v>
      </c>
      <c r="B1987" s="226">
        <v>42327.960253425925</v>
      </c>
      <c r="C1987" t="s">
        <v>456</v>
      </c>
      <c r="D1987" t="s">
        <v>13</v>
      </c>
      <c r="E1987">
        <v>100</v>
      </c>
      <c r="F1987">
        <v>0</v>
      </c>
    </row>
    <row r="1988" spans="1:6" x14ac:dyDescent="0.15">
      <c r="A1988" t="s">
        <v>210</v>
      </c>
      <c r="B1988" s="226">
        <v>42328.219620578704</v>
      </c>
      <c r="C1988" t="s">
        <v>1533</v>
      </c>
      <c r="D1988" t="s">
        <v>13</v>
      </c>
      <c r="E1988">
        <v>80</v>
      </c>
      <c r="F1988">
        <v>0</v>
      </c>
    </row>
    <row r="1989" spans="1:6" x14ac:dyDescent="0.15">
      <c r="A1989" t="s">
        <v>210</v>
      </c>
      <c r="B1989" s="226">
        <v>42328.230128993055</v>
      </c>
      <c r="C1989" t="s">
        <v>14</v>
      </c>
      <c r="D1989" t="s">
        <v>13</v>
      </c>
      <c r="E1989">
        <v>100</v>
      </c>
      <c r="F1989">
        <v>3.5</v>
      </c>
    </row>
    <row r="1990" spans="1:6" x14ac:dyDescent="0.15">
      <c r="A1990" t="s">
        <v>210</v>
      </c>
      <c r="B1990" s="226">
        <v>42328.257640011572</v>
      </c>
      <c r="C1990" t="s">
        <v>432</v>
      </c>
      <c r="D1990" t="s">
        <v>13</v>
      </c>
      <c r="E1990">
        <v>100</v>
      </c>
      <c r="F1990">
        <v>0</v>
      </c>
    </row>
    <row r="1991" spans="1:6" x14ac:dyDescent="0.15">
      <c r="A1991" t="s">
        <v>210</v>
      </c>
      <c r="B1991" s="226">
        <v>42328.284456527777</v>
      </c>
      <c r="C1991" t="s">
        <v>1914</v>
      </c>
      <c r="D1991" t="s">
        <v>13</v>
      </c>
      <c r="E1991">
        <v>60</v>
      </c>
      <c r="F1991">
        <v>0</v>
      </c>
    </row>
    <row r="1992" spans="1:6" x14ac:dyDescent="0.15">
      <c r="A1992" t="s">
        <v>210</v>
      </c>
      <c r="B1992" s="226">
        <v>42328.293502175926</v>
      </c>
      <c r="C1992" t="s">
        <v>1915</v>
      </c>
      <c r="D1992" t="s">
        <v>13</v>
      </c>
      <c r="E1992">
        <v>20</v>
      </c>
      <c r="F1992">
        <v>0</v>
      </c>
    </row>
    <row r="1993" spans="1:6" x14ac:dyDescent="0.15">
      <c r="A1993" t="s">
        <v>210</v>
      </c>
      <c r="B1993" s="226">
        <v>42328.294462766207</v>
      </c>
      <c r="C1993" t="s">
        <v>1916</v>
      </c>
      <c r="D1993" t="s">
        <v>13</v>
      </c>
      <c r="E1993">
        <v>20</v>
      </c>
      <c r="F1993">
        <v>0</v>
      </c>
    </row>
    <row r="1994" spans="1:6" x14ac:dyDescent="0.15">
      <c r="A1994" t="s">
        <v>210</v>
      </c>
      <c r="B1994" s="226">
        <v>42328.306321365744</v>
      </c>
      <c r="C1994" t="s">
        <v>1917</v>
      </c>
      <c r="D1994" t="s">
        <v>13</v>
      </c>
      <c r="E1994">
        <v>100</v>
      </c>
      <c r="F1994">
        <v>0</v>
      </c>
    </row>
    <row r="1995" spans="1:6" x14ac:dyDescent="0.15">
      <c r="A1995" t="s">
        <v>210</v>
      </c>
      <c r="B1995" s="226">
        <v>42328.323753784724</v>
      </c>
      <c r="C1995" t="s">
        <v>1918</v>
      </c>
      <c r="D1995" t="s">
        <v>13</v>
      </c>
      <c r="E1995">
        <v>40</v>
      </c>
      <c r="F1995">
        <v>0</v>
      </c>
    </row>
    <row r="1996" spans="1:6" x14ac:dyDescent="0.15">
      <c r="A1996" t="s">
        <v>210</v>
      </c>
      <c r="B1996" s="226">
        <v>42328.330972997683</v>
      </c>
      <c r="C1996" t="s">
        <v>1919</v>
      </c>
      <c r="D1996" t="s">
        <v>13</v>
      </c>
      <c r="E1996">
        <v>40</v>
      </c>
      <c r="F1996">
        <v>0</v>
      </c>
    </row>
    <row r="1997" spans="1:6" x14ac:dyDescent="0.15">
      <c r="A1997" t="s">
        <v>210</v>
      </c>
      <c r="B1997" s="226">
        <v>42328.338870763888</v>
      </c>
      <c r="C1997" t="s">
        <v>603</v>
      </c>
      <c r="D1997" t="s">
        <v>13</v>
      </c>
      <c r="E1997">
        <v>500</v>
      </c>
      <c r="F1997">
        <v>0</v>
      </c>
    </row>
    <row r="1998" spans="1:6" x14ac:dyDescent="0.15">
      <c r="A1998" t="s">
        <v>210</v>
      </c>
      <c r="B1998" s="226">
        <v>42328.343979212965</v>
      </c>
      <c r="C1998" t="s">
        <v>14</v>
      </c>
      <c r="D1998" t="s">
        <v>13</v>
      </c>
      <c r="E1998">
        <v>100</v>
      </c>
      <c r="F1998">
        <v>3.5</v>
      </c>
    </row>
    <row r="1999" spans="1:6" x14ac:dyDescent="0.15">
      <c r="A1999" t="s">
        <v>210</v>
      </c>
      <c r="B1999" s="226">
        <v>42328.349916597224</v>
      </c>
      <c r="C1999" t="s">
        <v>1920</v>
      </c>
      <c r="D1999" t="s">
        <v>13</v>
      </c>
      <c r="E1999">
        <v>20</v>
      </c>
      <c r="F1999">
        <v>0</v>
      </c>
    </row>
    <row r="2000" spans="1:6" x14ac:dyDescent="0.15">
      <c r="A2000" t="s">
        <v>210</v>
      </c>
      <c r="B2000" s="226">
        <v>42328.355636574073</v>
      </c>
      <c r="C2000" t="s">
        <v>1921</v>
      </c>
      <c r="D2000" t="s">
        <v>13</v>
      </c>
      <c r="E2000">
        <v>60</v>
      </c>
      <c r="F2000">
        <v>0</v>
      </c>
    </row>
    <row r="2001" spans="1:6" x14ac:dyDescent="0.15">
      <c r="A2001" t="s">
        <v>210</v>
      </c>
      <c r="B2001" s="226">
        <v>42328.382116018518</v>
      </c>
      <c r="C2001" t="s">
        <v>1059</v>
      </c>
      <c r="D2001" t="s">
        <v>13</v>
      </c>
      <c r="E2001">
        <v>40</v>
      </c>
      <c r="F2001">
        <v>0</v>
      </c>
    </row>
    <row r="2002" spans="1:6" x14ac:dyDescent="0.15">
      <c r="A2002" t="s">
        <v>210</v>
      </c>
      <c r="B2002" s="226">
        <v>42328.384090254629</v>
      </c>
      <c r="C2002" t="s">
        <v>1657</v>
      </c>
      <c r="D2002" t="s">
        <v>13</v>
      </c>
      <c r="E2002">
        <v>60</v>
      </c>
      <c r="F2002">
        <v>0</v>
      </c>
    </row>
    <row r="2003" spans="1:6" x14ac:dyDescent="0.15">
      <c r="A2003" t="s">
        <v>210</v>
      </c>
      <c r="B2003" s="226">
        <v>42328.393262187499</v>
      </c>
      <c r="C2003" t="s">
        <v>397</v>
      </c>
      <c r="D2003" t="s">
        <v>13</v>
      </c>
      <c r="E2003">
        <v>40</v>
      </c>
      <c r="F2003">
        <v>0</v>
      </c>
    </row>
    <row r="2004" spans="1:6" x14ac:dyDescent="0.15">
      <c r="A2004" t="s">
        <v>210</v>
      </c>
      <c r="B2004" s="226">
        <v>42328.4261434375</v>
      </c>
      <c r="C2004" t="s">
        <v>1922</v>
      </c>
      <c r="D2004" t="s">
        <v>13</v>
      </c>
      <c r="E2004">
        <v>100</v>
      </c>
      <c r="F2004">
        <v>0</v>
      </c>
    </row>
    <row r="2005" spans="1:6" x14ac:dyDescent="0.15">
      <c r="A2005" t="s">
        <v>210</v>
      </c>
      <c r="B2005" s="226">
        <v>42328.4377646875</v>
      </c>
      <c r="C2005" t="s">
        <v>457</v>
      </c>
      <c r="D2005" t="s">
        <v>13</v>
      </c>
      <c r="E2005">
        <v>40</v>
      </c>
      <c r="F2005">
        <v>0</v>
      </c>
    </row>
    <row r="2006" spans="1:6" x14ac:dyDescent="0.15">
      <c r="A2006" t="s">
        <v>210</v>
      </c>
      <c r="B2006" s="226">
        <v>42328.456479363427</v>
      </c>
      <c r="C2006" t="s">
        <v>788</v>
      </c>
      <c r="D2006" t="s">
        <v>13</v>
      </c>
      <c r="E2006">
        <v>100</v>
      </c>
      <c r="F2006">
        <v>0</v>
      </c>
    </row>
    <row r="2007" spans="1:6" x14ac:dyDescent="0.15">
      <c r="A2007" t="s">
        <v>210</v>
      </c>
      <c r="B2007" s="226">
        <v>42328.461448819442</v>
      </c>
      <c r="C2007" t="s">
        <v>458</v>
      </c>
      <c r="D2007" t="s">
        <v>13</v>
      </c>
      <c r="E2007">
        <v>60</v>
      </c>
      <c r="F2007">
        <v>0</v>
      </c>
    </row>
    <row r="2008" spans="1:6" x14ac:dyDescent="0.15">
      <c r="A2008" t="s">
        <v>210</v>
      </c>
      <c r="B2008" s="226">
        <v>42328.466843159724</v>
      </c>
      <c r="C2008" t="s">
        <v>1923</v>
      </c>
      <c r="D2008" t="s">
        <v>13</v>
      </c>
      <c r="E2008">
        <v>40</v>
      </c>
      <c r="F2008">
        <v>0</v>
      </c>
    </row>
    <row r="2009" spans="1:6" x14ac:dyDescent="0.15">
      <c r="A2009" t="s">
        <v>210</v>
      </c>
      <c r="B2009" s="226">
        <v>42328.470221249998</v>
      </c>
      <c r="C2009" t="s">
        <v>1924</v>
      </c>
      <c r="D2009" t="s">
        <v>15</v>
      </c>
      <c r="E2009">
        <v>100</v>
      </c>
      <c r="F2009">
        <v>3</v>
      </c>
    </row>
    <row r="2010" spans="1:6" x14ac:dyDescent="0.15">
      <c r="A2010" t="s">
        <v>210</v>
      </c>
      <c r="B2010" s="226">
        <v>42328.484723761576</v>
      </c>
      <c r="C2010" t="s">
        <v>568</v>
      </c>
      <c r="D2010" t="s">
        <v>13</v>
      </c>
      <c r="E2010">
        <v>100</v>
      </c>
      <c r="F2010">
        <v>0</v>
      </c>
    </row>
    <row r="2011" spans="1:6" x14ac:dyDescent="0.15">
      <c r="A2011" t="s">
        <v>210</v>
      </c>
      <c r="B2011" s="226">
        <v>42328.490495983795</v>
      </c>
      <c r="C2011" t="s">
        <v>1925</v>
      </c>
      <c r="D2011" t="s">
        <v>13</v>
      </c>
      <c r="E2011">
        <v>80</v>
      </c>
      <c r="F2011">
        <v>0</v>
      </c>
    </row>
    <row r="2012" spans="1:6" x14ac:dyDescent="0.15">
      <c r="A2012" t="s">
        <v>210</v>
      </c>
      <c r="B2012" s="226">
        <v>42328.504790810184</v>
      </c>
      <c r="C2012" t="s">
        <v>1926</v>
      </c>
      <c r="D2012" t="s">
        <v>13</v>
      </c>
      <c r="E2012">
        <v>40</v>
      </c>
      <c r="F2012">
        <v>0</v>
      </c>
    </row>
    <row r="2013" spans="1:6" x14ac:dyDescent="0.15">
      <c r="A2013" t="s">
        <v>210</v>
      </c>
      <c r="B2013" s="226">
        <v>42328.508803402779</v>
      </c>
      <c r="C2013" t="s">
        <v>1927</v>
      </c>
      <c r="D2013" t="s">
        <v>13</v>
      </c>
      <c r="E2013">
        <v>500</v>
      </c>
      <c r="F2013">
        <v>0</v>
      </c>
    </row>
    <row r="2014" spans="1:6" x14ac:dyDescent="0.15">
      <c r="A2014" t="s">
        <v>210</v>
      </c>
      <c r="B2014" s="226">
        <v>42328.51121394676</v>
      </c>
      <c r="C2014" t="s">
        <v>1928</v>
      </c>
      <c r="D2014" t="s">
        <v>13</v>
      </c>
      <c r="E2014">
        <v>40</v>
      </c>
      <c r="F2014">
        <v>0</v>
      </c>
    </row>
    <row r="2015" spans="1:6" x14ac:dyDescent="0.15">
      <c r="A2015" t="s">
        <v>210</v>
      </c>
      <c r="B2015" s="226">
        <v>42328.520523796295</v>
      </c>
      <c r="C2015" t="s">
        <v>1929</v>
      </c>
      <c r="D2015" t="s">
        <v>13</v>
      </c>
      <c r="E2015">
        <v>100</v>
      </c>
      <c r="F2015">
        <v>0</v>
      </c>
    </row>
    <row r="2016" spans="1:6" x14ac:dyDescent="0.15">
      <c r="A2016" t="s">
        <v>210</v>
      </c>
      <c r="B2016" s="226">
        <v>42328.526130752318</v>
      </c>
      <c r="C2016" t="s">
        <v>14</v>
      </c>
      <c r="D2016" t="s">
        <v>13</v>
      </c>
      <c r="E2016">
        <v>40</v>
      </c>
      <c r="F2016">
        <v>3.5</v>
      </c>
    </row>
    <row r="2017" spans="1:6" x14ac:dyDescent="0.15">
      <c r="A2017" t="s">
        <v>210</v>
      </c>
      <c r="B2017" s="226">
        <v>42328.527191053239</v>
      </c>
      <c r="C2017" t="s">
        <v>1930</v>
      </c>
      <c r="D2017" t="s">
        <v>13</v>
      </c>
      <c r="E2017">
        <v>100</v>
      </c>
      <c r="F2017">
        <v>0</v>
      </c>
    </row>
    <row r="2018" spans="1:6" x14ac:dyDescent="0.15">
      <c r="A2018" t="s">
        <v>210</v>
      </c>
      <c r="B2018" s="226">
        <v>42328.535900833333</v>
      </c>
      <c r="C2018" t="s">
        <v>1931</v>
      </c>
      <c r="D2018" t="s">
        <v>13</v>
      </c>
      <c r="E2018">
        <v>100</v>
      </c>
      <c r="F2018">
        <v>0</v>
      </c>
    </row>
    <row r="2019" spans="1:6" x14ac:dyDescent="0.15">
      <c r="A2019" t="s">
        <v>210</v>
      </c>
      <c r="B2019" s="226">
        <v>42328.536554756945</v>
      </c>
      <c r="C2019" t="s">
        <v>103</v>
      </c>
      <c r="D2019" t="s">
        <v>13</v>
      </c>
      <c r="E2019">
        <v>40</v>
      </c>
      <c r="F2019">
        <v>0</v>
      </c>
    </row>
    <row r="2020" spans="1:6" x14ac:dyDescent="0.15">
      <c r="A2020" t="s">
        <v>210</v>
      </c>
      <c r="B2020" s="226">
        <v>42328.54794084491</v>
      </c>
      <c r="C2020" t="s">
        <v>1932</v>
      </c>
      <c r="D2020" t="s">
        <v>13</v>
      </c>
      <c r="E2020">
        <v>100</v>
      </c>
      <c r="F2020">
        <v>0</v>
      </c>
    </row>
    <row r="2021" spans="1:6" x14ac:dyDescent="0.15">
      <c r="A2021" t="s">
        <v>210</v>
      </c>
      <c r="B2021" s="226">
        <v>42328.56012199074</v>
      </c>
      <c r="C2021" t="s">
        <v>459</v>
      </c>
      <c r="D2021" t="s">
        <v>13</v>
      </c>
      <c r="E2021">
        <v>100</v>
      </c>
      <c r="F2021">
        <v>0</v>
      </c>
    </row>
    <row r="2022" spans="1:6" x14ac:dyDescent="0.15">
      <c r="A2022" t="s">
        <v>210</v>
      </c>
      <c r="B2022" s="226">
        <v>42328.576483541663</v>
      </c>
      <c r="C2022" t="s">
        <v>1271</v>
      </c>
      <c r="D2022" t="s">
        <v>13</v>
      </c>
      <c r="E2022">
        <v>40</v>
      </c>
      <c r="F2022">
        <v>0</v>
      </c>
    </row>
    <row r="2023" spans="1:6" x14ac:dyDescent="0.15">
      <c r="A2023" t="s">
        <v>210</v>
      </c>
      <c r="B2023" s="226">
        <v>42328.580319328707</v>
      </c>
      <c r="C2023" t="s">
        <v>245</v>
      </c>
      <c r="D2023" t="s">
        <v>13</v>
      </c>
      <c r="E2023">
        <v>40</v>
      </c>
      <c r="F2023">
        <v>0</v>
      </c>
    </row>
    <row r="2024" spans="1:6" x14ac:dyDescent="0.15">
      <c r="A2024" t="s">
        <v>210</v>
      </c>
      <c r="B2024" s="226">
        <v>42328.585805185183</v>
      </c>
      <c r="C2024" t="s">
        <v>1933</v>
      </c>
      <c r="D2024" t="s">
        <v>13</v>
      </c>
      <c r="E2024">
        <v>100</v>
      </c>
      <c r="F2024">
        <v>0</v>
      </c>
    </row>
    <row r="2025" spans="1:6" x14ac:dyDescent="0.15">
      <c r="A2025" t="s">
        <v>210</v>
      </c>
      <c r="B2025" s="226">
        <v>42328.61827204861</v>
      </c>
      <c r="C2025" t="s">
        <v>1934</v>
      </c>
      <c r="D2025" t="s">
        <v>13</v>
      </c>
      <c r="E2025">
        <v>200</v>
      </c>
      <c r="F2025">
        <v>0</v>
      </c>
    </row>
    <row r="2026" spans="1:6" x14ac:dyDescent="0.15">
      <c r="A2026" t="s">
        <v>210</v>
      </c>
      <c r="B2026" s="226">
        <v>42328.649834780095</v>
      </c>
      <c r="C2026" t="s">
        <v>1935</v>
      </c>
      <c r="D2026" t="s">
        <v>13</v>
      </c>
      <c r="E2026">
        <v>40</v>
      </c>
      <c r="F2026">
        <v>0</v>
      </c>
    </row>
    <row r="2027" spans="1:6" x14ac:dyDescent="0.15">
      <c r="A2027" t="s">
        <v>210</v>
      </c>
      <c r="B2027" s="226">
        <v>42328.663335752317</v>
      </c>
      <c r="C2027" t="s">
        <v>1936</v>
      </c>
      <c r="D2027" t="s">
        <v>13</v>
      </c>
      <c r="E2027">
        <v>140</v>
      </c>
      <c r="F2027">
        <v>0</v>
      </c>
    </row>
    <row r="2028" spans="1:6" x14ac:dyDescent="0.15">
      <c r="A2028" t="s">
        <v>210</v>
      </c>
      <c r="B2028" s="226">
        <v>42328.70419329861</v>
      </c>
      <c r="C2028" t="s">
        <v>1937</v>
      </c>
      <c r="D2028" t="s">
        <v>13</v>
      </c>
      <c r="E2028">
        <v>60</v>
      </c>
      <c r="F2028">
        <v>0</v>
      </c>
    </row>
    <row r="2029" spans="1:6" x14ac:dyDescent="0.15">
      <c r="A2029" t="s">
        <v>210</v>
      </c>
      <c r="B2029" s="226">
        <v>42328.712421909724</v>
      </c>
      <c r="C2029" t="s">
        <v>1255</v>
      </c>
      <c r="D2029" t="s">
        <v>13</v>
      </c>
      <c r="E2029">
        <v>60</v>
      </c>
      <c r="F2029">
        <v>0</v>
      </c>
    </row>
    <row r="2030" spans="1:6" x14ac:dyDescent="0.15">
      <c r="A2030" t="s">
        <v>210</v>
      </c>
      <c r="B2030" s="226">
        <v>42328.731759872688</v>
      </c>
      <c r="C2030" t="s">
        <v>268</v>
      </c>
      <c r="D2030" t="s">
        <v>13</v>
      </c>
      <c r="E2030">
        <v>100</v>
      </c>
      <c r="F2030">
        <v>0</v>
      </c>
    </row>
    <row r="2031" spans="1:6" x14ac:dyDescent="0.15">
      <c r="A2031" t="s">
        <v>210</v>
      </c>
      <c r="B2031" s="226">
        <v>42328.744445925928</v>
      </c>
      <c r="C2031" t="s">
        <v>1938</v>
      </c>
      <c r="D2031" t="s">
        <v>13</v>
      </c>
      <c r="E2031">
        <v>60</v>
      </c>
      <c r="F2031">
        <v>0</v>
      </c>
    </row>
    <row r="2032" spans="1:6" x14ac:dyDescent="0.15">
      <c r="A2032" t="s">
        <v>210</v>
      </c>
      <c r="B2032" s="226">
        <v>42328.749507430555</v>
      </c>
      <c r="C2032" t="s">
        <v>1939</v>
      </c>
      <c r="D2032" t="s">
        <v>13</v>
      </c>
      <c r="E2032">
        <v>500</v>
      </c>
      <c r="F2032">
        <v>0</v>
      </c>
    </row>
    <row r="2033" spans="1:6" x14ac:dyDescent="0.15">
      <c r="A2033" t="s">
        <v>210</v>
      </c>
      <c r="B2033" s="226">
        <v>42328.750865787035</v>
      </c>
      <c r="C2033" t="s">
        <v>1940</v>
      </c>
      <c r="D2033" t="s">
        <v>13</v>
      </c>
      <c r="E2033">
        <v>100</v>
      </c>
      <c r="F2033">
        <v>0</v>
      </c>
    </row>
    <row r="2034" spans="1:6" x14ac:dyDescent="0.15">
      <c r="A2034" t="s">
        <v>210</v>
      </c>
      <c r="B2034" s="226">
        <v>42328.786364814812</v>
      </c>
      <c r="C2034" t="s">
        <v>1941</v>
      </c>
      <c r="D2034" t="s">
        <v>15</v>
      </c>
      <c r="E2034">
        <v>120</v>
      </c>
      <c r="F2034">
        <v>3.6</v>
      </c>
    </row>
    <row r="2035" spans="1:6" x14ac:dyDescent="0.15">
      <c r="A2035" t="s">
        <v>210</v>
      </c>
      <c r="B2035" s="226">
        <v>42328.858318182873</v>
      </c>
      <c r="C2035" t="s">
        <v>1878</v>
      </c>
      <c r="D2035" t="s">
        <v>13</v>
      </c>
      <c r="E2035">
        <v>100</v>
      </c>
      <c r="F2035">
        <v>0</v>
      </c>
    </row>
    <row r="2036" spans="1:6" x14ac:dyDescent="0.15">
      <c r="A2036" t="s">
        <v>210</v>
      </c>
      <c r="B2036" s="226">
        <v>42328.860623032408</v>
      </c>
      <c r="C2036" t="s">
        <v>1942</v>
      </c>
      <c r="D2036" t="s">
        <v>13</v>
      </c>
      <c r="E2036">
        <v>80</v>
      </c>
      <c r="F2036">
        <v>0</v>
      </c>
    </row>
    <row r="2037" spans="1:6" x14ac:dyDescent="0.15">
      <c r="A2037" t="s">
        <v>210</v>
      </c>
      <c r="B2037" s="226">
        <v>42328.935464745373</v>
      </c>
      <c r="C2037" t="s">
        <v>1943</v>
      </c>
      <c r="D2037" t="s">
        <v>13</v>
      </c>
      <c r="E2037">
        <v>40</v>
      </c>
      <c r="F2037">
        <v>0</v>
      </c>
    </row>
    <row r="2038" spans="1:6" x14ac:dyDescent="0.15">
      <c r="A2038" t="s">
        <v>210</v>
      </c>
      <c r="B2038" s="226">
        <v>42328.939264664354</v>
      </c>
      <c r="C2038" t="s">
        <v>1944</v>
      </c>
      <c r="D2038" t="s">
        <v>13</v>
      </c>
      <c r="E2038">
        <v>80</v>
      </c>
      <c r="F2038">
        <v>0</v>
      </c>
    </row>
    <row r="2039" spans="1:6" x14ac:dyDescent="0.15">
      <c r="A2039" t="s">
        <v>210</v>
      </c>
      <c r="B2039" s="226">
        <v>42329.220551979168</v>
      </c>
      <c r="C2039" t="s">
        <v>1460</v>
      </c>
      <c r="D2039" t="s">
        <v>13</v>
      </c>
      <c r="E2039">
        <v>140</v>
      </c>
      <c r="F2039">
        <v>0</v>
      </c>
    </row>
    <row r="2040" spans="1:6" x14ac:dyDescent="0.15">
      <c r="A2040" t="s">
        <v>210</v>
      </c>
      <c r="B2040" s="226">
        <v>42329.267578819446</v>
      </c>
      <c r="C2040" t="s">
        <v>1945</v>
      </c>
      <c r="D2040" t="s">
        <v>13</v>
      </c>
      <c r="E2040">
        <v>80</v>
      </c>
      <c r="F2040">
        <v>0</v>
      </c>
    </row>
    <row r="2041" spans="1:6" x14ac:dyDescent="0.15">
      <c r="A2041" t="s">
        <v>210</v>
      </c>
      <c r="B2041" s="226">
        <v>42329.320977986114</v>
      </c>
      <c r="C2041" t="s">
        <v>1632</v>
      </c>
      <c r="D2041" t="s">
        <v>13</v>
      </c>
      <c r="E2041">
        <v>100</v>
      </c>
      <c r="F2041">
        <v>0</v>
      </c>
    </row>
    <row r="2042" spans="1:6" x14ac:dyDescent="0.15">
      <c r="A2042" t="s">
        <v>210</v>
      </c>
      <c r="B2042" s="226">
        <v>42329.322312071759</v>
      </c>
      <c r="C2042" t="s">
        <v>14</v>
      </c>
      <c r="D2042" t="s">
        <v>13</v>
      </c>
      <c r="E2042">
        <v>20</v>
      </c>
      <c r="F2042">
        <v>3.5</v>
      </c>
    </row>
    <row r="2043" spans="1:6" x14ac:dyDescent="0.15">
      <c r="A2043" t="s">
        <v>210</v>
      </c>
      <c r="B2043" s="226">
        <v>42329.344788449074</v>
      </c>
      <c r="C2043" t="s">
        <v>1946</v>
      </c>
      <c r="D2043" t="s">
        <v>13</v>
      </c>
      <c r="E2043">
        <v>20</v>
      </c>
      <c r="F2043">
        <v>0</v>
      </c>
    </row>
    <row r="2044" spans="1:6" x14ac:dyDescent="0.15">
      <c r="A2044" t="s">
        <v>210</v>
      </c>
      <c r="B2044" s="226">
        <v>42329.355383229165</v>
      </c>
      <c r="C2044" t="s">
        <v>1947</v>
      </c>
      <c r="D2044" t="s">
        <v>13</v>
      </c>
      <c r="E2044">
        <v>40</v>
      </c>
      <c r="F2044">
        <v>0</v>
      </c>
    </row>
    <row r="2045" spans="1:6" x14ac:dyDescent="0.15">
      <c r="A2045" t="s">
        <v>210</v>
      </c>
      <c r="B2045" s="226">
        <v>42329.396249375</v>
      </c>
      <c r="C2045" t="s">
        <v>1948</v>
      </c>
      <c r="D2045" t="s">
        <v>13</v>
      </c>
      <c r="E2045">
        <v>80</v>
      </c>
      <c r="F2045">
        <v>0</v>
      </c>
    </row>
    <row r="2046" spans="1:6" x14ac:dyDescent="0.15">
      <c r="A2046" t="s">
        <v>210</v>
      </c>
      <c r="B2046" s="226">
        <v>42329.40382028935</v>
      </c>
      <c r="C2046" t="s">
        <v>1605</v>
      </c>
      <c r="D2046" t="s">
        <v>13</v>
      </c>
      <c r="E2046">
        <v>100</v>
      </c>
      <c r="F2046">
        <v>0</v>
      </c>
    </row>
    <row r="2047" spans="1:6" x14ac:dyDescent="0.15">
      <c r="A2047" t="s">
        <v>210</v>
      </c>
      <c r="B2047" s="226">
        <v>42329.415845115742</v>
      </c>
      <c r="C2047" t="s">
        <v>1949</v>
      </c>
      <c r="D2047" t="s">
        <v>13</v>
      </c>
      <c r="E2047">
        <v>100</v>
      </c>
      <c r="F2047">
        <v>0</v>
      </c>
    </row>
    <row r="2048" spans="1:6" x14ac:dyDescent="0.15">
      <c r="A2048" t="s">
        <v>210</v>
      </c>
      <c r="B2048" s="226">
        <v>42329.422708078702</v>
      </c>
      <c r="C2048" t="s">
        <v>1950</v>
      </c>
      <c r="D2048" t="s">
        <v>13</v>
      </c>
      <c r="E2048">
        <v>500</v>
      </c>
      <c r="F2048">
        <v>0</v>
      </c>
    </row>
    <row r="2049" spans="1:6" x14ac:dyDescent="0.15">
      <c r="A2049" t="s">
        <v>210</v>
      </c>
      <c r="B2049" s="226">
        <v>42329.423534733796</v>
      </c>
      <c r="C2049" t="s">
        <v>1951</v>
      </c>
      <c r="D2049" t="s">
        <v>13</v>
      </c>
      <c r="E2049">
        <v>200</v>
      </c>
      <c r="F2049">
        <v>0</v>
      </c>
    </row>
    <row r="2050" spans="1:6" x14ac:dyDescent="0.15">
      <c r="A2050" t="s">
        <v>210</v>
      </c>
      <c r="B2050" s="226">
        <v>42329.441011041665</v>
      </c>
      <c r="C2050" t="s">
        <v>1952</v>
      </c>
      <c r="D2050" t="s">
        <v>13</v>
      </c>
      <c r="E2050">
        <v>40</v>
      </c>
      <c r="F2050">
        <v>0</v>
      </c>
    </row>
    <row r="2051" spans="1:6" x14ac:dyDescent="0.15">
      <c r="A2051" t="s">
        <v>210</v>
      </c>
      <c r="B2051" s="226">
        <v>42329.451709687499</v>
      </c>
      <c r="C2051" t="s">
        <v>1953</v>
      </c>
      <c r="D2051" t="s">
        <v>13</v>
      </c>
      <c r="E2051">
        <v>40</v>
      </c>
      <c r="F2051">
        <v>0</v>
      </c>
    </row>
    <row r="2052" spans="1:6" x14ac:dyDescent="0.15">
      <c r="A2052" t="s">
        <v>210</v>
      </c>
      <c r="B2052" s="226">
        <v>42329.455583009258</v>
      </c>
      <c r="C2052" t="s">
        <v>1482</v>
      </c>
      <c r="D2052" t="s">
        <v>13</v>
      </c>
      <c r="E2052">
        <v>360</v>
      </c>
      <c r="F2052">
        <v>0</v>
      </c>
    </row>
    <row r="2053" spans="1:6" x14ac:dyDescent="0.15">
      <c r="A2053" t="s">
        <v>210</v>
      </c>
      <c r="B2053" s="226">
        <v>42329.467839513891</v>
      </c>
      <c r="C2053" t="s">
        <v>171</v>
      </c>
      <c r="D2053" t="s">
        <v>13</v>
      </c>
      <c r="E2053">
        <v>40</v>
      </c>
      <c r="F2053">
        <v>0</v>
      </c>
    </row>
    <row r="2054" spans="1:6" x14ac:dyDescent="0.15">
      <c r="A2054" t="s">
        <v>210</v>
      </c>
      <c r="B2054" s="226">
        <v>42329.472228495368</v>
      </c>
      <c r="C2054" t="s">
        <v>658</v>
      </c>
      <c r="D2054" t="s">
        <v>13</v>
      </c>
      <c r="E2054">
        <v>80</v>
      </c>
      <c r="F2054">
        <v>0</v>
      </c>
    </row>
    <row r="2055" spans="1:6" x14ac:dyDescent="0.15">
      <c r="A2055" t="s">
        <v>210</v>
      </c>
      <c r="B2055" s="226">
        <v>42329.48498898148</v>
      </c>
      <c r="C2055" t="s">
        <v>295</v>
      </c>
      <c r="D2055" t="s">
        <v>13</v>
      </c>
      <c r="E2055">
        <v>40</v>
      </c>
      <c r="F2055">
        <v>0</v>
      </c>
    </row>
    <row r="2056" spans="1:6" x14ac:dyDescent="0.15">
      <c r="A2056" t="s">
        <v>210</v>
      </c>
      <c r="B2056" s="226">
        <v>42329.499717962964</v>
      </c>
      <c r="C2056" t="s">
        <v>1114</v>
      </c>
      <c r="D2056" t="s">
        <v>13</v>
      </c>
      <c r="E2056">
        <v>100</v>
      </c>
      <c r="F2056">
        <v>0</v>
      </c>
    </row>
    <row r="2057" spans="1:6" x14ac:dyDescent="0.15">
      <c r="A2057" t="s">
        <v>210</v>
      </c>
      <c r="B2057" s="226">
        <v>42329.522623923614</v>
      </c>
      <c r="C2057" t="s">
        <v>1618</v>
      </c>
      <c r="D2057" t="s">
        <v>15</v>
      </c>
      <c r="E2057">
        <v>200</v>
      </c>
      <c r="F2057">
        <v>6</v>
      </c>
    </row>
    <row r="2058" spans="1:6" x14ac:dyDescent="0.15">
      <c r="A2058" t="s">
        <v>210</v>
      </c>
      <c r="B2058" s="226">
        <v>42329.539085682867</v>
      </c>
      <c r="C2058" t="s">
        <v>1954</v>
      </c>
      <c r="D2058" t="s">
        <v>13</v>
      </c>
      <c r="E2058">
        <v>100</v>
      </c>
      <c r="F2058">
        <v>0</v>
      </c>
    </row>
    <row r="2059" spans="1:6" x14ac:dyDescent="0.15">
      <c r="A2059" t="s">
        <v>210</v>
      </c>
      <c r="B2059" s="226">
        <v>42329.540550972219</v>
      </c>
      <c r="C2059" t="s">
        <v>118</v>
      </c>
      <c r="D2059" t="s">
        <v>13</v>
      </c>
      <c r="E2059">
        <v>40</v>
      </c>
      <c r="F2059">
        <v>0</v>
      </c>
    </row>
    <row r="2060" spans="1:6" x14ac:dyDescent="0.15">
      <c r="A2060" t="s">
        <v>210</v>
      </c>
      <c r="B2060" s="226">
        <v>42329.541453113423</v>
      </c>
      <c r="C2060" t="s">
        <v>1955</v>
      </c>
      <c r="D2060" t="s">
        <v>13</v>
      </c>
      <c r="E2060">
        <v>40</v>
      </c>
      <c r="F2060">
        <v>0</v>
      </c>
    </row>
    <row r="2061" spans="1:6" x14ac:dyDescent="0.15">
      <c r="A2061" t="s">
        <v>210</v>
      </c>
      <c r="B2061" s="226">
        <v>42329.565320636575</v>
      </c>
      <c r="C2061" t="s">
        <v>460</v>
      </c>
      <c r="D2061" t="s">
        <v>13</v>
      </c>
      <c r="E2061">
        <v>20</v>
      </c>
      <c r="F2061">
        <v>0</v>
      </c>
    </row>
    <row r="2062" spans="1:6" x14ac:dyDescent="0.15">
      <c r="A2062" t="s">
        <v>210</v>
      </c>
      <c r="B2062" s="226">
        <v>42329.577451620367</v>
      </c>
      <c r="C2062" t="s">
        <v>1956</v>
      </c>
      <c r="D2062" t="s">
        <v>13</v>
      </c>
      <c r="E2062">
        <v>40</v>
      </c>
      <c r="F2062">
        <v>0</v>
      </c>
    </row>
    <row r="2063" spans="1:6" x14ac:dyDescent="0.15">
      <c r="A2063" t="s">
        <v>210</v>
      </c>
      <c r="B2063" s="226">
        <v>42329.592820520833</v>
      </c>
      <c r="C2063" t="s">
        <v>1957</v>
      </c>
      <c r="D2063" t="s">
        <v>13</v>
      </c>
      <c r="E2063">
        <v>40</v>
      </c>
      <c r="F2063">
        <v>0</v>
      </c>
    </row>
    <row r="2064" spans="1:6" x14ac:dyDescent="0.15">
      <c r="A2064" t="s">
        <v>210</v>
      </c>
      <c r="B2064" s="226">
        <v>42329.601260289353</v>
      </c>
      <c r="C2064" t="s">
        <v>1386</v>
      </c>
      <c r="D2064" t="s">
        <v>13</v>
      </c>
      <c r="E2064">
        <v>100</v>
      </c>
      <c r="F2064">
        <v>0</v>
      </c>
    </row>
    <row r="2065" spans="1:6" x14ac:dyDescent="0.15">
      <c r="A2065" t="s">
        <v>210</v>
      </c>
      <c r="B2065" s="226">
        <v>42329.610208634258</v>
      </c>
      <c r="C2065" t="s">
        <v>1958</v>
      </c>
      <c r="D2065" t="s">
        <v>13</v>
      </c>
      <c r="E2065">
        <v>80</v>
      </c>
      <c r="F2065">
        <v>0</v>
      </c>
    </row>
    <row r="2066" spans="1:6" x14ac:dyDescent="0.15">
      <c r="A2066" t="s">
        <v>210</v>
      </c>
      <c r="B2066" s="226">
        <v>42329.630458136577</v>
      </c>
      <c r="C2066" t="s">
        <v>461</v>
      </c>
      <c r="D2066" t="s">
        <v>13</v>
      </c>
      <c r="E2066">
        <v>100</v>
      </c>
      <c r="F2066">
        <v>0</v>
      </c>
    </row>
    <row r="2067" spans="1:6" x14ac:dyDescent="0.15">
      <c r="A2067" t="s">
        <v>210</v>
      </c>
      <c r="B2067" s="226">
        <v>42329.63128090278</v>
      </c>
      <c r="C2067" t="s">
        <v>805</v>
      </c>
      <c r="D2067" t="s">
        <v>13</v>
      </c>
      <c r="E2067">
        <v>100</v>
      </c>
      <c r="F2067">
        <v>0</v>
      </c>
    </row>
    <row r="2068" spans="1:6" x14ac:dyDescent="0.15">
      <c r="A2068" t="s">
        <v>210</v>
      </c>
      <c r="B2068" s="226">
        <v>42329.637939664353</v>
      </c>
      <c r="C2068" t="s">
        <v>1959</v>
      </c>
      <c r="D2068" t="s">
        <v>13</v>
      </c>
      <c r="E2068">
        <v>20</v>
      </c>
      <c r="F2068">
        <v>0</v>
      </c>
    </row>
    <row r="2069" spans="1:6" x14ac:dyDescent="0.15">
      <c r="A2069" t="s">
        <v>210</v>
      </c>
      <c r="B2069" s="226">
        <v>42329.641010057872</v>
      </c>
      <c r="C2069" t="s">
        <v>1960</v>
      </c>
      <c r="D2069" t="s">
        <v>13</v>
      </c>
      <c r="E2069">
        <v>60</v>
      </c>
      <c r="F2069">
        <v>0</v>
      </c>
    </row>
    <row r="2070" spans="1:6" x14ac:dyDescent="0.15">
      <c r="A2070" t="s">
        <v>210</v>
      </c>
      <c r="B2070" s="226">
        <v>42329.645465231479</v>
      </c>
      <c r="C2070" t="s">
        <v>1961</v>
      </c>
      <c r="D2070" t="s">
        <v>13</v>
      </c>
      <c r="E2070">
        <v>20</v>
      </c>
      <c r="F2070">
        <v>0</v>
      </c>
    </row>
    <row r="2071" spans="1:6" x14ac:dyDescent="0.15">
      <c r="A2071" t="s">
        <v>210</v>
      </c>
      <c r="B2071" s="226">
        <v>42329.654197662036</v>
      </c>
      <c r="C2071" t="s">
        <v>1962</v>
      </c>
      <c r="D2071" t="s">
        <v>13</v>
      </c>
      <c r="E2071">
        <v>500</v>
      </c>
      <c r="F2071">
        <v>0</v>
      </c>
    </row>
    <row r="2072" spans="1:6" x14ac:dyDescent="0.15">
      <c r="A2072" t="s">
        <v>210</v>
      </c>
      <c r="B2072" s="226">
        <v>42329.696404803239</v>
      </c>
      <c r="C2072" t="s">
        <v>1963</v>
      </c>
      <c r="D2072" t="s">
        <v>13</v>
      </c>
      <c r="E2072">
        <v>60</v>
      </c>
      <c r="F2072">
        <v>0</v>
      </c>
    </row>
    <row r="2073" spans="1:6" x14ac:dyDescent="0.15">
      <c r="A2073" t="s">
        <v>210</v>
      </c>
      <c r="B2073" s="226">
        <v>42329.702302372687</v>
      </c>
      <c r="C2073" t="s">
        <v>1964</v>
      </c>
      <c r="D2073" t="s">
        <v>13</v>
      </c>
      <c r="E2073">
        <v>100</v>
      </c>
      <c r="F2073">
        <v>0</v>
      </c>
    </row>
    <row r="2074" spans="1:6" x14ac:dyDescent="0.15">
      <c r="A2074" t="s">
        <v>210</v>
      </c>
      <c r="B2074" s="226">
        <v>42329.705563877316</v>
      </c>
      <c r="C2074" t="s">
        <v>14</v>
      </c>
      <c r="D2074" t="s">
        <v>13</v>
      </c>
      <c r="E2074">
        <v>100</v>
      </c>
      <c r="F2074">
        <v>3.5</v>
      </c>
    </row>
    <row r="2075" spans="1:6" x14ac:dyDescent="0.15">
      <c r="A2075" t="s">
        <v>210</v>
      </c>
      <c r="B2075" s="226">
        <v>42329.711131180557</v>
      </c>
      <c r="C2075" t="s">
        <v>1965</v>
      </c>
      <c r="D2075" t="s">
        <v>13</v>
      </c>
      <c r="E2075">
        <v>500</v>
      </c>
      <c r="F2075">
        <v>0</v>
      </c>
    </row>
    <row r="2076" spans="1:6" x14ac:dyDescent="0.15">
      <c r="A2076" t="s">
        <v>210</v>
      </c>
      <c r="B2076" s="226">
        <v>42329.723660567128</v>
      </c>
      <c r="C2076" t="s">
        <v>1966</v>
      </c>
      <c r="D2076" t="s">
        <v>13</v>
      </c>
      <c r="E2076">
        <v>40</v>
      </c>
      <c r="F2076">
        <v>0</v>
      </c>
    </row>
    <row r="2077" spans="1:6" x14ac:dyDescent="0.15">
      <c r="A2077" t="s">
        <v>210</v>
      </c>
      <c r="B2077" s="226">
        <v>42329.725900486112</v>
      </c>
      <c r="C2077" t="s">
        <v>14</v>
      </c>
      <c r="D2077" t="s">
        <v>13</v>
      </c>
      <c r="E2077">
        <v>100</v>
      </c>
      <c r="F2077">
        <v>3.5</v>
      </c>
    </row>
    <row r="2078" spans="1:6" x14ac:dyDescent="0.15">
      <c r="A2078" t="s">
        <v>210</v>
      </c>
      <c r="B2078" s="226">
        <v>42329.753063564815</v>
      </c>
      <c r="C2078" t="s">
        <v>1967</v>
      </c>
      <c r="D2078" t="s">
        <v>13</v>
      </c>
      <c r="E2078">
        <v>60</v>
      </c>
      <c r="F2078">
        <v>0</v>
      </c>
    </row>
    <row r="2079" spans="1:6" x14ac:dyDescent="0.15">
      <c r="A2079" t="s">
        <v>210</v>
      </c>
      <c r="B2079" s="226">
        <v>42329.760366840281</v>
      </c>
      <c r="C2079" t="s">
        <v>1968</v>
      </c>
      <c r="D2079" t="s">
        <v>13</v>
      </c>
      <c r="E2079">
        <v>100</v>
      </c>
      <c r="F2079">
        <v>0</v>
      </c>
    </row>
    <row r="2080" spans="1:6" x14ac:dyDescent="0.15">
      <c r="A2080" t="s">
        <v>210</v>
      </c>
      <c r="B2080" s="226">
        <v>42329.768865775462</v>
      </c>
      <c r="C2080" t="s">
        <v>1969</v>
      </c>
      <c r="D2080" t="s">
        <v>13</v>
      </c>
      <c r="E2080">
        <v>100</v>
      </c>
      <c r="F2080">
        <v>0</v>
      </c>
    </row>
    <row r="2081" spans="1:6" x14ac:dyDescent="0.15">
      <c r="A2081" t="s">
        <v>210</v>
      </c>
      <c r="B2081" s="226">
        <v>42329.805615451391</v>
      </c>
      <c r="C2081" t="s">
        <v>14</v>
      </c>
      <c r="D2081" t="s">
        <v>13</v>
      </c>
      <c r="E2081">
        <v>120</v>
      </c>
      <c r="F2081">
        <v>3.5</v>
      </c>
    </row>
    <row r="2082" spans="1:6" x14ac:dyDescent="0.15">
      <c r="A2082" t="s">
        <v>210</v>
      </c>
      <c r="B2082" s="226">
        <v>42329.818190405094</v>
      </c>
      <c r="C2082" t="s">
        <v>1970</v>
      </c>
      <c r="D2082" t="s">
        <v>13</v>
      </c>
      <c r="E2082">
        <v>100</v>
      </c>
      <c r="F2082">
        <v>0</v>
      </c>
    </row>
    <row r="2083" spans="1:6" x14ac:dyDescent="0.15">
      <c r="A2083" t="s">
        <v>210</v>
      </c>
      <c r="B2083" s="226">
        <v>42329.82342572917</v>
      </c>
      <c r="C2083" t="s">
        <v>1971</v>
      </c>
      <c r="D2083" t="s">
        <v>13</v>
      </c>
      <c r="E2083">
        <v>100</v>
      </c>
      <c r="F2083">
        <v>0</v>
      </c>
    </row>
    <row r="2084" spans="1:6" x14ac:dyDescent="0.15">
      <c r="A2084" t="s">
        <v>210</v>
      </c>
      <c r="B2084" s="226">
        <v>42329.878566481479</v>
      </c>
      <c r="C2084" t="s">
        <v>1972</v>
      </c>
      <c r="D2084" t="s">
        <v>13</v>
      </c>
      <c r="E2084">
        <v>60</v>
      </c>
      <c r="F2084">
        <v>0</v>
      </c>
    </row>
    <row r="2085" spans="1:6" x14ac:dyDescent="0.15">
      <c r="A2085" t="s">
        <v>210</v>
      </c>
      <c r="B2085" s="226">
        <v>42330.037805208332</v>
      </c>
      <c r="C2085" t="s">
        <v>14</v>
      </c>
      <c r="D2085" t="s">
        <v>13</v>
      </c>
      <c r="E2085">
        <v>200</v>
      </c>
      <c r="F2085">
        <v>3.5</v>
      </c>
    </row>
    <row r="2086" spans="1:6" x14ac:dyDescent="0.15">
      <c r="A2086" t="s">
        <v>210</v>
      </c>
      <c r="B2086" s="226">
        <v>42330.382600266203</v>
      </c>
      <c r="C2086" t="s">
        <v>1909</v>
      </c>
      <c r="D2086" t="s">
        <v>13</v>
      </c>
      <c r="E2086">
        <v>40</v>
      </c>
      <c r="F2086">
        <v>0</v>
      </c>
    </row>
    <row r="2087" spans="1:6" x14ac:dyDescent="0.15">
      <c r="A2087" t="s">
        <v>210</v>
      </c>
      <c r="B2087" s="226">
        <v>42330.478936145832</v>
      </c>
      <c r="C2087" t="s">
        <v>1973</v>
      </c>
      <c r="D2087" t="s">
        <v>13</v>
      </c>
      <c r="E2087">
        <v>80</v>
      </c>
      <c r="F2087">
        <v>0</v>
      </c>
    </row>
    <row r="2088" spans="1:6" x14ac:dyDescent="0.15">
      <c r="A2088" t="s">
        <v>210</v>
      </c>
      <c r="B2088" s="226">
        <v>42330.489400636572</v>
      </c>
      <c r="C2088" t="s">
        <v>1974</v>
      </c>
      <c r="D2088" t="s">
        <v>13</v>
      </c>
      <c r="E2088">
        <v>60</v>
      </c>
      <c r="F2088">
        <v>0</v>
      </c>
    </row>
    <row r="2089" spans="1:6" x14ac:dyDescent="0.15">
      <c r="A2089" t="s">
        <v>210</v>
      </c>
      <c r="B2089" s="226">
        <v>42330.501498773148</v>
      </c>
      <c r="C2089" t="s">
        <v>1975</v>
      </c>
      <c r="D2089" t="s">
        <v>13</v>
      </c>
      <c r="E2089">
        <v>20</v>
      </c>
      <c r="F2089">
        <v>0</v>
      </c>
    </row>
    <row r="2090" spans="1:6" x14ac:dyDescent="0.15">
      <c r="A2090" t="s">
        <v>210</v>
      </c>
      <c r="B2090" s="226">
        <v>42330.50202896991</v>
      </c>
      <c r="C2090" t="s">
        <v>1976</v>
      </c>
      <c r="D2090" t="s">
        <v>13</v>
      </c>
      <c r="E2090">
        <v>100</v>
      </c>
      <c r="F2090">
        <v>0</v>
      </c>
    </row>
    <row r="2091" spans="1:6" x14ac:dyDescent="0.15">
      <c r="A2091" t="s">
        <v>210</v>
      </c>
      <c r="B2091" s="226">
        <v>42330.507753194448</v>
      </c>
      <c r="C2091" t="s">
        <v>1977</v>
      </c>
      <c r="D2091" t="s">
        <v>13</v>
      </c>
      <c r="E2091">
        <v>20</v>
      </c>
      <c r="F2091">
        <v>0</v>
      </c>
    </row>
    <row r="2092" spans="1:6" x14ac:dyDescent="0.15">
      <c r="A2092" t="s">
        <v>210</v>
      </c>
      <c r="B2092" s="226">
        <v>42330.531234085647</v>
      </c>
      <c r="C2092" t="s">
        <v>1978</v>
      </c>
      <c r="D2092" t="s">
        <v>13</v>
      </c>
      <c r="E2092">
        <v>40</v>
      </c>
      <c r="F2092">
        <v>0</v>
      </c>
    </row>
    <row r="2093" spans="1:6" x14ac:dyDescent="0.15">
      <c r="A2093" t="s">
        <v>210</v>
      </c>
      <c r="B2093" s="226">
        <v>42330.551199212961</v>
      </c>
      <c r="C2093" t="s">
        <v>1979</v>
      </c>
      <c r="D2093" t="s">
        <v>13</v>
      </c>
      <c r="E2093">
        <v>140</v>
      </c>
      <c r="F2093">
        <v>0</v>
      </c>
    </row>
    <row r="2094" spans="1:6" x14ac:dyDescent="0.15">
      <c r="A2094" t="s">
        <v>210</v>
      </c>
      <c r="B2094" s="226">
        <v>42330.573958611109</v>
      </c>
      <c r="C2094" t="s">
        <v>1980</v>
      </c>
      <c r="D2094" t="s">
        <v>13</v>
      </c>
      <c r="E2094">
        <v>100</v>
      </c>
      <c r="F2094">
        <v>0</v>
      </c>
    </row>
    <row r="2095" spans="1:6" x14ac:dyDescent="0.15">
      <c r="A2095" t="s">
        <v>210</v>
      </c>
      <c r="B2095" s="226">
        <v>42330.589686423613</v>
      </c>
      <c r="C2095" t="s">
        <v>1981</v>
      </c>
      <c r="D2095" t="s">
        <v>13</v>
      </c>
      <c r="E2095">
        <v>100</v>
      </c>
      <c r="F2095">
        <v>0</v>
      </c>
    </row>
    <row r="2096" spans="1:6" x14ac:dyDescent="0.15">
      <c r="A2096" t="s">
        <v>210</v>
      </c>
      <c r="B2096" s="226">
        <v>42330.655677476854</v>
      </c>
      <c r="C2096" t="s">
        <v>1982</v>
      </c>
      <c r="D2096" t="s">
        <v>13</v>
      </c>
      <c r="E2096">
        <v>80</v>
      </c>
      <c r="F2096">
        <v>0</v>
      </c>
    </row>
    <row r="2097" spans="1:6" x14ac:dyDescent="0.15">
      <c r="A2097" t="s">
        <v>210</v>
      </c>
      <c r="B2097" s="226">
        <v>42330.664120046298</v>
      </c>
      <c r="C2097" t="s">
        <v>249</v>
      </c>
      <c r="D2097" t="s">
        <v>13</v>
      </c>
      <c r="E2097">
        <v>20</v>
      </c>
      <c r="F2097">
        <v>0</v>
      </c>
    </row>
    <row r="2098" spans="1:6" x14ac:dyDescent="0.15">
      <c r="A2098" t="s">
        <v>210</v>
      </c>
      <c r="B2098" s="226">
        <v>42330.690037129629</v>
      </c>
      <c r="C2098" t="s">
        <v>1983</v>
      </c>
      <c r="D2098" t="s">
        <v>13</v>
      </c>
      <c r="E2098">
        <v>200</v>
      </c>
      <c r="F2098">
        <v>0</v>
      </c>
    </row>
    <row r="2099" spans="1:6" x14ac:dyDescent="0.15">
      <c r="A2099" t="s">
        <v>210</v>
      </c>
      <c r="B2099" s="226">
        <v>42330.709379340275</v>
      </c>
      <c r="C2099" t="s">
        <v>462</v>
      </c>
      <c r="D2099" t="s">
        <v>13</v>
      </c>
      <c r="E2099">
        <v>200</v>
      </c>
      <c r="F2099">
        <v>0</v>
      </c>
    </row>
    <row r="2100" spans="1:6" x14ac:dyDescent="0.15">
      <c r="A2100" t="s">
        <v>210</v>
      </c>
      <c r="B2100" s="226">
        <v>42330.713553946756</v>
      </c>
      <c r="C2100" t="s">
        <v>1738</v>
      </c>
      <c r="D2100" t="s">
        <v>13</v>
      </c>
      <c r="E2100">
        <v>20</v>
      </c>
      <c r="F2100">
        <v>0</v>
      </c>
    </row>
    <row r="2101" spans="1:6" x14ac:dyDescent="0.15">
      <c r="A2101" t="s">
        <v>210</v>
      </c>
      <c r="B2101" s="226">
        <v>42330.721762650464</v>
      </c>
      <c r="C2101" t="s">
        <v>1984</v>
      </c>
      <c r="D2101" t="s">
        <v>13</v>
      </c>
      <c r="E2101">
        <v>80</v>
      </c>
      <c r="F2101">
        <v>0</v>
      </c>
    </row>
    <row r="2102" spans="1:6" x14ac:dyDescent="0.15">
      <c r="A2102" t="s">
        <v>210</v>
      </c>
      <c r="B2102" s="226">
        <v>42330.722490740744</v>
      </c>
      <c r="C2102" t="s">
        <v>1985</v>
      </c>
      <c r="D2102" t="s">
        <v>13</v>
      </c>
      <c r="E2102">
        <v>140</v>
      </c>
      <c r="F2102">
        <v>0</v>
      </c>
    </row>
    <row r="2103" spans="1:6" x14ac:dyDescent="0.15">
      <c r="A2103" t="s">
        <v>210</v>
      </c>
      <c r="B2103" s="226">
        <v>42330.778693368055</v>
      </c>
      <c r="C2103" t="s">
        <v>1986</v>
      </c>
      <c r="D2103" t="s">
        <v>13</v>
      </c>
      <c r="E2103">
        <v>40</v>
      </c>
      <c r="F2103">
        <v>0</v>
      </c>
    </row>
    <row r="2104" spans="1:6" x14ac:dyDescent="0.15">
      <c r="A2104" t="s">
        <v>210</v>
      </c>
      <c r="B2104" s="226">
        <v>42330.782006631947</v>
      </c>
      <c r="C2104" t="s">
        <v>672</v>
      </c>
      <c r="D2104" t="s">
        <v>13</v>
      </c>
      <c r="E2104">
        <v>60</v>
      </c>
      <c r="F2104">
        <v>0</v>
      </c>
    </row>
    <row r="2105" spans="1:6" x14ac:dyDescent="0.15">
      <c r="A2105" t="s">
        <v>210</v>
      </c>
      <c r="B2105" s="226">
        <v>42330.840828425928</v>
      </c>
      <c r="C2105" t="s">
        <v>14</v>
      </c>
      <c r="D2105" t="s">
        <v>13</v>
      </c>
      <c r="E2105">
        <v>40</v>
      </c>
      <c r="F2105">
        <v>3.5</v>
      </c>
    </row>
    <row r="2106" spans="1:6" x14ac:dyDescent="0.15">
      <c r="A2106" t="s">
        <v>210</v>
      </c>
      <c r="B2106" s="226">
        <v>42331.231854756945</v>
      </c>
      <c r="C2106" t="s">
        <v>1987</v>
      </c>
      <c r="D2106" t="s">
        <v>13</v>
      </c>
      <c r="E2106">
        <v>20</v>
      </c>
      <c r="F2106">
        <v>0</v>
      </c>
    </row>
    <row r="2107" spans="1:6" x14ac:dyDescent="0.15">
      <c r="A2107" t="s">
        <v>210</v>
      </c>
      <c r="B2107" s="226">
        <v>42331.246608449073</v>
      </c>
      <c r="C2107" t="s">
        <v>1988</v>
      </c>
      <c r="D2107" t="s">
        <v>13</v>
      </c>
      <c r="E2107">
        <v>40</v>
      </c>
      <c r="F2107">
        <v>0</v>
      </c>
    </row>
    <row r="2108" spans="1:6" x14ac:dyDescent="0.15">
      <c r="A2108" t="s">
        <v>210</v>
      </c>
      <c r="B2108" s="226">
        <v>42331.256989085647</v>
      </c>
      <c r="C2108" t="s">
        <v>1989</v>
      </c>
      <c r="D2108" t="s">
        <v>13</v>
      </c>
      <c r="E2108">
        <v>40</v>
      </c>
      <c r="F2108">
        <v>0</v>
      </c>
    </row>
    <row r="2109" spans="1:6" x14ac:dyDescent="0.15">
      <c r="A2109" t="s">
        <v>210</v>
      </c>
      <c r="B2109" s="226">
        <v>42331.310725555559</v>
      </c>
      <c r="C2109" t="s">
        <v>1990</v>
      </c>
      <c r="D2109" t="s">
        <v>13</v>
      </c>
      <c r="E2109">
        <v>60</v>
      </c>
      <c r="F2109">
        <v>0</v>
      </c>
    </row>
    <row r="2110" spans="1:6" x14ac:dyDescent="0.15">
      <c r="A2110" t="s">
        <v>210</v>
      </c>
      <c r="B2110" s="226">
        <v>42331.347232118052</v>
      </c>
      <c r="C2110" t="s">
        <v>1991</v>
      </c>
      <c r="D2110" t="s">
        <v>13</v>
      </c>
      <c r="E2110">
        <v>20</v>
      </c>
      <c r="F2110">
        <v>0</v>
      </c>
    </row>
    <row r="2111" spans="1:6" x14ac:dyDescent="0.15">
      <c r="A2111" t="s">
        <v>210</v>
      </c>
      <c r="B2111" s="226">
        <v>42331.348380324074</v>
      </c>
      <c r="C2111" t="s">
        <v>1992</v>
      </c>
      <c r="D2111" t="s">
        <v>13</v>
      </c>
      <c r="E2111">
        <v>100</v>
      </c>
      <c r="F2111">
        <v>0</v>
      </c>
    </row>
    <row r="2112" spans="1:6" x14ac:dyDescent="0.15">
      <c r="A2112" t="s">
        <v>210</v>
      </c>
      <c r="B2112" s="226">
        <v>42331.359725208335</v>
      </c>
      <c r="C2112" t="s">
        <v>463</v>
      </c>
      <c r="D2112" t="s">
        <v>13</v>
      </c>
      <c r="E2112">
        <v>100</v>
      </c>
      <c r="F2112">
        <v>0</v>
      </c>
    </row>
    <row r="2113" spans="1:6" x14ac:dyDescent="0.15">
      <c r="A2113" t="s">
        <v>210</v>
      </c>
      <c r="B2113" s="226">
        <v>42331.385588518518</v>
      </c>
      <c r="C2113" t="s">
        <v>1341</v>
      </c>
      <c r="D2113" t="s">
        <v>13</v>
      </c>
      <c r="E2113">
        <v>200</v>
      </c>
      <c r="F2113">
        <v>0</v>
      </c>
    </row>
    <row r="2114" spans="1:6" x14ac:dyDescent="0.15">
      <c r="A2114" t="s">
        <v>210</v>
      </c>
      <c r="B2114" s="226">
        <v>42331.39848689815</v>
      </c>
      <c r="C2114" t="s">
        <v>1892</v>
      </c>
      <c r="D2114" t="s">
        <v>13</v>
      </c>
      <c r="E2114">
        <v>100</v>
      </c>
      <c r="F2114">
        <v>0</v>
      </c>
    </row>
    <row r="2115" spans="1:6" x14ac:dyDescent="0.15">
      <c r="A2115" t="s">
        <v>210</v>
      </c>
      <c r="B2115" s="226">
        <v>42331.443813715276</v>
      </c>
      <c r="C2115" t="s">
        <v>1399</v>
      </c>
      <c r="D2115" t="s">
        <v>13</v>
      </c>
      <c r="E2115">
        <v>180</v>
      </c>
      <c r="F2115">
        <v>0</v>
      </c>
    </row>
    <row r="2116" spans="1:6" x14ac:dyDescent="0.15">
      <c r="A2116" t="s">
        <v>210</v>
      </c>
      <c r="B2116" s="226">
        <v>42331.445410671295</v>
      </c>
      <c r="C2116" t="s">
        <v>1993</v>
      </c>
      <c r="D2116" t="s">
        <v>13</v>
      </c>
      <c r="E2116">
        <v>100</v>
      </c>
      <c r="F2116">
        <v>0</v>
      </c>
    </row>
    <row r="2117" spans="1:6" x14ac:dyDescent="0.15">
      <c r="A2117" t="s">
        <v>210</v>
      </c>
      <c r="B2117" s="226">
        <v>42331.4675234838</v>
      </c>
      <c r="C2117" t="s">
        <v>1994</v>
      </c>
      <c r="D2117" t="s">
        <v>13</v>
      </c>
      <c r="E2117">
        <v>20</v>
      </c>
      <c r="F2117">
        <v>0</v>
      </c>
    </row>
    <row r="2118" spans="1:6" x14ac:dyDescent="0.15">
      <c r="A2118" t="s">
        <v>210</v>
      </c>
      <c r="B2118" s="226">
        <v>42331.468075196761</v>
      </c>
      <c r="C2118" t="s">
        <v>1202</v>
      </c>
      <c r="D2118" t="s">
        <v>13</v>
      </c>
      <c r="E2118">
        <v>300</v>
      </c>
      <c r="F2118">
        <v>0</v>
      </c>
    </row>
    <row r="2119" spans="1:6" x14ac:dyDescent="0.15">
      <c r="A2119" t="s">
        <v>210</v>
      </c>
      <c r="B2119" s="226">
        <v>42331.490415509259</v>
      </c>
      <c r="C2119" t="s">
        <v>1995</v>
      </c>
      <c r="D2119" t="s">
        <v>13</v>
      </c>
      <c r="E2119">
        <v>40</v>
      </c>
      <c r="F2119">
        <v>0</v>
      </c>
    </row>
    <row r="2120" spans="1:6" x14ac:dyDescent="0.15">
      <c r="A2120" t="s">
        <v>210</v>
      </c>
      <c r="B2120" s="226">
        <v>42331.49703979167</v>
      </c>
      <c r="C2120" t="s">
        <v>1996</v>
      </c>
      <c r="D2120" t="s">
        <v>13</v>
      </c>
      <c r="E2120">
        <v>100</v>
      </c>
      <c r="F2120">
        <v>0</v>
      </c>
    </row>
    <row r="2121" spans="1:6" x14ac:dyDescent="0.15">
      <c r="A2121" t="s">
        <v>210</v>
      </c>
      <c r="B2121" s="226">
        <v>42331.501895694448</v>
      </c>
      <c r="C2121" t="s">
        <v>1368</v>
      </c>
      <c r="D2121" t="s">
        <v>13</v>
      </c>
      <c r="E2121">
        <v>20</v>
      </c>
      <c r="F2121">
        <v>0</v>
      </c>
    </row>
    <row r="2122" spans="1:6" x14ac:dyDescent="0.15">
      <c r="A2122" t="s">
        <v>210</v>
      </c>
      <c r="B2122" s="226">
        <v>42331.515948298613</v>
      </c>
      <c r="C2122" t="s">
        <v>14</v>
      </c>
      <c r="D2122" t="s">
        <v>13</v>
      </c>
      <c r="E2122">
        <v>80</v>
      </c>
      <c r="F2122">
        <v>3.5</v>
      </c>
    </row>
    <row r="2123" spans="1:6" x14ac:dyDescent="0.15">
      <c r="A2123" t="s">
        <v>210</v>
      </c>
      <c r="B2123" s="226">
        <v>42331.516500694444</v>
      </c>
      <c r="C2123" t="s">
        <v>1997</v>
      </c>
      <c r="D2123" t="s">
        <v>13</v>
      </c>
      <c r="E2123">
        <v>100</v>
      </c>
      <c r="F2123">
        <v>0</v>
      </c>
    </row>
    <row r="2124" spans="1:6" x14ac:dyDescent="0.15">
      <c r="A2124" t="s">
        <v>210</v>
      </c>
      <c r="B2124" s="226">
        <v>42331.523995046293</v>
      </c>
      <c r="C2124" t="s">
        <v>14</v>
      </c>
      <c r="D2124" t="s">
        <v>13</v>
      </c>
      <c r="E2124">
        <v>60</v>
      </c>
      <c r="F2124">
        <v>3.5</v>
      </c>
    </row>
    <row r="2125" spans="1:6" x14ac:dyDescent="0.15">
      <c r="A2125" t="s">
        <v>210</v>
      </c>
      <c r="B2125" s="226">
        <v>42331.525090671297</v>
      </c>
      <c r="C2125" t="s">
        <v>1998</v>
      </c>
      <c r="D2125" t="s">
        <v>13</v>
      </c>
      <c r="E2125">
        <v>500</v>
      </c>
      <c r="F2125">
        <v>0</v>
      </c>
    </row>
    <row r="2126" spans="1:6" x14ac:dyDescent="0.15">
      <c r="A2126" t="s">
        <v>210</v>
      </c>
      <c r="B2126" s="226">
        <v>42331.536743784724</v>
      </c>
      <c r="C2126" t="s">
        <v>1999</v>
      </c>
      <c r="D2126" t="s">
        <v>13</v>
      </c>
      <c r="E2126">
        <v>100</v>
      </c>
      <c r="F2126">
        <v>0</v>
      </c>
    </row>
    <row r="2127" spans="1:6" x14ac:dyDescent="0.15">
      <c r="A2127" t="s">
        <v>210</v>
      </c>
      <c r="B2127" s="226">
        <v>42331.541309050925</v>
      </c>
      <c r="C2127" t="s">
        <v>2000</v>
      </c>
      <c r="D2127" t="s">
        <v>13</v>
      </c>
      <c r="E2127">
        <v>100</v>
      </c>
      <c r="F2127">
        <v>0</v>
      </c>
    </row>
    <row r="2128" spans="1:6" x14ac:dyDescent="0.15">
      <c r="A2128" t="s">
        <v>210</v>
      </c>
      <c r="B2128" s="226">
        <v>42331.545014039351</v>
      </c>
      <c r="C2128" t="s">
        <v>2001</v>
      </c>
      <c r="D2128" t="s">
        <v>13</v>
      </c>
      <c r="E2128">
        <v>400</v>
      </c>
      <c r="F2128">
        <v>0</v>
      </c>
    </row>
    <row r="2129" spans="1:6" x14ac:dyDescent="0.15">
      <c r="A2129" t="s">
        <v>210</v>
      </c>
      <c r="B2129" s="226">
        <v>42331.550554351852</v>
      </c>
      <c r="C2129" t="s">
        <v>2002</v>
      </c>
      <c r="D2129" t="s">
        <v>13</v>
      </c>
      <c r="E2129">
        <v>200</v>
      </c>
      <c r="F2129">
        <v>0</v>
      </c>
    </row>
    <row r="2130" spans="1:6" x14ac:dyDescent="0.15">
      <c r="A2130" t="s">
        <v>210</v>
      </c>
      <c r="B2130" s="226">
        <v>42331.590247245367</v>
      </c>
      <c r="C2130" t="s">
        <v>2003</v>
      </c>
      <c r="D2130" t="s">
        <v>13</v>
      </c>
      <c r="E2130">
        <v>100</v>
      </c>
      <c r="F2130">
        <v>0</v>
      </c>
    </row>
    <row r="2131" spans="1:6" x14ac:dyDescent="0.15">
      <c r="A2131" t="s">
        <v>210</v>
      </c>
      <c r="B2131" s="226">
        <v>42331.592499965278</v>
      </c>
      <c r="C2131" t="s">
        <v>2004</v>
      </c>
      <c r="D2131" t="s">
        <v>13</v>
      </c>
      <c r="E2131">
        <v>200</v>
      </c>
      <c r="F2131">
        <v>0</v>
      </c>
    </row>
    <row r="2132" spans="1:6" x14ac:dyDescent="0.15">
      <c r="A2132" t="s">
        <v>210</v>
      </c>
      <c r="B2132" s="226">
        <v>42331.615161469905</v>
      </c>
      <c r="C2132" t="s">
        <v>584</v>
      </c>
      <c r="D2132" t="s">
        <v>13</v>
      </c>
      <c r="E2132">
        <v>200</v>
      </c>
      <c r="F2132">
        <v>0</v>
      </c>
    </row>
    <row r="2133" spans="1:6" x14ac:dyDescent="0.15">
      <c r="A2133" t="s">
        <v>210</v>
      </c>
      <c r="B2133" s="226">
        <v>42331.635280405091</v>
      </c>
      <c r="C2133" t="s">
        <v>2005</v>
      </c>
      <c r="D2133" t="s">
        <v>13</v>
      </c>
      <c r="E2133">
        <v>60</v>
      </c>
      <c r="F2133">
        <v>0</v>
      </c>
    </row>
    <row r="2134" spans="1:6" x14ac:dyDescent="0.15">
      <c r="A2134" t="s">
        <v>210</v>
      </c>
      <c r="B2134" s="226">
        <v>42331.640410127315</v>
      </c>
      <c r="C2134" t="s">
        <v>2006</v>
      </c>
      <c r="D2134" t="s">
        <v>13</v>
      </c>
      <c r="E2134">
        <v>100</v>
      </c>
      <c r="F2134">
        <v>0</v>
      </c>
    </row>
    <row r="2135" spans="1:6" x14ac:dyDescent="0.15">
      <c r="A2135" t="s">
        <v>210</v>
      </c>
      <c r="B2135" s="226">
        <v>42331.644139722222</v>
      </c>
      <c r="C2135" t="s">
        <v>1146</v>
      </c>
      <c r="D2135" t="s">
        <v>13</v>
      </c>
      <c r="E2135">
        <v>120</v>
      </c>
      <c r="F2135">
        <v>0</v>
      </c>
    </row>
    <row r="2136" spans="1:6" x14ac:dyDescent="0.15">
      <c r="A2136" t="s">
        <v>210</v>
      </c>
      <c r="B2136" s="226">
        <v>42331.6800353125</v>
      </c>
      <c r="C2136" t="s">
        <v>2007</v>
      </c>
      <c r="D2136" t="s">
        <v>13</v>
      </c>
      <c r="E2136">
        <v>200</v>
      </c>
      <c r="F2136">
        <v>0</v>
      </c>
    </row>
    <row r="2137" spans="1:6" x14ac:dyDescent="0.15">
      <c r="A2137" t="s">
        <v>210</v>
      </c>
      <c r="B2137" s="226">
        <v>42331.689200393521</v>
      </c>
      <c r="C2137" t="s">
        <v>1160</v>
      </c>
      <c r="D2137" t="s">
        <v>13</v>
      </c>
      <c r="E2137">
        <v>20</v>
      </c>
      <c r="F2137">
        <v>0</v>
      </c>
    </row>
    <row r="2138" spans="1:6" x14ac:dyDescent="0.15">
      <c r="A2138" t="s">
        <v>210</v>
      </c>
      <c r="B2138" s="226">
        <v>42331.69009747685</v>
      </c>
      <c r="C2138" t="s">
        <v>14</v>
      </c>
      <c r="D2138" t="s">
        <v>15</v>
      </c>
      <c r="E2138">
        <v>40</v>
      </c>
      <c r="F2138">
        <v>3.7</v>
      </c>
    </row>
    <row r="2139" spans="1:6" x14ac:dyDescent="0.15">
      <c r="A2139" t="s">
        <v>210</v>
      </c>
      <c r="B2139" s="226">
        <v>42331.721880775462</v>
      </c>
      <c r="C2139" t="s">
        <v>14</v>
      </c>
      <c r="D2139" t="s">
        <v>13</v>
      </c>
      <c r="E2139">
        <v>140</v>
      </c>
      <c r="F2139">
        <v>3.5</v>
      </c>
    </row>
    <row r="2140" spans="1:6" x14ac:dyDescent="0.15">
      <c r="A2140" t="s">
        <v>210</v>
      </c>
      <c r="B2140" s="226">
        <v>42331.724463831022</v>
      </c>
      <c r="C2140" t="s">
        <v>14</v>
      </c>
      <c r="D2140" t="s">
        <v>13</v>
      </c>
      <c r="E2140">
        <v>20</v>
      </c>
      <c r="F2140">
        <v>3.5</v>
      </c>
    </row>
    <row r="2141" spans="1:6" x14ac:dyDescent="0.15">
      <c r="A2141" t="s">
        <v>210</v>
      </c>
      <c r="B2141" s="226">
        <v>42331.725055787036</v>
      </c>
      <c r="C2141" t="s">
        <v>2008</v>
      </c>
      <c r="D2141" t="s">
        <v>13</v>
      </c>
      <c r="E2141">
        <v>200</v>
      </c>
      <c r="F2141">
        <v>0</v>
      </c>
    </row>
    <row r="2142" spans="1:6" x14ac:dyDescent="0.15">
      <c r="A2142" t="s">
        <v>210</v>
      </c>
      <c r="B2142" s="226">
        <v>42331.740897407406</v>
      </c>
      <c r="C2142" t="s">
        <v>14</v>
      </c>
      <c r="D2142" t="s">
        <v>13</v>
      </c>
      <c r="E2142">
        <v>60</v>
      </c>
      <c r="F2142">
        <v>3.5</v>
      </c>
    </row>
    <row r="2143" spans="1:6" x14ac:dyDescent="0.15">
      <c r="A2143" t="s">
        <v>210</v>
      </c>
      <c r="B2143" s="226">
        <v>42331.746281111111</v>
      </c>
      <c r="C2143" t="s">
        <v>2009</v>
      </c>
      <c r="D2143" t="s">
        <v>13</v>
      </c>
      <c r="E2143">
        <v>40</v>
      </c>
      <c r="F2143">
        <v>0</v>
      </c>
    </row>
    <row r="2144" spans="1:6" x14ac:dyDescent="0.15">
      <c r="A2144" t="s">
        <v>210</v>
      </c>
      <c r="B2144" s="226">
        <v>42331.765998553237</v>
      </c>
      <c r="C2144" t="s">
        <v>14</v>
      </c>
      <c r="D2144" t="s">
        <v>13</v>
      </c>
      <c r="E2144">
        <v>100</v>
      </c>
      <c r="F2144">
        <v>3.5</v>
      </c>
    </row>
    <row r="2145" spans="1:6" x14ac:dyDescent="0.15">
      <c r="A2145" t="s">
        <v>210</v>
      </c>
      <c r="B2145" s="226">
        <v>42331.768934328706</v>
      </c>
      <c r="C2145" t="s">
        <v>2010</v>
      </c>
      <c r="D2145" t="s">
        <v>13</v>
      </c>
      <c r="E2145">
        <v>40</v>
      </c>
      <c r="F2145">
        <v>0</v>
      </c>
    </row>
    <row r="2146" spans="1:6" x14ac:dyDescent="0.15">
      <c r="A2146" t="s">
        <v>210</v>
      </c>
      <c r="B2146" s="226">
        <v>42331.775627731484</v>
      </c>
      <c r="C2146" t="s">
        <v>2011</v>
      </c>
      <c r="D2146" t="s">
        <v>13</v>
      </c>
      <c r="E2146">
        <v>20</v>
      </c>
      <c r="F2146">
        <v>0</v>
      </c>
    </row>
    <row r="2147" spans="1:6" x14ac:dyDescent="0.15">
      <c r="A2147" t="s">
        <v>210</v>
      </c>
      <c r="B2147" s="226">
        <v>42331.777231932872</v>
      </c>
      <c r="C2147" t="s">
        <v>2012</v>
      </c>
      <c r="D2147" t="s">
        <v>13</v>
      </c>
      <c r="E2147">
        <v>120</v>
      </c>
      <c r="F2147">
        <v>0</v>
      </c>
    </row>
    <row r="2148" spans="1:6" x14ac:dyDescent="0.15">
      <c r="A2148" t="s">
        <v>210</v>
      </c>
      <c r="B2148" s="226">
        <v>42331.778977581016</v>
      </c>
      <c r="C2148" t="s">
        <v>2013</v>
      </c>
      <c r="D2148" t="s">
        <v>13</v>
      </c>
      <c r="E2148">
        <v>100</v>
      </c>
      <c r="F2148">
        <v>0</v>
      </c>
    </row>
    <row r="2149" spans="1:6" x14ac:dyDescent="0.15">
      <c r="A2149" t="s">
        <v>210</v>
      </c>
      <c r="B2149" s="226">
        <v>42332.25041291667</v>
      </c>
      <c r="C2149" t="s">
        <v>2014</v>
      </c>
      <c r="D2149" t="s">
        <v>13</v>
      </c>
      <c r="E2149">
        <v>60</v>
      </c>
      <c r="F2149">
        <v>0</v>
      </c>
    </row>
    <row r="2150" spans="1:6" x14ac:dyDescent="0.15">
      <c r="A2150" t="s">
        <v>210</v>
      </c>
      <c r="B2150" s="226">
        <v>42332.295328275461</v>
      </c>
      <c r="C2150" t="s">
        <v>1994</v>
      </c>
      <c r="D2150" t="s">
        <v>13</v>
      </c>
      <c r="E2150">
        <v>120</v>
      </c>
      <c r="F2150">
        <v>0</v>
      </c>
    </row>
    <row r="2151" spans="1:6" x14ac:dyDescent="0.15">
      <c r="A2151" t="s">
        <v>210</v>
      </c>
      <c r="B2151" s="226">
        <v>42332.308249224538</v>
      </c>
      <c r="C2151" t="s">
        <v>2015</v>
      </c>
      <c r="D2151" t="s">
        <v>13</v>
      </c>
      <c r="E2151">
        <v>80</v>
      </c>
      <c r="F2151">
        <v>0</v>
      </c>
    </row>
    <row r="2152" spans="1:6" x14ac:dyDescent="0.15">
      <c r="A2152" t="s">
        <v>210</v>
      </c>
      <c r="B2152" s="226">
        <v>42332.317866736114</v>
      </c>
      <c r="C2152" t="s">
        <v>2016</v>
      </c>
      <c r="D2152" t="s">
        <v>13</v>
      </c>
      <c r="E2152">
        <v>60</v>
      </c>
      <c r="F2152">
        <v>0</v>
      </c>
    </row>
    <row r="2153" spans="1:6" x14ac:dyDescent="0.15">
      <c r="A2153" t="s">
        <v>210</v>
      </c>
      <c r="B2153" s="226">
        <v>42332.350036539348</v>
      </c>
      <c r="C2153" t="s">
        <v>2017</v>
      </c>
      <c r="D2153" t="s">
        <v>13</v>
      </c>
      <c r="E2153">
        <v>40</v>
      </c>
      <c r="F2153">
        <v>0</v>
      </c>
    </row>
    <row r="2154" spans="1:6" x14ac:dyDescent="0.15">
      <c r="A2154" t="s">
        <v>210</v>
      </c>
      <c r="B2154" s="226">
        <v>42332.375800937501</v>
      </c>
      <c r="C2154" t="s">
        <v>266</v>
      </c>
      <c r="D2154" t="s">
        <v>13</v>
      </c>
      <c r="E2154">
        <v>80</v>
      </c>
      <c r="F2154">
        <v>0</v>
      </c>
    </row>
    <row r="2155" spans="1:6" x14ac:dyDescent="0.15">
      <c r="A2155" t="s">
        <v>210</v>
      </c>
      <c r="B2155" s="226">
        <v>42332.382867129629</v>
      </c>
      <c r="C2155" t="s">
        <v>2018</v>
      </c>
      <c r="D2155" t="s">
        <v>13</v>
      </c>
      <c r="E2155">
        <v>80</v>
      </c>
      <c r="F2155">
        <v>0</v>
      </c>
    </row>
    <row r="2156" spans="1:6" x14ac:dyDescent="0.15">
      <c r="A2156" t="s">
        <v>210</v>
      </c>
      <c r="B2156" s="226">
        <v>42332.409181122683</v>
      </c>
      <c r="C2156" t="s">
        <v>1810</v>
      </c>
      <c r="D2156" t="s">
        <v>13</v>
      </c>
      <c r="E2156">
        <v>80</v>
      </c>
      <c r="F2156">
        <v>0</v>
      </c>
    </row>
    <row r="2157" spans="1:6" x14ac:dyDescent="0.15">
      <c r="A2157" t="s">
        <v>210</v>
      </c>
      <c r="B2157" s="226">
        <v>42332.413120763886</v>
      </c>
      <c r="C2157" t="s">
        <v>464</v>
      </c>
      <c r="D2157" t="s">
        <v>13</v>
      </c>
      <c r="E2157">
        <v>80</v>
      </c>
      <c r="F2157">
        <v>0</v>
      </c>
    </row>
    <row r="2158" spans="1:6" x14ac:dyDescent="0.15">
      <c r="A2158" t="s">
        <v>210</v>
      </c>
      <c r="B2158" s="226">
        <v>42332.417186226849</v>
      </c>
      <c r="C2158" t="s">
        <v>465</v>
      </c>
      <c r="D2158" t="s">
        <v>13</v>
      </c>
      <c r="E2158">
        <v>100</v>
      </c>
      <c r="F2158">
        <v>0</v>
      </c>
    </row>
    <row r="2159" spans="1:6" x14ac:dyDescent="0.15">
      <c r="A2159" t="s">
        <v>210</v>
      </c>
      <c r="B2159" s="226">
        <v>42332.456294953707</v>
      </c>
      <c r="C2159" t="s">
        <v>2019</v>
      </c>
      <c r="D2159" t="s">
        <v>13</v>
      </c>
      <c r="E2159">
        <v>100</v>
      </c>
      <c r="F2159">
        <v>0</v>
      </c>
    </row>
    <row r="2160" spans="1:6" x14ac:dyDescent="0.15">
      <c r="A2160" t="s">
        <v>210</v>
      </c>
      <c r="B2160" s="226">
        <v>42332.471511701391</v>
      </c>
      <c r="C2160" t="s">
        <v>2020</v>
      </c>
      <c r="D2160" t="s">
        <v>13</v>
      </c>
      <c r="E2160">
        <v>100</v>
      </c>
      <c r="F2160">
        <v>0</v>
      </c>
    </row>
    <row r="2161" spans="1:6" x14ac:dyDescent="0.15">
      <c r="A2161" t="s">
        <v>210</v>
      </c>
      <c r="B2161" s="226">
        <v>42332.487836030094</v>
      </c>
      <c r="C2161" t="s">
        <v>1457</v>
      </c>
      <c r="D2161" t="s">
        <v>13</v>
      </c>
      <c r="E2161">
        <v>40</v>
      </c>
      <c r="F2161">
        <v>0</v>
      </c>
    </row>
    <row r="2162" spans="1:6" x14ac:dyDescent="0.15">
      <c r="A2162" t="s">
        <v>210</v>
      </c>
      <c r="B2162" s="226">
        <v>42332.497258379626</v>
      </c>
      <c r="C2162" t="s">
        <v>2021</v>
      </c>
      <c r="D2162" t="s">
        <v>13</v>
      </c>
      <c r="E2162">
        <v>120</v>
      </c>
      <c r="F2162">
        <v>0</v>
      </c>
    </row>
    <row r="2163" spans="1:6" x14ac:dyDescent="0.15">
      <c r="A2163" t="s">
        <v>210</v>
      </c>
      <c r="B2163" s="226">
        <v>42332.502191018517</v>
      </c>
      <c r="C2163" t="s">
        <v>14</v>
      </c>
      <c r="D2163" t="s">
        <v>13</v>
      </c>
      <c r="E2163">
        <v>100</v>
      </c>
      <c r="F2163">
        <v>3.5</v>
      </c>
    </row>
    <row r="2164" spans="1:6" x14ac:dyDescent="0.15">
      <c r="A2164" t="s">
        <v>210</v>
      </c>
      <c r="B2164" s="226">
        <v>42332.509289409725</v>
      </c>
      <c r="C2164" t="s">
        <v>2022</v>
      </c>
      <c r="D2164" t="s">
        <v>13</v>
      </c>
      <c r="E2164">
        <v>100</v>
      </c>
      <c r="F2164">
        <v>0</v>
      </c>
    </row>
    <row r="2165" spans="1:6" x14ac:dyDescent="0.15">
      <c r="A2165" t="s">
        <v>210</v>
      </c>
      <c r="B2165" s="226">
        <v>42332.512371863428</v>
      </c>
      <c r="C2165" t="s">
        <v>2023</v>
      </c>
      <c r="D2165" t="s">
        <v>13</v>
      </c>
      <c r="E2165">
        <v>500</v>
      </c>
      <c r="F2165">
        <v>0</v>
      </c>
    </row>
    <row r="2166" spans="1:6" x14ac:dyDescent="0.15">
      <c r="A2166" t="s">
        <v>210</v>
      </c>
      <c r="B2166" s="226">
        <v>42332.535973923608</v>
      </c>
      <c r="C2166" t="s">
        <v>2024</v>
      </c>
      <c r="D2166" t="s">
        <v>13</v>
      </c>
      <c r="E2166">
        <v>40</v>
      </c>
      <c r="F2166">
        <v>0</v>
      </c>
    </row>
    <row r="2167" spans="1:6" x14ac:dyDescent="0.15">
      <c r="A2167" t="s">
        <v>210</v>
      </c>
      <c r="B2167" s="226">
        <v>42332.53954351852</v>
      </c>
      <c r="C2167" t="s">
        <v>466</v>
      </c>
      <c r="D2167" t="s">
        <v>13</v>
      </c>
      <c r="E2167">
        <v>40</v>
      </c>
      <c r="F2167">
        <v>0</v>
      </c>
    </row>
    <row r="2168" spans="1:6" x14ac:dyDescent="0.15">
      <c r="A2168" t="s">
        <v>210</v>
      </c>
      <c r="B2168" s="226">
        <v>42332.559522430558</v>
      </c>
      <c r="C2168" t="s">
        <v>467</v>
      </c>
      <c r="D2168" t="s">
        <v>13</v>
      </c>
      <c r="E2168">
        <v>40</v>
      </c>
      <c r="F2168">
        <v>0</v>
      </c>
    </row>
    <row r="2169" spans="1:6" x14ac:dyDescent="0.15">
      <c r="A2169" t="s">
        <v>210</v>
      </c>
      <c r="B2169" s="226">
        <v>42332.570488032405</v>
      </c>
      <c r="C2169" t="s">
        <v>238</v>
      </c>
      <c r="D2169" t="s">
        <v>13</v>
      </c>
      <c r="E2169">
        <v>40</v>
      </c>
      <c r="F2169">
        <v>0</v>
      </c>
    </row>
    <row r="2170" spans="1:6" x14ac:dyDescent="0.15">
      <c r="A2170" t="s">
        <v>210</v>
      </c>
      <c r="B2170" s="226">
        <v>42332.573638148147</v>
      </c>
      <c r="C2170" t="s">
        <v>252</v>
      </c>
      <c r="D2170" t="s">
        <v>13</v>
      </c>
      <c r="E2170">
        <v>200</v>
      </c>
      <c r="F2170">
        <v>0</v>
      </c>
    </row>
    <row r="2171" spans="1:6" x14ac:dyDescent="0.15">
      <c r="A2171" t="s">
        <v>210</v>
      </c>
      <c r="B2171" s="226">
        <v>42332.626565787039</v>
      </c>
      <c r="C2171" t="s">
        <v>2025</v>
      </c>
      <c r="D2171" t="s">
        <v>13</v>
      </c>
      <c r="E2171">
        <v>80</v>
      </c>
      <c r="F2171">
        <v>0</v>
      </c>
    </row>
    <row r="2172" spans="1:6" x14ac:dyDescent="0.15">
      <c r="A2172" t="s">
        <v>210</v>
      </c>
      <c r="B2172" s="226">
        <v>42332.659128032406</v>
      </c>
      <c r="C2172" t="s">
        <v>1717</v>
      </c>
      <c r="D2172" t="s">
        <v>13</v>
      </c>
      <c r="E2172">
        <v>100</v>
      </c>
      <c r="F2172">
        <v>0</v>
      </c>
    </row>
    <row r="2173" spans="1:6" x14ac:dyDescent="0.15">
      <c r="A2173" t="s">
        <v>210</v>
      </c>
      <c r="B2173" s="226">
        <v>42332.69598196759</v>
      </c>
      <c r="C2173" t="s">
        <v>2026</v>
      </c>
      <c r="D2173" t="s">
        <v>13</v>
      </c>
      <c r="E2173">
        <v>120</v>
      </c>
      <c r="F2173">
        <v>0</v>
      </c>
    </row>
    <row r="2174" spans="1:6" x14ac:dyDescent="0.15">
      <c r="A2174" t="s">
        <v>210</v>
      </c>
      <c r="B2174" s="226">
        <v>42332.715654444444</v>
      </c>
      <c r="C2174" t="s">
        <v>669</v>
      </c>
      <c r="D2174" t="s">
        <v>13</v>
      </c>
      <c r="E2174">
        <v>400</v>
      </c>
      <c r="F2174">
        <v>0</v>
      </c>
    </row>
    <row r="2175" spans="1:6" x14ac:dyDescent="0.15">
      <c r="A2175" t="s">
        <v>210</v>
      </c>
      <c r="B2175" s="226">
        <v>42332.729883136577</v>
      </c>
      <c r="C2175" t="s">
        <v>2027</v>
      </c>
      <c r="D2175" t="s">
        <v>13</v>
      </c>
      <c r="E2175">
        <v>80</v>
      </c>
      <c r="F2175">
        <v>0</v>
      </c>
    </row>
    <row r="2176" spans="1:6" x14ac:dyDescent="0.15">
      <c r="A2176" t="s">
        <v>210</v>
      </c>
      <c r="B2176" s="226">
        <v>42332.73301747685</v>
      </c>
      <c r="C2176" t="s">
        <v>2028</v>
      </c>
      <c r="D2176" t="s">
        <v>13</v>
      </c>
      <c r="E2176">
        <v>80</v>
      </c>
      <c r="F2176">
        <v>0</v>
      </c>
    </row>
    <row r="2177" spans="1:6" x14ac:dyDescent="0.15">
      <c r="A2177" t="s">
        <v>210</v>
      </c>
      <c r="B2177" s="226">
        <v>42332.745716944446</v>
      </c>
      <c r="C2177" t="s">
        <v>717</v>
      </c>
      <c r="D2177" t="s">
        <v>13</v>
      </c>
      <c r="E2177">
        <v>80</v>
      </c>
      <c r="F2177">
        <v>0</v>
      </c>
    </row>
    <row r="2178" spans="1:6" x14ac:dyDescent="0.15">
      <c r="A2178" t="s">
        <v>210</v>
      </c>
      <c r="B2178" s="226">
        <v>42332.767659212965</v>
      </c>
      <c r="C2178" t="s">
        <v>189</v>
      </c>
      <c r="D2178" t="s">
        <v>13</v>
      </c>
      <c r="E2178">
        <v>60</v>
      </c>
      <c r="F2178">
        <v>0</v>
      </c>
    </row>
    <row r="2179" spans="1:6" x14ac:dyDescent="0.15">
      <c r="A2179" t="s">
        <v>210</v>
      </c>
      <c r="B2179" s="226">
        <v>42332.815039502311</v>
      </c>
      <c r="C2179" t="s">
        <v>2029</v>
      </c>
      <c r="D2179" t="s">
        <v>13</v>
      </c>
      <c r="E2179">
        <v>80</v>
      </c>
      <c r="F2179">
        <v>0</v>
      </c>
    </row>
    <row r="2180" spans="1:6" x14ac:dyDescent="0.15">
      <c r="A2180" t="s">
        <v>210</v>
      </c>
      <c r="B2180" s="226">
        <v>42332.904780960649</v>
      </c>
      <c r="C2180" t="s">
        <v>2030</v>
      </c>
      <c r="D2180" t="s">
        <v>13</v>
      </c>
      <c r="E2180">
        <v>20</v>
      </c>
      <c r="F2180">
        <v>0</v>
      </c>
    </row>
    <row r="2181" spans="1:6" x14ac:dyDescent="0.15">
      <c r="A2181" t="s">
        <v>210</v>
      </c>
      <c r="B2181" s="226">
        <v>42332.949388321758</v>
      </c>
      <c r="C2181" t="s">
        <v>1692</v>
      </c>
      <c r="D2181" t="s">
        <v>13</v>
      </c>
      <c r="E2181">
        <v>40</v>
      </c>
      <c r="F2181">
        <v>0</v>
      </c>
    </row>
    <row r="2182" spans="1:6" x14ac:dyDescent="0.15">
      <c r="A2182" t="s">
        <v>210</v>
      </c>
      <c r="B2182" s="226">
        <v>42333.201121064812</v>
      </c>
      <c r="C2182" t="s">
        <v>2031</v>
      </c>
      <c r="D2182" t="s">
        <v>13</v>
      </c>
      <c r="E2182">
        <v>20</v>
      </c>
      <c r="F2182">
        <v>0</v>
      </c>
    </row>
    <row r="2183" spans="1:6" x14ac:dyDescent="0.15">
      <c r="A2183" t="s">
        <v>210</v>
      </c>
      <c r="B2183" s="226">
        <v>42333.22290364583</v>
      </c>
      <c r="C2183" t="s">
        <v>1093</v>
      </c>
      <c r="D2183" t="s">
        <v>13</v>
      </c>
      <c r="E2183">
        <v>80</v>
      </c>
      <c r="F2183">
        <v>0</v>
      </c>
    </row>
    <row r="2184" spans="1:6" x14ac:dyDescent="0.15">
      <c r="A2184" t="s">
        <v>210</v>
      </c>
      <c r="B2184" s="226">
        <v>42333.228621273149</v>
      </c>
      <c r="C2184" t="s">
        <v>2032</v>
      </c>
      <c r="D2184" t="s">
        <v>13</v>
      </c>
      <c r="E2184">
        <v>80</v>
      </c>
      <c r="F2184">
        <v>0</v>
      </c>
    </row>
    <row r="2185" spans="1:6" x14ac:dyDescent="0.15">
      <c r="A2185" t="s">
        <v>210</v>
      </c>
      <c r="B2185" s="226">
        <v>42333.245186712964</v>
      </c>
      <c r="C2185" t="s">
        <v>2033</v>
      </c>
      <c r="D2185" t="s">
        <v>13</v>
      </c>
      <c r="E2185">
        <v>100</v>
      </c>
      <c r="F2185">
        <v>0</v>
      </c>
    </row>
    <row r="2186" spans="1:6" x14ac:dyDescent="0.15">
      <c r="A2186" t="s">
        <v>210</v>
      </c>
      <c r="B2186" s="226">
        <v>42333.286110856483</v>
      </c>
      <c r="C2186" t="s">
        <v>14</v>
      </c>
      <c r="D2186" t="s">
        <v>13</v>
      </c>
      <c r="E2186">
        <v>60</v>
      </c>
      <c r="F2186">
        <v>3.5</v>
      </c>
    </row>
    <row r="2187" spans="1:6" x14ac:dyDescent="0.15">
      <c r="A2187" t="s">
        <v>210</v>
      </c>
      <c r="B2187" s="226">
        <v>42333.296033541665</v>
      </c>
      <c r="C2187" t="s">
        <v>2034</v>
      </c>
      <c r="D2187" t="s">
        <v>13</v>
      </c>
      <c r="E2187">
        <v>40</v>
      </c>
      <c r="F2187">
        <v>0</v>
      </c>
    </row>
    <row r="2188" spans="1:6" x14ac:dyDescent="0.15">
      <c r="A2188" t="s">
        <v>210</v>
      </c>
      <c r="B2188" s="226">
        <v>42333.298299166665</v>
      </c>
      <c r="C2188" t="s">
        <v>2035</v>
      </c>
      <c r="D2188" t="s">
        <v>13</v>
      </c>
      <c r="E2188">
        <v>20</v>
      </c>
      <c r="F2188">
        <v>0</v>
      </c>
    </row>
    <row r="2189" spans="1:6" x14ac:dyDescent="0.15">
      <c r="A2189" t="s">
        <v>210</v>
      </c>
      <c r="B2189" s="226">
        <v>42333.362138750002</v>
      </c>
      <c r="C2189" t="s">
        <v>695</v>
      </c>
      <c r="D2189" t="s">
        <v>13</v>
      </c>
      <c r="E2189">
        <v>80</v>
      </c>
      <c r="F2189">
        <v>0</v>
      </c>
    </row>
    <row r="2190" spans="1:6" x14ac:dyDescent="0.15">
      <c r="A2190" t="s">
        <v>210</v>
      </c>
      <c r="B2190" s="226">
        <v>42333.374443981484</v>
      </c>
      <c r="C2190" t="s">
        <v>2036</v>
      </c>
      <c r="D2190" t="s">
        <v>13</v>
      </c>
      <c r="E2190">
        <v>60</v>
      </c>
      <c r="F2190">
        <v>0</v>
      </c>
    </row>
    <row r="2191" spans="1:6" x14ac:dyDescent="0.15">
      <c r="A2191" t="s">
        <v>210</v>
      </c>
      <c r="B2191" s="226">
        <v>42333.412809479167</v>
      </c>
      <c r="C2191" t="s">
        <v>2037</v>
      </c>
      <c r="D2191" t="s">
        <v>13</v>
      </c>
      <c r="E2191">
        <v>60</v>
      </c>
      <c r="F2191">
        <v>0</v>
      </c>
    </row>
    <row r="2192" spans="1:6" x14ac:dyDescent="0.15">
      <c r="A2192" t="s">
        <v>210</v>
      </c>
      <c r="B2192" s="226">
        <v>42333.425422175926</v>
      </c>
      <c r="C2192" t="s">
        <v>14</v>
      </c>
      <c r="D2192" t="s">
        <v>13</v>
      </c>
      <c r="E2192">
        <v>80</v>
      </c>
      <c r="F2192">
        <v>3.5</v>
      </c>
    </row>
    <row r="2193" spans="1:6" x14ac:dyDescent="0.15">
      <c r="A2193" t="s">
        <v>210</v>
      </c>
      <c r="B2193" s="226">
        <v>42333.436668032409</v>
      </c>
      <c r="C2193" t="s">
        <v>804</v>
      </c>
      <c r="D2193" t="s">
        <v>13</v>
      </c>
      <c r="E2193">
        <v>20</v>
      </c>
      <c r="F2193">
        <v>0</v>
      </c>
    </row>
    <row r="2194" spans="1:6" x14ac:dyDescent="0.15">
      <c r="A2194" t="s">
        <v>210</v>
      </c>
      <c r="B2194" s="226">
        <v>42333.450438206019</v>
      </c>
      <c r="C2194" t="s">
        <v>468</v>
      </c>
      <c r="D2194" t="s">
        <v>13</v>
      </c>
      <c r="E2194">
        <v>60</v>
      </c>
      <c r="F2194">
        <v>0</v>
      </c>
    </row>
    <row r="2195" spans="1:6" x14ac:dyDescent="0.15">
      <c r="A2195" t="s">
        <v>210</v>
      </c>
      <c r="B2195" s="226">
        <v>42333.465787141206</v>
      </c>
      <c r="C2195" t="s">
        <v>2038</v>
      </c>
      <c r="D2195" t="s">
        <v>13</v>
      </c>
      <c r="E2195">
        <v>60</v>
      </c>
      <c r="F2195">
        <v>0</v>
      </c>
    </row>
    <row r="2196" spans="1:6" x14ac:dyDescent="0.15">
      <c r="A2196" t="s">
        <v>210</v>
      </c>
      <c r="B2196" s="226">
        <v>42333.484214618053</v>
      </c>
      <c r="C2196" t="s">
        <v>73</v>
      </c>
      <c r="D2196" t="s">
        <v>13</v>
      </c>
      <c r="E2196">
        <v>40</v>
      </c>
      <c r="F2196">
        <v>0</v>
      </c>
    </row>
    <row r="2197" spans="1:6" x14ac:dyDescent="0.15">
      <c r="A2197" t="s">
        <v>210</v>
      </c>
      <c r="B2197" s="226">
        <v>42333.514220543984</v>
      </c>
      <c r="C2197" t="s">
        <v>2039</v>
      </c>
      <c r="D2197" t="s">
        <v>13</v>
      </c>
      <c r="E2197">
        <v>80</v>
      </c>
      <c r="F2197">
        <v>0</v>
      </c>
    </row>
    <row r="2198" spans="1:6" x14ac:dyDescent="0.15">
      <c r="A2198" t="s">
        <v>210</v>
      </c>
      <c r="B2198" s="226">
        <v>42333.515721215277</v>
      </c>
      <c r="C2198" t="s">
        <v>2040</v>
      </c>
      <c r="D2198" t="s">
        <v>13</v>
      </c>
      <c r="E2198">
        <v>100</v>
      </c>
      <c r="F2198">
        <v>0</v>
      </c>
    </row>
    <row r="2199" spans="1:6" x14ac:dyDescent="0.15">
      <c r="A2199" t="s">
        <v>210</v>
      </c>
      <c r="B2199" s="226">
        <v>42333.518011921296</v>
      </c>
      <c r="C2199" t="s">
        <v>2041</v>
      </c>
      <c r="D2199" t="s">
        <v>13</v>
      </c>
      <c r="E2199">
        <v>100</v>
      </c>
      <c r="F2199">
        <v>0</v>
      </c>
    </row>
    <row r="2200" spans="1:6" x14ac:dyDescent="0.15">
      <c r="A2200" t="s">
        <v>210</v>
      </c>
      <c r="B2200" s="226">
        <v>42333.523996122683</v>
      </c>
      <c r="C2200" t="s">
        <v>2042</v>
      </c>
      <c r="D2200" t="s">
        <v>13</v>
      </c>
      <c r="E2200">
        <v>120</v>
      </c>
      <c r="F2200">
        <v>0</v>
      </c>
    </row>
    <row r="2201" spans="1:6" x14ac:dyDescent="0.15">
      <c r="A2201" t="s">
        <v>210</v>
      </c>
      <c r="B2201" s="226">
        <v>42333.524980069444</v>
      </c>
      <c r="C2201" t="s">
        <v>2043</v>
      </c>
      <c r="D2201" t="s">
        <v>13</v>
      </c>
      <c r="E2201">
        <v>400</v>
      </c>
      <c r="F2201">
        <v>0</v>
      </c>
    </row>
    <row r="2202" spans="1:6" x14ac:dyDescent="0.15">
      <c r="A2202" t="s">
        <v>210</v>
      </c>
      <c r="B2202" s="226">
        <v>42333.527935069447</v>
      </c>
      <c r="C2202" t="s">
        <v>2044</v>
      </c>
      <c r="D2202" t="s">
        <v>13</v>
      </c>
      <c r="E2202">
        <v>100</v>
      </c>
      <c r="F2202">
        <v>0</v>
      </c>
    </row>
    <row r="2203" spans="1:6" x14ac:dyDescent="0.15">
      <c r="A2203" t="s">
        <v>210</v>
      </c>
      <c r="B2203" s="226">
        <v>42333.533452731484</v>
      </c>
      <c r="C2203" t="s">
        <v>2045</v>
      </c>
      <c r="D2203" t="s">
        <v>13</v>
      </c>
      <c r="E2203">
        <v>40</v>
      </c>
      <c r="F2203">
        <v>0</v>
      </c>
    </row>
    <row r="2204" spans="1:6" x14ac:dyDescent="0.15">
      <c r="A2204" t="s">
        <v>210</v>
      </c>
      <c r="B2204" s="226">
        <v>42333.549418958333</v>
      </c>
      <c r="C2204" t="s">
        <v>2046</v>
      </c>
      <c r="D2204" t="s">
        <v>13</v>
      </c>
      <c r="E2204">
        <v>80</v>
      </c>
      <c r="F2204">
        <v>0</v>
      </c>
    </row>
    <row r="2205" spans="1:6" x14ac:dyDescent="0.15">
      <c r="A2205" t="s">
        <v>210</v>
      </c>
      <c r="B2205" s="226">
        <v>42333.549989884261</v>
      </c>
      <c r="C2205" t="s">
        <v>364</v>
      </c>
      <c r="D2205" t="s">
        <v>13</v>
      </c>
      <c r="E2205">
        <v>100</v>
      </c>
      <c r="F2205">
        <v>0</v>
      </c>
    </row>
    <row r="2206" spans="1:6" x14ac:dyDescent="0.15">
      <c r="A2206" t="s">
        <v>210</v>
      </c>
      <c r="B2206" s="226">
        <v>42333.558671516206</v>
      </c>
      <c r="C2206" t="s">
        <v>2047</v>
      </c>
      <c r="D2206" t="s">
        <v>13</v>
      </c>
      <c r="E2206">
        <v>40</v>
      </c>
      <c r="F2206">
        <v>0</v>
      </c>
    </row>
    <row r="2207" spans="1:6" x14ac:dyDescent="0.15">
      <c r="A2207" t="s">
        <v>210</v>
      </c>
      <c r="B2207" s="226">
        <v>42333.565747106484</v>
      </c>
      <c r="C2207" t="s">
        <v>2048</v>
      </c>
      <c r="D2207" t="s">
        <v>13</v>
      </c>
      <c r="E2207">
        <v>20</v>
      </c>
      <c r="F2207">
        <v>0</v>
      </c>
    </row>
    <row r="2208" spans="1:6" x14ac:dyDescent="0.15">
      <c r="A2208" t="s">
        <v>210</v>
      </c>
      <c r="B2208" s="226">
        <v>42333.574711307869</v>
      </c>
      <c r="C2208" t="s">
        <v>2049</v>
      </c>
      <c r="D2208" t="s">
        <v>13</v>
      </c>
      <c r="E2208">
        <v>100</v>
      </c>
      <c r="F2208">
        <v>0</v>
      </c>
    </row>
    <row r="2209" spans="1:6" x14ac:dyDescent="0.15">
      <c r="A2209" t="s">
        <v>210</v>
      </c>
      <c r="B2209" s="226">
        <v>42333.583524606482</v>
      </c>
      <c r="C2209" t="s">
        <v>14</v>
      </c>
      <c r="D2209" t="s">
        <v>13</v>
      </c>
      <c r="E2209">
        <v>40</v>
      </c>
      <c r="F2209">
        <v>3.5</v>
      </c>
    </row>
    <row r="2210" spans="1:6" x14ac:dyDescent="0.15">
      <c r="A2210" t="s">
        <v>210</v>
      </c>
      <c r="B2210" s="226">
        <v>42333.586396886574</v>
      </c>
      <c r="C2210" t="s">
        <v>2050</v>
      </c>
      <c r="D2210" t="s">
        <v>13</v>
      </c>
      <c r="E2210">
        <v>40</v>
      </c>
      <c r="F2210">
        <v>0</v>
      </c>
    </row>
    <row r="2211" spans="1:6" x14ac:dyDescent="0.15">
      <c r="A2211" t="s">
        <v>210</v>
      </c>
      <c r="B2211" s="226">
        <v>42333.600965196762</v>
      </c>
      <c r="C2211" t="s">
        <v>2051</v>
      </c>
      <c r="D2211" t="s">
        <v>13</v>
      </c>
      <c r="E2211">
        <v>60</v>
      </c>
      <c r="F2211">
        <v>0</v>
      </c>
    </row>
    <row r="2212" spans="1:6" x14ac:dyDescent="0.15">
      <c r="A2212" t="s">
        <v>210</v>
      </c>
      <c r="B2212" s="226">
        <v>42333.602177395835</v>
      </c>
      <c r="C2212" t="s">
        <v>2052</v>
      </c>
      <c r="D2212" t="s">
        <v>13</v>
      </c>
      <c r="E2212">
        <v>40</v>
      </c>
      <c r="F2212">
        <v>0</v>
      </c>
    </row>
    <row r="2213" spans="1:6" x14ac:dyDescent="0.15">
      <c r="A2213" t="s">
        <v>210</v>
      </c>
      <c r="B2213" s="226">
        <v>42333.616061354165</v>
      </c>
      <c r="C2213" t="s">
        <v>2053</v>
      </c>
      <c r="D2213" t="s">
        <v>13</v>
      </c>
      <c r="E2213">
        <v>60</v>
      </c>
      <c r="F2213">
        <v>0</v>
      </c>
    </row>
    <row r="2214" spans="1:6" x14ac:dyDescent="0.15">
      <c r="A2214" t="s">
        <v>210</v>
      </c>
      <c r="B2214" s="226">
        <v>42333.624380243054</v>
      </c>
      <c r="C2214" t="s">
        <v>2054</v>
      </c>
      <c r="D2214" t="s">
        <v>13</v>
      </c>
      <c r="E2214">
        <v>40</v>
      </c>
      <c r="F2214">
        <v>0</v>
      </c>
    </row>
    <row r="2215" spans="1:6" x14ac:dyDescent="0.15">
      <c r="A2215" t="s">
        <v>210</v>
      </c>
      <c r="B2215" s="226">
        <v>42333.630496712962</v>
      </c>
      <c r="C2215" t="s">
        <v>2055</v>
      </c>
      <c r="D2215" t="s">
        <v>13</v>
      </c>
      <c r="E2215">
        <v>100</v>
      </c>
      <c r="F2215">
        <v>0</v>
      </c>
    </row>
    <row r="2216" spans="1:6" x14ac:dyDescent="0.15">
      <c r="A2216" t="s">
        <v>210</v>
      </c>
      <c r="B2216" s="226">
        <v>42333.637404363428</v>
      </c>
      <c r="C2216" t="s">
        <v>469</v>
      </c>
      <c r="D2216" t="s">
        <v>13</v>
      </c>
      <c r="E2216">
        <v>20</v>
      </c>
      <c r="F2216">
        <v>0</v>
      </c>
    </row>
    <row r="2217" spans="1:6" x14ac:dyDescent="0.15">
      <c r="A2217" t="s">
        <v>210</v>
      </c>
      <c r="B2217" s="226">
        <v>42333.638315659722</v>
      </c>
      <c r="C2217" t="s">
        <v>2056</v>
      </c>
      <c r="D2217" t="s">
        <v>13</v>
      </c>
      <c r="E2217">
        <v>500</v>
      </c>
      <c r="F2217">
        <v>0</v>
      </c>
    </row>
    <row r="2218" spans="1:6" x14ac:dyDescent="0.15">
      <c r="A2218" t="s">
        <v>210</v>
      </c>
      <c r="B2218" s="226">
        <v>42333.648391365743</v>
      </c>
      <c r="C2218" t="s">
        <v>2057</v>
      </c>
      <c r="D2218" t="s">
        <v>13</v>
      </c>
      <c r="E2218">
        <v>100</v>
      </c>
      <c r="F2218">
        <v>0</v>
      </c>
    </row>
    <row r="2219" spans="1:6" x14ac:dyDescent="0.15">
      <c r="A2219" t="s">
        <v>210</v>
      </c>
      <c r="B2219" s="226">
        <v>42333.682665578701</v>
      </c>
      <c r="C2219" t="s">
        <v>470</v>
      </c>
      <c r="D2219" t="s">
        <v>13</v>
      </c>
      <c r="E2219">
        <v>40</v>
      </c>
      <c r="F2219">
        <v>0</v>
      </c>
    </row>
    <row r="2220" spans="1:6" x14ac:dyDescent="0.15">
      <c r="A2220" t="s">
        <v>210</v>
      </c>
      <c r="B2220" s="226">
        <v>42333.686742094906</v>
      </c>
      <c r="C2220" t="s">
        <v>2058</v>
      </c>
      <c r="D2220" t="s">
        <v>13</v>
      </c>
      <c r="E2220">
        <v>100</v>
      </c>
      <c r="F2220">
        <v>0</v>
      </c>
    </row>
    <row r="2221" spans="1:6" x14ac:dyDescent="0.15">
      <c r="A2221" t="s">
        <v>210</v>
      </c>
      <c r="B2221" s="226">
        <v>42333.69540246528</v>
      </c>
      <c r="C2221" t="s">
        <v>1089</v>
      </c>
      <c r="D2221" t="s">
        <v>13</v>
      </c>
      <c r="E2221">
        <v>100</v>
      </c>
      <c r="F2221">
        <v>0</v>
      </c>
    </row>
    <row r="2222" spans="1:6" x14ac:dyDescent="0.15">
      <c r="A2222" t="s">
        <v>210</v>
      </c>
      <c r="B2222" s="226">
        <v>42333.795475358798</v>
      </c>
      <c r="C2222" t="s">
        <v>2059</v>
      </c>
      <c r="D2222" t="s">
        <v>13</v>
      </c>
      <c r="E2222">
        <v>100</v>
      </c>
      <c r="F2222">
        <v>0</v>
      </c>
    </row>
    <row r="2223" spans="1:6" x14ac:dyDescent="0.15">
      <c r="A2223" t="s">
        <v>210</v>
      </c>
      <c r="B2223" s="226">
        <v>42334.044311782411</v>
      </c>
      <c r="C2223" t="s">
        <v>2060</v>
      </c>
      <c r="D2223" t="s">
        <v>13</v>
      </c>
      <c r="E2223">
        <v>20</v>
      </c>
      <c r="F2223">
        <v>0</v>
      </c>
    </row>
    <row r="2224" spans="1:6" x14ac:dyDescent="0.15">
      <c r="A2224" t="s">
        <v>210</v>
      </c>
      <c r="B2224" s="226">
        <v>42334.216901319443</v>
      </c>
      <c r="C2224" t="s">
        <v>2061</v>
      </c>
      <c r="D2224" t="s">
        <v>13</v>
      </c>
      <c r="E2224">
        <v>120</v>
      </c>
      <c r="F2224">
        <v>0</v>
      </c>
    </row>
    <row r="2225" spans="1:6" x14ac:dyDescent="0.15">
      <c r="A2225" t="s">
        <v>210</v>
      </c>
      <c r="B2225" s="226">
        <v>42334.304384537034</v>
      </c>
      <c r="C2225" t="s">
        <v>2062</v>
      </c>
      <c r="D2225" t="s">
        <v>13</v>
      </c>
      <c r="E2225">
        <v>100</v>
      </c>
      <c r="F2225">
        <v>0</v>
      </c>
    </row>
    <row r="2226" spans="1:6" x14ac:dyDescent="0.15">
      <c r="A2226" t="s">
        <v>210</v>
      </c>
      <c r="B2226" s="226">
        <v>42334.349078055558</v>
      </c>
      <c r="C2226" t="s">
        <v>471</v>
      </c>
      <c r="D2226" t="s">
        <v>13</v>
      </c>
      <c r="E2226">
        <v>140</v>
      </c>
      <c r="F2226">
        <v>0</v>
      </c>
    </row>
    <row r="2227" spans="1:6" x14ac:dyDescent="0.15">
      <c r="A2227" t="s">
        <v>210</v>
      </c>
      <c r="B2227" s="226">
        <v>42334.357708657408</v>
      </c>
      <c r="C2227" t="s">
        <v>2063</v>
      </c>
      <c r="D2227" t="s">
        <v>13</v>
      </c>
      <c r="E2227">
        <v>40</v>
      </c>
      <c r="F2227">
        <v>0</v>
      </c>
    </row>
    <row r="2228" spans="1:6" x14ac:dyDescent="0.15">
      <c r="A2228" t="s">
        <v>210</v>
      </c>
      <c r="B2228" s="226">
        <v>42334.362701851853</v>
      </c>
      <c r="C2228" t="s">
        <v>2064</v>
      </c>
      <c r="D2228" t="s">
        <v>13</v>
      </c>
      <c r="E2228">
        <v>60</v>
      </c>
      <c r="F2228">
        <v>0</v>
      </c>
    </row>
    <row r="2229" spans="1:6" x14ac:dyDescent="0.15">
      <c r="A2229" t="s">
        <v>210</v>
      </c>
      <c r="B2229" s="226">
        <v>42334.377415243056</v>
      </c>
      <c r="C2229" t="s">
        <v>1820</v>
      </c>
      <c r="D2229" t="s">
        <v>13</v>
      </c>
      <c r="E2229">
        <v>100</v>
      </c>
      <c r="F2229">
        <v>0</v>
      </c>
    </row>
    <row r="2230" spans="1:6" x14ac:dyDescent="0.15">
      <c r="A2230" t="s">
        <v>210</v>
      </c>
      <c r="B2230" s="226">
        <v>42334.394902916669</v>
      </c>
      <c r="C2230" t="s">
        <v>2065</v>
      </c>
      <c r="D2230" t="s">
        <v>15</v>
      </c>
      <c r="E2230">
        <v>60</v>
      </c>
      <c r="F2230">
        <v>1.8</v>
      </c>
    </row>
    <row r="2231" spans="1:6" x14ac:dyDescent="0.15">
      <c r="A2231" t="s">
        <v>210</v>
      </c>
      <c r="B2231" s="226">
        <v>42334.427181388892</v>
      </c>
      <c r="C2231" t="s">
        <v>2066</v>
      </c>
      <c r="D2231" t="s">
        <v>13</v>
      </c>
      <c r="E2231">
        <v>120</v>
      </c>
      <c r="F2231">
        <v>0</v>
      </c>
    </row>
    <row r="2232" spans="1:6" x14ac:dyDescent="0.15">
      <c r="A2232" t="s">
        <v>210</v>
      </c>
      <c r="B2232" s="226">
        <v>42334.438218784722</v>
      </c>
      <c r="C2232" t="s">
        <v>2067</v>
      </c>
      <c r="D2232" t="s">
        <v>13</v>
      </c>
      <c r="E2232">
        <v>40</v>
      </c>
      <c r="F2232">
        <v>0</v>
      </c>
    </row>
    <row r="2233" spans="1:6" x14ac:dyDescent="0.15">
      <c r="A2233" t="s">
        <v>210</v>
      </c>
      <c r="B2233" s="226">
        <v>42334.442420810185</v>
      </c>
      <c r="C2233" t="s">
        <v>2068</v>
      </c>
      <c r="D2233" t="s">
        <v>13</v>
      </c>
      <c r="E2233">
        <v>140</v>
      </c>
      <c r="F2233">
        <v>0</v>
      </c>
    </row>
    <row r="2234" spans="1:6" x14ac:dyDescent="0.15">
      <c r="A2234" t="s">
        <v>210</v>
      </c>
      <c r="B2234" s="226">
        <v>42334.453791932872</v>
      </c>
      <c r="C2234" t="s">
        <v>2069</v>
      </c>
      <c r="D2234" t="s">
        <v>13</v>
      </c>
      <c r="E2234">
        <v>100</v>
      </c>
      <c r="F2234">
        <v>0</v>
      </c>
    </row>
    <row r="2235" spans="1:6" x14ac:dyDescent="0.15">
      <c r="A2235" t="s">
        <v>210</v>
      </c>
      <c r="B2235" s="226">
        <v>42334.47258115741</v>
      </c>
      <c r="C2235" t="s">
        <v>2070</v>
      </c>
      <c r="D2235" t="s">
        <v>13</v>
      </c>
      <c r="E2235">
        <v>100</v>
      </c>
      <c r="F2235">
        <v>0</v>
      </c>
    </row>
    <row r="2236" spans="1:6" x14ac:dyDescent="0.15">
      <c r="A2236" t="s">
        <v>210</v>
      </c>
      <c r="B2236" s="226">
        <v>42334.481835706021</v>
      </c>
      <c r="C2236" t="s">
        <v>2071</v>
      </c>
      <c r="D2236" t="s">
        <v>13</v>
      </c>
      <c r="E2236">
        <v>100</v>
      </c>
      <c r="F2236">
        <v>0</v>
      </c>
    </row>
    <row r="2237" spans="1:6" x14ac:dyDescent="0.15">
      <c r="A2237" t="s">
        <v>210</v>
      </c>
      <c r="B2237" s="226">
        <v>42334.492627083331</v>
      </c>
      <c r="C2237" t="s">
        <v>2072</v>
      </c>
      <c r="D2237" t="s">
        <v>13</v>
      </c>
      <c r="E2237">
        <v>100</v>
      </c>
      <c r="F2237">
        <v>0</v>
      </c>
    </row>
    <row r="2238" spans="1:6" x14ac:dyDescent="0.15">
      <c r="A2238" t="s">
        <v>210</v>
      </c>
      <c r="B2238" s="226">
        <v>42334.506467106483</v>
      </c>
      <c r="C2238" t="s">
        <v>2073</v>
      </c>
      <c r="D2238" t="s">
        <v>13</v>
      </c>
      <c r="E2238">
        <v>100</v>
      </c>
      <c r="F2238">
        <v>0</v>
      </c>
    </row>
    <row r="2239" spans="1:6" x14ac:dyDescent="0.15">
      <c r="A2239" t="s">
        <v>210</v>
      </c>
      <c r="B2239" s="226">
        <v>42334.518183275461</v>
      </c>
      <c r="C2239" t="s">
        <v>1009</v>
      </c>
      <c r="D2239" t="s">
        <v>13</v>
      </c>
      <c r="E2239">
        <v>40</v>
      </c>
      <c r="F2239">
        <v>0</v>
      </c>
    </row>
    <row r="2240" spans="1:6" x14ac:dyDescent="0.15">
      <c r="A2240" t="s">
        <v>210</v>
      </c>
      <c r="B2240" s="226">
        <v>42334.526559120372</v>
      </c>
      <c r="C2240" t="s">
        <v>2074</v>
      </c>
      <c r="D2240" t="s">
        <v>13</v>
      </c>
      <c r="E2240">
        <v>200</v>
      </c>
      <c r="F2240">
        <v>0</v>
      </c>
    </row>
    <row r="2241" spans="1:6" x14ac:dyDescent="0.15">
      <c r="A2241" t="s">
        <v>210</v>
      </c>
      <c r="B2241" s="226">
        <v>42334.542210405096</v>
      </c>
      <c r="C2241" t="s">
        <v>2075</v>
      </c>
      <c r="D2241" t="s">
        <v>13</v>
      </c>
      <c r="E2241">
        <v>60</v>
      </c>
      <c r="F2241">
        <v>0</v>
      </c>
    </row>
    <row r="2242" spans="1:6" x14ac:dyDescent="0.15">
      <c r="A2242" t="s">
        <v>210</v>
      </c>
      <c r="B2242" s="226">
        <v>42334.544560567127</v>
      </c>
      <c r="C2242" t="s">
        <v>2076</v>
      </c>
      <c r="D2242" t="s">
        <v>13</v>
      </c>
      <c r="E2242">
        <v>20</v>
      </c>
      <c r="F2242">
        <v>0</v>
      </c>
    </row>
    <row r="2243" spans="1:6" x14ac:dyDescent="0.15">
      <c r="A2243" t="s">
        <v>210</v>
      </c>
      <c r="B2243" s="226">
        <v>42334.563693611111</v>
      </c>
      <c r="C2243" t="s">
        <v>259</v>
      </c>
      <c r="D2243" t="s">
        <v>13</v>
      </c>
      <c r="E2243">
        <v>80</v>
      </c>
      <c r="F2243">
        <v>0</v>
      </c>
    </row>
    <row r="2244" spans="1:6" x14ac:dyDescent="0.15">
      <c r="A2244" t="s">
        <v>210</v>
      </c>
      <c r="B2244" s="226">
        <v>42334.574373842595</v>
      </c>
      <c r="C2244" t="s">
        <v>472</v>
      </c>
      <c r="D2244" t="s">
        <v>13</v>
      </c>
      <c r="E2244">
        <v>20</v>
      </c>
      <c r="F2244">
        <v>0</v>
      </c>
    </row>
    <row r="2245" spans="1:6" x14ac:dyDescent="0.15">
      <c r="A2245" t="s">
        <v>210</v>
      </c>
      <c r="B2245" s="226">
        <v>42334.582930636578</v>
      </c>
      <c r="C2245" t="s">
        <v>1658</v>
      </c>
      <c r="D2245" t="s">
        <v>13</v>
      </c>
      <c r="E2245">
        <v>40</v>
      </c>
      <c r="F2245">
        <v>0</v>
      </c>
    </row>
    <row r="2246" spans="1:6" x14ac:dyDescent="0.15">
      <c r="A2246" t="s">
        <v>210</v>
      </c>
      <c r="B2246" s="226">
        <v>42334.599097199076</v>
      </c>
      <c r="C2246" t="s">
        <v>596</v>
      </c>
      <c r="D2246" t="s">
        <v>13</v>
      </c>
      <c r="E2246">
        <v>100</v>
      </c>
      <c r="F2246">
        <v>0</v>
      </c>
    </row>
    <row r="2247" spans="1:6" x14ac:dyDescent="0.15">
      <c r="A2247" t="s">
        <v>210</v>
      </c>
      <c r="B2247" s="226">
        <v>42334.608122094905</v>
      </c>
      <c r="C2247" t="s">
        <v>2077</v>
      </c>
      <c r="D2247" t="s">
        <v>13</v>
      </c>
      <c r="E2247">
        <v>60</v>
      </c>
      <c r="F2247">
        <v>0</v>
      </c>
    </row>
    <row r="2248" spans="1:6" x14ac:dyDescent="0.15">
      <c r="A2248" t="s">
        <v>210</v>
      </c>
      <c r="B2248" s="226">
        <v>42334.611427164353</v>
      </c>
      <c r="C2248" t="s">
        <v>2078</v>
      </c>
      <c r="D2248" t="s">
        <v>13</v>
      </c>
      <c r="E2248">
        <v>100</v>
      </c>
      <c r="F2248">
        <v>0</v>
      </c>
    </row>
    <row r="2249" spans="1:6" x14ac:dyDescent="0.15">
      <c r="A2249" t="s">
        <v>210</v>
      </c>
      <c r="B2249" s="226">
        <v>42334.612396631943</v>
      </c>
      <c r="C2249" t="s">
        <v>2079</v>
      </c>
      <c r="D2249" t="s">
        <v>13</v>
      </c>
      <c r="E2249">
        <v>160</v>
      </c>
      <c r="F2249">
        <v>0</v>
      </c>
    </row>
    <row r="2250" spans="1:6" x14ac:dyDescent="0.15">
      <c r="A2250" t="s">
        <v>210</v>
      </c>
      <c r="B2250" s="226">
        <v>42334.707526446757</v>
      </c>
      <c r="C2250" t="s">
        <v>1908</v>
      </c>
      <c r="D2250" t="s">
        <v>13</v>
      </c>
      <c r="E2250">
        <v>100</v>
      </c>
      <c r="F2250">
        <v>0</v>
      </c>
    </row>
    <row r="2251" spans="1:6" x14ac:dyDescent="0.15">
      <c r="A2251" t="s">
        <v>210</v>
      </c>
      <c r="B2251" s="226">
        <v>42334.741575844906</v>
      </c>
      <c r="C2251" t="s">
        <v>2080</v>
      </c>
      <c r="D2251" t="s">
        <v>13</v>
      </c>
      <c r="E2251">
        <v>100</v>
      </c>
      <c r="F2251">
        <v>0</v>
      </c>
    </row>
    <row r="2252" spans="1:6" x14ac:dyDescent="0.15">
      <c r="A2252" t="s">
        <v>210</v>
      </c>
      <c r="B2252" s="226">
        <v>42334.744172743056</v>
      </c>
      <c r="C2252" t="s">
        <v>2081</v>
      </c>
      <c r="D2252" t="s">
        <v>13</v>
      </c>
      <c r="E2252">
        <v>120</v>
      </c>
      <c r="F2252">
        <v>0</v>
      </c>
    </row>
    <row r="2253" spans="1:6" x14ac:dyDescent="0.15">
      <c r="A2253" t="s">
        <v>210</v>
      </c>
      <c r="B2253" s="226">
        <v>42334.754288356482</v>
      </c>
      <c r="C2253" t="s">
        <v>2082</v>
      </c>
      <c r="D2253" t="s">
        <v>13</v>
      </c>
      <c r="E2253">
        <v>40</v>
      </c>
      <c r="F2253">
        <v>0</v>
      </c>
    </row>
    <row r="2254" spans="1:6" x14ac:dyDescent="0.15">
      <c r="A2254" t="s">
        <v>210</v>
      </c>
      <c r="B2254" s="226">
        <v>42334.766353298612</v>
      </c>
      <c r="C2254" t="s">
        <v>14</v>
      </c>
      <c r="D2254" t="s">
        <v>13</v>
      </c>
      <c r="E2254">
        <v>100</v>
      </c>
      <c r="F2254">
        <v>3.5</v>
      </c>
    </row>
    <row r="2255" spans="1:6" x14ac:dyDescent="0.15">
      <c r="A2255" t="s">
        <v>210</v>
      </c>
      <c r="B2255" s="226">
        <v>42334.773505231482</v>
      </c>
      <c r="C2255" t="s">
        <v>2083</v>
      </c>
      <c r="D2255" t="s">
        <v>13</v>
      </c>
      <c r="E2255">
        <v>40</v>
      </c>
      <c r="F2255">
        <v>0</v>
      </c>
    </row>
    <row r="2256" spans="1:6" x14ac:dyDescent="0.15">
      <c r="A2256" t="s">
        <v>210</v>
      </c>
      <c r="B2256" s="226">
        <v>42334.780489386576</v>
      </c>
      <c r="C2256" t="s">
        <v>461</v>
      </c>
      <c r="D2256" t="s">
        <v>13</v>
      </c>
      <c r="E2256">
        <v>300</v>
      </c>
      <c r="F2256">
        <v>0</v>
      </c>
    </row>
    <row r="2257" spans="1:6" x14ac:dyDescent="0.15">
      <c r="A2257" t="s">
        <v>210</v>
      </c>
      <c r="B2257" s="226">
        <v>42334.821660034722</v>
      </c>
      <c r="C2257" t="s">
        <v>14</v>
      </c>
      <c r="D2257" t="s">
        <v>13</v>
      </c>
      <c r="E2257">
        <v>100</v>
      </c>
      <c r="F2257">
        <v>3.5</v>
      </c>
    </row>
    <row r="2258" spans="1:6" x14ac:dyDescent="0.15">
      <c r="A2258" t="s">
        <v>210</v>
      </c>
      <c r="B2258" s="226">
        <v>42334.858587650466</v>
      </c>
      <c r="C2258" t="s">
        <v>2084</v>
      </c>
      <c r="D2258" t="s">
        <v>13</v>
      </c>
      <c r="E2258">
        <v>200</v>
      </c>
      <c r="F2258">
        <v>0</v>
      </c>
    </row>
    <row r="2259" spans="1:6" x14ac:dyDescent="0.15">
      <c r="A2259" t="s">
        <v>210</v>
      </c>
      <c r="B2259" s="226">
        <v>42334.887886620367</v>
      </c>
      <c r="C2259" t="s">
        <v>473</v>
      </c>
      <c r="D2259" t="s">
        <v>13</v>
      </c>
      <c r="E2259">
        <v>20</v>
      </c>
      <c r="F2259">
        <v>0</v>
      </c>
    </row>
    <row r="2260" spans="1:6" x14ac:dyDescent="0.15">
      <c r="A2260" t="s">
        <v>210</v>
      </c>
      <c r="B2260" s="226">
        <v>42335.254958194448</v>
      </c>
      <c r="C2260" t="s">
        <v>593</v>
      </c>
      <c r="D2260" t="s">
        <v>13</v>
      </c>
      <c r="E2260">
        <v>100</v>
      </c>
      <c r="F2260">
        <v>0</v>
      </c>
    </row>
    <row r="2261" spans="1:6" x14ac:dyDescent="0.15">
      <c r="A2261" t="s">
        <v>210</v>
      </c>
      <c r="B2261" s="226">
        <v>42335.290706527776</v>
      </c>
      <c r="C2261" t="s">
        <v>2085</v>
      </c>
      <c r="D2261" t="s">
        <v>13</v>
      </c>
      <c r="E2261">
        <v>60</v>
      </c>
      <c r="F2261">
        <v>0</v>
      </c>
    </row>
    <row r="2262" spans="1:6" x14ac:dyDescent="0.15">
      <c r="A2262" t="s">
        <v>210</v>
      </c>
      <c r="B2262" s="226">
        <v>42335.331344618055</v>
      </c>
      <c r="C2262" t="s">
        <v>2086</v>
      </c>
      <c r="D2262" t="s">
        <v>13</v>
      </c>
      <c r="E2262">
        <v>300</v>
      </c>
      <c r="F2262">
        <v>0</v>
      </c>
    </row>
    <row r="2263" spans="1:6" x14ac:dyDescent="0.15">
      <c r="A2263" t="s">
        <v>210</v>
      </c>
      <c r="B2263" s="226">
        <v>42335.335086250001</v>
      </c>
      <c r="C2263" t="s">
        <v>14</v>
      </c>
      <c r="D2263" t="s">
        <v>15</v>
      </c>
      <c r="E2263">
        <v>100</v>
      </c>
      <c r="F2263">
        <v>5.5</v>
      </c>
    </row>
    <row r="2264" spans="1:6" x14ac:dyDescent="0.15">
      <c r="A2264" t="s">
        <v>210</v>
      </c>
      <c r="B2264" s="226">
        <v>42335.340135439816</v>
      </c>
      <c r="C2264" t="s">
        <v>1285</v>
      </c>
      <c r="D2264" t="s">
        <v>13</v>
      </c>
      <c r="E2264">
        <v>60</v>
      </c>
      <c r="F2264">
        <v>0</v>
      </c>
    </row>
    <row r="2265" spans="1:6" x14ac:dyDescent="0.15">
      <c r="A2265" t="s">
        <v>210</v>
      </c>
      <c r="B2265" s="226">
        <v>42335.353077083331</v>
      </c>
      <c r="C2265" t="s">
        <v>1256</v>
      </c>
      <c r="D2265" t="s">
        <v>13</v>
      </c>
      <c r="E2265">
        <v>100</v>
      </c>
      <c r="F2265">
        <v>0</v>
      </c>
    </row>
    <row r="2266" spans="1:6" x14ac:dyDescent="0.15">
      <c r="A2266" t="s">
        <v>210</v>
      </c>
      <c r="B2266" s="226">
        <v>42335.354826053241</v>
      </c>
      <c r="C2266" t="s">
        <v>14</v>
      </c>
      <c r="D2266" t="s">
        <v>13</v>
      </c>
      <c r="E2266">
        <v>40</v>
      </c>
      <c r="F2266">
        <v>3.5</v>
      </c>
    </row>
    <row r="2267" spans="1:6" x14ac:dyDescent="0.15">
      <c r="A2267" t="s">
        <v>210</v>
      </c>
      <c r="B2267" s="226">
        <v>42335.364739398145</v>
      </c>
      <c r="C2267" t="s">
        <v>2087</v>
      </c>
      <c r="D2267" t="s">
        <v>13</v>
      </c>
      <c r="E2267">
        <v>60</v>
      </c>
      <c r="F2267">
        <v>0</v>
      </c>
    </row>
    <row r="2268" spans="1:6" x14ac:dyDescent="0.15">
      <c r="A2268" t="s">
        <v>210</v>
      </c>
      <c r="B2268" s="226">
        <v>42335.399604849539</v>
      </c>
      <c r="C2268" t="s">
        <v>14</v>
      </c>
      <c r="D2268" t="s">
        <v>13</v>
      </c>
      <c r="E2268">
        <v>100</v>
      </c>
      <c r="F2268">
        <v>3.5</v>
      </c>
    </row>
    <row r="2269" spans="1:6" x14ac:dyDescent="0.15">
      <c r="A2269" t="s">
        <v>210</v>
      </c>
      <c r="B2269" s="226">
        <v>42335.419615509258</v>
      </c>
      <c r="C2269" t="s">
        <v>2015</v>
      </c>
      <c r="D2269" t="s">
        <v>13</v>
      </c>
      <c r="E2269">
        <v>20</v>
      </c>
      <c r="F2269">
        <v>0</v>
      </c>
    </row>
    <row r="2270" spans="1:6" x14ac:dyDescent="0.15">
      <c r="A2270" t="s">
        <v>210</v>
      </c>
      <c r="B2270" s="226">
        <v>42335.455954965277</v>
      </c>
      <c r="C2270" t="s">
        <v>1728</v>
      </c>
      <c r="D2270" t="s">
        <v>13</v>
      </c>
      <c r="E2270">
        <v>100</v>
      </c>
      <c r="F2270">
        <v>0</v>
      </c>
    </row>
    <row r="2271" spans="1:6" x14ac:dyDescent="0.15">
      <c r="A2271" t="s">
        <v>210</v>
      </c>
      <c r="B2271" s="226">
        <v>42335.458814537036</v>
      </c>
      <c r="C2271" t="s">
        <v>474</v>
      </c>
      <c r="D2271" t="s">
        <v>13</v>
      </c>
      <c r="E2271">
        <v>160</v>
      </c>
      <c r="F2271">
        <v>0</v>
      </c>
    </row>
    <row r="2272" spans="1:6" x14ac:dyDescent="0.15">
      <c r="A2272" t="s">
        <v>210</v>
      </c>
      <c r="B2272" s="226">
        <v>42335.460271678239</v>
      </c>
      <c r="C2272" t="s">
        <v>2088</v>
      </c>
      <c r="D2272" t="s">
        <v>13</v>
      </c>
      <c r="E2272">
        <v>80</v>
      </c>
      <c r="F2272">
        <v>0</v>
      </c>
    </row>
    <row r="2273" spans="1:6" x14ac:dyDescent="0.15">
      <c r="A2273" t="s">
        <v>210</v>
      </c>
      <c r="B2273" s="226">
        <v>42335.476527951389</v>
      </c>
      <c r="C2273" t="s">
        <v>475</v>
      </c>
      <c r="D2273" t="s">
        <v>13</v>
      </c>
      <c r="E2273">
        <v>100</v>
      </c>
      <c r="F2273">
        <v>0</v>
      </c>
    </row>
    <row r="2274" spans="1:6" x14ac:dyDescent="0.15">
      <c r="A2274" t="s">
        <v>210</v>
      </c>
      <c r="B2274" s="226">
        <v>42335.477049861111</v>
      </c>
      <c r="C2274" t="s">
        <v>2089</v>
      </c>
      <c r="D2274" t="s">
        <v>13</v>
      </c>
      <c r="E2274">
        <v>40</v>
      </c>
      <c r="F2274">
        <v>0</v>
      </c>
    </row>
    <row r="2275" spans="1:6" x14ac:dyDescent="0.15">
      <c r="A2275" t="s">
        <v>210</v>
      </c>
      <c r="B2275" s="226">
        <v>42335.492269236114</v>
      </c>
      <c r="C2275" t="s">
        <v>241</v>
      </c>
      <c r="D2275" t="s">
        <v>13</v>
      </c>
      <c r="E2275">
        <v>400</v>
      </c>
      <c r="F2275">
        <v>0</v>
      </c>
    </row>
    <row r="2276" spans="1:6" x14ac:dyDescent="0.15">
      <c r="A2276" t="s">
        <v>210</v>
      </c>
      <c r="B2276" s="226">
        <v>42335.497565740741</v>
      </c>
      <c r="C2276" t="s">
        <v>14</v>
      </c>
      <c r="D2276" t="s">
        <v>13</v>
      </c>
      <c r="E2276">
        <v>40</v>
      </c>
      <c r="F2276">
        <v>3.5</v>
      </c>
    </row>
    <row r="2277" spans="1:6" x14ac:dyDescent="0.15">
      <c r="A2277" t="s">
        <v>210</v>
      </c>
      <c r="B2277" s="226">
        <v>42335.509608773151</v>
      </c>
      <c r="C2277" t="s">
        <v>2090</v>
      </c>
      <c r="D2277" t="s">
        <v>13</v>
      </c>
      <c r="E2277">
        <v>200</v>
      </c>
      <c r="F2277">
        <v>0</v>
      </c>
    </row>
    <row r="2278" spans="1:6" x14ac:dyDescent="0.15">
      <c r="A2278" t="s">
        <v>210</v>
      </c>
      <c r="B2278" s="226">
        <v>42335.511022071762</v>
      </c>
      <c r="C2278" t="s">
        <v>1633</v>
      </c>
      <c r="D2278" t="s">
        <v>13</v>
      </c>
      <c r="E2278">
        <v>500</v>
      </c>
      <c r="F2278">
        <v>0</v>
      </c>
    </row>
    <row r="2279" spans="1:6" x14ac:dyDescent="0.15">
      <c r="A2279" t="s">
        <v>210</v>
      </c>
      <c r="B2279" s="226">
        <v>42335.513478020832</v>
      </c>
      <c r="C2279" t="s">
        <v>2091</v>
      </c>
      <c r="D2279" t="s">
        <v>13</v>
      </c>
      <c r="E2279">
        <v>100</v>
      </c>
      <c r="F2279">
        <v>0</v>
      </c>
    </row>
    <row r="2280" spans="1:6" x14ac:dyDescent="0.15">
      <c r="A2280" t="s">
        <v>210</v>
      </c>
      <c r="B2280" s="226">
        <v>42335.51653015046</v>
      </c>
      <c r="C2280" t="s">
        <v>2092</v>
      </c>
      <c r="D2280" t="s">
        <v>13</v>
      </c>
      <c r="E2280">
        <v>80</v>
      </c>
      <c r="F2280">
        <v>0</v>
      </c>
    </row>
    <row r="2281" spans="1:6" x14ac:dyDescent="0.15">
      <c r="A2281" t="s">
        <v>210</v>
      </c>
      <c r="B2281" s="226">
        <v>42335.523673923613</v>
      </c>
      <c r="C2281" t="s">
        <v>173</v>
      </c>
      <c r="D2281" t="s">
        <v>13</v>
      </c>
      <c r="E2281">
        <v>40</v>
      </c>
      <c r="F2281">
        <v>0</v>
      </c>
    </row>
    <row r="2282" spans="1:6" x14ac:dyDescent="0.15">
      <c r="A2282" t="s">
        <v>210</v>
      </c>
      <c r="B2282" s="226">
        <v>42335.527451921298</v>
      </c>
      <c r="C2282" t="s">
        <v>2093</v>
      </c>
      <c r="D2282" t="s">
        <v>13</v>
      </c>
      <c r="E2282">
        <v>100</v>
      </c>
      <c r="F2282">
        <v>0</v>
      </c>
    </row>
    <row r="2283" spans="1:6" x14ac:dyDescent="0.15">
      <c r="A2283" t="s">
        <v>210</v>
      </c>
      <c r="B2283" s="226">
        <v>42335.538955000004</v>
      </c>
      <c r="C2283" t="s">
        <v>2094</v>
      </c>
      <c r="D2283" t="s">
        <v>13</v>
      </c>
      <c r="E2283">
        <v>60</v>
      </c>
      <c r="F2283">
        <v>0</v>
      </c>
    </row>
    <row r="2284" spans="1:6" x14ac:dyDescent="0.15">
      <c r="A2284" t="s">
        <v>210</v>
      </c>
      <c r="B2284" s="226">
        <v>42335.547429386577</v>
      </c>
      <c r="C2284" t="s">
        <v>2095</v>
      </c>
      <c r="D2284" t="s">
        <v>13</v>
      </c>
      <c r="E2284">
        <v>100</v>
      </c>
      <c r="F2284">
        <v>0</v>
      </c>
    </row>
    <row r="2285" spans="1:6" x14ac:dyDescent="0.15">
      <c r="A2285" t="s">
        <v>210</v>
      </c>
      <c r="B2285" s="226">
        <v>42335.554830844907</v>
      </c>
      <c r="C2285" t="s">
        <v>2096</v>
      </c>
      <c r="D2285" t="s">
        <v>13</v>
      </c>
      <c r="E2285">
        <v>300</v>
      </c>
      <c r="F2285">
        <v>0</v>
      </c>
    </row>
    <row r="2286" spans="1:6" x14ac:dyDescent="0.15">
      <c r="A2286" t="s">
        <v>210</v>
      </c>
      <c r="B2286" s="226">
        <v>42335.560392905092</v>
      </c>
      <c r="C2286" t="s">
        <v>1471</v>
      </c>
      <c r="D2286" t="s">
        <v>13</v>
      </c>
      <c r="E2286">
        <v>40</v>
      </c>
      <c r="F2286">
        <v>0</v>
      </c>
    </row>
    <row r="2287" spans="1:6" x14ac:dyDescent="0.15">
      <c r="A2287" t="s">
        <v>210</v>
      </c>
      <c r="B2287" s="226">
        <v>42335.598972430555</v>
      </c>
      <c r="C2287" t="s">
        <v>2097</v>
      </c>
      <c r="D2287" t="s">
        <v>13</v>
      </c>
      <c r="E2287">
        <v>200</v>
      </c>
      <c r="F2287">
        <v>0</v>
      </c>
    </row>
    <row r="2288" spans="1:6" x14ac:dyDescent="0.15">
      <c r="A2288" t="s">
        <v>210</v>
      </c>
      <c r="B2288" s="226">
        <v>42335.60804644676</v>
      </c>
      <c r="C2288" t="s">
        <v>2098</v>
      </c>
      <c r="D2288" t="s">
        <v>13</v>
      </c>
      <c r="E2288">
        <v>40</v>
      </c>
      <c r="F2288">
        <v>0</v>
      </c>
    </row>
    <row r="2289" spans="1:6" x14ac:dyDescent="0.15">
      <c r="A2289" t="s">
        <v>210</v>
      </c>
      <c r="B2289" s="226">
        <v>42335.609806493056</v>
      </c>
      <c r="C2289" t="s">
        <v>2099</v>
      </c>
      <c r="D2289" t="s">
        <v>13</v>
      </c>
      <c r="E2289">
        <v>40</v>
      </c>
      <c r="F2289">
        <v>0</v>
      </c>
    </row>
    <row r="2290" spans="1:6" x14ac:dyDescent="0.15">
      <c r="A2290" t="s">
        <v>210</v>
      </c>
      <c r="B2290" s="226">
        <v>42335.619398807874</v>
      </c>
      <c r="C2290" t="s">
        <v>1944</v>
      </c>
      <c r="D2290" t="s">
        <v>13</v>
      </c>
      <c r="E2290">
        <v>60</v>
      </c>
      <c r="F2290">
        <v>0</v>
      </c>
    </row>
    <row r="2291" spans="1:6" x14ac:dyDescent="0.15">
      <c r="A2291" t="s">
        <v>210</v>
      </c>
      <c r="B2291" s="226">
        <v>42335.63768039352</v>
      </c>
      <c r="C2291" t="s">
        <v>2100</v>
      </c>
      <c r="D2291" t="s">
        <v>13</v>
      </c>
      <c r="E2291">
        <v>100</v>
      </c>
      <c r="F2291">
        <v>0</v>
      </c>
    </row>
    <row r="2292" spans="1:6" x14ac:dyDescent="0.15">
      <c r="A2292" t="s">
        <v>210</v>
      </c>
      <c r="B2292" s="226">
        <v>42335.639670775461</v>
      </c>
      <c r="C2292" t="s">
        <v>14</v>
      </c>
      <c r="D2292" t="s">
        <v>13</v>
      </c>
      <c r="E2292">
        <v>140</v>
      </c>
      <c r="F2292">
        <v>3.5</v>
      </c>
    </row>
    <row r="2293" spans="1:6" x14ac:dyDescent="0.15">
      <c r="A2293" t="s">
        <v>210</v>
      </c>
      <c r="B2293" s="226">
        <v>42335.64018185185</v>
      </c>
      <c r="C2293" t="s">
        <v>967</v>
      </c>
      <c r="D2293" t="s">
        <v>13</v>
      </c>
      <c r="E2293">
        <v>80</v>
      </c>
      <c r="F2293">
        <v>0</v>
      </c>
    </row>
    <row r="2294" spans="1:6" x14ac:dyDescent="0.15">
      <c r="A2294" t="s">
        <v>210</v>
      </c>
      <c r="B2294" s="226">
        <v>42335.688316608794</v>
      </c>
      <c r="C2294" t="s">
        <v>14</v>
      </c>
      <c r="D2294" t="s">
        <v>13</v>
      </c>
      <c r="E2294">
        <v>40</v>
      </c>
      <c r="F2294">
        <v>3.5</v>
      </c>
    </row>
    <row r="2295" spans="1:6" x14ac:dyDescent="0.15">
      <c r="A2295" t="s">
        <v>210</v>
      </c>
      <c r="B2295" s="226">
        <v>42335.704041516205</v>
      </c>
      <c r="C2295" t="s">
        <v>2101</v>
      </c>
      <c r="D2295" t="s">
        <v>13</v>
      </c>
      <c r="E2295">
        <v>200</v>
      </c>
      <c r="F2295">
        <v>0</v>
      </c>
    </row>
    <row r="2296" spans="1:6" x14ac:dyDescent="0.15">
      <c r="A2296" t="s">
        <v>210</v>
      </c>
      <c r="B2296" s="226">
        <v>42335.704692604166</v>
      </c>
      <c r="C2296" t="s">
        <v>476</v>
      </c>
      <c r="D2296" t="s">
        <v>13</v>
      </c>
      <c r="E2296">
        <v>60</v>
      </c>
      <c r="F2296">
        <v>0</v>
      </c>
    </row>
    <row r="2297" spans="1:6" x14ac:dyDescent="0.15">
      <c r="A2297" t="s">
        <v>210</v>
      </c>
      <c r="B2297" s="226">
        <v>42335.724088379633</v>
      </c>
      <c r="C2297" t="s">
        <v>2102</v>
      </c>
      <c r="D2297" t="s">
        <v>13</v>
      </c>
      <c r="E2297">
        <v>80</v>
      </c>
      <c r="F2297">
        <v>0</v>
      </c>
    </row>
    <row r="2298" spans="1:6" x14ac:dyDescent="0.15">
      <c r="A2298" t="s">
        <v>210</v>
      </c>
      <c r="B2298" s="226">
        <v>42335.726273819448</v>
      </c>
      <c r="C2298" t="s">
        <v>2103</v>
      </c>
      <c r="D2298" t="s">
        <v>13</v>
      </c>
      <c r="E2298">
        <v>300</v>
      </c>
      <c r="F2298">
        <v>0</v>
      </c>
    </row>
    <row r="2299" spans="1:6" x14ac:dyDescent="0.15">
      <c r="A2299" t="s">
        <v>210</v>
      </c>
      <c r="B2299" s="226">
        <v>42335.727598703706</v>
      </c>
      <c r="C2299" t="s">
        <v>2104</v>
      </c>
      <c r="D2299" t="s">
        <v>13</v>
      </c>
      <c r="E2299">
        <v>500</v>
      </c>
      <c r="F2299">
        <v>0</v>
      </c>
    </row>
    <row r="2300" spans="1:6" x14ac:dyDescent="0.15">
      <c r="A2300" t="s">
        <v>210</v>
      </c>
      <c r="B2300" s="226">
        <v>42335.738948310187</v>
      </c>
      <c r="C2300" t="s">
        <v>2105</v>
      </c>
      <c r="D2300" t="s">
        <v>13</v>
      </c>
      <c r="E2300">
        <v>40</v>
      </c>
      <c r="F2300">
        <v>0</v>
      </c>
    </row>
    <row r="2301" spans="1:6" x14ac:dyDescent="0.15">
      <c r="A2301" t="s">
        <v>210</v>
      </c>
      <c r="B2301" s="226">
        <v>42335.754089594906</v>
      </c>
      <c r="C2301" t="s">
        <v>477</v>
      </c>
      <c r="D2301" t="s">
        <v>13</v>
      </c>
      <c r="E2301">
        <v>100</v>
      </c>
      <c r="F2301">
        <v>0</v>
      </c>
    </row>
    <row r="2302" spans="1:6" x14ac:dyDescent="0.15">
      <c r="A2302" t="s">
        <v>210</v>
      </c>
      <c r="B2302" s="226">
        <v>42335.754762731478</v>
      </c>
      <c r="C2302" t="s">
        <v>2106</v>
      </c>
      <c r="D2302" t="s">
        <v>15</v>
      </c>
      <c r="E2302">
        <v>400</v>
      </c>
      <c r="F2302">
        <v>12</v>
      </c>
    </row>
    <row r="2303" spans="1:6" x14ac:dyDescent="0.15">
      <c r="A2303" t="s">
        <v>210</v>
      </c>
      <c r="B2303" s="226">
        <v>42335.771817766203</v>
      </c>
      <c r="C2303" t="s">
        <v>2107</v>
      </c>
      <c r="D2303" t="s">
        <v>13</v>
      </c>
      <c r="E2303">
        <v>500</v>
      </c>
      <c r="F2303">
        <v>0</v>
      </c>
    </row>
    <row r="2304" spans="1:6" x14ac:dyDescent="0.15">
      <c r="A2304" t="s">
        <v>210</v>
      </c>
      <c r="B2304" s="226">
        <v>42335.776832650467</v>
      </c>
      <c r="C2304" t="s">
        <v>2108</v>
      </c>
      <c r="D2304" t="s">
        <v>13</v>
      </c>
      <c r="E2304">
        <v>40</v>
      </c>
      <c r="F2304">
        <v>0</v>
      </c>
    </row>
    <row r="2305" spans="1:6" x14ac:dyDescent="0.15">
      <c r="A2305" t="s">
        <v>210</v>
      </c>
      <c r="B2305" s="226">
        <v>42335.779518379626</v>
      </c>
      <c r="C2305" t="s">
        <v>2109</v>
      </c>
      <c r="D2305" t="s">
        <v>13</v>
      </c>
      <c r="E2305">
        <v>160</v>
      </c>
      <c r="F2305">
        <v>0</v>
      </c>
    </row>
    <row r="2306" spans="1:6" x14ac:dyDescent="0.15">
      <c r="A2306" t="s">
        <v>210</v>
      </c>
      <c r="B2306" s="226">
        <v>42335.781290902778</v>
      </c>
      <c r="C2306" t="s">
        <v>2110</v>
      </c>
      <c r="D2306" t="s">
        <v>13</v>
      </c>
      <c r="E2306">
        <v>20</v>
      </c>
      <c r="F2306">
        <v>0</v>
      </c>
    </row>
    <row r="2307" spans="1:6" x14ac:dyDescent="0.15">
      <c r="A2307" t="s">
        <v>210</v>
      </c>
      <c r="B2307" s="226">
        <v>42335.799637847223</v>
      </c>
      <c r="C2307" t="s">
        <v>2111</v>
      </c>
      <c r="D2307" t="s">
        <v>13</v>
      </c>
      <c r="E2307">
        <v>40</v>
      </c>
      <c r="F2307">
        <v>0</v>
      </c>
    </row>
    <row r="2308" spans="1:6" x14ac:dyDescent="0.15">
      <c r="A2308" t="s">
        <v>210</v>
      </c>
      <c r="B2308" s="226">
        <v>42335.802372951388</v>
      </c>
      <c r="C2308" t="s">
        <v>96</v>
      </c>
      <c r="D2308" t="s">
        <v>13</v>
      </c>
      <c r="E2308">
        <v>240</v>
      </c>
      <c r="F2308">
        <v>0</v>
      </c>
    </row>
    <row r="2309" spans="1:6" x14ac:dyDescent="0.15">
      <c r="A2309" t="s">
        <v>210</v>
      </c>
      <c r="B2309" s="226">
        <v>42335.804936203705</v>
      </c>
      <c r="C2309" t="s">
        <v>2112</v>
      </c>
      <c r="D2309" t="s">
        <v>13</v>
      </c>
      <c r="E2309">
        <v>200</v>
      </c>
      <c r="F2309">
        <v>0</v>
      </c>
    </row>
    <row r="2310" spans="1:6" x14ac:dyDescent="0.15">
      <c r="A2310" t="s">
        <v>210</v>
      </c>
      <c r="B2310" s="226">
        <v>42335.821489178241</v>
      </c>
      <c r="C2310" t="s">
        <v>114</v>
      </c>
      <c r="D2310" t="s">
        <v>13</v>
      </c>
      <c r="E2310">
        <v>100</v>
      </c>
      <c r="F2310">
        <v>0</v>
      </c>
    </row>
    <row r="2311" spans="1:6" x14ac:dyDescent="0.15">
      <c r="A2311" t="s">
        <v>210</v>
      </c>
      <c r="B2311" s="226">
        <v>42335.905023935185</v>
      </c>
      <c r="C2311" t="s">
        <v>2113</v>
      </c>
      <c r="D2311" t="s">
        <v>13</v>
      </c>
      <c r="E2311">
        <v>100</v>
      </c>
      <c r="F2311">
        <v>0</v>
      </c>
    </row>
    <row r="2312" spans="1:6" x14ac:dyDescent="0.15">
      <c r="A2312" t="s">
        <v>210</v>
      </c>
      <c r="B2312" s="226">
        <v>42335.914124618059</v>
      </c>
      <c r="C2312" t="s">
        <v>14</v>
      </c>
      <c r="D2312" t="s">
        <v>15</v>
      </c>
      <c r="E2312">
        <v>20</v>
      </c>
      <c r="F2312">
        <v>3.1</v>
      </c>
    </row>
    <row r="2313" spans="1:6" x14ac:dyDescent="0.15">
      <c r="A2313" t="s">
        <v>210</v>
      </c>
      <c r="B2313" s="226">
        <v>42335.934304236114</v>
      </c>
      <c r="C2313" t="s">
        <v>1501</v>
      </c>
      <c r="D2313" t="s">
        <v>13</v>
      </c>
      <c r="E2313">
        <v>40</v>
      </c>
      <c r="F2313">
        <v>0</v>
      </c>
    </row>
    <row r="2314" spans="1:6" x14ac:dyDescent="0.15">
      <c r="A2314" t="s">
        <v>210</v>
      </c>
      <c r="B2314" s="226">
        <v>42335.941429791666</v>
      </c>
      <c r="C2314" t="s">
        <v>2114</v>
      </c>
      <c r="D2314" t="s">
        <v>13</v>
      </c>
      <c r="E2314">
        <v>60</v>
      </c>
      <c r="F2314">
        <v>0</v>
      </c>
    </row>
    <row r="2315" spans="1:6" x14ac:dyDescent="0.15">
      <c r="A2315" t="s">
        <v>210</v>
      </c>
      <c r="B2315" s="226">
        <v>42335.95775858796</v>
      </c>
      <c r="C2315" t="s">
        <v>252</v>
      </c>
      <c r="D2315" t="s">
        <v>13</v>
      </c>
      <c r="E2315">
        <v>100</v>
      </c>
      <c r="F2315">
        <v>0</v>
      </c>
    </row>
    <row r="2316" spans="1:6" x14ac:dyDescent="0.15">
      <c r="A2316" t="s">
        <v>210</v>
      </c>
      <c r="B2316" s="226">
        <v>42336.229557326391</v>
      </c>
      <c r="C2316" t="s">
        <v>2115</v>
      </c>
      <c r="D2316" t="s">
        <v>13</v>
      </c>
      <c r="E2316">
        <v>100</v>
      </c>
      <c r="F2316">
        <v>0</v>
      </c>
    </row>
    <row r="2317" spans="1:6" x14ac:dyDescent="0.15">
      <c r="A2317" t="s">
        <v>210</v>
      </c>
      <c r="B2317" s="226">
        <v>42336.350885416665</v>
      </c>
      <c r="C2317" t="s">
        <v>2116</v>
      </c>
      <c r="D2317" t="s">
        <v>13</v>
      </c>
      <c r="E2317">
        <v>60</v>
      </c>
      <c r="F2317">
        <v>0</v>
      </c>
    </row>
    <row r="2318" spans="1:6" x14ac:dyDescent="0.15">
      <c r="A2318" t="s">
        <v>210</v>
      </c>
      <c r="B2318" s="226">
        <v>42336.368953807869</v>
      </c>
      <c r="C2318" t="s">
        <v>14</v>
      </c>
      <c r="D2318" t="s">
        <v>13</v>
      </c>
      <c r="E2318">
        <v>40</v>
      </c>
      <c r="F2318">
        <v>3.5</v>
      </c>
    </row>
    <row r="2319" spans="1:6" x14ac:dyDescent="0.15">
      <c r="A2319" t="s">
        <v>210</v>
      </c>
      <c r="B2319" s="226">
        <v>42336.414679884256</v>
      </c>
      <c r="C2319" t="s">
        <v>2117</v>
      </c>
      <c r="D2319" t="s">
        <v>13</v>
      </c>
      <c r="E2319">
        <v>100</v>
      </c>
      <c r="F2319">
        <v>0</v>
      </c>
    </row>
    <row r="2320" spans="1:6" x14ac:dyDescent="0.15">
      <c r="A2320" t="s">
        <v>210</v>
      </c>
      <c r="B2320" s="226">
        <v>42336.428685775463</v>
      </c>
      <c r="C2320" t="s">
        <v>2118</v>
      </c>
      <c r="D2320" t="s">
        <v>13</v>
      </c>
      <c r="E2320">
        <v>100</v>
      </c>
      <c r="F2320">
        <v>0</v>
      </c>
    </row>
    <row r="2321" spans="1:6" x14ac:dyDescent="0.15">
      <c r="A2321" t="s">
        <v>210</v>
      </c>
      <c r="B2321" s="226">
        <v>42336.434262812501</v>
      </c>
      <c r="C2321" t="s">
        <v>478</v>
      </c>
      <c r="D2321" t="s">
        <v>13</v>
      </c>
      <c r="E2321">
        <v>40</v>
      </c>
      <c r="F2321">
        <v>0</v>
      </c>
    </row>
    <row r="2322" spans="1:6" x14ac:dyDescent="0.15">
      <c r="A2322" t="s">
        <v>210</v>
      </c>
      <c r="B2322" s="226">
        <v>42336.449178391202</v>
      </c>
      <c r="C2322" t="s">
        <v>2119</v>
      </c>
      <c r="D2322" t="s">
        <v>13</v>
      </c>
      <c r="E2322">
        <v>40</v>
      </c>
      <c r="F2322">
        <v>0</v>
      </c>
    </row>
    <row r="2323" spans="1:6" x14ac:dyDescent="0.15">
      <c r="A2323" t="s">
        <v>210</v>
      </c>
      <c r="B2323" s="226">
        <v>42336.452624155092</v>
      </c>
      <c r="C2323" t="s">
        <v>2120</v>
      </c>
      <c r="D2323" t="s">
        <v>13</v>
      </c>
      <c r="E2323">
        <v>100</v>
      </c>
      <c r="F2323">
        <v>0</v>
      </c>
    </row>
    <row r="2324" spans="1:6" x14ac:dyDescent="0.15">
      <c r="A2324" t="s">
        <v>210</v>
      </c>
      <c r="B2324" s="226">
        <v>42336.457748935187</v>
      </c>
      <c r="C2324" t="s">
        <v>1207</v>
      </c>
      <c r="D2324" t="s">
        <v>13</v>
      </c>
      <c r="E2324">
        <v>40</v>
      </c>
      <c r="F2324">
        <v>0</v>
      </c>
    </row>
    <row r="2325" spans="1:6" x14ac:dyDescent="0.15">
      <c r="A2325" t="s">
        <v>210</v>
      </c>
      <c r="B2325" s="226">
        <v>42336.492854270837</v>
      </c>
      <c r="C2325" t="s">
        <v>2121</v>
      </c>
      <c r="D2325" t="s">
        <v>13</v>
      </c>
      <c r="E2325">
        <v>40</v>
      </c>
      <c r="F2325">
        <v>0</v>
      </c>
    </row>
    <row r="2326" spans="1:6" x14ac:dyDescent="0.15">
      <c r="A2326" t="s">
        <v>210</v>
      </c>
      <c r="B2326" s="226">
        <v>42336.516181493054</v>
      </c>
      <c r="C2326" t="s">
        <v>2122</v>
      </c>
      <c r="D2326" t="s">
        <v>13</v>
      </c>
      <c r="E2326">
        <v>40</v>
      </c>
      <c r="F2326">
        <v>0</v>
      </c>
    </row>
    <row r="2327" spans="1:6" x14ac:dyDescent="0.15">
      <c r="A2327" t="s">
        <v>210</v>
      </c>
      <c r="B2327" s="226">
        <v>42336.518637083333</v>
      </c>
      <c r="C2327" t="s">
        <v>1117</v>
      </c>
      <c r="D2327" t="s">
        <v>13</v>
      </c>
      <c r="E2327">
        <v>300</v>
      </c>
      <c r="F2327">
        <v>0</v>
      </c>
    </row>
    <row r="2328" spans="1:6" x14ac:dyDescent="0.15">
      <c r="A2328" t="s">
        <v>210</v>
      </c>
      <c r="B2328" s="226">
        <v>42336.532396932867</v>
      </c>
      <c r="C2328" t="s">
        <v>1921</v>
      </c>
      <c r="D2328" t="s">
        <v>13</v>
      </c>
      <c r="E2328">
        <v>100</v>
      </c>
      <c r="F2328">
        <v>0</v>
      </c>
    </row>
    <row r="2329" spans="1:6" x14ac:dyDescent="0.15">
      <c r="A2329" t="s">
        <v>210</v>
      </c>
      <c r="B2329" s="226">
        <v>42336.540555081017</v>
      </c>
      <c r="C2329" t="s">
        <v>2123</v>
      </c>
      <c r="D2329" t="s">
        <v>13</v>
      </c>
      <c r="E2329">
        <v>40</v>
      </c>
      <c r="F2329">
        <v>0</v>
      </c>
    </row>
    <row r="2330" spans="1:6" x14ac:dyDescent="0.15">
      <c r="A2330" t="s">
        <v>210</v>
      </c>
      <c r="B2330" s="226">
        <v>42336.554530069443</v>
      </c>
      <c r="C2330" t="s">
        <v>2124</v>
      </c>
      <c r="D2330" t="s">
        <v>13</v>
      </c>
      <c r="E2330">
        <v>40</v>
      </c>
      <c r="F2330">
        <v>0</v>
      </c>
    </row>
    <row r="2331" spans="1:6" x14ac:dyDescent="0.15">
      <c r="A2331" t="s">
        <v>210</v>
      </c>
      <c r="B2331" s="226">
        <v>42336.566653726855</v>
      </c>
      <c r="C2331" t="s">
        <v>14</v>
      </c>
      <c r="D2331" t="s">
        <v>15</v>
      </c>
      <c r="E2331">
        <v>20</v>
      </c>
      <c r="F2331">
        <v>3.1</v>
      </c>
    </row>
    <row r="2332" spans="1:6" x14ac:dyDescent="0.15">
      <c r="A2332" t="s">
        <v>210</v>
      </c>
      <c r="B2332" s="226">
        <v>42336.579251157411</v>
      </c>
      <c r="C2332" t="s">
        <v>1784</v>
      </c>
      <c r="D2332" t="s">
        <v>13</v>
      </c>
      <c r="E2332">
        <v>100</v>
      </c>
      <c r="F2332">
        <v>0</v>
      </c>
    </row>
    <row r="2333" spans="1:6" x14ac:dyDescent="0.15">
      <c r="A2333" t="s">
        <v>210</v>
      </c>
      <c r="B2333" s="226">
        <v>42336.581691203704</v>
      </c>
      <c r="C2333" t="s">
        <v>255</v>
      </c>
      <c r="D2333" t="s">
        <v>13</v>
      </c>
      <c r="E2333">
        <v>40</v>
      </c>
      <c r="F2333">
        <v>0</v>
      </c>
    </row>
    <row r="2334" spans="1:6" x14ac:dyDescent="0.15">
      <c r="A2334" t="s">
        <v>210</v>
      </c>
      <c r="B2334" s="226">
        <v>42336.601563067132</v>
      </c>
      <c r="C2334" t="s">
        <v>2125</v>
      </c>
      <c r="D2334" t="s">
        <v>13</v>
      </c>
      <c r="E2334">
        <v>40</v>
      </c>
      <c r="F2334">
        <v>0</v>
      </c>
    </row>
    <row r="2335" spans="1:6" x14ac:dyDescent="0.15">
      <c r="A2335" t="s">
        <v>210</v>
      </c>
      <c r="B2335" s="226">
        <v>42336.6080377662</v>
      </c>
      <c r="C2335" t="s">
        <v>479</v>
      </c>
      <c r="D2335" t="s">
        <v>13</v>
      </c>
      <c r="E2335">
        <v>140</v>
      </c>
      <c r="F2335">
        <v>0</v>
      </c>
    </row>
    <row r="2336" spans="1:6" x14ac:dyDescent="0.15">
      <c r="A2336" t="s">
        <v>210</v>
      </c>
      <c r="B2336" s="226">
        <v>42336.616483252314</v>
      </c>
      <c r="C2336" t="s">
        <v>14</v>
      </c>
      <c r="D2336" t="s">
        <v>13</v>
      </c>
      <c r="E2336">
        <v>80</v>
      </c>
      <c r="F2336">
        <v>3.5</v>
      </c>
    </row>
    <row r="2337" spans="1:6" x14ac:dyDescent="0.15">
      <c r="A2337" t="s">
        <v>210</v>
      </c>
      <c r="B2337" s="226">
        <v>42336.645949120371</v>
      </c>
      <c r="C2337" t="s">
        <v>2126</v>
      </c>
      <c r="D2337" t="s">
        <v>13</v>
      </c>
      <c r="E2337">
        <v>60</v>
      </c>
      <c r="F2337">
        <v>0</v>
      </c>
    </row>
    <row r="2338" spans="1:6" x14ac:dyDescent="0.15">
      <c r="A2338" t="s">
        <v>210</v>
      </c>
      <c r="B2338" s="226">
        <v>42336.651590717593</v>
      </c>
      <c r="C2338" t="s">
        <v>2127</v>
      </c>
      <c r="D2338" t="s">
        <v>13</v>
      </c>
      <c r="E2338">
        <v>80</v>
      </c>
      <c r="F2338">
        <v>0</v>
      </c>
    </row>
    <row r="2339" spans="1:6" x14ac:dyDescent="0.15">
      <c r="A2339" t="s">
        <v>210</v>
      </c>
      <c r="B2339" s="226">
        <v>42336.676250405093</v>
      </c>
      <c r="C2339" t="s">
        <v>225</v>
      </c>
      <c r="D2339" t="s">
        <v>13</v>
      </c>
      <c r="E2339">
        <v>60</v>
      </c>
      <c r="F2339">
        <v>0</v>
      </c>
    </row>
    <row r="2340" spans="1:6" x14ac:dyDescent="0.15">
      <c r="A2340" t="s">
        <v>210</v>
      </c>
      <c r="B2340" s="226">
        <v>42336.730807442131</v>
      </c>
      <c r="C2340" t="s">
        <v>2128</v>
      </c>
      <c r="D2340" t="s">
        <v>13</v>
      </c>
      <c r="E2340">
        <v>40</v>
      </c>
      <c r="F2340">
        <v>0</v>
      </c>
    </row>
    <row r="2341" spans="1:6" x14ac:dyDescent="0.15">
      <c r="A2341" t="s">
        <v>210</v>
      </c>
      <c r="B2341" s="226">
        <v>42336.760721435188</v>
      </c>
      <c r="C2341" t="s">
        <v>2129</v>
      </c>
      <c r="D2341" t="s">
        <v>13</v>
      </c>
      <c r="E2341">
        <v>500</v>
      </c>
      <c r="F2341">
        <v>0</v>
      </c>
    </row>
    <row r="2342" spans="1:6" x14ac:dyDescent="0.15">
      <c r="A2342" t="s">
        <v>210</v>
      </c>
      <c r="B2342" s="226">
        <v>42336.783571018517</v>
      </c>
      <c r="C2342" t="s">
        <v>602</v>
      </c>
      <c r="D2342" t="s">
        <v>13</v>
      </c>
      <c r="E2342">
        <v>20</v>
      </c>
      <c r="F2342">
        <v>0</v>
      </c>
    </row>
    <row r="2343" spans="1:6" x14ac:dyDescent="0.15">
      <c r="A2343" t="s">
        <v>210</v>
      </c>
      <c r="B2343" s="226">
        <v>42336.787112939812</v>
      </c>
      <c r="C2343" t="s">
        <v>2130</v>
      </c>
      <c r="D2343" t="s">
        <v>13</v>
      </c>
      <c r="E2343">
        <v>40</v>
      </c>
      <c r="F2343">
        <v>0</v>
      </c>
    </row>
    <row r="2344" spans="1:6" x14ac:dyDescent="0.15">
      <c r="A2344" t="s">
        <v>210</v>
      </c>
      <c r="B2344" s="226">
        <v>42336.824418946759</v>
      </c>
      <c r="C2344" t="s">
        <v>14</v>
      </c>
      <c r="D2344" t="s">
        <v>15</v>
      </c>
      <c r="E2344">
        <v>60</v>
      </c>
      <c r="F2344">
        <v>4.3</v>
      </c>
    </row>
    <row r="2345" spans="1:6" x14ac:dyDescent="0.15">
      <c r="A2345" t="s">
        <v>210</v>
      </c>
      <c r="B2345" s="226">
        <v>42336.82973229167</v>
      </c>
      <c r="C2345" t="s">
        <v>14</v>
      </c>
      <c r="D2345" t="s">
        <v>13</v>
      </c>
      <c r="E2345">
        <v>200</v>
      </c>
      <c r="F2345">
        <v>3.5</v>
      </c>
    </row>
    <row r="2346" spans="1:6" x14ac:dyDescent="0.15">
      <c r="A2346" t="s">
        <v>210</v>
      </c>
      <c r="B2346" s="226">
        <v>42336.853334513886</v>
      </c>
      <c r="C2346" t="s">
        <v>2131</v>
      </c>
      <c r="D2346" t="s">
        <v>13</v>
      </c>
      <c r="E2346">
        <v>40</v>
      </c>
      <c r="F2346">
        <v>0</v>
      </c>
    </row>
    <row r="2347" spans="1:6" x14ac:dyDescent="0.15">
      <c r="A2347" t="s">
        <v>210</v>
      </c>
      <c r="B2347" s="226">
        <v>42336.893547951389</v>
      </c>
      <c r="C2347" t="s">
        <v>480</v>
      </c>
      <c r="D2347" t="s">
        <v>13</v>
      </c>
      <c r="E2347">
        <v>40</v>
      </c>
      <c r="F2347">
        <v>0</v>
      </c>
    </row>
    <row r="2348" spans="1:6" x14ac:dyDescent="0.15">
      <c r="A2348" t="s">
        <v>210</v>
      </c>
      <c r="B2348" s="226">
        <v>42336.91259010417</v>
      </c>
      <c r="C2348" t="s">
        <v>2132</v>
      </c>
      <c r="D2348" t="s">
        <v>13</v>
      </c>
      <c r="E2348">
        <v>60</v>
      </c>
      <c r="F2348">
        <v>0</v>
      </c>
    </row>
    <row r="2349" spans="1:6" x14ac:dyDescent="0.15">
      <c r="A2349" t="s">
        <v>210</v>
      </c>
      <c r="B2349" s="226">
        <v>42336.91853667824</v>
      </c>
      <c r="C2349" t="s">
        <v>481</v>
      </c>
      <c r="D2349" t="s">
        <v>13</v>
      </c>
      <c r="E2349">
        <v>60</v>
      </c>
      <c r="F2349">
        <v>0</v>
      </c>
    </row>
    <row r="2350" spans="1:6" x14ac:dyDescent="0.15">
      <c r="A2350" t="s">
        <v>210</v>
      </c>
      <c r="B2350" s="226">
        <v>42336.951155138886</v>
      </c>
      <c r="C2350" t="s">
        <v>2133</v>
      </c>
      <c r="D2350" t="s">
        <v>13</v>
      </c>
      <c r="E2350">
        <v>100</v>
      </c>
      <c r="F2350">
        <v>0</v>
      </c>
    </row>
    <row r="2351" spans="1:6" x14ac:dyDescent="0.15">
      <c r="A2351" t="s">
        <v>210</v>
      </c>
      <c r="B2351" s="226">
        <v>42337.042279872687</v>
      </c>
      <c r="C2351" t="s">
        <v>1865</v>
      </c>
      <c r="D2351" t="s">
        <v>13</v>
      </c>
      <c r="E2351">
        <v>20</v>
      </c>
      <c r="F2351">
        <v>0</v>
      </c>
    </row>
    <row r="2352" spans="1:6" x14ac:dyDescent="0.15">
      <c r="A2352" t="s">
        <v>210</v>
      </c>
      <c r="B2352" s="226">
        <v>42337.342590381944</v>
      </c>
      <c r="C2352" t="s">
        <v>2134</v>
      </c>
      <c r="D2352" t="s">
        <v>13</v>
      </c>
      <c r="E2352">
        <v>100</v>
      </c>
      <c r="F2352">
        <v>0</v>
      </c>
    </row>
    <row r="2353" spans="1:6" x14ac:dyDescent="0.15">
      <c r="A2353" t="s">
        <v>210</v>
      </c>
      <c r="B2353" s="226">
        <v>42337.416390474536</v>
      </c>
      <c r="C2353" t="s">
        <v>235</v>
      </c>
      <c r="D2353" t="s">
        <v>13</v>
      </c>
      <c r="E2353">
        <v>40</v>
      </c>
      <c r="F2353">
        <v>0</v>
      </c>
    </row>
    <row r="2354" spans="1:6" x14ac:dyDescent="0.15">
      <c r="A2354" t="s">
        <v>210</v>
      </c>
      <c r="B2354" s="226">
        <v>42337.423729780094</v>
      </c>
      <c r="C2354" t="s">
        <v>2135</v>
      </c>
      <c r="D2354" t="s">
        <v>13</v>
      </c>
      <c r="E2354">
        <v>100</v>
      </c>
      <c r="F2354">
        <v>0</v>
      </c>
    </row>
    <row r="2355" spans="1:6" x14ac:dyDescent="0.15">
      <c r="A2355" t="s">
        <v>210</v>
      </c>
      <c r="B2355" s="226">
        <v>42337.4677212963</v>
      </c>
      <c r="C2355" t="s">
        <v>2136</v>
      </c>
      <c r="D2355" t="s">
        <v>13</v>
      </c>
      <c r="E2355">
        <v>140</v>
      </c>
      <c r="F2355">
        <v>0</v>
      </c>
    </row>
    <row r="2356" spans="1:6" x14ac:dyDescent="0.15">
      <c r="A2356" t="s">
        <v>210</v>
      </c>
      <c r="B2356" s="226">
        <v>42337.474963356479</v>
      </c>
      <c r="C2356" t="s">
        <v>2137</v>
      </c>
      <c r="D2356" t="s">
        <v>13</v>
      </c>
      <c r="E2356">
        <v>100</v>
      </c>
      <c r="F2356">
        <v>0</v>
      </c>
    </row>
    <row r="2357" spans="1:6" x14ac:dyDescent="0.15">
      <c r="A2357" t="s">
        <v>210</v>
      </c>
      <c r="B2357" s="226">
        <v>42337.499725243055</v>
      </c>
      <c r="C2357" t="s">
        <v>2138</v>
      </c>
      <c r="D2357" t="s">
        <v>13</v>
      </c>
      <c r="E2357">
        <v>40</v>
      </c>
      <c r="F2357">
        <v>0</v>
      </c>
    </row>
    <row r="2358" spans="1:6" x14ac:dyDescent="0.15">
      <c r="A2358" t="s">
        <v>210</v>
      </c>
      <c r="B2358" s="226">
        <v>42337.503852557871</v>
      </c>
      <c r="C2358" t="s">
        <v>2139</v>
      </c>
      <c r="D2358" t="s">
        <v>13</v>
      </c>
      <c r="E2358">
        <v>400</v>
      </c>
      <c r="F2358">
        <v>0</v>
      </c>
    </row>
    <row r="2359" spans="1:6" x14ac:dyDescent="0.15">
      <c r="A2359" t="s">
        <v>210</v>
      </c>
      <c r="B2359" s="226">
        <v>42337.538538125002</v>
      </c>
      <c r="C2359" t="s">
        <v>2140</v>
      </c>
      <c r="D2359" t="s">
        <v>13</v>
      </c>
      <c r="E2359">
        <v>40</v>
      </c>
      <c r="F2359">
        <v>0</v>
      </c>
    </row>
    <row r="2360" spans="1:6" x14ac:dyDescent="0.15">
      <c r="A2360" t="s">
        <v>210</v>
      </c>
      <c r="B2360" s="226">
        <v>42337.565439467595</v>
      </c>
      <c r="C2360" t="s">
        <v>2141</v>
      </c>
      <c r="D2360" t="s">
        <v>13</v>
      </c>
      <c r="E2360">
        <v>80</v>
      </c>
      <c r="F2360">
        <v>0</v>
      </c>
    </row>
    <row r="2361" spans="1:6" x14ac:dyDescent="0.15">
      <c r="A2361" t="s">
        <v>210</v>
      </c>
      <c r="B2361" s="226">
        <v>42337.570079583333</v>
      </c>
      <c r="C2361" t="s">
        <v>2142</v>
      </c>
      <c r="D2361" t="s">
        <v>13</v>
      </c>
      <c r="E2361">
        <v>80</v>
      </c>
      <c r="F2361">
        <v>0</v>
      </c>
    </row>
    <row r="2362" spans="1:6" x14ac:dyDescent="0.15">
      <c r="A2362" t="s">
        <v>210</v>
      </c>
      <c r="B2362" s="226">
        <v>42337.596580775462</v>
      </c>
      <c r="C2362" t="s">
        <v>1387</v>
      </c>
      <c r="D2362" t="s">
        <v>13</v>
      </c>
      <c r="E2362">
        <v>60</v>
      </c>
      <c r="F2362">
        <v>0</v>
      </c>
    </row>
    <row r="2363" spans="1:6" x14ac:dyDescent="0.15">
      <c r="A2363" t="s">
        <v>210</v>
      </c>
      <c r="B2363" s="226">
        <v>42337.623594791665</v>
      </c>
      <c r="C2363" t="s">
        <v>2143</v>
      </c>
      <c r="D2363" t="s">
        <v>13</v>
      </c>
      <c r="E2363">
        <v>100</v>
      </c>
      <c r="F2363">
        <v>0</v>
      </c>
    </row>
    <row r="2364" spans="1:6" x14ac:dyDescent="0.15">
      <c r="A2364" t="s">
        <v>210</v>
      </c>
      <c r="B2364" s="226">
        <v>42337.624501932871</v>
      </c>
      <c r="C2364" t="s">
        <v>2144</v>
      </c>
      <c r="D2364" t="s">
        <v>13</v>
      </c>
      <c r="E2364">
        <v>40</v>
      </c>
      <c r="F2364">
        <v>0</v>
      </c>
    </row>
    <row r="2365" spans="1:6" x14ac:dyDescent="0.15">
      <c r="A2365" t="s">
        <v>210</v>
      </c>
      <c r="B2365" s="226">
        <v>42337.639784340281</v>
      </c>
      <c r="C2365" t="s">
        <v>2145</v>
      </c>
      <c r="D2365" t="s">
        <v>13</v>
      </c>
      <c r="E2365">
        <v>120</v>
      </c>
      <c r="F2365">
        <v>0</v>
      </c>
    </row>
    <row r="2366" spans="1:6" x14ac:dyDescent="0.15">
      <c r="A2366" t="s">
        <v>210</v>
      </c>
      <c r="B2366" s="226">
        <v>42337.655501099536</v>
      </c>
      <c r="C2366" t="s">
        <v>2146</v>
      </c>
      <c r="D2366" t="s">
        <v>13</v>
      </c>
      <c r="E2366">
        <v>40</v>
      </c>
      <c r="F2366">
        <v>0</v>
      </c>
    </row>
    <row r="2367" spans="1:6" x14ac:dyDescent="0.15">
      <c r="A2367" t="s">
        <v>210</v>
      </c>
      <c r="B2367" s="226">
        <v>42337.674006921297</v>
      </c>
      <c r="C2367" t="s">
        <v>2147</v>
      </c>
      <c r="D2367" t="s">
        <v>13</v>
      </c>
      <c r="E2367">
        <v>40</v>
      </c>
      <c r="F2367">
        <v>0</v>
      </c>
    </row>
    <row r="2368" spans="1:6" x14ac:dyDescent="0.15">
      <c r="A2368" t="s">
        <v>210</v>
      </c>
      <c r="B2368" s="226">
        <v>42337.677549282409</v>
      </c>
      <c r="C2368" t="s">
        <v>2148</v>
      </c>
      <c r="D2368" t="s">
        <v>13</v>
      </c>
      <c r="E2368">
        <v>100</v>
      </c>
      <c r="F2368">
        <v>0</v>
      </c>
    </row>
    <row r="2369" spans="1:6" x14ac:dyDescent="0.15">
      <c r="A2369" t="s">
        <v>210</v>
      </c>
      <c r="B2369" s="226">
        <v>42337.686529641207</v>
      </c>
      <c r="C2369" t="s">
        <v>482</v>
      </c>
      <c r="D2369" t="s">
        <v>13</v>
      </c>
      <c r="E2369">
        <v>100</v>
      </c>
      <c r="F2369">
        <v>0</v>
      </c>
    </row>
    <row r="2370" spans="1:6" x14ac:dyDescent="0.15">
      <c r="A2370" t="s">
        <v>210</v>
      </c>
      <c r="B2370" s="226">
        <v>42337.697525543983</v>
      </c>
      <c r="C2370" t="s">
        <v>2149</v>
      </c>
      <c r="D2370" t="s">
        <v>13</v>
      </c>
      <c r="E2370">
        <v>120</v>
      </c>
      <c r="F2370">
        <v>0</v>
      </c>
    </row>
    <row r="2371" spans="1:6" x14ac:dyDescent="0.15">
      <c r="A2371" t="s">
        <v>210</v>
      </c>
      <c r="B2371" s="226">
        <v>42337.718993437498</v>
      </c>
      <c r="C2371" t="s">
        <v>2150</v>
      </c>
      <c r="D2371" t="s">
        <v>13</v>
      </c>
      <c r="E2371">
        <v>120</v>
      </c>
      <c r="F2371">
        <v>0</v>
      </c>
    </row>
    <row r="2372" spans="1:6" x14ac:dyDescent="0.15">
      <c r="A2372" t="s">
        <v>210</v>
      </c>
      <c r="B2372" s="226">
        <v>42337.903804317131</v>
      </c>
      <c r="C2372" t="s">
        <v>2151</v>
      </c>
      <c r="D2372" t="s">
        <v>13</v>
      </c>
      <c r="E2372">
        <v>100</v>
      </c>
      <c r="F2372">
        <v>0</v>
      </c>
    </row>
    <row r="2373" spans="1:6" x14ac:dyDescent="0.15">
      <c r="A2373" t="s">
        <v>210</v>
      </c>
      <c r="B2373" s="226">
        <v>42337.956627280095</v>
      </c>
      <c r="C2373" t="s">
        <v>99</v>
      </c>
      <c r="D2373" t="s">
        <v>13</v>
      </c>
      <c r="E2373">
        <v>60</v>
      </c>
      <c r="F2373">
        <v>0</v>
      </c>
    </row>
    <row r="2374" spans="1:6" x14ac:dyDescent="0.15">
      <c r="A2374" t="s">
        <v>210</v>
      </c>
      <c r="B2374" s="226">
        <v>42337.961132662036</v>
      </c>
      <c r="C2374" t="s">
        <v>2152</v>
      </c>
      <c r="D2374" t="s">
        <v>13</v>
      </c>
      <c r="E2374">
        <v>40</v>
      </c>
      <c r="F2374">
        <v>0</v>
      </c>
    </row>
    <row r="2375" spans="1:6" x14ac:dyDescent="0.15">
      <c r="A2375" t="s">
        <v>210</v>
      </c>
      <c r="B2375" s="226">
        <v>42338.292749826389</v>
      </c>
      <c r="C2375" t="s">
        <v>87</v>
      </c>
      <c r="D2375" t="s">
        <v>13</v>
      </c>
      <c r="E2375">
        <v>20</v>
      </c>
      <c r="F2375">
        <v>0</v>
      </c>
    </row>
    <row r="2376" spans="1:6" x14ac:dyDescent="0.15">
      <c r="A2376" t="s">
        <v>210</v>
      </c>
      <c r="B2376" s="226">
        <v>42338.315247858794</v>
      </c>
      <c r="C2376" t="s">
        <v>483</v>
      </c>
      <c r="D2376" t="s">
        <v>13</v>
      </c>
      <c r="E2376">
        <v>100</v>
      </c>
      <c r="F2376">
        <v>0</v>
      </c>
    </row>
    <row r="2377" spans="1:6" x14ac:dyDescent="0.15">
      <c r="A2377" t="s">
        <v>210</v>
      </c>
      <c r="B2377" s="226">
        <v>42338.332187974534</v>
      </c>
      <c r="C2377" t="s">
        <v>2153</v>
      </c>
      <c r="D2377" t="s">
        <v>15</v>
      </c>
      <c r="E2377">
        <v>60</v>
      </c>
      <c r="F2377">
        <v>1.8</v>
      </c>
    </row>
    <row r="2378" spans="1:6" x14ac:dyDescent="0.15">
      <c r="A2378" t="s">
        <v>210</v>
      </c>
      <c r="B2378" s="226">
        <v>42338.359221747683</v>
      </c>
      <c r="C2378" t="s">
        <v>2154</v>
      </c>
      <c r="D2378" t="s">
        <v>13</v>
      </c>
      <c r="E2378">
        <v>40</v>
      </c>
      <c r="F2378">
        <v>0</v>
      </c>
    </row>
    <row r="2379" spans="1:6" x14ac:dyDescent="0.15">
      <c r="A2379" t="s">
        <v>210</v>
      </c>
      <c r="B2379" s="226">
        <v>42338.369236956016</v>
      </c>
      <c r="C2379" t="s">
        <v>2155</v>
      </c>
      <c r="D2379" t="s">
        <v>13</v>
      </c>
      <c r="E2379">
        <v>140</v>
      </c>
      <c r="F2379">
        <v>0</v>
      </c>
    </row>
    <row r="2380" spans="1:6" x14ac:dyDescent="0.15">
      <c r="A2380" t="s">
        <v>210</v>
      </c>
      <c r="B2380" s="226">
        <v>42338.449036064812</v>
      </c>
      <c r="C2380" t="s">
        <v>2156</v>
      </c>
      <c r="D2380" t="s">
        <v>13</v>
      </c>
      <c r="E2380">
        <v>80</v>
      </c>
      <c r="F2380">
        <v>0</v>
      </c>
    </row>
    <row r="2381" spans="1:6" x14ac:dyDescent="0.15">
      <c r="A2381" t="s">
        <v>210</v>
      </c>
      <c r="B2381" s="226">
        <v>42338.453412071758</v>
      </c>
      <c r="C2381" t="s">
        <v>885</v>
      </c>
      <c r="D2381" t="s">
        <v>13</v>
      </c>
      <c r="E2381">
        <v>200</v>
      </c>
      <c r="F2381">
        <v>0</v>
      </c>
    </row>
    <row r="2382" spans="1:6" x14ac:dyDescent="0.15">
      <c r="A2382" t="s">
        <v>210</v>
      </c>
      <c r="B2382" s="226">
        <v>42338.461952673613</v>
      </c>
      <c r="C2382" t="s">
        <v>2157</v>
      </c>
      <c r="D2382" t="s">
        <v>13</v>
      </c>
      <c r="E2382">
        <v>200</v>
      </c>
      <c r="F2382">
        <v>0</v>
      </c>
    </row>
    <row r="2383" spans="1:6" x14ac:dyDescent="0.15">
      <c r="A2383" t="s">
        <v>210</v>
      </c>
      <c r="B2383" s="226">
        <v>42338.46722337963</v>
      </c>
      <c r="C2383" t="s">
        <v>2158</v>
      </c>
      <c r="D2383" t="s">
        <v>13</v>
      </c>
      <c r="E2383">
        <v>80</v>
      </c>
      <c r="F2383">
        <v>0</v>
      </c>
    </row>
    <row r="2384" spans="1:6" x14ac:dyDescent="0.15">
      <c r="A2384" t="s">
        <v>210</v>
      </c>
      <c r="B2384" s="226">
        <v>42338.482132604164</v>
      </c>
      <c r="C2384" t="s">
        <v>2159</v>
      </c>
      <c r="D2384" t="s">
        <v>13</v>
      </c>
      <c r="E2384">
        <v>100</v>
      </c>
      <c r="F2384">
        <v>0</v>
      </c>
    </row>
    <row r="2385" spans="1:6" x14ac:dyDescent="0.15">
      <c r="A2385" t="s">
        <v>210</v>
      </c>
      <c r="B2385" s="226">
        <v>42338.508213877314</v>
      </c>
      <c r="C2385" t="s">
        <v>2160</v>
      </c>
      <c r="D2385" t="s">
        <v>13</v>
      </c>
      <c r="E2385">
        <v>100</v>
      </c>
      <c r="F2385">
        <v>0</v>
      </c>
    </row>
    <row r="2386" spans="1:6" x14ac:dyDescent="0.15">
      <c r="A2386" t="s">
        <v>210</v>
      </c>
      <c r="B2386" s="226">
        <v>42338.509452141203</v>
      </c>
      <c r="C2386" t="s">
        <v>2161</v>
      </c>
      <c r="D2386" t="s">
        <v>13</v>
      </c>
      <c r="E2386">
        <v>80</v>
      </c>
      <c r="F2386">
        <v>0</v>
      </c>
    </row>
    <row r="2387" spans="1:6" x14ac:dyDescent="0.15">
      <c r="A2387" t="s">
        <v>210</v>
      </c>
      <c r="B2387" s="226">
        <v>42338.527933483798</v>
      </c>
      <c r="C2387" t="s">
        <v>2162</v>
      </c>
      <c r="D2387" t="s">
        <v>13</v>
      </c>
      <c r="E2387">
        <v>100</v>
      </c>
      <c r="F2387">
        <v>0</v>
      </c>
    </row>
    <row r="2388" spans="1:6" x14ac:dyDescent="0.15">
      <c r="A2388" t="s">
        <v>210</v>
      </c>
      <c r="B2388" s="226">
        <v>42338.548953576392</v>
      </c>
      <c r="C2388" t="s">
        <v>2163</v>
      </c>
      <c r="D2388" t="s">
        <v>13</v>
      </c>
      <c r="E2388">
        <v>300</v>
      </c>
      <c r="F2388">
        <v>0</v>
      </c>
    </row>
    <row r="2389" spans="1:6" x14ac:dyDescent="0.15">
      <c r="A2389" t="s">
        <v>210</v>
      </c>
      <c r="B2389" s="226">
        <v>42338.55144265046</v>
      </c>
      <c r="C2389" t="s">
        <v>2164</v>
      </c>
      <c r="D2389" t="s">
        <v>13</v>
      </c>
      <c r="E2389">
        <v>100</v>
      </c>
      <c r="F2389">
        <v>0</v>
      </c>
    </row>
    <row r="2390" spans="1:6" x14ac:dyDescent="0.15">
      <c r="A2390" t="s">
        <v>210</v>
      </c>
      <c r="B2390" s="226">
        <v>42338.581348576387</v>
      </c>
      <c r="C2390" t="s">
        <v>14</v>
      </c>
      <c r="D2390" t="s">
        <v>13</v>
      </c>
      <c r="E2390">
        <v>60</v>
      </c>
      <c r="F2390">
        <v>3.5</v>
      </c>
    </row>
    <row r="2391" spans="1:6" x14ac:dyDescent="0.15">
      <c r="A2391" t="s">
        <v>210</v>
      </c>
      <c r="B2391" s="226">
        <v>42338.590114409722</v>
      </c>
      <c r="C2391" t="s">
        <v>484</v>
      </c>
      <c r="D2391" t="s">
        <v>13</v>
      </c>
      <c r="E2391">
        <v>100</v>
      </c>
      <c r="F2391">
        <v>0</v>
      </c>
    </row>
    <row r="2392" spans="1:6" x14ac:dyDescent="0.15">
      <c r="A2392" t="s">
        <v>210</v>
      </c>
      <c r="B2392" s="226">
        <v>42338.592300162039</v>
      </c>
      <c r="C2392" t="s">
        <v>2165</v>
      </c>
      <c r="D2392" t="s">
        <v>13</v>
      </c>
      <c r="E2392">
        <v>100</v>
      </c>
      <c r="F2392">
        <v>0</v>
      </c>
    </row>
    <row r="2393" spans="1:6" x14ac:dyDescent="0.15">
      <c r="A2393" t="s">
        <v>210</v>
      </c>
      <c r="B2393" s="226">
        <v>42338.616288599536</v>
      </c>
      <c r="C2393" t="s">
        <v>2166</v>
      </c>
      <c r="D2393" t="s">
        <v>13</v>
      </c>
      <c r="E2393">
        <v>60</v>
      </c>
      <c r="F2393">
        <v>0</v>
      </c>
    </row>
    <row r="2394" spans="1:6" x14ac:dyDescent="0.15">
      <c r="A2394" t="s">
        <v>210</v>
      </c>
      <c r="B2394" s="226">
        <v>42338.640425671299</v>
      </c>
      <c r="C2394" t="s">
        <v>2167</v>
      </c>
      <c r="D2394" t="s">
        <v>13</v>
      </c>
      <c r="E2394">
        <v>80</v>
      </c>
      <c r="F2394">
        <v>0</v>
      </c>
    </row>
    <row r="2395" spans="1:6" x14ac:dyDescent="0.15">
      <c r="A2395" t="s">
        <v>210</v>
      </c>
      <c r="B2395" s="226">
        <v>42338.662366400466</v>
      </c>
      <c r="C2395" t="s">
        <v>14</v>
      </c>
      <c r="D2395" t="s">
        <v>15</v>
      </c>
      <c r="E2395">
        <v>100</v>
      </c>
      <c r="F2395">
        <v>5.5</v>
      </c>
    </row>
    <row r="2396" spans="1:6" x14ac:dyDescent="0.15">
      <c r="A2396" t="s">
        <v>210</v>
      </c>
      <c r="B2396" s="226">
        <v>42338.666897523151</v>
      </c>
      <c r="C2396" t="s">
        <v>257</v>
      </c>
      <c r="D2396" t="s">
        <v>13</v>
      </c>
      <c r="E2396">
        <v>20</v>
      </c>
      <c r="F2396">
        <v>0</v>
      </c>
    </row>
    <row r="2397" spans="1:6" x14ac:dyDescent="0.15">
      <c r="A2397" t="s">
        <v>210</v>
      </c>
      <c r="B2397" s="226">
        <v>42338.668210462965</v>
      </c>
      <c r="C2397" t="s">
        <v>2168</v>
      </c>
      <c r="D2397" t="s">
        <v>13</v>
      </c>
      <c r="E2397">
        <v>100</v>
      </c>
      <c r="F2397">
        <v>0</v>
      </c>
    </row>
    <row r="2398" spans="1:6" x14ac:dyDescent="0.15">
      <c r="A2398" t="s">
        <v>210</v>
      </c>
      <c r="B2398" s="226">
        <v>42338.687234178244</v>
      </c>
      <c r="C2398" t="s">
        <v>14</v>
      </c>
      <c r="D2398" t="s">
        <v>13</v>
      </c>
      <c r="E2398">
        <v>40</v>
      </c>
      <c r="F2398">
        <v>3.5</v>
      </c>
    </row>
    <row r="2399" spans="1:6" x14ac:dyDescent="0.15">
      <c r="A2399" t="s">
        <v>210</v>
      </c>
      <c r="B2399" s="226">
        <v>42338.694282893521</v>
      </c>
      <c r="C2399" t="s">
        <v>2169</v>
      </c>
      <c r="D2399" t="s">
        <v>13</v>
      </c>
      <c r="E2399">
        <v>80</v>
      </c>
      <c r="F2399">
        <v>0</v>
      </c>
    </row>
    <row r="2400" spans="1:6" x14ac:dyDescent="0.15">
      <c r="A2400" t="s">
        <v>210</v>
      </c>
      <c r="B2400" s="226">
        <v>42338.701052951386</v>
      </c>
      <c r="C2400" t="s">
        <v>2170</v>
      </c>
      <c r="D2400" t="s">
        <v>13</v>
      </c>
      <c r="E2400">
        <v>40</v>
      </c>
      <c r="F2400">
        <v>0</v>
      </c>
    </row>
    <row r="2401" spans="1:6" x14ac:dyDescent="0.15">
      <c r="A2401" t="s">
        <v>210</v>
      </c>
      <c r="B2401" s="226">
        <v>42338.712565590278</v>
      </c>
      <c r="C2401" t="s">
        <v>14</v>
      </c>
      <c r="D2401" t="s">
        <v>13</v>
      </c>
      <c r="E2401">
        <v>40</v>
      </c>
      <c r="F2401">
        <v>3.5</v>
      </c>
    </row>
    <row r="2402" spans="1:6" x14ac:dyDescent="0.15">
      <c r="A2402" t="s">
        <v>210</v>
      </c>
      <c r="B2402" s="226">
        <v>42338.714899652776</v>
      </c>
      <c r="C2402" t="s">
        <v>2171</v>
      </c>
      <c r="D2402" t="s">
        <v>13</v>
      </c>
      <c r="E2402">
        <v>100</v>
      </c>
      <c r="F2402">
        <v>0</v>
      </c>
    </row>
    <row r="2403" spans="1:6" x14ac:dyDescent="0.15">
      <c r="A2403" t="s">
        <v>210</v>
      </c>
      <c r="B2403" s="226">
        <v>42338.735172118053</v>
      </c>
      <c r="C2403" t="s">
        <v>2172</v>
      </c>
      <c r="D2403" t="s">
        <v>13</v>
      </c>
      <c r="E2403">
        <v>80</v>
      </c>
      <c r="F2403">
        <v>0</v>
      </c>
    </row>
    <row r="2404" spans="1:6" x14ac:dyDescent="0.15">
      <c r="A2404" t="s">
        <v>210</v>
      </c>
      <c r="B2404" s="226">
        <v>42338.751685555559</v>
      </c>
      <c r="C2404" t="s">
        <v>14</v>
      </c>
      <c r="D2404" t="s">
        <v>13</v>
      </c>
      <c r="E2404">
        <v>280</v>
      </c>
      <c r="F2404">
        <v>3.5</v>
      </c>
    </row>
    <row r="2405" spans="1:6" x14ac:dyDescent="0.15">
      <c r="A2405" t="s">
        <v>210</v>
      </c>
      <c r="B2405" s="226">
        <v>42338.755418055553</v>
      </c>
      <c r="C2405" t="s">
        <v>2173</v>
      </c>
      <c r="D2405" t="s">
        <v>13</v>
      </c>
      <c r="E2405">
        <v>100</v>
      </c>
      <c r="F2405">
        <v>0</v>
      </c>
    </row>
    <row r="2406" spans="1:6" x14ac:dyDescent="0.15">
      <c r="A2406" t="s">
        <v>210</v>
      </c>
      <c r="B2406" s="226">
        <v>42338.758094849538</v>
      </c>
      <c r="C2406" t="s">
        <v>2174</v>
      </c>
      <c r="D2406" t="s">
        <v>13</v>
      </c>
      <c r="E2406">
        <v>120</v>
      </c>
      <c r="F2406">
        <v>0</v>
      </c>
    </row>
    <row r="2407" spans="1:6" x14ac:dyDescent="0.15">
      <c r="A2407" t="s">
        <v>210</v>
      </c>
      <c r="B2407" s="226">
        <v>42338.764661307869</v>
      </c>
      <c r="C2407" t="s">
        <v>2175</v>
      </c>
      <c r="D2407" t="s">
        <v>13</v>
      </c>
      <c r="E2407">
        <v>20</v>
      </c>
      <c r="F2407">
        <v>0</v>
      </c>
    </row>
    <row r="2408" spans="1:6" x14ac:dyDescent="0.15">
      <c r="A2408" t="s">
        <v>210</v>
      </c>
      <c r="B2408" s="226">
        <v>42338.775218472219</v>
      </c>
      <c r="C2408" t="s">
        <v>2176</v>
      </c>
      <c r="D2408" t="s">
        <v>13</v>
      </c>
      <c r="E2408">
        <v>40</v>
      </c>
      <c r="F2408">
        <v>0</v>
      </c>
    </row>
    <row r="2409" spans="1:6" x14ac:dyDescent="0.15">
      <c r="A2409" t="s">
        <v>210</v>
      </c>
      <c r="B2409" s="226">
        <v>42338.781587893522</v>
      </c>
      <c r="C2409" t="s">
        <v>2177</v>
      </c>
      <c r="D2409" t="s">
        <v>13</v>
      </c>
      <c r="E2409">
        <v>80</v>
      </c>
      <c r="F2409">
        <v>0</v>
      </c>
    </row>
    <row r="2410" spans="1:6" x14ac:dyDescent="0.15">
      <c r="A2410" t="s">
        <v>210</v>
      </c>
      <c r="B2410" s="226">
        <v>42338.788406805557</v>
      </c>
      <c r="C2410" t="s">
        <v>113</v>
      </c>
      <c r="D2410" t="s">
        <v>13</v>
      </c>
      <c r="E2410">
        <v>100</v>
      </c>
      <c r="F2410">
        <v>0</v>
      </c>
    </row>
    <row r="2411" spans="1:6" x14ac:dyDescent="0.15">
      <c r="A2411" t="s">
        <v>210</v>
      </c>
      <c r="B2411" s="226">
        <v>42338.962862141205</v>
      </c>
      <c r="C2411" t="s">
        <v>108</v>
      </c>
      <c r="D2411" t="s">
        <v>13</v>
      </c>
      <c r="E2411">
        <v>40</v>
      </c>
      <c r="F2411">
        <v>0</v>
      </c>
    </row>
    <row r="2412" spans="1:6" x14ac:dyDescent="0.15">
      <c r="A2412" t="s">
        <v>210</v>
      </c>
      <c r="B2412" s="226">
        <v>42339.237235972221</v>
      </c>
      <c r="C2412" t="s">
        <v>14</v>
      </c>
      <c r="D2412" t="s">
        <v>13</v>
      </c>
      <c r="E2412">
        <v>80</v>
      </c>
      <c r="F2412">
        <v>3.5</v>
      </c>
    </row>
    <row r="2413" spans="1:6" x14ac:dyDescent="0.15">
      <c r="A2413" t="s">
        <v>210</v>
      </c>
      <c r="B2413" s="226">
        <v>42339.300973622689</v>
      </c>
      <c r="C2413" t="s">
        <v>603</v>
      </c>
      <c r="D2413" t="s">
        <v>13</v>
      </c>
      <c r="E2413">
        <v>60</v>
      </c>
      <c r="F2413">
        <v>0</v>
      </c>
    </row>
    <row r="2414" spans="1:6" x14ac:dyDescent="0.15">
      <c r="A2414" t="s">
        <v>210</v>
      </c>
      <c r="B2414" s="226">
        <v>42339.304097604167</v>
      </c>
      <c r="C2414" t="s">
        <v>14</v>
      </c>
      <c r="D2414" t="s">
        <v>13</v>
      </c>
      <c r="E2414">
        <v>80</v>
      </c>
      <c r="F2414">
        <v>3.5</v>
      </c>
    </row>
    <row r="2415" spans="1:6" x14ac:dyDescent="0.15">
      <c r="A2415" t="s">
        <v>210</v>
      </c>
      <c r="B2415" s="226">
        <v>42339.333115752313</v>
      </c>
      <c r="C2415" t="s">
        <v>2178</v>
      </c>
      <c r="D2415" t="s">
        <v>13</v>
      </c>
      <c r="E2415">
        <v>40</v>
      </c>
      <c r="F2415">
        <v>0</v>
      </c>
    </row>
    <row r="2416" spans="1:6" x14ac:dyDescent="0.15">
      <c r="A2416" t="s">
        <v>210</v>
      </c>
      <c r="B2416" s="226">
        <v>42339.354895150464</v>
      </c>
      <c r="C2416" t="s">
        <v>2179</v>
      </c>
      <c r="D2416" t="s">
        <v>13</v>
      </c>
      <c r="E2416">
        <v>200</v>
      </c>
      <c r="F2416">
        <v>0</v>
      </c>
    </row>
    <row r="2417" spans="1:6" x14ac:dyDescent="0.15">
      <c r="A2417" t="s">
        <v>210</v>
      </c>
      <c r="B2417" s="226">
        <v>42339.360080069448</v>
      </c>
      <c r="C2417" t="s">
        <v>14</v>
      </c>
      <c r="D2417" t="s">
        <v>15</v>
      </c>
      <c r="E2417">
        <v>100</v>
      </c>
      <c r="F2417">
        <v>5.5</v>
      </c>
    </row>
    <row r="2418" spans="1:6" x14ac:dyDescent="0.15">
      <c r="A2418" t="s">
        <v>210</v>
      </c>
      <c r="B2418" s="226">
        <v>42339.370615694446</v>
      </c>
      <c r="C2418" t="s">
        <v>2180</v>
      </c>
      <c r="D2418" t="s">
        <v>13</v>
      </c>
      <c r="E2418">
        <v>60</v>
      </c>
      <c r="F2418">
        <v>0</v>
      </c>
    </row>
    <row r="2419" spans="1:6" x14ac:dyDescent="0.15">
      <c r="A2419" t="s">
        <v>210</v>
      </c>
      <c r="B2419" s="226">
        <v>42339.418882835649</v>
      </c>
      <c r="C2419" t="s">
        <v>2181</v>
      </c>
      <c r="D2419" t="s">
        <v>13</v>
      </c>
      <c r="E2419">
        <v>100</v>
      </c>
      <c r="F2419">
        <v>0</v>
      </c>
    </row>
    <row r="2420" spans="1:6" x14ac:dyDescent="0.15">
      <c r="A2420" t="s">
        <v>210</v>
      </c>
      <c r="B2420" s="226">
        <v>42339.420214548612</v>
      </c>
      <c r="C2420" t="s">
        <v>1773</v>
      </c>
      <c r="D2420" t="s">
        <v>13</v>
      </c>
      <c r="E2420">
        <v>100</v>
      </c>
      <c r="F2420">
        <v>0</v>
      </c>
    </row>
    <row r="2421" spans="1:6" x14ac:dyDescent="0.15">
      <c r="A2421" t="s">
        <v>210</v>
      </c>
      <c r="B2421" s="226">
        <v>42339.452456956016</v>
      </c>
      <c r="C2421" t="s">
        <v>1855</v>
      </c>
      <c r="D2421" t="s">
        <v>13</v>
      </c>
      <c r="E2421">
        <v>80</v>
      </c>
      <c r="F2421">
        <v>0</v>
      </c>
    </row>
    <row r="2422" spans="1:6" x14ac:dyDescent="0.15">
      <c r="A2422" t="s">
        <v>210</v>
      </c>
      <c r="B2422" s="226">
        <v>42339.45948888889</v>
      </c>
      <c r="C2422" t="s">
        <v>2182</v>
      </c>
      <c r="D2422" t="s">
        <v>13</v>
      </c>
      <c r="E2422">
        <v>80</v>
      </c>
      <c r="F2422">
        <v>0</v>
      </c>
    </row>
    <row r="2423" spans="1:6" x14ac:dyDescent="0.15">
      <c r="A2423" t="s">
        <v>210</v>
      </c>
      <c r="B2423" s="226">
        <v>42339.4790115625</v>
      </c>
      <c r="C2423" t="s">
        <v>14</v>
      </c>
      <c r="D2423" t="s">
        <v>13</v>
      </c>
      <c r="E2423">
        <v>200</v>
      </c>
      <c r="F2423">
        <v>3.5</v>
      </c>
    </row>
    <row r="2424" spans="1:6" x14ac:dyDescent="0.15">
      <c r="A2424" t="s">
        <v>210</v>
      </c>
      <c r="B2424" s="226">
        <v>42339.486084872682</v>
      </c>
      <c r="C2424" t="s">
        <v>14</v>
      </c>
      <c r="D2424" t="s">
        <v>13</v>
      </c>
      <c r="E2424">
        <v>60</v>
      </c>
      <c r="F2424">
        <v>3.5</v>
      </c>
    </row>
    <row r="2425" spans="1:6" x14ac:dyDescent="0.15">
      <c r="A2425" t="s">
        <v>210</v>
      </c>
      <c r="B2425" s="226">
        <v>42339.504115671298</v>
      </c>
      <c r="C2425" t="s">
        <v>2183</v>
      </c>
      <c r="D2425" t="s">
        <v>13</v>
      </c>
      <c r="E2425">
        <v>40</v>
      </c>
      <c r="F2425">
        <v>0</v>
      </c>
    </row>
    <row r="2426" spans="1:6" x14ac:dyDescent="0.15">
      <c r="A2426" t="s">
        <v>210</v>
      </c>
      <c r="B2426" s="226">
        <v>42339.521683055558</v>
      </c>
      <c r="C2426" t="s">
        <v>14</v>
      </c>
      <c r="D2426" t="s">
        <v>15</v>
      </c>
      <c r="E2426">
        <v>40</v>
      </c>
      <c r="F2426">
        <v>3.7</v>
      </c>
    </row>
    <row r="2427" spans="1:6" x14ac:dyDescent="0.15">
      <c r="A2427" t="s">
        <v>210</v>
      </c>
      <c r="B2427" s="226">
        <v>42339.52399277778</v>
      </c>
      <c r="C2427" t="s">
        <v>192</v>
      </c>
      <c r="D2427" t="s">
        <v>13</v>
      </c>
      <c r="E2427">
        <v>100</v>
      </c>
      <c r="F2427">
        <v>0</v>
      </c>
    </row>
    <row r="2428" spans="1:6" x14ac:dyDescent="0.15">
      <c r="A2428" t="s">
        <v>210</v>
      </c>
      <c r="B2428" s="226">
        <v>42339.52548783565</v>
      </c>
      <c r="C2428" t="s">
        <v>2184</v>
      </c>
      <c r="D2428" t="s">
        <v>13</v>
      </c>
      <c r="E2428">
        <v>100</v>
      </c>
      <c r="F2428">
        <v>0</v>
      </c>
    </row>
    <row r="2429" spans="1:6" x14ac:dyDescent="0.15">
      <c r="A2429" t="s">
        <v>210</v>
      </c>
      <c r="B2429" s="226">
        <v>42339.529429965274</v>
      </c>
      <c r="C2429" t="s">
        <v>14</v>
      </c>
      <c r="D2429" t="s">
        <v>13</v>
      </c>
      <c r="E2429">
        <v>80</v>
      </c>
      <c r="F2429">
        <v>3.5</v>
      </c>
    </row>
    <row r="2430" spans="1:6" x14ac:dyDescent="0.15">
      <c r="A2430" t="s">
        <v>210</v>
      </c>
      <c r="B2430" s="226">
        <v>42339.544238402777</v>
      </c>
      <c r="C2430" t="s">
        <v>2185</v>
      </c>
      <c r="D2430" t="s">
        <v>13</v>
      </c>
      <c r="E2430">
        <v>60</v>
      </c>
      <c r="F2430">
        <v>0</v>
      </c>
    </row>
    <row r="2431" spans="1:6" x14ac:dyDescent="0.15">
      <c r="A2431" t="s">
        <v>210</v>
      </c>
      <c r="B2431" s="226">
        <v>42339.549198067129</v>
      </c>
      <c r="C2431" t="s">
        <v>2186</v>
      </c>
      <c r="D2431" t="s">
        <v>13</v>
      </c>
      <c r="E2431">
        <v>200</v>
      </c>
      <c r="F2431">
        <v>0</v>
      </c>
    </row>
    <row r="2432" spans="1:6" x14ac:dyDescent="0.15">
      <c r="A2432" t="s">
        <v>210</v>
      </c>
      <c r="B2432" s="226">
        <v>42339.559671365743</v>
      </c>
      <c r="C2432" t="s">
        <v>485</v>
      </c>
      <c r="D2432" t="s">
        <v>13</v>
      </c>
      <c r="E2432">
        <v>40</v>
      </c>
      <c r="F2432">
        <v>0</v>
      </c>
    </row>
    <row r="2433" spans="1:6" x14ac:dyDescent="0.15">
      <c r="A2433" t="s">
        <v>210</v>
      </c>
      <c r="B2433" s="226">
        <v>42339.569901921299</v>
      </c>
      <c r="C2433" t="s">
        <v>2187</v>
      </c>
      <c r="D2433" t="s">
        <v>13</v>
      </c>
      <c r="E2433">
        <v>60</v>
      </c>
      <c r="F2433">
        <v>0</v>
      </c>
    </row>
    <row r="2434" spans="1:6" x14ac:dyDescent="0.15">
      <c r="A2434" t="s">
        <v>210</v>
      </c>
      <c r="B2434" s="226">
        <v>42339.590844224535</v>
      </c>
      <c r="C2434" t="s">
        <v>486</v>
      </c>
      <c r="D2434" t="s">
        <v>13</v>
      </c>
      <c r="E2434">
        <v>60</v>
      </c>
      <c r="F2434">
        <v>0</v>
      </c>
    </row>
    <row r="2435" spans="1:6" x14ac:dyDescent="0.15">
      <c r="A2435" t="s">
        <v>210</v>
      </c>
      <c r="B2435" s="226">
        <v>42339.638521863424</v>
      </c>
      <c r="C2435" t="s">
        <v>14</v>
      </c>
      <c r="D2435" t="s">
        <v>13</v>
      </c>
      <c r="E2435">
        <v>20</v>
      </c>
      <c r="F2435">
        <v>3.5</v>
      </c>
    </row>
    <row r="2436" spans="1:6" x14ac:dyDescent="0.15">
      <c r="A2436" t="s">
        <v>210</v>
      </c>
      <c r="B2436" s="226">
        <v>42339.658619374997</v>
      </c>
      <c r="C2436" t="s">
        <v>2188</v>
      </c>
      <c r="D2436" t="s">
        <v>13</v>
      </c>
      <c r="E2436">
        <v>100</v>
      </c>
      <c r="F2436">
        <v>0</v>
      </c>
    </row>
    <row r="2437" spans="1:6" x14ac:dyDescent="0.15">
      <c r="A2437" t="s">
        <v>210</v>
      </c>
      <c r="B2437" s="226">
        <v>42339.659655497686</v>
      </c>
      <c r="C2437" t="s">
        <v>2189</v>
      </c>
      <c r="D2437" t="s">
        <v>13</v>
      </c>
      <c r="E2437">
        <v>20</v>
      </c>
      <c r="F2437">
        <v>0</v>
      </c>
    </row>
    <row r="2438" spans="1:6" x14ac:dyDescent="0.15">
      <c r="A2438" t="s">
        <v>210</v>
      </c>
      <c r="B2438" s="226">
        <v>42339.673562511576</v>
      </c>
      <c r="C2438" t="s">
        <v>14</v>
      </c>
      <c r="D2438" t="s">
        <v>13</v>
      </c>
      <c r="E2438">
        <v>40</v>
      </c>
      <c r="F2438">
        <v>3.5</v>
      </c>
    </row>
    <row r="2439" spans="1:6" x14ac:dyDescent="0.15">
      <c r="A2439" t="s">
        <v>210</v>
      </c>
      <c r="B2439" s="226">
        <v>42339.685169722223</v>
      </c>
      <c r="C2439" t="s">
        <v>2190</v>
      </c>
      <c r="D2439" t="s">
        <v>13</v>
      </c>
      <c r="E2439">
        <v>40</v>
      </c>
      <c r="F2439">
        <v>0</v>
      </c>
    </row>
    <row r="2440" spans="1:6" x14ac:dyDescent="0.15">
      <c r="A2440" t="s">
        <v>210</v>
      </c>
      <c r="B2440" s="226">
        <v>42339.686012638886</v>
      </c>
      <c r="C2440" t="s">
        <v>2191</v>
      </c>
      <c r="D2440" t="s">
        <v>13</v>
      </c>
      <c r="E2440">
        <v>100</v>
      </c>
      <c r="F2440">
        <v>0</v>
      </c>
    </row>
    <row r="2441" spans="1:6" x14ac:dyDescent="0.15">
      <c r="A2441" t="s">
        <v>210</v>
      </c>
      <c r="B2441" s="226">
        <v>42339.695949560184</v>
      </c>
      <c r="C2441" t="s">
        <v>2192</v>
      </c>
      <c r="D2441" t="s">
        <v>13</v>
      </c>
      <c r="E2441">
        <v>100</v>
      </c>
      <c r="F2441">
        <v>0</v>
      </c>
    </row>
    <row r="2442" spans="1:6" x14ac:dyDescent="0.15">
      <c r="A2442" t="s">
        <v>210</v>
      </c>
      <c r="B2442" s="226">
        <v>42339.703664363427</v>
      </c>
      <c r="C2442" t="s">
        <v>717</v>
      </c>
      <c r="D2442" t="s">
        <v>13</v>
      </c>
      <c r="E2442">
        <v>100</v>
      </c>
      <c r="F2442">
        <v>0</v>
      </c>
    </row>
    <row r="2443" spans="1:6" x14ac:dyDescent="0.15">
      <c r="A2443" t="s">
        <v>210</v>
      </c>
      <c r="B2443" s="226">
        <v>42339.718432893518</v>
      </c>
      <c r="C2443" t="s">
        <v>2193</v>
      </c>
      <c r="D2443" t="s">
        <v>13</v>
      </c>
      <c r="E2443">
        <v>40</v>
      </c>
      <c r="F2443">
        <v>0</v>
      </c>
    </row>
    <row r="2444" spans="1:6" x14ac:dyDescent="0.15">
      <c r="A2444" t="s">
        <v>210</v>
      </c>
      <c r="B2444" s="226">
        <v>42339.733890416668</v>
      </c>
      <c r="C2444" t="s">
        <v>2194</v>
      </c>
      <c r="D2444" t="s">
        <v>13</v>
      </c>
      <c r="E2444">
        <v>100</v>
      </c>
      <c r="F2444">
        <v>0</v>
      </c>
    </row>
    <row r="2445" spans="1:6" x14ac:dyDescent="0.15">
      <c r="A2445" t="s">
        <v>210</v>
      </c>
      <c r="B2445" s="226">
        <v>42339.734735775462</v>
      </c>
      <c r="C2445" t="s">
        <v>14</v>
      </c>
      <c r="D2445" t="s">
        <v>13</v>
      </c>
      <c r="E2445">
        <v>100</v>
      </c>
      <c r="F2445">
        <v>3.5</v>
      </c>
    </row>
    <row r="2446" spans="1:6" x14ac:dyDescent="0.15">
      <c r="A2446" t="s">
        <v>210</v>
      </c>
      <c r="B2446" s="226">
        <v>42339.735794687498</v>
      </c>
      <c r="C2446" t="s">
        <v>2195</v>
      </c>
      <c r="D2446" t="s">
        <v>13</v>
      </c>
      <c r="E2446">
        <v>100</v>
      </c>
      <c r="F2446">
        <v>0</v>
      </c>
    </row>
    <row r="2447" spans="1:6" x14ac:dyDescent="0.15">
      <c r="A2447" t="s">
        <v>210</v>
      </c>
      <c r="B2447" s="226">
        <v>42339.743754918978</v>
      </c>
      <c r="C2447" t="s">
        <v>977</v>
      </c>
      <c r="D2447" t="s">
        <v>13</v>
      </c>
      <c r="E2447">
        <v>200</v>
      </c>
      <c r="F2447">
        <v>0</v>
      </c>
    </row>
    <row r="2448" spans="1:6" x14ac:dyDescent="0.15">
      <c r="A2448" t="s">
        <v>210</v>
      </c>
      <c r="B2448" s="226">
        <v>42339.768585219907</v>
      </c>
      <c r="C2448" t="s">
        <v>2196</v>
      </c>
      <c r="D2448" t="s">
        <v>13</v>
      </c>
      <c r="E2448">
        <v>100</v>
      </c>
      <c r="F2448">
        <v>0</v>
      </c>
    </row>
    <row r="2449" spans="1:6" x14ac:dyDescent="0.15">
      <c r="A2449" t="s">
        <v>210</v>
      </c>
      <c r="B2449" s="226">
        <v>42339.782218969907</v>
      </c>
      <c r="C2449" t="s">
        <v>2197</v>
      </c>
      <c r="D2449" t="s">
        <v>13</v>
      </c>
      <c r="E2449">
        <v>200</v>
      </c>
      <c r="F2449">
        <v>0</v>
      </c>
    </row>
    <row r="2450" spans="1:6" x14ac:dyDescent="0.15">
      <c r="A2450" t="s">
        <v>210</v>
      </c>
      <c r="B2450" s="226">
        <v>42339.784373923612</v>
      </c>
      <c r="C2450" t="s">
        <v>2198</v>
      </c>
      <c r="D2450" t="s">
        <v>13</v>
      </c>
      <c r="E2450">
        <v>200</v>
      </c>
      <c r="F2450">
        <v>0</v>
      </c>
    </row>
    <row r="2451" spans="1:6" x14ac:dyDescent="0.15">
      <c r="A2451" t="s">
        <v>210</v>
      </c>
      <c r="B2451" s="226">
        <v>42339.785612384258</v>
      </c>
      <c r="C2451" t="s">
        <v>2127</v>
      </c>
      <c r="D2451" t="s">
        <v>13</v>
      </c>
      <c r="E2451">
        <v>400</v>
      </c>
      <c r="F2451">
        <v>0</v>
      </c>
    </row>
    <row r="2452" spans="1:6" x14ac:dyDescent="0.15">
      <c r="A2452" t="s">
        <v>210</v>
      </c>
      <c r="B2452" s="226">
        <v>42339.791569490742</v>
      </c>
      <c r="C2452" t="s">
        <v>2199</v>
      </c>
      <c r="D2452" t="s">
        <v>13</v>
      </c>
      <c r="E2452">
        <v>100</v>
      </c>
      <c r="F2452">
        <v>0</v>
      </c>
    </row>
    <row r="2453" spans="1:6" x14ac:dyDescent="0.15">
      <c r="A2453" t="s">
        <v>210</v>
      </c>
      <c r="B2453" s="226">
        <v>42339.856895833334</v>
      </c>
      <c r="C2453" t="s">
        <v>2200</v>
      </c>
      <c r="D2453" t="s">
        <v>13</v>
      </c>
      <c r="E2453">
        <v>100</v>
      </c>
      <c r="F2453">
        <v>0</v>
      </c>
    </row>
    <row r="2454" spans="1:6" x14ac:dyDescent="0.15">
      <c r="A2454" t="s">
        <v>210</v>
      </c>
      <c r="B2454" s="226">
        <v>42339.874228437497</v>
      </c>
      <c r="C2454" t="s">
        <v>1045</v>
      </c>
      <c r="D2454" t="s">
        <v>13</v>
      </c>
      <c r="E2454">
        <v>140</v>
      </c>
      <c r="F2454">
        <v>0</v>
      </c>
    </row>
    <row r="2455" spans="1:6" x14ac:dyDescent="0.15">
      <c r="A2455" t="s">
        <v>210</v>
      </c>
      <c r="B2455" s="226">
        <v>42339.901402719908</v>
      </c>
      <c r="C2455" t="s">
        <v>487</v>
      </c>
      <c r="D2455" t="s">
        <v>13</v>
      </c>
      <c r="E2455">
        <v>100</v>
      </c>
      <c r="F2455">
        <v>0</v>
      </c>
    </row>
    <row r="2456" spans="1:6" x14ac:dyDescent="0.15">
      <c r="A2456" t="s">
        <v>210</v>
      </c>
      <c r="B2456" s="226">
        <v>42339.935043738427</v>
      </c>
      <c r="C2456" t="s">
        <v>1965</v>
      </c>
      <c r="D2456" t="s">
        <v>13</v>
      </c>
      <c r="E2456">
        <v>100</v>
      </c>
      <c r="F2456">
        <v>0</v>
      </c>
    </row>
    <row r="2457" spans="1:6" x14ac:dyDescent="0.15">
      <c r="A2457" t="s">
        <v>210</v>
      </c>
      <c r="B2457" s="226">
        <v>42340.21249111111</v>
      </c>
      <c r="C2457" t="s">
        <v>237</v>
      </c>
      <c r="D2457" t="s">
        <v>13</v>
      </c>
      <c r="E2457">
        <v>20</v>
      </c>
      <c r="F2457">
        <v>0</v>
      </c>
    </row>
    <row r="2458" spans="1:6" x14ac:dyDescent="0.15">
      <c r="A2458" t="s">
        <v>210</v>
      </c>
      <c r="B2458" s="226">
        <v>42340.268408865741</v>
      </c>
      <c r="C2458" t="s">
        <v>123</v>
      </c>
      <c r="D2458" t="s">
        <v>13</v>
      </c>
      <c r="E2458">
        <v>40</v>
      </c>
      <c r="F2458">
        <v>0</v>
      </c>
    </row>
    <row r="2459" spans="1:6" x14ac:dyDescent="0.15">
      <c r="A2459" t="s">
        <v>210</v>
      </c>
      <c r="B2459" s="226">
        <v>42340.294525185185</v>
      </c>
      <c r="C2459" t="s">
        <v>2201</v>
      </c>
      <c r="D2459" t="s">
        <v>13</v>
      </c>
      <c r="E2459">
        <v>100</v>
      </c>
      <c r="F2459">
        <v>0</v>
      </c>
    </row>
    <row r="2460" spans="1:6" x14ac:dyDescent="0.15">
      <c r="A2460" t="s">
        <v>210</v>
      </c>
      <c r="B2460" s="226">
        <v>42340.305667604167</v>
      </c>
      <c r="C2460" t="s">
        <v>2202</v>
      </c>
      <c r="D2460" t="s">
        <v>13</v>
      </c>
      <c r="E2460">
        <v>100</v>
      </c>
      <c r="F2460">
        <v>0</v>
      </c>
    </row>
    <row r="2461" spans="1:6" x14ac:dyDescent="0.15">
      <c r="A2461" t="s">
        <v>210</v>
      </c>
      <c r="B2461" s="226">
        <v>42340.312733425926</v>
      </c>
      <c r="C2461" t="s">
        <v>2203</v>
      </c>
      <c r="D2461" t="s">
        <v>13</v>
      </c>
      <c r="E2461">
        <v>100</v>
      </c>
      <c r="F2461">
        <v>0</v>
      </c>
    </row>
    <row r="2462" spans="1:6" x14ac:dyDescent="0.15">
      <c r="A2462" t="s">
        <v>210</v>
      </c>
      <c r="B2462" s="226">
        <v>42340.344480381944</v>
      </c>
      <c r="C2462" t="s">
        <v>2204</v>
      </c>
      <c r="D2462" t="s">
        <v>13</v>
      </c>
      <c r="E2462">
        <v>40</v>
      </c>
      <c r="F2462">
        <v>0</v>
      </c>
    </row>
    <row r="2463" spans="1:6" x14ac:dyDescent="0.15">
      <c r="A2463" t="s">
        <v>210</v>
      </c>
      <c r="B2463" s="226">
        <v>42340.350955555557</v>
      </c>
      <c r="C2463" t="s">
        <v>2205</v>
      </c>
      <c r="D2463" t="s">
        <v>13</v>
      </c>
      <c r="E2463">
        <v>100</v>
      </c>
      <c r="F2463">
        <v>0</v>
      </c>
    </row>
    <row r="2464" spans="1:6" x14ac:dyDescent="0.15">
      <c r="A2464" t="s">
        <v>210</v>
      </c>
      <c r="B2464" s="226">
        <v>42340.424955486109</v>
      </c>
      <c r="C2464" t="s">
        <v>2206</v>
      </c>
      <c r="D2464" t="s">
        <v>13</v>
      </c>
      <c r="E2464">
        <v>40</v>
      </c>
      <c r="F2464">
        <v>0</v>
      </c>
    </row>
    <row r="2465" spans="1:6" x14ac:dyDescent="0.15">
      <c r="A2465" t="s">
        <v>210</v>
      </c>
      <c r="B2465" s="226">
        <v>42340.432163217592</v>
      </c>
      <c r="C2465" t="s">
        <v>14</v>
      </c>
      <c r="D2465" t="s">
        <v>13</v>
      </c>
      <c r="E2465">
        <v>300</v>
      </c>
      <c r="F2465">
        <v>3.5</v>
      </c>
    </row>
    <row r="2466" spans="1:6" x14ac:dyDescent="0.15">
      <c r="A2466" t="s">
        <v>210</v>
      </c>
      <c r="B2466" s="226">
        <v>42340.441872557873</v>
      </c>
      <c r="C2466" t="s">
        <v>2207</v>
      </c>
      <c r="D2466" t="s">
        <v>13</v>
      </c>
      <c r="E2466">
        <v>200</v>
      </c>
      <c r="F2466">
        <v>0</v>
      </c>
    </row>
    <row r="2467" spans="1:6" x14ac:dyDescent="0.15">
      <c r="A2467" t="s">
        <v>210</v>
      </c>
      <c r="B2467" s="226">
        <v>42340.452628865743</v>
      </c>
      <c r="C2467" t="s">
        <v>14</v>
      </c>
      <c r="D2467" t="s">
        <v>13</v>
      </c>
      <c r="E2467">
        <v>120</v>
      </c>
      <c r="F2467">
        <v>3.5</v>
      </c>
    </row>
    <row r="2468" spans="1:6" x14ac:dyDescent="0.15">
      <c r="A2468" t="s">
        <v>210</v>
      </c>
      <c r="B2468" s="226">
        <v>42340.463737719911</v>
      </c>
      <c r="C2468" t="s">
        <v>2208</v>
      </c>
      <c r="D2468" t="s">
        <v>13</v>
      </c>
      <c r="E2468">
        <v>200</v>
      </c>
      <c r="F2468">
        <v>0</v>
      </c>
    </row>
    <row r="2469" spans="1:6" x14ac:dyDescent="0.15">
      <c r="A2469" t="s">
        <v>210</v>
      </c>
      <c r="B2469" s="226">
        <v>42340.496116805552</v>
      </c>
      <c r="C2469" t="s">
        <v>2050</v>
      </c>
      <c r="D2469" t="s">
        <v>13</v>
      </c>
      <c r="E2469">
        <v>100</v>
      </c>
      <c r="F2469">
        <v>0</v>
      </c>
    </row>
    <row r="2470" spans="1:6" x14ac:dyDescent="0.15">
      <c r="A2470" t="s">
        <v>210</v>
      </c>
      <c r="B2470" s="226">
        <v>42340.498421805554</v>
      </c>
      <c r="C2470" t="s">
        <v>2209</v>
      </c>
      <c r="D2470" t="s">
        <v>13</v>
      </c>
      <c r="E2470">
        <v>100</v>
      </c>
      <c r="F2470">
        <v>0</v>
      </c>
    </row>
    <row r="2471" spans="1:6" x14ac:dyDescent="0.15">
      <c r="A2471" t="s">
        <v>210</v>
      </c>
      <c r="B2471" s="226">
        <v>42340.527725694446</v>
      </c>
      <c r="C2471" t="s">
        <v>1117</v>
      </c>
      <c r="D2471" t="s">
        <v>13</v>
      </c>
      <c r="E2471">
        <v>40</v>
      </c>
      <c r="F2471">
        <v>0</v>
      </c>
    </row>
    <row r="2472" spans="1:6" x14ac:dyDescent="0.15">
      <c r="A2472" t="s">
        <v>210</v>
      </c>
      <c r="B2472" s="226">
        <v>42340.530590439812</v>
      </c>
      <c r="C2472" t="s">
        <v>2210</v>
      </c>
      <c r="D2472" t="s">
        <v>13</v>
      </c>
      <c r="E2472">
        <v>20</v>
      </c>
      <c r="F2472">
        <v>0</v>
      </c>
    </row>
    <row r="2473" spans="1:6" x14ac:dyDescent="0.15">
      <c r="A2473" t="s">
        <v>210</v>
      </c>
      <c r="B2473" s="226">
        <v>42340.535677129628</v>
      </c>
      <c r="C2473" t="s">
        <v>2211</v>
      </c>
      <c r="D2473" t="s">
        <v>13</v>
      </c>
      <c r="E2473">
        <v>100</v>
      </c>
      <c r="F2473">
        <v>0</v>
      </c>
    </row>
    <row r="2474" spans="1:6" x14ac:dyDescent="0.15">
      <c r="A2474" t="s">
        <v>210</v>
      </c>
      <c r="B2474" s="226">
        <v>42340.539484930552</v>
      </c>
      <c r="C2474" t="s">
        <v>2212</v>
      </c>
      <c r="D2474" t="s">
        <v>13</v>
      </c>
      <c r="E2474">
        <v>40</v>
      </c>
      <c r="F2474">
        <v>0</v>
      </c>
    </row>
    <row r="2475" spans="1:6" x14ac:dyDescent="0.15">
      <c r="A2475" t="s">
        <v>210</v>
      </c>
      <c r="B2475" s="226">
        <v>42340.579230601848</v>
      </c>
      <c r="C2475" t="s">
        <v>2213</v>
      </c>
      <c r="D2475" t="s">
        <v>13</v>
      </c>
      <c r="E2475">
        <v>200</v>
      </c>
      <c r="F2475">
        <v>0</v>
      </c>
    </row>
    <row r="2476" spans="1:6" x14ac:dyDescent="0.15">
      <c r="A2476" t="s">
        <v>210</v>
      </c>
      <c r="B2476" s="226">
        <v>42340.598303564817</v>
      </c>
      <c r="C2476" t="s">
        <v>1436</v>
      </c>
      <c r="D2476" t="s">
        <v>13</v>
      </c>
      <c r="E2476">
        <v>40</v>
      </c>
      <c r="F2476">
        <v>0</v>
      </c>
    </row>
    <row r="2477" spans="1:6" x14ac:dyDescent="0.15">
      <c r="A2477" t="s">
        <v>210</v>
      </c>
      <c r="B2477" s="226">
        <v>42340.625114965274</v>
      </c>
      <c r="C2477" t="s">
        <v>2214</v>
      </c>
      <c r="D2477" t="s">
        <v>13</v>
      </c>
      <c r="E2477">
        <v>100</v>
      </c>
      <c r="F2477">
        <v>0</v>
      </c>
    </row>
    <row r="2478" spans="1:6" x14ac:dyDescent="0.15">
      <c r="A2478" t="s">
        <v>210</v>
      </c>
      <c r="B2478" s="226">
        <v>42340.649849293979</v>
      </c>
      <c r="C2478" t="s">
        <v>14</v>
      </c>
      <c r="D2478" t="s">
        <v>13</v>
      </c>
      <c r="E2478">
        <v>100</v>
      </c>
      <c r="F2478">
        <v>3.5</v>
      </c>
    </row>
    <row r="2479" spans="1:6" x14ac:dyDescent="0.15">
      <c r="A2479" t="s">
        <v>210</v>
      </c>
      <c r="B2479" s="226">
        <v>42340.684034571757</v>
      </c>
      <c r="C2479" t="s">
        <v>326</v>
      </c>
      <c r="D2479" t="s">
        <v>13</v>
      </c>
      <c r="E2479">
        <v>40</v>
      </c>
      <c r="F2479">
        <v>0</v>
      </c>
    </row>
    <row r="2480" spans="1:6" x14ac:dyDescent="0.15">
      <c r="A2480" t="s">
        <v>210</v>
      </c>
      <c r="B2480" s="226">
        <v>42340.688226956016</v>
      </c>
      <c r="C2480" t="s">
        <v>2215</v>
      </c>
      <c r="D2480" t="s">
        <v>13</v>
      </c>
      <c r="E2480">
        <v>100</v>
      </c>
      <c r="F2480">
        <v>0</v>
      </c>
    </row>
    <row r="2481" spans="1:6" x14ac:dyDescent="0.15">
      <c r="A2481" t="s">
        <v>210</v>
      </c>
      <c r="B2481" s="226">
        <v>42340.70965434028</v>
      </c>
      <c r="C2481" t="s">
        <v>2216</v>
      </c>
      <c r="D2481" t="s">
        <v>15</v>
      </c>
      <c r="E2481">
        <v>60</v>
      </c>
      <c r="F2481">
        <v>1.8</v>
      </c>
    </row>
    <row r="2482" spans="1:6" x14ac:dyDescent="0.15">
      <c r="A2482" t="s">
        <v>210</v>
      </c>
      <c r="B2482" s="226">
        <v>42340.770842430553</v>
      </c>
      <c r="C2482" t="s">
        <v>2217</v>
      </c>
      <c r="D2482" t="s">
        <v>13</v>
      </c>
      <c r="E2482">
        <v>500</v>
      </c>
      <c r="F2482">
        <v>0</v>
      </c>
    </row>
    <row r="2483" spans="1:6" x14ac:dyDescent="0.15">
      <c r="A2483" t="s">
        <v>210</v>
      </c>
      <c r="B2483" s="226">
        <v>42340.787161886576</v>
      </c>
      <c r="C2483" t="s">
        <v>2218</v>
      </c>
      <c r="D2483" t="s">
        <v>13</v>
      </c>
      <c r="E2483">
        <v>100</v>
      </c>
      <c r="F2483">
        <v>0</v>
      </c>
    </row>
    <row r="2484" spans="1:6" x14ac:dyDescent="0.15">
      <c r="A2484" t="s">
        <v>210</v>
      </c>
      <c r="B2484" s="226">
        <v>42341.210116215276</v>
      </c>
      <c r="C2484" t="s">
        <v>488</v>
      </c>
      <c r="D2484" t="s">
        <v>13</v>
      </c>
      <c r="E2484">
        <v>40</v>
      </c>
      <c r="F2484">
        <v>0</v>
      </c>
    </row>
    <row r="2485" spans="1:6" x14ac:dyDescent="0.15">
      <c r="A2485" t="s">
        <v>210</v>
      </c>
      <c r="B2485" s="226">
        <v>42341.337940138888</v>
      </c>
      <c r="C2485" t="s">
        <v>180</v>
      </c>
      <c r="D2485" t="s">
        <v>13</v>
      </c>
      <c r="E2485">
        <v>120</v>
      </c>
      <c r="F2485">
        <v>0</v>
      </c>
    </row>
    <row r="2486" spans="1:6" x14ac:dyDescent="0.15">
      <c r="A2486" t="s">
        <v>210</v>
      </c>
      <c r="B2486" s="226">
        <v>42341.356976180556</v>
      </c>
      <c r="C2486" t="s">
        <v>14</v>
      </c>
      <c r="D2486" t="s">
        <v>15</v>
      </c>
      <c r="E2486">
        <v>40</v>
      </c>
      <c r="F2486">
        <v>3.7</v>
      </c>
    </row>
    <row r="2487" spans="1:6" x14ac:dyDescent="0.15">
      <c r="A2487" t="s">
        <v>210</v>
      </c>
      <c r="B2487" s="226">
        <v>42341.358037847225</v>
      </c>
      <c r="C2487" t="s">
        <v>240</v>
      </c>
      <c r="D2487" t="s">
        <v>13</v>
      </c>
      <c r="E2487">
        <v>100</v>
      </c>
      <c r="F2487">
        <v>0</v>
      </c>
    </row>
    <row r="2488" spans="1:6" x14ac:dyDescent="0.15">
      <c r="A2488" t="s">
        <v>210</v>
      </c>
      <c r="B2488" s="226">
        <v>42341.360176435184</v>
      </c>
      <c r="C2488" t="s">
        <v>2219</v>
      </c>
      <c r="D2488" t="s">
        <v>13</v>
      </c>
      <c r="E2488">
        <v>160</v>
      </c>
      <c r="F2488">
        <v>0</v>
      </c>
    </row>
    <row r="2489" spans="1:6" x14ac:dyDescent="0.15">
      <c r="A2489" t="s">
        <v>210</v>
      </c>
      <c r="B2489" s="226">
        <v>42341.366154918978</v>
      </c>
      <c r="C2489" t="s">
        <v>2220</v>
      </c>
      <c r="D2489" t="s">
        <v>13</v>
      </c>
      <c r="E2489">
        <v>60</v>
      </c>
      <c r="F2489">
        <v>0</v>
      </c>
    </row>
    <row r="2490" spans="1:6" x14ac:dyDescent="0.15">
      <c r="A2490" t="s">
        <v>210</v>
      </c>
      <c r="B2490" s="226">
        <v>42341.389461412036</v>
      </c>
      <c r="C2490" t="s">
        <v>2221</v>
      </c>
      <c r="D2490" t="s">
        <v>13</v>
      </c>
      <c r="E2490">
        <v>100</v>
      </c>
      <c r="F2490">
        <v>0</v>
      </c>
    </row>
    <row r="2491" spans="1:6" x14ac:dyDescent="0.15">
      <c r="A2491" t="s">
        <v>210</v>
      </c>
      <c r="B2491" s="226">
        <v>42341.427380810186</v>
      </c>
      <c r="C2491" t="s">
        <v>489</v>
      </c>
      <c r="D2491" t="s">
        <v>13</v>
      </c>
      <c r="E2491">
        <v>500</v>
      </c>
      <c r="F2491">
        <v>0</v>
      </c>
    </row>
    <row r="2492" spans="1:6" x14ac:dyDescent="0.15">
      <c r="A2492" t="s">
        <v>210</v>
      </c>
      <c r="B2492" s="226">
        <v>42341.463452349541</v>
      </c>
      <c r="C2492" t="s">
        <v>1683</v>
      </c>
      <c r="D2492" t="s">
        <v>13</v>
      </c>
      <c r="E2492">
        <v>100</v>
      </c>
      <c r="F2492">
        <v>0</v>
      </c>
    </row>
    <row r="2493" spans="1:6" x14ac:dyDescent="0.15">
      <c r="A2493" t="s">
        <v>210</v>
      </c>
      <c r="B2493" s="226">
        <v>42341.471247002315</v>
      </c>
      <c r="C2493" t="s">
        <v>2222</v>
      </c>
      <c r="D2493" t="s">
        <v>13</v>
      </c>
      <c r="E2493">
        <v>80</v>
      </c>
      <c r="F2493">
        <v>0</v>
      </c>
    </row>
    <row r="2494" spans="1:6" x14ac:dyDescent="0.15">
      <c r="A2494" t="s">
        <v>210</v>
      </c>
      <c r="B2494" s="226">
        <v>42341.474841828705</v>
      </c>
      <c r="C2494" t="s">
        <v>2223</v>
      </c>
      <c r="D2494" t="s">
        <v>13</v>
      </c>
      <c r="E2494">
        <v>100</v>
      </c>
      <c r="F2494">
        <v>0</v>
      </c>
    </row>
    <row r="2495" spans="1:6" x14ac:dyDescent="0.15">
      <c r="A2495" t="s">
        <v>210</v>
      </c>
      <c r="B2495" s="226">
        <v>42341.482641608796</v>
      </c>
      <c r="C2495" t="s">
        <v>14</v>
      </c>
      <c r="D2495" t="s">
        <v>13</v>
      </c>
      <c r="E2495">
        <v>100</v>
      </c>
      <c r="F2495">
        <v>3.5</v>
      </c>
    </row>
    <row r="2496" spans="1:6" x14ac:dyDescent="0.15">
      <c r="A2496" t="s">
        <v>210</v>
      </c>
      <c r="B2496" s="226">
        <v>42341.484439016203</v>
      </c>
      <c r="C2496" t="s">
        <v>2224</v>
      </c>
      <c r="D2496" t="s">
        <v>13</v>
      </c>
      <c r="E2496">
        <v>40</v>
      </c>
      <c r="F2496">
        <v>0</v>
      </c>
    </row>
    <row r="2497" spans="1:6" x14ac:dyDescent="0.15">
      <c r="A2497" t="s">
        <v>210</v>
      </c>
      <c r="B2497" s="226">
        <v>42341.488795393518</v>
      </c>
      <c r="C2497" t="s">
        <v>2225</v>
      </c>
      <c r="D2497" t="s">
        <v>13</v>
      </c>
      <c r="E2497">
        <v>200</v>
      </c>
      <c r="F2497">
        <v>0</v>
      </c>
    </row>
    <row r="2498" spans="1:6" x14ac:dyDescent="0.15">
      <c r="A2498" t="s">
        <v>210</v>
      </c>
      <c r="B2498" s="226">
        <v>42341.492984398152</v>
      </c>
      <c r="C2498" t="s">
        <v>14</v>
      </c>
      <c r="D2498" t="s">
        <v>13</v>
      </c>
      <c r="E2498">
        <v>200</v>
      </c>
      <c r="F2498">
        <v>3.5</v>
      </c>
    </row>
    <row r="2499" spans="1:6" x14ac:dyDescent="0.15">
      <c r="A2499" t="s">
        <v>210</v>
      </c>
      <c r="B2499" s="226">
        <v>42341.494303414351</v>
      </c>
      <c r="C2499" t="s">
        <v>2226</v>
      </c>
      <c r="D2499" t="s">
        <v>13</v>
      </c>
      <c r="E2499">
        <v>100</v>
      </c>
      <c r="F2499">
        <v>0</v>
      </c>
    </row>
    <row r="2500" spans="1:6" x14ac:dyDescent="0.15">
      <c r="A2500" t="s">
        <v>210</v>
      </c>
      <c r="B2500" s="226">
        <v>42341.501088391204</v>
      </c>
      <c r="C2500" t="s">
        <v>2227</v>
      </c>
      <c r="D2500" t="s">
        <v>13</v>
      </c>
      <c r="E2500">
        <v>100</v>
      </c>
      <c r="F2500">
        <v>0</v>
      </c>
    </row>
    <row r="2501" spans="1:6" x14ac:dyDescent="0.15">
      <c r="A2501" t="s">
        <v>210</v>
      </c>
      <c r="B2501" s="226">
        <v>42341.513251620374</v>
      </c>
      <c r="C2501" t="s">
        <v>1647</v>
      </c>
      <c r="D2501" t="s">
        <v>13</v>
      </c>
      <c r="E2501">
        <v>20</v>
      </c>
      <c r="F2501">
        <v>0</v>
      </c>
    </row>
    <row r="2502" spans="1:6" x14ac:dyDescent="0.15">
      <c r="A2502" t="s">
        <v>210</v>
      </c>
      <c r="B2502" s="226">
        <v>42341.520791273149</v>
      </c>
      <c r="C2502" t="s">
        <v>2228</v>
      </c>
      <c r="D2502" t="s">
        <v>13</v>
      </c>
      <c r="E2502">
        <v>120</v>
      </c>
      <c r="F2502">
        <v>0</v>
      </c>
    </row>
    <row r="2503" spans="1:6" x14ac:dyDescent="0.15">
      <c r="A2503" t="s">
        <v>210</v>
      </c>
      <c r="B2503" s="226">
        <v>42341.521316030092</v>
      </c>
      <c r="C2503" t="s">
        <v>2229</v>
      </c>
      <c r="D2503" t="s">
        <v>13</v>
      </c>
      <c r="E2503">
        <v>20</v>
      </c>
      <c r="F2503">
        <v>0</v>
      </c>
    </row>
    <row r="2504" spans="1:6" x14ac:dyDescent="0.15">
      <c r="A2504" t="s">
        <v>210</v>
      </c>
      <c r="B2504" s="226">
        <v>42341.531278807874</v>
      </c>
      <c r="C2504" t="s">
        <v>2230</v>
      </c>
      <c r="D2504" t="s">
        <v>13</v>
      </c>
      <c r="E2504">
        <v>60</v>
      </c>
      <c r="F2504">
        <v>0</v>
      </c>
    </row>
    <row r="2505" spans="1:6" x14ac:dyDescent="0.15">
      <c r="A2505" t="s">
        <v>210</v>
      </c>
      <c r="B2505" s="226">
        <v>42341.537747685186</v>
      </c>
      <c r="C2505" t="s">
        <v>2231</v>
      </c>
      <c r="D2505" t="s">
        <v>13</v>
      </c>
      <c r="E2505">
        <v>100</v>
      </c>
      <c r="F2505">
        <v>0</v>
      </c>
    </row>
    <row r="2506" spans="1:6" x14ac:dyDescent="0.15">
      <c r="A2506" t="s">
        <v>210</v>
      </c>
      <c r="B2506" s="226">
        <v>42341.545138055553</v>
      </c>
      <c r="C2506" t="s">
        <v>461</v>
      </c>
      <c r="D2506" t="s">
        <v>13</v>
      </c>
      <c r="E2506">
        <v>40</v>
      </c>
      <c r="F2506">
        <v>0</v>
      </c>
    </row>
    <row r="2507" spans="1:6" x14ac:dyDescent="0.15">
      <c r="A2507" t="s">
        <v>210</v>
      </c>
      <c r="B2507" s="226">
        <v>42341.546085277776</v>
      </c>
      <c r="C2507" t="s">
        <v>2232</v>
      </c>
      <c r="D2507" t="s">
        <v>13</v>
      </c>
      <c r="E2507">
        <v>100</v>
      </c>
      <c r="F2507">
        <v>0</v>
      </c>
    </row>
    <row r="2508" spans="1:6" x14ac:dyDescent="0.15">
      <c r="A2508" t="s">
        <v>210</v>
      </c>
      <c r="B2508" s="226">
        <v>42341.584736481484</v>
      </c>
      <c r="C2508" t="s">
        <v>2233</v>
      </c>
      <c r="D2508" t="s">
        <v>13</v>
      </c>
      <c r="E2508">
        <v>140</v>
      </c>
      <c r="F2508">
        <v>0</v>
      </c>
    </row>
    <row r="2509" spans="1:6" x14ac:dyDescent="0.15">
      <c r="A2509" t="s">
        <v>210</v>
      </c>
      <c r="B2509" s="226">
        <v>42341.59280972222</v>
      </c>
      <c r="C2509" t="s">
        <v>2234</v>
      </c>
      <c r="D2509" t="s">
        <v>13</v>
      </c>
      <c r="E2509">
        <v>40</v>
      </c>
      <c r="F2509">
        <v>0</v>
      </c>
    </row>
    <row r="2510" spans="1:6" x14ac:dyDescent="0.15">
      <c r="A2510" t="s">
        <v>210</v>
      </c>
      <c r="B2510" s="226">
        <v>42341.602890416667</v>
      </c>
      <c r="C2510" t="s">
        <v>2235</v>
      </c>
      <c r="D2510" t="s">
        <v>13</v>
      </c>
      <c r="E2510">
        <v>60</v>
      </c>
      <c r="F2510">
        <v>0</v>
      </c>
    </row>
    <row r="2511" spans="1:6" x14ac:dyDescent="0.15">
      <c r="A2511" t="s">
        <v>210</v>
      </c>
      <c r="B2511" s="226">
        <v>42341.610796273148</v>
      </c>
      <c r="C2511" t="s">
        <v>2236</v>
      </c>
      <c r="D2511" t="s">
        <v>13</v>
      </c>
      <c r="E2511">
        <v>100</v>
      </c>
      <c r="F2511">
        <v>0</v>
      </c>
    </row>
    <row r="2512" spans="1:6" x14ac:dyDescent="0.15">
      <c r="A2512" t="s">
        <v>210</v>
      </c>
      <c r="B2512" s="226">
        <v>42341.62467005787</v>
      </c>
      <c r="C2512" t="s">
        <v>2237</v>
      </c>
      <c r="D2512" t="s">
        <v>13</v>
      </c>
      <c r="E2512">
        <v>20</v>
      </c>
      <c r="F2512">
        <v>0</v>
      </c>
    </row>
    <row r="2513" spans="1:6" x14ac:dyDescent="0.15">
      <c r="A2513" t="s">
        <v>210</v>
      </c>
      <c r="B2513" s="226">
        <v>42341.626441527776</v>
      </c>
      <c r="C2513" t="s">
        <v>1356</v>
      </c>
      <c r="D2513" t="s">
        <v>13</v>
      </c>
      <c r="E2513">
        <v>100</v>
      </c>
      <c r="F2513">
        <v>0</v>
      </c>
    </row>
    <row r="2514" spans="1:6" x14ac:dyDescent="0.15">
      <c r="A2514" t="s">
        <v>210</v>
      </c>
      <c r="B2514" s="226">
        <v>42341.68099966435</v>
      </c>
      <c r="C2514" t="s">
        <v>1140</v>
      </c>
      <c r="D2514" t="s">
        <v>13</v>
      </c>
      <c r="E2514">
        <v>40</v>
      </c>
      <c r="F2514">
        <v>0</v>
      </c>
    </row>
    <row r="2515" spans="1:6" x14ac:dyDescent="0.15">
      <c r="A2515" t="s">
        <v>210</v>
      </c>
      <c r="B2515" s="226">
        <v>42341.688406064815</v>
      </c>
      <c r="C2515" t="s">
        <v>1686</v>
      </c>
      <c r="D2515" t="s">
        <v>13</v>
      </c>
      <c r="E2515">
        <v>100</v>
      </c>
      <c r="F2515">
        <v>0</v>
      </c>
    </row>
    <row r="2516" spans="1:6" x14ac:dyDescent="0.15">
      <c r="A2516" t="s">
        <v>210</v>
      </c>
      <c r="B2516" s="226">
        <v>42341.694381504632</v>
      </c>
      <c r="C2516" t="s">
        <v>2238</v>
      </c>
      <c r="D2516" t="s">
        <v>13</v>
      </c>
      <c r="E2516">
        <v>120</v>
      </c>
      <c r="F2516">
        <v>0</v>
      </c>
    </row>
    <row r="2517" spans="1:6" x14ac:dyDescent="0.15">
      <c r="A2517" t="s">
        <v>210</v>
      </c>
      <c r="B2517" s="226">
        <v>42341.709521481484</v>
      </c>
      <c r="C2517" t="s">
        <v>2239</v>
      </c>
      <c r="D2517" t="s">
        <v>13</v>
      </c>
      <c r="E2517">
        <v>100</v>
      </c>
      <c r="F2517">
        <v>0</v>
      </c>
    </row>
    <row r="2518" spans="1:6" x14ac:dyDescent="0.15">
      <c r="A2518" t="s">
        <v>210</v>
      </c>
      <c r="B2518" s="226">
        <v>42341.735793495369</v>
      </c>
      <c r="C2518" t="s">
        <v>14</v>
      </c>
      <c r="D2518" t="s">
        <v>15</v>
      </c>
      <c r="E2518">
        <v>20</v>
      </c>
      <c r="F2518">
        <v>3.1</v>
      </c>
    </row>
    <row r="2519" spans="1:6" x14ac:dyDescent="0.15">
      <c r="A2519" t="s">
        <v>210</v>
      </c>
      <c r="B2519" s="226">
        <v>42341.746007442132</v>
      </c>
      <c r="C2519" t="s">
        <v>2240</v>
      </c>
      <c r="D2519" t="s">
        <v>13</v>
      </c>
      <c r="E2519">
        <v>200</v>
      </c>
      <c r="F2519">
        <v>0</v>
      </c>
    </row>
    <row r="2520" spans="1:6" x14ac:dyDescent="0.15">
      <c r="A2520" t="s">
        <v>210</v>
      </c>
      <c r="B2520" s="226">
        <v>42341.746854872683</v>
      </c>
      <c r="C2520" t="s">
        <v>2241</v>
      </c>
      <c r="D2520" t="s">
        <v>13</v>
      </c>
      <c r="E2520">
        <v>100</v>
      </c>
      <c r="F2520">
        <v>0</v>
      </c>
    </row>
    <row r="2521" spans="1:6" x14ac:dyDescent="0.15">
      <c r="A2521" t="s">
        <v>210</v>
      </c>
      <c r="B2521" s="226">
        <v>42341.762582187497</v>
      </c>
      <c r="C2521" t="s">
        <v>2242</v>
      </c>
      <c r="D2521" t="s">
        <v>13</v>
      </c>
      <c r="E2521">
        <v>100</v>
      </c>
      <c r="F2521">
        <v>0</v>
      </c>
    </row>
    <row r="2522" spans="1:6" x14ac:dyDescent="0.15">
      <c r="A2522" t="s">
        <v>210</v>
      </c>
      <c r="B2522" s="226">
        <v>42341.768803368053</v>
      </c>
      <c r="C2522" t="s">
        <v>2243</v>
      </c>
      <c r="D2522" t="s">
        <v>13</v>
      </c>
      <c r="E2522">
        <v>240</v>
      </c>
      <c r="F2522">
        <v>0</v>
      </c>
    </row>
    <row r="2523" spans="1:6" x14ac:dyDescent="0.15">
      <c r="A2523" t="s">
        <v>210</v>
      </c>
      <c r="B2523" s="226">
        <v>42341.777944004629</v>
      </c>
      <c r="C2523" t="s">
        <v>2244</v>
      </c>
      <c r="D2523" t="s">
        <v>13</v>
      </c>
      <c r="E2523">
        <v>20</v>
      </c>
      <c r="F2523">
        <v>0</v>
      </c>
    </row>
    <row r="2524" spans="1:6" x14ac:dyDescent="0.15">
      <c r="A2524" t="s">
        <v>210</v>
      </c>
      <c r="B2524" s="226">
        <v>42341.799634895833</v>
      </c>
      <c r="C2524" t="s">
        <v>1762</v>
      </c>
      <c r="D2524" t="s">
        <v>13</v>
      </c>
      <c r="E2524">
        <v>100</v>
      </c>
      <c r="F2524">
        <v>0</v>
      </c>
    </row>
    <row r="2525" spans="1:6" x14ac:dyDescent="0.15">
      <c r="A2525" t="s">
        <v>210</v>
      </c>
      <c r="B2525" s="226">
        <v>42341.832434004631</v>
      </c>
      <c r="C2525" t="s">
        <v>14</v>
      </c>
      <c r="D2525" t="s">
        <v>13</v>
      </c>
      <c r="E2525">
        <v>200</v>
      </c>
      <c r="F2525">
        <v>3.5</v>
      </c>
    </row>
    <row r="2526" spans="1:6" x14ac:dyDescent="0.15">
      <c r="A2526" t="s">
        <v>210</v>
      </c>
      <c r="B2526" s="226">
        <v>42341.882222384258</v>
      </c>
      <c r="C2526" t="s">
        <v>14</v>
      </c>
      <c r="D2526" t="s">
        <v>13</v>
      </c>
      <c r="E2526">
        <v>100</v>
      </c>
      <c r="F2526">
        <v>3.5</v>
      </c>
    </row>
    <row r="2527" spans="1:6" x14ac:dyDescent="0.15">
      <c r="A2527" t="s">
        <v>210</v>
      </c>
      <c r="B2527" s="226">
        <v>42341.949714629627</v>
      </c>
      <c r="C2527" t="s">
        <v>2245</v>
      </c>
      <c r="D2527" t="s">
        <v>13</v>
      </c>
      <c r="E2527">
        <v>180</v>
      </c>
      <c r="F2527">
        <v>0</v>
      </c>
    </row>
    <row r="2528" spans="1:6" x14ac:dyDescent="0.15">
      <c r="A2528" t="s">
        <v>210</v>
      </c>
      <c r="B2528" s="226">
        <v>42341.992547268521</v>
      </c>
      <c r="C2528" t="s">
        <v>2246</v>
      </c>
      <c r="D2528" t="s">
        <v>13</v>
      </c>
      <c r="E2528">
        <v>40</v>
      </c>
      <c r="F2528">
        <v>0</v>
      </c>
    </row>
    <row r="2529" spans="1:6" x14ac:dyDescent="0.15">
      <c r="A2529" t="s">
        <v>210</v>
      </c>
      <c r="B2529" s="226">
        <v>42342.228577731483</v>
      </c>
      <c r="C2529" t="s">
        <v>2247</v>
      </c>
      <c r="D2529" t="s">
        <v>13</v>
      </c>
      <c r="E2529">
        <v>200</v>
      </c>
      <c r="F2529">
        <v>0</v>
      </c>
    </row>
    <row r="2530" spans="1:6" x14ac:dyDescent="0.15">
      <c r="A2530" t="s">
        <v>210</v>
      </c>
      <c r="B2530" s="226">
        <v>42342.248184502314</v>
      </c>
      <c r="C2530" t="s">
        <v>2248</v>
      </c>
      <c r="D2530" t="s">
        <v>13</v>
      </c>
      <c r="E2530">
        <v>40</v>
      </c>
      <c r="F2530">
        <v>0</v>
      </c>
    </row>
    <row r="2531" spans="1:6" x14ac:dyDescent="0.15">
      <c r="A2531" t="s">
        <v>210</v>
      </c>
      <c r="B2531" s="226">
        <v>42342.292099699072</v>
      </c>
      <c r="C2531" t="s">
        <v>14</v>
      </c>
      <c r="D2531" t="s">
        <v>13</v>
      </c>
      <c r="E2531">
        <v>100</v>
      </c>
      <c r="F2531">
        <v>3.5</v>
      </c>
    </row>
    <row r="2532" spans="1:6" x14ac:dyDescent="0.15">
      <c r="A2532" t="s">
        <v>210</v>
      </c>
      <c r="B2532" s="226">
        <v>42342.32318042824</v>
      </c>
      <c r="C2532" t="s">
        <v>2249</v>
      </c>
      <c r="D2532" t="s">
        <v>13</v>
      </c>
      <c r="E2532">
        <v>100</v>
      </c>
      <c r="F2532">
        <v>0</v>
      </c>
    </row>
    <row r="2533" spans="1:6" x14ac:dyDescent="0.15">
      <c r="A2533" t="s">
        <v>210</v>
      </c>
      <c r="B2533" s="226">
        <v>42342.323900949072</v>
      </c>
      <c r="C2533" t="s">
        <v>2250</v>
      </c>
      <c r="D2533" t="s">
        <v>13</v>
      </c>
      <c r="E2533">
        <v>100</v>
      </c>
      <c r="F2533">
        <v>0</v>
      </c>
    </row>
    <row r="2534" spans="1:6" x14ac:dyDescent="0.15">
      <c r="A2534" t="s">
        <v>210</v>
      </c>
      <c r="B2534" s="226">
        <v>42342.327367731479</v>
      </c>
      <c r="C2534" t="s">
        <v>2251</v>
      </c>
      <c r="D2534" t="s">
        <v>13</v>
      </c>
      <c r="E2534">
        <v>60</v>
      </c>
      <c r="F2534">
        <v>0</v>
      </c>
    </row>
    <row r="2535" spans="1:6" x14ac:dyDescent="0.15">
      <c r="A2535" t="s">
        <v>210</v>
      </c>
      <c r="B2535" s="226">
        <v>42342.33791746528</v>
      </c>
      <c r="C2535" t="s">
        <v>462</v>
      </c>
      <c r="D2535" t="s">
        <v>13</v>
      </c>
      <c r="E2535">
        <v>200</v>
      </c>
      <c r="F2535">
        <v>0</v>
      </c>
    </row>
    <row r="2536" spans="1:6" x14ac:dyDescent="0.15">
      <c r="A2536" t="s">
        <v>210</v>
      </c>
      <c r="B2536" s="226">
        <v>42342.367168912038</v>
      </c>
      <c r="C2536" t="s">
        <v>2252</v>
      </c>
      <c r="D2536" t="s">
        <v>13</v>
      </c>
      <c r="E2536">
        <v>40</v>
      </c>
      <c r="F2536">
        <v>0</v>
      </c>
    </row>
    <row r="2537" spans="1:6" x14ac:dyDescent="0.15">
      <c r="A2537" t="s">
        <v>210</v>
      </c>
      <c r="B2537" s="226">
        <v>42342.377134479168</v>
      </c>
      <c r="C2537" t="s">
        <v>2253</v>
      </c>
      <c r="D2537" t="s">
        <v>13</v>
      </c>
      <c r="E2537">
        <v>40</v>
      </c>
      <c r="F2537">
        <v>0</v>
      </c>
    </row>
    <row r="2538" spans="1:6" x14ac:dyDescent="0.15">
      <c r="A2538" t="s">
        <v>210</v>
      </c>
      <c r="B2538" s="226">
        <v>42342.419131087961</v>
      </c>
      <c r="C2538" t="s">
        <v>2254</v>
      </c>
      <c r="D2538" t="s">
        <v>13</v>
      </c>
      <c r="E2538">
        <v>20</v>
      </c>
      <c r="F2538">
        <v>0</v>
      </c>
    </row>
    <row r="2539" spans="1:6" x14ac:dyDescent="0.15">
      <c r="A2539" t="s">
        <v>210</v>
      </c>
      <c r="B2539" s="226">
        <v>42342.431580173608</v>
      </c>
      <c r="C2539" t="s">
        <v>125</v>
      </c>
      <c r="D2539" t="s">
        <v>13</v>
      </c>
      <c r="E2539">
        <v>100</v>
      </c>
      <c r="F2539">
        <v>0</v>
      </c>
    </row>
    <row r="2540" spans="1:6" x14ac:dyDescent="0.15">
      <c r="A2540" t="s">
        <v>210</v>
      </c>
      <c r="B2540" s="226">
        <v>42342.433088796293</v>
      </c>
      <c r="C2540" t="s">
        <v>2255</v>
      </c>
      <c r="D2540" t="s">
        <v>13</v>
      </c>
      <c r="E2540">
        <v>500</v>
      </c>
      <c r="F2540">
        <v>0</v>
      </c>
    </row>
    <row r="2541" spans="1:6" x14ac:dyDescent="0.15">
      <c r="A2541" t="s">
        <v>210</v>
      </c>
      <c r="B2541" s="226">
        <v>42342.435630023145</v>
      </c>
      <c r="C2541" t="s">
        <v>2256</v>
      </c>
      <c r="D2541" t="s">
        <v>13</v>
      </c>
      <c r="E2541">
        <v>500</v>
      </c>
      <c r="F2541">
        <v>0</v>
      </c>
    </row>
    <row r="2542" spans="1:6" x14ac:dyDescent="0.15">
      <c r="A2542" t="s">
        <v>210</v>
      </c>
      <c r="B2542" s="226">
        <v>42342.439914178241</v>
      </c>
      <c r="C2542" t="s">
        <v>490</v>
      </c>
      <c r="D2542" t="s">
        <v>13</v>
      </c>
      <c r="E2542">
        <v>100</v>
      </c>
      <c r="F2542">
        <v>0</v>
      </c>
    </row>
    <row r="2543" spans="1:6" x14ac:dyDescent="0.15">
      <c r="A2543" t="s">
        <v>210</v>
      </c>
      <c r="B2543" s="226">
        <v>42342.455885555559</v>
      </c>
      <c r="C2543" t="s">
        <v>2257</v>
      </c>
      <c r="D2543" t="s">
        <v>13</v>
      </c>
      <c r="E2543">
        <v>140</v>
      </c>
      <c r="F2543">
        <v>0</v>
      </c>
    </row>
    <row r="2544" spans="1:6" x14ac:dyDescent="0.15">
      <c r="A2544" t="s">
        <v>210</v>
      </c>
      <c r="B2544" s="226">
        <v>42342.493440231483</v>
      </c>
      <c r="C2544" t="s">
        <v>14</v>
      </c>
      <c r="D2544" t="s">
        <v>13</v>
      </c>
      <c r="E2544">
        <v>100</v>
      </c>
      <c r="F2544">
        <v>3.5</v>
      </c>
    </row>
    <row r="2545" spans="1:6" x14ac:dyDescent="0.15">
      <c r="A2545" t="s">
        <v>210</v>
      </c>
      <c r="B2545" s="226">
        <v>42342.494434039349</v>
      </c>
      <c r="C2545" t="s">
        <v>2258</v>
      </c>
      <c r="D2545" t="s">
        <v>13</v>
      </c>
      <c r="E2545">
        <v>100</v>
      </c>
      <c r="F2545">
        <v>0</v>
      </c>
    </row>
    <row r="2546" spans="1:6" x14ac:dyDescent="0.15">
      <c r="A2546" t="s">
        <v>210</v>
      </c>
      <c r="B2546" s="226">
        <v>42342.500695127317</v>
      </c>
      <c r="C2546" t="s">
        <v>2259</v>
      </c>
      <c r="D2546" t="s">
        <v>13</v>
      </c>
      <c r="E2546">
        <v>40</v>
      </c>
      <c r="F2546">
        <v>0</v>
      </c>
    </row>
    <row r="2547" spans="1:6" x14ac:dyDescent="0.15">
      <c r="A2547" t="s">
        <v>210</v>
      </c>
      <c r="B2547" s="226">
        <v>42342.501513831019</v>
      </c>
      <c r="C2547" t="s">
        <v>2260</v>
      </c>
      <c r="D2547" t="s">
        <v>13</v>
      </c>
      <c r="E2547">
        <v>40</v>
      </c>
      <c r="F2547">
        <v>0</v>
      </c>
    </row>
    <row r="2548" spans="1:6" x14ac:dyDescent="0.15">
      <c r="A2548" t="s">
        <v>210</v>
      </c>
      <c r="B2548" s="226">
        <v>42342.503791539355</v>
      </c>
      <c r="C2548" t="s">
        <v>2261</v>
      </c>
      <c r="D2548" t="s">
        <v>13</v>
      </c>
      <c r="E2548">
        <v>60</v>
      </c>
      <c r="F2548">
        <v>0</v>
      </c>
    </row>
    <row r="2549" spans="1:6" x14ac:dyDescent="0.15">
      <c r="A2549" t="s">
        <v>210</v>
      </c>
      <c r="B2549" s="226">
        <v>42342.516404930553</v>
      </c>
      <c r="C2549" t="s">
        <v>2262</v>
      </c>
      <c r="D2549" t="s">
        <v>13</v>
      </c>
      <c r="E2549">
        <v>20</v>
      </c>
      <c r="F2549">
        <v>0</v>
      </c>
    </row>
    <row r="2550" spans="1:6" x14ac:dyDescent="0.15">
      <c r="A2550" t="s">
        <v>210</v>
      </c>
      <c r="B2550" s="226">
        <v>42342.517388831016</v>
      </c>
      <c r="C2550" t="s">
        <v>2263</v>
      </c>
      <c r="D2550" t="s">
        <v>13</v>
      </c>
      <c r="E2550">
        <v>60</v>
      </c>
      <c r="F2550">
        <v>0</v>
      </c>
    </row>
    <row r="2551" spans="1:6" x14ac:dyDescent="0.15">
      <c r="A2551" t="s">
        <v>210</v>
      </c>
      <c r="B2551" s="226">
        <v>42342.520195694444</v>
      </c>
      <c r="C2551" t="s">
        <v>2264</v>
      </c>
      <c r="D2551" t="s">
        <v>13</v>
      </c>
      <c r="E2551">
        <v>420</v>
      </c>
      <c r="F2551">
        <v>0</v>
      </c>
    </row>
    <row r="2552" spans="1:6" x14ac:dyDescent="0.15">
      <c r="A2552" t="s">
        <v>210</v>
      </c>
      <c r="B2552" s="226">
        <v>42342.525738275464</v>
      </c>
      <c r="C2552" t="s">
        <v>491</v>
      </c>
      <c r="D2552" t="s">
        <v>13</v>
      </c>
      <c r="E2552">
        <v>40</v>
      </c>
      <c r="F2552">
        <v>0</v>
      </c>
    </row>
    <row r="2553" spans="1:6" x14ac:dyDescent="0.15">
      <c r="A2553" t="s">
        <v>210</v>
      </c>
      <c r="B2553" s="226">
        <v>42342.531009918981</v>
      </c>
      <c r="C2553" t="s">
        <v>2265</v>
      </c>
      <c r="D2553" t="s">
        <v>13</v>
      </c>
      <c r="E2553">
        <v>120</v>
      </c>
      <c r="F2553">
        <v>0</v>
      </c>
    </row>
    <row r="2554" spans="1:6" x14ac:dyDescent="0.15">
      <c r="A2554" t="s">
        <v>210</v>
      </c>
      <c r="B2554" s="226">
        <v>42342.544171527778</v>
      </c>
      <c r="C2554" t="s">
        <v>173</v>
      </c>
      <c r="D2554" t="s">
        <v>13</v>
      </c>
      <c r="E2554">
        <v>200</v>
      </c>
      <c r="F2554">
        <v>0</v>
      </c>
    </row>
    <row r="2555" spans="1:6" x14ac:dyDescent="0.15">
      <c r="A2555" t="s">
        <v>210</v>
      </c>
      <c r="B2555" s="226">
        <v>42342.563352083336</v>
      </c>
      <c r="C2555" t="s">
        <v>2266</v>
      </c>
      <c r="D2555" t="s">
        <v>13</v>
      </c>
      <c r="E2555">
        <v>40</v>
      </c>
      <c r="F2555">
        <v>0</v>
      </c>
    </row>
    <row r="2556" spans="1:6" x14ac:dyDescent="0.15">
      <c r="A2556" t="s">
        <v>210</v>
      </c>
      <c r="B2556" s="226">
        <v>42342.57272152778</v>
      </c>
      <c r="C2556" t="s">
        <v>2267</v>
      </c>
      <c r="D2556" t="s">
        <v>13</v>
      </c>
      <c r="E2556">
        <v>100</v>
      </c>
      <c r="F2556">
        <v>0</v>
      </c>
    </row>
    <row r="2557" spans="1:6" x14ac:dyDescent="0.15">
      <c r="A2557" t="s">
        <v>210</v>
      </c>
      <c r="B2557" s="226">
        <v>42342.576440428238</v>
      </c>
      <c r="C2557" t="s">
        <v>78</v>
      </c>
      <c r="D2557" t="s">
        <v>13</v>
      </c>
      <c r="E2557">
        <v>80</v>
      </c>
      <c r="F2557">
        <v>0</v>
      </c>
    </row>
    <row r="2558" spans="1:6" x14ac:dyDescent="0.15">
      <c r="A2558" t="s">
        <v>210</v>
      </c>
      <c r="B2558" s="226">
        <v>42342.584912245373</v>
      </c>
      <c r="C2558" t="s">
        <v>492</v>
      </c>
      <c r="D2558" t="s">
        <v>13</v>
      </c>
      <c r="E2558">
        <v>60</v>
      </c>
      <c r="F2558">
        <v>0</v>
      </c>
    </row>
    <row r="2559" spans="1:6" x14ac:dyDescent="0.15">
      <c r="A2559" t="s">
        <v>210</v>
      </c>
      <c r="B2559" s="226">
        <v>42342.590073078703</v>
      </c>
      <c r="C2559" t="s">
        <v>2268</v>
      </c>
      <c r="D2559" t="s">
        <v>13</v>
      </c>
      <c r="E2559">
        <v>100</v>
      </c>
      <c r="F2559">
        <v>0</v>
      </c>
    </row>
    <row r="2560" spans="1:6" x14ac:dyDescent="0.15">
      <c r="A2560" t="s">
        <v>210</v>
      </c>
      <c r="B2560" s="226">
        <v>42342.597341400462</v>
      </c>
      <c r="C2560" t="s">
        <v>14</v>
      </c>
      <c r="D2560" t="s">
        <v>13</v>
      </c>
      <c r="E2560">
        <v>80</v>
      </c>
      <c r="F2560">
        <v>3.5</v>
      </c>
    </row>
    <row r="2561" spans="1:6" x14ac:dyDescent="0.15">
      <c r="A2561" t="s">
        <v>210</v>
      </c>
      <c r="B2561" s="226">
        <v>42342.605268263891</v>
      </c>
      <c r="C2561" t="s">
        <v>2269</v>
      </c>
      <c r="D2561" t="s">
        <v>13</v>
      </c>
      <c r="E2561">
        <v>60</v>
      </c>
      <c r="F2561">
        <v>0</v>
      </c>
    </row>
    <row r="2562" spans="1:6" x14ac:dyDescent="0.15">
      <c r="A2562" t="s">
        <v>210</v>
      </c>
      <c r="B2562" s="226">
        <v>42342.607437048609</v>
      </c>
      <c r="C2562" t="s">
        <v>14</v>
      </c>
      <c r="D2562" t="s">
        <v>13</v>
      </c>
      <c r="E2562">
        <v>60</v>
      </c>
      <c r="F2562">
        <v>3.5</v>
      </c>
    </row>
    <row r="2563" spans="1:6" x14ac:dyDescent="0.15">
      <c r="A2563" t="s">
        <v>210</v>
      </c>
      <c r="B2563" s="226">
        <v>42342.622975416663</v>
      </c>
      <c r="C2563" t="s">
        <v>14</v>
      </c>
      <c r="D2563" t="s">
        <v>13</v>
      </c>
      <c r="E2563">
        <v>40</v>
      </c>
      <c r="F2563">
        <v>3.5</v>
      </c>
    </row>
    <row r="2564" spans="1:6" x14ac:dyDescent="0.15">
      <c r="A2564" t="s">
        <v>210</v>
      </c>
      <c r="B2564" s="226">
        <v>42342.646370439812</v>
      </c>
      <c r="C2564" t="s">
        <v>14</v>
      </c>
      <c r="D2564" t="s">
        <v>15</v>
      </c>
      <c r="E2564">
        <v>200</v>
      </c>
      <c r="F2564">
        <v>8.5</v>
      </c>
    </row>
    <row r="2565" spans="1:6" x14ac:dyDescent="0.15">
      <c r="A2565" t="s">
        <v>210</v>
      </c>
      <c r="B2565" s="226">
        <v>42342.720287326389</v>
      </c>
      <c r="C2565" t="s">
        <v>2270</v>
      </c>
      <c r="D2565" t="s">
        <v>13</v>
      </c>
      <c r="E2565">
        <v>40</v>
      </c>
      <c r="F2565">
        <v>0</v>
      </c>
    </row>
    <row r="2566" spans="1:6" x14ac:dyDescent="0.15">
      <c r="A2566" t="s">
        <v>210</v>
      </c>
      <c r="B2566" s="226">
        <v>42342.723312662034</v>
      </c>
      <c r="C2566" t="s">
        <v>493</v>
      </c>
      <c r="D2566" t="s">
        <v>13</v>
      </c>
      <c r="E2566">
        <v>60</v>
      </c>
      <c r="F2566">
        <v>0</v>
      </c>
    </row>
    <row r="2567" spans="1:6" x14ac:dyDescent="0.15">
      <c r="A2567" t="s">
        <v>210</v>
      </c>
      <c r="B2567" s="226">
        <v>42342.727541678243</v>
      </c>
      <c r="C2567" t="s">
        <v>1623</v>
      </c>
      <c r="D2567" t="s">
        <v>13</v>
      </c>
      <c r="E2567">
        <v>140</v>
      </c>
      <c r="F2567">
        <v>0</v>
      </c>
    </row>
    <row r="2568" spans="1:6" x14ac:dyDescent="0.15">
      <c r="A2568" t="s">
        <v>210</v>
      </c>
      <c r="B2568" s="226">
        <v>42342.73486866898</v>
      </c>
      <c r="C2568" t="s">
        <v>980</v>
      </c>
      <c r="D2568" t="s">
        <v>13</v>
      </c>
      <c r="E2568">
        <v>500</v>
      </c>
      <c r="F2568">
        <v>0</v>
      </c>
    </row>
    <row r="2569" spans="1:6" x14ac:dyDescent="0.15">
      <c r="A2569" t="s">
        <v>210</v>
      </c>
      <c r="B2569" s="226">
        <v>42342.745306122684</v>
      </c>
      <c r="C2569" t="s">
        <v>1479</v>
      </c>
      <c r="D2569" t="s">
        <v>13</v>
      </c>
      <c r="E2569">
        <v>20</v>
      </c>
      <c r="F2569">
        <v>0</v>
      </c>
    </row>
    <row r="2570" spans="1:6" x14ac:dyDescent="0.15">
      <c r="A2570" t="s">
        <v>210</v>
      </c>
      <c r="B2570" s="226">
        <v>42342.746978437499</v>
      </c>
      <c r="C2570" t="s">
        <v>494</v>
      </c>
      <c r="D2570" t="s">
        <v>13</v>
      </c>
      <c r="E2570">
        <v>40</v>
      </c>
      <c r="F2570">
        <v>0</v>
      </c>
    </row>
    <row r="2571" spans="1:6" x14ac:dyDescent="0.15">
      <c r="A2571" t="s">
        <v>210</v>
      </c>
      <c r="B2571" s="226">
        <v>42342.785959259258</v>
      </c>
      <c r="C2571" t="s">
        <v>2271</v>
      </c>
      <c r="D2571" t="s">
        <v>13</v>
      </c>
      <c r="E2571">
        <v>200</v>
      </c>
      <c r="F2571">
        <v>0</v>
      </c>
    </row>
    <row r="2572" spans="1:6" x14ac:dyDescent="0.15">
      <c r="A2572" t="s">
        <v>210</v>
      </c>
      <c r="B2572" s="226">
        <v>42342.865338414354</v>
      </c>
      <c r="C2572" t="s">
        <v>2272</v>
      </c>
      <c r="D2572" t="s">
        <v>15</v>
      </c>
      <c r="E2572">
        <v>100</v>
      </c>
      <c r="F2572">
        <v>3</v>
      </c>
    </row>
    <row r="2573" spans="1:6" x14ac:dyDescent="0.15">
      <c r="A2573" t="s">
        <v>210</v>
      </c>
      <c r="B2573" s="226">
        <v>42342.875151469911</v>
      </c>
      <c r="C2573" t="s">
        <v>393</v>
      </c>
      <c r="D2573" t="s">
        <v>13</v>
      </c>
      <c r="E2573">
        <v>60</v>
      </c>
      <c r="F2573">
        <v>0</v>
      </c>
    </row>
    <row r="2574" spans="1:6" x14ac:dyDescent="0.15">
      <c r="A2574" t="s">
        <v>210</v>
      </c>
      <c r="B2574" s="226">
        <v>42342.909473136577</v>
      </c>
      <c r="C2574" t="s">
        <v>589</v>
      </c>
      <c r="D2574" t="s">
        <v>13</v>
      </c>
      <c r="E2574">
        <v>60</v>
      </c>
      <c r="F2574">
        <v>0</v>
      </c>
    </row>
    <row r="2575" spans="1:6" x14ac:dyDescent="0.15">
      <c r="A2575" t="s">
        <v>210</v>
      </c>
      <c r="B2575" s="226">
        <v>42342.919211585649</v>
      </c>
      <c r="C2575" t="s">
        <v>2273</v>
      </c>
      <c r="D2575" t="s">
        <v>13</v>
      </c>
      <c r="E2575">
        <v>60</v>
      </c>
      <c r="F2575">
        <v>0</v>
      </c>
    </row>
    <row r="2576" spans="1:6" x14ac:dyDescent="0.15">
      <c r="A2576" t="s">
        <v>210</v>
      </c>
      <c r="B2576" s="226">
        <v>42342.931181736109</v>
      </c>
      <c r="C2576" t="s">
        <v>2274</v>
      </c>
      <c r="D2576" t="s">
        <v>13</v>
      </c>
      <c r="E2576">
        <v>20</v>
      </c>
      <c r="F2576">
        <v>0</v>
      </c>
    </row>
    <row r="2577" spans="1:6" x14ac:dyDescent="0.15">
      <c r="A2577" t="s">
        <v>210</v>
      </c>
      <c r="B2577" s="226">
        <v>42343.297218993059</v>
      </c>
      <c r="C2577" t="s">
        <v>14</v>
      </c>
      <c r="D2577" t="s">
        <v>13</v>
      </c>
      <c r="E2577">
        <v>100</v>
      </c>
      <c r="F2577">
        <v>3.5</v>
      </c>
    </row>
    <row r="2578" spans="1:6" x14ac:dyDescent="0.15">
      <c r="A2578" t="s">
        <v>210</v>
      </c>
      <c r="B2578" s="226">
        <v>42343.38722138889</v>
      </c>
      <c r="C2578" t="s">
        <v>2275</v>
      </c>
      <c r="D2578" t="s">
        <v>13</v>
      </c>
      <c r="E2578">
        <v>200</v>
      </c>
      <c r="F2578">
        <v>0</v>
      </c>
    </row>
    <row r="2579" spans="1:6" x14ac:dyDescent="0.15">
      <c r="A2579" t="s">
        <v>210</v>
      </c>
      <c r="B2579" s="226">
        <v>42343.405346932872</v>
      </c>
      <c r="C2579" t="s">
        <v>1533</v>
      </c>
      <c r="D2579" t="s">
        <v>13</v>
      </c>
      <c r="E2579">
        <v>100</v>
      </c>
      <c r="F2579">
        <v>0</v>
      </c>
    </row>
    <row r="2580" spans="1:6" x14ac:dyDescent="0.15">
      <c r="A2580" t="s">
        <v>210</v>
      </c>
      <c r="B2580" s="226">
        <v>42343.41579540509</v>
      </c>
      <c r="C2580" t="s">
        <v>337</v>
      </c>
      <c r="D2580" t="s">
        <v>13</v>
      </c>
      <c r="E2580">
        <v>60</v>
      </c>
      <c r="F2580">
        <v>0</v>
      </c>
    </row>
    <row r="2581" spans="1:6" x14ac:dyDescent="0.15">
      <c r="A2581" t="s">
        <v>210</v>
      </c>
      <c r="B2581" s="226">
        <v>42343.419392685188</v>
      </c>
      <c r="C2581" t="s">
        <v>2276</v>
      </c>
      <c r="D2581" t="s">
        <v>13</v>
      </c>
      <c r="E2581">
        <v>20</v>
      </c>
      <c r="F2581">
        <v>0</v>
      </c>
    </row>
    <row r="2582" spans="1:6" x14ac:dyDescent="0.15">
      <c r="A2582" t="s">
        <v>210</v>
      </c>
      <c r="B2582" s="226">
        <v>42343.426257638886</v>
      </c>
      <c r="C2582" t="s">
        <v>2277</v>
      </c>
      <c r="D2582" t="s">
        <v>13</v>
      </c>
      <c r="E2582">
        <v>60</v>
      </c>
      <c r="F2582">
        <v>0</v>
      </c>
    </row>
    <row r="2583" spans="1:6" x14ac:dyDescent="0.15">
      <c r="A2583" t="s">
        <v>210</v>
      </c>
      <c r="B2583" s="226">
        <v>42343.427776805554</v>
      </c>
      <c r="C2583" t="s">
        <v>2278</v>
      </c>
      <c r="D2583" t="s">
        <v>13</v>
      </c>
      <c r="E2583">
        <v>40</v>
      </c>
      <c r="F2583">
        <v>0</v>
      </c>
    </row>
    <row r="2584" spans="1:6" x14ac:dyDescent="0.15">
      <c r="A2584" t="s">
        <v>210</v>
      </c>
      <c r="B2584" s="226">
        <v>42343.444197546298</v>
      </c>
      <c r="C2584" t="s">
        <v>2279</v>
      </c>
      <c r="D2584" t="s">
        <v>13</v>
      </c>
      <c r="E2584">
        <v>120</v>
      </c>
      <c r="F2584">
        <v>0</v>
      </c>
    </row>
    <row r="2585" spans="1:6" x14ac:dyDescent="0.15">
      <c r="A2585" t="s">
        <v>210</v>
      </c>
      <c r="B2585" s="226">
        <v>42343.445366307868</v>
      </c>
      <c r="C2585" t="s">
        <v>2280</v>
      </c>
      <c r="D2585" t="s">
        <v>13</v>
      </c>
      <c r="E2585">
        <v>20</v>
      </c>
      <c r="F2585">
        <v>0</v>
      </c>
    </row>
    <row r="2586" spans="1:6" x14ac:dyDescent="0.15">
      <c r="A2586" t="s">
        <v>210</v>
      </c>
      <c r="B2586" s="226">
        <v>42343.446717905092</v>
      </c>
      <c r="C2586" t="s">
        <v>14</v>
      </c>
      <c r="D2586" t="s">
        <v>13</v>
      </c>
      <c r="E2586">
        <v>100</v>
      </c>
      <c r="F2586">
        <v>3.5</v>
      </c>
    </row>
    <row r="2587" spans="1:6" x14ac:dyDescent="0.15">
      <c r="A2587" t="s">
        <v>210</v>
      </c>
      <c r="B2587" s="226">
        <v>42343.457747129629</v>
      </c>
      <c r="C2587" t="s">
        <v>2281</v>
      </c>
      <c r="D2587" t="s">
        <v>13</v>
      </c>
      <c r="E2587">
        <v>500</v>
      </c>
      <c r="F2587">
        <v>0</v>
      </c>
    </row>
    <row r="2588" spans="1:6" x14ac:dyDescent="0.15">
      <c r="A2588" t="s">
        <v>210</v>
      </c>
      <c r="B2588" s="226">
        <v>42343.464317997685</v>
      </c>
      <c r="C2588" t="s">
        <v>2282</v>
      </c>
      <c r="D2588" t="s">
        <v>13</v>
      </c>
      <c r="E2588">
        <v>120</v>
      </c>
      <c r="F2588">
        <v>0</v>
      </c>
    </row>
    <row r="2589" spans="1:6" x14ac:dyDescent="0.15">
      <c r="A2589" t="s">
        <v>210</v>
      </c>
      <c r="B2589" s="226">
        <v>42343.469832326387</v>
      </c>
      <c r="C2589" t="s">
        <v>2283</v>
      </c>
      <c r="D2589" t="s">
        <v>13</v>
      </c>
      <c r="E2589">
        <v>20</v>
      </c>
      <c r="F2589">
        <v>0</v>
      </c>
    </row>
    <row r="2590" spans="1:6" x14ac:dyDescent="0.15">
      <c r="A2590" t="s">
        <v>210</v>
      </c>
      <c r="B2590" s="226">
        <v>42343.496303425927</v>
      </c>
      <c r="C2590" t="s">
        <v>2284</v>
      </c>
      <c r="D2590" t="s">
        <v>13</v>
      </c>
      <c r="E2590">
        <v>100</v>
      </c>
      <c r="F2590">
        <v>0</v>
      </c>
    </row>
    <row r="2591" spans="1:6" x14ac:dyDescent="0.15">
      <c r="A2591" t="s">
        <v>210</v>
      </c>
      <c r="B2591" s="226">
        <v>42343.501144513888</v>
      </c>
      <c r="C2591" t="s">
        <v>80</v>
      </c>
      <c r="D2591" t="s">
        <v>13</v>
      </c>
      <c r="E2591">
        <v>200</v>
      </c>
      <c r="F2591">
        <v>0</v>
      </c>
    </row>
    <row r="2592" spans="1:6" x14ac:dyDescent="0.15">
      <c r="A2592" t="s">
        <v>210</v>
      </c>
      <c r="B2592" s="226">
        <v>42343.533809942128</v>
      </c>
      <c r="C2592" t="s">
        <v>2285</v>
      </c>
      <c r="D2592" t="s">
        <v>13</v>
      </c>
      <c r="E2592">
        <v>60</v>
      </c>
      <c r="F2592">
        <v>0</v>
      </c>
    </row>
    <row r="2593" spans="1:6" x14ac:dyDescent="0.15">
      <c r="A2593" t="s">
        <v>210</v>
      </c>
      <c r="B2593" s="226">
        <v>42343.56433695602</v>
      </c>
      <c r="C2593" t="s">
        <v>2286</v>
      </c>
      <c r="D2593" t="s">
        <v>13</v>
      </c>
      <c r="E2593">
        <v>60</v>
      </c>
      <c r="F2593">
        <v>0</v>
      </c>
    </row>
    <row r="2594" spans="1:6" x14ac:dyDescent="0.15">
      <c r="A2594" t="s">
        <v>210</v>
      </c>
      <c r="B2594" s="226">
        <v>42343.565213761576</v>
      </c>
      <c r="C2594" t="s">
        <v>14</v>
      </c>
      <c r="D2594" t="s">
        <v>13</v>
      </c>
      <c r="E2594">
        <v>300</v>
      </c>
      <c r="F2594">
        <v>3.5</v>
      </c>
    </row>
    <row r="2595" spans="1:6" x14ac:dyDescent="0.15">
      <c r="A2595" t="s">
        <v>210</v>
      </c>
      <c r="B2595" s="226">
        <v>42343.5852452662</v>
      </c>
      <c r="C2595" t="s">
        <v>14</v>
      </c>
      <c r="D2595" t="s">
        <v>15</v>
      </c>
      <c r="E2595">
        <v>20</v>
      </c>
      <c r="F2595">
        <v>3.1</v>
      </c>
    </row>
    <row r="2596" spans="1:6" x14ac:dyDescent="0.15">
      <c r="A2596" t="s">
        <v>210</v>
      </c>
      <c r="B2596" s="226">
        <v>42343.587410891203</v>
      </c>
      <c r="C2596" t="s">
        <v>2287</v>
      </c>
      <c r="D2596" t="s">
        <v>13</v>
      </c>
      <c r="E2596">
        <v>200</v>
      </c>
      <c r="F2596">
        <v>0</v>
      </c>
    </row>
    <row r="2597" spans="1:6" x14ac:dyDescent="0.15">
      <c r="A2597" t="s">
        <v>210</v>
      </c>
      <c r="B2597" s="226">
        <v>42343.625775335648</v>
      </c>
      <c r="C2597" t="s">
        <v>2288</v>
      </c>
      <c r="D2597" t="s">
        <v>13</v>
      </c>
      <c r="E2597">
        <v>120</v>
      </c>
      <c r="F2597">
        <v>0</v>
      </c>
    </row>
    <row r="2598" spans="1:6" x14ac:dyDescent="0.15">
      <c r="A2598" t="s">
        <v>210</v>
      </c>
      <c r="B2598" s="226">
        <v>42343.642934513889</v>
      </c>
      <c r="C2598" t="s">
        <v>1340</v>
      </c>
      <c r="D2598" t="s">
        <v>13</v>
      </c>
      <c r="E2598">
        <v>80</v>
      </c>
      <c r="F2598">
        <v>0</v>
      </c>
    </row>
    <row r="2599" spans="1:6" x14ac:dyDescent="0.15">
      <c r="A2599" t="s">
        <v>210</v>
      </c>
      <c r="B2599" s="226">
        <v>42343.657096122683</v>
      </c>
      <c r="C2599" t="s">
        <v>2289</v>
      </c>
      <c r="D2599" t="s">
        <v>13</v>
      </c>
      <c r="E2599">
        <v>80</v>
      </c>
      <c r="F2599">
        <v>0</v>
      </c>
    </row>
    <row r="2600" spans="1:6" x14ac:dyDescent="0.15">
      <c r="A2600" t="s">
        <v>210</v>
      </c>
      <c r="B2600" s="226">
        <v>42343.667492384258</v>
      </c>
      <c r="C2600" t="s">
        <v>2290</v>
      </c>
      <c r="D2600" t="s">
        <v>13</v>
      </c>
      <c r="E2600">
        <v>20</v>
      </c>
      <c r="F2600">
        <v>0</v>
      </c>
    </row>
    <row r="2601" spans="1:6" x14ac:dyDescent="0.15">
      <c r="A2601" t="s">
        <v>210</v>
      </c>
      <c r="B2601" s="226">
        <v>42343.696656874999</v>
      </c>
      <c r="C2601" t="s">
        <v>1516</v>
      </c>
      <c r="D2601" t="s">
        <v>13</v>
      </c>
      <c r="E2601">
        <v>100</v>
      </c>
      <c r="F2601">
        <v>0</v>
      </c>
    </row>
    <row r="2602" spans="1:6" x14ac:dyDescent="0.15">
      <c r="A2602" t="s">
        <v>210</v>
      </c>
      <c r="B2602" s="226">
        <v>42343.719304027778</v>
      </c>
      <c r="C2602" t="s">
        <v>2291</v>
      </c>
      <c r="D2602" t="s">
        <v>13</v>
      </c>
      <c r="E2602">
        <v>100</v>
      </c>
      <c r="F2602">
        <v>0</v>
      </c>
    </row>
    <row r="2603" spans="1:6" x14ac:dyDescent="0.15">
      <c r="A2603" t="s">
        <v>210</v>
      </c>
      <c r="B2603" s="226">
        <v>42343.722788287036</v>
      </c>
      <c r="C2603" t="s">
        <v>1529</v>
      </c>
      <c r="D2603" t="s">
        <v>13</v>
      </c>
      <c r="E2603">
        <v>20</v>
      </c>
      <c r="F2603">
        <v>0</v>
      </c>
    </row>
    <row r="2604" spans="1:6" x14ac:dyDescent="0.15">
      <c r="A2604" t="s">
        <v>210</v>
      </c>
      <c r="B2604" s="226">
        <v>42343.723749363424</v>
      </c>
      <c r="C2604" t="s">
        <v>2292</v>
      </c>
      <c r="D2604" t="s">
        <v>13</v>
      </c>
      <c r="E2604">
        <v>60</v>
      </c>
      <c r="F2604">
        <v>0</v>
      </c>
    </row>
    <row r="2605" spans="1:6" x14ac:dyDescent="0.15">
      <c r="A2605" t="s">
        <v>210</v>
      </c>
      <c r="B2605" s="226">
        <v>42343.733890844909</v>
      </c>
      <c r="C2605" t="s">
        <v>2293</v>
      </c>
      <c r="D2605" t="s">
        <v>13</v>
      </c>
      <c r="E2605">
        <v>100</v>
      </c>
      <c r="F2605">
        <v>0</v>
      </c>
    </row>
    <row r="2606" spans="1:6" x14ac:dyDescent="0.15">
      <c r="A2606" t="s">
        <v>210</v>
      </c>
      <c r="B2606" s="226">
        <v>42343.771248310186</v>
      </c>
      <c r="C2606" t="s">
        <v>616</v>
      </c>
      <c r="D2606" t="s">
        <v>13</v>
      </c>
      <c r="E2606">
        <v>40</v>
      </c>
      <c r="F2606">
        <v>0</v>
      </c>
    </row>
    <row r="2607" spans="1:6" x14ac:dyDescent="0.15">
      <c r="A2607" t="s">
        <v>210</v>
      </c>
      <c r="B2607" s="226">
        <v>42343.789892881941</v>
      </c>
      <c r="C2607" t="s">
        <v>14</v>
      </c>
      <c r="D2607" t="s">
        <v>13</v>
      </c>
      <c r="E2607">
        <v>40</v>
      </c>
      <c r="F2607">
        <v>3.5</v>
      </c>
    </row>
    <row r="2608" spans="1:6" x14ac:dyDescent="0.15">
      <c r="A2608" t="s">
        <v>210</v>
      </c>
      <c r="B2608" s="226">
        <v>42343.790856678243</v>
      </c>
      <c r="C2608" t="s">
        <v>2057</v>
      </c>
      <c r="D2608" t="s">
        <v>13</v>
      </c>
      <c r="E2608">
        <v>100</v>
      </c>
      <c r="F2608">
        <v>0</v>
      </c>
    </row>
    <row r="2609" spans="1:6" x14ac:dyDescent="0.15">
      <c r="A2609" t="s">
        <v>210</v>
      </c>
      <c r="B2609" s="226">
        <v>42343.823907314814</v>
      </c>
      <c r="C2609" t="s">
        <v>580</v>
      </c>
      <c r="D2609" t="s">
        <v>13</v>
      </c>
      <c r="E2609">
        <v>100</v>
      </c>
      <c r="F2609">
        <v>0</v>
      </c>
    </row>
    <row r="2610" spans="1:6" x14ac:dyDescent="0.15">
      <c r="A2610" t="s">
        <v>210</v>
      </c>
      <c r="B2610" s="226">
        <v>42343.86499238426</v>
      </c>
      <c r="C2610" t="s">
        <v>2294</v>
      </c>
      <c r="D2610" t="s">
        <v>13</v>
      </c>
      <c r="E2610">
        <v>100</v>
      </c>
      <c r="F2610">
        <v>0</v>
      </c>
    </row>
    <row r="2611" spans="1:6" x14ac:dyDescent="0.15">
      <c r="A2611" t="s">
        <v>210</v>
      </c>
      <c r="B2611" s="226">
        <v>42343.892040150466</v>
      </c>
      <c r="C2611" t="s">
        <v>2295</v>
      </c>
      <c r="D2611" t="s">
        <v>13</v>
      </c>
      <c r="E2611">
        <v>40</v>
      </c>
      <c r="F2611">
        <v>0</v>
      </c>
    </row>
    <row r="2612" spans="1:6" x14ac:dyDescent="0.15">
      <c r="A2612" t="s">
        <v>210</v>
      </c>
      <c r="B2612" s="226">
        <v>42343.907696261573</v>
      </c>
      <c r="C2612" t="s">
        <v>573</v>
      </c>
      <c r="D2612" t="s">
        <v>13</v>
      </c>
      <c r="E2612">
        <v>500</v>
      </c>
      <c r="F2612">
        <v>0</v>
      </c>
    </row>
    <row r="2613" spans="1:6" x14ac:dyDescent="0.15">
      <c r="A2613" t="s">
        <v>210</v>
      </c>
      <c r="B2613" s="226">
        <v>42343.911501562499</v>
      </c>
      <c r="C2613" t="s">
        <v>2296</v>
      </c>
      <c r="D2613" t="s">
        <v>15</v>
      </c>
      <c r="E2613">
        <v>40</v>
      </c>
      <c r="F2613">
        <v>1.2</v>
      </c>
    </row>
    <row r="2614" spans="1:6" x14ac:dyDescent="0.15">
      <c r="A2614" t="s">
        <v>210</v>
      </c>
      <c r="B2614" s="226">
        <v>42344.340523749997</v>
      </c>
      <c r="C2614" t="s">
        <v>2236</v>
      </c>
      <c r="D2614" t="s">
        <v>13</v>
      </c>
      <c r="E2614">
        <v>200</v>
      </c>
      <c r="F2614">
        <v>0</v>
      </c>
    </row>
    <row r="2615" spans="1:6" x14ac:dyDescent="0.15">
      <c r="A2615" t="s">
        <v>210</v>
      </c>
      <c r="B2615" s="226">
        <v>42344.427993055557</v>
      </c>
      <c r="C2615" t="s">
        <v>1451</v>
      </c>
      <c r="D2615" t="s">
        <v>13</v>
      </c>
      <c r="E2615">
        <v>180</v>
      </c>
      <c r="F2615">
        <v>0</v>
      </c>
    </row>
    <row r="2616" spans="1:6" x14ac:dyDescent="0.15">
      <c r="A2616" t="s">
        <v>210</v>
      </c>
      <c r="B2616" s="226">
        <v>42344.436180671299</v>
      </c>
      <c r="C2616" t="s">
        <v>2297</v>
      </c>
      <c r="D2616" t="s">
        <v>13</v>
      </c>
      <c r="E2616">
        <v>80</v>
      </c>
      <c r="F2616">
        <v>0</v>
      </c>
    </row>
    <row r="2617" spans="1:6" x14ac:dyDescent="0.15">
      <c r="A2617" t="s">
        <v>210</v>
      </c>
      <c r="B2617" s="226">
        <v>42344.459513622685</v>
      </c>
      <c r="C2617" t="s">
        <v>2298</v>
      </c>
      <c r="D2617" t="s">
        <v>13</v>
      </c>
      <c r="E2617">
        <v>60</v>
      </c>
      <c r="F2617">
        <v>0</v>
      </c>
    </row>
    <row r="2618" spans="1:6" x14ac:dyDescent="0.15">
      <c r="A2618" t="s">
        <v>210</v>
      </c>
      <c r="B2618" s="226">
        <v>42344.476286956022</v>
      </c>
      <c r="C2618" t="s">
        <v>1724</v>
      </c>
      <c r="D2618" t="s">
        <v>13</v>
      </c>
      <c r="E2618">
        <v>100</v>
      </c>
      <c r="F2618">
        <v>0</v>
      </c>
    </row>
    <row r="2619" spans="1:6" x14ac:dyDescent="0.15">
      <c r="A2619" t="s">
        <v>210</v>
      </c>
      <c r="B2619" s="226">
        <v>42344.490215497688</v>
      </c>
      <c r="C2619" t="s">
        <v>2299</v>
      </c>
      <c r="D2619" t="s">
        <v>13</v>
      </c>
      <c r="E2619">
        <v>80</v>
      </c>
      <c r="F2619">
        <v>0</v>
      </c>
    </row>
    <row r="2620" spans="1:6" x14ac:dyDescent="0.15">
      <c r="A2620" t="s">
        <v>210</v>
      </c>
      <c r="B2620" s="226">
        <v>42344.502327627313</v>
      </c>
      <c r="C2620" t="s">
        <v>2300</v>
      </c>
      <c r="D2620" t="s">
        <v>13</v>
      </c>
      <c r="E2620">
        <v>40</v>
      </c>
      <c r="F2620">
        <v>0</v>
      </c>
    </row>
    <row r="2621" spans="1:6" x14ac:dyDescent="0.15">
      <c r="A2621" t="s">
        <v>210</v>
      </c>
      <c r="B2621" s="226">
        <v>42344.506165115738</v>
      </c>
      <c r="C2621" t="s">
        <v>957</v>
      </c>
      <c r="D2621" t="s">
        <v>13</v>
      </c>
      <c r="E2621">
        <v>100</v>
      </c>
      <c r="F2621">
        <v>0</v>
      </c>
    </row>
    <row r="2622" spans="1:6" x14ac:dyDescent="0.15">
      <c r="A2622" t="s">
        <v>210</v>
      </c>
      <c r="B2622" s="226">
        <v>42344.506749803244</v>
      </c>
      <c r="C2622" t="s">
        <v>495</v>
      </c>
      <c r="D2622" t="s">
        <v>13</v>
      </c>
      <c r="E2622">
        <v>40</v>
      </c>
      <c r="F2622">
        <v>0</v>
      </c>
    </row>
    <row r="2623" spans="1:6" x14ac:dyDescent="0.15">
      <c r="A2623" t="s">
        <v>210</v>
      </c>
      <c r="B2623" s="226">
        <v>42344.5102921875</v>
      </c>
      <c r="C2623" t="s">
        <v>2301</v>
      </c>
      <c r="D2623" t="s">
        <v>13</v>
      </c>
      <c r="E2623">
        <v>20</v>
      </c>
      <c r="F2623">
        <v>0</v>
      </c>
    </row>
    <row r="2624" spans="1:6" x14ac:dyDescent="0.15">
      <c r="A2624" t="s">
        <v>210</v>
      </c>
      <c r="B2624" s="226">
        <v>42344.51200466435</v>
      </c>
      <c r="C2624" t="s">
        <v>2302</v>
      </c>
      <c r="D2624" t="s">
        <v>15</v>
      </c>
      <c r="E2624">
        <v>300</v>
      </c>
      <c r="F2624">
        <v>9</v>
      </c>
    </row>
    <row r="2625" spans="1:6" x14ac:dyDescent="0.15">
      <c r="A2625" t="s">
        <v>210</v>
      </c>
      <c r="B2625" s="226">
        <v>42344.518948124998</v>
      </c>
      <c r="C2625" t="s">
        <v>171</v>
      </c>
      <c r="D2625" t="s">
        <v>13</v>
      </c>
      <c r="E2625">
        <v>60</v>
      </c>
      <c r="F2625">
        <v>0</v>
      </c>
    </row>
    <row r="2626" spans="1:6" x14ac:dyDescent="0.15">
      <c r="A2626" t="s">
        <v>210</v>
      </c>
      <c r="B2626" s="226">
        <v>42344.529458622688</v>
      </c>
      <c r="C2626" t="s">
        <v>2303</v>
      </c>
      <c r="D2626" t="s">
        <v>13</v>
      </c>
      <c r="E2626">
        <v>40</v>
      </c>
      <c r="F2626">
        <v>0</v>
      </c>
    </row>
    <row r="2627" spans="1:6" x14ac:dyDescent="0.15">
      <c r="A2627" t="s">
        <v>210</v>
      </c>
      <c r="B2627" s="226">
        <v>42344.547751053244</v>
      </c>
      <c r="C2627" t="s">
        <v>14</v>
      </c>
      <c r="D2627" t="s">
        <v>13</v>
      </c>
      <c r="E2627">
        <v>80</v>
      </c>
      <c r="F2627">
        <v>3.5</v>
      </c>
    </row>
    <row r="2628" spans="1:6" x14ac:dyDescent="0.15">
      <c r="A2628" t="s">
        <v>210</v>
      </c>
      <c r="B2628" s="226">
        <v>42344.563600567133</v>
      </c>
      <c r="C2628" t="s">
        <v>841</v>
      </c>
      <c r="D2628" t="s">
        <v>13</v>
      </c>
      <c r="E2628">
        <v>80</v>
      </c>
      <c r="F2628">
        <v>0</v>
      </c>
    </row>
    <row r="2629" spans="1:6" x14ac:dyDescent="0.15">
      <c r="A2629" t="s">
        <v>210</v>
      </c>
      <c r="B2629" s="226">
        <v>42344.611959467591</v>
      </c>
      <c r="C2629" t="s">
        <v>14</v>
      </c>
      <c r="D2629" t="s">
        <v>13</v>
      </c>
      <c r="E2629">
        <v>80</v>
      </c>
      <c r="F2629">
        <v>3.5</v>
      </c>
    </row>
    <row r="2630" spans="1:6" x14ac:dyDescent="0.15">
      <c r="A2630" t="s">
        <v>210</v>
      </c>
      <c r="B2630" s="226">
        <v>42344.61457943287</v>
      </c>
      <c r="C2630" t="s">
        <v>14</v>
      </c>
      <c r="D2630" t="s">
        <v>13</v>
      </c>
      <c r="E2630">
        <v>140</v>
      </c>
      <c r="F2630">
        <v>3.5</v>
      </c>
    </row>
    <row r="2631" spans="1:6" x14ac:dyDescent="0.15">
      <c r="A2631" t="s">
        <v>210</v>
      </c>
      <c r="B2631" s="226">
        <v>42344.617397268521</v>
      </c>
      <c r="C2631" t="s">
        <v>2304</v>
      </c>
      <c r="D2631" t="s">
        <v>13</v>
      </c>
      <c r="E2631">
        <v>20</v>
      </c>
      <c r="F2631">
        <v>0</v>
      </c>
    </row>
    <row r="2632" spans="1:6" x14ac:dyDescent="0.15">
      <c r="A2632" t="s">
        <v>210</v>
      </c>
      <c r="B2632" s="226">
        <v>42344.618350891207</v>
      </c>
      <c r="C2632" t="s">
        <v>1366</v>
      </c>
      <c r="D2632" t="s">
        <v>13</v>
      </c>
      <c r="E2632">
        <v>200</v>
      </c>
      <c r="F2632">
        <v>0</v>
      </c>
    </row>
    <row r="2633" spans="1:6" x14ac:dyDescent="0.15">
      <c r="A2633" t="s">
        <v>210</v>
      </c>
      <c r="B2633" s="226">
        <v>42344.632712453706</v>
      </c>
      <c r="C2633" t="s">
        <v>2305</v>
      </c>
      <c r="D2633" t="s">
        <v>13</v>
      </c>
      <c r="E2633">
        <v>100</v>
      </c>
      <c r="F2633">
        <v>0</v>
      </c>
    </row>
    <row r="2634" spans="1:6" x14ac:dyDescent="0.15">
      <c r="A2634" t="s">
        <v>210</v>
      </c>
      <c r="B2634" s="226">
        <v>42344.649900729164</v>
      </c>
      <c r="C2634" t="s">
        <v>14</v>
      </c>
      <c r="D2634" t="s">
        <v>13</v>
      </c>
      <c r="E2634">
        <v>80</v>
      </c>
      <c r="F2634">
        <v>3.5</v>
      </c>
    </row>
    <row r="2635" spans="1:6" x14ac:dyDescent="0.15">
      <c r="A2635" t="s">
        <v>210</v>
      </c>
      <c r="B2635" s="226">
        <v>42344.654932662037</v>
      </c>
      <c r="C2635" t="s">
        <v>496</v>
      </c>
      <c r="D2635" t="s">
        <v>13</v>
      </c>
      <c r="E2635">
        <v>60</v>
      </c>
      <c r="F2635">
        <v>0</v>
      </c>
    </row>
    <row r="2636" spans="1:6" x14ac:dyDescent="0.15">
      <c r="A2636" t="s">
        <v>210</v>
      </c>
      <c r="B2636" s="226">
        <v>42344.662753634257</v>
      </c>
      <c r="C2636" t="s">
        <v>14</v>
      </c>
      <c r="D2636" t="s">
        <v>13</v>
      </c>
      <c r="E2636">
        <v>60</v>
      </c>
      <c r="F2636">
        <v>3.5</v>
      </c>
    </row>
    <row r="2637" spans="1:6" x14ac:dyDescent="0.15">
      <c r="A2637" t="s">
        <v>210</v>
      </c>
      <c r="B2637" s="226">
        <v>42344.684629594907</v>
      </c>
      <c r="C2637" t="s">
        <v>14</v>
      </c>
      <c r="D2637" t="s">
        <v>13</v>
      </c>
      <c r="E2637">
        <v>20</v>
      </c>
      <c r="F2637">
        <v>3.5</v>
      </c>
    </row>
    <row r="2638" spans="1:6" x14ac:dyDescent="0.15">
      <c r="A2638" t="s">
        <v>210</v>
      </c>
      <c r="B2638" s="226">
        <v>42344.688300486108</v>
      </c>
      <c r="C2638" t="s">
        <v>2306</v>
      </c>
      <c r="D2638" t="s">
        <v>13</v>
      </c>
      <c r="E2638">
        <v>100</v>
      </c>
      <c r="F2638">
        <v>0</v>
      </c>
    </row>
    <row r="2639" spans="1:6" x14ac:dyDescent="0.15">
      <c r="A2639" t="s">
        <v>210</v>
      </c>
      <c r="B2639" s="226">
        <v>42344.743108645831</v>
      </c>
      <c r="C2639" t="s">
        <v>2307</v>
      </c>
      <c r="D2639" t="s">
        <v>13</v>
      </c>
      <c r="E2639">
        <v>200</v>
      </c>
      <c r="F2639">
        <v>0</v>
      </c>
    </row>
    <row r="2640" spans="1:6" x14ac:dyDescent="0.15">
      <c r="A2640" t="s">
        <v>210</v>
      </c>
      <c r="B2640" s="226">
        <v>42344.765153900466</v>
      </c>
      <c r="C2640" t="s">
        <v>2308</v>
      </c>
      <c r="D2640" t="s">
        <v>13</v>
      </c>
      <c r="E2640">
        <v>40</v>
      </c>
      <c r="F2640">
        <v>0</v>
      </c>
    </row>
    <row r="2641" spans="1:6" x14ac:dyDescent="0.15">
      <c r="A2641" t="s">
        <v>210</v>
      </c>
      <c r="B2641" s="226">
        <v>42344.766266863429</v>
      </c>
      <c r="C2641" t="s">
        <v>2309</v>
      </c>
      <c r="D2641" t="s">
        <v>13</v>
      </c>
      <c r="E2641">
        <v>80</v>
      </c>
      <c r="F2641">
        <v>0</v>
      </c>
    </row>
    <row r="2642" spans="1:6" x14ac:dyDescent="0.15">
      <c r="A2642" t="s">
        <v>210</v>
      </c>
      <c r="B2642" s="226">
        <v>42344.773598020831</v>
      </c>
      <c r="C2642" t="s">
        <v>2310</v>
      </c>
      <c r="D2642" t="s">
        <v>13</v>
      </c>
      <c r="E2642">
        <v>40</v>
      </c>
      <c r="F2642">
        <v>0</v>
      </c>
    </row>
    <row r="2643" spans="1:6" x14ac:dyDescent="0.15">
      <c r="A2643" t="s">
        <v>210</v>
      </c>
      <c r="B2643" s="226">
        <v>42344.820643194442</v>
      </c>
      <c r="C2643" t="s">
        <v>14</v>
      </c>
      <c r="D2643" t="s">
        <v>13</v>
      </c>
      <c r="E2643">
        <v>80</v>
      </c>
      <c r="F2643">
        <v>3.5</v>
      </c>
    </row>
    <row r="2644" spans="1:6" x14ac:dyDescent="0.15">
      <c r="A2644" t="s">
        <v>210</v>
      </c>
      <c r="B2644" s="226">
        <v>42344.831108009261</v>
      </c>
      <c r="C2644" t="s">
        <v>2311</v>
      </c>
      <c r="D2644" t="s">
        <v>13</v>
      </c>
      <c r="E2644">
        <v>40</v>
      </c>
      <c r="F2644">
        <v>0</v>
      </c>
    </row>
    <row r="2645" spans="1:6" x14ac:dyDescent="0.15">
      <c r="A2645" t="s">
        <v>210</v>
      </c>
      <c r="B2645" s="226">
        <v>42345.267749652776</v>
      </c>
      <c r="C2645" t="s">
        <v>2312</v>
      </c>
      <c r="D2645" t="s">
        <v>13</v>
      </c>
      <c r="E2645">
        <v>200</v>
      </c>
      <c r="F2645">
        <v>0</v>
      </c>
    </row>
    <row r="2646" spans="1:6" x14ac:dyDescent="0.15">
      <c r="A2646" t="s">
        <v>210</v>
      </c>
      <c r="B2646" s="226">
        <v>42345.296620868059</v>
      </c>
      <c r="C2646" t="s">
        <v>497</v>
      </c>
      <c r="D2646" t="s">
        <v>13</v>
      </c>
      <c r="E2646">
        <v>40</v>
      </c>
      <c r="F2646">
        <v>0</v>
      </c>
    </row>
    <row r="2647" spans="1:6" x14ac:dyDescent="0.15">
      <c r="A2647" t="s">
        <v>210</v>
      </c>
      <c r="B2647" s="226">
        <v>42345.306855613424</v>
      </c>
      <c r="C2647" t="s">
        <v>394</v>
      </c>
      <c r="D2647" t="s">
        <v>13</v>
      </c>
      <c r="E2647">
        <v>60</v>
      </c>
      <c r="F2647">
        <v>0</v>
      </c>
    </row>
    <row r="2648" spans="1:6" x14ac:dyDescent="0.15">
      <c r="A2648" t="s">
        <v>210</v>
      </c>
      <c r="B2648" s="226">
        <v>42345.318924664352</v>
      </c>
      <c r="C2648" t="s">
        <v>999</v>
      </c>
      <c r="D2648" t="s">
        <v>13</v>
      </c>
      <c r="E2648">
        <v>60</v>
      </c>
      <c r="F2648">
        <v>0</v>
      </c>
    </row>
    <row r="2649" spans="1:6" x14ac:dyDescent="0.15">
      <c r="A2649" t="s">
        <v>210</v>
      </c>
      <c r="B2649" s="226">
        <v>42345.355186550929</v>
      </c>
      <c r="C2649" t="s">
        <v>498</v>
      </c>
      <c r="D2649" t="s">
        <v>13</v>
      </c>
      <c r="E2649">
        <v>140</v>
      </c>
      <c r="F2649">
        <v>0</v>
      </c>
    </row>
    <row r="2650" spans="1:6" x14ac:dyDescent="0.15">
      <c r="A2650" t="s">
        <v>210</v>
      </c>
      <c r="B2650" s="226">
        <v>42345.367085185186</v>
      </c>
      <c r="C2650" t="s">
        <v>950</v>
      </c>
      <c r="D2650" t="s">
        <v>13</v>
      </c>
      <c r="E2650">
        <v>200</v>
      </c>
      <c r="F2650">
        <v>0</v>
      </c>
    </row>
    <row r="2651" spans="1:6" x14ac:dyDescent="0.15">
      <c r="A2651" t="s">
        <v>210</v>
      </c>
      <c r="B2651" s="226">
        <v>42345.376564953702</v>
      </c>
      <c r="C2651" t="s">
        <v>2313</v>
      </c>
      <c r="D2651" t="s">
        <v>13</v>
      </c>
      <c r="E2651">
        <v>140</v>
      </c>
      <c r="F2651">
        <v>0</v>
      </c>
    </row>
    <row r="2652" spans="1:6" x14ac:dyDescent="0.15">
      <c r="A2652" t="s">
        <v>210</v>
      </c>
      <c r="B2652" s="226">
        <v>42345.380465601855</v>
      </c>
      <c r="C2652" t="s">
        <v>2314</v>
      </c>
      <c r="D2652" t="s">
        <v>15</v>
      </c>
      <c r="E2652">
        <v>100</v>
      </c>
      <c r="F2652">
        <v>3</v>
      </c>
    </row>
    <row r="2653" spans="1:6" x14ac:dyDescent="0.15">
      <c r="A2653" t="s">
        <v>210</v>
      </c>
      <c r="B2653" s="226">
        <v>42345.402201053243</v>
      </c>
      <c r="C2653" t="s">
        <v>2315</v>
      </c>
      <c r="D2653" t="s">
        <v>13</v>
      </c>
      <c r="E2653">
        <v>100</v>
      </c>
      <c r="F2653">
        <v>0</v>
      </c>
    </row>
    <row r="2654" spans="1:6" x14ac:dyDescent="0.15">
      <c r="A2654" t="s">
        <v>210</v>
      </c>
      <c r="B2654" s="226">
        <v>42345.420376261573</v>
      </c>
      <c r="C2654" t="s">
        <v>2316</v>
      </c>
      <c r="D2654" t="s">
        <v>13</v>
      </c>
      <c r="E2654">
        <v>40</v>
      </c>
      <c r="F2654">
        <v>0</v>
      </c>
    </row>
    <row r="2655" spans="1:6" x14ac:dyDescent="0.15">
      <c r="A2655" t="s">
        <v>210</v>
      </c>
      <c r="B2655" s="226">
        <v>42345.423325185184</v>
      </c>
      <c r="C2655" t="s">
        <v>2317</v>
      </c>
      <c r="D2655" t="s">
        <v>13</v>
      </c>
      <c r="E2655">
        <v>20</v>
      </c>
      <c r="F2655">
        <v>0</v>
      </c>
    </row>
    <row r="2656" spans="1:6" x14ac:dyDescent="0.15">
      <c r="A2656" t="s">
        <v>210</v>
      </c>
      <c r="B2656" s="226">
        <v>42345.428644085645</v>
      </c>
      <c r="C2656" t="s">
        <v>2284</v>
      </c>
      <c r="D2656" t="s">
        <v>13</v>
      </c>
      <c r="E2656">
        <v>40</v>
      </c>
      <c r="F2656">
        <v>0</v>
      </c>
    </row>
    <row r="2657" spans="1:6" x14ac:dyDescent="0.15">
      <c r="A2657" t="s">
        <v>210</v>
      </c>
      <c r="B2657" s="226">
        <v>42345.459692592594</v>
      </c>
      <c r="C2657" t="s">
        <v>2318</v>
      </c>
      <c r="D2657" t="s">
        <v>13</v>
      </c>
      <c r="E2657">
        <v>40</v>
      </c>
      <c r="F2657">
        <v>0</v>
      </c>
    </row>
    <row r="2658" spans="1:6" x14ac:dyDescent="0.15">
      <c r="A2658" t="s">
        <v>210</v>
      </c>
      <c r="B2658" s="226">
        <v>42345.494098113428</v>
      </c>
      <c r="C2658" t="s">
        <v>246</v>
      </c>
      <c r="D2658" t="s">
        <v>13</v>
      </c>
      <c r="E2658">
        <v>80</v>
      </c>
      <c r="F2658">
        <v>0</v>
      </c>
    </row>
    <row r="2659" spans="1:6" x14ac:dyDescent="0.15">
      <c r="A2659" t="s">
        <v>210</v>
      </c>
      <c r="B2659" s="226">
        <v>42345.495434999997</v>
      </c>
      <c r="C2659" t="s">
        <v>1808</v>
      </c>
      <c r="D2659" t="s">
        <v>13</v>
      </c>
      <c r="E2659">
        <v>100</v>
      </c>
      <c r="F2659">
        <v>0</v>
      </c>
    </row>
    <row r="2660" spans="1:6" x14ac:dyDescent="0.15">
      <c r="A2660" t="s">
        <v>210</v>
      </c>
      <c r="B2660" s="226">
        <v>42345.501651921295</v>
      </c>
      <c r="C2660" t="s">
        <v>1575</v>
      </c>
      <c r="D2660" t="s">
        <v>13</v>
      </c>
      <c r="E2660">
        <v>80</v>
      </c>
      <c r="F2660">
        <v>0</v>
      </c>
    </row>
    <row r="2661" spans="1:6" x14ac:dyDescent="0.15">
      <c r="A2661" t="s">
        <v>210</v>
      </c>
      <c r="B2661" s="226">
        <v>42345.522928715276</v>
      </c>
      <c r="C2661" t="s">
        <v>187</v>
      </c>
      <c r="D2661" t="s">
        <v>13</v>
      </c>
      <c r="E2661">
        <v>140</v>
      </c>
      <c r="F2661">
        <v>0</v>
      </c>
    </row>
    <row r="2662" spans="1:6" x14ac:dyDescent="0.15">
      <c r="A2662" t="s">
        <v>210</v>
      </c>
      <c r="B2662" s="226">
        <v>42345.52546513889</v>
      </c>
      <c r="C2662" t="s">
        <v>2319</v>
      </c>
      <c r="D2662" t="s">
        <v>13</v>
      </c>
      <c r="E2662">
        <v>100</v>
      </c>
      <c r="F2662">
        <v>0</v>
      </c>
    </row>
    <row r="2663" spans="1:6" x14ac:dyDescent="0.15">
      <c r="A2663" t="s">
        <v>210</v>
      </c>
      <c r="B2663" s="226">
        <v>42345.532159236114</v>
      </c>
      <c r="C2663" t="s">
        <v>2320</v>
      </c>
      <c r="D2663" t="s">
        <v>13</v>
      </c>
      <c r="E2663">
        <v>40</v>
      </c>
      <c r="F2663">
        <v>0</v>
      </c>
    </row>
    <row r="2664" spans="1:6" x14ac:dyDescent="0.15">
      <c r="A2664" t="s">
        <v>210</v>
      </c>
      <c r="B2664" s="226">
        <v>42345.533126342591</v>
      </c>
      <c r="C2664" t="s">
        <v>2321</v>
      </c>
      <c r="D2664" t="s">
        <v>13</v>
      </c>
      <c r="E2664">
        <v>20</v>
      </c>
      <c r="F2664">
        <v>0</v>
      </c>
    </row>
    <row r="2665" spans="1:6" x14ac:dyDescent="0.15">
      <c r="A2665" t="s">
        <v>210</v>
      </c>
      <c r="B2665" s="226">
        <v>42345.534145844904</v>
      </c>
      <c r="C2665" t="s">
        <v>2322</v>
      </c>
      <c r="D2665" t="s">
        <v>13</v>
      </c>
      <c r="E2665">
        <v>40</v>
      </c>
      <c r="F2665">
        <v>0</v>
      </c>
    </row>
    <row r="2666" spans="1:6" x14ac:dyDescent="0.15">
      <c r="A2666" t="s">
        <v>210</v>
      </c>
      <c r="B2666" s="226">
        <v>42345.559791458334</v>
      </c>
      <c r="C2666" t="s">
        <v>645</v>
      </c>
      <c r="D2666" t="s">
        <v>13</v>
      </c>
      <c r="E2666">
        <v>100</v>
      </c>
      <c r="F2666">
        <v>0</v>
      </c>
    </row>
    <row r="2667" spans="1:6" x14ac:dyDescent="0.15">
      <c r="A2667" t="s">
        <v>210</v>
      </c>
      <c r="B2667" s="226">
        <v>42345.563084687499</v>
      </c>
      <c r="C2667" t="s">
        <v>2323</v>
      </c>
      <c r="D2667" t="s">
        <v>13</v>
      </c>
      <c r="E2667">
        <v>140</v>
      </c>
      <c r="F2667">
        <v>0</v>
      </c>
    </row>
    <row r="2668" spans="1:6" x14ac:dyDescent="0.15">
      <c r="A2668" t="s">
        <v>210</v>
      </c>
      <c r="B2668" s="226">
        <v>42345.589612557873</v>
      </c>
      <c r="C2668" t="s">
        <v>14</v>
      </c>
      <c r="D2668" t="s">
        <v>13</v>
      </c>
      <c r="E2668">
        <v>60</v>
      </c>
      <c r="F2668">
        <v>3.5</v>
      </c>
    </row>
    <row r="2669" spans="1:6" x14ac:dyDescent="0.15">
      <c r="A2669" t="s">
        <v>210</v>
      </c>
      <c r="B2669" s="226">
        <v>42345.622262303237</v>
      </c>
      <c r="C2669" t="s">
        <v>2324</v>
      </c>
      <c r="D2669" t="s">
        <v>13</v>
      </c>
      <c r="E2669">
        <v>100</v>
      </c>
      <c r="F2669">
        <v>0</v>
      </c>
    </row>
    <row r="2670" spans="1:6" x14ac:dyDescent="0.15">
      <c r="A2670" t="s">
        <v>210</v>
      </c>
      <c r="B2670" s="226">
        <v>42345.652460451391</v>
      </c>
      <c r="C2670" t="s">
        <v>2325</v>
      </c>
      <c r="D2670" t="s">
        <v>13</v>
      </c>
      <c r="E2670">
        <v>40</v>
      </c>
      <c r="F2670">
        <v>0</v>
      </c>
    </row>
    <row r="2671" spans="1:6" x14ac:dyDescent="0.15">
      <c r="A2671" t="s">
        <v>210</v>
      </c>
      <c r="B2671" s="226">
        <v>42345.663119108794</v>
      </c>
      <c r="C2671" t="s">
        <v>499</v>
      </c>
      <c r="D2671" t="s">
        <v>13</v>
      </c>
      <c r="E2671">
        <v>400</v>
      </c>
      <c r="F2671">
        <v>0</v>
      </c>
    </row>
    <row r="2672" spans="1:6" x14ac:dyDescent="0.15">
      <c r="A2672" t="s">
        <v>210</v>
      </c>
      <c r="B2672" s="226">
        <v>42345.689911608795</v>
      </c>
      <c r="C2672" t="s">
        <v>2326</v>
      </c>
      <c r="D2672" t="s">
        <v>13</v>
      </c>
      <c r="E2672">
        <v>40</v>
      </c>
      <c r="F2672">
        <v>0</v>
      </c>
    </row>
    <row r="2673" spans="1:6" x14ac:dyDescent="0.15">
      <c r="A2673" t="s">
        <v>210</v>
      </c>
      <c r="B2673" s="226">
        <v>42345.693938275464</v>
      </c>
      <c r="C2673" t="s">
        <v>2163</v>
      </c>
      <c r="D2673" t="s">
        <v>13</v>
      </c>
      <c r="E2673">
        <v>120</v>
      </c>
      <c r="F2673">
        <v>0</v>
      </c>
    </row>
    <row r="2674" spans="1:6" x14ac:dyDescent="0.15">
      <c r="A2674" t="s">
        <v>210</v>
      </c>
      <c r="B2674" s="226">
        <v>42345.723436296299</v>
      </c>
      <c r="C2674" t="s">
        <v>2327</v>
      </c>
      <c r="D2674" t="s">
        <v>13</v>
      </c>
      <c r="E2674">
        <v>40</v>
      </c>
      <c r="F2674">
        <v>0</v>
      </c>
    </row>
    <row r="2675" spans="1:6" x14ac:dyDescent="0.15">
      <c r="A2675" t="s">
        <v>210</v>
      </c>
      <c r="B2675" s="226">
        <v>42345.731372858798</v>
      </c>
      <c r="C2675" t="s">
        <v>2328</v>
      </c>
      <c r="D2675" t="s">
        <v>13</v>
      </c>
      <c r="E2675">
        <v>100</v>
      </c>
      <c r="F2675">
        <v>0</v>
      </c>
    </row>
    <row r="2676" spans="1:6" x14ac:dyDescent="0.15">
      <c r="A2676" t="s">
        <v>210</v>
      </c>
      <c r="B2676" s="226">
        <v>42345.73384497685</v>
      </c>
      <c r="C2676" t="s">
        <v>2329</v>
      </c>
      <c r="D2676" t="s">
        <v>13</v>
      </c>
      <c r="E2676">
        <v>300</v>
      </c>
      <c r="F2676">
        <v>0</v>
      </c>
    </row>
    <row r="2677" spans="1:6" x14ac:dyDescent="0.15">
      <c r="A2677" t="s">
        <v>210</v>
      </c>
      <c r="B2677" s="226">
        <v>42345.74576528935</v>
      </c>
      <c r="C2677" t="s">
        <v>2330</v>
      </c>
      <c r="D2677" t="s">
        <v>13</v>
      </c>
      <c r="E2677">
        <v>100</v>
      </c>
      <c r="F2677">
        <v>0</v>
      </c>
    </row>
    <row r="2678" spans="1:6" x14ac:dyDescent="0.15">
      <c r="A2678" t="s">
        <v>210</v>
      </c>
      <c r="B2678" s="226">
        <v>42345.74673673611</v>
      </c>
      <c r="C2678" t="s">
        <v>14</v>
      </c>
      <c r="D2678" t="s">
        <v>13</v>
      </c>
      <c r="E2678">
        <v>20</v>
      </c>
      <c r="F2678">
        <v>3.5</v>
      </c>
    </row>
    <row r="2679" spans="1:6" x14ac:dyDescent="0.15">
      <c r="A2679" t="s">
        <v>210</v>
      </c>
      <c r="B2679" s="226">
        <v>42345.75748172454</v>
      </c>
      <c r="C2679" t="s">
        <v>81</v>
      </c>
      <c r="D2679" t="s">
        <v>13</v>
      </c>
      <c r="E2679">
        <v>100</v>
      </c>
      <c r="F2679">
        <v>0</v>
      </c>
    </row>
    <row r="2680" spans="1:6" x14ac:dyDescent="0.15">
      <c r="A2680" t="s">
        <v>210</v>
      </c>
      <c r="B2680" s="226">
        <v>42345.759177199077</v>
      </c>
      <c r="C2680" t="s">
        <v>2331</v>
      </c>
      <c r="D2680" t="s">
        <v>13</v>
      </c>
      <c r="E2680">
        <v>200</v>
      </c>
      <c r="F2680">
        <v>0</v>
      </c>
    </row>
    <row r="2681" spans="1:6" x14ac:dyDescent="0.15">
      <c r="A2681" t="s">
        <v>210</v>
      </c>
      <c r="B2681" s="226">
        <v>42345.767203993055</v>
      </c>
      <c r="C2681" t="s">
        <v>2332</v>
      </c>
      <c r="D2681" t="s">
        <v>13</v>
      </c>
      <c r="E2681">
        <v>40</v>
      </c>
      <c r="F2681">
        <v>0</v>
      </c>
    </row>
    <row r="2682" spans="1:6" x14ac:dyDescent="0.15">
      <c r="A2682" t="s">
        <v>210</v>
      </c>
      <c r="B2682" s="226">
        <v>42345.7691671875</v>
      </c>
      <c r="C2682" t="s">
        <v>2333</v>
      </c>
      <c r="D2682" t="s">
        <v>13</v>
      </c>
      <c r="E2682">
        <v>40</v>
      </c>
      <c r="F2682">
        <v>0</v>
      </c>
    </row>
    <row r="2683" spans="1:6" x14ac:dyDescent="0.15">
      <c r="A2683" t="s">
        <v>210</v>
      </c>
      <c r="B2683" s="226">
        <v>42345.769986087966</v>
      </c>
      <c r="C2683" t="s">
        <v>1488</v>
      </c>
      <c r="D2683" t="s">
        <v>13</v>
      </c>
      <c r="E2683">
        <v>100</v>
      </c>
      <c r="F2683">
        <v>0</v>
      </c>
    </row>
    <row r="2684" spans="1:6" x14ac:dyDescent="0.15">
      <c r="A2684" t="s">
        <v>210</v>
      </c>
      <c r="B2684" s="226">
        <v>42345.775795497684</v>
      </c>
      <c r="C2684" t="s">
        <v>2250</v>
      </c>
      <c r="D2684" t="s">
        <v>13</v>
      </c>
      <c r="E2684">
        <v>500</v>
      </c>
      <c r="F2684">
        <v>0</v>
      </c>
    </row>
    <row r="2685" spans="1:6" x14ac:dyDescent="0.15">
      <c r="A2685" t="s">
        <v>210</v>
      </c>
      <c r="B2685" s="226">
        <v>42345.879678506943</v>
      </c>
      <c r="C2685" t="s">
        <v>263</v>
      </c>
      <c r="D2685" t="s">
        <v>13</v>
      </c>
      <c r="E2685">
        <v>40</v>
      </c>
      <c r="F2685">
        <v>0</v>
      </c>
    </row>
    <row r="2686" spans="1:6" x14ac:dyDescent="0.15">
      <c r="A2686" t="s">
        <v>210</v>
      </c>
      <c r="B2686" s="226">
        <v>42346.299824212962</v>
      </c>
      <c r="C2686" t="s">
        <v>2334</v>
      </c>
      <c r="D2686" t="s">
        <v>13</v>
      </c>
      <c r="E2686">
        <v>100</v>
      </c>
      <c r="F2686">
        <v>0</v>
      </c>
    </row>
    <row r="2687" spans="1:6" x14ac:dyDescent="0.15">
      <c r="A2687" t="s">
        <v>210</v>
      </c>
      <c r="B2687" s="226">
        <v>42346.313632291669</v>
      </c>
      <c r="C2687" t="s">
        <v>2335</v>
      </c>
      <c r="D2687" t="s">
        <v>13</v>
      </c>
      <c r="E2687">
        <v>200</v>
      </c>
      <c r="F2687">
        <v>0</v>
      </c>
    </row>
    <row r="2688" spans="1:6" x14ac:dyDescent="0.15">
      <c r="A2688" t="s">
        <v>210</v>
      </c>
      <c r="B2688" s="226">
        <v>42346.364125694447</v>
      </c>
      <c r="C2688" t="s">
        <v>2336</v>
      </c>
      <c r="D2688" t="s">
        <v>13</v>
      </c>
      <c r="E2688">
        <v>200</v>
      </c>
      <c r="F2688">
        <v>0</v>
      </c>
    </row>
    <row r="2689" spans="1:6" x14ac:dyDescent="0.15">
      <c r="A2689" t="s">
        <v>210</v>
      </c>
      <c r="B2689" s="226">
        <v>42346.410294293979</v>
      </c>
      <c r="C2689" t="s">
        <v>2337</v>
      </c>
      <c r="D2689" t="s">
        <v>13</v>
      </c>
      <c r="E2689">
        <v>20</v>
      </c>
      <c r="F2689">
        <v>0</v>
      </c>
    </row>
    <row r="2690" spans="1:6" x14ac:dyDescent="0.15">
      <c r="A2690" t="s">
        <v>210</v>
      </c>
      <c r="B2690" s="226">
        <v>42346.415238310183</v>
      </c>
      <c r="C2690" t="s">
        <v>2338</v>
      </c>
      <c r="D2690" t="s">
        <v>13</v>
      </c>
      <c r="E2690">
        <v>40</v>
      </c>
      <c r="F2690">
        <v>0</v>
      </c>
    </row>
    <row r="2691" spans="1:6" x14ac:dyDescent="0.15">
      <c r="A2691" t="s">
        <v>210</v>
      </c>
      <c r="B2691" s="226">
        <v>42346.42590425926</v>
      </c>
      <c r="C2691" t="s">
        <v>2339</v>
      </c>
      <c r="D2691" t="s">
        <v>13</v>
      </c>
      <c r="E2691">
        <v>200</v>
      </c>
      <c r="F2691">
        <v>0</v>
      </c>
    </row>
    <row r="2692" spans="1:6" x14ac:dyDescent="0.15">
      <c r="A2692" t="s">
        <v>210</v>
      </c>
      <c r="B2692" s="226">
        <v>42346.445984745369</v>
      </c>
      <c r="C2692" t="s">
        <v>105</v>
      </c>
      <c r="D2692" t="s">
        <v>13</v>
      </c>
      <c r="E2692">
        <v>20</v>
      </c>
      <c r="F2692">
        <v>0</v>
      </c>
    </row>
    <row r="2693" spans="1:6" x14ac:dyDescent="0.15">
      <c r="A2693" t="s">
        <v>210</v>
      </c>
      <c r="B2693" s="226">
        <v>42346.470529560182</v>
      </c>
      <c r="C2693" t="s">
        <v>1474</v>
      </c>
      <c r="D2693" t="s">
        <v>13</v>
      </c>
      <c r="E2693">
        <v>40</v>
      </c>
      <c r="F2693">
        <v>0</v>
      </c>
    </row>
    <row r="2694" spans="1:6" x14ac:dyDescent="0.15">
      <c r="A2694" t="s">
        <v>210</v>
      </c>
      <c r="B2694" s="226">
        <v>42346.487358113423</v>
      </c>
      <c r="C2694" t="s">
        <v>2340</v>
      </c>
      <c r="D2694" t="s">
        <v>13</v>
      </c>
      <c r="E2694">
        <v>60</v>
      </c>
      <c r="F2694">
        <v>0</v>
      </c>
    </row>
    <row r="2695" spans="1:6" x14ac:dyDescent="0.15">
      <c r="A2695" t="s">
        <v>210</v>
      </c>
      <c r="B2695" s="226">
        <v>42346.489075995371</v>
      </c>
      <c r="C2695" t="s">
        <v>14</v>
      </c>
      <c r="D2695" t="s">
        <v>13</v>
      </c>
      <c r="E2695">
        <v>20</v>
      </c>
      <c r="F2695">
        <v>3.5</v>
      </c>
    </row>
    <row r="2696" spans="1:6" x14ac:dyDescent="0.15">
      <c r="A2696" t="s">
        <v>210</v>
      </c>
      <c r="B2696" s="226">
        <v>42346.504715289353</v>
      </c>
      <c r="C2696" t="s">
        <v>2341</v>
      </c>
      <c r="D2696" t="s">
        <v>13</v>
      </c>
      <c r="E2696">
        <v>100</v>
      </c>
      <c r="F2696">
        <v>0</v>
      </c>
    </row>
    <row r="2697" spans="1:6" x14ac:dyDescent="0.15">
      <c r="A2697" t="s">
        <v>210</v>
      </c>
      <c r="B2697" s="226">
        <v>42346.512803506943</v>
      </c>
      <c r="C2697" t="s">
        <v>2342</v>
      </c>
      <c r="D2697" t="s">
        <v>13</v>
      </c>
      <c r="E2697">
        <v>100</v>
      </c>
      <c r="F2697">
        <v>0</v>
      </c>
    </row>
    <row r="2698" spans="1:6" x14ac:dyDescent="0.15">
      <c r="A2698" t="s">
        <v>210</v>
      </c>
      <c r="B2698" s="226">
        <v>42346.528621331017</v>
      </c>
      <c r="C2698" t="s">
        <v>2343</v>
      </c>
      <c r="D2698" t="s">
        <v>13</v>
      </c>
      <c r="E2698">
        <v>80</v>
      </c>
      <c r="F2698">
        <v>0</v>
      </c>
    </row>
    <row r="2699" spans="1:6" x14ac:dyDescent="0.15">
      <c r="A2699" t="s">
        <v>210</v>
      </c>
      <c r="B2699" s="226">
        <v>42346.536214930558</v>
      </c>
      <c r="C2699" t="s">
        <v>14</v>
      </c>
      <c r="D2699" t="s">
        <v>13</v>
      </c>
      <c r="E2699">
        <v>80</v>
      </c>
      <c r="F2699">
        <v>3.5</v>
      </c>
    </row>
    <row r="2700" spans="1:6" x14ac:dyDescent="0.15">
      <c r="A2700" t="s">
        <v>210</v>
      </c>
      <c r="B2700" s="226">
        <v>42346.544359918982</v>
      </c>
      <c r="C2700" t="s">
        <v>2344</v>
      </c>
      <c r="D2700" t="s">
        <v>13</v>
      </c>
      <c r="E2700">
        <v>500</v>
      </c>
      <c r="F2700">
        <v>0</v>
      </c>
    </row>
    <row r="2701" spans="1:6" x14ac:dyDescent="0.15">
      <c r="A2701" t="s">
        <v>210</v>
      </c>
      <c r="B2701" s="226">
        <v>42346.556741377317</v>
      </c>
      <c r="C2701" t="s">
        <v>2345</v>
      </c>
      <c r="D2701" t="s">
        <v>13</v>
      </c>
      <c r="E2701">
        <v>60</v>
      </c>
      <c r="F2701">
        <v>0</v>
      </c>
    </row>
    <row r="2702" spans="1:6" x14ac:dyDescent="0.15">
      <c r="A2702" t="s">
        <v>210</v>
      </c>
      <c r="B2702" s="226">
        <v>42346.569091574071</v>
      </c>
      <c r="C2702" t="s">
        <v>2346</v>
      </c>
      <c r="D2702" t="s">
        <v>13</v>
      </c>
      <c r="E2702">
        <v>20</v>
      </c>
      <c r="F2702">
        <v>0</v>
      </c>
    </row>
    <row r="2703" spans="1:6" x14ac:dyDescent="0.15">
      <c r="A2703" t="s">
        <v>210</v>
      </c>
      <c r="B2703" s="226">
        <v>42346.572078182871</v>
      </c>
      <c r="C2703" t="s">
        <v>500</v>
      </c>
      <c r="D2703" t="s">
        <v>13</v>
      </c>
      <c r="E2703">
        <v>60</v>
      </c>
      <c r="F2703">
        <v>0</v>
      </c>
    </row>
    <row r="2704" spans="1:6" x14ac:dyDescent="0.15">
      <c r="A2704" t="s">
        <v>210</v>
      </c>
      <c r="B2704" s="226">
        <v>42346.630571527778</v>
      </c>
      <c r="C2704" t="s">
        <v>501</v>
      </c>
      <c r="D2704" t="s">
        <v>13</v>
      </c>
      <c r="E2704">
        <v>40</v>
      </c>
      <c r="F2704">
        <v>0</v>
      </c>
    </row>
    <row r="2705" spans="1:6" x14ac:dyDescent="0.15">
      <c r="A2705" t="s">
        <v>210</v>
      </c>
      <c r="B2705" s="226">
        <v>42346.634661736112</v>
      </c>
      <c r="C2705" t="s">
        <v>1410</v>
      </c>
      <c r="D2705" t="s">
        <v>13</v>
      </c>
      <c r="E2705">
        <v>100</v>
      </c>
      <c r="F2705">
        <v>0</v>
      </c>
    </row>
    <row r="2706" spans="1:6" x14ac:dyDescent="0.15">
      <c r="A2706" t="s">
        <v>210</v>
      </c>
      <c r="B2706" s="226">
        <v>42346.646717615738</v>
      </c>
      <c r="C2706" t="s">
        <v>2347</v>
      </c>
      <c r="D2706" t="s">
        <v>13</v>
      </c>
      <c r="E2706">
        <v>100</v>
      </c>
      <c r="F2706">
        <v>0</v>
      </c>
    </row>
    <row r="2707" spans="1:6" x14ac:dyDescent="0.15">
      <c r="A2707" t="s">
        <v>210</v>
      </c>
      <c r="B2707" s="226">
        <v>42346.651820694446</v>
      </c>
      <c r="C2707" t="s">
        <v>264</v>
      </c>
      <c r="D2707" t="s">
        <v>13</v>
      </c>
      <c r="E2707">
        <v>60</v>
      </c>
      <c r="F2707">
        <v>0</v>
      </c>
    </row>
    <row r="2708" spans="1:6" x14ac:dyDescent="0.15">
      <c r="A2708" t="s">
        <v>210</v>
      </c>
      <c r="B2708" s="226">
        <v>42346.664087314814</v>
      </c>
      <c r="C2708" t="s">
        <v>2348</v>
      </c>
      <c r="D2708" t="s">
        <v>13</v>
      </c>
      <c r="E2708">
        <v>20</v>
      </c>
      <c r="F2708">
        <v>0</v>
      </c>
    </row>
    <row r="2709" spans="1:6" x14ac:dyDescent="0.15">
      <c r="A2709" t="s">
        <v>210</v>
      </c>
      <c r="B2709" s="226">
        <v>42346.66645271991</v>
      </c>
      <c r="C2709" t="s">
        <v>14</v>
      </c>
      <c r="D2709" t="s">
        <v>13</v>
      </c>
      <c r="E2709">
        <v>100</v>
      </c>
      <c r="F2709">
        <v>3.5</v>
      </c>
    </row>
    <row r="2710" spans="1:6" x14ac:dyDescent="0.15">
      <c r="A2710" t="s">
        <v>210</v>
      </c>
      <c r="B2710" s="226">
        <v>42346.673953541664</v>
      </c>
      <c r="C2710" t="s">
        <v>1617</v>
      </c>
      <c r="D2710" t="s">
        <v>13</v>
      </c>
      <c r="E2710">
        <v>60</v>
      </c>
      <c r="F2710">
        <v>0</v>
      </c>
    </row>
    <row r="2711" spans="1:6" x14ac:dyDescent="0.15">
      <c r="A2711" t="s">
        <v>210</v>
      </c>
      <c r="B2711" s="226">
        <v>42346.688175173615</v>
      </c>
      <c r="C2711" t="s">
        <v>2349</v>
      </c>
      <c r="D2711" t="s">
        <v>15</v>
      </c>
      <c r="E2711">
        <v>200</v>
      </c>
      <c r="F2711">
        <v>6</v>
      </c>
    </row>
    <row r="2712" spans="1:6" x14ac:dyDescent="0.15">
      <c r="A2712" t="s">
        <v>210</v>
      </c>
      <c r="B2712" s="226">
        <v>42346.696181412037</v>
      </c>
      <c r="C2712" t="s">
        <v>502</v>
      </c>
      <c r="D2712" t="s">
        <v>13</v>
      </c>
      <c r="E2712">
        <v>60</v>
      </c>
      <c r="F2712">
        <v>0</v>
      </c>
    </row>
    <row r="2713" spans="1:6" x14ac:dyDescent="0.15">
      <c r="A2713" t="s">
        <v>210</v>
      </c>
      <c r="B2713" s="226">
        <v>42346.718764490739</v>
      </c>
      <c r="C2713" t="s">
        <v>503</v>
      </c>
      <c r="D2713" t="s">
        <v>13</v>
      </c>
      <c r="E2713">
        <v>40</v>
      </c>
      <c r="F2713">
        <v>0</v>
      </c>
    </row>
    <row r="2714" spans="1:6" x14ac:dyDescent="0.15">
      <c r="A2714" t="s">
        <v>210</v>
      </c>
      <c r="B2714" s="226">
        <v>42346.723006932873</v>
      </c>
      <c r="C2714" t="s">
        <v>1070</v>
      </c>
      <c r="D2714" t="s">
        <v>13</v>
      </c>
      <c r="E2714">
        <v>40</v>
      </c>
      <c r="F2714">
        <v>0</v>
      </c>
    </row>
    <row r="2715" spans="1:6" x14ac:dyDescent="0.15">
      <c r="A2715" t="s">
        <v>210</v>
      </c>
      <c r="B2715" s="226">
        <v>42346.727641527781</v>
      </c>
      <c r="C2715" t="s">
        <v>1155</v>
      </c>
      <c r="D2715" t="s">
        <v>13</v>
      </c>
      <c r="E2715">
        <v>20</v>
      </c>
      <c r="F2715">
        <v>0</v>
      </c>
    </row>
    <row r="2716" spans="1:6" x14ac:dyDescent="0.15">
      <c r="A2716" t="s">
        <v>210</v>
      </c>
      <c r="B2716" s="226">
        <v>42346.730590798608</v>
      </c>
      <c r="C2716" t="s">
        <v>803</v>
      </c>
      <c r="D2716" t="s">
        <v>13</v>
      </c>
      <c r="E2716">
        <v>100</v>
      </c>
      <c r="F2716">
        <v>0</v>
      </c>
    </row>
    <row r="2717" spans="1:6" x14ac:dyDescent="0.15">
      <c r="A2717" t="s">
        <v>210</v>
      </c>
      <c r="B2717" s="226">
        <v>42346.764093680555</v>
      </c>
      <c r="C2717" t="s">
        <v>504</v>
      </c>
      <c r="D2717" t="s">
        <v>13</v>
      </c>
      <c r="E2717">
        <v>500</v>
      </c>
      <c r="F2717">
        <v>0</v>
      </c>
    </row>
    <row r="2718" spans="1:6" x14ac:dyDescent="0.15">
      <c r="A2718" t="s">
        <v>210</v>
      </c>
      <c r="B2718" s="226">
        <v>42346.764815879629</v>
      </c>
      <c r="C2718" t="s">
        <v>2350</v>
      </c>
      <c r="D2718" t="s">
        <v>13</v>
      </c>
      <c r="E2718">
        <v>40</v>
      </c>
      <c r="F2718">
        <v>0</v>
      </c>
    </row>
    <row r="2719" spans="1:6" x14ac:dyDescent="0.15">
      <c r="A2719" t="s">
        <v>210</v>
      </c>
      <c r="B2719" s="226">
        <v>42346.766885879631</v>
      </c>
      <c r="C2719" t="s">
        <v>2351</v>
      </c>
      <c r="D2719" t="s">
        <v>13</v>
      </c>
      <c r="E2719">
        <v>100</v>
      </c>
      <c r="F2719">
        <v>0</v>
      </c>
    </row>
    <row r="2720" spans="1:6" x14ac:dyDescent="0.15">
      <c r="A2720" t="s">
        <v>210</v>
      </c>
      <c r="B2720" s="226">
        <v>42346.769852986108</v>
      </c>
      <c r="C2720" t="s">
        <v>2352</v>
      </c>
      <c r="D2720" t="s">
        <v>13</v>
      </c>
      <c r="E2720">
        <v>140</v>
      </c>
      <c r="F2720">
        <v>0</v>
      </c>
    </row>
    <row r="2721" spans="1:6" x14ac:dyDescent="0.15">
      <c r="A2721" t="s">
        <v>210</v>
      </c>
      <c r="B2721" s="226">
        <v>42346.807730925924</v>
      </c>
      <c r="C2721" t="s">
        <v>2353</v>
      </c>
      <c r="D2721" t="s">
        <v>13</v>
      </c>
      <c r="E2721">
        <v>100</v>
      </c>
      <c r="F2721">
        <v>0</v>
      </c>
    </row>
    <row r="2722" spans="1:6" x14ac:dyDescent="0.15">
      <c r="A2722" t="s">
        <v>210</v>
      </c>
      <c r="B2722" s="226">
        <v>42346.856201469905</v>
      </c>
      <c r="C2722" t="s">
        <v>2354</v>
      </c>
      <c r="D2722" t="s">
        <v>13</v>
      </c>
      <c r="E2722">
        <v>200</v>
      </c>
      <c r="F2722">
        <v>0</v>
      </c>
    </row>
    <row r="2723" spans="1:6" x14ac:dyDescent="0.15">
      <c r="A2723" t="s">
        <v>210</v>
      </c>
      <c r="B2723" s="226">
        <v>42346.970825011573</v>
      </c>
      <c r="C2723" t="s">
        <v>14</v>
      </c>
      <c r="D2723" t="s">
        <v>13</v>
      </c>
      <c r="E2723">
        <v>200</v>
      </c>
      <c r="F2723">
        <v>3.5</v>
      </c>
    </row>
    <row r="2724" spans="1:6" x14ac:dyDescent="0.15">
      <c r="A2724" t="s">
        <v>210</v>
      </c>
      <c r="B2724" s="226">
        <v>42346.974913506943</v>
      </c>
      <c r="C2724" t="s">
        <v>79</v>
      </c>
      <c r="D2724" t="s">
        <v>13</v>
      </c>
      <c r="E2724">
        <v>40</v>
      </c>
      <c r="F2724">
        <v>0</v>
      </c>
    </row>
    <row r="2725" spans="1:6" x14ac:dyDescent="0.15">
      <c r="A2725" t="s">
        <v>210</v>
      </c>
      <c r="B2725" s="226">
        <v>42347.054134641206</v>
      </c>
      <c r="C2725" t="s">
        <v>329</v>
      </c>
      <c r="D2725" t="s">
        <v>13</v>
      </c>
      <c r="E2725">
        <v>80</v>
      </c>
      <c r="F2725">
        <v>0</v>
      </c>
    </row>
    <row r="2726" spans="1:6" x14ac:dyDescent="0.15">
      <c r="A2726" t="s">
        <v>210</v>
      </c>
      <c r="B2726" s="226">
        <v>42347.318427245373</v>
      </c>
      <c r="C2726" t="s">
        <v>2207</v>
      </c>
      <c r="D2726" t="s">
        <v>13</v>
      </c>
      <c r="E2726">
        <v>60</v>
      </c>
      <c r="F2726">
        <v>0</v>
      </c>
    </row>
    <row r="2727" spans="1:6" x14ac:dyDescent="0.15">
      <c r="A2727" t="s">
        <v>210</v>
      </c>
      <c r="B2727" s="226">
        <v>42347.349303090275</v>
      </c>
      <c r="C2727" t="s">
        <v>2355</v>
      </c>
      <c r="D2727" t="s">
        <v>13</v>
      </c>
      <c r="E2727">
        <v>40</v>
      </c>
      <c r="F2727">
        <v>0</v>
      </c>
    </row>
    <row r="2728" spans="1:6" x14ac:dyDescent="0.15">
      <c r="A2728" t="s">
        <v>210</v>
      </c>
      <c r="B2728" s="226">
        <v>42347.362791238425</v>
      </c>
      <c r="C2728" t="s">
        <v>2356</v>
      </c>
      <c r="D2728" t="s">
        <v>13</v>
      </c>
      <c r="E2728">
        <v>60</v>
      </c>
      <c r="F2728">
        <v>0</v>
      </c>
    </row>
    <row r="2729" spans="1:6" x14ac:dyDescent="0.15">
      <c r="A2729" t="s">
        <v>210</v>
      </c>
      <c r="B2729" s="226">
        <v>42347.363355266207</v>
      </c>
      <c r="C2729" t="s">
        <v>1077</v>
      </c>
      <c r="D2729" t="s">
        <v>13</v>
      </c>
      <c r="E2729">
        <v>300</v>
      </c>
      <c r="F2729">
        <v>0</v>
      </c>
    </row>
    <row r="2730" spans="1:6" x14ac:dyDescent="0.15">
      <c r="A2730" t="s">
        <v>210</v>
      </c>
      <c r="B2730" s="226">
        <v>42347.369281585648</v>
      </c>
      <c r="C2730" t="s">
        <v>2357</v>
      </c>
      <c r="D2730" t="s">
        <v>13</v>
      </c>
      <c r="E2730">
        <v>20</v>
      </c>
      <c r="F2730">
        <v>0</v>
      </c>
    </row>
    <row r="2731" spans="1:6" x14ac:dyDescent="0.15">
      <c r="A2731" t="s">
        <v>210</v>
      </c>
      <c r="B2731" s="226">
        <v>42347.376958391207</v>
      </c>
      <c r="C2731" t="s">
        <v>2189</v>
      </c>
      <c r="D2731" t="s">
        <v>13</v>
      </c>
      <c r="E2731">
        <v>20</v>
      </c>
      <c r="F2731">
        <v>0</v>
      </c>
    </row>
    <row r="2732" spans="1:6" x14ac:dyDescent="0.15">
      <c r="A2732" t="s">
        <v>210</v>
      </c>
      <c r="B2732" s="226">
        <v>42347.405968148145</v>
      </c>
      <c r="C2732" t="s">
        <v>1353</v>
      </c>
      <c r="D2732" t="s">
        <v>13</v>
      </c>
      <c r="E2732">
        <v>40</v>
      </c>
      <c r="F2732">
        <v>0</v>
      </c>
    </row>
    <row r="2733" spans="1:6" x14ac:dyDescent="0.15">
      <c r="A2733" t="s">
        <v>210</v>
      </c>
      <c r="B2733" s="226">
        <v>42347.437606481479</v>
      </c>
      <c r="C2733" t="s">
        <v>1851</v>
      </c>
      <c r="D2733" t="s">
        <v>13</v>
      </c>
      <c r="E2733">
        <v>100</v>
      </c>
      <c r="F2733">
        <v>0</v>
      </c>
    </row>
    <row r="2734" spans="1:6" x14ac:dyDescent="0.15">
      <c r="A2734" t="s">
        <v>210</v>
      </c>
      <c r="B2734" s="226">
        <v>42347.502313657409</v>
      </c>
      <c r="C2734" t="s">
        <v>2358</v>
      </c>
      <c r="D2734" t="s">
        <v>13</v>
      </c>
      <c r="E2734">
        <v>200</v>
      </c>
      <c r="F2734">
        <v>0</v>
      </c>
    </row>
    <row r="2735" spans="1:6" x14ac:dyDescent="0.15">
      <c r="A2735" t="s">
        <v>210</v>
      </c>
      <c r="B2735" s="226">
        <v>42347.532450555555</v>
      </c>
      <c r="C2735" t="s">
        <v>2359</v>
      </c>
      <c r="D2735" t="s">
        <v>13</v>
      </c>
      <c r="E2735">
        <v>40</v>
      </c>
      <c r="F2735">
        <v>0</v>
      </c>
    </row>
    <row r="2736" spans="1:6" x14ac:dyDescent="0.15">
      <c r="A2736" t="s">
        <v>210</v>
      </c>
      <c r="B2736" s="226">
        <v>42347.55993891204</v>
      </c>
      <c r="C2736" t="s">
        <v>2360</v>
      </c>
      <c r="D2736" t="s">
        <v>13</v>
      </c>
      <c r="E2736">
        <v>80</v>
      </c>
      <c r="F2736">
        <v>0</v>
      </c>
    </row>
    <row r="2737" spans="1:6" x14ac:dyDescent="0.15">
      <c r="A2737" t="s">
        <v>210</v>
      </c>
      <c r="B2737" s="226">
        <v>42347.560515393518</v>
      </c>
      <c r="C2737" t="s">
        <v>2361</v>
      </c>
      <c r="D2737" t="s">
        <v>13</v>
      </c>
      <c r="E2737">
        <v>60</v>
      </c>
      <c r="F2737">
        <v>0</v>
      </c>
    </row>
    <row r="2738" spans="1:6" x14ac:dyDescent="0.15">
      <c r="A2738" t="s">
        <v>210</v>
      </c>
      <c r="B2738" s="226">
        <v>42347.592872905094</v>
      </c>
      <c r="C2738" t="s">
        <v>2362</v>
      </c>
      <c r="D2738" t="s">
        <v>13</v>
      </c>
      <c r="E2738">
        <v>100</v>
      </c>
      <c r="F2738">
        <v>0</v>
      </c>
    </row>
    <row r="2739" spans="1:6" x14ac:dyDescent="0.15">
      <c r="A2739" t="s">
        <v>210</v>
      </c>
      <c r="B2739" s="226">
        <v>42347.600298437501</v>
      </c>
      <c r="C2739" t="s">
        <v>178</v>
      </c>
      <c r="D2739" t="s">
        <v>13</v>
      </c>
      <c r="E2739">
        <v>40</v>
      </c>
      <c r="F2739">
        <v>0</v>
      </c>
    </row>
    <row r="2740" spans="1:6" x14ac:dyDescent="0.15">
      <c r="A2740" t="s">
        <v>210</v>
      </c>
      <c r="B2740" s="226">
        <v>42347.611445856484</v>
      </c>
      <c r="C2740" t="s">
        <v>2363</v>
      </c>
      <c r="D2740" t="s">
        <v>13</v>
      </c>
      <c r="E2740">
        <v>80</v>
      </c>
      <c r="F2740">
        <v>0</v>
      </c>
    </row>
    <row r="2741" spans="1:6" x14ac:dyDescent="0.15">
      <c r="A2741" t="s">
        <v>210</v>
      </c>
      <c r="B2741" s="226">
        <v>42347.647925046294</v>
      </c>
      <c r="C2741" t="s">
        <v>2364</v>
      </c>
      <c r="D2741" t="s">
        <v>13</v>
      </c>
      <c r="E2741">
        <v>60</v>
      </c>
      <c r="F2741">
        <v>0</v>
      </c>
    </row>
    <row r="2742" spans="1:6" x14ac:dyDescent="0.15">
      <c r="A2742" t="s">
        <v>210</v>
      </c>
      <c r="B2742" s="226">
        <v>42347.6814556713</v>
      </c>
      <c r="C2742" t="s">
        <v>122</v>
      </c>
      <c r="D2742" t="s">
        <v>13</v>
      </c>
      <c r="E2742">
        <v>500</v>
      </c>
      <c r="F2742">
        <v>0</v>
      </c>
    </row>
    <row r="2743" spans="1:6" x14ac:dyDescent="0.15">
      <c r="A2743" t="s">
        <v>210</v>
      </c>
      <c r="B2743" s="226">
        <v>42347.690341747686</v>
      </c>
      <c r="C2743" t="s">
        <v>119</v>
      </c>
      <c r="D2743" t="s">
        <v>13</v>
      </c>
      <c r="E2743">
        <v>100</v>
      </c>
      <c r="F2743">
        <v>0</v>
      </c>
    </row>
    <row r="2744" spans="1:6" x14ac:dyDescent="0.15">
      <c r="A2744" t="s">
        <v>210</v>
      </c>
      <c r="B2744" s="226">
        <v>42347.695963240738</v>
      </c>
      <c r="C2744" t="s">
        <v>2365</v>
      </c>
      <c r="D2744" t="s">
        <v>13</v>
      </c>
      <c r="E2744">
        <v>200</v>
      </c>
      <c r="F2744">
        <v>0</v>
      </c>
    </row>
    <row r="2745" spans="1:6" x14ac:dyDescent="0.15">
      <c r="A2745" t="s">
        <v>210</v>
      </c>
      <c r="B2745" s="226">
        <v>42347.709894375002</v>
      </c>
      <c r="C2745" t="s">
        <v>14</v>
      </c>
      <c r="D2745" t="s">
        <v>13</v>
      </c>
      <c r="E2745">
        <v>140</v>
      </c>
      <c r="F2745">
        <v>3.5</v>
      </c>
    </row>
    <row r="2746" spans="1:6" x14ac:dyDescent="0.15">
      <c r="A2746" t="s">
        <v>210</v>
      </c>
      <c r="B2746" s="226">
        <v>42347.719583321756</v>
      </c>
      <c r="C2746" t="s">
        <v>2366</v>
      </c>
      <c r="D2746" t="s">
        <v>13</v>
      </c>
      <c r="E2746">
        <v>400</v>
      </c>
      <c r="F2746">
        <v>0</v>
      </c>
    </row>
    <row r="2747" spans="1:6" x14ac:dyDescent="0.15">
      <c r="A2747" t="s">
        <v>210</v>
      </c>
      <c r="B2747" s="226">
        <v>42347.729018784725</v>
      </c>
      <c r="C2747" t="s">
        <v>14</v>
      </c>
      <c r="D2747" t="s">
        <v>13</v>
      </c>
      <c r="E2747">
        <v>60</v>
      </c>
      <c r="F2747">
        <v>3.5</v>
      </c>
    </row>
    <row r="2748" spans="1:6" x14ac:dyDescent="0.15">
      <c r="A2748" t="s">
        <v>210</v>
      </c>
      <c r="B2748" s="226">
        <v>42347.734223611114</v>
      </c>
      <c r="C2748" t="s">
        <v>2367</v>
      </c>
      <c r="D2748" t="s">
        <v>13</v>
      </c>
      <c r="E2748">
        <v>20</v>
      </c>
      <c r="F2748">
        <v>0</v>
      </c>
    </row>
    <row r="2749" spans="1:6" x14ac:dyDescent="0.15">
      <c r="A2749" t="s">
        <v>210</v>
      </c>
      <c r="B2749" s="226">
        <v>42347.74107452546</v>
      </c>
      <c r="C2749" t="s">
        <v>611</v>
      </c>
      <c r="D2749" t="s">
        <v>13</v>
      </c>
      <c r="E2749">
        <v>100</v>
      </c>
      <c r="F2749">
        <v>0</v>
      </c>
    </row>
    <row r="2750" spans="1:6" x14ac:dyDescent="0.15">
      <c r="A2750" t="s">
        <v>210</v>
      </c>
      <c r="B2750" s="226">
        <v>42347.777666620372</v>
      </c>
      <c r="C2750" t="s">
        <v>1487</v>
      </c>
      <c r="D2750" t="s">
        <v>13</v>
      </c>
      <c r="E2750">
        <v>200</v>
      </c>
      <c r="F2750">
        <v>0</v>
      </c>
    </row>
    <row r="2751" spans="1:6" x14ac:dyDescent="0.15">
      <c r="A2751" t="s">
        <v>210</v>
      </c>
      <c r="B2751" s="226">
        <v>42347.778838865743</v>
      </c>
      <c r="C2751" t="s">
        <v>2368</v>
      </c>
      <c r="D2751" t="s">
        <v>13</v>
      </c>
      <c r="E2751">
        <v>100</v>
      </c>
      <c r="F2751">
        <v>0</v>
      </c>
    </row>
    <row r="2752" spans="1:6" x14ac:dyDescent="0.15">
      <c r="A2752" t="s">
        <v>210</v>
      </c>
      <c r="B2752" s="226">
        <v>42347.786052199073</v>
      </c>
      <c r="C2752" t="s">
        <v>14</v>
      </c>
      <c r="D2752" t="s">
        <v>13</v>
      </c>
      <c r="E2752">
        <v>100</v>
      </c>
      <c r="F2752">
        <v>3.5</v>
      </c>
    </row>
    <row r="2753" spans="1:6" x14ac:dyDescent="0.15">
      <c r="A2753" t="s">
        <v>210</v>
      </c>
      <c r="B2753" s="226">
        <v>42347.789323194447</v>
      </c>
      <c r="C2753" t="s">
        <v>2369</v>
      </c>
      <c r="D2753" t="s">
        <v>13</v>
      </c>
      <c r="E2753">
        <v>100</v>
      </c>
      <c r="F2753">
        <v>0</v>
      </c>
    </row>
    <row r="2754" spans="1:6" x14ac:dyDescent="0.15">
      <c r="A2754" t="s">
        <v>210</v>
      </c>
      <c r="B2754" s="226">
        <v>42347.838198206016</v>
      </c>
      <c r="C2754" t="s">
        <v>505</v>
      </c>
      <c r="D2754" t="s">
        <v>13</v>
      </c>
      <c r="E2754">
        <v>500</v>
      </c>
      <c r="F2754">
        <v>0</v>
      </c>
    </row>
    <row r="2755" spans="1:6" x14ac:dyDescent="0.15">
      <c r="A2755" t="s">
        <v>210</v>
      </c>
      <c r="B2755" s="226">
        <v>42348.211485520835</v>
      </c>
      <c r="C2755" t="s">
        <v>917</v>
      </c>
      <c r="D2755" t="s">
        <v>13</v>
      </c>
      <c r="E2755">
        <v>100</v>
      </c>
      <c r="F2755">
        <v>0</v>
      </c>
    </row>
    <row r="2756" spans="1:6" x14ac:dyDescent="0.15">
      <c r="A2756" t="s">
        <v>210</v>
      </c>
      <c r="B2756" s="226">
        <v>42348.306480162035</v>
      </c>
      <c r="C2756" t="s">
        <v>2370</v>
      </c>
      <c r="D2756" t="s">
        <v>13</v>
      </c>
      <c r="E2756">
        <v>40</v>
      </c>
      <c r="F2756">
        <v>0</v>
      </c>
    </row>
    <row r="2757" spans="1:6" x14ac:dyDescent="0.15">
      <c r="A2757" t="s">
        <v>210</v>
      </c>
      <c r="B2757" s="226">
        <v>42348.31545681713</v>
      </c>
      <c r="C2757" t="s">
        <v>318</v>
      </c>
      <c r="D2757" t="s">
        <v>13</v>
      </c>
      <c r="E2757">
        <v>100</v>
      </c>
      <c r="F2757">
        <v>0</v>
      </c>
    </row>
    <row r="2758" spans="1:6" x14ac:dyDescent="0.15">
      <c r="A2758" t="s">
        <v>210</v>
      </c>
      <c r="B2758" s="226">
        <v>42348.320391967594</v>
      </c>
      <c r="C2758" t="s">
        <v>2371</v>
      </c>
      <c r="D2758" t="s">
        <v>13</v>
      </c>
      <c r="E2758">
        <v>180</v>
      </c>
      <c r="F2758">
        <v>0</v>
      </c>
    </row>
    <row r="2759" spans="1:6" x14ac:dyDescent="0.15">
      <c r="A2759" t="s">
        <v>210</v>
      </c>
      <c r="B2759" s="226">
        <v>42348.326488449071</v>
      </c>
      <c r="C2759" t="s">
        <v>2372</v>
      </c>
      <c r="D2759" t="s">
        <v>15</v>
      </c>
      <c r="E2759">
        <v>100</v>
      </c>
      <c r="F2759">
        <v>3</v>
      </c>
    </row>
    <row r="2760" spans="1:6" x14ac:dyDescent="0.15">
      <c r="A2760" t="s">
        <v>210</v>
      </c>
      <c r="B2760" s="226">
        <v>42348.336837557872</v>
      </c>
      <c r="C2760" t="s">
        <v>1141</v>
      </c>
      <c r="D2760" t="s">
        <v>13</v>
      </c>
      <c r="E2760">
        <v>40</v>
      </c>
      <c r="F2760">
        <v>0</v>
      </c>
    </row>
    <row r="2761" spans="1:6" x14ac:dyDescent="0.15">
      <c r="A2761" t="s">
        <v>210</v>
      </c>
      <c r="B2761" s="226">
        <v>42348.338936805558</v>
      </c>
      <c r="C2761" t="s">
        <v>2373</v>
      </c>
      <c r="D2761" t="s">
        <v>13</v>
      </c>
      <c r="E2761">
        <v>20</v>
      </c>
      <c r="F2761">
        <v>0</v>
      </c>
    </row>
    <row r="2762" spans="1:6" x14ac:dyDescent="0.15">
      <c r="A2762" t="s">
        <v>210</v>
      </c>
      <c r="B2762" s="226">
        <v>42348.346648240738</v>
      </c>
      <c r="C2762" t="s">
        <v>2374</v>
      </c>
      <c r="D2762" t="s">
        <v>13</v>
      </c>
      <c r="E2762">
        <v>20</v>
      </c>
      <c r="F2762">
        <v>0</v>
      </c>
    </row>
    <row r="2763" spans="1:6" x14ac:dyDescent="0.15">
      <c r="A2763" t="s">
        <v>210</v>
      </c>
      <c r="B2763" s="226">
        <v>42348.360966064814</v>
      </c>
      <c r="C2763" t="s">
        <v>299</v>
      </c>
      <c r="D2763" t="s">
        <v>13</v>
      </c>
      <c r="E2763">
        <v>180</v>
      </c>
      <c r="F2763">
        <v>0</v>
      </c>
    </row>
    <row r="2764" spans="1:6" x14ac:dyDescent="0.15">
      <c r="A2764" t="s">
        <v>210</v>
      </c>
      <c r="B2764" s="226">
        <v>42348.362550069447</v>
      </c>
      <c r="C2764" t="s">
        <v>2375</v>
      </c>
      <c r="D2764" t="s">
        <v>13</v>
      </c>
      <c r="E2764">
        <v>80</v>
      </c>
      <c r="F2764">
        <v>0</v>
      </c>
    </row>
    <row r="2765" spans="1:6" x14ac:dyDescent="0.15">
      <c r="A2765" t="s">
        <v>210</v>
      </c>
      <c r="B2765" s="226">
        <v>42348.386280266204</v>
      </c>
      <c r="C2765" t="s">
        <v>2066</v>
      </c>
      <c r="D2765" t="s">
        <v>13</v>
      </c>
      <c r="E2765">
        <v>20</v>
      </c>
      <c r="F2765">
        <v>0</v>
      </c>
    </row>
    <row r="2766" spans="1:6" x14ac:dyDescent="0.15">
      <c r="A2766" t="s">
        <v>210</v>
      </c>
      <c r="B2766" s="226">
        <v>42348.398291631944</v>
      </c>
      <c r="C2766" t="s">
        <v>1486</v>
      </c>
      <c r="D2766" t="s">
        <v>13</v>
      </c>
      <c r="E2766">
        <v>100</v>
      </c>
      <c r="F2766">
        <v>0</v>
      </c>
    </row>
    <row r="2767" spans="1:6" x14ac:dyDescent="0.15">
      <c r="A2767" t="s">
        <v>210</v>
      </c>
      <c r="B2767" s="226">
        <v>42348.425810393521</v>
      </c>
      <c r="C2767" t="s">
        <v>14</v>
      </c>
      <c r="D2767" t="s">
        <v>13</v>
      </c>
      <c r="E2767">
        <v>100</v>
      </c>
      <c r="F2767">
        <v>3.5</v>
      </c>
    </row>
    <row r="2768" spans="1:6" x14ac:dyDescent="0.15">
      <c r="A2768" t="s">
        <v>210</v>
      </c>
      <c r="B2768" s="226">
        <v>42348.43727603009</v>
      </c>
      <c r="C2768" t="s">
        <v>251</v>
      </c>
      <c r="D2768" t="s">
        <v>13</v>
      </c>
      <c r="E2768">
        <v>80</v>
      </c>
      <c r="F2768">
        <v>0</v>
      </c>
    </row>
    <row r="2769" spans="1:6" x14ac:dyDescent="0.15">
      <c r="A2769" t="s">
        <v>210</v>
      </c>
      <c r="B2769" s="226">
        <v>42348.473573206022</v>
      </c>
      <c r="C2769" t="s">
        <v>2376</v>
      </c>
      <c r="D2769" t="s">
        <v>13</v>
      </c>
      <c r="E2769">
        <v>80</v>
      </c>
      <c r="F2769">
        <v>0</v>
      </c>
    </row>
    <row r="2770" spans="1:6" x14ac:dyDescent="0.15">
      <c r="A2770" t="s">
        <v>210</v>
      </c>
      <c r="B2770" s="226">
        <v>42348.475819953703</v>
      </c>
      <c r="C2770" t="s">
        <v>506</v>
      </c>
      <c r="D2770" t="s">
        <v>13</v>
      </c>
      <c r="E2770">
        <v>80</v>
      </c>
      <c r="F2770">
        <v>0</v>
      </c>
    </row>
    <row r="2771" spans="1:6" x14ac:dyDescent="0.15">
      <c r="A2771" t="s">
        <v>210</v>
      </c>
      <c r="B2771" s="226">
        <v>42348.476556875001</v>
      </c>
      <c r="C2771" t="s">
        <v>2377</v>
      </c>
      <c r="D2771" t="s">
        <v>13</v>
      </c>
      <c r="E2771">
        <v>60</v>
      </c>
      <c r="F2771">
        <v>0</v>
      </c>
    </row>
    <row r="2772" spans="1:6" x14ac:dyDescent="0.15">
      <c r="A2772" t="s">
        <v>210</v>
      </c>
      <c r="B2772" s="226">
        <v>42348.48072053241</v>
      </c>
      <c r="C2772" t="s">
        <v>1832</v>
      </c>
      <c r="D2772" t="s">
        <v>13</v>
      </c>
      <c r="E2772">
        <v>40</v>
      </c>
      <c r="F2772">
        <v>0</v>
      </c>
    </row>
    <row r="2773" spans="1:6" x14ac:dyDescent="0.15">
      <c r="A2773" t="s">
        <v>210</v>
      </c>
      <c r="B2773" s="226">
        <v>42348.491667939816</v>
      </c>
      <c r="C2773" t="s">
        <v>2378</v>
      </c>
      <c r="D2773" t="s">
        <v>13</v>
      </c>
      <c r="E2773">
        <v>80</v>
      </c>
      <c r="F2773">
        <v>0</v>
      </c>
    </row>
    <row r="2774" spans="1:6" x14ac:dyDescent="0.15">
      <c r="A2774" t="s">
        <v>210</v>
      </c>
      <c r="B2774" s="226">
        <v>42348.497177824072</v>
      </c>
      <c r="C2774" t="s">
        <v>317</v>
      </c>
      <c r="D2774" t="s">
        <v>13</v>
      </c>
      <c r="E2774">
        <v>100</v>
      </c>
      <c r="F2774">
        <v>0</v>
      </c>
    </row>
    <row r="2775" spans="1:6" x14ac:dyDescent="0.15">
      <c r="A2775" t="s">
        <v>210</v>
      </c>
      <c r="B2775" s="226">
        <v>42348.502549155091</v>
      </c>
      <c r="C2775" t="s">
        <v>254</v>
      </c>
      <c r="D2775" t="s">
        <v>13</v>
      </c>
      <c r="E2775">
        <v>100</v>
      </c>
      <c r="F2775">
        <v>0</v>
      </c>
    </row>
    <row r="2776" spans="1:6" x14ac:dyDescent="0.15">
      <c r="A2776" t="s">
        <v>210</v>
      </c>
      <c r="B2776" s="226">
        <v>42348.51778292824</v>
      </c>
      <c r="C2776" t="s">
        <v>660</v>
      </c>
      <c r="D2776" t="s">
        <v>13</v>
      </c>
      <c r="E2776">
        <v>80</v>
      </c>
      <c r="F2776">
        <v>0</v>
      </c>
    </row>
    <row r="2777" spans="1:6" x14ac:dyDescent="0.15">
      <c r="A2777" t="s">
        <v>210</v>
      </c>
      <c r="B2777" s="226">
        <v>42348.527832754633</v>
      </c>
      <c r="C2777" t="s">
        <v>437</v>
      </c>
      <c r="D2777" t="s">
        <v>13</v>
      </c>
      <c r="E2777">
        <v>20</v>
      </c>
      <c r="F2777">
        <v>0</v>
      </c>
    </row>
    <row r="2778" spans="1:6" x14ac:dyDescent="0.15">
      <c r="A2778" t="s">
        <v>210</v>
      </c>
      <c r="B2778" s="226">
        <v>42348.533567615741</v>
      </c>
      <c r="C2778" t="s">
        <v>2379</v>
      </c>
      <c r="D2778" t="s">
        <v>13</v>
      </c>
      <c r="E2778">
        <v>200</v>
      </c>
      <c r="F2778">
        <v>0</v>
      </c>
    </row>
    <row r="2779" spans="1:6" x14ac:dyDescent="0.15">
      <c r="A2779" t="s">
        <v>210</v>
      </c>
      <c r="B2779" s="226">
        <v>42348.581546909722</v>
      </c>
      <c r="C2779" t="s">
        <v>2380</v>
      </c>
      <c r="D2779" t="s">
        <v>13</v>
      </c>
      <c r="E2779">
        <v>40</v>
      </c>
      <c r="F2779">
        <v>0</v>
      </c>
    </row>
    <row r="2780" spans="1:6" x14ac:dyDescent="0.15">
      <c r="A2780" t="s">
        <v>210</v>
      </c>
      <c r="B2780" s="226">
        <v>42348.585344513886</v>
      </c>
      <c r="C2780" t="s">
        <v>2381</v>
      </c>
      <c r="D2780" t="s">
        <v>13</v>
      </c>
      <c r="E2780">
        <v>40</v>
      </c>
      <c r="F2780">
        <v>0</v>
      </c>
    </row>
    <row r="2781" spans="1:6" x14ac:dyDescent="0.15">
      <c r="A2781" t="s">
        <v>210</v>
      </c>
      <c r="B2781" s="226">
        <v>42348.612230868057</v>
      </c>
      <c r="C2781" t="s">
        <v>2382</v>
      </c>
      <c r="D2781" t="s">
        <v>13</v>
      </c>
      <c r="E2781">
        <v>140</v>
      </c>
      <c r="F2781">
        <v>0</v>
      </c>
    </row>
    <row r="2782" spans="1:6" x14ac:dyDescent="0.15">
      <c r="A2782" t="s">
        <v>210</v>
      </c>
      <c r="B2782" s="226">
        <v>42348.623362048609</v>
      </c>
      <c r="C2782" t="s">
        <v>454</v>
      </c>
      <c r="D2782" t="s">
        <v>13</v>
      </c>
      <c r="E2782">
        <v>80</v>
      </c>
      <c r="F2782">
        <v>0</v>
      </c>
    </row>
    <row r="2783" spans="1:6" x14ac:dyDescent="0.15">
      <c r="A2783" t="s">
        <v>210</v>
      </c>
      <c r="B2783" s="226">
        <v>42348.625125196762</v>
      </c>
      <c r="C2783" t="s">
        <v>2249</v>
      </c>
      <c r="D2783" t="s">
        <v>13</v>
      </c>
      <c r="E2783">
        <v>20</v>
      </c>
      <c r="F2783">
        <v>0</v>
      </c>
    </row>
    <row r="2784" spans="1:6" x14ac:dyDescent="0.15">
      <c r="A2784" t="s">
        <v>210</v>
      </c>
      <c r="B2784" s="226">
        <v>42348.634547615744</v>
      </c>
      <c r="C2784" t="s">
        <v>2383</v>
      </c>
      <c r="D2784" t="s">
        <v>13</v>
      </c>
      <c r="E2784">
        <v>360</v>
      </c>
      <c r="F2784">
        <v>0</v>
      </c>
    </row>
    <row r="2785" spans="1:6" x14ac:dyDescent="0.15">
      <c r="A2785" t="s">
        <v>210</v>
      </c>
      <c r="B2785" s="226">
        <v>42348.649554108793</v>
      </c>
      <c r="C2785" t="s">
        <v>1180</v>
      </c>
      <c r="D2785" t="s">
        <v>13</v>
      </c>
      <c r="E2785">
        <v>20</v>
      </c>
      <c r="F2785">
        <v>0</v>
      </c>
    </row>
    <row r="2786" spans="1:6" x14ac:dyDescent="0.15">
      <c r="A2786" t="s">
        <v>210</v>
      </c>
      <c r="B2786" s="226">
        <v>42348.67597989583</v>
      </c>
      <c r="C2786" t="s">
        <v>14</v>
      </c>
      <c r="D2786" t="s">
        <v>13</v>
      </c>
      <c r="E2786">
        <v>40</v>
      </c>
      <c r="F2786">
        <v>3.5</v>
      </c>
    </row>
    <row r="2787" spans="1:6" x14ac:dyDescent="0.15">
      <c r="A2787" t="s">
        <v>210</v>
      </c>
      <c r="B2787" s="226">
        <v>42348.685938125003</v>
      </c>
      <c r="C2787" t="s">
        <v>795</v>
      </c>
      <c r="D2787" t="s">
        <v>13</v>
      </c>
      <c r="E2787">
        <v>80</v>
      </c>
      <c r="F2787">
        <v>0</v>
      </c>
    </row>
    <row r="2788" spans="1:6" x14ac:dyDescent="0.15">
      <c r="A2788" t="s">
        <v>210</v>
      </c>
      <c r="B2788" s="226">
        <v>42348.721546967594</v>
      </c>
      <c r="C2788" t="s">
        <v>14</v>
      </c>
      <c r="D2788" t="s">
        <v>13</v>
      </c>
      <c r="E2788">
        <v>40</v>
      </c>
      <c r="F2788">
        <v>3.5</v>
      </c>
    </row>
    <row r="2789" spans="1:6" x14ac:dyDescent="0.15">
      <c r="A2789" t="s">
        <v>210</v>
      </c>
      <c r="B2789" s="226">
        <v>42348.765736759262</v>
      </c>
      <c r="C2789" t="s">
        <v>14</v>
      </c>
      <c r="D2789" t="s">
        <v>13</v>
      </c>
      <c r="E2789">
        <v>100</v>
      </c>
      <c r="F2789">
        <v>3.5</v>
      </c>
    </row>
    <row r="2790" spans="1:6" x14ac:dyDescent="0.15">
      <c r="A2790" t="s">
        <v>210</v>
      </c>
      <c r="B2790" s="226">
        <v>42348.772181747685</v>
      </c>
      <c r="C2790" t="s">
        <v>2384</v>
      </c>
      <c r="D2790" t="s">
        <v>13</v>
      </c>
      <c r="E2790">
        <v>40</v>
      </c>
      <c r="F2790">
        <v>0</v>
      </c>
    </row>
    <row r="2791" spans="1:6" x14ac:dyDescent="0.15">
      <c r="A2791" t="s">
        <v>210</v>
      </c>
      <c r="B2791" s="226">
        <v>42348.778540879626</v>
      </c>
      <c r="C2791" t="s">
        <v>14</v>
      </c>
      <c r="D2791" t="s">
        <v>13</v>
      </c>
      <c r="E2791">
        <v>80</v>
      </c>
      <c r="F2791">
        <v>3.5</v>
      </c>
    </row>
    <row r="2792" spans="1:6" x14ac:dyDescent="0.15">
      <c r="A2792" t="s">
        <v>210</v>
      </c>
      <c r="B2792" s="226">
        <v>42348.785784884261</v>
      </c>
      <c r="C2792" t="s">
        <v>2385</v>
      </c>
      <c r="D2792" t="s">
        <v>13</v>
      </c>
      <c r="E2792">
        <v>60</v>
      </c>
      <c r="F2792">
        <v>0</v>
      </c>
    </row>
    <row r="2793" spans="1:6" x14ac:dyDescent="0.15">
      <c r="A2793" t="s">
        <v>210</v>
      </c>
      <c r="B2793" s="226">
        <v>42348.830291226855</v>
      </c>
      <c r="C2793" t="s">
        <v>2386</v>
      </c>
      <c r="D2793" t="s">
        <v>13</v>
      </c>
      <c r="E2793">
        <v>100</v>
      </c>
      <c r="F2793">
        <v>0</v>
      </c>
    </row>
    <row r="2794" spans="1:6" x14ac:dyDescent="0.15">
      <c r="A2794" t="s">
        <v>210</v>
      </c>
      <c r="B2794" s="226">
        <v>42348.836641932867</v>
      </c>
      <c r="C2794" t="s">
        <v>2387</v>
      </c>
      <c r="D2794" t="s">
        <v>13</v>
      </c>
      <c r="E2794">
        <v>20</v>
      </c>
      <c r="F2794">
        <v>0</v>
      </c>
    </row>
    <row r="2795" spans="1:6" x14ac:dyDescent="0.15">
      <c r="A2795" t="s">
        <v>210</v>
      </c>
      <c r="B2795" s="226">
        <v>42348.839463113429</v>
      </c>
      <c r="C2795" t="s">
        <v>2388</v>
      </c>
      <c r="D2795" t="s">
        <v>13</v>
      </c>
      <c r="E2795">
        <v>100</v>
      </c>
      <c r="F2795">
        <v>0</v>
      </c>
    </row>
    <row r="2796" spans="1:6" x14ac:dyDescent="0.15">
      <c r="A2796" t="s">
        <v>210</v>
      </c>
      <c r="B2796" s="226">
        <v>42348.871190625003</v>
      </c>
      <c r="C2796" t="s">
        <v>600</v>
      </c>
      <c r="D2796" t="s">
        <v>13</v>
      </c>
      <c r="E2796">
        <v>40</v>
      </c>
      <c r="F2796">
        <v>0</v>
      </c>
    </row>
    <row r="2797" spans="1:6" x14ac:dyDescent="0.15">
      <c r="A2797" t="s">
        <v>210</v>
      </c>
      <c r="B2797" s="226">
        <v>42348.876077499997</v>
      </c>
      <c r="C2797" t="s">
        <v>14</v>
      </c>
      <c r="D2797" t="s">
        <v>13</v>
      </c>
      <c r="E2797">
        <v>200</v>
      </c>
      <c r="F2797">
        <v>3.5</v>
      </c>
    </row>
    <row r="2798" spans="1:6" x14ac:dyDescent="0.15">
      <c r="A2798" t="s">
        <v>210</v>
      </c>
      <c r="B2798" s="226">
        <v>42348.928633101852</v>
      </c>
      <c r="C2798" t="s">
        <v>2389</v>
      </c>
      <c r="D2798" t="s">
        <v>13</v>
      </c>
      <c r="E2798">
        <v>40</v>
      </c>
      <c r="F2798">
        <v>0</v>
      </c>
    </row>
    <row r="2799" spans="1:6" x14ac:dyDescent="0.15">
      <c r="A2799" t="s">
        <v>210</v>
      </c>
      <c r="B2799" s="226">
        <v>42349.337031215277</v>
      </c>
      <c r="C2799" t="s">
        <v>2390</v>
      </c>
      <c r="D2799" t="s">
        <v>13</v>
      </c>
      <c r="E2799">
        <v>40</v>
      </c>
      <c r="F2799">
        <v>0</v>
      </c>
    </row>
    <row r="2800" spans="1:6" x14ac:dyDescent="0.15">
      <c r="A2800" t="s">
        <v>210</v>
      </c>
      <c r="B2800" s="226">
        <v>42349.35147400463</v>
      </c>
      <c r="C2800" t="s">
        <v>2391</v>
      </c>
      <c r="D2800" t="s">
        <v>13</v>
      </c>
      <c r="E2800">
        <v>20</v>
      </c>
      <c r="F2800">
        <v>0</v>
      </c>
    </row>
    <row r="2801" spans="1:6" x14ac:dyDescent="0.15">
      <c r="A2801" t="s">
        <v>210</v>
      </c>
      <c r="B2801" s="226">
        <v>42349.367207268515</v>
      </c>
      <c r="C2801" t="s">
        <v>507</v>
      </c>
      <c r="D2801" t="s">
        <v>13</v>
      </c>
      <c r="E2801">
        <v>60</v>
      </c>
      <c r="F2801">
        <v>0</v>
      </c>
    </row>
    <row r="2802" spans="1:6" x14ac:dyDescent="0.15">
      <c r="A2802" t="s">
        <v>210</v>
      </c>
      <c r="B2802" s="226">
        <v>42349.385254155095</v>
      </c>
      <c r="C2802" t="s">
        <v>2392</v>
      </c>
      <c r="D2802" t="s">
        <v>13</v>
      </c>
      <c r="E2802">
        <v>120</v>
      </c>
      <c r="F2802">
        <v>0</v>
      </c>
    </row>
    <row r="2803" spans="1:6" x14ac:dyDescent="0.15">
      <c r="A2803" t="s">
        <v>210</v>
      </c>
      <c r="B2803" s="226">
        <v>42349.392113194444</v>
      </c>
      <c r="C2803" t="s">
        <v>380</v>
      </c>
      <c r="D2803" t="s">
        <v>13</v>
      </c>
      <c r="E2803">
        <v>500</v>
      </c>
      <c r="F2803">
        <v>0</v>
      </c>
    </row>
    <row r="2804" spans="1:6" x14ac:dyDescent="0.15">
      <c r="A2804" t="s">
        <v>210</v>
      </c>
      <c r="B2804" s="226">
        <v>42349.399245891203</v>
      </c>
      <c r="C2804" t="s">
        <v>2393</v>
      </c>
      <c r="D2804" t="s">
        <v>13</v>
      </c>
      <c r="E2804">
        <v>40</v>
      </c>
      <c r="F2804">
        <v>0</v>
      </c>
    </row>
    <row r="2805" spans="1:6" x14ac:dyDescent="0.15">
      <c r="A2805" t="s">
        <v>210</v>
      </c>
      <c r="B2805" s="226">
        <v>42349.418588668981</v>
      </c>
      <c r="C2805" t="s">
        <v>2394</v>
      </c>
      <c r="D2805" t="s">
        <v>13</v>
      </c>
      <c r="E2805">
        <v>200</v>
      </c>
      <c r="F2805">
        <v>0</v>
      </c>
    </row>
    <row r="2806" spans="1:6" x14ac:dyDescent="0.15">
      <c r="A2806" t="s">
        <v>210</v>
      </c>
      <c r="B2806" s="226">
        <v>42349.452997430555</v>
      </c>
      <c r="C2806" t="s">
        <v>1148</v>
      </c>
      <c r="D2806" t="s">
        <v>13</v>
      </c>
      <c r="E2806">
        <v>40</v>
      </c>
      <c r="F2806">
        <v>0</v>
      </c>
    </row>
    <row r="2807" spans="1:6" x14ac:dyDescent="0.15">
      <c r="A2807" t="s">
        <v>210</v>
      </c>
      <c r="B2807" s="226">
        <v>42349.465904444442</v>
      </c>
      <c r="C2807" t="s">
        <v>1007</v>
      </c>
      <c r="D2807" t="s">
        <v>13</v>
      </c>
      <c r="E2807">
        <v>100</v>
      </c>
      <c r="F2807">
        <v>0</v>
      </c>
    </row>
    <row r="2808" spans="1:6" x14ac:dyDescent="0.15">
      <c r="A2808" t="s">
        <v>210</v>
      </c>
      <c r="B2808" s="226">
        <v>42349.480012129628</v>
      </c>
      <c r="C2808" t="s">
        <v>2395</v>
      </c>
      <c r="D2808" t="s">
        <v>13</v>
      </c>
      <c r="E2808">
        <v>100</v>
      </c>
      <c r="F2808">
        <v>0</v>
      </c>
    </row>
    <row r="2809" spans="1:6" x14ac:dyDescent="0.15">
      <c r="A2809" t="s">
        <v>210</v>
      </c>
      <c r="B2809" s="226">
        <v>42349.483706099534</v>
      </c>
      <c r="C2809" t="s">
        <v>613</v>
      </c>
      <c r="D2809" t="s">
        <v>13</v>
      </c>
      <c r="E2809">
        <v>100</v>
      </c>
      <c r="F2809">
        <v>0</v>
      </c>
    </row>
    <row r="2810" spans="1:6" x14ac:dyDescent="0.15">
      <c r="A2810" t="s">
        <v>210</v>
      </c>
      <c r="B2810" s="226">
        <v>42349.48980949074</v>
      </c>
      <c r="C2810" t="s">
        <v>2396</v>
      </c>
      <c r="D2810" t="s">
        <v>13</v>
      </c>
      <c r="E2810">
        <v>20</v>
      </c>
      <c r="F2810">
        <v>0</v>
      </c>
    </row>
    <row r="2811" spans="1:6" x14ac:dyDescent="0.15">
      <c r="A2811" t="s">
        <v>210</v>
      </c>
      <c r="B2811" s="226">
        <v>42349.506185243059</v>
      </c>
      <c r="C2811" t="s">
        <v>92</v>
      </c>
      <c r="D2811" t="s">
        <v>13</v>
      </c>
      <c r="E2811">
        <v>100</v>
      </c>
      <c r="F2811">
        <v>0</v>
      </c>
    </row>
    <row r="2812" spans="1:6" x14ac:dyDescent="0.15">
      <c r="A2812" t="s">
        <v>210</v>
      </c>
      <c r="B2812" s="226">
        <v>42349.512673657409</v>
      </c>
      <c r="C2812" t="s">
        <v>2397</v>
      </c>
      <c r="D2812" t="s">
        <v>13</v>
      </c>
      <c r="E2812">
        <v>100</v>
      </c>
      <c r="F2812">
        <v>0</v>
      </c>
    </row>
    <row r="2813" spans="1:6" x14ac:dyDescent="0.15">
      <c r="A2813" t="s">
        <v>210</v>
      </c>
      <c r="B2813" s="226">
        <v>42349.51398747685</v>
      </c>
      <c r="C2813" t="s">
        <v>256</v>
      </c>
      <c r="D2813" t="s">
        <v>13</v>
      </c>
      <c r="E2813">
        <v>160</v>
      </c>
      <c r="F2813">
        <v>0</v>
      </c>
    </row>
    <row r="2814" spans="1:6" x14ac:dyDescent="0.15">
      <c r="A2814" t="s">
        <v>210</v>
      </c>
      <c r="B2814" s="226">
        <v>42349.515877534723</v>
      </c>
      <c r="C2814" t="s">
        <v>2398</v>
      </c>
      <c r="D2814" t="s">
        <v>15</v>
      </c>
      <c r="E2814">
        <v>200</v>
      </c>
      <c r="F2814">
        <v>6</v>
      </c>
    </row>
    <row r="2815" spans="1:6" x14ac:dyDescent="0.15">
      <c r="A2815" t="s">
        <v>210</v>
      </c>
      <c r="B2815" s="226">
        <v>42349.530967951388</v>
      </c>
      <c r="C2815" t="s">
        <v>2399</v>
      </c>
      <c r="D2815" t="s">
        <v>13</v>
      </c>
      <c r="E2815">
        <v>80</v>
      </c>
      <c r="F2815">
        <v>0</v>
      </c>
    </row>
    <row r="2816" spans="1:6" x14ac:dyDescent="0.15">
      <c r="A2816" t="s">
        <v>210</v>
      </c>
      <c r="B2816" s="226">
        <v>42349.53261318287</v>
      </c>
      <c r="C2816" t="s">
        <v>2400</v>
      </c>
      <c r="D2816" t="s">
        <v>13</v>
      </c>
      <c r="E2816">
        <v>80</v>
      </c>
      <c r="F2816">
        <v>0</v>
      </c>
    </row>
    <row r="2817" spans="1:6" x14ac:dyDescent="0.15">
      <c r="A2817" t="s">
        <v>210</v>
      </c>
      <c r="B2817" s="226">
        <v>42349.542067245369</v>
      </c>
      <c r="C2817" t="s">
        <v>1470</v>
      </c>
      <c r="D2817" t="s">
        <v>13</v>
      </c>
      <c r="E2817">
        <v>80</v>
      </c>
      <c r="F2817">
        <v>0</v>
      </c>
    </row>
    <row r="2818" spans="1:6" x14ac:dyDescent="0.15">
      <c r="A2818" t="s">
        <v>210</v>
      </c>
      <c r="B2818" s="226">
        <v>42349.590659456022</v>
      </c>
      <c r="C2818" t="s">
        <v>2401</v>
      </c>
      <c r="D2818" t="s">
        <v>13</v>
      </c>
      <c r="E2818">
        <v>40</v>
      </c>
      <c r="F2818">
        <v>0</v>
      </c>
    </row>
    <row r="2819" spans="1:6" x14ac:dyDescent="0.15">
      <c r="A2819" t="s">
        <v>210</v>
      </c>
      <c r="B2819" s="226">
        <v>42349.592908715276</v>
      </c>
      <c r="C2819" t="s">
        <v>2402</v>
      </c>
      <c r="D2819" t="s">
        <v>13</v>
      </c>
      <c r="E2819">
        <v>240</v>
      </c>
      <c r="F2819">
        <v>0</v>
      </c>
    </row>
    <row r="2820" spans="1:6" x14ac:dyDescent="0.15">
      <c r="A2820" t="s">
        <v>210</v>
      </c>
      <c r="B2820" s="226">
        <v>42349.603411504628</v>
      </c>
      <c r="C2820" t="s">
        <v>14</v>
      </c>
      <c r="D2820" t="s">
        <v>13</v>
      </c>
      <c r="E2820">
        <v>40</v>
      </c>
      <c r="F2820">
        <v>3.5</v>
      </c>
    </row>
    <row r="2821" spans="1:6" x14ac:dyDescent="0.15">
      <c r="A2821" t="s">
        <v>210</v>
      </c>
      <c r="B2821" s="226">
        <v>42349.60597527778</v>
      </c>
      <c r="C2821" t="s">
        <v>2403</v>
      </c>
      <c r="D2821" t="s">
        <v>13</v>
      </c>
      <c r="E2821">
        <v>120</v>
      </c>
      <c r="F2821">
        <v>0</v>
      </c>
    </row>
    <row r="2822" spans="1:6" x14ac:dyDescent="0.15">
      <c r="A2822" t="s">
        <v>210</v>
      </c>
      <c r="B2822" s="226">
        <v>42349.64198197917</v>
      </c>
      <c r="C2822" t="s">
        <v>2404</v>
      </c>
      <c r="D2822" t="s">
        <v>13</v>
      </c>
      <c r="E2822">
        <v>20</v>
      </c>
      <c r="F2822">
        <v>0</v>
      </c>
    </row>
    <row r="2823" spans="1:6" x14ac:dyDescent="0.15">
      <c r="A2823" t="s">
        <v>210</v>
      </c>
      <c r="B2823" s="226">
        <v>42349.674822696761</v>
      </c>
      <c r="C2823" t="s">
        <v>128</v>
      </c>
      <c r="D2823" t="s">
        <v>13</v>
      </c>
      <c r="E2823">
        <v>100</v>
      </c>
      <c r="F2823">
        <v>0</v>
      </c>
    </row>
    <row r="2824" spans="1:6" x14ac:dyDescent="0.15">
      <c r="A2824" t="s">
        <v>210</v>
      </c>
      <c r="B2824" s="226">
        <v>42349.680248287033</v>
      </c>
      <c r="C2824" t="s">
        <v>2405</v>
      </c>
      <c r="D2824" t="s">
        <v>13</v>
      </c>
      <c r="E2824">
        <v>20</v>
      </c>
      <c r="F2824">
        <v>0</v>
      </c>
    </row>
    <row r="2825" spans="1:6" x14ac:dyDescent="0.15">
      <c r="A2825" t="s">
        <v>210</v>
      </c>
      <c r="B2825" s="226">
        <v>42349.697402962964</v>
      </c>
      <c r="C2825" t="s">
        <v>2406</v>
      </c>
      <c r="D2825" t="s">
        <v>13</v>
      </c>
      <c r="E2825">
        <v>200</v>
      </c>
      <c r="F2825">
        <v>0</v>
      </c>
    </row>
    <row r="2826" spans="1:6" x14ac:dyDescent="0.15">
      <c r="A2826" t="s">
        <v>210</v>
      </c>
      <c r="B2826" s="226">
        <v>42349.705884895833</v>
      </c>
      <c r="C2826" t="s">
        <v>1342</v>
      </c>
      <c r="D2826" t="s">
        <v>13</v>
      </c>
      <c r="E2826">
        <v>60</v>
      </c>
      <c r="F2826">
        <v>0</v>
      </c>
    </row>
    <row r="2827" spans="1:6" x14ac:dyDescent="0.15">
      <c r="A2827" t="s">
        <v>210</v>
      </c>
      <c r="B2827" s="226">
        <v>42349.712511967591</v>
      </c>
      <c r="C2827" t="s">
        <v>2407</v>
      </c>
      <c r="D2827" t="s">
        <v>13</v>
      </c>
      <c r="E2827">
        <v>60</v>
      </c>
      <c r="F2827">
        <v>0</v>
      </c>
    </row>
    <row r="2828" spans="1:6" x14ac:dyDescent="0.15">
      <c r="A2828" t="s">
        <v>210</v>
      </c>
      <c r="B2828" s="226">
        <v>42349.752851180558</v>
      </c>
      <c r="C2828" t="s">
        <v>508</v>
      </c>
      <c r="D2828" t="s">
        <v>13</v>
      </c>
      <c r="E2828">
        <v>20</v>
      </c>
      <c r="F2828">
        <v>0</v>
      </c>
    </row>
    <row r="2829" spans="1:6" x14ac:dyDescent="0.15">
      <c r="A2829" t="s">
        <v>210</v>
      </c>
      <c r="B2829" s="226">
        <v>42349.767392997688</v>
      </c>
      <c r="C2829" t="s">
        <v>2408</v>
      </c>
      <c r="D2829" t="s">
        <v>13</v>
      </c>
      <c r="E2829">
        <v>40</v>
      </c>
      <c r="F2829">
        <v>0</v>
      </c>
    </row>
    <row r="2830" spans="1:6" x14ac:dyDescent="0.15">
      <c r="A2830" t="s">
        <v>210</v>
      </c>
      <c r="B2830" s="226">
        <v>42349.767934374999</v>
      </c>
      <c r="C2830" t="s">
        <v>509</v>
      </c>
      <c r="D2830" t="s">
        <v>13</v>
      </c>
      <c r="E2830">
        <v>40</v>
      </c>
      <c r="F2830">
        <v>0</v>
      </c>
    </row>
    <row r="2831" spans="1:6" x14ac:dyDescent="0.15">
      <c r="A2831" t="s">
        <v>210</v>
      </c>
      <c r="B2831" s="226">
        <v>42349.769601863423</v>
      </c>
      <c r="C2831" t="s">
        <v>1164</v>
      </c>
      <c r="D2831" t="s">
        <v>13</v>
      </c>
      <c r="E2831">
        <v>100</v>
      </c>
      <c r="F2831">
        <v>0</v>
      </c>
    </row>
    <row r="2832" spans="1:6" x14ac:dyDescent="0.15">
      <c r="A2832" t="s">
        <v>210</v>
      </c>
      <c r="B2832" s="226">
        <v>42349.780833078701</v>
      </c>
      <c r="C2832" t="s">
        <v>2409</v>
      </c>
      <c r="D2832" t="s">
        <v>13</v>
      </c>
      <c r="E2832">
        <v>60</v>
      </c>
      <c r="F2832">
        <v>0</v>
      </c>
    </row>
    <row r="2833" spans="1:6" x14ac:dyDescent="0.15">
      <c r="A2833" t="s">
        <v>210</v>
      </c>
      <c r="B2833" s="226">
        <v>42349.79064939815</v>
      </c>
      <c r="C2833" t="s">
        <v>510</v>
      </c>
      <c r="D2833" t="s">
        <v>13</v>
      </c>
      <c r="E2833">
        <v>200</v>
      </c>
      <c r="F2833">
        <v>0</v>
      </c>
    </row>
    <row r="2834" spans="1:6" x14ac:dyDescent="0.15">
      <c r="A2834" t="s">
        <v>210</v>
      </c>
      <c r="B2834" s="226">
        <v>42349.804859467593</v>
      </c>
      <c r="C2834" t="s">
        <v>2410</v>
      </c>
      <c r="D2834" t="s">
        <v>13</v>
      </c>
      <c r="E2834">
        <v>100</v>
      </c>
      <c r="F2834">
        <v>0</v>
      </c>
    </row>
    <row r="2835" spans="1:6" x14ac:dyDescent="0.15">
      <c r="A2835" t="s">
        <v>210</v>
      </c>
      <c r="B2835" s="226">
        <v>42349.806290902779</v>
      </c>
      <c r="C2835" t="s">
        <v>2207</v>
      </c>
      <c r="D2835" t="s">
        <v>13</v>
      </c>
      <c r="E2835">
        <v>40</v>
      </c>
      <c r="F2835">
        <v>0</v>
      </c>
    </row>
    <row r="2836" spans="1:6" x14ac:dyDescent="0.15">
      <c r="A2836" t="s">
        <v>210</v>
      </c>
      <c r="B2836" s="226">
        <v>42349.808298391203</v>
      </c>
      <c r="C2836" t="s">
        <v>1713</v>
      </c>
      <c r="D2836" t="s">
        <v>13</v>
      </c>
      <c r="E2836">
        <v>80</v>
      </c>
      <c r="F2836">
        <v>0</v>
      </c>
    </row>
    <row r="2837" spans="1:6" x14ac:dyDescent="0.15">
      <c r="A2837" t="s">
        <v>210</v>
      </c>
      <c r="B2837" s="226">
        <v>42349.823703043985</v>
      </c>
      <c r="C2837" t="s">
        <v>511</v>
      </c>
      <c r="D2837" t="s">
        <v>13</v>
      </c>
      <c r="E2837">
        <v>60</v>
      </c>
      <c r="F2837">
        <v>0</v>
      </c>
    </row>
    <row r="2838" spans="1:6" x14ac:dyDescent="0.15">
      <c r="A2838" t="s">
        <v>210</v>
      </c>
      <c r="B2838" s="226">
        <v>42349.833267465277</v>
      </c>
      <c r="C2838" t="s">
        <v>2411</v>
      </c>
      <c r="D2838" t="s">
        <v>13</v>
      </c>
      <c r="E2838">
        <v>40</v>
      </c>
      <c r="F2838">
        <v>0</v>
      </c>
    </row>
    <row r="2839" spans="1:6" x14ac:dyDescent="0.15">
      <c r="A2839" t="s">
        <v>210</v>
      </c>
      <c r="B2839" s="226">
        <v>42349.852807962961</v>
      </c>
      <c r="C2839" t="s">
        <v>512</v>
      </c>
      <c r="D2839" t="s">
        <v>13</v>
      </c>
      <c r="E2839">
        <v>100</v>
      </c>
      <c r="F2839">
        <v>0</v>
      </c>
    </row>
    <row r="2840" spans="1:6" x14ac:dyDescent="0.15">
      <c r="A2840" t="s">
        <v>210</v>
      </c>
      <c r="B2840" s="226">
        <v>42349.900168807872</v>
      </c>
      <c r="C2840" t="s">
        <v>14</v>
      </c>
      <c r="D2840" t="s">
        <v>13</v>
      </c>
      <c r="E2840">
        <v>40</v>
      </c>
      <c r="F2840">
        <v>3.5</v>
      </c>
    </row>
    <row r="2841" spans="1:6" x14ac:dyDescent="0.15">
      <c r="A2841" t="s">
        <v>210</v>
      </c>
      <c r="B2841" s="226">
        <v>42349.970196909722</v>
      </c>
      <c r="C2841" t="s">
        <v>2412</v>
      </c>
      <c r="D2841" t="s">
        <v>13</v>
      </c>
      <c r="E2841">
        <v>100</v>
      </c>
      <c r="F2841">
        <v>0</v>
      </c>
    </row>
    <row r="2842" spans="1:6" x14ac:dyDescent="0.15">
      <c r="A2842" t="s">
        <v>210</v>
      </c>
      <c r="B2842" s="226">
        <v>42350.033891145831</v>
      </c>
      <c r="C2842" t="s">
        <v>1038</v>
      </c>
      <c r="D2842" t="s">
        <v>13</v>
      </c>
      <c r="E2842">
        <v>100</v>
      </c>
      <c r="F2842">
        <v>0</v>
      </c>
    </row>
    <row r="2843" spans="1:6" x14ac:dyDescent="0.15">
      <c r="A2843" t="s">
        <v>210</v>
      </c>
      <c r="B2843" s="226">
        <v>42350.294463506943</v>
      </c>
      <c r="C2843" t="s">
        <v>2413</v>
      </c>
      <c r="D2843" t="s">
        <v>13</v>
      </c>
      <c r="E2843">
        <v>20</v>
      </c>
      <c r="F2843">
        <v>0</v>
      </c>
    </row>
    <row r="2844" spans="1:6" x14ac:dyDescent="0.15">
      <c r="A2844" t="s">
        <v>210</v>
      </c>
      <c r="B2844" s="226">
        <v>42350.299390439817</v>
      </c>
      <c r="C2844" t="s">
        <v>513</v>
      </c>
      <c r="D2844" t="s">
        <v>13</v>
      </c>
      <c r="E2844">
        <v>100</v>
      </c>
      <c r="F2844">
        <v>0</v>
      </c>
    </row>
    <row r="2845" spans="1:6" x14ac:dyDescent="0.15">
      <c r="A2845" t="s">
        <v>210</v>
      </c>
      <c r="B2845" s="226">
        <v>42350.315292476851</v>
      </c>
      <c r="C2845" t="s">
        <v>2414</v>
      </c>
      <c r="D2845" t="s">
        <v>13</v>
      </c>
      <c r="E2845">
        <v>200</v>
      </c>
      <c r="F2845">
        <v>0</v>
      </c>
    </row>
    <row r="2846" spans="1:6" x14ac:dyDescent="0.15">
      <c r="A2846" t="s">
        <v>210</v>
      </c>
      <c r="B2846" s="226">
        <v>42350.319239525466</v>
      </c>
      <c r="C2846" t="s">
        <v>2415</v>
      </c>
      <c r="D2846" t="s">
        <v>13</v>
      </c>
      <c r="E2846">
        <v>60</v>
      </c>
      <c r="F2846">
        <v>0</v>
      </c>
    </row>
    <row r="2847" spans="1:6" x14ac:dyDescent="0.15">
      <c r="A2847" t="s">
        <v>210</v>
      </c>
      <c r="B2847" s="226">
        <v>42350.381026354167</v>
      </c>
      <c r="C2847" t="s">
        <v>1872</v>
      </c>
      <c r="D2847" t="s">
        <v>13</v>
      </c>
      <c r="E2847">
        <v>100</v>
      </c>
      <c r="F2847">
        <v>0</v>
      </c>
    </row>
    <row r="2848" spans="1:6" x14ac:dyDescent="0.15">
      <c r="A2848" t="s">
        <v>210</v>
      </c>
      <c r="B2848" s="226">
        <v>42350.414017743053</v>
      </c>
      <c r="C2848" t="s">
        <v>2416</v>
      </c>
      <c r="D2848" t="s">
        <v>13</v>
      </c>
      <c r="E2848">
        <v>120</v>
      </c>
      <c r="F2848">
        <v>0</v>
      </c>
    </row>
    <row r="2849" spans="1:6" x14ac:dyDescent="0.15">
      <c r="A2849" t="s">
        <v>210</v>
      </c>
      <c r="B2849" s="226">
        <v>42350.425613865744</v>
      </c>
      <c r="C2849" t="s">
        <v>514</v>
      </c>
      <c r="D2849" t="s">
        <v>13</v>
      </c>
      <c r="E2849">
        <v>200</v>
      </c>
      <c r="F2849">
        <v>0</v>
      </c>
    </row>
    <row r="2850" spans="1:6" x14ac:dyDescent="0.15">
      <c r="A2850" t="s">
        <v>210</v>
      </c>
      <c r="B2850" s="226">
        <v>42350.449739687501</v>
      </c>
      <c r="C2850" t="s">
        <v>179</v>
      </c>
      <c r="D2850" t="s">
        <v>13</v>
      </c>
      <c r="E2850">
        <v>40</v>
      </c>
      <c r="F2850">
        <v>0</v>
      </c>
    </row>
    <row r="2851" spans="1:6" x14ac:dyDescent="0.15">
      <c r="A2851" t="s">
        <v>210</v>
      </c>
      <c r="B2851" s="226">
        <v>42350.455813703702</v>
      </c>
      <c r="C2851" t="s">
        <v>2417</v>
      </c>
      <c r="D2851" t="s">
        <v>13</v>
      </c>
      <c r="E2851">
        <v>100</v>
      </c>
      <c r="F2851">
        <v>0</v>
      </c>
    </row>
    <row r="2852" spans="1:6" x14ac:dyDescent="0.15">
      <c r="A2852" t="s">
        <v>210</v>
      </c>
      <c r="B2852" s="226">
        <v>42350.481844421294</v>
      </c>
      <c r="C2852" t="s">
        <v>2418</v>
      </c>
      <c r="D2852" t="s">
        <v>13</v>
      </c>
      <c r="E2852">
        <v>40</v>
      </c>
      <c r="F2852">
        <v>0</v>
      </c>
    </row>
    <row r="2853" spans="1:6" x14ac:dyDescent="0.15">
      <c r="A2853" t="s">
        <v>210</v>
      </c>
      <c r="B2853" s="226">
        <v>42350.492379953706</v>
      </c>
      <c r="C2853" t="s">
        <v>14</v>
      </c>
      <c r="D2853" t="s">
        <v>13</v>
      </c>
      <c r="E2853">
        <v>60</v>
      </c>
      <c r="F2853">
        <v>3.5</v>
      </c>
    </row>
    <row r="2854" spans="1:6" x14ac:dyDescent="0.15">
      <c r="A2854" t="s">
        <v>210</v>
      </c>
      <c r="B2854" s="226">
        <v>42350.513815740742</v>
      </c>
      <c r="C2854" t="s">
        <v>1392</v>
      </c>
      <c r="D2854" t="s">
        <v>13</v>
      </c>
      <c r="E2854">
        <v>500</v>
      </c>
      <c r="F2854">
        <v>0</v>
      </c>
    </row>
    <row r="2855" spans="1:6" x14ac:dyDescent="0.15">
      <c r="A2855" t="s">
        <v>210</v>
      </c>
      <c r="B2855" s="226">
        <v>42350.515544513888</v>
      </c>
      <c r="C2855" t="s">
        <v>2419</v>
      </c>
      <c r="D2855" t="s">
        <v>13</v>
      </c>
      <c r="E2855">
        <v>40</v>
      </c>
      <c r="F2855">
        <v>0</v>
      </c>
    </row>
    <row r="2856" spans="1:6" x14ac:dyDescent="0.15">
      <c r="A2856" t="s">
        <v>210</v>
      </c>
      <c r="B2856" s="226">
        <v>42350.519874097219</v>
      </c>
      <c r="C2856" t="s">
        <v>2420</v>
      </c>
      <c r="D2856" t="s">
        <v>13</v>
      </c>
      <c r="E2856">
        <v>60</v>
      </c>
      <c r="F2856">
        <v>0</v>
      </c>
    </row>
    <row r="2857" spans="1:6" x14ac:dyDescent="0.15">
      <c r="A2857" t="s">
        <v>210</v>
      </c>
      <c r="B2857" s="226">
        <v>42350.522604166668</v>
      </c>
      <c r="C2857" t="s">
        <v>1879</v>
      </c>
      <c r="D2857" t="s">
        <v>13</v>
      </c>
      <c r="E2857">
        <v>40</v>
      </c>
      <c r="F2857">
        <v>0</v>
      </c>
    </row>
    <row r="2858" spans="1:6" x14ac:dyDescent="0.15">
      <c r="A2858" t="s">
        <v>210</v>
      </c>
      <c r="B2858" s="226">
        <v>42350.52874465278</v>
      </c>
      <c r="C2858" t="s">
        <v>1617</v>
      </c>
      <c r="D2858" t="s">
        <v>13</v>
      </c>
      <c r="E2858">
        <v>100</v>
      </c>
      <c r="F2858">
        <v>0</v>
      </c>
    </row>
    <row r="2859" spans="1:6" x14ac:dyDescent="0.15">
      <c r="A2859" t="s">
        <v>210</v>
      </c>
      <c r="B2859" s="226">
        <v>42350.544902499998</v>
      </c>
      <c r="C2859" t="s">
        <v>2421</v>
      </c>
      <c r="D2859" t="s">
        <v>13</v>
      </c>
      <c r="E2859">
        <v>80</v>
      </c>
      <c r="F2859">
        <v>0</v>
      </c>
    </row>
    <row r="2860" spans="1:6" x14ac:dyDescent="0.15">
      <c r="A2860" t="s">
        <v>210</v>
      </c>
      <c r="B2860" s="226">
        <v>42350.615358460651</v>
      </c>
      <c r="C2860" t="s">
        <v>2422</v>
      </c>
      <c r="D2860" t="s">
        <v>13</v>
      </c>
      <c r="E2860">
        <v>80</v>
      </c>
      <c r="F2860">
        <v>0</v>
      </c>
    </row>
    <row r="2861" spans="1:6" x14ac:dyDescent="0.15">
      <c r="A2861" t="s">
        <v>210</v>
      </c>
      <c r="B2861" s="226">
        <v>42350.616447037035</v>
      </c>
      <c r="C2861" t="s">
        <v>2423</v>
      </c>
      <c r="D2861" t="s">
        <v>13</v>
      </c>
      <c r="E2861">
        <v>100</v>
      </c>
      <c r="F2861">
        <v>0</v>
      </c>
    </row>
    <row r="2862" spans="1:6" x14ac:dyDescent="0.15">
      <c r="A2862" t="s">
        <v>210</v>
      </c>
      <c r="B2862" s="226">
        <v>42350.630690543985</v>
      </c>
      <c r="C2862" t="s">
        <v>2424</v>
      </c>
      <c r="D2862" t="s">
        <v>13</v>
      </c>
      <c r="E2862">
        <v>100</v>
      </c>
      <c r="F2862">
        <v>0</v>
      </c>
    </row>
    <row r="2863" spans="1:6" x14ac:dyDescent="0.15">
      <c r="A2863" t="s">
        <v>210</v>
      </c>
      <c r="B2863" s="226">
        <v>42350.634857789351</v>
      </c>
      <c r="C2863" t="s">
        <v>2425</v>
      </c>
      <c r="D2863" t="s">
        <v>13</v>
      </c>
      <c r="E2863">
        <v>100</v>
      </c>
      <c r="F2863">
        <v>0</v>
      </c>
    </row>
    <row r="2864" spans="1:6" x14ac:dyDescent="0.15">
      <c r="A2864" t="s">
        <v>210</v>
      </c>
      <c r="B2864" s="226">
        <v>42350.656315925924</v>
      </c>
      <c r="C2864" t="s">
        <v>14</v>
      </c>
      <c r="D2864" t="s">
        <v>13</v>
      </c>
      <c r="E2864">
        <v>100</v>
      </c>
      <c r="F2864">
        <v>3.5</v>
      </c>
    </row>
    <row r="2865" spans="1:6" x14ac:dyDescent="0.15">
      <c r="A2865" t="s">
        <v>210</v>
      </c>
      <c r="B2865" s="226">
        <v>42350.67838795139</v>
      </c>
      <c r="C2865" t="s">
        <v>1331</v>
      </c>
      <c r="D2865" t="s">
        <v>13</v>
      </c>
      <c r="E2865">
        <v>100</v>
      </c>
      <c r="F2865">
        <v>0</v>
      </c>
    </row>
    <row r="2866" spans="1:6" x14ac:dyDescent="0.15">
      <c r="A2866" t="s">
        <v>210</v>
      </c>
      <c r="B2866" s="226">
        <v>42350.685558715275</v>
      </c>
      <c r="C2866" t="s">
        <v>2426</v>
      </c>
      <c r="D2866" t="s">
        <v>13</v>
      </c>
      <c r="E2866">
        <v>200</v>
      </c>
      <c r="F2866">
        <v>0</v>
      </c>
    </row>
    <row r="2867" spans="1:6" x14ac:dyDescent="0.15">
      <c r="A2867" t="s">
        <v>210</v>
      </c>
      <c r="B2867" s="226">
        <v>42350.706161585651</v>
      </c>
      <c r="C2867" t="s">
        <v>2427</v>
      </c>
      <c r="D2867" t="s">
        <v>13</v>
      </c>
      <c r="E2867">
        <v>100</v>
      </c>
      <c r="F2867">
        <v>0</v>
      </c>
    </row>
    <row r="2868" spans="1:6" x14ac:dyDescent="0.15">
      <c r="A2868" t="s">
        <v>210</v>
      </c>
      <c r="B2868" s="226">
        <v>42350.710021261577</v>
      </c>
      <c r="C2868" t="s">
        <v>2428</v>
      </c>
      <c r="D2868" t="s">
        <v>13</v>
      </c>
      <c r="E2868">
        <v>80</v>
      </c>
      <c r="F2868">
        <v>0</v>
      </c>
    </row>
    <row r="2869" spans="1:6" x14ac:dyDescent="0.15">
      <c r="A2869" t="s">
        <v>210</v>
      </c>
      <c r="B2869" s="226">
        <v>42350.748950208334</v>
      </c>
      <c r="C2869" t="s">
        <v>515</v>
      </c>
      <c r="D2869" t="s">
        <v>13</v>
      </c>
      <c r="E2869">
        <v>60</v>
      </c>
      <c r="F2869">
        <v>0</v>
      </c>
    </row>
    <row r="2870" spans="1:6" x14ac:dyDescent="0.15">
      <c r="A2870" t="s">
        <v>210</v>
      </c>
      <c r="B2870" s="226">
        <v>42350.756622025459</v>
      </c>
      <c r="C2870" t="s">
        <v>2429</v>
      </c>
      <c r="D2870" t="s">
        <v>13</v>
      </c>
      <c r="E2870">
        <v>200</v>
      </c>
      <c r="F2870">
        <v>0</v>
      </c>
    </row>
    <row r="2871" spans="1:6" x14ac:dyDescent="0.15">
      <c r="A2871" t="s">
        <v>210</v>
      </c>
      <c r="B2871" s="226">
        <v>42350.758331562502</v>
      </c>
      <c r="C2871" t="s">
        <v>1149</v>
      </c>
      <c r="D2871" t="s">
        <v>13</v>
      </c>
      <c r="E2871">
        <v>100</v>
      </c>
      <c r="F2871">
        <v>0</v>
      </c>
    </row>
    <row r="2872" spans="1:6" x14ac:dyDescent="0.15">
      <c r="A2872" t="s">
        <v>210</v>
      </c>
      <c r="B2872" s="226">
        <v>42350.77195678241</v>
      </c>
      <c r="C2872" t="s">
        <v>1938</v>
      </c>
      <c r="D2872" t="s">
        <v>13</v>
      </c>
      <c r="E2872">
        <v>40</v>
      </c>
      <c r="F2872">
        <v>0</v>
      </c>
    </row>
    <row r="2873" spans="1:6" x14ac:dyDescent="0.15">
      <c r="A2873" t="s">
        <v>210</v>
      </c>
      <c r="B2873" s="226">
        <v>42350.786500868053</v>
      </c>
      <c r="C2873" t="s">
        <v>2430</v>
      </c>
      <c r="D2873" t="s">
        <v>13</v>
      </c>
      <c r="E2873">
        <v>160</v>
      </c>
      <c r="F2873">
        <v>0</v>
      </c>
    </row>
    <row r="2874" spans="1:6" x14ac:dyDescent="0.15">
      <c r="A2874" t="s">
        <v>210</v>
      </c>
      <c r="B2874" s="226">
        <v>42350.790065046298</v>
      </c>
      <c r="C2874" t="s">
        <v>14</v>
      </c>
      <c r="D2874" t="s">
        <v>13</v>
      </c>
      <c r="E2874">
        <v>60</v>
      </c>
      <c r="F2874">
        <v>3.5</v>
      </c>
    </row>
    <row r="2875" spans="1:6" x14ac:dyDescent="0.15">
      <c r="A2875" t="s">
        <v>210</v>
      </c>
      <c r="B2875" s="226">
        <v>42350.802912974534</v>
      </c>
      <c r="C2875" t="s">
        <v>1494</v>
      </c>
      <c r="D2875" t="s">
        <v>13</v>
      </c>
      <c r="E2875">
        <v>400</v>
      </c>
      <c r="F2875">
        <v>0</v>
      </c>
    </row>
    <row r="2876" spans="1:6" x14ac:dyDescent="0.15">
      <c r="A2876" t="s">
        <v>210</v>
      </c>
      <c r="B2876" s="226">
        <v>42350.828061203705</v>
      </c>
      <c r="C2876" t="s">
        <v>2067</v>
      </c>
      <c r="D2876" t="s">
        <v>13</v>
      </c>
      <c r="E2876">
        <v>320</v>
      </c>
      <c r="F2876">
        <v>0</v>
      </c>
    </row>
    <row r="2877" spans="1:6" x14ac:dyDescent="0.15">
      <c r="A2877" t="s">
        <v>210</v>
      </c>
      <c r="B2877" s="226">
        <v>42350.877060775463</v>
      </c>
      <c r="C2877" t="s">
        <v>1236</v>
      </c>
      <c r="D2877" t="s">
        <v>13</v>
      </c>
      <c r="E2877">
        <v>100</v>
      </c>
      <c r="F2877">
        <v>0</v>
      </c>
    </row>
    <row r="2878" spans="1:6" x14ac:dyDescent="0.15">
      <c r="A2878" t="s">
        <v>210</v>
      </c>
      <c r="B2878" s="226">
        <v>42350.882062488425</v>
      </c>
      <c r="C2878" t="s">
        <v>2431</v>
      </c>
      <c r="D2878" t="s">
        <v>13</v>
      </c>
      <c r="E2878">
        <v>40</v>
      </c>
      <c r="F2878">
        <v>0</v>
      </c>
    </row>
    <row r="2879" spans="1:6" x14ac:dyDescent="0.15">
      <c r="A2879" t="s">
        <v>210</v>
      </c>
      <c r="B2879" s="226">
        <v>42350.88963982639</v>
      </c>
      <c r="C2879" t="s">
        <v>2432</v>
      </c>
      <c r="D2879" t="s">
        <v>13</v>
      </c>
      <c r="E2879">
        <v>20</v>
      </c>
      <c r="F2879">
        <v>0</v>
      </c>
    </row>
    <row r="2880" spans="1:6" x14ac:dyDescent="0.15">
      <c r="A2880" t="s">
        <v>210</v>
      </c>
      <c r="B2880" s="226">
        <v>42350.89050616898</v>
      </c>
      <c r="C2880" t="s">
        <v>14</v>
      </c>
      <c r="D2880" t="s">
        <v>13</v>
      </c>
      <c r="E2880">
        <v>100</v>
      </c>
      <c r="F2880">
        <v>3.5</v>
      </c>
    </row>
    <row r="2881" spans="1:6" x14ac:dyDescent="0.15">
      <c r="A2881" t="s">
        <v>210</v>
      </c>
      <c r="B2881" s="226">
        <v>42350.928551261575</v>
      </c>
      <c r="C2881" t="s">
        <v>2433</v>
      </c>
      <c r="D2881" t="s">
        <v>13</v>
      </c>
      <c r="E2881">
        <v>100</v>
      </c>
      <c r="F2881">
        <v>0</v>
      </c>
    </row>
    <row r="2882" spans="1:6" x14ac:dyDescent="0.15">
      <c r="A2882" t="s">
        <v>210</v>
      </c>
      <c r="B2882" s="226">
        <v>42350.975275023149</v>
      </c>
      <c r="C2882" t="s">
        <v>2434</v>
      </c>
      <c r="D2882" t="s">
        <v>13</v>
      </c>
      <c r="E2882">
        <v>120</v>
      </c>
      <c r="F2882">
        <v>0</v>
      </c>
    </row>
    <row r="2883" spans="1:6" x14ac:dyDescent="0.15">
      <c r="A2883" t="s">
        <v>210</v>
      </c>
      <c r="B2883" s="226">
        <v>42351.020971053244</v>
      </c>
      <c r="C2883" t="s">
        <v>2435</v>
      </c>
      <c r="D2883" t="s">
        <v>13</v>
      </c>
      <c r="E2883">
        <v>40</v>
      </c>
      <c r="F2883">
        <v>0</v>
      </c>
    </row>
    <row r="2884" spans="1:6" x14ac:dyDescent="0.15">
      <c r="A2884" t="s">
        <v>210</v>
      </c>
      <c r="B2884" s="226">
        <v>42351.041490243057</v>
      </c>
      <c r="C2884" t="s">
        <v>2436</v>
      </c>
      <c r="D2884" t="s">
        <v>13</v>
      </c>
      <c r="E2884">
        <v>200</v>
      </c>
      <c r="F2884">
        <v>0</v>
      </c>
    </row>
    <row r="2885" spans="1:6" x14ac:dyDescent="0.15">
      <c r="A2885" t="s">
        <v>210</v>
      </c>
      <c r="B2885" s="226">
        <v>42351.071072685183</v>
      </c>
      <c r="C2885" t="s">
        <v>789</v>
      </c>
      <c r="D2885" t="s">
        <v>13</v>
      </c>
      <c r="E2885">
        <v>200</v>
      </c>
      <c r="F2885">
        <v>0</v>
      </c>
    </row>
    <row r="2886" spans="1:6" x14ac:dyDescent="0.15">
      <c r="A2886" t="s">
        <v>210</v>
      </c>
      <c r="B2886" s="226">
        <v>42351.346195219907</v>
      </c>
      <c r="C2886" t="s">
        <v>2031</v>
      </c>
      <c r="D2886" t="s">
        <v>13</v>
      </c>
      <c r="E2886">
        <v>100</v>
      </c>
      <c r="F2886">
        <v>0</v>
      </c>
    </row>
    <row r="2887" spans="1:6" x14ac:dyDescent="0.15">
      <c r="A2887" t="s">
        <v>210</v>
      </c>
      <c r="B2887" s="226">
        <v>42351.413789722224</v>
      </c>
      <c r="C2887" t="s">
        <v>2437</v>
      </c>
      <c r="D2887" t="s">
        <v>13</v>
      </c>
      <c r="E2887">
        <v>100</v>
      </c>
      <c r="F2887">
        <v>0</v>
      </c>
    </row>
    <row r="2888" spans="1:6" x14ac:dyDescent="0.15">
      <c r="A2888" t="s">
        <v>210</v>
      </c>
      <c r="B2888" s="226">
        <v>42351.42483236111</v>
      </c>
      <c r="C2888" t="s">
        <v>2438</v>
      </c>
      <c r="D2888" t="s">
        <v>13</v>
      </c>
      <c r="E2888">
        <v>100</v>
      </c>
      <c r="F2888">
        <v>0</v>
      </c>
    </row>
    <row r="2889" spans="1:6" x14ac:dyDescent="0.15">
      <c r="A2889" t="s">
        <v>210</v>
      </c>
      <c r="B2889" s="226">
        <v>42351.46955065972</v>
      </c>
      <c r="C2889" t="s">
        <v>916</v>
      </c>
      <c r="D2889" t="s">
        <v>13</v>
      </c>
      <c r="E2889">
        <v>100</v>
      </c>
      <c r="F2889">
        <v>0</v>
      </c>
    </row>
    <row r="2890" spans="1:6" x14ac:dyDescent="0.15">
      <c r="A2890" t="s">
        <v>210</v>
      </c>
      <c r="B2890" s="226">
        <v>42351.51223216435</v>
      </c>
      <c r="C2890" t="s">
        <v>2439</v>
      </c>
      <c r="D2890" t="s">
        <v>15</v>
      </c>
      <c r="E2890">
        <v>20</v>
      </c>
      <c r="F2890">
        <v>0.6</v>
      </c>
    </row>
    <row r="2891" spans="1:6" x14ac:dyDescent="0.15">
      <c r="A2891" t="s">
        <v>210</v>
      </c>
      <c r="B2891" s="226">
        <v>42351.517375138887</v>
      </c>
      <c r="C2891" t="s">
        <v>2283</v>
      </c>
      <c r="D2891" t="s">
        <v>13</v>
      </c>
      <c r="E2891">
        <v>200</v>
      </c>
      <c r="F2891">
        <v>0</v>
      </c>
    </row>
    <row r="2892" spans="1:6" x14ac:dyDescent="0.15">
      <c r="A2892" t="s">
        <v>210</v>
      </c>
      <c r="B2892" s="226">
        <v>42351.523096041667</v>
      </c>
      <c r="C2892" t="s">
        <v>14</v>
      </c>
      <c r="D2892" t="s">
        <v>13</v>
      </c>
      <c r="E2892">
        <v>100</v>
      </c>
      <c r="F2892">
        <v>3.5</v>
      </c>
    </row>
    <row r="2893" spans="1:6" x14ac:dyDescent="0.15">
      <c r="A2893" t="s">
        <v>210</v>
      </c>
      <c r="B2893" s="226">
        <v>42351.537936319444</v>
      </c>
      <c r="C2893" t="s">
        <v>14</v>
      </c>
      <c r="D2893" t="s">
        <v>13</v>
      </c>
      <c r="E2893">
        <v>100</v>
      </c>
      <c r="F2893">
        <v>3.5</v>
      </c>
    </row>
    <row r="2894" spans="1:6" x14ac:dyDescent="0.15">
      <c r="A2894" t="s">
        <v>210</v>
      </c>
      <c r="B2894" s="226">
        <v>42351.547081111108</v>
      </c>
      <c r="C2894" t="s">
        <v>2440</v>
      </c>
      <c r="D2894" t="s">
        <v>13</v>
      </c>
      <c r="E2894">
        <v>20</v>
      </c>
      <c r="F2894">
        <v>0</v>
      </c>
    </row>
    <row r="2895" spans="1:6" x14ac:dyDescent="0.15">
      <c r="A2895" t="s">
        <v>210</v>
      </c>
      <c r="B2895" s="226">
        <v>42351.548542199074</v>
      </c>
      <c r="C2895" t="s">
        <v>2441</v>
      </c>
      <c r="D2895" t="s">
        <v>13</v>
      </c>
      <c r="E2895">
        <v>140</v>
      </c>
      <c r="F2895">
        <v>0</v>
      </c>
    </row>
    <row r="2896" spans="1:6" x14ac:dyDescent="0.15">
      <c r="A2896" t="s">
        <v>210</v>
      </c>
      <c r="B2896" s="226">
        <v>42351.550688738425</v>
      </c>
      <c r="C2896" t="s">
        <v>2442</v>
      </c>
      <c r="D2896" t="s">
        <v>13</v>
      </c>
      <c r="E2896">
        <v>80</v>
      </c>
      <c r="F2896">
        <v>0</v>
      </c>
    </row>
    <row r="2897" spans="1:6" x14ac:dyDescent="0.15">
      <c r="A2897" t="s">
        <v>210</v>
      </c>
      <c r="B2897" s="226">
        <v>42351.554219305559</v>
      </c>
      <c r="C2897" t="s">
        <v>2443</v>
      </c>
      <c r="D2897" t="s">
        <v>13</v>
      </c>
      <c r="E2897">
        <v>20</v>
      </c>
      <c r="F2897">
        <v>0</v>
      </c>
    </row>
    <row r="2898" spans="1:6" x14ac:dyDescent="0.15">
      <c r="A2898" t="s">
        <v>210</v>
      </c>
      <c r="B2898" s="226">
        <v>42351.576045590278</v>
      </c>
      <c r="C2898" t="s">
        <v>2444</v>
      </c>
      <c r="D2898" t="s">
        <v>13</v>
      </c>
      <c r="E2898">
        <v>200</v>
      </c>
      <c r="F2898">
        <v>0</v>
      </c>
    </row>
    <row r="2899" spans="1:6" x14ac:dyDescent="0.15">
      <c r="A2899" t="s">
        <v>210</v>
      </c>
      <c r="B2899" s="226">
        <v>42351.611177511571</v>
      </c>
      <c r="C2899" t="s">
        <v>2445</v>
      </c>
      <c r="D2899" t="s">
        <v>13</v>
      </c>
      <c r="E2899">
        <v>200</v>
      </c>
      <c r="F2899">
        <v>0</v>
      </c>
    </row>
    <row r="2900" spans="1:6" x14ac:dyDescent="0.15">
      <c r="A2900" t="s">
        <v>210</v>
      </c>
      <c r="B2900" s="226">
        <v>42351.616649444448</v>
      </c>
      <c r="C2900" t="s">
        <v>2446</v>
      </c>
      <c r="D2900" t="s">
        <v>13</v>
      </c>
      <c r="E2900">
        <v>100</v>
      </c>
      <c r="F2900">
        <v>0</v>
      </c>
    </row>
    <row r="2901" spans="1:6" x14ac:dyDescent="0.15">
      <c r="A2901" t="s">
        <v>210</v>
      </c>
      <c r="B2901" s="226">
        <v>42351.623925324071</v>
      </c>
      <c r="C2901" t="s">
        <v>1782</v>
      </c>
      <c r="D2901" t="s">
        <v>13</v>
      </c>
      <c r="E2901">
        <v>40</v>
      </c>
      <c r="F2901">
        <v>0</v>
      </c>
    </row>
    <row r="2902" spans="1:6" x14ac:dyDescent="0.15">
      <c r="A2902" t="s">
        <v>210</v>
      </c>
      <c r="B2902" s="226">
        <v>42351.62510996528</v>
      </c>
      <c r="C2902" t="s">
        <v>2447</v>
      </c>
      <c r="D2902" t="s">
        <v>13</v>
      </c>
      <c r="E2902">
        <v>80</v>
      </c>
      <c r="F2902">
        <v>0</v>
      </c>
    </row>
    <row r="2903" spans="1:6" x14ac:dyDescent="0.15">
      <c r="A2903" t="s">
        <v>210</v>
      </c>
      <c r="B2903" s="226">
        <v>42351.635906319447</v>
      </c>
      <c r="C2903" t="s">
        <v>2448</v>
      </c>
      <c r="D2903" t="s">
        <v>13</v>
      </c>
      <c r="E2903">
        <v>20</v>
      </c>
      <c r="F2903">
        <v>0</v>
      </c>
    </row>
    <row r="2904" spans="1:6" x14ac:dyDescent="0.15">
      <c r="A2904" t="s">
        <v>210</v>
      </c>
      <c r="B2904" s="226">
        <v>42351.636917303244</v>
      </c>
      <c r="C2904" t="s">
        <v>2449</v>
      </c>
      <c r="D2904" t="s">
        <v>13</v>
      </c>
      <c r="E2904">
        <v>100</v>
      </c>
      <c r="F2904">
        <v>0</v>
      </c>
    </row>
    <row r="2905" spans="1:6" x14ac:dyDescent="0.15">
      <c r="A2905" t="s">
        <v>210</v>
      </c>
      <c r="B2905" s="226">
        <v>42351.640638078701</v>
      </c>
      <c r="C2905" t="s">
        <v>14</v>
      </c>
      <c r="D2905" t="s">
        <v>13</v>
      </c>
      <c r="E2905">
        <v>200</v>
      </c>
      <c r="F2905">
        <v>3.5</v>
      </c>
    </row>
    <row r="2906" spans="1:6" x14ac:dyDescent="0.15">
      <c r="A2906" t="s">
        <v>210</v>
      </c>
      <c r="B2906" s="226">
        <v>42351.647221331019</v>
      </c>
      <c r="C2906" t="s">
        <v>2450</v>
      </c>
      <c r="D2906" t="s">
        <v>13</v>
      </c>
      <c r="E2906">
        <v>40</v>
      </c>
      <c r="F2906">
        <v>0</v>
      </c>
    </row>
    <row r="2907" spans="1:6" x14ac:dyDescent="0.15">
      <c r="A2907" t="s">
        <v>210</v>
      </c>
      <c r="B2907" s="226">
        <v>42351.671871203704</v>
      </c>
      <c r="C2907" t="s">
        <v>2451</v>
      </c>
      <c r="D2907" t="s">
        <v>13</v>
      </c>
      <c r="E2907">
        <v>40</v>
      </c>
      <c r="F2907">
        <v>0</v>
      </c>
    </row>
    <row r="2908" spans="1:6" x14ac:dyDescent="0.15">
      <c r="A2908" t="s">
        <v>210</v>
      </c>
      <c r="B2908" s="226">
        <v>42351.694263020836</v>
      </c>
      <c r="C2908" t="s">
        <v>2452</v>
      </c>
      <c r="D2908" t="s">
        <v>13</v>
      </c>
      <c r="E2908">
        <v>200</v>
      </c>
      <c r="F2908">
        <v>0</v>
      </c>
    </row>
    <row r="2909" spans="1:6" x14ac:dyDescent="0.15">
      <c r="A2909" t="s">
        <v>210</v>
      </c>
      <c r="B2909" s="226">
        <v>42351.695688194442</v>
      </c>
      <c r="C2909" t="s">
        <v>2453</v>
      </c>
      <c r="D2909" t="s">
        <v>13</v>
      </c>
      <c r="E2909">
        <v>40</v>
      </c>
      <c r="F2909">
        <v>0</v>
      </c>
    </row>
    <row r="2910" spans="1:6" x14ac:dyDescent="0.15">
      <c r="A2910" t="s">
        <v>210</v>
      </c>
      <c r="B2910" s="226">
        <v>42351.696853738424</v>
      </c>
      <c r="C2910" t="s">
        <v>1940</v>
      </c>
      <c r="D2910" t="s">
        <v>13</v>
      </c>
      <c r="E2910">
        <v>80</v>
      </c>
      <c r="F2910">
        <v>0</v>
      </c>
    </row>
    <row r="2911" spans="1:6" x14ac:dyDescent="0.15">
      <c r="A2911" t="s">
        <v>210</v>
      </c>
      <c r="B2911" s="226">
        <v>42351.698483958331</v>
      </c>
      <c r="C2911" t="s">
        <v>2454</v>
      </c>
      <c r="D2911" t="s">
        <v>13</v>
      </c>
      <c r="E2911">
        <v>40</v>
      </c>
      <c r="F2911">
        <v>0</v>
      </c>
    </row>
    <row r="2912" spans="1:6" x14ac:dyDescent="0.15">
      <c r="A2912" t="s">
        <v>210</v>
      </c>
      <c r="B2912" s="226">
        <v>42351.707370914351</v>
      </c>
      <c r="C2912" t="s">
        <v>2455</v>
      </c>
      <c r="D2912" t="s">
        <v>13</v>
      </c>
      <c r="E2912">
        <v>40</v>
      </c>
      <c r="F2912">
        <v>0</v>
      </c>
    </row>
    <row r="2913" spans="1:6" x14ac:dyDescent="0.15">
      <c r="A2913" t="s">
        <v>210</v>
      </c>
      <c r="B2913" s="226">
        <v>42351.713775694443</v>
      </c>
      <c r="C2913" t="s">
        <v>2456</v>
      </c>
      <c r="D2913" t="s">
        <v>13</v>
      </c>
      <c r="E2913">
        <v>40</v>
      </c>
      <c r="F2913">
        <v>0</v>
      </c>
    </row>
    <row r="2914" spans="1:6" x14ac:dyDescent="0.15">
      <c r="A2914" t="s">
        <v>210</v>
      </c>
      <c r="B2914" s="226">
        <v>42351.733696759256</v>
      </c>
      <c r="C2914" t="s">
        <v>832</v>
      </c>
      <c r="D2914" t="s">
        <v>13</v>
      </c>
      <c r="E2914">
        <v>80</v>
      </c>
      <c r="F2914">
        <v>0</v>
      </c>
    </row>
    <row r="2915" spans="1:6" x14ac:dyDescent="0.15">
      <c r="A2915" t="s">
        <v>210</v>
      </c>
      <c r="B2915" s="226">
        <v>42351.736754016201</v>
      </c>
      <c r="C2915" t="s">
        <v>1318</v>
      </c>
      <c r="D2915" t="s">
        <v>13</v>
      </c>
      <c r="E2915">
        <v>100</v>
      </c>
      <c r="F2915">
        <v>0</v>
      </c>
    </row>
    <row r="2916" spans="1:6" x14ac:dyDescent="0.15">
      <c r="A2916" t="s">
        <v>210</v>
      </c>
      <c r="B2916" s="226">
        <v>42351.783912604165</v>
      </c>
      <c r="C2916" t="s">
        <v>2457</v>
      </c>
      <c r="D2916" t="s">
        <v>13</v>
      </c>
      <c r="E2916">
        <v>200</v>
      </c>
      <c r="F2916">
        <v>0</v>
      </c>
    </row>
    <row r="2917" spans="1:6" x14ac:dyDescent="0.15">
      <c r="A2917" t="s">
        <v>210</v>
      </c>
      <c r="B2917" s="226">
        <v>42352.294528182872</v>
      </c>
      <c r="C2917" t="s">
        <v>2458</v>
      </c>
      <c r="D2917" t="s">
        <v>13</v>
      </c>
      <c r="E2917">
        <v>80</v>
      </c>
      <c r="F2917">
        <v>0</v>
      </c>
    </row>
    <row r="2918" spans="1:6" x14ac:dyDescent="0.15">
      <c r="A2918" t="s">
        <v>210</v>
      </c>
      <c r="B2918" s="226">
        <v>42352.313328553239</v>
      </c>
      <c r="C2918" t="s">
        <v>260</v>
      </c>
      <c r="D2918" t="s">
        <v>13</v>
      </c>
      <c r="E2918">
        <v>40</v>
      </c>
      <c r="F2918">
        <v>0</v>
      </c>
    </row>
    <row r="2919" spans="1:6" x14ac:dyDescent="0.15">
      <c r="A2919" t="s">
        <v>210</v>
      </c>
      <c r="B2919" s="226">
        <v>42352.322404074075</v>
      </c>
      <c r="C2919" t="s">
        <v>191</v>
      </c>
      <c r="D2919" t="s">
        <v>13</v>
      </c>
      <c r="E2919">
        <v>220</v>
      </c>
      <c r="F2919">
        <v>0</v>
      </c>
    </row>
    <row r="2920" spans="1:6" x14ac:dyDescent="0.15">
      <c r="A2920" t="s">
        <v>210</v>
      </c>
      <c r="B2920" s="226">
        <v>42352.370152951386</v>
      </c>
      <c r="C2920" t="s">
        <v>516</v>
      </c>
      <c r="D2920" t="s">
        <v>13</v>
      </c>
      <c r="E2920">
        <v>20</v>
      </c>
      <c r="F2920">
        <v>0</v>
      </c>
    </row>
    <row r="2921" spans="1:6" x14ac:dyDescent="0.15">
      <c r="A2921" t="s">
        <v>210</v>
      </c>
      <c r="B2921" s="226">
        <v>42352.396774236113</v>
      </c>
      <c r="C2921" t="s">
        <v>2459</v>
      </c>
      <c r="D2921" t="s">
        <v>13</v>
      </c>
      <c r="E2921">
        <v>100</v>
      </c>
      <c r="F2921">
        <v>0</v>
      </c>
    </row>
    <row r="2922" spans="1:6" x14ac:dyDescent="0.15">
      <c r="A2922" t="s">
        <v>210</v>
      </c>
      <c r="B2922" s="226">
        <v>42352.424942638892</v>
      </c>
      <c r="C2922" t="s">
        <v>2376</v>
      </c>
      <c r="D2922" t="s">
        <v>13</v>
      </c>
      <c r="E2922">
        <v>40</v>
      </c>
      <c r="F2922">
        <v>0</v>
      </c>
    </row>
    <row r="2923" spans="1:6" x14ac:dyDescent="0.15">
      <c r="A2923" t="s">
        <v>210</v>
      </c>
      <c r="B2923" s="226">
        <v>42352.430021782406</v>
      </c>
      <c r="C2923" t="s">
        <v>517</v>
      </c>
      <c r="D2923" t="s">
        <v>13</v>
      </c>
      <c r="E2923">
        <v>80</v>
      </c>
      <c r="F2923">
        <v>0</v>
      </c>
    </row>
    <row r="2924" spans="1:6" x14ac:dyDescent="0.15">
      <c r="A2924" t="s">
        <v>210</v>
      </c>
      <c r="B2924" s="226">
        <v>42352.45348369213</v>
      </c>
      <c r="C2924" t="s">
        <v>518</v>
      </c>
      <c r="D2924" t="s">
        <v>13</v>
      </c>
      <c r="E2924">
        <v>80</v>
      </c>
      <c r="F2924">
        <v>0</v>
      </c>
    </row>
    <row r="2925" spans="1:6" x14ac:dyDescent="0.15">
      <c r="A2925" t="s">
        <v>210</v>
      </c>
      <c r="B2925" s="226">
        <v>42352.462604131942</v>
      </c>
      <c r="C2925" t="s">
        <v>650</v>
      </c>
      <c r="D2925" t="s">
        <v>13</v>
      </c>
      <c r="E2925">
        <v>40</v>
      </c>
      <c r="F2925">
        <v>0</v>
      </c>
    </row>
    <row r="2926" spans="1:6" x14ac:dyDescent="0.15">
      <c r="A2926" t="s">
        <v>210</v>
      </c>
      <c r="B2926" s="226">
        <v>42352.479827905096</v>
      </c>
      <c r="C2926" t="s">
        <v>519</v>
      </c>
      <c r="D2926" t="s">
        <v>13</v>
      </c>
      <c r="E2926">
        <v>40</v>
      </c>
      <c r="F2926">
        <v>0</v>
      </c>
    </row>
    <row r="2927" spans="1:6" x14ac:dyDescent="0.15">
      <c r="A2927" t="s">
        <v>210</v>
      </c>
      <c r="B2927" s="226">
        <v>42352.481305497684</v>
      </c>
      <c r="C2927" t="s">
        <v>1302</v>
      </c>
      <c r="D2927" t="s">
        <v>13</v>
      </c>
      <c r="E2927">
        <v>180</v>
      </c>
      <c r="F2927">
        <v>0</v>
      </c>
    </row>
    <row r="2928" spans="1:6" x14ac:dyDescent="0.15">
      <c r="A2928" t="s">
        <v>210</v>
      </c>
      <c r="B2928" s="226">
        <v>42352.483990081018</v>
      </c>
      <c r="C2928" t="s">
        <v>2460</v>
      </c>
      <c r="D2928" t="s">
        <v>13</v>
      </c>
      <c r="E2928">
        <v>40</v>
      </c>
      <c r="F2928">
        <v>0</v>
      </c>
    </row>
    <row r="2929" spans="1:6" x14ac:dyDescent="0.15">
      <c r="A2929" t="s">
        <v>210</v>
      </c>
      <c r="B2929" s="226">
        <v>42352.491485810184</v>
      </c>
      <c r="C2929" t="s">
        <v>699</v>
      </c>
      <c r="D2929" t="s">
        <v>13</v>
      </c>
      <c r="E2929">
        <v>40</v>
      </c>
      <c r="F2929">
        <v>0</v>
      </c>
    </row>
    <row r="2930" spans="1:6" x14ac:dyDescent="0.15">
      <c r="A2930" t="s">
        <v>210</v>
      </c>
      <c r="B2930" s="226">
        <v>42352.492689386578</v>
      </c>
      <c r="C2930" t="s">
        <v>14</v>
      </c>
      <c r="D2930" t="s">
        <v>13</v>
      </c>
      <c r="E2930">
        <v>100</v>
      </c>
      <c r="F2930">
        <v>3.5</v>
      </c>
    </row>
    <row r="2931" spans="1:6" x14ac:dyDescent="0.15">
      <c r="A2931" t="s">
        <v>210</v>
      </c>
      <c r="B2931" s="226">
        <v>42352.497973437501</v>
      </c>
      <c r="C2931" t="s">
        <v>2461</v>
      </c>
      <c r="D2931" t="s">
        <v>13</v>
      </c>
      <c r="E2931">
        <v>60</v>
      </c>
      <c r="F2931">
        <v>0</v>
      </c>
    </row>
    <row r="2932" spans="1:6" x14ac:dyDescent="0.15">
      <c r="A2932" t="s">
        <v>210</v>
      </c>
      <c r="B2932" s="226">
        <v>42352.503632685184</v>
      </c>
      <c r="C2932" t="s">
        <v>2462</v>
      </c>
      <c r="D2932" t="s">
        <v>13</v>
      </c>
      <c r="E2932">
        <v>40</v>
      </c>
      <c r="F2932">
        <v>0</v>
      </c>
    </row>
    <row r="2933" spans="1:6" x14ac:dyDescent="0.15">
      <c r="A2933" t="s">
        <v>210</v>
      </c>
      <c r="B2933" s="226">
        <v>42352.506366608795</v>
      </c>
      <c r="C2933" t="s">
        <v>2463</v>
      </c>
      <c r="D2933" t="s">
        <v>13</v>
      </c>
      <c r="E2933">
        <v>40</v>
      </c>
      <c r="F2933">
        <v>0</v>
      </c>
    </row>
    <row r="2934" spans="1:6" x14ac:dyDescent="0.15">
      <c r="A2934" t="s">
        <v>210</v>
      </c>
      <c r="B2934" s="226">
        <v>42352.508408402777</v>
      </c>
      <c r="C2934" t="s">
        <v>14</v>
      </c>
      <c r="D2934" t="s">
        <v>15</v>
      </c>
      <c r="E2934">
        <v>20</v>
      </c>
      <c r="F2934">
        <v>3.1</v>
      </c>
    </row>
    <row r="2935" spans="1:6" x14ac:dyDescent="0.15">
      <c r="A2935" t="s">
        <v>210</v>
      </c>
      <c r="B2935" s="226">
        <v>42352.515714884263</v>
      </c>
      <c r="C2935" t="s">
        <v>520</v>
      </c>
      <c r="D2935" t="s">
        <v>13</v>
      </c>
      <c r="E2935">
        <v>40</v>
      </c>
      <c r="F2935">
        <v>0</v>
      </c>
    </row>
    <row r="2936" spans="1:6" x14ac:dyDescent="0.15">
      <c r="A2936" t="s">
        <v>210</v>
      </c>
      <c r="B2936" s="226">
        <v>42352.553552141202</v>
      </c>
      <c r="C2936" t="s">
        <v>2464</v>
      </c>
      <c r="D2936" t="s">
        <v>13</v>
      </c>
      <c r="E2936">
        <v>80</v>
      </c>
      <c r="F2936">
        <v>0</v>
      </c>
    </row>
    <row r="2937" spans="1:6" x14ac:dyDescent="0.15">
      <c r="A2937" t="s">
        <v>210</v>
      </c>
      <c r="B2937" s="226">
        <v>42352.558157233798</v>
      </c>
      <c r="C2937" t="s">
        <v>2465</v>
      </c>
      <c r="D2937" t="s">
        <v>13</v>
      </c>
      <c r="E2937">
        <v>20</v>
      </c>
      <c r="F2937">
        <v>0</v>
      </c>
    </row>
    <row r="2938" spans="1:6" x14ac:dyDescent="0.15">
      <c r="A2938" t="s">
        <v>210</v>
      </c>
      <c r="B2938" s="226">
        <v>42352.586941180554</v>
      </c>
      <c r="C2938" t="s">
        <v>2466</v>
      </c>
      <c r="D2938" t="s">
        <v>13</v>
      </c>
      <c r="E2938">
        <v>60</v>
      </c>
      <c r="F2938">
        <v>0</v>
      </c>
    </row>
    <row r="2939" spans="1:6" x14ac:dyDescent="0.15">
      <c r="A2939" t="s">
        <v>210</v>
      </c>
      <c r="B2939" s="226">
        <v>42352.605790335649</v>
      </c>
      <c r="C2939" t="s">
        <v>2467</v>
      </c>
      <c r="D2939" t="s">
        <v>13</v>
      </c>
      <c r="E2939">
        <v>40</v>
      </c>
      <c r="F2939">
        <v>0</v>
      </c>
    </row>
    <row r="2940" spans="1:6" x14ac:dyDescent="0.15">
      <c r="A2940" t="s">
        <v>210</v>
      </c>
      <c r="B2940" s="226">
        <v>42352.615299826386</v>
      </c>
      <c r="C2940" t="s">
        <v>71</v>
      </c>
      <c r="D2940" t="s">
        <v>13</v>
      </c>
      <c r="E2940">
        <v>100</v>
      </c>
      <c r="F2940">
        <v>0</v>
      </c>
    </row>
    <row r="2941" spans="1:6" x14ac:dyDescent="0.15">
      <c r="A2941" t="s">
        <v>210</v>
      </c>
      <c r="B2941" s="226">
        <v>42352.635018587964</v>
      </c>
      <c r="C2941" t="s">
        <v>447</v>
      </c>
      <c r="D2941" t="s">
        <v>13</v>
      </c>
      <c r="E2941">
        <v>80</v>
      </c>
      <c r="F2941">
        <v>0</v>
      </c>
    </row>
    <row r="2942" spans="1:6" x14ac:dyDescent="0.15">
      <c r="A2942" t="s">
        <v>210</v>
      </c>
      <c r="B2942" s="226">
        <v>42352.653618101853</v>
      </c>
      <c r="C2942" t="s">
        <v>2468</v>
      </c>
      <c r="D2942" t="s">
        <v>13</v>
      </c>
      <c r="E2942">
        <v>120</v>
      </c>
      <c r="F2942">
        <v>0</v>
      </c>
    </row>
    <row r="2943" spans="1:6" x14ac:dyDescent="0.15">
      <c r="A2943" t="s">
        <v>210</v>
      </c>
      <c r="B2943" s="226">
        <v>42352.656983831017</v>
      </c>
      <c r="C2943" t="s">
        <v>521</v>
      </c>
      <c r="D2943" t="s">
        <v>13</v>
      </c>
      <c r="E2943">
        <v>40</v>
      </c>
      <c r="F2943">
        <v>0</v>
      </c>
    </row>
    <row r="2944" spans="1:6" x14ac:dyDescent="0.15">
      <c r="A2944" t="s">
        <v>210</v>
      </c>
      <c r="B2944" s="226">
        <v>42352.673275682871</v>
      </c>
      <c r="C2944" t="s">
        <v>2469</v>
      </c>
      <c r="D2944" t="s">
        <v>13</v>
      </c>
      <c r="E2944">
        <v>100</v>
      </c>
      <c r="F2944">
        <v>0</v>
      </c>
    </row>
    <row r="2945" spans="1:6" x14ac:dyDescent="0.15">
      <c r="A2945" t="s">
        <v>210</v>
      </c>
      <c r="B2945" s="226">
        <v>42352.676304363427</v>
      </c>
      <c r="C2945" t="s">
        <v>505</v>
      </c>
      <c r="D2945" t="s">
        <v>13</v>
      </c>
      <c r="E2945">
        <v>40</v>
      </c>
      <c r="F2945">
        <v>0</v>
      </c>
    </row>
    <row r="2946" spans="1:6" x14ac:dyDescent="0.15">
      <c r="A2946" t="s">
        <v>210</v>
      </c>
      <c r="B2946" s="226">
        <v>42352.681608587962</v>
      </c>
      <c r="C2946" t="s">
        <v>14</v>
      </c>
      <c r="D2946" t="s">
        <v>15</v>
      </c>
      <c r="E2946">
        <v>100</v>
      </c>
      <c r="F2946">
        <v>5.5</v>
      </c>
    </row>
    <row r="2947" spans="1:6" x14ac:dyDescent="0.15">
      <c r="A2947" t="s">
        <v>210</v>
      </c>
      <c r="B2947" s="226">
        <v>42352.690423773151</v>
      </c>
      <c r="C2947" t="s">
        <v>522</v>
      </c>
      <c r="D2947" t="s">
        <v>13</v>
      </c>
      <c r="E2947">
        <v>200</v>
      </c>
      <c r="F2947">
        <v>0</v>
      </c>
    </row>
    <row r="2948" spans="1:6" x14ac:dyDescent="0.15">
      <c r="A2948" t="s">
        <v>210</v>
      </c>
      <c r="B2948" s="226">
        <v>42352.730079120367</v>
      </c>
      <c r="C2948" t="s">
        <v>2470</v>
      </c>
      <c r="D2948" t="s">
        <v>13</v>
      </c>
      <c r="E2948">
        <v>200</v>
      </c>
      <c r="F2948">
        <v>0</v>
      </c>
    </row>
    <row r="2949" spans="1:6" x14ac:dyDescent="0.15">
      <c r="A2949" t="s">
        <v>210</v>
      </c>
      <c r="B2949" s="226">
        <v>42352.732368576391</v>
      </c>
      <c r="C2949" t="s">
        <v>2260</v>
      </c>
      <c r="D2949" t="s">
        <v>13</v>
      </c>
      <c r="E2949">
        <v>40</v>
      </c>
      <c r="F2949">
        <v>0</v>
      </c>
    </row>
    <row r="2950" spans="1:6" x14ac:dyDescent="0.15">
      <c r="A2950" t="s">
        <v>210</v>
      </c>
      <c r="B2950" s="226">
        <v>42352.740090706022</v>
      </c>
      <c r="C2950" t="s">
        <v>2471</v>
      </c>
      <c r="D2950" t="s">
        <v>13</v>
      </c>
      <c r="E2950">
        <v>60</v>
      </c>
      <c r="F2950">
        <v>0</v>
      </c>
    </row>
    <row r="2951" spans="1:6" x14ac:dyDescent="0.15">
      <c r="A2951" t="s">
        <v>210</v>
      </c>
      <c r="B2951" s="226">
        <v>42352.750636423611</v>
      </c>
      <c r="C2951" t="s">
        <v>2472</v>
      </c>
      <c r="D2951" t="s">
        <v>13</v>
      </c>
      <c r="E2951">
        <v>40</v>
      </c>
      <c r="F2951">
        <v>0</v>
      </c>
    </row>
    <row r="2952" spans="1:6" x14ac:dyDescent="0.15">
      <c r="A2952" t="s">
        <v>210</v>
      </c>
      <c r="B2952" s="226">
        <v>42352.75121707176</v>
      </c>
      <c r="C2952" t="s">
        <v>2473</v>
      </c>
      <c r="D2952" t="s">
        <v>13</v>
      </c>
      <c r="E2952">
        <v>40</v>
      </c>
      <c r="F2952">
        <v>0</v>
      </c>
    </row>
    <row r="2953" spans="1:6" x14ac:dyDescent="0.15">
      <c r="A2953" t="s">
        <v>210</v>
      </c>
      <c r="B2953" s="226">
        <v>42352.756100625003</v>
      </c>
      <c r="C2953" t="s">
        <v>166</v>
      </c>
      <c r="D2953" t="s">
        <v>13</v>
      </c>
      <c r="E2953">
        <v>100</v>
      </c>
      <c r="F2953">
        <v>0</v>
      </c>
    </row>
    <row r="2954" spans="1:6" x14ac:dyDescent="0.15">
      <c r="A2954" t="s">
        <v>210</v>
      </c>
      <c r="B2954" s="226">
        <v>42352.763586562498</v>
      </c>
      <c r="C2954" t="s">
        <v>14</v>
      </c>
      <c r="D2954" t="s">
        <v>13</v>
      </c>
      <c r="E2954">
        <v>40</v>
      </c>
      <c r="F2954">
        <v>3.5</v>
      </c>
    </row>
    <row r="2955" spans="1:6" x14ac:dyDescent="0.15">
      <c r="A2955" t="s">
        <v>210</v>
      </c>
      <c r="B2955" s="226">
        <v>42352.764655115738</v>
      </c>
      <c r="C2955" t="s">
        <v>14</v>
      </c>
      <c r="D2955" t="s">
        <v>13</v>
      </c>
      <c r="E2955">
        <v>100</v>
      </c>
      <c r="F2955">
        <v>3.5</v>
      </c>
    </row>
    <row r="2956" spans="1:6" x14ac:dyDescent="0.15">
      <c r="A2956" t="s">
        <v>210</v>
      </c>
      <c r="B2956" s="226">
        <v>42352.778577187499</v>
      </c>
      <c r="C2956" t="s">
        <v>966</v>
      </c>
      <c r="D2956" t="s">
        <v>13</v>
      </c>
      <c r="E2956">
        <v>100</v>
      </c>
      <c r="F2956">
        <v>0</v>
      </c>
    </row>
    <row r="2957" spans="1:6" x14ac:dyDescent="0.15">
      <c r="A2957" t="s">
        <v>210</v>
      </c>
      <c r="B2957" s="226">
        <v>42352.779304224539</v>
      </c>
      <c r="C2957" t="s">
        <v>14</v>
      </c>
      <c r="D2957" t="s">
        <v>13</v>
      </c>
      <c r="E2957">
        <v>120</v>
      </c>
      <c r="F2957">
        <v>3.5</v>
      </c>
    </row>
    <row r="2958" spans="1:6" x14ac:dyDescent="0.15">
      <c r="A2958" t="s">
        <v>210</v>
      </c>
      <c r="B2958" s="226">
        <v>42352.816009525464</v>
      </c>
      <c r="C2958" t="s">
        <v>2474</v>
      </c>
      <c r="D2958" t="s">
        <v>13</v>
      </c>
      <c r="E2958">
        <v>40</v>
      </c>
      <c r="F2958">
        <v>0</v>
      </c>
    </row>
    <row r="2959" spans="1:6" x14ac:dyDescent="0.15">
      <c r="A2959" t="s">
        <v>210</v>
      </c>
      <c r="B2959" s="226">
        <v>42352.81964371528</v>
      </c>
      <c r="C2959" t="s">
        <v>2475</v>
      </c>
      <c r="D2959" t="s">
        <v>13</v>
      </c>
      <c r="E2959">
        <v>40</v>
      </c>
      <c r="F2959">
        <v>0</v>
      </c>
    </row>
    <row r="2960" spans="1:6" x14ac:dyDescent="0.15">
      <c r="A2960" t="s">
        <v>210</v>
      </c>
      <c r="B2960" s="226">
        <v>42352.824127372682</v>
      </c>
      <c r="C2960" t="s">
        <v>2476</v>
      </c>
      <c r="D2960" t="s">
        <v>13</v>
      </c>
      <c r="E2960">
        <v>400</v>
      </c>
      <c r="F2960">
        <v>0</v>
      </c>
    </row>
    <row r="2961" spans="1:6" x14ac:dyDescent="0.15">
      <c r="A2961" t="s">
        <v>210</v>
      </c>
      <c r="B2961" s="226">
        <v>42352.943265902781</v>
      </c>
      <c r="C2961" t="s">
        <v>2477</v>
      </c>
      <c r="D2961" t="s">
        <v>13</v>
      </c>
      <c r="E2961">
        <v>80</v>
      </c>
      <c r="F2961">
        <v>0</v>
      </c>
    </row>
    <row r="2962" spans="1:6" x14ac:dyDescent="0.15">
      <c r="A2962" t="s">
        <v>210</v>
      </c>
      <c r="B2962" s="226">
        <v>42352.984597905095</v>
      </c>
      <c r="C2962" t="s">
        <v>2478</v>
      </c>
      <c r="D2962" t="s">
        <v>13</v>
      </c>
      <c r="E2962">
        <v>40</v>
      </c>
      <c r="F2962">
        <v>0</v>
      </c>
    </row>
    <row r="2963" spans="1:6" x14ac:dyDescent="0.15">
      <c r="A2963" t="s">
        <v>210</v>
      </c>
      <c r="B2963" s="226">
        <v>42353.290935347221</v>
      </c>
      <c r="C2963" t="s">
        <v>2479</v>
      </c>
      <c r="D2963" t="s">
        <v>15</v>
      </c>
      <c r="E2963">
        <v>120</v>
      </c>
      <c r="F2963">
        <v>3.6</v>
      </c>
    </row>
    <row r="2964" spans="1:6" x14ac:dyDescent="0.15">
      <c r="A2964" t="s">
        <v>210</v>
      </c>
      <c r="B2964" s="226">
        <v>42353.292267349534</v>
      </c>
      <c r="C2964" t="s">
        <v>2480</v>
      </c>
      <c r="D2964" t="s">
        <v>13</v>
      </c>
      <c r="E2964">
        <v>40</v>
      </c>
      <c r="F2964">
        <v>0</v>
      </c>
    </row>
    <row r="2965" spans="1:6" x14ac:dyDescent="0.15">
      <c r="A2965" t="s">
        <v>210</v>
      </c>
      <c r="B2965" s="226">
        <v>42353.294893368053</v>
      </c>
      <c r="C2965" t="s">
        <v>851</v>
      </c>
      <c r="D2965" t="s">
        <v>13</v>
      </c>
      <c r="E2965">
        <v>40</v>
      </c>
      <c r="F2965">
        <v>0</v>
      </c>
    </row>
    <row r="2966" spans="1:6" x14ac:dyDescent="0.15">
      <c r="A2966" t="s">
        <v>210</v>
      </c>
      <c r="B2966" s="226">
        <v>42353.323940011571</v>
      </c>
      <c r="C2966" t="s">
        <v>2481</v>
      </c>
      <c r="D2966" t="s">
        <v>13</v>
      </c>
      <c r="E2966">
        <v>20</v>
      </c>
      <c r="F2966">
        <v>0</v>
      </c>
    </row>
    <row r="2967" spans="1:6" x14ac:dyDescent="0.15">
      <c r="A2967" t="s">
        <v>210</v>
      </c>
      <c r="B2967" s="226">
        <v>42353.325714305553</v>
      </c>
      <c r="C2967" t="s">
        <v>2482</v>
      </c>
      <c r="D2967" t="s">
        <v>13</v>
      </c>
      <c r="E2967">
        <v>40</v>
      </c>
      <c r="F2967">
        <v>0</v>
      </c>
    </row>
    <row r="2968" spans="1:6" x14ac:dyDescent="0.15">
      <c r="A2968" t="s">
        <v>210</v>
      </c>
      <c r="B2968" s="226">
        <v>42353.333961886572</v>
      </c>
      <c r="C2968" t="s">
        <v>2483</v>
      </c>
      <c r="D2968" t="s">
        <v>13</v>
      </c>
      <c r="E2968">
        <v>40</v>
      </c>
      <c r="F2968">
        <v>0</v>
      </c>
    </row>
    <row r="2969" spans="1:6" x14ac:dyDescent="0.15">
      <c r="A2969" t="s">
        <v>210</v>
      </c>
      <c r="B2969" s="226">
        <v>42353.341257488428</v>
      </c>
      <c r="C2969" t="s">
        <v>731</v>
      </c>
      <c r="D2969" t="s">
        <v>13</v>
      </c>
      <c r="E2969">
        <v>60</v>
      </c>
      <c r="F2969">
        <v>0</v>
      </c>
    </row>
    <row r="2970" spans="1:6" x14ac:dyDescent="0.15">
      <c r="A2970" t="s">
        <v>210</v>
      </c>
      <c r="B2970" s="226">
        <v>42353.363880567129</v>
      </c>
      <c r="C2970" t="s">
        <v>2484</v>
      </c>
      <c r="D2970" t="s">
        <v>13</v>
      </c>
      <c r="E2970">
        <v>200</v>
      </c>
      <c r="F2970">
        <v>0</v>
      </c>
    </row>
    <row r="2971" spans="1:6" x14ac:dyDescent="0.15">
      <c r="A2971" t="s">
        <v>210</v>
      </c>
      <c r="B2971" s="226">
        <v>42353.371482881943</v>
      </c>
      <c r="C2971" t="s">
        <v>2338</v>
      </c>
      <c r="D2971" t="s">
        <v>13</v>
      </c>
      <c r="E2971">
        <v>20</v>
      </c>
      <c r="F2971">
        <v>0</v>
      </c>
    </row>
    <row r="2972" spans="1:6" x14ac:dyDescent="0.15">
      <c r="A2972" t="s">
        <v>210</v>
      </c>
      <c r="B2972" s="226">
        <v>42353.383103287037</v>
      </c>
      <c r="C2972" t="s">
        <v>523</v>
      </c>
      <c r="D2972" t="s">
        <v>13</v>
      </c>
      <c r="E2972">
        <v>120</v>
      </c>
      <c r="F2972">
        <v>0</v>
      </c>
    </row>
    <row r="2973" spans="1:6" x14ac:dyDescent="0.15">
      <c r="A2973" t="s">
        <v>210</v>
      </c>
      <c r="B2973" s="226">
        <v>42353.389700219908</v>
      </c>
      <c r="C2973" t="s">
        <v>267</v>
      </c>
      <c r="D2973" t="s">
        <v>13</v>
      </c>
      <c r="E2973">
        <v>200</v>
      </c>
      <c r="F2973">
        <v>0</v>
      </c>
    </row>
    <row r="2974" spans="1:6" x14ac:dyDescent="0.15">
      <c r="A2974" t="s">
        <v>210</v>
      </c>
      <c r="B2974" s="226">
        <v>42353.426153796296</v>
      </c>
      <c r="C2974" t="s">
        <v>2485</v>
      </c>
      <c r="D2974" t="s">
        <v>13</v>
      </c>
      <c r="E2974">
        <v>100</v>
      </c>
      <c r="F2974">
        <v>0</v>
      </c>
    </row>
    <row r="2975" spans="1:6" x14ac:dyDescent="0.15">
      <c r="A2975" t="s">
        <v>210</v>
      </c>
      <c r="B2975" s="226">
        <v>42353.442011284722</v>
      </c>
      <c r="C2975" t="s">
        <v>170</v>
      </c>
      <c r="D2975" t="s">
        <v>13</v>
      </c>
      <c r="E2975">
        <v>60</v>
      </c>
      <c r="F2975">
        <v>0</v>
      </c>
    </row>
    <row r="2976" spans="1:6" x14ac:dyDescent="0.15">
      <c r="A2976" t="s">
        <v>210</v>
      </c>
      <c r="B2976" s="226">
        <v>42353.448660011571</v>
      </c>
      <c r="C2976" t="s">
        <v>610</v>
      </c>
      <c r="D2976" t="s">
        <v>13</v>
      </c>
      <c r="E2976">
        <v>500</v>
      </c>
      <c r="F2976">
        <v>0</v>
      </c>
    </row>
    <row r="2977" spans="1:6" x14ac:dyDescent="0.15">
      <c r="A2977" t="s">
        <v>210</v>
      </c>
      <c r="B2977" s="226">
        <v>42353.462040752318</v>
      </c>
      <c r="C2977" t="s">
        <v>2486</v>
      </c>
      <c r="D2977" t="s">
        <v>13</v>
      </c>
      <c r="E2977">
        <v>40</v>
      </c>
      <c r="F2977">
        <v>0</v>
      </c>
    </row>
    <row r="2978" spans="1:6" x14ac:dyDescent="0.15">
      <c r="A2978" t="s">
        <v>210</v>
      </c>
      <c r="B2978" s="226">
        <v>42353.464208136575</v>
      </c>
      <c r="C2978" t="s">
        <v>2487</v>
      </c>
      <c r="D2978" t="s">
        <v>13</v>
      </c>
      <c r="E2978">
        <v>40</v>
      </c>
      <c r="F2978">
        <v>0</v>
      </c>
    </row>
    <row r="2979" spans="1:6" x14ac:dyDescent="0.15">
      <c r="A2979" t="s">
        <v>210</v>
      </c>
      <c r="B2979" s="226">
        <v>42353.470571979167</v>
      </c>
      <c r="C2979" t="s">
        <v>2488</v>
      </c>
      <c r="D2979" t="s">
        <v>13</v>
      </c>
      <c r="E2979">
        <v>20</v>
      </c>
      <c r="F2979">
        <v>0</v>
      </c>
    </row>
    <row r="2980" spans="1:6" x14ac:dyDescent="0.15">
      <c r="A2980" t="s">
        <v>210</v>
      </c>
      <c r="B2980" s="226">
        <v>42353.473876759257</v>
      </c>
      <c r="C2980" t="s">
        <v>2489</v>
      </c>
      <c r="D2980" t="s">
        <v>13</v>
      </c>
      <c r="E2980">
        <v>60</v>
      </c>
      <c r="F2980">
        <v>0</v>
      </c>
    </row>
    <row r="2981" spans="1:6" x14ac:dyDescent="0.15">
      <c r="A2981" t="s">
        <v>210</v>
      </c>
      <c r="B2981" s="226">
        <v>42353.481544768518</v>
      </c>
      <c r="C2981" t="s">
        <v>2490</v>
      </c>
      <c r="D2981" t="s">
        <v>13</v>
      </c>
      <c r="E2981">
        <v>100</v>
      </c>
      <c r="F2981">
        <v>0</v>
      </c>
    </row>
    <row r="2982" spans="1:6" x14ac:dyDescent="0.15">
      <c r="A2982" t="s">
        <v>210</v>
      </c>
      <c r="B2982" s="226">
        <v>42353.487391388888</v>
      </c>
      <c r="C2982" t="s">
        <v>127</v>
      </c>
      <c r="D2982" t="s">
        <v>13</v>
      </c>
      <c r="E2982">
        <v>20</v>
      </c>
      <c r="F2982">
        <v>0</v>
      </c>
    </row>
    <row r="2983" spans="1:6" x14ac:dyDescent="0.15">
      <c r="A2983" t="s">
        <v>210</v>
      </c>
      <c r="B2983" s="226">
        <v>42353.490639212963</v>
      </c>
      <c r="C2983" t="s">
        <v>2491</v>
      </c>
      <c r="D2983" t="s">
        <v>15</v>
      </c>
      <c r="E2983">
        <v>20</v>
      </c>
      <c r="F2983">
        <v>0.6</v>
      </c>
    </row>
    <row r="2984" spans="1:6" x14ac:dyDescent="0.15">
      <c r="A2984" t="s">
        <v>210</v>
      </c>
      <c r="B2984" s="226">
        <v>42353.509205127317</v>
      </c>
      <c r="C2984" t="s">
        <v>2492</v>
      </c>
      <c r="D2984" t="s">
        <v>13</v>
      </c>
      <c r="E2984">
        <v>60</v>
      </c>
      <c r="F2984">
        <v>0</v>
      </c>
    </row>
    <row r="2985" spans="1:6" x14ac:dyDescent="0.15">
      <c r="A2985" t="s">
        <v>210</v>
      </c>
      <c r="B2985" s="226">
        <v>42353.559471527777</v>
      </c>
      <c r="C2985" t="s">
        <v>230</v>
      </c>
      <c r="D2985" t="s">
        <v>13</v>
      </c>
      <c r="E2985">
        <v>40</v>
      </c>
      <c r="F2985">
        <v>0</v>
      </c>
    </row>
    <row r="2986" spans="1:6" x14ac:dyDescent="0.15">
      <c r="A2986" t="s">
        <v>210</v>
      </c>
      <c r="B2986" s="226">
        <v>42353.579338425923</v>
      </c>
      <c r="C2986" t="s">
        <v>2493</v>
      </c>
      <c r="D2986" t="s">
        <v>13</v>
      </c>
      <c r="E2986">
        <v>200</v>
      </c>
      <c r="F2986">
        <v>0</v>
      </c>
    </row>
    <row r="2987" spans="1:6" x14ac:dyDescent="0.15">
      <c r="A2987" t="s">
        <v>210</v>
      </c>
      <c r="B2987" s="226">
        <v>42353.582501574077</v>
      </c>
      <c r="C2987" t="s">
        <v>2494</v>
      </c>
      <c r="D2987" t="s">
        <v>13</v>
      </c>
      <c r="E2987">
        <v>60</v>
      </c>
      <c r="F2987">
        <v>0</v>
      </c>
    </row>
    <row r="2988" spans="1:6" x14ac:dyDescent="0.15">
      <c r="A2988" t="s">
        <v>210</v>
      </c>
      <c r="B2988" s="226">
        <v>42353.594295300929</v>
      </c>
      <c r="C2988" t="s">
        <v>524</v>
      </c>
      <c r="D2988" t="s">
        <v>13</v>
      </c>
      <c r="E2988">
        <v>40</v>
      </c>
      <c r="F2988">
        <v>0</v>
      </c>
    </row>
    <row r="2989" spans="1:6" x14ac:dyDescent="0.15">
      <c r="A2989" t="s">
        <v>210</v>
      </c>
      <c r="B2989" s="226">
        <v>42353.598439409725</v>
      </c>
      <c r="C2989" t="s">
        <v>500</v>
      </c>
      <c r="D2989" t="s">
        <v>13</v>
      </c>
      <c r="E2989">
        <v>400</v>
      </c>
      <c r="F2989">
        <v>0</v>
      </c>
    </row>
    <row r="2990" spans="1:6" x14ac:dyDescent="0.15">
      <c r="A2990" t="s">
        <v>210</v>
      </c>
      <c r="B2990" s="226">
        <v>42353.601055231484</v>
      </c>
      <c r="C2990" t="s">
        <v>2368</v>
      </c>
      <c r="D2990" t="s">
        <v>13</v>
      </c>
      <c r="E2990">
        <v>40</v>
      </c>
      <c r="F2990">
        <v>0</v>
      </c>
    </row>
    <row r="2991" spans="1:6" x14ac:dyDescent="0.15">
      <c r="A2991" t="s">
        <v>210</v>
      </c>
      <c r="B2991" s="226">
        <v>42353.60910883102</v>
      </c>
      <c r="C2991" t="s">
        <v>837</v>
      </c>
      <c r="D2991" t="s">
        <v>13</v>
      </c>
      <c r="E2991">
        <v>100</v>
      </c>
      <c r="F2991">
        <v>0</v>
      </c>
    </row>
    <row r="2992" spans="1:6" x14ac:dyDescent="0.15">
      <c r="A2992" t="s">
        <v>210</v>
      </c>
      <c r="B2992" s="226">
        <v>42353.619338842589</v>
      </c>
      <c r="C2992" t="s">
        <v>1361</v>
      </c>
      <c r="D2992" t="s">
        <v>13</v>
      </c>
      <c r="E2992">
        <v>100</v>
      </c>
      <c r="F2992">
        <v>0</v>
      </c>
    </row>
    <row r="2993" spans="1:6" x14ac:dyDescent="0.15">
      <c r="A2993" t="s">
        <v>210</v>
      </c>
      <c r="B2993" s="226">
        <v>42353.622284224541</v>
      </c>
      <c r="C2993" t="s">
        <v>14</v>
      </c>
      <c r="D2993" t="s">
        <v>13</v>
      </c>
      <c r="E2993">
        <v>100</v>
      </c>
      <c r="F2993">
        <v>3.5</v>
      </c>
    </row>
    <row r="2994" spans="1:6" x14ac:dyDescent="0.15">
      <c r="A2994" t="s">
        <v>210</v>
      </c>
      <c r="B2994" s="226">
        <v>42353.626168553237</v>
      </c>
      <c r="C2994" t="s">
        <v>14</v>
      </c>
      <c r="D2994" t="s">
        <v>13</v>
      </c>
      <c r="E2994">
        <v>120</v>
      </c>
      <c r="F2994">
        <v>3.5</v>
      </c>
    </row>
    <row r="2995" spans="1:6" x14ac:dyDescent="0.15">
      <c r="A2995" t="s">
        <v>210</v>
      </c>
      <c r="B2995" s="226">
        <v>42353.631471967594</v>
      </c>
      <c r="C2995" t="s">
        <v>2495</v>
      </c>
      <c r="D2995" t="s">
        <v>13</v>
      </c>
      <c r="E2995">
        <v>140</v>
      </c>
      <c r="F2995">
        <v>0</v>
      </c>
    </row>
    <row r="2996" spans="1:6" x14ac:dyDescent="0.15">
      <c r="A2996" t="s">
        <v>210</v>
      </c>
      <c r="B2996" s="226">
        <v>42353.651172106482</v>
      </c>
      <c r="C2996" t="s">
        <v>525</v>
      </c>
      <c r="D2996" t="s">
        <v>13</v>
      </c>
      <c r="E2996">
        <v>120</v>
      </c>
      <c r="F2996">
        <v>0</v>
      </c>
    </row>
    <row r="2997" spans="1:6" x14ac:dyDescent="0.15">
      <c r="A2997" t="s">
        <v>210</v>
      </c>
      <c r="B2997" s="226">
        <v>42353.663382824074</v>
      </c>
      <c r="C2997" t="s">
        <v>2496</v>
      </c>
      <c r="D2997" t="s">
        <v>13</v>
      </c>
      <c r="E2997">
        <v>200</v>
      </c>
      <c r="F2997">
        <v>0</v>
      </c>
    </row>
    <row r="2998" spans="1:6" x14ac:dyDescent="0.15">
      <c r="A2998" t="s">
        <v>210</v>
      </c>
      <c r="B2998" s="226">
        <v>42353.676412638888</v>
      </c>
      <c r="C2998" t="s">
        <v>2497</v>
      </c>
      <c r="D2998" t="s">
        <v>13</v>
      </c>
      <c r="E2998">
        <v>100</v>
      </c>
      <c r="F2998">
        <v>0</v>
      </c>
    </row>
    <row r="2999" spans="1:6" x14ac:dyDescent="0.15">
      <c r="A2999" t="s">
        <v>210</v>
      </c>
      <c r="B2999" s="226">
        <v>42353.758113032411</v>
      </c>
      <c r="C2999" t="s">
        <v>1428</v>
      </c>
      <c r="D2999" t="s">
        <v>13</v>
      </c>
      <c r="E2999">
        <v>200</v>
      </c>
      <c r="F2999">
        <v>0</v>
      </c>
    </row>
    <row r="3000" spans="1:6" x14ac:dyDescent="0.15">
      <c r="A3000" t="s">
        <v>210</v>
      </c>
      <c r="B3000" s="226">
        <v>42353.76481202546</v>
      </c>
      <c r="C3000" t="s">
        <v>2498</v>
      </c>
      <c r="D3000" t="s">
        <v>13</v>
      </c>
      <c r="E3000">
        <v>500</v>
      </c>
      <c r="F3000">
        <v>0</v>
      </c>
    </row>
    <row r="3001" spans="1:6" x14ac:dyDescent="0.15">
      <c r="A3001" t="s">
        <v>210</v>
      </c>
      <c r="B3001" s="226">
        <v>42353.766132245371</v>
      </c>
      <c r="C3001" t="s">
        <v>2499</v>
      </c>
      <c r="D3001" t="s">
        <v>13</v>
      </c>
      <c r="E3001">
        <v>100</v>
      </c>
      <c r="F3001">
        <v>0</v>
      </c>
    </row>
    <row r="3002" spans="1:6" x14ac:dyDescent="0.15">
      <c r="A3002" t="s">
        <v>210</v>
      </c>
      <c r="B3002" s="226">
        <v>42353.767412465277</v>
      </c>
      <c r="C3002" t="s">
        <v>2500</v>
      </c>
      <c r="D3002" t="s">
        <v>13</v>
      </c>
      <c r="E3002">
        <v>100</v>
      </c>
      <c r="F3002">
        <v>0</v>
      </c>
    </row>
    <row r="3003" spans="1:6" x14ac:dyDescent="0.15">
      <c r="A3003" t="s">
        <v>210</v>
      </c>
      <c r="B3003" s="226">
        <v>42353.775952592594</v>
      </c>
      <c r="C3003" t="s">
        <v>1622</v>
      </c>
      <c r="D3003" t="s">
        <v>13</v>
      </c>
      <c r="E3003">
        <v>100</v>
      </c>
      <c r="F3003">
        <v>0</v>
      </c>
    </row>
    <row r="3004" spans="1:6" x14ac:dyDescent="0.15">
      <c r="A3004" t="s">
        <v>210</v>
      </c>
      <c r="B3004" s="226">
        <v>42353.781257129631</v>
      </c>
      <c r="C3004" t="s">
        <v>2501</v>
      </c>
      <c r="D3004" t="s">
        <v>13</v>
      </c>
      <c r="E3004">
        <v>100</v>
      </c>
      <c r="F3004">
        <v>0</v>
      </c>
    </row>
    <row r="3005" spans="1:6" x14ac:dyDescent="0.15">
      <c r="A3005" t="s">
        <v>210</v>
      </c>
      <c r="B3005" s="226">
        <v>42353.783561736112</v>
      </c>
      <c r="C3005" t="s">
        <v>2502</v>
      </c>
      <c r="D3005" t="s">
        <v>13</v>
      </c>
      <c r="E3005">
        <v>120</v>
      </c>
      <c r="F3005">
        <v>0</v>
      </c>
    </row>
    <row r="3006" spans="1:6" x14ac:dyDescent="0.15">
      <c r="A3006" t="s">
        <v>210</v>
      </c>
      <c r="B3006" s="226">
        <v>42353.784063599538</v>
      </c>
      <c r="C3006" t="s">
        <v>2503</v>
      </c>
      <c r="D3006" t="s">
        <v>13</v>
      </c>
      <c r="E3006">
        <v>80</v>
      </c>
      <c r="F3006">
        <v>0</v>
      </c>
    </row>
    <row r="3007" spans="1:6" x14ac:dyDescent="0.15">
      <c r="A3007" t="s">
        <v>210</v>
      </c>
      <c r="B3007" s="226">
        <v>42353.787262986109</v>
      </c>
      <c r="C3007" t="s">
        <v>14</v>
      </c>
      <c r="D3007" t="s">
        <v>15</v>
      </c>
      <c r="E3007">
        <v>100</v>
      </c>
      <c r="F3007">
        <v>5.5</v>
      </c>
    </row>
    <row r="3008" spans="1:6" x14ac:dyDescent="0.15">
      <c r="A3008" t="s">
        <v>210</v>
      </c>
      <c r="B3008" s="226">
        <v>42353.80159787037</v>
      </c>
      <c r="C3008" t="s">
        <v>14</v>
      </c>
      <c r="D3008" t="s">
        <v>13</v>
      </c>
      <c r="E3008">
        <v>100</v>
      </c>
      <c r="F3008">
        <v>3.5</v>
      </c>
    </row>
    <row r="3009" spans="1:6" x14ac:dyDescent="0.15">
      <c r="A3009" t="s">
        <v>210</v>
      </c>
      <c r="B3009" s="226">
        <v>42353.848017349534</v>
      </c>
      <c r="C3009" t="s">
        <v>1069</v>
      </c>
      <c r="D3009" t="s">
        <v>13</v>
      </c>
      <c r="E3009">
        <v>100</v>
      </c>
      <c r="F3009">
        <v>0</v>
      </c>
    </row>
    <row r="3010" spans="1:6" x14ac:dyDescent="0.15">
      <c r="A3010" t="s">
        <v>210</v>
      </c>
      <c r="B3010" s="226">
        <v>42353.902370949072</v>
      </c>
      <c r="C3010" t="s">
        <v>14</v>
      </c>
      <c r="D3010" t="s">
        <v>13</v>
      </c>
      <c r="E3010">
        <v>60</v>
      </c>
      <c r="F3010">
        <v>3.5</v>
      </c>
    </row>
    <row r="3011" spans="1:6" x14ac:dyDescent="0.15">
      <c r="A3011" t="s">
        <v>210</v>
      </c>
      <c r="B3011" s="226">
        <v>42353.929878657407</v>
      </c>
      <c r="C3011" t="s">
        <v>2504</v>
      </c>
      <c r="D3011" t="s">
        <v>13</v>
      </c>
      <c r="E3011">
        <v>100</v>
      </c>
      <c r="F3011">
        <v>0</v>
      </c>
    </row>
    <row r="3012" spans="1:6" x14ac:dyDescent="0.15">
      <c r="A3012" t="s">
        <v>210</v>
      </c>
      <c r="B3012" s="226">
        <v>42353.934473356479</v>
      </c>
      <c r="C3012" t="s">
        <v>186</v>
      </c>
      <c r="D3012" t="s">
        <v>13</v>
      </c>
      <c r="E3012">
        <v>40</v>
      </c>
      <c r="F3012">
        <v>0</v>
      </c>
    </row>
    <row r="3013" spans="1:6" x14ac:dyDescent="0.15">
      <c r="A3013" t="s">
        <v>210</v>
      </c>
      <c r="B3013" s="226">
        <v>42354.259042743055</v>
      </c>
      <c r="C3013" t="s">
        <v>2505</v>
      </c>
      <c r="D3013" t="s">
        <v>13</v>
      </c>
      <c r="E3013">
        <v>80</v>
      </c>
      <c r="F3013">
        <v>0</v>
      </c>
    </row>
    <row r="3014" spans="1:6" x14ac:dyDescent="0.15">
      <c r="A3014" t="s">
        <v>210</v>
      </c>
      <c r="B3014" s="226">
        <v>42354.327565844906</v>
      </c>
      <c r="C3014" t="s">
        <v>526</v>
      </c>
      <c r="D3014" t="s">
        <v>13</v>
      </c>
      <c r="E3014">
        <v>100</v>
      </c>
      <c r="F3014">
        <v>0</v>
      </c>
    </row>
    <row r="3015" spans="1:6" x14ac:dyDescent="0.15">
      <c r="A3015" t="s">
        <v>210</v>
      </c>
      <c r="B3015" s="226">
        <v>42354.334612488427</v>
      </c>
      <c r="C3015" t="s">
        <v>2506</v>
      </c>
      <c r="D3015" t="s">
        <v>13</v>
      </c>
      <c r="E3015">
        <v>500</v>
      </c>
      <c r="F3015">
        <v>0</v>
      </c>
    </row>
    <row r="3016" spans="1:6" x14ac:dyDescent="0.15">
      <c r="A3016" t="s">
        <v>210</v>
      </c>
      <c r="B3016" s="226">
        <v>42354.361735358798</v>
      </c>
      <c r="C3016" t="s">
        <v>527</v>
      </c>
      <c r="D3016" t="s">
        <v>13</v>
      </c>
      <c r="E3016">
        <v>40</v>
      </c>
      <c r="F3016">
        <v>0</v>
      </c>
    </row>
    <row r="3017" spans="1:6" x14ac:dyDescent="0.15">
      <c r="A3017" t="s">
        <v>210</v>
      </c>
      <c r="B3017" s="226">
        <v>42354.36509446759</v>
      </c>
      <c r="C3017" t="s">
        <v>2507</v>
      </c>
      <c r="D3017" t="s">
        <v>13</v>
      </c>
      <c r="E3017">
        <v>160</v>
      </c>
      <c r="F3017">
        <v>0</v>
      </c>
    </row>
    <row r="3018" spans="1:6" x14ac:dyDescent="0.15">
      <c r="A3018" t="s">
        <v>210</v>
      </c>
      <c r="B3018" s="226">
        <v>42354.372173090276</v>
      </c>
      <c r="C3018" t="s">
        <v>2508</v>
      </c>
      <c r="D3018" t="s">
        <v>13</v>
      </c>
      <c r="E3018">
        <v>40</v>
      </c>
      <c r="F3018">
        <v>0</v>
      </c>
    </row>
    <row r="3019" spans="1:6" x14ac:dyDescent="0.15">
      <c r="A3019" t="s">
        <v>210</v>
      </c>
      <c r="B3019" s="226">
        <v>42354.419414351854</v>
      </c>
      <c r="C3019" t="s">
        <v>2509</v>
      </c>
      <c r="D3019" t="s">
        <v>13</v>
      </c>
      <c r="E3019">
        <v>120</v>
      </c>
      <c r="F3019">
        <v>0</v>
      </c>
    </row>
    <row r="3020" spans="1:6" x14ac:dyDescent="0.15">
      <c r="A3020" t="s">
        <v>210</v>
      </c>
      <c r="B3020" s="226">
        <v>42354.420334062503</v>
      </c>
      <c r="C3020" t="s">
        <v>2510</v>
      </c>
      <c r="D3020" t="s">
        <v>13</v>
      </c>
      <c r="E3020">
        <v>40</v>
      </c>
      <c r="F3020">
        <v>0</v>
      </c>
    </row>
    <row r="3021" spans="1:6" x14ac:dyDescent="0.15">
      <c r="A3021" t="s">
        <v>210</v>
      </c>
      <c r="B3021" s="226">
        <v>42354.438057303239</v>
      </c>
      <c r="C3021" t="s">
        <v>2511</v>
      </c>
      <c r="D3021" t="s">
        <v>13</v>
      </c>
      <c r="E3021">
        <v>200</v>
      </c>
      <c r="F3021">
        <v>0</v>
      </c>
    </row>
    <row r="3022" spans="1:6" x14ac:dyDescent="0.15">
      <c r="A3022" t="s">
        <v>210</v>
      </c>
      <c r="B3022" s="226">
        <v>42354.464065451386</v>
      </c>
      <c r="C3022" t="s">
        <v>2512</v>
      </c>
      <c r="D3022" t="s">
        <v>13</v>
      </c>
      <c r="E3022">
        <v>60</v>
      </c>
      <c r="F3022">
        <v>0</v>
      </c>
    </row>
    <row r="3023" spans="1:6" x14ac:dyDescent="0.15">
      <c r="A3023" t="s">
        <v>210</v>
      </c>
      <c r="B3023" s="226">
        <v>42354.46524755787</v>
      </c>
      <c r="C3023" t="s">
        <v>14</v>
      </c>
      <c r="D3023" t="s">
        <v>13</v>
      </c>
      <c r="E3023">
        <v>40</v>
      </c>
      <c r="F3023">
        <v>3.5</v>
      </c>
    </row>
    <row r="3024" spans="1:6" x14ac:dyDescent="0.15">
      <c r="A3024" t="s">
        <v>210</v>
      </c>
      <c r="B3024" s="226">
        <v>42354.476632442129</v>
      </c>
      <c r="C3024" t="s">
        <v>14</v>
      </c>
      <c r="D3024" t="s">
        <v>13</v>
      </c>
      <c r="E3024">
        <v>200</v>
      </c>
      <c r="F3024">
        <v>3.5</v>
      </c>
    </row>
    <row r="3025" spans="1:6" x14ac:dyDescent="0.15">
      <c r="A3025" t="s">
        <v>210</v>
      </c>
      <c r="B3025" s="226">
        <v>42354.516115486113</v>
      </c>
      <c r="C3025" t="s">
        <v>1074</v>
      </c>
      <c r="D3025" t="s">
        <v>13</v>
      </c>
      <c r="E3025">
        <v>100</v>
      </c>
      <c r="F3025">
        <v>0</v>
      </c>
    </row>
    <row r="3026" spans="1:6" x14ac:dyDescent="0.15">
      <c r="A3026" t="s">
        <v>210</v>
      </c>
      <c r="B3026" s="226">
        <v>42354.519908136572</v>
      </c>
      <c r="C3026" t="s">
        <v>2513</v>
      </c>
      <c r="D3026" t="s">
        <v>13</v>
      </c>
      <c r="E3026">
        <v>200</v>
      </c>
      <c r="F3026">
        <v>0</v>
      </c>
    </row>
    <row r="3027" spans="1:6" x14ac:dyDescent="0.15">
      <c r="A3027" t="s">
        <v>210</v>
      </c>
      <c r="B3027" s="226">
        <v>42354.535774386575</v>
      </c>
      <c r="C3027" t="s">
        <v>2514</v>
      </c>
      <c r="D3027" t="s">
        <v>13</v>
      </c>
      <c r="E3027">
        <v>180</v>
      </c>
      <c r="F3027">
        <v>0</v>
      </c>
    </row>
    <row r="3028" spans="1:6" x14ac:dyDescent="0.15">
      <c r="A3028" t="s">
        <v>210</v>
      </c>
      <c r="B3028" s="226">
        <v>42354.546020069443</v>
      </c>
      <c r="C3028" t="s">
        <v>14</v>
      </c>
      <c r="D3028" t="s">
        <v>13</v>
      </c>
      <c r="E3028">
        <v>40</v>
      </c>
      <c r="F3028">
        <v>3.5</v>
      </c>
    </row>
    <row r="3029" spans="1:6" x14ac:dyDescent="0.15">
      <c r="A3029" t="s">
        <v>210</v>
      </c>
      <c r="B3029" s="226">
        <v>42354.556803310188</v>
      </c>
      <c r="C3029" t="s">
        <v>384</v>
      </c>
      <c r="D3029" t="s">
        <v>13</v>
      </c>
      <c r="E3029">
        <v>140</v>
      </c>
      <c r="F3029">
        <v>0</v>
      </c>
    </row>
    <row r="3030" spans="1:6" x14ac:dyDescent="0.15">
      <c r="A3030" t="s">
        <v>210</v>
      </c>
      <c r="B3030" s="226">
        <v>42354.563750312504</v>
      </c>
      <c r="C3030" t="s">
        <v>2515</v>
      </c>
      <c r="D3030" t="s">
        <v>13</v>
      </c>
      <c r="E3030">
        <v>80</v>
      </c>
      <c r="F3030">
        <v>0</v>
      </c>
    </row>
    <row r="3031" spans="1:6" x14ac:dyDescent="0.15">
      <c r="A3031" t="s">
        <v>210</v>
      </c>
      <c r="B3031" s="226">
        <v>42354.569931192127</v>
      </c>
      <c r="C3031" t="s">
        <v>301</v>
      </c>
      <c r="D3031" t="s">
        <v>13</v>
      </c>
      <c r="E3031">
        <v>200</v>
      </c>
      <c r="F3031">
        <v>0</v>
      </c>
    </row>
    <row r="3032" spans="1:6" x14ac:dyDescent="0.15">
      <c r="A3032" t="s">
        <v>210</v>
      </c>
      <c r="B3032" s="226">
        <v>42354.581788564814</v>
      </c>
      <c r="C3032" t="s">
        <v>2516</v>
      </c>
      <c r="D3032" t="s">
        <v>13</v>
      </c>
      <c r="E3032">
        <v>20</v>
      </c>
      <c r="F3032">
        <v>0</v>
      </c>
    </row>
    <row r="3033" spans="1:6" x14ac:dyDescent="0.15">
      <c r="A3033" t="s">
        <v>210</v>
      </c>
      <c r="B3033" s="226">
        <v>42354.589818900466</v>
      </c>
      <c r="C3033" t="s">
        <v>253</v>
      </c>
      <c r="D3033" t="s">
        <v>13</v>
      </c>
      <c r="E3033">
        <v>100</v>
      </c>
      <c r="F3033">
        <v>0</v>
      </c>
    </row>
    <row r="3034" spans="1:6" x14ac:dyDescent="0.15">
      <c r="A3034" t="s">
        <v>210</v>
      </c>
      <c r="B3034" s="226">
        <v>42354.602331921298</v>
      </c>
      <c r="C3034" t="s">
        <v>2195</v>
      </c>
      <c r="D3034" t="s">
        <v>13</v>
      </c>
      <c r="E3034">
        <v>100</v>
      </c>
      <c r="F3034">
        <v>0</v>
      </c>
    </row>
    <row r="3035" spans="1:6" x14ac:dyDescent="0.15">
      <c r="A3035" t="s">
        <v>210</v>
      </c>
      <c r="B3035" s="226">
        <v>42354.628817060184</v>
      </c>
      <c r="C3035" t="s">
        <v>14</v>
      </c>
      <c r="D3035" t="s">
        <v>13</v>
      </c>
      <c r="E3035">
        <v>100</v>
      </c>
      <c r="F3035">
        <v>3.5</v>
      </c>
    </row>
    <row r="3036" spans="1:6" x14ac:dyDescent="0.15">
      <c r="A3036" t="s">
        <v>210</v>
      </c>
      <c r="B3036" s="226">
        <v>42354.636074942129</v>
      </c>
      <c r="C3036" t="s">
        <v>2517</v>
      </c>
      <c r="D3036" t="s">
        <v>13</v>
      </c>
      <c r="E3036">
        <v>100</v>
      </c>
      <c r="F3036">
        <v>0</v>
      </c>
    </row>
    <row r="3037" spans="1:6" x14ac:dyDescent="0.15">
      <c r="A3037" t="s">
        <v>210</v>
      </c>
      <c r="B3037" s="226">
        <v>42354.643493831019</v>
      </c>
      <c r="C3037" t="s">
        <v>1010</v>
      </c>
      <c r="D3037" t="s">
        <v>13</v>
      </c>
      <c r="E3037">
        <v>100</v>
      </c>
      <c r="F3037">
        <v>0</v>
      </c>
    </row>
    <row r="3038" spans="1:6" x14ac:dyDescent="0.15">
      <c r="A3038" t="s">
        <v>210</v>
      </c>
      <c r="B3038" s="226">
        <v>42354.692625115742</v>
      </c>
      <c r="C3038" t="s">
        <v>2518</v>
      </c>
      <c r="D3038" t="s">
        <v>13</v>
      </c>
      <c r="E3038">
        <v>80</v>
      </c>
      <c r="F3038">
        <v>0</v>
      </c>
    </row>
    <row r="3039" spans="1:6" x14ac:dyDescent="0.15">
      <c r="A3039" t="s">
        <v>210</v>
      </c>
      <c r="B3039" s="226">
        <v>42354.703636273145</v>
      </c>
      <c r="C3039" t="s">
        <v>2519</v>
      </c>
      <c r="D3039" t="s">
        <v>13</v>
      </c>
      <c r="E3039">
        <v>100</v>
      </c>
      <c r="F3039">
        <v>0</v>
      </c>
    </row>
    <row r="3040" spans="1:6" x14ac:dyDescent="0.15">
      <c r="A3040" t="s">
        <v>210</v>
      </c>
      <c r="B3040" s="226">
        <v>42354.716119606484</v>
      </c>
      <c r="C3040" t="s">
        <v>2520</v>
      </c>
      <c r="D3040" t="s">
        <v>13</v>
      </c>
      <c r="E3040">
        <v>200</v>
      </c>
      <c r="F3040">
        <v>0</v>
      </c>
    </row>
    <row r="3041" spans="1:6" x14ac:dyDescent="0.15">
      <c r="A3041" t="s">
        <v>210</v>
      </c>
      <c r="B3041" s="226">
        <v>42354.722485138889</v>
      </c>
      <c r="C3041" t="s">
        <v>2521</v>
      </c>
      <c r="D3041" t="s">
        <v>13</v>
      </c>
      <c r="E3041">
        <v>40</v>
      </c>
      <c r="F3041">
        <v>0</v>
      </c>
    </row>
    <row r="3042" spans="1:6" x14ac:dyDescent="0.15">
      <c r="A3042" t="s">
        <v>210</v>
      </c>
      <c r="B3042" s="226">
        <v>42354.725807777781</v>
      </c>
      <c r="C3042" t="s">
        <v>2176</v>
      </c>
      <c r="D3042" t="s">
        <v>13</v>
      </c>
      <c r="E3042">
        <v>100</v>
      </c>
      <c r="F3042">
        <v>0</v>
      </c>
    </row>
    <row r="3043" spans="1:6" x14ac:dyDescent="0.15">
      <c r="A3043" t="s">
        <v>210</v>
      </c>
      <c r="B3043" s="226">
        <v>42354.740406180557</v>
      </c>
      <c r="C3043" t="s">
        <v>2522</v>
      </c>
      <c r="D3043" t="s">
        <v>13</v>
      </c>
      <c r="E3043">
        <v>100</v>
      </c>
      <c r="F3043">
        <v>0</v>
      </c>
    </row>
    <row r="3044" spans="1:6" x14ac:dyDescent="0.15">
      <c r="A3044" t="s">
        <v>210</v>
      </c>
      <c r="B3044" s="226">
        <v>42354.744857916667</v>
      </c>
      <c r="C3044" t="s">
        <v>2523</v>
      </c>
      <c r="D3044" t="s">
        <v>13</v>
      </c>
      <c r="E3044">
        <v>80</v>
      </c>
      <c r="F3044">
        <v>0</v>
      </c>
    </row>
    <row r="3045" spans="1:6" x14ac:dyDescent="0.15">
      <c r="A3045" t="s">
        <v>210</v>
      </c>
      <c r="B3045" s="226">
        <v>42354.768213136573</v>
      </c>
      <c r="C3045" t="s">
        <v>2524</v>
      </c>
      <c r="D3045" t="s">
        <v>13</v>
      </c>
      <c r="E3045">
        <v>80</v>
      </c>
      <c r="F3045">
        <v>0</v>
      </c>
    </row>
    <row r="3046" spans="1:6" x14ac:dyDescent="0.15">
      <c r="A3046" t="s">
        <v>210</v>
      </c>
      <c r="B3046" s="226">
        <v>42354.78080320602</v>
      </c>
      <c r="C3046" t="s">
        <v>528</v>
      </c>
      <c r="D3046" t="s">
        <v>13</v>
      </c>
      <c r="E3046">
        <v>60</v>
      </c>
      <c r="F3046">
        <v>0</v>
      </c>
    </row>
    <row r="3047" spans="1:6" x14ac:dyDescent="0.15">
      <c r="A3047" t="s">
        <v>210</v>
      </c>
      <c r="B3047" s="226">
        <v>42354.787186793983</v>
      </c>
      <c r="C3047" t="s">
        <v>2525</v>
      </c>
      <c r="D3047" t="s">
        <v>13</v>
      </c>
      <c r="E3047">
        <v>40</v>
      </c>
      <c r="F3047">
        <v>0</v>
      </c>
    </row>
    <row r="3048" spans="1:6" x14ac:dyDescent="0.15">
      <c r="A3048" t="s">
        <v>210</v>
      </c>
      <c r="B3048" s="226">
        <v>42354.7903371875</v>
      </c>
      <c r="C3048" t="s">
        <v>14</v>
      </c>
      <c r="D3048" t="s">
        <v>13</v>
      </c>
      <c r="E3048">
        <v>100</v>
      </c>
      <c r="F3048">
        <v>3.5</v>
      </c>
    </row>
    <row r="3049" spans="1:6" x14ac:dyDescent="0.15">
      <c r="A3049" t="s">
        <v>210</v>
      </c>
      <c r="B3049" s="226">
        <v>42355.007269016205</v>
      </c>
      <c r="C3049" t="s">
        <v>2526</v>
      </c>
      <c r="D3049" t="s">
        <v>13</v>
      </c>
      <c r="E3049">
        <v>40</v>
      </c>
      <c r="F3049">
        <v>0</v>
      </c>
    </row>
    <row r="3050" spans="1:6" x14ac:dyDescent="0.15">
      <c r="A3050" t="s">
        <v>210</v>
      </c>
      <c r="B3050" s="226">
        <v>42355.225175208332</v>
      </c>
      <c r="C3050" t="s">
        <v>1116</v>
      </c>
      <c r="D3050" t="s">
        <v>13</v>
      </c>
      <c r="E3050">
        <v>100</v>
      </c>
      <c r="F3050">
        <v>0</v>
      </c>
    </row>
    <row r="3051" spans="1:6" x14ac:dyDescent="0.15">
      <c r="A3051" t="s">
        <v>210</v>
      </c>
      <c r="B3051" s="226">
        <v>42355.240193414349</v>
      </c>
      <c r="C3051" t="s">
        <v>1809</v>
      </c>
      <c r="D3051" t="s">
        <v>13</v>
      </c>
      <c r="E3051">
        <v>100</v>
      </c>
      <c r="F3051">
        <v>0</v>
      </c>
    </row>
    <row r="3052" spans="1:6" x14ac:dyDescent="0.15">
      <c r="A3052" t="s">
        <v>210</v>
      </c>
      <c r="B3052" s="226">
        <v>42355.350386817132</v>
      </c>
      <c r="C3052" t="s">
        <v>2512</v>
      </c>
      <c r="D3052" t="s">
        <v>13</v>
      </c>
      <c r="E3052">
        <v>40</v>
      </c>
      <c r="F3052">
        <v>0</v>
      </c>
    </row>
    <row r="3053" spans="1:6" x14ac:dyDescent="0.15">
      <c r="A3053" t="s">
        <v>210</v>
      </c>
      <c r="B3053" s="226">
        <v>42355.381934016201</v>
      </c>
      <c r="C3053" t="s">
        <v>2527</v>
      </c>
      <c r="D3053" t="s">
        <v>13</v>
      </c>
      <c r="E3053">
        <v>60</v>
      </c>
      <c r="F3053">
        <v>0</v>
      </c>
    </row>
    <row r="3054" spans="1:6" x14ac:dyDescent="0.15">
      <c r="A3054" t="s">
        <v>210</v>
      </c>
      <c r="B3054" s="226">
        <v>42355.444687581017</v>
      </c>
      <c r="C3054" t="s">
        <v>2528</v>
      </c>
      <c r="D3054" t="s">
        <v>13</v>
      </c>
      <c r="E3054">
        <v>100</v>
      </c>
      <c r="F3054">
        <v>0</v>
      </c>
    </row>
    <row r="3055" spans="1:6" x14ac:dyDescent="0.15">
      <c r="A3055" t="s">
        <v>210</v>
      </c>
      <c r="B3055" s="226">
        <v>42355.458601840277</v>
      </c>
      <c r="C3055" t="s">
        <v>2529</v>
      </c>
      <c r="D3055" t="s">
        <v>13</v>
      </c>
      <c r="E3055">
        <v>100</v>
      </c>
      <c r="F3055">
        <v>0</v>
      </c>
    </row>
    <row r="3056" spans="1:6" x14ac:dyDescent="0.15">
      <c r="A3056" t="s">
        <v>210</v>
      </c>
      <c r="B3056" s="226">
        <v>42355.472026504627</v>
      </c>
      <c r="C3056" t="s">
        <v>1872</v>
      </c>
      <c r="D3056" t="s">
        <v>13</v>
      </c>
      <c r="E3056">
        <v>100</v>
      </c>
      <c r="F3056">
        <v>0</v>
      </c>
    </row>
    <row r="3057" spans="1:6" x14ac:dyDescent="0.15">
      <c r="A3057" t="s">
        <v>210</v>
      </c>
      <c r="B3057" s="226">
        <v>42355.487728460648</v>
      </c>
      <c r="C3057" t="s">
        <v>529</v>
      </c>
      <c r="D3057" t="s">
        <v>13</v>
      </c>
      <c r="E3057">
        <v>40</v>
      </c>
      <c r="F3057">
        <v>0</v>
      </c>
    </row>
    <row r="3058" spans="1:6" x14ac:dyDescent="0.15">
      <c r="A3058" t="s">
        <v>210</v>
      </c>
      <c r="B3058" s="226">
        <v>42355.498423923615</v>
      </c>
      <c r="C3058" t="s">
        <v>2530</v>
      </c>
      <c r="D3058" t="s">
        <v>13</v>
      </c>
      <c r="E3058">
        <v>60</v>
      </c>
      <c r="F3058">
        <v>0</v>
      </c>
    </row>
    <row r="3059" spans="1:6" x14ac:dyDescent="0.15">
      <c r="A3059" t="s">
        <v>210</v>
      </c>
      <c r="B3059" s="226">
        <v>42355.501217129633</v>
      </c>
      <c r="C3059" t="s">
        <v>2531</v>
      </c>
      <c r="D3059" t="s">
        <v>13</v>
      </c>
      <c r="E3059">
        <v>60</v>
      </c>
      <c r="F3059">
        <v>0</v>
      </c>
    </row>
    <row r="3060" spans="1:6" x14ac:dyDescent="0.15">
      <c r="A3060" t="s">
        <v>210</v>
      </c>
      <c r="B3060" s="226">
        <v>42355.508706875</v>
      </c>
      <c r="C3060" t="s">
        <v>2532</v>
      </c>
      <c r="D3060" t="s">
        <v>13</v>
      </c>
      <c r="E3060">
        <v>60</v>
      </c>
      <c r="F3060">
        <v>0</v>
      </c>
    </row>
    <row r="3061" spans="1:6" x14ac:dyDescent="0.15">
      <c r="A3061" t="s">
        <v>210</v>
      </c>
      <c r="B3061" s="226">
        <v>42355.515976805553</v>
      </c>
      <c r="C3061" t="s">
        <v>14</v>
      </c>
      <c r="D3061" t="s">
        <v>15</v>
      </c>
      <c r="E3061">
        <v>120</v>
      </c>
      <c r="F3061">
        <v>6.1</v>
      </c>
    </row>
    <row r="3062" spans="1:6" x14ac:dyDescent="0.15">
      <c r="A3062" t="s">
        <v>210</v>
      </c>
      <c r="B3062" s="226">
        <v>42355.533339421294</v>
      </c>
      <c r="C3062" t="s">
        <v>2533</v>
      </c>
      <c r="D3062" t="s">
        <v>15</v>
      </c>
      <c r="E3062">
        <v>20</v>
      </c>
      <c r="F3062">
        <v>0.6</v>
      </c>
    </row>
    <row r="3063" spans="1:6" x14ac:dyDescent="0.15">
      <c r="A3063" t="s">
        <v>210</v>
      </c>
      <c r="B3063" s="226">
        <v>42355.539425150462</v>
      </c>
      <c r="C3063" t="s">
        <v>530</v>
      </c>
      <c r="D3063" t="s">
        <v>13</v>
      </c>
      <c r="E3063">
        <v>100</v>
      </c>
      <c r="F3063">
        <v>0</v>
      </c>
    </row>
    <row r="3064" spans="1:6" x14ac:dyDescent="0.15">
      <c r="A3064" t="s">
        <v>210</v>
      </c>
      <c r="B3064" s="226">
        <v>42355.559288159726</v>
      </c>
      <c r="C3064" t="s">
        <v>1042</v>
      </c>
      <c r="D3064" t="s">
        <v>13</v>
      </c>
      <c r="E3064">
        <v>40</v>
      </c>
      <c r="F3064">
        <v>0</v>
      </c>
    </row>
    <row r="3065" spans="1:6" x14ac:dyDescent="0.15">
      <c r="A3065" t="s">
        <v>210</v>
      </c>
      <c r="B3065" s="226">
        <v>42355.58526320602</v>
      </c>
      <c r="C3065" t="s">
        <v>14</v>
      </c>
      <c r="D3065" t="s">
        <v>15</v>
      </c>
      <c r="E3065">
        <v>20</v>
      </c>
      <c r="F3065">
        <v>3.1</v>
      </c>
    </row>
    <row r="3066" spans="1:6" x14ac:dyDescent="0.15">
      <c r="A3066" t="s">
        <v>210</v>
      </c>
      <c r="B3066" s="226">
        <v>42355.603648310185</v>
      </c>
      <c r="C3066" t="s">
        <v>395</v>
      </c>
      <c r="D3066" t="s">
        <v>13</v>
      </c>
      <c r="E3066">
        <v>40</v>
      </c>
      <c r="F3066">
        <v>0</v>
      </c>
    </row>
    <row r="3067" spans="1:6" x14ac:dyDescent="0.15">
      <c r="A3067" t="s">
        <v>210</v>
      </c>
      <c r="B3067" s="226">
        <v>42355.612007025462</v>
      </c>
      <c r="C3067" t="s">
        <v>14</v>
      </c>
      <c r="D3067" t="s">
        <v>13</v>
      </c>
      <c r="E3067">
        <v>200</v>
      </c>
      <c r="F3067">
        <v>3.5</v>
      </c>
    </row>
    <row r="3068" spans="1:6" x14ac:dyDescent="0.15">
      <c r="A3068" t="s">
        <v>210</v>
      </c>
      <c r="B3068" s="226">
        <v>42355.629343819448</v>
      </c>
      <c r="C3068" t="s">
        <v>2534</v>
      </c>
      <c r="D3068" t="s">
        <v>13</v>
      </c>
      <c r="E3068">
        <v>40</v>
      </c>
      <c r="F3068">
        <v>0</v>
      </c>
    </row>
    <row r="3069" spans="1:6" x14ac:dyDescent="0.15">
      <c r="A3069" t="s">
        <v>210</v>
      </c>
      <c r="B3069" s="226">
        <v>42355.633010613426</v>
      </c>
      <c r="C3069" t="s">
        <v>2535</v>
      </c>
      <c r="D3069" t="s">
        <v>13</v>
      </c>
      <c r="E3069">
        <v>20</v>
      </c>
      <c r="F3069">
        <v>0</v>
      </c>
    </row>
    <row r="3070" spans="1:6" x14ac:dyDescent="0.15">
      <c r="A3070" t="s">
        <v>210</v>
      </c>
      <c r="B3070" s="226">
        <v>42355.658716203703</v>
      </c>
      <c r="C3070" t="s">
        <v>1440</v>
      </c>
      <c r="D3070" t="s">
        <v>13</v>
      </c>
      <c r="E3070">
        <v>60</v>
      </c>
      <c r="F3070">
        <v>0</v>
      </c>
    </row>
    <row r="3071" spans="1:6" x14ac:dyDescent="0.15">
      <c r="A3071" t="s">
        <v>210</v>
      </c>
      <c r="B3071" s="226">
        <v>42355.660539212964</v>
      </c>
      <c r="C3071" t="s">
        <v>2536</v>
      </c>
      <c r="D3071" t="s">
        <v>13</v>
      </c>
      <c r="E3071">
        <v>20</v>
      </c>
      <c r="F3071">
        <v>0</v>
      </c>
    </row>
    <row r="3072" spans="1:6" x14ac:dyDescent="0.15">
      <c r="A3072" t="s">
        <v>210</v>
      </c>
      <c r="B3072" s="226">
        <v>42355.677173865741</v>
      </c>
      <c r="C3072" t="s">
        <v>14</v>
      </c>
      <c r="D3072" t="s">
        <v>13</v>
      </c>
      <c r="E3072">
        <v>40</v>
      </c>
      <c r="F3072">
        <v>3.5</v>
      </c>
    </row>
    <row r="3073" spans="1:6" x14ac:dyDescent="0.15">
      <c r="A3073" t="s">
        <v>210</v>
      </c>
      <c r="B3073" s="226">
        <v>42355.686002106479</v>
      </c>
      <c r="C3073" t="s">
        <v>2537</v>
      </c>
      <c r="D3073" t="s">
        <v>13</v>
      </c>
      <c r="E3073">
        <v>40</v>
      </c>
      <c r="F3073">
        <v>0</v>
      </c>
    </row>
    <row r="3074" spans="1:6" x14ac:dyDescent="0.15">
      <c r="A3074" t="s">
        <v>210</v>
      </c>
      <c r="B3074" s="226">
        <v>42355.705053287034</v>
      </c>
      <c r="C3074" t="s">
        <v>14</v>
      </c>
      <c r="D3074" t="s">
        <v>13</v>
      </c>
      <c r="E3074">
        <v>100</v>
      </c>
      <c r="F3074">
        <v>3.5</v>
      </c>
    </row>
    <row r="3075" spans="1:6" x14ac:dyDescent="0.15">
      <c r="A3075" t="s">
        <v>210</v>
      </c>
      <c r="B3075" s="226">
        <v>42355.705663541667</v>
      </c>
      <c r="C3075" t="s">
        <v>2538</v>
      </c>
      <c r="D3075" t="s">
        <v>13</v>
      </c>
      <c r="E3075">
        <v>40</v>
      </c>
      <c r="F3075">
        <v>0</v>
      </c>
    </row>
    <row r="3076" spans="1:6" x14ac:dyDescent="0.15">
      <c r="A3076" t="s">
        <v>210</v>
      </c>
      <c r="B3076" s="226">
        <v>42355.70627840278</v>
      </c>
      <c r="C3076" t="s">
        <v>531</v>
      </c>
      <c r="D3076" t="s">
        <v>13</v>
      </c>
      <c r="E3076">
        <v>100</v>
      </c>
      <c r="F3076">
        <v>0</v>
      </c>
    </row>
    <row r="3077" spans="1:6" x14ac:dyDescent="0.15">
      <c r="A3077" t="s">
        <v>210</v>
      </c>
      <c r="B3077" s="226">
        <v>42355.709911493053</v>
      </c>
      <c r="C3077" t="s">
        <v>2025</v>
      </c>
      <c r="D3077" t="s">
        <v>13</v>
      </c>
      <c r="E3077">
        <v>120</v>
      </c>
      <c r="F3077">
        <v>0</v>
      </c>
    </row>
    <row r="3078" spans="1:6" x14ac:dyDescent="0.15">
      <c r="A3078" t="s">
        <v>210</v>
      </c>
      <c r="B3078" s="226">
        <v>42355.710544861111</v>
      </c>
      <c r="C3078" t="s">
        <v>176</v>
      </c>
      <c r="D3078" t="s">
        <v>13</v>
      </c>
      <c r="E3078">
        <v>60</v>
      </c>
      <c r="F3078">
        <v>0</v>
      </c>
    </row>
    <row r="3079" spans="1:6" x14ac:dyDescent="0.15">
      <c r="A3079" t="s">
        <v>210</v>
      </c>
      <c r="B3079" s="226">
        <v>42355.711235775459</v>
      </c>
      <c r="C3079" t="s">
        <v>14</v>
      </c>
      <c r="D3079" t="s">
        <v>13</v>
      </c>
      <c r="E3079">
        <v>120</v>
      </c>
      <c r="F3079">
        <v>3.5</v>
      </c>
    </row>
    <row r="3080" spans="1:6" x14ac:dyDescent="0.15">
      <c r="A3080" t="s">
        <v>210</v>
      </c>
      <c r="B3080" s="226">
        <v>42355.735051574076</v>
      </c>
      <c r="C3080" t="s">
        <v>14</v>
      </c>
      <c r="D3080" t="s">
        <v>13</v>
      </c>
      <c r="E3080">
        <v>120</v>
      </c>
      <c r="F3080">
        <v>3.5</v>
      </c>
    </row>
    <row r="3081" spans="1:6" x14ac:dyDescent="0.15">
      <c r="A3081" t="s">
        <v>210</v>
      </c>
      <c r="B3081" s="226">
        <v>42355.761604594911</v>
      </c>
      <c r="C3081" t="s">
        <v>2539</v>
      </c>
      <c r="D3081" t="s">
        <v>13</v>
      </c>
      <c r="E3081">
        <v>40</v>
      </c>
      <c r="F3081">
        <v>0</v>
      </c>
    </row>
    <row r="3082" spans="1:6" x14ac:dyDescent="0.15">
      <c r="A3082" t="s">
        <v>210</v>
      </c>
      <c r="B3082" s="226">
        <v>42355.782540023145</v>
      </c>
      <c r="C3082" t="s">
        <v>532</v>
      </c>
      <c r="D3082" t="s">
        <v>13</v>
      </c>
      <c r="E3082">
        <v>100</v>
      </c>
      <c r="F3082">
        <v>0</v>
      </c>
    </row>
    <row r="3083" spans="1:6" x14ac:dyDescent="0.15">
      <c r="A3083" t="s">
        <v>210</v>
      </c>
      <c r="B3083" s="226">
        <v>42355.791424444447</v>
      </c>
      <c r="C3083" t="s">
        <v>533</v>
      </c>
      <c r="D3083" t="s">
        <v>13</v>
      </c>
      <c r="E3083">
        <v>100</v>
      </c>
      <c r="F3083">
        <v>0</v>
      </c>
    </row>
    <row r="3084" spans="1:6" x14ac:dyDescent="0.15">
      <c r="A3084" t="s">
        <v>210</v>
      </c>
      <c r="B3084" s="226">
        <v>42355.837376597221</v>
      </c>
      <c r="C3084" t="s">
        <v>2540</v>
      </c>
      <c r="D3084" t="s">
        <v>13</v>
      </c>
      <c r="E3084">
        <v>80</v>
      </c>
      <c r="F3084">
        <v>0</v>
      </c>
    </row>
    <row r="3085" spans="1:6" x14ac:dyDescent="0.15">
      <c r="A3085" t="s">
        <v>210</v>
      </c>
      <c r="B3085" s="226">
        <v>42355.851909375</v>
      </c>
      <c r="C3085" t="s">
        <v>534</v>
      </c>
      <c r="D3085" t="s">
        <v>13</v>
      </c>
      <c r="E3085">
        <v>60</v>
      </c>
      <c r="F3085">
        <v>0</v>
      </c>
    </row>
    <row r="3086" spans="1:6" x14ac:dyDescent="0.15">
      <c r="A3086" t="s">
        <v>210</v>
      </c>
      <c r="B3086" s="226">
        <v>42355.992578194448</v>
      </c>
      <c r="C3086" t="s">
        <v>2541</v>
      </c>
      <c r="D3086" t="s">
        <v>13</v>
      </c>
      <c r="E3086">
        <v>40</v>
      </c>
      <c r="F3086">
        <v>0</v>
      </c>
    </row>
    <row r="3087" spans="1:6" x14ac:dyDescent="0.15">
      <c r="A3087" t="s">
        <v>210</v>
      </c>
      <c r="B3087" s="226">
        <v>42356.072770416664</v>
      </c>
      <c r="C3087" t="s">
        <v>2542</v>
      </c>
      <c r="D3087" t="s">
        <v>13</v>
      </c>
      <c r="E3087">
        <v>200</v>
      </c>
      <c r="F3087">
        <v>0</v>
      </c>
    </row>
    <row r="3088" spans="1:6" x14ac:dyDescent="0.15">
      <c r="A3088" t="s">
        <v>210</v>
      </c>
      <c r="B3088" s="226">
        <v>42356.218194803238</v>
      </c>
      <c r="C3088" t="s">
        <v>310</v>
      </c>
      <c r="D3088" t="s">
        <v>13</v>
      </c>
      <c r="E3088">
        <v>60</v>
      </c>
      <c r="F3088">
        <v>0</v>
      </c>
    </row>
    <row r="3089" spans="1:6" x14ac:dyDescent="0.15">
      <c r="A3089" t="s">
        <v>210</v>
      </c>
      <c r="B3089" s="226">
        <v>42356.260797881943</v>
      </c>
      <c r="C3089" t="s">
        <v>2543</v>
      </c>
      <c r="D3089" t="s">
        <v>13</v>
      </c>
      <c r="E3089">
        <v>100</v>
      </c>
      <c r="F3089">
        <v>0</v>
      </c>
    </row>
    <row r="3090" spans="1:6" x14ac:dyDescent="0.15">
      <c r="A3090" t="s">
        <v>210</v>
      </c>
      <c r="B3090" s="226">
        <v>42356.318024502318</v>
      </c>
      <c r="C3090" t="s">
        <v>2544</v>
      </c>
      <c r="D3090" t="s">
        <v>13</v>
      </c>
      <c r="E3090">
        <v>100</v>
      </c>
      <c r="F3090">
        <v>0</v>
      </c>
    </row>
    <row r="3091" spans="1:6" x14ac:dyDescent="0.15">
      <c r="A3091" t="s">
        <v>210</v>
      </c>
      <c r="B3091" s="226">
        <v>42356.368098981482</v>
      </c>
      <c r="C3091" t="s">
        <v>2257</v>
      </c>
      <c r="D3091" t="s">
        <v>13</v>
      </c>
      <c r="E3091">
        <v>40</v>
      </c>
      <c r="F3091">
        <v>0</v>
      </c>
    </row>
    <row r="3092" spans="1:6" x14ac:dyDescent="0.15">
      <c r="A3092" t="s">
        <v>210</v>
      </c>
      <c r="B3092" s="226">
        <v>42356.370333125</v>
      </c>
      <c r="C3092" t="s">
        <v>2545</v>
      </c>
      <c r="D3092" t="s">
        <v>13</v>
      </c>
      <c r="E3092">
        <v>100</v>
      </c>
      <c r="F3092">
        <v>0</v>
      </c>
    </row>
    <row r="3093" spans="1:6" x14ac:dyDescent="0.15">
      <c r="A3093" t="s">
        <v>210</v>
      </c>
      <c r="B3093" s="226">
        <v>42356.372309768522</v>
      </c>
      <c r="C3093" t="s">
        <v>2546</v>
      </c>
      <c r="D3093" t="s">
        <v>13</v>
      </c>
      <c r="E3093">
        <v>200</v>
      </c>
      <c r="F3093">
        <v>0</v>
      </c>
    </row>
    <row r="3094" spans="1:6" x14ac:dyDescent="0.15">
      <c r="A3094" t="s">
        <v>210</v>
      </c>
      <c r="B3094" s="226">
        <v>42356.385648194446</v>
      </c>
      <c r="C3094" t="s">
        <v>2547</v>
      </c>
      <c r="D3094" t="s">
        <v>13</v>
      </c>
      <c r="E3094">
        <v>40</v>
      </c>
      <c r="F3094">
        <v>0</v>
      </c>
    </row>
    <row r="3095" spans="1:6" x14ac:dyDescent="0.15">
      <c r="A3095" t="s">
        <v>210</v>
      </c>
      <c r="B3095" s="226">
        <v>42356.393309143517</v>
      </c>
      <c r="C3095" t="s">
        <v>2548</v>
      </c>
      <c r="D3095" t="s">
        <v>13</v>
      </c>
      <c r="E3095">
        <v>200</v>
      </c>
      <c r="F3095">
        <v>0</v>
      </c>
    </row>
    <row r="3096" spans="1:6" x14ac:dyDescent="0.15">
      <c r="A3096" t="s">
        <v>210</v>
      </c>
      <c r="B3096" s="226">
        <v>42356.417577777778</v>
      </c>
      <c r="C3096" t="s">
        <v>1850</v>
      </c>
      <c r="D3096" t="s">
        <v>13</v>
      </c>
      <c r="E3096">
        <v>20</v>
      </c>
      <c r="F3096">
        <v>0</v>
      </c>
    </row>
    <row r="3097" spans="1:6" x14ac:dyDescent="0.15">
      <c r="A3097" t="s">
        <v>210</v>
      </c>
      <c r="B3097" s="226">
        <v>42356.422420868053</v>
      </c>
      <c r="C3097" t="s">
        <v>2549</v>
      </c>
      <c r="D3097" t="s">
        <v>13</v>
      </c>
      <c r="E3097">
        <v>100</v>
      </c>
      <c r="F3097">
        <v>0</v>
      </c>
    </row>
    <row r="3098" spans="1:6" x14ac:dyDescent="0.15">
      <c r="A3098" t="s">
        <v>210</v>
      </c>
      <c r="B3098" s="226">
        <v>42356.456407141202</v>
      </c>
      <c r="C3098" t="s">
        <v>1563</v>
      </c>
      <c r="D3098" t="s">
        <v>13</v>
      </c>
      <c r="E3098">
        <v>100</v>
      </c>
      <c r="F3098">
        <v>0</v>
      </c>
    </row>
    <row r="3099" spans="1:6" x14ac:dyDescent="0.15">
      <c r="A3099" t="s">
        <v>210</v>
      </c>
      <c r="B3099" s="226">
        <v>42356.46286861111</v>
      </c>
      <c r="C3099" t="s">
        <v>2550</v>
      </c>
      <c r="D3099" t="s">
        <v>13</v>
      </c>
      <c r="E3099">
        <v>200</v>
      </c>
      <c r="F3099">
        <v>0</v>
      </c>
    </row>
    <row r="3100" spans="1:6" x14ac:dyDescent="0.15">
      <c r="A3100" t="s">
        <v>210</v>
      </c>
      <c r="B3100" s="226">
        <v>42356.474944409725</v>
      </c>
      <c r="C3100" t="s">
        <v>2551</v>
      </c>
      <c r="D3100" t="s">
        <v>13</v>
      </c>
      <c r="E3100">
        <v>100</v>
      </c>
      <c r="F3100">
        <v>0</v>
      </c>
    </row>
    <row r="3101" spans="1:6" x14ac:dyDescent="0.15">
      <c r="A3101" t="s">
        <v>210</v>
      </c>
      <c r="B3101" s="226">
        <v>42356.480699363427</v>
      </c>
      <c r="C3101" t="s">
        <v>2552</v>
      </c>
      <c r="D3101" t="s">
        <v>13</v>
      </c>
      <c r="E3101">
        <v>40</v>
      </c>
      <c r="F3101">
        <v>0</v>
      </c>
    </row>
    <row r="3102" spans="1:6" x14ac:dyDescent="0.15">
      <c r="A3102" t="s">
        <v>210</v>
      </c>
      <c r="B3102" s="226">
        <v>42356.500321828702</v>
      </c>
      <c r="C3102" t="s">
        <v>2553</v>
      </c>
      <c r="D3102" t="s">
        <v>13</v>
      </c>
      <c r="E3102">
        <v>80</v>
      </c>
      <c r="F3102">
        <v>0</v>
      </c>
    </row>
    <row r="3103" spans="1:6" x14ac:dyDescent="0.15">
      <c r="A3103" t="s">
        <v>210</v>
      </c>
      <c r="B3103" s="226">
        <v>42356.505464930553</v>
      </c>
      <c r="C3103" t="s">
        <v>2554</v>
      </c>
      <c r="D3103" t="s">
        <v>13</v>
      </c>
      <c r="E3103">
        <v>40</v>
      </c>
      <c r="F3103">
        <v>0</v>
      </c>
    </row>
    <row r="3104" spans="1:6" x14ac:dyDescent="0.15">
      <c r="A3104" t="s">
        <v>210</v>
      </c>
      <c r="B3104" s="226">
        <v>42356.517644652777</v>
      </c>
      <c r="C3104" t="s">
        <v>261</v>
      </c>
      <c r="D3104" t="s">
        <v>13</v>
      </c>
      <c r="E3104">
        <v>100</v>
      </c>
      <c r="F3104">
        <v>0</v>
      </c>
    </row>
    <row r="3105" spans="1:6" x14ac:dyDescent="0.15">
      <c r="A3105" t="s">
        <v>210</v>
      </c>
      <c r="B3105" s="226">
        <v>42356.535023020835</v>
      </c>
      <c r="C3105" t="s">
        <v>2555</v>
      </c>
      <c r="D3105" t="s">
        <v>13</v>
      </c>
      <c r="E3105">
        <v>20</v>
      </c>
      <c r="F3105">
        <v>0</v>
      </c>
    </row>
    <row r="3106" spans="1:6" x14ac:dyDescent="0.15">
      <c r="A3106" t="s">
        <v>210</v>
      </c>
      <c r="B3106" s="226">
        <v>42356.537534976851</v>
      </c>
      <c r="C3106" t="s">
        <v>1576</v>
      </c>
      <c r="D3106" t="s">
        <v>13</v>
      </c>
      <c r="E3106">
        <v>100</v>
      </c>
      <c r="F3106">
        <v>0</v>
      </c>
    </row>
    <row r="3107" spans="1:6" x14ac:dyDescent="0.15">
      <c r="A3107" t="s">
        <v>210</v>
      </c>
      <c r="B3107" s="226">
        <v>42356.552220138889</v>
      </c>
      <c r="C3107" t="s">
        <v>14</v>
      </c>
      <c r="D3107" t="s">
        <v>13</v>
      </c>
      <c r="E3107">
        <v>100</v>
      </c>
      <c r="F3107">
        <v>3.5</v>
      </c>
    </row>
    <row r="3108" spans="1:6" x14ac:dyDescent="0.15">
      <c r="A3108" t="s">
        <v>210</v>
      </c>
      <c r="B3108" s="226">
        <v>42356.56765394676</v>
      </c>
      <c r="C3108" t="s">
        <v>1474</v>
      </c>
      <c r="D3108" t="s">
        <v>13</v>
      </c>
      <c r="E3108">
        <v>100</v>
      </c>
      <c r="F3108">
        <v>0</v>
      </c>
    </row>
    <row r="3109" spans="1:6" x14ac:dyDescent="0.15">
      <c r="A3109" t="s">
        <v>210</v>
      </c>
      <c r="B3109" s="226">
        <v>42356.581588333334</v>
      </c>
      <c r="C3109" t="s">
        <v>2556</v>
      </c>
      <c r="D3109" t="s">
        <v>13</v>
      </c>
      <c r="E3109">
        <v>20</v>
      </c>
      <c r="F3109">
        <v>0</v>
      </c>
    </row>
    <row r="3110" spans="1:6" x14ac:dyDescent="0.15">
      <c r="A3110" t="s">
        <v>210</v>
      </c>
      <c r="B3110" s="226">
        <v>42356.585788067132</v>
      </c>
      <c r="C3110" t="s">
        <v>2557</v>
      </c>
      <c r="D3110" t="s">
        <v>13</v>
      </c>
      <c r="E3110">
        <v>40</v>
      </c>
      <c r="F3110">
        <v>0</v>
      </c>
    </row>
    <row r="3111" spans="1:6" x14ac:dyDescent="0.15">
      <c r="A3111" t="s">
        <v>210</v>
      </c>
      <c r="B3111" s="226">
        <v>42356.606307071757</v>
      </c>
      <c r="C3111" t="s">
        <v>2558</v>
      </c>
      <c r="D3111" t="s">
        <v>13</v>
      </c>
      <c r="E3111">
        <v>80</v>
      </c>
      <c r="F3111">
        <v>0</v>
      </c>
    </row>
    <row r="3112" spans="1:6" x14ac:dyDescent="0.15">
      <c r="A3112" t="s">
        <v>210</v>
      </c>
      <c r="B3112" s="226">
        <v>42356.622338310182</v>
      </c>
      <c r="C3112" t="s">
        <v>1001</v>
      </c>
      <c r="D3112" t="s">
        <v>13</v>
      </c>
      <c r="E3112">
        <v>20</v>
      </c>
      <c r="F3112">
        <v>0</v>
      </c>
    </row>
    <row r="3113" spans="1:6" x14ac:dyDescent="0.15">
      <c r="A3113" t="s">
        <v>210</v>
      </c>
      <c r="B3113" s="226">
        <v>42356.644972881943</v>
      </c>
      <c r="C3113" t="s">
        <v>2559</v>
      </c>
      <c r="D3113" t="s">
        <v>13</v>
      </c>
      <c r="E3113">
        <v>500</v>
      </c>
      <c r="F3113">
        <v>0</v>
      </c>
    </row>
    <row r="3114" spans="1:6" x14ac:dyDescent="0.15">
      <c r="A3114" t="s">
        <v>210</v>
      </c>
      <c r="B3114" s="226">
        <v>42356.647007511572</v>
      </c>
      <c r="C3114" t="s">
        <v>2560</v>
      </c>
      <c r="D3114" t="s">
        <v>13</v>
      </c>
      <c r="E3114">
        <v>100</v>
      </c>
      <c r="F3114">
        <v>0</v>
      </c>
    </row>
    <row r="3115" spans="1:6" x14ac:dyDescent="0.15">
      <c r="A3115" t="s">
        <v>210</v>
      </c>
      <c r="B3115" s="226">
        <v>42356.647641585645</v>
      </c>
      <c r="C3115" t="s">
        <v>535</v>
      </c>
      <c r="D3115" t="s">
        <v>13</v>
      </c>
      <c r="E3115">
        <v>40</v>
      </c>
      <c r="F3115">
        <v>0</v>
      </c>
    </row>
    <row r="3116" spans="1:6" x14ac:dyDescent="0.15">
      <c r="A3116" t="s">
        <v>210</v>
      </c>
      <c r="B3116" s="226">
        <v>42356.648387673609</v>
      </c>
      <c r="C3116" t="s">
        <v>14</v>
      </c>
      <c r="D3116" t="s">
        <v>15</v>
      </c>
      <c r="E3116">
        <v>40</v>
      </c>
      <c r="F3116">
        <v>3.7</v>
      </c>
    </row>
    <row r="3117" spans="1:6" x14ac:dyDescent="0.15">
      <c r="A3117" t="s">
        <v>210</v>
      </c>
      <c r="B3117" s="226">
        <v>42356.65627702546</v>
      </c>
      <c r="C3117" t="s">
        <v>2561</v>
      </c>
      <c r="D3117" t="s">
        <v>13</v>
      </c>
      <c r="E3117">
        <v>100</v>
      </c>
      <c r="F3117">
        <v>0</v>
      </c>
    </row>
    <row r="3118" spans="1:6" x14ac:dyDescent="0.15">
      <c r="A3118" t="s">
        <v>210</v>
      </c>
      <c r="B3118" s="226">
        <v>42356.657933541668</v>
      </c>
      <c r="C3118" t="s">
        <v>2562</v>
      </c>
      <c r="D3118" t="s">
        <v>13</v>
      </c>
      <c r="E3118">
        <v>40</v>
      </c>
      <c r="F3118">
        <v>0</v>
      </c>
    </row>
    <row r="3119" spans="1:6" x14ac:dyDescent="0.15">
      <c r="A3119" t="s">
        <v>210</v>
      </c>
      <c r="B3119" s="226">
        <v>42356.670946562503</v>
      </c>
      <c r="C3119" t="s">
        <v>2563</v>
      </c>
      <c r="D3119" t="s">
        <v>13</v>
      </c>
      <c r="E3119">
        <v>100</v>
      </c>
      <c r="F3119">
        <v>0</v>
      </c>
    </row>
    <row r="3120" spans="1:6" x14ac:dyDescent="0.15">
      <c r="A3120" t="s">
        <v>210</v>
      </c>
      <c r="B3120" s="226">
        <v>42356.70659927083</v>
      </c>
      <c r="C3120" t="s">
        <v>2564</v>
      </c>
      <c r="D3120" t="s">
        <v>13</v>
      </c>
      <c r="E3120">
        <v>100</v>
      </c>
      <c r="F3120">
        <v>0</v>
      </c>
    </row>
    <row r="3121" spans="1:6" x14ac:dyDescent="0.15">
      <c r="A3121" t="s">
        <v>210</v>
      </c>
      <c r="B3121" s="226">
        <v>42356.722881574075</v>
      </c>
      <c r="C3121" t="s">
        <v>2565</v>
      </c>
      <c r="D3121" t="s">
        <v>13</v>
      </c>
      <c r="E3121">
        <v>100</v>
      </c>
      <c r="F3121">
        <v>0</v>
      </c>
    </row>
    <row r="3122" spans="1:6" x14ac:dyDescent="0.15">
      <c r="A3122" t="s">
        <v>210</v>
      </c>
      <c r="B3122" s="226">
        <v>42356.740804699075</v>
      </c>
      <c r="C3122" t="s">
        <v>2321</v>
      </c>
      <c r="D3122" t="s">
        <v>13</v>
      </c>
      <c r="E3122">
        <v>100</v>
      </c>
      <c r="F3122">
        <v>0</v>
      </c>
    </row>
    <row r="3123" spans="1:6" x14ac:dyDescent="0.15">
      <c r="A3123" t="s">
        <v>210</v>
      </c>
      <c r="B3123" s="226">
        <v>42356.743135208337</v>
      </c>
      <c r="C3123" t="s">
        <v>2566</v>
      </c>
      <c r="D3123" t="s">
        <v>13</v>
      </c>
      <c r="E3123">
        <v>100</v>
      </c>
      <c r="F3123">
        <v>0</v>
      </c>
    </row>
    <row r="3124" spans="1:6" x14ac:dyDescent="0.15">
      <c r="A3124" t="s">
        <v>210</v>
      </c>
      <c r="B3124" s="226">
        <v>42356.745580601855</v>
      </c>
      <c r="C3124" t="s">
        <v>2557</v>
      </c>
      <c r="D3124" t="s">
        <v>13</v>
      </c>
      <c r="E3124">
        <v>300</v>
      </c>
      <c r="F3124">
        <v>0</v>
      </c>
    </row>
    <row r="3125" spans="1:6" x14ac:dyDescent="0.15">
      <c r="A3125" t="s">
        <v>210</v>
      </c>
      <c r="B3125" s="226">
        <v>42356.746506759257</v>
      </c>
      <c r="C3125" t="s">
        <v>242</v>
      </c>
      <c r="D3125" t="s">
        <v>13</v>
      </c>
      <c r="E3125">
        <v>100</v>
      </c>
      <c r="F3125">
        <v>0</v>
      </c>
    </row>
    <row r="3126" spans="1:6" x14ac:dyDescent="0.15">
      <c r="A3126" t="s">
        <v>210</v>
      </c>
      <c r="B3126" s="226">
        <v>42356.752147384257</v>
      </c>
      <c r="C3126" t="s">
        <v>2567</v>
      </c>
      <c r="D3126" t="s">
        <v>13</v>
      </c>
      <c r="E3126">
        <v>120</v>
      </c>
      <c r="F3126">
        <v>0</v>
      </c>
    </row>
    <row r="3127" spans="1:6" x14ac:dyDescent="0.15">
      <c r="A3127" t="s">
        <v>210</v>
      </c>
      <c r="B3127" s="226">
        <v>42356.754972395836</v>
      </c>
      <c r="C3127" t="s">
        <v>2051</v>
      </c>
      <c r="D3127" t="s">
        <v>13</v>
      </c>
      <c r="E3127">
        <v>60</v>
      </c>
      <c r="F3127">
        <v>0</v>
      </c>
    </row>
    <row r="3128" spans="1:6" x14ac:dyDescent="0.15">
      <c r="A3128" t="s">
        <v>210</v>
      </c>
      <c r="B3128" s="226">
        <v>42356.755730752317</v>
      </c>
      <c r="C3128" t="s">
        <v>2552</v>
      </c>
      <c r="D3128" t="s">
        <v>13</v>
      </c>
      <c r="E3128">
        <v>80</v>
      </c>
      <c r="F3128">
        <v>0</v>
      </c>
    </row>
    <row r="3129" spans="1:6" x14ac:dyDescent="0.15">
      <c r="A3129" t="s">
        <v>210</v>
      </c>
      <c r="B3129" s="226">
        <v>42356.762189502311</v>
      </c>
      <c r="C3129" t="s">
        <v>2568</v>
      </c>
      <c r="D3129" t="s">
        <v>15</v>
      </c>
      <c r="E3129">
        <v>100</v>
      </c>
      <c r="F3129">
        <v>3</v>
      </c>
    </row>
    <row r="3130" spans="1:6" x14ac:dyDescent="0.15">
      <c r="A3130" t="s">
        <v>210</v>
      </c>
      <c r="B3130" s="226">
        <v>42356.766717465274</v>
      </c>
      <c r="C3130" t="s">
        <v>2569</v>
      </c>
      <c r="D3130" t="s">
        <v>13</v>
      </c>
      <c r="E3130">
        <v>100</v>
      </c>
      <c r="F3130">
        <v>0</v>
      </c>
    </row>
    <row r="3131" spans="1:6" x14ac:dyDescent="0.15">
      <c r="A3131" t="s">
        <v>210</v>
      </c>
      <c r="B3131" s="226">
        <v>42356.783647453703</v>
      </c>
      <c r="C3131" t="s">
        <v>2145</v>
      </c>
      <c r="D3131" t="s">
        <v>13</v>
      </c>
      <c r="E3131">
        <v>80</v>
      </c>
      <c r="F3131">
        <v>0</v>
      </c>
    </row>
    <row r="3132" spans="1:6" x14ac:dyDescent="0.15">
      <c r="A3132" t="s">
        <v>210</v>
      </c>
      <c r="B3132" s="226">
        <v>42356.816978773146</v>
      </c>
      <c r="C3132" t="s">
        <v>1992</v>
      </c>
      <c r="D3132" t="s">
        <v>13</v>
      </c>
      <c r="E3132">
        <v>20</v>
      </c>
      <c r="F3132">
        <v>0</v>
      </c>
    </row>
    <row r="3133" spans="1:6" x14ac:dyDescent="0.15">
      <c r="A3133" t="s">
        <v>210</v>
      </c>
      <c r="B3133" s="226">
        <v>42356.817568460647</v>
      </c>
      <c r="C3133" t="s">
        <v>2570</v>
      </c>
      <c r="D3133" t="s">
        <v>13</v>
      </c>
      <c r="E3133">
        <v>100</v>
      </c>
      <c r="F3133">
        <v>0</v>
      </c>
    </row>
    <row r="3134" spans="1:6" x14ac:dyDescent="0.15">
      <c r="A3134" t="s">
        <v>210</v>
      </c>
      <c r="B3134" s="226">
        <v>42356.826709398149</v>
      </c>
      <c r="C3134" t="s">
        <v>1078</v>
      </c>
      <c r="D3134" t="s">
        <v>13</v>
      </c>
      <c r="E3134">
        <v>40</v>
      </c>
      <c r="F3134">
        <v>0</v>
      </c>
    </row>
    <row r="3135" spans="1:6" x14ac:dyDescent="0.15">
      <c r="A3135" t="s">
        <v>210</v>
      </c>
      <c r="B3135" s="226">
        <v>42356.855219722223</v>
      </c>
      <c r="C3135" t="s">
        <v>2571</v>
      </c>
      <c r="D3135" t="s">
        <v>13</v>
      </c>
      <c r="E3135">
        <v>20</v>
      </c>
      <c r="F3135">
        <v>0</v>
      </c>
    </row>
    <row r="3136" spans="1:6" x14ac:dyDescent="0.15">
      <c r="A3136" t="s">
        <v>210</v>
      </c>
      <c r="B3136" s="226">
        <v>42356.863601261575</v>
      </c>
      <c r="C3136" t="s">
        <v>2572</v>
      </c>
      <c r="D3136" t="s">
        <v>13</v>
      </c>
      <c r="E3136">
        <v>40</v>
      </c>
      <c r="F3136">
        <v>0</v>
      </c>
    </row>
    <row r="3137" spans="1:6" x14ac:dyDescent="0.15">
      <c r="A3137" t="s">
        <v>210</v>
      </c>
      <c r="B3137" s="226">
        <v>42356.866830370367</v>
      </c>
      <c r="C3137" t="s">
        <v>2573</v>
      </c>
      <c r="D3137" t="s">
        <v>13</v>
      </c>
      <c r="E3137">
        <v>100</v>
      </c>
      <c r="F3137">
        <v>0</v>
      </c>
    </row>
    <row r="3138" spans="1:6" x14ac:dyDescent="0.15">
      <c r="A3138" t="s">
        <v>210</v>
      </c>
      <c r="B3138" s="226">
        <v>42356.874310763887</v>
      </c>
      <c r="C3138" t="s">
        <v>2574</v>
      </c>
      <c r="D3138" t="s">
        <v>13</v>
      </c>
      <c r="E3138">
        <v>40</v>
      </c>
      <c r="F3138">
        <v>0</v>
      </c>
    </row>
    <row r="3139" spans="1:6" x14ac:dyDescent="0.15">
      <c r="A3139" t="s">
        <v>210</v>
      </c>
      <c r="B3139" s="226">
        <v>42356.880995914355</v>
      </c>
      <c r="C3139" t="s">
        <v>536</v>
      </c>
      <c r="D3139" t="s">
        <v>13</v>
      </c>
      <c r="E3139">
        <v>100</v>
      </c>
      <c r="F3139">
        <v>0</v>
      </c>
    </row>
    <row r="3140" spans="1:6" x14ac:dyDescent="0.15">
      <c r="A3140" t="s">
        <v>210</v>
      </c>
      <c r="B3140" s="226">
        <v>42356.924797662039</v>
      </c>
      <c r="C3140" t="s">
        <v>2575</v>
      </c>
      <c r="D3140" t="s">
        <v>13</v>
      </c>
      <c r="E3140">
        <v>20</v>
      </c>
      <c r="F3140">
        <v>0</v>
      </c>
    </row>
    <row r="3141" spans="1:6" x14ac:dyDescent="0.15">
      <c r="A3141" t="s">
        <v>210</v>
      </c>
      <c r="B3141" s="226">
        <v>42356.944166516201</v>
      </c>
      <c r="C3141" t="s">
        <v>715</v>
      </c>
      <c r="D3141" t="s">
        <v>13</v>
      </c>
      <c r="E3141">
        <v>40</v>
      </c>
      <c r="F3141">
        <v>0</v>
      </c>
    </row>
    <row r="3142" spans="1:6" x14ac:dyDescent="0.15">
      <c r="A3142" t="s">
        <v>210</v>
      </c>
      <c r="B3142" s="226">
        <v>42357.02015783565</v>
      </c>
      <c r="C3142" t="s">
        <v>2576</v>
      </c>
      <c r="D3142" t="s">
        <v>13</v>
      </c>
      <c r="E3142">
        <v>100</v>
      </c>
      <c r="F3142">
        <v>0</v>
      </c>
    </row>
    <row r="3143" spans="1:6" x14ac:dyDescent="0.15">
      <c r="A3143" t="s">
        <v>210</v>
      </c>
      <c r="B3143" s="226">
        <v>42357.047881226848</v>
      </c>
      <c r="C3143" t="s">
        <v>1855</v>
      </c>
      <c r="D3143" t="s">
        <v>13</v>
      </c>
      <c r="E3143">
        <v>80</v>
      </c>
      <c r="F3143">
        <v>0</v>
      </c>
    </row>
    <row r="3144" spans="1:6" x14ac:dyDescent="0.15">
      <c r="A3144" t="s">
        <v>210</v>
      </c>
      <c r="B3144" s="226">
        <v>42357.34437111111</v>
      </c>
      <c r="C3144" t="s">
        <v>2577</v>
      </c>
      <c r="D3144" t="s">
        <v>13</v>
      </c>
      <c r="E3144">
        <v>40</v>
      </c>
      <c r="F3144">
        <v>0</v>
      </c>
    </row>
    <row r="3145" spans="1:6" x14ac:dyDescent="0.15">
      <c r="A3145" t="s">
        <v>210</v>
      </c>
      <c r="B3145" s="226">
        <v>42357.384064027778</v>
      </c>
      <c r="C3145" t="s">
        <v>2578</v>
      </c>
      <c r="D3145" t="s">
        <v>13</v>
      </c>
      <c r="E3145">
        <v>40</v>
      </c>
      <c r="F3145">
        <v>0</v>
      </c>
    </row>
    <row r="3146" spans="1:6" x14ac:dyDescent="0.15">
      <c r="A3146" t="s">
        <v>210</v>
      </c>
      <c r="B3146" s="226">
        <v>42357.393393668979</v>
      </c>
      <c r="C3146" t="s">
        <v>2579</v>
      </c>
      <c r="D3146" t="s">
        <v>13</v>
      </c>
      <c r="E3146">
        <v>40</v>
      </c>
      <c r="F3146">
        <v>0</v>
      </c>
    </row>
    <row r="3147" spans="1:6" x14ac:dyDescent="0.15">
      <c r="A3147" t="s">
        <v>210</v>
      </c>
      <c r="B3147" s="226">
        <v>42357.402952094904</v>
      </c>
      <c r="C3147" t="s">
        <v>2580</v>
      </c>
      <c r="D3147" t="s">
        <v>13</v>
      </c>
      <c r="E3147">
        <v>200</v>
      </c>
      <c r="F3147">
        <v>0</v>
      </c>
    </row>
    <row r="3148" spans="1:6" x14ac:dyDescent="0.15">
      <c r="A3148" t="s">
        <v>210</v>
      </c>
      <c r="B3148" s="226">
        <v>42357.405297164354</v>
      </c>
      <c r="C3148" t="s">
        <v>2581</v>
      </c>
      <c r="D3148" t="s">
        <v>13</v>
      </c>
      <c r="E3148">
        <v>100</v>
      </c>
      <c r="F3148">
        <v>0</v>
      </c>
    </row>
    <row r="3149" spans="1:6" x14ac:dyDescent="0.15">
      <c r="A3149" t="s">
        <v>210</v>
      </c>
      <c r="B3149" s="226">
        <v>42357.42364439815</v>
      </c>
      <c r="C3149" t="s">
        <v>14</v>
      </c>
      <c r="D3149" t="s">
        <v>13</v>
      </c>
      <c r="E3149">
        <v>20</v>
      </c>
      <c r="F3149">
        <v>3.5</v>
      </c>
    </row>
    <row r="3150" spans="1:6" x14ac:dyDescent="0.15">
      <c r="A3150" t="s">
        <v>210</v>
      </c>
      <c r="B3150" s="226">
        <v>42357.429131550925</v>
      </c>
      <c r="C3150" t="s">
        <v>2582</v>
      </c>
      <c r="D3150" t="s">
        <v>13</v>
      </c>
      <c r="E3150">
        <v>100</v>
      </c>
      <c r="F3150">
        <v>0</v>
      </c>
    </row>
    <row r="3151" spans="1:6" x14ac:dyDescent="0.15">
      <c r="A3151" t="s">
        <v>210</v>
      </c>
      <c r="B3151" s="226">
        <v>42357.47177384259</v>
      </c>
      <c r="C3151" t="s">
        <v>2583</v>
      </c>
      <c r="D3151" t="s">
        <v>13</v>
      </c>
      <c r="E3151">
        <v>60</v>
      </c>
      <c r="F3151">
        <v>0</v>
      </c>
    </row>
    <row r="3152" spans="1:6" x14ac:dyDescent="0.15">
      <c r="A3152" t="s">
        <v>210</v>
      </c>
      <c r="B3152" s="226">
        <v>42357.477197106484</v>
      </c>
      <c r="C3152" t="s">
        <v>2584</v>
      </c>
      <c r="D3152" t="s">
        <v>13</v>
      </c>
      <c r="E3152">
        <v>500</v>
      </c>
      <c r="F3152">
        <v>0</v>
      </c>
    </row>
    <row r="3153" spans="1:6" x14ac:dyDescent="0.15">
      <c r="A3153" t="s">
        <v>210</v>
      </c>
      <c r="B3153" s="226">
        <v>42357.478289999999</v>
      </c>
      <c r="C3153" t="s">
        <v>2585</v>
      </c>
      <c r="D3153" t="s">
        <v>13</v>
      </c>
      <c r="E3153">
        <v>20</v>
      </c>
      <c r="F3153">
        <v>0</v>
      </c>
    </row>
    <row r="3154" spans="1:6" x14ac:dyDescent="0.15">
      <c r="A3154" t="s">
        <v>210</v>
      </c>
      <c r="B3154" s="226">
        <v>42357.480016157409</v>
      </c>
      <c r="C3154" t="s">
        <v>2586</v>
      </c>
      <c r="D3154" t="s">
        <v>13</v>
      </c>
      <c r="E3154">
        <v>100</v>
      </c>
      <c r="F3154">
        <v>0</v>
      </c>
    </row>
    <row r="3155" spans="1:6" x14ac:dyDescent="0.15">
      <c r="A3155" t="s">
        <v>210</v>
      </c>
      <c r="B3155" s="226">
        <v>42357.490896736112</v>
      </c>
      <c r="C3155" t="s">
        <v>2587</v>
      </c>
      <c r="D3155" t="s">
        <v>13</v>
      </c>
      <c r="E3155">
        <v>500</v>
      </c>
      <c r="F3155">
        <v>0</v>
      </c>
    </row>
    <row r="3156" spans="1:6" x14ac:dyDescent="0.15">
      <c r="A3156" t="s">
        <v>210</v>
      </c>
      <c r="B3156" s="226">
        <v>42357.525696585646</v>
      </c>
      <c r="C3156" t="s">
        <v>1304</v>
      </c>
      <c r="D3156" t="s">
        <v>13</v>
      </c>
      <c r="E3156">
        <v>60</v>
      </c>
      <c r="F3156">
        <v>0</v>
      </c>
    </row>
    <row r="3157" spans="1:6" x14ac:dyDescent="0.15">
      <c r="A3157" t="s">
        <v>210</v>
      </c>
      <c r="B3157" s="226">
        <v>42357.545557094905</v>
      </c>
      <c r="C3157" t="s">
        <v>1730</v>
      </c>
      <c r="D3157" t="s">
        <v>13</v>
      </c>
      <c r="E3157">
        <v>20</v>
      </c>
      <c r="F3157">
        <v>0</v>
      </c>
    </row>
    <row r="3158" spans="1:6" x14ac:dyDescent="0.15">
      <c r="A3158" t="s">
        <v>210</v>
      </c>
      <c r="B3158" s="226">
        <v>42357.549569722221</v>
      </c>
      <c r="C3158" t="s">
        <v>2588</v>
      </c>
      <c r="D3158" t="s">
        <v>13</v>
      </c>
      <c r="E3158">
        <v>40</v>
      </c>
      <c r="F3158">
        <v>0</v>
      </c>
    </row>
    <row r="3159" spans="1:6" x14ac:dyDescent="0.15">
      <c r="A3159" t="s">
        <v>210</v>
      </c>
      <c r="B3159" s="226">
        <v>42357.564221828703</v>
      </c>
      <c r="C3159" t="s">
        <v>2589</v>
      </c>
      <c r="D3159" t="s">
        <v>13</v>
      </c>
      <c r="E3159">
        <v>80</v>
      </c>
      <c r="F3159">
        <v>0</v>
      </c>
    </row>
    <row r="3160" spans="1:6" x14ac:dyDescent="0.15">
      <c r="A3160" t="s">
        <v>210</v>
      </c>
      <c r="B3160" s="226">
        <v>42357.583750243059</v>
      </c>
      <c r="C3160" t="s">
        <v>2590</v>
      </c>
      <c r="D3160" t="s">
        <v>13</v>
      </c>
      <c r="E3160">
        <v>100</v>
      </c>
      <c r="F3160">
        <v>0</v>
      </c>
    </row>
    <row r="3161" spans="1:6" x14ac:dyDescent="0.15">
      <c r="A3161" t="s">
        <v>210</v>
      </c>
      <c r="B3161" s="226">
        <v>42357.601075671293</v>
      </c>
      <c r="C3161" t="s">
        <v>2591</v>
      </c>
      <c r="D3161" t="s">
        <v>13</v>
      </c>
      <c r="E3161">
        <v>40</v>
      </c>
      <c r="F3161">
        <v>0</v>
      </c>
    </row>
    <row r="3162" spans="1:6" x14ac:dyDescent="0.15">
      <c r="A3162" t="s">
        <v>210</v>
      </c>
      <c r="B3162" s="226">
        <v>42357.613163090275</v>
      </c>
      <c r="C3162" t="s">
        <v>2283</v>
      </c>
      <c r="D3162" t="s">
        <v>13</v>
      </c>
      <c r="E3162">
        <v>40</v>
      </c>
      <c r="F3162">
        <v>0</v>
      </c>
    </row>
    <row r="3163" spans="1:6" x14ac:dyDescent="0.15">
      <c r="A3163" t="s">
        <v>210</v>
      </c>
      <c r="B3163" s="226">
        <v>42357.628138587963</v>
      </c>
      <c r="C3163" t="s">
        <v>2175</v>
      </c>
      <c r="D3163" t="s">
        <v>13</v>
      </c>
      <c r="E3163">
        <v>20</v>
      </c>
      <c r="F3163">
        <v>0</v>
      </c>
    </row>
    <row r="3164" spans="1:6" x14ac:dyDescent="0.15">
      <c r="A3164" t="s">
        <v>210</v>
      </c>
      <c r="B3164" s="226">
        <v>42357.640615659722</v>
      </c>
      <c r="C3164" t="s">
        <v>14</v>
      </c>
      <c r="D3164" t="s">
        <v>13</v>
      </c>
      <c r="E3164">
        <v>200</v>
      </c>
      <c r="F3164">
        <v>3.5</v>
      </c>
    </row>
    <row r="3165" spans="1:6" x14ac:dyDescent="0.15">
      <c r="A3165" t="s">
        <v>210</v>
      </c>
      <c r="B3165" s="226">
        <v>42357.659864884263</v>
      </c>
      <c r="C3165" t="s">
        <v>2592</v>
      </c>
      <c r="D3165" t="s">
        <v>13</v>
      </c>
      <c r="E3165">
        <v>40</v>
      </c>
      <c r="F3165">
        <v>0</v>
      </c>
    </row>
    <row r="3166" spans="1:6" x14ac:dyDescent="0.15">
      <c r="A3166" t="s">
        <v>210</v>
      </c>
      <c r="B3166" s="226">
        <v>42357.694128599534</v>
      </c>
      <c r="C3166" t="s">
        <v>2593</v>
      </c>
      <c r="D3166" t="s">
        <v>13</v>
      </c>
      <c r="E3166">
        <v>40</v>
      </c>
      <c r="F3166">
        <v>0</v>
      </c>
    </row>
    <row r="3167" spans="1:6" x14ac:dyDescent="0.15">
      <c r="A3167" t="s">
        <v>210</v>
      </c>
      <c r="B3167" s="226">
        <v>42357.69935949074</v>
      </c>
      <c r="C3167" t="s">
        <v>124</v>
      </c>
      <c r="D3167" t="s">
        <v>13</v>
      </c>
      <c r="E3167">
        <v>40</v>
      </c>
      <c r="F3167">
        <v>0</v>
      </c>
    </row>
    <row r="3168" spans="1:6" x14ac:dyDescent="0.15">
      <c r="A3168" t="s">
        <v>210</v>
      </c>
      <c r="B3168" s="226">
        <v>42357.716931504627</v>
      </c>
      <c r="C3168" t="s">
        <v>2594</v>
      </c>
      <c r="D3168" t="s">
        <v>13</v>
      </c>
      <c r="E3168">
        <v>20</v>
      </c>
      <c r="F3168">
        <v>0</v>
      </c>
    </row>
    <row r="3169" spans="1:6" x14ac:dyDescent="0.15">
      <c r="A3169" t="s">
        <v>210</v>
      </c>
      <c r="B3169" s="226">
        <v>42357.74371260417</v>
      </c>
      <c r="C3169" t="s">
        <v>2595</v>
      </c>
      <c r="D3169" t="s">
        <v>13</v>
      </c>
      <c r="E3169">
        <v>120</v>
      </c>
      <c r="F3169">
        <v>0</v>
      </c>
    </row>
    <row r="3170" spans="1:6" x14ac:dyDescent="0.15">
      <c r="A3170" t="s">
        <v>210</v>
      </c>
      <c r="B3170" s="226">
        <v>42357.770893043984</v>
      </c>
      <c r="C3170" t="s">
        <v>2596</v>
      </c>
      <c r="D3170" t="s">
        <v>13</v>
      </c>
      <c r="E3170">
        <v>40</v>
      </c>
      <c r="F3170">
        <v>0</v>
      </c>
    </row>
    <row r="3171" spans="1:6" x14ac:dyDescent="0.15">
      <c r="A3171" t="s">
        <v>210</v>
      </c>
      <c r="B3171" s="226">
        <v>42357.784785717595</v>
      </c>
      <c r="C3171" t="s">
        <v>2476</v>
      </c>
      <c r="D3171" t="s">
        <v>13</v>
      </c>
      <c r="E3171">
        <v>200</v>
      </c>
      <c r="F3171">
        <v>0</v>
      </c>
    </row>
    <row r="3172" spans="1:6" x14ac:dyDescent="0.15">
      <c r="A3172" t="s">
        <v>210</v>
      </c>
      <c r="B3172" s="226">
        <v>42357.786831064812</v>
      </c>
      <c r="C3172" t="s">
        <v>1568</v>
      </c>
      <c r="D3172" t="s">
        <v>13</v>
      </c>
      <c r="E3172">
        <v>100</v>
      </c>
      <c r="F3172">
        <v>0</v>
      </c>
    </row>
    <row r="3173" spans="1:6" x14ac:dyDescent="0.15">
      <c r="A3173" t="s">
        <v>210</v>
      </c>
      <c r="B3173" s="226">
        <v>42357.85215230324</v>
      </c>
      <c r="C3173" t="s">
        <v>2597</v>
      </c>
      <c r="D3173" t="s">
        <v>13</v>
      </c>
      <c r="E3173">
        <v>100</v>
      </c>
      <c r="F3173">
        <v>0</v>
      </c>
    </row>
    <row r="3174" spans="1:6" x14ac:dyDescent="0.15">
      <c r="A3174" t="s">
        <v>210</v>
      </c>
      <c r="B3174" s="226">
        <v>42357.892223912037</v>
      </c>
      <c r="C3174" t="s">
        <v>2598</v>
      </c>
      <c r="D3174" t="s">
        <v>13</v>
      </c>
      <c r="E3174">
        <v>100</v>
      </c>
      <c r="F3174">
        <v>0</v>
      </c>
    </row>
    <row r="3175" spans="1:6" x14ac:dyDescent="0.15">
      <c r="A3175" t="s">
        <v>210</v>
      </c>
      <c r="B3175" s="226">
        <v>42357.925963194444</v>
      </c>
      <c r="C3175" t="s">
        <v>2599</v>
      </c>
      <c r="D3175" t="s">
        <v>13</v>
      </c>
      <c r="E3175">
        <v>500</v>
      </c>
      <c r="F3175">
        <v>0</v>
      </c>
    </row>
    <row r="3176" spans="1:6" x14ac:dyDescent="0.15">
      <c r="A3176" t="s">
        <v>210</v>
      </c>
      <c r="B3176" s="226">
        <v>42357.930681215279</v>
      </c>
      <c r="C3176" t="s">
        <v>2600</v>
      </c>
      <c r="D3176" t="s">
        <v>13</v>
      </c>
      <c r="E3176">
        <v>20</v>
      </c>
      <c r="F3176">
        <v>0</v>
      </c>
    </row>
    <row r="3177" spans="1:6" x14ac:dyDescent="0.15">
      <c r="A3177" t="s">
        <v>210</v>
      </c>
      <c r="B3177" s="226">
        <v>42358.008534629633</v>
      </c>
      <c r="C3177" t="s">
        <v>2601</v>
      </c>
      <c r="D3177" t="s">
        <v>13</v>
      </c>
      <c r="E3177">
        <v>200</v>
      </c>
      <c r="F3177">
        <v>0</v>
      </c>
    </row>
    <row r="3178" spans="1:6" x14ac:dyDescent="0.15">
      <c r="A3178" t="s">
        <v>210</v>
      </c>
      <c r="B3178" s="226">
        <v>42358.030576435187</v>
      </c>
      <c r="C3178" t="s">
        <v>1661</v>
      </c>
      <c r="D3178" t="s">
        <v>13</v>
      </c>
      <c r="E3178">
        <v>400</v>
      </c>
      <c r="F3178">
        <v>0</v>
      </c>
    </row>
    <row r="3179" spans="1:6" x14ac:dyDescent="0.15">
      <c r="A3179" t="s">
        <v>210</v>
      </c>
      <c r="B3179" s="226">
        <v>42358.049020185186</v>
      </c>
      <c r="C3179" t="s">
        <v>2602</v>
      </c>
      <c r="D3179" t="s">
        <v>13</v>
      </c>
      <c r="E3179">
        <v>100</v>
      </c>
      <c r="F3179">
        <v>0</v>
      </c>
    </row>
    <row r="3180" spans="1:6" x14ac:dyDescent="0.15">
      <c r="A3180" t="s">
        <v>210</v>
      </c>
      <c r="B3180" s="226">
        <v>42358.404738425925</v>
      </c>
      <c r="C3180" t="s">
        <v>2466</v>
      </c>
      <c r="D3180" t="s">
        <v>13</v>
      </c>
      <c r="E3180">
        <v>120</v>
      </c>
      <c r="F3180">
        <v>0</v>
      </c>
    </row>
    <row r="3181" spans="1:6" x14ac:dyDescent="0.15">
      <c r="A3181" t="s">
        <v>210</v>
      </c>
      <c r="B3181" s="226">
        <v>42358.40733574074</v>
      </c>
      <c r="C3181" t="s">
        <v>2603</v>
      </c>
      <c r="D3181" t="s">
        <v>13</v>
      </c>
      <c r="E3181">
        <v>100</v>
      </c>
      <c r="F3181">
        <v>0</v>
      </c>
    </row>
    <row r="3182" spans="1:6" x14ac:dyDescent="0.15">
      <c r="A3182" t="s">
        <v>210</v>
      </c>
      <c r="B3182" s="226">
        <v>42358.443137071758</v>
      </c>
      <c r="C3182" t="s">
        <v>2604</v>
      </c>
      <c r="D3182" t="s">
        <v>13</v>
      </c>
      <c r="E3182">
        <v>500</v>
      </c>
      <c r="F3182">
        <v>0</v>
      </c>
    </row>
    <row r="3183" spans="1:6" x14ac:dyDescent="0.15">
      <c r="A3183" t="s">
        <v>210</v>
      </c>
      <c r="B3183" s="226">
        <v>42358.457608078701</v>
      </c>
      <c r="C3183" t="s">
        <v>2605</v>
      </c>
      <c r="D3183" t="s">
        <v>13</v>
      </c>
      <c r="E3183">
        <v>60</v>
      </c>
      <c r="F3183">
        <v>0</v>
      </c>
    </row>
    <row r="3184" spans="1:6" x14ac:dyDescent="0.15">
      <c r="A3184" t="s">
        <v>210</v>
      </c>
      <c r="B3184" s="226">
        <v>42358.469403020834</v>
      </c>
      <c r="C3184" t="s">
        <v>2606</v>
      </c>
      <c r="D3184" t="s">
        <v>13</v>
      </c>
      <c r="E3184">
        <v>20</v>
      </c>
      <c r="F3184">
        <v>0</v>
      </c>
    </row>
    <row r="3185" spans="1:6" x14ac:dyDescent="0.15">
      <c r="A3185" t="s">
        <v>210</v>
      </c>
      <c r="B3185" s="226">
        <v>42358.474376712962</v>
      </c>
      <c r="C3185" t="s">
        <v>2232</v>
      </c>
      <c r="D3185" t="s">
        <v>13</v>
      </c>
      <c r="E3185">
        <v>120</v>
      </c>
      <c r="F3185">
        <v>0</v>
      </c>
    </row>
    <row r="3186" spans="1:6" x14ac:dyDescent="0.15">
      <c r="A3186" t="s">
        <v>210</v>
      </c>
      <c r="B3186" s="226">
        <v>42358.480290439817</v>
      </c>
      <c r="C3186" t="s">
        <v>790</v>
      </c>
      <c r="D3186" t="s">
        <v>13</v>
      </c>
      <c r="E3186">
        <v>60</v>
      </c>
      <c r="F3186">
        <v>0</v>
      </c>
    </row>
    <row r="3187" spans="1:6" x14ac:dyDescent="0.15">
      <c r="A3187" t="s">
        <v>210</v>
      </c>
      <c r="B3187" s="226">
        <v>42358.48213152778</v>
      </c>
      <c r="C3187" t="s">
        <v>2607</v>
      </c>
      <c r="D3187" t="s">
        <v>13</v>
      </c>
      <c r="E3187">
        <v>100</v>
      </c>
      <c r="F3187">
        <v>0</v>
      </c>
    </row>
    <row r="3188" spans="1:6" x14ac:dyDescent="0.15">
      <c r="A3188" t="s">
        <v>210</v>
      </c>
      <c r="B3188" s="226">
        <v>42358.487528101854</v>
      </c>
      <c r="C3188" t="s">
        <v>2608</v>
      </c>
      <c r="D3188" t="s">
        <v>13</v>
      </c>
      <c r="E3188">
        <v>40</v>
      </c>
      <c r="F3188">
        <v>0</v>
      </c>
    </row>
    <row r="3189" spans="1:6" x14ac:dyDescent="0.15">
      <c r="A3189" t="s">
        <v>210</v>
      </c>
      <c r="B3189" s="226">
        <v>42358.490448506942</v>
      </c>
      <c r="C3189" t="s">
        <v>2609</v>
      </c>
      <c r="D3189" t="s">
        <v>13</v>
      </c>
      <c r="E3189">
        <v>300</v>
      </c>
      <c r="F3189">
        <v>0</v>
      </c>
    </row>
    <row r="3190" spans="1:6" x14ac:dyDescent="0.15">
      <c r="A3190" t="s">
        <v>210</v>
      </c>
      <c r="B3190" s="226">
        <v>42358.493031122685</v>
      </c>
      <c r="C3190" t="s">
        <v>868</v>
      </c>
      <c r="D3190" t="s">
        <v>13</v>
      </c>
      <c r="E3190">
        <v>400</v>
      </c>
      <c r="F3190">
        <v>0</v>
      </c>
    </row>
    <row r="3191" spans="1:6" x14ac:dyDescent="0.15">
      <c r="A3191" t="s">
        <v>210</v>
      </c>
      <c r="B3191" s="226">
        <v>42358.500508229168</v>
      </c>
      <c r="C3191" t="s">
        <v>2587</v>
      </c>
      <c r="D3191" t="s">
        <v>13</v>
      </c>
      <c r="E3191">
        <v>120</v>
      </c>
      <c r="F3191">
        <v>0</v>
      </c>
    </row>
    <row r="3192" spans="1:6" x14ac:dyDescent="0.15">
      <c r="A3192" t="s">
        <v>210</v>
      </c>
      <c r="B3192" s="226">
        <v>42358.501093159721</v>
      </c>
      <c r="C3192" t="s">
        <v>14</v>
      </c>
      <c r="D3192" t="s">
        <v>13</v>
      </c>
      <c r="E3192">
        <v>40</v>
      </c>
      <c r="F3192">
        <v>3.5</v>
      </c>
    </row>
    <row r="3193" spans="1:6" x14ac:dyDescent="0.15">
      <c r="A3193" t="s">
        <v>210</v>
      </c>
      <c r="B3193" s="226">
        <v>42358.543257407408</v>
      </c>
      <c r="C3193" t="s">
        <v>532</v>
      </c>
      <c r="D3193" t="s">
        <v>13</v>
      </c>
      <c r="E3193">
        <v>40</v>
      </c>
      <c r="F3193">
        <v>0</v>
      </c>
    </row>
    <row r="3194" spans="1:6" x14ac:dyDescent="0.15">
      <c r="A3194" t="s">
        <v>210</v>
      </c>
      <c r="B3194" s="226">
        <v>42358.560755659724</v>
      </c>
      <c r="C3194" t="s">
        <v>2610</v>
      </c>
      <c r="D3194" t="s">
        <v>13</v>
      </c>
      <c r="E3194">
        <v>20</v>
      </c>
      <c r="F3194">
        <v>0</v>
      </c>
    </row>
    <row r="3195" spans="1:6" x14ac:dyDescent="0.15">
      <c r="A3195" t="s">
        <v>210</v>
      </c>
      <c r="B3195" s="226">
        <v>42358.603877384259</v>
      </c>
      <c r="C3195" t="s">
        <v>2611</v>
      </c>
      <c r="D3195" t="s">
        <v>13</v>
      </c>
      <c r="E3195">
        <v>40</v>
      </c>
      <c r="F3195">
        <v>0</v>
      </c>
    </row>
    <row r="3196" spans="1:6" x14ac:dyDescent="0.15">
      <c r="A3196" t="s">
        <v>210</v>
      </c>
      <c r="B3196" s="226">
        <v>42358.641811967595</v>
      </c>
      <c r="C3196" t="s">
        <v>2612</v>
      </c>
      <c r="D3196" t="s">
        <v>13</v>
      </c>
      <c r="E3196">
        <v>120</v>
      </c>
      <c r="F3196">
        <v>0</v>
      </c>
    </row>
    <row r="3197" spans="1:6" x14ac:dyDescent="0.15">
      <c r="A3197" t="s">
        <v>210</v>
      </c>
      <c r="B3197" s="226">
        <v>42358.664119872687</v>
      </c>
      <c r="C3197" t="s">
        <v>95</v>
      </c>
      <c r="D3197" t="s">
        <v>13</v>
      </c>
      <c r="E3197">
        <v>100</v>
      </c>
      <c r="F3197">
        <v>0</v>
      </c>
    </row>
    <row r="3198" spans="1:6" x14ac:dyDescent="0.15">
      <c r="A3198" t="s">
        <v>210</v>
      </c>
      <c r="B3198" s="226">
        <v>42358.678982233796</v>
      </c>
      <c r="C3198" t="s">
        <v>1197</v>
      </c>
      <c r="D3198" t="s">
        <v>13</v>
      </c>
      <c r="E3198">
        <v>40</v>
      </c>
      <c r="F3198">
        <v>0</v>
      </c>
    </row>
    <row r="3199" spans="1:6" x14ac:dyDescent="0.15">
      <c r="A3199" t="s">
        <v>210</v>
      </c>
      <c r="B3199" s="226">
        <v>42358.680986261577</v>
      </c>
      <c r="C3199" t="s">
        <v>2613</v>
      </c>
      <c r="D3199" t="s">
        <v>13</v>
      </c>
      <c r="E3199">
        <v>100</v>
      </c>
      <c r="F3199">
        <v>0</v>
      </c>
    </row>
    <row r="3200" spans="1:6" x14ac:dyDescent="0.15">
      <c r="A3200" t="s">
        <v>210</v>
      </c>
      <c r="B3200" s="226">
        <v>42358.685936875001</v>
      </c>
      <c r="C3200" t="s">
        <v>2614</v>
      </c>
      <c r="D3200" t="s">
        <v>13</v>
      </c>
      <c r="E3200">
        <v>80</v>
      </c>
      <c r="F3200">
        <v>0</v>
      </c>
    </row>
    <row r="3201" spans="1:6" x14ac:dyDescent="0.15">
      <c r="A3201" t="s">
        <v>210</v>
      </c>
      <c r="B3201" s="226">
        <v>42358.687721469905</v>
      </c>
      <c r="C3201" t="s">
        <v>2615</v>
      </c>
      <c r="D3201" t="s">
        <v>13</v>
      </c>
      <c r="E3201">
        <v>120</v>
      </c>
      <c r="F3201">
        <v>0</v>
      </c>
    </row>
    <row r="3202" spans="1:6" x14ac:dyDescent="0.15">
      <c r="A3202" t="s">
        <v>210</v>
      </c>
      <c r="B3202" s="226">
        <v>42358.69746009259</v>
      </c>
      <c r="C3202" t="s">
        <v>2060</v>
      </c>
      <c r="D3202" t="s">
        <v>13</v>
      </c>
      <c r="E3202">
        <v>100</v>
      </c>
      <c r="F3202">
        <v>0</v>
      </c>
    </row>
    <row r="3203" spans="1:6" x14ac:dyDescent="0.15">
      <c r="A3203" t="s">
        <v>210</v>
      </c>
      <c r="B3203" s="226">
        <v>42358.720422129627</v>
      </c>
      <c r="C3203" t="s">
        <v>2616</v>
      </c>
      <c r="D3203" t="s">
        <v>15</v>
      </c>
      <c r="E3203">
        <v>100</v>
      </c>
      <c r="F3203">
        <v>3</v>
      </c>
    </row>
    <row r="3204" spans="1:6" x14ac:dyDescent="0.15">
      <c r="A3204" t="s">
        <v>210</v>
      </c>
      <c r="B3204" s="226">
        <v>42358.750507002318</v>
      </c>
      <c r="C3204" t="s">
        <v>1167</v>
      </c>
      <c r="D3204" t="s">
        <v>13</v>
      </c>
      <c r="E3204">
        <v>40</v>
      </c>
      <c r="F3204">
        <v>0</v>
      </c>
    </row>
    <row r="3205" spans="1:6" x14ac:dyDescent="0.15">
      <c r="A3205" t="s">
        <v>210</v>
      </c>
      <c r="B3205" s="226">
        <v>42358.764958715277</v>
      </c>
      <c r="C3205" t="s">
        <v>265</v>
      </c>
      <c r="D3205" t="s">
        <v>13</v>
      </c>
      <c r="E3205">
        <v>80</v>
      </c>
      <c r="F3205">
        <v>0</v>
      </c>
    </row>
    <row r="3206" spans="1:6" x14ac:dyDescent="0.15">
      <c r="A3206" t="s">
        <v>210</v>
      </c>
      <c r="B3206" s="226">
        <v>42358.789828726854</v>
      </c>
      <c r="C3206" t="s">
        <v>120</v>
      </c>
      <c r="D3206" t="s">
        <v>13</v>
      </c>
      <c r="E3206">
        <v>100</v>
      </c>
      <c r="F3206">
        <v>0</v>
      </c>
    </row>
    <row r="3207" spans="1:6" x14ac:dyDescent="0.15">
      <c r="A3207" t="s">
        <v>210</v>
      </c>
      <c r="B3207" s="226">
        <v>42359.324027523151</v>
      </c>
      <c r="C3207" t="s">
        <v>2617</v>
      </c>
      <c r="D3207" t="s">
        <v>13</v>
      </c>
      <c r="E3207">
        <v>100</v>
      </c>
      <c r="F3207">
        <v>0</v>
      </c>
    </row>
    <row r="3208" spans="1:6" x14ac:dyDescent="0.15">
      <c r="A3208" t="s">
        <v>210</v>
      </c>
      <c r="B3208" s="226">
        <v>42359.334133182871</v>
      </c>
      <c r="C3208" t="s">
        <v>2618</v>
      </c>
      <c r="D3208" t="s">
        <v>13</v>
      </c>
      <c r="E3208">
        <v>100</v>
      </c>
      <c r="F3208">
        <v>0</v>
      </c>
    </row>
    <row r="3209" spans="1:6" x14ac:dyDescent="0.15">
      <c r="A3209" t="s">
        <v>210</v>
      </c>
      <c r="B3209" s="226">
        <v>42359.340257916665</v>
      </c>
      <c r="C3209" t="s">
        <v>537</v>
      </c>
      <c r="D3209" t="s">
        <v>13</v>
      </c>
      <c r="E3209">
        <v>40</v>
      </c>
      <c r="F3209">
        <v>0</v>
      </c>
    </row>
    <row r="3210" spans="1:6" x14ac:dyDescent="0.15">
      <c r="A3210" t="s">
        <v>210</v>
      </c>
      <c r="B3210" s="226">
        <v>42359.358512766201</v>
      </c>
      <c r="C3210" t="s">
        <v>2619</v>
      </c>
      <c r="D3210" t="s">
        <v>13</v>
      </c>
      <c r="E3210">
        <v>100</v>
      </c>
      <c r="F3210">
        <v>0</v>
      </c>
    </row>
    <row r="3211" spans="1:6" x14ac:dyDescent="0.15">
      <c r="A3211" t="s">
        <v>210</v>
      </c>
      <c r="B3211" s="226">
        <v>42359.39269148148</v>
      </c>
      <c r="C3211" t="s">
        <v>2620</v>
      </c>
      <c r="D3211" t="s">
        <v>13</v>
      </c>
      <c r="E3211">
        <v>100</v>
      </c>
      <c r="F3211">
        <v>0</v>
      </c>
    </row>
    <row r="3212" spans="1:6" x14ac:dyDescent="0.15">
      <c r="A3212" t="s">
        <v>210</v>
      </c>
      <c r="B3212" s="226">
        <v>42359.394001851855</v>
      </c>
      <c r="C3212" t="s">
        <v>538</v>
      </c>
      <c r="D3212" t="s">
        <v>13</v>
      </c>
      <c r="E3212">
        <v>80</v>
      </c>
      <c r="F3212">
        <v>0</v>
      </c>
    </row>
    <row r="3213" spans="1:6" x14ac:dyDescent="0.15">
      <c r="A3213" t="s">
        <v>210</v>
      </c>
      <c r="B3213" s="226">
        <v>42359.395779768522</v>
      </c>
      <c r="C3213" t="s">
        <v>14</v>
      </c>
      <c r="D3213" t="s">
        <v>13</v>
      </c>
      <c r="E3213">
        <v>60</v>
      </c>
      <c r="F3213">
        <v>3.5</v>
      </c>
    </row>
    <row r="3214" spans="1:6" x14ac:dyDescent="0.15">
      <c r="A3214" t="s">
        <v>210</v>
      </c>
      <c r="B3214" s="226">
        <v>42359.405165752316</v>
      </c>
      <c r="C3214" t="s">
        <v>14</v>
      </c>
      <c r="D3214" t="s">
        <v>13</v>
      </c>
      <c r="E3214">
        <v>40</v>
      </c>
      <c r="F3214">
        <v>3.5</v>
      </c>
    </row>
    <row r="3215" spans="1:6" x14ac:dyDescent="0.15">
      <c r="A3215" t="s">
        <v>210</v>
      </c>
      <c r="B3215" s="226">
        <v>42359.415664363427</v>
      </c>
      <c r="C3215" t="s">
        <v>2453</v>
      </c>
      <c r="D3215" t="s">
        <v>13</v>
      </c>
      <c r="E3215">
        <v>500</v>
      </c>
      <c r="F3215">
        <v>0</v>
      </c>
    </row>
    <row r="3216" spans="1:6" x14ac:dyDescent="0.15">
      <c r="A3216" t="s">
        <v>210</v>
      </c>
      <c r="B3216" s="226">
        <v>42359.429162962966</v>
      </c>
      <c r="C3216" t="s">
        <v>2621</v>
      </c>
      <c r="D3216" t="s">
        <v>13</v>
      </c>
      <c r="E3216">
        <v>80</v>
      </c>
      <c r="F3216">
        <v>0</v>
      </c>
    </row>
    <row r="3217" spans="1:6" x14ac:dyDescent="0.15">
      <c r="A3217" t="s">
        <v>210</v>
      </c>
      <c r="B3217" s="226">
        <v>42359.439667129627</v>
      </c>
      <c r="C3217" t="s">
        <v>837</v>
      </c>
      <c r="D3217" t="s">
        <v>13</v>
      </c>
      <c r="E3217">
        <v>40</v>
      </c>
      <c r="F3217">
        <v>0</v>
      </c>
    </row>
    <row r="3218" spans="1:6" x14ac:dyDescent="0.15">
      <c r="A3218" t="s">
        <v>210</v>
      </c>
      <c r="B3218" s="226">
        <v>42359.459504675928</v>
      </c>
      <c r="C3218" t="s">
        <v>14</v>
      </c>
      <c r="D3218" t="s">
        <v>13</v>
      </c>
      <c r="E3218">
        <v>100</v>
      </c>
      <c r="F3218">
        <v>3.5</v>
      </c>
    </row>
    <row r="3219" spans="1:6" x14ac:dyDescent="0.15">
      <c r="A3219" t="s">
        <v>210</v>
      </c>
      <c r="B3219" s="226">
        <v>42359.470277905093</v>
      </c>
      <c r="C3219" t="s">
        <v>14</v>
      </c>
      <c r="D3219" t="s">
        <v>13</v>
      </c>
      <c r="E3219">
        <v>60</v>
      </c>
      <c r="F3219">
        <v>3.5</v>
      </c>
    </row>
    <row r="3220" spans="1:6" x14ac:dyDescent="0.15">
      <c r="A3220" t="s">
        <v>210</v>
      </c>
      <c r="B3220" s="226">
        <v>42359.477906307868</v>
      </c>
      <c r="C3220" t="s">
        <v>2622</v>
      </c>
      <c r="D3220" t="s">
        <v>13</v>
      </c>
      <c r="E3220">
        <v>40</v>
      </c>
      <c r="F3220">
        <v>0</v>
      </c>
    </row>
    <row r="3221" spans="1:6" x14ac:dyDescent="0.15">
      <c r="A3221" t="s">
        <v>210</v>
      </c>
      <c r="B3221" s="226">
        <v>42359.481655625001</v>
      </c>
      <c r="C3221" t="s">
        <v>2623</v>
      </c>
      <c r="D3221" t="s">
        <v>13</v>
      </c>
      <c r="E3221">
        <v>480</v>
      </c>
      <c r="F3221">
        <v>0</v>
      </c>
    </row>
    <row r="3222" spans="1:6" x14ac:dyDescent="0.15">
      <c r="A3222" t="s">
        <v>210</v>
      </c>
      <c r="B3222" s="226">
        <v>42359.485270567129</v>
      </c>
      <c r="C3222" t="s">
        <v>2624</v>
      </c>
      <c r="D3222" t="s">
        <v>13</v>
      </c>
      <c r="E3222">
        <v>40</v>
      </c>
      <c r="F3222">
        <v>0</v>
      </c>
    </row>
    <row r="3223" spans="1:6" x14ac:dyDescent="0.15">
      <c r="A3223" t="s">
        <v>210</v>
      </c>
      <c r="B3223" s="226">
        <v>42359.485862488429</v>
      </c>
      <c r="C3223" t="s">
        <v>2625</v>
      </c>
      <c r="D3223" t="s">
        <v>13</v>
      </c>
      <c r="E3223">
        <v>100</v>
      </c>
      <c r="F3223">
        <v>0</v>
      </c>
    </row>
    <row r="3224" spans="1:6" x14ac:dyDescent="0.15">
      <c r="A3224" t="s">
        <v>210</v>
      </c>
      <c r="B3224" s="226">
        <v>42359.486486215275</v>
      </c>
      <c r="C3224" t="s">
        <v>539</v>
      </c>
      <c r="D3224" t="s">
        <v>13</v>
      </c>
      <c r="E3224">
        <v>100</v>
      </c>
      <c r="F3224">
        <v>0</v>
      </c>
    </row>
    <row r="3225" spans="1:6" x14ac:dyDescent="0.15">
      <c r="A3225" t="s">
        <v>210</v>
      </c>
      <c r="B3225" s="226">
        <v>42359.514488958332</v>
      </c>
      <c r="C3225" t="s">
        <v>540</v>
      </c>
      <c r="D3225" t="s">
        <v>13</v>
      </c>
      <c r="E3225">
        <v>80</v>
      </c>
      <c r="F3225">
        <v>0</v>
      </c>
    </row>
    <row r="3226" spans="1:6" x14ac:dyDescent="0.15">
      <c r="A3226" t="s">
        <v>210</v>
      </c>
      <c r="B3226" s="226">
        <v>42359.516081527778</v>
      </c>
      <c r="C3226" t="s">
        <v>2626</v>
      </c>
      <c r="D3226" t="s">
        <v>13</v>
      </c>
      <c r="E3226">
        <v>60</v>
      </c>
      <c r="F3226">
        <v>0</v>
      </c>
    </row>
    <row r="3227" spans="1:6" x14ac:dyDescent="0.15">
      <c r="A3227" t="s">
        <v>210</v>
      </c>
      <c r="B3227" s="226">
        <v>42359.518852210647</v>
      </c>
      <c r="C3227" t="s">
        <v>2192</v>
      </c>
      <c r="D3227" t="s">
        <v>13</v>
      </c>
      <c r="E3227">
        <v>500</v>
      </c>
      <c r="F3227">
        <v>0</v>
      </c>
    </row>
    <row r="3228" spans="1:6" x14ac:dyDescent="0.15">
      <c r="A3228" t="s">
        <v>210</v>
      </c>
      <c r="B3228" s="226">
        <v>42359.524593125003</v>
      </c>
      <c r="C3228" t="s">
        <v>2627</v>
      </c>
      <c r="D3228" t="s">
        <v>13</v>
      </c>
      <c r="E3228">
        <v>100</v>
      </c>
      <c r="F3228">
        <v>0</v>
      </c>
    </row>
    <row r="3229" spans="1:6" x14ac:dyDescent="0.15">
      <c r="A3229" t="s">
        <v>210</v>
      </c>
      <c r="B3229" s="226">
        <v>42359.525133495372</v>
      </c>
      <c r="C3229" t="s">
        <v>541</v>
      </c>
      <c r="D3229" t="s">
        <v>13</v>
      </c>
      <c r="E3229">
        <v>60</v>
      </c>
      <c r="F3229">
        <v>0</v>
      </c>
    </row>
    <row r="3230" spans="1:6" x14ac:dyDescent="0.15">
      <c r="A3230" t="s">
        <v>210</v>
      </c>
      <c r="B3230" s="226">
        <v>42359.53915109954</v>
      </c>
      <c r="C3230" t="s">
        <v>2628</v>
      </c>
      <c r="D3230" t="s">
        <v>13</v>
      </c>
      <c r="E3230">
        <v>100</v>
      </c>
      <c r="F3230">
        <v>0</v>
      </c>
    </row>
    <row r="3231" spans="1:6" x14ac:dyDescent="0.15">
      <c r="A3231" t="s">
        <v>210</v>
      </c>
      <c r="B3231" s="226">
        <v>42359.539896331022</v>
      </c>
      <c r="C3231" t="s">
        <v>2629</v>
      </c>
      <c r="D3231" t="s">
        <v>13</v>
      </c>
      <c r="E3231">
        <v>60</v>
      </c>
      <c r="F3231">
        <v>0</v>
      </c>
    </row>
    <row r="3232" spans="1:6" x14ac:dyDescent="0.15">
      <c r="A3232" t="s">
        <v>210</v>
      </c>
      <c r="B3232" s="226">
        <v>42359.547056516203</v>
      </c>
      <c r="C3232" t="s">
        <v>2630</v>
      </c>
      <c r="D3232" t="s">
        <v>13</v>
      </c>
      <c r="E3232">
        <v>60</v>
      </c>
      <c r="F3232">
        <v>0</v>
      </c>
    </row>
    <row r="3233" spans="1:6" x14ac:dyDescent="0.15">
      <c r="A3233" t="s">
        <v>210</v>
      </c>
      <c r="B3233" s="226">
        <v>42359.568740185183</v>
      </c>
      <c r="C3233" t="s">
        <v>2631</v>
      </c>
      <c r="D3233" t="s">
        <v>13</v>
      </c>
      <c r="E3233">
        <v>40</v>
      </c>
      <c r="F3233">
        <v>0</v>
      </c>
    </row>
    <row r="3234" spans="1:6" x14ac:dyDescent="0.15">
      <c r="A3234" t="s">
        <v>210</v>
      </c>
      <c r="B3234" s="226">
        <v>42359.584447581015</v>
      </c>
      <c r="C3234" t="s">
        <v>2632</v>
      </c>
      <c r="D3234" t="s">
        <v>13</v>
      </c>
      <c r="E3234">
        <v>200</v>
      </c>
      <c r="F3234">
        <v>0</v>
      </c>
    </row>
    <row r="3235" spans="1:6" x14ac:dyDescent="0.15">
      <c r="A3235" t="s">
        <v>210</v>
      </c>
      <c r="B3235" s="226">
        <v>42359.625184722223</v>
      </c>
      <c r="C3235" t="s">
        <v>2633</v>
      </c>
      <c r="D3235" t="s">
        <v>13</v>
      </c>
      <c r="E3235">
        <v>100</v>
      </c>
      <c r="F3235">
        <v>0</v>
      </c>
    </row>
    <row r="3236" spans="1:6" x14ac:dyDescent="0.15">
      <c r="A3236" t="s">
        <v>210</v>
      </c>
      <c r="B3236" s="226">
        <v>42359.639997175924</v>
      </c>
      <c r="C3236" t="s">
        <v>2634</v>
      </c>
      <c r="D3236" t="s">
        <v>13</v>
      </c>
      <c r="E3236">
        <v>60</v>
      </c>
      <c r="F3236">
        <v>0</v>
      </c>
    </row>
    <row r="3237" spans="1:6" x14ac:dyDescent="0.15">
      <c r="A3237" t="s">
        <v>210</v>
      </c>
      <c r="B3237" s="226">
        <v>42359.64913140046</v>
      </c>
      <c r="C3237" t="s">
        <v>2012</v>
      </c>
      <c r="D3237" t="s">
        <v>13</v>
      </c>
      <c r="E3237">
        <v>20</v>
      </c>
      <c r="F3237">
        <v>0</v>
      </c>
    </row>
    <row r="3238" spans="1:6" x14ac:dyDescent="0.15">
      <c r="A3238" t="s">
        <v>210</v>
      </c>
      <c r="B3238" s="226">
        <v>42359.666880821758</v>
      </c>
      <c r="C3238" t="s">
        <v>2110</v>
      </c>
      <c r="D3238" t="s">
        <v>13</v>
      </c>
      <c r="E3238">
        <v>40</v>
      </c>
      <c r="F3238">
        <v>0</v>
      </c>
    </row>
    <row r="3239" spans="1:6" x14ac:dyDescent="0.15">
      <c r="A3239" t="s">
        <v>210</v>
      </c>
      <c r="B3239" s="226">
        <v>42359.679253981485</v>
      </c>
      <c r="C3239" t="s">
        <v>2635</v>
      </c>
      <c r="D3239" t="s">
        <v>13</v>
      </c>
      <c r="E3239">
        <v>100</v>
      </c>
      <c r="F3239">
        <v>0</v>
      </c>
    </row>
    <row r="3240" spans="1:6" x14ac:dyDescent="0.15">
      <c r="A3240" t="s">
        <v>210</v>
      </c>
      <c r="B3240" s="226">
        <v>42359.685097280089</v>
      </c>
      <c r="C3240" t="s">
        <v>2636</v>
      </c>
      <c r="D3240" t="s">
        <v>13</v>
      </c>
      <c r="E3240">
        <v>60</v>
      </c>
      <c r="F3240">
        <v>0</v>
      </c>
    </row>
    <row r="3241" spans="1:6" x14ac:dyDescent="0.15">
      <c r="A3241" t="s">
        <v>210</v>
      </c>
      <c r="B3241" s="226">
        <v>42359.700552210648</v>
      </c>
      <c r="C3241" t="s">
        <v>1285</v>
      </c>
      <c r="D3241" t="s">
        <v>13</v>
      </c>
      <c r="E3241">
        <v>160</v>
      </c>
      <c r="F3241">
        <v>0</v>
      </c>
    </row>
    <row r="3242" spans="1:6" x14ac:dyDescent="0.15">
      <c r="A3242" t="s">
        <v>210</v>
      </c>
      <c r="B3242" s="226">
        <v>42359.741864722222</v>
      </c>
      <c r="C3242" t="s">
        <v>14</v>
      </c>
      <c r="D3242" t="s">
        <v>13</v>
      </c>
      <c r="E3242">
        <v>100</v>
      </c>
      <c r="F3242">
        <v>3.5</v>
      </c>
    </row>
    <row r="3243" spans="1:6" x14ac:dyDescent="0.15">
      <c r="A3243" t="s">
        <v>210</v>
      </c>
      <c r="B3243" s="226">
        <v>42359.754233182874</v>
      </c>
      <c r="C3243" t="s">
        <v>14</v>
      </c>
      <c r="D3243" t="s">
        <v>13</v>
      </c>
      <c r="E3243">
        <v>200</v>
      </c>
      <c r="F3243">
        <v>3.5</v>
      </c>
    </row>
    <row r="3244" spans="1:6" x14ac:dyDescent="0.15">
      <c r="A3244" t="s">
        <v>210</v>
      </c>
      <c r="B3244" s="226">
        <v>42359.763417939816</v>
      </c>
      <c r="C3244" t="s">
        <v>2637</v>
      </c>
      <c r="D3244" t="s">
        <v>13</v>
      </c>
      <c r="E3244">
        <v>40</v>
      </c>
      <c r="F3244">
        <v>0</v>
      </c>
    </row>
    <row r="3245" spans="1:6" x14ac:dyDescent="0.15">
      <c r="A3245" t="s">
        <v>210</v>
      </c>
      <c r="B3245" s="226">
        <v>42359.779584097225</v>
      </c>
      <c r="C3245" t="s">
        <v>799</v>
      </c>
      <c r="D3245" t="s">
        <v>13</v>
      </c>
      <c r="E3245">
        <v>100</v>
      </c>
      <c r="F3245">
        <v>0</v>
      </c>
    </row>
    <row r="3246" spans="1:6" x14ac:dyDescent="0.15">
      <c r="A3246" t="s">
        <v>210</v>
      </c>
      <c r="B3246" s="226">
        <v>42360.21396818287</v>
      </c>
      <c r="C3246" t="s">
        <v>2638</v>
      </c>
      <c r="D3246" t="s">
        <v>15</v>
      </c>
      <c r="E3246">
        <v>40</v>
      </c>
      <c r="F3246">
        <v>1.2</v>
      </c>
    </row>
    <row r="3247" spans="1:6" x14ac:dyDescent="0.15">
      <c r="A3247" t="s">
        <v>210</v>
      </c>
      <c r="B3247" s="226">
        <v>42360.324341446758</v>
      </c>
      <c r="C3247" t="s">
        <v>2639</v>
      </c>
      <c r="D3247" t="s">
        <v>13</v>
      </c>
      <c r="E3247">
        <v>200</v>
      </c>
      <c r="F3247">
        <v>0</v>
      </c>
    </row>
    <row r="3248" spans="1:6" x14ac:dyDescent="0.15">
      <c r="A3248" t="s">
        <v>210</v>
      </c>
      <c r="B3248" s="226">
        <v>42360.341258935186</v>
      </c>
      <c r="C3248" t="s">
        <v>174</v>
      </c>
      <c r="D3248" t="s">
        <v>13</v>
      </c>
      <c r="E3248">
        <v>160</v>
      </c>
      <c r="F3248">
        <v>0</v>
      </c>
    </row>
    <row r="3249" spans="1:6" x14ac:dyDescent="0.15">
      <c r="A3249" t="s">
        <v>210</v>
      </c>
      <c r="B3249" s="226">
        <v>42360.352611886578</v>
      </c>
      <c r="C3249" t="s">
        <v>498</v>
      </c>
      <c r="D3249" t="s">
        <v>13</v>
      </c>
      <c r="E3249">
        <v>40</v>
      </c>
      <c r="F3249">
        <v>0</v>
      </c>
    </row>
    <row r="3250" spans="1:6" x14ac:dyDescent="0.15">
      <c r="A3250" t="s">
        <v>210</v>
      </c>
      <c r="B3250" s="226">
        <v>42360.371421736112</v>
      </c>
      <c r="C3250" t="s">
        <v>2640</v>
      </c>
      <c r="D3250" t="s">
        <v>13</v>
      </c>
      <c r="E3250">
        <v>300</v>
      </c>
      <c r="F3250">
        <v>0</v>
      </c>
    </row>
    <row r="3251" spans="1:6" x14ac:dyDescent="0.15">
      <c r="A3251" t="s">
        <v>210</v>
      </c>
      <c r="B3251" s="226">
        <v>42360.371921469909</v>
      </c>
      <c r="C3251" t="s">
        <v>2641</v>
      </c>
      <c r="D3251" t="s">
        <v>13</v>
      </c>
      <c r="E3251">
        <v>60</v>
      </c>
      <c r="F3251">
        <v>0</v>
      </c>
    </row>
    <row r="3252" spans="1:6" x14ac:dyDescent="0.15">
      <c r="A3252" t="s">
        <v>210</v>
      </c>
      <c r="B3252" s="226">
        <v>42360.393685682873</v>
      </c>
      <c r="C3252" t="s">
        <v>2239</v>
      </c>
      <c r="D3252" t="s">
        <v>13</v>
      </c>
      <c r="E3252">
        <v>100</v>
      </c>
      <c r="F3252">
        <v>0</v>
      </c>
    </row>
    <row r="3253" spans="1:6" x14ac:dyDescent="0.15">
      <c r="A3253" t="s">
        <v>210</v>
      </c>
      <c r="B3253" s="226">
        <v>42360.438191620371</v>
      </c>
      <c r="C3253" t="s">
        <v>14</v>
      </c>
      <c r="D3253" t="s">
        <v>13</v>
      </c>
      <c r="E3253">
        <v>40</v>
      </c>
      <c r="F3253">
        <v>3.5</v>
      </c>
    </row>
    <row r="3254" spans="1:6" x14ac:dyDescent="0.15">
      <c r="A3254" t="s">
        <v>210</v>
      </c>
      <c r="B3254" s="226">
        <v>42360.459608645833</v>
      </c>
      <c r="C3254" t="s">
        <v>2642</v>
      </c>
      <c r="D3254" t="s">
        <v>13</v>
      </c>
      <c r="E3254">
        <v>100</v>
      </c>
      <c r="F3254">
        <v>0</v>
      </c>
    </row>
    <row r="3255" spans="1:6" x14ac:dyDescent="0.15">
      <c r="A3255" t="s">
        <v>210</v>
      </c>
      <c r="B3255" s="226">
        <v>42360.466927488429</v>
      </c>
      <c r="C3255" t="s">
        <v>1030</v>
      </c>
      <c r="D3255" t="s">
        <v>13</v>
      </c>
      <c r="E3255">
        <v>120</v>
      </c>
      <c r="F3255">
        <v>0</v>
      </c>
    </row>
    <row r="3256" spans="1:6" x14ac:dyDescent="0.15">
      <c r="A3256" t="s">
        <v>210</v>
      </c>
      <c r="B3256" s="226">
        <v>42360.491452152775</v>
      </c>
      <c r="C3256" t="s">
        <v>2643</v>
      </c>
      <c r="D3256" t="s">
        <v>13</v>
      </c>
      <c r="E3256">
        <v>500</v>
      </c>
      <c r="F3256">
        <v>0</v>
      </c>
    </row>
    <row r="3257" spans="1:6" x14ac:dyDescent="0.15">
      <c r="A3257" t="s">
        <v>210</v>
      </c>
      <c r="B3257" s="226">
        <v>42360.500114189817</v>
      </c>
      <c r="C3257" t="s">
        <v>2423</v>
      </c>
      <c r="D3257" t="s">
        <v>13</v>
      </c>
      <c r="E3257">
        <v>100</v>
      </c>
      <c r="F3257">
        <v>0</v>
      </c>
    </row>
    <row r="3258" spans="1:6" x14ac:dyDescent="0.15">
      <c r="A3258" t="s">
        <v>210</v>
      </c>
      <c r="B3258" s="226">
        <v>42360.506930798612</v>
      </c>
      <c r="C3258" t="s">
        <v>1854</v>
      </c>
      <c r="D3258" t="s">
        <v>13</v>
      </c>
      <c r="E3258">
        <v>80</v>
      </c>
      <c r="F3258">
        <v>0</v>
      </c>
    </row>
    <row r="3259" spans="1:6" x14ac:dyDescent="0.15">
      <c r="A3259" t="s">
        <v>210</v>
      </c>
      <c r="B3259" s="226">
        <v>42360.516694826387</v>
      </c>
      <c r="C3259" t="s">
        <v>2644</v>
      </c>
      <c r="D3259" t="s">
        <v>13</v>
      </c>
      <c r="E3259">
        <v>60</v>
      </c>
      <c r="F3259">
        <v>0</v>
      </c>
    </row>
    <row r="3260" spans="1:6" x14ac:dyDescent="0.15">
      <c r="A3260" t="s">
        <v>210</v>
      </c>
      <c r="B3260" s="226">
        <v>42360.529365092596</v>
      </c>
      <c r="C3260" t="s">
        <v>2645</v>
      </c>
      <c r="D3260" t="s">
        <v>13</v>
      </c>
      <c r="E3260">
        <v>100</v>
      </c>
      <c r="F3260">
        <v>0</v>
      </c>
    </row>
    <row r="3261" spans="1:6" x14ac:dyDescent="0.15">
      <c r="A3261" t="s">
        <v>210</v>
      </c>
      <c r="B3261" s="226">
        <v>42360.541790659721</v>
      </c>
      <c r="C3261" t="s">
        <v>542</v>
      </c>
      <c r="D3261" t="s">
        <v>13</v>
      </c>
      <c r="E3261">
        <v>100</v>
      </c>
      <c r="F3261">
        <v>0</v>
      </c>
    </row>
    <row r="3262" spans="1:6" x14ac:dyDescent="0.15">
      <c r="A3262" t="s">
        <v>210</v>
      </c>
      <c r="B3262" s="226">
        <v>42360.560798587961</v>
      </c>
      <c r="C3262" t="s">
        <v>14</v>
      </c>
      <c r="D3262" t="s">
        <v>13</v>
      </c>
      <c r="E3262">
        <v>100</v>
      </c>
      <c r="F3262">
        <v>3.5</v>
      </c>
    </row>
    <row r="3263" spans="1:6" x14ac:dyDescent="0.15">
      <c r="A3263" t="s">
        <v>210</v>
      </c>
      <c r="B3263" s="226">
        <v>42360.563077199076</v>
      </c>
      <c r="C3263" t="s">
        <v>410</v>
      </c>
      <c r="D3263" t="s">
        <v>13</v>
      </c>
      <c r="E3263">
        <v>40</v>
      </c>
      <c r="F3263">
        <v>0</v>
      </c>
    </row>
    <row r="3264" spans="1:6" x14ac:dyDescent="0.15">
      <c r="A3264" t="s">
        <v>210</v>
      </c>
      <c r="B3264" s="226">
        <v>42360.573651597224</v>
      </c>
      <c r="C3264" t="s">
        <v>14</v>
      </c>
      <c r="D3264" t="s">
        <v>13</v>
      </c>
      <c r="E3264">
        <v>100</v>
      </c>
      <c r="F3264">
        <v>3.5</v>
      </c>
    </row>
    <row r="3265" spans="1:6" x14ac:dyDescent="0.15">
      <c r="A3265" t="s">
        <v>210</v>
      </c>
      <c r="B3265" s="226">
        <v>42360.589940196762</v>
      </c>
      <c r="C3265" t="s">
        <v>543</v>
      </c>
      <c r="D3265" t="s">
        <v>13</v>
      </c>
      <c r="E3265">
        <v>40</v>
      </c>
      <c r="F3265">
        <v>0</v>
      </c>
    </row>
    <row r="3266" spans="1:6" x14ac:dyDescent="0.15">
      <c r="A3266" t="s">
        <v>210</v>
      </c>
      <c r="B3266" s="226">
        <v>42360.590578506948</v>
      </c>
      <c r="C3266" t="s">
        <v>2127</v>
      </c>
      <c r="D3266" t="s">
        <v>13</v>
      </c>
      <c r="E3266">
        <v>60</v>
      </c>
      <c r="F3266">
        <v>0</v>
      </c>
    </row>
    <row r="3267" spans="1:6" x14ac:dyDescent="0.15">
      <c r="A3267" t="s">
        <v>210</v>
      </c>
      <c r="B3267" s="226">
        <v>42360.591307222225</v>
      </c>
      <c r="C3267" t="s">
        <v>2646</v>
      </c>
      <c r="D3267" t="s">
        <v>13</v>
      </c>
      <c r="E3267">
        <v>100</v>
      </c>
      <c r="F3267">
        <v>0</v>
      </c>
    </row>
    <row r="3268" spans="1:6" x14ac:dyDescent="0.15">
      <c r="A3268" t="s">
        <v>210</v>
      </c>
      <c r="B3268" s="226">
        <v>42360.593666793982</v>
      </c>
      <c r="C3268" t="s">
        <v>2647</v>
      </c>
      <c r="D3268" t="s">
        <v>13</v>
      </c>
      <c r="E3268">
        <v>20</v>
      </c>
      <c r="F3268">
        <v>0</v>
      </c>
    </row>
    <row r="3269" spans="1:6" x14ac:dyDescent="0.15">
      <c r="A3269" t="s">
        <v>210</v>
      </c>
      <c r="B3269" s="226">
        <v>42360.616741180558</v>
      </c>
      <c r="C3269" t="s">
        <v>2648</v>
      </c>
      <c r="D3269" t="s">
        <v>13</v>
      </c>
      <c r="E3269">
        <v>100</v>
      </c>
      <c r="F3269">
        <v>0</v>
      </c>
    </row>
    <row r="3270" spans="1:6" x14ac:dyDescent="0.15">
      <c r="A3270" t="s">
        <v>210</v>
      </c>
      <c r="B3270" s="226">
        <v>42360.640546574075</v>
      </c>
      <c r="C3270" t="s">
        <v>2649</v>
      </c>
      <c r="D3270" t="s">
        <v>13</v>
      </c>
      <c r="E3270">
        <v>40</v>
      </c>
      <c r="F3270">
        <v>0</v>
      </c>
    </row>
    <row r="3271" spans="1:6" x14ac:dyDescent="0.15">
      <c r="A3271" t="s">
        <v>210</v>
      </c>
      <c r="B3271" s="226">
        <v>42360.670292835646</v>
      </c>
      <c r="C3271" t="s">
        <v>2650</v>
      </c>
      <c r="D3271" t="s">
        <v>13</v>
      </c>
      <c r="E3271">
        <v>440</v>
      </c>
      <c r="F3271">
        <v>0</v>
      </c>
    </row>
    <row r="3272" spans="1:6" x14ac:dyDescent="0.15">
      <c r="A3272" t="s">
        <v>210</v>
      </c>
      <c r="B3272" s="226">
        <v>42360.671788101849</v>
      </c>
      <c r="C3272" t="s">
        <v>2300</v>
      </c>
      <c r="D3272" t="s">
        <v>13</v>
      </c>
      <c r="E3272">
        <v>100</v>
      </c>
      <c r="F3272">
        <v>0</v>
      </c>
    </row>
    <row r="3273" spans="1:6" x14ac:dyDescent="0.15">
      <c r="A3273" t="s">
        <v>210</v>
      </c>
      <c r="B3273" s="226">
        <v>42360.683332488428</v>
      </c>
      <c r="C3273" t="s">
        <v>2651</v>
      </c>
      <c r="D3273" t="s">
        <v>13</v>
      </c>
      <c r="E3273">
        <v>480</v>
      </c>
      <c r="F3273">
        <v>0</v>
      </c>
    </row>
    <row r="3274" spans="1:6" x14ac:dyDescent="0.15">
      <c r="A3274" t="s">
        <v>210</v>
      </c>
      <c r="B3274" s="226">
        <v>42360.687276226854</v>
      </c>
      <c r="C3274" t="s">
        <v>2652</v>
      </c>
      <c r="D3274" t="s">
        <v>13</v>
      </c>
      <c r="E3274">
        <v>100</v>
      </c>
      <c r="F3274">
        <v>0</v>
      </c>
    </row>
    <row r="3275" spans="1:6" x14ac:dyDescent="0.15">
      <c r="A3275" t="s">
        <v>210</v>
      </c>
      <c r="B3275" s="226">
        <v>42360.70578851852</v>
      </c>
      <c r="C3275" t="s">
        <v>2653</v>
      </c>
      <c r="D3275" t="s">
        <v>13</v>
      </c>
      <c r="E3275">
        <v>100</v>
      </c>
      <c r="F3275">
        <v>0</v>
      </c>
    </row>
    <row r="3276" spans="1:6" x14ac:dyDescent="0.15">
      <c r="A3276" t="s">
        <v>210</v>
      </c>
      <c r="B3276" s="226">
        <v>42360.707793703703</v>
      </c>
      <c r="C3276" t="s">
        <v>544</v>
      </c>
      <c r="D3276" t="s">
        <v>13</v>
      </c>
      <c r="E3276">
        <v>60</v>
      </c>
      <c r="F3276">
        <v>0</v>
      </c>
    </row>
    <row r="3277" spans="1:6" x14ac:dyDescent="0.15">
      <c r="A3277" t="s">
        <v>210</v>
      </c>
      <c r="B3277" s="226">
        <v>42360.710908761575</v>
      </c>
      <c r="C3277" t="s">
        <v>2525</v>
      </c>
      <c r="D3277" t="s">
        <v>13</v>
      </c>
      <c r="E3277">
        <v>500</v>
      </c>
      <c r="F3277">
        <v>0</v>
      </c>
    </row>
    <row r="3278" spans="1:6" x14ac:dyDescent="0.15">
      <c r="A3278" t="s">
        <v>210</v>
      </c>
      <c r="B3278" s="226">
        <v>42360.765944317129</v>
      </c>
      <c r="C3278" t="s">
        <v>2654</v>
      </c>
      <c r="D3278" t="s">
        <v>13</v>
      </c>
      <c r="E3278">
        <v>180</v>
      </c>
      <c r="F3278">
        <v>0</v>
      </c>
    </row>
    <row r="3279" spans="1:6" x14ac:dyDescent="0.15">
      <c r="A3279" t="s">
        <v>210</v>
      </c>
      <c r="B3279" s="226">
        <v>42360.768644398151</v>
      </c>
      <c r="C3279" t="s">
        <v>2655</v>
      </c>
      <c r="D3279" t="s">
        <v>13</v>
      </c>
      <c r="E3279">
        <v>40</v>
      </c>
      <c r="F3279">
        <v>0</v>
      </c>
    </row>
    <row r="3280" spans="1:6" x14ac:dyDescent="0.15">
      <c r="A3280" t="s">
        <v>210</v>
      </c>
      <c r="B3280" s="226">
        <v>42360.770567245374</v>
      </c>
      <c r="C3280" t="s">
        <v>2656</v>
      </c>
      <c r="D3280" t="s">
        <v>13</v>
      </c>
      <c r="E3280">
        <v>380</v>
      </c>
      <c r="F3280">
        <v>0</v>
      </c>
    </row>
    <row r="3281" spans="1:6" x14ac:dyDescent="0.15">
      <c r="A3281" t="s">
        <v>210</v>
      </c>
      <c r="B3281" s="226">
        <v>42360.817154687502</v>
      </c>
      <c r="C3281" t="s">
        <v>2657</v>
      </c>
      <c r="D3281" t="s">
        <v>13</v>
      </c>
      <c r="E3281">
        <v>120</v>
      </c>
      <c r="F3281">
        <v>0</v>
      </c>
    </row>
    <row r="3282" spans="1:6" x14ac:dyDescent="0.15">
      <c r="A3282" t="s">
        <v>210</v>
      </c>
      <c r="B3282" s="226">
        <v>42360.850738333334</v>
      </c>
      <c r="C3282" t="s">
        <v>2658</v>
      </c>
      <c r="D3282" t="s">
        <v>13</v>
      </c>
      <c r="E3282">
        <v>80</v>
      </c>
      <c r="F3282">
        <v>0</v>
      </c>
    </row>
    <row r="3283" spans="1:6" x14ac:dyDescent="0.15">
      <c r="A3283" t="s">
        <v>210</v>
      </c>
      <c r="B3283" s="226">
        <v>42361.252367118053</v>
      </c>
      <c r="C3283" t="s">
        <v>2659</v>
      </c>
      <c r="D3283" t="s">
        <v>13</v>
      </c>
      <c r="E3283">
        <v>60</v>
      </c>
      <c r="F3283">
        <v>0</v>
      </c>
    </row>
    <row r="3284" spans="1:6" x14ac:dyDescent="0.15">
      <c r="A3284" t="s">
        <v>210</v>
      </c>
      <c r="B3284" s="226">
        <v>42361.286410057874</v>
      </c>
      <c r="C3284" t="s">
        <v>1885</v>
      </c>
      <c r="D3284" t="s">
        <v>13</v>
      </c>
      <c r="E3284">
        <v>40</v>
      </c>
      <c r="F3284">
        <v>0</v>
      </c>
    </row>
    <row r="3285" spans="1:6" x14ac:dyDescent="0.15">
      <c r="A3285" t="s">
        <v>210</v>
      </c>
      <c r="B3285" s="226">
        <v>42361.343191562497</v>
      </c>
      <c r="C3285" t="s">
        <v>2660</v>
      </c>
      <c r="D3285" t="s">
        <v>13</v>
      </c>
      <c r="E3285">
        <v>120</v>
      </c>
      <c r="F3285">
        <v>0</v>
      </c>
    </row>
    <row r="3286" spans="1:6" x14ac:dyDescent="0.15">
      <c r="A3286" t="s">
        <v>210</v>
      </c>
      <c r="B3286" s="226">
        <v>42361.354401458331</v>
      </c>
      <c r="C3286" t="s">
        <v>2661</v>
      </c>
      <c r="D3286" t="s">
        <v>13</v>
      </c>
      <c r="E3286">
        <v>100</v>
      </c>
      <c r="F3286">
        <v>0</v>
      </c>
    </row>
    <row r="3287" spans="1:6" x14ac:dyDescent="0.15">
      <c r="A3287" t="s">
        <v>210</v>
      </c>
      <c r="B3287" s="226">
        <v>42361.35582005787</v>
      </c>
      <c r="C3287" t="s">
        <v>1890</v>
      </c>
      <c r="D3287" t="s">
        <v>13</v>
      </c>
      <c r="E3287">
        <v>40</v>
      </c>
      <c r="F3287">
        <v>0</v>
      </c>
    </row>
    <row r="3288" spans="1:6" x14ac:dyDescent="0.15">
      <c r="A3288" t="s">
        <v>210</v>
      </c>
      <c r="B3288" s="226">
        <v>42361.375729791667</v>
      </c>
      <c r="C3288" t="s">
        <v>2662</v>
      </c>
      <c r="D3288" t="s">
        <v>13</v>
      </c>
      <c r="E3288">
        <v>60</v>
      </c>
      <c r="F3288">
        <v>0</v>
      </c>
    </row>
    <row r="3289" spans="1:6" x14ac:dyDescent="0.15">
      <c r="A3289" t="s">
        <v>210</v>
      </c>
      <c r="B3289" s="226">
        <v>42361.408239965276</v>
      </c>
      <c r="C3289" t="s">
        <v>2663</v>
      </c>
      <c r="D3289" t="s">
        <v>13</v>
      </c>
      <c r="E3289">
        <v>40</v>
      </c>
      <c r="F3289">
        <v>0</v>
      </c>
    </row>
    <row r="3290" spans="1:6" x14ac:dyDescent="0.15">
      <c r="A3290" t="s">
        <v>210</v>
      </c>
      <c r="B3290" s="226">
        <v>42361.471569861111</v>
      </c>
      <c r="C3290" t="s">
        <v>2207</v>
      </c>
      <c r="D3290" t="s">
        <v>13</v>
      </c>
      <c r="E3290">
        <v>40</v>
      </c>
      <c r="F3290">
        <v>0</v>
      </c>
    </row>
    <row r="3291" spans="1:6" x14ac:dyDescent="0.15">
      <c r="A3291" t="s">
        <v>210</v>
      </c>
      <c r="B3291" s="226">
        <v>42361.481477187503</v>
      </c>
      <c r="C3291" t="s">
        <v>2664</v>
      </c>
      <c r="D3291" t="s">
        <v>13</v>
      </c>
      <c r="E3291">
        <v>100</v>
      </c>
      <c r="F3291">
        <v>0</v>
      </c>
    </row>
    <row r="3292" spans="1:6" x14ac:dyDescent="0.15">
      <c r="A3292" t="s">
        <v>210</v>
      </c>
      <c r="B3292" s="226">
        <v>42361.482666157404</v>
      </c>
      <c r="C3292" t="s">
        <v>2665</v>
      </c>
      <c r="D3292" t="s">
        <v>13</v>
      </c>
      <c r="E3292">
        <v>100</v>
      </c>
      <c r="F3292">
        <v>0</v>
      </c>
    </row>
    <row r="3293" spans="1:6" x14ac:dyDescent="0.15">
      <c r="A3293" t="s">
        <v>210</v>
      </c>
      <c r="B3293" s="226">
        <v>42361.487116296295</v>
      </c>
      <c r="C3293" t="s">
        <v>545</v>
      </c>
      <c r="D3293" t="s">
        <v>13</v>
      </c>
      <c r="E3293">
        <v>60</v>
      </c>
      <c r="F3293">
        <v>0</v>
      </c>
    </row>
    <row r="3294" spans="1:6" x14ac:dyDescent="0.15">
      <c r="A3294" t="s">
        <v>210</v>
      </c>
      <c r="B3294" s="226">
        <v>42361.48994388889</v>
      </c>
      <c r="C3294" t="s">
        <v>2666</v>
      </c>
      <c r="D3294" t="s">
        <v>13</v>
      </c>
      <c r="E3294">
        <v>40</v>
      </c>
      <c r="F3294">
        <v>0</v>
      </c>
    </row>
    <row r="3295" spans="1:6" x14ac:dyDescent="0.15">
      <c r="A3295" t="s">
        <v>210</v>
      </c>
      <c r="B3295" s="226">
        <v>42361.491506423612</v>
      </c>
      <c r="C3295" t="s">
        <v>2667</v>
      </c>
      <c r="D3295" t="s">
        <v>13</v>
      </c>
      <c r="E3295">
        <v>100</v>
      </c>
      <c r="F3295">
        <v>0</v>
      </c>
    </row>
    <row r="3296" spans="1:6" x14ac:dyDescent="0.15">
      <c r="A3296" t="s">
        <v>210</v>
      </c>
      <c r="B3296" s="226">
        <v>42361.497438923609</v>
      </c>
      <c r="C3296" t="s">
        <v>14</v>
      </c>
      <c r="D3296" t="s">
        <v>13</v>
      </c>
      <c r="E3296">
        <v>200</v>
      </c>
      <c r="F3296">
        <v>3.5</v>
      </c>
    </row>
    <row r="3297" spans="1:6" x14ac:dyDescent="0.15">
      <c r="A3297" t="s">
        <v>210</v>
      </c>
      <c r="B3297" s="226">
        <v>42361.502501759256</v>
      </c>
      <c r="C3297" t="s">
        <v>1124</v>
      </c>
      <c r="D3297" t="s">
        <v>13</v>
      </c>
      <c r="E3297">
        <v>120</v>
      </c>
      <c r="F3297">
        <v>0</v>
      </c>
    </row>
    <row r="3298" spans="1:6" x14ac:dyDescent="0.15">
      <c r="A3298" t="s">
        <v>210</v>
      </c>
      <c r="B3298" s="226">
        <v>42361.507423946758</v>
      </c>
      <c r="C3298" t="s">
        <v>1997</v>
      </c>
      <c r="D3298" t="s">
        <v>13</v>
      </c>
      <c r="E3298">
        <v>20</v>
      </c>
      <c r="F3298">
        <v>0</v>
      </c>
    </row>
    <row r="3299" spans="1:6" x14ac:dyDescent="0.15">
      <c r="A3299" t="s">
        <v>210</v>
      </c>
      <c r="B3299" s="226">
        <v>42361.516445289351</v>
      </c>
      <c r="C3299" t="s">
        <v>2668</v>
      </c>
      <c r="D3299" t="s">
        <v>13</v>
      </c>
      <c r="E3299">
        <v>200</v>
      </c>
      <c r="F3299">
        <v>0</v>
      </c>
    </row>
    <row r="3300" spans="1:6" x14ac:dyDescent="0.15">
      <c r="A3300" t="s">
        <v>210</v>
      </c>
      <c r="B3300" s="226">
        <v>42361.518543819446</v>
      </c>
      <c r="C3300" t="s">
        <v>2669</v>
      </c>
      <c r="D3300" t="s">
        <v>13</v>
      </c>
      <c r="E3300">
        <v>80</v>
      </c>
      <c r="F3300">
        <v>0</v>
      </c>
    </row>
    <row r="3301" spans="1:6" x14ac:dyDescent="0.15">
      <c r="A3301" t="s">
        <v>210</v>
      </c>
      <c r="B3301" s="226">
        <v>42361.528558391205</v>
      </c>
      <c r="C3301" t="s">
        <v>2670</v>
      </c>
      <c r="D3301" t="s">
        <v>13</v>
      </c>
      <c r="E3301">
        <v>100</v>
      </c>
      <c r="F3301">
        <v>0</v>
      </c>
    </row>
    <row r="3302" spans="1:6" x14ac:dyDescent="0.15">
      <c r="A3302" t="s">
        <v>210</v>
      </c>
      <c r="B3302" s="226">
        <v>42361.544132465278</v>
      </c>
      <c r="C3302" t="s">
        <v>2671</v>
      </c>
      <c r="D3302" t="s">
        <v>15</v>
      </c>
      <c r="E3302">
        <v>100</v>
      </c>
      <c r="F3302">
        <v>3</v>
      </c>
    </row>
    <row r="3303" spans="1:6" x14ac:dyDescent="0.15">
      <c r="A3303" t="s">
        <v>210</v>
      </c>
      <c r="B3303" s="226">
        <v>42361.585278287035</v>
      </c>
      <c r="C3303" t="s">
        <v>2672</v>
      </c>
      <c r="D3303" t="s">
        <v>13</v>
      </c>
      <c r="E3303">
        <v>80</v>
      </c>
      <c r="F3303">
        <v>0</v>
      </c>
    </row>
    <row r="3304" spans="1:6" x14ac:dyDescent="0.15">
      <c r="A3304" t="s">
        <v>210</v>
      </c>
      <c r="B3304" s="226">
        <v>42361.595861134258</v>
      </c>
      <c r="C3304" t="s">
        <v>2673</v>
      </c>
      <c r="D3304" t="s">
        <v>13</v>
      </c>
      <c r="E3304">
        <v>40</v>
      </c>
      <c r="F3304">
        <v>0</v>
      </c>
    </row>
    <row r="3305" spans="1:6" x14ac:dyDescent="0.15">
      <c r="A3305" t="s">
        <v>210</v>
      </c>
      <c r="B3305" s="226">
        <v>42361.624587997685</v>
      </c>
      <c r="C3305" t="s">
        <v>2674</v>
      </c>
      <c r="D3305" t="s">
        <v>13</v>
      </c>
      <c r="E3305">
        <v>140</v>
      </c>
      <c r="F3305">
        <v>0</v>
      </c>
    </row>
    <row r="3306" spans="1:6" x14ac:dyDescent="0.15">
      <c r="A3306" t="s">
        <v>210</v>
      </c>
      <c r="B3306" s="226">
        <v>42361.630273287039</v>
      </c>
      <c r="C3306" t="s">
        <v>2675</v>
      </c>
      <c r="D3306" t="s">
        <v>13</v>
      </c>
      <c r="E3306">
        <v>100</v>
      </c>
      <c r="F3306">
        <v>0</v>
      </c>
    </row>
    <row r="3307" spans="1:6" x14ac:dyDescent="0.15">
      <c r="A3307" t="s">
        <v>210</v>
      </c>
      <c r="B3307" s="226">
        <v>42361.669953425924</v>
      </c>
      <c r="C3307" t="s">
        <v>2676</v>
      </c>
      <c r="D3307" t="s">
        <v>13</v>
      </c>
      <c r="E3307">
        <v>60</v>
      </c>
      <c r="F3307">
        <v>0</v>
      </c>
    </row>
    <row r="3308" spans="1:6" x14ac:dyDescent="0.15">
      <c r="A3308" t="s">
        <v>210</v>
      </c>
      <c r="B3308" s="226">
        <v>42361.690705266206</v>
      </c>
      <c r="C3308" t="s">
        <v>2677</v>
      </c>
      <c r="D3308" t="s">
        <v>13</v>
      </c>
      <c r="E3308">
        <v>100</v>
      </c>
      <c r="F3308">
        <v>0</v>
      </c>
    </row>
    <row r="3309" spans="1:6" x14ac:dyDescent="0.15">
      <c r="A3309" t="s">
        <v>210</v>
      </c>
      <c r="B3309" s="226">
        <v>42361.701040624997</v>
      </c>
      <c r="C3309" t="s">
        <v>1847</v>
      </c>
      <c r="D3309" t="s">
        <v>13</v>
      </c>
      <c r="E3309">
        <v>20</v>
      </c>
      <c r="F3309">
        <v>0</v>
      </c>
    </row>
    <row r="3310" spans="1:6" x14ac:dyDescent="0.15">
      <c r="A3310" t="s">
        <v>210</v>
      </c>
      <c r="B3310" s="226">
        <v>42361.712232199076</v>
      </c>
      <c r="C3310" t="s">
        <v>98</v>
      </c>
      <c r="D3310" t="s">
        <v>13</v>
      </c>
      <c r="E3310">
        <v>100</v>
      </c>
      <c r="F3310">
        <v>0</v>
      </c>
    </row>
    <row r="3311" spans="1:6" x14ac:dyDescent="0.15">
      <c r="A3311" t="s">
        <v>210</v>
      </c>
      <c r="B3311" s="226">
        <v>42361.712775856482</v>
      </c>
      <c r="C3311" t="s">
        <v>2678</v>
      </c>
      <c r="D3311" t="s">
        <v>13</v>
      </c>
      <c r="E3311">
        <v>100</v>
      </c>
      <c r="F3311">
        <v>0</v>
      </c>
    </row>
    <row r="3312" spans="1:6" x14ac:dyDescent="0.15">
      <c r="A3312" t="s">
        <v>210</v>
      </c>
      <c r="B3312" s="226">
        <v>42361.741019594905</v>
      </c>
      <c r="C3312" t="s">
        <v>1181</v>
      </c>
      <c r="D3312" t="s">
        <v>13</v>
      </c>
      <c r="E3312">
        <v>80</v>
      </c>
      <c r="F3312">
        <v>0</v>
      </c>
    </row>
    <row r="3313" spans="1:6" x14ac:dyDescent="0.15">
      <c r="A3313" t="s">
        <v>210</v>
      </c>
      <c r="B3313" s="226">
        <v>42361.750554641207</v>
      </c>
      <c r="C3313" t="s">
        <v>2679</v>
      </c>
      <c r="D3313" t="s">
        <v>13</v>
      </c>
      <c r="E3313">
        <v>400</v>
      </c>
      <c r="F3313">
        <v>0</v>
      </c>
    </row>
    <row r="3314" spans="1:6" x14ac:dyDescent="0.15">
      <c r="A3314" t="s">
        <v>210</v>
      </c>
      <c r="B3314" s="226">
        <v>42361.75366490741</v>
      </c>
      <c r="C3314" t="s">
        <v>2680</v>
      </c>
      <c r="D3314" t="s">
        <v>13</v>
      </c>
      <c r="E3314">
        <v>100</v>
      </c>
      <c r="F3314">
        <v>0</v>
      </c>
    </row>
    <row r="3315" spans="1:6" x14ac:dyDescent="0.15">
      <c r="A3315" t="s">
        <v>210</v>
      </c>
      <c r="B3315" s="226">
        <v>42361.772966608798</v>
      </c>
      <c r="C3315" t="s">
        <v>2681</v>
      </c>
      <c r="D3315" t="s">
        <v>13</v>
      </c>
      <c r="E3315">
        <v>40</v>
      </c>
      <c r="F3315">
        <v>0</v>
      </c>
    </row>
    <row r="3316" spans="1:6" x14ac:dyDescent="0.15">
      <c r="A3316" t="s">
        <v>210</v>
      </c>
      <c r="B3316" s="226">
        <v>42361.806506157409</v>
      </c>
      <c r="C3316" t="s">
        <v>14</v>
      </c>
      <c r="D3316" t="s">
        <v>13</v>
      </c>
      <c r="E3316">
        <v>200</v>
      </c>
      <c r="F3316">
        <v>3.5</v>
      </c>
    </row>
    <row r="3317" spans="1:6" x14ac:dyDescent="0.15">
      <c r="A3317" t="s">
        <v>210</v>
      </c>
      <c r="B3317" s="226">
        <v>42361.960157106485</v>
      </c>
      <c r="C3317" t="s">
        <v>14</v>
      </c>
      <c r="D3317" t="s">
        <v>13</v>
      </c>
      <c r="E3317">
        <v>200</v>
      </c>
      <c r="F3317">
        <v>3.5</v>
      </c>
    </row>
    <row r="3318" spans="1:6" x14ac:dyDescent="0.15">
      <c r="A3318" t="s">
        <v>210</v>
      </c>
      <c r="B3318" s="226">
        <v>42362.129300347224</v>
      </c>
      <c r="C3318" t="s">
        <v>1065</v>
      </c>
      <c r="D3318" t="s">
        <v>13</v>
      </c>
      <c r="E3318">
        <v>120</v>
      </c>
      <c r="F3318">
        <v>0</v>
      </c>
    </row>
    <row r="3319" spans="1:6" x14ac:dyDescent="0.15">
      <c r="A3319" t="s">
        <v>210</v>
      </c>
      <c r="B3319" s="226">
        <v>42362.237633900462</v>
      </c>
      <c r="C3319" t="s">
        <v>1147</v>
      </c>
      <c r="D3319" t="s">
        <v>13</v>
      </c>
      <c r="E3319">
        <v>120</v>
      </c>
      <c r="F3319">
        <v>0</v>
      </c>
    </row>
    <row r="3320" spans="1:6" x14ac:dyDescent="0.15">
      <c r="A3320" t="s">
        <v>210</v>
      </c>
      <c r="B3320" s="226">
        <v>42362.241781828707</v>
      </c>
      <c r="C3320" t="s">
        <v>2682</v>
      </c>
      <c r="D3320" t="s">
        <v>13</v>
      </c>
      <c r="E3320">
        <v>60</v>
      </c>
      <c r="F3320">
        <v>0</v>
      </c>
    </row>
    <row r="3321" spans="1:6" x14ac:dyDescent="0.15">
      <c r="A3321" t="s">
        <v>210</v>
      </c>
      <c r="B3321" s="226">
        <v>42362.256348414354</v>
      </c>
      <c r="C3321" t="s">
        <v>2683</v>
      </c>
      <c r="D3321" t="s">
        <v>13</v>
      </c>
      <c r="E3321">
        <v>20</v>
      </c>
      <c r="F3321">
        <v>0</v>
      </c>
    </row>
    <row r="3322" spans="1:6" x14ac:dyDescent="0.15">
      <c r="A3322" t="s">
        <v>210</v>
      </c>
      <c r="B3322" s="226">
        <v>42362.272768726849</v>
      </c>
      <c r="C3322" t="s">
        <v>546</v>
      </c>
      <c r="D3322" t="s">
        <v>13</v>
      </c>
      <c r="E3322">
        <v>100</v>
      </c>
      <c r="F3322">
        <v>0</v>
      </c>
    </row>
    <row r="3323" spans="1:6" x14ac:dyDescent="0.15">
      <c r="A3323" t="s">
        <v>210</v>
      </c>
      <c r="B3323" s="226">
        <v>42362.284255798608</v>
      </c>
      <c r="C3323" t="s">
        <v>547</v>
      </c>
      <c r="D3323" t="s">
        <v>13</v>
      </c>
      <c r="E3323">
        <v>100</v>
      </c>
      <c r="F3323">
        <v>0</v>
      </c>
    </row>
    <row r="3324" spans="1:6" x14ac:dyDescent="0.15">
      <c r="A3324" t="s">
        <v>210</v>
      </c>
      <c r="B3324" s="226">
        <v>42362.312379421295</v>
      </c>
      <c r="C3324" t="s">
        <v>2684</v>
      </c>
      <c r="D3324" t="s">
        <v>13</v>
      </c>
      <c r="E3324">
        <v>200</v>
      </c>
      <c r="F3324">
        <v>0</v>
      </c>
    </row>
    <row r="3325" spans="1:6" x14ac:dyDescent="0.15">
      <c r="A3325" t="s">
        <v>210</v>
      </c>
      <c r="B3325" s="226">
        <v>42362.316954594906</v>
      </c>
      <c r="C3325" t="s">
        <v>806</v>
      </c>
      <c r="D3325" t="s">
        <v>13</v>
      </c>
      <c r="E3325">
        <v>40</v>
      </c>
      <c r="F3325">
        <v>0</v>
      </c>
    </row>
    <row r="3326" spans="1:6" x14ac:dyDescent="0.15">
      <c r="A3326" t="s">
        <v>210</v>
      </c>
      <c r="B3326" s="226">
        <v>42362.321969594908</v>
      </c>
      <c r="C3326" t="s">
        <v>2685</v>
      </c>
      <c r="D3326" t="s">
        <v>13</v>
      </c>
      <c r="E3326">
        <v>200</v>
      </c>
      <c r="F3326">
        <v>0</v>
      </c>
    </row>
    <row r="3327" spans="1:6" x14ac:dyDescent="0.15">
      <c r="A3327" t="s">
        <v>210</v>
      </c>
      <c r="B3327" s="226">
        <v>42362.349063553243</v>
      </c>
      <c r="C3327" t="s">
        <v>2686</v>
      </c>
      <c r="D3327" t="s">
        <v>13</v>
      </c>
      <c r="E3327">
        <v>40</v>
      </c>
      <c r="F3327">
        <v>0</v>
      </c>
    </row>
    <row r="3328" spans="1:6" x14ac:dyDescent="0.15">
      <c r="A3328" t="s">
        <v>210</v>
      </c>
      <c r="B3328" s="226">
        <v>42362.349773483795</v>
      </c>
      <c r="C3328" t="s">
        <v>1636</v>
      </c>
      <c r="D3328" t="s">
        <v>13</v>
      </c>
      <c r="E3328">
        <v>100</v>
      </c>
      <c r="F3328">
        <v>0</v>
      </c>
    </row>
    <row r="3329" spans="1:6" x14ac:dyDescent="0.15">
      <c r="A3329" t="s">
        <v>210</v>
      </c>
      <c r="B3329" s="226">
        <v>42362.356475300927</v>
      </c>
      <c r="C3329" t="s">
        <v>2687</v>
      </c>
      <c r="D3329" t="s">
        <v>13</v>
      </c>
      <c r="E3329">
        <v>80</v>
      </c>
      <c r="F3329">
        <v>0</v>
      </c>
    </row>
    <row r="3330" spans="1:6" x14ac:dyDescent="0.15">
      <c r="A3330" t="s">
        <v>210</v>
      </c>
      <c r="B3330" s="226">
        <v>42362.369852708332</v>
      </c>
      <c r="C3330" t="s">
        <v>2688</v>
      </c>
      <c r="D3330" t="s">
        <v>13</v>
      </c>
      <c r="E3330">
        <v>100</v>
      </c>
      <c r="F3330">
        <v>0</v>
      </c>
    </row>
    <row r="3331" spans="1:6" x14ac:dyDescent="0.15">
      <c r="A3331" t="s">
        <v>210</v>
      </c>
      <c r="B3331" s="226">
        <v>42362.389474525466</v>
      </c>
      <c r="C3331" t="s">
        <v>745</v>
      </c>
      <c r="D3331" t="s">
        <v>13</v>
      </c>
      <c r="E3331">
        <v>60</v>
      </c>
      <c r="F3331">
        <v>0</v>
      </c>
    </row>
    <row r="3332" spans="1:6" x14ac:dyDescent="0.15">
      <c r="A3332" t="s">
        <v>210</v>
      </c>
      <c r="B3332" s="226">
        <v>42362.394410555557</v>
      </c>
      <c r="C3332" t="s">
        <v>2689</v>
      </c>
      <c r="D3332" t="s">
        <v>13</v>
      </c>
      <c r="E3332">
        <v>80</v>
      </c>
      <c r="F3332">
        <v>0</v>
      </c>
    </row>
    <row r="3333" spans="1:6" x14ac:dyDescent="0.15">
      <c r="A3333" t="s">
        <v>210</v>
      </c>
      <c r="B3333" s="226">
        <v>42362.410693506943</v>
      </c>
      <c r="C3333" t="s">
        <v>945</v>
      </c>
      <c r="D3333" t="s">
        <v>13</v>
      </c>
      <c r="E3333">
        <v>80</v>
      </c>
      <c r="F3333">
        <v>0</v>
      </c>
    </row>
    <row r="3334" spans="1:6" x14ac:dyDescent="0.15">
      <c r="A3334" t="s">
        <v>210</v>
      </c>
      <c r="B3334" s="226">
        <v>42362.418213159719</v>
      </c>
      <c r="C3334" t="s">
        <v>2690</v>
      </c>
      <c r="D3334" t="s">
        <v>13</v>
      </c>
      <c r="E3334">
        <v>120</v>
      </c>
      <c r="F3334">
        <v>0</v>
      </c>
    </row>
    <row r="3335" spans="1:6" x14ac:dyDescent="0.15">
      <c r="A3335" t="s">
        <v>210</v>
      </c>
      <c r="B3335" s="226">
        <v>42362.42555684028</v>
      </c>
      <c r="C3335" t="s">
        <v>2691</v>
      </c>
      <c r="D3335" t="s">
        <v>13</v>
      </c>
      <c r="E3335">
        <v>20</v>
      </c>
      <c r="F3335">
        <v>0</v>
      </c>
    </row>
    <row r="3336" spans="1:6" x14ac:dyDescent="0.15">
      <c r="A3336" t="s">
        <v>210</v>
      </c>
      <c r="B3336" s="226">
        <v>42362.426750335646</v>
      </c>
      <c r="C3336" t="s">
        <v>2692</v>
      </c>
      <c r="D3336" t="s">
        <v>13</v>
      </c>
      <c r="E3336">
        <v>100</v>
      </c>
      <c r="F3336">
        <v>0</v>
      </c>
    </row>
    <row r="3337" spans="1:6" x14ac:dyDescent="0.15">
      <c r="A3337" t="s">
        <v>210</v>
      </c>
      <c r="B3337" s="226">
        <v>42362.462339814818</v>
      </c>
      <c r="C3337" t="s">
        <v>112</v>
      </c>
      <c r="D3337" t="s">
        <v>13</v>
      </c>
      <c r="E3337">
        <v>40</v>
      </c>
      <c r="F3337">
        <v>0</v>
      </c>
    </row>
    <row r="3338" spans="1:6" x14ac:dyDescent="0.15">
      <c r="A3338" t="s">
        <v>210</v>
      </c>
      <c r="B3338" s="226">
        <v>42362.465411238423</v>
      </c>
      <c r="C3338" t="s">
        <v>2693</v>
      </c>
      <c r="D3338" t="s">
        <v>13</v>
      </c>
      <c r="E3338">
        <v>40</v>
      </c>
      <c r="F3338">
        <v>0</v>
      </c>
    </row>
    <row r="3339" spans="1:6" x14ac:dyDescent="0.15">
      <c r="A3339" t="s">
        <v>210</v>
      </c>
      <c r="B3339" s="226">
        <v>42362.46638189815</v>
      </c>
      <c r="C3339" t="s">
        <v>2694</v>
      </c>
      <c r="D3339" t="s">
        <v>13</v>
      </c>
      <c r="E3339">
        <v>40</v>
      </c>
      <c r="F3339">
        <v>0</v>
      </c>
    </row>
    <row r="3340" spans="1:6" x14ac:dyDescent="0.15">
      <c r="A3340" t="s">
        <v>210</v>
      </c>
      <c r="B3340" s="226">
        <v>42362.479538981483</v>
      </c>
      <c r="C3340" t="s">
        <v>2159</v>
      </c>
      <c r="D3340" t="s">
        <v>13</v>
      </c>
      <c r="E3340">
        <v>40</v>
      </c>
      <c r="F3340">
        <v>0</v>
      </c>
    </row>
    <row r="3341" spans="1:6" x14ac:dyDescent="0.15">
      <c r="A3341" t="s">
        <v>210</v>
      </c>
      <c r="B3341" s="226">
        <v>42362.483898842591</v>
      </c>
      <c r="C3341" t="s">
        <v>2642</v>
      </c>
      <c r="D3341" t="s">
        <v>13</v>
      </c>
      <c r="E3341">
        <v>80</v>
      </c>
      <c r="F3341">
        <v>0</v>
      </c>
    </row>
    <row r="3342" spans="1:6" x14ac:dyDescent="0.15">
      <c r="A3342" t="s">
        <v>210</v>
      </c>
      <c r="B3342" s="226">
        <v>42362.490356921298</v>
      </c>
      <c r="C3342" t="s">
        <v>1814</v>
      </c>
      <c r="D3342" t="s">
        <v>13</v>
      </c>
      <c r="E3342">
        <v>100</v>
      </c>
      <c r="F3342">
        <v>0</v>
      </c>
    </row>
    <row r="3343" spans="1:6" x14ac:dyDescent="0.15">
      <c r="A3343" t="s">
        <v>210</v>
      </c>
      <c r="B3343" s="226">
        <v>42362.491380451385</v>
      </c>
      <c r="C3343" t="s">
        <v>1530</v>
      </c>
      <c r="D3343" t="s">
        <v>13</v>
      </c>
      <c r="E3343">
        <v>160</v>
      </c>
      <c r="F3343">
        <v>0</v>
      </c>
    </row>
    <row r="3344" spans="1:6" x14ac:dyDescent="0.15">
      <c r="A3344" t="s">
        <v>210</v>
      </c>
      <c r="B3344" s="226">
        <v>42362.51244353009</v>
      </c>
      <c r="C3344" t="s">
        <v>2695</v>
      </c>
      <c r="D3344" t="s">
        <v>13</v>
      </c>
      <c r="E3344">
        <v>100</v>
      </c>
      <c r="F3344">
        <v>0</v>
      </c>
    </row>
    <row r="3345" spans="1:6" x14ac:dyDescent="0.15">
      <c r="A3345" t="s">
        <v>210</v>
      </c>
      <c r="B3345" s="226">
        <v>42362.523480949072</v>
      </c>
      <c r="C3345" t="s">
        <v>1194</v>
      </c>
      <c r="D3345" t="s">
        <v>13</v>
      </c>
      <c r="E3345">
        <v>200</v>
      </c>
      <c r="F3345">
        <v>0</v>
      </c>
    </row>
    <row r="3346" spans="1:6" x14ac:dyDescent="0.15">
      <c r="A3346" t="s">
        <v>210</v>
      </c>
      <c r="B3346" s="226">
        <v>42362.528495555554</v>
      </c>
      <c r="C3346" t="s">
        <v>2696</v>
      </c>
      <c r="D3346" t="s">
        <v>13</v>
      </c>
      <c r="E3346">
        <v>120</v>
      </c>
      <c r="F3346">
        <v>0</v>
      </c>
    </row>
    <row r="3347" spans="1:6" x14ac:dyDescent="0.15">
      <c r="A3347" t="s">
        <v>210</v>
      </c>
      <c r="B3347" s="226">
        <v>42362.540578726854</v>
      </c>
      <c r="C3347" t="s">
        <v>2697</v>
      </c>
      <c r="D3347" t="s">
        <v>13</v>
      </c>
      <c r="E3347">
        <v>400</v>
      </c>
      <c r="F3347">
        <v>0</v>
      </c>
    </row>
    <row r="3348" spans="1:6" x14ac:dyDescent="0.15">
      <c r="A3348" t="s">
        <v>210</v>
      </c>
      <c r="B3348" s="226">
        <v>42362.541377800924</v>
      </c>
      <c r="C3348" t="s">
        <v>14</v>
      </c>
      <c r="D3348" t="s">
        <v>13</v>
      </c>
      <c r="E3348">
        <v>40</v>
      </c>
      <c r="F3348">
        <v>3.5</v>
      </c>
    </row>
    <row r="3349" spans="1:6" x14ac:dyDescent="0.15">
      <c r="A3349" t="s">
        <v>210</v>
      </c>
      <c r="B3349" s="226">
        <v>42362.550713402779</v>
      </c>
      <c r="C3349" t="s">
        <v>1441</v>
      </c>
      <c r="D3349" t="s">
        <v>13</v>
      </c>
      <c r="E3349">
        <v>60</v>
      </c>
      <c r="F3349">
        <v>0</v>
      </c>
    </row>
    <row r="3350" spans="1:6" x14ac:dyDescent="0.15">
      <c r="A3350" t="s">
        <v>210</v>
      </c>
      <c r="B3350" s="226">
        <v>42362.554337002315</v>
      </c>
      <c r="C3350" t="s">
        <v>548</v>
      </c>
      <c r="D3350" t="s">
        <v>13</v>
      </c>
      <c r="E3350">
        <v>100</v>
      </c>
      <c r="F3350">
        <v>0</v>
      </c>
    </row>
    <row r="3351" spans="1:6" x14ac:dyDescent="0.15">
      <c r="A3351" t="s">
        <v>210</v>
      </c>
      <c r="B3351" s="226">
        <v>42362.572946921297</v>
      </c>
      <c r="C3351" t="s">
        <v>1979</v>
      </c>
      <c r="D3351" t="s">
        <v>13</v>
      </c>
      <c r="E3351">
        <v>100</v>
      </c>
      <c r="F3351">
        <v>0</v>
      </c>
    </row>
    <row r="3352" spans="1:6" x14ac:dyDescent="0.15">
      <c r="A3352" t="s">
        <v>210</v>
      </c>
      <c r="B3352" s="226">
        <v>42362.574087731482</v>
      </c>
      <c r="C3352" t="s">
        <v>193</v>
      </c>
      <c r="D3352" t="s">
        <v>13</v>
      </c>
      <c r="E3352">
        <v>40</v>
      </c>
      <c r="F3352">
        <v>0</v>
      </c>
    </row>
    <row r="3353" spans="1:6" x14ac:dyDescent="0.15">
      <c r="A3353" t="s">
        <v>210</v>
      </c>
      <c r="B3353" s="226">
        <v>42362.606415358794</v>
      </c>
      <c r="C3353" t="s">
        <v>1662</v>
      </c>
      <c r="D3353" t="s">
        <v>13</v>
      </c>
      <c r="E3353">
        <v>100</v>
      </c>
      <c r="F3353">
        <v>0</v>
      </c>
    </row>
    <row r="3354" spans="1:6" x14ac:dyDescent="0.15">
      <c r="A3354" t="s">
        <v>210</v>
      </c>
      <c r="B3354" s="226">
        <v>42362.625654930554</v>
      </c>
      <c r="C3354" t="s">
        <v>2122</v>
      </c>
      <c r="D3354" t="s">
        <v>13</v>
      </c>
      <c r="E3354">
        <v>80</v>
      </c>
      <c r="F3354">
        <v>0</v>
      </c>
    </row>
    <row r="3355" spans="1:6" x14ac:dyDescent="0.15">
      <c r="A3355" t="s">
        <v>210</v>
      </c>
      <c r="B3355" s="226">
        <v>42362.654497986114</v>
      </c>
      <c r="C3355" t="s">
        <v>14</v>
      </c>
      <c r="D3355" t="s">
        <v>15</v>
      </c>
      <c r="E3355">
        <v>60</v>
      </c>
      <c r="F3355">
        <v>4.3</v>
      </c>
    </row>
    <row r="3356" spans="1:6" x14ac:dyDescent="0.15">
      <c r="A3356" t="s">
        <v>210</v>
      </c>
      <c r="B3356" s="226">
        <v>42362.675389849537</v>
      </c>
      <c r="C3356" t="s">
        <v>635</v>
      </c>
      <c r="D3356" t="s">
        <v>13</v>
      </c>
      <c r="E3356">
        <v>100</v>
      </c>
      <c r="F3356">
        <v>0</v>
      </c>
    </row>
    <row r="3357" spans="1:6" x14ac:dyDescent="0.15">
      <c r="A3357" t="s">
        <v>210</v>
      </c>
      <c r="B3357" s="226">
        <v>42362.70908572917</v>
      </c>
      <c r="C3357" t="s">
        <v>2698</v>
      </c>
      <c r="D3357" t="s">
        <v>13</v>
      </c>
      <c r="E3357">
        <v>100</v>
      </c>
      <c r="F3357">
        <v>0</v>
      </c>
    </row>
    <row r="3358" spans="1:6" x14ac:dyDescent="0.15">
      <c r="A3358" t="s">
        <v>210</v>
      </c>
      <c r="B3358" s="226">
        <v>42362.727299606478</v>
      </c>
      <c r="C3358" t="s">
        <v>2196</v>
      </c>
      <c r="D3358" t="s">
        <v>13</v>
      </c>
      <c r="E3358">
        <v>40</v>
      </c>
      <c r="F3358">
        <v>0</v>
      </c>
    </row>
    <row r="3359" spans="1:6" x14ac:dyDescent="0.15">
      <c r="A3359" t="s">
        <v>210</v>
      </c>
      <c r="B3359" s="226">
        <v>42362.729795277781</v>
      </c>
      <c r="C3359" t="s">
        <v>2025</v>
      </c>
      <c r="D3359" t="s">
        <v>13</v>
      </c>
      <c r="E3359">
        <v>60</v>
      </c>
      <c r="F3359">
        <v>0</v>
      </c>
    </row>
    <row r="3360" spans="1:6" x14ac:dyDescent="0.15">
      <c r="A3360" t="s">
        <v>210</v>
      </c>
      <c r="B3360" s="226">
        <v>42362.754464212965</v>
      </c>
      <c r="C3360" t="s">
        <v>2699</v>
      </c>
      <c r="D3360" t="s">
        <v>13</v>
      </c>
      <c r="E3360">
        <v>80</v>
      </c>
      <c r="F3360">
        <v>0</v>
      </c>
    </row>
    <row r="3361" spans="1:6" x14ac:dyDescent="0.15">
      <c r="A3361" t="s">
        <v>210</v>
      </c>
      <c r="B3361" s="226">
        <v>42362.755955856483</v>
      </c>
      <c r="C3361" t="s">
        <v>2700</v>
      </c>
      <c r="D3361" t="s">
        <v>13</v>
      </c>
      <c r="E3361">
        <v>100</v>
      </c>
      <c r="F3361">
        <v>0</v>
      </c>
    </row>
    <row r="3362" spans="1:6" x14ac:dyDescent="0.15">
      <c r="A3362" t="s">
        <v>210</v>
      </c>
      <c r="B3362" s="226">
        <v>42362.773121678241</v>
      </c>
      <c r="C3362" t="s">
        <v>2623</v>
      </c>
      <c r="D3362" t="s">
        <v>13</v>
      </c>
      <c r="E3362">
        <v>20</v>
      </c>
      <c r="F3362">
        <v>0</v>
      </c>
    </row>
    <row r="3363" spans="1:6" x14ac:dyDescent="0.15">
      <c r="A3363" t="s">
        <v>210</v>
      </c>
      <c r="B3363" s="226">
        <v>42362.832303402778</v>
      </c>
      <c r="C3363" t="s">
        <v>2701</v>
      </c>
      <c r="D3363" t="s">
        <v>13</v>
      </c>
      <c r="E3363">
        <v>80</v>
      </c>
      <c r="F3363">
        <v>0</v>
      </c>
    </row>
    <row r="3364" spans="1:6" x14ac:dyDescent="0.15">
      <c r="A3364" t="s">
        <v>210</v>
      </c>
      <c r="B3364" s="226">
        <v>42362.86404508102</v>
      </c>
      <c r="C3364" t="s">
        <v>14</v>
      </c>
      <c r="D3364" t="s">
        <v>13</v>
      </c>
      <c r="E3364">
        <v>100</v>
      </c>
      <c r="F3364">
        <v>3.5</v>
      </c>
    </row>
    <row r="3365" spans="1:6" x14ac:dyDescent="0.15">
      <c r="A3365" t="s">
        <v>210</v>
      </c>
      <c r="B3365" s="226">
        <v>42362.895736643521</v>
      </c>
      <c r="C3365" t="s">
        <v>2702</v>
      </c>
      <c r="D3365" t="s">
        <v>13</v>
      </c>
      <c r="E3365">
        <v>140</v>
      </c>
      <c r="F3365">
        <v>0</v>
      </c>
    </row>
    <row r="3366" spans="1:6" x14ac:dyDescent="0.15">
      <c r="A3366" t="s">
        <v>210</v>
      </c>
      <c r="B3366" s="226">
        <v>42362.912689282406</v>
      </c>
      <c r="C3366" t="s">
        <v>2703</v>
      </c>
      <c r="D3366" t="s">
        <v>13</v>
      </c>
      <c r="E3366">
        <v>40</v>
      </c>
      <c r="F3366">
        <v>0</v>
      </c>
    </row>
    <row r="3367" spans="1:6" x14ac:dyDescent="0.15">
      <c r="A3367" t="s">
        <v>210</v>
      </c>
      <c r="B3367" s="226">
        <v>42362.962166898149</v>
      </c>
      <c r="C3367" t="s">
        <v>984</v>
      </c>
      <c r="D3367" t="s">
        <v>13</v>
      </c>
      <c r="E3367">
        <v>120</v>
      </c>
      <c r="F3367">
        <v>0</v>
      </c>
    </row>
    <row r="3368" spans="1:6" x14ac:dyDescent="0.15">
      <c r="A3368" t="s">
        <v>210</v>
      </c>
      <c r="B3368" s="226">
        <v>42363.243619594905</v>
      </c>
      <c r="C3368" t="s">
        <v>2704</v>
      </c>
      <c r="D3368" t="s">
        <v>13</v>
      </c>
      <c r="E3368">
        <v>20</v>
      </c>
      <c r="F3368">
        <v>0</v>
      </c>
    </row>
    <row r="3369" spans="1:6" x14ac:dyDescent="0.15">
      <c r="A3369" t="s">
        <v>210</v>
      </c>
      <c r="B3369" s="226">
        <v>42363.285446215275</v>
      </c>
      <c r="C3369" t="s">
        <v>376</v>
      </c>
      <c r="D3369" t="s">
        <v>13</v>
      </c>
      <c r="E3369">
        <v>20</v>
      </c>
      <c r="F3369">
        <v>0</v>
      </c>
    </row>
    <row r="3370" spans="1:6" x14ac:dyDescent="0.15">
      <c r="A3370" t="s">
        <v>210</v>
      </c>
      <c r="B3370" s="226">
        <v>42363.329176319443</v>
      </c>
      <c r="C3370" t="s">
        <v>727</v>
      </c>
      <c r="D3370" t="s">
        <v>13</v>
      </c>
      <c r="E3370">
        <v>40</v>
      </c>
      <c r="F3370">
        <v>0</v>
      </c>
    </row>
    <row r="3371" spans="1:6" x14ac:dyDescent="0.15">
      <c r="A3371" t="s">
        <v>210</v>
      </c>
      <c r="B3371" s="226">
        <v>42363.329854780095</v>
      </c>
      <c r="C3371" t="s">
        <v>1937</v>
      </c>
      <c r="D3371" t="s">
        <v>13</v>
      </c>
      <c r="E3371">
        <v>40</v>
      </c>
      <c r="F3371">
        <v>0</v>
      </c>
    </row>
    <row r="3372" spans="1:6" x14ac:dyDescent="0.15">
      <c r="A3372" t="s">
        <v>210</v>
      </c>
      <c r="B3372" s="226">
        <v>42363.345980810183</v>
      </c>
      <c r="C3372" t="s">
        <v>2705</v>
      </c>
      <c r="D3372" t="s">
        <v>13</v>
      </c>
      <c r="E3372">
        <v>100</v>
      </c>
      <c r="F3372">
        <v>0</v>
      </c>
    </row>
    <row r="3373" spans="1:6" x14ac:dyDescent="0.15">
      <c r="A3373" t="s">
        <v>210</v>
      </c>
      <c r="B3373" s="226">
        <v>42363.347360752312</v>
      </c>
      <c r="C3373" t="s">
        <v>2706</v>
      </c>
      <c r="D3373" t="s">
        <v>13</v>
      </c>
      <c r="E3373">
        <v>100</v>
      </c>
      <c r="F3373">
        <v>0</v>
      </c>
    </row>
    <row r="3374" spans="1:6" x14ac:dyDescent="0.15">
      <c r="A3374" t="s">
        <v>210</v>
      </c>
      <c r="B3374" s="226">
        <v>42363.376192013886</v>
      </c>
      <c r="C3374" t="s">
        <v>14</v>
      </c>
      <c r="D3374" t="s">
        <v>13</v>
      </c>
      <c r="E3374">
        <v>20</v>
      </c>
      <c r="F3374">
        <v>3.5</v>
      </c>
    </row>
    <row r="3375" spans="1:6" x14ac:dyDescent="0.15">
      <c r="A3375" t="s">
        <v>210</v>
      </c>
      <c r="B3375" s="226">
        <v>42363.390965682869</v>
      </c>
      <c r="C3375" t="s">
        <v>2707</v>
      </c>
      <c r="D3375" t="s">
        <v>13</v>
      </c>
      <c r="E3375">
        <v>100</v>
      </c>
      <c r="F3375">
        <v>0</v>
      </c>
    </row>
    <row r="3376" spans="1:6" x14ac:dyDescent="0.15">
      <c r="A3376" t="s">
        <v>210</v>
      </c>
      <c r="B3376" s="226">
        <v>42363.410433159719</v>
      </c>
      <c r="C3376" t="s">
        <v>853</v>
      </c>
      <c r="D3376" t="s">
        <v>13</v>
      </c>
      <c r="E3376">
        <v>40</v>
      </c>
      <c r="F3376">
        <v>0</v>
      </c>
    </row>
    <row r="3377" spans="1:6" x14ac:dyDescent="0.15">
      <c r="A3377" t="s">
        <v>210</v>
      </c>
      <c r="B3377" s="226">
        <v>42363.424208321761</v>
      </c>
      <c r="C3377" t="s">
        <v>1525</v>
      </c>
      <c r="D3377" t="s">
        <v>13</v>
      </c>
      <c r="E3377">
        <v>100</v>
      </c>
      <c r="F3377">
        <v>0</v>
      </c>
    </row>
    <row r="3378" spans="1:6" x14ac:dyDescent="0.15">
      <c r="A3378" t="s">
        <v>210</v>
      </c>
      <c r="B3378" s="226">
        <v>42363.469421585651</v>
      </c>
      <c r="C3378" t="s">
        <v>2708</v>
      </c>
      <c r="D3378" t="s">
        <v>13</v>
      </c>
      <c r="E3378">
        <v>100</v>
      </c>
      <c r="F3378">
        <v>0</v>
      </c>
    </row>
    <row r="3379" spans="1:6" x14ac:dyDescent="0.15">
      <c r="A3379" t="s">
        <v>210</v>
      </c>
      <c r="B3379" s="226">
        <v>42363.474866620367</v>
      </c>
      <c r="C3379" t="s">
        <v>2709</v>
      </c>
      <c r="D3379" t="s">
        <v>13</v>
      </c>
      <c r="E3379">
        <v>100</v>
      </c>
      <c r="F3379">
        <v>0</v>
      </c>
    </row>
    <row r="3380" spans="1:6" x14ac:dyDescent="0.15">
      <c r="A3380" t="s">
        <v>210</v>
      </c>
      <c r="B3380" s="226">
        <v>42363.492073611109</v>
      </c>
      <c r="C3380" t="s">
        <v>14</v>
      </c>
      <c r="D3380" t="s">
        <v>13</v>
      </c>
      <c r="E3380">
        <v>40</v>
      </c>
      <c r="F3380">
        <v>3.5</v>
      </c>
    </row>
    <row r="3381" spans="1:6" x14ac:dyDescent="0.15">
      <c r="A3381" t="s">
        <v>210</v>
      </c>
      <c r="B3381" s="226">
        <v>42363.492711122686</v>
      </c>
      <c r="C3381" t="s">
        <v>84</v>
      </c>
      <c r="D3381" t="s">
        <v>13</v>
      </c>
      <c r="E3381">
        <v>120</v>
      </c>
      <c r="F3381">
        <v>0</v>
      </c>
    </row>
    <row r="3382" spans="1:6" x14ac:dyDescent="0.15">
      <c r="A3382" t="s">
        <v>210</v>
      </c>
      <c r="B3382" s="226">
        <v>42363.495579340277</v>
      </c>
      <c r="C3382" t="s">
        <v>2710</v>
      </c>
      <c r="D3382" t="s">
        <v>13</v>
      </c>
      <c r="E3382">
        <v>180</v>
      </c>
      <c r="F3382">
        <v>0</v>
      </c>
    </row>
    <row r="3383" spans="1:6" x14ac:dyDescent="0.15">
      <c r="A3383" t="s">
        <v>210</v>
      </c>
      <c r="B3383" s="226">
        <v>42363.506442013888</v>
      </c>
      <c r="C3383" t="s">
        <v>2711</v>
      </c>
      <c r="D3383" t="s">
        <v>13</v>
      </c>
      <c r="E3383">
        <v>100</v>
      </c>
      <c r="F3383">
        <v>0</v>
      </c>
    </row>
    <row r="3384" spans="1:6" x14ac:dyDescent="0.15">
      <c r="A3384" t="s">
        <v>210</v>
      </c>
      <c r="B3384" s="226">
        <v>42363.509735636573</v>
      </c>
      <c r="C3384" t="s">
        <v>2712</v>
      </c>
      <c r="D3384" t="s">
        <v>13</v>
      </c>
      <c r="E3384">
        <v>40</v>
      </c>
      <c r="F3384">
        <v>0</v>
      </c>
    </row>
    <row r="3385" spans="1:6" x14ac:dyDescent="0.15">
      <c r="A3385" t="s">
        <v>210</v>
      </c>
      <c r="B3385" s="226">
        <v>42363.541005254629</v>
      </c>
      <c r="C3385" t="s">
        <v>2713</v>
      </c>
      <c r="D3385" t="s">
        <v>13</v>
      </c>
      <c r="E3385">
        <v>180</v>
      </c>
      <c r="F3385">
        <v>0</v>
      </c>
    </row>
    <row r="3386" spans="1:6" x14ac:dyDescent="0.15">
      <c r="A3386" t="s">
        <v>210</v>
      </c>
      <c r="B3386" s="226">
        <v>42363.54222988426</v>
      </c>
      <c r="C3386" t="s">
        <v>2714</v>
      </c>
      <c r="D3386" t="s">
        <v>13</v>
      </c>
      <c r="E3386">
        <v>100</v>
      </c>
      <c r="F3386">
        <v>0</v>
      </c>
    </row>
    <row r="3387" spans="1:6" x14ac:dyDescent="0.15">
      <c r="A3387" t="s">
        <v>210</v>
      </c>
      <c r="B3387" s="226">
        <v>42363.55366834491</v>
      </c>
      <c r="C3387" t="s">
        <v>409</v>
      </c>
      <c r="D3387" t="s">
        <v>13</v>
      </c>
      <c r="E3387">
        <v>80</v>
      </c>
      <c r="F3387">
        <v>0</v>
      </c>
    </row>
    <row r="3388" spans="1:6" x14ac:dyDescent="0.15">
      <c r="A3388" t="s">
        <v>210</v>
      </c>
      <c r="B3388" s="226">
        <v>42363.554919479167</v>
      </c>
      <c r="C3388" t="s">
        <v>2715</v>
      </c>
      <c r="D3388" t="s">
        <v>13</v>
      </c>
      <c r="E3388">
        <v>20</v>
      </c>
      <c r="F3388">
        <v>0</v>
      </c>
    </row>
    <row r="3389" spans="1:6" x14ac:dyDescent="0.15">
      <c r="A3389" t="s">
        <v>210</v>
      </c>
      <c r="B3389" s="226">
        <v>42363.556046319442</v>
      </c>
      <c r="C3389" t="s">
        <v>14</v>
      </c>
      <c r="D3389" t="s">
        <v>13</v>
      </c>
      <c r="E3389">
        <v>100</v>
      </c>
      <c r="F3389">
        <v>3.5</v>
      </c>
    </row>
    <row r="3390" spans="1:6" x14ac:dyDescent="0.15">
      <c r="A3390" t="s">
        <v>210</v>
      </c>
      <c r="B3390" s="226">
        <v>42363.558220173611</v>
      </c>
      <c r="C3390" t="s">
        <v>406</v>
      </c>
      <c r="D3390" t="s">
        <v>13</v>
      </c>
      <c r="E3390">
        <v>80</v>
      </c>
      <c r="F3390">
        <v>0</v>
      </c>
    </row>
    <row r="3391" spans="1:6" x14ac:dyDescent="0.15">
      <c r="A3391" t="s">
        <v>210</v>
      </c>
      <c r="B3391" s="226">
        <v>42363.563485324077</v>
      </c>
      <c r="C3391" t="s">
        <v>2716</v>
      </c>
      <c r="D3391" t="s">
        <v>13</v>
      </c>
      <c r="E3391">
        <v>160</v>
      </c>
      <c r="F3391">
        <v>0</v>
      </c>
    </row>
    <row r="3392" spans="1:6" x14ac:dyDescent="0.15">
      <c r="A3392" t="s">
        <v>210</v>
      </c>
      <c r="B3392" s="226">
        <v>42363.572584745372</v>
      </c>
      <c r="C3392" t="s">
        <v>561</v>
      </c>
      <c r="D3392" t="s">
        <v>13</v>
      </c>
      <c r="E3392">
        <v>40</v>
      </c>
      <c r="F3392">
        <v>0</v>
      </c>
    </row>
    <row r="3393" spans="1:6" x14ac:dyDescent="0.15">
      <c r="A3393" t="s">
        <v>210</v>
      </c>
      <c r="B3393" s="226">
        <v>42363.596272175928</v>
      </c>
      <c r="C3393" t="s">
        <v>14</v>
      </c>
      <c r="D3393" t="s">
        <v>13</v>
      </c>
      <c r="E3393">
        <v>200</v>
      </c>
      <c r="F3393">
        <v>3.5</v>
      </c>
    </row>
    <row r="3394" spans="1:6" x14ac:dyDescent="0.15">
      <c r="A3394" t="s">
        <v>210</v>
      </c>
      <c r="B3394" s="226">
        <v>42363.598035173614</v>
      </c>
      <c r="C3394" t="s">
        <v>2571</v>
      </c>
      <c r="D3394" t="s">
        <v>13</v>
      </c>
      <c r="E3394">
        <v>20</v>
      </c>
      <c r="F3394">
        <v>0</v>
      </c>
    </row>
    <row r="3395" spans="1:6" x14ac:dyDescent="0.15">
      <c r="A3395" t="s">
        <v>210</v>
      </c>
      <c r="B3395" s="226">
        <v>42363.625874421297</v>
      </c>
      <c r="C3395" t="s">
        <v>2717</v>
      </c>
      <c r="D3395" t="s">
        <v>13</v>
      </c>
      <c r="E3395">
        <v>200</v>
      </c>
      <c r="F3395">
        <v>0</v>
      </c>
    </row>
    <row r="3396" spans="1:6" x14ac:dyDescent="0.15">
      <c r="A3396" t="s">
        <v>210</v>
      </c>
      <c r="B3396" s="226">
        <v>42363.639089791664</v>
      </c>
      <c r="C3396" t="s">
        <v>2718</v>
      </c>
      <c r="D3396" t="s">
        <v>13</v>
      </c>
      <c r="E3396">
        <v>40</v>
      </c>
      <c r="F3396">
        <v>0</v>
      </c>
    </row>
    <row r="3397" spans="1:6" x14ac:dyDescent="0.15">
      <c r="A3397" t="s">
        <v>210</v>
      </c>
      <c r="B3397" s="226">
        <v>42363.65252116898</v>
      </c>
      <c r="C3397" t="s">
        <v>462</v>
      </c>
      <c r="D3397" t="s">
        <v>13</v>
      </c>
      <c r="E3397">
        <v>80</v>
      </c>
      <c r="F3397">
        <v>0</v>
      </c>
    </row>
    <row r="3398" spans="1:6" x14ac:dyDescent="0.15">
      <c r="A3398" t="s">
        <v>210</v>
      </c>
      <c r="B3398" s="226">
        <v>42363.697132048612</v>
      </c>
      <c r="C3398" t="s">
        <v>2719</v>
      </c>
      <c r="D3398" t="s">
        <v>13</v>
      </c>
      <c r="E3398">
        <v>100</v>
      </c>
      <c r="F3398">
        <v>0</v>
      </c>
    </row>
    <row r="3399" spans="1:6" x14ac:dyDescent="0.15">
      <c r="A3399" t="s">
        <v>210</v>
      </c>
      <c r="B3399" s="226">
        <v>42363.700104837961</v>
      </c>
      <c r="C3399" t="s">
        <v>976</v>
      </c>
      <c r="D3399" t="s">
        <v>13</v>
      </c>
      <c r="E3399">
        <v>80</v>
      </c>
      <c r="F3399">
        <v>0</v>
      </c>
    </row>
    <row r="3400" spans="1:6" x14ac:dyDescent="0.15">
      <c r="A3400" t="s">
        <v>210</v>
      </c>
      <c r="B3400" s="226">
        <v>42363.715780266204</v>
      </c>
      <c r="C3400" t="s">
        <v>374</v>
      </c>
      <c r="D3400" t="s">
        <v>13</v>
      </c>
      <c r="E3400">
        <v>200</v>
      </c>
      <c r="F3400">
        <v>0</v>
      </c>
    </row>
    <row r="3401" spans="1:6" x14ac:dyDescent="0.15">
      <c r="A3401" t="s">
        <v>210</v>
      </c>
      <c r="B3401" s="226">
        <v>42363.723839270831</v>
      </c>
      <c r="C3401" t="s">
        <v>1367</v>
      </c>
      <c r="D3401" t="s">
        <v>13</v>
      </c>
      <c r="E3401">
        <v>280</v>
      </c>
      <c r="F3401">
        <v>0</v>
      </c>
    </row>
    <row r="3402" spans="1:6" x14ac:dyDescent="0.15">
      <c r="A3402" t="s">
        <v>210</v>
      </c>
      <c r="B3402" s="226">
        <v>42363.727762430557</v>
      </c>
      <c r="C3402" t="s">
        <v>2720</v>
      </c>
      <c r="D3402" t="s">
        <v>13</v>
      </c>
      <c r="E3402">
        <v>20</v>
      </c>
      <c r="F3402">
        <v>0</v>
      </c>
    </row>
    <row r="3403" spans="1:6" x14ac:dyDescent="0.15">
      <c r="A3403" t="s">
        <v>210</v>
      </c>
      <c r="B3403" s="226">
        <v>42363.758958483799</v>
      </c>
      <c r="C3403" t="s">
        <v>2721</v>
      </c>
      <c r="D3403" t="s">
        <v>13</v>
      </c>
      <c r="E3403">
        <v>80</v>
      </c>
      <c r="F3403">
        <v>0</v>
      </c>
    </row>
    <row r="3404" spans="1:6" x14ac:dyDescent="0.15">
      <c r="A3404" t="s">
        <v>210</v>
      </c>
      <c r="B3404" s="226">
        <v>42363.759850879629</v>
      </c>
      <c r="C3404" t="s">
        <v>2722</v>
      </c>
      <c r="D3404" t="s">
        <v>13</v>
      </c>
      <c r="E3404">
        <v>40</v>
      </c>
      <c r="F3404">
        <v>0</v>
      </c>
    </row>
    <row r="3405" spans="1:6" x14ac:dyDescent="0.15">
      <c r="A3405" t="s">
        <v>210</v>
      </c>
      <c r="B3405" s="226">
        <v>42363.770329513885</v>
      </c>
      <c r="C3405" t="s">
        <v>451</v>
      </c>
      <c r="D3405" t="s">
        <v>13</v>
      </c>
      <c r="E3405">
        <v>60</v>
      </c>
      <c r="F3405">
        <v>0</v>
      </c>
    </row>
    <row r="3406" spans="1:6" x14ac:dyDescent="0.15">
      <c r="A3406" t="s">
        <v>210</v>
      </c>
      <c r="B3406" s="226">
        <v>42363.786910266201</v>
      </c>
      <c r="C3406" t="s">
        <v>2723</v>
      </c>
      <c r="D3406" t="s">
        <v>15</v>
      </c>
      <c r="E3406">
        <v>100</v>
      </c>
      <c r="F3406">
        <v>3</v>
      </c>
    </row>
    <row r="3407" spans="1:6" x14ac:dyDescent="0.15">
      <c r="A3407" t="s">
        <v>210</v>
      </c>
      <c r="B3407" s="226">
        <v>42363.799524108799</v>
      </c>
      <c r="C3407" t="s">
        <v>2724</v>
      </c>
      <c r="D3407" t="s">
        <v>13</v>
      </c>
      <c r="E3407">
        <v>140</v>
      </c>
      <c r="F3407">
        <v>0</v>
      </c>
    </row>
    <row r="3408" spans="1:6" x14ac:dyDescent="0.15">
      <c r="A3408" t="s">
        <v>210</v>
      </c>
      <c r="B3408" s="226">
        <v>42363.80415851852</v>
      </c>
      <c r="C3408" t="s">
        <v>14</v>
      </c>
      <c r="D3408" t="s">
        <v>13</v>
      </c>
      <c r="E3408">
        <v>40</v>
      </c>
      <c r="F3408">
        <v>3.5</v>
      </c>
    </row>
    <row r="3409" spans="1:6" x14ac:dyDescent="0.15">
      <c r="A3409" t="s">
        <v>210</v>
      </c>
      <c r="B3409" s="226">
        <v>42363.810023136575</v>
      </c>
      <c r="C3409" t="s">
        <v>2725</v>
      </c>
      <c r="D3409" t="s">
        <v>13</v>
      </c>
      <c r="E3409">
        <v>80</v>
      </c>
      <c r="F3409">
        <v>0</v>
      </c>
    </row>
    <row r="3410" spans="1:6" x14ac:dyDescent="0.15">
      <c r="A3410" t="s">
        <v>210</v>
      </c>
      <c r="B3410" s="226">
        <v>42363.853622187497</v>
      </c>
      <c r="C3410" t="s">
        <v>2726</v>
      </c>
      <c r="D3410" t="s">
        <v>13</v>
      </c>
      <c r="E3410">
        <v>40</v>
      </c>
      <c r="F3410">
        <v>0</v>
      </c>
    </row>
    <row r="3411" spans="1:6" x14ac:dyDescent="0.15">
      <c r="A3411" t="s">
        <v>210</v>
      </c>
      <c r="B3411" s="226">
        <v>42363.863943009259</v>
      </c>
      <c r="C3411" t="s">
        <v>1398</v>
      </c>
      <c r="D3411" t="s">
        <v>13</v>
      </c>
      <c r="E3411">
        <v>100</v>
      </c>
      <c r="F3411">
        <v>0</v>
      </c>
    </row>
    <row r="3412" spans="1:6" x14ac:dyDescent="0.15">
      <c r="A3412" t="s">
        <v>210</v>
      </c>
      <c r="B3412" s="226">
        <v>42363.874083009257</v>
      </c>
      <c r="C3412" t="s">
        <v>2727</v>
      </c>
      <c r="D3412" t="s">
        <v>13</v>
      </c>
      <c r="E3412">
        <v>100</v>
      </c>
      <c r="F3412">
        <v>0</v>
      </c>
    </row>
    <row r="3413" spans="1:6" x14ac:dyDescent="0.15">
      <c r="A3413" t="s">
        <v>210</v>
      </c>
      <c r="B3413" s="226">
        <v>42363.881680300925</v>
      </c>
      <c r="C3413" t="s">
        <v>2709</v>
      </c>
      <c r="D3413" t="s">
        <v>13</v>
      </c>
      <c r="E3413">
        <v>200</v>
      </c>
      <c r="F3413">
        <v>0</v>
      </c>
    </row>
    <row r="3414" spans="1:6" x14ac:dyDescent="0.15">
      <c r="A3414" t="s">
        <v>210</v>
      </c>
      <c r="B3414" s="226">
        <v>42363.895974120373</v>
      </c>
      <c r="C3414" t="s">
        <v>1699</v>
      </c>
      <c r="D3414" t="s">
        <v>13</v>
      </c>
      <c r="E3414">
        <v>100</v>
      </c>
      <c r="F3414">
        <v>0</v>
      </c>
    </row>
    <row r="3415" spans="1:6" x14ac:dyDescent="0.15">
      <c r="A3415" t="s">
        <v>210</v>
      </c>
      <c r="B3415" s="226">
        <v>42363.928770416664</v>
      </c>
      <c r="C3415" t="s">
        <v>2728</v>
      </c>
      <c r="D3415" t="s">
        <v>13</v>
      </c>
      <c r="E3415">
        <v>40</v>
      </c>
      <c r="F3415">
        <v>0</v>
      </c>
    </row>
    <row r="3416" spans="1:6" x14ac:dyDescent="0.15">
      <c r="A3416" t="s">
        <v>210</v>
      </c>
      <c r="B3416" s="226">
        <v>42364.002641967592</v>
      </c>
      <c r="C3416" t="s">
        <v>545</v>
      </c>
      <c r="D3416" t="s">
        <v>13</v>
      </c>
      <c r="E3416">
        <v>80</v>
      </c>
      <c r="F3416">
        <v>0</v>
      </c>
    </row>
    <row r="3417" spans="1:6" x14ac:dyDescent="0.15">
      <c r="A3417" t="s">
        <v>210</v>
      </c>
      <c r="B3417" s="226">
        <v>42364.031231655092</v>
      </c>
      <c r="C3417" t="s">
        <v>14</v>
      </c>
      <c r="D3417" t="s">
        <v>15</v>
      </c>
      <c r="E3417">
        <v>100</v>
      </c>
      <c r="F3417">
        <v>5.5</v>
      </c>
    </row>
    <row r="3418" spans="1:6" x14ac:dyDescent="0.15">
      <c r="A3418" t="s">
        <v>210</v>
      </c>
      <c r="B3418" s="226">
        <v>42364.035133912039</v>
      </c>
      <c r="C3418" t="s">
        <v>14</v>
      </c>
      <c r="D3418" t="s">
        <v>13</v>
      </c>
      <c r="E3418">
        <v>200</v>
      </c>
      <c r="F3418">
        <v>3.5</v>
      </c>
    </row>
    <row r="3419" spans="1:6" x14ac:dyDescent="0.15">
      <c r="A3419" t="s">
        <v>210</v>
      </c>
      <c r="B3419" s="226">
        <v>42364.045261979169</v>
      </c>
      <c r="C3419" t="s">
        <v>993</v>
      </c>
      <c r="D3419" t="s">
        <v>13</v>
      </c>
      <c r="E3419">
        <v>40</v>
      </c>
      <c r="F3419">
        <v>0</v>
      </c>
    </row>
    <row r="3420" spans="1:6" x14ac:dyDescent="0.15">
      <c r="A3420" t="s">
        <v>210</v>
      </c>
      <c r="B3420" s="226">
        <v>42364.063680451392</v>
      </c>
      <c r="C3420" t="s">
        <v>14</v>
      </c>
      <c r="D3420" t="s">
        <v>13</v>
      </c>
      <c r="E3420">
        <v>100</v>
      </c>
      <c r="F3420">
        <v>3.5</v>
      </c>
    </row>
    <row r="3421" spans="1:6" x14ac:dyDescent="0.15">
      <c r="A3421" t="s">
        <v>210</v>
      </c>
      <c r="B3421" s="226">
        <v>42364.216331550924</v>
      </c>
      <c r="C3421" t="s">
        <v>2729</v>
      </c>
      <c r="D3421" t="s">
        <v>13</v>
      </c>
      <c r="E3421">
        <v>40</v>
      </c>
      <c r="F3421">
        <v>0</v>
      </c>
    </row>
    <row r="3422" spans="1:6" x14ac:dyDescent="0.15">
      <c r="A3422" t="s">
        <v>210</v>
      </c>
      <c r="B3422" s="226">
        <v>42364.298365763891</v>
      </c>
      <c r="C3422" t="s">
        <v>14</v>
      </c>
      <c r="D3422" t="s">
        <v>13</v>
      </c>
      <c r="E3422">
        <v>100</v>
      </c>
      <c r="F3422">
        <v>3.5</v>
      </c>
    </row>
    <row r="3423" spans="1:6" x14ac:dyDescent="0.15">
      <c r="A3423" t="s">
        <v>210</v>
      </c>
      <c r="B3423" s="226">
        <v>42364.301550046293</v>
      </c>
      <c r="C3423" t="s">
        <v>1360</v>
      </c>
      <c r="D3423" t="s">
        <v>13</v>
      </c>
      <c r="E3423">
        <v>80</v>
      </c>
      <c r="F3423">
        <v>0</v>
      </c>
    </row>
    <row r="3424" spans="1:6" x14ac:dyDescent="0.15">
      <c r="A3424" t="s">
        <v>210</v>
      </c>
      <c r="B3424" s="226">
        <v>42364.306631643522</v>
      </c>
      <c r="C3424" t="s">
        <v>580</v>
      </c>
      <c r="D3424" t="s">
        <v>13</v>
      </c>
      <c r="E3424">
        <v>120</v>
      </c>
      <c r="F3424">
        <v>0</v>
      </c>
    </row>
    <row r="3425" spans="1:6" x14ac:dyDescent="0.15">
      <c r="A3425" t="s">
        <v>210</v>
      </c>
      <c r="B3425" s="226">
        <v>42364.335019583334</v>
      </c>
      <c r="C3425" t="s">
        <v>2730</v>
      </c>
      <c r="D3425" t="s">
        <v>13</v>
      </c>
      <c r="E3425">
        <v>60</v>
      </c>
      <c r="F3425">
        <v>0</v>
      </c>
    </row>
    <row r="3426" spans="1:6" x14ac:dyDescent="0.15">
      <c r="A3426" t="s">
        <v>210</v>
      </c>
      <c r="B3426" s="226">
        <v>42364.337300567131</v>
      </c>
      <c r="C3426" t="s">
        <v>2606</v>
      </c>
      <c r="D3426" t="s">
        <v>13</v>
      </c>
      <c r="E3426">
        <v>40</v>
      </c>
      <c r="F3426">
        <v>0</v>
      </c>
    </row>
    <row r="3427" spans="1:6" x14ac:dyDescent="0.15">
      <c r="A3427" t="s">
        <v>210</v>
      </c>
      <c r="B3427" s="226">
        <v>42364.373177696762</v>
      </c>
      <c r="C3427" t="s">
        <v>2731</v>
      </c>
      <c r="D3427" t="s">
        <v>13</v>
      </c>
      <c r="E3427">
        <v>100</v>
      </c>
      <c r="F3427">
        <v>0</v>
      </c>
    </row>
    <row r="3428" spans="1:6" x14ac:dyDescent="0.15">
      <c r="A3428" t="s">
        <v>210</v>
      </c>
      <c r="B3428" s="226">
        <v>42364.386302812498</v>
      </c>
      <c r="C3428" t="s">
        <v>2732</v>
      </c>
      <c r="D3428" t="s">
        <v>13</v>
      </c>
      <c r="E3428">
        <v>60</v>
      </c>
      <c r="F3428">
        <v>0</v>
      </c>
    </row>
    <row r="3429" spans="1:6" x14ac:dyDescent="0.15">
      <c r="A3429" t="s">
        <v>210</v>
      </c>
      <c r="B3429" s="226">
        <v>42364.390846875001</v>
      </c>
      <c r="C3429" t="s">
        <v>14</v>
      </c>
      <c r="D3429" t="s">
        <v>15</v>
      </c>
      <c r="E3429">
        <v>60</v>
      </c>
      <c r="F3429">
        <v>4.3</v>
      </c>
    </row>
    <row r="3430" spans="1:6" x14ac:dyDescent="0.15">
      <c r="A3430" t="s">
        <v>210</v>
      </c>
      <c r="B3430" s="226">
        <v>42364.436520844909</v>
      </c>
      <c r="C3430" t="s">
        <v>14</v>
      </c>
      <c r="D3430" t="s">
        <v>15</v>
      </c>
      <c r="E3430">
        <v>20</v>
      </c>
      <c r="F3430">
        <v>3.1</v>
      </c>
    </row>
    <row r="3431" spans="1:6" x14ac:dyDescent="0.15">
      <c r="A3431" t="s">
        <v>210</v>
      </c>
      <c r="B3431" s="226">
        <v>42364.439836631944</v>
      </c>
      <c r="C3431" t="s">
        <v>2733</v>
      </c>
      <c r="D3431" t="s">
        <v>13</v>
      </c>
      <c r="E3431">
        <v>80</v>
      </c>
      <c r="F3431">
        <v>0</v>
      </c>
    </row>
    <row r="3432" spans="1:6" x14ac:dyDescent="0.15">
      <c r="A3432" t="s">
        <v>210</v>
      </c>
      <c r="B3432" s="226">
        <v>42364.441411446758</v>
      </c>
      <c r="C3432" t="s">
        <v>2734</v>
      </c>
      <c r="D3432" t="s">
        <v>13</v>
      </c>
      <c r="E3432">
        <v>60</v>
      </c>
      <c r="F3432">
        <v>0</v>
      </c>
    </row>
    <row r="3433" spans="1:6" x14ac:dyDescent="0.15">
      <c r="A3433" t="s">
        <v>210</v>
      </c>
      <c r="B3433" s="226">
        <v>42364.463881539348</v>
      </c>
      <c r="C3433" t="s">
        <v>14</v>
      </c>
      <c r="D3433" t="s">
        <v>13</v>
      </c>
      <c r="E3433">
        <v>20</v>
      </c>
      <c r="F3433">
        <v>3.5</v>
      </c>
    </row>
    <row r="3434" spans="1:6" x14ac:dyDescent="0.15">
      <c r="A3434" t="s">
        <v>210</v>
      </c>
      <c r="B3434" s="226">
        <v>42364.465401504633</v>
      </c>
      <c r="C3434" t="s">
        <v>1983</v>
      </c>
      <c r="D3434" t="s">
        <v>13</v>
      </c>
      <c r="E3434">
        <v>100</v>
      </c>
      <c r="F3434">
        <v>0</v>
      </c>
    </row>
    <row r="3435" spans="1:6" x14ac:dyDescent="0.15">
      <c r="A3435" t="s">
        <v>210</v>
      </c>
      <c r="B3435" s="226">
        <v>42364.468590879631</v>
      </c>
      <c r="C3435" t="s">
        <v>549</v>
      </c>
      <c r="D3435" t="s">
        <v>13</v>
      </c>
      <c r="E3435">
        <v>20</v>
      </c>
      <c r="F3435">
        <v>0</v>
      </c>
    </row>
    <row r="3436" spans="1:6" x14ac:dyDescent="0.15">
      <c r="A3436" t="s">
        <v>210</v>
      </c>
      <c r="B3436" s="226">
        <v>42364.513870289353</v>
      </c>
      <c r="C3436" t="s">
        <v>550</v>
      </c>
      <c r="D3436" t="s">
        <v>13</v>
      </c>
      <c r="E3436">
        <v>100</v>
      </c>
      <c r="F3436">
        <v>0</v>
      </c>
    </row>
    <row r="3437" spans="1:6" x14ac:dyDescent="0.15">
      <c r="A3437" t="s">
        <v>210</v>
      </c>
      <c r="B3437" s="226">
        <v>42364.517213067127</v>
      </c>
      <c r="C3437" t="s">
        <v>2735</v>
      </c>
      <c r="D3437" t="s">
        <v>13</v>
      </c>
      <c r="E3437">
        <v>40</v>
      </c>
      <c r="F3437">
        <v>0</v>
      </c>
    </row>
    <row r="3438" spans="1:6" x14ac:dyDescent="0.15">
      <c r="A3438" t="s">
        <v>210</v>
      </c>
      <c r="B3438" s="226">
        <v>42364.546149074071</v>
      </c>
      <c r="C3438" t="s">
        <v>746</v>
      </c>
      <c r="D3438" t="s">
        <v>13</v>
      </c>
      <c r="E3438">
        <v>20</v>
      </c>
      <c r="F3438">
        <v>0</v>
      </c>
    </row>
    <row r="3439" spans="1:6" x14ac:dyDescent="0.15">
      <c r="A3439" t="s">
        <v>210</v>
      </c>
      <c r="B3439" s="226">
        <v>42364.555038506944</v>
      </c>
      <c r="C3439" t="s">
        <v>100</v>
      </c>
      <c r="D3439" t="s">
        <v>13</v>
      </c>
      <c r="E3439">
        <v>100</v>
      </c>
      <c r="F3439">
        <v>0</v>
      </c>
    </row>
    <row r="3440" spans="1:6" x14ac:dyDescent="0.15">
      <c r="A3440" t="s">
        <v>210</v>
      </c>
      <c r="B3440" s="226">
        <v>42364.560935185182</v>
      </c>
      <c r="C3440" t="s">
        <v>1535</v>
      </c>
      <c r="D3440" t="s">
        <v>13</v>
      </c>
      <c r="E3440">
        <v>80</v>
      </c>
      <c r="F3440">
        <v>0</v>
      </c>
    </row>
    <row r="3441" spans="1:6" x14ac:dyDescent="0.15">
      <c r="A3441" t="s">
        <v>210</v>
      </c>
      <c r="B3441" s="226">
        <v>42364.562990243059</v>
      </c>
      <c r="C3441" t="s">
        <v>2736</v>
      </c>
      <c r="D3441" t="s">
        <v>13</v>
      </c>
      <c r="E3441">
        <v>20</v>
      </c>
      <c r="F3441">
        <v>0</v>
      </c>
    </row>
    <row r="3442" spans="1:6" x14ac:dyDescent="0.15">
      <c r="A3442" t="s">
        <v>210</v>
      </c>
      <c r="B3442" s="226">
        <v>42364.574664050924</v>
      </c>
      <c r="C3442" t="s">
        <v>2737</v>
      </c>
      <c r="D3442" t="s">
        <v>13</v>
      </c>
      <c r="E3442">
        <v>100</v>
      </c>
      <c r="F3442">
        <v>0</v>
      </c>
    </row>
    <row r="3443" spans="1:6" x14ac:dyDescent="0.15">
      <c r="A3443" t="s">
        <v>210</v>
      </c>
      <c r="B3443" s="226">
        <v>42364.583944305552</v>
      </c>
      <c r="C3443" t="s">
        <v>1561</v>
      </c>
      <c r="D3443" t="s">
        <v>13</v>
      </c>
      <c r="E3443">
        <v>200</v>
      </c>
      <c r="F3443">
        <v>0</v>
      </c>
    </row>
    <row r="3444" spans="1:6" x14ac:dyDescent="0.15">
      <c r="A3444" t="s">
        <v>210</v>
      </c>
      <c r="B3444" s="226">
        <v>42364.587688321757</v>
      </c>
      <c r="C3444" t="s">
        <v>2738</v>
      </c>
      <c r="D3444" t="s">
        <v>13</v>
      </c>
      <c r="E3444">
        <v>100</v>
      </c>
      <c r="F3444">
        <v>0</v>
      </c>
    </row>
    <row r="3445" spans="1:6" x14ac:dyDescent="0.15">
      <c r="A3445" t="s">
        <v>210</v>
      </c>
      <c r="B3445" s="226">
        <v>42364.616122951389</v>
      </c>
      <c r="C3445" t="s">
        <v>14</v>
      </c>
      <c r="D3445" t="s">
        <v>13</v>
      </c>
      <c r="E3445">
        <v>40</v>
      </c>
      <c r="F3445">
        <v>3.5</v>
      </c>
    </row>
    <row r="3446" spans="1:6" x14ac:dyDescent="0.15">
      <c r="A3446" t="s">
        <v>210</v>
      </c>
      <c r="B3446" s="226">
        <v>42364.625439108793</v>
      </c>
      <c r="C3446" t="s">
        <v>2739</v>
      </c>
      <c r="D3446" t="s">
        <v>13</v>
      </c>
      <c r="E3446">
        <v>20</v>
      </c>
      <c r="F3446">
        <v>0</v>
      </c>
    </row>
    <row r="3447" spans="1:6" x14ac:dyDescent="0.15">
      <c r="A3447" t="s">
        <v>210</v>
      </c>
      <c r="B3447" s="226">
        <v>42364.634004467589</v>
      </c>
      <c r="C3447" t="s">
        <v>14</v>
      </c>
      <c r="D3447" t="s">
        <v>13</v>
      </c>
      <c r="E3447">
        <v>100</v>
      </c>
      <c r="F3447">
        <v>3.5</v>
      </c>
    </row>
    <row r="3448" spans="1:6" x14ac:dyDescent="0.15">
      <c r="A3448" t="s">
        <v>210</v>
      </c>
      <c r="B3448" s="226">
        <v>42364.635930821758</v>
      </c>
      <c r="C3448" t="s">
        <v>551</v>
      </c>
      <c r="D3448" t="s">
        <v>13</v>
      </c>
      <c r="E3448">
        <v>20</v>
      </c>
      <c r="F3448">
        <v>0</v>
      </c>
    </row>
    <row r="3449" spans="1:6" x14ac:dyDescent="0.15">
      <c r="A3449" t="s">
        <v>210</v>
      </c>
      <c r="B3449" s="226">
        <v>42364.691957314812</v>
      </c>
      <c r="C3449" t="s">
        <v>110</v>
      </c>
      <c r="D3449" t="s">
        <v>13</v>
      </c>
      <c r="E3449">
        <v>400</v>
      </c>
      <c r="F3449">
        <v>0</v>
      </c>
    </row>
    <row r="3450" spans="1:6" x14ac:dyDescent="0.15">
      <c r="A3450" t="s">
        <v>210</v>
      </c>
      <c r="B3450" s="226">
        <v>42364.71567247685</v>
      </c>
      <c r="C3450" t="s">
        <v>2740</v>
      </c>
      <c r="D3450" t="s">
        <v>13</v>
      </c>
      <c r="E3450">
        <v>100</v>
      </c>
      <c r="F3450">
        <v>0</v>
      </c>
    </row>
    <row r="3451" spans="1:6" x14ac:dyDescent="0.15">
      <c r="A3451" t="s">
        <v>210</v>
      </c>
      <c r="B3451" s="226">
        <v>42364.740627881947</v>
      </c>
      <c r="C3451" t="s">
        <v>2741</v>
      </c>
      <c r="D3451" t="s">
        <v>13</v>
      </c>
      <c r="E3451">
        <v>60</v>
      </c>
      <c r="F3451">
        <v>0</v>
      </c>
    </row>
    <row r="3452" spans="1:6" x14ac:dyDescent="0.15">
      <c r="A3452" t="s">
        <v>210</v>
      </c>
      <c r="B3452" s="226">
        <v>42364.741493680558</v>
      </c>
      <c r="C3452" t="s">
        <v>2742</v>
      </c>
      <c r="D3452" t="s">
        <v>13</v>
      </c>
      <c r="E3452">
        <v>120</v>
      </c>
      <c r="F3452">
        <v>0</v>
      </c>
    </row>
    <row r="3453" spans="1:6" x14ac:dyDescent="0.15">
      <c r="A3453" t="s">
        <v>210</v>
      </c>
      <c r="B3453" s="226">
        <v>42364.742812546298</v>
      </c>
      <c r="C3453" t="s">
        <v>2743</v>
      </c>
      <c r="D3453" t="s">
        <v>13</v>
      </c>
      <c r="E3453">
        <v>60</v>
      </c>
      <c r="F3453">
        <v>0</v>
      </c>
    </row>
    <row r="3454" spans="1:6" x14ac:dyDescent="0.15">
      <c r="A3454" t="s">
        <v>210</v>
      </c>
      <c r="B3454" s="226">
        <v>42364.755594502312</v>
      </c>
      <c r="C3454" t="s">
        <v>387</v>
      </c>
      <c r="D3454" t="s">
        <v>13</v>
      </c>
      <c r="E3454">
        <v>100</v>
      </c>
      <c r="F3454">
        <v>0</v>
      </c>
    </row>
    <row r="3455" spans="1:6" x14ac:dyDescent="0.15">
      <c r="A3455" t="s">
        <v>210</v>
      </c>
      <c r="B3455" s="226">
        <v>42364.762155752316</v>
      </c>
      <c r="C3455" t="s">
        <v>2744</v>
      </c>
      <c r="D3455" t="s">
        <v>13</v>
      </c>
      <c r="E3455">
        <v>60</v>
      </c>
      <c r="F3455">
        <v>0</v>
      </c>
    </row>
    <row r="3456" spans="1:6" x14ac:dyDescent="0.15">
      <c r="A3456" t="s">
        <v>210</v>
      </c>
      <c r="B3456" s="226">
        <v>42364.822109884262</v>
      </c>
      <c r="C3456" t="s">
        <v>1579</v>
      </c>
      <c r="D3456" t="s">
        <v>13</v>
      </c>
      <c r="E3456">
        <v>60</v>
      </c>
      <c r="F3456">
        <v>0</v>
      </c>
    </row>
    <row r="3457" spans="1:6" x14ac:dyDescent="0.15">
      <c r="A3457" t="s">
        <v>210</v>
      </c>
      <c r="B3457" s="226">
        <v>42364.843836631946</v>
      </c>
      <c r="C3457" t="s">
        <v>1444</v>
      </c>
      <c r="D3457" t="s">
        <v>13</v>
      </c>
      <c r="E3457">
        <v>20</v>
      </c>
      <c r="F3457">
        <v>0</v>
      </c>
    </row>
    <row r="3458" spans="1:6" x14ac:dyDescent="0.15">
      <c r="A3458" t="s">
        <v>210</v>
      </c>
      <c r="B3458" s="226">
        <v>42364.872765694447</v>
      </c>
      <c r="C3458" t="s">
        <v>2745</v>
      </c>
      <c r="D3458" t="s">
        <v>13</v>
      </c>
      <c r="E3458">
        <v>40</v>
      </c>
      <c r="F3458">
        <v>0</v>
      </c>
    </row>
    <row r="3459" spans="1:6" x14ac:dyDescent="0.15">
      <c r="A3459" t="s">
        <v>210</v>
      </c>
      <c r="B3459" s="226">
        <v>42364.873755173612</v>
      </c>
      <c r="C3459" t="s">
        <v>14</v>
      </c>
      <c r="D3459" t="s">
        <v>13</v>
      </c>
      <c r="E3459">
        <v>100</v>
      </c>
      <c r="F3459">
        <v>3.5</v>
      </c>
    </row>
    <row r="3460" spans="1:6" x14ac:dyDescent="0.15">
      <c r="A3460" t="s">
        <v>210</v>
      </c>
      <c r="B3460" s="226">
        <v>42364.970173807873</v>
      </c>
      <c r="C3460" t="s">
        <v>14</v>
      </c>
      <c r="D3460" t="s">
        <v>13</v>
      </c>
      <c r="E3460">
        <v>40</v>
      </c>
      <c r="F3460">
        <v>3.5</v>
      </c>
    </row>
    <row r="3461" spans="1:6" x14ac:dyDescent="0.15">
      <c r="A3461" t="s">
        <v>210</v>
      </c>
      <c r="B3461" s="226">
        <v>42365.298797071759</v>
      </c>
      <c r="C3461" t="s">
        <v>2746</v>
      </c>
      <c r="D3461" t="s">
        <v>13</v>
      </c>
      <c r="E3461">
        <v>40</v>
      </c>
      <c r="F3461">
        <v>0</v>
      </c>
    </row>
    <row r="3462" spans="1:6" x14ac:dyDescent="0.15">
      <c r="A3462" t="s">
        <v>210</v>
      </c>
      <c r="B3462" s="226">
        <v>42365.397944155091</v>
      </c>
      <c r="C3462" t="s">
        <v>2388</v>
      </c>
      <c r="D3462" t="s">
        <v>13</v>
      </c>
      <c r="E3462">
        <v>100</v>
      </c>
      <c r="F3462">
        <v>0</v>
      </c>
    </row>
    <row r="3463" spans="1:6" x14ac:dyDescent="0.15">
      <c r="A3463" t="s">
        <v>210</v>
      </c>
      <c r="B3463" s="226">
        <v>42365.444410601849</v>
      </c>
      <c r="C3463" t="s">
        <v>2747</v>
      </c>
      <c r="D3463" t="s">
        <v>13</v>
      </c>
      <c r="E3463">
        <v>220</v>
      </c>
      <c r="F3463">
        <v>0</v>
      </c>
    </row>
    <row r="3464" spans="1:6" x14ac:dyDescent="0.15">
      <c r="A3464" t="s">
        <v>210</v>
      </c>
      <c r="B3464" s="226">
        <v>42365.46057722222</v>
      </c>
      <c r="C3464" t="s">
        <v>2627</v>
      </c>
      <c r="D3464" t="s">
        <v>13</v>
      </c>
      <c r="E3464">
        <v>100</v>
      </c>
      <c r="F3464">
        <v>0</v>
      </c>
    </row>
    <row r="3465" spans="1:6" x14ac:dyDescent="0.15">
      <c r="A3465" t="s">
        <v>210</v>
      </c>
      <c r="B3465" s="226">
        <v>42365.493282013886</v>
      </c>
      <c r="C3465" t="s">
        <v>552</v>
      </c>
      <c r="D3465" t="s">
        <v>13</v>
      </c>
      <c r="E3465">
        <v>80</v>
      </c>
      <c r="F3465">
        <v>0</v>
      </c>
    </row>
    <row r="3466" spans="1:6" x14ac:dyDescent="0.15">
      <c r="A3466" t="s">
        <v>210</v>
      </c>
      <c r="B3466" s="226">
        <v>42365.506824374999</v>
      </c>
      <c r="C3466" t="s">
        <v>2748</v>
      </c>
      <c r="D3466" t="s">
        <v>13</v>
      </c>
      <c r="E3466">
        <v>200</v>
      </c>
      <c r="F3466">
        <v>0</v>
      </c>
    </row>
    <row r="3467" spans="1:6" x14ac:dyDescent="0.15">
      <c r="A3467" t="s">
        <v>210</v>
      </c>
      <c r="B3467" s="226">
        <v>42365.518079907408</v>
      </c>
      <c r="C3467" t="s">
        <v>2749</v>
      </c>
      <c r="D3467" t="s">
        <v>13</v>
      </c>
      <c r="E3467">
        <v>100</v>
      </c>
      <c r="F3467">
        <v>0</v>
      </c>
    </row>
    <row r="3468" spans="1:6" x14ac:dyDescent="0.15">
      <c r="A3468" t="s">
        <v>210</v>
      </c>
      <c r="B3468" s="226">
        <v>42365.530945439816</v>
      </c>
      <c r="C3468" t="s">
        <v>2420</v>
      </c>
      <c r="D3468" t="s">
        <v>13</v>
      </c>
      <c r="E3468">
        <v>40</v>
      </c>
      <c r="F3468">
        <v>0</v>
      </c>
    </row>
    <row r="3469" spans="1:6" x14ac:dyDescent="0.15">
      <c r="A3469" t="s">
        <v>210</v>
      </c>
      <c r="B3469" s="226">
        <v>42365.552493530093</v>
      </c>
      <c r="C3469" t="s">
        <v>1286</v>
      </c>
      <c r="D3469" t="s">
        <v>13</v>
      </c>
      <c r="E3469">
        <v>100</v>
      </c>
      <c r="F3469">
        <v>0</v>
      </c>
    </row>
    <row r="3470" spans="1:6" x14ac:dyDescent="0.15">
      <c r="A3470" t="s">
        <v>210</v>
      </c>
      <c r="B3470" s="226">
        <v>42365.554121203706</v>
      </c>
      <c r="C3470" t="s">
        <v>2750</v>
      </c>
      <c r="D3470" t="s">
        <v>13</v>
      </c>
      <c r="E3470">
        <v>20</v>
      </c>
      <c r="F3470">
        <v>0</v>
      </c>
    </row>
    <row r="3471" spans="1:6" x14ac:dyDescent="0.15">
      <c r="A3471" t="s">
        <v>210</v>
      </c>
      <c r="B3471" s="226">
        <v>42365.560472418983</v>
      </c>
      <c r="C3471" t="s">
        <v>1160</v>
      </c>
      <c r="D3471" t="s">
        <v>13</v>
      </c>
      <c r="E3471">
        <v>80</v>
      </c>
      <c r="F3471">
        <v>0</v>
      </c>
    </row>
    <row r="3472" spans="1:6" x14ac:dyDescent="0.15">
      <c r="A3472" t="s">
        <v>210</v>
      </c>
      <c r="B3472" s="226">
        <v>42365.564523263885</v>
      </c>
      <c r="C3472" t="s">
        <v>2751</v>
      </c>
      <c r="D3472" t="s">
        <v>13</v>
      </c>
      <c r="E3472">
        <v>40</v>
      </c>
      <c r="F3472">
        <v>0</v>
      </c>
    </row>
    <row r="3473" spans="1:6" x14ac:dyDescent="0.15">
      <c r="A3473" t="s">
        <v>210</v>
      </c>
      <c r="B3473" s="226">
        <v>42365.590918680558</v>
      </c>
      <c r="C3473" t="s">
        <v>1221</v>
      </c>
      <c r="D3473" t="s">
        <v>13</v>
      </c>
      <c r="E3473">
        <v>40</v>
      </c>
      <c r="F3473">
        <v>0</v>
      </c>
    </row>
    <row r="3474" spans="1:6" x14ac:dyDescent="0.15">
      <c r="A3474" t="s">
        <v>210</v>
      </c>
      <c r="B3474" s="226">
        <v>42365.601176747688</v>
      </c>
      <c r="C3474" t="s">
        <v>2752</v>
      </c>
      <c r="D3474" t="s">
        <v>13</v>
      </c>
      <c r="E3474">
        <v>40</v>
      </c>
      <c r="F3474">
        <v>0</v>
      </c>
    </row>
    <row r="3475" spans="1:6" x14ac:dyDescent="0.15">
      <c r="A3475" t="s">
        <v>210</v>
      </c>
      <c r="B3475" s="226">
        <v>42365.611508148148</v>
      </c>
      <c r="C3475" t="s">
        <v>2753</v>
      </c>
      <c r="D3475" t="s">
        <v>13</v>
      </c>
      <c r="E3475">
        <v>60</v>
      </c>
      <c r="F3475">
        <v>0</v>
      </c>
    </row>
    <row r="3476" spans="1:6" x14ac:dyDescent="0.15">
      <c r="A3476" t="s">
        <v>210</v>
      </c>
      <c r="B3476" s="226">
        <v>42365.617131076389</v>
      </c>
      <c r="C3476" t="s">
        <v>2754</v>
      </c>
      <c r="D3476" t="s">
        <v>13</v>
      </c>
      <c r="E3476">
        <v>60</v>
      </c>
      <c r="F3476">
        <v>0</v>
      </c>
    </row>
    <row r="3477" spans="1:6" x14ac:dyDescent="0.15">
      <c r="A3477" t="s">
        <v>210</v>
      </c>
      <c r="B3477" s="226">
        <v>42365.621812418984</v>
      </c>
      <c r="C3477" t="s">
        <v>2755</v>
      </c>
      <c r="D3477" t="s">
        <v>13</v>
      </c>
      <c r="E3477">
        <v>40</v>
      </c>
      <c r="F3477">
        <v>0</v>
      </c>
    </row>
    <row r="3478" spans="1:6" x14ac:dyDescent="0.15">
      <c r="A3478" t="s">
        <v>210</v>
      </c>
      <c r="B3478" s="226">
        <v>42365.628852511574</v>
      </c>
      <c r="C3478" t="s">
        <v>2756</v>
      </c>
      <c r="D3478" t="s">
        <v>13</v>
      </c>
      <c r="E3478">
        <v>100</v>
      </c>
      <c r="F3478">
        <v>0</v>
      </c>
    </row>
    <row r="3479" spans="1:6" x14ac:dyDescent="0.15">
      <c r="A3479" t="s">
        <v>210</v>
      </c>
      <c r="B3479" s="226">
        <v>42365.698858634256</v>
      </c>
      <c r="C3479" t="s">
        <v>2757</v>
      </c>
      <c r="D3479" t="s">
        <v>13</v>
      </c>
      <c r="E3479">
        <v>20</v>
      </c>
      <c r="F3479">
        <v>0</v>
      </c>
    </row>
    <row r="3480" spans="1:6" x14ac:dyDescent="0.15">
      <c r="A3480" t="s">
        <v>210</v>
      </c>
      <c r="B3480" s="226">
        <v>42365.703191504632</v>
      </c>
      <c r="C3480" t="s">
        <v>2526</v>
      </c>
      <c r="D3480" t="s">
        <v>13</v>
      </c>
      <c r="E3480">
        <v>60</v>
      </c>
      <c r="F3480">
        <v>0</v>
      </c>
    </row>
    <row r="3481" spans="1:6" x14ac:dyDescent="0.15">
      <c r="A3481" t="s">
        <v>210</v>
      </c>
      <c r="B3481" s="226">
        <v>42365.729712546294</v>
      </c>
      <c r="C3481" t="s">
        <v>1210</v>
      </c>
      <c r="D3481" t="s">
        <v>13</v>
      </c>
      <c r="E3481">
        <v>20</v>
      </c>
      <c r="F3481">
        <v>0</v>
      </c>
    </row>
    <row r="3482" spans="1:6" x14ac:dyDescent="0.15">
      <c r="A3482" t="s">
        <v>210</v>
      </c>
      <c r="B3482" s="226">
        <v>42365.749102048612</v>
      </c>
      <c r="C3482" t="s">
        <v>1059</v>
      </c>
      <c r="D3482" t="s">
        <v>13</v>
      </c>
      <c r="E3482">
        <v>80</v>
      </c>
      <c r="F3482">
        <v>0</v>
      </c>
    </row>
    <row r="3483" spans="1:6" x14ac:dyDescent="0.15">
      <c r="A3483" t="s">
        <v>210</v>
      </c>
      <c r="B3483" s="226">
        <v>42365.758686041663</v>
      </c>
      <c r="C3483" t="s">
        <v>2432</v>
      </c>
      <c r="D3483" t="s">
        <v>13</v>
      </c>
      <c r="E3483">
        <v>100</v>
      </c>
      <c r="F3483">
        <v>0</v>
      </c>
    </row>
    <row r="3484" spans="1:6" x14ac:dyDescent="0.15">
      <c r="A3484" t="s">
        <v>210</v>
      </c>
      <c r="B3484" s="226">
        <v>42365.927097141204</v>
      </c>
      <c r="C3484" t="s">
        <v>1083</v>
      </c>
      <c r="D3484" t="s">
        <v>13</v>
      </c>
      <c r="E3484">
        <v>180</v>
      </c>
      <c r="F3484">
        <v>0</v>
      </c>
    </row>
    <row r="3485" spans="1:6" x14ac:dyDescent="0.15">
      <c r="A3485" t="s">
        <v>210</v>
      </c>
      <c r="B3485" s="226">
        <v>42366.266253391201</v>
      </c>
      <c r="C3485" t="s">
        <v>1910</v>
      </c>
      <c r="D3485" t="s">
        <v>13</v>
      </c>
      <c r="E3485">
        <v>60</v>
      </c>
      <c r="F3485">
        <v>0</v>
      </c>
    </row>
    <row r="3486" spans="1:6" x14ac:dyDescent="0.15">
      <c r="A3486" t="s">
        <v>210</v>
      </c>
      <c r="B3486" s="226">
        <v>42366.301288784722</v>
      </c>
      <c r="C3486" t="s">
        <v>2758</v>
      </c>
      <c r="D3486" t="s">
        <v>13</v>
      </c>
      <c r="E3486">
        <v>140</v>
      </c>
      <c r="F3486">
        <v>0</v>
      </c>
    </row>
    <row r="3487" spans="1:6" x14ac:dyDescent="0.15">
      <c r="A3487" t="s">
        <v>210</v>
      </c>
      <c r="B3487" s="226">
        <v>42366.310279386576</v>
      </c>
      <c r="C3487" t="s">
        <v>1593</v>
      </c>
      <c r="D3487" t="s">
        <v>13</v>
      </c>
      <c r="E3487">
        <v>40</v>
      </c>
      <c r="F3487">
        <v>0</v>
      </c>
    </row>
    <row r="3488" spans="1:6" x14ac:dyDescent="0.15">
      <c r="A3488" t="s">
        <v>210</v>
      </c>
      <c r="B3488" s="226">
        <v>42366.312507789349</v>
      </c>
      <c r="C3488" t="s">
        <v>14</v>
      </c>
      <c r="D3488" t="s">
        <v>13</v>
      </c>
      <c r="E3488">
        <v>100</v>
      </c>
      <c r="F3488">
        <v>3.5</v>
      </c>
    </row>
    <row r="3489" spans="1:6" x14ac:dyDescent="0.15">
      <c r="A3489" t="s">
        <v>210</v>
      </c>
      <c r="B3489" s="226">
        <v>42366.31338388889</v>
      </c>
      <c r="C3489" t="s">
        <v>2759</v>
      </c>
      <c r="D3489" t="s">
        <v>13</v>
      </c>
      <c r="E3489">
        <v>100</v>
      </c>
      <c r="F3489">
        <v>0</v>
      </c>
    </row>
    <row r="3490" spans="1:6" x14ac:dyDescent="0.15">
      <c r="A3490" t="s">
        <v>210</v>
      </c>
      <c r="B3490" s="226">
        <v>42366.315227766201</v>
      </c>
      <c r="C3490" t="s">
        <v>2760</v>
      </c>
      <c r="D3490" t="s">
        <v>13</v>
      </c>
      <c r="E3490">
        <v>140</v>
      </c>
      <c r="F3490">
        <v>0</v>
      </c>
    </row>
    <row r="3491" spans="1:6" x14ac:dyDescent="0.15">
      <c r="A3491" t="s">
        <v>210</v>
      </c>
      <c r="B3491" s="226">
        <v>42366.317181712962</v>
      </c>
      <c r="C3491" t="s">
        <v>2761</v>
      </c>
      <c r="D3491" t="s">
        <v>13</v>
      </c>
      <c r="E3491">
        <v>40</v>
      </c>
      <c r="F3491">
        <v>0</v>
      </c>
    </row>
    <row r="3492" spans="1:6" x14ac:dyDescent="0.15">
      <c r="A3492" t="s">
        <v>210</v>
      </c>
      <c r="B3492" s="226">
        <v>42366.324646261572</v>
      </c>
      <c r="C3492" t="s">
        <v>2762</v>
      </c>
      <c r="D3492" t="s">
        <v>13</v>
      </c>
      <c r="E3492">
        <v>100</v>
      </c>
      <c r="F3492">
        <v>0</v>
      </c>
    </row>
    <row r="3493" spans="1:6" x14ac:dyDescent="0.15">
      <c r="A3493" t="s">
        <v>210</v>
      </c>
      <c r="B3493" s="226">
        <v>42366.376466550922</v>
      </c>
      <c r="C3493" t="s">
        <v>2763</v>
      </c>
      <c r="D3493" t="s">
        <v>13</v>
      </c>
      <c r="E3493">
        <v>100</v>
      </c>
      <c r="F3493">
        <v>0</v>
      </c>
    </row>
    <row r="3494" spans="1:6" x14ac:dyDescent="0.15">
      <c r="A3494" t="s">
        <v>210</v>
      </c>
      <c r="B3494" s="226">
        <v>42366.378975856482</v>
      </c>
      <c r="C3494" t="s">
        <v>2764</v>
      </c>
      <c r="D3494" t="s">
        <v>13</v>
      </c>
      <c r="E3494">
        <v>20</v>
      </c>
      <c r="F3494">
        <v>0</v>
      </c>
    </row>
    <row r="3495" spans="1:6" x14ac:dyDescent="0.15">
      <c r="A3495" t="s">
        <v>210</v>
      </c>
      <c r="B3495" s="226">
        <v>42366.452945115743</v>
      </c>
      <c r="C3495" t="s">
        <v>14</v>
      </c>
      <c r="D3495" t="s">
        <v>13</v>
      </c>
      <c r="E3495">
        <v>40</v>
      </c>
      <c r="F3495">
        <v>3.5</v>
      </c>
    </row>
    <row r="3496" spans="1:6" x14ac:dyDescent="0.15">
      <c r="A3496" t="s">
        <v>210</v>
      </c>
      <c r="B3496" s="226">
        <v>42366.494218564818</v>
      </c>
      <c r="C3496" t="s">
        <v>2765</v>
      </c>
      <c r="D3496" t="s">
        <v>13</v>
      </c>
      <c r="E3496">
        <v>20</v>
      </c>
      <c r="F3496">
        <v>0</v>
      </c>
    </row>
    <row r="3497" spans="1:6" x14ac:dyDescent="0.15">
      <c r="A3497" t="s">
        <v>210</v>
      </c>
      <c r="B3497" s="226">
        <v>42366.500709675929</v>
      </c>
      <c r="C3497" t="s">
        <v>2766</v>
      </c>
      <c r="D3497" t="s">
        <v>13</v>
      </c>
      <c r="E3497">
        <v>40</v>
      </c>
      <c r="F3497">
        <v>0</v>
      </c>
    </row>
    <row r="3498" spans="1:6" x14ac:dyDescent="0.15">
      <c r="A3498" t="s">
        <v>210</v>
      </c>
      <c r="B3498" s="226">
        <v>42366.523004097224</v>
      </c>
      <c r="C3498" t="s">
        <v>2767</v>
      </c>
      <c r="D3498" t="s">
        <v>13</v>
      </c>
      <c r="E3498">
        <v>100</v>
      </c>
      <c r="F3498">
        <v>0</v>
      </c>
    </row>
    <row r="3499" spans="1:6" x14ac:dyDescent="0.15">
      <c r="A3499" t="s">
        <v>210</v>
      </c>
      <c r="B3499" s="226">
        <v>42366.531192627313</v>
      </c>
      <c r="C3499" t="s">
        <v>2768</v>
      </c>
      <c r="D3499" t="s">
        <v>13</v>
      </c>
      <c r="E3499">
        <v>20</v>
      </c>
      <c r="F3499">
        <v>0</v>
      </c>
    </row>
    <row r="3500" spans="1:6" x14ac:dyDescent="0.15">
      <c r="A3500" t="s">
        <v>210</v>
      </c>
      <c r="B3500" s="226">
        <v>42366.566264907407</v>
      </c>
      <c r="C3500" t="s">
        <v>2769</v>
      </c>
      <c r="D3500" t="s">
        <v>13</v>
      </c>
      <c r="E3500">
        <v>200</v>
      </c>
      <c r="F3500">
        <v>0</v>
      </c>
    </row>
    <row r="3501" spans="1:6" x14ac:dyDescent="0.15">
      <c r="A3501" t="s">
        <v>210</v>
      </c>
      <c r="B3501" s="226">
        <v>42366.590468078706</v>
      </c>
      <c r="C3501" t="s">
        <v>14</v>
      </c>
      <c r="D3501" t="s">
        <v>13</v>
      </c>
      <c r="E3501">
        <v>200</v>
      </c>
      <c r="F3501">
        <v>3.5</v>
      </c>
    </row>
    <row r="3502" spans="1:6" x14ac:dyDescent="0.15">
      <c r="A3502" t="s">
        <v>210</v>
      </c>
      <c r="B3502" s="226">
        <v>42366.641784513886</v>
      </c>
      <c r="C3502" t="s">
        <v>2770</v>
      </c>
      <c r="D3502" t="s">
        <v>13</v>
      </c>
      <c r="E3502">
        <v>100</v>
      </c>
      <c r="F3502">
        <v>0</v>
      </c>
    </row>
    <row r="3503" spans="1:6" x14ac:dyDescent="0.15">
      <c r="A3503" t="s">
        <v>210</v>
      </c>
      <c r="B3503" s="226">
        <v>42366.642889085648</v>
      </c>
      <c r="C3503" t="s">
        <v>2771</v>
      </c>
      <c r="D3503" t="s">
        <v>13</v>
      </c>
      <c r="E3503">
        <v>100</v>
      </c>
      <c r="F3503">
        <v>0</v>
      </c>
    </row>
    <row r="3504" spans="1:6" x14ac:dyDescent="0.15">
      <c r="A3504" t="s">
        <v>210</v>
      </c>
      <c r="B3504" s="226">
        <v>42366.710511412035</v>
      </c>
      <c r="C3504" t="s">
        <v>2772</v>
      </c>
      <c r="D3504" t="s">
        <v>13</v>
      </c>
      <c r="E3504">
        <v>100</v>
      </c>
      <c r="F3504">
        <v>0</v>
      </c>
    </row>
    <row r="3505" spans="1:6" x14ac:dyDescent="0.15">
      <c r="A3505" t="s">
        <v>210</v>
      </c>
      <c r="B3505" s="226">
        <v>42366.717933587963</v>
      </c>
      <c r="C3505" t="s">
        <v>553</v>
      </c>
      <c r="D3505" t="s">
        <v>13</v>
      </c>
      <c r="E3505">
        <v>80</v>
      </c>
      <c r="F3505">
        <v>0</v>
      </c>
    </row>
    <row r="3506" spans="1:6" x14ac:dyDescent="0.15">
      <c r="A3506" t="s">
        <v>210</v>
      </c>
      <c r="B3506" s="226">
        <v>42366.728936435182</v>
      </c>
      <c r="C3506" t="s">
        <v>2773</v>
      </c>
      <c r="D3506" t="s">
        <v>13</v>
      </c>
      <c r="E3506">
        <v>80</v>
      </c>
      <c r="F3506">
        <v>0</v>
      </c>
    </row>
    <row r="3507" spans="1:6" x14ac:dyDescent="0.15">
      <c r="A3507" t="s">
        <v>210</v>
      </c>
      <c r="B3507" s="226">
        <v>42366.786361724538</v>
      </c>
      <c r="C3507" t="s">
        <v>2774</v>
      </c>
      <c r="D3507" t="s">
        <v>13</v>
      </c>
      <c r="E3507">
        <v>60</v>
      </c>
      <c r="F3507">
        <v>0</v>
      </c>
    </row>
    <row r="3508" spans="1:6" x14ac:dyDescent="0.15">
      <c r="A3508" t="s">
        <v>210</v>
      </c>
      <c r="B3508" s="226">
        <v>42366.880943368058</v>
      </c>
      <c r="C3508" t="s">
        <v>2775</v>
      </c>
      <c r="D3508" t="s">
        <v>15</v>
      </c>
      <c r="E3508">
        <v>140</v>
      </c>
      <c r="F3508">
        <v>4.2</v>
      </c>
    </row>
    <row r="3509" spans="1:6" x14ac:dyDescent="0.15">
      <c r="A3509" t="s">
        <v>210</v>
      </c>
      <c r="B3509" s="226">
        <v>42367.253553587965</v>
      </c>
      <c r="C3509" t="s">
        <v>317</v>
      </c>
      <c r="D3509" t="s">
        <v>13</v>
      </c>
      <c r="E3509">
        <v>60</v>
      </c>
      <c r="F3509">
        <v>0</v>
      </c>
    </row>
    <row r="3510" spans="1:6" x14ac:dyDescent="0.15">
      <c r="A3510" t="s">
        <v>210</v>
      </c>
      <c r="B3510" s="226">
        <v>42367.296406562498</v>
      </c>
      <c r="C3510" t="s">
        <v>2776</v>
      </c>
      <c r="D3510" t="s">
        <v>13</v>
      </c>
      <c r="E3510">
        <v>80</v>
      </c>
      <c r="F3510">
        <v>0</v>
      </c>
    </row>
    <row r="3511" spans="1:6" x14ac:dyDescent="0.15">
      <c r="A3511" t="s">
        <v>210</v>
      </c>
      <c r="B3511" s="226">
        <v>42367.328662037035</v>
      </c>
      <c r="C3511" t="s">
        <v>1065</v>
      </c>
      <c r="D3511" t="s">
        <v>13</v>
      </c>
      <c r="E3511">
        <v>40</v>
      </c>
      <c r="F3511">
        <v>0</v>
      </c>
    </row>
    <row r="3512" spans="1:6" x14ac:dyDescent="0.15">
      <c r="A3512" t="s">
        <v>210</v>
      </c>
      <c r="B3512" s="226">
        <v>42367.334059143519</v>
      </c>
      <c r="C3512" t="s">
        <v>1585</v>
      </c>
      <c r="D3512" t="s">
        <v>13</v>
      </c>
      <c r="E3512">
        <v>40</v>
      </c>
      <c r="F3512">
        <v>0</v>
      </c>
    </row>
    <row r="3513" spans="1:6" x14ac:dyDescent="0.15">
      <c r="A3513" t="s">
        <v>210</v>
      </c>
      <c r="B3513" s="226">
        <v>42367.33961959491</v>
      </c>
      <c r="C3513" t="s">
        <v>2777</v>
      </c>
      <c r="D3513" t="s">
        <v>13</v>
      </c>
      <c r="E3513">
        <v>400</v>
      </c>
      <c r="F3513">
        <v>0</v>
      </c>
    </row>
    <row r="3514" spans="1:6" x14ac:dyDescent="0.15">
      <c r="A3514" t="s">
        <v>210</v>
      </c>
      <c r="B3514" s="226">
        <v>42367.423689432871</v>
      </c>
      <c r="C3514" t="s">
        <v>2778</v>
      </c>
      <c r="D3514" t="s">
        <v>13</v>
      </c>
      <c r="E3514">
        <v>100</v>
      </c>
      <c r="F3514">
        <v>0</v>
      </c>
    </row>
    <row r="3515" spans="1:6" x14ac:dyDescent="0.15">
      <c r="A3515" t="s">
        <v>210</v>
      </c>
      <c r="B3515" s="226">
        <v>42367.451858449072</v>
      </c>
      <c r="C3515" t="s">
        <v>2779</v>
      </c>
      <c r="D3515" t="s">
        <v>13</v>
      </c>
      <c r="E3515">
        <v>40</v>
      </c>
      <c r="F3515">
        <v>0</v>
      </c>
    </row>
    <row r="3516" spans="1:6" x14ac:dyDescent="0.15">
      <c r="A3516" t="s">
        <v>210</v>
      </c>
      <c r="B3516" s="226">
        <v>42367.48009488426</v>
      </c>
      <c r="C3516" t="s">
        <v>2780</v>
      </c>
      <c r="D3516" t="s">
        <v>13</v>
      </c>
      <c r="E3516">
        <v>300</v>
      </c>
      <c r="F3516">
        <v>0</v>
      </c>
    </row>
    <row r="3517" spans="1:6" x14ac:dyDescent="0.15">
      <c r="A3517" t="s">
        <v>210</v>
      </c>
      <c r="B3517" s="226">
        <v>42367.49383832176</v>
      </c>
      <c r="C3517" t="s">
        <v>2781</v>
      </c>
      <c r="D3517" t="s">
        <v>13</v>
      </c>
      <c r="E3517">
        <v>180</v>
      </c>
      <c r="F3517">
        <v>0</v>
      </c>
    </row>
    <row r="3518" spans="1:6" x14ac:dyDescent="0.15">
      <c r="A3518" t="s">
        <v>210</v>
      </c>
      <c r="B3518" s="226">
        <v>42367.504297858795</v>
      </c>
      <c r="C3518" t="s">
        <v>1141</v>
      </c>
      <c r="D3518" t="s">
        <v>13</v>
      </c>
      <c r="E3518">
        <v>100</v>
      </c>
      <c r="F3518">
        <v>0</v>
      </c>
    </row>
    <row r="3519" spans="1:6" x14ac:dyDescent="0.15">
      <c r="A3519" t="s">
        <v>210</v>
      </c>
      <c r="B3519" s="226">
        <v>42367.522003599537</v>
      </c>
      <c r="C3519" t="s">
        <v>14</v>
      </c>
      <c r="D3519" t="s">
        <v>13</v>
      </c>
      <c r="E3519">
        <v>100</v>
      </c>
      <c r="F3519">
        <v>3.5</v>
      </c>
    </row>
    <row r="3520" spans="1:6" x14ac:dyDescent="0.15">
      <c r="A3520" t="s">
        <v>210</v>
      </c>
      <c r="B3520" s="226">
        <v>42367.530875520832</v>
      </c>
      <c r="C3520" t="s">
        <v>2782</v>
      </c>
      <c r="D3520" t="s">
        <v>13</v>
      </c>
      <c r="E3520">
        <v>80</v>
      </c>
      <c r="F3520">
        <v>0</v>
      </c>
    </row>
    <row r="3521" spans="1:6" x14ac:dyDescent="0.15">
      <c r="A3521" t="s">
        <v>210</v>
      </c>
      <c r="B3521" s="226">
        <v>42367.53570270833</v>
      </c>
      <c r="C3521" t="s">
        <v>2783</v>
      </c>
      <c r="D3521" t="s">
        <v>13</v>
      </c>
      <c r="E3521">
        <v>500</v>
      </c>
      <c r="F3521">
        <v>0</v>
      </c>
    </row>
    <row r="3522" spans="1:6" x14ac:dyDescent="0.15">
      <c r="A3522" t="s">
        <v>210</v>
      </c>
      <c r="B3522" s="226">
        <v>42367.542133495372</v>
      </c>
      <c r="C3522" t="s">
        <v>2784</v>
      </c>
      <c r="D3522" t="s">
        <v>13</v>
      </c>
      <c r="E3522">
        <v>40</v>
      </c>
      <c r="F3522">
        <v>0</v>
      </c>
    </row>
    <row r="3523" spans="1:6" x14ac:dyDescent="0.15">
      <c r="A3523" t="s">
        <v>210</v>
      </c>
      <c r="B3523" s="226">
        <v>42367.580141724538</v>
      </c>
      <c r="C3523" t="s">
        <v>2785</v>
      </c>
      <c r="D3523" t="s">
        <v>13</v>
      </c>
      <c r="E3523">
        <v>80</v>
      </c>
      <c r="F3523">
        <v>0</v>
      </c>
    </row>
    <row r="3524" spans="1:6" x14ac:dyDescent="0.15">
      <c r="A3524" t="s">
        <v>210</v>
      </c>
      <c r="B3524" s="226">
        <v>42367.58453359954</v>
      </c>
      <c r="C3524" t="s">
        <v>2363</v>
      </c>
      <c r="D3524" t="s">
        <v>13</v>
      </c>
      <c r="E3524">
        <v>140</v>
      </c>
      <c r="F3524">
        <v>0</v>
      </c>
    </row>
    <row r="3525" spans="1:6" x14ac:dyDescent="0.15">
      <c r="A3525" t="s">
        <v>210</v>
      </c>
      <c r="B3525" s="226">
        <v>42367.587672928239</v>
      </c>
      <c r="C3525" t="s">
        <v>2786</v>
      </c>
      <c r="D3525" t="s">
        <v>13</v>
      </c>
      <c r="E3525">
        <v>60</v>
      </c>
      <c r="F3525">
        <v>0</v>
      </c>
    </row>
    <row r="3526" spans="1:6" x14ac:dyDescent="0.15">
      <c r="A3526" t="s">
        <v>210</v>
      </c>
      <c r="B3526" s="226">
        <v>42367.588862511577</v>
      </c>
      <c r="C3526" t="s">
        <v>2787</v>
      </c>
      <c r="D3526" t="s">
        <v>13</v>
      </c>
      <c r="E3526">
        <v>60</v>
      </c>
      <c r="F3526">
        <v>0</v>
      </c>
    </row>
    <row r="3527" spans="1:6" x14ac:dyDescent="0.15">
      <c r="A3527" t="s">
        <v>210</v>
      </c>
      <c r="B3527" s="226">
        <v>42367.589522372684</v>
      </c>
      <c r="C3527" t="s">
        <v>524</v>
      </c>
      <c r="D3527" t="s">
        <v>13</v>
      </c>
      <c r="E3527">
        <v>500</v>
      </c>
      <c r="F3527">
        <v>0</v>
      </c>
    </row>
    <row r="3528" spans="1:6" x14ac:dyDescent="0.15">
      <c r="A3528" t="s">
        <v>210</v>
      </c>
      <c r="B3528" s="226">
        <v>42367.618944467591</v>
      </c>
      <c r="C3528" t="s">
        <v>2788</v>
      </c>
      <c r="D3528" t="s">
        <v>13</v>
      </c>
      <c r="E3528">
        <v>120</v>
      </c>
      <c r="F3528">
        <v>0</v>
      </c>
    </row>
    <row r="3529" spans="1:6" x14ac:dyDescent="0.15">
      <c r="A3529" t="s">
        <v>210</v>
      </c>
      <c r="B3529" s="226">
        <v>42367.619832662036</v>
      </c>
      <c r="C3529" t="s">
        <v>2789</v>
      </c>
      <c r="D3529" t="s">
        <v>13</v>
      </c>
      <c r="E3529">
        <v>400</v>
      </c>
      <c r="F3529">
        <v>0</v>
      </c>
    </row>
    <row r="3530" spans="1:6" x14ac:dyDescent="0.15">
      <c r="A3530" t="s">
        <v>210</v>
      </c>
      <c r="B3530" s="226">
        <v>42367.656215069444</v>
      </c>
      <c r="C3530" t="s">
        <v>2710</v>
      </c>
      <c r="D3530" t="s">
        <v>13</v>
      </c>
      <c r="E3530">
        <v>120</v>
      </c>
      <c r="F3530">
        <v>0</v>
      </c>
    </row>
    <row r="3531" spans="1:6" x14ac:dyDescent="0.15">
      <c r="A3531" t="s">
        <v>210</v>
      </c>
      <c r="B3531" s="226">
        <v>42367.656808819447</v>
      </c>
      <c r="C3531" t="s">
        <v>2790</v>
      </c>
      <c r="D3531" t="s">
        <v>13</v>
      </c>
      <c r="E3531">
        <v>100</v>
      </c>
      <c r="F3531">
        <v>0</v>
      </c>
    </row>
    <row r="3532" spans="1:6" x14ac:dyDescent="0.15">
      <c r="A3532" t="s">
        <v>210</v>
      </c>
      <c r="B3532" s="226">
        <v>42367.682453275462</v>
      </c>
      <c r="C3532" t="s">
        <v>2791</v>
      </c>
      <c r="D3532" t="s">
        <v>13</v>
      </c>
      <c r="E3532">
        <v>80</v>
      </c>
      <c r="F3532">
        <v>0</v>
      </c>
    </row>
    <row r="3533" spans="1:6" x14ac:dyDescent="0.15">
      <c r="A3533" t="s">
        <v>210</v>
      </c>
      <c r="B3533" s="226">
        <v>42367.699239814814</v>
      </c>
      <c r="C3533" t="s">
        <v>2792</v>
      </c>
      <c r="D3533" t="s">
        <v>13</v>
      </c>
      <c r="E3533">
        <v>100</v>
      </c>
      <c r="F3533">
        <v>0</v>
      </c>
    </row>
    <row r="3534" spans="1:6" x14ac:dyDescent="0.15">
      <c r="A3534" t="s">
        <v>210</v>
      </c>
      <c r="B3534" s="226">
        <v>42367.70600085648</v>
      </c>
      <c r="C3534" t="s">
        <v>14</v>
      </c>
      <c r="D3534" t="s">
        <v>15</v>
      </c>
      <c r="E3534">
        <v>40</v>
      </c>
      <c r="F3534">
        <v>3.7</v>
      </c>
    </row>
    <row r="3535" spans="1:6" x14ac:dyDescent="0.15">
      <c r="A3535" t="s">
        <v>210</v>
      </c>
      <c r="B3535" s="226">
        <v>42367.711550173612</v>
      </c>
      <c r="C3535" t="s">
        <v>2793</v>
      </c>
      <c r="D3535" t="s">
        <v>13</v>
      </c>
      <c r="E3535">
        <v>20</v>
      </c>
      <c r="F3535">
        <v>0</v>
      </c>
    </row>
    <row r="3536" spans="1:6" x14ac:dyDescent="0.15">
      <c r="A3536" t="s">
        <v>210</v>
      </c>
      <c r="B3536" s="226">
        <v>42367.715142025459</v>
      </c>
      <c r="C3536" t="s">
        <v>2794</v>
      </c>
      <c r="D3536" t="s">
        <v>13</v>
      </c>
      <c r="E3536">
        <v>200</v>
      </c>
      <c r="F3536">
        <v>0</v>
      </c>
    </row>
    <row r="3537" spans="1:6" x14ac:dyDescent="0.15">
      <c r="A3537" t="s">
        <v>210</v>
      </c>
      <c r="B3537" s="226">
        <v>42367.717095740743</v>
      </c>
      <c r="C3537" t="s">
        <v>554</v>
      </c>
      <c r="D3537" t="s">
        <v>13</v>
      </c>
      <c r="E3537">
        <v>100</v>
      </c>
      <c r="F3537">
        <v>0</v>
      </c>
    </row>
    <row r="3538" spans="1:6" x14ac:dyDescent="0.15">
      <c r="A3538" t="s">
        <v>210</v>
      </c>
      <c r="B3538" s="226">
        <v>42367.771979837962</v>
      </c>
      <c r="C3538" t="s">
        <v>2795</v>
      </c>
      <c r="D3538" t="s">
        <v>15</v>
      </c>
      <c r="E3538">
        <v>100</v>
      </c>
      <c r="F3538">
        <v>3</v>
      </c>
    </row>
    <row r="3539" spans="1:6" x14ac:dyDescent="0.15">
      <c r="A3539" t="s">
        <v>210</v>
      </c>
      <c r="B3539" s="226">
        <v>42367.77636217593</v>
      </c>
      <c r="C3539" t="s">
        <v>14</v>
      </c>
      <c r="D3539" t="s">
        <v>13</v>
      </c>
      <c r="E3539">
        <v>100</v>
      </c>
      <c r="F3539">
        <v>3.5</v>
      </c>
    </row>
    <row r="3540" spans="1:6" x14ac:dyDescent="0.15">
      <c r="A3540" t="s">
        <v>210</v>
      </c>
      <c r="B3540" s="226">
        <v>42367.810361122683</v>
      </c>
      <c r="C3540" t="s">
        <v>2796</v>
      </c>
      <c r="D3540" t="s">
        <v>13</v>
      </c>
      <c r="E3540">
        <v>80</v>
      </c>
      <c r="F3540">
        <v>0</v>
      </c>
    </row>
    <row r="3541" spans="1:6" x14ac:dyDescent="0.15">
      <c r="A3541" t="s">
        <v>210</v>
      </c>
      <c r="B3541" s="226">
        <v>42367.910133865742</v>
      </c>
      <c r="C3541" t="s">
        <v>555</v>
      </c>
      <c r="D3541" t="s">
        <v>13</v>
      </c>
      <c r="E3541">
        <v>40</v>
      </c>
      <c r="F3541">
        <v>0</v>
      </c>
    </row>
    <row r="3542" spans="1:6" x14ac:dyDescent="0.15">
      <c r="A3542" t="s">
        <v>210</v>
      </c>
      <c r="B3542" s="226">
        <v>42368.237297025466</v>
      </c>
      <c r="C3542" t="s">
        <v>2797</v>
      </c>
      <c r="D3542" t="s">
        <v>13</v>
      </c>
      <c r="E3542">
        <v>100</v>
      </c>
      <c r="F3542">
        <v>0</v>
      </c>
    </row>
    <row r="3543" spans="1:6" x14ac:dyDescent="0.15">
      <c r="A3543" t="s">
        <v>210</v>
      </c>
      <c r="B3543" s="226">
        <v>42368.293664849538</v>
      </c>
      <c r="C3543" t="s">
        <v>2200</v>
      </c>
      <c r="D3543" t="s">
        <v>13</v>
      </c>
      <c r="E3543">
        <v>80</v>
      </c>
      <c r="F3543">
        <v>0</v>
      </c>
    </row>
    <row r="3544" spans="1:6" x14ac:dyDescent="0.15">
      <c r="A3544" t="s">
        <v>210</v>
      </c>
      <c r="B3544" s="226">
        <v>42368.305176076392</v>
      </c>
      <c r="C3544" t="s">
        <v>457</v>
      </c>
      <c r="D3544" t="s">
        <v>13</v>
      </c>
      <c r="E3544">
        <v>20</v>
      </c>
      <c r="F3544">
        <v>0</v>
      </c>
    </row>
    <row r="3545" spans="1:6" x14ac:dyDescent="0.15">
      <c r="A3545" t="s">
        <v>210</v>
      </c>
      <c r="B3545" s="226">
        <v>42368.308538877318</v>
      </c>
      <c r="C3545" t="s">
        <v>14</v>
      </c>
      <c r="D3545" t="s">
        <v>15</v>
      </c>
      <c r="E3545">
        <v>100</v>
      </c>
      <c r="F3545">
        <v>5.5</v>
      </c>
    </row>
    <row r="3546" spans="1:6" x14ac:dyDescent="0.15">
      <c r="A3546" t="s">
        <v>210</v>
      </c>
      <c r="B3546" s="226">
        <v>42368.315440555554</v>
      </c>
      <c r="C3546" t="s">
        <v>2798</v>
      </c>
      <c r="D3546" t="s">
        <v>13</v>
      </c>
      <c r="E3546">
        <v>40</v>
      </c>
      <c r="F3546">
        <v>0</v>
      </c>
    </row>
    <row r="3547" spans="1:6" x14ac:dyDescent="0.15">
      <c r="A3547" t="s">
        <v>210</v>
      </c>
      <c r="B3547" s="226">
        <v>42368.335603217594</v>
      </c>
      <c r="C3547" t="s">
        <v>1740</v>
      </c>
      <c r="D3547" t="s">
        <v>13</v>
      </c>
      <c r="E3547">
        <v>100</v>
      </c>
      <c r="F3547">
        <v>0</v>
      </c>
    </row>
    <row r="3548" spans="1:6" x14ac:dyDescent="0.15">
      <c r="A3548" t="s">
        <v>210</v>
      </c>
      <c r="B3548" s="226">
        <v>42368.345634548612</v>
      </c>
      <c r="C3548" t="s">
        <v>2799</v>
      </c>
      <c r="D3548" t="s">
        <v>13</v>
      </c>
      <c r="E3548">
        <v>100</v>
      </c>
      <c r="F3548">
        <v>0</v>
      </c>
    </row>
    <row r="3549" spans="1:6" x14ac:dyDescent="0.15">
      <c r="A3549" t="s">
        <v>210</v>
      </c>
      <c r="B3549" s="226">
        <v>42368.376837905096</v>
      </c>
      <c r="C3549" t="s">
        <v>1786</v>
      </c>
      <c r="D3549" t="s">
        <v>13</v>
      </c>
      <c r="E3549">
        <v>100</v>
      </c>
      <c r="F3549">
        <v>0</v>
      </c>
    </row>
    <row r="3550" spans="1:6" x14ac:dyDescent="0.15">
      <c r="A3550" t="s">
        <v>210</v>
      </c>
      <c r="B3550" s="226">
        <v>42368.377773506945</v>
      </c>
      <c r="C3550" t="s">
        <v>901</v>
      </c>
      <c r="D3550" t="s">
        <v>13</v>
      </c>
      <c r="E3550">
        <v>60</v>
      </c>
      <c r="F3550">
        <v>0</v>
      </c>
    </row>
    <row r="3551" spans="1:6" x14ac:dyDescent="0.15">
      <c r="A3551" t="s">
        <v>210</v>
      </c>
      <c r="B3551" s="226">
        <v>42368.3882930787</v>
      </c>
      <c r="C3551" t="s">
        <v>1775</v>
      </c>
      <c r="D3551" t="s">
        <v>13</v>
      </c>
      <c r="E3551">
        <v>100</v>
      </c>
      <c r="F3551">
        <v>0</v>
      </c>
    </row>
    <row r="3552" spans="1:6" x14ac:dyDescent="0.15">
      <c r="A3552" t="s">
        <v>210</v>
      </c>
      <c r="B3552" s="226">
        <v>42368.396493136577</v>
      </c>
      <c r="C3552" t="s">
        <v>2800</v>
      </c>
      <c r="D3552" t="s">
        <v>13</v>
      </c>
      <c r="E3552">
        <v>100</v>
      </c>
      <c r="F3552">
        <v>0</v>
      </c>
    </row>
    <row r="3553" spans="1:6" x14ac:dyDescent="0.15">
      <c r="A3553" t="s">
        <v>210</v>
      </c>
      <c r="B3553" s="226">
        <v>42368.44195615741</v>
      </c>
      <c r="C3553" t="s">
        <v>197</v>
      </c>
      <c r="D3553" t="s">
        <v>13</v>
      </c>
      <c r="E3553">
        <v>40</v>
      </c>
      <c r="F3553">
        <v>0</v>
      </c>
    </row>
    <row r="3554" spans="1:6" x14ac:dyDescent="0.15">
      <c r="A3554" t="s">
        <v>210</v>
      </c>
      <c r="B3554" s="226">
        <v>42368.445278645835</v>
      </c>
      <c r="C3554" t="s">
        <v>2801</v>
      </c>
      <c r="D3554" t="s">
        <v>13</v>
      </c>
      <c r="E3554">
        <v>40</v>
      </c>
      <c r="F3554">
        <v>0</v>
      </c>
    </row>
    <row r="3555" spans="1:6" x14ac:dyDescent="0.15">
      <c r="A3555" t="s">
        <v>210</v>
      </c>
      <c r="B3555" s="226">
        <v>42368.44596921296</v>
      </c>
      <c r="C3555" t="s">
        <v>2802</v>
      </c>
      <c r="D3555" t="s">
        <v>13</v>
      </c>
      <c r="E3555">
        <v>100</v>
      </c>
      <c r="F3555">
        <v>0</v>
      </c>
    </row>
    <row r="3556" spans="1:6" x14ac:dyDescent="0.15">
      <c r="A3556" t="s">
        <v>210</v>
      </c>
      <c r="B3556" s="226">
        <v>42368.464550474535</v>
      </c>
      <c r="C3556" t="s">
        <v>1505</v>
      </c>
      <c r="D3556" t="s">
        <v>13</v>
      </c>
      <c r="E3556">
        <v>100</v>
      </c>
      <c r="F3556">
        <v>0</v>
      </c>
    </row>
    <row r="3557" spans="1:6" x14ac:dyDescent="0.15">
      <c r="A3557" t="s">
        <v>210</v>
      </c>
      <c r="B3557" s="226">
        <v>42368.473966817131</v>
      </c>
      <c r="C3557" t="s">
        <v>1954</v>
      </c>
      <c r="D3557" t="s">
        <v>13</v>
      </c>
      <c r="E3557">
        <v>100</v>
      </c>
      <c r="F3557">
        <v>0</v>
      </c>
    </row>
    <row r="3558" spans="1:6" x14ac:dyDescent="0.15">
      <c r="A3558" t="s">
        <v>210</v>
      </c>
      <c r="B3558" s="226">
        <v>42368.478839861113</v>
      </c>
      <c r="C3558" t="s">
        <v>2803</v>
      </c>
      <c r="D3558" t="s">
        <v>13</v>
      </c>
      <c r="E3558">
        <v>100</v>
      </c>
      <c r="F3558">
        <v>0</v>
      </c>
    </row>
    <row r="3559" spans="1:6" x14ac:dyDescent="0.15">
      <c r="A3559" t="s">
        <v>210</v>
      </c>
      <c r="B3559" s="226">
        <v>42368.480854201393</v>
      </c>
      <c r="C3559" t="s">
        <v>89</v>
      </c>
      <c r="D3559" t="s">
        <v>13</v>
      </c>
      <c r="E3559">
        <v>40</v>
      </c>
      <c r="F3559">
        <v>0</v>
      </c>
    </row>
    <row r="3560" spans="1:6" x14ac:dyDescent="0.15">
      <c r="A3560" t="s">
        <v>210</v>
      </c>
      <c r="B3560" s="226">
        <v>42368.496498854169</v>
      </c>
      <c r="C3560" t="s">
        <v>1646</v>
      </c>
      <c r="D3560" t="s">
        <v>13</v>
      </c>
      <c r="E3560">
        <v>40</v>
      </c>
      <c r="F3560">
        <v>0</v>
      </c>
    </row>
    <row r="3561" spans="1:6" x14ac:dyDescent="0.15">
      <c r="A3561" t="s">
        <v>210</v>
      </c>
      <c r="B3561" s="226">
        <v>42368.52347028935</v>
      </c>
      <c r="C3561" t="s">
        <v>116</v>
      </c>
      <c r="D3561" t="s">
        <v>13</v>
      </c>
      <c r="E3561">
        <v>100</v>
      </c>
      <c r="F3561">
        <v>0</v>
      </c>
    </row>
    <row r="3562" spans="1:6" x14ac:dyDescent="0.15">
      <c r="A3562" t="s">
        <v>210</v>
      </c>
      <c r="B3562" s="226">
        <v>42368.5344103588</v>
      </c>
      <c r="C3562" t="s">
        <v>2804</v>
      </c>
      <c r="D3562" t="s">
        <v>13</v>
      </c>
      <c r="E3562">
        <v>100</v>
      </c>
      <c r="F3562">
        <v>0</v>
      </c>
    </row>
    <row r="3563" spans="1:6" x14ac:dyDescent="0.15">
      <c r="A3563" t="s">
        <v>210</v>
      </c>
      <c r="B3563" s="226">
        <v>42368.541054467591</v>
      </c>
      <c r="C3563" t="s">
        <v>2175</v>
      </c>
      <c r="D3563" t="s">
        <v>13</v>
      </c>
      <c r="E3563">
        <v>100</v>
      </c>
      <c r="F3563">
        <v>0</v>
      </c>
    </row>
    <row r="3564" spans="1:6" x14ac:dyDescent="0.15">
      <c r="A3564" t="s">
        <v>210</v>
      </c>
      <c r="B3564" s="226">
        <v>42368.555275648148</v>
      </c>
      <c r="C3564" t="s">
        <v>2805</v>
      </c>
      <c r="D3564" t="s">
        <v>13</v>
      </c>
      <c r="E3564">
        <v>40</v>
      </c>
      <c r="F3564">
        <v>0</v>
      </c>
    </row>
    <row r="3565" spans="1:6" x14ac:dyDescent="0.15">
      <c r="A3565" t="s">
        <v>210</v>
      </c>
      <c r="B3565" s="226">
        <v>42368.565259178242</v>
      </c>
      <c r="C3565" t="s">
        <v>2806</v>
      </c>
      <c r="D3565" t="s">
        <v>13</v>
      </c>
      <c r="E3565">
        <v>60</v>
      </c>
      <c r="F3565">
        <v>0</v>
      </c>
    </row>
    <row r="3566" spans="1:6" x14ac:dyDescent="0.15">
      <c r="A3566" t="s">
        <v>210</v>
      </c>
      <c r="B3566" s="226">
        <v>42368.584418043982</v>
      </c>
      <c r="C3566" t="s">
        <v>1930</v>
      </c>
      <c r="D3566" t="s">
        <v>13</v>
      </c>
      <c r="E3566">
        <v>20</v>
      </c>
      <c r="F3566">
        <v>0</v>
      </c>
    </row>
    <row r="3567" spans="1:6" x14ac:dyDescent="0.15">
      <c r="A3567" t="s">
        <v>210</v>
      </c>
      <c r="B3567" s="226">
        <v>42368.596030821762</v>
      </c>
      <c r="C3567" t="s">
        <v>2807</v>
      </c>
      <c r="D3567" t="s">
        <v>13</v>
      </c>
      <c r="E3567">
        <v>100</v>
      </c>
      <c r="F3567">
        <v>0</v>
      </c>
    </row>
    <row r="3568" spans="1:6" x14ac:dyDescent="0.15">
      <c r="A3568" t="s">
        <v>210</v>
      </c>
      <c r="B3568" s="226">
        <v>42368.605080162037</v>
      </c>
      <c r="C3568" t="s">
        <v>2808</v>
      </c>
      <c r="D3568" t="s">
        <v>13</v>
      </c>
      <c r="E3568">
        <v>200</v>
      </c>
      <c r="F3568">
        <v>0</v>
      </c>
    </row>
    <row r="3569" spans="1:6" x14ac:dyDescent="0.15">
      <c r="A3569" t="s">
        <v>210</v>
      </c>
      <c r="B3569" s="226">
        <v>42368.614555775464</v>
      </c>
      <c r="C3569" t="s">
        <v>2754</v>
      </c>
      <c r="D3569" t="s">
        <v>13</v>
      </c>
      <c r="E3569">
        <v>20</v>
      </c>
      <c r="F3569">
        <v>0</v>
      </c>
    </row>
    <row r="3570" spans="1:6" x14ac:dyDescent="0.15">
      <c r="A3570" t="s">
        <v>210</v>
      </c>
      <c r="B3570" s="226">
        <v>42368.653462476854</v>
      </c>
      <c r="C3570" t="s">
        <v>14</v>
      </c>
      <c r="D3570" t="s">
        <v>13</v>
      </c>
      <c r="E3570">
        <v>60</v>
      </c>
      <c r="F3570">
        <v>3.5</v>
      </c>
    </row>
    <row r="3571" spans="1:6" x14ac:dyDescent="0.15">
      <c r="A3571" t="s">
        <v>210</v>
      </c>
      <c r="B3571" s="226">
        <v>42368.656893888889</v>
      </c>
      <c r="C3571" t="s">
        <v>104</v>
      </c>
      <c r="D3571" t="s">
        <v>13</v>
      </c>
      <c r="E3571">
        <v>20</v>
      </c>
      <c r="F3571">
        <v>0</v>
      </c>
    </row>
    <row r="3572" spans="1:6" x14ac:dyDescent="0.15">
      <c r="A3572" t="s">
        <v>210</v>
      </c>
      <c r="B3572" s="226">
        <v>42368.661598692132</v>
      </c>
      <c r="C3572" t="s">
        <v>2809</v>
      </c>
      <c r="D3572" t="s">
        <v>13</v>
      </c>
      <c r="E3572">
        <v>60</v>
      </c>
      <c r="F3572">
        <v>0</v>
      </c>
    </row>
    <row r="3573" spans="1:6" x14ac:dyDescent="0.15">
      <c r="A3573" t="s">
        <v>210</v>
      </c>
      <c r="B3573" s="226">
        <v>42368.690536423608</v>
      </c>
      <c r="C3573" t="s">
        <v>616</v>
      </c>
      <c r="D3573" t="s">
        <v>13</v>
      </c>
      <c r="E3573">
        <v>220</v>
      </c>
      <c r="F3573">
        <v>0</v>
      </c>
    </row>
    <row r="3574" spans="1:6" x14ac:dyDescent="0.15">
      <c r="A3574" t="s">
        <v>210</v>
      </c>
      <c r="B3574" s="226">
        <v>42368.701321273147</v>
      </c>
      <c r="C3574" t="s">
        <v>2810</v>
      </c>
      <c r="D3574" t="s">
        <v>13</v>
      </c>
      <c r="E3574">
        <v>20</v>
      </c>
      <c r="F3574">
        <v>0</v>
      </c>
    </row>
    <row r="3575" spans="1:6" x14ac:dyDescent="0.15">
      <c r="A3575" t="s">
        <v>210</v>
      </c>
      <c r="B3575" s="226">
        <v>42368.704990636572</v>
      </c>
      <c r="C3575" t="s">
        <v>2811</v>
      </c>
      <c r="D3575" t="s">
        <v>13</v>
      </c>
      <c r="E3575">
        <v>40</v>
      </c>
      <c r="F3575">
        <v>0</v>
      </c>
    </row>
    <row r="3576" spans="1:6" x14ac:dyDescent="0.15">
      <c r="A3576" t="s">
        <v>210</v>
      </c>
      <c r="B3576" s="226">
        <v>42368.709653437501</v>
      </c>
      <c r="C3576" t="s">
        <v>2609</v>
      </c>
      <c r="D3576" t="s">
        <v>13</v>
      </c>
      <c r="E3576">
        <v>100</v>
      </c>
      <c r="F3576">
        <v>0</v>
      </c>
    </row>
    <row r="3577" spans="1:6" x14ac:dyDescent="0.15">
      <c r="A3577" t="s">
        <v>210</v>
      </c>
      <c r="B3577" s="226">
        <v>42368.745534513888</v>
      </c>
      <c r="C3577" t="s">
        <v>556</v>
      </c>
      <c r="D3577" t="s">
        <v>13</v>
      </c>
      <c r="E3577">
        <v>40</v>
      </c>
      <c r="F3577">
        <v>0</v>
      </c>
    </row>
    <row r="3578" spans="1:6" x14ac:dyDescent="0.15">
      <c r="A3578" t="s">
        <v>210</v>
      </c>
      <c r="B3578" s="226">
        <v>42368.782010474541</v>
      </c>
      <c r="C3578" t="s">
        <v>2005</v>
      </c>
      <c r="D3578" t="s">
        <v>13</v>
      </c>
      <c r="E3578">
        <v>20</v>
      </c>
      <c r="F3578">
        <v>0</v>
      </c>
    </row>
    <row r="3579" spans="1:6" x14ac:dyDescent="0.15">
      <c r="A3579" t="s">
        <v>210</v>
      </c>
      <c r="B3579" s="226">
        <v>42368.787892962966</v>
      </c>
      <c r="C3579" t="s">
        <v>2812</v>
      </c>
      <c r="D3579" t="s">
        <v>13</v>
      </c>
      <c r="E3579">
        <v>100</v>
      </c>
      <c r="F3579">
        <v>0</v>
      </c>
    </row>
    <row r="3580" spans="1:6" x14ac:dyDescent="0.15">
      <c r="A3580" t="s">
        <v>210</v>
      </c>
      <c r="B3580" s="226">
        <v>42368.810551331022</v>
      </c>
      <c r="C3580" t="s">
        <v>2813</v>
      </c>
      <c r="D3580" t="s">
        <v>13</v>
      </c>
      <c r="E3580">
        <v>60</v>
      </c>
      <c r="F3580">
        <v>0</v>
      </c>
    </row>
    <row r="3581" spans="1:6" x14ac:dyDescent="0.15">
      <c r="A3581" t="s">
        <v>210</v>
      </c>
      <c r="B3581" s="226">
        <v>42368.891078796296</v>
      </c>
      <c r="C3581" t="s">
        <v>2814</v>
      </c>
      <c r="D3581" t="s">
        <v>13</v>
      </c>
      <c r="E3581">
        <v>40</v>
      </c>
      <c r="F3581">
        <v>0</v>
      </c>
    </row>
    <row r="3582" spans="1:6" x14ac:dyDescent="0.15">
      <c r="A3582" t="s">
        <v>210</v>
      </c>
      <c r="B3582" s="226">
        <v>42369.229446087964</v>
      </c>
      <c r="C3582" t="s">
        <v>557</v>
      </c>
      <c r="D3582" t="s">
        <v>13</v>
      </c>
      <c r="E3582">
        <v>40</v>
      </c>
      <c r="F3582">
        <v>0</v>
      </c>
    </row>
    <row r="3583" spans="1:6" x14ac:dyDescent="0.15">
      <c r="A3583" t="s">
        <v>210</v>
      </c>
      <c r="B3583" s="226">
        <v>42369.302097974534</v>
      </c>
      <c r="C3583" t="s">
        <v>2815</v>
      </c>
      <c r="D3583" t="s">
        <v>13</v>
      </c>
      <c r="E3583">
        <v>100</v>
      </c>
      <c r="F3583">
        <v>0</v>
      </c>
    </row>
    <row r="3584" spans="1:6" x14ac:dyDescent="0.15">
      <c r="A3584" t="s">
        <v>210</v>
      </c>
      <c r="B3584" s="226">
        <v>42369.304250740737</v>
      </c>
      <c r="C3584" t="s">
        <v>2695</v>
      </c>
      <c r="D3584" t="s">
        <v>13</v>
      </c>
      <c r="E3584">
        <v>20</v>
      </c>
      <c r="F3584">
        <v>0</v>
      </c>
    </row>
    <row r="3585" spans="1:6" x14ac:dyDescent="0.15">
      <c r="A3585" t="s">
        <v>210</v>
      </c>
      <c r="B3585" s="226">
        <v>42369.335516886575</v>
      </c>
      <c r="C3585" t="s">
        <v>2816</v>
      </c>
      <c r="D3585" t="s">
        <v>13</v>
      </c>
      <c r="E3585">
        <v>40</v>
      </c>
      <c r="F3585">
        <v>0</v>
      </c>
    </row>
    <row r="3586" spans="1:6" x14ac:dyDescent="0.15">
      <c r="A3586" t="s">
        <v>210</v>
      </c>
      <c r="B3586" s="226">
        <v>42369.336321620372</v>
      </c>
      <c r="C3586" t="s">
        <v>2817</v>
      </c>
      <c r="D3586" t="s">
        <v>13</v>
      </c>
      <c r="E3586">
        <v>100</v>
      </c>
      <c r="F3586">
        <v>0</v>
      </c>
    </row>
    <row r="3587" spans="1:6" x14ac:dyDescent="0.15">
      <c r="A3587" t="s">
        <v>210</v>
      </c>
      <c r="B3587" s="226">
        <v>42369.348016249998</v>
      </c>
      <c r="C3587" t="s">
        <v>2818</v>
      </c>
      <c r="D3587" t="s">
        <v>15</v>
      </c>
      <c r="E3587">
        <v>60</v>
      </c>
      <c r="F3587">
        <v>1.8</v>
      </c>
    </row>
    <row r="3588" spans="1:6" x14ac:dyDescent="0.15">
      <c r="A3588" t="s">
        <v>210</v>
      </c>
      <c r="B3588" s="226">
        <v>42369.367604861109</v>
      </c>
      <c r="C3588" t="s">
        <v>2819</v>
      </c>
      <c r="D3588" t="s">
        <v>13</v>
      </c>
      <c r="E3588">
        <v>200</v>
      </c>
      <c r="F3588">
        <v>0</v>
      </c>
    </row>
    <row r="3589" spans="1:6" x14ac:dyDescent="0.15">
      <c r="A3589" t="s">
        <v>210</v>
      </c>
      <c r="B3589" s="226">
        <v>42369.392290497686</v>
      </c>
      <c r="C3589" t="s">
        <v>2820</v>
      </c>
      <c r="D3589" t="s">
        <v>13</v>
      </c>
      <c r="E3589">
        <v>40</v>
      </c>
      <c r="F3589">
        <v>0</v>
      </c>
    </row>
    <row r="3590" spans="1:6" x14ac:dyDescent="0.15">
      <c r="A3590" t="s">
        <v>210</v>
      </c>
      <c r="B3590" s="226">
        <v>42369.392784814816</v>
      </c>
      <c r="C3590" t="s">
        <v>1242</v>
      </c>
      <c r="D3590" t="s">
        <v>13</v>
      </c>
      <c r="E3590">
        <v>80</v>
      </c>
      <c r="F3590">
        <v>0</v>
      </c>
    </row>
    <row r="3591" spans="1:6" x14ac:dyDescent="0.15">
      <c r="A3591" t="s">
        <v>210</v>
      </c>
      <c r="B3591" s="226">
        <v>42369.401335381946</v>
      </c>
      <c r="C3591" t="s">
        <v>1460</v>
      </c>
      <c r="D3591" t="s">
        <v>13</v>
      </c>
      <c r="E3591">
        <v>60</v>
      </c>
      <c r="F3591">
        <v>0</v>
      </c>
    </row>
    <row r="3592" spans="1:6" x14ac:dyDescent="0.15">
      <c r="A3592" t="s">
        <v>210</v>
      </c>
      <c r="B3592" s="226">
        <v>42369.423916388892</v>
      </c>
      <c r="C3592" t="s">
        <v>1997</v>
      </c>
      <c r="D3592" t="s">
        <v>13</v>
      </c>
      <c r="E3592">
        <v>40</v>
      </c>
      <c r="F3592">
        <v>0</v>
      </c>
    </row>
    <row r="3593" spans="1:6" x14ac:dyDescent="0.15">
      <c r="A3593" t="s">
        <v>210</v>
      </c>
      <c r="B3593" s="226">
        <v>42369.430487789352</v>
      </c>
      <c r="C3593" t="s">
        <v>859</v>
      </c>
      <c r="D3593" t="s">
        <v>13</v>
      </c>
      <c r="E3593">
        <v>20</v>
      </c>
      <c r="F3593">
        <v>0</v>
      </c>
    </row>
    <row r="3594" spans="1:6" x14ac:dyDescent="0.15">
      <c r="A3594" t="s">
        <v>210</v>
      </c>
      <c r="B3594" s="226">
        <v>42369.43948015046</v>
      </c>
      <c r="C3594" t="s">
        <v>2821</v>
      </c>
      <c r="D3594" t="s">
        <v>13</v>
      </c>
      <c r="E3594">
        <v>60</v>
      </c>
      <c r="F3594">
        <v>0</v>
      </c>
    </row>
    <row r="3595" spans="1:6" x14ac:dyDescent="0.15">
      <c r="A3595" t="s">
        <v>210</v>
      </c>
      <c r="B3595" s="226">
        <v>42369.455290694445</v>
      </c>
      <c r="C3595" t="s">
        <v>2822</v>
      </c>
      <c r="D3595" t="s">
        <v>13</v>
      </c>
      <c r="E3595">
        <v>40</v>
      </c>
      <c r="F3595">
        <v>0</v>
      </c>
    </row>
    <row r="3596" spans="1:6" x14ac:dyDescent="0.15">
      <c r="A3596" t="s">
        <v>210</v>
      </c>
      <c r="B3596" s="226">
        <v>42369.459379236112</v>
      </c>
      <c r="C3596" t="s">
        <v>14</v>
      </c>
      <c r="D3596" t="s">
        <v>13</v>
      </c>
      <c r="E3596">
        <v>80</v>
      </c>
      <c r="F3596">
        <v>3.5</v>
      </c>
    </row>
    <row r="3597" spans="1:6" x14ac:dyDescent="0.15">
      <c r="A3597" t="s">
        <v>210</v>
      </c>
      <c r="B3597" s="226">
        <v>42369.462860208332</v>
      </c>
      <c r="C3597" t="s">
        <v>2823</v>
      </c>
      <c r="D3597" t="s">
        <v>13</v>
      </c>
      <c r="E3597">
        <v>140</v>
      </c>
      <c r="F3597">
        <v>0</v>
      </c>
    </row>
    <row r="3598" spans="1:6" x14ac:dyDescent="0.15">
      <c r="A3598" t="s">
        <v>210</v>
      </c>
      <c r="B3598" s="226">
        <v>42369.466662500003</v>
      </c>
      <c r="C3598" t="s">
        <v>2824</v>
      </c>
      <c r="D3598" t="s">
        <v>13</v>
      </c>
      <c r="E3598">
        <v>20</v>
      </c>
      <c r="F3598">
        <v>0</v>
      </c>
    </row>
    <row r="3599" spans="1:6" x14ac:dyDescent="0.15">
      <c r="A3599" t="s">
        <v>210</v>
      </c>
      <c r="B3599" s="226">
        <v>42369.473245104164</v>
      </c>
      <c r="C3599" t="s">
        <v>558</v>
      </c>
      <c r="D3599" t="s">
        <v>13</v>
      </c>
      <c r="E3599">
        <v>40</v>
      </c>
      <c r="F3599">
        <v>0</v>
      </c>
    </row>
    <row r="3600" spans="1:6" x14ac:dyDescent="0.15">
      <c r="A3600" t="s">
        <v>210</v>
      </c>
      <c r="B3600" s="226">
        <v>42369.491961562497</v>
      </c>
      <c r="C3600" t="s">
        <v>14</v>
      </c>
      <c r="D3600" t="s">
        <v>13</v>
      </c>
      <c r="E3600">
        <v>60</v>
      </c>
      <c r="F3600">
        <v>3.5</v>
      </c>
    </row>
    <row r="3601" spans="1:6" x14ac:dyDescent="0.15">
      <c r="A3601" t="s">
        <v>210</v>
      </c>
      <c r="B3601" s="226">
        <v>42369.493148576388</v>
      </c>
      <c r="C3601" t="s">
        <v>115</v>
      </c>
      <c r="D3601" t="s">
        <v>13</v>
      </c>
      <c r="E3601">
        <v>80</v>
      </c>
      <c r="F3601">
        <v>0</v>
      </c>
    </row>
    <row r="3602" spans="1:6" x14ac:dyDescent="0.15">
      <c r="A3602" t="s">
        <v>210</v>
      </c>
      <c r="B3602" s="226">
        <v>42369.49977775463</v>
      </c>
      <c r="C3602" t="s">
        <v>2259</v>
      </c>
      <c r="D3602" t="s">
        <v>13</v>
      </c>
      <c r="E3602">
        <v>40</v>
      </c>
      <c r="F3602">
        <v>0</v>
      </c>
    </row>
    <row r="3603" spans="1:6" x14ac:dyDescent="0.15">
      <c r="A3603" t="s">
        <v>210</v>
      </c>
      <c r="B3603" s="226">
        <v>42369.503856527779</v>
      </c>
      <c r="C3603" t="s">
        <v>2825</v>
      </c>
      <c r="D3603" t="s">
        <v>13</v>
      </c>
      <c r="E3603">
        <v>500</v>
      </c>
      <c r="F3603">
        <v>0</v>
      </c>
    </row>
    <row r="3604" spans="1:6" x14ac:dyDescent="0.15">
      <c r="A3604" t="s">
        <v>210</v>
      </c>
      <c r="B3604" s="226">
        <v>42369.510690277777</v>
      </c>
      <c r="C3604" t="s">
        <v>2826</v>
      </c>
      <c r="D3604" t="s">
        <v>13</v>
      </c>
      <c r="E3604">
        <v>140</v>
      </c>
      <c r="F3604">
        <v>0</v>
      </c>
    </row>
    <row r="3605" spans="1:6" x14ac:dyDescent="0.15">
      <c r="A3605" t="s">
        <v>210</v>
      </c>
      <c r="B3605" s="226">
        <v>42369.525328680553</v>
      </c>
      <c r="C3605" t="s">
        <v>2827</v>
      </c>
      <c r="D3605" t="s">
        <v>13</v>
      </c>
      <c r="E3605">
        <v>40</v>
      </c>
      <c r="F3605">
        <v>0</v>
      </c>
    </row>
    <row r="3606" spans="1:6" x14ac:dyDescent="0.15">
      <c r="A3606" t="s">
        <v>210</v>
      </c>
      <c r="B3606" s="226">
        <v>42369.527499710646</v>
      </c>
      <c r="C3606" t="s">
        <v>2828</v>
      </c>
      <c r="D3606" t="s">
        <v>13</v>
      </c>
      <c r="E3606">
        <v>100</v>
      </c>
      <c r="F3606">
        <v>0</v>
      </c>
    </row>
    <row r="3607" spans="1:6" x14ac:dyDescent="0.15">
      <c r="A3607" t="s">
        <v>210</v>
      </c>
      <c r="B3607" s="226">
        <v>42369.533944212963</v>
      </c>
      <c r="C3607" t="s">
        <v>2829</v>
      </c>
      <c r="D3607" t="s">
        <v>13</v>
      </c>
      <c r="E3607">
        <v>40</v>
      </c>
      <c r="F3607">
        <v>0</v>
      </c>
    </row>
    <row r="3608" spans="1:6" x14ac:dyDescent="0.15">
      <c r="A3608" t="s">
        <v>210</v>
      </c>
      <c r="B3608" s="226">
        <v>42369.537945405093</v>
      </c>
      <c r="C3608" t="s">
        <v>1814</v>
      </c>
      <c r="D3608" t="s">
        <v>13</v>
      </c>
      <c r="E3608">
        <v>100</v>
      </c>
      <c r="F3608">
        <v>0</v>
      </c>
    </row>
    <row r="3609" spans="1:6" x14ac:dyDescent="0.15">
      <c r="A3609" t="s">
        <v>210</v>
      </c>
      <c r="B3609" s="226">
        <v>42369.542980520833</v>
      </c>
      <c r="C3609" t="s">
        <v>890</v>
      </c>
      <c r="D3609" t="s">
        <v>13</v>
      </c>
      <c r="E3609">
        <v>60</v>
      </c>
      <c r="F3609">
        <v>0</v>
      </c>
    </row>
    <row r="3610" spans="1:6" x14ac:dyDescent="0.15">
      <c r="A3610" t="s">
        <v>210</v>
      </c>
      <c r="B3610" s="226">
        <v>42369.545127129626</v>
      </c>
      <c r="C3610" t="s">
        <v>2830</v>
      </c>
      <c r="D3610" t="s">
        <v>13</v>
      </c>
      <c r="E3610">
        <v>100</v>
      </c>
      <c r="F3610">
        <v>0</v>
      </c>
    </row>
    <row r="3611" spans="1:6" x14ac:dyDescent="0.15">
      <c r="A3611" t="s">
        <v>210</v>
      </c>
      <c r="B3611" s="226">
        <v>42369.547544456022</v>
      </c>
      <c r="C3611" t="s">
        <v>14</v>
      </c>
      <c r="D3611" t="s">
        <v>13</v>
      </c>
      <c r="E3611">
        <v>60</v>
      </c>
      <c r="F3611">
        <v>3.5</v>
      </c>
    </row>
    <row r="3612" spans="1:6" x14ac:dyDescent="0.15">
      <c r="A3612" t="s">
        <v>210</v>
      </c>
      <c r="B3612" s="226">
        <v>42369.555554386578</v>
      </c>
      <c r="C3612" t="s">
        <v>2831</v>
      </c>
      <c r="D3612" t="s">
        <v>15</v>
      </c>
      <c r="E3612">
        <v>40</v>
      </c>
      <c r="F3612">
        <v>1.2</v>
      </c>
    </row>
    <row r="3613" spans="1:6" x14ac:dyDescent="0.15">
      <c r="A3613" t="s">
        <v>210</v>
      </c>
      <c r="B3613" s="226">
        <v>42369.559233703701</v>
      </c>
      <c r="C3613" t="s">
        <v>100</v>
      </c>
      <c r="D3613" t="s">
        <v>13</v>
      </c>
      <c r="E3613">
        <v>60</v>
      </c>
      <c r="F3613">
        <v>0</v>
      </c>
    </row>
    <row r="3614" spans="1:6" x14ac:dyDescent="0.15">
      <c r="A3614" t="s">
        <v>210</v>
      </c>
      <c r="B3614" s="226">
        <v>42369.602863703702</v>
      </c>
      <c r="C3614" t="s">
        <v>2832</v>
      </c>
      <c r="D3614" t="s">
        <v>13</v>
      </c>
      <c r="E3614">
        <v>140</v>
      </c>
      <c r="F3614">
        <v>0</v>
      </c>
    </row>
    <row r="3615" spans="1:6" x14ac:dyDescent="0.15">
      <c r="A3615" t="s">
        <v>210</v>
      </c>
      <c r="B3615" s="226">
        <v>42369.603540763892</v>
      </c>
      <c r="C3615" t="s">
        <v>2833</v>
      </c>
      <c r="D3615" t="s">
        <v>13</v>
      </c>
      <c r="E3615">
        <v>100</v>
      </c>
      <c r="F3615">
        <v>0</v>
      </c>
    </row>
    <row r="3616" spans="1:6" x14ac:dyDescent="0.15">
      <c r="A3616" t="s">
        <v>210</v>
      </c>
      <c r="B3616" s="226">
        <v>42369.611065381941</v>
      </c>
      <c r="C3616" t="s">
        <v>2834</v>
      </c>
      <c r="D3616" t="s">
        <v>13</v>
      </c>
      <c r="E3616">
        <v>60</v>
      </c>
      <c r="F3616">
        <v>0</v>
      </c>
    </row>
    <row r="3617" spans="1:6" x14ac:dyDescent="0.15">
      <c r="A3617" t="s">
        <v>210</v>
      </c>
      <c r="B3617" s="226">
        <v>42369.6136978125</v>
      </c>
      <c r="C3617" t="s">
        <v>2299</v>
      </c>
      <c r="D3617" t="s">
        <v>13</v>
      </c>
      <c r="E3617">
        <v>60</v>
      </c>
      <c r="F3617">
        <v>0</v>
      </c>
    </row>
    <row r="3618" spans="1:6" x14ac:dyDescent="0.15">
      <c r="A3618" t="s">
        <v>210</v>
      </c>
      <c r="B3618" s="226">
        <v>42369.614496886577</v>
      </c>
      <c r="C3618" t="s">
        <v>14</v>
      </c>
      <c r="D3618" t="s">
        <v>13</v>
      </c>
      <c r="E3618">
        <v>200</v>
      </c>
      <c r="F3618">
        <v>3.5</v>
      </c>
    </row>
    <row r="3619" spans="1:6" x14ac:dyDescent="0.15">
      <c r="A3619" t="s">
        <v>210</v>
      </c>
      <c r="B3619" s="226">
        <v>42369.628772442127</v>
      </c>
      <c r="C3619" t="s">
        <v>2835</v>
      </c>
      <c r="D3619" t="s">
        <v>13</v>
      </c>
      <c r="E3619">
        <v>100</v>
      </c>
      <c r="F3619">
        <v>0</v>
      </c>
    </row>
    <row r="3620" spans="1:6" x14ac:dyDescent="0.15">
      <c r="A3620" t="s">
        <v>210</v>
      </c>
      <c r="B3620" s="226">
        <v>42369.637469884263</v>
      </c>
      <c r="C3620" t="s">
        <v>2836</v>
      </c>
      <c r="D3620" t="s">
        <v>13</v>
      </c>
      <c r="E3620">
        <v>40</v>
      </c>
      <c r="F3620">
        <v>0</v>
      </c>
    </row>
    <row r="3621" spans="1:6" x14ac:dyDescent="0.15">
      <c r="A3621" t="s">
        <v>210</v>
      </c>
      <c r="B3621" s="226">
        <v>42369.639674768521</v>
      </c>
      <c r="C3621" t="s">
        <v>2837</v>
      </c>
      <c r="D3621" t="s">
        <v>13</v>
      </c>
      <c r="E3621">
        <v>40</v>
      </c>
      <c r="F3621">
        <v>0</v>
      </c>
    </row>
    <row r="3622" spans="1:6" x14ac:dyDescent="0.15">
      <c r="A3622" t="s">
        <v>210</v>
      </c>
      <c r="B3622" s="226">
        <v>42369.642089317131</v>
      </c>
      <c r="C3622" t="s">
        <v>2838</v>
      </c>
      <c r="D3622" t="s">
        <v>13</v>
      </c>
      <c r="E3622">
        <v>20</v>
      </c>
      <c r="F3622">
        <v>0</v>
      </c>
    </row>
    <row r="3623" spans="1:6" x14ac:dyDescent="0.15">
      <c r="A3623" t="s">
        <v>210</v>
      </c>
      <c r="B3623" s="226">
        <v>42369.657490300924</v>
      </c>
      <c r="C3623" t="s">
        <v>2839</v>
      </c>
      <c r="D3623" t="s">
        <v>13</v>
      </c>
      <c r="E3623">
        <v>500</v>
      </c>
      <c r="F3623">
        <v>0</v>
      </c>
    </row>
    <row r="3624" spans="1:6" x14ac:dyDescent="0.15">
      <c r="A3624" t="s">
        <v>210</v>
      </c>
      <c r="B3624" s="226">
        <v>42369.684247418983</v>
      </c>
      <c r="C3624" t="s">
        <v>128</v>
      </c>
      <c r="D3624" t="s">
        <v>13</v>
      </c>
      <c r="E3624">
        <v>40</v>
      </c>
      <c r="F3624">
        <v>0</v>
      </c>
    </row>
    <row r="3625" spans="1:6" x14ac:dyDescent="0.15">
      <c r="A3625" t="s">
        <v>210</v>
      </c>
      <c r="B3625" s="226">
        <v>42369.714279953703</v>
      </c>
      <c r="C3625" t="s">
        <v>2840</v>
      </c>
      <c r="D3625" t="s">
        <v>13</v>
      </c>
      <c r="E3625">
        <v>100</v>
      </c>
      <c r="F3625">
        <v>0</v>
      </c>
    </row>
    <row r="3626" spans="1:6" x14ac:dyDescent="0.15">
      <c r="A3626" t="s">
        <v>210</v>
      </c>
      <c r="B3626" s="226">
        <v>42369.731479351853</v>
      </c>
      <c r="C3626" t="s">
        <v>2841</v>
      </c>
      <c r="D3626" t="s">
        <v>13</v>
      </c>
      <c r="E3626">
        <v>40</v>
      </c>
      <c r="F3626">
        <v>0</v>
      </c>
    </row>
    <row r="3627" spans="1:6" x14ac:dyDescent="0.15">
      <c r="A3627" t="s">
        <v>210</v>
      </c>
      <c r="B3627" s="226">
        <v>42369.74867685185</v>
      </c>
      <c r="C3627" t="s">
        <v>1405</v>
      </c>
      <c r="D3627" t="s">
        <v>13</v>
      </c>
      <c r="E3627">
        <v>60</v>
      </c>
      <c r="F3627">
        <v>0</v>
      </c>
    </row>
    <row r="3628" spans="1:6" x14ac:dyDescent="0.15">
      <c r="A3628" t="s">
        <v>210</v>
      </c>
      <c r="B3628" s="226">
        <v>42369.749918611109</v>
      </c>
      <c r="C3628" t="s">
        <v>2583</v>
      </c>
      <c r="D3628" t="s">
        <v>13</v>
      </c>
      <c r="E3628">
        <v>40</v>
      </c>
      <c r="F3628">
        <v>0</v>
      </c>
    </row>
    <row r="3629" spans="1:6" x14ac:dyDescent="0.15">
      <c r="A3629" t="s">
        <v>210</v>
      </c>
      <c r="B3629" s="226">
        <v>42369.758321701389</v>
      </c>
      <c r="C3629" t="s">
        <v>2445</v>
      </c>
      <c r="D3629" t="s">
        <v>13</v>
      </c>
      <c r="E3629">
        <v>80</v>
      </c>
      <c r="F3629">
        <v>0</v>
      </c>
    </row>
    <row r="3630" spans="1:6" x14ac:dyDescent="0.15">
      <c r="A3630" t="s">
        <v>210</v>
      </c>
      <c r="B3630" s="226">
        <v>42369.7685221875</v>
      </c>
      <c r="C3630" t="s">
        <v>2842</v>
      </c>
      <c r="D3630" t="s">
        <v>13</v>
      </c>
      <c r="E3630">
        <v>100</v>
      </c>
      <c r="F3630">
        <v>0</v>
      </c>
    </row>
    <row r="3631" spans="1:6" x14ac:dyDescent="0.15">
      <c r="A3631" t="s">
        <v>210</v>
      </c>
      <c r="B3631" s="226">
        <v>42369.775679525461</v>
      </c>
      <c r="C3631" t="s">
        <v>2843</v>
      </c>
      <c r="D3631" t="s">
        <v>13</v>
      </c>
      <c r="E3631">
        <v>80</v>
      </c>
      <c r="F3631">
        <v>0</v>
      </c>
    </row>
    <row r="3632" spans="1:6" x14ac:dyDescent="0.15">
      <c r="A3632" t="s">
        <v>210</v>
      </c>
      <c r="B3632" s="226">
        <v>42369.776166412033</v>
      </c>
      <c r="C3632" t="s">
        <v>14</v>
      </c>
      <c r="D3632" t="s">
        <v>13</v>
      </c>
      <c r="E3632">
        <v>40</v>
      </c>
      <c r="F3632">
        <v>3.5</v>
      </c>
    </row>
    <row r="3633" spans="1:6" x14ac:dyDescent="0.15">
      <c r="A3633" t="s">
        <v>210</v>
      </c>
      <c r="B3633" s="226">
        <v>42369.786301828703</v>
      </c>
      <c r="C3633" t="s">
        <v>2844</v>
      </c>
      <c r="D3633" t="s">
        <v>13</v>
      </c>
      <c r="E3633">
        <v>140</v>
      </c>
      <c r="F3633">
        <v>0</v>
      </c>
    </row>
    <row r="3634" spans="1:6" x14ac:dyDescent="0.15">
      <c r="A3634" t="s">
        <v>210</v>
      </c>
      <c r="B3634" s="226">
        <v>42369.790518969909</v>
      </c>
      <c r="C3634" t="s">
        <v>190</v>
      </c>
      <c r="D3634" t="s">
        <v>13</v>
      </c>
      <c r="E3634">
        <v>200</v>
      </c>
      <c r="F3634">
        <v>0</v>
      </c>
    </row>
    <row r="3635" spans="1:6" x14ac:dyDescent="0.15">
      <c r="A3635" t="s">
        <v>210</v>
      </c>
      <c r="B3635" s="226">
        <v>42369.80180833333</v>
      </c>
      <c r="C3635" t="s">
        <v>1398</v>
      </c>
      <c r="D3635" t="s">
        <v>13</v>
      </c>
      <c r="E3635">
        <v>40</v>
      </c>
      <c r="F3635">
        <v>0</v>
      </c>
    </row>
    <row r="3636" spans="1:6" x14ac:dyDescent="0.15">
      <c r="A3636" t="s">
        <v>210</v>
      </c>
      <c r="B3636" s="226">
        <v>42369.845704340281</v>
      </c>
      <c r="C3636" t="s">
        <v>2845</v>
      </c>
      <c r="D3636" t="s">
        <v>13</v>
      </c>
      <c r="E3636">
        <v>100</v>
      </c>
      <c r="F3636">
        <v>0</v>
      </c>
    </row>
    <row r="3637" spans="1:6" x14ac:dyDescent="0.15">
      <c r="A3637" t="s">
        <v>210</v>
      </c>
      <c r="B3637" s="226">
        <v>42369.921331851852</v>
      </c>
      <c r="C3637" t="s">
        <v>2846</v>
      </c>
      <c r="D3637" t="s">
        <v>13</v>
      </c>
      <c r="E3637">
        <v>200</v>
      </c>
      <c r="F3637">
        <v>0</v>
      </c>
    </row>
    <row r="3638" spans="1:6" x14ac:dyDescent="0.15">
      <c r="A3638" t="s">
        <v>210</v>
      </c>
      <c r="B3638" s="226">
        <v>42369.965907060185</v>
      </c>
      <c r="C3638" t="s">
        <v>2847</v>
      </c>
      <c r="D3638" t="s">
        <v>13</v>
      </c>
      <c r="E3638">
        <v>20</v>
      </c>
      <c r="F363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O16"/>
  <sheetViews>
    <sheetView showGridLines="0" topLeftCell="A5" zoomScale="110" zoomScaleNormal="110" workbookViewId="0">
      <selection activeCell="I3" sqref="I3"/>
    </sheetView>
  </sheetViews>
  <sheetFormatPr baseColWidth="10" defaultColWidth="8.83203125" defaultRowHeight="13" x14ac:dyDescent="0.15"/>
  <cols>
    <col min="1" max="1" width="4.33203125" customWidth="1"/>
    <col min="2" max="2" width="11.5" customWidth="1"/>
    <col min="3" max="3" width="16.1640625" customWidth="1"/>
    <col min="4" max="6" width="15.5" customWidth="1"/>
    <col min="7" max="7" width="10.5" customWidth="1"/>
    <col min="8" max="8" width="24.1640625" customWidth="1"/>
    <col min="9" max="9" width="16" customWidth="1"/>
    <col min="10" max="10" width="9.1640625" customWidth="1"/>
    <col min="11" max="11" width="26.1640625" customWidth="1"/>
    <col min="12" max="14" width="15" customWidth="1"/>
  </cols>
  <sheetData>
    <row r="1" spans="2:15" ht="25.5" customHeight="1" x14ac:dyDescent="0.15"/>
    <row r="2" spans="2:15" ht="33.75" customHeight="1" x14ac:dyDescent="0.15">
      <c r="B2" s="118"/>
      <c r="C2" s="119"/>
      <c r="D2" s="135"/>
      <c r="E2" s="136"/>
      <c r="F2" s="119"/>
      <c r="G2" s="119"/>
      <c r="H2" s="119"/>
      <c r="I2" s="119"/>
      <c r="J2" s="119"/>
      <c r="K2" s="119"/>
      <c r="L2" s="119"/>
      <c r="M2" s="119"/>
      <c r="N2" s="119"/>
      <c r="O2" s="129"/>
    </row>
    <row r="3" spans="2:15" ht="45" customHeight="1" x14ac:dyDescent="0.15">
      <c r="B3" s="121"/>
      <c r="C3" s="123"/>
      <c r="D3" s="123"/>
      <c r="E3" s="137"/>
      <c r="F3" s="131"/>
      <c r="G3" s="131"/>
      <c r="H3" s="138" t="s">
        <v>129</v>
      </c>
      <c r="I3" s="58" t="str">
        <f>Displayed_ATM</f>
        <v>OP00929</v>
      </c>
      <c r="J3" s="131"/>
      <c r="K3" s="131"/>
      <c r="L3" s="131"/>
      <c r="M3" s="131"/>
      <c r="N3" s="131"/>
      <c r="O3" s="139"/>
    </row>
    <row r="4" spans="2:15" ht="12.75" customHeight="1" x14ac:dyDescent="0.15">
      <c r="B4" s="121"/>
      <c r="C4" s="123"/>
      <c r="D4" s="123"/>
      <c r="E4" s="137"/>
      <c r="F4" s="131"/>
      <c r="G4" s="131"/>
      <c r="H4" s="138"/>
      <c r="I4" s="131"/>
      <c r="J4" s="131"/>
      <c r="K4" s="131"/>
      <c r="L4" s="131"/>
      <c r="M4" s="131"/>
      <c r="N4" s="131"/>
      <c r="O4" s="139"/>
    </row>
    <row r="5" spans="2:15" ht="21.75" customHeight="1" x14ac:dyDescent="0.15">
      <c r="B5" s="121"/>
      <c r="C5" s="131"/>
      <c r="D5" s="197" t="s">
        <v>130</v>
      </c>
      <c r="E5" s="198"/>
      <c r="F5" s="199"/>
      <c r="G5" s="131"/>
      <c r="H5" s="131"/>
      <c r="I5" s="200" t="s">
        <v>136</v>
      </c>
      <c r="J5" s="131"/>
      <c r="K5" s="131"/>
      <c r="L5" s="201" t="s">
        <v>47</v>
      </c>
      <c r="M5" s="202"/>
      <c r="N5" s="203"/>
      <c r="O5" s="139"/>
    </row>
    <row r="6" spans="2:15" ht="36" customHeight="1" x14ac:dyDescent="0.2">
      <c r="B6" s="121"/>
      <c r="C6" s="48" t="s">
        <v>133</v>
      </c>
      <c r="D6" s="36">
        <v>0.16666666666666666</v>
      </c>
      <c r="E6" s="36">
        <v>0.33333333333333331</v>
      </c>
      <c r="F6" s="36">
        <v>0.66666666666666663</v>
      </c>
      <c r="G6" s="131"/>
      <c r="H6" s="59" t="s">
        <v>137</v>
      </c>
      <c r="I6" s="9">
        <v>12000</v>
      </c>
      <c r="J6" s="131"/>
      <c r="K6" s="131"/>
      <c r="L6" s="8" t="s">
        <v>43</v>
      </c>
      <c r="M6" s="8" t="s">
        <v>44</v>
      </c>
      <c r="N6" s="8" t="s">
        <v>45</v>
      </c>
      <c r="O6" s="139"/>
    </row>
    <row r="7" spans="2:15" ht="36" customHeight="1" x14ac:dyDescent="0.15">
      <c r="B7" s="121"/>
      <c r="C7" s="48" t="s">
        <v>134</v>
      </c>
      <c r="D7" s="99">
        <f>E6</f>
        <v>0.33333333333333331</v>
      </c>
      <c r="E7" s="99">
        <f>F6</f>
        <v>0.66666666666666663</v>
      </c>
      <c r="F7" s="36">
        <v>0.83333333333333337</v>
      </c>
      <c r="G7" s="131"/>
      <c r="H7" s="59" t="s">
        <v>138</v>
      </c>
      <c r="I7" s="10">
        <v>10</v>
      </c>
      <c r="J7" s="131"/>
      <c r="K7" s="52" t="s">
        <v>46</v>
      </c>
      <c r="L7" s="11">
        <v>0</v>
      </c>
      <c r="M7" s="10">
        <v>3000</v>
      </c>
      <c r="N7" s="10">
        <v>8000</v>
      </c>
      <c r="O7" s="139"/>
    </row>
    <row r="8" spans="2:15" ht="36" customHeight="1" x14ac:dyDescent="0.15">
      <c r="B8" s="121"/>
      <c r="C8" s="49" t="s">
        <v>132</v>
      </c>
      <c r="D8" s="1" t="str">
        <f>TEXT(D6,"h:mm AM/PM")&amp;" to "&amp;TEXT(D7,"h:mm AM/PM")</f>
        <v>4:00 AM to 8:00 AM</v>
      </c>
      <c r="E8" s="1" t="str">
        <f t="shared" ref="E8:F8" si="0">TEXT(E6,"h:mm AM/PM")&amp;" to "&amp;TEXT(E7,"h:mm AM/PM")</f>
        <v>8:00 AM to 4:00 PM</v>
      </c>
      <c r="F8" s="1" t="str">
        <f t="shared" si="0"/>
        <v>4:00 PM to 8:00 PM</v>
      </c>
      <c r="G8" s="131"/>
      <c r="H8" s="59" t="s">
        <v>139</v>
      </c>
      <c r="I8" s="10">
        <v>100000</v>
      </c>
      <c r="J8" s="131"/>
      <c r="K8" s="52" t="s">
        <v>135</v>
      </c>
      <c r="L8" s="9">
        <v>200</v>
      </c>
      <c r="M8" s="9">
        <v>300</v>
      </c>
      <c r="N8" s="9">
        <v>500</v>
      </c>
      <c r="O8" s="139"/>
    </row>
    <row r="9" spans="2:15" ht="27.75" customHeight="1" x14ac:dyDescent="0.15">
      <c r="B9" s="121"/>
      <c r="C9" s="48" t="s">
        <v>7</v>
      </c>
      <c r="D9" s="47">
        <v>20</v>
      </c>
      <c r="E9" s="47">
        <v>20</v>
      </c>
      <c r="F9" s="47">
        <v>20</v>
      </c>
      <c r="G9" s="131"/>
      <c r="H9" s="59" t="s">
        <v>202</v>
      </c>
      <c r="I9" s="9">
        <v>300</v>
      </c>
      <c r="J9" s="131"/>
      <c r="K9" s="131"/>
      <c r="L9" s="131"/>
      <c r="M9" s="131"/>
      <c r="N9" s="131"/>
      <c r="O9" s="139"/>
    </row>
    <row r="10" spans="2:15" ht="27.75" customHeight="1" x14ac:dyDescent="0.15">
      <c r="B10" s="121"/>
      <c r="C10" s="48" t="s">
        <v>8</v>
      </c>
      <c r="D10" s="47">
        <v>20</v>
      </c>
      <c r="E10" s="47">
        <v>20</v>
      </c>
      <c r="F10" s="47">
        <v>20</v>
      </c>
      <c r="G10" s="131"/>
      <c r="H10" s="131"/>
      <c r="I10" s="131"/>
      <c r="J10" s="131"/>
      <c r="K10" s="51" t="s">
        <v>140</v>
      </c>
      <c r="L10" s="54">
        <f>M10/100</f>
        <v>0.21</v>
      </c>
      <c r="M10" s="142">
        <v>21</v>
      </c>
      <c r="N10" s="131"/>
      <c r="O10" s="139"/>
    </row>
    <row r="11" spans="2:15" ht="27.75" customHeight="1" x14ac:dyDescent="0.15">
      <c r="B11" s="121"/>
      <c r="C11" s="48" t="s">
        <v>9</v>
      </c>
      <c r="D11" s="47">
        <v>20</v>
      </c>
      <c r="E11" s="47">
        <v>20</v>
      </c>
      <c r="F11" s="47">
        <v>20</v>
      </c>
      <c r="G11" s="131"/>
      <c r="H11" s="49" t="s">
        <v>142</v>
      </c>
      <c r="I11" s="53">
        <v>16000</v>
      </c>
      <c r="J11" s="131"/>
      <c r="K11" s="51" t="s">
        <v>141</v>
      </c>
      <c r="L11" s="55">
        <f>M11/100</f>
        <v>0.06</v>
      </c>
      <c r="M11" s="142">
        <v>6</v>
      </c>
      <c r="N11" s="131"/>
      <c r="O11" s="139"/>
    </row>
    <row r="12" spans="2:15" ht="27.75" customHeight="1" x14ac:dyDescent="0.15">
      <c r="B12" s="121"/>
      <c r="C12" s="48" t="s">
        <v>10</v>
      </c>
      <c r="D12" s="47">
        <v>25</v>
      </c>
      <c r="E12" s="47">
        <v>25</v>
      </c>
      <c r="F12" s="47">
        <v>25</v>
      </c>
      <c r="G12" s="131"/>
      <c r="H12" s="49" t="s">
        <v>199</v>
      </c>
      <c r="I12" s="77">
        <f>J12/100</f>
        <v>0.02</v>
      </c>
      <c r="J12" s="142">
        <v>2</v>
      </c>
      <c r="K12" s="131"/>
      <c r="L12" s="131"/>
      <c r="M12" s="131"/>
      <c r="N12" s="131"/>
      <c r="O12" s="139"/>
    </row>
    <row r="13" spans="2:15" ht="27.75" customHeight="1" x14ac:dyDescent="0.15">
      <c r="B13" s="121"/>
      <c r="C13" s="48" t="s">
        <v>11</v>
      </c>
      <c r="D13" s="47">
        <v>25</v>
      </c>
      <c r="E13" s="47">
        <v>25</v>
      </c>
      <c r="F13" s="47">
        <v>30</v>
      </c>
      <c r="G13" s="131"/>
      <c r="H13" s="49" t="s">
        <v>224</v>
      </c>
      <c r="I13" s="53">
        <v>20000</v>
      </c>
      <c r="J13" s="131"/>
      <c r="K13" s="131"/>
      <c r="L13" s="131"/>
      <c r="M13" s="131"/>
      <c r="N13" s="131"/>
      <c r="O13" s="139"/>
    </row>
    <row r="14" spans="2:15" ht="27.75" customHeight="1" x14ac:dyDescent="0.15">
      <c r="B14" s="121"/>
      <c r="C14" s="48" t="s">
        <v>12</v>
      </c>
      <c r="D14" s="47">
        <v>30</v>
      </c>
      <c r="E14" s="47">
        <v>30</v>
      </c>
      <c r="F14" s="47">
        <v>30</v>
      </c>
      <c r="G14" s="131"/>
      <c r="H14" s="131"/>
      <c r="I14" s="131"/>
      <c r="J14" s="131"/>
      <c r="K14" s="131"/>
      <c r="L14" s="131"/>
      <c r="M14" s="131"/>
      <c r="N14" s="131"/>
      <c r="O14" s="139"/>
    </row>
    <row r="15" spans="2:15" ht="27.75" customHeight="1" x14ac:dyDescent="0.15">
      <c r="B15" s="121"/>
      <c r="C15" s="48" t="s">
        <v>6</v>
      </c>
      <c r="D15" s="47">
        <v>30</v>
      </c>
      <c r="E15" s="47">
        <v>30</v>
      </c>
      <c r="F15" s="47">
        <v>30</v>
      </c>
      <c r="G15" s="131"/>
      <c r="H15" s="131"/>
      <c r="I15" s="131"/>
      <c r="J15" s="131"/>
      <c r="K15" s="131"/>
      <c r="L15" s="131"/>
      <c r="M15" s="131"/>
      <c r="N15" s="131"/>
      <c r="O15" s="139"/>
    </row>
    <row r="16" spans="2:15" ht="18" x14ac:dyDescent="0.15">
      <c r="B16" s="124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1"/>
    </row>
  </sheetData>
  <conditionalFormatting sqref="I11">
    <cfRule type="expression" dxfId="6" priority="2">
      <formula>$I$11 &gt; $I$13</formula>
    </cfRule>
  </conditionalFormatting>
  <conditionalFormatting sqref="G6:G12">
    <cfRule type="cellIs" dxfId="5" priority="1" operator="greaterThan">
      <formula>"ATM_Cash_Limit"</formula>
    </cfRule>
  </conditionalFormatting>
  <dataValidations count="8">
    <dataValidation type="time" allowBlank="1" showInputMessage="1" showErrorMessage="1" errorTitle="Invalid time" error="Please enter correct time value" sqref="D6" xr:uid="{36066AAA-4ADF-894D-B851-37CCE991A3A8}">
      <formula1>0</formula1>
      <formula2>0.999305555555556</formula2>
    </dataValidation>
    <dataValidation type="custom" allowBlank="1" showInputMessage="1" showErrorMessage="1" errorTitle="Value exceeds ATM Cash Limit" sqref="I11" xr:uid="{4958517A-EC80-384C-AD03-AC33975312F9}">
      <formula1>AND(I11&gt;=0, MOD(I11,20)=0, I11&lt;= $I$13)</formula1>
    </dataValidation>
    <dataValidation type="decimal" operator="greaterThanOrEqual" allowBlank="1" showInputMessage="1" showErrorMessage="1" errorTitle="Please enter a valid FCI Limit" sqref="I12" xr:uid="{582352BF-00D3-414F-8EEF-EA8B3FA3C55E}">
      <formula1>0</formula1>
    </dataValidation>
    <dataValidation type="decimal" operator="greaterThanOrEqual" allowBlank="1" showInputMessage="1" showErrorMessage="1" errorTitle="Invalid Cost" error="Please enter a valid Cost" sqref="D9:F15" xr:uid="{C9F2990B-5106-574E-9348-C696900581D4}">
      <formula1>0</formula1>
    </dataValidation>
    <dataValidation type="time" allowBlank="1" showInputMessage="1" showErrorMessage="1" errorTitle="Invalid time" error="Please enter correct time value" sqref="D7" xr:uid="{E9E7471E-93CC-A441-B907-3BBFB9030CF9}">
      <formula1>D6</formula1>
      <formula2>0.999305555555556</formula2>
    </dataValidation>
    <dataValidation type="time" operator="greaterThanOrEqual" allowBlank="1" showInputMessage="1" showErrorMessage="1" errorTitle="Invalid time" error="Please enter correct time value" sqref="E6 F6" xr:uid="{6A0F2C28-6A29-294C-826D-81A8B5F92F9D}">
      <formula1>D7</formula1>
    </dataValidation>
    <dataValidation type="time" operator="greaterThan" allowBlank="1" showInputMessage="1" showErrorMessage="1" errorTitle="Invalid time" error="Please enter correct time value" sqref="E7" xr:uid="{43079D70-8C94-EA47-AF1F-7E30D0E472DA}">
      <formula1>E7</formula1>
    </dataValidation>
    <dataValidation type="time" operator="greaterThan" allowBlank="1" showInputMessage="1" showErrorMessage="1" errorTitle="Invalid time" error="Please enter correct time value" sqref="F7" xr:uid="{146FDD65-8D4F-5247-ABAD-F38F6FCB5FB8}">
      <formula1>F6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12</xdr:col>
                    <xdr:colOff>25400</xdr:colOff>
                    <xdr:row>8</xdr:row>
                    <xdr:rowOff>330200</xdr:rowOff>
                  </from>
                  <to>
                    <xdr:col>12</xdr:col>
                    <xdr:colOff>520700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 moveWithCells="1" sizeWithCells="1">
                  <from>
                    <xdr:col>12</xdr:col>
                    <xdr:colOff>12700</xdr:colOff>
                    <xdr:row>10</xdr:row>
                    <xdr:rowOff>12700</xdr:rowOff>
                  </from>
                  <to>
                    <xdr:col>12</xdr:col>
                    <xdr:colOff>546100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9</xdr:col>
                    <xdr:colOff>25400</xdr:colOff>
                    <xdr:row>9</xdr:row>
                    <xdr:rowOff>342900</xdr:rowOff>
                  </from>
                  <to>
                    <xdr:col>9</xdr:col>
                    <xdr:colOff>520700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Spinner 4">
              <controlPr defaultSize="0" autoPict="0">
                <anchor moveWithCells="1" sizeWithCells="1">
                  <from>
                    <xdr:col>9</xdr:col>
                    <xdr:colOff>25400</xdr:colOff>
                    <xdr:row>11</xdr:row>
                    <xdr:rowOff>25400</xdr:rowOff>
                  </from>
                  <to>
                    <xdr:col>9</xdr:col>
                    <xdr:colOff>546100</xdr:colOff>
                    <xdr:row>11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autoPageBreaks="0"/>
  </sheetPr>
  <dimension ref="B1:W2204"/>
  <sheetViews>
    <sheetView showGridLines="0" topLeftCell="A5" zoomScale="60" zoomScaleNormal="60" workbookViewId="0">
      <selection activeCell="B16" sqref="B16"/>
    </sheetView>
  </sheetViews>
  <sheetFormatPr baseColWidth="10" defaultColWidth="8.83203125" defaultRowHeight="13" x14ac:dyDescent="0.15"/>
  <cols>
    <col min="1" max="1" width="4.6640625" customWidth="1"/>
    <col min="2" max="2" width="24.33203125" customWidth="1"/>
    <col min="3" max="3" width="15.83203125" customWidth="1"/>
    <col min="4" max="4" width="16.6640625" customWidth="1"/>
    <col min="5" max="5" width="20.83203125" customWidth="1"/>
    <col min="6" max="6" width="17.6640625" customWidth="1"/>
    <col min="7" max="7" width="16.83203125" customWidth="1"/>
    <col min="8" max="8" width="12.1640625" customWidth="1"/>
    <col min="9" max="9" width="7.5" customWidth="1"/>
    <col min="10" max="10" width="20.5" customWidth="1"/>
    <col min="11" max="11" width="18.6640625" customWidth="1"/>
    <col min="12" max="12" width="21.1640625" customWidth="1"/>
    <col min="13" max="13" width="19.6640625" customWidth="1"/>
    <col min="14" max="14" width="19.83203125" customWidth="1"/>
    <col min="15" max="15" width="21.33203125" customWidth="1"/>
    <col min="16" max="16" width="7.33203125" customWidth="1"/>
    <col min="17" max="17" width="18.5" customWidth="1"/>
    <col min="18" max="18" width="19.83203125" customWidth="1"/>
    <col min="19" max="19" width="17.83203125" customWidth="1"/>
    <col min="20" max="20" width="19.1640625" customWidth="1"/>
    <col min="21" max="21" width="6.5" customWidth="1"/>
    <col min="22" max="22" width="14.1640625" bestFit="1" customWidth="1"/>
    <col min="23" max="23" width="13.33203125" customWidth="1"/>
  </cols>
  <sheetData>
    <row r="1" spans="2:23" ht="20.25" customHeight="1" x14ac:dyDescent="0.15">
      <c r="L1" s="206" t="str">
        <f>"ATM Cash Transactions From "&amp;TEXT(Start_Date,"m/dd/yyyy")&amp;" to "&amp;TEXT(End_Date,"m/dd/yyyy")</f>
        <v>ATM Cash Transactions From 10/01/2015 to 12/31/2015</v>
      </c>
    </row>
    <row r="2" spans="2:23" ht="61.5" customHeight="1" x14ac:dyDescent="0.15">
      <c r="B2" s="118"/>
      <c r="C2" s="119"/>
      <c r="D2" s="119"/>
      <c r="E2" s="119"/>
      <c r="F2" s="119"/>
      <c r="G2" s="119"/>
      <c r="H2" s="129"/>
      <c r="J2" s="118"/>
      <c r="K2" s="119"/>
      <c r="L2" s="119"/>
      <c r="M2" s="119"/>
      <c r="N2" s="120"/>
      <c r="O2" s="119"/>
      <c r="P2" s="119"/>
      <c r="Q2" s="119"/>
      <c r="R2" s="119"/>
      <c r="S2" s="119"/>
      <c r="T2" s="119"/>
      <c r="U2" s="129"/>
    </row>
    <row r="3" spans="2:23" ht="59.25" customHeight="1" x14ac:dyDescent="0.15">
      <c r="B3" s="130" t="s">
        <v>129</v>
      </c>
      <c r="C3" s="57" t="str">
        <f>Selected_ATM</f>
        <v>OP00929</v>
      </c>
      <c r="D3" s="134" t="s">
        <v>145</v>
      </c>
      <c r="E3" s="34">
        <f>INT(MIN(Timestamp))</f>
        <v>42278</v>
      </c>
      <c r="F3" s="134" t="s">
        <v>146</v>
      </c>
      <c r="G3" s="34">
        <f>INT(MAX(Timestamp))</f>
        <v>42369</v>
      </c>
      <c r="H3" s="126"/>
      <c r="J3" s="121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6"/>
    </row>
    <row r="4" spans="2:23" ht="11.25" customHeight="1" thickBot="1" x14ac:dyDescent="0.2">
      <c r="B4" s="130"/>
      <c r="C4" s="131"/>
      <c r="D4" s="131"/>
      <c r="E4" s="131"/>
      <c r="F4" s="131"/>
      <c r="G4" s="131"/>
      <c r="H4" s="126"/>
      <c r="J4" s="121"/>
      <c r="K4" s="123"/>
      <c r="L4" s="122"/>
      <c r="M4" s="122"/>
      <c r="N4" s="122"/>
      <c r="O4" s="122"/>
      <c r="P4" s="122"/>
      <c r="Q4" s="122"/>
      <c r="R4" s="122"/>
      <c r="S4" s="122"/>
      <c r="T4" s="122"/>
      <c r="U4" s="126"/>
    </row>
    <row r="5" spans="2:23" ht="57.75" customHeight="1" x14ac:dyDescent="0.25">
      <c r="B5" s="104" t="s">
        <v>65</v>
      </c>
      <c r="C5" s="102" t="str">
        <f>COUNTA(Selected_Days)&amp;" Days Selected"</f>
        <v>2 Days Selected</v>
      </c>
      <c r="D5" s="17" t="s">
        <v>5</v>
      </c>
      <c r="E5" s="107" t="s">
        <v>151</v>
      </c>
      <c r="F5" s="109" t="s">
        <v>16</v>
      </c>
      <c r="G5" s="110" t="s">
        <v>18</v>
      </c>
      <c r="H5" s="126"/>
      <c r="J5" s="121"/>
      <c r="K5" s="122"/>
      <c r="L5" s="122"/>
      <c r="M5" s="122"/>
      <c r="N5" s="122"/>
      <c r="O5" s="122"/>
      <c r="P5" s="122"/>
      <c r="Q5" s="122"/>
      <c r="R5" s="122"/>
      <c r="S5" s="21" t="s">
        <v>157</v>
      </c>
      <c r="T5" s="22"/>
      <c r="U5" s="126"/>
      <c r="V5" s="234" t="s">
        <v>559</v>
      </c>
      <c r="W5" s="235"/>
    </row>
    <row r="6" spans="2:23" ht="43.5" customHeight="1" x14ac:dyDescent="0.2">
      <c r="B6" s="105"/>
      <c r="C6" s="103" t="s">
        <v>17</v>
      </c>
      <c r="D6" s="25" t="s">
        <v>7</v>
      </c>
      <c r="E6" s="108">
        <f>INDEX('Enter Parameters'!$D$9:$F$15,MATCH(D6,'Enter Parameters'!$C$9:$C$15,0),MATCH(F6,'Enter Parameters'!$D$6:$F$6,1))</f>
        <v>20</v>
      </c>
      <c r="F6" s="111">
        <v>0.16666666666666666</v>
      </c>
      <c r="G6" s="112">
        <v>11000</v>
      </c>
      <c r="H6" s="132"/>
      <c r="J6" s="121"/>
      <c r="K6" s="122"/>
      <c r="L6" s="122"/>
      <c r="M6" s="122"/>
      <c r="N6" s="122"/>
      <c r="O6" s="60" t="s">
        <v>155</v>
      </c>
      <c r="P6" s="122"/>
      <c r="Q6" s="122"/>
      <c r="R6" s="191" t="str">
        <f>(End_Date-Start_Date+1)&amp; "-Day Transaction Period Totals"</f>
        <v>92-Day Transaction Period Totals</v>
      </c>
      <c r="S6" s="192" t="s">
        <v>158</v>
      </c>
      <c r="T6" s="193" t="s">
        <v>22</v>
      </c>
      <c r="U6" s="126"/>
      <c r="V6" s="231" t="s">
        <v>560</v>
      </c>
      <c r="W6" s="231" t="s">
        <v>2</v>
      </c>
    </row>
    <row r="7" spans="2:23" ht="43.5" customHeight="1" x14ac:dyDescent="0.15">
      <c r="B7" s="105"/>
      <c r="C7" s="103"/>
      <c r="D7" s="25" t="s">
        <v>8</v>
      </c>
      <c r="E7" s="108">
        <f>INDEX('Enter Parameters'!$D$9:$F$15,MATCH(D7,'Enter Parameters'!$C$9:$C$15,0),MATCH(F7,'Enter Parameters'!$D$6:$F$6,1))</f>
        <v>20</v>
      </c>
      <c r="F7" s="111">
        <v>0.16666666666666666</v>
      </c>
      <c r="G7" s="112">
        <v>16000</v>
      </c>
      <c r="H7" s="132"/>
      <c r="J7" s="121"/>
      <c r="K7" s="122"/>
      <c r="L7" s="122"/>
      <c r="M7" s="122"/>
      <c r="N7" s="122"/>
      <c r="O7" s="63">
        <f>ROWS(R_Schedule_Days)</f>
        <v>26</v>
      </c>
      <c r="P7" s="122"/>
      <c r="Q7" s="18" t="s">
        <v>21</v>
      </c>
      <c r="R7" s="19" t="str">
        <f>TEXT(ROUND(SUM(Time_Since_Last_Transaction),0),"[h]")</f>
        <v>2208</v>
      </c>
      <c r="S7" s="205" t="str">
        <f>TEXT(IF(INDEX(Failed_Transactions,ROWS(Failed_Transactions))="YES",SUM(SUMIF(Failed_Transactions,"=YES",Time_Since_Last_Transaction),((End_Date + Latest_Replenishment_Time)-INDEX(Timestamp,ROWS(Timestamp)))),SUMIF(Failed_Transactions,"=YES",Time_Since_Last_Transaction)),"[h]")</f>
        <v>14</v>
      </c>
      <c r="T7" s="42">
        <f>S7/R7</f>
        <v>6.3405797101449279E-3</v>
      </c>
      <c r="U7" s="126"/>
      <c r="V7" s="232" t="str">
        <f>'Pre-Processing'!S14</f>
        <v>Wednesday</v>
      </c>
      <c r="W7" s="233">
        <f>'Pre-Processing'!T14</f>
        <v>20000</v>
      </c>
    </row>
    <row r="8" spans="2:23" ht="43.5" customHeight="1" x14ac:dyDescent="0.15">
      <c r="B8" s="105"/>
      <c r="C8" s="103" t="s">
        <v>17</v>
      </c>
      <c r="D8" s="25" t="s">
        <v>9</v>
      </c>
      <c r="E8" s="108">
        <f>INDEX('Enter Parameters'!$D$9:$F$15,MATCH(D8,'Enter Parameters'!$C$9:$C$15,0),MATCH(F8,'Enter Parameters'!$D$6:$F$6,1))</f>
        <v>20</v>
      </c>
      <c r="F8" s="111">
        <v>0.70833333333333337</v>
      </c>
      <c r="G8" s="112">
        <v>20000</v>
      </c>
      <c r="H8" s="132"/>
      <c r="J8" s="121"/>
      <c r="K8" s="122"/>
      <c r="L8" s="122"/>
      <c r="M8" s="122"/>
      <c r="N8" s="122"/>
      <c r="O8" s="122"/>
      <c r="P8" s="122"/>
      <c r="Q8" s="33" t="s">
        <v>30</v>
      </c>
      <c r="R8" s="19">
        <f>ROWS(Transaction_Type)</f>
        <v>3637</v>
      </c>
      <c r="S8" s="43">
        <f>COUNTIF(Failed_Transactions,"=YES")</f>
        <v>43</v>
      </c>
      <c r="T8" s="42">
        <f>S8/R8</f>
        <v>1.1822930987077261E-2</v>
      </c>
      <c r="U8" s="126"/>
      <c r="V8" s="232" t="str">
        <f ca="1">'Pre-Processing'!S15</f>
        <v>Monday</v>
      </c>
      <c r="W8" s="233">
        <f ca="1">'Pre-Processing'!T15</f>
        <v>9000</v>
      </c>
    </row>
    <row r="9" spans="2:23" ht="43.5" customHeight="1" x14ac:dyDescent="0.15">
      <c r="B9" s="105"/>
      <c r="C9" s="103"/>
      <c r="D9" s="25" t="s">
        <v>10</v>
      </c>
      <c r="E9" s="108">
        <f>INDEX('Enter Parameters'!$D$9:$F$15,MATCH(D9,'Enter Parameters'!$C$9:$C$15,0),MATCH(F9,'Enter Parameters'!$D$6:$F$6,1))</f>
        <v>25</v>
      </c>
      <c r="F9" s="111">
        <v>0.83333333333333337</v>
      </c>
      <c r="G9" s="112">
        <v>20000</v>
      </c>
      <c r="H9" s="132"/>
      <c r="J9" s="121"/>
      <c r="K9" s="122"/>
      <c r="L9" s="122"/>
      <c r="M9" s="122"/>
      <c r="N9" s="122"/>
      <c r="O9" s="60" t="s">
        <v>144</v>
      </c>
      <c r="P9" s="122"/>
      <c r="Q9" s="33" t="s">
        <v>20</v>
      </c>
      <c r="R9" s="38">
        <f>SUM(Amount)</f>
        <v>366180</v>
      </c>
      <c r="S9" s="44">
        <f>SUMIFS(Amount,Failed_Transactions,"=YES")</f>
        <v>5160</v>
      </c>
      <c r="T9" s="42">
        <f>S9/R9</f>
        <v>1.4091430444043913E-2</v>
      </c>
      <c r="U9" s="126"/>
      <c r="V9" s="232" t="str">
        <f ca="1">'Pre-Processing'!S16</f>
        <v/>
      </c>
      <c r="W9" s="233" t="str">
        <f ca="1">'Pre-Processing'!T16</f>
        <v/>
      </c>
    </row>
    <row r="10" spans="2:23" ht="43.5" customHeight="1" thickBot="1" x14ac:dyDescent="0.2">
      <c r="B10" s="105"/>
      <c r="C10" s="103"/>
      <c r="D10" s="25" t="s">
        <v>11</v>
      </c>
      <c r="E10" s="108">
        <f>INDEX('Enter Parameters'!$D$9:$F$15,MATCH(D10,'Enter Parameters'!$C$9:$C$15,0),MATCH(F10,'Enter Parameters'!$D$6:$F$6,1))</f>
        <v>30</v>
      </c>
      <c r="F10" s="111">
        <v>0.70833333333333337</v>
      </c>
      <c r="G10" s="112">
        <v>12000</v>
      </c>
      <c r="H10" s="132"/>
      <c r="J10" s="121"/>
      <c r="K10" s="122"/>
      <c r="L10" s="122"/>
      <c r="M10" s="122"/>
      <c r="N10" s="122"/>
      <c r="O10" s="62">
        <f>((SUMPRODUCT(Time_Since_Last_Transaction,ATM_Cash_Before_Transaction))+((End_Date- INDEX(Timestamp,COUNTA(Timestamp)))*INDEX(ATM_Cash_After_Transaction,ROWS(ATM_Cash_After_Transaction))))/(End_Date-Start_Date+1)</f>
        <v>9068.7161426050716</v>
      </c>
      <c r="P10" s="122"/>
      <c r="Q10" s="33" t="s">
        <v>23</v>
      </c>
      <c r="R10" s="37">
        <f>SUM(Transaction_Fee)</f>
        <v>1734.0999999999995</v>
      </c>
      <c r="S10" s="45">
        <f>SUMIFS(Transaction_Fee,Failed_Transactions,"=YES")</f>
        <v>14.7</v>
      </c>
      <c r="T10" s="101">
        <f>S10/R10</f>
        <v>8.4770197797128209E-3</v>
      </c>
      <c r="U10" s="126"/>
      <c r="V10" s="232" t="str">
        <f ca="1">'Pre-Processing'!S17</f>
        <v/>
      </c>
      <c r="W10" s="233" t="str">
        <f ca="1">'Pre-Processing'!T17</f>
        <v/>
      </c>
    </row>
    <row r="11" spans="2:23" ht="43.5" customHeight="1" thickBot="1" x14ac:dyDescent="0.2">
      <c r="B11" s="105"/>
      <c r="C11" s="103"/>
      <c r="D11" s="25" t="s">
        <v>12</v>
      </c>
      <c r="E11" s="108">
        <f>INDEX('Enter Parameters'!$D$9:$F$15,MATCH(D11,'Enter Parameters'!$C$9:$C$15,0),MATCH(F11,'Enter Parameters'!$D$6:$F$6,1))</f>
        <v>30</v>
      </c>
      <c r="F11" s="111">
        <v>0.58333333333333304</v>
      </c>
      <c r="G11" s="112">
        <v>11000</v>
      </c>
      <c r="H11" s="132"/>
      <c r="J11" s="121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6"/>
      <c r="V11" s="232" t="str">
        <f ca="1">'Pre-Processing'!S18</f>
        <v/>
      </c>
      <c r="W11" s="233" t="str">
        <f ca="1">'Pre-Processing'!T18</f>
        <v/>
      </c>
    </row>
    <row r="12" spans="2:23" ht="43.5" customHeight="1" thickBot="1" x14ac:dyDescent="0.2">
      <c r="B12" s="106"/>
      <c r="C12" s="103"/>
      <c r="D12" s="25" t="s">
        <v>6</v>
      </c>
      <c r="E12" s="108">
        <f>INDEX('Enter Parameters'!$D$9:$F$15,MATCH(D12,'Enter Parameters'!$C$9:$C$15,0),MATCH(F12,'Enter Parameters'!$D$6:$F$6,1))</f>
        <v>30</v>
      </c>
      <c r="F12" s="113">
        <v>0.625</v>
      </c>
      <c r="G12" s="114">
        <v>14000</v>
      </c>
      <c r="H12" s="133"/>
      <c r="J12" s="121"/>
      <c r="K12" s="122"/>
      <c r="L12" s="122"/>
      <c r="M12" s="122"/>
      <c r="N12" s="122"/>
      <c r="O12" s="122"/>
      <c r="P12" s="122"/>
      <c r="Q12" s="123"/>
      <c r="R12" s="13" t="s">
        <v>52</v>
      </c>
      <c r="S12" s="23" t="s">
        <v>51</v>
      </c>
      <c r="T12" s="24"/>
      <c r="U12" s="126"/>
      <c r="V12" s="232" t="str">
        <f ca="1">'Pre-Processing'!S19</f>
        <v/>
      </c>
      <c r="W12" s="233" t="str">
        <f ca="1">'Pre-Processing'!T19</f>
        <v/>
      </c>
    </row>
    <row r="13" spans="2:23" ht="45" customHeight="1" x14ac:dyDescent="0.15">
      <c r="J13" s="121"/>
      <c r="K13" s="40" t="s">
        <v>149</v>
      </c>
      <c r="L13" s="74"/>
      <c r="M13" s="75" t="s">
        <v>156</v>
      </c>
      <c r="N13" s="122"/>
      <c r="O13" s="122"/>
      <c r="P13" s="122"/>
      <c r="Q13" s="123"/>
      <c r="R13" s="194" t="str">
        <f>"Over "&amp;(End_Date-Start_Date+1)&amp; "-Day Transaction Period"</f>
        <v>Over 92-Day Transaction Period</v>
      </c>
      <c r="S13" s="195" t="str">
        <f>"Over "&amp;(End_Date-Start_Date+1)&amp; "-Day Transaction Period"</f>
        <v>Over 92-Day Transaction Period</v>
      </c>
      <c r="T13" s="196" t="s">
        <v>131</v>
      </c>
      <c r="U13" s="127"/>
      <c r="V13" s="232" t="str">
        <f ca="1">'Pre-Processing'!S20</f>
        <v/>
      </c>
      <c r="W13" s="233" t="str">
        <f ca="1">'Pre-Processing'!T20</f>
        <v/>
      </c>
    </row>
    <row r="14" spans="2:23" ht="48.75" customHeight="1" x14ac:dyDescent="0.15">
      <c r="B14" s="188" t="s">
        <v>66</v>
      </c>
      <c r="C14" s="189"/>
      <c r="D14" s="189"/>
      <c r="E14" s="189"/>
      <c r="F14" s="189"/>
      <c r="G14" s="190"/>
      <c r="J14" s="121"/>
      <c r="K14" s="46">
        <f ca="1">T18</f>
        <v>1093.9695902304511</v>
      </c>
      <c r="L14" s="41"/>
      <c r="M14" s="76">
        <f>T8</f>
        <v>1.1822930987077261E-2</v>
      </c>
      <c r="N14" s="78" t="str">
        <f>IF(M14&gt;FCI_Limit,"Above "&amp;FCI_Limit*100&amp;"% FCI Limit","Within "&amp;FCI_Limit*100&amp;"% FCI Limit")</f>
        <v>Within 2% FCI Limit</v>
      </c>
      <c r="O14" s="122"/>
      <c r="P14" s="122"/>
      <c r="Q14" s="33" t="s">
        <v>60</v>
      </c>
      <c r="R14" s="64">
        <f>R10-S10</f>
        <v>1719.3999999999994</v>
      </c>
      <c r="S14" s="65">
        <f>R14-(Marginal_Tax_Rate*R14)</f>
        <v>1358.3259999999996</v>
      </c>
      <c r="T14" s="66">
        <f>(S14/(End_Date-Start_Date+1))*365</f>
        <v>5389.0107608695635</v>
      </c>
      <c r="U14" s="127"/>
    </row>
    <row r="15" spans="2:23" ht="48.75" customHeight="1" x14ac:dyDescent="0.15">
      <c r="B15" s="1" t="s">
        <v>5</v>
      </c>
      <c r="C15" s="1" t="s">
        <v>55</v>
      </c>
      <c r="D15" s="1" t="s">
        <v>56</v>
      </c>
      <c r="E15" s="1" t="s">
        <v>53</v>
      </c>
      <c r="F15" s="1" t="s">
        <v>62</v>
      </c>
      <c r="G15" s="1" t="s">
        <v>54</v>
      </c>
      <c r="J15" s="121"/>
      <c r="K15" s="122"/>
      <c r="L15" s="122"/>
      <c r="M15" s="122"/>
      <c r="N15" s="122"/>
      <c r="O15" s="122"/>
      <c r="P15" s="122"/>
      <c r="Q15" s="33" t="s">
        <v>62</v>
      </c>
      <c r="R15" s="67">
        <f>SUM(R_Schedule_Costs)*-1</f>
        <v>-520</v>
      </c>
      <c r="S15" s="68">
        <f>R15-(Marginal_Tax_Rate*R15)</f>
        <v>-410.8</v>
      </c>
      <c r="T15" s="69">
        <f>((S15/(End_Date-Start_Date+1))*52)*7</f>
        <v>-1625.3391304347826</v>
      </c>
      <c r="U15" s="127"/>
    </row>
    <row r="16" spans="2:23" ht="48.75" customHeight="1" x14ac:dyDescent="0.15">
      <c r="B16" s="3" t="s">
        <v>7</v>
      </c>
      <c r="C16" s="14">
        <v>42282</v>
      </c>
      <c r="D16" s="15">
        <f t="shared" ref="D16:D41" si="0">INDEX(R_Times,MATCH($B16,R_Days,0))</f>
        <v>0.16666666666666666</v>
      </c>
      <c r="E16" s="16">
        <f>C16+D16</f>
        <v>42282.166666666664</v>
      </c>
      <c r="F16" s="61">
        <f t="shared" ref="F16:F41" si="1">INDEX(R_Costs,MATCH($B16,R_Days,0))</f>
        <v>20</v>
      </c>
      <c r="G16" s="32">
        <f t="shared" ref="G16:G41" si="2">INDEX(R_Amounts,MATCH($B16,R_Days,0))</f>
        <v>11000</v>
      </c>
      <c r="J16" s="121"/>
      <c r="K16" s="122"/>
      <c r="L16" s="122"/>
      <c r="M16" s="122"/>
      <c r="N16" s="122"/>
      <c r="O16" s="122"/>
      <c r="P16" s="122"/>
      <c r="Q16" s="33" t="s">
        <v>61</v>
      </c>
      <c r="R16" s="67">
        <f>(((Opp_CC/365)*91)*Average_ATM_Cash_On_Hand)*-1</f>
        <v>-135.65805517431147</v>
      </c>
      <c r="S16" s="70">
        <f>R16</f>
        <v>-135.65805517431147</v>
      </c>
      <c r="T16" s="69">
        <f>(S16/(End_Date-Start_Date+1))*365</f>
        <v>-538.20858846330088</v>
      </c>
      <c r="U16" s="127"/>
    </row>
    <row r="17" spans="2:21" ht="48.75" customHeight="1" thickBot="1" x14ac:dyDescent="0.2">
      <c r="B17" s="3" t="s">
        <v>9</v>
      </c>
      <c r="C17" s="14">
        <v>42284</v>
      </c>
      <c r="D17" s="15">
        <f t="shared" si="0"/>
        <v>0.70833333333333337</v>
      </c>
      <c r="E17" s="16">
        <f t="shared" ref="E17:E41" si="3">C17+D17</f>
        <v>42284.708333333336</v>
      </c>
      <c r="F17" s="61">
        <f t="shared" si="1"/>
        <v>20</v>
      </c>
      <c r="G17" s="32">
        <f t="shared" si="2"/>
        <v>20000</v>
      </c>
      <c r="J17" s="121"/>
      <c r="K17" s="122"/>
      <c r="L17" s="122"/>
      <c r="M17" s="122"/>
      <c r="N17" s="122"/>
      <c r="O17" s="122"/>
      <c r="P17" s="122"/>
      <c r="Q17" s="33" t="s">
        <v>63</v>
      </c>
      <c r="R17" s="115">
        <f ca="1">Transaction_Period_Ownership_Cost</f>
        <v>-537.25314400047864</v>
      </c>
      <c r="S17" s="116">
        <f ca="1">R17</f>
        <v>-537.25314400047864</v>
      </c>
      <c r="T17" s="117">
        <f ca="1">(S17/(End_Date-Start_Date+1))*365</f>
        <v>-2131.4934517410293</v>
      </c>
      <c r="U17" s="127"/>
    </row>
    <row r="18" spans="2:21" ht="48.75" customHeight="1" thickTop="1" thickBot="1" x14ac:dyDescent="0.2">
      <c r="B18" s="3" t="s">
        <v>7</v>
      </c>
      <c r="C18" s="14">
        <v>42289</v>
      </c>
      <c r="D18" s="15">
        <f t="shared" si="0"/>
        <v>0.16666666666666666</v>
      </c>
      <c r="E18" s="16">
        <f t="shared" si="3"/>
        <v>42289.166666666664</v>
      </c>
      <c r="F18" s="61">
        <f t="shared" si="1"/>
        <v>20</v>
      </c>
      <c r="G18" s="32">
        <f t="shared" si="2"/>
        <v>11000</v>
      </c>
      <c r="J18" s="121"/>
      <c r="K18" s="122"/>
      <c r="L18" s="122"/>
      <c r="M18" s="122"/>
      <c r="N18" s="122"/>
      <c r="O18" s="122"/>
      <c r="P18" s="122"/>
      <c r="Q18" s="39" t="s">
        <v>64</v>
      </c>
      <c r="R18" s="71">
        <f ca="1">SUM(R14:R17)</f>
        <v>526.48880082520918</v>
      </c>
      <c r="S18" s="72">
        <f ca="1">SUM(S14:S17)</f>
        <v>274.6148008252095</v>
      </c>
      <c r="T18" s="73">
        <f ca="1">SUM(T14:T17)</f>
        <v>1093.9695902304511</v>
      </c>
      <c r="U18" s="127"/>
    </row>
    <row r="19" spans="2:21" ht="14.25" customHeight="1" x14ac:dyDescent="0.15">
      <c r="B19" s="3" t="s">
        <v>9</v>
      </c>
      <c r="C19" s="14">
        <v>42291</v>
      </c>
      <c r="D19" s="15">
        <f t="shared" si="0"/>
        <v>0.70833333333333337</v>
      </c>
      <c r="E19" s="16">
        <f t="shared" si="3"/>
        <v>42291.708333333336</v>
      </c>
      <c r="F19" s="61">
        <f t="shared" si="1"/>
        <v>20</v>
      </c>
      <c r="G19" s="32">
        <f t="shared" si="2"/>
        <v>20000</v>
      </c>
      <c r="J19" s="121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7"/>
    </row>
    <row r="20" spans="2:21" ht="14.25" customHeight="1" x14ac:dyDescent="0.15">
      <c r="B20" s="3" t="s">
        <v>7</v>
      </c>
      <c r="C20" s="14">
        <v>42296</v>
      </c>
      <c r="D20" s="15">
        <f t="shared" si="0"/>
        <v>0.16666666666666666</v>
      </c>
      <c r="E20" s="16">
        <f t="shared" si="3"/>
        <v>42296.166666666664</v>
      </c>
      <c r="F20" s="61">
        <f t="shared" si="1"/>
        <v>20</v>
      </c>
      <c r="G20" s="32">
        <f t="shared" si="2"/>
        <v>11000</v>
      </c>
      <c r="J20" s="121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7"/>
    </row>
    <row r="21" spans="2:21" ht="14.25" customHeight="1" x14ac:dyDescent="0.15">
      <c r="B21" s="3" t="s">
        <v>9</v>
      </c>
      <c r="C21" s="14">
        <v>42298</v>
      </c>
      <c r="D21" s="15">
        <f t="shared" si="0"/>
        <v>0.70833333333333337</v>
      </c>
      <c r="E21" s="16">
        <f t="shared" si="3"/>
        <v>42298.708333333336</v>
      </c>
      <c r="F21" s="61">
        <f t="shared" si="1"/>
        <v>20</v>
      </c>
      <c r="G21" s="32">
        <f t="shared" si="2"/>
        <v>20000</v>
      </c>
      <c r="J21" s="121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7"/>
    </row>
    <row r="22" spans="2:21" ht="14.25" customHeight="1" x14ac:dyDescent="0.15">
      <c r="B22" s="3" t="s">
        <v>7</v>
      </c>
      <c r="C22" s="14">
        <v>42303</v>
      </c>
      <c r="D22" s="15">
        <f t="shared" si="0"/>
        <v>0.16666666666666666</v>
      </c>
      <c r="E22" s="16">
        <f t="shared" si="3"/>
        <v>42303.166666666664</v>
      </c>
      <c r="F22" s="61">
        <f t="shared" si="1"/>
        <v>20</v>
      </c>
      <c r="G22" s="32">
        <f t="shared" si="2"/>
        <v>11000</v>
      </c>
      <c r="J22" s="121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7"/>
    </row>
    <row r="23" spans="2:21" ht="14.25" customHeight="1" x14ac:dyDescent="0.15">
      <c r="B23" s="3" t="s">
        <v>9</v>
      </c>
      <c r="C23" s="14">
        <v>42305</v>
      </c>
      <c r="D23" s="15">
        <f t="shared" si="0"/>
        <v>0.70833333333333337</v>
      </c>
      <c r="E23" s="16">
        <f t="shared" si="3"/>
        <v>42305.708333333336</v>
      </c>
      <c r="F23" s="61">
        <f t="shared" si="1"/>
        <v>20</v>
      </c>
      <c r="G23" s="32">
        <f t="shared" si="2"/>
        <v>20000</v>
      </c>
      <c r="J23" s="121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7"/>
    </row>
    <row r="24" spans="2:21" ht="14.25" customHeight="1" x14ac:dyDescent="0.15">
      <c r="B24" s="3" t="s">
        <v>7</v>
      </c>
      <c r="C24" s="14">
        <v>42310</v>
      </c>
      <c r="D24" s="15">
        <f t="shared" si="0"/>
        <v>0.16666666666666666</v>
      </c>
      <c r="E24" s="16">
        <f t="shared" si="3"/>
        <v>42310.166666666664</v>
      </c>
      <c r="F24" s="61">
        <f t="shared" si="1"/>
        <v>20</v>
      </c>
      <c r="G24" s="32">
        <f t="shared" si="2"/>
        <v>11000</v>
      </c>
      <c r="J24" s="121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7"/>
    </row>
    <row r="25" spans="2:21" ht="14.25" customHeight="1" x14ac:dyDescent="0.15">
      <c r="B25" s="3" t="s">
        <v>9</v>
      </c>
      <c r="C25" s="14">
        <v>42312</v>
      </c>
      <c r="D25" s="15">
        <f t="shared" si="0"/>
        <v>0.70833333333333337</v>
      </c>
      <c r="E25" s="16">
        <f t="shared" si="3"/>
        <v>42312.708333333336</v>
      </c>
      <c r="F25" s="61">
        <f t="shared" si="1"/>
        <v>20</v>
      </c>
      <c r="G25" s="32">
        <f t="shared" si="2"/>
        <v>20000</v>
      </c>
      <c r="J25" s="124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8"/>
    </row>
    <row r="26" spans="2:21" ht="14.25" customHeight="1" x14ac:dyDescent="0.15">
      <c r="B26" s="3" t="s">
        <v>7</v>
      </c>
      <c r="C26" s="14">
        <v>42317</v>
      </c>
      <c r="D26" s="15">
        <f t="shared" si="0"/>
        <v>0.16666666666666666</v>
      </c>
      <c r="E26" s="16">
        <f t="shared" si="3"/>
        <v>42317.166666666664</v>
      </c>
      <c r="F26" s="61">
        <f t="shared" si="1"/>
        <v>20</v>
      </c>
      <c r="G26" s="32">
        <f t="shared" si="2"/>
        <v>11000</v>
      </c>
    </row>
    <row r="27" spans="2:21" ht="14.25" customHeight="1" x14ac:dyDescent="0.15">
      <c r="B27" s="3" t="s">
        <v>9</v>
      </c>
      <c r="C27" s="14">
        <v>42319</v>
      </c>
      <c r="D27" s="15">
        <f t="shared" si="0"/>
        <v>0.70833333333333337</v>
      </c>
      <c r="E27" s="16">
        <f t="shared" si="3"/>
        <v>42319.708333333336</v>
      </c>
      <c r="F27" s="61">
        <f t="shared" si="1"/>
        <v>20</v>
      </c>
      <c r="G27" s="32">
        <f t="shared" si="2"/>
        <v>20000</v>
      </c>
    </row>
    <row r="28" spans="2:21" ht="14.25" customHeight="1" x14ac:dyDescent="0.15">
      <c r="B28" s="3" t="s">
        <v>7</v>
      </c>
      <c r="C28" s="14">
        <v>42324</v>
      </c>
      <c r="D28" s="15">
        <f t="shared" si="0"/>
        <v>0.16666666666666666</v>
      </c>
      <c r="E28" s="16">
        <f t="shared" si="3"/>
        <v>42324.166666666664</v>
      </c>
      <c r="F28" s="61">
        <f t="shared" si="1"/>
        <v>20</v>
      </c>
      <c r="G28" s="32">
        <f t="shared" si="2"/>
        <v>11000</v>
      </c>
    </row>
    <row r="29" spans="2:21" ht="13.5" customHeight="1" x14ac:dyDescent="0.15">
      <c r="B29" s="3" t="s">
        <v>9</v>
      </c>
      <c r="C29" s="14">
        <v>42326</v>
      </c>
      <c r="D29" s="15">
        <f t="shared" si="0"/>
        <v>0.70833333333333337</v>
      </c>
      <c r="E29" s="16">
        <f t="shared" si="3"/>
        <v>42326.708333333336</v>
      </c>
      <c r="F29" s="61">
        <f t="shared" si="1"/>
        <v>20</v>
      </c>
      <c r="G29" s="32">
        <f t="shared" si="2"/>
        <v>20000</v>
      </c>
    </row>
    <row r="30" spans="2:21" ht="13.5" customHeight="1" x14ac:dyDescent="0.15">
      <c r="B30" s="3" t="s">
        <v>7</v>
      </c>
      <c r="C30" s="14">
        <v>42331</v>
      </c>
      <c r="D30" s="15">
        <f t="shared" si="0"/>
        <v>0.16666666666666666</v>
      </c>
      <c r="E30" s="16">
        <f t="shared" si="3"/>
        <v>42331.166666666664</v>
      </c>
      <c r="F30" s="61">
        <f t="shared" si="1"/>
        <v>20</v>
      </c>
      <c r="G30" s="32">
        <f t="shared" si="2"/>
        <v>11000</v>
      </c>
    </row>
    <row r="31" spans="2:21" ht="13.5" customHeight="1" x14ac:dyDescent="0.15">
      <c r="B31" s="3" t="s">
        <v>9</v>
      </c>
      <c r="C31" s="14">
        <v>42333</v>
      </c>
      <c r="D31" s="15">
        <f t="shared" si="0"/>
        <v>0.70833333333333337</v>
      </c>
      <c r="E31" s="16">
        <f t="shared" si="3"/>
        <v>42333.708333333336</v>
      </c>
      <c r="F31" s="61">
        <f t="shared" si="1"/>
        <v>20</v>
      </c>
      <c r="G31" s="32">
        <f t="shared" si="2"/>
        <v>20000</v>
      </c>
    </row>
    <row r="32" spans="2:21" ht="13.5" customHeight="1" x14ac:dyDescent="0.15">
      <c r="B32" s="3" t="s">
        <v>7</v>
      </c>
      <c r="C32" s="14">
        <v>42338</v>
      </c>
      <c r="D32" s="15">
        <f t="shared" si="0"/>
        <v>0.16666666666666666</v>
      </c>
      <c r="E32" s="16">
        <f t="shared" si="3"/>
        <v>42338.166666666664</v>
      </c>
      <c r="F32" s="61">
        <f t="shared" si="1"/>
        <v>20</v>
      </c>
      <c r="G32" s="32">
        <f t="shared" si="2"/>
        <v>11000</v>
      </c>
    </row>
    <row r="33" spans="2:7" ht="13.5" customHeight="1" x14ac:dyDescent="0.15">
      <c r="B33" s="3" t="s">
        <v>9</v>
      </c>
      <c r="C33" s="14">
        <v>42340</v>
      </c>
      <c r="D33" s="15">
        <f t="shared" si="0"/>
        <v>0.70833333333333337</v>
      </c>
      <c r="E33" s="16">
        <f t="shared" si="3"/>
        <v>42340.708333333336</v>
      </c>
      <c r="F33" s="61">
        <f t="shared" si="1"/>
        <v>20</v>
      </c>
      <c r="G33" s="32">
        <f t="shared" si="2"/>
        <v>20000</v>
      </c>
    </row>
    <row r="34" spans="2:7" ht="13.5" customHeight="1" x14ac:dyDescent="0.15">
      <c r="B34" s="3" t="s">
        <v>7</v>
      </c>
      <c r="C34" s="14">
        <v>42345</v>
      </c>
      <c r="D34" s="15">
        <f t="shared" si="0"/>
        <v>0.16666666666666666</v>
      </c>
      <c r="E34" s="16">
        <f t="shared" si="3"/>
        <v>42345.166666666664</v>
      </c>
      <c r="F34" s="61">
        <f t="shared" si="1"/>
        <v>20</v>
      </c>
      <c r="G34" s="32">
        <f t="shared" si="2"/>
        <v>11000</v>
      </c>
    </row>
    <row r="35" spans="2:7" ht="13.5" customHeight="1" x14ac:dyDescent="0.15">
      <c r="B35" s="3" t="s">
        <v>9</v>
      </c>
      <c r="C35" s="14">
        <v>42347</v>
      </c>
      <c r="D35" s="15">
        <f t="shared" si="0"/>
        <v>0.70833333333333337</v>
      </c>
      <c r="E35" s="16">
        <f t="shared" si="3"/>
        <v>42347.708333333336</v>
      </c>
      <c r="F35" s="61">
        <f t="shared" si="1"/>
        <v>20</v>
      </c>
      <c r="G35" s="32">
        <f t="shared" si="2"/>
        <v>20000</v>
      </c>
    </row>
    <row r="36" spans="2:7" ht="13.5" customHeight="1" x14ac:dyDescent="0.15">
      <c r="B36" s="3" t="s">
        <v>7</v>
      </c>
      <c r="C36" s="14">
        <v>42352</v>
      </c>
      <c r="D36" s="15">
        <f t="shared" si="0"/>
        <v>0.16666666666666666</v>
      </c>
      <c r="E36" s="16">
        <f t="shared" si="3"/>
        <v>42352.166666666664</v>
      </c>
      <c r="F36" s="61">
        <f t="shared" si="1"/>
        <v>20</v>
      </c>
      <c r="G36" s="32">
        <f t="shared" si="2"/>
        <v>11000</v>
      </c>
    </row>
    <row r="37" spans="2:7" ht="13.5" customHeight="1" x14ac:dyDescent="0.15">
      <c r="B37" s="3" t="s">
        <v>9</v>
      </c>
      <c r="C37" s="14">
        <v>42354</v>
      </c>
      <c r="D37" s="15">
        <f t="shared" si="0"/>
        <v>0.70833333333333337</v>
      </c>
      <c r="E37" s="16">
        <f t="shared" si="3"/>
        <v>42354.708333333336</v>
      </c>
      <c r="F37" s="61">
        <f t="shared" si="1"/>
        <v>20</v>
      </c>
      <c r="G37" s="32">
        <f t="shared" si="2"/>
        <v>20000</v>
      </c>
    </row>
    <row r="38" spans="2:7" ht="13.5" customHeight="1" x14ac:dyDescent="0.15">
      <c r="B38" s="3" t="s">
        <v>7</v>
      </c>
      <c r="C38" s="14">
        <v>42359</v>
      </c>
      <c r="D38" s="15">
        <f t="shared" si="0"/>
        <v>0.16666666666666666</v>
      </c>
      <c r="E38" s="16">
        <f t="shared" si="3"/>
        <v>42359.166666666664</v>
      </c>
      <c r="F38" s="61">
        <f t="shared" si="1"/>
        <v>20</v>
      </c>
      <c r="G38" s="32">
        <f t="shared" si="2"/>
        <v>11000</v>
      </c>
    </row>
    <row r="39" spans="2:7" ht="13.5" customHeight="1" x14ac:dyDescent="0.15">
      <c r="B39" s="3" t="s">
        <v>9</v>
      </c>
      <c r="C39" s="14">
        <v>42361</v>
      </c>
      <c r="D39" s="15">
        <f t="shared" si="0"/>
        <v>0.70833333333333337</v>
      </c>
      <c r="E39" s="16">
        <f t="shared" si="3"/>
        <v>42361.708333333336</v>
      </c>
      <c r="F39" s="61">
        <f t="shared" si="1"/>
        <v>20</v>
      </c>
      <c r="G39" s="32">
        <f t="shared" si="2"/>
        <v>20000</v>
      </c>
    </row>
    <row r="40" spans="2:7" ht="13.5" customHeight="1" x14ac:dyDescent="0.15">
      <c r="B40" s="3" t="s">
        <v>7</v>
      </c>
      <c r="C40" s="14">
        <v>42366</v>
      </c>
      <c r="D40" s="15">
        <f t="shared" si="0"/>
        <v>0.16666666666666666</v>
      </c>
      <c r="E40" s="16">
        <f t="shared" si="3"/>
        <v>42366.166666666664</v>
      </c>
      <c r="F40" s="61">
        <f t="shared" si="1"/>
        <v>20</v>
      </c>
      <c r="G40" s="32">
        <f t="shared" si="2"/>
        <v>11000</v>
      </c>
    </row>
    <row r="41" spans="2:7" ht="13.5" customHeight="1" x14ac:dyDescent="0.15">
      <c r="B41" s="3" t="s">
        <v>9</v>
      </c>
      <c r="C41" s="14">
        <v>42368</v>
      </c>
      <c r="D41" s="15">
        <f t="shared" si="0"/>
        <v>0.70833333333333337</v>
      </c>
      <c r="E41" s="16">
        <f t="shared" si="3"/>
        <v>42368.708333333336</v>
      </c>
      <c r="F41" s="61">
        <f t="shared" si="1"/>
        <v>20</v>
      </c>
      <c r="G41" s="32">
        <f t="shared" si="2"/>
        <v>20000</v>
      </c>
    </row>
    <row r="42" spans="2:7" ht="13.5" customHeight="1" x14ac:dyDescent="0.15"/>
    <row r="43" spans="2:7" ht="13.5" customHeight="1" x14ac:dyDescent="0.15"/>
    <row r="44" spans="2:7" ht="13.5" customHeight="1" x14ac:dyDescent="0.15"/>
    <row r="45" spans="2:7" ht="13.5" customHeight="1" x14ac:dyDescent="0.15"/>
    <row r="46" spans="2:7" ht="13.5" customHeight="1" x14ac:dyDescent="0.15"/>
    <row r="47" spans="2:7" ht="13.5" customHeight="1" x14ac:dyDescent="0.15"/>
    <row r="48" spans="2:7" ht="13.5" customHeight="1" x14ac:dyDescent="0.15"/>
    <row r="49" ht="13.5" customHeight="1" x14ac:dyDescent="0.15"/>
    <row r="50" ht="13.5" customHeight="1" x14ac:dyDescent="0.15"/>
    <row r="51" ht="13.5" customHeight="1" x14ac:dyDescent="0.15"/>
    <row r="52" ht="13.5" customHeight="1" x14ac:dyDescent="0.15"/>
    <row r="53" ht="13.5" customHeight="1" x14ac:dyDescent="0.15"/>
    <row r="54" ht="13.5" customHeight="1" x14ac:dyDescent="0.15"/>
    <row r="55" ht="13.5" customHeight="1" x14ac:dyDescent="0.15"/>
    <row r="56" ht="13.5" customHeight="1" x14ac:dyDescent="0.15"/>
    <row r="57" ht="13.5" customHeight="1" x14ac:dyDescent="0.15"/>
    <row r="58" ht="13.5" customHeight="1" x14ac:dyDescent="0.15"/>
    <row r="59" ht="13.5" customHeight="1" x14ac:dyDescent="0.15"/>
    <row r="60" ht="13.5" customHeight="1" x14ac:dyDescent="0.15"/>
    <row r="61" ht="13.5" customHeight="1" x14ac:dyDescent="0.15"/>
    <row r="62" ht="13.5" customHeight="1" x14ac:dyDescent="0.15"/>
    <row r="63" ht="13.5" customHeight="1" x14ac:dyDescent="0.15"/>
    <row r="64" ht="13.5" customHeight="1" x14ac:dyDescent="0.15"/>
    <row r="65" ht="13.5" customHeight="1" x14ac:dyDescent="0.15"/>
    <row r="66" ht="13.5" customHeight="1" x14ac:dyDescent="0.15"/>
    <row r="67" ht="13.5" customHeight="1" x14ac:dyDescent="0.15"/>
    <row r="68" ht="13.5" customHeight="1" x14ac:dyDescent="0.15"/>
    <row r="69" ht="13.5" customHeight="1" x14ac:dyDescent="0.15"/>
    <row r="70" ht="13.5" customHeight="1" x14ac:dyDescent="0.15"/>
    <row r="71" ht="13.5" customHeight="1" x14ac:dyDescent="0.15"/>
    <row r="72" ht="13.5" customHeight="1" x14ac:dyDescent="0.15"/>
    <row r="73" ht="13.5" customHeight="1" x14ac:dyDescent="0.15"/>
    <row r="74" ht="13.5" customHeight="1" x14ac:dyDescent="0.15"/>
    <row r="75" ht="13.5" customHeight="1" x14ac:dyDescent="0.15"/>
    <row r="76" ht="13.5" customHeight="1" x14ac:dyDescent="0.15"/>
    <row r="77" ht="13.5" customHeight="1" x14ac:dyDescent="0.15"/>
    <row r="78" ht="13.5" customHeight="1" x14ac:dyDescent="0.15"/>
    <row r="79" ht="13.5" customHeight="1" x14ac:dyDescent="0.15"/>
    <row r="80" ht="13.5" customHeight="1" x14ac:dyDescent="0.15"/>
    <row r="81" ht="13.5" customHeight="1" x14ac:dyDescent="0.15"/>
    <row r="82" ht="13.5" customHeight="1" x14ac:dyDescent="0.15"/>
    <row r="83" ht="13.5" customHeight="1" x14ac:dyDescent="0.15"/>
    <row r="84" ht="13.5" customHeight="1" x14ac:dyDescent="0.15"/>
    <row r="85" ht="13.5" customHeight="1" x14ac:dyDescent="0.15"/>
    <row r="86" ht="13.5" customHeight="1" x14ac:dyDescent="0.15"/>
    <row r="87" ht="13.5" customHeight="1" x14ac:dyDescent="0.15"/>
    <row r="88" ht="13.5" customHeight="1" x14ac:dyDescent="0.15"/>
    <row r="89" ht="13.5" customHeight="1" x14ac:dyDescent="0.15"/>
    <row r="90" ht="13.5" customHeight="1" x14ac:dyDescent="0.15"/>
    <row r="91" ht="13.5" customHeight="1" x14ac:dyDescent="0.15"/>
    <row r="92" ht="13.5" customHeight="1" x14ac:dyDescent="0.15"/>
    <row r="93" ht="13.5" customHeight="1" x14ac:dyDescent="0.15"/>
    <row r="94" ht="13.5" customHeight="1" x14ac:dyDescent="0.15"/>
    <row r="95" ht="13.5" customHeight="1" x14ac:dyDescent="0.15"/>
    <row r="96" ht="13.5" customHeight="1" x14ac:dyDescent="0.15"/>
    <row r="97" ht="13.5" customHeight="1" x14ac:dyDescent="0.15"/>
    <row r="98" ht="13.5" customHeight="1" x14ac:dyDescent="0.15"/>
    <row r="99" ht="13.5" customHeight="1" x14ac:dyDescent="0.15"/>
    <row r="100" ht="13.5" customHeight="1" x14ac:dyDescent="0.15"/>
    <row r="101" ht="13.5" customHeight="1" x14ac:dyDescent="0.15"/>
    <row r="102" ht="13.5" customHeight="1" x14ac:dyDescent="0.15"/>
    <row r="103" ht="13.5" customHeight="1" x14ac:dyDescent="0.15"/>
    <row r="104" ht="13.5" customHeight="1" x14ac:dyDescent="0.15"/>
    <row r="105" ht="13.5" customHeight="1" x14ac:dyDescent="0.15"/>
    <row r="106" ht="13.5" customHeight="1" x14ac:dyDescent="0.15"/>
    <row r="107" ht="13.5" customHeight="1" x14ac:dyDescent="0.15"/>
    <row r="108" ht="13.5" customHeight="1" x14ac:dyDescent="0.15"/>
    <row r="109" ht="13.5" customHeight="1" x14ac:dyDescent="0.15"/>
    <row r="110" ht="13.5" customHeight="1" x14ac:dyDescent="0.15"/>
    <row r="111" ht="13.5" customHeight="1" x14ac:dyDescent="0.15"/>
    <row r="112" ht="13.5" customHeight="1" x14ac:dyDescent="0.15"/>
    <row r="113" ht="13.5" customHeight="1" x14ac:dyDescent="0.15"/>
    <row r="114" ht="13.5" customHeight="1" x14ac:dyDescent="0.15"/>
    <row r="115" ht="13.5" customHeight="1" x14ac:dyDescent="0.15"/>
    <row r="116" ht="13.5" customHeight="1" x14ac:dyDescent="0.15"/>
    <row r="117" ht="13.5" customHeight="1" x14ac:dyDescent="0.15"/>
    <row r="118" ht="13.5" customHeight="1" x14ac:dyDescent="0.15"/>
    <row r="119" ht="13.5" customHeight="1" x14ac:dyDescent="0.15"/>
    <row r="120" ht="13.5" customHeight="1" x14ac:dyDescent="0.15"/>
    <row r="121" ht="13.5" customHeight="1" x14ac:dyDescent="0.15"/>
    <row r="122" ht="13.5" customHeight="1" x14ac:dyDescent="0.15"/>
    <row r="123" ht="13.5" customHeight="1" x14ac:dyDescent="0.15"/>
    <row r="124" ht="13.5" customHeight="1" x14ac:dyDescent="0.15"/>
    <row r="125" ht="13.5" customHeight="1" x14ac:dyDescent="0.15"/>
    <row r="126" ht="13.5" customHeight="1" x14ac:dyDescent="0.15"/>
    <row r="127" ht="13.5" customHeight="1" x14ac:dyDescent="0.15"/>
    <row r="128" ht="13.5" customHeight="1" x14ac:dyDescent="0.15"/>
    <row r="129" ht="13.5" customHeight="1" x14ac:dyDescent="0.15"/>
    <row r="130" ht="13.5" customHeight="1" x14ac:dyDescent="0.15"/>
    <row r="131" ht="13.5" customHeight="1" x14ac:dyDescent="0.15"/>
    <row r="132" ht="13.5" customHeight="1" x14ac:dyDescent="0.15"/>
    <row r="133" ht="13.5" customHeight="1" x14ac:dyDescent="0.15"/>
    <row r="134" ht="13.5" customHeight="1" x14ac:dyDescent="0.15"/>
    <row r="135" ht="13.5" customHeight="1" x14ac:dyDescent="0.15"/>
    <row r="136" ht="13.5" customHeight="1" x14ac:dyDescent="0.15"/>
    <row r="137" ht="13.5" customHeight="1" x14ac:dyDescent="0.15"/>
    <row r="138" ht="13.5" customHeight="1" x14ac:dyDescent="0.15"/>
    <row r="139" ht="13.5" customHeight="1" x14ac:dyDescent="0.15"/>
    <row r="140" ht="13.5" customHeight="1" x14ac:dyDescent="0.15"/>
    <row r="141" ht="13.5" customHeight="1" x14ac:dyDescent="0.15"/>
    <row r="142" ht="13.5" customHeight="1" x14ac:dyDescent="0.15"/>
    <row r="143" ht="13.5" customHeight="1" x14ac:dyDescent="0.15"/>
    <row r="144" ht="13.5" customHeight="1" x14ac:dyDescent="0.15"/>
    <row r="145" ht="13.5" customHeight="1" x14ac:dyDescent="0.15"/>
    <row r="146" ht="13.5" customHeight="1" x14ac:dyDescent="0.15"/>
    <row r="147" ht="13.5" customHeight="1" x14ac:dyDescent="0.15"/>
    <row r="148" ht="13.5" customHeight="1" x14ac:dyDescent="0.15"/>
    <row r="149" ht="13.5" customHeight="1" x14ac:dyDescent="0.15"/>
    <row r="150" ht="13.5" customHeight="1" x14ac:dyDescent="0.15"/>
    <row r="151" ht="13.5" customHeight="1" x14ac:dyDescent="0.15"/>
    <row r="152" ht="13.5" customHeight="1" x14ac:dyDescent="0.15"/>
    <row r="153" ht="13.5" customHeight="1" x14ac:dyDescent="0.15"/>
    <row r="154" ht="13.5" customHeight="1" x14ac:dyDescent="0.15"/>
    <row r="155" ht="13.5" customHeight="1" x14ac:dyDescent="0.15"/>
    <row r="156" ht="13.5" customHeight="1" x14ac:dyDescent="0.15"/>
    <row r="157" ht="13.5" customHeight="1" x14ac:dyDescent="0.15"/>
    <row r="158" ht="13.5" customHeight="1" x14ac:dyDescent="0.15"/>
    <row r="159" ht="13.5" customHeight="1" x14ac:dyDescent="0.15"/>
    <row r="160" ht="13.5" customHeight="1" x14ac:dyDescent="0.15"/>
    <row r="161" ht="13.5" customHeight="1" x14ac:dyDescent="0.15"/>
    <row r="162" ht="13.5" customHeight="1" x14ac:dyDescent="0.15"/>
    <row r="163" ht="13.5" customHeight="1" x14ac:dyDescent="0.15"/>
    <row r="164" ht="13.5" customHeight="1" x14ac:dyDescent="0.15"/>
    <row r="165" ht="13.5" customHeight="1" x14ac:dyDescent="0.15"/>
    <row r="166" ht="13.5" customHeight="1" x14ac:dyDescent="0.15"/>
    <row r="167" ht="13.5" customHeight="1" x14ac:dyDescent="0.15"/>
    <row r="168" ht="13.5" customHeight="1" x14ac:dyDescent="0.15"/>
    <row r="169" ht="13.5" customHeight="1" x14ac:dyDescent="0.15"/>
    <row r="170" ht="13.5" customHeight="1" x14ac:dyDescent="0.15"/>
    <row r="171" ht="13.5" customHeight="1" x14ac:dyDescent="0.15"/>
    <row r="172" ht="13.5" customHeight="1" x14ac:dyDescent="0.15"/>
    <row r="173" ht="13.5" customHeight="1" x14ac:dyDescent="0.15"/>
    <row r="174" ht="13.5" customHeight="1" x14ac:dyDescent="0.15"/>
    <row r="175" ht="13.5" customHeight="1" x14ac:dyDescent="0.15"/>
    <row r="176" ht="13.5" customHeight="1" x14ac:dyDescent="0.15"/>
    <row r="177" ht="13.5" customHeight="1" x14ac:dyDescent="0.15"/>
    <row r="178" ht="13.5" customHeight="1" x14ac:dyDescent="0.15"/>
    <row r="179" ht="13.5" customHeight="1" x14ac:dyDescent="0.15"/>
    <row r="180" ht="13.5" customHeight="1" x14ac:dyDescent="0.15"/>
    <row r="181" ht="13.5" customHeight="1" x14ac:dyDescent="0.15"/>
    <row r="182" ht="13.5" customHeight="1" x14ac:dyDescent="0.15"/>
    <row r="183" ht="13.5" customHeight="1" x14ac:dyDescent="0.15"/>
    <row r="184" ht="13.5" customHeight="1" x14ac:dyDescent="0.15"/>
    <row r="185" ht="13.5" customHeight="1" x14ac:dyDescent="0.15"/>
    <row r="186" ht="13.5" customHeight="1" x14ac:dyDescent="0.15"/>
    <row r="187" ht="13.5" customHeight="1" x14ac:dyDescent="0.15"/>
    <row r="188" ht="13.5" customHeight="1" x14ac:dyDescent="0.15"/>
    <row r="189" ht="13.5" customHeight="1" x14ac:dyDescent="0.15"/>
    <row r="190" ht="13.5" customHeight="1" x14ac:dyDescent="0.15"/>
    <row r="191" ht="13.5" customHeight="1" x14ac:dyDescent="0.15"/>
    <row r="192" ht="13.5" customHeight="1" x14ac:dyDescent="0.15"/>
    <row r="193" ht="13.5" customHeight="1" x14ac:dyDescent="0.15"/>
    <row r="194" ht="13.5" customHeight="1" x14ac:dyDescent="0.15"/>
    <row r="195" ht="13.5" customHeight="1" x14ac:dyDescent="0.15"/>
    <row r="196" ht="13.5" customHeight="1" x14ac:dyDescent="0.15"/>
    <row r="197" ht="13.5" customHeight="1" x14ac:dyDescent="0.15"/>
    <row r="198" ht="13.5" customHeight="1" x14ac:dyDescent="0.15"/>
    <row r="199" ht="13.5" customHeight="1" x14ac:dyDescent="0.15"/>
    <row r="200" ht="13.5" customHeight="1" x14ac:dyDescent="0.15"/>
    <row r="201" ht="13.5" customHeight="1" x14ac:dyDescent="0.15"/>
    <row r="202" ht="13.5" customHeight="1" x14ac:dyDescent="0.15"/>
    <row r="203" ht="13.5" customHeight="1" x14ac:dyDescent="0.15"/>
    <row r="204" ht="13.5" customHeight="1" x14ac:dyDescent="0.15"/>
    <row r="205" ht="13.5" customHeight="1" x14ac:dyDescent="0.15"/>
    <row r="206" ht="13.5" customHeight="1" x14ac:dyDescent="0.15"/>
    <row r="207" ht="13.5" customHeight="1" x14ac:dyDescent="0.15"/>
    <row r="208" ht="13.5" customHeight="1" x14ac:dyDescent="0.15"/>
    <row r="209" ht="13.5" customHeight="1" x14ac:dyDescent="0.15"/>
    <row r="210" ht="13.5" customHeight="1" x14ac:dyDescent="0.15"/>
    <row r="211" ht="13.5" customHeight="1" x14ac:dyDescent="0.15"/>
    <row r="212" ht="13.5" customHeight="1" x14ac:dyDescent="0.15"/>
    <row r="213" ht="13.5" customHeight="1" x14ac:dyDescent="0.15"/>
    <row r="214" ht="13.5" customHeight="1" x14ac:dyDescent="0.15"/>
    <row r="215" ht="13.5" customHeight="1" x14ac:dyDescent="0.15"/>
    <row r="216" ht="13.5" customHeight="1" x14ac:dyDescent="0.15"/>
    <row r="217" ht="13.5" customHeight="1" x14ac:dyDescent="0.15"/>
    <row r="218" ht="13.5" customHeight="1" x14ac:dyDescent="0.15"/>
    <row r="219" ht="13.5" customHeight="1" x14ac:dyDescent="0.15"/>
    <row r="220" ht="13.5" customHeight="1" x14ac:dyDescent="0.15"/>
    <row r="221" ht="13.5" customHeight="1" x14ac:dyDescent="0.15"/>
    <row r="222" ht="13.5" customHeight="1" x14ac:dyDescent="0.15"/>
    <row r="223" ht="13.5" customHeight="1" x14ac:dyDescent="0.15"/>
    <row r="224" ht="13.5" customHeight="1" x14ac:dyDescent="0.15"/>
    <row r="225" ht="13.5" customHeight="1" x14ac:dyDescent="0.15"/>
    <row r="226" ht="13.5" customHeight="1" x14ac:dyDescent="0.15"/>
    <row r="227" ht="13.5" customHeight="1" x14ac:dyDescent="0.15"/>
    <row r="228" ht="13.5" customHeight="1" x14ac:dyDescent="0.15"/>
    <row r="229" ht="13.5" customHeight="1" x14ac:dyDescent="0.15"/>
    <row r="230" ht="13.5" customHeight="1" x14ac:dyDescent="0.15"/>
    <row r="231" ht="13.5" customHeight="1" x14ac:dyDescent="0.15"/>
    <row r="232" ht="13.5" customHeight="1" x14ac:dyDescent="0.15"/>
    <row r="233" ht="13.5" customHeight="1" x14ac:dyDescent="0.15"/>
    <row r="234" ht="13.5" customHeight="1" x14ac:dyDescent="0.15"/>
    <row r="235" ht="13.5" customHeight="1" x14ac:dyDescent="0.15"/>
    <row r="236" ht="13.5" customHeight="1" x14ac:dyDescent="0.15"/>
    <row r="237" ht="13.5" customHeight="1" x14ac:dyDescent="0.15"/>
    <row r="238" ht="13.5" customHeight="1" x14ac:dyDescent="0.15"/>
    <row r="239" ht="13.5" customHeight="1" x14ac:dyDescent="0.15"/>
    <row r="240" ht="13.5" customHeight="1" x14ac:dyDescent="0.15"/>
    <row r="241" ht="13.5" customHeight="1" x14ac:dyDescent="0.15"/>
    <row r="242" ht="13.5" customHeight="1" x14ac:dyDescent="0.15"/>
    <row r="243" ht="13.5" customHeight="1" x14ac:dyDescent="0.15"/>
    <row r="244" ht="13.5" customHeight="1" x14ac:dyDescent="0.15"/>
    <row r="245" ht="13.5" customHeight="1" x14ac:dyDescent="0.15"/>
    <row r="246" ht="13.5" customHeight="1" x14ac:dyDescent="0.15"/>
    <row r="247" ht="13.5" customHeight="1" x14ac:dyDescent="0.15"/>
    <row r="248" ht="13.5" customHeight="1" x14ac:dyDescent="0.15"/>
    <row r="249" ht="13.5" customHeight="1" x14ac:dyDescent="0.15"/>
    <row r="250" ht="13.5" customHeight="1" x14ac:dyDescent="0.15"/>
    <row r="251" ht="13.5" customHeight="1" x14ac:dyDescent="0.15"/>
    <row r="252" ht="13.5" customHeight="1" x14ac:dyDescent="0.15"/>
    <row r="253" ht="13.5" customHeight="1" x14ac:dyDescent="0.15"/>
    <row r="254" ht="13.5" customHeight="1" x14ac:dyDescent="0.15"/>
    <row r="255" ht="13.5" customHeight="1" x14ac:dyDescent="0.15"/>
    <row r="256" ht="13.5" customHeight="1" x14ac:dyDescent="0.15"/>
    <row r="257" ht="13.5" customHeight="1" x14ac:dyDescent="0.15"/>
    <row r="258" ht="13.5" customHeight="1" x14ac:dyDescent="0.15"/>
    <row r="259" ht="13.5" customHeight="1" x14ac:dyDescent="0.15"/>
    <row r="260" ht="13.5" customHeight="1" x14ac:dyDescent="0.15"/>
    <row r="261" ht="13.5" customHeight="1" x14ac:dyDescent="0.15"/>
    <row r="262" ht="13.5" customHeight="1" x14ac:dyDescent="0.15"/>
    <row r="263" ht="13.5" customHeight="1" x14ac:dyDescent="0.15"/>
    <row r="264" ht="13.5" customHeight="1" x14ac:dyDescent="0.15"/>
    <row r="265" ht="13.5" customHeight="1" x14ac:dyDescent="0.15"/>
    <row r="266" ht="13.5" customHeight="1" x14ac:dyDescent="0.15"/>
    <row r="267" ht="13.5" customHeight="1" x14ac:dyDescent="0.15"/>
    <row r="268" ht="13.5" customHeight="1" x14ac:dyDescent="0.15"/>
    <row r="269" ht="13.5" customHeight="1" x14ac:dyDescent="0.15"/>
    <row r="270" ht="13.5" customHeight="1" x14ac:dyDescent="0.15"/>
    <row r="271" ht="13.5" customHeight="1" x14ac:dyDescent="0.15"/>
    <row r="272" ht="13.5" customHeight="1" x14ac:dyDescent="0.15"/>
    <row r="273" ht="13.5" customHeight="1" x14ac:dyDescent="0.15"/>
    <row r="274" ht="13.5" customHeight="1" x14ac:dyDescent="0.15"/>
    <row r="275" ht="13.5" customHeight="1" x14ac:dyDescent="0.15"/>
    <row r="276" ht="13.5" customHeight="1" x14ac:dyDescent="0.15"/>
    <row r="277" ht="13.5" customHeight="1" x14ac:dyDescent="0.15"/>
    <row r="278" ht="13.5" customHeight="1" x14ac:dyDescent="0.15"/>
    <row r="279" ht="13.5" customHeight="1" x14ac:dyDescent="0.15"/>
    <row r="280" ht="13.5" customHeight="1" x14ac:dyDescent="0.15"/>
    <row r="281" ht="13.5" customHeight="1" x14ac:dyDescent="0.15"/>
    <row r="282" ht="13.5" customHeight="1" x14ac:dyDescent="0.15"/>
    <row r="283" ht="13.5" customHeight="1" x14ac:dyDescent="0.15"/>
    <row r="284" ht="13.5" customHeight="1" x14ac:dyDescent="0.15"/>
    <row r="285" ht="13.5" customHeight="1" x14ac:dyDescent="0.15"/>
    <row r="286" ht="13.5" customHeight="1" x14ac:dyDescent="0.15"/>
    <row r="287" ht="13.5" customHeight="1" x14ac:dyDescent="0.15"/>
    <row r="288" ht="13.5" customHeight="1" x14ac:dyDescent="0.15"/>
    <row r="289" ht="13.5" customHeight="1" x14ac:dyDescent="0.15"/>
    <row r="290" ht="13.5" customHeight="1" x14ac:dyDescent="0.15"/>
    <row r="291" ht="13.5" customHeight="1" x14ac:dyDescent="0.15"/>
    <row r="292" ht="13.5" customHeight="1" x14ac:dyDescent="0.15"/>
    <row r="293" ht="13.5" customHeight="1" x14ac:dyDescent="0.15"/>
    <row r="294" ht="13.5" customHeight="1" x14ac:dyDescent="0.15"/>
    <row r="295" ht="13.5" customHeight="1" x14ac:dyDescent="0.15"/>
    <row r="296" ht="13.5" customHeight="1" x14ac:dyDescent="0.15"/>
    <row r="297" ht="13.5" customHeight="1" x14ac:dyDescent="0.15"/>
    <row r="298" ht="13.5" customHeight="1" x14ac:dyDescent="0.15"/>
    <row r="299" ht="13.5" customHeight="1" x14ac:dyDescent="0.15"/>
    <row r="300" ht="13.5" customHeight="1" x14ac:dyDescent="0.15"/>
    <row r="301" ht="13.5" customHeight="1" x14ac:dyDescent="0.15"/>
    <row r="302" ht="13.5" customHeight="1" x14ac:dyDescent="0.15"/>
    <row r="303" ht="13.5" customHeight="1" x14ac:dyDescent="0.15"/>
    <row r="304" ht="13.5" customHeight="1" x14ac:dyDescent="0.15"/>
    <row r="305" ht="13.5" customHeight="1" x14ac:dyDescent="0.15"/>
    <row r="306" ht="13.5" customHeight="1" x14ac:dyDescent="0.15"/>
    <row r="307" ht="13.5" customHeight="1" x14ac:dyDescent="0.15"/>
    <row r="308" ht="13.5" customHeight="1" x14ac:dyDescent="0.15"/>
    <row r="309" ht="13.5" customHeight="1" x14ac:dyDescent="0.15"/>
    <row r="310" ht="13.5" customHeight="1" x14ac:dyDescent="0.15"/>
    <row r="311" ht="13.5" customHeight="1" x14ac:dyDescent="0.15"/>
    <row r="312" ht="13.5" customHeight="1" x14ac:dyDescent="0.15"/>
    <row r="313" ht="13.5" customHeight="1" x14ac:dyDescent="0.15"/>
    <row r="314" ht="13.5" customHeight="1" x14ac:dyDescent="0.15"/>
    <row r="315" ht="13.5" customHeight="1" x14ac:dyDescent="0.15"/>
    <row r="316" ht="13.5" customHeight="1" x14ac:dyDescent="0.15"/>
    <row r="317" ht="13.5" customHeight="1" x14ac:dyDescent="0.15"/>
    <row r="318" ht="13.5" customHeight="1" x14ac:dyDescent="0.15"/>
    <row r="319" ht="13.5" customHeight="1" x14ac:dyDescent="0.15"/>
    <row r="320" ht="13.5" customHeight="1" x14ac:dyDescent="0.15"/>
    <row r="321" ht="13.5" customHeight="1" x14ac:dyDescent="0.15"/>
    <row r="322" ht="13.5" customHeight="1" x14ac:dyDescent="0.15"/>
    <row r="323" ht="13.5" customHeight="1" x14ac:dyDescent="0.15"/>
    <row r="324" ht="13.5" customHeight="1" x14ac:dyDescent="0.15"/>
    <row r="325" ht="13.5" customHeight="1" x14ac:dyDescent="0.15"/>
    <row r="326" ht="13.5" customHeight="1" x14ac:dyDescent="0.15"/>
    <row r="327" ht="13.5" customHeight="1" x14ac:dyDescent="0.15"/>
    <row r="328" ht="13.5" customHeight="1" x14ac:dyDescent="0.15"/>
    <row r="329" ht="13.5" customHeight="1" x14ac:dyDescent="0.15"/>
    <row r="330" ht="13.5" customHeight="1" x14ac:dyDescent="0.15"/>
    <row r="331" ht="13.5" customHeight="1" x14ac:dyDescent="0.15"/>
    <row r="332" ht="13.5" customHeight="1" x14ac:dyDescent="0.15"/>
    <row r="333" ht="13.5" customHeight="1" x14ac:dyDescent="0.15"/>
    <row r="334" ht="13.5" customHeight="1" x14ac:dyDescent="0.15"/>
    <row r="335" ht="13.5" customHeight="1" x14ac:dyDescent="0.15"/>
    <row r="336" ht="13.5" customHeight="1" x14ac:dyDescent="0.15"/>
    <row r="337" ht="13.5" customHeight="1" x14ac:dyDescent="0.15"/>
    <row r="338" ht="13.5" customHeight="1" x14ac:dyDescent="0.15"/>
    <row r="339" ht="13.5" customHeight="1" x14ac:dyDescent="0.15"/>
    <row r="340" ht="13.5" customHeight="1" x14ac:dyDescent="0.15"/>
    <row r="341" ht="13.5" customHeight="1" x14ac:dyDescent="0.15"/>
    <row r="342" ht="13.5" customHeight="1" x14ac:dyDescent="0.15"/>
    <row r="343" ht="13.5" customHeight="1" x14ac:dyDescent="0.15"/>
    <row r="344" ht="13.5" customHeight="1" x14ac:dyDescent="0.15"/>
    <row r="345" ht="13.5" customHeight="1" x14ac:dyDescent="0.15"/>
    <row r="346" ht="13.5" customHeight="1" x14ac:dyDescent="0.15"/>
    <row r="347" ht="13.5" customHeight="1" x14ac:dyDescent="0.15"/>
    <row r="348" ht="13.5" customHeight="1" x14ac:dyDescent="0.15"/>
    <row r="349" ht="13.5" customHeight="1" x14ac:dyDescent="0.15"/>
    <row r="350" ht="13.5" customHeight="1" x14ac:dyDescent="0.15"/>
    <row r="351" ht="13.5" customHeight="1" x14ac:dyDescent="0.15"/>
    <row r="352" ht="13.5" customHeight="1" x14ac:dyDescent="0.15"/>
    <row r="353" ht="13.5" customHeight="1" x14ac:dyDescent="0.15"/>
    <row r="354" ht="13.5" customHeight="1" x14ac:dyDescent="0.15"/>
    <row r="355" ht="13.5" customHeight="1" x14ac:dyDescent="0.15"/>
    <row r="356" ht="13.5" customHeight="1" x14ac:dyDescent="0.15"/>
    <row r="357" ht="13.5" customHeight="1" x14ac:dyDescent="0.15"/>
    <row r="358" ht="13.5" customHeight="1" x14ac:dyDescent="0.15"/>
    <row r="359" ht="13.5" customHeight="1" x14ac:dyDescent="0.15"/>
    <row r="360" ht="13.5" customHeight="1" x14ac:dyDescent="0.15"/>
    <row r="361" ht="13.5" customHeight="1" x14ac:dyDescent="0.15"/>
    <row r="362" ht="13.5" customHeight="1" x14ac:dyDescent="0.15"/>
    <row r="363" ht="13.5" customHeight="1" x14ac:dyDescent="0.15"/>
    <row r="364" ht="13.5" customHeight="1" x14ac:dyDescent="0.15"/>
    <row r="365" ht="13.5" customHeight="1" x14ac:dyDescent="0.15"/>
    <row r="366" ht="13.5" customHeight="1" x14ac:dyDescent="0.15"/>
    <row r="367" ht="13.5" customHeight="1" x14ac:dyDescent="0.15"/>
    <row r="368" ht="13.5" customHeight="1" x14ac:dyDescent="0.15"/>
    <row r="369" ht="13.5" customHeight="1" x14ac:dyDescent="0.15"/>
    <row r="370" ht="13.5" customHeight="1" x14ac:dyDescent="0.15"/>
    <row r="371" ht="13.5" customHeight="1" x14ac:dyDescent="0.15"/>
    <row r="372" ht="13.5" customHeight="1" x14ac:dyDescent="0.15"/>
    <row r="373" ht="13.5" customHeight="1" x14ac:dyDescent="0.15"/>
    <row r="374" ht="13.5" customHeight="1" x14ac:dyDescent="0.15"/>
    <row r="375" ht="13.5" customHeight="1" x14ac:dyDescent="0.15"/>
    <row r="376" ht="13.5" customHeight="1" x14ac:dyDescent="0.15"/>
    <row r="377" ht="13.5" customHeight="1" x14ac:dyDescent="0.15"/>
    <row r="378" ht="13.5" customHeight="1" x14ac:dyDescent="0.15"/>
    <row r="379" ht="13.5" customHeight="1" x14ac:dyDescent="0.15"/>
    <row r="380" ht="13.5" customHeight="1" x14ac:dyDescent="0.15"/>
    <row r="381" ht="13.5" customHeight="1" x14ac:dyDescent="0.15"/>
    <row r="382" ht="13.5" customHeight="1" x14ac:dyDescent="0.15"/>
    <row r="383" ht="13.5" customHeight="1" x14ac:dyDescent="0.15"/>
    <row r="384" ht="13.5" customHeight="1" x14ac:dyDescent="0.15"/>
    <row r="385" ht="13.5" customHeight="1" x14ac:dyDescent="0.15"/>
    <row r="386" ht="13.5" customHeight="1" x14ac:dyDescent="0.15"/>
    <row r="387" ht="13.5" customHeight="1" x14ac:dyDescent="0.15"/>
    <row r="388" ht="13.5" customHeight="1" x14ac:dyDescent="0.15"/>
    <row r="389" ht="13.5" customHeight="1" x14ac:dyDescent="0.15"/>
    <row r="390" ht="13.5" customHeight="1" x14ac:dyDescent="0.15"/>
    <row r="391" ht="13.5" customHeight="1" x14ac:dyDescent="0.15"/>
    <row r="392" ht="13.5" customHeight="1" x14ac:dyDescent="0.15"/>
    <row r="393" ht="13.5" customHeight="1" x14ac:dyDescent="0.15"/>
    <row r="394" ht="13.5" customHeight="1" x14ac:dyDescent="0.15"/>
    <row r="395" ht="13.5" customHeight="1" x14ac:dyDescent="0.15"/>
    <row r="396" ht="13.5" customHeight="1" x14ac:dyDescent="0.15"/>
    <row r="397" ht="13.5" customHeight="1" x14ac:dyDescent="0.15"/>
    <row r="398" ht="13.5" customHeight="1" x14ac:dyDescent="0.15"/>
    <row r="399" ht="13.5" customHeight="1" x14ac:dyDescent="0.15"/>
    <row r="400" ht="13.5" customHeight="1" x14ac:dyDescent="0.15"/>
    <row r="401" ht="13.5" customHeight="1" x14ac:dyDescent="0.15"/>
    <row r="402" ht="13.5" customHeight="1" x14ac:dyDescent="0.15"/>
    <row r="403" ht="13.5" customHeight="1" x14ac:dyDescent="0.15"/>
    <row r="404" ht="13.5" customHeight="1" x14ac:dyDescent="0.15"/>
    <row r="405" ht="13.5" customHeight="1" x14ac:dyDescent="0.15"/>
    <row r="406" ht="13.5" customHeight="1" x14ac:dyDescent="0.15"/>
    <row r="407" ht="13.5" customHeight="1" x14ac:dyDescent="0.15"/>
    <row r="408" ht="13.5" customHeight="1" x14ac:dyDescent="0.15"/>
    <row r="409" ht="13.5" customHeight="1" x14ac:dyDescent="0.15"/>
    <row r="410" ht="13.5" customHeight="1" x14ac:dyDescent="0.15"/>
    <row r="411" ht="13.5" customHeight="1" x14ac:dyDescent="0.15"/>
    <row r="412" ht="13.5" customHeight="1" x14ac:dyDescent="0.15"/>
    <row r="413" ht="13.5" customHeight="1" x14ac:dyDescent="0.15"/>
    <row r="414" ht="13.5" customHeight="1" x14ac:dyDescent="0.15"/>
    <row r="415" ht="13.5" customHeight="1" x14ac:dyDescent="0.15"/>
    <row r="416" ht="13.5" customHeight="1" x14ac:dyDescent="0.15"/>
    <row r="417" ht="13.5" customHeight="1" x14ac:dyDescent="0.15"/>
    <row r="418" ht="13.5" customHeight="1" x14ac:dyDescent="0.15"/>
    <row r="419" ht="13.5" customHeight="1" x14ac:dyDescent="0.15"/>
    <row r="420" ht="13.5" customHeight="1" x14ac:dyDescent="0.15"/>
    <row r="421" ht="13.5" customHeight="1" x14ac:dyDescent="0.15"/>
    <row r="422" ht="13.5" customHeight="1" x14ac:dyDescent="0.15"/>
    <row r="423" ht="13.5" customHeight="1" x14ac:dyDescent="0.15"/>
    <row r="424" ht="13.5" customHeight="1" x14ac:dyDescent="0.15"/>
    <row r="425" ht="13.5" customHeight="1" x14ac:dyDescent="0.15"/>
    <row r="426" ht="13.5" customHeight="1" x14ac:dyDescent="0.15"/>
    <row r="427" ht="13.5" customHeight="1" x14ac:dyDescent="0.15"/>
    <row r="428" ht="13.5" customHeight="1" x14ac:dyDescent="0.15"/>
    <row r="429" ht="13.5" customHeight="1" x14ac:dyDescent="0.15"/>
    <row r="430" ht="13.5" customHeight="1" x14ac:dyDescent="0.15"/>
    <row r="431" ht="13.5" customHeight="1" x14ac:dyDescent="0.15"/>
    <row r="432" ht="13.5" customHeight="1" x14ac:dyDescent="0.15"/>
    <row r="433" ht="13.5" customHeight="1" x14ac:dyDescent="0.15"/>
    <row r="434" ht="13.5" customHeight="1" x14ac:dyDescent="0.15"/>
    <row r="435" ht="13.5" customHeight="1" x14ac:dyDescent="0.15"/>
    <row r="436" ht="13.5" customHeight="1" x14ac:dyDescent="0.15"/>
    <row r="437" ht="13.5" customHeight="1" x14ac:dyDescent="0.15"/>
    <row r="438" ht="13.5" customHeight="1" x14ac:dyDescent="0.15"/>
    <row r="439" ht="13.5" customHeight="1" x14ac:dyDescent="0.15"/>
    <row r="440" ht="13.5" customHeight="1" x14ac:dyDescent="0.15"/>
    <row r="441" ht="13.5" customHeight="1" x14ac:dyDescent="0.15"/>
    <row r="442" ht="13.5" customHeight="1" x14ac:dyDescent="0.15"/>
    <row r="443" ht="13.5" customHeight="1" x14ac:dyDescent="0.15"/>
    <row r="444" ht="13.5" customHeight="1" x14ac:dyDescent="0.15"/>
    <row r="445" ht="13.5" customHeight="1" x14ac:dyDescent="0.15"/>
    <row r="446" ht="13.5" customHeight="1" x14ac:dyDescent="0.15"/>
    <row r="447" ht="13.5" customHeight="1" x14ac:dyDescent="0.15"/>
    <row r="448" ht="13.5" customHeight="1" x14ac:dyDescent="0.15"/>
    <row r="449" ht="13.5" customHeight="1" x14ac:dyDescent="0.15"/>
    <row r="450" ht="13.5" customHeight="1" x14ac:dyDescent="0.15"/>
    <row r="451" ht="13.5" customHeight="1" x14ac:dyDescent="0.15"/>
    <row r="452" ht="13.5" customHeight="1" x14ac:dyDescent="0.15"/>
    <row r="453" ht="13.5" customHeight="1" x14ac:dyDescent="0.15"/>
    <row r="454" ht="13.5" customHeight="1" x14ac:dyDescent="0.15"/>
    <row r="455" ht="13.5" customHeight="1" x14ac:dyDescent="0.15"/>
    <row r="456" ht="13.5" customHeight="1" x14ac:dyDescent="0.15"/>
    <row r="457" ht="13.5" customHeight="1" x14ac:dyDescent="0.15"/>
    <row r="458" ht="13.5" customHeight="1" x14ac:dyDescent="0.15"/>
    <row r="459" ht="13.5" customHeight="1" x14ac:dyDescent="0.15"/>
    <row r="460" ht="13.5" customHeight="1" x14ac:dyDescent="0.15"/>
    <row r="461" ht="13.5" customHeight="1" x14ac:dyDescent="0.15"/>
    <row r="462" ht="13.5" customHeight="1" x14ac:dyDescent="0.15"/>
    <row r="463" ht="13.5" customHeight="1" x14ac:dyDescent="0.15"/>
    <row r="464" ht="13.5" customHeight="1" x14ac:dyDescent="0.15"/>
    <row r="465" ht="13.5" customHeight="1" x14ac:dyDescent="0.15"/>
    <row r="466" ht="13.5" customHeight="1" x14ac:dyDescent="0.15"/>
    <row r="467" ht="13.5" customHeight="1" x14ac:dyDescent="0.15"/>
    <row r="468" ht="13.5" customHeight="1" x14ac:dyDescent="0.15"/>
    <row r="469" ht="13.5" customHeight="1" x14ac:dyDescent="0.15"/>
    <row r="470" ht="13.5" customHeight="1" x14ac:dyDescent="0.15"/>
    <row r="471" ht="13.5" customHeight="1" x14ac:dyDescent="0.15"/>
    <row r="472" ht="13.5" customHeight="1" x14ac:dyDescent="0.15"/>
    <row r="473" ht="13.5" customHeight="1" x14ac:dyDescent="0.15"/>
    <row r="474" ht="13.5" customHeight="1" x14ac:dyDescent="0.15"/>
    <row r="475" ht="13.5" customHeight="1" x14ac:dyDescent="0.15"/>
    <row r="476" ht="13.5" customHeight="1" x14ac:dyDescent="0.15"/>
    <row r="477" ht="13.5" customHeight="1" x14ac:dyDescent="0.15"/>
    <row r="478" ht="13.5" customHeight="1" x14ac:dyDescent="0.15"/>
    <row r="479" ht="13.5" customHeight="1" x14ac:dyDescent="0.15"/>
    <row r="480" ht="13.5" customHeight="1" x14ac:dyDescent="0.15"/>
    <row r="481" ht="13.5" customHeight="1" x14ac:dyDescent="0.15"/>
    <row r="482" ht="13.5" customHeight="1" x14ac:dyDescent="0.15"/>
    <row r="483" ht="13.5" customHeight="1" x14ac:dyDescent="0.15"/>
    <row r="484" ht="13.5" customHeight="1" x14ac:dyDescent="0.15"/>
    <row r="485" ht="13.5" customHeight="1" x14ac:dyDescent="0.15"/>
    <row r="486" ht="13.5" customHeight="1" x14ac:dyDescent="0.15"/>
    <row r="487" ht="13.5" customHeight="1" x14ac:dyDescent="0.15"/>
    <row r="488" ht="13.5" customHeight="1" x14ac:dyDescent="0.15"/>
    <row r="489" ht="13.5" customHeight="1" x14ac:dyDescent="0.15"/>
    <row r="490" ht="13.5" customHeight="1" x14ac:dyDescent="0.15"/>
    <row r="491" ht="13.5" customHeight="1" x14ac:dyDescent="0.15"/>
    <row r="492" ht="13.5" customHeight="1" x14ac:dyDescent="0.15"/>
    <row r="493" ht="13.5" customHeight="1" x14ac:dyDescent="0.15"/>
    <row r="494" ht="13.5" customHeight="1" x14ac:dyDescent="0.15"/>
    <row r="495" ht="13.5" customHeight="1" x14ac:dyDescent="0.15"/>
    <row r="496" ht="13.5" customHeight="1" x14ac:dyDescent="0.15"/>
    <row r="497" ht="13.5" customHeight="1" x14ac:dyDescent="0.15"/>
    <row r="498" ht="13.5" customHeight="1" x14ac:dyDescent="0.15"/>
    <row r="499" ht="13.5" customHeight="1" x14ac:dyDescent="0.15"/>
    <row r="500" ht="13.5" customHeight="1" x14ac:dyDescent="0.15"/>
    <row r="501" ht="13.5" customHeight="1" x14ac:dyDescent="0.15"/>
    <row r="502" ht="13.5" customHeight="1" x14ac:dyDescent="0.15"/>
    <row r="503" ht="13.5" customHeight="1" x14ac:dyDescent="0.15"/>
    <row r="504" ht="13.5" customHeight="1" x14ac:dyDescent="0.15"/>
    <row r="505" ht="13.5" customHeight="1" x14ac:dyDescent="0.15"/>
    <row r="506" ht="13.5" customHeight="1" x14ac:dyDescent="0.15"/>
    <row r="507" ht="13.5" customHeight="1" x14ac:dyDescent="0.15"/>
    <row r="508" ht="13.5" customHeight="1" x14ac:dyDescent="0.15"/>
    <row r="509" ht="13.5" customHeight="1" x14ac:dyDescent="0.15"/>
    <row r="510" ht="13.5" customHeight="1" x14ac:dyDescent="0.15"/>
    <row r="511" ht="13.5" customHeight="1" x14ac:dyDescent="0.15"/>
    <row r="512" ht="13.5" customHeight="1" x14ac:dyDescent="0.15"/>
    <row r="513" ht="13.5" customHeight="1" x14ac:dyDescent="0.15"/>
    <row r="514" ht="13.5" customHeight="1" x14ac:dyDescent="0.15"/>
    <row r="515" ht="13.5" customHeight="1" x14ac:dyDescent="0.15"/>
    <row r="516" ht="13.5" customHeight="1" x14ac:dyDescent="0.15"/>
    <row r="517" ht="13.5" customHeight="1" x14ac:dyDescent="0.15"/>
    <row r="518" ht="13.5" customHeight="1" x14ac:dyDescent="0.15"/>
    <row r="519" ht="13.5" customHeight="1" x14ac:dyDescent="0.15"/>
    <row r="520" ht="13.5" customHeight="1" x14ac:dyDescent="0.15"/>
    <row r="521" ht="13.5" customHeight="1" x14ac:dyDescent="0.15"/>
    <row r="522" ht="13.5" customHeight="1" x14ac:dyDescent="0.15"/>
    <row r="523" ht="13.5" customHeight="1" x14ac:dyDescent="0.15"/>
    <row r="524" ht="13.5" customHeight="1" x14ac:dyDescent="0.15"/>
    <row r="525" ht="13.5" customHeight="1" x14ac:dyDescent="0.15"/>
    <row r="526" ht="13.5" customHeight="1" x14ac:dyDescent="0.15"/>
    <row r="527" ht="13.5" customHeight="1" x14ac:dyDescent="0.15"/>
    <row r="528" ht="13.5" customHeight="1" x14ac:dyDescent="0.15"/>
    <row r="529" ht="13.5" customHeight="1" x14ac:dyDescent="0.15"/>
    <row r="530" ht="13.5" customHeight="1" x14ac:dyDescent="0.15"/>
    <row r="531" ht="13.5" customHeight="1" x14ac:dyDescent="0.15"/>
    <row r="532" ht="13.5" customHeight="1" x14ac:dyDescent="0.15"/>
    <row r="533" ht="13.5" customHeight="1" x14ac:dyDescent="0.15"/>
    <row r="534" ht="13.5" customHeight="1" x14ac:dyDescent="0.15"/>
    <row r="535" ht="13.5" customHeight="1" x14ac:dyDescent="0.15"/>
    <row r="536" ht="13.5" customHeight="1" x14ac:dyDescent="0.15"/>
    <row r="537" ht="13.5" customHeight="1" x14ac:dyDescent="0.15"/>
    <row r="538" ht="13.5" customHeight="1" x14ac:dyDescent="0.15"/>
    <row r="539" ht="13.5" customHeight="1" x14ac:dyDescent="0.15"/>
    <row r="540" ht="13.5" customHeight="1" x14ac:dyDescent="0.15"/>
    <row r="541" ht="13.5" customHeight="1" x14ac:dyDescent="0.15"/>
    <row r="542" ht="13.5" customHeight="1" x14ac:dyDescent="0.15"/>
    <row r="543" ht="13.5" customHeight="1" x14ac:dyDescent="0.15"/>
    <row r="544" ht="13.5" customHeight="1" x14ac:dyDescent="0.15"/>
    <row r="545" ht="13.5" customHeight="1" x14ac:dyDescent="0.15"/>
    <row r="546" ht="13.5" customHeight="1" x14ac:dyDescent="0.15"/>
    <row r="547" ht="13.5" customHeight="1" x14ac:dyDescent="0.15"/>
    <row r="548" ht="13.5" customHeight="1" x14ac:dyDescent="0.15"/>
    <row r="549" ht="13.5" customHeight="1" x14ac:dyDescent="0.15"/>
    <row r="550" ht="13.5" customHeight="1" x14ac:dyDescent="0.15"/>
    <row r="551" ht="13.5" customHeight="1" x14ac:dyDescent="0.15"/>
    <row r="552" ht="13.5" customHeight="1" x14ac:dyDescent="0.15"/>
    <row r="553" ht="13.5" customHeight="1" x14ac:dyDescent="0.15"/>
    <row r="554" ht="13.5" customHeight="1" x14ac:dyDescent="0.15"/>
    <row r="555" ht="13.5" customHeight="1" x14ac:dyDescent="0.15"/>
    <row r="556" ht="13.5" customHeight="1" x14ac:dyDescent="0.15"/>
    <row r="557" ht="13.5" customHeight="1" x14ac:dyDescent="0.15"/>
    <row r="558" ht="13.5" customHeight="1" x14ac:dyDescent="0.15"/>
    <row r="559" ht="13.5" customHeight="1" x14ac:dyDescent="0.15"/>
    <row r="560" ht="13.5" customHeight="1" x14ac:dyDescent="0.15"/>
    <row r="561" ht="13.5" customHeight="1" x14ac:dyDescent="0.15"/>
    <row r="562" ht="13.5" customHeight="1" x14ac:dyDescent="0.15"/>
    <row r="563" ht="13.5" customHeight="1" x14ac:dyDescent="0.15"/>
    <row r="564" ht="13.5" customHeight="1" x14ac:dyDescent="0.15"/>
    <row r="565" ht="13.5" customHeight="1" x14ac:dyDescent="0.15"/>
    <row r="566" ht="13.5" customHeight="1" x14ac:dyDescent="0.15"/>
    <row r="567" ht="13.5" customHeight="1" x14ac:dyDescent="0.15"/>
    <row r="568" ht="13.5" customHeight="1" x14ac:dyDescent="0.15"/>
    <row r="569" ht="13.5" customHeight="1" x14ac:dyDescent="0.15"/>
    <row r="570" ht="13.5" customHeight="1" x14ac:dyDescent="0.15"/>
    <row r="571" ht="13.5" customHeight="1" x14ac:dyDescent="0.15"/>
    <row r="572" ht="13.5" customHeight="1" x14ac:dyDescent="0.15"/>
    <row r="573" ht="13.5" customHeight="1" x14ac:dyDescent="0.15"/>
    <row r="574" ht="13.5" customHeight="1" x14ac:dyDescent="0.15"/>
    <row r="575" ht="13.5" customHeight="1" x14ac:dyDescent="0.15"/>
    <row r="576" ht="13.5" customHeight="1" x14ac:dyDescent="0.15"/>
    <row r="577" ht="13.5" customHeight="1" x14ac:dyDescent="0.15"/>
    <row r="578" ht="13.5" customHeight="1" x14ac:dyDescent="0.15"/>
    <row r="579" ht="13.5" customHeight="1" x14ac:dyDescent="0.15"/>
    <row r="580" ht="13.5" customHeight="1" x14ac:dyDescent="0.15"/>
    <row r="581" ht="13.5" customHeight="1" x14ac:dyDescent="0.15"/>
    <row r="582" ht="13.5" customHeight="1" x14ac:dyDescent="0.15"/>
    <row r="583" ht="13.5" customHeight="1" x14ac:dyDescent="0.15"/>
    <row r="584" ht="13.5" customHeight="1" x14ac:dyDescent="0.15"/>
    <row r="585" ht="13.5" customHeight="1" x14ac:dyDescent="0.15"/>
    <row r="586" ht="13.5" customHeight="1" x14ac:dyDescent="0.15"/>
    <row r="587" ht="13.5" customHeight="1" x14ac:dyDescent="0.15"/>
    <row r="588" ht="13.5" customHeight="1" x14ac:dyDescent="0.15"/>
    <row r="589" ht="13.5" customHeight="1" x14ac:dyDescent="0.15"/>
    <row r="590" ht="13.5" customHeight="1" x14ac:dyDescent="0.15"/>
    <row r="591" ht="13.5" customHeight="1" x14ac:dyDescent="0.15"/>
    <row r="592" ht="13.5" customHeight="1" x14ac:dyDescent="0.15"/>
    <row r="593" ht="13.5" customHeight="1" x14ac:dyDescent="0.15"/>
    <row r="594" ht="13.5" customHeight="1" x14ac:dyDescent="0.15"/>
    <row r="595" ht="13.5" customHeight="1" x14ac:dyDescent="0.15"/>
    <row r="596" ht="13.5" customHeight="1" x14ac:dyDescent="0.15"/>
    <row r="597" ht="13.5" customHeight="1" x14ac:dyDescent="0.15"/>
    <row r="598" ht="13.5" customHeight="1" x14ac:dyDescent="0.15"/>
    <row r="599" ht="13.5" customHeight="1" x14ac:dyDescent="0.15"/>
    <row r="600" ht="13.5" customHeight="1" x14ac:dyDescent="0.15"/>
    <row r="601" ht="13.5" customHeight="1" x14ac:dyDescent="0.15"/>
    <row r="602" ht="13.5" customHeight="1" x14ac:dyDescent="0.15"/>
    <row r="603" ht="13.5" customHeight="1" x14ac:dyDescent="0.15"/>
    <row r="604" ht="13.5" customHeight="1" x14ac:dyDescent="0.15"/>
    <row r="605" ht="13.5" customHeight="1" x14ac:dyDescent="0.15"/>
    <row r="606" ht="13.5" customHeight="1" x14ac:dyDescent="0.15"/>
    <row r="607" ht="13.5" customHeight="1" x14ac:dyDescent="0.15"/>
    <row r="608" ht="13.5" customHeight="1" x14ac:dyDescent="0.15"/>
    <row r="609" ht="13.5" customHeight="1" x14ac:dyDescent="0.15"/>
    <row r="610" ht="13.5" customHeight="1" x14ac:dyDescent="0.15"/>
    <row r="611" ht="13.5" customHeight="1" x14ac:dyDescent="0.15"/>
    <row r="612" ht="13.5" customHeight="1" x14ac:dyDescent="0.15"/>
    <row r="613" ht="13.5" customHeight="1" x14ac:dyDescent="0.15"/>
    <row r="614" ht="13.5" customHeight="1" x14ac:dyDescent="0.15"/>
    <row r="615" ht="13.5" customHeight="1" x14ac:dyDescent="0.15"/>
    <row r="616" ht="13.5" customHeight="1" x14ac:dyDescent="0.15"/>
    <row r="617" ht="13.5" customHeight="1" x14ac:dyDescent="0.15"/>
    <row r="618" ht="13.5" customHeight="1" x14ac:dyDescent="0.15"/>
    <row r="619" ht="13.5" customHeight="1" x14ac:dyDescent="0.15"/>
    <row r="620" ht="13.5" customHeight="1" x14ac:dyDescent="0.15"/>
    <row r="621" ht="13.5" customHeight="1" x14ac:dyDescent="0.15"/>
    <row r="622" ht="13.5" customHeight="1" x14ac:dyDescent="0.15"/>
    <row r="623" ht="13.5" customHeight="1" x14ac:dyDescent="0.15"/>
    <row r="624" ht="13.5" customHeight="1" x14ac:dyDescent="0.15"/>
    <row r="625" ht="13.5" customHeight="1" x14ac:dyDescent="0.15"/>
    <row r="626" ht="13.5" customHeight="1" x14ac:dyDescent="0.15"/>
    <row r="627" ht="13.5" customHeight="1" x14ac:dyDescent="0.15"/>
    <row r="628" ht="13.5" customHeight="1" x14ac:dyDescent="0.15"/>
    <row r="629" ht="13.5" customHeight="1" x14ac:dyDescent="0.15"/>
    <row r="630" ht="13.5" customHeight="1" x14ac:dyDescent="0.15"/>
    <row r="631" ht="13.5" customHeight="1" x14ac:dyDescent="0.15"/>
    <row r="632" ht="13.5" customHeight="1" x14ac:dyDescent="0.15"/>
    <row r="633" ht="13.5" customHeight="1" x14ac:dyDescent="0.15"/>
    <row r="634" ht="13.5" customHeight="1" x14ac:dyDescent="0.15"/>
    <row r="635" ht="13.5" customHeight="1" x14ac:dyDescent="0.15"/>
    <row r="636" ht="13.5" customHeight="1" x14ac:dyDescent="0.15"/>
    <row r="637" ht="13.5" customHeight="1" x14ac:dyDescent="0.15"/>
    <row r="638" ht="13.5" customHeight="1" x14ac:dyDescent="0.15"/>
    <row r="639" ht="13.5" customHeight="1" x14ac:dyDescent="0.15"/>
    <row r="640" ht="13.5" customHeight="1" x14ac:dyDescent="0.15"/>
    <row r="641" ht="13.5" customHeight="1" x14ac:dyDescent="0.15"/>
    <row r="642" ht="13.5" customHeight="1" x14ac:dyDescent="0.15"/>
    <row r="643" ht="13.5" customHeight="1" x14ac:dyDescent="0.15"/>
    <row r="644" ht="13.5" customHeight="1" x14ac:dyDescent="0.15"/>
    <row r="645" ht="13.5" customHeight="1" x14ac:dyDescent="0.15"/>
    <row r="646" ht="13.5" customHeight="1" x14ac:dyDescent="0.15"/>
    <row r="647" ht="13.5" customHeight="1" x14ac:dyDescent="0.15"/>
    <row r="648" ht="13.5" customHeight="1" x14ac:dyDescent="0.15"/>
    <row r="649" ht="13.5" customHeight="1" x14ac:dyDescent="0.15"/>
    <row r="650" ht="13.5" customHeight="1" x14ac:dyDescent="0.15"/>
    <row r="651" ht="13.5" customHeight="1" x14ac:dyDescent="0.15"/>
    <row r="652" ht="13.5" customHeight="1" x14ac:dyDescent="0.15"/>
    <row r="653" ht="13.5" customHeight="1" x14ac:dyDescent="0.15"/>
    <row r="654" ht="13.5" customHeight="1" x14ac:dyDescent="0.15"/>
    <row r="655" ht="13.5" customHeight="1" x14ac:dyDescent="0.15"/>
    <row r="656" ht="13.5" customHeight="1" x14ac:dyDescent="0.15"/>
    <row r="657" ht="13.5" customHeight="1" x14ac:dyDescent="0.15"/>
    <row r="658" ht="13.5" customHeight="1" x14ac:dyDescent="0.15"/>
    <row r="659" ht="13.5" customHeight="1" x14ac:dyDescent="0.15"/>
    <row r="660" ht="13.5" customHeight="1" x14ac:dyDescent="0.15"/>
    <row r="661" ht="13.5" customHeight="1" x14ac:dyDescent="0.15"/>
    <row r="662" ht="13.5" customHeight="1" x14ac:dyDescent="0.15"/>
    <row r="663" ht="13.5" customHeight="1" x14ac:dyDescent="0.15"/>
    <row r="664" ht="13.5" customHeight="1" x14ac:dyDescent="0.15"/>
    <row r="665" ht="13.5" customHeight="1" x14ac:dyDescent="0.15"/>
    <row r="666" ht="13.5" customHeight="1" x14ac:dyDescent="0.15"/>
    <row r="667" ht="13.5" customHeight="1" x14ac:dyDescent="0.15"/>
    <row r="668" ht="13.5" customHeight="1" x14ac:dyDescent="0.15"/>
    <row r="669" ht="13.5" customHeight="1" x14ac:dyDescent="0.15"/>
    <row r="670" ht="13.5" customHeight="1" x14ac:dyDescent="0.15"/>
    <row r="671" ht="13.5" customHeight="1" x14ac:dyDescent="0.15"/>
    <row r="672" ht="13.5" customHeight="1" x14ac:dyDescent="0.15"/>
    <row r="673" ht="13.5" customHeight="1" x14ac:dyDescent="0.15"/>
    <row r="674" ht="13.5" customHeight="1" x14ac:dyDescent="0.15"/>
    <row r="675" ht="13.5" customHeight="1" x14ac:dyDescent="0.15"/>
    <row r="676" ht="13.5" customHeight="1" x14ac:dyDescent="0.15"/>
    <row r="677" ht="13.5" customHeight="1" x14ac:dyDescent="0.15"/>
    <row r="678" ht="13.5" customHeight="1" x14ac:dyDescent="0.15"/>
    <row r="679" ht="13.5" customHeight="1" x14ac:dyDescent="0.15"/>
    <row r="680" ht="13.5" customHeight="1" x14ac:dyDescent="0.15"/>
    <row r="681" ht="13.5" customHeight="1" x14ac:dyDescent="0.15"/>
    <row r="682" ht="13.5" customHeight="1" x14ac:dyDescent="0.15"/>
    <row r="683" ht="13.5" customHeight="1" x14ac:dyDescent="0.15"/>
    <row r="684" ht="13.5" customHeight="1" x14ac:dyDescent="0.15"/>
    <row r="685" ht="13.5" customHeight="1" x14ac:dyDescent="0.15"/>
    <row r="686" ht="13.5" customHeight="1" x14ac:dyDescent="0.15"/>
    <row r="687" ht="13.5" customHeight="1" x14ac:dyDescent="0.15"/>
    <row r="688" ht="13.5" customHeight="1" x14ac:dyDescent="0.15"/>
    <row r="689" ht="13.5" customHeight="1" x14ac:dyDescent="0.15"/>
    <row r="690" ht="13.5" customHeight="1" x14ac:dyDescent="0.15"/>
    <row r="691" ht="13.5" customHeight="1" x14ac:dyDescent="0.15"/>
    <row r="692" ht="13.5" customHeight="1" x14ac:dyDescent="0.15"/>
    <row r="693" ht="13.5" customHeight="1" x14ac:dyDescent="0.15"/>
    <row r="694" ht="13.5" customHeight="1" x14ac:dyDescent="0.15"/>
    <row r="695" ht="13.5" customHeight="1" x14ac:dyDescent="0.15"/>
    <row r="696" ht="13.5" customHeight="1" x14ac:dyDescent="0.15"/>
    <row r="697" ht="13.5" customHeight="1" x14ac:dyDescent="0.15"/>
    <row r="698" ht="13.5" customHeight="1" x14ac:dyDescent="0.15"/>
    <row r="699" ht="13.5" customHeight="1" x14ac:dyDescent="0.15"/>
    <row r="700" ht="13.5" customHeight="1" x14ac:dyDescent="0.15"/>
    <row r="701" ht="13.5" customHeight="1" x14ac:dyDescent="0.15"/>
    <row r="702" ht="13.5" customHeight="1" x14ac:dyDescent="0.15"/>
    <row r="703" ht="13.5" customHeight="1" x14ac:dyDescent="0.15"/>
    <row r="704" ht="13.5" customHeight="1" x14ac:dyDescent="0.15"/>
    <row r="705" ht="13.5" customHeight="1" x14ac:dyDescent="0.15"/>
    <row r="706" ht="13.5" customHeight="1" x14ac:dyDescent="0.15"/>
    <row r="707" ht="13.5" customHeight="1" x14ac:dyDescent="0.15"/>
    <row r="708" ht="13.5" customHeight="1" x14ac:dyDescent="0.15"/>
    <row r="709" ht="13.5" customHeight="1" x14ac:dyDescent="0.15"/>
    <row r="710" ht="13.5" customHeight="1" x14ac:dyDescent="0.15"/>
    <row r="711" ht="13.5" customHeight="1" x14ac:dyDescent="0.15"/>
    <row r="712" ht="13.5" customHeight="1" x14ac:dyDescent="0.15"/>
    <row r="713" ht="13.5" customHeight="1" x14ac:dyDescent="0.15"/>
    <row r="714" ht="13.5" customHeight="1" x14ac:dyDescent="0.15"/>
    <row r="715" ht="13.5" customHeight="1" x14ac:dyDescent="0.15"/>
    <row r="716" ht="13.5" customHeight="1" x14ac:dyDescent="0.15"/>
    <row r="717" ht="13.5" customHeight="1" x14ac:dyDescent="0.15"/>
    <row r="718" ht="13.5" customHeight="1" x14ac:dyDescent="0.15"/>
    <row r="719" ht="13.5" customHeight="1" x14ac:dyDescent="0.15"/>
    <row r="720" ht="13.5" customHeight="1" x14ac:dyDescent="0.15"/>
    <row r="721" ht="13.5" customHeight="1" x14ac:dyDescent="0.15"/>
    <row r="722" ht="13.5" customHeight="1" x14ac:dyDescent="0.15"/>
    <row r="723" ht="13.5" customHeight="1" x14ac:dyDescent="0.15"/>
    <row r="724" ht="13.5" customHeight="1" x14ac:dyDescent="0.15"/>
    <row r="725" ht="13.5" customHeight="1" x14ac:dyDescent="0.15"/>
    <row r="726" ht="13.5" customHeight="1" x14ac:dyDescent="0.15"/>
    <row r="727" ht="13.5" customHeight="1" x14ac:dyDescent="0.15"/>
    <row r="728" ht="13.5" customHeight="1" x14ac:dyDescent="0.15"/>
    <row r="729" ht="13.5" customHeight="1" x14ac:dyDescent="0.15"/>
    <row r="730" ht="13.5" customHeight="1" x14ac:dyDescent="0.15"/>
    <row r="731" ht="13.5" customHeight="1" x14ac:dyDescent="0.15"/>
    <row r="732" ht="13.5" customHeight="1" x14ac:dyDescent="0.15"/>
    <row r="733" ht="13.5" customHeight="1" x14ac:dyDescent="0.15"/>
    <row r="734" ht="13.5" customHeight="1" x14ac:dyDescent="0.15"/>
    <row r="735" ht="13.5" customHeight="1" x14ac:dyDescent="0.15"/>
    <row r="736" ht="13.5" customHeight="1" x14ac:dyDescent="0.15"/>
    <row r="737" ht="13.5" customHeight="1" x14ac:dyDescent="0.15"/>
    <row r="738" ht="13.5" customHeight="1" x14ac:dyDescent="0.15"/>
    <row r="739" ht="13.5" customHeight="1" x14ac:dyDescent="0.15"/>
    <row r="740" ht="13.5" customHeight="1" x14ac:dyDescent="0.15"/>
    <row r="741" ht="13.5" customHeight="1" x14ac:dyDescent="0.15"/>
    <row r="742" ht="13.5" customHeight="1" x14ac:dyDescent="0.15"/>
    <row r="743" ht="13.5" customHeight="1" x14ac:dyDescent="0.15"/>
    <row r="744" ht="13.5" customHeight="1" x14ac:dyDescent="0.15"/>
    <row r="745" ht="13.5" customHeight="1" x14ac:dyDescent="0.15"/>
    <row r="746" ht="13.5" customHeight="1" x14ac:dyDescent="0.15"/>
    <row r="747" ht="13.5" customHeight="1" x14ac:dyDescent="0.15"/>
    <row r="748" ht="13.5" customHeight="1" x14ac:dyDescent="0.15"/>
    <row r="749" ht="13.5" customHeight="1" x14ac:dyDescent="0.15"/>
    <row r="750" ht="13.5" customHeight="1" x14ac:dyDescent="0.15"/>
    <row r="751" ht="13.5" customHeight="1" x14ac:dyDescent="0.15"/>
    <row r="752" ht="13.5" customHeight="1" x14ac:dyDescent="0.15"/>
    <row r="753" ht="13.5" customHeight="1" x14ac:dyDescent="0.15"/>
    <row r="754" ht="13.5" customHeight="1" x14ac:dyDescent="0.15"/>
    <row r="755" ht="13.5" customHeight="1" x14ac:dyDescent="0.15"/>
    <row r="756" ht="13.5" customHeight="1" x14ac:dyDescent="0.15"/>
    <row r="757" ht="13.5" customHeight="1" x14ac:dyDescent="0.15"/>
    <row r="758" ht="13.5" customHeight="1" x14ac:dyDescent="0.15"/>
    <row r="759" ht="13.5" customHeight="1" x14ac:dyDescent="0.15"/>
    <row r="760" ht="13.5" customHeight="1" x14ac:dyDescent="0.15"/>
    <row r="761" ht="13.5" customHeight="1" x14ac:dyDescent="0.15"/>
    <row r="762" ht="13.5" customHeight="1" x14ac:dyDescent="0.15"/>
    <row r="763" ht="13.5" customHeight="1" x14ac:dyDescent="0.15"/>
    <row r="764" ht="13.5" customHeight="1" x14ac:dyDescent="0.15"/>
    <row r="765" ht="13.5" customHeight="1" x14ac:dyDescent="0.15"/>
    <row r="766" ht="13.5" customHeight="1" x14ac:dyDescent="0.15"/>
    <row r="767" ht="13.5" customHeight="1" x14ac:dyDescent="0.15"/>
    <row r="768" ht="13.5" customHeight="1" x14ac:dyDescent="0.15"/>
    <row r="769" ht="13.5" customHeight="1" x14ac:dyDescent="0.15"/>
    <row r="770" ht="13.5" customHeight="1" x14ac:dyDescent="0.15"/>
    <row r="771" ht="13.5" customHeight="1" x14ac:dyDescent="0.15"/>
    <row r="772" ht="13.5" customHeight="1" x14ac:dyDescent="0.15"/>
    <row r="773" ht="13.5" customHeight="1" x14ac:dyDescent="0.15"/>
    <row r="774" ht="13.5" customHeight="1" x14ac:dyDescent="0.15"/>
    <row r="775" ht="13.5" customHeight="1" x14ac:dyDescent="0.15"/>
    <row r="776" ht="13.5" customHeight="1" x14ac:dyDescent="0.15"/>
    <row r="777" ht="13.5" customHeight="1" x14ac:dyDescent="0.15"/>
    <row r="778" ht="13.5" customHeight="1" x14ac:dyDescent="0.15"/>
    <row r="779" ht="13.5" customHeight="1" x14ac:dyDescent="0.15"/>
    <row r="780" ht="13.5" customHeight="1" x14ac:dyDescent="0.15"/>
    <row r="781" ht="13.5" customHeight="1" x14ac:dyDescent="0.15"/>
    <row r="782" ht="13.5" customHeight="1" x14ac:dyDescent="0.15"/>
    <row r="783" ht="13.5" customHeight="1" x14ac:dyDescent="0.15"/>
    <row r="784" ht="13.5" customHeight="1" x14ac:dyDescent="0.15"/>
    <row r="785" ht="13.5" customHeight="1" x14ac:dyDescent="0.15"/>
    <row r="786" ht="13.5" customHeight="1" x14ac:dyDescent="0.15"/>
    <row r="787" ht="13.5" customHeight="1" x14ac:dyDescent="0.15"/>
    <row r="788" ht="13.5" customHeight="1" x14ac:dyDescent="0.15"/>
    <row r="789" ht="13.5" customHeight="1" x14ac:dyDescent="0.15"/>
    <row r="790" ht="13.5" customHeight="1" x14ac:dyDescent="0.15"/>
    <row r="791" ht="13.5" customHeight="1" x14ac:dyDescent="0.15"/>
    <row r="792" ht="13.5" customHeight="1" x14ac:dyDescent="0.15"/>
    <row r="793" ht="13.5" customHeight="1" x14ac:dyDescent="0.15"/>
    <row r="794" ht="13.5" customHeight="1" x14ac:dyDescent="0.15"/>
    <row r="795" ht="13.5" customHeight="1" x14ac:dyDescent="0.15"/>
    <row r="796" ht="13.5" customHeight="1" x14ac:dyDescent="0.15"/>
    <row r="797" ht="13.5" customHeight="1" x14ac:dyDescent="0.15"/>
    <row r="798" ht="13.5" customHeight="1" x14ac:dyDescent="0.15"/>
    <row r="799" ht="13.5" customHeight="1" x14ac:dyDescent="0.15"/>
    <row r="800" ht="13.5" customHeight="1" x14ac:dyDescent="0.15"/>
    <row r="801" ht="13.5" customHeight="1" x14ac:dyDescent="0.15"/>
    <row r="802" ht="13.5" customHeight="1" x14ac:dyDescent="0.15"/>
    <row r="803" ht="13.5" customHeight="1" x14ac:dyDescent="0.15"/>
    <row r="804" ht="13.5" customHeight="1" x14ac:dyDescent="0.15"/>
    <row r="805" ht="13.5" customHeight="1" x14ac:dyDescent="0.15"/>
    <row r="806" ht="13.5" customHeight="1" x14ac:dyDescent="0.15"/>
    <row r="807" ht="13.5" customHeight="1" x14ac:dyDescent="0.15"/>
    <row r="808" ht="13.5" customHeight="1" x14ac:dyDescent="0.15"/>
    <row r="809" ht="13.5" customHeight="1" x14ac:dyDescent="0.15"/>
    <row r="810" ht="13.5" customHeight="1" x14ac:dyDescent="0.15"/>
    <row r="811" ht="13.5" customHeight="1" x14ac:dyDescent="0.15"/>
    <row r="812" ht="13.5" customHeight="1" x14ac:dyDescent="0.15"/>
    <row r="813" ht="13.5" customHeight="1" x14ac:dyDescent="0.15"/>
    <row r="814" ht="13.5" customHeight="1" x14ac:dyDescent="0.15"/>
    <row r="815" ht="13.5" customHeight="1" x14ac:dyDescent="0.15"/>
    <row r="816" ht="13.5" customHeight="1" x14ac:dyDescent="0.15"/>
    <row r="817" ht="13.5" customHeight="1" x14ac:dyDescent="0.15"/>
    <row r="818" ht="13.5" customHeight="1" x14ac:dyDescent="0.15"/>
    <row r="819" ht="13.5" customHeight="1" x14ac:dyDescent="0.15"/>
    <row r="820" ht="13.5" customHeight="1" x14ac:dyDescent="0.15"/>
    <row r="821" ht="13.5" customHeight="1" x14ac:dyDescent="0.15"/>
    <row r="822" ht="13.5" customHeight="1" x14ac:dyDescent="0.15"/>
    <row r="823" ht="13.5" customHeight="1" x14ac:dyDescent="0.15"/>
    <row r="824" ht="13.5" customHeight="1" x14ac:dyDescent="0.15"/>
    <row r="825" ht="13.5" customHeight="1" x14ac:dyDescent="0.15"/>
    <row r="826" ht="13.5" customHeight="1" x14ac:dyDescent="0.15"/>
    <row r="827" ht="13.5" customHeight="1" x14ac:dyDescent="0.15"/>
    <row r="828" ht="13.5" customHeight="1" x14ac:dyDescent="0.15"/>
    <row r="829" ht="13.5" customHeight="1" x14ac:dyDescent="0.15"/>
    <row r="830" ht="13.5" customHeight="1" x14ac:dyDescent="0.15"/>
    <row r="831" ht="13.5" customHeight="1" x14ac:dyDescent="0.15"/>
    <row r="832" ht="13.5" customHeight="1" x14ac:dyDescent="0.15"/>
    <row r="833" ht="13.5" customHeight="1" x14ac:dyDescent="0.15"/>
    <row r="834" ht="13.5" customHeight="1" x14ac:dyDescent="0.15"/>
    <row r="835" ht="13.5" customHeight="1" x14ac:dyDescent="0.15"/>
    <row r="836" ht="13.5" customHeight="1" x14ac:dyDescent="0.15"/>
    <row r="837" ht="13.5" customHeight="1" x14ac:dyDescent="0.15"/>
    <row r="838" ht="13.5" customHeight="1" x14ac:dyDescent="0.15"/>
    <row r="839" ht="13.5" customHeight="1" x14ac:dyDescent="0.15"/>
    <row r="840" ht="13.5" customHeight="1" x14ac:dyDescent="0.15"/>
    <row r="841" ht="13.5" customHeight="1" x14ac:dyDescent="0.15"/>
    <row r="842" ht="13.5" customHeight="1" x14ac:dyDescent="0.15"/>
    <row r="843" ht="13.5" customHeight="1" x14ac:dyDescent="0.15"/>
    <row r="844" ht="13.5" customHeight="1" x14ac:dyDescent="0.15"/>
    <row r="845" ht="13.5" customHeight="1" x14ac:dyDescent="0.15"/>
    <row r="846" ht="13.5" customHeight="1" x14ac:dyDescent="0.15"/>
    <row r="847" ht="13.5" customHeight="1" x14ac:dyDescent="0.15"/>
    <row r="848" ht="13.5" customHeight="1" x14ac:dyDescent="0.15"/>
    <row r="849" ht="13.5" customHeight="1" x14ac:dyDescent="0.15"/>
    <row r="850" ht="13.5" customHeight="1" x14ac:dyDescent="0.15"/>
    <row r="851" ht="13.5" customHeight="1" x14ac:dyDescent="0.15"/>
    <row r="852" ht="13.5" customHeight="1" x14ac:dyDescent="0.15"/>
    <row r="853" ht="13.5" customHeight="1" x14ac:dyDescent="0.15"/>
    <row r="854" ht="13.5" customHeight="1" x14ac:dyDescent="0.15"/>
    <row r="855" ht="13.5" customHeight="1" x14ac:dyDescent="0.15"/>
    <row r="856" ht="13.5" customHeight="1" x14ac:dyDescent="0.15"/>
    <row r="857" ht="13.5" customHeight="1" x14ac:dyDescent="0.15"/>
    <row r="858" ht="13.5" customHeight="1" x14ac:dyDescent="0.15"/>
    <row r="859" ht="13.5" customHeight="1" x14ac:dyDescent="0.15"/>
    <row r="860" ht="13.5" customHeight="1" x14ac:dyDescent="0.15"/>
    <row r="861" ht="13.5" customHeight="1" x14ac:dyDescent="0.15"/>
    <row r="862" ht="13.5" customHeight="1" x14ac:dyDescent="0.15"/>
    <row r="863" ht="13.5" customHeight="1" x14ac:dyDescent="0.15"/>
    <row r="864" ht="13.5" customHeight="1" x14ac:dyDescent="0.15"/>
    <row r="865" ht="13.5" customHeight="1" x14ac:dyDescent="0.15"/>
    <row r="866" ht="13.5" customHeight="1" x14ac:dyDescent="0.15"/>
    <row r="867" ht="13.5" customHeight="1" x14ac:dyDescent="0.15"/>
    <row r="868" ht="13.5" customHeight="1" x14ac:dyDescent="0.15"/>
    <row r="869" ht="13.5" customHeight="1" x14ac:dyDescent="0.15"/>
    <row r="870" ht="13.5" customHeight="1" x14ac:dyDescent="0.15"/>
    <row r="871" ht="13.5" customHeight="1" x14ac:dyDescent="0.15"/>
    <row r="872" ht="13.5" customHeight="1" x14ac:dyDescent="0.15"/>
    <row r="873" ht="13.5" customHeight="1" x14ac:dyDescent="0.15"/>
    <row r="874" ht="13.5" customHeight="1" x14ac:dyDescent="0.15"/>
    <row r="875" ht="13.5" customHeight="1" x14ac:dyDescent="0.15"/>
    <row r="876" ht="13.5" customHeight="1" x14ac:dyDescent="0.15"/>
    <row r="877" ht="13.5" customHeight="1" x14ac:dyDescent="0.15"/>
    <row r="878" ht="13.5" customHeight="1" x14ac:dyDescent="0.15"/>
    <row r="879" ht="13.5" customHeight="1" x14ac:dyDescent="0.15"/>
    <row r="880" ht="13.5" customHeight="1" x14ac:dyDescent="0.15"/>
    <row r="881" ht="13.5" customHeight="1" x14ac:dyDescent="0.15"/>
    <row r="882" ht="13.5" customHeight="1" x14ac:dyDescent="0.15"/>
    <row r="883" ht="13.5" customHeight="1" x14ac:dyDescent="0.15"/>
    <row r="884" ht="13.5" customHeight="1" x14ac:dyDescent="0.15"/>
    <row r="885" ht="13.5" customHeight="1" x14ac:dyDescent="0.15"/>
    <row r="886" ht="13.5" customHeight="1" x14ac:dyDescent="0.15"/>
    <row r="887" ht="13.5" customHeight="1" x14ac:dyDescent="0.15"/>
    <row r="888" ht="13.5" customHeight="1" x14ac:dyDescent="0.15"/>
    <row r="889" ht="13.5" customHeight="1" x14ac:dyDescent="0.15"/>
    <row r="890" ht="13.5" customHeight="1" x14ac:dyDescent="0.15"/>
    <row r="891" ht="13.5" customHeight="1" x14ac:dyDescent="0.15"/>
    <row r="892" ht="13.5" customHeight="1" x14ac:dyDescent="0.15"/>
    <row r="893" ht="13.5" customHeight="1" x14ac:dyDescent="0.15"/>
    <row r="894" ht="13.5" customHeight="1" x14ac:dyDescent="0.15"/>
    <row r="895" ht="13.5" customHeight="1" x14ac:dyDescent="0.15"/>
    <row r="896" ht="13.5" customHeight="1" x14ac:dyDescent="0.15"/>
    <row r="897" ht="13.5" customHeight="1" x14ac:dyDescent="0.15"/>
    <row r="898" ht="13.5" customHeight="1" x14ac:dyDescent="0.15"/>
    <row r="899" ht="13.5" customHeight="1" x14ac:dyDescent="0.15"/>
    <row r="900" ht="13.5" customHeight="1" x14ac:dyDescent="0.15"/>
    <row r="901" ht="13.5" customHeight="1" x14ac:dyDescent="0.15"/>
    <row r="902" ht="13.5" customHeight="1" x14ac:dyDescent="0.15"/>
    <row r="903" ht="13.5" customHeight="1" x14ac:dyDescent="0.15"/>
    <row r="904" ht="13.5" customHeight="1" x14ac:dyDescent="0.15"/>
    <row r="905" ht="13.5" customHeight="1" x14ac:dyDescent="0.15"/>
    <row r="906" ht="13.5" customHeight="1" x14ac:dyDescent="0.15"/>
    <row r="907" ht="13.5" customHeight="1" x14ac:dyDescent="0.15"/>
    <row r="908" ht="13.5" customHeight="1" x14ac:dyDescent="0.15"/>
    <row r="909" ht="13.5" customHeight="1" x14ac:dyDescent="0.15"/>
    <row r="910" ht="13.5" customHeight="1" x14ac:dyDescent="0.15"/>
    <row r="911" ht="13.5" customHeight="1" x14ac:dyDescent="0.15"/>
    <row r="912" ht="13.5" customHeight="1" x14ac:dyDescent="0.15"/>
    <row r="913" ht="13.5" customHeight="1" x14ac:dyDescent="0.15"/>
    <row r="914" ht="13.5" customHeight="1" x14ac:dyDescent="0.15"/>
    <row r="915" ht="13.5" customHeight="1" x14ac:dyDescent="0.15"/>
    <row r="916" ht="13.5" customHeight="1" x14ac:dyDescent="0.15"/>
    <row r="917" ht="13.5" customHeight="1" x14ac:dyDescent="0.15"/>
    <row r="918" ht="13.5" customHeight="1" x14ac:dyDescent="0.15"/>
    <row r="919" ht="13.5" customHeight="1" x14ac:dyDescent="0.15"/>
    <row r="920" ht="13.5" customHeight="1" x14ac:dyDescent="0.15"/>
    <row r="921" ht="13.5" customHeight="1" x14ac:dyDescent="0.15"/>
    <row r="922" ht="13.5" customHeight="1" x14ac:dyDescent="0.15"/>
    <row r="923" ht="13.5" customHeight="1" x14ac:dyDescent="0.15"/>
    <row r="924" ht="13.5" customHeight="1" x14ac:dyDescent="0.15"/>
    <row r="925" ht="13.5" customHeight="1" x14ac:dyDescent="0.15"/>
    <row r="926" ht="13.5" customHeight="1" x14ac:dyDescent="0.15"/>
    <row r="927" ht="13.5" customHeight="1" x14ac:dyDescent="0.15"/>
    <row r="928" ht="13.5" customHeight="1" x14ac:dyDescent="0.15"/>
    <row r="929" ht="13.5" customHeight="1" x14ac:dyDescent="0.15"/>
    <row r="930" ht="13.5" customHeight="1" x14ac:dyDescent="0.15"/>
    <row r="931" ht="13.5" customHeight="1" x14ac:dyDescent="0.15"/>
    <row r="932" ht="13.5" customHeight="1" x14ac:dyDescent="0.15"/>
    <row r="933" ht="13.5" customHeight="1" x14ac:dyDescent="0.15"/>
    <row r="934" ht="13.5" customHeight="1" x14ac:dyDescent="0.15"/>
    <row r="935" ht="13.5" customHeight="1" x14ac:dyDescent="0.15"/>
    <row r="936" ht="13.5" customHeight="1" x14ac:dyDescent="0.15"/>
    <row r="937" ht="13.5" customHeight="1" x14ac:dyDescent="0.15"/>
    <row r="938" ht="13.5" customHeight="1" x14ac:dyDescent="0.15"/>
    <row r="939" ht="13.5" customHeight="1" x14ac:dyDescent="0.15"/>
    <row r="940" ht="13.5" customHeight="1" x14ac:dyDescent="0.15"/>
    <row r="941" ht="13.5" customHeight="1" x14ac:dyDescent="0.15"/>
    <row r="942" ht="13.5" customHeight="1" x14ac:dyDescent="0.15"/>
    <row r="943" ht="13.5" customHeight="1" x14ac:dyDescent="0.15"/>
    <row r="944" ht="13.5" customHeight="1" x14ac:dyDescent="0.15"/>
    <row r="945" ht="13.5" customHeight="1" x14ac:dyDescent="0.15"/>
    <row r="946" ht="13.5" customHeight="1" x14ac:dyDescent="0.15"/>
    <row r="947" ht="13.5" customHeight="1" x14ac:dyDescent="0.15"/>
    <row r="948" ht="13.5" customHeight="1" x14ac:dyDescent="0.15"/>
    <row r="949" ht="13.5" customHeight="1" x14ac:dyDescent="0.15"/>
    <row r="950" ht="13.5" customHeight="1" x14ac:dyDescent="0.15"/>
    <row r="951" ht="13.5" customHeight="1" x14ac:dyDescent="0.15"/>
    <row r="952" ht="13.5" customHeight="1" x14ac:dyDescent="0.15"/>
    <row r="953" ht="13.5" customHeight="1" x14ac:dyDescent="0.15"/>
    <row r="954" ht="13.5" customHeight="1" x14ac:dyDescent="0.15"/>
    <row r="955" ht="13.5" customHeight="1" x14ac:dyDescent="0.15"/>
    <row r="956" ht="13.5" customHeight="1" x14ac:dyDescent="0.15"/>
    <row r="957" ht="13.5" customHeight="1" x14ac:dyDescent="0.15"/>
    <row r="958" ht="13.5" customHeight="1" x14ac:dyDescent="0.15"/>
    <row r="959" ht="13.5" customHeight="1" x14ac:dyDescent="0.15"/>
    <row r="960" ht="13.5" customHeight="1" x14ac:dyDescent="0.15"/>
    <row r="961" ht="13.5" customHeight="1" x14ac:dyDescent="0.15"/>
    <row r="962" ht="13.5" customHeight="1" x14ac:dyDescent="0.15"/>
    <row r="963" ht="13.5" customHeight="1" x14ac:dyDescent="0.15"/>
    <row r="964" ht="13.5" customHeight="1" x14ac:dyDescent="0.15"/>
    <row r="965" ht="13.5" customHeight="1" x14ac:dyDescent="0.15"/>
    <row r="966" ht="13.5" customHeight="1" x14ac:dyDescent="0.15"/>
    <row r="967" ht="13.5" customHeight="1" x14ac:dyDescent="0.15"/>
    <row r="968" ht="13.5" customHeight="1" x14ac:dyDescent="0.15"/>
    <row r="969" ht="13.5" customHeight="1" x14ac:dyDescent="0.15"/>
    <row r="970" ht="13.5" customHeight="1" x14ac:dyDescent="0.15"/>
    <row r="971" ht="13.5" customHeight="1" x14ac:dyDescent="0.15"/>
    <row r="972" ht="13.5" customHeight="1" x14ac:dyDescent="0.15"/>
    <row r="973" ht="13.5" customHeight="1" x14ac:dyDescent="0.15"/>
    <row r="974" ht="13.5" customHeight="1" x14ac:dyDescent="0.15"/>
    <row r="975" ht="13.5" customHeight="1" x14ac:dyDescent="0.15"/>
    <row r="976" ht="13.5" customHeight="1" x14ac:dyDescent="0.15"/>
    <row r="977" ht="13.5" customHeight="1" x14ac:dyDescent="0.15"/>
    <row r="978" ht="13.5" customHeight="1" x14ac:dyDescent="0.15"/>
    <row r="979" ht="13.5" customHeight="1" x14ac:dyDescent="0.15"/>
    <row r="980" ht="13.5" customHeight="1" x14ac:dyDescent="0.15"/>
    <row r="981" ht="13.5" customHeight="1" x14ac:dyDescent="0.15"/>
    <row r="982" ht="13.5" customHeight="1" x14ac:dyDescent="0.15"/>
    <row r="983" ht="13.5" customHeight="1" x14ac:dyDescent="0.15"/>
    <row r="984" ht="13.5" customHeight="1" x14ac:dyDescent="0.15"/>
    <row r="985" ht="13.5" customHeight="1" x14ac:dyDescent="0.15"/>
    <row r="986" ht="13.5" customHeight="1" x14ac:dyDescent="0.15"/>
    <row r="987" ht="13.5" customHeight="1" x14ac:dyDescent="0.15"/>
    <row r="988" ht="13.5" customHeight="1" x14ac:dyDescent="0.15"/>
    <row r="989" ht="13.5" customHeight="1" x14ac:dyDescent="0.15"/>
    <row r="990" ht="13.5" customHeight="1" x14ac:dyDescent="0.15"/>
    <row r="991" ht="13.5" customHeight="1" x14ac:dyDescent="0.15"/>
    <row r="992" ht="13.5" customHeight="1" x14ac:dyDescent="0.15"/>
    <row r="993" ht="13.5" customHeight="1" x14ac:dyDescent="0.15"/>
    <row r="994" ht="13.5" customHeight="1" x14ac:dyDescent="0.15"/>
    <row r="995" ht="13.5" customHeight="1" x14ac:dyDescent="0.15"/>
    <row r="996" ht="13.5" customHeight="1" x14ac:dyDescent="0.15"/>
    <row r="997" ht="13.5" customHeight="1" x14ac:dyDescent="0.15"/>
    <row r="998" ht="13.5" customHeight="1" x14ac:dyDescent="0.15"/>
    <row r="999" ht="13.5" customHeight="1" x14ac:dyDescent="0.15"/>
    <row r="1000" ht="13.5" customHeight="1" x14ac:dyDescent="0.15"/>
    <row r="1001" ht="13.5" customHeight="1" x14ac:dyDescent="0.15"/>
    <row r="1002" ht="13.5" customHeight="1" x14ac:dyDescent="0.15"/>
    <row r="1003" ht="13.5" customHeight="1" x14ac:dyDescent="0.15"/>
    <row r="1004" ht="13.5" customHeight="1" x14ac:dyDescent="0.15"/>
    <row r="1005" ht="13.5" customHeight="1" x14ac:dyDescent="0.15"/>
    <row r="1006" ht="13.5" customHeight="1" x14ac:dyDescent="0.15"/>
    <row r="1007" ht="13.5" customHeight="1" x14ac:dyDescent="0.15"/>
    <row r="1008" ht="13.5" customHeight="1" x14ac:dyDescent="0.15"/>
    <row r="1009" ht="13.5" customHeight="1" x14ac:dyDescent="0.15"/>
    <row r="1010" ht="13.5" customHeight="1" x14ac:dyDescent="0.15"/>
    <row r="1011" ht="13.5" customHeight="1" x14ac:dyDescent="0.15"/>
    <row r="1012" ht="13.5" customHeight="1" x14ac:dyDescent="0.15"/>
    <row r="1013" ht="13.5" customHeight="1" x14ac:dyDescent="0.15"/>
    <row r="1014" ht="13.5" customHeight="1" x14ac:dyDescent="0.15"/>
    <row r="1015" ht="13.5" customHeight="1" x14ac:dyDescent="0.15"/>
    <row r="1016" ht="13.5" customHeight="1" x14ac:dyDescent="0.15"/>
    <row r="1017" ht="13.5" customHeight="1" x14ac:dyDescent="0.15"/>
    <row r="1018" ht="13.5" customHeight="1" x14ac:dyDescent="0.15"/>
    <row r="1019" ht="13.5" customHeight="1" x14ac:dyDescent="0.15"/>
    <row r="1020" ht="13.5" customHeight="1" x14ac:dyDescent="0.15"/>
    <row r="1021" ht="13.5" customHeight="1" x14ac:dyDescent="0.15"/>
    <row r="1022" ht="13.5" customHeight="1" x14ac:dyDescent="0.15"/>
    <row r="1023" ht="13.5" customHeight="1" x14ac:dyDescent="0.15"/>
    <row r="1024" ht="13.5" customHeight="1" x14ac:dyDescent="0.15"/>
    <row r="1025" ht="13.5" customHeight="1" x14ac:dyDescent="0.15"/>
    <row r="1026" ht="13.5" customHeight="1" x14ac:dyDescent="0.15"/>
    <row r="1027" ht="13.5" customHeight="1" x14ac:dyDescent="0.15"/>
    <row r="1028" ht="13.5" customHeight="1" x14ac:dyDescent="0.15"/>
    <row r="1029" ht="13.5" customHeight="1" x14ac:dyDescent="0.15"/>
    <row r="1030" ht="13.5" customHeight="1" x14ac:dyDescent="0.15"/>
    <row r="1031" ht="13.5" customHeight="1" x14ac:dyDescent="0.15"/>
    <row r="1032" ht="13.5" customHeight="1" x14ac:dyDescent="0.15"/>
    <row r="1033" ht="13.5" customHeight="1" x14ac:dyDescent="0.15"/>
    <row r="1034" ht="13.5" customHeight="1" x14ac:dyDescent="0.15"/>
    <row r="1035" ht="13.5" customHeight="1" x14ac:dyDescent="0.15"/>
    <row r="1036" ht="13.5" customHeight="1" x14ac:dyDescent="0.15"/>
    <row r="1037" ht="13.5" customHeight="1" x14ac:dyDescent="0.15"/>
    <row r="1038" ht="13.5" customHeight="1" x14ac:dyDescent="0.15"/>
    <row r="1039" ht="13.5" customHeight="1" x14ac:dyDescent="0.15"/>
    <row r="1040" ht="13.5" customHeight="1" x14ac:dyDescent="0.15"/>
    <row r="1041" ht="13.5" customHeight="1" x14ac:dyDescent="0.15"/>
    <row r="1042" ht="13.5" customHeight="1" x14ac:dyDescent="0.15"/>
    <row r="1043" ht="13.5" customHeight="1" x14ac:dyDescent="0.15"/>
    <row r="1044" ht="13.5" customHeight="1" x14ac:dyDescent="0.15"/>
    <row r="1045" ht="13.5" customHeight="1" x14ac:dyDescent="0.15"/>
    <row r="1046" ht="13.5" customHeight="1" x14ac:dyDescent="0.15"/>
    <row r="1047" ht="13.5" customHeight="1" x14ac:dyDescent="0.15"/>
    <row r="1048" ht="13.5" customHeight="1" x14ac:dyDescent="0.15"/>
    <row r="1049" ht="13.5" customHeight="1" x14ac:dyDescent="0.15"/>
    <row r="1050" ht="13.5" customHeight="1" x14ac:dyDescent="0.15"/>
    <row r="1051" ht="13.5" customHeight="1" x14ac:dyDescent="0.15"/>
    <row r="1052" ht="13.5" customHeight="1" x14ac:dyDescent="0.15"/>
    <row r="1053" ht="13.5" customHeight="1" x14ac:dyDescent="0.15"/>
    <row r="1054" ht="13.5" customHeight="1" x14ac:dyDescent="0.15"/>
    <row r="1055" ht="13.5" customHeight="1" x14ac:dyDescent="0.15"/>
    <row r="1056" ht="13.5" customHeight="1" x14ac:dyDescent="0.15"/>
    <row r="1057" ht="13.5" customHeight="1" x14ac:dyDescent="0.15"/>
    <row r="1058" ht="13.5" customHeight="1" x14ac:dyDescent="0.15"/>
    <row r="1059" ht="13.5" customHeight="1" x14ac:dyDescent="0.15"/>
    <row r="1060" ht="13.5" customHeight="1" x14ac:dyDescent="0.15"/>
    <row r="1061" ht="13.5" customHeight="1" x14ac:dyDescent="0.15"/>
    <row r="1062" ht="13.5" customHeight="1" x14ac:dyDescent="0.15"/>
    <row r="1063" ht="13.5" customHeight="1" x14ac:dyDescent="0.15"/>
    <row r="1064" ht="13.5" customHeight="1" x14ac:dyDescent="0.15"/>
    <row r="1065" ht="13.5" customHeight="1" x14ac:dyDescent="0.15"/>
    <row r="1066" ht="13.5" customHeight="1" x14ac:dyDescent="0.15"/>
    <row r="1067" ht="13.5" customHeight="1" x14ac:dyDescent="0.15"/>
    <row r="1068" ht="13.5" customHeight="1" x14ac:dyDescent="0.15"/>
    <row r="1069" ht="13.5" customHeight="1" x14ac:dyDescent="0.15"/>
    <row r="1070" ht="13.5" customHeight="1" x14ac:dyDescent="0.15"/>
    <row r="1071" ht="13.5" customHeight="1" x14ac:dyDescent="0.15"/>
    <row r="1072" ht="13.5" customHeight="1" x14ac:dyDescent="0.15"/>
    <row r="1073" ht="13.5" customHeight="1" x14ac:dyDescent="0.15"/>
    <row r="1074" ht="13.5" customHeight="1" x14ac:dyDescent="0.15"/>
    <row r="1075" ht="13.5" customHeight="1" x14ac:dyDescent="0.15"/>
    <row r="1076" ht="13.5" customHeight="1" x14ac:dyDescent="0.15"/>
    <row r="1077" ht="13.5" customHeight="1" x14ac:dyDescent="0.15"/>
    <row r="1078" ht="13.5" customHeight="1" x14ac:dyDescent="0.15"/>
    <row r="1079" ht="13.5" customHeight="1" x14ac:dyDescent="0.15"/>
    <row r="1080" ht="13.5" customHeight="1" x14ac:dyDescent="0.15"/>
    <row r="1081" ht="13.5" customHeight="1" x14ac:dyDescent="0.15"/>
    <row r="1082" ht="13.5" customHeight="1" x14ac:dyDescent="0.15"/>
    <row r="1083" ht="13.5" customHeight="1" x14ac:dyDescent="0.15"/>
    <row r="1084" ht="13.5" customHeight="1" x14ac:dyDescent="0.15"/>
    <row r="1085" ht="13.5" customHeight="1" x14ac:dyDescent="0.15"/>
    <row r="1086" ht="13.5" customHeight="1" x14ac:dyDescent="0.15"/>
    <row r="1087" ht="13.5" customHeight="1" x14ac:dyDescent="0.15"/>
    <row r="1088" ht="13.5" customHeight="1" x14ac:dyDescent="0.15"/>
    <row r="1089" ht="13.5" customHeight="1" x14ac:dyDescent="0.15"/>
    <row r="1090" ht="13.5" customHeight="1" x14ac:dyDescent="0.15"/>
    <row r="1091" ht="13.5" customHeight="1" x14ac:dyDescent="0.15"/>
    <row r="1092" ht="13.5" customHeight="1" x14ac:dyDescent="0.15"/>
    <row r="1093" ht="13.5" customHeight="1" x14ac:dyDescent="0.15"/>
    <row r="1094" ht="13.5" customHeight="1" x14ac:dyDescent="0.15"/>
    <row r="1095" ht="13.5" customHeight="1" x14ac:dyDescent="0.15"/>
    <row r="1096" ht="13.5" customHeight="1" x14ac:dyDescent="0.15"/>
    <row r="1097" ht="13.5" customHeight="1" x14ac:dyDescent="0.15"/>
    <row r="1098" ht="13.5" customHeight="1" x14ac:dyDescent="0.15"/>
    <row r="1099" ht="13.5" customHeight="1" x14ac:dyDescent="0.15"/>
    <row r="1100" ht="13.5" customHeight="1" x14ac:dyDescent="0.15"/>
    <row r="1101" ht="13.5" customHeight="1" x14ac:dyDescent="0.15"/>
    <row r="1102" ht="13.5" customHeight="1" x14ac:dyDescent="0.15"/>
    <row r="1103" ht="13.5" customHeight="1" x14ac:dyDescent="0.15"/>
    <row r="1104" ht="13.5" customHeight="1" x14ac:dyDescent="0.15"/>
    <row r="1105" ht="13.5" customHeight="1" x14ac:dyDescent="0.15"/>
    <row r="1106" ht="13.5" customHeight="1" x14ac:dyDescent="0.15"/>
    <row r="1107" ht="13.5" customHeight="1" x14ac:dyDescent="0.15"/>
    <row r="1108" ht="13.5" customHeight="1" x14ac:dyDescent="0.15"/>
    <row r="1109" ht="13.5" customHeight="1" x14ac:dyDescent="0.15"/>
    <row r="1110" ht="13.5" customHeight="1" x14ac:dyDescent="0.15"/>
    <row r="1111" ht="13.5" customHeight="1" x14ac:dyDescent="0.15"/>
    <row r="1112" ht="13.5" customHeight="1" x14ac:dyDescent="0.15"/>
    <row r="1113" ht="13.5" customHeight="1" x14ac:dyDescent="0.15"/>
    <row r="1114" ht="13.5" customHeight="1" x14ac:dyDescent="0.15"/>
    <row r="1115" ht="13.5" customHeight="1" x14ac:dyDescent="0.15"/>
    <row r="1116" ht="13.5" customHeight="1" x14ac:dyDescent="0.15"/>
    <row r="1117" ht="13.5" customHeight="1" x14ac:dyDescent="0.15"/>
    <row r="1118" ht="13.5" customHeight="1" x14ac:dyDescent="0.15"/>
    <row r="1119" ht="13.5" customHeight="1" x14ac:dyDescent="0.15"/>
    <row r="1120" ht="13.5" customHeight="1" x14ac:dyDescent="0.15"/>
    <row r="1121" ht="13.5" customHeight="1" x14ac:dyDescent="0.15"/>
    <row r="1122" ht="13.5" customHeight="1" x14ac:dyDescent="0.15"/>
    <row r="1123" ht="13.5" customHeight="1" x14ac:dyDescent="0.15"/>
    <row r="1124" ht="13.5" customHeight="1" x14ac:dyDescent="0.15"/>
    <row r="1125" ht="13.5" customHeight="1" x14ac:dyDescent="0.15"/>
    <row r="1126" ht="13.5" customHeight="1" x14ac:dyDescent="0.15"/>
    <row r="1127" ht="13.5" customHeight="1" x14ac:dyDescent="0.15"/>
    <row r="1128" ht="13.5" customHeight="1" x14ac:dyDescent="0.15"/>
    <row r="1129" ht="13.5" customHeight="1" x14ac:dyDescent="0.15"/>
    <row r="1130" ht="13.5" customHeight="1" x14ac:dyDescent="0.15"/>
    <row r="1131" ht="13.5" customHeight="1" x14ac:dyDescent="0.15"/>
    <row r="1132" ht="13.5" customHeight="1" x14ac:dyDescent="0.15"/>
    <row r="1133" ht="13.5" customHeight="1" x14ac:dyDescent="0.15"/>
    <row r="1134" ht="13.5" customHeight="1" x14ac:dyDescent="0.15"/>
    <row r="1135" ht="13.5" customHeight="1" x14ac:dyDescent="0.15"/>
    <row r="1136" ht="13.5" customHeight="1" x14ac:dyDescent="0.15"/>
    <row r="1137" ht="13.5" customHeight="1" x14ac:dyDescent="0.15"/>
    <row r="1138" ht="13.5" customHeight="1" x14ac:dyDescent="0.15"/>
    <row r="1139" ht="13.5" customHeight="1" x14ac:dyDescent="0.15"/>
    <row r="1140" ht="13.5" customHeight="1" x14ac:dyDescent="0.15"/>
    <row r="1141" ht="13.5" customHeight="1" x14ac:dyDescent="0.15"/>
    <row r="1142" ht="13.5" customHeight="1" x14ac:dyDescent="0.15"/>
    <row r="1143" ht="13.5" customHeight="1" x14ac:dyDescent="0.15"/>
    <row r="1144" ht="13.5" customHeight="1" x14ac:dyDescent="0.15"/>
    <row r="1145" ht="13.5" customHeight="1" x14ac:dyDescent="0.15"/>
    <row r="1146" ht="13.5" customHeight="1" x14ac:dyDescent="0.15"/>
    <row r="1147" ht="13.5" customHeight="1" x14ac:dyDescent="0.15"/>
    <row r="1148" ht="13.5" customHeight="1" x14ac:dyDescent="0.15"/>
    <row r="1149" ht="13.5" customHeight="1" x14ac:dyDescent="0.15"/>
    <row r="1150" ht="13.5" customHeight="1" x14ac:dyDescent="0.15"/>
    <row r="1151" ht="13.5" customHeight="1" x14ac:dyDescent="0.15"/>
    <row r="1152" ht="13.5" customHeight="1" x14ac:dyDescent="0.15"/>
    <row r="1153" ht="13.5" customHeight="1" x14ac:dyDescent="0.15"/>
    <row r="1154" ht="13.5" customHeight="1" x14ac:dyDescent="0.15"/>
    <row r="1155" ht="13.5" customHeight="1" x14ac:dyDescent="0.15"/>
    <row r="1156" ht="13.5" customHeight="1" x14ac:dyDescent="0.15"/>
    <row r="1157" ht="13.5" customHeight="1" x14ac:dyDescent="0.15"/>
    <row r="1158" ht="13.5" customHeight="1" x14ac:dyDescent="0.15"/>
    <row r="1159" ht="13.5" customHeight="1" x14ac:dyDescent="0.15"/>
    <row r="1160" ht="13.5" customHeight="1" x14ac:dyDescent="0.15"/>
    <row r="1161" ht="13.5" customHeight="1" x14ac:dyDescent="0.15"/>
    <row r="1162" ht="13.5" customHeight="1" x14ac:dyDescent="0.15"/>
    <row r="1163" ht="13.5" customHeight="1" x14ac:dyDescent="0.15"/>
    <row r="1164" ht="13.5" customHeight="1" x14ac:dyDescent="0.15"/>
    <row r="1165" ht="13.5" customHeight="1" x14ac:dyDescent="0.15"/>
    <row r="1166" ht="13.5" customHeight="1" x14ac:dyDescent="0.15"/>
    <row r="1167" ht="13.5" customHeight="1" x14ac:dyDescent="0.15"/>
    <row r="1168" ht="13.5" customHeight="1" x14ac:dyDescent="0.15"/>
    <row r="1169" ht="13.5" customHeight="1" x14ac:dyDescent="0.15"/>
    <row r="1170" ht="13.5" customHeight="1" x14ac:dyDescent="0.15"/>
    <row r="1171" ht="13.5" customHeight="1" x14ac:dyDescent="0.15"/>
    <row r="1172" ht="13.5" customHeight="1" x14ac:dyDescent="0.15"/>
    <row r="1173" ht="13.5" customHeight="1" x14ac:dyDescent="0.15"/>
    <row r="1174" ht="13.5" customHeight="1" x14ac:dyDescent="0.15"/>
    <row r="1175" ht="13.5" customHeight="1" x14ac:dyDescent="0.15"/>
    <row r="1176" ht="13.5" customHeight="1" x14ac:dyDescent="0.15"/>
    <row r="1177" ht="13.5" customHeight="1" x14ac:dyDescent="0.15"/>
    <row r="1178" ht="13.5" customHeight="1" x14ac:dyDescent="0.15"/>
    <row r="1179" ht="13.5" customHeight="1" x14ac:dyDescent="0.15"/>
    <row r="1180" ht="13.5" customHeight="1" x14ac:dyDescent="0.15"/>
    <row r="1181" ht="13.5" customHeight="1" x14ac:dyDescent="0.15"/>
    <row r="1182" ht="13.5" customHeight="1" x14ac:dyDescent="0.15"/>
    <row r="1183" ht="13.5" customHeight="1" x14ac:dyDescent="0.15"/>
    <row r="1184" ht="13.5" customHeight="1" x14ac:dyDescent="0.15"/>
    <row r="1185" ht="13.5" customHeight="1" x14ac:dyDescent="0.15"/>
    <row r="1186" ht="13.5" customHeight="1" x14ac:dyDescent="0.15"/>
    <row r="1187" ht="13.5" customHeight="1" x14ac:dyDescent="0.15"/>
    <row r="1188" ht="13.5" customHeight="1" x14ac:dyDescent="0.15"/>
    <row r="1189" ht="13.5" customHeight="1" x14ac:dyDescent="0.15"/>
    <row r="1190" ht="13.5" customHeight="1" x14ac:dyDescent="0.15"/>
    <row r="1191" ht="13.5" customHeight="1" x14ac:dyDescent="0.15"/>
    <row r="1192" ht="13.5" customHeight="1" x14ac:dyDescent="0.15"/>
    <row r="1193" ht="13.5" customHeight="1" x14ac:dyDescent="0.15"/>
    <row r="1194" ht="13.5" customHeight="1" x14ac:dyDescent="0.15"/>
    <row r="1195" ht="13.5" customHeight="1" x14ac:dyDescent="0.15"/>
    <row r="1196" ht="13.5" customHeight="1" x14ac:dyDescent="0.15"/>
    <row r="1197" ht="13.5" customHeight="1" x14ac:dyDescent="0.15"/>
    <row r="1198" ht="13.5" customHeight="1" x14ac:dyDescent="0.15"/>
    <row r="1199" ht="13.5" customHeight="1" x14ac:dyDescent="0.15"/>
    <row r="1200" ht="13.5" customHeight="1" x14ac:dyDescent="0.15"/>
    <row r="1201" ht="13.5" customHeight="1" x14ac:dyDescent="0.15"/>
    <row r="1202" ht="13.5" customHeight="1" x14ac:dyDescent="0.15"/>
    <row r="1203" ht="13.5" customHeight="1" x14ac:dyDescent="0.15"/>
    <row r="1204" ht="13.5" customHeight="1" x14ac:dyDescent="0.15"/>
    <row r="1205" ht="13.5" customHeight="1" x14ac:dyDescent="0.15"/>
    <row r="1206" ht="13.5" customHeight="1" x14ac:dyDescent="0.15"/>
    <row r="1207" ht="13.5" customHeight="1" x14ac:dyDescent="0.15"/>
    <row r="1208" ht="13.5" customHeight="1" x14ac:dyDescent="0.15"/>
    <row r="1209" ht="13.5" customHeight="1" x14ac:dyDescent="0.15"/>
    <row r="1210" ht="13.5" customHeight="1" x14ac:dyDescent="0.15"/>
    <row r="1211" ht="13.5" customHeight="1" x14ac:dyDescent="0.15"/>
    <row r="1212" ht="13.5" customHeight="1" x14ac:dyDescent="0.15"/>
    <row r="1213" ht="13.5" customHeight="1" x14ac:dyDescent="0.15"/>
    <row r="1214" ht="13.5" customHeight="1" x14ac:dyDescent="0.15"/>
    <row r="1215" ht="13.5" customHeight="1" x14ac:dyDescent="0.15"/>
    <row r="1216" ht="13.5" customHeight="1" x14ac:dyDescent="0.15"/>
    <row r="1217" ht="13.5" customHeight="1" x14ac:dyDescent="0.15"/>
    <row r="1218" ht="13.5" customHeight="1" x14ac:dyDescent="0.15"/>
    <row r="1219" ht="13.5" customHeight="1" x14ac:dyDescent="0.15"/>
    <row r="1220" ht="13.5" customHeight="1" x14ac:dyDescent="0.15"/>
    <row r="1221" ht="13.5" customHeight="1" x14ac:dyDescent="0.15"/>
    <row r="1222" ht="13.5" customHeight="1" x14ac:dyDescent="0.15"/>
    <row r="1223" ht="13.5" customHeight="1" x14ac:dyDescent="0.15"/>
    <row r="1224" ht="13.5" customHeight="1" x14ac:dyDescent="0.15"/>
    <row r="1225" ht="13.5" customHeight="1" x14ac:dyDescent="0.15"/>
    <row r="1226" ht="13.5" customHeight="1" x14ac:dyDescent="0.15"/>
    <row r="1227" ht="13.5" customHeight="1" x14ac:dyDescent="0.15"/>
    <row r="1228" ht="13.5" customHeight="1" x14ac:dyDescent="0.15"/>
    <row r="1229" ht="13.5" customHeight="1" x14ac:dyDescent="0.15"/>
    <row r="1230" ht="13.5" customHeight="1" x14ac:dyDescent="0.15"/>
    <row r="1231" ht="13.5" customHeight="1" x14ac:dyDescent="0.15"/>
    <row r="1232" ht="13.5" customHeight="1" x14ac:dyDescent="0.15"/>
    <row r="1233" ht="13.5" customHeight="1" x14ac:dyDescent="0.15"/>
    <row r="1234" ht="13.5" customHeight="1" x14ac:dyDescent="0.15"/>
    <row r="1235" ht="13.5" customHeight="1" x14ac:dyDescent="0.15"/>
    <row r="1236" ht="13.5" customHeight="1" x14ac:dyDescent="0.15"/>
    <row r="1237" ht="13.5" customHeight="1" x14ac:dyDescent="0.15"/>
    <row r="1238" ht="13.5" customHeight="1" x14ac:dyDescent="0.15"/>
    <row r="1239" ht="13.5" customHeight="1" x14ac:dyDescent="0.15"/>
    <row r="1240" ht="13.5" customHeight="1" x14ac:dyDescent="0.15"/>
    <row r="1241" ht="13.5" customHeight="1" x14ac:dyDescent="0.15"/>
    <row r="1242" ht="13.5" customHeight="1" x14ac:dyDescent="0.15"/>
    <row r="1243" ht="13.5" customHeight="1" x14ac:dyDescent="0.15"/>
    <row r="1244" ht="13.5" customHeight="1" x14ac:dyDescent="0.15"/>
    <row r="1245" ht="13.5" customHeight="1" x14ac:dyDescent="0.15"/>
    <row r="1246" ht="13.5" customHeight="1" x14ac:dyDescent="0.15"/>
    <row r="1247" ht="13.5" customHeight="1" x14ac:dyDescent="0.15"/>
    <row r="1248" ht="13.5" customHeight="1" x14ac:dyDescent="0.15"/>
    <row r="1249" ht="13.5" customHeight="1" x14ac:dyDescent="0.15"/>
    <row r="1250" ht="13.5" customHeight="1" x14ac:dyDescent="0.15"/>
    <row r="1251" ht="13.5" customHeight="1" x14ac:dyDescent="0.15"/>
    <row r="1252" ht="13.5" customHeight="1" x14ac:dyDescent="0.15"/>
    <row r="1253" ht="13.5" customHeight="1" x14ac:dyDescent="0.15"/>
    <row r="1254" ht="13.5" customHeight="1" x14ac:dyDescent="0.15"/>
    <row r="1255" ht="13.5" customHeight="1" x14ac:dyDescent="0.15"/>
    <row r="1256" ht="13.5" customHeight="1" x14ac:dyDescent="0.15"/>
    <row r="1257" ht="13.5" customHeight="1" x14ac:dyDescent="0.15"/>
    <row r="1258" ht="13.5" customHeight="1" x14ac:dyDescent="0.15"/>
    <row r="1259" ht="13.5" customHeight="1" x14ac:dyDescent="0.15"/>
    <row r="1260" ht="13.5" customHeight="1" x14ac:dyDescent="0.15"/>
    <row r="1261" ht="13.5" customHeight="1" x14ac:dyDescent="0.15"/>
    <row r="1262" ht="13.5" customHeight="1" x14ac:dyDescent="0.15"/>
    <row r="1263" ht="13.5" customHeight="1" x14ac:dyDescent="0.15"/>
    <row r="1264" ht="13.5" customHeight="1" x14ac:dyDescent="0.15"/>
    <row r="1265" ht="13.5" customHeight="1" x14ac:dyDescent="0.15"/>
    <row r="1266" ht="13.5" customHeight="1" x14ac:dyDescent="0.15"/>
    <row r="1267" ht="13.5" customHeight="1" x14ac:dyDescent="0.15"/>
    <row r="1268" ht="13.5" customHeight="1" x14ac:dyDescent="0.15"/>
    <row r="1269" ht="13.5" customHeight="1" x14ac:dyDescent="0.15"/>
    <row r="1270" ht="13.5" customHeight="1" x14ac:dyDescent="0.15"/>
    <row r="1271" ht="13.5" customHeight="1" x14ac:dyDescent="0.15"/>
    <row r="1272" ht="13.5" customHeight="1" x14ac:dyDescent="0.15"/>
    <row r="1273" ht="13.5" customHeight="1" x14ac:dyDescent="0.15"/>
    <row r="1274" ht="13.5" customHeight="1" x14ac:dyDescent="0.15"/>
    <row r="1275" ht="13.5" customHeight="1" x14ac:dyDescent="0.15"/>
    <row r="1276" ht="13.5" customHeight="1" x14ac:dyDescent="0.15"/>
    <row r="1277" ht="13.5" customHeight="1" x14ac:dyDescent="0.15"/>
    <row r="1278" ht="13.5" customHeight="1" x14ac:dyDescent="0.15"/>
    <row r="1279" ht="13.5" customHeight="1" x14ac:dyDescent="0.15"/>
    <row r="1280" ht="13.5" customHeight="1" x14ac:dyDescent="0.15"/>
    <row r="1281" ht="13.5" customHeight="1" x14ac:dyDescent="0.15"/>
    <row r="1282" ht="13.5" customHeight="1" x14ac:dyDescent="0.15"/>
    <row r="1283" ht="13.5" customHeight="1" x14ac:dyDescent="0.15"/>
    <row r="1284" ht="13.5" customHeight="1" x14ac:dyDescent="0.15"/>
    <row r="1285" ht="13.5" customHeight="1" x14ac:dyDescent="0.15"/>
    <row r="1286" ht="13.5" customHeight="1" x14ac:dyDescent="0.15"/>
    <row r="1287" ht="13.5" customHeight="1" x14ac:dyDescent="0.15"/>
    <row r="1288" ht="13.5" customHeight="1" x14ac:dyDescent="0.15"/>
    <row r="1289" ht="13.5" customHeight="1" x14ac:dyDescent="0.15"/>
    <row r="1290" ht="13.5" customHeight="1" x14ac:dyDescent="0.15"/>
    <row r="1291" ht="13.5" customHeight="1" x14ac:dyDescent="0.15"/>
    <row r="1292" ht="13.5" customHeight="1" x14ac:dyDescent="0.15"/>
    <row r="1293" ht="13.5" customHeight="1" x14ac:dyDescent="0.15"/>
    <row r="1294" ht="13.5" customHeight="1" x14ac:dyDescent="0.15"/>
    <row r="1295" ht="13.5" customHeight="1" x14ac:dyDescent="0.15"/>
    <row r="1296" ht="13.5" customHeight="1" x14ac:dyDescent="0.15"/>
    <row r="1297" ht="13.5" customHeight="1" x14ac:dyDescent="0.15"/>
    <row r="1298" ht="13.5" customHeight="1" x14ac:dyDescent="0.15"/>
    <row r="1299" ht="13.5" customHeight="1" x14ac:dyDescent="0.15"/>
    <row r="1300" ht="13.5" customHeight="1" x14ac:dyDescent="0.15"/>
    <row r="1301" ht="13.5" customHeight="1" x14ac:dyDescent="0.15"/>
    <row r="1302" ht="13.5" customHeight="1" x14ac:dyDescent="0.15"/>
    <row r="1303" ht="13.5" customHeight="1" x14ac:dyDescent="0.15"/>
    <row r="1304" ht="13.5" customHeight="1" x14ac:dyDescent="0.15"/>
    <row r="1305" ht="13.5" customHeight="1" x14ac:dyDescent="0.15"/>
    <row r="1306" ht="13.5" customHeight="1" x14ac:dyDescent="0.15"/>
    <row r="1307" ht="13.5" customHeight="1" x14ac:dyDescent="0.15"/>
    <row r="1308" ht="13.5" customHeight="1" x14ac:dyDescent="0.15"/>
    <row r="1309" ht="13.5" customHeight="1" x14ac:dyDescent="0.15"/>
    <row r="1310" ht="13.5" customHeight="1" x14ac:dyDescent="0.15"/>
    <row r="1311" ht="13.5" customHeight="1" x14ac:dyDescent="0.15"/>
    <row r="1312" ht="13.5" customHeight="1" x14ac:dyDescent="0.15"/>
    <row r="1313" ht="13.5" customHeight="1" x14ac:dyDescent="0.15"/>
    <row r="1314" ht="13.5" customHeight="1" x14ac:dyDescent="0.15"/>
    <row r="1315" ht="13.5" customHeight="1" x14ac:dyDescent="0.15"/>
    <row r="1316" ht="13.5" customHeight="1" x14ac:dyDescent="0.15"/>
    <row r="1317" ht="13.5" customHeight="1" x14ac:dyDescent="0.15"/>
    <row r="1318" ht="13.5" customHeight="1" x14ac:dyDescent="0.15"/>
    <row r="1319" ht="13.5" customHeight="1" x14ac:dyDescent="0.15"/>
    <row r="1320" ht="13.5" customHeight="1" x14ac:dyDescent="0.15"/>
    <row r="1321" ht="13.5" customHeight="1" x14ac:dyDescent="0.15"/>
    <row r="1322" ht="13.5" customHeight="1" x14ac:dyDescent="0.15"/>
    <row r="1323" ht="13.5" customHeight="1" x14ac:dyDescent="0.15"/>
    <row r="1324" ht="13.5" customHeight="1" x14ac:dyDescent="0.15"/>
    <row r="1325" ht="13.5" customHeight="1" x14ac:dyDescent="0.15"/>
    <row r="1326" ht="13.5" customHeight="1" x14ac:dyDescent="0.15"/>
    <row r="1327" ht="13.5" customHeight="1" x14ac:dyDescent="0.15"/>
    <row r="1328" ht="13.5" customHeight="1" x14ac:dyDescent="0.15"/>
    <row r="1329" ht="13.5" customHeight="1" x14ac:dyDescent="0.15"/>
    <row r="1330" ht="13.5" customHeight="1" x14ac:dyDescent="0.15"/>
    <row r="1331" ht="13.5" customHeight="1" x14ac:dyDescent="0.15"/>
    <row r="1332" ht="13.5" customHeight="1" x14ac:dyDescent="0.15"/>
    <row r="1333" ht="13.5" customHeight="1" x14ac:dyDescent="0.15"/>
    <row r="1334" ht="13.5" customHeight="1" x14ac:dyDescent="0.15"/>
    <row r="1335" ht="13.5" customHeight="1" x14ac:dyDescent="0.15"/>
    <row r="1336" ht="13.5" customHeight="1" x14ac:dyDescent="0.15"/>
    <row r="1337" ht="13.5" customHeight="1" x14ac:dyDescent="0.15"/>
    <row r="1338" ht="13.5" customHeight="1" x14ac:dyDescent="0.15"/>
    <row r="1339" ht="13.5" customHeight="1" x14ac:dyDescent="0.15"/>
    <row r="1340" ht="13.5" customHeight="1" x14ac:dyDescent="0.15"/>
    <row r="1341" ht="13.5" customHeight="1" x14ac:dyDescent="0.15"/>
    <row r="1342" ht="13.5" customHeight="1" x14ac:dyDescent="0.15"/>
    <row r="1343" ht="13.5" customHeight="1" x14ac:dyDescent="0.15"/>
    <row r="1344" ht="13.5" customHeight="1" x14ac:dyDescent="0.15"/>
    <row r="1345" ht="13.5" customHeight="1" x14ac:dyDescent="0.15"/>
    <row r="1346" ht="13.5" customHeight="1" x14ac:dyDescent="0.15"/>
    <row r="1347" ht="13.5" customHeight="1" x14ac:dyDescent="0.15"/>
    <row r="1348" ht="13.5" customHeight="1" x14ac:dyDescent="0.15"/>
    <row r="1349" ht="13.5" customHeight="1" x14ac:dyDescent="0.15"/>
    <row r="1350" ht="13.5" customHeight="1" x14ac:dyDescent="0.15"/>
    <row r="1351" ht="13.5" customHeight="1" x14ac:dyDescent="0.15"/>
    <row r="1352" ht="13.5" customHeight="1" x14ac:dyDescent="0.15"/>
    <row r="1353" ht="13.5" customHeight="1" x14ac:dyDescent="0.15"/>
    <row r="1354" ht="13.5" customHeight="1" x14ac:dyDescent="0.15"/>
    <row r="1355" ht="13.5" customHeight="1" x14ac:dyDescent="0.15"/>
    <row r="1356" ht="13.5" customHeight="1" x14ac:dyDescent="0.15"/>
    <row r="1357" ht="13.5" customHeight="1" x14ac:dyDescent="0.15"/>
    <row r="1358" ht="13.5" customHeight="1" x14ac:dyDescent="0.15"/>
    <row r="1359" ht="13.5" customHeight="1" x14ac:dyDescent="0.15"/>
    <row r="1360" ht="13.5" customHeight="1" x14ac:dyDescent="0.15"/>
    <row r="1361" ht="13.5" customHeight="1" x14ac:dyDescent="0.15"/>
    <row r="1362" ht="13.5" customHeight="1" x14ac:dyDescent="0.15"/>
    <row r="1363" ht="13.5" customHeight="1" x14ac:dyDescent="0.15"/>
    <row r="1364" ht="13.5" customHeight="1" x14ac:dyDescent="0.15"/>
    <row r="1365" ht="13.5" customHeight="1" x14ac:dyDescent="0.15"/>
    <row r="1366" ht="13.5" customHeight="1" x14ac:dyDescent="0.15"/>
    <row r="1367" ht="13.5" customHeight="1" x14ac:dyDescent="0.15"/>
    <row r="1368" ht="13.5" customHeight="1" x14ac:dyDescent="0.15"/>
    <row r="1369" ht="13.5" customHeight="1" x14ac:dyDescent="0.15"/>
    <row r="1370" ht="13.5" customHeight="1" x14ac:dyDescent="0.15"/>
    <row r="1371" ht="13.5" customHeight="1" x14ac:dyDescent="0.15"/>
    <row r="1372" ht="13.5" customHeight="1" x14ac:dyDescent="0.15"/>
    <row r="1373" ht="13.5" customHeight="1" x14ac:dyDescent="0.15"/>
    <row r="1374" ht="13.5" customHeight="1" x14ac:dyDescent="0.15"/>
    <row r="1375" ht="13.5" customHeight="1" x14ac:dyDescent="0.15"/>
    <row r="1376" ht="13.5" customHeight="1" x14ac:dyDescent="0.15"/>
    <row r="1377" ht="13.5" customHeight="1" x14ac:dyDescent="0.15"/>
    <row r="1378" ht="13.5" customHeight="1" x14ac:dyDescent="0.15"/>
    <row r="1379" ht="13.5" customHeight="1" x14ac:dyDescent="0.15"/>
    <row r="1380" ht="13.5" customHeight="1" x14ac:dyDescent="0.15"/>
    <row r="1381" ht="13.5" customHeight="1" x14ac:dyDescent="0.15"/>
    <row r="1382" ht="13.5" customHeight="1" x14ac:dyDescent="0.15"/>
    <row r="1383" ht="13.5" customHeight="1" x14ac:dyDescent="0.15"/>
    <row r="1384" ht="13.5" customHeight="1" x14ac:dyDescent="0.15"/>
    <row r="1385" ht="13.5" customHeight="1" x14ac:dyDescent="0.15"/>
    <row r="1386" ht="13.5" customHeight="1" x14ac:dyDescent="0.15"/>
    <row r="1387" ht="13.5" customHeight="1" x14ac:dyDescent="0.15"/>
    <row r="1388" ht="13.5" customHeight="1" x14ac:dyDescent="0.15"/>
    <row r="1389" ht="13.5" customHeight="1" x14ac:dyDescent="0.15"/>
    <row r="1390" ht="13.5" customHeight="1" x14ac:dyDescent="0.15"/>
    <row r="1391" ht="13.5" customHeight="1" x14ac:dyDescent="0.15"/>
    <row r="1392" ht="13.5" customHeight="1" x14ac:dyDescent="0.15"/>
    <row r="1393" ht="13.5" customHeight="1" x14ac:dyDescent="0.15"/>
    <row r="1394" ht="13.5" customHeight="1" x14ac:dyDescent="0.15"/>
    <row r="1395" ht="13.5" customHeight="1" x14ac:dyDescent="0.15"/>
    <row r="1396" ht="13.5" customHeight="1" x14ac:dyDescent="0.15"/>
    <row r="1397" ht="13.5" customHeight="1" x14ac:dyDescent="0.15"/>
    <row r="1398" ht="13.5" customHeight="1" x14ac:dyDescent="0.15"/>
    <row r="1399" ht="13.5" customHeight="1" x14ac:dyDescent="0.15"/>
    <row r="1400" ht="13.5" customHeight="1" x14ac:dyDescent="0.15"/>
    <row r="1401" ht="13.5" customHeight="1" x14ac:dyDescent="0.15"/>
    <row r="1402" ht="13.5" customHeight="1" x14ac:dyDescent="0.15"/>
    <row r="1403" ht="13.5" customHeight="1" x14ac:dyDescent="0.15"/>
    <row r="1404" ht="13.5" customHeight="1" x14ac:dyDescent="0.15"/>
    <row r="1405" ht="13.5" customHeight="1" x14ac:dyDescent="0.15"/>
    <row r="1406" ht="13.5" customHeight="1" x14ac:dyDescent="0.15"/>
    <row r="1407" ht="13.5" customHeight="1" x14ac:dyDescent="0.15"/>
    <row r="1408" ht="13.5" customHeight="1" x14ac:dyDescent="0.15"/>
    <row r="1409" ht="13.5" customHeight="1" x14ac:dyDescent="0.15"/>
    <row r="1410" ht="13.5" customHeight="1" x14ac:dyDescent="0.15"/>
    <row r="1411" ht="13.5" customHeight="1" x14ac:dyDescent="0.15"/>
    <row r="1412" ht="13.5" customHeight="1" x14ac:dyDescent="0.15"/>
    <row r="1413" ht="13.5" customHeight="1" x14ac:dyDescent="0.15"/>
    <row r="1414" ht="13.5" customHeight="1" x14ac:dyDescent="0.15"/>
    <row r="1415" ht="13.5" customHeight="1" x14ac:dyDescent="0.15"/>
    <row r="1416" ht="13.5" customHeight="1" x14ac:dyDescent="0.15"/>
    <row r="1417" ht="13.5" customHeight="1" x14ac:dyDescent="0.15"/>
    <row r="1418" ht="13.5" customHeight="1" x14ac:dyDescent="0.15"/>
    <row r="1419" ht="13.5" customHeight="1" x14ac:dyDescent="0.15"/>
    <row r="1420" ht="13.5" customHeight="1" x14ac:dyDescent="0.15"/>
    <row r="1421" ht="13.5" customHeight="1" x14ac:dyDescent="0.15"/>
    <row r="1422" ht="13.5" customHeight="1" x14ac:dyDescent="0.15"/>
    <row r="1423" ht="13.5" customHeight="1" x14ac:dyDescent="0.15"/>
    <row r="1424" ht="13.5" customHeight="1" x14ac:dyDescent="0.15"/>
    <row r="1425" ht="13.5" customHeight="1" x14ac:dyDescent="0.15"/>
    <row r="1426" ht="13.5" customHeight="1" x14ac:dyDescent="0.15"/>
    <row r="1427" ht="13.5" customHeight="1" x14ac:dyDescent="0.15"/>
    <row r="1428" ht="13.5" customHeight="1" x14ac:dyDescent="0.15"/>
    <row r="1429" ht="13.5" customHeight="1" x14ac:dyDescent="0.15"/>
    <row r="1430" ht="13.5" customHeight="1" x14ac:dyDescent="0.15"/>
    <row r="1431" ht="13.5" customHeight="1" x14ac:dyDescent="0.15"/>
    <row r="1432" ht="13.5" customHeight="1" x14ac:dyDescent="0.15"/>
    <row r="1433" ht="13.5" customHeight="1" x14ac:dyDescent="0.15"/>
    <row r="1434" ht="13.5" customHeight="1" x14ac:dyDescent="0.15"/>
    <row r="1435" ht="13.5" customHeight="1" x14ac:dyDescent="0.15"/>
    <row r="1436" ht="13.5" customHeight="1" x14ac:dyDescent="0.15"/>
    <row r="1437" ht="13.5" customHeight="1" x14ac:dyDescent="0.15"/>
    <row r="1438" ht="13.5" customHeight="1" x14ac:dyDescent="0.15"/>
    <row r="1439" ht="13.5" customHeight="1" x14ac:dyDescent="0.15"/>
    <row r="1440" ht="13.5" customHeight="1" x14ac:dyDescent="0.15"/>
    <row r="1441" ht="13.5" customHeight="1" x14ac:dyDescent="0.15"/>
    <row r="1442" ht="13.5" customHeight="1" x14ac:dyDescent="0.15"/>
    <row r="1443" ht="13.5" customHeight="1" x14ac:dyDescent="0.15"/>
    <row r="1444" ht="13.5" customHeight="1" x14ac:dyDescent="0.15"/>
    <row r="1445" ht="13.5" customHeight="1" x14ac:dyDescent="0.15"/>
    <row r="1446" ht="13.5" customHeight="1" x14ac:dyDescent="0.15"/>
    <row r="1447" ht="13.5" customHeight="1" x14ac:dyDescent="0.15"/>
    <row r="1448" ht="13.5" customHeight="1" x14ac:dyDescent="0.15"/>
    <row r="1449" ht="13.5" customHeight="1" x14ac:dyDescent="0.15"/>
    <row r="1450" ht="13.5" customHeight="1" x14ac:dyDescent="0.15"/>
    <row r="1451" ht="13.5" customHeight="1" x14ac:dyDescent="0.15"/>
    <row r="1452" ht="13.5" customHeight="1" x14ac:dyDescent="0.15"/>
    <row r="1453" ht="13.5" customHeight="1" x14ac:dyDescent="0.15"/>
    <row r="1454" ht="13.5" customHeight="1" x14ac:dyDescent="0.15"/>
    <row r="1455" ht="13.5" customHeight="1" x14ac:dyDescent="0.15"/>
    <row r="1456" ht="13.5" customHeight="1" x14ac:dyDescent="0.15"/>
    <row r="1457" ht="13.5" customHeight="1" x14ac:dyDescent="0.15"/>
    <row r="1458" ht="13.5" customHeight="1" x14ac:dyDescent="0.15"/>
    <row r="1459" ht="13.5" customHeight="1" x14ac:dyDescent="0.15"/>
    <row r="1460" ht="13.5" customHeight="1" x14ac:dyDescent="0.15"/>
    <row r="1461" ht="13.5" customHeight="1" x14ac:dyDescent="0.15"/>
    <row r="1462" ht="13.5" customHeight="1" x14ac:dyDescent="0.15"/>
    <row r="1463" ht="13.5" customHeight="1" x14ac:dyDescent="0.15"/>
    <row r="1464" ht="13.5" customHeight="1" x14ac:dyDescent="0.15"/>
    <row r="1465" ht="13.5" customHeight="1" x14ac:dyDescent="0.15"/>
    <row r="1466" ht="13.5" customHeight="1" x14ac:dyDescent="0.15"/>
    <row r="1467" ht="13.5" customHeight="1" x14ac:dyDescent="0.15"/>
    <row r="1468" ht="13.5" customHeight="1" x14ac:dyDescent="0.15"/>
    <row r="1469" ht="13.5" customHeight="1" x14ac:dyDescent="0.15"/>
    <row r="1470" ht="13.5" customHeight="1" x14ac:dyDescent="0.15"/>
    <row r="1471" ht="13.5" customHeight="1" x14ac:dyDescent="0.15"/>
    <row r="1472" ht="13.5" customHeight="1" x14ac:dyDescent="0.15"/>
    <row r="1473" ht="13.5" customHeight="1" x14ac:dyDescent="0.15"/>
    <row r="1474" ht="13.5" customHeight="1" x14ac:dyDescent="0.15"/>
    <row r="1475" ht="13.5" customHeight="1" x14ac:dyDescent="0.15"/>
    <row r="1476" ht="13.5" customHeight="1" x14ac:dyDescent="0.15"/>
    <row r="1477" ht="13.5" customHeight="1" x14ac:dyDescent="0.15"/>
    <row r="1478" ht="13.5" customHeight="1" x14ac:dyDescent="0.15"/>
    <row r="1479" ht="13.5" customHeight="1" x14ac:dyDescent="0.15"/>
    <row r="1480" ht="13.5" customHeight="1" x14ac:dyDescent="0.15"/>
    <row r="1481" ht="13.5" customHeight="1" x14ac:dyDescent="0.15"/>
    <row r="1482" ht="13.5" customHeight="1" x14ac:dyDescent="0.15"/>
    <row r="1483" ht="13.5" customHeight="1" x14ac:dyDescent="0.15"/>
    <row r="1484" ht="13.5" customHeight="1" x14ac:dyDescent="0.15"/>
    <row r="1485" ht="13.5" customHeight="1" x14ac:dyDescent="0.15"/>
    <row r="1486" ht="13.5" customHeight="1" x14ac:dyDescent="0.15"/>
    <row r="1487" ht="13.5" customHeight="1" x14ac:dyDescent="0.15"/>
    <row r="1488" ht="13.5" customHeight="1" x14ac:dyDescent="0.15"/>
    <row r="1489" ht="13.5" customHeight="1" x14ac:dyDescent="0.15"/>
    <row r="1490" ht="13.5" customHeight="1" x14ac:dyDescent="0.15"/>
    <row r="1491" ht="13.5" customHeight="1" x14ac:dyDescent="0.15"/>
    <row r="1492" ht="13.5" customHeight="1" x14ac:dyDescent="0.15"/>
    <row r="1493" ht="13.5" customHeight="1" x14ac:dyDescent="0.15"/>
    <row r="1494" ht="13.5" customHeight="1" x14ac:dyDescent="0.15"/>
    <row r="1495" ht="13.5" customHeight="1" x14ac:dyDescent="0.15"/>
    <row r="1496" ht="13.5" customHeight="1" x14ac:dyDescent="0.15"/>
    <row r="1497" ht="13.5" customHeight="1" x14ac:dyDescent="0.15"/>
    <row r="1498" ht="13.5" customHeight="1" x14ac:dyDescent="0.15"/>
    <row r="1499" ht="13.5" customHeight="1" x14ac:dyDescent="0.15"/>
    <row r="1500" ht="13.5" customHeight="1" x14ac:dyDescent="0.15"/>
    <row r="1501" ht="13.5" customHeight="1" x14ac:dyDescent="0.15"/>
    <row r="1502" ht="13.5" customHeight="1" x14ac:dyDescent="0.15"/>
    <row r="1503" ht="13.5" customHeight="1" x14ac:dyDescent="0.15"/>
    <row r="1504" ht="13.5" customHeight="1" x14ac:dyDescent="0.15"/>
    <row r="1505" ht="13.5" customHeight="1" x14ac:dyDescent="0.15"/>
    <row r="1506" ht="13.5" customHeight="1" x14ac:dyDescent="0.15"/>
    <row r="1507" ht="13.5" customHeight="1" x14ac:dyDescent="0.15"/>
    <row r="1508" ht="13.5" customHeight="1" x14ac:dyDescent="0.15"/>
    <row r="1509" ht="13.5" customHeight="1" x14ac:dyDescent="0.15"/>
    <row r="1510" ht="13.5" customHeight="1" x14ac:dyDescent="0.15"/>
    <row r="1511" ht="13.5" customHeight="1" x14ac:dyDescent="0.15"/>
    <row r="1512" ht="13.5" customHeight="1" x14ac:dyDescent="0.15"/>
    <row r="1513" ht="13.5" customHeight="1" x14ac:dyDescent="0.15"/>
    <row r="1514" ht="13.5" customHeight="1" x14ac:dyDescent="0.15"/>
    <row r="1515" ht="13.5" customHeight="1" x14ac:dyDescent="0.15"/>
    <row r="1516" ht="13.5" customHeight="1" x14ac:dyDescent="0.15"/>
    <row r="1517" ht="13.5" customHeight="1" x14ac:dyDescent="0.15"/>
    <row r="1518" ht="13.5" customHeight="1" x14ac:dyDescent="0.15"/>
    <row r="1519" ht="13.5" customHeight="1" x14ac:dyDescent="0.15"/>
    <row r="1520" ht="13.5" customHeight="1" x14ac:dyDescent="0.15"/>
    <row r="1521" ht="13.5" customHeight="1" x14ac:dyDescent="0.15"/>
    <row r="1522" ht="13.5" customHeight="1" x14ac:dyDescent="0.15"/>
    <row r="1523" ht="13.5" customHeight="1" x14ac:dyDescent="0.15"/>
    <row r="1524" ht="13.5" customHeight="1" x14ac:dyDescent="0.15"/>
    <row r="1525" ht="13.5" customHeight="1" x14ac:dyDescent="0.15"/>
    <row r="1526" ht="13.5" customHeight="1" x14ac:dyDescent="0.15"/>
    <row r="1527" ht="13.5" customHeight="1" x14ac:dyDescent="0.15"/>
    <row r="1528" ht="13.5" customHeight="1" x14ac:dyDescent="0.15"/>
    <row r="1529" ht="13.5" customHeight="1" x14ac:dyDescent="0.15"/>
    <row r="1530" ht="13.5" customHeight="1" x14ac:dyDescent="0.15"/>
    <row r="1531" ht="13.5" customHeight="1" x14ac:dyDescent="0.15"/>
    <row r="1532" ht="13.5" customHeight="1" x14ac:dyDescent="0.15"/>
    <row r="1533" ht="13.5" customHeight="1" x14ac:dyDescent="0.15"/>
    <row r="1534" ht="13.5" customHeight="1" x14ac:dyDescent="0.15"/>
    <row r="1535" ht="13.5" customHeight="1" x14ac:dyDescent="0.15"/>
    <row r="1536" ht="13.5" customHeight="1" x14ac:dyDescent="0.15"/>
    <row r="1537" ht="13.5" customHeight="1" x14ac:dyDescent="0.15"/>
    <row r="1538" ht="13.5" customHeight="1" x14ac:dyDescent="0.15"/>
    <row r="1539" ht="13.5" customHeight="1" x14ac:dyDescent="0.15"/>
    <row r="1540" ht="13.5" customHeight="1" x14ac:dyDescent="0.15"/>
    <row r="1541" ht="13.5" customHeight="1" x14ac:dyDescent="0.15"/>
    <row r="1542" ht="13.5" customHeight="1" x14ac:dyDescent="0.15"/>
    <row r="1543" ht="13.5" customHeight="1" x14ac:dyDescent="0.15"/>
    <row r="1544" ht="13.5" customHeight="1" x14ac:dyDescent="0.15"/>
    <row r="1545" ht="13.5" customHeight="1" x14ac:dyDescent="0.15"/>
    <row r="1546" ht="13.5" customHeight="1" x14ac:dyDescent="0.15"/>
    <row r="1547" ht="13.5" customHeight="1" x14ac:dyDescent="0.15"/>
    <row r="1548" ht="13.5" customHeight="1" x14ac:dyDescent="0.15"/>
    <row r="1549" ht="13.5" customHeight="1" x14ac:dyDescent="0.15"/>
    <row r="1550" ht="13.5" customHeight="1" x14ac:dyDescent="0.15"/>
    <row r="1551" ht="13.5" customHeight="1" x14ac:dyDescent="0.15"/>
    <row r="1552" ht="13.5" customHeight="1" x14ac:dyDescent="0.15"/>
    <row r="1553" ht="13.5" customHeight="1" x14ac:dyDescent="0.15"/>
    <row r="1554" ht="13.5" customHeight="1" x14ac:dyDescent="0.15"/>
    <row r="1555" ht="13.5" customHeight="1" x14ac:dyDescent="0.15"/>
    <row r="1556" ht="13.5" customHeight="1" x14ac:dyDescent="0.15"/>
    <row r="1557" ht="13.5" customHeight="1" x14ac:dyDescent="0.15"/>
    <row r="1558" ht="13.5" customHeight="1" x14ac:dyDescent="0.15"/>
    <row r="1559" ht="13.5" customHeight="1" x14ac:dyDescent="0.15"/>
    <row r="1560" ht="13.5" customHeight="1" x14ac:dyDescent="0.15"/>
    <row r="1561" ht="13.5" customHeight="1" x14ac:dyDescent="0.15"/>
    <row r="1562" ht="13.5" customHeight="1" x14ac:dyDescent="0.15"/>
    <row r="1563" ht="13.5" customHeight="1" x14ac:dyDescent="0.15"/>
    <row r="1564" ht="13.5" customHeight="1" x14ac:dyDescent="0.15"/>
    <row r="1565" ht="13.5" customHeight="1" x14ac:dyDescent="0.15"/>
    <row r="1566" ht="13.5" customHeight="1" x14ac:dyDescent="0.15"/>
    <row r="1567" ht="13.5" customHeight="1" x14ac:dyDescent="0.15"/>
    <row r="1568" ht="13.5" customHeight="1" x14ac:dyDescent="0.15"/>
    <row r="1569" ht="13.5" customHeight="1" x14ac:dyDescent="0.15"/>
    <row r="1570" ht="13.5" customHeight="1" x14ac:dyDescent="0.15"/>
    <row r="1571" ht="13.5" customHeight="1" x14ac:dyDescent="0.15"/>
    <row r="1572" ht="13.5" customHeight="1" x14ac:dyDescent="0.15"/>
    <row r="1573" ht="13.5" customHeight="1" x14ac:dyDescent="0.15"/>
    <row r="1574" ht="13.5" customHeight="1" x14ac:dyDescent="0.15"/>
    <row r="1575" ht="13.5" customHeight="1" x14ac:dyDescent="0.15"/>
    <row r="1576" ht="13.5" customHeight="1" x14ac:dyDescent="0.15"/>
    <row r="1577" ht="13.5" customHeight="1" x14ac:dyDescent="0.15"/>
    <row r="1578" ht="13.5" customHeight="1" x14ac:dyDescent="0.15"/>
    <row r="1579" ht="13.5" customHeight="1" x14ac:dyDescent="0.15"/>
    <row r="1580" ht="13.5" customHeight="1" x14ac:dyDescent="0.15"/>
    <row r="1581" ht="13.5" customHeight="1" x14ac:dyDescent="0.15"/>
    <row r="1582" ht="13.5" customHeight="1" x14ac:dyDescent="0.15"/>
    <row r="1583" ht="13.5" customHeight="1" x14ac:dyDescent="0.15"/>
    <row r="1584" ht="13.5" customHeight="1" x14ac:dyDescent="0.15"/>
    <row r="1585" ht="13.5" customHeight="1" x14ac:dyDescent="0.15"/>
    <row r="1586" ht="13.5" customHeight="1" x14ac:dyDescent="0.15"/>
    <row r="1587" ht="13.5" customHeight="1" x14ac:dyDescent="0.15"/>
    <row r="1588" ht="13.5" customHeight="1" x14ac:dyDescent="0.15"/>
    <row r="1589" ht="13.5" customHeight="1" x14ac:dyDescent="0.15"/>
    <row r="1590" ht="13.5" customHeight="1" x14ac:dyDescent="0.15"/>
    <row r="1591" ht="13.5" customHeight="1" x14ac:dyDescent="0.15"/>
    <row r="1592" ht="13.5" customHeight="1" x14ac:dyDescent="0.15"/>
    <row r="1593" ht="13.5" customHeight="1" x14ac:dyDescent="0.15"/>
    <row r="1594" ht="13.5" customHeight="1" x14ac:dyDescent="0.15"/>
    <row r="1595" ht="13.5" customHeight="1" x14ac:dyDescent="0.15"/>
    <row r="1596" ht="13.5" customHeight="1" x14ac:dyDescent="0.15"/>
    <row r="1597" ht="13.5" customHeight="1" x14ac:dyDescent="0.15"/>
    <row r="1598" ht="13.5" customHeight="1" x14ac:dyDescent="0.15"/>
    <row r="1599" ht="13.5" customHeight="1" x14ac:dyDescent="0.15"/>
    <row r="1600" ht="13.5" customHeight="1" x14ac:dyDescent="0.15"/>
    <row r="1601" ht="13.5" customHeight="1" x14ac:dyDescent="0.15"/>
    <row r="1602" ht="13.5" customHeight="1" x14ac:dyDescent="0.15"/>
    <row r="1603" ht="13.5" customHeight="1" x14ac:dyDescent="0.15"/>
    <row r="1604" ht="13.5" customHeight="1" x14ac:dyDescent="0.15"/>
    <row r="1605" ht="13.5" customHeight="1" x14ac:dyDescent="0.15"/>
    <row r="1606" ht="13.5" customHeight="1" x14ac:dyDescent="0.15"/>
    <row r="1607" ht="13.5" customHeight="1" x14ac:dyDescent="0.15"/>
    <row r="1608" ht="13.5" customHeight="1" x14ac:dyDescent="0.15"/>
    <row r="1609" ht="13.5" customHeight="1" x14ac:dyDescent="0.15"/>
    <row r="1610" ht="13.5" customHeight="1" x14ac:dyDescent="0.15"/>
    <row r="1611" ht="13.5" customHeight="1" x14ac:dyDescent="0.15"/>
    <row r="1612" ht="13.5" customHeight="1" x14ac:dyDescent="0.15"/>
    <row r="1613" ht="13.5" customHeight="1" x14ac:dyDescent="0.15"/>
    <row r="1614" ht="13.5" customHeight="1" x14ac:dyDescent="0.15"/>
    <row r="1615" ht="13.5" customHeight="1" x14ac:dyDescent="0.15"/>
    <row r="1616" ht="13.5" customHeight="1" x14ac:dyDescent="0.15"/>
    <row r="1617" ht="13.5" customHeight="1" x14ac:dyDescent="0.15"/>
    <row r="1618" ht="13.5" customHeight="1" x14ac:dyDescent="0.15"/>
    <row r="1619" ht="13.5" customHeight="1" x14ac:dyDescent="0.15"/>
    <row r="1620" ht="13.5" customHeight="1" x14ac:dyDescent="0.15"/>
    <row r="1621" ht="13.5" customHeight="1" x14ac:dyDescent="0.15"/>
    <row r="1622" ht="13.5" customHeight="1" x14ac:dyDescent="0.15"/>
    <row r="1623" ht="13.5" customHeight="1" x14ac:dyDescent="0.15"/>
    <row r="1624" ht="13.5" customHeight="1" x14ac:dyDescent="0.15"/>
    <row r="1625" ht="13.5" customHeight="1" x14ac:dyDescent="0.15"/>
    <row r="1626" ht="13.5" customHeight="1" x14ac:dyDescent="0.15"/>
    <row r="1627" ht="13.5" customHeight="1" x14ac:dyDescent="0.15"/>
    <row r="1628" ht="13.5" customHeight="1" x14ac:dyDescent="0.15"/>
    <row r="1629" ht="13.5" customHeight="1" x14ac:dyDescent="0.15"/>
    <row r="1630" ht="13.5" customHeight="1" x14ac:dyDescent="0.15"/>
    <row r="1631" ht="13.5" customHeight="1" x14ac:dyDescent="0.15"/>
    <row r="1632" ht="13.5" customHeight="1" x14ac:dyDescent="0.15"/>
    <row r="1633" ht="13.5" customHeight="1" x14ac:dyDescent="0.15"/>
    <row r="1634" ht="13.5" customHeight="1" x14ac:dyDescent="0.15"/>
    <row r="1635" ht="13.5" customHeight="1" x14ac:dyDescent="0.15"/>
    <row r="1636" ht="13.5" customHeight="1" x14ac:dyDescent="0.15"/>
    <row r="1637" ht="13.5" customHeight="1" x14ac:dyDescent="0.15"/>
    <row r="1638" ht="13.5" customHeight="1" x14ac:dyDescent="0.15"/>
    <row r="1639" ht="13.5" customHeight="1" x14ac:dyDescent="0.15"/>
    <row r="1640" ht="13.5" customHeight="1" x14ac:dyDescent="0.15"/>
    <row r="1641" ht="13.5" customHeight="1" x14ac:dyDescent="0.15"/>
    <row r="1642" ht="13.5" customHeight="1" x14ac:dyDescent="0.15"/>
    <row r="1643" ht="13.5" customHeight="1" x14ac:dyDescent="0.15"/>
    <row r="1644" ht="13.5" customHeight="1" x14ac:dyDescent="0.15"/>
    <row r="1645" ht="13.5" customHeight="1" x14ac:dyDescent="0.15"/>
    <row r="1646" ht="13.5" customHeight="1" x14ac:dyDescent="0.15"/>
    <row r="1647" ht="13.5" customHeight="1" x14ac:dyDescent="0.15"/>
    <row r="1648" ht="13.5" customHeight="1" x14ac:dyDescent="0.15"/>
    <row r="1649" ht="13.5" customHeight="1" x14ac:dyDescent="0.15"/>
    <row r="1650" ht="13.5" customHeight="1" x14ac:dyDescent="0.15"/>
    <row r="1651" ht="13.5" customHeight="1" x14ac:dyDescent="0.15"/>
    <row r="1652" ht="13.5" customHeight="1" x14ac:dyDescent="0.15"/>
    <row r="1653" ht="13.5" customHeight="1" x14ac:dyDescent="0.15"/>
    <row r="1654" ht="13.5" customHeight="1" x14ac:dyDescent="0.15"/>
    <row r="1655" ht="13.5" customHeight="1" x14ac:dyDescent="0.15"/>
    <row r="1656" ht="13.5" customHeight="1" x14ac:dyDescent="0.15"/>
    <row r="1657" ht="13.5" customHeight="1" x14ac:dyDescent="0.15"/>
    <row r="1658" ht="13.5" customHeight="1" x14ac:dyDescent="0.15"/>
    <row r="1659" ht="13.5" customHeight="1" x14ac:dyDescent="0.15"/>
    <row r="1660" ht="13.5" customHeight="1" x14ac:dyDescent="0.15"/>
    <row r="1661" ht="13.5" customHeight="1" x14ac:dyDescent="0.15"/>
    <row r="1662" ht="13.5" customHeight="1" x14ac:dyDescent="0.15"/>
    <row r="1663" ht="13.5" customHeight="1" x14ac:dyDescent="0.15"/>
    <row r="1664" ht="13.5" customHeight="1" x14ac:dyDescent="0.15"/>
    <row r="1665" ht="13.5" customHeight="1" x14ac:dyDescent="0.15"/>
    <row r="1666" ht="13.5" customHeight="1" x14ac:dyDescent="0.15"/>
    <row r="1667" ht="13.5" customHeight="1" x14ac:dyDescent="0.15"/>
    <row r="1668" ht="13.5" customHeight="1" x14ac:dyDescent="0.15"/>
    <row r="1669" ht="13.5" customHeight="1" x14ac:dyDescent="0.15"/>
    <row r="1670" ht="13.5" customHeight="1" x14ac:dyDescent="0.15"/>
    <row r="1671" ht="13.5" customHeight="1" x14ac:dyDescent="0.15"/>
    <row r="1672" ht="13.5" customHeight="1" x14ac:dyDescent="0.15"/>
    <row r="1673" ht="13.5" customHeight="1" x14ac:dyDescent="0.15"/>
    <row r="1674" ht="13.5" customHeight="1" x14ac:dyDescent="0.15"/>
    <row r="1675" ht="13.5" customHeight="1" x14ac:dyDescent="0.15"/>
    <row r="1676" ht="13.5" customHeight="1" x14ac:dyDescent="0.15"/>
    <row r="1677" ht="13.5" customHeight="1" x14ac:dyDescent="0.15"/>
    <row r="1678" ht="13.5" customHeight="1" x14ac:dyDescent="0.15"/>
    <row r="1679" ht="13.5" customHeight="1" x14ac:dyDescent="0.15"/>
    <row r="1680" ht="13.5" customHeight="1" x14ac:dyDescent="0.15"/>
    <row r="1681" ht="13.5" customHeight="1" x14ac:dyDescent="0.15"/>
    <row r="1682" ht="13.5" customHeight="1" x14ac:dyDescent="0.15"/>
    <row r="1683" ht="13.5" customHeight="1" x14ac:dyDescent="0.15"/>
    <row r="1684" ht="13.5" customHeight="1" x14ac:dyDescent="0.15"/>
    <row r="1685" ht="13.5" customHeight="1" x14ac:dyDescent="0.15"/>
    <row r="1686" ht="13.5" customHeight="1" x14ac:dyDescent="0.15"/>
    <row r="1687" ht="13.5" customHeight="1" x14ac:dyDescent="0.15"/>
    <row r="1688" ht="13.5" customHeight="1" x14ac:dyDescent="0.15"/>
    <row r="1689" ht="13.5" customHeight="1" x14ac:dyDescent="0.15"/>
    <row r="1690" ht="13.5" customHeight="1" x14ac:dyDescent="0.15"/>
    <row r="1691" ht="13.5" customHeight="1" x14ac:dyDescent="0.15"/>
    <row r="1692" ht="13.5" customHeight="1" x14ac:dyDescent="0.15"/>
    <row r="1693" ht="13.5" customHeight="1" x14ac:dyDescent="0.15"/>
    <row r="1694" ht="13.5" customHeight="1" x14ac:dyDescent="0.15"/>
    <row r="1695" ht="13.5" customHeight="1" x14ac:dyDescent="0.15"/>
    <row r="1696" ht="13.5" customHeight="1" x14ac:dyDescent="0.15"/>
    <row r="1697" ht="13.5" customHeight="1" x14ac:dyDescent="0.15"/>
    <row r="1698" ht="13.5" customHeight="1" x14ac:dyDescent="0.15"/>
    <row r="1699" ht="13.5" customHeight="1" x14ac:dyDescent="0.15"/>
    <row r="1700" ht="13.5" customHeight="1" x14ac:dyDescent="0.15"/>
    <row r="1701" ht="13.5" customHeight="1" x14ac:dyDescent="0.15"/>
    <row r="1702" ht="13.5" customHeight="1" x14ac:dyDescent="0.15"/>
    <row r="1703" ht="13.5" customHeight="1" x14ac:dyDescent="0.15"/>
    <row r="1704" ht="13.5" customHeight="1" x14ac:dyDescent="0.15"/>
    <row r="1705" ht="13.5" customHeight="1" x14ac:dyDescent="0.15"/>
    <row r="1706" ht="13.5" customHeight="1" x14ac:dyDescent="0.15"/>
    <row r="1707" ht="13.5" customHeight="1" x14ac:dyDescent="0.15"/>
    <row r="1708" ht="13.5" customHeight="1" x14ac:dyDescent="0.15"/>
    <row r="1709" ht="13.5" customHeight="1" x14ac:dyDescent="0.15"/>
    <row r="1710" ht="13.5" customHeight="1" x14ac:dyDescent="0.15"/>
    <row r="1711" ht="13.5" customHeight="1" x14ac:dyDescent="0.15"/>
    <row r="1712" ht="13.5" customHeight="1" x14ac:dyDescent="0.15"/>
    <row r="1713" ht="13.5" customHeight="1" x14ac:dyDescent="0.15"/>
    <row r="1714" ht="13.5" customHeight="1" x14ac:dyDescent="0.15"/>
    <row r="1715" ht="13.5" customHeight="1" x14ac:dyDescent="0.15"/>
    <row r="1716" ht="13.5" customHeight="1" x14ac:dyDescent="0.15"/>
    <row r="1717" ht="13.5" customHeight="1" x14ac:dyDescent="0.15"/>
    <row r="1718" ht="13.5" customHeight="1" x14ac:dyDescent="0.15"/>
    <row r="1719" ht="13.5" customHeight="1" x14ac:dyDescent="0.15"/>
    <row r="1720" ht="13.5" customHeight="1" x14ac:dyDescent="0.15"/>
    <row r="1721" ht="13.5" customHeight="1" x14ac:dyDescent="0.15"/>
    <row r="1722" ht="13.5" customHeight="1" x14ac:dyDescent="0.15"/>
    <row r="1723" ht="13.5" customHeight="1" x14ac:dyDescent="0.15"/>
    <row r="1724" ht="13.5" customHeight="1" x14ac:dyDescent="0.15"/>
    <row r="1725" ht="13.5" customHeight="1" x14ac:dyDescent="0.15"/>
    <row r="1726" ht="13.5" customHeight="1" x14ac:dyDescent="0.15"/>
    <row r="1727" ht="13.5" customHeight="1" x14ac:dyDescent="0.15"/>
    <row r="1728" ht="13.5" customHeight="1" x14ac:dyDescent="0.15"/>
    <row r="1729" ht="13.5" customHeight="1" x14ac:dyDescent="0.15"/>
    <row r="1730" ht="13.5" customHeight="1" x14ac:dyDescent="0.15"/>
    <row r="1731" ht="13.5" customHeight="1" x14ac:dyDescent="0.15"/>
    <row r="1732" ht="13.5" customHeight="1" x14ac:dyDescent="0.15"/>
    <row r="1733" ht="13.5" customHeight="1" x14ac:dyDescent="0.15"/>
    <row r="1734" ht="13.5" customHeight="1" x14ac:dyDescent="0.15"/>
    <row r="1735" ht="13.5" customHeight="1" x14ac:dyDescent="0.15"/>
    <row r="1736" ht="13.5" customHeight="1" x14ac:dyDescent="0.15"/>
    <row r="1737" ht="13.5" customHeight="1" x14ac:dyDescent="0.15"/>
    <row r="1738" ht="13.5" customHeight="1" x14ac:dyDescent="0.15"/>
    <row r="1739" ht="13.5" customHeight="1" x14ac:dyDescent="0.15"/>
    <row r="1740" ht="13.5" customHeight="1" x14ac:dyDescent="0.15"/>
    <row r="1741" ht="13.5" customHeight="1" x14ac:dyDescent="0.15"/>
    <row r="1742" ht="13.5" customHeight="1" x14ac:dyDescent="0.15"/>
    <row r="1743" ht="13.5" customHeight="1" x14ac:dyDescent="0.15"/>
    <row r="1744" ht="13.5" customHeight="1" x14ac:dyDescent="0.15"/>
    <row r="1745" ht="13.5" customHeight="1" x14ac:dyDescent="0.15"/>
    <row r="1746" ht="13.5" customHeight="1" x14ac:dyDescent="0.15"/>
    <row r="1747" ht="13.5" customHeight="1" x14ac:dyDescent="0.15"/>
    <row r="1748" ht="13.5" customHeight="1" x14ac:dyDescent="0.15"/>
    <row r="1749" ht="13.5" customHeight="1" x14ac:dyDescent="0.15"/>
    <row r="1750" ht="13.5" customHeight="1" x14ac:dyDescent="0.15"/>
    <row r="1751" ht="13.5" customHeight="1" x14ac:dyDescent="0.15"/>
    <row r="1752" ht="13.5" customHeight="1" x14ac:dyDescent="0.15"/>
    <row r="1753" ht="13.5" customHeight="1" x14ac:dyDescent="0.15"/>
    <row r="1754" ht="13.5" customHeight="1" x14ac:dyDescent="0.15"/>
    <row r="1755" ht="13.5" customHeight="1" x14ac:dyDescent="0.15"/>
    <row r="1756" ht="13.5" customHeight="1" x14ac:dyDescent="0.15"/>
    <row r="1757" ht="13.5" customHeight="1" x14ac:dyDescent="0.15"/>
    <row r="1758" ht="13.5" customHeight="1" x14ac:dyDescent="0.15"/>
    <row r="1759" ht="13.5" customHeight="1" x14ac:dyDescent="0.15"/>
    <row r="1760" ht="13.5" customHeight="1" x14ac:dyDescent="0.15"/>
    <row r="1761" ht="13.5" customHeight="1" x14ac:dyDescent="0.15"/>
    <row r="1762" ht="13.5" customHeight="1" x14ac:dyDescent="0.15"/>
    <row r="1763" ht="13.5" customHeight="1" x14ac:dyDescent="0.15"/>
    <row r="1764" ht="13.5" customHeight="1" x14ac:dyDescent="0.15"/>
    <row r="1765" ht="13.5" customHeight="1" x14ac:dyDescent="0.15"/>
    <row r="1766" ht="13.5" customHeight="1" x14ac:dyDescent="0.15"/>
    <row r="1767" ht="13.5" customHeight="1" x14ac:dyDescent="0.15"/>
    <row r="1768" ht="13.5" customHeight="1" x14ac:dyDescent="0.15"/>
    <row r="1769" ht="13.5" customHeight="1" x14ac:dyDescent="0.15"/>
    <row r="1770" ht="13.5" customHeight="1" x14ac:dyDescent="0.15"/>
    <row r="1771" ht="13.5" customHeight="1" x14ac:dyDescent="0.15"/>
    <row r="1772" ht="13.5" customHeight="1" x14ac:dyDescent="0.15"/>
    <row r="1773" ht="13.5" customHeight="1" x14ac:dyDescent="0.15"/>
    <row r="1774" ht="13.5" customHeight="1" x14ac:dyDescent="0.15"/>
    <row r="1775" ht="13.5" customHeight="1" x14ac:dyDescent="0.15"/>
    <row r="1776" ht="13.5" customHeight="1" x14ac:dyDescent="0.15"/>
    <row r="1777" ht="13.5" customHeight="1" x14ac:dyDescent="0.15"/>
    <row r="1778" ht="13.5" customHeight="1" x14ac:dyDescent="0.15"/>
    <row r="1779" ht="13.5" customHeight="1" x14ac:dyDescent="0.15"/>
    <row r="1780" ht="13.5" customHeight="1" x14ac:dyDescent="0.15"/>
    <row r="1781" ht="13.5" customHeight="1" x14ac:dyDescent="0.15"/>
    <row r="1782" ht="13.5" customHeight="1" x14ac:dyDescent="0.15"/>
    <row r="1783" ht="13.5" customHeight="1" x14ac:dyDescent="0.15"/>
    <row r="1784" ht="13.5" customHeight="1" x14ac:dyDescent="0.15"/>
    <row r="1785" ht="13.5" customHeight="1" x14ac:dyDescent="0.15"/>
    <row r="1786" ht="13.5" customHeight="1" x14ac:dyDescent="0.15"/>
    <row r="1787" ht="13.5" customHeight="1" x14ac:dyDescent="0.15"/>
    <row r="1788" ht="13.5" customHeight="1" x14ac:dyDescent="0.15"/>
    <row r="1789" ht="13.5" customHeight="1" x14ac:dyDescent="0.15"/>
    <row r="1790" ht="13.5" customHeight="1" x14ac:dyDescent="0.15"/>
    <row r="1791" ht="13.5" customHeight="1" x14ac:dyDescent="0.15"/>
    <row r="1792" ht="13.5" customHeight="1" x14ac:dyDescent="0.15"/>
    <row r="1793" ht="13.5" customHeight="1" x14ac:dyDescent="0.15"/>
    <row r="1794" ht="13.5" customHeight="1" x14ac:dyDescent="0.15"/>
    <row r="1795" ht="13.5" customHeight="1" x14ac:dyDescent="0.15"/>
    <row r="1796" ht="13.5" customHeight="1" x14ac:dyDescent="0.15"/>
    <row r="1797" ht="13.5" customHeight="1" x14ac:dyDescent="0.15"/>
    <row r="1798" ht="13.5" customHeight="1" x14ac:dyDescent="0.15"/>
    <row r="1799" ht="13.5" customHeight="1" x14ac:dyDescent="0.15"/>
    <row r="1800" ht="13.5" customHeight="1" x14ac:dyDescent="0.15"/>
    <row r="1801" ht="13.5" customHeight="1" x14ac:dyDescent="0.15"/>
    <row r="1802" ht="13.5" customHeight="1" x14ac:dyDescent="0.15"/>
    <row r="1803" ht="13.5" customHeight="1" x14ac:dyDescent="0.15"/>
    <row r="1804" ht="13.5" customHeight="1" x14ac:dyDescent="0.15"/>
    <row r="1805" ht="13.5" customHeight="1" x14ac:dyDescent="0.15"/>
    <row r="1806" ht="13.5" customHeight="1" x14ac:dyDescent="0.15"/>
    <row r="1807" ht="13.5" customHeight="1" x14ac:dyDescent="0.15"/>
    <row r="1808" ht="13.5" customHeight="1" x14ac:dyDescent="0.15"/>
    <row r="1809" ht="13.5" customHeight="1" x14ac:dyDescent="0.15"/>
    <row r="1810" ht="13.5" customHeight="1" x14ac:dyDescent="0.15"/>
    <row r="1811" ht="13.5" customHeight="1" x14ac:dyDescent="0.15"/>
    <row r="1812" ht="13.5" customHeight="1" x14ac:dyDescent="0.15"/>
    <row r="1813" ht="13.5" customHeight="1" x14ac:dyDescent="0.15"/>
    <row r="1814" ht="13.5" customHeight="1" x14ac:dyDescent="0.15"/>
    <row r="1815" ht="13.5" customHeight="1" x14ac:dyDescent="0.15"/>
    <row r="1816" ht="13.5" customHeight="1" x14ac:dyDescent="0.15"/>
    <row r="1817" ht="13.5" customHeight="1" x14ac:dyDescent="0.15"/>
    <row r="1818" ht="13.5" customHeight="1" x14ac:dyDescent="0.15"/>
    <row r="1819" ht="13.5" customHeight="1" x14ac:dyDescent="0.15"/>
    <row r="1820" ht="13.5" customHeight="1" x14ac:dyDescent="0.15"/>
    <row r="1821" ht="13.5" customHeight="1" x14ac:dyDescent="0.15"/>
    <row r="1822" ht="13.5" customHeight="1" x14ac:dyDescent="0.15"/>
    <row r="1823" ht="13.5" customHeight="1" x14ac:dyDescent="0.15"/>
    <row r="1824" ht="13.5" customHeight="1" x14ac:dyDescent="0.15"/>
    <row r="1825" ht="13.5" customHeight="1" x14ac:dyDescent="0.15"/>
    <row r="1826" ht="13.5" customHeight="1" x14ac:dyDescent="0.15"/>
    <row r="1827" ht="13.5" customHeight="1" x14ac:dyDescent="0.15"/>
    <row r="1828" ht="13.5" customHeight="1" x14ac:dyDescent="0.15"/>
    <row r="1829" ht="13.5" customHeight="1" x14ac:dyDescent="0.15"/>
    <row r="1830" ht="13.5" customHeight="1" x14ac:dyDescent="0.15"/>
    <row r="1831" ht="13.5" customHeight="1" x14ac:dyDescent="0.15"/>
    <row r="1832" ht="13.5" customHeight="1" x14ac:dyDescent="0.15"/>
    <row r="1833" ht="13.5" customHeight="1" x14ac:dyDescent="0.15"/>
    <row r="1834" ht="13.5" customHeight="1" x14ac:dyDescent="0.15"/>
    <row r="1835" ht="13.5" customHeight="1" x14ac:dyDescent="0.15"/>
    <row r="1836" ht="13.5" customHeight="1" x14ac:dyDescent="0.15"/>
    <row r="1837" ht="13.5" customHeight="1" x14ac:dyDescent="0.15"/>
    <row r="1838" ht="13.5" customHeight="1" x14ac:dyDescent="0.15"/>
    <row r="1839" ht="13.5" customHeight="1" x14ac:dyDescent="0.15"/>
    <row r="1840" ht="13.5" customHeight="1" x14ac:dyDescent="0.15"/>
    <row r="1841" ht="13.5" customHeight="1" x14ac:dyDescent="0.15"/>
    <row r="1842" ht="13.5" customHeight="1" x14ac:dyDescent="0.15"/>
    <row r="1843" ht="13.5" customHeight="1" x14ac:dyDescent="0.15"/>
    <row r="1844" ht="13.5" customHeight="1" x14ac:dyDescent="0.15"/>
    <row r="1845" ht="13.5" customHeight="1" x14ac:dyDescent="0.15"/>
    <row r="1846" ht="13.5" customHeight="1" x14ac:dyDescent="0.15"/>
    <row r="1847" ht="13.5" customHeight="1" x14ac:dyDescent="0.15"/>
    <row r="1848" ht="13.5" customHeight="1" x14ac:dyDescent="0.15"/>
    <row r="1849" ht="13.5" customHeight="1" x14ac:dyDescent="0.15"/>
    <row r="1850" ht="13.5" customHeight="1" x14ac:dyDescent="0.15"/>
    <row r="1851" ht="13.5" customHeight="1" x14ac:dyDescent="0.15"/>
    <row r="1852" ht="13.5" customHeight="1" x14ac:dyDescent="0.15"/>
    <row r="1853" ht="13.5" customHeight="1" x14ac:dyDescent="0.15"/>
    <row r="1854" ht="13.5" customHeight="1" x14ac:dyDescent="0.15"/>
    <row r="1855" ht="13.5" customHeight="1" x14ac:dyDescent="0.15"/>
    <row r="1856" ht="13.5" customHeight="1" x14ac:dyDescent="0.15"/>
    <row r="1857" ht="13.5" customHeight="1" x14ac:dyDescent="0.15"/>
    <row r="1858" ht="13.5" customHeight="1" x14ac:dyDescent="0.15"/>
    <row r="1859" ht="13.5" customHeight="1" x14ac:dyDescent="0.15"/>
    <row r="1860" ht="13.5" customHeight="1" x14ac:dyDescent="0.15"/>
    <row r="1861" ht="13.5" customHeight="1" x14ac:dyDescent="0.15"/>
    <row r="1862" ht="13.5" customHeight="1" x14ac:dyDescent="0.15"/>
    <row r="1863" ht="13.5" customHeight="1" x14ac:dyDescent="0.15"/>
    <row r="1864" ht="13.5" customHeight="1" x14ac:dyDescent="0.15"/>
    <row r="1865" ht="13.5" customHeight="1" x14ac:dyDescent="0.15"/>
    <row r="1866" ht="13.5" customHeight="1" x14ac:dyDescent="0.15"/>
    <row r="1867" ht="13.5" customHeight="1" x14ac:dyDescent="0.15"/>
    <row r="1868" ht="13.5" customHeight="1" x14ac:dyDescent="0.15"/>
    <row r="1869" ht="13.5" customHeight="1" x14ac:dyDescent="0.15"/>
    <row r="1870" ht="13.5" customHeight="1" x14ac:dyDescent="0.15"/>
    <row r="1871" ht="13.5" customHeight="1" x14ac:dyDescent="0.15"/>
    <row r="1872" ht="13.5" customHeight="1" x14ac:dyDescent="0.15"/>
    <row r="1873" ht="13.5" customHeight="1" x14ac:dyDescent="0.15"/>
    <row r="1874" ht="13.5" customHeight="1" x14ac:dyDescent="0.15"/>
    <row r="1875" ht="13.5" customHeight="1" x14ac:dyDescent="0.15"/>
    <row r="1876" ht="13.5" customHeight="1" x14ac:dyDescent="0.15"/>
    <row r="1877" ht="13.5" customHeight="1" x14ac:dyDescent="0.15"/>
    <row r="1878" ht="13.5" customHeight="1" x14ac:dyDescent="0.15"/>
    <row r="1879" ht="13.5" customHeight="1" x14ac:dyDescent="0.15"/>
    <row r="1880" ht="13.5" customHeight="1" x14ac:dyDescent="0.15"/>
    <row r="1881" ht="13.5" customHeight="1" x14ac:dyDescent="0.15"/>
    <row r="1882" ht="13.5" customHeight="1" x14ac:dyDescent="0.15"/>
    <row r="1883" ht="13.5" customHeight="1" x14ac:dyDescent="0.15"/>
    <row r="1884" ht="13.5" customHeight="1" x14ac:dyDescent="0.15"/>
    <row r="1885" ht="13.5" customHeight="1" x14ac:dyDescent="0.15"/>
    <row r="1886" ht="13.5" customHeight="1" x14ac:dyDescent="0.15"/>
    <row r="1887" ht="13.5" customHeight="1" x14ac:dyDescent="0.15"/>
    <row r="1888" ht="13.5" customHeight="1" x14ac:dyDescent="0.15"/>
    <row r="1889" ht="13.5" customHeight="1" x14ac:dyDescent="0.15"/>
    <row r="1890" ht="13.5" customHeight="1" x14ac:dyDescent="0.15"/>
    <row r="1891" ht="13.5" customHeight="1" x14ac:dyDescent="0.15"/>
    <row r="1892" ht="13.5" customHeight="1" x14ac:dyDescent="0.15"/>
    <row r="1893" ht="13.5" customHeight="1" x14ac:dyDescent="0.15"/>
    <row r="1894" ht="13.5" customHeight="1" x14ac:dyDescent="0.15"/>
    <row r="1895" ht="13.5" customHeight="1" x14ac:dyDescent="0.15"/>
    <row r="1896" ht="13.5" customHeight="1" x14ac:dyDescent="0.15"/>
    <row r="1897" ht="13.5" customHeight="1" x14ac:dyDescent="0.15"/>
    <row r="1898" ht="13.5" customHeight="1" x14ac:dyDescent="0.15"/>
    <row r="1899" ht="13.5" customHeight="1" x14ac:dyDescent="0.15"/>
    <row r="1900" ht="13.5" customHeight="1" x14ac:dyDescent="0.15"/>
    <row r="1901" ht="13.5" customHeight="1" x14ac:dyDescent="0.15"/>
    <row r="1902" ht="13.5" customHeight="1" x14ac:dyDescent="0.15"/>
    <row r="1903" ht="13.5" customHeight="1" x14ac:dyDescent="0.15"/>
    <row r="1904" ht="13.5" customHeight="1" x14ac:dyDescent="0.15"/>
    <row r="1905" ht="13.5" customHeight="1" x14ac:dyDescent="0.15"/>
    <row r="1906" ht="13.5" customHeight="1" x14ac:dyDescent="0.15"/>
    <row r="1907" ht="13.5" customHeight="1" x14ac:dyDescent="0.15"/>
    <row r="1908" ht="13.5" customHeight="1" x14ac:dyDescent="0.15"/>
    <row r="1909" ht="13.5" customHeight="1" x14ac:dyDescent="0.15"/>
    <row r="1910" ht="13.5" customHeight="1" x14ac:dyDescent="0.15"/>
    <row r="1911" ht="13.5" customHeight="1" x14ac:dyDescent="0.15"/>
    <row r="1912" ht="13.5" customHeight="1" x14ac:dyDescent="0.15"/>
    <row r="1913" ht="13.5" customHeight="1" x14ac:dyDescent="0.15"/>
    <row r="1914" ht="13.5" customHeight="1" x14ac:dyDescent="0.15"/>
    <row r="1915" ht="13.5" customHeight="1" x14ac:dyDescent="0.15"/>
    <row r="1916" ht="13.5" customHeight="1" x14ac:dyDescent="0.15"/>
    <row r="1917" ht="13.5" customHeight="1" x14ac:dyDescent="0.15"/>
    <row r="1918" ht="13.5" customHeight="1" x14ac:dyDescent="0.15"/>
    <row r="1919" ht="13.5" customHeight="1" x14ac:dyDescent="0.15"/>
    <row r="1920" ht="13.5" customHeight="1" x14ac:dyDescent="0.15"/>
    <row r="1921" ht="13.5" customHeight="1" x14ac:dyDescent="0.15"/>
    <row r="1922" ht="13.5" customHeight="1" x14ac:dyDescent="0.15"/>
    <row r="1923" ht="13.5" customHeight="1" x14ac:dyDescent="0.15"/>
    <row r="1924" ht="13.5" customHeight="1" x14ac:dyDescent="0.15"/>
    <row r="1925" ht="13.5" customHeight="1" x14ac:dyDescent="0.15"/>
    <row r="1926" ht="13.5" customHeight="1" x14ac:dyDescent="0.15"/>
    <row r="1927" ht="13.5" customHeight="1" x14ac:dyDescent="0.15"/>
    <row r="1928" ht="13.5" customHeight="1" x14ac:dyDescent="0.15"/>
    <row r="1929" ht="13.5" customHeight="1" x14ac:dyDescent="0.15"/>
    <row r="1930" ht="13.5" customHeight="1" x14ac:dyDescent="0.15"/>
    <row r="1931" ht="13.5" customHeight="1" x14ac:dyDescent="0.15"/>
    <row r="1932" ht="13.5" customHeight="1" x14ac:dyDescent="0.15"/>
    <row r="1933" ht="13.5" customHeight="1" x14ac:dyDescent="0.15"/>
    <row r="1934" ht="13.5" customHeight="1" x14ac:dyDescent="0.15"/>
    <row r="1935" ht="13.5" customHeight="1" x14ac:dyDescent="0.15"/>
    <row r="1936" ht="13.5" customHeight="1" x14ac:dyDescent="0.15"/>
    <row r="1937" ht="13.5" customHeight="1" x14ac:dyDescent="0.15"/>
    <row r="1938" ht="13.5" customHeight="1" x14ac:dyDescent="0.15"/>
    <row r="1939" ht="13.5" customHeight="1" x14ac:dyDescent="0.15"/>
    <row r="1940" ht="13.5" customHeight="1" x14ac:dyDescent="0.15"/>
    <row r="1941" ht="13.5" customHeight="1" x14ac:dyDescent="0.15"/>
    <row r="1942" ht="13.5" customHeight="1" x14ac:dyDescent="0.15"/>
    <row r="1943" ht="13.5" customHeight="1" x14ac:dyDescent="0.15"/>
    <row r="1944" ht="13.5" customHeight="1" x14ac:dyDescent="0.15"/>
    <row r="1945" ht="13.5" customHeight="1" x14ac:dyDescent="0.15"/>
    <row r="1946" ht="13.5" customHeight="1" x14ac:dyDescent="0.15"/>
    <row r="1947" ht="13.5" customHeight="1" x14ac:dyDescent="0.15"/>
    <row r="1948" ht="13.5" customHeight="1" x14ac:dyDescent="0.15"/>
    <row r="1949" ht="13.5" customHeight="1" x14ac:dyDescent="0.15"/>
    <row r="1950" ht="13.5" customHeight="1" x14ac:dyDescent="0.15"/>
    <row r="1951" ht="13.5" customHeight="1" x14ac:dyDescent="0.15"/>
    <row r="1952" ht="13.5" customHeight="1" x14ac:dyDescent="0.15"/>
    <row r="1953" ht="13.5" customHeight="1" x14ac:dyDescent="0.15"/>
    <row r="1954" ht="13.5" customHeight="1" x14ac:dyDescent="0.15"/>
    <row r="1955" ht="13.5" customHeight="1" x14ac:dyDescent="0.15"/>
    <row r="1956" ht="13.5" customHeight="1" x14ac:dyDescent="0.15"/>
    <row r="1957" ht="13.5" customHeight="1" x14ac:dyDescent="0.15"/>
    <row r="1958" ht="13.5" customHeight="1" x14ac:dyDescent="0.15"/>
    <row r="1959" ht="13.5" customHeight="1" x14ac:dyDescent="0.15"/>
    <row r="1960" ht="13.5" customHeight="1" x14ac:dyDescent="0.15"/>
    <row r="1961" ht="13.5" customHeight="1" x14ac:dyDescent="0.15"/>
    <row r="1962" ht="13.5" customHeight="1" x14ac:dyDescent="0.15"/>
    <row r="1963" ht="13.5" customHeight="1" x14ac:dyDescent="0.15"/>
    <row r="1964" ht="13.5" customHeight="1" x14ac:dyDescent="0.15"/>
    <row r="1965" ht="13.5" customHeight="1" x14ac:dyDescent="0.15"/>
    <row r="1966" ht="13.5" customHeight="1" x14ac:dyDescent="0.15"/>
    <row r="1967" ht="13.5" customHeight="1" x14ac:dyDescent="0.15"/>
    <row r="1968" ht="13.5" customHeight="1" x14ac:dyDescent="0.15"/>
    <row r="1969" ht="13.5" customHeight="1" x14ac:dyDescent="0.15"/>
    <row r="1970" ht="13.5" customHeight="1" x14ac:dyDescent="0.15"/>
    <row r="1971" ht="13.5" customHeight="1" x14ac:dyDescent="0.15"/>
    <row r="1972" ht="13.5" customHeight="1" x14ac:dyDescent="0.15"/>
    <row r="1973" ht="13.5" customHeight="1" x14ac:dyDescent="0.15"/>
    <row r="1974" ht="13.5" customHeight="1" x14ac:dyDescent="0.15"/>
    <row r="1975" ht="13.5" customHeight="1" x14ac:dyDescent="0.15"/>
    <row r="1976" ht="13.5" customHeight="1" x14ac:dyDescent="0.15"/>
    <row r="1977" ht="13.5" customHeight="1" x14ac:dyDescent="0.15"/>
    <row r="1978" ht="13.5" customHeight="1" x14ac:dyDescent="0.15"/>
    <row r="1979" ht="13.5" customHeight="1" x14ac:dyDescent="0.15"/>
    <row r="1980" ht="13.5" customHeight="1" x14ac:dyDescent="0.15"/>
    <row r="1981" ht="13.5" customHeight="1" x14ac:dyDescent="0.15"/>
    <row r="1982" ht="13.5" customHeight="1" x14ac:dyDescent="0.15"/>
    <row r="1983" ht="13.5" customHeight="1" x14ac:dyDescent="0.15"/>
    <row r="1984" ht="13.5" customHeight="1" x14ac:dyDescent="0.15"/>
    <row r="1985" ht="13.5" customHeight="1" x14ac:dyDescent="0.15"/>
    <row r="1986" ht="13.5" customHeight="1" x14ac:dyDescent="0.15"/>
    <row r="1987" ht="13.5" customHeight="1" x14ac:dyDescent="0.15"/>
    <row r="1988" ht="13.5" customHeight="1" x14ac:dyDescent="0.15"/>
    <row r="1989" ht="13.5" customHeight="1" x14ac:dyDescent="0.15"/>
    <row r="1990" ht="13.5" customHeight="1" x14ac:dyDescent="0.15"/>
    <row r="1991" ht="13.5" customHeight="1" x14ac:dyDescent="0.15"/>
    <row r="1992" ht="13.5" customHeight="1" x14ac:dyDescent="0.15"/>
    <row r="1993" ht="13.5" customHeight="1" x14ac:dyDescent="0.15"/>
    <row r="1994" ht="13.5" customHeight="1" x14ac:dyDescent="0.15"/>
    <row r="1995" ht="13.5" customHeight="1" x14ac:dyDescent="0.15"/>
    <row r="1996" ht="13.5" customHeight="1" x14ac:dyDescent="0.15"/>
    <row r="1997" ht="13.5" customHeight="1" x14ac:dyDescent="0.15"/>
    <row r="1998" ht="13.5" customHeight="1" x14ac:dyDescent="0.15"/>
    <row r="1999" ht="13.5" customHeight="1" x14ac:dyDescent="0.15"/>
    <row r="2000" ht="13.5" customHeight="1" x14ac:dyDescent="0.15"/>
    <row r="2001" ht="13.5" customHeight="1" x14ac:dyDescent="0.15"/>
    <row r="2002" ht="13.5" customHeight="1" x14ac:dyDescent="0.15"/>
    <row r="2003" ht="13.5" customHeight="1" x14ac:dyDescent="0.15"/>
    <row r="2004" ht="13.5" customHeight="1" x14ac:dyDescent="0.15"/>
    <row r="2005" ht="13.5" customHeight="1" x14ac:dyDescent="0.15"/>
    <row r="2006" ht="13.5" customHeight="1" x14ac:dyDescent="0.15"/>
    <row r="2007" ht="13.5" customHeight="1" x14ac:dyDescent="0.15"/>
    <row r="2008" ht="13.5" customHeight="1" x14ac:dyDescent="0.15"/>
    <row r="2009" ht="13.5" customHeight="1" x14ac:dyDescent="0.15"/>
    <row r="2010" ht="13.5" customHeight="1" x14ac:dyDescent="0.15"/>
    <row r="2011" ht="13.5" customHeight="1" x14ac:dyDescent="0.15"/>
    <row r="2012" ht="13.5" customHeight="1" x14ac:dyDescent="0.15"/>
    <row r="2013" ht="13.5" customHeight="1" x14ac:dyDescent="0.15"/>
    <row r="2014" ht="13.5" customHeight="1" x14ac:dyDescent="0.15"/>
    <row r="2015" ht="13.5" customHeight="1" x14ac:dyDescent="0.15"/>
    <row r="2016" ht="13.5" customHeight="1" x14ac:dyDescent="0.15"/>
    <row r="2017" ht="13.5" customHeight="1" x14ac:dyDescent="0.15"/>
    <row r="2018" ht="13.5" customHeight="1" x14ac:dyDescent="0.15"/>
    <row r="2019" ht="13.5" customHeight="1" x14ac:dyDescent="0.15"/>
    <row r="2020" ht="13.5" customHeight="1" x14ac:dyDescent="0.15"/>
    <row r="2021" ht="13.5" customHeight="1" x14ac:dyDescent="0.15"/>
    <row r="2022" ht="13.5" customHeight="1" x14ac:dyDescent="0.15"/>
    <row r="2023" ht="13.5" customHeight="1" x14ac:dyDescent="0.15"/>
    <row r="2024" ht="13.5" customHeight="1" x14ac:dyDescent="0.15"/>
    <row r="2025" ht="13.5" customHeight="1" x14ac:dyDescent="0.15"/>
    <row r="2026" ht="13.5" customHeight="1" x14ac:dyDescent="0.15"/>
    <row r="2027" ht="13.5" customHeight="1" x14ac:dyDescent="0.15"/>
    <row r="2028" ht="13.5" customHeight="1" x14ac:dyDescent="0.15"/>
    <row r="2029" ht="13.5" customHeight="1" x14ac:dyDescent="0.15"/>
    <row r="2030" ht="13.5" customHeight="1" x14ac:dyDescent="0.15"/>
    <row r="2031" ht="13.5" customHeight="1" x14ac:dyDescent="0.15"/>
    <row r="2032" ht="13.5" customHeight="1" x14ac:dyDescent="0.15"/>
    <row r="2033" ht="13.5" customHeight="1" x14ac:dyDescent="0.15"/>
    <row r="2034" ht="13.5" customHeight="1" x14ac:dyDescent="0.15"/>
    <row r="2035" ht="13.5" customHeight="1" x14ac:dyDescent="0.15"/>
    <row r="2036" ht="13.5" customHeight="1" x14ac:dyDescent="0.15"/>
    <row r="2037" ht="13.5" customHeight="1" x14ac:dyDescent="0.15"/>
    <row r="2038" ht="13.5" customHeight="1" x14ac:dyDescent="0.15"/>
    <row r="2039" ht="13.5" customHeight="1" x14ac:dyDescent="0.15"/>
    <row r="2040" ht="13.5" customHeight="1" x14ac:dyDescent="0.15"/>
    <row r="2041" ht="13.5" customHeight="1" x14ac:dyDescent="0.15"/>
    <row r="2042" ht="13.5" customHeight="1" x14ac:dyDescent="0.15"/>
    <row r="2043" ht="13.5" customHeight="1" x14ac:dyDescent="0.15"/>
    <row r="2044" ht="13.5" customHeight="1" x14ac:dyDescent="0.15"/>
    <row r="2045" ht="13.5" customHeight="1" x14ac:dyDescent="0.15"/>
    <row r="2046" ht="13.5" customHeight="1" x14ac:dyDescent="0.15"/>
    <row r="2047" ht="13.5" customHeight="1" x14ac:dyDescent="0.15"/>
    <row r="2048" ht="13.5" customHeight="1" x14ac:dyDescent="0.15"/>
    <row r="2049" ht="13.5" customHeight="1" x14ac:dyDescent="0.15"/>
    <row r="2050" ht="13.5" customHeight="1" x14ac:dyDescent="0.15"/>
    <row r="2051" ht="13.5" customHeight="1" x14ac:dyDescent="0.15"/>
    <row r="2052" ht="13.5" customHeight="1" x14ac:dyDescent="0.15"/>
    <row r="2053" ht="13.5" customHeight="1" x14ac:dyDescent="0.15"/>
    <row r="2054" ht="13.5" customHeight="1" x14ac:dyDescent="0.15"/>
    <row r="2055" ht="13.5" customHeight="1" x14ac:dyDescent="0.15"/>
    <row r="2056" ht="13.5" customHeight="1" x14ac:dyDescent="0.15"/>
    <row r="2057" ht="13.5" customHeight="1" x14ac:dyDescent="0.15"/>
    <row r="2058" ht="13.5" customHeight="1" x14ac:dyDescent="0.15"/>
    <row r="2059" ht="13.5" customHeight="1" x14ac:dyDescent="0.15"/>
    <row r="2060" ht="13.5" customHeight="1" x14ac:dyDescent="0.15"/>
    <row r="2061" ht="13.5" customHeight="1" x14ac:dyDescent="0.15"/>
    <row r="2062" ht="13.5" customHeight="1" x14ac:dyDescent="0.15"/>
    <row r="2063" ht="13.5" customHeight="1" x14ac:dyDescent="0.15"/>
    <row r="2064" ht="13.5" customHeight="1" x14ac:dyDescent="0.15"/>
    <row r="2065" ht="13.5" customHeight="1" x14ac:dyDescent="0.15"/>
    <row r="2066" ht="13.5" customHeight="1" x14ac:dyDescent="0.15"/>
    <row r="2067" ht="13.5" customHeight="1" x14ac:dyDescent="0.15"/>
    <row r="2068" ht="13.5" customHeight="1" x14ac:dyDescent="0.15"/>
    <row r="2069" ht="13.5" customHeight="1" x14ac:dyDescent="0.15"/>
    <row r="2070" ht="13.5" customHeight="1" x14ac:dyDescent="0.15"/>
    <row r="2071" ht="13.5" customHeight="1" x14ac:dyDescent="0.15"/>
    <row r="2072" ht="13.5" customHeight="1" x14ac:dyDescent="0.15"/>
    <row r="2073" ht="13.5" customHeight="1" x14ac:dyDescent="0.15"/>
    <row r="2074" ht="13.5" customHeight="1" x14ac:dyDescent="0.15"/>
    <row r="2075" ht="13.5" customHeight="1" x14ac:dyDescent="0.15"/>
    <row r="2076" ht="13.5" customHeight="1" x14ac:dyDescent="0.15"/>
    <row r="2077" ht="13.5" customHeight="1" x14ac:dyDescent="0.15"/>
    <row r="2078" ht="13.5" customHeight="1" x14ac:dyDescent="0.15"/>
    <row r="2079" ht="13.5" customHeight="1" x14ac:dyDescent="0.15"/>
    <row r="2080" ht="13.5" customHeight="1" x14ac:dyDescent="0.15"/>
    <row r="2081" ht="13.5" customHeight="1" x14ac:dyDescent="0.15"/>
    <row r="2082" ht="13.5" customHeight="1" x14ac:dyDescent="0.15"/>
    <row r="2083" ht="13.5" customHeight="1" x14ac:dyDescent="0.15"/>
    <row r="2084" ht="13.5" customHeight="1" x14ac:dyDescent="0.15"/>
    <row r="2085" ht="13.5" customHeight="1" x14ac:dyDescent="0.15"/>
    <row r="2086" ht="13.5" customHeight="1" x14ac:dyDescent="0.15"/>
    <row r="2087" ht="13.5" customHeight="1" x14ac:dyDescent="0.15"/>
    <row r="2088" ht="13.5" customHeight="1" x14ac:dyDescent="0.15"/>
    <row r="2089" ht="13.5" customHeight="1" x14ac:dyDescent="0.15"/>
    <row r="2090" ht="13.5" customHeight="1" x14ac:dyDescent="0.15"/>
    <row r="2091" ht="13.5" customHeight="1" x14ac:dyDescent="0.15"/>
    <row r="2092" ht="13.5" customHeight="1" x14ac:dyDescent="0.15"/>
    <row r="2093" ht="13.5" customHeight="1" x14ac:dyDescent="0.15"/>
    <row r="2094" ht="13.5" customHeight="1" x14ac:dyDescent="0.15"/>
    <row r="2095" ht="13.5" customHeight="1" x14ac:dyDescent="0.15"/>
    <row r="2096" ht="13.5" customHeight="1" x14ac:dyDescent="0.15"/>
    <row r="2097" ht="13.5" customHeight="1" x14ac:dyDescent="0.15"/>
    <row r="2098" ht="13.5" customHeight="1" x14ac:dyDescent="0.15"/>
    <row r="2099" ht="13.5" customHeight="1" x14ac:dyDescent="0.15"/>
    <row r="2100" ht="13.5" customHeight="1" x14ac:dyDescent="0.15"/>
    <row r="2101" ht="13.5" customHeight="1" x14ac:dyDescent="0.15"/>
    <row r="2102" ht="13.5" customHeight="1" x14ac:dyDescent="0.15"/>
    <row r="2103" ht="13.5" customHeight="1" x14ac:dyDescent="0.15"/>
    <row r="2104" ht="13.5" customHeight="1" x14ac:dyDescent="0.15"/>
    <row r="2105" ht="13.5" customHeight="1" x14ac:dyDescent="0.15"/>
    <row r="2106" ht="13.5" customHeight="1" x14ac:dyDescent="0.15"/>
    <row r="2107" ht="13.5" customHeight="1" x14ac:dyDescent="0.15"/>
    <row r="2108" ht="13.5" customHeight="1" x14ac:dyDescent="0.15"/>
    <row r="2109" ht="13.5" customHeight="1" x14ac:dyDescent="0.15"/>
    <row r="2110" ht="13.5" customHeight="1" x14ac:dyDescent="0.15"/>
    <row r="2111" ht="13.5" customHeight="1" x14ac:dyDescent="0.15"/>
    <row r="2112" ht="13.5" customHeight="1" x14ac:dyDescent="0.15"/>
    <row r="2113" ht="13.5" customHeight="1" x14ac:dyDescent="0.15"/>
    <row r="2114" ht="13.5" customHeight="1" x14ac:dyDescent="0.15"/>
    <row r="2115" ht="13.5" customHeight="1" x14ac:dyDescent="0.15"/>
    <row r="2116" ht="13.5" customHeight="1" x14ac:dyDescent="0.15"/>
    <row r="2117" ht="13.5" customHeight="1" x14ac:dyDescent="0.15"/>
    <row r="2118" ht="13.5" customHeight="1" x14ac:dyDescent="0.15"/>
    <row r="2119" ht="13.5" customHeight="1" x14ac:dyDescent="0.15"/>
    <row r="2120" ht="13.5" customHeight="1" x14ac:dyDescent="0.15"/>
    <row r="2121" ht="13.5" customHeight="1" x14ac:dyDescent="0.15"/>
    <row r="2122" ht="13.5" customHeight="1" x14ac:dyDescent="0.15"/>
    <row r="2123" ht="13.5" customHeight="1" x14ac:dyDescent="0.15"/>
    <row r="2124" ht="13.5" customHeight="1" x14ac:dyDescent="0.15"/>
    <row r="2125" ht="13.5" customHeight="1" x14ac:dyDescent="0.15"/>
    <row r="2126" ht="13.5" customHeight="1" x14ac:dyDescent="0.15"/>
    <row r="2127" ht="13.5" customHeight="1" x14ac:dyDescent="0.15"/>
    <row r="2128" ht="13.5" customHeight="1" x14ac:dyDescent="0.15"/>
    <row r="2129" ht="13.5" customHeight="1" x14ac:dyDescent="0.15"/>
    <row r="2130" ht="13.5" customHeight="1" x14ac:dyDescent="0.15"/>
    <row r="2131" ht="13.5" customHeight="1" x14ac:dyDescent="0.15"/>
    <row r="2132" ht="13.5" customHeight="1" x14ac:dyDescent="0.15"/>
    <row r="2133" ht="13.5" customHeight="1" x14ac:dyDescent="0.15"/>
    <row r="2134" ht="13.5" customHeight="1" x14ac:dyDescent="0.15"/>
    <row r="2135" ht="13.5" customHeight="1" x14ac:dyDescent="0.15"/>
    <row r="2136" ht="13.5" customHeight="1" x14ac:dyDescent="0.15"/>
    <row r="2137" ht="13.5" customHeight="1" x14ac:dyDescent="0.15"/>
    <row r="2138" ht="13.5" customHeight="1" x14ac:dyDescent="0.15"/>
    <row r="2139" ht="13.5" customHeight="1" x14ac:dyDescent="0.15"/>
    <row r="2140" ht="13.5" customHeight="1" x14ac:dyDescent="0.15"/>
    <row r="2141" ht="13.5" customHeight="1" x14ac:dyDescent="0.15"/>
    <row r="2142" ht="13.5" customHeight="1" x14ac:dyDescent="0.15"/>
    <row r="2143" ht="13.5" customHeight="1" x14ac:dyDescent="0.15"/>
    <row r="2144" ht="13.5" customHeight="1" x14ac:dyDescent="0.15"/>
    <row r="2145" ht="13.5" customHeight="1" x14ac:dyDescent="0.15"/>
    <row r="2146" ht="13.5" customHeight="1" x14ac:dyDescent="0.15"/>
    <row r="2147" ht="13.5" customHeight="1" x14ac:dyDescent="0.15"/>
    <row r="2148" ht="13.5" customHeight="1" x14ac:dyDescent="0.15"/>
    <row r="2149" ht="13.5" customHeight="1" x14ac:dyDescent="0.15"/>
    <row r="2150" ht="13.5" customHeight="1" x14ac:dyDescent="0.15"/>
    <row r="2151" ht="13.5" customHeight="1" x14ac:dyDescent="0.15"/>
    <row r="2152" ht="13.5" customHeight="1" x14ac:dyDescent="0.15"/>
    <row r="2153" ht="13.5" customHeight="1" x14ac:dyDescent="0.15"/>
    <row r="2154" ht="13.5" customHeight="1" x14ac:dyDescent="0.15"/>
    <row r="2155" ht="13.5" customHeight="1" x14ac:dyDescent="0.15"/>
    <row r="2156" ht="13.5" customHeight="1" x14ac:dyDescent="0.15"/>
    <row r="2157" ht="13.5" customHeight="1" x14ac:dyDescent="0.15"/>
    <row r="2158" ht="13.5" customHeight="1" x14ac:dyDescent="0.15"/>
    <row r="2159" ht="13.5" customHeight="1" x14ac:dyDescent="0.15"/>
    <row r="2160" ht="13.5" customHeight="1" x14ac:dyDescent="0.15"/>
    <row r="2161" ht="13.5" customHeight="1" x14ac:dyDescent="0.15"/>
    <row r="2162" ht="13.5" customHeight="1" x14ac:dyDescent="0.15"/>
    <row r="2163" ht="13.5" customHeight="1" x14ac:dyDescent="0.15"/>
    <row r="2164" ht="13.5" customHeight="1" x14ac:dyDescent="0.15"/>
    <row r="2165" ht="13.5" customHeight="1" x14ac:dyDescent="0.15"/>
    <row r="2166" ht="13.5" customHeight="1" x14ac:dyDescent="0.15"/>
    <row r="2167" ht="13.5" customHeight="1" x14ac:dyDescent="0.15"/>
    <row r="2168" ht="13.5" customHeight="1" x14ac:dyDescent="0.15"/>
    <row r="2169" ht="13.5" customHeight="1" x14ac:dyDescent="0.15"/>
    <row r="2170" ht="13.5" customHeight="1" x14ac:dyDescent="0.15"/>
    <row r="2171" ht="13.5" customHeight="1" x14ac:dyDescent="0.15"/>
    <row r="2172" ht="13.5" customHeight="1" x14ac:dyDescent="0.15"/>
    <row r="2173" ht="13.5" customHeight="1" x14ac:dyDescent="0.15"/>
    <row r="2174" ht="13.5" customHeight="1" x14ac:dyDescent="0.15"/>
    <row r="2175" ht="13.5" customHeight="1" x14ac:dyDescent="0.15"/>
    <row r="2176" ht="13.5" customHeight="1" x14ac:dyDescent="0.15"/>
    <row r="2177" ht="13.5" customHeight="1" x14ac:dyDescent="0.15"/>
    <row r="2178" ht="13.5" customHeight="1" x14ac:dyDescent="0.15"/>
    <row r="2179" ht="13.5" customHeight="1" x14ac:dyDescent="0.15"/>
    <row r="2180" ht="13.5" customHeight="1" x14ac:dyDescent="0.15"/>
    <row r="2181" ht="13.5" customHeight="1" x14ac:dyDescent="0.15"/>
    <row r="2182" ht="13.5" customHeight="1" x14ac:dyDescent="0.15"/>
    <row r="2183" ht="13.5" customHeight="1" x14ac:dyDescent="0.15"/>
    <row r="2184" ht="13.5" customHeight="1" x14ac:dyDescent="0.15"/>
    <row r="2185" ht="13.5" customHeight="1" x14ac:dyDescent="0.15"/>
    <row r="2186" ht="13.5" customHeight="1" x14ac:dyDescent="0.15"/>
    <row r="2187" ht="13.5" customHeight="1" x14ac:dyDescent="0.15"/>
    <row r="2188" ht="13.5" customHeight="1" x14ac:dyDescent="0.15"/>
    <row r="2189" ht="13.5" customHeight="1" x14ac:dyDescent="0.15"/>
    <row r="2190" ht="13.5" customHeight="1" x14ac:dyDescent="0.15"/>
    <row r="2191" ht="13.5" customHeight="1" x14ac:dyDescent="0.15"/>
    <row r="2192" ht="13.5" customHeight="1" x14ac:dyDescent="0.15"/>
    <row r="2193" ht="13.5" customHeight="1" x14ac:dyDescent="0.15"/>
    <row r="2194" ht="13.5" customHeight="1" x14ac:dyDescent="0.15"/>
    <row r="2195" ht="13.5" customHeight="1" x14ac:dyDescent="0.15"/>
    <row r="2196" ht="13.5" customHeight="1" x14ac:dyDescent="0.15"/>
    <row r="2197" ht="13.5" customHeight="1" x14ac:dyDescent="0.15"/>
    <row r="2198" ht="13.5" customHeight="1" x14ac:dyDescent="0.15"/>
    <row r="2199" ht="13.5" customHeight="1" x14ac:dyDescent="0.15"/>
    <row r="2200" ht="13.5" customHeight="1" x14ac:dyDescent="0.15"/>
    <row r="2201" ht="13.5" customHeight="1" x14ac:dyDescent="0.15"/>
    <row r="2202" ht="13.5" customHeight="1" x14ac:dyDescent="0.15"/>
    <row r="2203" ht="13.5" customHeight="1" x14ac:dyDescent="0.15"/>
    <row r="2204" ht="13.5" customHeight="1" x14ac:dyDescent="0.15"/>
  </sheetData>
  <sheetProtection autoFilter="0" pivotTables="0"/>
  <mergeCells count="1">
    <mergeCell ref="V5:W5"/>
  </mergeCells>
  <conditionalFormatting sqref="C6:C12">
    <cfRule type="notContainsBlanks" dxfId="4" priority="35">
      <formula>LEN(TRIM(C6))&gt;0</formula>
    </cfRule>
  </conditionalFormatting>
  <conditionalFormatting sqref="C6:G12">
    <cfRule type="expression" dxfId="3" priority="36">
      <formula>($C6="")</formula>
    </cfRule>
  </conditionalFormatting>
  <conditionalFormatting sqref="N14">
    <cfRule type="expression" dxfId="2" priority="3">
      <formula>$M$14&gt; FCI_Limit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Monday_Toggle">
                <anchor moveWithCells="1" sizeWithCells="1">
                  <from>
                    <xdr:col>1</xdr:col>
                    <xdr:colOff>101600</xdr:colOff>
                    <xdr:row>5</xdr:row>
                    <xdr:rowOff>63500</xdr:rowOff>
                  </from>
                  <to>
                    <xdr:col>1</xdr:col>
                    <xdr:colOff>1562100</xdr:colOff>
                    <xdr:row>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Tuesday_Toggle">
                <anchor moveWithCells="1" sizeWithCells="1">
                  <from>
                    <xdr:col>1</xdr:col>
                    <xdr:colOff>101600</xdr:colOff>
                    <xdr:row>6</xdr:row>
                    <xdr:rowOff>63500</xdr:rowOff>
                  </from>
                  <to>
                    <xdr:col>1</xdr:col>
                    <xdr:colOff>1562100</xdr:colOff>
                    <xdr:row>6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Wednesday_Toggle">
                <anchor moveWithCells="1" sizeWithCells="1">
                  <from>
                    <xdr:col>1</xdr:col>
                    <xdr:colOff>88900</xdr:colOff>
                    <xdr:row>7</xdr:row>
                    <xdr:rowOff>63500</xdr:rowOff>
                  </from>
                  <to>
                    <xdr:col>1</xdr:col>
                    <xdr:colOff>1549400</xdr:colOff>
                    <xdr:row>7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Thursday_Toggle">
                <anchor moveWithCells="1" sizeWithCells="1">
                  <from>
                    <xdr:col>1</xdr:col>
                    <xdr:colOff>88900</xdr:colOff>
                    <xdr:row>8</xdr:row>
                    <xdr:rowOff>63500</xdr:rowOff>
                  </from>
                  <to>
                    <xdr:col>1</xdr:col>
                    <xdr:colOff>1549400</xdr:colOff>
                    <xdr:row>8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Friday_Toggle">
                <anchor moveWithCells="1" sizeWithCells="1">
                  <from>
                    <xdr:col>1</xdr:col>
                    <xdr:colOff>88900</xdr:colOff>
                    <xdr:row>9</xdr:row>
                    <xdr:rowOff>63500</xdr:rowOff>
                  </from>
                  <to>
                    <xdr:col>1</xdr:col>
                    <xdr:colOff>1549400</xdr:colOff>
                    <xdr:row>9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9" name="Button 36">
              <controlPr defaultSize="0" print="0" autoFill="0" autoPict="0" macro="[0]!Saturday_Toggle">
                <anchor moveWithCells="1" sizeWithCells="1">
                  <from>
                    <xdr:col>1</xdr:col>
                    <xdr:colOff>88900</xdr:colOff>
                    <xdr:row>10</xdr:row>
                    <xdr:rowOff>63500</xdr:rowOff>
                  </from>
                  <to>
                    <xdr:col>1</xdr:col>
                    <xdr:colOff>1549400</xdr:colOff>
                    <xdr:row>10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0" name="Button 37">
              <controlPr defaultSize="0" print="0" autoFill="0" autoPict="0" macro="[0]!Sunday_Toggle">
                <anchor moveWithCells="1" sizeWithCells="1">
                  <from>
                    <xdr:col>1</xdr:col>
                    <xdr:colOff>88900</xdr:colOff>
                    <xdr:row>11</xdr:row>
                    <xdr:rowOff>63500</xdr:rowOff>
                  </from>
                  <to>
                    <xdr:col>1</xdr:col>
                    <xdr:colOff>1549400</xdr:colOff>
                    <xdr:row>11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1" name="Spinner 42">
              <controlPr defaultSize="0" autoPict="0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7</xdr:col>
                    <xdr:colOff>406400</xdr:colOff>
                    <xdr:row>5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2" name="Spinner 43">
              <controlPr defaultSize="0" autoPict="0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7</xdr:col>
                    <xdr:colOff>406400</xdr:colOff>
                    <xdr:row>6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3" name="Spinner 44">
              <controlPr defaultSize="0" autoPict="0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7</xdr:col>
                    <xdr:colOff>406400</xdr:colOff>
                    <xdr:row>7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4" name="Spinner 45">
              <controlPr defaultSize="0" autoPict="0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7</xdr:col>
                    <xdr:colOff>406400</xdr:colOff>
                    <xdr:row>8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5" name="Spinner 46">
              <controlPr defaultSize="0" autoPict="0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7</xdr:col>
                    <xdr:colOff>406400</xdr:colOff>
                    <xdr:row>9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6" name="Spinner 47">
              <controlPr defaultSize="0" autoPict="0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7</xdr:col>
                    <xdr:colOff>406400</xdr:colOff>
                    <xdr:row>10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7" name="Spinner 48">
              <controlPr defaultSize="0" autoPict="0">
                <anchor moveWithCells="1" siz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7</xdr:col>
                    <xdr:colOff>406400</xdr:colOff>
                    <xdr:row>11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8" name="Button 49">
              <controlPr defaultSize="0" print="0" autoFill="0" autoPict="0" macro="[0]!_xludf.clear">
                <anchor moveWithCells="1">
                  <from>
                    <xdr:col>21</xdr:col>
                    <xdr:colOff>215900</xdr:colOff>
                    <xdr:row>13</xdr:row>
                    <xdr:rowOff>330200</xdr:rowOff>
                  </from>
                  <to>
                    <xdr:col>22</xdr:col>
                    <xdr:colOff>762000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AAF81C46-9915-5846-BF82-5DF2DC87458E}">
            <xm:f>G6 &gt; 'Enter Parameters'!$I$13</xm:f>
            <x14:dxf>
              <fill>
                <patternFill>
                  <bgColor rgb="FFFFC7CE"/>
                </patternFill>
              </fill>
            </x14:dxf>
          </x14:cfRule>
          <xm:sqref>G6:G12</xm:sqref>
        </x14:conditionalFormatting>
        <x14:conditionalFormatting xmlns:xm="http://schemas.microsoft.com/office/excel/2006/main">
          <x14:cfRule type="expression" priority="1" id="{7C1442A0-D903-1A44-82A9-20B6D833C3DB}">
            <xm:f>AND(F6 &lt; 'Enter Parameters'!$D$6, F6 &gt; 'Enter Parameters'!$F$7)</xm:f>
            <x14:dxf>
              <fill>
                <patternFill>
                  <bgColor rgb="FFFFC7CE"/>
                </patternFill>
              </fill>
            </x14:dxf>
          </x14:cfRule>
          <xm:sqref>F6:F12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time" allowBlank="1" showInputMessage="1" showErrorMessage="1" xr:uid="{2908A1DF-B530-0B45-96B6-A2FF9B9A768B}">
          <x14:formula1>
            <xm:f>'Enter Parameters'!$D$6</xm:f>
          </x14:formula1>
          <x14:formula2>
            <xm:f>'Enter Parameters'!$F$7</xm:f>
          </x14:formula2>
          <xm:sqref>F6:F12</xm:sqref>
        </x14:dataValidation>
        <x14:dataValidation type="custom" allowBlank="1" showInputMessage="1" showErrorMessage="1" xr:uid="{EE91B046-32BD-B543-8C16-A5EB13943197}">
          <x14:formula1>
            <xm:f>AND(G6&gt;=0, MOD(G6,20)=0, G6&lt;= 'Enter Parameters'!$I$13)</xm:f>
          </x14:formula1>
          <xm:sqref>G6:G12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autoPageBreaks="0"/>
  </sheetPr>
  <dimension ref="A1:P3642"/>
  <sheetViews>
    <sheetView tabSelected="1" zoomScaleNormal="100" workbookViewId="0">
      <selection activeCell="A6" sqref="A6"/>
    </sheetView>
  </sheetViews>
  <sheetFormatPr baseColWidth="10" defaultColWidth="13.5" defaultRowHeight="13" x14ac:dyDescent="0.15"/>
  <cols>
    <col min="2" max="2" width="33.1640625" customWidth="1"/>
    <col min="7" max="7" width="13.83203125" customWidth="1"/>
    <col min="8" max="8" width="15.1640625" customWidth="1"/>
  </cols>
  <sheetData>
    <row r="1" spans="1:16" ht="18" x14ac:dyDescent="0.2">
      <c r="A1" s="79"/>
    </row>
    <row r="2" spans="1:16" ht="18" x14ac:dyDescent="0.2">
      <c r="A2" s="79"/>
      <c r="B2" s="204" t="b" cm="1">
        <f t="array" ref="B2">AND(Timestamp=SMALL(Timestamp,ROW(Timestamp)-MIN(ROW(Timestamp))+1))</f>
        <v>1</v>
      </c>
    </row>
    <row r="3" spans="1:16" ht="18.75" customHeight="1" x14ac:dyDescent="0.2">
      <c r="A3" s="2"/>
      <c r="B3" s="211" t="str">
        <f>IF($B$2,"Transactions are in Chronological Order","Transations not in Chronological Order")</f>
        <v>Transactions are in Chronological Order</v>
      </c>
      <c r="C3" s="123"/>
      <c r="D3" s="123"/>
    </row>
    <row r="4" spans="1:16" ht="29.25" customHeight="1" x14ac:dyDescent="0.25">
      <c r="A4" s="185" t="s">
        <v>150</v>
      </c>
      <c r="B4" s="186"/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7"/>
      <c r="N4" s="207"/>
    </row>
    <row r="5" spans="1:16" ht="42" x14ac:dyDescent="0.15">
      <c r="A5" s="28" t="s">
        <v>67</v>
      </c>
      <c r="B5" s="28" t="s">
        <v>0</v>
      </c>
      <c r="C5" s="28" t="s">
        <v>1</v>
      </c>
      <c r="D5" s="28" t="s">
        <v>3</v>
      </c>
      <c r="E5" s="28" t="s">
        <v>2</v>
      </c>
      <c r="F5" s="28" t="s">
        <v>4</v>
      </c>
      <c r="G5" s="28" t="s">
        <v>70</v>
      </c>
      <c r="H5" s="28" t="s">
        <v>25</v>
      </c>
      <c r="I5" s="28" t="s">
        <v>19</v>
      </c>
      <c r="J5" s="28" t="s">
        <v>27</v>
      </c>
      <c r="K5" s="28" t="s">
        <v>26</v>
      </c>
      <c r="L5" s="28" t="s">
        <v>29</v>
      </c>
      <c r="M5" s="210" t="s">
        <v>28</v>
      </c>
      <c r="N5" s="209"/>
    </row>
    <row r="6" spans="1:16" x14ac:dyDescent="0.15">
      <c r="A6" s="163" t="s">
        <v>210</v>
      </c>
      <c r="B6" s="163">
        <v>42278.251144189817</v>
      </c>
      <c r="C6" s="164" t="s">
        <v>561</v>
      </c>
      <c r="D6" s="164" t="s">
        <v>13</v>
      </c>
      <c r="E6" s="165">
        <v>60</v>
      </c>
      <c r="F6" s="166">
        <v>0</v>
      </c>
      <c r="G6" s="227">
        <f>IF($B$2,IF(ROWS(B$6:$B6) = 1,$B6-Start_Date,$B6-$B5),"")</f>
        <v>0.25114418981684139</v>
      </c>
      <c r="H6" s="29">
        <f>IF($B$2,IF(ROWS(B$6:$B6) = 1,IF(COUNTIFS(R_Schedule_Times,"&lt;"&amp;B6),INDEX(R_Schedule_Amounts,MATCH(B6,R_Schedule_Times,1)),Starting_Cash),IF(COUNTIFS(R_Schedule_Times,"&gt;"&amp;B5,R_Schedule_Times,"&lt;"&amp;B6),INDEX(R_Schedule_Amounts,MATCH(B6,R_Schedule_Times,1)),K5)),"")</f>
        <v>16000</v>
      </c>
      <c r="I6" s="30">
        <f>IF($B$2,IF(H6&gt;=E6,E6,0),"")</f>
        <v>60</v>
      </c>
      <c r="J6" s="31">
        <f>IF($B$2,IF(H6&gt;=E6,F6,0),"")</f>
        <v>0</v>
      </c>
      <c r="K6" s="29">
        <f>IF($B$2,ABS(I6-H6),"")</f>
        <v>15940</v>
      </c>
      <c r="L6" s="31" t="str">
        <f>IF($B$2,IF(H6&lt;E6,"YES",""),"")</f>
        <v/>
      </c>
      <c r="M6" s="31" t="str">
        <f>IF($B$2,IF(L6="YES",F6,""),"")</f>
        <v/>
      </c>
    </row>
    <row r="7" spans="1:16" x14ac:dyDescent="0.15">
      <c r="A7" s="163" t="s">
        <v>210</v>
      </c>
      <c r="B7" s="163">
        <v>42278.294699259262</v>
      </c>
      <c r="C7" s="164" t="s">
        <v>562</v>
      </c>
      <c r="D7" s="164" t="s">
        <v>13</v>
      </c>
      <c r="E7" s="165">
        <v>100</v>
      </c>
      <c r="F7" s="166">
        <v>0</v>
      </c>
      <c r="G7" s="227">
        <f>IF($B$2,IF(ROWS(B$6:$B7) = 1,$B7-Start_Date,$B7-$B6),"")</f>
        <v>4.355506944557419E-2</v>
      </c>
      <c r="H7" s="29">
        <f>IF($B$2,IF(ROWS(B$6:$B7) = 1,IF(COUNTIFS(R_Schedule_Times,"&lt;"&amp;B7),INDEX(R_Schedule_Amounts,MATCH(B7,R_Schedule_Times,1)),Starting_Cash),IF(COUNTIFS(R_Schedule_Times,"&gt;"&amp;B6,R_Schedule_Times,"&lt;"&amp;B7),INDEX(R_Schedule_Amounts,MATCH(B7,R_Schedule_Times,1)),K6)),"")</f>
        <v>15940</v>
      </c>
      <c r="I7" s="30">
        <f t="shared" ref="I7:I70" si="0">IF($B$2,IF(H7&gt;=E7,E7,0),"")</f>
        <v>100</v>
      </c>
      <c r="J7" s="31">
        <f t="shared" ref="J7:J70" si="1">IF($B$2,IF(H7&gt;=E7,F7,0),"")</f>
        <v>0</v>
      </c>
      <c r="K7" s="29">
        <f t="shared" ref="K7:K70" si="2">IF($B$2,ABS(I7-H7),"")</f>
        <v>15840</v>
      </c>
      <c r="L7" s="31" t="str">
        <f t="shared" ref="L7:L70" si="3">IF($B$2,IF(H7&lt;E7,"YES",""),"")</f>
        <v/>
      </c>
      <c r="M7" s="31" t="str">
        <f t="shared" ref="M7:M70" si="4">IF($B$2,IF(L7="YES",F7,""),"")</f>
        <v/>
      </c>
    </row>
    <row r="8" spans="1:16" x14ac:dyDescent="0.15">
      <c r="A8" s="163" t="s">
        <v>210</v>
      </c>
      <c r="B8" s="163">
        <v>42278.299432256943</v>
      </c>
      <c r="C8" s="164" t="s">
        <v>563</v>
      </c>
      <c r="D8" s="164" t="s">
        <v>13</v>
      </c>
      <c r="E8" s="165">
        <v>60</v>
      </c>
      <c r="F8" s="166">
        <v>0</v>
      </c>
      <c r="G8" s="227">
        <f>IF($B$2,IF(ROWS(B$6:$B8) = 1,$B8-Start_Date,$B8-$B7),"")</f>
        <v>4.7329976805485785E-3</v>
      </c>
      <c r="H8" s="29">
        <f>IF($B$2,IF(ROWS(B$6:$B8) = 1,IF(COUNTIFS(R_Schedule_Times,"&lt;"&amp;B8),INDEX(R_Schedule_Amounts,MATCH(B8,R_Schedule_Times,1)),Starting_Cash),IF(COUNTIFS(R_Schedule_Times,"&gt;"&amp;B7,R_Schedule_Times,"&lt;"&amp;B8),INDEX(R_Schedule_Amounts,MATCH(B8,R_Schedule_Times,1)),K7)),"")</f>
        <v>15840</v>
      </c>
      <c r="I8" s="30">
        <f t="shared" si="0"/>
        <v>60</v>
      </c>
      <c r="J8" s="31">
        <f t="shared" si="1"/>
        <v>0</v>
      </c>
      <c r="K8" s="29">
        <f t="shared" si="2"/>
        <v>15780</v>
      </c>
      <c r="L8" s="31" t="str">
        <f t="shared" si="3"/>
        <v/>
      </c>
      <c r="M8" s="31" t="str">
        <f t="shared" si="4"/>
        <v/>
      </c>
    </row>
    <row r="9" spans="1:16" x14ac:dyDescent="0.15">
      <c r="A9" s="163" t="s">
        <v>210</v>
      </c>
      <c r="B9" s="163">
        <v>42278.317737384263</v>
      </c>
      <c r="C9" s="164" t="s">
        <v>14</v>
      </c>
      <c r="D9" s="164" t="s">
        <v>13</v>
      </c>
      <c r="E9" s="165">
        <v>40</v>
      </c>
      <c r="F9" s="166">
        <v>3.5</v>
      </c>
      <c r="G9" s="227">
        <f>IF($B$2,IF(ROWS(B$6:$B9) = 1,$B9-Start_Date,$B9-$B8),"")</f>
        <v>1.8305127319763415E-2</v>
      </c>
      <c r="H9" s="29">
        <f>IF($B$2,IF(ROWS(B$6:$B9) = 1,IF(COUNTIFS(R_Schedule_Times,"&lt;"&amp;B9),INDEX(R_Schedule_Amounts,MATCH(B9,R_Schedule_Times,1)),Starting_Cash),IF(COUNTIFS(R_Schedule_Times,"&gt;"&amp;B8,R_Schedule_Times,"&lt;"&amp;B9),INDEX(R_Schedule_Amounts,MATCH(B9,R_Schedule_Times,1)),K8)),"")</f>
        <v>15780</v>
      </c>
      <c r="I9" s="30">
        <f t="shared" si="0"/>
        <v>40</v>
      </c>
      <c r="J9" s="31">
        <f t="shared" si="1"/>
        <v>3.5</v>
      </c>
      <c r="K9" s="29">
        <f t="shared" si="2"/>
        <v>15740</v>
      </c>
      <c r="L9" s="31" t="str">
        <f t="shared" si="3"/>
        <v/>
      </c>
      <c r="M9" s="31" t="str">
        <f t="shared" si="4"/>
        <v/>
      </c>
    </row>
    <row r="10" spans="1:16" x14ac:dyDescent="0.15">
      <c r="A10" s="163" t="s">
        <v>210</v>
      </c>
      <c r="B10" s="163">
        <v>42278.321448564813</v>
      </c>
      <c r="C10" s="164" t="s">
        <v>564</v>
      </c>
      <c r="D10" s="164" t="s">
        <v>13</v>
      </c>
      <c r="E10" s="165">
        <v>500</v>
      </c>
      <c r="F10" s="166">
        <v>0</v>
      </c>
      <c r="G10" s="227">
        <f>IF($B$2,IF(ROWS(B$6:$B10) = 1,$B10-Start_Date,$B10-$B9),"")</f>
        <v>3.7111805504537188E-3</v>
      </c>
      <c r="H10" s="29">
        <f>IF($B$2,IF(ROWS(B$6:$B10) = 1,IF(COUNTIFS(R_Schedule_Times,"&lt;"&amp;B10),INDEX(R_Schedule_Amounts,MATCH(B10,R_Schedule_Times,1)),Starting_Cash),IF(COUNTIFS(R_Schedule_Times,"&gt;"&amp;B9,R_Schedule_Times,"&lt;"&amp;B10),INDEX(R_Schedule_Amounts,MATCH(B10,R_Schedule_Times,1)),K9)),"")</f>
        <v>15740</v>
      </c>
      <c r="I10" s="30">
        <f t="shared" si="0"/>
        <v>500</v>
      </c>
      <c r="J10" s="31">
        <f t="shared" si="1"/>
        <v>0</v>
      </c>
      <c r="K10" s="29">
        <f t="shared" si="2"/>
        <v>15240</v>
      </c>
      <c r="L10" s="31" t="str">
        <f t="shared" si="3"/>
        <v/>
      </c>
      <c r="M10" s="31" t="str">
        <f t="shared" si="4"/>
        <v/>
      </c>
    </row>
    <row r="11" spans="1:16" x14ac:dyDescent="0.15">
      <c r="A11" s="163" t="s">
        <v>210</v>
      </c>
      <c r="B11" s="163">
        <v>42278.322269722223</v>
      </c>
      <c r="C11" s="164" t="s">
        <v>565</v>
      </c>
      <c r="D11" s="164" t="s">
        <v>13</v>
      </c>
      <c r="E11" s="165">
        <v>20</v>
      </c>
      <c r="F11" s="166">
        <v>0</v>
      </c>
      <c r="G11" s="227">
        <f>IF($B$2,IF(ROWS(B$6:$B11) = 1,$B11-Start_Date,$B11-$B10),"")</f>
        <v>8.2115740951849148E-4</v>
      </c>
      <c r="H11" s="29">
        <f>IF($B$2,IF(ROWS(B$6:$B11) = 1,IF(COUNTIFS(R_Schedule_Times,"&lt;"&amp;B11),INDEX(R_Schedule_Amounts,MATCH(B11,R_Schedule_Times,1)),Starting_Cash),IF(COUNTIFS(R_Schedule_Times,"&gt;"&amp;B10,R_Schedule_Times,"&lt;"&amp;B11),INDEX(R_Schedule_Amounts,MATCH(B11,R_Schedule_Times,1)),K10)),"")</f>
        <v>15240</v>
      </c>
      <c r="I11" s="30">
        <f t="shared" si="0"/>
        <v>20</v>
      </c>
      <c r="J11" s="31">
        <f t="shared" si="1"/>
        <v>0</v>
      </c>
      <c r="K11" s="29">
        <f t="shared" si="2"/>
        <v>15220</v>
      </c>
      <c r="L11" s="31" t="str">
        <f t="shared" si="3"/>
        <v/>
      </c>
      <c r="M11" s="31" t="str">
        <f t="shared" si="4"/>
        <v/>
      </c>
    </row>
    <row r="12" spans="1:16" x14ac:dyDescent="0.15">
      <c r="A12" s="163" t="s">
        <v>210</v>
      </c>
      <c r="B12" s="163">
        <v>42278.32946277778</v>
      </c>
      <c r="C12" s="164" t="s">
        <v>14</v>
      </c>
      <c r="D12" s="164" t="s">
        <v>13</v>
      </c>
      <c r="E12" s="165">
        <v>60</v>
      </c>
      <c r="F12" s="166">
        <v>3.5</v>
      </c>
      <c r="G12" s="227">
        <f>IF($B$2,IF(ROWS(B$6:$B12) = 1,$B12-Start_Date,$B12-$B11),"")</f>
        <v>7.1930555568542331E-3</v>
      </c>
      <c r="H12" s="29">
        <f>IF($B$2,IF(ROWS(B$6:$B12) = 1,IF(COUNTIFS(R_Schedule_Times,"&lt;"&amp;B12),INDEX(R_Schedule_Amounts,MATCH(B12,R_Schedule_Times,1)),Starting_Cash),IF(COUNTIFS(R_Schedule_Times,"&gt;"&amp;B11,R_Schedule_Times,"&lt;"&amp;B12),INDEX(R_Schedule_Amounts,MATCH(B12,R_Schedule_Times,1)),K11)),"")</f>
        <v>15220</v>
      </c>
      <c r="I12" s="30">
        <f t="shared" si="0"/>
        <v>60</v>
      </c>
      <c r="J12" s="31">
        <f t="shared" si="1"/>
        <v>3.5</v>
      </c>
      <c r="K12" s="29">
        <f t="shared" si="2"/>
        <v>15160</v>
      </c>
      <c r="L12" s="31" t="str">
        <f t="shared" si="3"/>
        <v/>
      </c>
      <c r="M12" s="31" t="str">
        <f t="shared" si="4"/>
        <v/>
      </c>
    </row>
    <row r="13" spans="1:16" x14ac:dyDescent="0.15">
      <c r="A13" s="163" t="s">
        <v>210</v>
      </c>
      <c r="B13" s="163">
        <v>42278.345726712963</v>
      </c>
      <c r="C13" s="164" t="s">
        <v>566</v>
      </c>
      <c r="D13" s="164" t="s">
        <v>13</v>
      </c>
      <c r="E13" s="165">
        <v>100</v>
      </c>
      <c r="F13" s="166">
        <v>0</v>
      </c>
      <c r="G13" s="227">
        <f>IF($B$2,IF(ROWS(B$6:$B13) = 1,$B13-Start_Date,$B13-$B12),"")</f>
        <v>1.6263935183815192E-2</v>
      </c>
      <c r="H13" s="29">
        <f>IF($B$2,IF(ROWS(B$6:$B13) = 1,IF(COUNTIFS(R_Schedule_Times,"&lt;"&amp;B13),INDEX(R_Schedule_Amounts,MATCH(B13,R_Schedule_Times,1)),Starting_Cash),IF(COUNTIFS(R_Schedule_Times,"&gt;"&amp;B12,R_Schedule_Times,"&lt;"&amp;B13),INDEX(R_Schedule_Amounts,MATCH(B13,R_Schedule_Times,1)),K12)),"")</f>
        <v>15160</v>
      </c>
      <c r="I13" s="30">
        <f t="shared" si="0"/>
        <v>100</v>
      </c>
      <c r="J13" s="31">
        <f t="shared" si="1"/>
        <v>0</v>
      </c>
      <c r="K13" s="29">
        <f t="shared" si="2"/>
        <v>15060</v>
      </c>
      <c r="L13" s="31" t="str">
        <f t="shared" si="3"/>
        <v/>
      </c>
      <c r="M13" s="31" t="str">
        <f t="shared" si="4"/>
        <v/>
      </c>
      <c r="O13" s="208"/>
      <c r="P13" s="208"/>
    </row>
    <row r="14" spans="1:16" x14ac:dyDescent="0.15">
      <c r="A14" s="163" t="s">
        <v>210</v>
      </c>
      <c r="B14" s="163">
        <v>42278.354618425925</v>
      </c>
      <c r="C14" s="164" t="s">
        <v>567</v>
      </c>
      <c r="D14" s="164" t="s">
        <v>13</v>
      </c>
      <c r="E14" s="165">
        <v>120</v>
      </c>
      <c r="F14" s="166">
        <v>0</v>
      </c>
      <c r="G14" s="227">
        <f>IF($B$2,IF(ROWS(B$6:$B14) = 1,$B14-Start_Date,$B14-$B13),"")</f>
        <v>8.8917129614856094E-3</v>
      </c>
      <c r="H14" s="29">
        <f>IF($B$2,IF(ROWS(B$6:$B14) = 1,IF(COUNTIFS(R_Schedule_Times,"&lt;"&amp;B14),INDEX(R_Schedule_Amounts,MATCH(B14,R_Schedule_Times,1)),Starting_Cash),IF(COUNTIFS(R_Schedule_Times,"&gt;"&amp;B13,R_Schedule_Times,"&lt;"&amp;B14),INDEX(R_Schedule_Amounts,MATCH(B14,R_Schedule_Times,1)),K13)),"")</f>
        <v>15060</v>
      </c>
      <c r="I14" s="30">
        <f t="shared" si="0"/>
        <v>120</v>
      </c>
      <c r="J14" s="31">
        <f t="shared" si="1"/>
        <v>0</v>
      </c>
      <c r="K14" s="29">
        <f t="shared" si="2"/>
        <v>14940</v>
      </c>
      <c r="L14" s="31" t="str">
        <f t="shared" si="3"/>
        <v/>
      </c>
      <c r="M14" s="31" t="str">
        <f t="shared" si="4"/>
        <v/>
      </c>
    </row>
    <row r="15" spans="1:16" x14ac:dyDescent="0.15">
      <c r="A15" s="163" t="s">
        <v>210</v>
      </c>
      <c r="B15" s="163">
        <v>42278.389455289354</v>
      </c>
      <c r="C15" s="164" t="s">
        <v>568</v>
      </c>
      <c r="D15" s="164" t="s">
        <v>13</v>
      </c>
      <c r="E15" s="165">
        <v>100</v>
      </c>
      <c r="F15" s="166">
        <v>0</v>
      </c>
      <c r="G15" s="227">
        <f>IF($B$2,IF(ROWS(B$6:$B15) = 1,$B15-Start_Date,$B15-$B14),"")</f>
        <v>3.4836863429518417E-2</v>
      </c>
      <c r="H15" s="29">
        <f>IF($B$2,IF(ROWS(B$6:$B15) = 1,IF(COUNTIFS(R_Schedule_Times,"&lt;"&amp;B15),INDEX(R_Schedule_Amounts,MATCH(B15,R_Schedule_Times,1)),Starting_Cash),IF(COUNTIFS(R_Schedule_Times,"&gt;"&amp;B14,R_Schedule_Times,"&lt;"&amp;B15),INDEX(R_Schedule_Amounts,MATCH(B15,R_Schedule_Times,1)),K14)),"")</f>
        <v>14940</v>
      </c>
      <c r="I15" s="30">
        <f t="shared" si="0"/>
        <v>100</v>
      </c>
      <c r="J15" s="31">
        <f t="shared" si="1"/>
        <v>0</v>
      </c>
      <c r="K15" s="29">
        <f t="shared" si="2"/>
        <v>14840</v>
      </c>
      <c r="L15" s="31" t="str">
        <f t="shared" si="3"/>
        <v/>
      </c>
      <c r="M15" s="31" t="str">
        <f t="shared" si="4"/>
        <v/>
      </c>
    </row>
    <row r="16" spans="1:16" x14ac:dyDescent="0.15">
      <c r="A16" s="163" t="s">
        <v>210</v>
      </c>
      <c r="B16" s="163">
        <v>42278.407390451386</v>
      </c>
      <c r="C16" s="164" t="s">
        <v>569</v>
      </c>
      <c r="D16" s="164" t="s">
        <v>13</v>
      </c>
      <c r="E16" s="165">
        <v>80</v>
      </c>
      <c r="F16" s="166">
        <v>0</v>
      </c>
      <c r="G16" s="227">
        <f>IF($B$2,IF(ROWS(B$6:$B16) = 1,$B16-Start_Date,$B16-$B15),"")</f>
        <v>1.7935162031790242E-2</v>
      </c>
      <c r="H16" s="29">
        <f>IF($B$2,IF(ROWS(B$6:$B16) = 1,IF(COUNTIFS(R_Schedule_Times,"&lt;"&amp;B16),INDEX(R_Schedule_Amounts,MATCH(B16,R_Schedule_Times,1)),Starting_Cash),IF(COUNTIFS(R_Schedule_Times,"&gt;"&amp;B15,R_Schedule_Times,"&lt;"&amp;B16),INDEX(R_Schedule_Amounts,MATCH(B16,R_Schedule_Times,1)),K15)),"")</f>
        <v>14840</v>
      </c>
      <c r="I16" s="30">
        <f t="shared" si="0"/>
        <v>80</v>
      </c>
      <c r="J16" s="31">
        <f t="shared" si="1"/>
        <v>0</v>
      </c>
      <c r="K16" s="29">
        <f t="shared" si="2"/>
        <v>14760</v>
      </c>
      <c r="L16" s="31" t="str">
        <f t="shared" si="3"/>
        <v/>
      </c>
      <c r="M16" s="31" t="str">
        <f t="shared" si="4"/>
        <v/>
      </c>
    </row>
    <row r="17" spans="1:13" x14ac:dyDescent="0.15">
      <c r="A17" s="163" t="s">
        <v>210</v>
      </c>
      <c r="B17" s="163">
        <v>42278.408873726854</v>
      </c>
      <c r="C17" s="164" t="s">
        <v>570</v>
      </c>
      <c r="D17" s="164" t="s">
        <v>13</v>
      </c>
      <c r="E17" s="165">
        <v>100</v>
      </c>
      <c r="F17" s="166">
        <v>0</v>
      </c>
      <c r="G17" s="227">
        <f>IF($B$2,IF(ROWS(B$6:$B17) = 1,$B17-Start_Date,$B17-$B16),"")</f>
        <v>1.4832754677627236E-3</v>
      </c>
      <c r="H17" s="29">
        <f>IF($B$2,IF(ROWS(B$6:$B17) = 1,IF(COUNTIFS(R_Schedule_Times,"&lt;"&amp;B17),INDEX(R_Schedule_Amounts,MATCH(B17,R_Schedule_Times,1)),Starting_Cash),IF(COUNTIFS(R_Schedule_Times,"&gt;"&amp;B16,R_Schedule_Times,"&lt;"&amp;B17),INDEX(R_Schedule_Amounts,MATCH(B17,R_Schedule_Times,1)),K16)),"")</f>
        <v>14760</v>
      </c>
      <c r="I17" s="30">
        <f t="shared" si="0"/>
        <v>100</v>
      </c>
      <c r="J17" s="31">
        <f t="shared" si="1"/>
        <v>0</v>
      </c>
      <c r="K17" s="29">
        <f t="shared" si="2"/>
        <v>14660</v>
      </c>
      <c r="L17" s="31" t="str">
        <f t="shared" si="3"/>
        <v/>
      </c>
      <c r="M17" s="31" t="str">
        <f t="shared" si="4"/>
        <v/>
      </c>
    </row>
    <row r="18" spans="1:13" x14ac:dyDescent="0.15">
      <c r="A18" s="163" t="s">
        <v>210</v>
      </c>
      <c r="B18" s="163">
        <v>42278.416082546297</v>
      </c>
      <c r="C18" s="164" t="s">
        <v>571</v>
      </c>
      <c r="D18" s="164" t="s">
        <v>13</v>
      </c>
      <c r="E18" s="165">
        <v>60</v>
      </c>
      <c r="F18" s="166">
        <v>0</v>
      </c>
      <c r="G18" s="227">
        <f>IF($B$2,IF(ROWS(B$6:$B18) = 1,$B18-Start_Date,$B18-$B17),"")</f>
        <v>7.2088194428943098E-3</v>
      </c>
      <c r="H18" s="29">
        <f>IF($B$2,IF(ROWS(B$6:$B18) = 1,IF(COUNTIFS(R_Schedule_Times,"&lt;"&amp;B18),INDEX(R_Schedule_Amounts,MATCH(B18,R_Schedule_Times,1)),Starting_Cash),IF(COUNTIFS(R_Schedule_Times,"&gt;"&amp;B17,R_Schedule_Times,"&lt;"&amp;B18),INDEX(R_Schedule_Amounts,MATCH(B18,R_Schedule_Times,1)),K17)),"")</f>
        <v>14660</v>
      </c>
      <c r="I18" s="30">
        <f t="shared" si="0"/>
        <v>60</v>
      </c>
      <c r="J18" s="31">
        <f t="shared" si="1"/>
        <v>0</v>
      </c>
      <c r="K18" s="29">
        <f t="shared" si="2"/>
        <v>14600</v>
      </c>
      <c r="L18" s="31" t="str">
        <f t="shared" si="3"/>
        <v/>
      </c>
      <c r="M18" s="31" t="str">
        <f t="shared" si="4"/>
        <v/>
      </c>
    </row>
    <row r="19" spans="1:13" x14ac:dyDescent="0.15">
      <c r="A19" s="163" t="s">
        <v>210</v>
      </c>
      <c r="B19" s="163">
        <v>42278.424253414349</v>
      </c>
      <c r="C19" s="164" t="s">
        <v>572</v>
      </c>
      <c r="D19" s="164" t="s">
        <v>13</v>
      </c>
      <c r="E19" s="165">
        <v>120</v>
      </c>
      <c r="F19" s="166">
        <v>0</v>
      </c>
      <c r="G19" s="227">
        <f>IF($B$2,IF(ROWS(B$6:$B19) = 1,$B19-Start_Date,$B19-$B18),"")</f>
        <v>8.1708680518204346E-3</v>
      </c>
      <c r="H19" s="29">
        <f>IF($B$2,IF(ROWS(B$6:$B19) = 1,IF(COUNTIFS(R_Schedule_Times,"&lt;"&amp;B19),INDEX(R_Schedule_Amounts,MATCH(B19,R_Schedule_Times,1)),Starting_Cash),IF(COUNTIFS(R_Schedule_Times,"&gt;"&amp;B18,R_Schedule_Times,"&lt;"&amp;B19),INDEX(R_Schedule_Amounts,MATCH(B19,R_Schedule_Times,1)),K18)),"")</f>
        <v>14600</v>
      </c>
      <c r="I19" s="30">
        <f t="shared" si="0"/>
        <v>120</v>
      </c>
      <c r="J19" s="31">
        <f t="shared" si="1"/>
        <v>0</v>
      </c>
      <c r="K19" s="29">
        <f t="shared" si="2"/>
        <v>14480</v>
      </c>
      <c r="L19" s="31" t="str">
        <f t="shared" si="3"/>
        <v/>
      </c>
      <c r="M19" s="31" t="str">
        <f t="shared" si="4"/>
        <v/>
      </c>
    </row>
    <row r="20" spans="1:13" x14ac:dyDescent="0.15">
      <c r="A20" s="163" t="s">
        <v>210</v>
      </c>
      <c r="B20" s="163">
        <v>42278.434125844906</v>
      </c>
      <c r="C20" s="164" t="s">
        <v>573</v>
      </c>
      <c r="D20" s="164" t="s">
        <v>13</v>
      </c>
      <c r="E20" s="165">
        <v>200</v>
      </c>
      <c r="F20" s="166">
        <v>0</v>
      </c>
      <c r="G20" s="227">
        <f>IF($B$2,IF(ROWS(B$6:$B20) = 1,$B20-Start_Date,$B20-$B19),"")</f>
        <v>9.8724305571522564E-3</v>
      </c>
      <c r="H20" s="29">
        <f>IF($B$2,IF(ROWS(B$6:$B20) = 1,IF(COUNTIFS(R_Schedule_Times,"&lt;"&amp;B20),INDEX(R_Schedule_Amounts,MATCH(B20,R_Schedule_Times,1)),Starting_Cash),IF(COUNTIFS(R_Schedule_Times,"&gt;"&amp;B19,R_Schedule_Times,"&lt;"&amp;B20),INDEX(R_Schedule_Amounts,MATCH(B20,R_Schedule_Times,1)),K19)),"")</f>
        <v>14480</v>
      </c>
      <c r="I20" s="30">
        <f t="shared" si="0"/>
        <v>200</v>
      </c>
      <c r="J20" s="31">
        <f t="shared" si="1"/>
        <v>0</v>
      </c>
      <c r="K20" s="29">
        <f t="shared" si="2"/>
        <v>14280</v>
      </c>
      <c r="L20" s="31" t="str">
        <f t="shared" si="3"/>
        <v/>
      </c>
      <c r="M20" s="31" t="str">
        <f t="shared" si="4"/>
        <v/>
      </c>
    </row>
    <row r="21" spans="1:13" x14ac:dyDescent="0.15">
      <c r="A21" s="163" t="s">
        <v>210</v>
      </c>
      <c r="B21" s="163">
        <v>42278.458395624999</v>
      </c>
      <c r="C21" s="164" t="s">
        <v>574</v>
      </c>
      <c r="D21" s="164" t="s">
        <v>13</v>
      </c>
      <c r="E21" s="165">
        <v>60</v>
      </c>
      <c r="F21" s="166">
        <v>0</v>
      </c>
      <c r="G21" s="227">
        <f>IF($B$2,IF(ROWS(B$6:$B21) = 1,$B21-Start_Date,$B21-$B20),"")</f>
        <v>2.4269780093163718E-2</v>
      </c>
      <c r="H21" s="29">
        <f>IF($B$2,IF(ROWS(B$6:$B21) = 1,IF(COUNTIFS(R_Schedule_Times,"&lt;"&amp;B21),INDEX(R_Schedule_Amounts,MATCH(B21,R_Schedule_Times,1)),Starting_Cash),IF(COUNTIFS(R_Schedule_Times,"&gt;"&amp;B20,R_Schedule_Times,"&lt;"&amp;B21),INDEX(R_Schedule_Amounts,MATCH(B21,R_Schedule_Times,1)),K20)),"")</f>
        <v>14280</v>
      </c>
      <c r="I21" s="30">
        <f t="shared" si="0"/>
        <v>60</v>
      </c>
      <c r="J21" s="31">
        <f t="shared" si="1"/>
        <v>0</v>
      </c>
      <c r="K21" s="29">
        <f t="shared" si="2"/>
        <v>14220</v>
      </c>
      <c r="L21" s="31" t="str">
        <f t="shared" si="3"/>
        <v/>
      </c>
      <c r="M21" s="31" t="str">
        <f t="shared" si="4"/>
        <v/>
      </c>
    </row>
    <row r="22" spans="1:13" x14ac:dyDescent="0.15">
      <c r="A22" s="163" t="s">
        <v>210</v>
      </c>
      <c r="B22" s="163">
        <v>42278.459787245367</v>
      </c>
      <c r="C22" s="164" t="s">
        <v>292</v>
      </c>
      <c r="D22" s="164" t="s">
        <v>13</v>
      </c>
      <c r="E22" s="165">
        <v>500</v>
      </c>
      <c r="F22" s="166">
        <v>0</v>
      </c>
      <c r="G22" s="227">
        <f>IF($B$2,IF(ROWS(B$6:$B22) = 1,$B22-Start_Date,$B22-$B21),"")</f>
        <v>1.3916203679400496E-3</v>
      </c>
      <c r="H22" s="29">
        <f>IF($B$2,IF(ROWS(B$6:$B22) = 1,IF(COUNTIFS(R_Schedule_Times,"&lt;"&amp;B22),INDEX(R_Schedule_Amounts,MATCH(B22,R_Schedule_Times,1)),Starting_Cash),IF(COUNTIFS(R_Schedule_Times,"&gt;"&amp;B21,R_Schedule_Times,"&lt;"&amp;B22),INDEX(R_Schedule_Amounts,MATCH(B22,R_Schedule_Times,1)),K21)),"")</f>
        <v>14220</v>
      </c>
      <c r="I22" s="30">
        <f t="shared" si="0"/>
        <v>500</v>
      </c>
      <c r="J22" s="31">
        <f t="shared" si="1"/>
        <v>0</v>
      </c>
      <c r="K22" s="29">
        <f t="shared" si="2"/>
        <v>13720</v>
      </c>
      <c r="L22" s="31" t="str">
        <f t="shared" si="3"/>
        <v/>
      </c>
      <c r="M22" s="31" t="str">
        <f t="shared" si="4"/>
        <v/>
      </c>
    </row>
    <row r="23" spans="1:13" x14ac:dyDescent="0.15">
      <c r="A23" s="163" t="s">
        <v>210</v>
      </c>
      <c r="B23" s="163">
        <v>42278.460287893518</v>
      </c>
      <c r="C23" s="164" t="s">
        <v>106</v>
      </c>
      <c r="D23" s="164" t="s">
        <v>13</v>
      </c>
      <c r="E23" s="165">
        <v>40</v>
      </c>
      <c r="F23" s="166">
        <v>0</v>
      </c>
      <c r="G23" s="227">
        <f>IF($B$2,IF(ROWS(B$6:$B23) = 1,$B23-Start_Date,$B23-$B22),"")</f>
        <v>5.0064815150108188E-4</v>
      </c>
      <c r="H23" s="29">
        <f>IF($B$2,IF(ROWS(B$6:$B23) = 1,IF(COUNTIFS(R_Schedule_Times,"&lt;"&amp;B23),INDEX(R_Schedule_Amounts,MATCH(B23,R_Schedule_Times,1)),Starting_Cash),IF(COUNTIFS(R_Schedule_Times,"&gt;"&amp;B22,R_Schedule_Times,"&lt;"&amp;B23),INDEX(R_Schedule_Amounts,MATCH(B23,R_Schedule_Times,1)),K22)),"")</f>
        <v>13720</v>
      </c>
      <c r="I23" s="30">
        <f t="shared" si="0"/>
        <v>40</v>
      </c>
      <c r="J23" s="31">
        <f t="shared" si="1"/>
        <v>0</v>
      </c>
      <c r="K23" s="29">
        <f t="shared" si="2"/>
        <v>13680</v>
      </c>
      <c r="L23" s="31" t="str">
        <f t="shared" si="3"/>
        <v/>
      </c>
      <c r="M23" s="31" t="str">
        <f t="shared" si="4"/>
        <v/>
      </c>
    </row>
    <row r="24" spans="1:13" x14ac:dyDescent="0.15">
      <c r="A24" s="163" t="s">
        <v>210</v>
      </c>
      <c r="B24" s="163">
        <v>42278.466432175926</v>
      </c>
      <c r="C24" s="164" t="s">
        <v>575</v>
      </c>
      <c r="D24" s="164" t="s">
        <v>13</v>
      </c>
      <c r="E24" s="165">
        <v>500</v>
      </c>
      <c r="F24" s="166">
        <v>0</v>
      </c>
      <c r="G24" s="227">
        <f>IF($B$2,IF(ROWS(B$6:$B24) = 1,$B24-Start_Date,$B24-$B23),"")</f>
        <v>6.1442824080586433E-3</v>
      </c>
      <c r="H24" s="29">
        <f>IF($B$2,IF(ROWS(B$6:$B24) = 1,IF(COUNTIFS(R_Schedule_Times,"&lt;"&amp;B24),INDEX(R_Schedule_Amounts,MATCH(B24,R_Schedule_Times,1)),Starting_Cash),IF(COUNTIFS(R_Schedule_Times,"&gt;"&amp;B23,R_Schedule_Times,"&lt;"&amp;B24),INDEX(R_Schedule_Amounts,MATCH(B24,R_Schedule_Times,1)),K23)),"")</f>
        <v>13680</v>
      </c>
      <c r="I24" s="30">
        <f t="shared" si="0"/>
        <v>500</v>
      </c>
      <c r="J24" s="31">
        <f t="shared" si="1"/>
        <v>0</v>
      </c>
      <c r="K24" s="29">
        <f t="shared" si="2"/>
        <v>13180</v>
      </c>
      <c r="L24" s="31" t="str">
        <f t="shared" si="3"/>
        <v/>
      </c>
      <c r="M24" s="31" t="str">
        <f t="shared" si="4"/>
        <v/>
      </c>
    </row>
    <row r="25" spans="1:13" x14ac:dyDescent="0.15">
      <c r="A25" s="163" t="s">
        <v>210</v>
      </c>
      <c r="B25" s="163">
        <v>42278.472931655095</v>
      </c>
      <c r="C25" s="164" t="s">
        <v>576</v>
      </c>
      <c r="D25" s="164" t="s">
        <v>13</v>
      </c>
      <c r="E25" s="165">
        <v>40</v>
      </c>
      <c r="F25" s="166">
        <v>0</v>
      </c>
      <c r="G25" s="227">
        <f>IF($B$2,IF(ROWS(B$6:$B25) = 1,$B25-Start_Date,$B25-$B24),"")</f>
        <v>6.4994791682693176E-3</v>
      </c>
      <c r="H25" s="29">
        <f>IF($B$2,IF(ROWS(B$6:$B25) = 1,IF(COUNTIFS(R_Schedule_Times,"&lt;"&amp;B25),INDEX(R_Schedule_Amounts,MATCH(B25,R_Schedule_Times,1)),Starting_Cash),IF(COUNTIFS(R_Schedule_Times,"&gt;"&amp;B24,R_Schedule_Times,"&lt;"&amp;B25),INDEX(R_Schedule_Amounts,MATCH(B25,R_Schedule_Times,1)),K24)),"")</f>
        <v>13180</v>
      </c>
      <c r="I25" s="30">
        <f t="shared" si="0"/>
        <v>40</v>
      </c>
      <c r="J25" s="31">
        <f t="shared" si="1"/>
        <v>0</v>
      </c>
      <c r="K25" s="29">
        <f t="shared" si="2"/>
        <v>13140</v>
      </c>
      <c r="L25" s="31" t="str">
        <f t="shared" si="3"/>
        <v/>
      </c>
      <c r="M25" s="31" t="str">
        <f t="shared" si="4"/>
        <v/>
      </c>
    </row>
    <row r="26" spans="1:13" x14ac:dyDescent="0.15">
      <c r="A26" s="163" t="s">
        <v>210</v>
      </c>
      <c r="B26" s="163">
        <v>42278.475861284722</v>
      </c>
      <c r="C26" s="164" t="s">
        <v>577</v>
      </c>
      <c r="D26" s="164" t="s">
        <v>13</v>
      </c>
      <c r="E26" s="165">
        <v>200</v>
      </c>
      <c r="F26" s="166">
        <v>0</v>
      </c>
      <c r="G26" s="227">
        <f>IF($B$2,IF(ROWS(B$6:$B26) = 1,$B26-Start_Date,$B26-$B25),"")</f>
        <v>2.9296296270331368E-3</v>
      </c>
      <c r="H26" s="29">
        <f>IF($B$2,IF(ROWS(B$6:$B26) = 1,IF(COUNTIFS(R_Schedule_Times,"&lt;"&amp;B26),INDEX(R_Schedule_Amounts,MATCH(B26,R_Schedule_Times,1)),Starting_Cash),IF(COUNTIFS(R_Schedule_Times,"&gt;"&amp;B25,R_Schedule_Times,"&lt;"&amp;B26),INDEX(R_Schedule_Amounts,MATCH(B26,R_Schedule_Times,1)),K25)),"")</f>
        <v>13140</v>
      </c>
      <c r="I26" s="30">
        <f t="shared" si="0"/>
        <v>200</v>
      </c>
      <c r="J26" s="31">
        <f t="shared" si="1"/>
        <v>0</v>
      </c>
      <c r="K26" s="29">
        <f t="shared" si="2"/>
        <v>12940</v>
      </c>
      <c r="L26" s="31" t="str">
        <f t="shared" si="3"/>
        <v/>
      </c>
      <c r="M26" s="31" t="str">
        <f t="shared" si="4"/>
        <v/>
      </c>
    </row>
    <row r="27" spans="1:13" x14ac:dyDescent="0.15">
      <c r="A27" s="163" t="s">
        <v>210</v>
      </c>
      <c r="B27" s="163">
        <v>42278.48157841435</v>
      </c>
      <c r="C27" s="164" t="s">
        <v>578</v>
      </c>
      <c r="D27" s="164" t="s">
        <v>13</v>
      </c>
      <c r="E27" s="165">
        <v>100</v>
      </c>
      <c r="F27" s="166">
        <v>0</v>
      </c>
      <c r="G27" s="227">
        <f>IF($B$2,IF(ROWS(B$6:$B27) = 1,$B27-Start_Date,$B27-$B26),"")</f>
        <v>5.7171296284650452E-3</v>
      </c>
      <c r="H27" s="29">
        <f>IF($B$2,IF(ROWS(B$6:$B27) = 1,IF(COUNTIFS(R_Schedule_Times,"&lt;"&amp;B27),INDEX(R_Schedule_Amounts,MATCH(B27,R_Schedule_Times,1)),Starting_Cash),IF(COUNTIFS(R_Schedule_Times,"&gt;"&amp;B26,R_Schedule_Times,"&lt;"&amp;B27),INDEX(R_Schedule_Amounts,MATCH(B27,R_Schedule_Times,1)),K26)),"")</f>
        <v>12940</v>
      </c>
      <c r="I27" s="30">
        <f t="shared" si="0"/>
        <v>100</v>
      </c>
      <c r="J27" s="31">
        <f t="shared" si="1"/>
        <v>0</v>
      </c>
      <c r="K27" s="29">
        <f t="shared" si="2"/>
        <v>12840</v>
      </c>
      <c r="L27" s="31" t="str">
        <f t="shared" si="3"/>
        <v/>
      </c>
      <c r="M27" s="31" t="str">
        <f t="shared" si="4"/>
        <v/>
      </c>
    </row>
    <row r="28" spans="1:13" x14ac:dyDescent="0.15">
      <c r="A28" s="163" t="s">
        <v>210</v>
      </c>
      <c r="B28" s="163">
        <v>42278.4966728125</v>
      </c>
      <c r="C28" s="164" t="s">
        <v>579</v>
      </c>
      <c r="D28" s="164" t="s">
        <v>15</v>
      </c>
      <c r="E28" s="165">
        <v>100</v>
      </c>
      <c r="F28" s="166">
        <v>3</v>
      </c>
      <c r="G28" s="227">
        <f>IF($B$2,IF(ROWS(B$6:$B28) = 1,$B28-Start_Date,$B28-$B27),"")</f>
        <v>1.509439814981306E-2</v>
      </c>
      <c r="H28" s="29">
        <f>IF($B$2,IF(ROWS(B$6:$B28) = 1,IF(COUNTIFS(R_Schedule_Times,"&lt;"&amp;B28),INDEX(R_Schedule_Amounts,MATCH(B28,R_Schedule_Times,1)),Starting_Cash),IF(COUNTIFS(R_Schedule_Times,"&gt;"&amp;B27,R_Schedule_Times,"&lt;"&amp;B28),INDEX(R_Schedule_Amounts,MATCH(B28,R_Schedule_Times,1)),K27)),"")</f>
        <v>12840</v>
      </c>
      <c r="I28" s="30">
        <f t="shared" si="0"/>
        <v>100</v>
      </c>
      <c r="J28" s="31">
        <f t="shared" si="1"/>
        <v>3</v>
      </c>
      <c r="K28" s="29">
        <f t="shared" si="2"/>
        <v>12740</v>
      </c>
      <c r="L28" s="31" t="str">
        <f t="shared" si="3"/>
        <v/>
      </c>
      <c r="M28" s="31" t="str">
        <f t="shared" si="4"/>
        <v/>
      </c>
    </row>
    <row r="29" spans="1:13" x14ac:dyDescent="0.15">
      <c r="A29" s="163" t="s">
        <v>210</v>
      </c>
      <c r="B29" s="163">
        <v>42278.508020231478</v>
      </c>
      <c r="C29" s="164" t="s">
        <v>580</v>
      </c>
      <c r="D29" s="164" t="s">
        <v>13</v>
      </c>
      <c r="E29" s="165">
        <v>100</v>
      </c>
      <c r="F29" s="166">
        <v>0</v>
      </c>
      <c r="G29" s="227">
        <f>IF($B$2,IF(ROWS(B$6:$B29) = 1,$B29-Start_Date,$B29-$B28),"")</f>
        <v>1.1347418978402857E-2</v>
      </c>
      <c r="H29" s="29">
        <f>IF($B$2,IF(ROWS(B$6:$B29) = 1,IF(COUNTIFS(R_Schedule_Times,"&lt;"&amp;B29),INDEX(R_Schedule_Amounts,MATCH(B29,R_Schedule_Times,1)),Starting_Cash),IF(COUNTIFS(R_Schedule_Times,"&gt;"&amp;B28,R_Schedule_Times,"&lt;"&amp;B29),INDEX(R_Schedule_Amounts,MATCH(B29,R_Schedule_Times,1)),K28)),"")</f>
        <v>12740</v>
      </c>
      <c r="I29" s="30">
        <f t="shared" si="0"/>
        <v>100</v>
      </c>
      <c r="J29" s="31">
        <f t="shared" si="1"/>
        <v>0</v>
      </c>
      <c r="K29" s="29">
        <f t="shared" si="2"/>
        <v>12640</v>
      </c>
      <c r="L29" s="31" t="str">
        <f t="shared" si="3"/>
        <v/>
      </c>
      <c r="M29" s="31" t="str">
        <f t="shared" si="4"/>
        <v/>
      </c>
    </row>
    <row r="30" spans="1:13" x14ac:dyDescent="0.15">
      <c r="A30" s="163" t="s">
        <v>210</v>
      </c>
      <c r="B30" s="163">
        <v>42278.517902615742</v>
      </c>
      <c r="C30" s="164" t="s">
        <v>581</v>
      </c>
      <c r="D30" s="164" t="s">
        <v>13</v>
      </c>
      <c r="E30" s="165">
        <v>20</v>
      </c>
      <c r="F30" s="166">
        <v>0</v>
      </c>
      <c r="G30" s="227">
        <f>IF($B$2,IF(ROWS(B$6:$B30) = 1,$B30-Start_Date,$B30-$B29),"")</f>
        <v>9.8823842636193149E-3</v>
      </c>
      <c r="H30" s="29">
        <f>IF($B$2,IF(ROWS(B$6:$B30) = 1,IF(COUNTIFS(R_Schedule_Times,"&lt;"&amp;B30),INDEX(R_Schedule_Amounts,MATCH(B30,R_Schedule_Times,1)),Starting_Cash),IF(COUNTIFS(R_Schedule_Times,"&gt;"&amp;B29,R_Schedule_Times,"&lt;"&amp;B30),INDEX(R_Schedule_Amounts,MATCH(B30,R_Schedule_Times,1)),K29)),"")</f>
        <v>12640</v>
      </c>
      <c r="I30" s="30">
        <f t="shared" si="0"/>
        <v>20</v>
      </c>
      <c r="J30" s="31">
        <f t="shared" si="1"/>
        <v>0</v>
      </c>
      <c r="K30" s="29">
        <f t="shared" si="2"/>
        <v>12620</v>
      </c>
      <c r="L30" s="31" t="str">
        <f t="shared" si="3"/>
        <v/>
      </c>
      <c r="M30" s="31" t="str">
        <f t="shared" si="4"/>
        <v/>
      </c>
    </row>
    <row r="31" spans="1:13" x14ac:dyDescent="0.15">
      <c r="A31" s="163" t="s">
        <v>210</v>
      </c>
      <c r="B31" s="163">
        <v>42278.52490715278</v>
      </c>
      <c r="C31" s="164" t="s">
        <v>582</v>
      </c>
      <c r="D31" s="164" t="s">
        <v>13</v>
      </c>
      <c r="E31" s="165">
        <v>120</v>
      </c>
      <c r="F31" s="166">
        <v>0</v>
      </c>
      <c r="G31" s="227">
        <f>IF($B$2,IF(ROWS(B$6:$B31) = 1,$B31-Start_Date,$B31-$B30),"")</f>
        <v>7.0045370375737548E-3</v>
      </c>
      <c r="H31" s="29">
        <f>IF($B$2,IF(ROWS(B$6:$B31) = 1,IF(COUNTIFS(R_Schedule_Times,"&lt;"&amp;B31),INDEX(R_Schedule_Amounts,MATCH(B31,R_Schedule_Times,1)),Starting_Cash),IF(COUNTIFS(R_Schedule_Times,"&gt;"&amp;B30,R_Schedule_Times,"&lt;"&amp;B31),INDEX(R_Schedule_Amounts,MATCH(B31,R_Schedule_Times,1)),K30)),"")</f>
        <v>12620</v>
      </c>
      <c r="I31" s="30">
        <f t="shared" si="0"/>
        <v>120</v>
      </c>
      <c r="J31" s="31">
        <f t="shared" si="1"/>
        <v>0</v>
      </c>
      <c r="K31" s="29">
        <f t="shared" si="2"/>
        <v>12500</v>
      </c>
      <c r="L31" s="31" t="str">
        <f t="shared" si="3"/>
        <v/>
      </c>
      <c r="M31" s="31" t="str">
        <f t="shared" si="4"/>
        <v/>
      </c>
    </row>
    <row r="32" spans="1:13" x14ac:dyDescent="0.15">
      <c r="A32" s="163" t="s">
        <v>210</v>
      </c>
      <c r="B32" s="163">
        <v>42278.528443912037</v>
      </c>
      <c r="C32" s="164" t="s">
        <v>293</v>
      </c>
      <c r="D32" s="164" t="s">
        <v>13</v>
      </c>
      <c r="E32" s="165">
        <v>100</v>
      </c>
      <c r="F32" s="166">
        <v>0</v>
      </c>
      <c r="G32" s="227">
        <f>IF($B$2,IF(ROWS(B$6:$B32) = 1,$B32-Start_Date,$B32-$B31),"")</f>
        <v>3.5367592572583817E-3</v>
      </c>
      <c r="H32" s="29">
        <f>IF($B$2,IF(ROWS(B$6:$B32) = 1,IF(COUNTIFS(R_Schedule_Times,"&lt;"&amp;B32),INDEX(R_Schedule_Amounts,MATCH(B32,R_Schedule_Times,1)),Starting_Cash),IF(COUNTIFS(R_Schedule_Times,"&gt;"&amp;B31,R_Schedule_Times,"&lt;"&amp;B32),INDEX(R_Schedule_Amounts,MATCH(B32,R_Schedule_Times,1)),K31)),"")</f>
        <v>12500</v>
      </c>
      <c r="I32" s="30">
        <f t="shared" si="0"/>
        <v>100</v>
      </c>
      <c r="J32" s="31">
        <f t="shared" si="1"/>
        <v>0</v>
      </c>
      <c r="K32" s="29">
        <f t="shared" si="2"/>
        <v>12400</v>
      </c>
      <c r="L32" s="31" t="str">
        <f t="shared" si="3"/>
        <v/>
      </c>
      <c r="M32" s="31" t="str">
        <f t="shared" si="4"/>
        <v/>
      </c>
    </row>
    <row r="33" spans="1:13" x14ac:dyDescent="0.15">
      <c r="A33" s="163" t="s">
        <v>210</v>
      </c>
      <c r="B33" s="163">
        <v>42278.53258835648</v>
      </c>
      <c r="C33" s="164" t="s">
        <v>583</v>
      </c>
      <c r="D33" s="164" t="s">
        <v>13</v>
      </c>
      <c r="E33" s="165">
        <v>40</v>
      </c>
      <c r="F33" s="166">
        <v>0</v>
      </c>
      <c r="G33" s="227">
        <f>IF($B$2,IF(ROWS(B$6:$B33) = 1,$B33-Start_Date,$B33-$B32),"")</f>
        <v>4.1444444432272576E-3</v>
      </c>
      <c r="H33" s="29">
        <f>IF($B$2,IF(ROWS(B$6:$B33) = 1,IF(COUNTIFS(R_Schedule_Times,"&lt;"&amp;B33),INDEX(R_Schedule_Amounts,MATCH(B33,R_Schedule_Times,1)),Starting_Cash),IF(COUNTIFS(R_Schedule_Times,"&gt;"&amp;B32,R_Schedule_Times,"&lt;"&amp;B33),INDEX(R_Schedule_Amounts,MATCH(B33,R_Schedule_Times,1)),K32)),"")</f>
        <v>12400</v>
      </c>
      <c r="I33" s="30">
        <f t="shared" si="0"/>
        <v>40</v>
      </c>
      <c r="J33" s="31">
        <f t="shared" si="1"/>
        <v>0</v>
      </c>
      <c r="K33" s="29">
        <f t="shared" si="2"/>
        <v>12360</v>
      </c>
      <c r="L33" s="31" t="str">
        <f t="shared" si="3"/>
        <v/>
      </c>
      <c r="M33" s="31" t="str">
        <f t="shared" si="4"/>
        <v/>
      </c>
    </row>
    <row r="34" spans="1:13" x14ac:dyDescent="0.15">
      <c r="A34" s="163" t="s">
        <v>210</v>
      </c>
      <c r="B34" s="163">
        <v>42278.561146979169</v>
      </c>
      <c r="C34" s="164" t="s">
        <v>584</v>
      </c>
      <c r="D34" s="164" t="s">
        <v>13</v>
      </c>
      <c r="E34" s="165">
        <v>60</v>
      </c>
      <c r="F34" s="166">
        <v>0</v>
      </c>
      <c r="G34" s="227">
        <f>IF($B$2,IF(ROWS(B$6:$B34) = 1,$B34-Start_Date,$B34-$B33),"")</f>
        <v>2.8558622689160984E-2</v>
      </c>
      <c r="H34" s="29">
        <f>IF($B$2,IF(ROWS(B$6:$B34) = 1,IF(COUNTIFS(R_Schedule_Times,"&lt;"&amp;B34),INDEX(R_Schedule_Amounts,MATCH(B34,R_Schedule_Times,1)),Starting_Cash),IF(COUNTIFS(R_Schedule_Times,"&gt;"&amp;B33,R_Schedule_Times,"&lt;"&amp;B34),INDEX(R_Schedule_Amounts,MATCH(B34,R_Schedule_Times,1)),K33)),"")</f>
        <v>12360</v>
      </c>
      <c r="I34" s="30">
        <f t="shared" si="0"/>
        <v>60</v>
      </c>
      <c r="J34" s="31">
        <f t="shared" si="1"/>
        <v>0</v>
      </c>
      <c r="K34" s="29">
        <f t="shared" si="2"/>
        <v>12300</v>
      </c>
      <c r="L34" s="31" t="str">
        <f t="shared" si="3"/>
        <v/>
      </c>
      <c r="M34" s="31" t="str">
        <f t="shared" si="4"/>
        <v/>
      </c>
    </row>
    <row r="35" spans="1:13" x14ac:dyDescent="0.15">
      <c r="A35" s="163" t="s">
        <v>210</v>
      </c>
      <c r="B35" s="163">
        <v>42278.562382766206</v>
      </c>
      <c r="C35" s="164" t="s">
        <v>585</v>
      </c>
      <c r="D35" s="164" t="s">
        <v>13</v>
      </c>
      <c r="E35" s="165">
        <v>160</v>
      </c>
      <c r="F35" s="166">
        <v>0</v>
      </c>
      <c r="G35" s="227">
        <f>IF($B$2,IF(ROWS(B$6:$B35) = 1,$B35-Start_Date,$B35-$B34),"")</f>
        <v>1.2357870364212431E-3</v>
      </c>
      <c r="H35" s="29">
        <f>IF($B$2,IF(ROWS(B$6:$B35) = 1,IF(COUNTIFS(R_Schedule_Times,"&lt;"&amp;B35),INDEX(R_Schedule_Amounts,MATCH(B35,R_Schedule_Times,1)),Starting_Cash),IF(COUNTIFS(R_Schedule_Times,"&gt;"&amp;B34,R_Schedule_Times,"&lt;"&amp;B35),INDEX(R_Schedule_Amounts,MATCH(B35,R_Schedule_Times,1)),K34)),"")</f>
        <v>12300</v>
      </c>
      <c r="I35" s="30">
        <f t="shared" si="0"/>
        <v>160</v>
      </c>
      <c r="J35" s="31">
        <f t="shared" si="1"/>
        <v>0</v>
      </c>
      <c r="K35" s="29">
        <f t="shared" si="2"/>
        <v>12140</v>
      </c>
      <c r="L35" s="31" t="str">
        <f t="shared" si="3"/>
        <v/>
      </c>
      <c r="M35" s="31" t="str">
        <f t="shared" si="4"/>
        <v/>
      </c>
    </row>
    <row r="36" spans="1:13" x14ac:dyDescent="0.15">
      <c r="A36" s="163" t="s">
        <v>210</v>
      </c>
      <c r="B36" s="163">
        <v>42278.572740821757</v>
      </c>
      <c r="C36" s="164" t="s">
        <v>586</v>
      </c>
      <c r="D36" s="164" t="s">
        <v>13</v>
      </c>
      <c r="E36" s="165">
        <v>20</v>
      </c>
      <c r="F36" s="166">
        <v>0</v>
      </c>
      <c r="G36" s="227">
        <f>IF($B$2,IF(ROWS(B$6:$B36) = 1,$B36-Start_Date,$B36-$B35),"")</f>
        <v>1.0358055551478174E-2</v>
      </c>
      <c r="H36" s="29">
        <f>IF($B$2,IF(ROWS(B$6:$B36) = 1,IF(COUNTIFS(R_Schedule_Times,"&lt;"&amp;B36),INDEX(R_Schedule_Amounts,MATCH(B36,R_Schedule_Times,1)),Starting_Cash),IF(COUNTIFS(R_Schedule_Times,"&gt;"&amp;B35,R_Schedule_Times,"&lt;"&amp;B36),INDEX(R_Schedule_Amounts,MATCH(B36,R_Schedule_Times,1)),K35)),"")</f>
        <v>12140</v>
      </c>
      <c r="I36" s="30">
        <f t="shared" si="0"/>
        <v>20</v>
      </c>
      <c r="J36" s="31">
        <f t="shared" si="1"/>
        <v>0</v>
      </c>
      <c r="K36" s="29">
        <f t="shared" si="2"/>
        <v>12120</v>
      </c>
      <c r="L36" s="31" t="str">
        <f t="shared" si="3"/>
        <v/>
      </c>
      <c r="M36" s="31" t="str">
        <f t="shared" si="4"/>
        <v/>
      </c>
    </row>
    <row r="37" spans="1:13" x14ac:dyDescent="0.15">
      <c r="A37" s="163" t="s">
        <v>210</v>
      </c>
      <c r="B37" s="163">
        <v>42278.58698068287</v>
      </c>
      <c r="C37" s="164" t="s">
        <v>587</v>
      </c>
      <c r="D37" s="164" t="s">
        <v>13</v>
      </c>
      <c r="E37" s="165">
        <v>100</v>
      </c>
      <c r="F37" s="166">
        <v>0</v>
      </c>
      <c r="G37" s="227">
        <f>IF($B$2,IF(ROWS(B$6:$B37) = 1,$B37-Start_Date,$B37-$B36),"")</f>
        <v>1.4239861113310326E-2</v>
      </c>
      <c r="H37" s="29">
        <f>IF($B$2,IF(ROWS(B$6:$B37) = 1,IF(COUNTIFS(R_Schedule_Times,"&lt;"&amp;B37),INDEX(R_Schedule_Amounts,MATCH(B37,R_Schedule_Times,1)),Starting_Cash),IF(COUNTIFS(R_Schedule_Times,"&gt;"&amp;B36,R_Schedule_Times,"&lt;"&amp;B37),INDEX(R_Schedule_Amounts,MATCH(B37,R_Schedule_Times,1)),K36)),"")</f>
        <v>12120</v>
      </c>
      <c r="I37" s="30">
        <f t="shared" si="0"/>
        <v>100</v>
      </c>
      <c r="J37" s="31">
        <f t="shared" si="1"/>
        <v>0</v>
      </c>
      <c r="K37" s="29">
        <f t="shared" si="2"/>
        <v>12020</v>
      </c>
      <c r="L37" s="31" t="str">
        <f t="shared" si="3"/>
        <v/>
      </c>
      <c r="M37" s="31" t="str">
        <f t="shared" si="4"/>
        <v/>
      </c>
    </row>
    <row r="38" spans="1:13" x14ac:dyDescent="0.15">
      <c r="A38" s="163" t="s">
        <v>210</v>
      </c>
      <c r="B38" s="163">
        <v>42278.595113564814</v>
      </c>
      <c r="C38" s="164" t="s">
        <v>588</v>
      </c>
      <c r="D38" s="164" t="s">
        <v>13</v>
      </c>
      <c r="E38" s="165">
        <v>40</v>
      </c>
      <c r="F38" s="166">
        <v>0</v>
      </c>
      <c r="G38" s="227">
        <f>IF($B$2,IF(ROWS(B$6:$B38) = 1,$B38-Start_Date,$B38-$B37),"")</f>
        <v>8.1328819433110766E-3</v>
      </c>
      <c r="H38" s="29">
        <f>IF($B$2,IF(ROWS(B$6:$B38) = 1,IF(COUNTIFS(R_Schedule_Times,"&lt;"&amp;B38),INDEX(R_Schedule_Amounts,MATCH(B38,R_Schedule_Times,1)),Starting_Cash),IF(COUNTIFS(R_Schedule_Times,"&gt;"&amp;B37,R_Schedule_Times,"&lt;"&amp;B38),INDEX(R_Schedule_Amounts,MATCH(B38,R_Schedule_Times,1)),K37)),"")</f>
        <v>12020</v>
      </c>
      <c r="I38" s="30">
        <f t="shared" si="0"/>
        <v>40</v>
      </c>
      <c r="J38" s="31">
        <f t="shared" si="1"/>
        <v>0</v>
      </c>
      <c r="K38" s="29">
        <f t="shared" si="2"/>
        <v>11980</v>
      </c>
      <c r="L38" s="31" t="str">
        <f t="shared" si="3"/>
        <v/>
      </c>
      <c r="M38" s="31" t="str">
        <f t="shared" si="4"/>
        <v/>
      </c>
    </row>
    <row r="39" spans="1:13" x14ac:dyDescent="0.15">
      <c r="A39" s="163" t="s">
        <v>210</v>
      </c>
      <c r="B39" s="163">
        <v>42278.614921712964</v>
      </c>
      <c r="C39" s="164" t="s">
        <v>589</v>
      </c>
      <c r="D39" s="164" t="s">
        <v>13</v>
      </c>
      <c r="E39" s="165">
        <v>60</v>
      </c>
      <c r="F39" s="166">
        <v>0</v>
      </c>
      <c r="G39" s="227">
        <f>IF($B$2,IF(ROWS(B$6:$B39) = 1,$B39-Start_Date,$B39-$B38),"")</f>
        <v>1.9808148150332272E-2</v>
      </c>
      <c r="H39" s="29">
        <f>IF($B$2,IF(ROWS(B$6:$B39) = 1,IF(COUNTIFS(R_Schedule_Times,"&lt;"&amp;B39),INDEX(R_Schedule_Amounts,MATCH(B39,R_Schedule_Times,1)),Starting_Cash),IF(COUNTIFS(R_Schedule_Times,"&gt;"&amp;B38,R_Schedule_Times,"&lt;"&amp;B39),INDEX(R_Schedule_Amounts,MATCH(B39,R_Schedule_Times,1)),K38)),"")</f>
        <v>11980</v>
      </c>
      <c r="I39" s="30">
        <f t="shared" si="0"/>
        <v>60</v>
      </c>
      <c r="J39" s="31">
        <f t="shared" si="1"/>
        <v>0</v>
      </c>
      <c r="K39" s="29">
        <f t="shared" si="2"/>
        <v>11920</v>
      </c>
      <c r="L39" s="31" t="str">
        <f t="shared" si="3"/>
        <v/>
      </c>
      <c r="M39" s="31" t="str">
        <f t="shared" si="4"/>
        <v/>
      </c>
    </row>
    <row r="40" spans="1:13" x14ac:dyDescent="0.15">
      <c r="A40" s="163" t="s">
        <v>210</v>
      </c>
      <c r="B40" s="163">
        <v>42278.618507800929</v>
      </c>
      <c r="C40" s="164" t="s">
        <v>590</v>
      </c>
      <c r="D40" s="164" t="s">
        <v>13</v>
      </c>
      <c r="E40" s="165">
        <v>200</v>
      </c>
      <c r="F40" s="166">
        <v>0</v>
      </c>
      <c r="G40" s="227">
        <f>IF($B$2,IF(ROWS(B$6:$B40) = 1,$B40-Start_Date,$B40-$B39),"")</f>
        <v>3.5860879652318545E-3</v>
      </c>
      <c r="H40" s="29">
        <f>IF($B$2,IF(ROWS(B$6:$B40) = 1,IF(COUNTIFS(R_Schedule_Times,"&lt;"&amp;B40),INDEX(R_Schedule_Amounts,MATCH(B40,R_Schedule_Times,1)),Starting_Cash),IF(COUNTIFS(R_Schedule_Times,"&gt;"&amp;B39,R_Schedule_Times,"&lt;"&amp;B40),INDEX(R_Schedule_Amounts,MATCH(B40,R_Schedule_Times,1)),K39)),"")</f>
        <v>11920</v>
      </c>
      <c r="I40" s="30">
        <f t="shared" si="0"/>
        <v>200</v>
      </c>
      <c r="J40" s="31">
        <f t="shared" si="1"/>
        <v>0</v>
      </c>
      <c r="K40" s="29">
        <f t="shared" si="2"/>
        <v>11720</v>
      </c>
      <c r="L40" s="31" t="str">
        <f t="shared" si="3"/>
        <v/>
      </c>
      <c r="M40" s="31" t="str">
        <f t="shared" si="4"/>
        <v/>
      </c>
    </row>
    <row r="41" spans="1:13" x14ac:dyDescent="0.15">
      <c r="A41" s="163" t="s">
        <v>210</v>
      </c>
      <c r="B41" s="163">
        <v>42278.645689895835</v>
      </c>
      <c r="C41" s="164" t="s">
        <v>591</v>
      </c>
      <c r="D41" s="164" t="s">
        <v>13</v>
      </c>
      <c r="E41" s="165">
        <v>20</v>
      </c>
      <c r="F41" s="166">
        <v>0</v>
      </c>
      <c r="G41" s="227">
        <f>IF($B$2,IF(ROWS(B$6:$B41) = 1,$B41-Start_Date,$B41-$B40),"")</f>
        <v>2.7182094905583654E-2</v>
      </c>
      <c r="H41" s="29">
        <f>IF($B$2,IF(ROWS(B$6:$B41) = 1,IF(COUNTIFS(R_Schedule_Times,"&lt;"&amp;B41),INDEX(R_Schedule_Amounts,MATCH(B41,R_Schedule_Times,1)),Starting_Cash),IF(COUNTIFS(R_Schedule_Times,"&gt;"&amp;B40,R_Schedule_Times,"&lt;"&amp;B41),INDEX(R_Schedule_Amounts,MATCH(B41,R_Schedule_Times,1)),K40)),"")</f>
        <v>11720</v>
      </c>
      <c r="I41" s="30">
        <f t="shared" si="0"/>
        <v>20</v>
      </c>
      <c r="J41" s="31">
        <f t="shared" si="1"/>
        <v>0</v>
      </c>
      <c r="K41" s="29">
        <f t="shared" si="2"/>
        <v>11700</v>
      </c>
      <c r="L41" s="31" t="str">
        <f t="shared" si="3"/>
        <v/>
      </c>
      <c r="M41" s="31" t="str">
        <f t="shared" si="4"/>
        <v/>
      </c>
    </row>
    <row r="42" spans="1:13" x14ac:dyDescent="0.15">
      <c r="A42" s="163" t="s">
        <v>210</v>
      </c>
      <c r="B42" s="163">
        <v>42278.652910752317</v>
      </c>
      <c r="C42" s="164" t="s">
        <v>592</v>
      </c>
      <c r="D42" s="164" t="s">
        <v>13</v>
      </c>
      <c r="E42" s="165">
        <v>100</v>
      </c>
      <c r="F42" s="166">
        <v>0</v>
      </c>
      <c r="G42" s="227">
        <f>IF($B$2,IF(ROWS(B$6:$B42) = 1,$B42-Start_Date,$B42-$B41),"")</f>
        <v>7.220856481580995E-3</v>
      </c>
      <c r="H42" s="29">
        <f>IF($B$2,IF(ROWS(B$6:$B42) = 1,IF(COUNTIFS(R_Schedule_Times,"&lt;"&amp;B42),INDEX(R_Schedule_Amounts,MATCH(B42,R_Schedule_Times,1)),Starting_Cash),IF(COUNTIFS(R_Schedule_Times,"&gt;"&amp;B41,R_Schedule_Times,"&lt;"&amp;B42),INDEX(R_Schedule_Amounts,MATCH(B42,R_Schedule_Times,1)),K41)),"")</f>
        <v>11700</v>
      </c>
      <c r="I42" s="30">
        <f t="shared" si="0"/>
        <v>100</v>
      </c>
      <c r="J42" s="31">
        <f t="shared" si="1"/>
        <v>0</v>
      </c>
      <c r="K42" s="29">
        <f t="shared" si="2"/>
        <v>11600</v>
      </c>
      <c r="L42" s="31" t="str">
        <f t="shared" si="3"/>
        <v/>
      </c>
      <c r="M42" s="31" t="str">
        <f t="shared" si="4"/>
        <v/>
      </c>
    </row>
    <row r="43" spans="1:13" x14ac:dyDescent="0.15">
      <c r="A43" s="163" t="s">
        <v>210</v>
      </c>
      <c r="B43" s="163">
        <v>42278.656697743056</v>
      </c>
      <c r="C43" s="164" t="s">
        <v>593</v>
      </c>
      <c r="D43" s="164" t="s">
        <v>13</v>
      </c>
      <c r="E43" s="165">
        <v>100</v>
      </c>
      <c r="F43" s="166">
        <v>0</v>
      </c>
      <c r="G43" s="227">
        <f>IF($B$2,IF(ROWS(B$6:$B43) = 1,$B43-Start_Date,$B43-$B42),"")</f>
        <v>3.7869907391723245E-3</v>
      </c>
      <c r="H43" s="29">
        <f>IF($B$2,IF(ROWS(B$6:$B43) = 1,IF(COUNTIFS(R_Schedule_Times,"&lt;"&amp;B43),INDEX(R_Schedule_Amounts,MATCH(B43,R_Schedule_Times,1)),Starting_Cash),IF(COUNTIFS(R_Schedule_Times,"&gt;"&amp;B42,R_Schedule_Times,"&lt;"&amp;B43),INDEX(R_Schedule_Amounts,MATCH(B43,R_Schedule_Times,1)),K42)),"")</f>
        <v>11600</v>
      </c>
      <c r="I43" s="30">
        <f t="shared" si="0"/>
        <v>100</v>
      </c>
      <c r="J43" s="31">
        <f t="shared" si="1"/>
        <v>0</v>
      </c>
      <c r="K43" s="29">
        <f t="shared" si="2"/>
        <v>11500</v>
      </c>
      <c r="L43" s="31" t="str">
        <f t="shared" si="3"/>
        <v/>
      </c>
      <c r="M43" s="31" t="str">
        <f t="shared" si="4"/>
        <v/>
      </c>
    </row>
    <row r="44" spans="1:13" x14ac:dyDescent="0.15">
      <c r="A44" s="163" t="s">
        <v>210</v>
      </c>
      <c r="B44" s="163">
        <v>42278.657740868053</v>
      </c>
      <c r="C44" s="164" t="s">
        <v>14</v>
      </c>
      <c r="D44" s="164" t="s">
        <v>13</v>
      </c>
      <c r="E44" s="165">
        <v>100</v>
      </c>
      <c r="F44" s="166">
        <v>3.5</v>
      </c>
      <c r="G44" s="227">
        <f>IF($B$2,IF(ROWS(B$6:$B44) = 1,$B44-Start_Date,$B44-$B43),"")</f>
        <v>1.043124997522682E-3</v>
      </c>
      <c r="H44" s="29">
        <f>IF($B$2,IF(ROWS(B$6:$B44) = 1,IF(COUNTIFS(R_Schedule_Times,"&lt;"&amp;B44),INDEX(R_Schedule_Amounts,MATCH(B44,R_Schedule_Times,1)),Starting_Cash),IF(COUNTIFS(R_Schedule_Times,"&gt;"&amp;B43,R_Schedule_Times,"&lt;"&amp;B44),INDEX(R_Schedule_Amounts,MATCH(B44,R_Schedule_Times,1)),K43)),"")</f>
        <v>11500</v>
      </c>
      <c r="I44" s="30">
        <f t="shared" si="0"/>
        <v>100</v>
      </c>
      <c r="J44" s="31">
        <f t="shared" si="1"/>
        <v>3.5</v>
      </c>
      <c r="K44" s="29">
        <f t="shared" si="2"/>
        <v>11400</v>
      </c>
      <c r="L44" s="31" t="str">
        <f t="shared" si="3"/>
        <v/>
      </c>
      <c r="M44" s="31" t="str">
        <f t="shared" si="4"/>
        <v/>
      </c>
    </row>
    <row r="45" spans="1:13" x14ac:dyDescent="0.15">
      <c r="A45" s="163" t="s">
        <v>210</v>
      </c>
      <c r="B45" s="163">
        <v>42278.673627905089</v>
      </c>
      <c r="C45" s="164" t="s">
        <v>594</v>
      </c>
      <c r="D45" s="164" t="s">
        <v>13</v>
      </c>
      <c r="E45" s="165">
        <v>100</v>
      </c>
      <c r="F45" s="166">
        <v>0</v>
      </c>
      <c r="G45" s="227">
        <f>IF($B$2,IF(ROWS(B$6:$B45) = 1,$B45-Start_Date,$B45-$B44),"")</f>
        <v>1.5887037036009133E-2</v>
      </c>
      <c r="H45" s="29">
        <f>IF($B$2,IF(ROWS(B$6:$B45) = 1,IF(COUNTIFS(R_Schedule_Times,"&lt;"&amp;B45),INDEX(R_Schedule_Amounts,MATCH(B45,R_Schedule_Times,1)),Starting_Cash),IF(COUNTIFS(R_Schedule_Times,"&gt;"&amp;B44,R_Schedule_Times,"&lt;"&amp;B45),INDEX(R_Schedule_Amounts,MATCH(B45,R_Schedule_Times,1)),K44)),"")</f>
        <v>11400</v>
      </c>
      <c r="I45" s="30">
        <f t="shared" si="0"/>
        <v>100</v>
      </c>
      <c r="J45" s="31">
        <f t="shared" si="1"/>
        <v>0</v>
      </c>
      <c r="K45" s="29">
        <f t="shared" si="2"/>
        <v>11300</v>
      </c>
      <c r="L45" s="31" t="str">
        <f t="shared" si="3"/>
        <v/>
      </c>
      <c r="M45" s="31" t="str">
        <f t="shared" si="4"/>
        <v/>
      </c>
    </row>
    <row r="46" spans="1:13" x14ac:dyDescent="0.15">
      <c r="A46" s="163" t="s">
        <v>210</v>
      </c>
      <c r="B46" s="163">
        <v>42278.714144675927</v>
      </c>
      <c r="C46" s="164" t="s">
        <v>294</v>
      </c>
      <c r="D46" s="164" t="s">
        <v>13</v>
      </c>
      <c r="E46" s="165">
        <v>100</v>
      </c>
      <c r="F46" s="166">
        <v>0</v>
      </c>
      <c r="G46" s="227">
        <f>IF($B$2,IF(ROWS(B$6:$B46) = 1,$B46-Start_Date,$B46-$B45),"")</f>
        <v>4.0516770837712102E-2</v>
      </c>
      <c r="H46" s="29">
        <f>IF($B$2,IF(ROWS(B$6:$B46) = 1,IF(COUNTIFS(R_Schedule_Times,"&lt;"&amp;B46),INDEX(R_Schedule_Amounts,MATCH(B46,R_Schedule_Times,1)),Starting_Cash),IF(COUNTIFS(R_Schedule_Times,"&gt;"&amp;B45,R_Schedule_Times,"&lt;"&amp;B46),INDEX(R_Schedule_Amounts,MATCH(B46,R_Schedule_Times,1)),K45)),"")</f>
        <v>11300</v>
      </c>
      <c r="I46" s="30">
        <f t="shared" si="0"/>
        <v>100</v>
      </c>
      <c r="J46" s="31">
        <f t="shared" si="1"/>
        <v>0</v>
      </c>
      <c r="K46" s="29">
        <f t="shared" si="2"/>
        <v>11200</v>
      </c>
      <c r="L46" s="31" t="str">
        <f t="shared" si="3"/>
        <v/>
      </c>
      <c r="M46" s="31" t="str">
        <f t="shared" si="4"/>
        <v/>
      </c>
    </row>
    <row r="47" spans="1:13" x14ac:dyDescent="0.15">
      <c r="A47" s="163" t="s">
        <v>210</v>
      </c>
      <c r="B47" s="163">
        <v>42278.731947060187</v>
      </c>
      <c r="C47" s="164" t="s">
        <v>595</v>
      </c>
      <c r="D47" s="164" t="s">
        <v>13</v>
      </c>
      <c r="E47" s="165">
        <v>40</v>
      </c>
      <c r="F47" s="166">
        <v>0</v>
      </c>
      <c r="G47" s="227">
        <f>IF($B$2,IF(ROWS(B$6:$B47) = 1,$B47-Start_Date,$B47-$B46),"")</f>
        <v>1.7802384259994142E-2</v>
      </c>
      <c r="H47" s="29">
        <f>IF($B$2,IF(ROWS(B$6:$B47) = 1,IF(COUNTIFS(R_Schedule_Times,"&lt;"&amp;B47),INDEX(R_Schedule_Amounts,MATCH(B47,R_Schedule_Times,1)),Starting_Cash),IF(COUNTIFS(R_Schedule_Times,"&gt;"&amp;B46,R_Schedule_Times,"&lt;"&amp;B47),INDEX(R_Schedule_Amounts,MATCH(B47,R_Schedule_Times,1)),K46)),"")</f>
        <v>11200</v>
      </c>
      <c r="I47" s="30">
        <f t="shared" si="0"/>
        <v>40</v>
      </c>
      <c r="J47" s="31">
        <f t="shared" si="1"/>
        <v>0</v>
      </c>
      <c r="K47" s="29">
        <f t="shared" si="2"/>
        <v>11160</v>
      </c>
      <c r="L47" s="31" t="str">
        <f t="shared" si="3"/>
        <v/>
      </c>
      <c r="M47" s="31" t="str">
        <f t="shared" si="4"/>
        <v/>
      </c>
    </row>
    <row r="48" spans="1:13" x14ac:dyDescent="0.15">
      <c r="A48" s="163" t="s">
        <v>210</v>
      </c>
      <c r="B48" s="163">
        <v>42278.753424976851</v>
      </c>
      <c r="C48" s="164" t="s">
        <v>14</v>
      </c>
      <c r="D48" s="164" t="s">
        <v>13</v>
      </c>
      <c r="E48" s="165">
        <v>160</v>
      </c>
      <c r="F48" s="166">
        <v>3.5</v>
      </c>
      <c r="G48" s="227">
        <f>IF($B$2,IF(ROWS(B$6:$B48) = 1,$B48-Start_Date,$B48-$B47),"")</f>
        <v>2.1477916663570795E-2</v>
      </c>
      <c r="H48" s="29">
        <f>IF($B$2,IF(ROWS(B$6:$B48) = 1,IF(COUNTIFS(R_Schedule_Times,"&lt;"&amp;B48),INDEX(R_Schedule_Amounts,MATCH(B48,R_Schedule_Times,1)),Starting_Cash),IF(COUNTIFS(R_Schedule_Times,"&gt;"&amp;B47,R_Schedule_Times,"&lt;"&amp;B48),INDEX(R_Schedule_Amounts,MATCH(B48,R_Schedule_Times,1)),K47)),"")</f>
        <v>11160</v>
      </c>
      <c r="I48" s="30">
        <f t="shared" si="0"/>
        <v>160</v>
      </c>
      <c r="J48" s="31">
        <f t="shared" si="1"/>
        <v>3.5</v>
      </c>
      <c r="K48" s="29">
        <f t="shared" si="2"/>
        <v>11000</v>
      </c>
      <c r="L48" s="31" t="str">
        <f t="shared" si="3"/>
        <v/>
      </c>
      <c r="M48" s="31" t="str">
        <f t="shared" si="4"/>
        <v/>
      </c>
    </row>
    <row r="49" spans="1:13" x14ac:dyDescent="0.15">
      <c r="A49" s="163" t="s">
        <v>210</v>
      </c>
      <c r="B49" s="163">
        <v>42278.778473009261</v>
      </c>
      <c r="C49" s="164" t="s">
        <v>596</v>
      </c>
      <c r="D49" s="164" t="s">
        <v>13</v>
      </c>
      <c r="E49" s="165">
        <v>40</v>
      </c>
      <c r="F49" s="166">
        <v>0</v>
      </c>
      <c r="G49" s="227">
        <f>IF($B$2,IF(ROWS(B$6:$B49) = 1,$B49-Start_Date,$B49-$B48),"")</f>
        <v>2.5048032410268206E-2</v>
      </c>
      <c r="H49" s="29">
        <f>IF($B$2,IF(ROWS(B$6:$B49) = 1,IF(COUNTIFS(R_Schedule_Times,"&lt;"&amp;B49),INDEX(R_Schedule_Amounts,MATCH(B49,R_Schedule_Times,1)),Starting_Cash),IF(COUNTIFS(R_Schedule_Times,"&gt;"&amp;B48,R_Schedule_Times,"&lt;"&amp;B49),INDEX(R_Schedule_Amounts,MATCH(B49,R_Schedule_Times,1)),K48)),"")</f>
        <v>11000</v>
      </c>
      <c r="I49" s="30">
        <f t="shared" si="0"/>
        <v>40</v>
      </c>
      <c r="J49" s="31">
        <f t="shared" si="1"/>
        <v>0</v>
      </c>
      <c r="K49" s="29">
        <f t="shared" si="2"/>
        <v>10960</v>
      </c>
      <c r="L49" s="31" t="str">
        <f t="shared" si="3"/>
        <v/>
      </c>
      <c r="M49" s="31" t="str">
        <f t="shared" si="4"/>
        <v/>
      </c>
    </row>
    <row r="50" spans="1:13" x14ac:dyDescent="0.15">
      <c r="A50" s="163" t="s">
        <v>210</v>
      </c>
      <c r="B50" s="163">
        <v>42278.782484074072</v>
      </c>
      <c r="C50" s="164" t="s">
        <v>295</v>
      </c>
      <c r="D50" s="164" t="s">
        <v>13</v>
      </c>
      <c r="E50" s="165">
        <v>80</v>
      </c>
      <c r="F50" s="166">
        <v>0</v>
      </c>
      <c r="G50" s="227">
        <f>IF($B$2,IF(ROWS(B$6:$B50) = 1,$B50-Start_Date,$B50-$B49),"")</f>
        <v>4.0110648114932701E-3</v>
      </c>
      <c r="H50" s="29">
        <f>IF($B$2,IF(ROWS(B$6:$B50) = 1,IF(COUNTIFS(R_Schedule_Times,"&lt;"&amp;B50),INDEX(R_Schedule_Amounts,MATCH(B50,R_Schedule_Times,1)),Starting_Cash),IF(COUNTIFS(R_Schedule_Times,"&gt;"&amp;B49,R_Schedule_Times,"&lt;"&amp;B50),INDEX(R_Schedule_Amounts,MATCH(B50,R_Schedule_Times,1)),K49)),"")</f>
        <v>10960</v>
      </c>
      <c r="I50" s="30">
        <f t="shared" si="0"/>
        <v>80</v>
      </c>
      <c r="J50" s="31">
        <f t="shared" si="1"/>
        <v>0</v>
      </c>
      <c r="K50" s="29">
        <f t="shared" si="2"/>
        <v>10880</v>
      </c>
      <c r="L50" s="31" t="str">
        <f t="shared" si="3"/>
        <v/>
      </c>
      <c r="M50" s="31" t="str">
        <f t="shared" si="4"/>
        <v/>
      </c>
    </row>
    <row r="51" spans="1:13" x14ac:dyDescent="0.15">
      <c r="A51" s="163" t="s">
        <v>210</v>
      </c>
      <c r="B51" s="163">
        <v>42278.788205150464</v>
      </c>
      <c r="C51" s="164" t="s">
        <v>597</v>
      </c>
      <c r="D51" s="164" t="s">
        <v>13</v>
      </c>
      <c r="E51" s="165">
        <v>40</v>
      </c>
      <c r="F51" s="166">
        <v>0</v>
      </c>
      <c r="G51" s="227">
        <f>IF($B$2,IF(ROWS(B$6:$B51) = 1,$B51-Start_Date,$B51-$B50),"")</f>
        <v>5.7210763916373253E-3</v>
      </c>
      <c r="H51" s="29">
        <f>IF($B$2,IF(ROWS(B$6:$B51) = 1,IF(COUNTIFS(R_Schedule_Times,"&lt;"&amp;B51),INDEX(R_Schedule_Amounts,MATCH(B51,R_Schedule_Times,1)),Starting_Cash),IF(COUNTIFS(R_Schedule_Times,"&gt;"&amp;B50,R_Schedule_Times,"&lt;"&amp;B51),INDEX(R_Schedule_Amounts,MATCH(B51,R_Schedule_Times,1)),K50)),"")</f>
        <v>10880</v>
      </c>
      <c r="I51" s="30">
        <f t="shared" si="0"/>
        <v>40</v>
      </c>
      <c r="J51" s="31">
        <f t="shared" si="1"/>
        <v>0</v>
      </c>
      <c r="K51" s="29">
        <f t="shared" si="2"/>
        <v>10840</v>
      </c>
      <c r="L51" s="31" t="str">
        <f t="shared" si="3"/>
        <v/>
      </c>
      <c r="M51" s="31" t="str">
        <f t="shared" si="4"/>
        <v/>
      </c>
    </row>
    <row r="52" spans="1:13" x14ac:dyDescent="0.15">
      <c r="A52" s="163" t="s">
        <v>210</v>
      </c>
      <c r="B52" s="163">
        <v>42278.789010370368</v>
      </c>
      <c r="C52" s="164" t="s">
        <v>598</v>
      </c>
      <c r="D52" s="164" t="s">
        <v>13</v>
      </c>
      <c r="E52" s="165">
        <v>100</v>
      </c>
      <c r="F52" s="166">
        <v>0</v>
      </c>
      <c r="G52" s="227">
        <f>IF($B$2,IF(ROWS(B$6:$B52) = 1,$B52-Start_Date,$B52-$B51),"")</f>
        <v>8.0521990457782522E-4</v>
      </c>
      <c r="H52" s="29">
        <f>IF($B$2,IF(ROWS(B$6:$B52) = 1,IF(COUNTIFS(R_Schedule_Times,"&lt;"&amp;B52),INDEX(R_Schedule_Amounts,MATCH(B52,R_Schedule_Times,1)),Starting_Cash),IF(COUNTIFS(R_Schedule_Times,"&gt;"&amp;B51,R_Schedule_Times,"&lt;"&amp;B52),INDEX(R_Schedule_Amounts,MATCH(B52,R_Schedule_Times,1)),K51)),"")</f>
        <v>10840</v>
      </c>
      <c r="I52" s="30">
        <f t="shared" si="0"/>
        <v>100</v>
      </c>
      <c r="J52" s="31">
        <f t="shared" si="1"/>
        <v>0</v>
      </c>
      <c r="K52" s="29">
        <f t="shared" si="2"/>
        <v>10740</v>
      </c>
      <c r="L52" s="31" t="str">
        <f t="shared" si="3"/>
        <v/>
      </c>
      <c r="M52" s="31" t="str">
        <f t="shared" si="4"/>
        <v/>
      </c>
    </row>
    <row r="53" spans="1:13" x14ac:dyDescent="0.15">
      <c r="A53" s="163" t="s">
        <v>210</v>
      </c>
      <c r="B53" s="163">
        <v>42278.808903599536</v>
      </c>
      <c r="C53" s="164" t="s">
        <v>599</v>
      </c>
      <c r="D53" s="164" t="s">
        <v>13</v>
      </c>
      <c r="E53" s="165">
        <v>100</v>
      </c>
      <c r="F53" s="166">
        <v>0</v>
      </c>
      <c r="G53" s="227">
        <f>IF($B$2,IF(ROWS(B$6:$B53) = 1,$B53-Start_Date,$B53-$B52),"")</f>
        <v>1.9893229167792015E-2</v>
      </c>
      <c r="H53" s="29">
        <f>IF($B$2,IF(ROWS(B$6:$B53) = 1,IF(COUNTIFS(R_Schedule_Times,"&lt;"&amp;B53),INDEX(R_Schedule_Amounts,MATCH(B53,R_Schedule_Times,1)),Starting_Cash),IF(COUNTIFS(R_Schedule_Times,"&gt;"&amp;B52,R_Schedule_Times,"&lt;"&amp;B53),INDEX(R_Schedule_Amounts,MATCH(B53,R_Schedule_Times,1)),K52)),"")</f>
        <v>10740</v>
      </c>
      <c r="I53" s="30">
        <f t="shared" si="0"/>
        <v>100</v>
      </c>
      <c r="J53" s="31">
        <f t="shared" si="1"/>
        <v>0</v>
      </c>
      <c r="K53" s="29">
        <f t="shared" si="2"/>
        <v>10640</v>
      </c>
      <c r="L53" s="31" t="str">
        <f t="shared" si="3"/>
        <v/>
      </c>
      <c r="M53" s="31" t="str">
        <f t="shared" si="4"/>
        <v/>
      </c>
    </row>
    <row r="54" spans="1:13" x14ac:dyDescent="0.15">
      <c r="A54" s="163" t="s">
        <v>210</v>
      </c>
      <c r="B54" s="163">
        <v>42278.834298229165</v>
      </c>
      <c r="C54" s="164" t="s">
        <v>267</v>
      </c>
      <c r="D54" s="164" t="s">
        <v>13</v>
      </c>
      <c r="E54" s="165">
        <v>40</v>
      </c>
      <c r="F54" s="166">
        <v>0</v>
      </c>
      <c r="G54" s="227">
        <f>IF($B$2,IF(ROWS(B$6:$B54) = 1,$B54-Start_Date,$B54-$B53),"")</f>
        <v>2.5394629628863186E-2</v>
      </c>
      <c r="H54" s="29">
        <f>IF($B$2,IF(ROWS(B$6:$B54) = 1,IF(COUNTIFS(R_Schedule_Times,"&lt;"&amp;B54),INDEX(R_Schedule_Amounts,MATCH(B54,R_Schedule_Times,1)),Starting_Cash),IF(COUNTIFS(R_Schedule_Times,"&gt;"&amp;B53,R_Schedule_Times,"&lt;"&amp;B54),INDEX(R_Schedule_Amounts,MATCH(B54,R_Schedule_Times,1)),K53)),"")</f>
        <v>10640</v>
      </c>
      <c r="I54" s="30">
        <f t="shared" si="0"/>
        <v>40</v>
      </c>
      <c r="J54" s="31">
        <f t="shared" si="1"/>
        <v>0</v>
      </c>
      <c r="K54" s="29">
        <f t="shared" si="2"/>
        <v>10600</v>
      </c>
      <c r="L54" s="31" t="str">
        <f t="shared" si="3"/>
        <v/>
      </c>
      <c r="M54" s="31" t="str">
        <f t="shared" si="4"/>
        <v/>
      </c>
    </row>
    <row r="55" spans="1:13" x14ac:dyDescent="0.15">
      <c r="A55" s="163" t="s">
        <v>210</v>
      </c>
      <c r="B55" s="163">
        <v>42278.852059826386</v>
      </c>
      <c r="C55" s="164" t="s">
        <v>600</v>
      </c>
      <c r="D55" s="164" t="s">
        <v>13</v>
      </c>
      <c r="E55" s="165">
        <v>40</v>
      </c>
      <c r="F55" s="166">
        <v>0</v>
      </c>
      <c r="G55" s="227">
        <f>IF($B$2,IF(ROWS(B$6:$B55) = 1,$B55-Start_Date,$B55-$B54),"")</f>
        <v>1.7761597220669501E-2</v>
      </c>
      <c r="H55" s="29">
        <f>IF($B$2,IF(ROWS(B$6:$B55) = 1,IF(COUNTIFS(R_Schedule_Times,"&lt;"&amp;B55),INDEX(R_Schedule_Amounts,MATCH(B55,R_Schedule_Times,1)),Starting_Cash),IF(COUNTIFS(R_Schedule_Times,"&gt;"&amp;B54,R_Schedule_Times,"&lt;"&amp;B55),INDEX(R_Schedule_Amounts,MATCH(B55,R_Schedule_Times,1)),K54)),"")</f>
        <v>10600</v>
      </c>
      <c r="I55" s="30">
        <f t="shared" si="0"/>
        <v>40</v>
      </c>
      <c r="J55" s="31">
        <f t="shared" si="1"/>
        <v>0</v>
      </c>
      <c r="K55" s="29">
        <f t="shared" si="2"/>
        <v>10560</v>
      </c>
      <c r="L55" s="31" t="str">
        <f t="shared" si="3"/>
        <v/>
      </c>
      <c r="M55" s="31" t="str">
        <f t="shared" si="4"/>
        <v/>
      </c>
    </row>
    <row r="56" spans="1:13" x14ac:dyDescent="0.15">
      <c r="A56" s="163" t="s">
        <v>210</v>
      </c>
      <c r="B56" s="163">
        <v>42279.294088981478</v>
      </c>
      <c r="C56" s="164" t="s">
        <v>601</v>
      </c>
      <c r="D56" s="164" t="s">
        <v>13</v>
      </c>
      <c r="E56" s="165">
        <v>40</v>
      </c>
      <c r="F56" s="166">
        <v>0</v>
      </c>
      <c r="G56" s="227">
        <f>IF($B$2,IF(ROWS(B$6:$B56) = 1,$B56-Start_Date,$B56-$B55),"")</f>
        <v>0.44202915509231389</v>
      </c>
      <c r="H56" s="29">
        <f>IF($B$2,IF(ROWS(B$6:$B56) = 1,IF(COUNTIFS(R_Schedule_Times,"&lt;"&amp;B56),INDEX(R_Schedule_Amounts,MATCH(B56,R_Schedule_Times,1)),Starting_Cash),IF(COUNTIFS(R_Schedule_Times,"&gt;"&amp;B55,R_Schedule_Times,"&lt;"&amp;B56),INDEX(R_Schedule_Amounts,MATCH(B56,R_Schedule_Times,1)),K55)),"")</f>
        <v>10560</v>
      </c>
      <c r="I56" s="30">
        <f t="shared" si="0"/>
        <v>40</v>
      </c>
      <c r="J56" s="31">
        <f t="shared" si="1"/>
        <v>0</v>
      </c>
      <c r="K56" s="29">
        <f t="shared" si="2"/>
        <v>10520</v>
      </c>
      <c r="L56" s="31" t="str">
        <f t="shared" si="3"/>
        <v/>
      </c>
      <c r="M56" s="31" t="str">
        <f t="shared" si="4"/>
        <v/>
      </c>
    </row>
    <row r="57" spans="1:13" x14ac:dyDescent="0.15">
      <c r="A57" s="163" t="s">
        <v>210</v>
      </c>
      <c r="B57" s="163">
        <v>42279.299277199076</v>
      </c>
      <c r="C57" s="164" t="s">
        <v>602</v>
      </c>
      <c r="D57" s="164" t="s">
        <v>13</v>
      </c>
      <c r="E57" s="165">
        <v>40</v>
      </c>
      <c r="F57" s="166">
        <v>0</v>
      </c>
      <c r="G57" s="227">
        <f>IF($B$2,IF(ROWS(B$6:$B57) = 1,$B57-Start_Date,$B57-$B56),"")</f>
        <v>5.1882175976061262E-3</v>
      </c>
      <c r="H57" s="29">
        <f>IF($B$2,IF(ROWS(B$6:$B57) = 1,IF(COUNTIFS(R_Schedule_Times,"&lt;"&amp;B57),INDEX(R_Schedule_Amounts,MATCH(B57,R_Schedule_Times,1)),Starting_Cash),IF(COUNTIFS(R_Schedule_Times,"&gt;"&amp;B56,R_Schedule_Times,"&lt;"&amp;B57),INDEX(R_Schedule_Amounts,MATCH(B57,R_Schedule_Times,1)),K56)),"")</f>
        <v>10520</v>
      </c>
      <c r="I57" s="30">
        <f t="shared" si="0"/>
        <v>40</v>
      </c>
      <c r="J57" s="31">
        <f t="shared" si="1"/>
        <v>0</v>
      </c>
      <c r="K57" s="29">
        <f t="shared" si="2"/>
        <v>10480</v>
      </c>
      <c r="L57" s="31" t="str">
        <f t="shared" si="3"/>
        <v/>
      </c>
      <c r="M57" s="31" t="str">
        <f t="shared" si="4"/>
        <v/>
      </c>
    </row>
    <row r="58" spans="1:13" x14ac:dyDescent="0.15">
      <c r="A58" s="163" t="s">
        <v>210</v>
      </c>
      <c r="B58" s="163">
        <v>42279.348129953702</v>
      </c>
      <c r="C58" s="164" t="s">
        <v>603</v>
      </c>
      <c r="D58" s="164" t="s">
        <v>13</v>
      </c>
      <c r="E58" s="165">
        <v>100</v>
      </c>
      <c r="F58" s="166">
        <v>0</v>
      </c>
      <c r="G58" s="227">
        <f>IF($B$2,IF(ROWS(B$6:$B58) = 1,$B58-Start_Date,$B58-$B57),"")</f>
        <v>4.8852754625841044E-2</v>
      </c>
      <c r="H58" s="29">
        <f>IF($B$2,IF(ROWS(B$6:$B58) = 1,IF(COUNTIFS(R_Schedule_Times,"&lt;"&amp;B58),INDEX(R_Schedule_Amounts,MATCH(B58,R_Schedule_Times,1)),Starting_Cash),IF(COUNTIFS(R_Schedule_Times,"&gt;"&amp;B57,R_Schedule_Times,"&lt;"&amp;B58),INDEX(R_Schedule_Amounts,MATCH(B58,R_Schedule_Times,1)),K57)),"")</f>
        <v>10480</v>
      </c>
      <c r="I58" s="30">
        <f t="shared" si="0"/>
        <v>100</v>
      </c>
      <c r="J58" s="31">
        <f t="shared" si="1"/>
        <v>0</v>
      </c>
      <c r="K58" s="29">
        <f t="shared" si="2"/>
        <v>10380</v>
      </c>
      <c r="L58" s="31" t="str">
        <f t="shared" si="3"/>
        <v/>
      </c>
      <c r="M58" s="31" t="str">
        <f t="shared" si="4"/>
        <v/>
      </c>
    </row>
    <row r="59" spans="1:13" x14ac:dyDescent="0.15">
      <c r="A59" s="163" t="s">
        <v>210</v>
      </c>
      <c r="B59" s="163">
        <v>42279.358041458334</v>
      </c>
      <c r="C59" s="164" t="s">
        <v>604</v>
      </c>
      <c r="D59" s="164" t="s">
        <v>13</v>
      </c>
      <c r="E59" s="165">
        <v>100</v>
      </c>
      <c r="F59" s="166">
        <v>0</v>
      </c>
      <c r="G59" s="227">
        <f>IF($B$2,IF(ROWS(B$6:$B59) = 1,$B59-Start_Date,$B59-$B58),"")</f>
        <v>9.9115046323277056E-3</v>
      </c>
      <c r="H59" s="29">
        <f>IF($B$2,IF(ROWS(B$6:$B59) = 1,IF(COUNTIFS(R_Schedule_Times,"&lt;"&amp;B59),INDEX(R_Schedule_Amounts,MATCH(B59,R_Schedule_Times,1)),Starting_Cash),IF(COUNTIFS(R_Schedule_Times,"&gt;"&amp;B58,R_Schedule_Times,"&lt;"&amp;B59),INDEX(R_Schedule_Amounts,MATCH(B59,R_Schedule_Times,1)),K58)),"")</f>
        <v>10380</v>
      </c>
      <c r="I59" s="30">
        <f t="shared" si="0"/>
        <v>100</v>
      </c>
      <c r="J59" s="31">
        <f t="shared" si="1"/>
        <v>0</v>
      </c>
      <c r="K59" s="29">
        <f t="shared" si="2"/>
        <v>10280</v>
      </c>
      <c r="L59" s="31" t="str">
        <f t="shared" si="3"/>
        <v/>
      </c>
      <c r="M59" s="31" t="str">
        <f t="shared" si="4"/>
        <v/>
      </c>
    </row>
    <row r="60" spans="1:13" x14ac:dyDescent="0.15">
      <c r="A60" s="163" t="s">
        <v>210</v>
      </c>
      <c r="B60" s="163">
        <v>42279.435383854165</v>
      </c>
      <c r="C60" s="164" t="s">
        <v>605</v>
      </c>
      <c r="D60" s="164" t="s">
        <v>13</v>
      </c>
      <c r="E60" s="165">
        <v>100</v>
      </c>
      <c r="F60" s="166">
        <v>0</v>
      </c>
      <c r="G60" s="227">
        <f>IF($B$2,IF(ROWS(B$6:$B60) = 1,$B60-Start_Date,$B60-$B59),"")</f>
        <v>7.7342395830783062E-2</v>
      </c>
      <c r="H60" s="29">
        <f>IF($B$2,IF(ROWS(B$6:$B60) = 1,IF(COUNTIFS(R_Schedule_Times,"&lt;"&amp;B60),INDEX(R_Schedule_Amounts,MATCH(B60,R_Schedule_Times,1)),Starting_Cash),IF(COUNTIFS(R_Schedule_Times,"&gt;"&amp;B59,R_Schedule_Times,"&lt;"&amp;B60),INDEX(R_Schedule_Amounts,MATCH(B60,R_Schedule_Times,1)),K59)),"")</f>
        <v>10280</v>
      </c>
      <c r="I60" s="30">
        <f t="shared" si="0"/>
        <v>100</v>
      </c>
      <c r="J60" s="31">
        <f t="shared" si="1"/>
        <v>0</v>
      </c>
      <c r="K60" s="29">
        <f t="shared" si="2"/>
        <v>10180</v>
      </c>
      <c r="L60" s="31" t="str">
        <f t="shared" si="3"/>
        <v/>
      </c>
      <c r="M60" s="31" t="str">
        <f t="shared" si="4"/>
        <v/>
      </c>
    </row>
    <row r="61" spans="1:13" x14ac:dyDescent="0.15">
      <c r="A61" s="163" t="s">
        <v>210</v>
      </c>
      <c r="B61" s="163">
        <v>42279.45965715278</v>
      </c>
      <c r="C61" s="164" t="s">
        <v>606</v>
      </c>
      <c r="D61" s="164" t="s">
        <v>13</v>
      </c>
      <c r="E61" s="165">
        <v>100</v>
      </c>
      <c r="F61" s="166">
        <v>0</v>
      </c>
      <c r="G61" s="227">
        <f>IF($B$2,IF(ROWS(B$6:$B61) = 1,$B61-Start_Date,$B61-$B60),"")</f>
        <v>2.42732986152987E-2</v>
      </c>
      <c r="H61" s="29">
        <f>IF($B$2,IF(ROWS(B$6:$B61) = 1,IF(COUNTIFS(R_Schedule_Times,"&lt;"&amp;B61),INDEX(R_Schedule_Amounts,MATCH(B61,R_Schedule_Times,1)),Starting_Cash),IF(COUNTIFS(R_Schedule_Times,"&gt;"&amp;B60,R_Schedule_Times,"&lt;"&amp;B61),INDEX(R_Schedule_Amounts,MATCH(B61,R_Schedule_Times,1)),K60)),"")</f>
        <v>10180</v>
      </c>
      <c r="I61" s="30">
        <f t="shared" si="0"/>
        <v>100</v>
      </c>
      <c r="J61" s="31">
        <f t="shared" si="1"/>
        <v>0</v>
      </c>
      <c r="K61" s="29">
        <f t="shared" si="2"/>
        <v>10080</v>
      </c>
      <c r="L61" s="31" t="str">
        <f t="shared" si="3"/>
        <v/>
      </c>
      <c r="M61" s="31" t="str">
        <f t="shared" si="4"/>
        <v/>
      </c>
    </row>
    <row r="62" spans="1:13" x14ac:dyDescent="0.15">
      <c r="A62" s="163" t="s">
        <v>210</v>
      </c>
      <c r="B62" s="163">
        <v>42279.464399837962</v>
      </c>
      <c r="C62" s="164" t="s">
        <v>14</v>
      </c>
      <c r="D62" s="164" t="s">
        <v>13</v>
      </c>
      <c r="E62" s="165">
        <v>100</v>
      </c>
      <c r="F62" s="166">
        <v>3.5</v>
      </c>
      <c r="G62" s="227">
        <f>IF($B$2,IF(ROWS(B$6:$B62) = 1,$B62-Start_Date,$B62-$B61),"")</f>
        <v>4.7426851815544069E-3</v>
      </c>
      <c r="H62" s="29">
        <f>IF($B$2,IF(ROWS(B$6:$B62) = 1,IF(COUNTIFS(R_Schedule_Times,"&lt;"&amp;B62),INDEX(R_Schedule_Amounts,MATCH(B62,R_Schedule_Times,1)),Starting_Cash),IF(COUNTIFS(R_Schedule_Times,"&gt;"&amp;B61,R_Schedule_Times,"&lt;"&amp;B62),INDEX(R_Schedule_Amounts,MATCH(B62,R_Schedule_Times,1)),K61)),"")</f>
        <v>10080</v>
      </c>
      <c r="I62" s="30">
        <f t="shared" si="0"/>
        <v>100</v>
      </c>
      <c r="J62" s="31">
        <f t="shared" si="1"/>
        <v>3.5</v>
      </c>
      <c r="K62" s="29">
        <f t="shared" si="2"/>
        <v>9980</v>
      </c>
      <c r="L62" s="31" t="str">
        <f t="shared" si="3"/>
        <v/>
      </c>
      <c r="M62" s="31" t="str">
        <f t="shared" si="4"/>
        <v/>
      </c>
    </row>
    <row r="63" spans="1:13" x14ac:dyDescent="0.15">
      <c r="A63" s="163" t="s">
        <v>210</v>
      </c>
      <c r="B63" s="163">
        <v>42279.469249953705</v>
      </c>
      <c r="C63" s="164" t="s">
        <v>14</v>
      </c>
      <c r="D63" s="164" t="s">
        <v>13</v>
      </c>
      <c r="E63" s="165">
        <v>20</v>
      </c>
      <c r="F63" s="166">
        <v>3.5</v>
      </c>
      <c r="G63" s="227">
        <f>IF($B$2,IF(ROWS(B$6:$B63) = 1,$B63-Start_Date,$B63-$B62),"")</f>
        <v>4.8501157434657216E-3</v>
      </c>
      <c r="H63" s="29">
        <f>IF($B$2,IF(ROWS(B$6:$B63) = 1,IF(COUNTIFS(R_Schedule_Times,"&lt;"&amp;B63),INDEX(R_Schedule_Amounts,MATCH(B63,R_Schedule_Times,1)),Starting_Cash),IF(COUNTIFS(R_Schedule_Times,"&gt;"&amp;B62,R_Schedule_Times,"&lt;"&amp;B63),INDEX(R_Schedule_Amounts,MATCH(B63,R_Schedule_Times,1)),K62)),"")</f>
        <v>9980</v>
      </c>
      <c r="I63" s="30">
        <f t="shared" si="0"/>
        <v>20</v>
      </c>
      <c r="J63" s="31">
        <f t="shared" si="1"/>
        <v>3.5</v>
      </c>
      <c r="K63" s="29">
        <f t="shared" si="2"/>
        <v>9960</v>
      </c>
      <c r="L63" s="31" t="str">
        <f t="shared" si="3"/>
        <v/>
      </c>
      <c r="M63" s="31" t="str">
        <f t="shared" si="4"/>
        <v/>
      </c>
    </row>
    <row r="64" spans="1:13" x14ac:dyDescent="0.15">
      <c r="A64" s="163" t="s">
        <v>210</v>
      </c>
      <c r="B64" s="163">
        <v>42279.470478530093</v>
      </c>
      <c r="C64" s="164" t="s">
        <v>607</v>
      </c>
      <c r="D64" s="164" t="s">
        <v>13</v>
      </c>
      <c r="E64" s="165">
        <v>20</v>
      </c>
      <c r="F64" s="166">
        <v>0</v>
      </c>
      <c r="G64" s="227">
        <f>IF($B$2,IF(ROWS(B$6:$B64) = 1,$B64-Start_Date,$B64-$B63),"")</f>
        <v>1.2285763878026046E-3</v>
      </c>
      <c r="H64" s="29">
        <f>IF($B$2,IF(ROWS(B$6:$B64) = 1,IF(COUNTIFS(R_Schedule_Times,"&lt;"&amp;B64),INDEX(R_Schedule_Amounts,MATCH(B64,R_Schedule_Times,1)),Starting_Cash),IF(COUNTIFS(R_Schedule_Times,"&gt;"&amp;B63,R_Schedule_Times,"&lt;"&amp;B64),INDEX(R_Schedule_Amounts,MATCH(B64,R_Schedule_Times,1)),K63)),"")</f>
        <v>9960</v>
      </c>
      <c r="I64" s="30">
        <f t="shared" si="0"/>
        <v>20</v>
      </c>
      <c r="J64" s="31">
        <f t="shared" si="1"/>
        <v>0</v>
      </c>
      <c r="K64" s="29">
        <f t="shared" si="2"/>
        <v>9940</v>
      </c>
      <c r="L64" s="31" t="str">
        <f t="shared" si="3"/>
        <v/>
      </c>
      <c r="M64" s="31" t="str">
        <f t="shared" si="4"/>
        <v/>
      </c>
    </row>
    <row r="65" spans="1:13" x14ac:dyDescent="0.15">
      <c r="A65" s="163" t="s">
        <v>210</v>
      </c>
      <c r="B65" s="163">
        <v>42279.476848969905</v>
      </c>
      <c r="C65" s="164" t="s">
        <v>608</v>
      </c>
      <c r="D65" s="164" t="s">
        <v>15</v>
      </c>
      <c r="E65" s="165">
        <v>60</v>
      </c>
      <c r="F65" s="166">
        <v>1.8</v>
      </c>
      <c r="G65" s="227">
        <f>IF($B$2,IF(ROWS(B$6:$B65) = 1,$B65-Start_Date,$B65-$B64),"")</f>
        <v>6.3704398125992157E-3</v>
      </c>
      <c r="H65" s="29">
        <f>IF($B$2,IF(ROWS(B$6:$B65) = 1,IF(COUNTIFS(R_Schedule_Times,"&lt;"&amp;B65),INDEX(R_Schedule_Amounts,MATCH(B65,R_Schedule_Times,1)),Starting_Cash),IF(COUNTIFS(R_Schedule_Times,"&gt;"&amp;B64,R_Schedule_Times,"&lt;"&amp;B65),INDEX(R_Schedule_Amounts,MATCH(B65,R_Schedule_Times,1)),K64)),"")</f>
        <v>9940</v>
      </c>
      <c r="I65" s="30">
        <f t="shared" si="0"/>
        <v>60</v>
      </c>
      <c r="J65" s="31">
        <f t="shared" si="1"/>
        <v>1.8</v>
      </c>
      <c r="K65" s="29">
        <f t="shared" si="2"/>
        <v>9880</v>
      </c>
      <c r="L65" s="31" t="str">
        <f t="shared" si="3"/>
        <v/>
      </c>
      <c r="M65" s="31" t="str">
        <f t="shared" si="4"/>
        <v/>
      </c>
    </row>
    <row r="66" spans="1:13" x14ac:dyDescent="0.15">
      <c r="A66" s="163" t="s">
        <v>210</v>
      </c>
      <c r="B66" s="163">
        <v>42279.480869571758</v>
      </c>
      <c r="C66" s="164" t="s">
        <v>609</v>
      </c>
      <c r="D66" s="164" t="s">
        <v>13</v>
      </c>
      <c r="E66" s="165">
        <v>60</v>
      </c>
      <c r="F66" s="166">
        <v>0</v>
      </c>
      <c r="G66" s="227">
        <f>IF($B$2,IF(ROWS(B$6:$B66) = 1,$B66-Start_Date,$B66-$B65),"")</f>
        <v>4.0206018529715948E-3</v>
      </c>
      <c r="H66" s="29">
        <f>IF($B$2,IF(ROWS(B$6:$B66) = 1,IF(COUNTIFS(R_Schedule_Times,"&lt;"&amp;B66),INDEX(R_Schedule_Amounts,MATCH(B66,R_Schedule_Times,1)),Starting_Cash),IF(COUNTIFS(R_Schedule_Times,"&gt;"&amp;B65,R_Schedule_Times,"&lt;"&amp;B66),INDEX(R_Schedule_Amounts,MATCH(B66,R_Schedule_Times,1)),K65)),"")</f>
        <v>9880</v>
      </c>
      <c r="I66" s="30">
        <f t="shared" si="0"/>
        <v>60</v>
      </c>
      <c r="J66" s="31">
        <f t="shared" si="1"/>
        <v>0</v>
      </c>
      <c r="K66" s="29">
        <f t="shared" si="2"/>
        <v>9820</v>
      </c>
      <c r="L66" s="31" t="str">
        <f t="shared" si="3"/>
        <v/>
      </c>
      <c r="M66" s="31" t="str">
        <f t="shared" si="4"/>
        <v/>
      </c>
    </row>
    <row r="67" spans="1:13" x14ac:dyDescent="0.15">
      <c r="A67" s="163" t="s">
        <v>210</v>
      </c>
      <c r="B67" s="163">
        <v>42279.483048310183</v>
      </c>
      <c r="C67" s="164" t="s">
        <v>296</v>
      </c>
      <c r="D67" s="164" t="s">
        <v>13</v>
      </c>
      <c r="E67" s="165">
        <v>60</v>
      </c>
      <c r="F67" s="166">
        <v>0</v>
      </c>
      <c r="G67" s="227">
        <f>IF($B$2,IF(ROWS(B$6:$B67) = 1,$B67-Start_Date,$B67-$B66),"")</f>
        <v>2.1787384248455055E-3</v>
      </c>
      <c r="H67" s="29">
        <f>IF($B$2,IF(ROWS(B$6:$B67) = 1,IF(COUNTIFS(R_Schedule_Times,"&lt;"&amp;B67),INDEX(R_Schedule_Amounts,MATCH(B67,R_Schedule_Times,1)),Starting_Cash),IF(COUNTIFS(R_Schedule_Times,"&gt;"&amp;B66,R_Schedule_Times,"&lt;"&amp;B67),INDEX(R_Schedule_Amounts,MATCH(B67,R_Schedule_Times,1)),K66)),"")</f>
        <v>9820</v>
      </c>
      <c r="I67" s="30">
        <f t="shared" si="0"/>
        <v>60</v>
      </c>
      <c r="J67" s="31">
        <f t="shared" si="1"/>
        <v>0</v>
      </c>
      <c r="K67" s="29">
        <f t="shared" si="2"/>
        <v>9760</v>
      </c>
      <c r="L67" s="31" t="str">
        <f t="shared" si="3"/>
        <v/>
      </c>
      <c r="M67" s="31" t="str">
        <f t="shared" si="4"/>
        <v/>
      </c>
    </row>
    <row r="68" spans="1:13" x14ac:dyDescent="0.15">
      <c r="A68" s="163" t="s">
        <v>210</v>
      </c>
      <c r="B68" s="163">
        <v>42279.492815428239</v>
      </c>
      <c r="C68" s="164" t="s">
        <v>610</v>
      </c>
      <c r="D68" s="164" t="s">
        <v>13</v>
      </c>
      <c r="E68" s="165">
        <v>100</v>
      </c>
      <c r="F68" s="166">
        <v>0</v>
      </c>
      <c r="G68" s="227">
        <f>IF($B$2,IF(ROWS(B$6:$B68) = 1,$B68-Start_Date,$B68-$B67),"")</f>
        <v>9.7671180556062609E-3</v>
      </c>
      <c r="H68" s="29">
        <f>IF($B$2,IF(ROWS(B$6:$B68) = 1,IF(COUNTIFS(R_Schedule_Times,"&lt;"&amp;B68),INDEX(R_Schedule_Amounts,MATCH(B68,R_Schedule_Times,1)),Starting_Cash),IF(COUNTIFS(R_Schedule_Times,"&gt;"&amp;B67,R_Schedule_Times,"&lt;"&amp;B68),INDEX(R_Schedule_Amounts,MATCH(B68,R_Schedule_Times,1)),K67)),"")</f>
        <v>9760</v>
      </c>
      <c r="I68" s="30">
        <f t="shared" si="0"/>
        <v>100</v>
      </c>
      <c r="J68" s="31">
        <f t="shared" si="1"/>
        <v>0</v>
      </c>
      <c r="K68" s="29">
        <f t="shared" si="2"/>
        <v>9660</v>
      </c>
      <c r="L68" s="31" t="str">
        <f t="shared" si="3"/>
        <v/>
      </c>
      <c r="M68" s="31" t="str">
        <f t="shared" si="4"/>
        <v/>
      </c>
    </row>
    <row r="69" spans="1:13" x14ac:dyDescent="0.15">
      <c r="A69" s="163" t="s">
        <v>210</v>
      </c>
      <c r="B69" s="163">
        <v>42279.495412592594</v>
      </c>
      <c r="C69" s="164" t="s">
        <v>611</v>
      </c>
      <c r="D69" s="164" t="s">
        <v>13</v>
      </c>
      <c r="E69" s="165">
        <v>100</v>
      </c>
      <c r="F69" s="166">
        <v>0</v>
      </c>
      <c r="G69" s="227">
        <f>IF($B$2,IF(ROWS(B$6:$B69) = 1,$B69-Start_Date,$B69-$B68),"")</f>
        <v>2.5971643553930335E-3</v>
      </c>
      <c r="H69" s="29">
        <f>IF($B$2,IF(ROWS(B$6:$B69) = 1,IF(COUNTIFS(R_Schedule_Times,"&lt;"&amp;B69),INDEX(R_Schedule_Amounts,MATCH(B69,R_Schedule_Times,1)),Starting_Cash),IF(COUNTIFS(R_Schedule_Times,"&gt;"&amp;B68,R_Schedule_Times,"&lt;"&amp;B69),INDEX(R_Schedule_Amounts,MATCH(B69,R_Schedule_Times,1)),K68)),"")</f>
        <v>9660</v>
      </c>
      <c r="I69" s="30">
        <f t="shared" si="0"/>
        <v>100</v>
      </c>
      <c r="J69" s="31">
        <f t="shared" si="1"/>
        <v>0</v>
      </c>
      <c r="K69" s="29">
        <f t="shared" si="2"/>
        <v>9560</v>
      </c>
      <c r="L69" s="31" t="str">
        <f t="shared" si="3"/>
        <v/>
      </c>
      <c r="M69" s="31" t="str">
        <f t="shared" si="4"/>
        <v/>
      </c>
    </row>
    <row r="70" spans="1:13" x14ac:dyDescent="0.15">
      <c r="A70" s="163" t="s">
        <v>210</v>
      </c>
      <c r="B70" s="163">
        <v>42279.524069236111</v>
      </c>
      <c r="C70" s="164" t="s">
        <v>612</v>
      </c>
      <c r="D70" s="164" t="s">
        <v>13</v>
      </c>
      <c r="E70" s="165">
        <v>80</v>
      </c>
      <c r="F70" s="166">
        <v>0</v>
      </c>
      <c r="G70" s="227">
        <f>IF($B$2,IF(ROWS(B$6:$B70) = 1,$B70-Start_Date,$B70-$B69),"")</f>
        <v>2.8656643517024349E-2</v>
      </c>
      <c r="H70" s="29">
        <f>IF($B$2,IF(ROWS(B$6:$B70) = 1,IF(COUNTIFS(R_Schedule_Times,"&lt;"&amp;B70),INDEX(R_Schedule_Amounts,MATCH(B70,R_Schedule_Times,1)),Starting_Cash),IF(COUNTIFS(R_Schedule_Times,"&gt;"&amp;B69,R_Schedule_Times,"&lt;"&amp;B70),INDEX(R_Schedule_Amounts,MATCH(B70,R_Schedule_Times,1)),K69)),"")</f>
        <v>9560</v>
      </c>
      <c r="I70" s="30">
        <f t="shared" si="0"/>
        <v>80</v>
      </c>
      <c r="J70" s="31">
        <f t="shared" si="1"/>
        <v>0</v>
      </c>
      <c r="K70" s="29">
        <f t="shared" si="2"/>
        <v>9480</v>
      </c>
      <c r="L70" s="31" t="str">
        <f t="shared" si="3"/>
        <v/>
      </c>
      <c r="M70" s="31" t="str">
        <f t="shared" si="4"/>
        <v/>
      </c>
    </row>
    <row r="71" spans="1:13" x14ac:dyDescent="0.15">
      <c r="A71" s="163" t="s">
        <v>210</v>
      </c>
      <c r="B71" s="163">
        <v>42279.526144062504</v>
      </c>
      <c r="C71" s="164" t="s">
        <v>613</v>
      </c>
      <c r="D71" s="164" t="s">
        <v>13</v>
      </c>
      <c r="E71" s="165">
        <v>100</v>
      </c>
      <c r="F71" s="166">
        <v>0</v>
      </c>
      <c r="G71" s="227">
        <f>IF($B$2,IF(ROWS(B$6:$B71) = 1,$B71-Start_Date,$B71-$B70),"")</f>
        <v>2.0748263923451304E-3</v>
      </c>
      <c r="H71" s="29">
        <f>IF($B$2,IF(ROWS(B$6:$B71) = 1,IF(COUNTIFS(R_Schedule_Times,"&lt;"&amp;B71),INDEX(R_Schedule_Amounts,MATCH(B71,R_Schedule_Times,1)),Starting_Cash),IF(COUNTIFS(R_Schedule_Times,"&gt;"&amp;B70,R_Schedule_Times,"&lt;"&amp;B71),INDEX(R_Schedule_Amounts,MATCH(B71,R_Schedule_Times,1)),K70)),"")</f>
        <v>9480</v>
      </c>
      <c r="I71" s="30">
        <f t="shared" ref="I71:I134" si="5">IF($B$2,IF(H71&gt;=E71,E71,0),"")</f>
        <v>100</v>
      </c>
      <c r="J71" s="31">
        <f t="shared" ref="J71:J134" si="6">IF($B$2,IF(H71&gt;=E71,F71,0),"")</f>
        <v>0</v>
      </c>
      <c r="K71" s="29">
        <f t="shared" ref="K71:K134" si="7">IF($B$2,ABS(I71-H71),"")</f>
        <v>9380</v>
      </c>
      <c r="L71" s="31" t="str">
        <f t="shared" ref="L71:L134" si="8">IF($B$2,IF(H71&lt;E71,"YES",""),"")</f>
        <v/>
      </c>
      <c r="M71" s="31" t="str">
        <f t="shared" ref="M71:M134" si="9">IF($B$2,IF(L71="YES",F71,""),"")</f>
        <v/>
      </c>
    </row>
    <row r="72" spans="1:13" x14ac:dyDescent="0.15">
      <c r="A72" s="163" t="s">
        <v>210</v>
      </c>
      <c r="B72" s="163">
        <v>42279.534607326386</v>
      </c>
      <c r="C72" s="164" t="s">
        <v>297</v>
      </c>
      <c r="D72" s="164" t="s">
        <v>13</v>
      </c>
      <c r="E72" s="165">
        <v>20</v>
      </c>
      <c r="F72" s="166">
        <v>0</v>
      </c>
      <c r="G72" s="227">
        <f>IF($B$2,IF(ROWS(B$6:$B72) = 1,$B72-Start_Date,$B72-$B71),"")</f>
        <v>8.4632638827315532E-3</v>
      </c>
      <c r="H72" s="29">
        <f>IF($B$2,IF(ROWS(B$6:$B72) = 1,IF(COUNTIFS(R_Schedule_Times,"&lt;"&amp;B72),INDEX(R_Schedule_Amounts,MATCH(B72,R_Schedule_Times,1)),Starting_Cash),IF(COUNTIFS(R_Schedule_Times,"&gt;"&amp;B71,R_Schedule_Times,"&lt;"&amp;B72),INDEX(R_Schedule_Amounts,MATCH(B72,R_Schedule_Times,1)),K71)),"")</f>
        <v>9380</v>
      </c>
      <c r="I72" s="30">
        <f t="shared" si="5"/>
        <v>20</v>
      </c>
      <c r="J72" s="31">
        <f t="shared" si="6"/>
        <v>0</v>
      </c>
      <c r="K72" s="29">
        <f t="shared" si="7"/>
        <v>9360</v>
      </c>
      <c r="L72" s="31" t="str">
        <f t="shared" si="8"/>
        <v/>
      </c>
      <c r="M72" s="31" t="str">
        <f t="shared" si="9"/>
        <v/>
      </c>
    </row>
    <row r="73" spans="1:13" x14ac:dyDescent="0.15">
      <c r="A73" s="163" t="s">
        <v>210</v>
      </c>
      <c r="B73" s="163">
        <v>42279.539646759258</v>
      </c>
      <c r="C73" s="164" t="s">
        <v>614</v>
      </c>
      <c r="D73" s="164" t="s">
        <v>13</v>
      </c>
      <c r="E73" s="165">
        <v>300</v>
      </c>
      <c r="F73" s="166">
        <v>0</v>
      </c>
      <c r="G73" s="227">
        <f>IF($B$2,IF(ROWS(B$6:$B73) = 1,$B73-Start_Date,$B73-$B72),"")</f>
        <v>5.0394328718539327E-3</v>
      </c>
      <c r="H73" s="29">
        <f>IF($B$2,IF(ROWS(B$6:$B73) = 1,IF(COUNTIFS(R_Schedule_Times,"&lt;"&amp;B73),INDEX(R_Schedule_Amounts,MATCH(B73,R_Schedule_Times,1)),Starting_Cash),IF(COUNTIFS(R_Schedule_Times,"&gt;"&amp;B72,R_Schedule_Times,"&lt;"&amp;B73),INDEX(R_Schedule_Amounts,MATCH(B73,R_Schedule_Times,1)),K72)),"")</f>
        <v>9360</v>
      </c>
      <c r="I73" s="30">
        <f t="shared" si="5"/>
        <v>300</v>
      </c>
      <c r="J73" s="31">
        <f t="shared" si="6"/>
        <v>0</v>
      </c>
      <c r="K73" s="29">
        <f t="shared" si="7"/>
        <v>9060</v>
      </c>
      <c r="L73" s="31" t="str">
        <f t="shared" si="8"/>
        <v/>
      </c>
      <c r="M73" s="31" t="str">
        <f t="shared" si="9"/>
        <v/>
      </c>
    </row>
    <row r="74" spans="1:13" x14ac:dyDescent="0.15">
      <c r="A74" s="163" t="s">
        <v>210</v>
      </c>
      <c r="B74" s="163">
        <v>42279.552860787036</v>
      </c>
      <c r="C74" s="164" t="s">
        <v>298</v>
      </c>
      <c r="D74" s="164" t="s">
        <v>13</v>
      </c>
      <c r="E74" s="165">
        <v>60</v>
      </c>
      <c r="F74" s="166">
        <v>0</v>
      </c>
      <c r="G74" s="227">
        <f>IF($B$2,IF(ROWS(B$6:$B74) = 1,$B74-Start_Date,$B74-$B73),"")</f>
        <v>1.3214027778303716E-2</v>
      </c>
      <c r="H74" s="29">
        <f>IF($B$2,IF(ROWS(B$6:$B74) = 1,IF(COUNTIFS(R_Schedule_Times,"&lt;"&amp;B74),INDEX(R_Schedule_Amounts,MATCH(B74,R_Schedule_Times,1)),Starting_Cash),IF(COUNTIFS(R_Schedule_Times,"&gt;"&amp;B73,R_Schedule_Times,"&lt;"&amp;B74),INDEX(R_Schedule_Amounts,MATCH(B74,R_Schedule_Times,1)),K73)),"")</f>
        <v>9060</v>
      </c>
      <c r="I74" s="30">
        <f t="shared" si="5"/>
        <v>60</v>
      </c>
      <c r="J74" s="31">
        <f t="shared" si="6"/>
        <v>0</v>
      </c>
      <c r="K74" s="29">
        <f t="shared" si="7"/>
        <v>9000</v>
      </c>
      <c r="L74" s="31" t="str">
        <f t="shared" si="8"/>
        <v/>
      </c>
      <c r="M74" s="31" t="str">
        <f t="shared" si="9"/>
        <v/>
      </c>
    </row>
    <row r="75" spans="1:13" x14ac:dyDescent="0.15">
      <c r="A75" s="163" t="s">
        <v>210</v>
      </c>
      <c r="B75" s="163">
        <v>42279.563423240739</v>
      </c>
      <c r="C75" s="164" t="s">
        <v>615</v>
      </c>
      <c r="D75" s="164" t="s">
        <v>13</v>
      </c>
      <c r="E75" s="165">
        <v>120</v>
      </c>
      <c r="F75" s="166">
        <v>0</v>
      </c>
      <c r="G75" s="227">
        <f>IF($B$2,IF(ROWS(B$6:$B75) = 1,$B75-Start_Date,$B75-$B74),"")</f>
        <v>1.0562453702732455E-2</v>
      </c>
      <c r="H75" s="29">
        <f>IF($B$2,IF(ROWS(B$6:$B75) = 1,IF(COUNTIFS(R_Schedule_Times,"&lt;"&amp;B75),INDEX(R_Schedule_Amounts,MATCH(B75,R_Schedule_Times,1)),Starting_Cash),IF(COUNTIFS(R_Schedule_Times,"&gt;"&amp;B74,R_Schedule_Times,"&lt;"&amp;B75),INDEX(R_Schedule_Amounts,MATCH(B75,R_Schedule_Times,1)),K74)),"")</f>
        <v>9000</v>
      </c>
      <c r="I75" s="30">
        <f t="shared" si="5"/>
        <v>120</v>
      </c>
      <c r="J75" s="31">
        <f t="shared" si="6"/>
        <v>0</v>
      </c>
      <c r="K75" s="29">
        <f t="shared" si="7"/>
        <v>8880</v>
      </c>
      <c r="L75" s="31" t="str">
        <f t="shared" si="8"/>
        <v/>
      </c>
      <c r="M75" s="31" t="str">
        <f t="shared" si="9"/>
        <v/>
      </c>
    </row>
    <row r="76" spans="1:13" x14ac:dyDescent="0.15">
      <c r="A76" s="163" t="s">
        <v>210</v>
      </c>
      <c r="B76" s="163">
        <v>42279.565088379626</v>
      </c>
      <c r="C76" s="164" t="s">
        <v>616</v>
      </c>
      <c r="D76" s="164" t="s">
        <v>13</v>
      </c>
      <c r="E76" s="165">
        <v>200</v>
      </c>
      <c r="F76" s="166">
        <v>0</v>
      </c>
      <c r="G76" s="227">
        <f>IF($B$2,IF(ROWS(B$6:$B76) = 1,$B76-Start_Date,$B76-$B75),"")</f>
        <v>1.6651388868922368E-3</v>
      </c>
      <c r="H76" s="29">
        <f>IF($B$2,IF(ROWS(B$6:$B76) = 1,IF(COUNTIFS(R_Schedule_Times,"&lt;"&amp;B76),INDEX(R_Schedule_Amounts,MATCH(B76,R_Schedule_Times,1)),Starting_Cash),IF(COUNTIFS(R_Schedule_Times,"&gt;"&amp;B75,R_Schedule_Times,"&lt;"&amp;B76),INDEX(R_Schedule_Amounts,MATCH(B76,R_Schedule_Times,1)),K75)),"")</f>
        <v>8880</v>
      </c>
      <c r="I76" s="30">
        <f t="shared" si="5"/>
        <v>200</v>
      </c>
      <c r="J76" s="31">
        <f t="shared" si="6"/>
        <v>0</v>
      </c>
      <c r="K76" s="29">
        <f t="shared" si="7"/>
        <v>8680</v>
      </c>
      <c r="L76" s="31" t="str">
        <f t="shared" si="8"/>
        <v/>
      </c>
      <c r="M76" s="31" t="str">
        <f t="shared" si="9"/>
        <v/>
      </c>
    </row>
    <row r="77" spans="1:13" x14ac:dyDescent="0.15">
      <c r="A77" s="163" t="s">
        <v>210</v>
      </c>
      <c r="B77" s="163">
        <v>42279.571405543982</v>
      </c>
      <c r="C77" s="164" t="s">
        <v>101</v>
      </c>
      <c r="D77" s="164" t="s">
        <v>13</v>
      </c>
      <c r="E77" s="165">
        <v>20</v>
      </c>
      <c r="F77" s="166">
        <v>0</v>
      </c>
      <c r="G77" s="227">
        <f>IF($B$2,IF(ROWS(B$6:$B77) = 1,$B77-Start_Date,$B77-$B76),"")</f>
        <v>6.3171643560053781E-3</v>
      </c>
      <c r="H77" s="29">
        <f>IF($B$2,IF(ROWS(B$6:$B77) = 1,IF(COUNTIFS(R_Schedule_Times,"&lt;"&amp;B77),INDEX(R_Schedule_Amounts,MATCH(B77,R_Schedule_Times,1)),Starting_Cash),IF(COUNTIFS(R_Schedule_Times,"&gt;"&amp;B76,R_Schedule_Times,"&lt;"&amp;B77),INDEX(R_Schedule_Amounts,MATCH(B77,R_Schedule_Times,1)),K76)),"")</f>
        <v>8680</v>
      </c>
      <c r="I77" s="30">
        <f t="shared" si="5"/>
        <v>20</v>
      </c>
      <c r="J77" s="31">
        <f t="shared" si="6"/>
        <v>0</v>
      </c>
      <c r="K77" s="29">
        <f t="shared" si="7"/>
        <v>8660</v>
      </c>
      <c r="L77" s="31" t="str">
        <f t="shared" si="8"/>
        <v/>
      </c>
      <c r="M77" s="31" t="str">
        <f t="shared" si="9"/>
        <v/>
      </c>
    </row>
    <row r="78" spans="1:13" x14ac:dyDescent="0.15">
      <c r="A78" s="163" t="s">
        <v>210</v>
      </c>
      <c r="B78" s="163">
        <v>42279.574184884259</v>
      </c>
      <c r="C78" s="164" t="s">
        <v>617</v>
      </c>
      <c r="D78" s="164" t="s">
        <v>13</v>
      </c>
      <c r="E78" s="165">
        <v>20</v>
      </c>
      <c r="F78" s="166">
        <v>0</v>
      </c>
      <c r="G78" s="227">
        <f>IF($B$2,IF(ROWS(B$6:$B78) = 1,$B78-Start_Date,$B78-$B77),"")</f>
        <v>2.7793402769020759E-3</v>
      </c>
      <c r="H78" s="29">
        <f>IF($B$2,IF(ROWS(B$6:$B78) = 1,IF(COUNTIFS(R_Schedule_Times,"&lt;"&amp;B78),INDEX(R_Schedule_Amounts,MATCH(B78,R_Schedule_Times,1)),Starting_Cash),IF(COUNTIFS(R_Schedule_Times,"&gt;"&amp;B77,R_Schedule_Times,"&lt;"&amp;B78),INDEX(R_Schedule_Amounts,MATCH(B78,R_Schedule_Times,1)),K77)),"")</f>
        <v>8660</v>
      </c>
      <c r="I78" s="30">
        <f t="shared" si="5"/>
        <v>20</v>
      </c>
      <c r="J78" s="31">
        <f t="shared" si="6"/>
        <v>0</v>
      </c>
      <c r="K78" s="29">
        <f t="shared" si="7"/>
        <v>8640</v>
      </c>
      <c r="L78" s="31" t="str">
        <f t="shared" si="8"/>
        <v/>
      </c>
      <c r="M78" s="31" t="str">
        <f t="shared" si="9"/>
        <v/>
      </c>
    </row>
    <row r="79" spans="1:13" x14ac:dyDescent="0.15">
      <c r="A79" s="163" t="s">
        <v>210</v>
      </c>
      <c r="B79" s="163">
        <v>42279.594150243058</v>
      </c>
      <c r="C79" s="164" t="s">
        <v>14</v>
      </c>
      <c r="D79" s="164" t="s">
        <v>13</v>
      </c>
      <c r="E79" s="165">
        <v>100</v>
      </c>
      <c r="F79" s="166">
        <v>3.5</v>
      </c>
      <c r="G79" s="227">
        <f>IF($B$2,IF(ROWS(B$6:$B79) = 1,$B79-Start_Date,$B79-$B78),"")</f>
        <v>1.9965358798799571E-2</v>
      </c>
      <c r="H79" s="29">
        <f>IF($B$2,IF(ROWS(B$6:$B79) = 1,IF(COUNTIFS(R_Schedule_Times,"&lt;"&amp;B79),INDEX(R_Schedule_Amounts,MATCH(B79,R_Schedule_Times,1)),Starting_Cash),IF(COUNTIFS(R_Schedule_Times,"&gt;"&amp;B78,R_Schedule_Times,"&lt;"&amp;B79),INDEX(R_Schedule_Amounts,MATCH(B79,R_Schedule_Times,1)),K78)),"")</f>
        <v>8640</v>
      </c>
      <c r="I79" s="30">
        <f t="shared" si="5"/>
        <v>100</v>
      </c>
      <c r="J79" s="31">
        <f t="shared" si="6"/>
        <v>3.5</v>
      </c>
      <c r="K79" s="29">
        <f t="shared" si="7"/>
        <v>8540</v>
      </c>
      <c r="L79" s="31" t="str">
        <f t="shared" si="8"/>
        <v/>
      </c>
      <c r="M79" s="31" t="str">
        <f t="shared" si="9"/>
        <v/>
      </c>
    </row>
    <row r="80" spans="1:13" x14ac:dyDescent="0.15">
      <c r="A80" s="163" t="s">
        <v>210</v>
      </c>
      <c r="B80" s="163">
        <v>42279.606842939815</v>
      </c>
      <c r="C80" s="164" t="s">
        <v>618</v>
      </c>
      <c r="D80" s="164" t="s">
        <v>13</v>
      </c>
      <c r="E80" s="165">
        <v>100</v>
      </c>
      <c r="F80" s="166">
        <v>0</v>
      </c>
      <c r="G80" s="227">
        <f>IF($B$2,IF(ROWS(B$6:$B80) = 1,$B80-Start_Date,$B80-$B79),"")</f>
        <v>1.2692696756857913E-2</v>
      </c>
      <c r="H80" s="29">
        <f>IF($B$2,IF(ROWS(B$6:$B80) = 1,IF(COUNTIFS(R_Schedule_Times,"&lt;"&amp;B80),INDEX(R_Schedule_Amounts,MATCH(B80,R_Schedule_Times,1)),Starting_Cash),IF(COUNTIFS(R_Schedule_Times,"&gt;"&amp;B79,R_Schedule_Times,"&lt;"&amp;B80),INDEX(R_Schedule_Amounts,MATCH(B80,R_Schedule_Times,1)),K79)),"")</f>
        <v>8540</v>
      </c>
      <c r="I80" s="30">
        <f t="shared" si="5"/>
        <v>100</v>
      </c>
      <c r="J80" s="31">
        <f t="shared" si="6"/>
        <v>0</v>
      </c>
      <c r="K80" s="29">
        <f t="shared" si="7"/>
        <v>8440</v>
      </c>
      <c r="L80" s="31" t="str">
        <f t="shared" si="8"/>
        <v/>
      </c>
      <c r="M80" s="31" t="str">
        <f t="shared" si="9"/>
        <v/>
      </c>
    </row>
    <row r="81" spans="1:13" x14ac:dyDescent="0.15">
      <c r="A81" s="163" t="s">
        <v>210</v>
      </c>
      <c r="B81" s="163">
        <v>42279.62945270833</v>
      </c>
      <c r="C81" s="164" t="s">
        <v>619</v>
      </c>
      <c r="D81" s="164" t="s">
        <v>15</v>
      </c>
      <c r="E81" s="165">
        <v>20</v>
      </c>
      <c r="F81" s="166">
        <v>0.6</v>
      </c>
      <c r="G81" s="227">
        <f>IF($B$2,IF(ROWS(B$6:$B81) = 1,$B81-Start_Date,$B81-$B80),"")</f>
        <v>2.2609768515394535E-2</v>
      </c>
      <c r="H81" s="29">
        <f>IF($B$2,IF(ROWS(B$6:$B81) = 1,IF(COUNTIFS(R_Schedule_Times,"&lt;"&amp;B81),INDEX(R_Schedule_Amounts,MATCH(B81,R_Schedule_Times,1)),Starting_Cash),IF(COUNTIFS(R_Schedule_Times,"&gt;"&amp;B80,R_Schedule_Times,"&lt;"&amp;B81),INDEX(R_Schedule_Amounts,MATCH(B81,R_Schedule_Times,1)),K80)),"")</f>
        <v>8440</v>
      </c>
      <c r="I81" s="30">
        <f t="shared" si="5"/>
        <v>20</v>
      </c>
      <c r="J81" s="31">
        <f t="shared" si="6"/>
        <v>0.6</v>
      </c>
      <c r="K81" s="29">
        <f t="shared" si="7"/>
        <v>8420</v>
      </c>
      <c r="L81" s="31" t="str">
        <f t="shared" si="8"/>
        <v/>
      </c>
      <c r="M81" s="31" t="str">
        <f t="shared" si="9"/>
        <v/>
      </c>
    </row>
    <row r="82" spans="1:13" x14ac:dyDescent="0.15">
      <c r="A82" s="163" t="s">
        <v>210</v>
      </c>
      <c r="B82" s="163">
        <v>42279.638139421295</v>
      </c>
      <c r="C82" s="164" t="s">
        <v>620</v>
      </c>
      <c r="D82" s="164" t="s">
        <v>13</v>
      </c>
      <c r="E82" s="165">
        <v>140</v>
      </c>
      <c r="F82" s="166">
        <v>0</v>
      </c>
      <c r="G82" s="227">
        <f>IF($B$2,IF(ROWS(B$6:$B82) = 1,$B82-Start_Date,$B82-$B81),"")</f>
        <v>8.6867129648453556E-3</v>
      </c>
      <c r="H82" s="29">
        <f>IF($B$2,IF(ROWS(B$6:$B82) = 1,IF(COUNTIFS(R_Schedule_Times,"&lt;"&amp;B82),INDEX(R_Schedule_Amounts,MATCH(B82,R_Schedule_Times,1)),Starting_Cash),IF(COUNTIFS(R_Schedule_Times,"&gt;"&amp;B81,R_Schedule_Times,"&lt;"&amp;B82),INDEX(R_Schedule_Amounts,MATCH(B82,R_Schedule_Times,1)),K81)),"")</f>
        <v>8420</v>
      </c>
      <c r="I82" s="30">
        <f t="shared" si="5"/>
        <v>140</v>
      </c>
      <c r="J82" s="31">
        <f t="shared" si="6"/>
        <v>0</v>
      </c>
      <c r="K82" s="29">
        <f t="shared" si="7"/>
        <v>8280</v>
      </c>
      <c r="L82" s="31" t="str">
        <f t="shared" si="8"/>
        <v/>
      </c>
      <c r="M82" s="31" t="str">
        <f t="shared" si="9"/>
        <v/>
      </c>
    </row>
    <row r="83" spans="1:13" x14ac:dyDescent="0.15">
      <c r="A83" s="163" t="s">
        <v>210</v>
      </c>
      <c r="B83" s="163">
        <v>42279.640143611112</v>
      </c>
      <c r="C83" s="164" t="s">
        <v>14</v>
      </c>
      <c r="D83" s="164" t="s">
        <v>13</v>
      </c>
      <c r="E83" s="165">
        <v>80</v>
      </c>
      <c r="F83" s="166">
        <v>3.5</v>
      </c>
      <c r="G83" s="227">
        <f>IF($B$2,IF(ROWS(B$6:$B83) = 1,$B83-Start_Date,$B83-$B82),"")</f>
        <v>2.0041898169438355E-3</v>
      </c>
      <c r="H83" s="29">
        <f>IF($B$2,IF(ROWS(B$6:$B83) = 1,IF(COUNTIFS(R_Schedule_Times,"&lt;"&amp;B83),INDEX(R_Schedule_Amounts,MATCH(B83,R_Schedule_Times,1)),Starting_Cash),IF(COUNTIFS(R_Schedule_Times,"&gt;"&amp;B82,R_Schedule_Times,"&lt;"&amp;B83),INDEX(R_Schedule_Amounts,MATCH(B83,R_Schedule_Times,1)),K82)),"")</f>
        <v>8280</v>
      </c>
      <c r="I83" s="30">
        <f t="shared" si="5"/>
        <v>80</v>
      </c>
      <c r="J83" s="31">
        <f t="shared" si="6"/>
        <v>3.5</v>
      </c>
      <c r="K83" s="29">
        <f t="shared" si="7"/>
        <v>8200</v>
      </c>
      <c r="L83" s="31" t="str">
        <f t="shared" si="8"/>
        <v/>
      </c>
      <c r="M83" s="31" t="str">
        <f t="shared" si="9"/>
        <v/>
      </c>
    </row>
    <row r="84" spans="1:13" x14ac:dyDescent="0.15">
      <c r="A84" s="163" t="s">
        <v>210</v>
      </c>
      <c r="B84" s="163">
        <v>42279.647527407411</v>
      </c>
      <c r="C84" s="164" t="s">
        <v>621</v>
      </c>
      <c r="D84" s="164" t="s">
        <v>13</v>
      </c>
      <c r="E84" s="165">
        <v>60</v>
      </c>
      <c r="F84" s="166">
        <v>0</v>
      </c>
      <c r="G84" s="227">
        <f>IF($B$2,IF(ROWS(B$6:$B84) = 1,$B84-Start_Date,$B84-$B83),"")</f>
        <v>7.3837962991092354E-3</v>
      </c>
      <c r="H84" s="29">
        <f>IF($B$2,IF(ROWS(B$6:$B84) = 1,IF(COUNTIFS(R_Schedule_Times,"&lt;"&amp;B84),INDEX(R_Schedule_Amounts,MATCH(B84,R_Schedule_Times,1)),Starting_Cash),IF(COUNTIFS(R_Schedule_Times,"&gt;"&amp;B83,R_Schedule_Times,"&lt;"&amp;B84),INDEX(R_Schedule_Amounts,MATCH(B84,R_Schedule_Times,1)),K83)),"")</f>
        <v>8200</v>
      </c>
      <c r="I84" s="30">
        <f t="shared" si="5"/>
        <v>60</v>
      </c>
      <c r="J84" s="31">
        <f t="shared" si="6"/>
        <v>0</v>
      </c>
      <c r="K84" s="29">
        <f t="shared" si="7"/>
        <v>8140</v>
      </c>
      <c r="L84" s="31" t="str">
        <f t="shared" si="8"/>
        <v/>
      </c>
      <c r="M84" s="31" t="str">
        <f t="shared" si="9"/>
        <v/>
      </c>
    </row>
    <row r="85" spans="1:13" x14ac:dyDescent="0.15">
      <c r="A85" s="163" t="s">
        <v>210</v>
      </c>
      <c r="B85" s="163">
        <v>42279.649163923612</v>
      </c>
      <c r="C85" s="164" t="s">
        <v>299</v>
      </c>
      <c r="D85" s="164" t="s">
        <v>13</v>
      </c>
      <c r="E85" s="165">
        <v>20</v>
      </c>
      <c r="F85" s="166">
        <v>0</v>
      </c>
      <c r="G85" s="227">
        <f>IF($B$2,IF(ROWS(B$6:$B85) = 1,$B85-Start_Date,$B85-$B84),"")</f>
        <v>1.6365162009606138E-3</v>
      </c>
      <c r="H85" s="29">
        <f>IF($B$2,IF(ROWS(B$6:$B85) = 1,IF(COUNTIFS(R_Schedule_Times,"&lt;"&amp;B85),INDEX(R_Schedule_Amounts,MATCH(B85,R_Schedule_Times,1)),Starting_Cash),IF(COUNTIFS(R_Schedule_Times,"&gt;"&amp;B84,R_Schedule_Times,"&lt;"&amp;B85),INDEX(R_Schedule_Amounts,MATCH(B85,R_Schedule_Times,1)),K84)),"")</f>
        <v>8140</v>
      </c>
      <c r="I85" s="30">
        <f t="shared" si="5"/>
        <v>20</v>
      </c>
      <c r="J85" s="31">
        <f t="shared" si="6"/>
        <v>0</v>
      </c>
      <c r="K85" s="29">
        <f t="shared" si="7"/>
        <v>8120</v>
      </c>
      <c r="L85" s="31" t="str">
        <f t="shared" si="8"/>
        <v/>
      </c>
      <c r="M85" s="31" t="str">
        <f t="shared" si="9"/>
        <v/>
      </c>
    </row>
    <row r="86" spans="1:13" x14ac:dyDescent="0.15">
      <c r="A86" s="163" t="s">
        <v>210</v>
      </c>
      <c r="B86" s="163">
        <v>42279.658044571763</v>
      </c>
      <c r="C86" s="164" t="s">
        <v>622</v>
      </c>
      <c r="D86" s="164" t="s">
        <v>13</v>
      </c>
      <c r="E86" s="165">
        <v>100</v>
      </c>
      <c r="F86" s="166">
        <v>0</v>
      </c>
      <c r="G86" s="227">
        <f>IF($B$2,IF(ROWS(B$6:$B86) = 1,$B86-Start_Date,$B86-$B85),"")</f>
        <v>8.8806481508072466E-3</v>
      </c>
      <c r="H86" s="29">
        <f>IF($B$2,IF(ROWS(B$6:$B86) = 1,IF(COUNTIFS(R_Schedule_Times,"&lt;"&amp;B86),INDEX(R_Schedule_Amounts,MATCH(B86,R_Schedule_Times,1)),Starting_Cash),IF(COUNTIFS(R_Schedule_Times,"&gt;"&amp;B85,R_Schedule_Times,"&lt;"&amp;B86),INDEX(R_Schedule_Amounts,MATCH(B86,R_Schedule_Times,1)),K85)),"")</f>
        <v>8120</v>
      </c>
      <c r="I86" s="30">
        <f t="shared" si="5"/>
        <v>100</v>
      </c>
      <c r="J86" s="31">
        <f t="shared" si="6"/>
        <v>0</v>
      </c>
      <c r="K86" s="29">
        <f t="shared" si="7"/>
        <v>8020</v>
      </c>
      <c r="L86" s="31" t="str">
        <f t="shared" si="8"/>
        <v/>
      </c>
      <c r="M86" s="31" t="str">
        <f t="shared" si="9"/>
        <v/>
      </c>
    </row>
    <row r="87" spans="1:13" x14ac:dyDescent="0.15">
      <c r="A87" s="163" t="s">
        <v>210</v>
      </c>
      <c r="B87" s="163">
        <v>42279.65899974537</v>
      </c>
      <c r="C87" s="164" t="s">
        <v>623</v>
      </c>
      <c r="D87" s="164" t="s">
        <v>13</v>
      </c>
      <c r="E87" s="165">
        <v>20</v>
      </c>
      <c r="F87" s="166">
        <v>0</v>
      </c>
      <c r="G87" s="227">
        <f>IF($B$2,IF(ROWS(B$6:$B87) = 1,$B87-Start_Date,$B87-$B86),"")</f>
        <v>9.5517360750818625E-4</v>
      </c>
      <c r="H87" s="29">
        <f>IF($B$2,IF(ROWS(B$6:$B87) = 1,IF(COUNTIFS(R_Schedule_Times,"&lt;"&amp;B87),INDEX(R_Schedule_Amounts,MATCH(B87,R_Schedule_Times,1)),Starting_Cash),IF(COUNTIFS(R_Schedule_Times,"&gt;"&amp;B86,R_Schedule_Times,"&lt;"&amp;B87),INDEX(R_Schedule_Amounts,MATCH(B87,R_Schedule_Times,1)),K86)),"")</f>
        <v>8020</v>
      </c>
      <c r="I87" s="30">
        <f t="shared" si="5"/>
        <v>20</v>
      </c>
      <c r="J87" s="31">
        <f t="shared" si="6"/>
        <v>0</v>
      </c>
      <c r="K87" s="29">
        <f t="shared" si="7"/>
        <v>8000</v>
      </c>
      <c r="L87" s="31" t="str">
        <f t="shared" si="8"/>
        <v/>
      </c>
      <c r="M87" s="31" t="str">
        <f t="shared" si="9"/>
        <v/>
      </c>
    </row>
    <row r="88" spans="1:13" x14ac:dyDescent="0.15">
      <c r="A88" s="163" t="s">
        <v>210</v>
      </c>
      <c r="B88" s="163">
        <v>42279.671767777778</v>
      </c>
      <c r="C88" s="164" t="s">
        <v>300</v>
      </c>
      <c r="D88" s="164" t="s">
        <v>13</v>
      </c>
      <c r="E88" s="165">
        <v>20</v>
      </c>
      <c r="F88" s="166">
        <v>0</v>
      </c>
      <c r="G88" s="227">
        <f>IF($B$2,IF(ROWS(B$6:$B88) = 1,$B88-Start_Date,$B88-$B87),"")</f>
        <v>1.2768032407620922E-2</v>
      </c>
      <c r="H88" s="29">
        <f>IF($B$2,IF(ROWS(B$6:$B88) = 1,IF(COUNTIFS(R_Schedule_Times,"&lt;"&amp;B88),INDEX(R_Schedule_Amounts,MATCH(B88,R_Schedule_Times,1)),Starting_Cash),IF(COUNTIFS(R_Schedule_Times,"&gt;"&amp;B87,R_Schedule_Times,"&lt;"&amp;B88),INDEX(R_Schedule_Amounts,MATCH(B88,R_Schedule_Times,1)),K87)),"")</f>
        <v>8000</v>
      </c>
      <c r="I88" s="30">
        <f t="shared" si="5"/>
        <v>20</v>
      </c>
      <c r="J88" s="31">
        <f t="shared" si="6"/>
        <v>0</v>
      </c>
      <c r="K88" s="29">
        <f t="shared" si="7"/>
        <v>7980</v>
      </c>
      <c r="L88" s="31" t="str">
        <f t="shared" si="8"/>
        <v/>
      </c>
      <c r="M88" s="31" t="str">
        <f t="shared" si="9"/>
        <v/>
      </c>
    </row>
    <row r="89" spans="1:13" x14ac:dyDescent="0.15">
      <c r="A89" s="163" t="s">
        <v>210</v>
      </c>
      <c r="B89" s="163">
        <v>42279.707055057872</v>
      </c>
      <c r="C89" s="164" t="s">
        <v>624</v>
      </c>
      <c r="D89" s="164" t="s">
        <v>13</v>
      </c>
      <c r="E89" s="165">
        <v>40</v>
      </c>
      <c r="F89" s="166">
        <v>0</v>
      </c>
      <c r="G89" s="227">
        <f>IF($B$2,IF(ROWS(B$6:$B89) = 1,$B89-Start_Date,$B89-$B88),"")</f>
        <v>3.5287280094053131E-2</v>
      </c>
      <c r="H89" s="29">
        <f>IF($B$2,IF(ROWS(B$6:$B89) = 1,IF(COUNTIFS(R_Schedule_Times,"&lt;"&amp;B89),INDEX(R_Schedule_Amounts,MATCH(B89,R_Schedule_Times,1)),Starting_Cash),IF(COUNTIFS(R_Schedule_Times,"&gt;"&amp;B88,R_Schedule_Times,"&lt;"&amp;B89),INDEX(R_Schedule_Amounts,MATCH(B89,R_Schedule_Times,1)),K88)),"")</f>
        <v>7980</v>
      </c>
      <c r="I89" s="30">
        <f t="shared" si="5"/>
        <v>40</v>
      </c>
      <c r="J89" s="31">
        <f t="shared" si="6"/>
        <v>0</v>
      </c>
      <c r="K89" s="29">
        <f t="shared" si="7"/>
        <v>7940</v>
      </c>
      <c r="L89" s="31" t="str">
        <f t="shared" si="8"/>
        <v/>
      </c>
      <c r="M89" s="31" t="str">
        <f t="shared" si="9"/>
        <v/>
      </c>
    </row>
    <row r="90" spans="1:13" x14ac:dyDescent="0.15">
      <c r="A90" s="163" t="s">
        <v>210</v>
      </c>
      <c r="B90" s="163">
        <v>42279.714697233794</v>
      </c>
      <c r="C90" s="164" t="s">
        <v>301</v>
      </c>
      <c r="D90" s="164" t="s">
        <v>13</v>
      </c>
      <c r="E90" s="165">
        <v>500</v>
      </c>
      <c r="F90" s="166">
        <v>0</v>
      </c>
      <c r="G90" s="227">
        <f>IF($B$2,IF(ROWS(B$6:$B90) = 1,$B90-Start_Date,$B90-$B89),"")</f>
        <v>7.6421759222284891E-3</v>
      </c>
      <c r="H90" s="29">
        <f>IF($B$2,IF(ROWS(B$6:$B90) = 1,IF(COUNTIFS(R_Schedule_Times,"&lt;"&amp;B90),INDEX(R_Schedule_Amounts,MATCH(B90,R_Schedule_Times,1)),Starting_Cash),IF(COUNTIFS(R_Schedule_Times,"&gt;"&amp;B89,R_Schedule_Times,"&lt;"&amp;B90),INDEX(R_Schedule_Amounts,MATCH(B90,R_Schedule_Times,1)),K89)),"")</f>
        <v>7940</v>
      </c>
      <c r="I90" s="30">
        <f t="shared" si="5"/>
        <v>500</v>
      </c>
      <c r="J90" s="31">
        <f t="shared" si="6"/>
        <v>0</v>
      </c>
      <c r="K90" s="29">
        <f t="shared" si="7"/>
        <v>7440</v>
      </c>
      <c r="L90" s="31" t="str">
        <f t="shared" si="8"/>
        <v/>
      </c>
      <c r="M90" s="31" t="str">
        <f t="shared" si="9"/>
        <v/>
      </c>
    </row>
    <row r="91" spans="1:13" x14ac:dyDescent="0.15">
      <c r="A91" s="163" t="s">
        <v>210</v>
      </c>
      <c r="B91" s="163">
        <v>42279.72513071759</v>
      </c>
      <c r="C91" s="164" t="s">
        <v>625</v>
      </c>
      <c r="D91" s="164" t="s">
        <v>13</v>
      </c>
      <c r="E91" s="165">
        <v>60</v>
      </c>
      <c r="F91" s="166">
        <v>0</v>
      </c>
      <c r="G91" s="227">
        <f>IF($B$2,IF(ROWS(B$6:$B91) = 1,$B91-Start_Date,$B91-$B90),"")</f>
        <v>1.043348379607778E-2</v>
      </c>
      <c r="H91" s="29">
        <f>IF($B$2,IF(ROWS(B$6:$B91) = 1,IF(COUNTIFS(R_Schedule_Times,"&lt;"&amp;B91),INDEX(R_Schedule_Amounts,MATCH(B91,R_Schedule_Times,1)),Starting_Cash),IF(COUNTIFS(R_Schedule_Times,"&gt;"&amp;B90,R_Schedule_Times,"&lt;"&amp;B91),INDEX(R_Schedule_Amounts,MATCH(B91,R_Schedule_Times,1)),K90)),"")</f>
        <v>7440</v>
      </c>
      <c r="I91" s="30">
        <f t="shared" si="5"/>
        <v>60</v>
      </c>
      <c r="J91" s="31">
        <f t="shared" si="6"/>
        <v>0</v>
      </c>
      <c r="K91" s="29">
        <f t="shared" si="7"/>
        <v>7380</v>
      </c>
      <c r="L91" s="31" t="str">
        <f t="shared" si="8"/>
        <v/>
      </c>
      <c r="M91" s="31" t="str">
        <f t="shared" si="9"/>
        <v/>
      </c>
    </row>
    <row r="92" spans="1:13" x14ac:dyDescent="0.15">
      <c r="A92" s="163" t="s">
        <v>210</v>
      </c>
      <c r="B92" s="163">
        <v>42279.733250185185</v>
      </c>
      <c r="C92" s="164" t="s">
        <v>93</v>
      </c>
      <c r="D92" s="164" t="s">
        <v>13</v>
      </c>
      <c r="E92" s="165">
        <v>200</v>
      </c>
      <c r="F92" s="166">
        <v>0</v>
      </c>
      <c r="G92" s="227">
        <f>IF($B$2,IF(ROWS(B$6:$B92) = 1,$B92-Start_Date,$B92-$B91),"")</f>
        <v>8.1194675949518569E-3</v>
      </c>
      <c r="H92" s="29">
        <f>IF($B$2,IF(ROWS(B$6:$B92) = 1,IF(COUNTIFS(R_Schedule_Times,"&lt;"&amp;B92),INDEX(R_Schedule_Amounts,MATCH(B92,R_Schedule_Times,1)),Starting_Cash),IF(COUNTIFS(R_Schedule_Times,"&gt;"&amp;B91,R_Schedule_Times,"&lt;"&amp;B92),INDEX(R_Schedule_Amounts,MATCH(B92,R_Schedule_Times,1)),K91)),"")</f>
        <v>7380</v>
      </c>
      <c r="I92" s="30">
        <f t="shared" si="5"/>
        <v>200</v>
      </c>
      <c r="J92" s="31">
        <f t="shared" si="6"/>
        <v>0</v>
      </c>
      <c r="K92" s="29">
        <f t="shared" si="7"/>
        <v>7180</v>
      </c>
      <c r="L92" s="31" t="str">
        <f t="shared" si="8"/>
        <v/>
      </c>
      <c r="M92" s="31" t="str">
        <f t="shared" si="9"/>
        <v/>
      </c>
    </row>
    <row r="93" spans="1:13" x14ac:dyDescent="0.15">
      <c r="A93" s="163" t="s">
        <v>210</v>
      </c>
      <c r="B93" s="163">
        <v>42279.739876967593</v>
      </c>
      <c r="C93" s="164" t="s">
        <v>14</v>
      </c>
      <c r="D93" s="164" t="s">
        <v>13</v>
      </c>
      <c r="E93" s="165">
        <v>100</v>
      </c>
      <c r="F93" s="166">
        <v>3.5</v>
      </c>
      <c r="G93" s="227">
        <f>IF($B$2,IF(ROWS(B$6:$B93) = 1,$B93-Start_Date,$B93-$B92),"")</f>
        <v>6.6267824076930992E-3</v>
      </c>
      <c r="H93" s="29">
        <f>IF($B$2,IF(ROWS(B$6:$B93) = 1,IF(COUNTIFS(R_Schedule_Times,"&lt;"&amp;B93),INDEX(R_Schedule_Amounts,MATCH(B93,R_Schedule_Times,1)),Starting_Cash),IF(COUNTIFS(R_Schedule_Times,"&gt;"&amp;B92,R_Schedule_Times,"&lt;"&amp;B93),INDEX(R_Schedule_Amounts,MATCH(B93,R_Schedule_Times,1)),K92)),"")</f>
        <v>7180</v>
      </c>
      <c r="I93" s="30">
        <f t="shared" si="5"/>
        <v>100</v>
      </c>
      <c r="J93" s="31">
        <f t="shared" si="6"/>
        <v>3.5</v>
      </c>
      <c r="K93" s="29">
        <f t="shared" si="7"/>
        <v>7080</v>
      </c>
      <c r="L93" s="31" t="str">
        <f t="shared" si="8"/>
        <v/>
      </c>
      <c r="M93" s="31" t="str">
        <f t="shared" si="9"/>
        <v/>
      </c>
    </row>
    <row r="94" spans="1:13" x14ac:dyDescent="0.15">
      <c r="A94" s="163" t="s">
        <v>210</v>
      </c>
      <c r="B94" s="163">
        <v>42279.747984074071</v>
      </c>
      <c r="C94" s="164" t="s">
        <v>121</v>
      </c>
      <c r="D94" s="164" t="s">
        <v>13</v>
      </c>
      <c r="E94" s="165">
        <v>100</v>
      </c>
      <c r="F94" s="166">
        <v>0</v>
      </c>
      <c r="G94" s="227">
        <f>IF($B$2,IF(ROWS(B$6:$B94) = 1,$B94-Start_Date,$B94-$B93),"")</f>
        <v>8.1071064778370783E-3</v>
      </c>
      <c r="H94" s="29">
        <f>IF($B$2,IF(ROWS(B$6:$B94) = 1,IF(COUNTIFS(R_Schedule_Times,"&lt;"&amp;B94),INDEX(R_Schedule_Amounts,MATCH(B94,R_Schedule_Times,1)),Starting_Cash),IF(COUNTIFS(R_Schedule_Times,"&gt;"&amp;B93,R_Schedule_Times,"&lt;"&amp;B94),INDEX(R_Schedule_Amounts,MATCH(B94,R_Schedule_Times,1)),K93)),"")</f>
        <v>7080</v>
      </c>
      <c r="I94" s="30">
        <f t="shared" si="5"/>
        <v>100</v>
      </c>
      <c r="J94" s="31">
        <f t="shared" si="6"/>
        <v>0</v>
      </c>
      <c r="K94" s="29">
        <f t="shared" si="7"/>
        <v>6980</v>
      </c>
      <c r="L94" s="31" t="str">
        <f t="shared" si="8"/>
        <v/>
      </c>
      <c r="M94" s="31" t="str">
        <f t="shared" si="9"/>
        <v/>
      </c>
    </row>
    <row r="95" spans="1:13" x14ac:dyDescent="0.15">
      <c r="A95" s="163" t="s">
        <v>210</v>
      </c>
      <c r="B95" s="163">
        <v>42279.758972731484</v>
      </c>
      <c r="C95" s="164" t="s">
        <v>14</v>
      </c>
      <c r="D95" s="164" t="s">
        <v>13</v>
      </c>
      <c r="E95" s="165">
        <v>60</v>
      </c>
      <c r="F95" s="166">
        <v>3.5</v>
      </c>
      <c r="G95" s="227">
        <f>IF($B$2,IF(ROWS(B$6:$B95) = 1,$B95-Start_Date,$B95-$B94),"")</f>
        <v>1.0988657413690817E-2</v>
      </c>
      <c r="H95" s="29">
        <f>IF($B$2,IF(ROWS(B$6:$B95) = 1,IF(COUNTIFS(R_Schedule_Times,"&lt;"&amp;B95),INDEX(R_Schedule_Amounts,MATCH(B95,R_Schedule_Times,1)),Starting_Cash),IF(COUNTIFS(R_Schedule_Times,"&gt;"&amp;B94,R_Schedule_Times,"&lt;"&amp;B95),INDEX(R_Schedule_Amounts,MATCH(B95,R_Schedule_Times,1)),K94)),"")</f>
        <v>6980</v>
      </c>
      <c r="I95" s="30">
        <f t="shared" si="5"/>
        <v>60</v>
      </c>
      <c r="J95" s="31">
        <f t="shared" si="6"/>
        <v>3.5</v>
      </c>
      <c r="K95" s="29">
        <f t="shared" si="7"/>
        <v>6920</v>
      </c>
      <c r="L95" s="31" t="str">
        <f t="shared" si="8"/>
        <v/>
      </c>
      <c r="M95" s="31" t="str">
        <f t="shared" si="9"/>
        <v/>
      </c>
    </row>
    <row r="96" spans="1:13" x14ac:dyDescent="0.15">
      <c r="A96" s="163" t="s">
        <v>210</v>
      </c>
      <c r="B96" s="163">
        <v>42279.760918229164</v>
      </c>
      <c r="C96" s="164" t="s">
        <v>626</v>
      </c>
      <c r="D96" s="164" t="s">
        <v>13</v>
      </c>
      <c r="E96" s="165">
        <v>100</v>
      </c>
      <c r="F96" s="166">
        <v>0</v>
      </c>
      <c r="G96" s="227">
        <f>IF($B$2,IF(ROWS(B$6:$B96) = 1,$B96-Start_Date,$B96-$B95),"")</f>
        <v>1.94549767911667E-3</v>
      </c>
      <c r="H96" s="29">
        <f>IF($B$2,IF(ROWS(B$6:$B96) = 1,IF(COUNTIFS(R_Schedule_Times,"&lt;"&amp;B96),INDEX(R_Schedule_Amounts,MATCH(B96,R_Schedule_Times,1)),Starting_Cash),IF(COUNTIFS(R_Schedule_Times,"&gt;"&amp;B95,R_Schedule_Times,"&lt;"&amp;B96),INDEX(R_Schedule_Amounts,MATCH(B96,R_Schedule_Times,1)),K95)),"")</f>
        <v>6920</v>
      </c>
      <c r="I96" s="30">
        <f t="shared" si="5"/>
        <v>100</v>
      </c>
      <c r="J96" s="31">
        <f t="shared" si="6"/>
        <v>0</v>
      </c>
      <c r="K96" s="29">
        <f t="shared" si="7"/>
        <v>6820</v>
      </c>
      <c r="L96" s="31" t="str">
        <f t="shared" si="8"/>
        <v/>
      </c>
      <c r="M96" s="31" t="str">
        <f t="shared" si="9"/>
        <v/>
      </c>
    </row>
    <row r="97" spans="1:13" x14ac:dyDescent="0.15">
      <c r="A97" s="163" t="s">
        <v>210</v>
      </c>
      <c r="B97" s="163">
        <v>42279.790346064816</v>
      </c>
      <c r="C97" s="164" t="s">
        <v>627</v>
      </c>
      <c r="D97" s="164" t="s">
        <v>13</v>
      </c>
      <c r="E97" s="165">
        <v>100</v>
      </c>
      <c r="F97" s="166">
        <v>0</v>
      </c>
      <c r="G97" s="227">
        <f>IF($B$2,IF(ROWS(B$6:$B97) = 1,$B97-Start_Date,$B97-$B96),"")</f>
        <v>2.9427835652313661E-2</v>
      </c>
      <c r="H97" s="29">
        <f>IF($B$2,IF(ROWS(B$6:$B97) = 1,IF(COUNTIFS(R_Schedule_Times,"&lt;"&amp;B97),INDEX(R_Schedule_Amounts,MATCH(B97,R_Schedule_Times,1)),Starting_Cash),IF(COUNTIFS(R_Schedule_Times,"&gt;"&amp;B96,R_Schedule_Times,"&lt;"&amp;B97),INDEX(R_Schedule_Amounts,MATCH(B97,R_Schedule_Times,1)),K96)),"")</f>
        <v>6820</v>
      </c>
      <c r="I97" s="30">
        <f t="shared" si="5"/>
        <v>100</v>
      </c>
      <c r="J97" s="31">
        <f t="shared" si="6"/>
        <v>0</v>
      </c>
      <c r="K97" s="29">
        <f t="shared" si="7"/>
        <v>6720</v>
      </c>
      <c r="L97" s="31" t="str">
        <f t="shared" si="8"/>
        <v/>
      </c>
      <c r="M97" s="31" t="str">
        <f t="shared" si="9"/>
        <v/>
      </c>
    </row>
    <row r="98" spans="1:13" x14ac:dyDescent="0.15">
      <c r="A98" s="163" t="s">
        <v>210</v>
      </c>
      <c r="B98" s="163">
        <v>42279.840672754632</v>
      </c>
      <c r="C98" s="164" t="s">
        <v>628</v>
      </c>
      <c r="D98" s="164" t="s">
        <v>13</v>
      </c>
      <c r="E98" s="165">
        <v>80</v>
      </c>
      <c r="F98" s="166">
        <v>0</v>
      </c>
      <c r="G98" s="227">
        <f>IF($B$2,IF(ROWS(B$6:$B98) = 1,$B98-Start_Date,$B98-$B97),"")</f>
        <v>5.0326689815847203E-2</v>
      </c>
      <c r="H98" s="29">
        <f>IF($B$2,IF(ROWS(B$6:$B98) = 1,IF(COUNTIFS(R_Schedule_Times,"&lt;"&amp;B98),INDEX(R_Schedule_Amounts,MATCH(B98,R_Schedule_Times,1)),Starting_Cash),IF(COUNTIFS(R_Schedule_Times,"&gt;"&amp;B97,R_Schedule_Times,"&lt;"&amp;B98),INDEX(R_Schedule_Amounts,MATCH(B98,R_Schedule_Times,1)),K97)),"")</f>
        <v>6720</v>
      </c>
      <c r="I98" s="30">
        <f t="shared" si="5"/>
        <v>80</v>
      </c>
      <c r="J98" s="31">
        <f t="shared" si="6"/>
        <v>0</v>
      </c>
      <c r="K98" s="29">
        <f t="shared" si="7"/>
        <v>6640</v>
      </c>
      <c r="L98" s="31" t="str">
        <f t="shared" si="8"/>
        <v/>
      </c>
      <c r="M98" s="31" t="str">
        <f t="shared" si="9"/>
        <v/>
      </c>
    </row>
    <row r="99" spans="1:13" x14ac:dyDescent="0.15">
      <c r="A99" s="163" t="s">
        <v>210</v>
      </c>
      <c r="B99" s="163">
        <v>42279.848915439812</v>
      </c>
      <c r="C99" s="164" t="s">
        <v>629</v>
      </c>
      <c r="D99" s="164" t="s">
        <v>13</v>
      </c>
      <c r="E99" s="165">
        <v>500</v>
      </c>
      <c r="F99" s="166">
        <v>0</v>
      </c>
      <c r="G99" s="227">
        <f>IF($B$2,IF(ROWS(B$6:$B99) = 1,$B99-Start_Date,$B99-$B98),"")</f>
        <v>8.2426851804484613E-3</v>
      </c>
      <c r="H99" s="29">
        <f>IF($B$2,IF(ROWS(B$6:$B99) = 1,IF(COUNTIFS(R_Schedule_Times,"&lt;"&amp;B99),INDEX(R_Schedule_Amounts,MATCH(B99,R_Schedule_Times,1)),Starting_Cash),IF(COUNTIFS(R_Schedule_Times,"&gt;"&amp;B98,R_Schedule_Times,"&lt;"&amp;B99),INDEX(R_Schedule_Amounts,MATCH(B99,R_Schedule_Times,1)),K98)),"")</f>
        <v>6640</v>
      </c>
      <c r="I99" s="30">
        <f t="shared" si="5"/>
        <v>500</v>
      </c>
      <c r="J99" s="31">
        <f t="shared" si="6"/>
        <v>0</v>
      </c>
      <c r="K99" s="29">
        <f t="shared" si="7"/>
        <v>6140</v>
      </c>
      <c r="L99" s="31" t="str">
        <f t="shared" si="8"/>
        <v/>
      </c>
      <c r="M99" s="31" t="str">
        <f t="shared" si="9"/>
        <v/>
      </c>
    </row>
    <row r="100" spans="1:13" x14ac:dyDescent="0.15">
      <c r="A100" s="163" t="s">
        <v>210</v>
      </c>
      <c r="B100" s="163">
        <v>42279.873767569443</v>
      </c>
      <c r="C100" s="164" t="s">
        <v>243</v>
      </c>
      <c r="D100" s="164" t="s">
        <v>13</v>
      </c>
      <c r="E100" s="165">
        <v>100</v>
      </c>
      <c r="F100" s="166">
        <v>0</v>
      </c>
      <c r="G100" s="227">
        <f>IF($B$2,IF(ROWS(B$6:$B100) = 1,$B100-Start_Date,$B100-$B99),"")</f>
        <v>2.4852129630744457E-2</v>
      </c>
      <c r="H100" s="29">
        <f>IF($B$2,IF(ROWS(B$6:$B100) = 1,IF(COUNTIFS(R_Schedule_Times,"&lt;"&amp;B100),INDEX(R_Schedule_Amounts,MATCH(B100,R_Schedule_Times,1)),Starting_Cash),IF(COUNTIFS(R_Schedule_Times,"&gt;"&amp;B99,R_Schedule_Times,"&lt;"&amp;B100),INDEX(R_Schedule_Amounts,MATCH(B100,R_Schedule_Times,1)),K99)),"")</f>
        <v>6140</v>
      </c>
      <c r="I100" s="30">
        <f t="shared" si="5"/>
        <v>100</v>
      </c>
      <c r="J100" s="31">
        <f t="shared" si="6"/>
        <v>0</v>
      </c>
      <c r="K100" s="29">
        <f t="shared" si="7"/>
        <v>6040</v>
      </c>
      <c r="L100" s="31" t="str">
        <f t="shared" si="8"/>
        <v/>
      </c>
      <c r="M100" s="31" t="str">
        <f t="shared" si="9"/>
        <v/>
      </c>
    </row>
    <row r="101" spans="1:13" x14ac:dyDescent="0.15">
      <c r="A101" s="163" t="s">
        <v>210</v>
      </c>
      <c r="B101" s="163">
        <v>42279.882912604167</v>
      </c>
      <c r="C101" s="164" t="s">
        <v>14</v>
      </c>
      <c r="D101" s="164" t="s">
        <v>13</v>
      </c>
      <c r="E101" s="165">
        <v>100</v>
      </c>
      <c r="F101" s="166">
        <v>3.5</v>
      </c>
      <c r="G101" s="227">
        <f>IF($B$2,IF(ROWS(B$6:$B101) = 1,$B101-Start_Date,$B101-$B100),"")</f>
        <v>9.1450347244972363E-3</v>
      </c>
      <c r="H101" s="29">
        <f>IF($B$2,IF(ROWS(B$6:$B101) = 1,IF(COUNTIFS(R_Schedule_Times,"&lt;"&amp;B101),INDEX(R_Schedule_Amounts,MATCH(B101,R_Schedule_Times,1)),Starting_Cash),IF(COUNTIFS(R_Schedule_Times,"&gt;"&amp;B100,R_Schedule_Times,"&lt;"&amp;B101),INDEX(R_Schedule_Amounts,MATCH(B101,R_Schedule_Times,1)),K100)),"")</f>
        <v>6040</v>
      </c>
      <c r="I101" s="30">
        <f t="shared" si="5"/>
        <v>100</v>
      </c>
      <c r="J101" s="31">
        <f t="shared" si="6"/>
        <v>3.5</v>
      </c>
      <c r="K101" s="29">
        <f t="shared" si="7"/>
        <v>5940</v>
      </c>
      <c r="L101" s="31" t="str">
        <f t="shared" si="8"/>
        <v/>
      </c>
      <c r="M101" s="31" t="str">
        <f t="shared" si="9"/>
        <v/>
      </c>
    </row>
    <row r="102" spans="1:13" x14ac:dyDescent="0.15">
      <c r="A102" s="163" t="s">
        <v>210</v>
      </c>
      <c r="B102" s="163">
        <v>42279.908619953705</v>
      </c>
      <c r="C102" s="164" t="s">
        <v>630</v>
      </c>
      <c r="D102" s="164" t="s">
        <v>13</v>
      </c>
      <c r="E102" s="165">
        <v>120</v>
      </c>
      <c r="F102" s="166">
        <v>0</v>
      </c>
      <c r="G102" s="227">
        <f>IF($B$2,IF(ROWS(B$6:$B102) = 1,$B102-Start_Date,$B102-$B101),"")</f>
        <v>2.5707349537697155E-2</v>
      </c>
      <c r="H102" s="29">
        <f>IF($B$2,IF(ROWS(B$6:$B102) = 1,IF(COUNTIFS(R_Schedule_Times,"&lt;"&amp;B102),INDEX(R_Schedule_Amounts,MATCH(B102,R_Schedule_Times,1)),Starting_Cash),IF(COUNTIFS(R_Schedule_Times,"&gt;"&amp;B101,R_Schedule_Times,"&lt;"&amp;B102),INDEX(R_Schedule_Amounts,MATCH(B102,R_Schedule_Times,1)),K101)),"")</f>
        <v>5940</v>
      </c>
      <c r="I102" s="30">
        <f t="shared" si="5"/>
        <v>120</v>
      </c>
      <c r="J102" s="31">
        <f t="shared" si="6"/>
        <v>0</v>
      </c>
      <c r="K102" s="29">
        <f t="shared" si="7"/>
        <v>5820</v>
      </c>
      <c r="L102" s="31" t="str">
        <f t="shared" si="8"/>
        <v/>
      </c>
      <c r="M102" s="31" t="str">
        <f t="shared" si="9"/>
        <v/>
      </c>
    </row>
    <row r="103" spans="1:13" x14ac:dyDescent="0.15">
      <c r="A103" s="163" t="s">
        <v>210</v>
      </c>
      <c r="B103" s="163">
        <v>42280.045092546294</v>
      </c>
      <c r="C103" s="164" t="s">
        <v>631</v>
      </c>
      <c r="D103" s="164" t="s">
        <v>13</v>
      </c>
      <c r="E103" s="165">
        <v>20</v>
      </c>
      <c r="F103" s="166">
        <v>0</v>
      </c>
      <c r="G103" s="227">
        <f>IF($B$2,IF(ROWS(B$6:$B103) = 1,$B103-Start_Date,$B103-$B102),"")</f>
        <v>0.13647259258868871</v>
      </c>
      <c r="H103" s="29">
        <f>IF($B$2,IF(ROWS(B$6:$B103) = 1,IF(COUNTIFS(R_Schedule_Times,"&lt;"&amp;B103),INDEX(R_Schedule_Amounts,MATCH(B103,R_Schedule_Times,1)),Starting_Cash),IF(COUNTIFS(R_Schedule_Times,"&gt;"&amp;B102,R_Schedule_Times,"&lt;"&amp;B103),INDEX(R_Schedule_Amounts,MATCH(B103,R_Schedule_Times,1)),K102)),"")</f>
        <v>5820</v>
      </c>
      <c r="I103" s="30">
        <f t="shared" si="5"/>
        <v>20</v>
      </c>
      <c r="J103" s="31">
        <f t="shared" si="6"/>
        <v>0</v>
      </c>
      <c r="K103" s="29">
        <f t="shared" si="7"/>
        <v>5800</v>
      </c>
      <c r="L103" s="31" t="str">
        <f t="shared" si="8"/>
        <v/>
      </c>
      <c r="M103" s="31" t="str">
        <f t="shared" si="9"/>
        <v/>
      </c>
    </row>
    <row r="104" spans="1:13" x14ac:dyDescent="0.15">
      <c r="A104" s="163" t="s">
        <v>210</v>
      </c>
      <c r="B104" s="163">
        <v>42280.303034594908</v>
      </c>
      <c r="C104" s="164" t="s">
        <v>632</v>
      </c>
      <c r="D104" s="164" t="s">
        <v>15</v>
      </c>
      <c r="E104" s="165">
        <v>100</v>
      </c>
      <c r="F104" s="166">
        <v>3</v>
      </c>
      <c r="G104" s="227">
        <f>IF($B$2,IF(ROWS(B$6:$B104) = 1,$B104-Start_Date,$B104-$B103),"")</f>
        <v>0.25794204861449543</v>
      </c>
      <c r="H104" s="29">
        <f>IF($B$2,IF(ROWS(B$6:$B104) = 1,IF(COUNTIFS(R_Schedule_Times,"&lt;"&amp;B104),INDEX(R_Schedule_Amounts,MATCH(B104,R_Schedule_Times,1)),Starting_Cash),IF(COUNTIFS(R_Schedule_Times,"&gt;"&amp;B103,R_Schedule_Times,"&lt;"&amp;B104),INDEX(R_Schedule_Amounts,MATCH(B104,R_Schedule_Times,1)),K103)),"")</f>
        <v>5800</v>
      </c>
      <c r="I104" s="30">
        <f t="shared" si="5"/>
        <v>100</v>
      </c>
      <c r="J104" s="31">
        <f t="shared" si="6"/>
        <v>3</v>
      </c>
      <c r="K104" s="29">
        <f t="shared" si="7"/>
        <v>5700</v>
      </c>
      <c r="L104" s="31" t="str">
        <f t="shared" si="8"/>
        <v/>
      </c>
      <c r="M104" s="31" t="str">
        <f t="shared" si="9"/>
        <v/>
      </c>
    </row>
    <row r="105" spans="1:13" x14ac:dyDescent="0.15">
      <c r="A105" s="163" t="s">
        <v>210</v>
      </c>
      <c r="B105" s="163">
        <v>42280.376007696759</v>
      </c>
      <c r="C105" s="164" t="s">
        <v>633</v>
      </c>
      <c r="D105" s="164" t="s">
        <v>13</v>
      </c>
      <c r="E105" s="165">
        <v>200</v>
      </c>
      <c r="F105" s="166">
        <v>0</v>
      </c>
      <c r="G105" s="227">
        <f>IF($B$2,IF(ROWS(B$6:$B105) = 1,$B105-Start_Date,$B105-$B104),"")</f>
        <v>7.2973101850948296E-2</v>
      </c>
      <c r="H105" s="29">
        <f>IF($B$2,IF(ROWS(B$6:$B105) = 1,IF(COUNTIFS(R_Schedule_Times,"&lt;"&amp;B105),INDEX(R_Schedule_Amounts,MATCH(B105,R_Schedule_Times,1)),Starting_Cash),IF(COUNTIFS(R_Schedule_Times,"&gt;"&amp;B104,R_Schedule_Times,"&lt;"&amp;B105),INDEX(R_Schedule_Amounts,MATCH(B105,R_Schedule_Times,1)),K104)),"")</f>
        <v>5700</v>
      </c>
      <c r="I105" s="30">
        <f t="shared" si="5"/>
        <v>200</v>
      </c>
      <c r="J105" s="31">
        <f t="shared" si="6"/>
        <v>0</v>
      </c>
      <c r="K105" s="29">
        <f t="shared" si="7"/>
        <v>5500</v>
      </c>
      <c r="L105" s="31" t="str">
        <f t="shared" si="8"/>
        <v/>
      </c>
      <c r="M105" s="31" t="str">
        <f t="shared" si="9"/>
        <v/>
      </c>
    </row>
    <row r="106" spans="1:13" x14ac:dyDescent="0.15">
      <c r="A106" s="163" t="s">
        <v>210</v>
      </c>
      <c r="B106" s="163">
        <v>42280.407905902779</v>
      </c>
      <c r="C106" s="164" t="s">
        <v>634</v>
      </c>
      <c r="D106" s="164" t="s">
        <v>13</v>
      </c>
      <c r="E106" s="165">
        <v>100</v>
      </c>
      <c r="F106" s="166">
        <v>0</v>
      </c>
      <c r="G106" s="227">
        <f>IF($B$2,IF(ROWS(B$6:$B106) = 1,$B106-Start_Date,$B106-$B105),"")</f>
        <v>3.1898206019832287E-2</v>
      </c>
      <c r="H106" s="29">
        <f>IF($B$2,IF(ROWS(B$6:$B106) = 1,IF(COUNTIFS(R_Schedule_Times,"&lt;"&amp;B106),INDEX(R_Schedule_Amounts,MATCH(B106,R_Schedule_Times,1)),Starting_Cash),IF(COUNTIFS(R_Schedule_Times,"&gt;"&amp;B105,R_Schedule_Times,"&lt;"&amp;B106),INDEX(R_Schedule_Amounts,MATCH(B106,R_Schedule_Times,1)),K105)),"")</f>
        <v>5500</v>
      </c>
      <c r="I106" s="30">
        <f t="shared" si="5"/>
        <v>100</v>
      </c>
      <c r="J106" s="31">
        <f t="shared" si="6"/>
        <v>0</v>
      </c>
      <c r="K106" s="29">
        <f t="shared" si="7"/>
        <v>5400</v>
      </c>
      <c r="L106" s="31" t="str">
        <f t="shared" si="8"/>
        <v/>
      </c>
      <c r="M106" s="31" t="str">
        <f t="shared" si="9"/>
        <v/>
      </c>
    </row>
    <row r="107" spans="1:13" x14ac:dyDescent="0.15">
      <c r="A107" s="163" t="s">
        <v>210</v>
      </c>
      <c r="B107" s="163">
        <v>42280.437833715281</v>
      </c>
      <c r="C107" s="164" t="s">
        <v>635</v>
      </c>
      <c r="D107" s="164" t="s">
        <v>13</v>
      </c>
      <c r="E107" s="165">
        <v>120</v>
      </c>
      <c r="F107" s="166">
        <v>0</v>
      </c>
      <c r="G107" s="227">
        <f>IF($B$2,IF(ROWS(B$6:$B107) = 1,$B107-Start_Date,$B107-$B106),"")</f>
        <v>2.9927812502137385E-2</v>
      </c>
      <c r="H107" s="29">
        <f>IF($B$2,IF(ROWS(B$6:$B107) = 1,IF(COUNTIFS(R_Schedule_Times,"&lt;"&amp;B107),INDEX(R_Schedule_Amounts,MATCH(B107,R_Schedule_Times,1)),Starting_Cash),IF(COUNTIFS(R_Schedule_Times,"&gt;"&amp;B106,R_Schedule_Times,"&lt;"&amp;B107),INDEX(R_Schedule_Amounts,MATCH(B107,R_Schedule_Times,1)),K106)),"")</f>
        <v>5400</v>
      </c>
      <c r="I107" s="30">
        <f t="shared" si="5"/>
        <v>120</v>
      </c>
      <c r="J107" s="31">
        <f t="shared" si="6"/>
        <v>0</v>
      </c>
      <c r="K107" s="29">
        <f t="shared" si="7"/>
        <v>5280</v>
      </c>
      <c r="L107" s="31" t="str">
        <f t="shared" si="8"/>
        <v/>
      </c>
      <c r="M107" s="31" t="str">
        <f t="shared" si="9"/>
        <v/>
      </c>
    </row>
    <row r="108" spans="1:13" x14ac:dyDescent="0.15">
      <c r="A108" s="163" t="s">
        <v>210</v>
      </c>
      <c r="B108" s="163">
        <v>42280.43986677083</v>
      </c>
      <c r="C108" s="164" t="s">
        <v>14</v>
      </c>
      <c r="D108" s="164" t="s">
        <v>13</v>
      </c>
      <c r="E108" s="165">
        <v>400</v>
      </c>
      <c r="F108" s="166">
        <v>3.5</v>
      </c>
      <c r="G108" s="227">
        <f>IF($B$2,IF(ROWS(B$6:$B108) = 1,$B108-Start_Date,$B108-$B107),"")</f>
        <v>2.0330555489636026E-3</v>
      </c>
      <c r="H108" s="29">
        <f>IF($B$2,IF(ROWS(B$6:$B108) = 1,IF(COUNTIFS(R_Schedule_Times,"&lt;"&amp;B108),INDEX(R_Schedule_Amounts,MATCH(B108,R_Schedule_Times,1)),Starting_Cash),IF(COUNTIFS(R_Schedule_Times,"&gt;"&amp;B107,R_Schedule_Times,"&lt;"&amp;B108),INDEX(R_Schedule_Amounts,MATCH(B108,R_Schedule_Times,1)),K107)),"")</f>
        <v>5280</v>
      </c>
      <c r="I108" s="30">
        <f t="shared" si="5"/>
        <v>400</v>
      </c>
      <c r="J108" s="31">
        <f t="shared" si="6"/>
        <v>3.5</v>
      </c>
      <c r="K108" s="29">
        <f t="shared" si="7"/>
        <v>4880</v>
      </c>
      <c r="L108" s="31" t="str">
        <f t="shared" si="8"/>
        <v/>
      </c>
      <c r="M108" s="31" t="str">
        <f t="shared" si="9"/>
        <v/>
      </c>
    </row>
    <row r="109" spans="1:13" x14ac:dyDescent="0.15">
      <c r="A109" s="163" t="s">
        <v>210</v>
      </c>
      <c r="B109" s="163">
        <v>42280.44818550926</v>
      </c>
      <c r="C109" s="164" t="s">
        <v>14</v>
      </c>
      <c r="D109" s="164" t="s">
        <v>13</v>
      </c>
      <c r="E109" s="165">
        <v>120</v>
      </c>
      <c r="F109" s="166">
        <v>3.5</v>
      </c>
      <c r="G109" s="227">
        <f>IF($B$2,IF(ROWS(B$6:$B109) = 1,$B109-Start_Date,$B109-$B108),"")</f>
        <v>8.3187384298071265E-3</v>
      </c>
      <c r="H109" s="29">
        <f>IF($B$2,IF(ROWS(B$6:$B109) = 1,IF(COUNTIFS(R_Schedule_Times,"&lt;"&amp;B109),INDEX(R_Schedule_Amounts,MATCH(B109,R_Schedule_Times,1)),Starting_Cash),IF(COUNTIFS(R_Schedule_Times,"&gt;"&amp;B108,R_Schedule_Times,"&lt;"&amp;B109),INDEX(R_Schedule_Amounts,MATCH(B109,R_Schedule_Times,1)),K108)),"")</f>
        <v>4880</v>
      </c>
      <c r="I109" s="30">
        <f t="shared" si="5"/>
        <v>120</v>
      </c>
      <c r="J109" s="31">
        <f t="shared" si="6"/>
        <v>3.5</v>
      </c>
      <c r="K109" s="29">
        <f t="shared" si="7"/>
        <v>4760</v>
      </c>
      <c r="L109" s="31" t="str">
        <f t="shared" si="8"/>
        <v/>
      </c>
      <c r="M109" s="31" t="str">
        <f t="shared" si="9"/>
        <v/>
      </c>
    </row>
    <row r="110" spans="1:13" x14ac:dyDescent="0.15">
      <c r="A110" s="163" t="s">
        <v>210</v>
      </c>
      <c r="B110" s="163">
        <v>42280.451104270833</v>
      </c>
      <c r="C110" s="164" t="s">
        <v>636</v>
      </c>
      <c r="D110" s="164" t="s">
        <v>13</v>
      </c>
      <c r="E110" s="165">
        <v>100</v>
      </c>
      <c r="F110" s="166">
        <v>0</v>
      </c>
      <c r="G110" s="227">
        <f>IF($B$2,IF(ROWS(B$6:$B110) = 1,$B110-Start_Date,$B110-$B109),"")</f>
        <v>2.9187615728005767E-3</v>
      </c>
      <c r="H110" s="29">
        <f>IF($B$2,IF(ROWS(B$6:$B110) = 1,IF(COUNTIFS(R_Schedule_Times,"&lt;"&amp;B110),INDEX(R_Schedule_Amounts,MATCH(B110,R_Schedule_Times,1)),Starting_Cash),IF(COUNTIFS(R_Schedule_Times,"&gt;"&amp;B109,R_Schedule_Times,"&lt;"&amp;B110),INDEX(R_Schedule_Amounts,MATCH(B110,R_Schedule_Times,1)),K109)),"")</f>
        <v>4760</v>
      </c>
      <c r="I110" s="30">
        <f t="shared" si="5"/>
        <v>100</v>
      </c>
      <c r="J110" s="31">
        <f t="shared" si="6"/>
        <v>0</v>
      </c>
      <c r="K110" s="29">
        <f t="shared" si="7"/>
        <v>4660</v>
      </c>
      <c r="L110" s="31" t="str">
        <f t="shared" si="8"/>
        <v/>
      </c>
      <c r="M110" s="31" t="str">
        <f t="shared" si="9"/>
        <v/>
      </c>
    </row>
    <row r="111" spans="1:13" x14ac:dyDescent="0.15">
      <c r="A111" s="163" t="s">
        <v>210</v>
      </c>
      <c r="B111" s="163">
        <v>42280.464760798612</v>
      </c>
      <c r="C111" s="164" t="s">
        <v>302</v>
      </c>
      <c r="D111" s="164" t="s">
        <v>13</v>
      </c>
      <c r="E111" s="165">
        <v>40</v>
      </c>
      <c r="F111" s="166">
        <v>0</v>
      </c>
      <c r="G111" s="227">
        <f>IF($B$2,IF(ROWS(B$6:$B111) = 1,$B111-Start_Date,$B111-$B110),"")</f>
        <v>1.3656527778948657E-2</v>
      </c>
      <c r="H111" s="29">
        <f>IF($B$2,IF(ROWS(B$6:$B111) = 1,IF(COUNTIFS(R_Schedule_Times,"&lt;"&amp;B111),INDEX(R_Schedule_Amounts,MATCH(B111,R_Schedule_Times,1)),Starting_Cash),IF(COUNTIFS(R_Schedule_Times,"&gt;"&amp;B110,R_Schedule_Times,"&lt;"&amp;B111),INDEX(R_Schedule_Amounts,MATCH(B111,R_Schedule_Times,1)),K110)),"")</f>
        <v>4660</v>
      </c>
      <c r="I111" s="30">
        <f t="shared" si="5"/>
        <v>40</v>
      </c>
      <c r="J111" s="31">
        <f t="shared" si="6"/>
        <v>0</v>
      </c>
      <c r="K111" s="29">
        <f t="shared" si="7"/>
        <v>4620</v>
      </c>
      <c r="L111" s="31" t="str">
        <f t="shared" si="8"/>
        <v/>
      </c>
      <c r="M111" s="31" t="str">
        <f t="shared" si="9"/>
        <v/>
      </c>
    </row>
    <row r="112" spans="1:13" x14ac:dyDescent="0.15">
      <c r="A112" s="163" t="s">
        <v>210</v>
      </c>
      <c r="B112" s="163">
        <v>42280.491674375</v>
      </c>
      <c r="C112" s="164" t="s">
        <v>637</v>
      </c>
      <c r="D112" s="164" t="s">
        <v>15</v>
      </c>
      <c r="E112" s="165">
        <v>80</v>
      </c>
      <c r="F112" s="166">
        <v>2.4</v>
      </c>
      <c r="G112" s="227">
        <f>IF($B$2,IF(ROWS(B$6:$B112) = 1,$B112-Start_Date,$B112-$B111),"")</f>
        <v>2.6913576388324145E-2</v>
      </c>
      <c r="H112" s="29">
        <f>IF($B$2,IF(ROWS(B$6:$B112) = 1,IF(COUNTIFS(R_Schedule_Times,"&lt;"&amp;B112),INDEX(R_Schedule_Amounts,MATCH(B112,R_Schedule_Times,1)),Starting_Cash),IF(COUNTIFS(R_Schedule_Times,"&gt;"&amp;B111,R_Schedule_Times,"&lt;"&amp;B112),INDEX(R_Schedule_Amounts,MATCH(B112,R_Schedule_Times,1)),K111)),"")</f>
        <v>4620</v>
      </c>
      <c r="I112" s="30">
        <f t="shared" si="5"/>
        <v>80</v>
      </c>
      <c r="J112" s="31">
        <f t="shared" si="6"/>
        <v>2.4</v>
      </c>
      <c r="K112" s="29">
        <f t="shared" si="7"/>
        <v>4540</v>
      </c>
      <c r="L112" s="31" t="str">
        <f t="shared" si="8"/>
        <v/>
      </c>
      <c r="M112" s="31" t="str">
        <f t="shared" si="9"/>
        <v/>
      </c>
    </row>
    <row r="113" spans="1:13" x14ac:dyDescent="0.15">
      <c r="A113" s="163" t="s">
        <v>210</v>
      </c>
      <c r="B113" s="163">
        <v>42280.519083657404</v>
      </c>
      <c r="C113" s="164" t="s">
        <v>14</v>
      </c>
      <c r="D113" s="164" t="s">
        <v>15</v>
      </c>
      <c r="E113" s="165">
        <v>100</v>
      </c>
      <c r="F113" s="166">
        <v>5.5</v>
      </c>
      <c r="G113" s="227">
        <f>IF($B$2,IF(ROWS(B$6:$B113) = 1,$B113-Start_Date,$B113-$B112),"")</f>
        <v>2.7409282403823454E-2</v>
      </c>
      <c r="H113" s="29">
        <f>IF($B$2,IF(ROWS(B$6:$B113) = 1,IF(COUNTIFS(R_Schedule_Times,"&lt;"&amp;B113),INDEX(R_Schedule_Amounts,MATCH(B113,R_Schedule_Times,1)),Starting_Cash),IF(COUNTIFS(R_Schedule_Times,"&gt;"&amp;B112,R_Schedule_Times,"&lt;"&amp;B113),INDEX(R_Schedule_Amounts,MATCH(B113,R_Schedule_Times,1)),K112)),"")</f>
        <v>4540</v>
      </c>
      <c r="I113" s="30">
        <f t="shared" si="5"/>
        <v>100</v>
      </c>
      <c r="J113" s="31">
        <f t="shared" si="6"/>
        <v>5.5</v>
      </c>
      <c r="K113" s="29">
        <f t="shared" si="7"/>
        <v>4440</v>
      </c>
      <c r="L113" s="31" t="str">
        <f t="shared" si="8"/>
        <v/>
      </c>
      <c r="M113" s="31" t="str">
        <f t="shared" si="9"/>
        <v/>
      </c>
    </row>
    <row r="114" spans="1:13" x14ac:dyDescent="0.15">
      <c r="A114" s="163" t="s">
        <v>210</v>
      </c>
      <c r="B114" s="163">
        <v>42280.521403969906</v>
      </c>
      <c r="C114" s="164" t="s">
        <v>638</v>
      </c>
      <c r="D114" s="164" t="s">
        <v>13</v>
      </c>
      <c r="E114" s="165">
        <v>100</v>
      </c>
      <c r="F114" s="166">
        <v>0</v>
      </c>
      <c r="G114" s="227">
        <f>IF($B$2,IF(ROWS(B$6:$B114) = 1,$B114-Start_Date,$B114-$B113),"")</f>
        <v>2.3203125019790605E-3</v>
      </c>
      <c r="H114" s="29">
        <f>IF($B$2,IF(ROWS(B$6:$B114) = 1,IF(COUNTIFS(R_Schedule_Times,"&lt;"&amp;B114),INDEX(R_Schedule_Amounts,MATCH(B114,R_Schedule_Times,1)),Starting_Cash),IF(COUNTIFS(R_Schedule_Times,"&gt;"&amp;B113,R_Schedule_Times,"&lt;"&amp;B114),INDEX(R_Schedule_Amounts,MATCH(B114,R_Schedule_Times,1)),K113)),"")</f>
        <v>4440</v>
      </c>
      <c r="I114" s="30">
        <f t="shared" si="5"/>
        <v>100</v>
      </c>
      <c r="J114" s="31">
        <f t="shared" si="6"/>
        <v>0</v>
      </c>
      <c r="K114" s="29">
        <f t="shared" si="7"/>
        <v>4340</v>
      </c>
      <c r="L114" s="31" t="str">
        <f t="shared" si="8"/>
        <v/>
      </c>
      <c r="M114" s="31" t="str">
        <f t="shared" si="9"/>
        <v/>
      </c>
    </row>
    <row r="115" spans="1:13" x14ac:dyDescent="0.15">
      <c r="A115" s="163" t="s">
        <v>210</v>
      </c>
      <c r="B115" s="163">
        <v>42280.534889826391</v>
      </c>
      <c r="C115" s="164" t="s">
        <v>14</v>
      </c>
      <c r="D115" s="164" t="s">
        <v>13</v>
      </c>
      <c r="E115" s="165">
        <v>100</v>
      </c>
      <c r="F115" s="166">
        <v>3.5</v>
      </c>
      <c r="G115" s="227">
        <f>IF($B$2,IF(ROWS(B$6:$B115) = 1,$B115-Start_Date,$B115-$B114),"")</f>
        <v>1.348585648520384E-2</v>
      </c>
      <c r="H115" s="29">
        <f>IF($B$2,IF(ROWS(B$6:$B115) = 1,IF(COUNTIFS(R_Schedule_Times,"&lt;"&amp;B115),INDEX(R_Schedule_Amounts,MATCH(B115,R_Schedule_Times,1)),Starting_Cash),IF(COUNTIFS(R_Schedule_Times,"&gt;"&amp;B114,R_Schedule_Times,"&lt;"&amp;B115),INDEX(R_Schedule_Amounts,MATCH(B115,R_Schedule_Times,1)),K114)),"")</f>
        <v>4340</v>
      </c>
      <c r="I115" s="30">
        <f t="shared" si="5"/>
        <v>100</v>
      </c>
      <c r="J115" s="31">
        <f t="shared" si="6"/>
        <v>3.5</v>
      </c>
      <c r="K115" s="29">
        <f t="shared" si="7"/>
        <v>4240</v>
      </c>
      <c r="L115" s="31" t="str">
        <f t="shared" si="8"/>
        <v/>
      </c>
      <c r="M115" s="31" t="str">
        <f t="shared" si="9"/>
        <v/>
      </c>
    </row>
    <row r="116" spans="1:13" x14ac:dyDescent="0.15">
      <c r="A116" s="163" t="s">
        <v>210</v>
      </c>
      <c r="B116" s="163">
        <v>42280.535611273146</v>
      </c>
      <c r="C116" s="164" t="s">
        <v>639</v>
      </c>
      <c r="D116" s="164" t="s">
        <v>13</v>
      </c>
      <c r="E116" s="165">
        <v>40</v>
      </c>
      <c r="F116" s="166">
        <v>0</v>
      </c>
      <c r="G116" s="227">
        <f>IF($B$2,IF(ROWS(B$6:$B116) = 1,$B116-Start_Date,$B116-$B115),"")</f>
        <v>7.2144675505114719E-4</v>
      </c>
      <c r="H116" s="29">
        <f>IF($B$2,IF(ROWS(B$6:$B116) = 1,IF(COUNTIFS(R_Schedule_Times,"&lt;"&amp;B116),INDEX(R_Schedule_Amounts,MATCH(B116,R_Schedule_Times,1)),Starting_Cash),IF(COUNTIFS(R_Schedule_Times,"&gt;"&amp;B115,R_Schedule_Times,"&lt;"&amp;B116),INDEX(R_Schedule_Amounts,MATCH(B116,R_Schedule_Times,1)),K115)),"")</f>
        <v>4240</v>
      </c>
      <c r="I116" s="30">
        <f t="shared" si="5"/>
        <v>40</v>
      </c>
      <c r="J116" s="31">
        <f t="shared" si="6"/>
        <v>0</v>
      </c>
      <c r="K116" s="29">
        <f t="shared" si="7"/>
        <v>4200</v>
      </c>
      <c r="L116" s="31" t="str">
        <f t="shared" si="8"/>
        <v/>
      </c>
      <c r="M116" s="31" t="str">
        <f t="shared" si="9"/>
        <v/>
      </c>
    </row>
    <row r="117" spans="1:13" x14ac:dyDescent="0.15">
      <c r="A117" s="163" t="s">
        <v>210</v>
      </c>
      <c r="B117" s="163">
        <v>42280.540025543982</v>
      </c>
      <c r="C117" s="164" t="s">
        <v>640</v>
      </c>
      <c r="D117" s="164" t="s">
        <v>13</v>
      </c>
      <c r="E117" s="165">
        <v>60</v>
      </c>
      <c r="F117" s="166">
        <v>0</v>
      </c>
      <c r="G117" s="227">
        <f>IF($B$2,IF(ROWS(B$6:$B117) = 1,$B117-Start_Date,$B117-$B116),"")</f>
        <v>4.4142708356957883E-3</v>
      </c>
      <c r="H117" s="29">
        <f>IF($B$2,IF(ROWS(B$6:$B117) = 1,IF(COUNTIFS(R_Schedule_Times,"&lt;"&amp;B117),INDEX(R_Schedule_Amounts,MATCH(B117,R_Schedule_Times,1)),Starting_Cash),IF(COUNTIFS(R_Schedule_Times,"&gt;"&amp;B116,R_Schedule_Times,"&lt;"&amp;B117),INDEX(R_Schedule_Amounts,MATCH(B117,R_Schedule_Times,1)),K116)),"")</f>
        <v>4200</v>
      </c>
      <c r="I117" s="30">
        <f t="shared" si="5"/>
        <v>60</v>
      </c>
      <c r="J117" s="31">
        <f t="shared" si="6"/>
        <v>0</v>
      </c>
      <c r="K117" s="29">
        <f t="shared" si="7"/>
        <v>4140</v>
      </c>
      <c r="L117" s="31" t="str">
        <f t="shared" si="8"/>
        <v/>
      </c>
      <c r="M117" s="31" t="str">
        <f t="shared" si="9"/>
        <v/>
      </c>
    </row>
    <row r="118" spans="1:13" x14ac:dyDescent="0.15">
      <c r="A118" s="163" t="s">
        <v>210</v>
      </c>
      <c r="B118" s="163">
        <v>42280.586990474534</v>
      </c>
      <c r="C118" s="164" t="s">
        <v>641</v>
      </c>
      <c r="D118" s="164" t="s">
        <v>13</v>
      </c>
      <c r="E118" s="165">
        <v>100</v>
      </c>
      <c r="F118" s="166">
        <v>0</v>
      </c>
      <c r="G118" s="227">
        <f>IF($B$2,IF(ROWS(B$6:$B118) = 1,$B118-Start_Date,$B118-$B117),"")</f>
        <v>4.696493055234896E-2</v>
      </c>
      <c r="H118" s="29">
        <f>IF($B$2,IF(ROWS(B$6:$B118) = 1,IF(COUNTIFS(R_Schedule_Times,"&lt;"&amp;B118),INDEX(R_Schedule_Amounts,MATCH(B118,R_Schedule_Times,1)),Starting_Cash),IF(COUNTIFS(R_Schedule_Times,"&gt;"&amp;B117,R_Schedule_Times,"&lt;"&amp;B118),INDEX(R_Schedule_Amounts,MATCH(B118,R_Schedule_Times,1)),K117)),"")</f>
        <v>4140</v>
      </c>
      <c r="I118" s="30">
        <f t="shared" si="5"/>
        <v>100</v>
      </c>
      <c r="J118" s="31">
        <f t="shared" si="6"/>
        <v>0</v>
      </c>
      <c r="K118" s="29">
        <f t="shared" si="7"/>
        <v>4040</v>
      </c>
      <c r="L118" s="31" t="str">
        <f t="shared" si="8"/>
        <v/>
      </c>
      <c r="M118" s="31" t="str">
        <f t="shared" si="9"/>
        <v/>
      </c>
    </row>
    <row r="119" spans="1:13" x14ac:dyDescent="0.15">
      <c r="A119" s="163" t="s">
        <v>210</v>
      </c>
      <c r="B119" s="163">
        <v>42280.601652800928</v>
      </c>
      <c r="C119" s="164" t="s">
        <v>642</v>
      </c>
      <c r="D119" s="164" t="s">
        <v>13</v>
      </c>
      <c r="E119" s="165">
        <v>500</v>
      </c>
      <c r="F119" s="166">
        <v>0</v>
      </c>
      <c r="G119" s="227">
        <f>IF($B$2,IF(ROWS(B$6:$B119) = 1,$B119-Start_Date,$B119-$B118),"")</f>
        <v>1.4662326393590774E-2</v>
      </c>
      <c r="H119" s="29">
        <f>IF($B$2,IF(ROWS(B$6:$B119) = 1,IF(COUNTIFS(R_Schedule_Times,"&lt;"&amp;B119),INDEX(R_Schedule_Amounts,MATCH(B119,R_Schedule_Times,1)),Starting_Cash),IF(COUNTIFS(R_Schedule_Times,"&gt;"&amp;B118,R_Schedule_Times,"&lt;"&amp;B119),INDEX(R_Schedule_Amounts,MATCH(B119,R_Schedule_Times,1)),K118)),"")</f>
        <v>4040</v>
      </c>
      <c r="I119" s="30">
        <f t="shared" si="5"/>
        <v>500</v>
      </c>
      <c r="J119" s="31">
        <f t="shared" si="6"/>
        <v>0</v>
      </c>
      <c r="K119" s="29">
        <f t="shared" si="7"/>
        <v>3540</v>
      </c>
      <c r="L119" s="31" t="str">
        <f t="shared" si="8"/>
        <v/>
      </c>
      <c r="M119" s="31" t="str">
        <f t="shared" si="9"/>
        <v/>
      </c>
    </row>
    <row r="120" spans="1:13" x14ac:dyDescent="0.15">
      <c r="A120" s="163" t="s">
        <v>210</v>
      </c>
      <c r="B120" s="163">
        <v>42280.617112638887</v>
      </c>
      <c r="C120" s="164" t="s">
        <v>643</v>
      </c>
      <c r="D120" s="164" t="s">
        <v>13</v>
      </c>
      <c r="E120" s="165">
        <v>100</v>
      </c>
      <c r="F120" s="166">
        <v>0</v>
      </c>
      <c r="G120" s="227">
        <f>IF($B$2,IF(ROWS(B$6:$B120) = 1,$B120-Start_Date,$B120-$B119),"")</f>
        <v>1.5459837959497236E-2</v>
      </c>
      <c r="H120" s="29">
        <f>IF($B$2,IF(ROWS(B$6:$B120) = 1,IF(COUNTIFS(R_Schedule_Times,"&lt;"&amp;B120),INDEX(R_Schedule_Amounts,MATCH(B120,R_Schedule_Times,1)),Starting_Cash),IF(COUNTIFS(R_Schedule_Times,"&gt;"&amp;B119,R_Schedule_Times,"&lt;"&amp;B120),INDEX(R_Schedule_Amounts,MATCH(B120,R_Schedule_Times,1)),K119)),"")</f>
        <v>3540</v>
      </c>
      <c r="I120" s="30">
        <f t="shared" si="5"/>
        <v>100</v>
      </c>
      <c r="J120" s="31">
        <f t="shared" si="6"/>
        <v>0</v>
      </c>
      <c r="K120" s="29">
        <f t="shared" si="7"/>
        <v>3440</v>
      </c>
      <c r="L120" s="31" t="str">
        <f t="shared" si="8"/>
        <v/>
      </c>
      <c r="M120" s="31" t="str">
        <f t="shared" si="9"/>
        <v/>
      </c>
    </row>
    <row r="121" spans="1:13" x14ac:dyDescent="0.15">
      <c r="A121" s="163" t="s">
        <v>210</v>
      </c>
      <c r="B121" s="163">
        <v>42280.626945243057</v>
      </c>
      <c r="C121" s="164" t="s">
        <v>644</v>
      </c>
      <c r="D121" s="164" t="s">
        <v>13</v>
      </c>
      <c r="E121" s="165">
        <v>80</v>
      </c>
      <c r="F121" s="166">
        <v>0</v>
      </c>
      <c r="G121" s="227">
        <f>IF($B$2,IF(ROWS(B$6:$B121) = 1,$B121-Start_Date,$B121-$B120),"")</f>
        <v>9.8326041697873734E-3</v>
      </c>
      <c r="H121" s="29">
        <f>IF($B$2,IF(ROWS(B$6:$B121) = 1,IF(COUNTIFS(R_Schedule_Times,"&lt;"&amp;B121),INDEX(R_Schedule_Amounts,MATCH(B121,R_Schedule_Times,1)),Starting_Cash),IF(COUNTIFS(R_Schedule_Times,"&gt;"&amp;B120,R_Schedule_Times,"&lt;"&amp;B121),INDEX(R_Schedule_Amounts,MATCH(B121,R_Schedule_Times,1)),K120)),"")</f>
        <v>3440</v>
      </c>
      <c r="I121" s="30">
        <f t="shared" si="5"/>
        <v>80</v>
      </c>
      <c r="J121" s="31">
        <f t="shared" si="6"/>
        <v>0</v>
      </c>
      <c r="K121" s="29">
        <f t="shared" si="7"/>
        <v>3360</v>
      </c>
      <c r="L121" s="31" t="str">
        <f t="shared" si="8"/>
        <v/>
      </c>
      <c r="M121" s="31" t="str">
        <f t="shared" si="9"/>
        <v/>
      </c>
    </row>
    <row r="122" spans="1:13" x14ac:dyDescent="0.15">
      <c r="A122" s="163" t="s">
        <v>210</v>
      </c>
      <c r="B122" s="163">
        <v>42280.640452673608</v>
      </c>
      <c r="C122" s="164" t="s">
        <v>14</v>
      </c>
      <c r="D122" s="164" t="s">
        <v>13</v>
      </c>
      <c r="E122" s="165">
        <v>100</v>
      </c>
      <c r="F122" s="166">
        <v>3.5</v>
      </c>
      <c r="G122" s="227">
        <f>IF($B$2,IF(ROWS(B$6:$B122) = 1,$B122-Start_Date,$B122-$B121),"")</f>
        <v>1.3507430550816935E-2</v>
      </c>
      <c r="H122" s="29">
        <f>IF($B$2,IF(ROWS(B$6:$B122) = 1,IF(COUNTIFS(R_Schedule_Times,"&lt;"&amp;B122),INDEX(R_Schedule_Amounts,MATCH(B122,R_Schedule_Times,1)),Starting_Cash),IF(COUNTIFS(R_Schedule_Times,"&gt;"&amp;B121,R_Schedule_Times,"&lt;"&amp;B122),INDEX(R_Schedule_Amounts,MATCH(B122,R_Schedule_Times,1)),K121)),"")</f>
        <v>3360</v>
      </c>
      <c r="I122" s="30">
        <f t="shared" si="5"/>
        <v>100</v>
      </c>
      <c r="J122" s="31">
        <f t="shared" si="6"/>
        <v>3.5</v>
      </c>
      <c r="K122" s="29">
        <f t="shared" si="7"/>
        <v>3260</v>
      </c>
      <c r="L122" s="31" t="str">
        <f t="shared" si="8"/>
        <v/>
      </c>
      <c r="M122" s="31" t="str">
        <f t="shared" si="9"/>
        <v/>
      </c>
    </row>
    <row r="123" spans="1:13" x14ac:dyDescent="0.15">
      <c r="A123" s="163" t="s">
        <v>210</v>
      </c>
      <c r="B123" s="163">
        <v>42280.643470208335</v>
      </c>
      <c r="C123" s="164" t="s">
        <v>14</v>
      </c>
      <c r="D123" s="164" t="s">
        <v>13</v>
      </c>
      <c r="E123" s="165">
        <v>60</v>
      </c>
      <c r="F123" s="166">
        <v>3.5</v>
      </c>
      <c r="G123" s="227">
        <f>IF($B$2,IF(ROWS(B$6:$B123) = 1,$B123-Start_Date,$B123-$B122),"")</f>
        <v>3.0175347274052911E-3</v>
      </c>
      <c r="H123" s="29">
        <f>IF($B$2,IF(ROWS(B$6:$B123) = 1,IF(COUNTIFS(R_Schedule_Times,"&lt;"&amp;B123),INDEX(R_Schedule_Amounts,MATCH(B123,R_Schedule_Times,1)),Starting_Cash),IF(COUNTIFS(R_Schedule_Times,"&gt;"&amp;B122,R_Schedule_Times,"&lt;"&amp;B123),INDEX(R_Schedule_Amounts,MATCH(B123,R_Schedule_Times,1)),K122)),"")</f>
        <v>3260</v>
      </c>
      <c r="I123" s="30">
        <f t="shared" si="5"/>
        <v>60</v>
      </c>
      <c r="J123" s="31">
        <f t="shared" si="6"/>
        <v>3.5</v>
      </c>
      <c r="K123" s="29">
        <f t="shared" si="7"/>
        <v>3200</v>
      </c>
      <c r="L123" s="31" t="str">
        <f t="shared" si="8"/>
        <v/>
      </c>
      <c r="M123" s="31" t="str">
        <f t="shared" si="9"/>
        <v/>
      </c>
    </row>
    <row r="124" spans="1:13" x14ac:dyDescent="0.15">
      <c r="A124" s="163" t="s">
        <v>210</v>
      </c>
      <c r="B124" s="163">
        <v>42280.659993657406</v>
      </c>
      <c r="C124" s="164" t="s">
        <v>645</v>
      </c>
      <c r="D124" s="164" t="s">
        <v>13</v>
      </c>
      <c r="E124" s="165">
        <v>40</v>
      </c>
      <c r="F124" s="166">
        <v>0</v>
      </c>
      <c r="G124" s="227">
        <f>IF($B$2,IF(ROWS(B$6:$B124) = 1,$B124-Start_Date,$B124-$B123),"")</f>
        <v>1.6523449070518836E-2</v>
      </c>
      <c r="H124" s="29">
        <f>IF($B$2,IF(ROWS(B$6:$B124) = 1,IF(COUNTIFS(R_Schedule_Times,"&lt;"&amp;B124),INDEX(R_Schedule_Amounts,MATCH(B124,R_Schedule_Times,1)),Starting_Cash),IF(COUNTIFS(R_Schedule_Times,"&gt;"&amp;B123,R_Schedule_Times,"&lt;"&amp;B124),INDEX(R_Schedule_Amounts,MATCH(B124,R_Schedule_Times,1)),K123)),"")</f>
        <v>3200</v>
      </c>
      <c r="I124" s="30">
        <f t="shared" si="5"/>
        <v>40</v>
      </c>
      <c r="J124" s="31">
        <f t="shared" si="6"/>
        <v>0</v>
      </c>
      <c r="K124" s="29">
        <f t="shared" si="7"/>
        <v>3160</v>
      </c>
      <c r="L124" s="31" t="str">
        <f t="shared" si="8"/>
        <v/>
      </c>
      <c r="M124" s="31" t="str">
        <f t="shared" si="9"/>
        <v/>
      </c>
    </row>
    <row r="125" spans="1:13" x14ac:dyDescent="0.15">
      <c r="A125" s="163" t="s">
        <v>210</v>
      </c>
      <c r="B125" s="163">
        <v>42280.669032847225</v>
      </c>
      <c r="C125" s="164" t="s">
        <v>646</v>
      </c>
      <c r="D125" s="164" t="s">
        <v>13</v>
      </c>
      <c r="E125" s="165">
        <v>100</v>
      </c>
      <c r="F125" s="166">
        <v>0</v>
      </c>
      <c r="G125" s="227">
        <f>IF($B$2,IF(ROWS(B$6:$B125) = 1,$B125-Start_Date,$B125-$B124),"")</f>
        <v>9.0391898193047382E-3</v>
      </c>
      <c r="H125" s="29">
        <f>IF($B$2,IF(ROWS(B$6:$B125) = 1,IF(COUNTIFS(R_Schedule_Times,"&lt;"&amp;B125),INDEX(R_Schedule_Amounts,MATCH(B125,R_Schedule_Times,1)),Starting_Cash),IF(COUNTIFS(R_Schedule_Times,"&gt;"&amp;B124,R_Schedule_Times,"&lt;"&amp;B125),INDEX(R_Schedule_Amounts,MATCH(B125,R_Schedule_Times,1)),K124)),"")</f>
        <v>3160</v>
      </c>
      <c r="I125" s="30">
        <f t="shared" si="5"/>
        <v>100</v>
      </c>
      <c r="J125" s="31">
        <f t="shared" si="6"/>
        <v>0</v>
      </c>
      <c r="K125" s="29">
        <f t="shared" si="7"/>
        <v>3060</v>
      </c>
      <c r="L125" s="31" t="str">
        <f t="shared" si="8"/>
        <v/>
      </c>
      <c r="M125" s="31" t="str">
        <f t="shared" si="9"/>
        <v/>
      </c>
    </row>
    <row r="126" spans="1:13" x14ac:dyDescent="0.15">
      <c r="A126" s="163" t="s">
        <v>210</v>
      </c>
      <c r="B126" s="163">
        <v>42280.673148148147</v>
      </c>
      <c r="C126" s="164" t="s">
        <v>647</v>
      </c>
      <c r="D126" s="164" t="s">
        <v>13</v>
      </c>
      <c r="E126" s="165">
        <v>100</v>
      </c>
      <c r="F126" s="166">
        <v>0</v>
      </c>
      <c r="G126" s="227">
        <f>IF($B$2,IF(ROWS(B$6:$B126) = 1,$B126-Start_Date,$B126-$B125),"")</f>
        <v>4.1153009224217385E-3</v>
      </c>
      <c r="H126" s="29">
        <f>IF($B$2,IF(ROWS(B$6:$B126) = 1,IF(COUNTIFS(R_Schedule_Times,"&lt;"&amp;B126),INDEX(R_Schedule_Amounts,MATCH(B126,R_Schedule_Times,1)),Starting_Cash),IF(COUNTIFS(R_Schedule_Times,"&gt;"&amp;B125,R_Schedule_Times,"&lt;"&amp;B126),INDEX(R_Schedule_Amounts,MATCH(B126,R_Schedule_Times,1)),K125)),"")</f>
        <v>3060</v>
      </c>
      <c r="I126" s="30">
        <f t="shared" si="5"/>
        <v>100</v>
      </c>
      <c r="J126" s="31">
        <f t="shared" si="6"/>
        <v>0</v>
      </c>
      <c r="K126" s="29">
        <f t="shared" si="7"/>
        <v>2960</v>
      </c>
      <c r="L126" s="31" t="str">
        <f t="shared" si="8"/>
        <v/>
      </c>
      <c r="M126" s="31" t="str">
        <f t="shared" si="9"/>
        <v/>
      </c>
    </row>
    <row r="127" spans="1:13" x14ac:dyDescent="0.15">
      <c r="A127" s="163" t="s">
        <v>210</v>
      </c>
      <c r="B127" s="163">
        <v>42280.691219733795</v>
      </c>
      <c r="C127" s="164" t="s">
        <v>648</v>
      </c>
      <c r="D127" s="164" t="s">
        <v>13</v>
      </c>
      <c r="E127" s="165">
        <v>100</v>
      </c>
      <c r="F127" s="166">
        <v>0</v>
      </c>
      <c r="G127" s="227">
        <f>IF($B$2,IF(ROWS(B$6:$B127) = 1,$B127-Start_Date,$B127-$B126),"")</f>
        <v>1.8071585647703614E-2</v>
      </c>
      <c r="H127" s="29">
        <f>IF($B$2,IF(ROWS(B$6:$B127) = 1,IF(COUNTIFS(R_Schedule_Times,"&lt;"&amp;B127),INDEX(R_Schedule_Amounts,MATCH(B127,R_Schedule_Times,1)),Starting_Cash),IF(COUNTIFS(R_Schedule_Times,"&gt;"&amp;B126,R_Schedule_Times,"&lt;"&amp;B127),INDEX(R_Schedule_Amounts,MATCH(B127,R_Schedule_Times,1)),K126)),"")</f>
        <v>2960</v>
      </c>
      <c r="I127" s="30">
        <f t="shared" si="5"/>
        <v>100</v>
      </c>
      <c r="J127" s="31">
        <f t="shared" si="6"/>
        <v>0</v>
      </c>
      <c r="K127" s="29">
        <f t="shared" si="7"/>
        <v>2860</v>
      </c>
      <c r="L127" s="31" t="str">
        <f t="shared" si="8"/>
        <v/>
      </c>
      <c r="M127" s="31" t="str">
        <f t="shared" si="9"/>
        <v/>
      </c>
    </row>
    <row r="128" spans="1:13" x14ac:dyDescent="0.15">
      <c r="A128" s="163" t="s">
        <v>210</v>
      </c>
      <c r="B128" s="163">
        <v>42280.717712824073</v>
      </c>
      <c r="C128" s="164" t="s">
        <v>303</v>
      </c>
      <c r="D128" s="164" t="s">
        <v>13</v>
      </c>
      <c r="E128" s="165">
        <v>100</v>
      </c>
      <c r="F128" s="166">
        <v>0</v>
      </c>
      <c r="G128" s="227">
        <f>IF($B$2,IF(ROWS(B$6:$B128) = 1,$B128-Start_Date,$B128-$B127),"")</f>
        <v>2.6493090277654119E-2</v>
      </c>
      <c r="H128" s="29">
        <f>IF($B$2,IF(ROWS(B$6:$B128) = 1,IF(COUNTIFS(R_Schedule_Times,"&lt;"&amp;B128),INDEX(R_Schedule_Amounts,MATCH(B128,R_Schedule_Times,1)),Starting_Cash),IF(COUNTIFS(R_Schedule_Times,"&gt;"&amp;B127,R_Schedule_Times,"&lt;"&amp;B128),INDEX(R_Schedule_Amounts,MATCH(B128,R_Schedule_Times,1)),K127)),"")</f>
        <v>2860</v>
      </c>
      <c r="I128" s="30">
        <f t="shared" si="5"/>
        <v>100</v>
      </c>
      <c r="J128" s="31">
        <f t="shared" si="6"/>
        <v>0</v>
      </c>
      <c r="K128" s="29">
        <f t="shared" si="7"/>
        <v>2760</v>
      </c>
      <c r="L128" s="31" t="str">
        <f t="shared" si="8"/>
        <v/>
      </c>
      <c r="M128" s="31" t="str">
        <f t="shared" si="9"/>
        <v/>
      </c>
    </row>
    <row r="129" spans="1:13" x14ac:dyDescent="0.15">
      <c r="A129" s="163" t="s">
        <v>210</v>
      </c>
      <c r="B129" s="163">
        <v>42280.725003738429</v>
      </c>
      <c r="C129" s="164" t="s">
        <v>649</v>
      </c>
      <c r="D129" s="164" t="s">
        <v>13</v>
      </c>
      <c r="E129" s="165">
        <v>200</v>
      </c>
      <c r="F129" s="166">
        <v>0</v>
      </c>
      <c r="G129" s="227">
        <f>IF($B$2,IF(ROWS(B$6:$B129) = 1,$B129-Start_Date,$B129-$B128),"")</f>
        <v>7.2909143564174883E-3</v>
      </c>
      <c r="H129" s="29">
        <f>IF($B$2,IF(ROWS(B$6:$B129) = 1,IF(COUNTIFS(R_Schedule_Times,"&lt;"&amp;B129),INDEX(R_Schedule_Amounts,MATCH(B129,R_Schedule_Times,1)),Starting_Cash),IF(COUNTIFS(R_Schedule_Times,"&gt;"&amp;B128,R_Schedule_Times,"&lt;"&amp;B129),INDEX(R_Schedule_Amounts,MATCH(B129,R_Schedule_Times,1)),K128)),"")</f>
        <v>2760</v>
      </c>
      <c r="I129" s="30">
        <f t="shared" si="5"/>
        <v>200</v>
      </c>
      <c r="J129" s="31">
        <f t="shared" si="6"/>
        <v>0</v>
      </c>
      <c r="K129" s="29">
        <f t="shared" si="7"/>
        <v>2560</v>
      </c>
      <c r="L129" s="31" t="str">
        <f t="shared" si="8"/>
        <v/>
      </c>
      <c r="M129" s="31" t="str">
        <f t="shared" si="9"/>
        <v/>
      </c>
    </row>
    <row r="130" spans="1:13" x14ac:dyDescent="0.15">
      <c r="A130" s="163" t="s">
        <v>210</v>
      </c>
      <c r="B130" s="163">
        <v>42280.747728402777</v>
      </c>
      <c r="C130" s="164" t="s">
        <v>650</v>
      </c>
      <c r="D130" s="164" t="s">
        <v>13</v>
      </c>
      <c r="E130" s="165">
        <v>20</v>
      </c>
      <c r="F130" s="166">
        <v>0</v>
      </c>
      <c r="G130" s="227">
        <f>IF($B$2,IF(ROWS(B$6:$B130) = 1,$B130-Start_Date,$B130-$B129),"")</f>
        <v>2.2724664348061197E-2</v>
      </c>
      <c r="H130" s="29">
        <f>IF($B$2,IF(ROWS(B$6:$B130) = 1,IF(COUNTIFS(R_Schedule_Times,"&lt;"&amp;B130),INDEX(R_Schedule_Amounts,MATCH(B130,R_Schedule_Times,1)),Starting_Cash),IF(COUNTIFS(R_Schedule_Times,"&gt;"&amp;B129,R_Schedule_Times,"&lt;"&amp;B130),INDEX(R_Schedule_Amounts,MATCH(B130,R_Schedule_Times,1)),K129)),"")</f>
        <v>2560</v>
      </c>
      <c r="I130" s="30">
        <f t="shared" si="5"/>
        <v>20</v>
      </c>
      <c r="J130" s="31">
        <f t="shared" si="6"/>
        <v>0</v>
      </c>
      <c r="K130" s="29">
        <f t="shared" si="7"/>
        <v>2540</v>
      </c>
      <c r="L130" s="31" t="str">
        <f t="shared" si="8"/>
        <v/>
      </c>
      <c r="M130" s="31" t="str">
        <f t="shared" si="9"/>
        <v/>
      </c>
    </row>
    <row r="131" spans="1:13" x14ac:dyDescent="0.15">
      <c r="A131" s="163" t="s">
        <v>210</v>
      </c>
      <c r="B131" s="163">
        <v>42280.750327337963</v>
      </c>
      <c r="C131" s="164" t="s">
        <v>651</v>
      </c>
      <c r="D131" s="164" t="s">
        <v>13</v>
      </c>
      <c r="E131" s="165">
        <v>60</v>
      </c>
      <c r="F131" s="166">
        <v>0</v>
      </c>
      <c r="G131" s="227">
        <f>IF($B$2,IF(ROWS(B$6:$B131) = 1,$B131-Start_Date,$B131-$B130),"")</f>
        <v>2.5989351852331311E-3</v>
      </c>
      <c r="H131" s="29">
        <f>IF($B$2,IF(ROWS(B$6:$B131) = 1,IF(COUNTIFS(R_Schedule_Times,"&lt;"&amp;B131),INDEX(R_Schedule_Amounts,MATCH(B131,R_Schedule_Times,1)),Starting_Cash),IF(COUNTIFS(R_Schedule_Times,"&gt;"&amp;B130,R_Schedule_Times,"&lt;"&amp;B131),INDEX(R_Schedule_Amounts,MATCH(B131,R_Schedule_Times,1)),K130)),"")</f>
        <v>2540</v>
      </c>
      <c r="I131" s="30">
        <f t="shared" si="5"/>
        <v>60</v>
      </c>
      <c r="J131" s="31">
        <f t="shared" si="6"/>
        <v>0</v>
      </c>
      <c r="K131" s="29">
        <f t="shared" si="7"/>
        <v>2480</v>
      </c>
      <c r="L131" s="31" t="str">
        <f t="shared" si="8"/>
        <v/>
      </c>
      <c r="M131" s="31" t="str">
        <f t="shared" si="9"/>
        <v/>
      </c>
    </row>
    <row r="132" spans="1:13" x14ac:dyDescent="0.15">
      <c r="A132" s="163" t="s">
        <v>210</v>
      </c>
      <c r="B132" s="163">
        <v>42280.773271909726</v>
      </c>
      <c r="C132" s="164" t="s">
        <v>652</v>
      </c>
      <c r="D132" s="164" t="s">
        <v>13</v>
      </c>
      <c r="E132" s="165">
        <v>300</v>
      </c>
      <c r="F132" s="166">
        <v>0</v>
      </c>
      <c r="G132" s="227">
        <f>IF($B$2,IF(ROWS(B$6:$B132) = 1,$B132-Start_Date,$B132-$B131),"")</f>
        <v>2.2944571763218846E-2</v>
      </c>
      <c r="H132" s="29">
        <f>IF($B$2,IF(ROWS(B$6:$B132) = 1,IF(COUNTIFS(R_Schedule_Times,"&lt;"&amp;B132),INDEX(R_Schedule_Amounts,MATCH(B132,R_Schedule_Times,1)),Starting_Cash),IF(COUNTIFS(R_Schedule_Times,"&gt;"&amp;B131,R_Schedule_Times,"&lt;"&amp;B132),INDEX(R_Schedule_Amounts,MATCH(B132,R_Schedule_Times,1)),K131)),"")</f>
        <v>2480</v>
      </c>
      <c r="I132" s="30">
        <f t="shared" si="5"/>
        <v>300</v>
      </c>
      <c r="J132" s="31">
        <f t="shared" si="6"/>
        <v>0</v>
      </c>
      <c r="K132" s="29">
        <f t="shared" si="7"/>
        <v>2180</v>
      </c>
      <c r="L132" s="31" t="str">
        <f t="shared" si="8"/>
        <v/>
      </c>
      <c r="M132" s="31" t="str">
        <f t="shared" si="9"/>
        <v/>
      </c>
    </row>
    <row r="133" spans="1:13" x14ac:dyDescent="0.15">
      <c r="A133" s="163" t="s">
        <v>210</v>
      </c>
      <c r="B133" s="163">
        <v>42280.783273159723</v>
      </c>
      <c r="C133" s="164" t="s">
        <v>653</v>
      </c>
      <c r="D133" s="164" t="s">
        <v>13</v>
      </c>
      <c r="E133" s="165">
        <v>40</v>
      </c>
      <c r="F133" s="166">
        <v>0</v>
      </c>
      <c r="G133" s="227">
        <f>IF($B$2,IF(ROWS(B$6:$B133) = 1,$B133-Start_Date,$B133-$B132),"")</f>
        <v>1.000124999700347E-2</v>
      </c>
      <c r="H133" s="29">
        <f>IF($B$2,IF(ROWS(B$6:$B133) = 1,IF(COUNTIFS(R_Schedule_Times,"&lt;"&amp;B133),INDEX(R_Schedule_Amounts,MATCH(B133,R_Schedule_Times,1)),Starting_Cash),IF(COUNTIFS(R_Schedule_Times,"&gt;"&amp;B132,R_Schedule_Times,"&lt;"&amp;B133),INDEX(R_Schedule_Amounts,MATCH(B133,R_Schedule_Times,1)),K132)),"")</f>
        <v>2180</v>
      </c>
      <c r="I133" s="30">
        <f t="shared" si="5"/>
        <v>40</v>
      </c>
      <c r="J133" s="31">
        <f t="shared" si="6"/>
        <v>0</v>
      </c>
      <c r="K133" s="29">
        <f t="shared" si="7"/>
        <v>2140</v>
      </c>
      <c r="L133" s="31" t="str">
        <f t="shared" si="8"/>
        <v/>
      </c>
      <c r="M133" s="31" t="str">
        <f t="shared" si="9"/>
        <v/>
      </c>
    </row>
    <row r="134" spans="1:13" x14ac:dyDescent="0.15">
      <c r="A134" s="163" t="s">
        <v>210</v>
      </c>
      <c r="B134" s="163">
        <v>42280.80099880787</v>
      </c>
      <c r="C134" s="164" t="s">
        <v>654</v>
      </c>
      <c r="D134" s="164" t="s">
        <v>13</v>
      </c>
      <c r="E134" s="165">
        <v>40</v>
      </c>
      <c r="F134" s="166">
        <v>0</v>
      </c>
      <c r="G134" s="227">
        <f>IF($B$2,IF(ROWS(B$6:$B134) = 1,$B134-Start_Date,$B134-$B133),"")</f>
        <v>1.772564814746147E-2</v>
      </c>
      <c r="H134" s="29">
        <f>IF($B$2,IF(ROWS(B$6:$B134) = 1,IF(COUNTIFS(R_Schedule_Times,"&lt;"&amp;B134),INDEX(R_Schedule_Amounts,MATCH(B134,R_Schedule_Times,1)),Starting_Cash),IF(COUNTIFS(R_Schedule_Times,"&gt;"&amp;B133,R_Schedule_Times,"&lt;"&amp;B134),INDEX(R_Schedule_Amounts,MATCH(B134,R_Schedule_Times,1)),K133)),"")</f>
        <v>2140</v>
      </c>
      <c r="I134" s="30">
        <f t="shared" si="5"/>
        <v>40</v>
      </c>
      <c r="J134" s="31">
        <f t="shared" si="6"/>
        <v>0</v>
      </c>
      <c r="K134" s="29">
        <f t="shared" si="7"/>
        <v>2100</v>
      </c>
      <c r="L134" s="31" t="str">
        <f t="shared" si="8"/>
        <v/>
      </c>
      <c r="M134" s="31" t="str">
        <f t="shared" si="9"/>
        <v/>
      </c>
    </row>
    <row r="135" spans="1:13" x14ac:dyDescent="0.15">
      <c r="A135" s="163" t="s">
        <v>210</v>
      </c>
      <c r="B135" s="163">
        <v>42280.801813229169</v>
      </c>
      <c r="C135" s="164" t="s">
        <v>655</v>
      </c>
      <c r="D135" s="164" t="s">
        <v>13</v>
      </c>
      <c r="E135" s="165">
        <v>120</v>
      </c>
      <c r="F135" s="166">
        <v>0</v>
      </c>
      <c r="G135" s="227">
        <f>IF($B$2,IF(ROWS(B$6:$B135) = 1,$B135-Start_Date,$B135-$B134),"")</f>
        <v>8.1442129885545E-4</v>
      </c>
      <c r="H135" s="29">
        <f>IF($B$2,IF(ROWS(B$6:$B135) = 1,IF(COUNTIFS(R_Schedule_Times,"&lt;"&amp;B135),INDEX(R_Schedule_Amounts,MATCH(B135,R_Schedule_Times,1)),Starting_Cash),IF(COUNTIFS(R_Schedule_Times,"&gt;"&amp;B134,R_Schedule_Times,"&lt;"&amp;B135),INDEX(R_Schedule_Amounts,MATCH(B135,R_Schedule_Times,1)),K134)),"")</f>
        <v>2100</v>
      </c>
      <c r="I135" s="30">
        <f t="shared" ref="I135:I198" si="10">IF($B$2,IF(H135&gt;=E135,E135,0),"")</f>
        <v>120</v>
      </c>
      <c r="J135" s="31">
        <f t="shared" ref="J135:J198" si="11">IF($B$2,IF(H135&gt;=E135,F135,0),"")</f>
        <v>0</v>
      </c>
      <c r="K135" s="29">
        <f t="shared" ref="K135:K198" si="12">IF($B$2,ABS(I135-H135),"")</f>
        <v>1980</v>
      </c>
      <c r="L135" s="31" t="str">
        <f t="shared" ref="L135:L198" si="13">IF($B$2,IF(H135&lt;E135,"YES",""),"")</f>
        <v/>
      </c>
      <c r="M135" s="31" t="str">
        <f t="shared" ref="M135:M198" si="14">IF($B$2,IF(L135="YES",F135,""),"")</f>
        <v/>
      </c>
    </row>
    <row r="136" spans="1:13" x14ac:dyDescent="0.15">
      <c r="A136" s="163" t="s">
        <v>210</v>
      </c>
      <c r="B136" s="163">
        <v>42280.819642407405</v>
      </c>
      <c r="C136" s="164" t="s">
        <v>304</v>
      </c>
      <c r="D136" s="164" t="s">
        <v>13</v>
      </c>
      <c r="E136" s="165">
        <v>100</v>
      </c>
      <c r="F136" s="166">
        <v>0</v>
      </c>
      <c r="G136" s="227">
        <f>IF($B$2,IF(ROWS(B$6:$B136) = 1,$B136-Start_Date,$B136-$B135),"")</f>
        <v>1.7829178235842846E-2</v>
      </c>
      <c r="H136" s="29">
        <f>IF($B$2,IF(ROWS(B$6:$B136) = 1,IF(COUNTIFS(R_Schedule_Times,"&lt;"&amp;B136),INDEX(R_Schedule_Amounts,MATCH(B136,R_Schedule_Times,1)),Starting_Cash),IF(COUNTIFS(R_Schedule_Times,"&gt;"&amp;B135,R_Schedule_Times,"&lt;"&amp;B136),INDEX(R_Schedule_Amounts,MATCH(B136,R_Schedule_Times,1)),K135)),"")</f>
        <v>1980</v>
      </c>
      <c r="I136" s="30">
        <f t="shared" si="10"/>
        <v>100</v>
      </c>
      <c r="J136" s="31">
        <f t="shared" si="11"/>
        <v>0</v>
      </c>
      <c r="K136" s="29">
        <f t="shared" si="12"/>
        <v>1880</v>
      </c>
      <c r="L136" s="31" t="str">
        <f t="shared" si="13"/>
        <v/>
      </c>
      <c r="M136" s="31" t="str">
        <f t="shared" si="14"/>
        <v/>
      </c>
    </row>
    <row r="137" spans="1:13" x14ac:dyDescent="0.15">
      <c r="A137" s="163" t="s">
        <v>210</v>
      </c>
      <c r="B137" s="163">
        <v>42280.834548576386</v>
      </c>
      <c r="C137" s="164" t="s">
        <v>656</v>
      </c>
      <c r="D137" s="164" t="s">
        <v>13</v>
      </c>
      <c r="E137" s="165">
        <v>40</v>
      </c>
      <c r="F137" s="166">
        <v>0</v>
      </c>
      <c r="G137" s="227">
        <f>IF($B$2,IF(ROWS(B$6:$B137) = 1,$B137-Start_Date,$B137-$B136),"")</f>
        <v>1.4906168980814982E-2</v>
      </c>
      <c r="H137" s="29">
        <f>IF($B$2,IF(ROWS(B$6:$B137) = 1,IF(COUNTIFS(R_Schedule_Times,"&lt;"&amp;B137),INDEX(R_Schedule_Amounts,MATCH(B137,R_Schedule_Times,1)),Starting_Cash),IF(COUNTIFS(R_Schedule_Times,"&gt;"&amp;B136,R_Schedule_Times,"&lt;"&amp;B137),INDEX(R_Schedule_Amounts,MATCH(B137,R_Schedule_Times,1)),K136)),"")</f>
        <v>1880</v>
      </c>
      <c r="I137" s="30">
        <f t="shared" si="10"/>
        <v>40</v>
      </c>
      <c r="J137" s="31">
        <f t="shared" si="11"/>
        <v>0</v>
      </c>
      <c r="K137" s="29">
        <f t="shared" si="12"/>
        <v>1840</v>
      </c>
      <c r="L137" s="31" t="str">
        <f t="shared" si="13"/>
        <v/>
      </c>
      <c r="M137" s="31" t="str">
        <f t="shared" si="14"/>
        <v/>
      </c>
    </row>
    <row r="138" spans="1:13" x14ac:dyDescent="0.15">
      <c r="A138" s="163" t="s">
        <v>210</v>
      </c>
      <c r="B138" s="163">
        <v>42280.835581053238</v>
      </c>
      <c r="C138" s="164" t="s">
        <v>657</v>
      </c>
      <c r="D138" s="164" t="s">
        <v>13</v>
      </c>
      <c r="E138" s="165">
        <v>60</v>
      </c>
      <c r="F138" s="166">
        <v>0</v>
      </c>
      <c r="G138" s="227">
        <f>IF($B$2,IF(ROWS(B$6:$B138) = 1,$B138-Start_Date,$B138-$B137),"")</f>
        <v>1.0324768518330529E-3</v>
      </c>
      <c r="H138" s="29">
        <f>IF($B$2,IF(ROWS(B$6:$B138) = 1,IF(COUNTIFS(R_Schedule_Times,"&lt;"&amp;B138),INDEX(R_Schedule_Amounts,MATCH(B138,R_Schedule_Times,1)),Starting_Cash),IF(COUNTIFS(R_Schedule_Times,"&gt;"&amp;B137,R_Schedule_Times,"&lt;"&amp;B138),INDEX(R_Schedule_Amounts,MATCH(B138,R_Schedule_Times,1)),K137)),"")</f>
        <v>1840</v>
      </c>
      <c r="I138" s="30">
        <f t="shared" si="10"/>
        <v>60</v>
      </c>
      <c r="J138" s="31">
        <f t="shared" si="11"/>
        <v>0</v>
      </c>
      <c r="K138" s="29">
        <f t="shared" si="12"/>
        <v>1780</v>
      </c>
      <c r="L138" s="31" t="str">
        <f t="shared" si="13"/>
        <v/>
      </c>
      <c r="M138" s="31" t="str">
        <f t="shared" si="14"/>
        <v/>
      </c>
    </row>
    <row r="139" spans="1:13" x14ac:dyDescent="0.15">
      <c r="A139" s="163" t="s">
        <v>210</v>
      </c>
      <c r="B139" s="163">
        <v>42280.89003934028</v>
      </c>
      <c r="C139" s="164" t="s">
        <v>658</v>
      </c>
      <c r="D139" s="164" t="s">
        <v>13</v>
      </c>
      <c r="E139" s="165">
        <v>200</v>
      </c>
      <c r="F139" s="166">
        <v>0</v>
      </c>
      <c r="G139" s="227">
        <f>IF($B$2,IF(ROWS(B$6:$B139) = 1,$B139-Start_Date,$B139-$B138),"")</f>
        <v>5.4458287042507436E-2</v>
      </c>
      <c r="H139" s="29">
        <f>IF($B$2,IF(ROWS(B$6:$B139) = 1,IF(COUNTIFS(R_Schedule_Times,"&lt;"&amp;B139),INDEX(R_Schedule_Amounts,MATCH(B139,R_Schedule_Times,1)),Starting_Cash),IF(COUNTIFS(R_Schedule_Times,"&gt;"&amp;B138,R_Schedule_Times,"&lt;"&amp;B139),INDEX(R_Schedule_Amounts,MATCH(B139,R_Schedule_Times,1)),K138)),"")</f>
        <v>1780</v>
      </c>
      <c r="I139" s="30">
        <f t="shared" si="10"/>
        <v>200</v>
      </c>
      <c r="J139" s="31">
        <f t="shared" si="11"/>
        <v>0</v>
      </c>
      <c r="K139" s="29">
        <f t="shared" si="12"/>
        <v>1580</v>
      </c>
      <c r="L139" s="31" t="str">
        <f t="shared" si="13"/>
        <v/>
      </c>
      <c r="M139" s="31" t="str">
        <f t="shared" si="14"/>
        <v/>
      </c>
    </row>
    <row r="140" spans="1:13" x14ac:dyDescent="0.15">
      <c r="A140" s="163" t="s">
        <v>210</v>
      </c>
      <c r="B140" s="163">
        <v>42280.914203460648</v>
      </c>
      <c r="C140" s="164" t="s">
        <v>659</v>
      </c>
      <c r="D140" s="164" t="s">
        <v>13</v>
      </c>
      <c r="E140" s="165">
        <v>100</v>
      </c>
      <c r="F140" s="166">
        <v>0</v>
      </c>
      <c r="G140" s="227">
        <f>IF($B$2,IF(ROWS(B$6:$B140) = 1,$B140-Start_Date,$B140-$B139),"")</f>
        <v>2.4164120368368458E-2</v>
      </c>
      <c r="H140" s="29">
        <f>IF($B$2,IF(ROWS(B$6:$B140) = 1,IF(COUNTIFS(R_Schedule_Times,"&lt;"&amp;B140),INDEX(R_Schedule_Amounts,MATCH(B140,R_Schedule_Times,1)),Starting_Cash),IF(COUNTIFS(R_Schedule_Times,"&gt;"&amp;B139,R_Schedule_Times,"&lt;"&amp;B140),INDEX(R_Schedule_Amounts,MATCH(B140,R_Schedule_Times,1)),K139)),"")</f>
        <v>1580</v>
      </c>
      <c r="I140" s="30">
        <f t="shared" si="10"/>
        <v>100</v>
      </c>
      <c r="J140" s="31">
        <f t="shared" si="11"/>
        <v>0</v>
      </c>
      <c r="K140" s="29">
        <f t="shared" si="12"/>
        <v>1480</v>
      </c>
      <c r="L140" s="31" t="str">
        <f t="shared" si="13"/>
        <v/>
      </c>
      <c r="M140" s="31" t="str">
        <f t="shared" si="14"/>
        <v/>
      </c>
    </row>
    <row r="141" spans="1:13" x14ac:dyDescent="0.15">
      <c r="A141" s="163" t="s">
        <v>210</v>
      </c>
      <c r="B141" s="163">
        <v>42280.924714560184</v>
      </c>
      <c r="C141" s="164" t="s">
        <v>616</v>
      </c>
      <c r="D141" s="164" t="s">
        <v>13</v>
      </c>
      <c r="E141" s="165">
        <v>40</v>
      </c>
      <c r="F141" s="166">
        <v>0</v>
      </c>
      <c r="G141" s="227">
        <f>IF($B$2,IF(ROWS(B$6:$B141) = 1,$B141-Start_Date,$B141-$B140),"")</f>
        <v>1.0511099535506219E-2</v>
      </c>
      <c r="H141" s="29">
        <f>IF($B$2,IF(ROWS(B$6:$B141) = 1,IF(COUNTIFS(R_Schedule_Times,"&lt;"&amp;B141),INDEX(R_Schedule_Amounts,MATCH(B141,R_Schedule_Times,1)),Starting_Cash),IF(COUNTIFS(R_Schedule_Times,"&gt;"&amp;B140,R_Schedule_Times,"&lt;"&amp;B141),INDEX(R_Schedule_Amounts,MATCH(B141,R_Schedule_Times,1)),K140)),"")</f>
        <v>1480</v>
      </c>
      <c r="I141" s="30">
        <f t="shared" si="10"/>
        <v>40</v>
      </c>
      <c r="J141" s="31">
        <f t="shared" si="11"/>
        <v>0</v>
      </c>
      <c r="K141" s="29">
        <f t="shared" si="12"/>
        <v>1440</v>
      </c>
      <c r="L141" s="31" t="str">
        <f t="shared" si="13"/>
        <v/>
      </c>
      <c r="M141" s="31" t="str">
        <f t="shared" si="14"/>
        <v/>
      </c>
    </row>
    <row r="142" spans="1:13" x14ac:dyDescent="0.15">
      <c r="A142" s="163" t="s">
        <v>210</v>
      </c>
      <c r="B142" s="163">
        <v>42280.960981956021</v>
      </c>
      <c r="C142" s="164" t="s">
        <v>660</v>
      </c>
      <c r="D142" s="164" t="s">
        <v>13</v>
      </c>
      <c r="E142" s="165">
        <v>100</v>
      </c>
      <c r="F142" s="166">
        <v>0</v>
      </c>
      <c r="G142" s="227">
        <f>IF($B$2,IF(ROWS(B$6:$B142) = 1,$B142-Start_Date,$B142-$B141),"")</f>
        <v>3.6267395837057848E-2</v>
      </c>
      <c r="H142" s="29">
        <f>IF($B$2,IF(ROWS(B$6:$B142) = 1,IF(COUNTIFS(R_Schedule_Times,"&lt;"&amp;B142),INDEX(R_Schedule_Amounts,MATCH(B142,R_Schedule_Times,1)),Starting_Cash),IF(COUNTIFS(R_Schedule_Times,"&gt;"&amp;B141,R_Schedule_Times,"&lt;"&amp;B142),INDEX(R_Schedule_Amounts,MATCH(B142,R_Schedule_Times,1)),K141)),"")</f>
        <v>1440</v>
      </c>
      <c r="I142" s="30">
        <f t="shared" si="10"/>
        <v>100</v>
      </c>
      <c r="J142" s="31">
        <f t="shared" si="11"/>
        <v>0</v>
      </c>
      <c r="K142" s="29">
        <f t="shared" si="12"/>
        <v>1340</v>
      </c>
      <c r="L142" s="31" t="str">
        <f t="shared" si="13"/>
        <v/>
      </c>
      <c r="M142" s="31" t="str">
        <f t="shared" si="14"/>
        <v/>
      </c>
    </row>
    <row r="143" spans="1:13" x14ac:dyDescent="0.15">
      <c r="A143" s="163" t="s">
        <v>210</v>
      </c>
      <c r="B143" s="163">
        <v>42280.964373113427</v>
      </c>
      <c r="C143" s="164" t="s">
        <v>661</v>
      </c>
      <c r="D143" s="164" t="s">
        <v>13</v>
      </c>
      <c r="E143" s="165">
        <v>100</v>
      </c>
      <c r="F143" s="166">
        <v>0</v>
      </c>
      <c r="G143" s="227">
        <f>IF($B$2,IF(ROWS(B$6:$B143) = 1,$B143-Start_Date,$B143-$B142),"")</f>
        <v>3.3911574064404704E-3</v>
      </c>
      <c r="H143" s="29">
        <f>IF($B$2,IF(ROWS(B$6:$B143) = 1,IF(COUNTIFS(R_Schedule_Times,"&lt;"&amp;B143),INDEX(R_Schedule_Amounts,MATCH(B143,R_Schedule_Times,1)),Starting_Cash),IF(COUNTIFS(R_Schedule_Times,"&gt;"&amp;B142,R_Schedule_Times,"&lt;"&amp;B143),INDEX(R_Schedule_Amounts,MATCH(B143,R_Schedule_Times,1)),K142)),"")</f>
        <v>1340</v>
      </c>
      <c r="I143" s="30">
        <f t="shared" si="10"/>
        <v>100</v>
      </c>
      <c r="J143" s="31">
        <f t="shared" si="11"/>
        <v>0</v>
      </c>
      <c r="K143" s="29">
        <f t="shared" si="12"/>
        <v>1240</v>
      </c>
      <c r="L143" s="31" t="str">
        <f t="shared" si="13"/>
        <v/>
      </c>
      <c r="M143" s="31" t="str">
        <f t="shared" si="14"/>
        <v/>
      </c>
    </row>
    <row r="144" spans="1:13" x14ac:dyDescent="0.15">
      <c r="A144" s="163" t="s">
        <v>210</v>
      </c>
      <c r="B144" s="163">
        <v>42281.397770416668</v>
      </c>
      <c r="C144" s="164" t="s">
        <v>662</v>
      </c>
      <c r="D144" s="164" t="s">
        <v>13</v>
      </c>
      <c r="E144" s="165">
        <v>40</v>
      </c>
      <c r="F144" s="166">
        <v>0</v>
      </c>
      <c r="G144" s="227">
        <f>IF($B$2,IF(ROWS(B$6:$B144) = 1,$B144-Start_Date,$B144-$B143),"")</f>
        <v>0.43339730324078118</v>
      </c>
      <c r="H144" s="29">
        <f>IF($B$2,IF(ROWS(B$6:$B144) = 1,IF(COUNTIFS(R_Schedule_Times,"&lt;"&amp;B144),INDEX(R_Schedule_Amounts,MATCH(B144,R_Schedule_Times,1)),Starting_Cash),IF(COUNTIFS(R_Schedule_Times,"&gt;"&amp;B143,R_Schedule_Times,"&lt;"&amp;B144),INDEX(R_Schedule_Amounts,MATCH(B144,R_Schedule_Times,1)),K143)),"")</f>
        <v>1240</v>
      </c>
      <c r="I144" s="30">
        <f t="shared" si="10"/>
        <v>40</v>
      </c>
      <c r="J144" s="31">
        <f t="shared" si="11"/>
        <v>0</v>
      </c>
      <c r="K144" s="29">
        <f t="shared" si="12"/>
        <v>1200</v>
      </c>
      <c r="L144" s="31" t="str">
        <f t="shared" si="13"/>
        <v/>
      </c>
      <c r="M144" s="31" t="str">
        <f t="shared" si="14"/>
        <v/>
      </c>
    </row>
    <row r="145" spans="1:13" x14ac:dyDescent="0.15">
      <c r="A145" s="163" t="s">
        <v>210</v>
      </c>
      <c r="B145" s="163">
        <v>42281.411153923611</v>
      </c>
      <c r="C145" s="164" t="s">
        <v>663</v>
      </c>
      <c r="D145" s="164" t="s">
        <v>13</v>
      </c>
      <c r="E145" s="165">
        <v>300</v>
      </c>
      <c r="F145" s="166">
        <v>0</v>
      </c>
      <c r="G145" s="227">
        <f>IF($B$2,IF(ROWS(B$6:$B145) = 1,$B145-Start_Date,$B145-$B144),"")</f>
        <v>1.3383506942773238E-2</v>
      </c>
      <c r="H145" s="29">
        <f>IF($B$2,IF(ROWS(B$6:$B145) = 1,IF(COUNTIFS(R_Schedule_Times,"&lt;"&amp;B145),INDEX(R_Schedule_Amounts,MATCH(B145,R_Schedule_Times,1)),Starting_Cash),IF(COUNTIFS(R_Schedule_Times,"&gt;"&amp;B144,R_Schedule_Times,"&lt;"&amp;B145),INDEX(R_Schedule_Amounts,MATCH(B145,R_Schedule_Times,1)),K144)),"")</f>
        <v>1200</v>
      </c>
      <c r="I145" s="30">
        <f t="shared" si="10"/>
        <v>300</v>
      </c>
      <c r="J145" s="31">
        <f t="shared" si="11"/>
        <v>0</v>
      </c>
      <c r="K145" s="29">
        <f t="shared" si="12"/>
        <v>900</v>
      </c>
      <c r="L145" s="31" t="str">
        <f t="shared" si="13"/>
        <v/>
      </c>
      <c r="M145" s="31" t="str">
        <f t="shared" si="14"/>
        <v/>
      </c>
    </row>
    <row r="146" spans="1:13" x14ac:dyDescent="0.15">
      <c r="A146" s="163" t="s">
        <v>210</v>
      </c>
      <c r="B146" s="163">
        <v>42281.463975219907</v>
      </c>
      <c r="C146" s="164" t="s">
        <v>664</v>
      </c>
      <c r="D146" s="164" t="s">
        <v>13</v>
      </c>
      <c r="E146" s="165">
        <v>140</v>
      </c>
      <c r="F146" s="166">
        <v>0</v>
      </c>
      <c r="G146" s="227">
        <f>IF($B$2,IF(ROWS(B$6:$B146) = 1,$B146-Start_Date,$B146-$B145),"")</f>
        <v>5.2821296296315268E-2</v>
      </c>
      <c r="H146" s="29">
        <f>IF($B$2,IF(ROWS(B$6:$B146) = 1,IF(COUNTIFS(R_Schedule_Times,"&lt;"&amp;B146),INDEX(R_Schedule_Amounts,MATCH(B146,R_Schedule_Times,1)),Starting_Cash),IF(COUNTIFS(R_Schedule_Times,"&gt;"&amp;B145,R_Schedule_Times,"&lt;"&amp;B146),INDEX(R_Schedule_Amounts,MATCH(B146,R_Schedule_Times,1)),K145)),"")</f>
        <v>900</v>
      </c>
      <c r="I146" s="30">
        <f t="shared" si="10"/>
        <v>140</v>
      </c>
      <c r="J146" s="31">
        <f t="shared" si="11"/>
        <v>0</v>
      </c>
      <c r="K146" s="29">
        <f t="shared" si="12"/>
        <v>760</v>
      </c>
      <c r="L146" s="31" t="str">
        <f t="shared" si="13"/>
        <v/>
      </c>
      <c r="M146" s="31" t="str">
        <f t="shared" si="14"/>
        <v/>
      </c>
    </row>
    <row r="147" spans="1:13" x14ac:dyDescent="0.15">
      <c r="A147" s="163" t="s">
        <v>210</v>
      </c>
      <c r="B147" s="163">
        <v>42281.46714666667</v>
      </c>
      <c r="C147" s="164" t="s">
        <v>305</v>
      </c>
      <c r="D147" s="164" t="s">
        <v>13</v>
      </c>
      <c r="E147" s="165">
        <v>100</v>
      </c>
      <c r="F147" s="166">
        <v>0</v>
      </c>
      <c r="G147" s="227">
        <f>IF($B$2,IF(ROWS(B$6:$B147) = 1,$B147-Start_Date,$B147-$B146),"")</f>
        <v>3.1714467622805387E-3</v>
      </c>
      <c r="H147" s="29">
        <f>IF($B$2,IF(ROWS(B$6:$B147) = 1,IF(COUNTIFS(R_Schedule_Times,"&lt;"&amp;B147),INDEX(R_Schedule_Amounts,MATCH(B147,R_Schedule_Times,1)),Starting_Cash),IF(COUNTIFS(R_Schedule_Times,"&gt;"&amp;B146,R_Schedule_Times,"&lt;"&amp;B147),INDEX(R_Schedule_Amounts,MATCH(B147,R_Schedule_Times,1)),K146)),"")</f>
        <v>760</v>
      </c>
      <c r="I147" s="30">
        <f t="shared" si="10"/>
        <v>100</v>
      </c>
      <c r="J147" s="31">
        <f t="shared" si="11"/>
        <v>0</v>
      </c>
      <c r="K147" s="29">
        <f t="shared" si="12"/>
        <v>660</v>
      </c>
      <c r="L147" s="31" t="str">
        <f t="shared" si="13"/>
        <v/>
      </c>
      <c r="M147" s="31" t="str">
        <f t="shared" si="14"/>
        <v/>
      </c>
    </row>
    <row r="148" spans="1:13" x14ac:dyDescent="0.15">
      <c r="A148" s="163" t="s">
        <v>210</v>
      </c>
      <c r="B148" s="163">
        <v>42281.47900579861</v>
      </c>
      <c r="C148" s="164" t="s">
        <v>665</v>
      </c>
      <c r="D148" s="164" t="s">
        <v>13</v>
      </c>
      <c r="E148" s="165">
        <v>40</v>
      </c>
      <c r="F148" s="166">
        <v>0</v>
      </c>
      <c r="G148" s="227">
        <f>IF($B$2,IF(ROWS(B$6:$B148) = 1,$B148-Start_Date,$B148-$B147),"")</f>
        <v>1.1859131940582301E-2</v>
      </c>
      <c r="H148" s="29">
        <f>IF($B$2,IF(ROWS(B$6:$B148) = 1,IF(COUNTIFS(R_Schedule_Times,"&lt;"&amp;B148),INDEX(R_Schedule_Amounts,MATCH(B148,R_Schedule_Times,1)),Starting_Cash),IF(COUNTIFS(R_Schedule_Times,"&gt;"&amp;B147,R_Schedule_Times,"&lt;"&amp;B148),INDEX(R_Schedule_Amounts,MATCH(B148,R_Schedule_Times,1)),K147)),"")</f>
        <v>660</v>
      </c>
      <c r="I148" s="30">
        <f t="shared" si="10"/>
        <v>40</v>
      </c>
      <c r="J148" s="31">
        <f t="shared" si="11"/>
        <v>0</v>
      </c>
      <c r="K148" s="29">
        <f t="shared" si="12"/>
        <v>620</v>
      </c>
      <c r="L148" s="31" t="str">
        <f t="shared" si="13"/>
        <v/>
      </c>
      <c r="M148" s="31" t="str">
        <f t="shared" si="14"/>
        <v/>
      </c>
    </row>
    <row r="149" spans="1:13" x14ac:dyDescent="0.15">
      <c r="A149" s="163" t="s">
        <v>210</v>
      </c>
      <c r="B149" s="163">
        <v>42281.479720925927</v>
      </c>
      <c r="C149" s="164" t="s">
        <v>666</v>
      </c>
      <c r="D149" s="164" t="s">
        <v>13</v>
      </c>
      <c r="E149" s="165">
        <v>100</v>
      </c>
      <c r="F149" s="166">
        <v>0</v>
      </c>
      <c r="G149" s="227">
        <f>IF($B$2,IF(ROWS(B$6:$B149) = 1,$B149-Start_Date,$B149-$B148),"")</f>
        <v>7.1512731665279716E-4</v>
      </c>
      <c r="H149" s="29">
        <f>IF($B$2,IF(ROWS(B$6:$B149) = 1,IF(COUNTIFS(R_Schedule_Times,"&lt;"&amp;B149),INDEX(R_Schedule_Amounts,MATCH(B149,R_Schedule_Times,1)),Starting_Cash),IF(COUNTIFS(R_Schedule_Times,"&gt;"&amp;B148,R_Schedule_Times,"&lt;"&amp;B149),INDEX(R_Schedule_Amounts,MATCH(B149,R_Schedule_Times,1)),K148)),"")</f>
        <v>620</v>
      </c>
      <c r="I149" s="30">
        <f t="shared" si="10"/>
        <v>100</v>
      </c>
      <c r="J149" s="31">
        <f t="shared" si="11"/>
        <v>0</v>
      </c>
      <c r="K149" s="29">
        <f t="shared" si="12"/>
        <v>520</v>
      </c>
      <c r="L149" s="31" t="str">
        <f t="shared" si="13"/>
        <v/>
      </c>
      <c r="M149" s="31" t="str">
        <f t="shared" si="14"/>
        <v/>
      </c>
    </row>
    <row r="150" spans="1:13" x14ac:dyDescent="0.15">
      <c r="A150" s="163" t="s">
        <v>210</v>
      </c>
      <c r="B150" s="163">
        <v>42281.547673194444</v>
      </c>
      <c r="C150" s="164" t="s">
        <v>667</v>
      </c>
      <c r="D150" s="164" t="s">
        <v>13</v>
      </c>
      <c r="E150" s="165">
        <v>100</v>
      </c>
      <c r="F150" s="166">
        <v>0</v>
      </c>
      <c r="G150" s="227">
        <f>IF($B$2,IF(ROWS(B$6:$B150) = 1,$B150-Start_Date,$B150-$B149),"")</f>
        <v>6.7952268516819458E-2</v>
      </c>
      <c r="H150" s="29">
        <f>IF($B$2,IF(ROWS(B$6:$B150) = 1,IF(COUNTIFS(R_Schedule_Times,"&lt;"&amp;B150),INDEX(R_Schedule_Amounts,MATCH(B150,R_Schedule_Times,1)),Starting_Cash),IF(COUNTIFS(R_Schedule_Times,"&gt;"&amp;B149,R_Schedule_Times,"&lt;"&amp;B150),INDEX(R_Schedule_Amounts,MATCH(B150,R_Schedule_Times,1)),K149)),"")</f>
        <v>520</v>
      </c>
      <c r="I150" s="30">
        <f t="shared" si="10"/>
        <v>100</v>
      </c>
      <c r="J150" s="31">
        <f t="shared" si="11"/>
        <v>0</v>
      </c>
      <c r="K150" s="29">
        <f t="shared" si="12"/>
        <v>420</v>
      </c>
      <c r="L150" s="31" t="str">
        <f t="shared" si="13"/>
        <v/>
      </c>
      <c r="M150" s="31" t="str">
        <f t="shared" si="14"/>
        <v/>
      </c>
    </row>
    <row r="151" spans="1:13" x14ac:dyDescent="0.15">
      <c r="A151" s="163" t="s">
        <v>210</v>
      </c>
      <c r="B151" s="163">
        <v>42281.583658067131</v>
      </c>
      <c r="C151" s="164" t="s">
        <v>668</v>
      </c>
      <c r="D151" s="164" t="s">
        <v>13</v>
      </c>
      <c r="E151" s="165">
        <v>40</v>
      </c>
      <c r="F151" s="166">
        <v>0</v>
      </c>
      <c r="G151" s="227">
        <f>IF($B$2,IF(ROWS(B$6:$B151) = 1,$B151-Start_Date,$B151-$B150),"")</f>
        <v>3.5984872687549796E-2</v>
      </c>
      <c r="H151" s="29">
        <f>IF($B$2,IF(ROWS(B$6:$B151) = 1,IF(COUNTIFS(R_Schedule_Times,"&lt;"&amp;B151),INDEX(R_Schedule_Amounts,MATCH(B151,R_Schedule_Times,1)),Starting_Cash),IF(COUNTIFS(R_Schedule_Times,"&gt;"&amp;B150,R_Schedule_Times,"&lt;"&amp;B151),INDEX(R_Schedule_Amounts,MATCH(B151,R_Schedule_Times,1)),K150)),"")</f>
        <v>420</v>
      </c>
      <c r="I151" s="30">
        <f t="shared" si="10"/>
        <v>40</v>
      </c>
      <c r="J151" s="31">
        <f t="shared" si="11"/>
        <v>0</v>
      </c>
      <c r="K151" s="29">
        <f t="shared" si="12"/>
        <v>380</v>
      </c>
      <c r="L151" s="31" t="str">
        <f t="shared" si="13"/>
        <v/>
      </c>
      <c r="M151" s="31" t="str">
        <f t="shared" si="14"/>
        <v/>
      </c>
    </row>
    <row r="152" spans="1:13" x14ac:dyDescent="0.15">
      <c r="A152" s="163" t="s">
        <v>210</v>
      </c>
      <c r="B152" s="163">
        <v>42281.601460185186</v>
      </c>
      <c r="C152" s="164" t="s">
        <v>669</v>
      </c>
      <c r="D152" s="164" t="s">
        <v>13</v>
      </c>
      <c r="E152" s="165">
        <v>100</v>
      </c>
      <c r="F152" s="166">
        <v>0</v>
      </c>
      <c r="G152" s="227">
        <f>IF($B$2,IF(ROWS(B$6:$B152) = 1,$B152-Start_Date,$B152-$B151),"")</f>
        <v>1.7802118054532912E-2</v>
      </c>
      <c r="H152" s="29">
        <f>IF($B$2,IF(ROWS(B$6:$B152) = 1,IF(COUNTIFS(R_Schedule_Times,"&lt;"&amp;B152),INDEX(R_Schedule_Amounts,MATCH(B152,R_Schedule_Times,1)),Starting_Cash),IF(COUNTIFS(R_Schedule_Times,"&gt;"&amp;B151,R_Schedule_Times,"&lt;"&amp;B152),INDEX(R_Schedule_Amounts,MATCH(B152,R_Schedule_Times,1)),K151)),"")</f>
        <v>380</v>
      </c>
      <c r="I152" s="30">
        <f t="shared" si="10"/>
        <v>100</v>
      </c>
      <c r="J152" s="31">
        <f t="shared" si="11"/>
        <v>0</v>
      </c>
      <c r="K152" s="29">
        <f t="shared" si="12"/>
        <v>280</v>
      </c>
      <c r="L152" s="31" t="str">
        <f t="shared" si="13"/>
        <v/>
      </c>
      <c r="M152" s="31" t="str">
        <f t="shared" si="14"/>
        <v/>
      </c>
    </row>
    <row r="153" spans="1:13" x14ac:dyDescent="0.15">
      <c r="A153" s="163" t="s">
        <v>210</v>
      </c>
      <c r="B153" s="163">
        <v>42281.603096122686</v>
      </c>
      <c r="C153" s="164" t="s">
        <v>670</v>
      </c>
      <c r="D153" s="164" t="s">
        <v>13</v>
      </c>
      <c r="E153" s="165">
        <v>20</v>
      </c>
      <c r="F153" s="166">
        <v>0</v>
      </c>
      <c r="G153" s="227">
        <f>IF($B$2,IF(ROWS(B$6:$B153) = 1,$B153-Start_Date,$B153-$B152),"")</f>
        <v>1.6359375003958121E-3</v>
      </c>
      <c r="H153" s="29">
        <f>IF($B$2,IF(ROWS(B$6:$B153) = 1,IF(COUNTIFS(R_Schedule_Times,"&lt;"&amp;B153),INDEX(R_Schedule_Amounts,MATCH(B153,R_Schedule_Times,1)),Starting_Cash),IF(COUNTIFS(R_Schedule_Times,"&gt;"&amp;B152,R_Schedule_Times,"&lt;"&amp;B153),INDEX(R_Schedule_Amounts,MATCH(B153,R_Schedule_Times,1)),K152)),"")</f>
        <v>280</v>
      </c>
      <c r="I153" s="30">
        <f t="shared" si="10"/>
        <v>20</v>
      </c>
      <c r="J153" s="31">
        <f t="shared" si="11"/>
        <v>0</v>
      </c>
      <c r="K153" s="29">
        <f t="shared" si="12"/>
        <v>260</v>
      </c>
      <c r="L153" s="31" t="str">
        <f t="shared" si="13"/>
        <v/>
      </c>
      <c r="M153" s="31" t="str">
        <f t="shared" si="14"/>
        <v/>
      </c>
    </row>
    <row r="154" spans="1:13" x14ac:dyDescent="0.15">
      <c r="A154" s="163" t="s">
        <v>210</v>
      </c>
      <c r="B154" s="163">
        <v>42281.614352349534</v>
      </c>
      <c r="C154" s="164" t="s">
        <v>306</v>
      </c>
      <c r="D154" s="164" t="s">
        <v>13</v>
      </c>
      <c r="E154" s="165">
        <v>20</v>
      </c>
      <c r="F154" s="166">
        <v>0</v>
      </c>
      <c r="G154" s="227">
        <f>IF($B$2,IF(ROWS(B$6:$B154) = 1,$B154-Start_Date,$B154-$B153),"")</f>
        <v>1.1256226847763173E-2</v>
      </c>
      <c r="H154" s="29">
        <f>IF($B$2,IF(ROWS(B$6:$B154) = 1,IF(COUNTIFS(R_Schedule_Times,"&lt;"&amp;B154),INDEX(R_Schedule_Amounts,MATCH(B154,R_Schedule_Times,1)),Starting_Cash),IF(COUNTIFS(R_Schedule_Times,"&gt;"&amp;B153,R_Schedule_Times,"&lt;"&amp;B154),INDEX(R_Schedule_Amounts,MATCH(B154,R_Schedule_Times,1)),K153)),"")</f>
        <v>260</v>
      </c>
      <c r="I154" s="30">
        <f t="shared" si="10"/>
        <v>20</v>
      </c>
      <c r="J154" s="31">
        <f t="shared" si="11"/>
        <v>0</v>
      </c>
      <c r="K154" s="29">
        <f t="shared" si="12"/>
        <v>240</v>
      </c>
      <c r="L154" s="31" t="str">
        <f t="shared" si="13"/>
        <v/>
      </c>
      <c r="M154" s="31" t="str">
        <f t="shared" si="14"/>
        <v/>
      </c>
    </row>
    <row r="155" spans="1:13" x14ac:dyDescent="0.15">
      <c r="A155" s="163" t="s">
        <v>210</v>
      </c>
      <c r="B155" s="163">
        <v>42281.629108842593</v>
      </c>
      <c r="C155" s="164" t="s">
        <v>14</v>
      </c>
      <c r="D155" s="164" t="s">
        <v>15</v>
      </c>
      <c r="E155" s="165">
        <v>40</v>
      </c>
      <c r="F155" s="166">
        <v>3.7</v>
      </c>
      <c r="G155" s="227">
        <f>IF($B$2,IF(ROWS(B$6:$B155) = 1,$B155-Start_Date,$B155-$B154),"")</f>
        <v>1.4756493059394415E-2</v>
      </c>
      <c r="H155" s="29">
        <f>IF($B$2,IF(ROWS(B$6:$B155) = 1,IF(COUNTIFS(R_Schedule_Times,"&lt;"&amp;B155),INDEX(R_Schedule_Amounts,MATCH(B155,R_Schedule_Times,1)),Starting_Cash),IF(COUNTIFS(R_Schedule_Times,"&gt;"&amp;B154,R_Schedule_Times,"&lt;"&amp;B155),INDEX(R_Schedule_Amounts,MATCH(B155,R_Schedule_Times,1)),K154)),"")</f>
        <v>240</v>
      </c>
      <c r="I155" s="30">
        <f t="shared" si="10"/>
        <v>40</v>
      </c>
      <c r="J155" s="31">
        <f t="shared" si="11"/>
        <v>3.7</v>
      </c>
      <c r="K155" s="29">
        <f t="shared" si="12"/>
        <v>200</v>
      </c>
      <c r="L155" s="31" t="str">
        <f t="shared" si="13"/>
        <v/>
      </c>
      <c r="M155" s="31" t="str">
        <f t="shared" si="14"/>
        <v/>
      </c>
    </row>
    <row r="156" spans="1:13" x14ac:dyDescent="0.15">
      <c r="A156" s="163" t="s">
        <v>210</v>
      </c>
      <c r="B156" s="163">
        <v>42281.64580204861</v>
      </c>
      <c r="C156" s="164" t="s">
        <v>671</v>
      </c>
      <c r="D156" s="164" t="s">
        <v>13</v>
      </c>
      <c r="E156" s="165">
        <v>40</v>
      </c>
      <c r="F156" s="166">
        <v>0</v>
      </c>
      <c r="G156" s="227">
        <f>IF($B$2,IF(ROWS(B$6:$B156) = 1,$B156-Start_Date,$B156-$B155),"")</f>
        <v>1.6693206016498152E-2</v>
      </c>
      <c r="H156" s="29">
        <f>IF($B$2,IF(ROWS(B$6:$B156) = 1,IF(COUNTIFS(R_Schedule_Times,"&lt;"&amp;B156),INDEX(R_Schedule_Amounts,MATCH(B156,R_Schedule_Times,1)),Starting_Cash),IF(COUNTIFS(R_Schedule_Times,"&gt;"&amp;B155,R_Schedule_Times,"&lt;"&amp;B156),INDEX(R_Schedule_Amounts,MATCH(B156,R_Schedule_Times,1)),K155)),"")</f>
        <v>200</v>
      </c>
      <c r="I156" s="30">
        <f t="shared" si="10"/>
        <v>40</v>
      </c>
      <c r="J156" s="31">
        <f t="shared" si="11"/>
        <v>0</v>
      </c>
      <c r="K156" s="29">
        <f t="shared" si="12"/>
        <v>160</v>
      </c>
      <c r="L156" s="31" t="str">
        <f t="shared" si="13"/>
        <v/>
      </c>
      <c r="M156" s="31" t="str">
        <f t="shared" si="14"/>
        <v/>
      </c>
    </row>
    <row r="157" spans="1:13" x14ac:dyDescent="0.15">
      <c r="A157" s="163" t="s">
        <v>210</v>
      </c>
      <c r="B157" s="163">
        <v>42281.657174305554</v>
      </c>
      <c r="C157" s="164" t="s">
        <v>672</v>
      </c>
      <c r="D157" s="164" t="s">
        <v>13</v>
      </c>
      <c r="E157" s="165">
        <v>80</v>
      </c>
      <c r="F157" s="166">
        <v>0</v>
      </c>
      <c r="G157" s="227">
        <f>IF($B$2,IF(ROWS(B$6:$B157) = 1,$B157-Start_Date,$B157-$B156),"")</f>
        <v>1.1372256944014225E-2</v>
      </c>
      <c r="H157" s="29">
        <f>IF($B$2,IF(ROWS(B$6:$B157) = 1,IF(COUNTIFS(R_Schedule_Times,"&lt;"&amp;B157),INDEX(R_Schedule_Amounts,MATCH(B157,R_Schedule_Times,1)),Starting_Cash),IF(COUNTIFS(R_Schedule_Times,"&gt;"&amp;B156,R_Schedule_Times,"&lt;"&amp;B157),INDEX(R_Schedule_Amounts,MATCH(B157,R_Schedule_Times,1)),K156)),"")</f>
        <v>160</v>
      </c>
      <c r="I157" s="30">
        <f t="shared" si="10"/>
        <v>80</v>
      </c>
      <c r="J157" s="31">
        <f t="shared" si="11"/>
        <v>0</v>
      </c>
      <c r="K157" s="29">
        <f t="shared" si="12"/>
        <v>80</v>
      </c>
      <c r="L157" s="31" t="str">
        <f t="shared" si="13"/>
        <v/>
      </c>
      <c r="M157" s="31" t="str">
        <f t="shared" si="14"/>
        <v/>
      </c>
    </row>
    <row r="158" spans="1:13" x14ac:dyDescent="0.15">
      <c r="A158" s="163" t="s">
        <v>210</v>
      </c>
      <c r="B158" s="163">
        <v>42281.660465578701</v>
      </c>
      <c r="C158" s="164" t="s">
        <v>673</v>
      </c>
      <c r="D158" s="164" t="s">
        <v>13</v>
      </c>
      <c r="E158" s="165">
        <v>60</v>
      </c>
      <c r="F158" s="166">
        <v>0</v>
      </c>
      <c r="G158" s="227">
        <f>IF($B$2,IF(ROWS(B$6:$B158) = 1,$B158-Start_Date,$B158-$B157),"")</f>
        <v>3.2912731476244517E-3</v>
      </c>
      <c r="H158" s="29">
        <f>IF($B$2,IF(ROWS(B$6:$B158) = 1,IF(COUNTIFS(R_Schedule_Times,"&lt;"&amp;B158),INDEX(R_Schedule_Amounts,MATCH(B158,R_Schedule_Times,1)),Starting_Cash),IF(COUNTIFS(R_Schedule_Times,"&gt;"&amp;B157,R_Schedule_Times,"&lt;"&amp;B158),INDEX(R_Schedule_Amounts,MATCH(B158,R_Schedule_Times,1)),K157)),"")</f>
        <v>80</v>
      </c>
      <c r="I158" s="30">
        <f t="shared" si="10"/>
        <v>60</v>
      </c>
      <c r="J158" s="31">
        <f t="shared" si="11"/>
        <v>0</v>
      </c>
      <c r="K158" s="29">
        <f t="shared" si="12"/>
        <v>20</v>
      </c>
      <c r="L158" s="31" t="str">
        <f t="shared" si="13"/>
        <v/>
      </c>
      <c r="M158" s="31" t="str">
        <f t="shared" si="14"/>
        <v/>
      </c>
    </row>
    <row r="159" spans="1:13" x14ac:dyDescent="0.15">
      <c r="A159" s="163" t="s">
        <v>210</v>
      </c>
      <c r="B159" s="163">
        <v>42281.677325555553</v>
      </c>
      <c r="C159" s="164" t="s">
        <v>14</v>
      </c>
      <c r="D159" s="164" t="s">
        <v>13</v>
      </c>
      <c r="E159" s="165">
        <v>100</v>
      </c>
      <c r="F159" s="166">
        <v>3.5</v>
      </c>
      <c r="G159" s="227">
        <f>IF($B$2,IF(ROWS(B$6:$B159) = 1,$B159-Start_Date,$B159-$B158),"")</f>
        <v>1.6859976851264946E-2</v>
      </c>
      <c r="H159" s="29">
        <f>IF($B$2,IF(ROWS(B$6:$B159) = 1,IF(COUNTIFS(R_Schedule_Times,"&lt;"&amp;B159),INDEX(R_Schedule_Amounts,MATCH(B159,R_Schedule_Times,1)),Starting_Cash),IF(COUNTIFS(R_Schedule_Times,"&gt;"&amp;B158,R_Schedule_Times,"&lt;"&amp;B159),INDEX(R_Schedule_Amounts,MATCH(B159,R_Schedule_Times,1)),K158)),"")</f>
        <v>20</v>
      </c>
      <c r="I159" s="30">
        <f t="shared" si="10"/>
        <v>0</v>
      </c>
      <c r="J159" s="31">
        <f t="shared" si="11"/>
        <v>0</v>
      </c>
      <c r="K159" s="29">
        <f t="shared" si="12"/>
        <v>20</v>
      </c>
      <c r="L159" s="31" t="str">
        <f t="shared" si="13"/>
        <v>YES</v>
      </c>
      <c r="M159" s="31">
        <f t="shared" si="14"/>
        <v>3.5</v>
      </c>
    </row>
    <row r="160" spans="1:13" x14ac:dyDescent="0.15">
      <c r="A160" s="163" t="s">
        <v>210</v>
      </c>
      <c r="B160" s="163">
        <v>42281.683684502314</v>
      </c>
      <c r="C160" s="164" t="s">
        <v>674</v>
      </c>
      <c r="D160" s="164" t="s">
        <v>13</v>
      </c>
      <c r="E160" s="165">
        <v>20</v>
      </c>
      <c r="F160" s="166">
        <v>0</v>
      </c>
      <c r="G160" s="227">
        <f>IF($B$2,IF(ROWS(B$6:$B160) = 1,$B160-Start_Date,$B160-$B159),"")</f>
        <v>6.3589467608835548E-3</v>
      </c>
      <c r="H160" s="29">
        <f>IF($B$2,IF(ROWS(B$6:$B160) = 1,IF(COUNTIFS(R_Schedule_Times,"&lt;"&amp;B160),INDEX(R_Schedule_Amounts,MATCH(B160,R_Schedule_Times,1)),Starting_Cash),IF(COUNTIFS(R_Schedule_Times,"&gt;"&amp;B159,R_Schedule_Times,"&lt;"&amp;B160),INDEX(R_Schedule_Amounts,MATCH(B160,R_Schedule_Times,1)),K159)),"")</f>
        <v>20</v>
      </c>
      <c r="I160" s="30">
        <f t="shared" si="10"/>
        <v>20</v>
      </c>
      <c r="J160" s="31">
        <f t="shared" si="11"/>
        <v>0</v>
      </c>
      <c r="K160" s="29">
        <f t="shared" si="12"/>
        <v>0</v>
      </c>
      <c r="L160" s="31" t="str">
        <f t="shared" si="13"/>
        <v/>
      </c>
      <c r="M160" s="31" t="str">
        <f t="shared" si="14"/>
        <v/>
      </c>
    </row>
    <row r="161" spans="1:13" x14ac:dyDescent="0.15">
      <c r="A161" s="163" t="s">
        <v>210</v>
      </c>
      <c r="B161" s="163">
        <v>42281.686310833335</v>
      </c>
      <c r="C161" s="164" t="s">
        <v>675</v>
      </c>
      <c r="D161" s="164" t="s">
        <v>13</v>
      </c>
      <c r="E161" s="165">
        <v>140</v>
      </c>
      <c r="F161" s="166">
        <v>0</v>
      </c>
      <c r="G161" s="227">
        <f>IF($B$2,IF(ROWS(B$6:$B161) = 1,$B161-Start_Date,$B161-$B160),"")</f>
        <v>2.6263310210197233E-3</v>
      </c>
      <c r="H161" s="29">
        <f>IF($B$2,IF(ROWS(B$6:$B161) = 1,IF(COUNTIFS(R_Schedule_Times,"&lt;"&amp;B161),INDEX(R_Schedule_Amounts,MATCH(B161,R_Schedule_Times,1)),Starting_Cash),IF(COUNTIFS(R_Schedule_Times,"&gt;"&amp;B160,R_Schedule_Times,"&lt;"&amp;B161),INDEX(R_Schedule_Amounts,MATCH(B161,R_Schedule_Times,1)),K160)),"")</f>
        <v>0</v>
      </c>
      <c r="I161" s="30">
        <f t="shared" si="10"/>
        <v>0</v>
      </c>
      <c r="J161" s="31">
        <f t="shared" si="11"/>
        <v>0</v>
      </c>
      <c r="K161" s="29">
        <f t="shared" si="12"/>
        <v>0</v>
      </c>
      <c r="L161" s="31" t="str">
        <f t="shared" si="13"/>
        <v>YES</v>
      </c>
      <c r="M161" s="31">
        <f t="shared" si="14"/>
        <v>0</v>
      </c>
    </row>
    <row r="162" spans="1:13" x14ac:dyDescent="0.15">
      <c r="A162" s="163" t="s">
        <v>210</v>
      </c>
      <c r="B162" s="163">
        <v>42281.688957268518</v>
      </c>
      <c r="C162" s="164" t="s">
        <v>676</v>
      </c>
      <c r="D162" s="164" t="s">
        <v>13</v>
      </c>
      <c r="E162" s="165">
        <v>100</v>
      </c>
      <c r="F162" s="166">
        <v>0</v>
      </c>
      <c r="G162" s="227">
        <f>IF($B$2,IF(ROWS(B$6:$B162) = 1,$B162-Start_Date,$B162-$B161),"")</f>
        <v>2.6464351831236854E-3</v>
      </c>
      <c r="H162" s="29">
        <f>IF($B$2,IF(ROWS(B$6:$B162) = 1,IF(COUNTIFS(R_Schedule_Times,"&lt;"&amp;B162),INDEX(R_Schedule_Amounts,MATCH(B162,R_Schedule_Times,1)),Starting_Cash),IF(COUNTIFS(R_Schedule_Times,"&gt;"&amp;B161,R_Schedule_Times,"&lt;"&amp;B162),INDEX(R_Schedule_Amounts,MATCH(B162,R_Schedule_Times,1)),K161)),"")</f>
        <v>0</v>
      </c>
      <c r="I162" s="30">
        <f t="shared" si="10"/>
        <v>0</v>
      </c>
      <c r="J162" s="31">
        <f t="shared" si="11"/>
        <v>0</v>
      </c>
      <c r="K162" s="29">
        <f t="shared" si="12"/>
        <v>0</v>
      </c>
      <c r="L162" s="31" t="str">
        <f t="shared" si="13"/>
        <v>YES</v>
      </c>
      <c r="M162" s="31">
        <f t="shared" si="14"/>
        <v>0</v>
      </c>
    </row>
    <row r="163" spans="1:13" x14ac:dyDescent="0.15">
      <c r="A163" s="163" t="s">
        <v>210</v>
      </c>
      <c r="B163" s="163">
        <v>42281.698288692132</v>
      </c>
      <c r="C163" s="164" t="s">
        <v>677</v>
      </c>
      <c r="D163" s="164" t="s">
        <v>13</v>
      </c>
      <c r="E163" s="165">
        <v>100</v>
      </c>
      <c r="F163" s="166">
        <v>0</v>
      </c>
      <c r="G163" s="227">
        <f>IF($B$2,IF(ROWS(B$6:$B163) = 1,$B163-Start_Date,$B163-$B162),"")</f>
        <v>9.3314236146397889E-3</v>
      </c>
      <c r="H163" s="29">
        <f>IF($B$2,IF(ROWS(B$6:$B163) = 1,IF(COUNTIFS(R_Schedule_Times,"&lt;"&amp;B163),INDEX(R_Schedule_Amounts,MATCH(B163,R_Schedule_Times,1)),Starting_Cash),IF(COUNTIFS(R_Schedule_Times,"&gt;"&amp;B162,R_Schedule_Times,"&lt;"&amp;B163),INDEX(R_Schedule_Amounts,MATCH(B163,R_Schedule_Times,1)),K162)),"")</f>
        <v>0</v>
      </c>
      <c r="I163" s="30">
        <f t="shared" si="10"/>
        <v>0</v>
      </c>
      <c r="J163" s="31">
        <f t="shared" si="11"/>
        <v>0</v>
      </c>
      <c r="K163" s="29">
        <f t="shared" si="12"/>
        <v>0</v>
      </c>
      <c r="L163" s="31" t="str">
        <f t="shared" si="13"/>
        <v>YES</v>
      </c>
      <c r="M163" s="31">
        <f t="shared" si="14"/>
        <v>0</v>
      </c>
    </row>
    <row r="164" spans="1:13" x14ac:dyDescent="0.15">
      <c r="A164" s="163" t="s">
        <v>210</v>
      </c>
      <c r="B164" s="163">
        <v>42281.699411793983</v>
      </c>
      <c r="C164" s="164" t="s">
        <v>678</v>
      </c>
      <c r="D164" s="164" t="s">
        <v>13</v>
      </c>
      <c r="E164" s="165">
        <v>100</v>
      </c>
      <c r="F164" s="166">
        <v>0</v>
      </c>
      <c r="G164" s="227">
        <f>IF($B$2,IF(ROWS(B$6:$B164) = 1,$B164-Start_Date,$B164-$B163),"")</f>
        <v>1.1231018506805412E-3</v>
      </c>
      <c r="H164" s="29">
        <f>IF($B$2,IF(ROWS(B$6:$B164) = 1,IF(COUNTIFS(R_Schedule_Times,"&lt;"&amp;B164),INDEX(R_Schedule_Amounts,MATCH(B164,R_Schedule_Times,1)),Starting_Cash),IF(COUNTIFS(R_Schedule_Times,"&gt;"&amp;B163,R_Schedule_Times,"&lt;"&amp;B164),INDEX(R_Schedule_Amounts,MATCH(B164,R_Schedule_Times,1)),K163)),"")</f>
        <v>0</v>
      </c>
      <c r="I164" s="30">
        <f t="shared" si="10"/>
        <v>0</v>
      </c>
      <c r="J164" s="31">
        <f t="shared" si="11"/>
        <v>0</v>
      </c>
      <c r="K164" s="29">
        <f t="shared" si="12"/>
        <v>0</v>
      </c>
      <c r="L164" s="31" t="str">
        <f t="shared" si="13"/>
        <v>YES</v>
      </c>
      <c r="M164" s="31">
        <f t="shared" si="14"/>
        <v>0</v>
      </c>
    </row>
    <row r="165" spans="1:13" x14ac:dyDescent="0.15">
      <c r="A165" s="163" t="s">
        <v>210</v>
      </c>
      <c r="B165" s="163">
        <v>42281.715156678241</v>
      </c>
      <c r="C165" s="164" t="s">
        <v>679</v>
      </c>
      <c r="D165" s="164" t="s">
        <v>13</v>
      </c>
      <c r="E165" s="165">
        <v>60</v>
      </c>
      <c r="F165" s="166">
        <v>0</v>
      </c>
      <c r="G165" s="227">
        <f>IF($B$2,IF(ROWS(B$6:$B165) = 1,$B165-Start_Date,$B165-$B164),"")</f>
        <v>1.5744884258310776E-2</v>
      </c>
      <c r="H165" s="29">
        <f>IF($B$2,IF(ROWS(B$6:$B165) = 1,IF(COUNTIFS(R_Schedule_Times,"&lt;"&amp;B165),INDEX(R_Schedule_Amounts,MATCH(B165,R_Schedule_Times,1)),Starting_Cash),IF(COUNTIFS(R_Schedule_Times,"&gt;"&amp;B164,R_Schedule_Times,"&lt;"&amp;B165),INDEX(R_Schedule_Amounts,MATCH(B165,R_Schedule_Times,1)),K164)),"")</f>
        <v>0</v>
      </c>
      <c r="I165" s="30">
        <f t="shared" si="10"/>
        <v>0</v>
      </c>
      <c r="J165" s="31">
        <f t="shared" si="11"/>
        <v>0</v>
      </c>
      <c r="K165" s="29">
        <f t="shared" si="12"/>
        <v>0</v>
      </c>
      <c r="L165" s="31" t="str">
        <f t="shared" si="13"/>
        <v>YES</v>
      </c>
      <c r="M165" s="31">
        <f t="shared" si="14"/>
        <v>0</v>
      </c>
    </row>
    <row r="166" spans="1:13" x14ac:dyDescent="0.15">
      <c r="A166" s="163" t="s">
        <v>210</v>
      </c>
      <c r="B166" s="163">
        <v>42281.757935162037</v>
      </c>
      <c r="C166" s="164" t="s">
        <v>680</v>
      </c>
      <c r="D166" s="164" t="s">
        <v>13</v>
      </c>
      <c r="E166" s="165">
        <v>100</v>
      </c>
      <c r="F166" s="166">
        <v>0</v>
      </c>
      <c r="G166" s="227">
        <f>IF($B$2,IF(ROWS(B$6:$B166) = 1,$B166-Start_Date,$B166-$B165),"")</f>
        <v>4.2778483795700595E-2</v>
      </c>
      <c r="H166" s="29">
        <f>IF($B$2,IF(ROWS(B$6:$B166) = 1,IF(COUNTIFS(R_Schedule_Times,"&lt;"&amp;B166),INDEX(R_Schedule_Amounts,MATCH(B166,R_Schedule_Times,1)),Starting_Cash),IF(COUNTIFS(R_Schedule_Times,"&gt;"&amp;B165,R_Schedule_Times,"&lt;"&amp;B166),INDEX(R_Schedule_Amounts,MATCH(B166,R_Schedule_Times,1)),K165)),"")</f>
        <v>0</v>
      </c>
      <c r="I166" s="30">
        <f t="shared" si="10"/>
        <v>0</v>
      </c>
      <c r="J166" s="31">
        <f t="shared" si="11"/>
        <v>0</v>
      </c>
      <c r="K166" s="29">
        <f t="shared" si="12"/>
        <v>0</v>
      </c>
      <c r="L166" s="31" t="str">
        <f t="shared" si="13"/>
        <v>YES</v>
      </c>
      <c r="M166" s="31">
        <f t="shared" si="14"/>
        <v>0</v>
      </c>
    </row>
    <row r="167" spans="1:13" x14ac:dyDescent="0.15">
      <c r="A167" s="163" t="s">
        <v>210</v>
      </c>
      <c r="B167" s="163">
        <v>42281.770657291665</v>
      </c>
      <c r="C167" s="164" t="s">
        <v>681</v>
      </c>
      <c r="D167" s="164" t="s">
        <v>15</v>
      </c>
      <c r="E167" s="165">
        <v>40</v>
      </c>
      <c r="F167" s="166">
        <v>1.2</v>
      </c>
      <c r="G167" s="227">
        <f>IF($B$2,IF(ROWS(B$6:$B167) = 1,$B167-Start_Date,$B167-$B166),"")</f>
        <v>1.2722129627945833E-2</v>
      </c>
      <c r="H167" s="29">
        <f>IF($B$2,IF(ROWS(B$6:$B167) = 1,IF(COUNTIFS(R_Schedule_Times,"&lt;"&amp;B167),INDEX(R_Schedule_Amounts,MATCH(B167,R_Schedule_Times,1)),Starting_Cash),IF(COUNTIFS(R_Schedule_Times,"&gt;"&amp;B166,R_Schedule_Times,"&lt;"&amp;B167),INDEX(R_Schedule_Amounts,MATCH(B167,R_Schedule_Times,1)),K166)),"")</f>
        <v>0</v>
      </c>
      <c r="I167" s="30">
        <f t="shared" si="10"/>
        <v>0</v>
      </c>
      <c r="J167" s="31">
        <f t="shared" si="11"/>
        <v>0</v>
      </c>
      <c r="K167" s="29">
        <f t="shared" si="12"/>
        <v>0</v>
      </c>
      <c r="L167" s="31" t="str">
        <f t="shared" si="13"/>
        <v>YES</v>
      </c>
      <c r="M167" s="31">
        <f t="shared" si="14"/>
        <v>1.2</v>
      </c>
    </row>
    <row r="168" spans="1:13" x14ac:dyDescent="0.15">
      <c r="A168" s="163" t="s">
        <v>210</v>
      </c>
      <c r="B168" s="163">
        <v>42282.30505657407</v>
      </c>
      <c r="C168" s="164" t="s">
        <v>682</v>
      </c>
      <c r="D168" s="164" t="s">
        <v>13</v>
      </c>
      <c r="E168" s="165">
        <v>500</v>
      </c>
      <c r="F168" s="166">
        <v>0</v>
      </c>
      <c r="G168" s="227">
        <f>IF($B$2,IF(ROWS(B$6:$B168) = 1,$B168-Start_Date,$B168-$B167),"")</f>
        <v>0.53439928240550216</v>
      </c>
      <c r="H168" s="29">
        <f>IF($B$2,IF(ROWS(B$6:$B168) = 1,IF(COUNTIFS(R_Schedule_Times,"&lt;"&amp;B168),INDEX(R_Schedule_Amounts,MATCH(B168,R_Schedule_Times,1)),Starting_Cash),IF(COUNTIFS(R_Schedule_Times,"&gt;"&amp;B167,R_Schedule_Times,"&lt;"&amp;B168),INDEX(R_Schedule_Amounts,MATCH(B168,R_Schedule_Times,1)),K167)),"")</f>
        <v>11000</v>
      </c>
      <c r="I168" s="30">
        <f t="shared" si="10"/>
        <v>500</v>
      </c>
      <c r="J168" s="31">
        <f t="shared" si="11"/>
        <v>0</v>
      </c>
      <c r="K168" s="29">
        <f t="shared" si="12"/>
        <v>10500</v>
      </c>
      <c r="L168" s="31" t="str">
        <f t="shared" si="13"/>
        <v/>
      </c>
      <c r="M168" s="31" t="str">
        <f t="shared" si="14"/>
        <v/>
      </c>
    </row>
    <row r="169" spans="1:13" x14ac:dyDescent="0.15">
      <c r="A169" s="163" t="s">
        <v>210</v>
      </c>
      <c r="B169" s="163">
        <v>42282.308061412034</v>
      </c>
      <c r="C169" s="164" t="s">
        <v>14</v>
      </c>
      <c r="D169" s="164" t="s">
        <v>13</v>
      </c>
      <c r="E169" s="165">
        <v>100</v>
      </c>
      <c r="F169" s="166">
        <v>3.5</v>
      </c>
      <c r="G169" s="227">
        <f>IF($B$2,IF(ROWS(B$6:$B169) = 1,$B169-Start_Date,$B169-$B168),"")</f>
        <v>3.0048379630898125E-3</v>
      </c>
      <c r="H169" s="29">
        <f>IF($B$2,IF(ROWS(B$6:$B169) = 1,IF(COUNTIFS(R_Schedule_Times,"&lt;"&amp;B169),INDEX(R_Schedule_Amounts,MATCH(B169,R_Schedule_Times,1)),Starting_Cash),IF(COUNTIFS(R_Schedule_Times,"&gt;"&amp;B168,R_Schedule_Times,"&lt;"&amp;B169),INDEX(R_Schedule_Amounts,MATCH(B169,R_Schedule_Times,1)),K168)),"")</f>
        <v>10500</v>
      </c>
      <c r="I169" s="30">
        <f t="shared" si="10"/>
        <v>100</v>
      </c>
      <c r="J169" s="31">
        <f t="shared" si="11"/>
        <v>3.5</v>
      </c>
      <c r="K169" s="29">
        <f t="shared" si="12"/>
        <v>10400</v>
      </c>
      <c r="L169" s="31" t="str">
        <f t="shared" si="13"/>
        <v/>
      </c>
      <c r="M169" s="31" t="str">
        <f t="shared" si="14"/>
        <v/>
      </c>
    </row>
    <row r="170" spans="1:13" x14ac:dyDescent="0.15">
      <c r="A170" s="163" t="s">
        <v>210</v>
      </c>
      <c r="B170" s="163">
        <v>42282.313992187497</v>
      </c>
      <c r="C170" s="164" t="s">
        <v>683</v>
      </c>
      <c r="D170" s="164" t="s">
        <v>13</v>
      </c>
      <c r="E170" s="165">
        <v>140</v>
      </c>
      <c r="F170" s="166">
        <v>0</v>
      </c>
      <c r="G170" s="227">
        <f>IF($B$2,IF(ROWS(B$6:$B170) = 1,$B170-Start_Date,$B170-$B169),"")</f>
        <v>5.9307754636392929E-3</v>
      </c>
      <c r="H170" s="29">
        <f>IF($B$2,IF(ROWS(B$6:$B170) = 1,IF(COUNTIFS(R_Schedule_Times,"&lt;"&amp;B170),INDEX(R_Schedule_Amounts,MATCH(B170,R_Schedule_Times,1)),Starting_Cash),IF(COUNTIFS(R_Schedule_Times,"&gt;"&amp;B169,R_Schedule_Times,"&lt;"&amp;B170),INDEX(R_Schedule_Amounts,MATCH(B170,R_Schedule_Times,1)),K169)),"")</f>
        <v>10400</v>
      </c>
      <c r="I170" s="30">
        <f t="shared" si="10"/>
        <v>140</v>
      </c>
      <c r="J170" s="31">
        <f t="shared" si="11"/>
        <v>0</v>
      </c>
      <c r="K170" s="29">
        <f t="shared" si="12"/>
        <v>10260</v>
      </c>
      <c r="L170" s="31" t="str">
        <f t="shared" si="13"/>
        <v/>
      </c>
      <c r="M170" s="31" t="str">
        <f t="shared" si="14"/>
        <v/>
      </c>
    </row>
    <row r="171" spans="1:13" x14ac:dyDescent="0.15">
      <c r="A171" s="163" t="s">
        <v>210</v>
      </c>
      <c r="B171" s="163">
        <v>42282.320687268519</v>
      </c>
      <c r="C171" s="164" t="s">
        <v>684</v>
      </c>
      <c r="D171" s="164" t="s">
        <v>13</v>
      </c>
      <c r="E171" s="165">
        <v>100</v>
      </c>
      <c r="F171" s="166">
        <v>0</v>
      </c>
      <c r="G171" s="227">
        <f>IF($B$2,IF(ROWS(B$6:$B171) = 1,$B171-Start_Date,$B171-$B170),"")</f>
        <v>6.6950810214621015E-3</v>
      </c>
      <c r="H171" s="29">
        <f>IF($B$2,IF(ROWS(B$6:$B171) = 1,IF(COUNTIFS(R_Schedule_Times,"&lt;"&amp;B171),INDEX(R_Schedule_Amounts,MATCH(B171,R_Schedule_Times,1)),Starting_Cash),IF(COUNTIFS(R_Schedule_Times,"&gt;"&amp;B170,R_Schedule_Times,"&lt;"&amp;B171),INDEX(R_Schedule_Amounts,MATCH(B171,R_Schedule_Times,1)),K170)),"")</f>
        <v>10260</v>
      </c>
      <c r="I171" s="30">
        <f t="shared" si="10"/>
        <v>100</v>
      </c>
      <c r="J171" s="31">
        <f t="shared" si="11"/>
        <v>0</v>
      </c>
      <c r="K171" s="29">
        <f t="shared" si="12"/>
        <v>10160</v>
      </c>
      <c r="L171" s="31" t="str">
        <f t="shared" si="13"/>
        <v/>
      </c>
      <c r="M171" s="31" t="str">
        <f t="shared" si="14"/>
        <v/>
      </c>
    </row>
    <row r="172" spans="1:13" x14ac:dyDescent="0.15">
      <c r="A172" s="163" t="s">
        <v>210</v>
      </c>
      <c r="B172" s="163">
        <v>42282.327411238424</v>
      </c>
      <c r="C172" s="164" t="s">
        <v>685</v>
      </c>
      <c r="D172" s="164" t="s">
        <v>13</v>
      </c>
      <c r="E172" s="165">
        <v>20</v>
      </c>
      <c r="F172" s="166">
        <v>0</v>
      </c>
      <c r="G172" s="227">
        <f>IF($B$2,IF(ROWS(B$6:$B172) = 1,$B172-Start_Date,$B172-$B171),"")</f>
        <v>6.723969905578997E-3</v>
      </c>
      <c r="H172" s="29">
        <f>IF($B$2,IF(ROWS(B$6:$B172) = 1,IF(COUNTIFS(R_Schedule_Times,"&lt;"&amp;B172),INDEX(R_Schedule_Amounts,MATCH(B172,R_Schedule_Times,1)),Starting_Cash),IF(COUNTIFS(R_Schedule_Times,"&gt;"&amp;B171,R_Schedule_Times,"&lt;"&amp;B172),INDEX(R_Schedule_Amounts,MATCH(B172,R_Schedule_Times,1)),K171)),"")</f>
        <v>10160</v>
      </c>
      <c r="I172" s="30">
        <f t="shared" si="10"/>
        <v>20</v>
      </c>
      <c r="J172" s="31">
        <f t="shared" si="11"/>
        <v>0</v>
      </c>
      <c r="K172" s="29">
        <f t="shared" si="12"/>
        <v>10140</v>
      </c>
      <c r="L172" s="31" t="str">
        <f t="shared" si="13"/>
        <v/>
      </c>
      <c r="M172" s="31" t="str">
        <f t="shared" si="14"/>
        <v/>
      </c>
    </row>
    <row r="173" spans="1:13" x14ac:dyDescent="0.15">
      <c r="A173" s="163" t="s">
        <v>210</v>
      </c>
      <c r="B173" s="163">
        <v>42282.344146747688</v>
      </c>
      <c r="C173" s="164" t="s">
        <v>686</v>
      </c>
      <c r="D173" s="164" t="s">
        <v>13</v>
      </c>
      <c r="E173" s="165">
        <v>100</v>
      </c>
      <c r="F173" s="166">
        <v>0</v>
      </c>
      <c r="G173" s="227">
        <f>IF($B$2,IF(ROWS(B$6:$B173) = 1,$B173-Start_Date,$B173-$B172),"")</f>
        <v>1.6735509263526183E-2</v>
      </c>
      <c r="H173" s="29">
        <f>IF($B$2,IF(ROWS(B$6:$B173) = 1,IF(COUNTIFS(R_Schedule_Times,"&lt;"&amp;B173),INDEX(R_Schedule_Amounts,MATCH(B173,R_Schedule_Times,1)),Starting_Cash),IF(COUNTIFS(R_Schedule_Times,"&gt;"&amp;B172,R_Schedule_Times,"&lt;"&amp;B173),INDEX(R_Schedule_Amounts,MATCH(B173,R_Schedule_Times,1)),K172)),"")</f>
        <v>10140</v>
      </c>
      <c r="I173" s="30">
        <f t="shared" si="10"/>
        <v>100</v>
      </c>
      <c r="J173" s="31">
        <f t="shared" si="11"/>
        <v>0</v>
      </c>
      <c r="K173" s="29">
        <f t="shared" si="12"/>
        <v>10040</v>
      </c>
      <c r="L173" s="31" t="str">
        <f t="shared" si="13"/>
        <v/>
      </c>
      <c r="M173" s="31" t="str">
        <f t="shared" si="14"/>
        <v/>
      </c>
    </row>
    <row r="174" spans="1:13" x14ac:dyDescent="0.15">
      <c r="A174" s="163" t="s">
        <v>210</v>
      </c>
      <c r="B174" s="163">
        <v>42282.351484583334</v>
      </c>
      <c r="C174" s="164" t="s">
        <v>687</v>
      </c>
      <c r="D174" s="164" t="s">
        <v>13</v>
      </c>
      <c r="E174" s="165">
        <v>80</v>
      </c>
      <c r="F174" s="166">
        <v>0</v>
      </c>
      <c r="G174" s="227">
        <f>IF($B$2,IF(ROWS(B$6:$B174) = 1,$B174-Start_Date,$B174-$B173),"")</f>
        <v>7.3378356464672834E-3</v>
      </c>
      <c r="H174" s="29">
        <f>IF($B$2,IF(ROWS(B$6:$B174) = 1,IF(COUNTIFS(R_Schedule_Times,"&lt;"&amp;B174),INDEX(R_Schedule_Amounts,MATCH(B174,R_Schedule_Times,1)),Starting_Cash),IF(COUNTIFS(R_Schedule_Times,"&gt;"&amp;B173,R_Schedule_Times,"&lt;"&amp;B174),INDEX(R_Schedule_Amounts,MATCH(B174,R_Schedule_Times,1)),K173)),"")</f>
        <v>10040</v>
      </c>
      <c r="I174" s="30">
        <f t="shared" si="10"/>
        <v>80</v>
      </c>
      <c r="J174" s="31">
        <f t="shared" si="11"/>
        <v>0</v>
      </c>
      <c r="K174" s="29">
        <f t="shared" si="12"/>
        <v>9960</v>
      </c>
      <c r="L174" s="31" t="str">
        <f t="shared" si="13"/>
        <v/>
      </c>
      <c r="M174" s="31" t="str">
        <f t="shared" si="14"/>
        <v/>
      </c>
    </row>
    <row r="175" spans="1:13" x14ac:dyDescent="0.15">
      <c r="A175" s="163" t="s">
        <v>210</v>
      </c>
      <c r="B175" s="163">
        <v>42282.352309016205</v>
      </c>
      <c r="C175" s="164" t="s">
        <v>688</v>
      </c>
      <c r="D175" s="164" t="s">
        <v>13</v>
      </c>
      <c r="E175" s="165">
        <v>20</v>
      </c>
      <c r="F175" s="166">
        <v>0</v>
      </c>
      <c r="G175" s="227">
        <f>IF($B$2,IF(ROWS(B$6:$B175) = 1,$B175-Start_Date,$B175-$B174),"")</f>
        <v>8.2443287101341411E-4</v>
      </c>
      <c r="H175" s="29">
        <f>IF($B$2,IF(ROWS(B$6:$B175) = 1,IF(COUNTIFS(R_Schedule_Times,"&lt;"&amp;B175),INDEX(R_Schedule_Amounts,MATCH(B175,R_Schedule_Times,1)),Starting_Cash),IF(COUNTIFS(R_Schedule_Times,"&gt;"&amp;B174,R_Schedule_Times,"&lt;"&amp;B175),INDEX(R_Schedule_Amounts,MATCH(B175,R_Schedule_Times,1)),K174)),"")</f>
        <v>9960</v>
      </c>
      <c r="I175" s="30">
        <f t="shared" si="10"/>
        <v>20</v>
      </c>
      <c r="J175" s="31">
        <f t="shared" si="11"/>
        <v>0</v>
      </c>
      <c r="K175" s="29">
        <f t="shared" si="12"/>
        <v>9940</v>
      </c>
      <c r="L175" s="31" t="str">
        <f t="shared" si="13"/>
        <v/>
      </c>
      <c r="M175" s="31" t="str">
        <f t="shared" si="14"/>
        <v/>
      </c>
    </row>
    <row r="176" spans="1:13" x14ac:dyDescent="0.15">
      <c r="A176" s="163" t="s">
        <v>210</v>
      </c>
      <c r="B176" s="163">
        <v>42282.358757731483</v>
      </c>
      <c r="C176" s="164" t="s">
        <v>14</v>
      </c>
      <c r="D176" s="164" t="s">
        <v>13</v>
      </c>
      <c r="E176" s="165">
        <v>60</v>
      </c>
      <c r="F176" s="166">
        <v>3.5</v>
      </c>
      <c r="G176" s="227">
        <f>IF($B$2,IF(ROWS(B$6:$B176) = 1,$B176-Start_Date,$B176-$B175),"")</f>
        <v>6.4487152776564471E-3</v>
      </c>
      <c r="H176" s="29">
        <f>IF($B$2,IF(ROWS(B$6:$B176) = 1,IF(COUNTIFS(R_Schedule_Times,"&lt;"&amp;B176),INDEX(R_Schedule_Amounts,MATCH(B176,R_Schedule_Times,1)),Starting_Cash),IF(COUNTIFS(R_Schedule_Times,"&gt;"&amp;B175,R_Schedule_Times,"&lt;"&amp;B176),INDEX(R_Schedule_Amounts,MATCH(B176,R_Schedule_Times,1)),K175)),"")</f>
        <v>9940</v>
      </c>
      <c r="I176" s="30">
        <f t="shared" si="10"/>
        <v>60</v>
      </c>
      <c r="J176" s="31">
        <f t="shared" si="11"/>
        <v>3.5</v>
      </c>
      <c r="K176" s="29">
        <f t="shared" si="12"/>
        <v>9880</v>
      </c>
      <c r="L176" s="31" t="str">
        <f t="shared" si="13"/>
        <v/>
      </c>
      <c r="M176" s="31" t="str">
        <f t="shared" si="14"/>
        <v/>
      </c>
    </row>
    <row r="177" spans="1:13" x14ac:dyDescent="0.15">
      <c r="A177" s="163" t="s">
        <v>210</v>
      </c>
      <c r="B177" s="163">
        <v>42282.367089201391</v>
      </c>
      <c r="C177" s="164" t="s">
        <v>689</v>
      </c>
      <c r="D177" s="164" t="s">
        <v>13</v>
      </c>
      <c r="E177" s="165">
        <v>20</v>
      </c>
      <c r="F177" s="166">
        <v>0</v>
      </c>
      <c r="G177" s="227">
        <f>IF($B$2,IF(ROWS(B$6:$B177) = 1,$B177-Start_Date,$B177-$B176),"")</f>
        <v>8.3314699077163823E-3</v>
      </c>
      <c r="H177" s="29">
        <f>IF($B$2,IF(ROWS(B$6:$B177) = 1,IF(COUNTIFS(R_Schedule_Times,"&lt;"&amp;B177),INDEX(R_Schedule_Amounts,MATCH(B177,R_Schedule_Times,1)),Starting_Cash),IF(COUNTIFS(R_Schedule_Times,"&gt;"&amp;B176,R_Schedule_Times,"&lt;"&amp;B177),INDEX(R_Schedule_Amounts,MATCH(B177,R_Schedule_Times,1)),K176)),"")</f>
        <v>9880</v>
      </c>
      <c r="I177" s="30">
        <f t="shared" si="10"/>
        <v>20</v>
      </c>
      <c r="J177" s="31">
        <f t="shared" si="11"/>
        <v>0</v>
      </c>
      <c r="K177" s="29">
        <f t="shared" si="12"/>
        <v>9860</v>
      </c>
      <c r="L177" s="31" t="str">
        <f t="shared" si="13"/>
        <v/>
      </c>
      <c r="M177" s="31" t="str">
        <f t="shared" si="14"/>
        <v/>
      </c>
    </row>
    <row r="178" spans="1:13" x14ac:dyDescent="0.15">
      <c r="A178" s="163" t="s">
        <v>210</v>
      </c>
      <c r="B178" s="163">
        <v>42282.387937650463</v>
      </c>
      <c r="C178" s="164" t="s">
        <v>690</v>
      </c>
      <c r="D178" s="164" t="s">
        <v>13</v>
      </c>
      <c r="E178" s="165">
        <v>40</v>
      </c>
      <c r="F178" s="166">
        <v>0</v>
      </c>
      <c r="G178" s="227">
        <f>IF($B$2,IF(ROWS(B$6:$B178) = 1,$B178-Start_Date,$B178-$B177),"")</f>
        <v>2.08484490722185E-2</v>
      </c>
      <c r="H178" s="29">
        <f>IF($B$2,IF(ROWS(B$6:$B178) = 1,IF(COUNTIFS(R_Schedule_Times,"&lt;"&amp;B178),INDEX(R_Schedule_Amounts,MATCH(B178,R_Schedule_Times,1)),Starting_Cash),IF(COUNTIFS(R_Schedule_Times,"&gt;"&amp;B177,R_Schedule_Times,"&lt;"&amp;B178),INDEX(R_Schedule_Amounts,MATCH(B178,R_Schedule_Times,1)),K177)),"")</f>
        <v>9860</v>
      </c>
      <c r="I178" s="30">
        <f t="shared" si="10"/>
        <v>40</v>
      </c>
      <c r="J178" s="31">
        <f t="shared" si="11"/>
        <v>0</v>
      </c>
      <c r="K178" s="29">
        <f t="shared" si="12"/>
        <v>9820</v>
      </c>
      <c r="L178" s="31" t="str">
        <f t="shared" si="13"/>
        <v/>
      </c>
      <c r="M178" s="31" t="str">
        <f t="shared" si="14"/>
        <v/>
      </c>
    </row>
    <row r="179" spans="1:13" x14ac:dyDescent="0.15">
      <c r="A179" s="163" t="s">
        <v>210</v>
      </c>
      <c r="B179" s="163">
        <v>42282.38963701389</v>
      </c>
      <c r="C179" s="164" t="s">
        <v>691</v>
      </c>
      <c r="D179" s="164" t="s">
        <v>13</v>
      </c>
      <c r="E179" s="165">
        <v>40</v>
      </c>
      <c r="F179" s="166">
        <v>0</v>
      </c>
      <c r="G179" s="227">
        <f>IF($B$2,IF(ROWS(B$6:$B179) = 1,$B179-Start_Date,$B179-$B178),"")</f>
        <v>1.6993634271784686E-3</v>
      </c>
      <c r="H179" s="29">
        <f>IF($B$2,IF(ROWS(B$6:$B179) = 1,IF(COUNTIFS(R_Schedule_Times,"&lt;"&amp;B179),INDEX(R_Schedule_Amounts,MATCH(B179,R_Schedule_Times,1)),Starting_Cash),IF(COUNTIFS(R_Schedule_Times,"&gt;"&amp;B178,R_Schedule_Times,"&lt;"&amp;B179),INDEX(R_Schedule_Amounts,MATCH(B179,R_Schedule_Times,1)),K178)),"")</f>
        <v>9820</v>
      </c>
      <c r="I179" s="30">
        <f t="shared" si="10"/>
        <v>40</v>
      </c>
      <c r="J179" s="31">
        <f t="shared" si="11"/>
        <v>0</v>
      </c>
      <c r="K179" s="29">
        <f t="shared" si="12"/>
        <v>9780</v>
      </c>
      <c r="L179" s="31" t="str">
        <f t="shared" si="13"/>
        <v/>
      </c>
      <c r="M179" s="31" t="str">
        <f t="shared" si="14"/>
        <v/>
      </c>
    </row>
    <row r="180" spans="1:13" x14ac:dyDescent="0.15">
      <c r="A180" s="163" t="s">
        <v>210</v>
      </c>
      <c r="B180" s="163">
        <v>42282.394705497682</v>
      </c>
      <c r="C180" s="164" t="s">
        <v>307</v>
      </c>
      <c r="D180" s="164" t="s">
        <v>13</v>
      </c>
      <c r="E180" s="165">
        <v>100</v>
      </c>
      <c r="F180" s="166">
        <v>0</v>
      </c>
      <c r="G180" s="227">
        <f>IF($B$2,IF(ROWS(B$6:$B180) = 1,$B180-Start_Date,$B180-$B179),"")</f>
        <v>5.0684837915468961E-3</v>
      </c>
      <c r="H180" s="29">
        <f>IF($B$2,IF(ROWS(B$6:$B180) = 1,IF(COUNTIFS(R_Schedule_Times,"&lt;"&amp;B180),INDEX(R_Schedule_Amounts,MATCH(B180,R_Schedule_Times,1)),Starting_Cash),IF(COUNTIFS(R_Schedule_Times,"&gt;"&amp;B179,R_Schedule_Times,"&lt;"&amp;B180),INDEX(R_Schedule_Amounts,MATCH(B180,R_Schedule_Times,1)),K179)),"")</f>
        <v>9780</v>
      </c>
      <c r="I180" s="30">
        <f t="shared" si="10"/>
        <v>100</v>
      </c>
      <c r="J180" s="31">
        <f t="shared" si="11"/>
        <v>0</v>
      </c>
      <c r="K180" s="29">
        <f t="shared" si="12"/>
        <v>9680</v>
      </c>
      <c r="L180" s="31" t="str">
        <f t="shared" si="13"/>
        <v/>
      </c>
      <c r="M180" s="31" t="str">
        <f t="shared" si="14"/>
        <v/>
      </c>
    </row>
    <row r="181" spans="1:13" x14ac:dyDescent="0.15">
      <c r="A181" s="163" t="s">
        <v>210</v>
      </c>
      <c r="B181" s="163">
        <v>42282.409502546296</v>
      </c>
      <c r="C181" s="164" t="s">
        <v>692</v>
      </c>
      <c r="D181" s="164" t="s">
        <v>13</v>
      </c>
      <c r="E181" s="165">
        <v>100</v>
      </c>
      <c r="F181" s="166">
        <v>0</v>
      </c>
      <c r="G181" s="227">
        <f>IF($B$2,IF(ROWS(B$6:$B181) = 1,$B181-Start_Date,$B181-$B180),"")</f>
        <v>1.4797048614127561E-2</v>
      </c>
      <c r="H181" s="29">
        <f>IF($B$2,IF(ROWS(B$6:$B181) = 1,IF(COUNTIFS(R_Schedule_Times,"&lt;"&amp;B181),INDEX(R_Schedule_Amounts,MATCH(B181,R_Schedule_Times,1)),Starting_Cash),IF(COUNTIFS(R_Schedule_Times,"&gt;"&amp;B180,R_Schedule_Times,"&lt;"&amp;B181),INDEX(R_Schedule_Amounts,MATCH(B181,R_Schedule_Times,1)),K180)),"")</f>
        <v>9680</v>
      </c>
      <c r="I181" s="30">
        <f t="shared" si="10"/>
        <v>100</v>
      </c>
      <c r="J181" s="31">
        <f t="shared" si="11"/>
        <v>0</v>
      </c>
      <c r="K181" s="29">
        <f t="shared" si="12"/>
        <v>9580</v>
      </c>
      <c r="L181" s="31" t="str">
        <f t="shared" si="13"/>
        <v/>
      </c>
      <c r="M181" s="31" t="str">
        <f t="shared" si="14"/>
        <v/>
      </c>
    </row>
    <row r="182" spans="1:13" x14ac:dyDescent="0.15">
      <c r="A182" s="163" t="s">
        <v>210</v>
      </c>
      <c r="B182" s="163">
        <v>42282.440711493058</v>
      </c>
      <c r="C182" s="164" t="s">
        <v>693</v>
      </c>
      <c r="D182" s="164" t="s">
        <v>15</v>
      </c>
      <c r="E182" s="165">
        <v>200</v>
      </c>
      <c r="F182" s="166">
        <v>6</v>
      </c>
      <c r="G182" s="227">
        <f>IF($B$2,IF(ROWS(B$6:$B182) = 1,$B182-Start_Date,$B182-$B181),"")</f>
        <v>3.1208946762490086E-2</v>
      </c>
      <c r="H182" s="29">
        <f>IF($B$2,IF(ROWS(B$6:$B182) = 1,IF(COUNTIFS(R_Schedule_Times,"&lt;"&amp;B182),INDEX(R_Schedule_Amounts,MATCH(B182,R_Schedule_Times,1)),Starting_Cash),IF(COUNTIFS(R_Schedule_Times,"&gt;"&amp;B181,R_Schedule_Times,"&lt;"&amp;B182),INDEX(R_Schedule_Amounts,MATCH(B182,R_Schedule_Times,1)),K181)),"")</f>
        <v>9580</v>
      </c>
      <c r="I182" s="30">
        <f t="shared" si="10"/>
        <v>200</v>
      </c>
      <c r="J182" s="31">
        <f t="shared" si="11"/>
        <v>6</v>
      </c>
      <c r="K182" s="29">
        <f t="shared" si="12"/>
        <v>9380</v>
      </c>
      <c r="L182" s="31" t="str">
        <f t="shared" si="13"/>
        <v/>
      </c>
      <c r="M182" s="31" t="str">
        <f t="shared" si="14"/>
        <v/>
      </c>
    </row>
    <row r="183" spans="1:13" x14ac:dyDescent="0.15">
      <c r="A183" s="163" t="s">
        <v>210</v>
      </c>
      <c r="B183" s="163">
        <v>42282.44198826389</v>
      </c>
      <c r="C183" s="164" t="s">
        <v>694</v>
      </c>
      <c r="D183" s="164" t="s">
        <v>13</v>
      </c>
      <c r="E183" s="165">
        <v>60</v>
      </c>
      <c r="F183" s="166">
        <v>0</v>
      </c>
      <c r="G183" s="227">
        <f>IF($B$2,IF(ROWS(B$6:$B183) = 1,$B183-Start_Date,$B183-$B182),"")</f>
        <v>1.2767708321916871E-3</v>
      </c>
      <c r="H183" s="29">
        <f>IF($B$2,IF(ROWS(B$6:$B183) = 1,IF(COUNTIFS(R_Schedule_Times,"&lt;"&amp;B183),INDEX(R_Schedule_Amounts,MATCH(B183,R_Schedule_Times,1)),Starting_Cash),IF(COUNTIFS(R_Schedule_Times,"&gt;"&amp;B182,R_Schedule_Times,"&lt;"&amp;B183),INDEX(R_Schedule_Amounts,MATCH(B183,R_Schedule_Times,1)),K182)),"")</f>
        <v>9380</v>
      </c>
      <c r="I183" s="30">
        <f t="shared" si="10"/>
        <v>60</v>
      </c>
      <c r="J183" s="31">
        <f t="shared" si="11"/>
        <v>0</v>
      </c>
      <c r="K183" s="29">
        <f t="shared" si="12"/>
        <v>9320</v>
      </c>
      <c r="L183" s="31" t="str">
        <f t="shared" si="13"/>
        <v/>
      </c>
      <c r="M183" s="31" t="str">
        <f t="shared" si="14"/>
        <v/>
      </c>
    </row>
    <row r="184" spans="1:13" x14ac:dyDescent="0.15">
      <c r="A184" s="163" t="s">
        <v>210</v>
      </c>
      <c r="B184" s="163">
        <v>42282.471231793985</v>
      </c>
      <c r="C184" s="164" t="s">
        <v>695</v>
      </c>
      <c r="D184" s="164" t="s">
        <v>13</v>
      </c>
      <c r="E184" s="165">
        <v>40</v>
      </c>
      <c r="F184" s="166">
        <v>0</v>
      </c>
      <c r="G184" s="227">
        <f>IF($B$2,IF(ROWS(B$6:$B184) = 1,$B184-Start_Date,$B184-$B183),"")</f>
        <v>2.9243530094390735E-2</v>
      </c>
      <c r="H184" s="29">
        <f>IF($B$2,IF(ROWS(B$6:$B184) = 1,IF(COUNTIFS(R_Schedule_Times,"&lt;"&amp;B184),INDEX(R_Schedule_Amounts,MATCH(B184,R_Schedule_Times,1)),Starting_Cash),IF(COUNTIFS(R_Schedule_Times,"&gt;"&amp;B183,R_Schedule_Times,"&lt;"&amp;B184),INDEX(R_Schedule_Amounts,MATCH(B184,R_Schedule_Times,1)),K183)),"")</f>
        <v>9320</v>
      </c>
      <c r="I184" s="30">
        <f t="shared" si="10"/>
        <v>40</v>
      </c>
      <c r="J184" s="31">
        <f t="shared" si="11"/>
        <v>0</v>
      </c>
      <c r="K184" s="29">
        <f t="shared" si="12"/>
        <v>9280</v>
      </c>
      <c r="L184" s="31" t="str">
        <f t="shared" si="13"/>
        <v/>
      </c>
      <c r="M184" s="31" t="str">
        <f t="shared" si="14"/>
        <v/>
      </c>
    </row>
    <row r="185" spans="1:13" x14ac:dyDescent="0.15">
      <c r="A185" s="163" t="s">
        <v>210</v>
      </c>
      <c r="B185" s="163">
        <v>42282.473584328705</v>
      </c>
      <c r="C185" s="164" t="s">
        <v>655</v>
      </c>
      <c r="D185" s="164" t="s">
        <v>13</v>
      </c>
      <c r="E185" s="165">
        <v>40</v>
      </c>
      <c r="F185" s="166">
        <v>0</v>
      </c>
      <c r="G185" s="227">
        <f>IF($B$2,IF(ROWS(B$6:$B185) = 1,$B185-Start_Date,$B185-$B184),"")</f>
        <v>2.3525347205577418E-3</v>
      </c>
      <c r="H185" s="29">
        <f>IF($B$2,IF(ROWS(B$6:$B185) = 1,IF(COUNTIFS(R_Schedule_Times,"&lt;"&amp;B185),INDEX(R_Schedule_Amounts,MATCH(B185,R_Schedule_Times,1)),Starting_Cash),IF(COUNTIFS(R_Schedule_Times,"&gt;"&amp;B184,R_Schedule_Times,"&lt;"&amp;B185),INDEX(R_Schedule_Amounts,MATCH(B185,R_Schedule_Times,1)),K184)),"")</f>
        <v>9280</v>
      </c>
      <c r="I185" s="30">
        <f t="shared" si="10"/>
        <v>40</v>
      </c>
      <c r="J185" s="31">
        <f t="shared" si="11"/>
        <v>0</v>
      </c>
      <c r="K185" s="29">
        <f t="shared" si="12"/>
        <v>9240</v>
      </c>
      <c r="L185" s="31" t="str">
        <f t="shared" si="13"/>
        <v/>
      </c>
      <c r="M185" s="31" t="str">
        <f t="shared" si="14"/>
        <v/>
      </c>
    </row>
    <row r="186" spans="1:13" x14ac:dyDescent="0.15">
      <c r="A186" s="163" t="s">
        <v>210</v>
      </c>
      <c r="B186" s="163">
        <v>42282.476156006946</v>
      </c>
      <c r="C186" s="164" t="s">
        <v>696</v>
      </c>
      <c r="D186" s="164" t="s">
        <v>13</v>
      </c>
      <c r="E186" s="165">
        <v>60</v>
      </c>
      <c r="F186" s="166">
        <v>0</v>
      </c>
      <c r="G186" s="227">
        <f>IF($B$2,IF(ROWS(B$6:$B186) = 1,$B186-Start_Date,$B186-$B185),"")</f>
        <v>2.571678240201436E-3</v>
      </c>
      <c r="H186" s="29">
        <f>IF($B$2,IF(ROWS(B$6:$B186) = 1,IF(COUNTIFS(R_Schedule_Times,"&lt;"&amp;B186),INDEX(R_Schedule_Amounts,MATCH(B186,R_Schedule_Times,1)),Starting_Cash),IF(COUNTIFS(R_Schedule_Times,"&gt;"&amp;B185,R_Schedule_Times,"&lt;"&amp;B186),INDEX(R_Schedule_Amounts,MATCH(B186,R_Schedule_Times,1)),K185)),"")</f>
        <v>9240</v>
      </c>
      <c r="I186" s="30">
        <f t="shared" si="10"/>
        <v>60</v>
      </c>
      <c r="J186" s="31">
        <f t="shared" si="11"/>
        <v>0</v>
      </c>
      <c r="K186" s="29">
        <f t="shared" si="12"/>
        <v>9180</v>
      </c>
      <c r="L186" s="31" t="str">
        <f t="shared" si="13"/>
        <v/>
      </c>
      <c r="M186" s="31" t="str">
        <f t="shared" si="14"/>
        <v/>
      </c>
    </row>
    <row r="187" spans="1:13" x14ac:dyDescent="0.15">
      <c r="A187" s="163" t="s">
        <v>210</v>
      </c>
      <c r="B187" s="163">
        <v>42282.477999097224</v>
      </c>
      <c r="C187" s="164" t="s">
        <v>697</v>
      </c>
      <c r="D187" s="164" t="s">
        <v>13</v>
      </c>
      <c r="E187" s="165">
        <v>100</v>
      </c>
      <c r="F187" s="166">
        <v>0</v>
      </c>
      <c r="G187" s="227">
        <f>IF($B$2,IF(ROWS(B$6:$B187) = 1,$B187-Start_Date,$B187-$B186),"")</f>
        <v>1.84309027827112E-3</v>
      </c>
      <c r="H187" s="29">
        <f>IF($B$2,IF(ROWS(B$6:$B187) = 1,IF(COUNTIFS(R_Schedule_Times,"&lt;"&amp;B187),INDEX(R_Schedule_Amounts,MATCH(B187,R_Schedule_Times,1)),Starting_Cash),IF(COUNTIFS(R_Schedule_Times,"&gt;"&amp;B186,R_Schedule_Times,"&lt;"&amp;B187),INDEX(R_Schedule_Amounts,MATCH(B187,R_Schedule_Times,1)),K186)),"")</f>
        <v>9180</v>
      </c>
      <c r="I187" s="30">
        <f t="shared" si="10"/>
        <v>100</v>
      </c>
      <c r="J187" s="31">
        <f t="shared" si="11"/>
        <v>0</v>
      </c>
      <c r="K187" s="29">
        <f t="shared" si="12"/>
        <v>9080</v>
      </c>
      <c r="L187" s="31" t="str">
        <f t="shared" si="13"/>
        <v/>
      </c>
      <c r="M187" s="31" t="str">
        <f t="shared" si="14"/>
        <v/>
      </c>
    </row>
    <row r="188" spans="1:13" x14ac:dyDescent="0.15">
      <c r="A188" s="163" t="s">
        <v>210</v>
      </c>
      <c r="B188" s="163">
        <v>42282.488326608793</v>
      </c>
      <c r="C188" s="164" t="s">
        <v>698</v>
      </c>
      <c r="D188" s="164" t="s">
        <v>13</v>
      </c>
      <c r="E188" s="165">
        <v>20</v>
      </c>
      <c r="F188" s="166">
        <v>0</v>
      </c>
      <c r="G188" s="227">
        <f>IF($B$2,IF(ROWS(B$6:$B188) = 1,$B188-Start_Date,$B188-$B187),"")</f>
        <v>1.0327511568902992E-2</v>
      </c>
      <c r="H188" s="29">
        <f>IF($B$2,IF(ROWS(B$6:$B188) = 1,IF(COUNTIFS(R_Schedule_Times,"&lt;"&amp;B188),INDEX(R_Schedule_Amounts,MATCH(B188,R_Schedule_Times,1)),Starting_Cash),IF(COUNTIFS(R_Schedule_Times,"&gt;"&amp;B187,R_Schedule_Times,"&lt;"&amp;B188),INDEX(R_Schedule_Amounts,MATCH(B188,R_Schedule_Times,1)),K187)),"")</f>
        <v>9080</v>
      </c>
      <c r="I188" s="30">
        <f t="shared" si="10"/>
        <v>20</v>
      </c>
      <c r="J188" s="31">
        <f t="shared" si="11"/>
        <v>0</v>
      </c>
      <c r="K188" s="29">
        <f t="shared" si="12"/>
        <v>9060</v>
      </c>
      <c r="L188" s="31" t="str">
        <f t="shared" si="13"/>
        <v/>
      </c>
      <c r="M188" s="31" t="str">
        <f t="shared" si="14"/>
        <v/>
      </c>
    </row>
    <row r="189" spans="1:13" x14ac:dyDescent="0.15">
      <c r="A189" s="163" t="s">
        <v>210</v>
      </c>
      <c r="B189" s="163">
        <v>42282.490823506945</v>
      </c>
      <c r="C189" s="164" t="s">
        <v>14</v>
      </c>
      <c r="D189" s="164" t="s">
        <v>13</v>
      </c>
      <c r="E189" s="165">
        <v>100</v>
      </c>
      <c r="F189" s="166">
        <v>3.5</v>
      </c>
      <c r="G189" s="227">
        <f>IF($B$2,IF(ROWS(B$6:$B189) = 1,$B189-Start_Date,$B189-$B188),"")</f>
        <v>2.4968981524580158E-3</v>
      </c>
      <c r="H189" s="29">
        <f>IF($B$2,IF(ROWS(B$6:$B189) = 1,IF(COUNTIFS(R_Schedule_Times,"&lt;"&amp;B189),INDEX(R_Schedule_Amounts,MATCH(B189,R_Schedule_Times,1)),Starting_Cash),IF(COUNTIFS(R_Schedule_Times,"&gt;"&amp;B188,R_Schedule_Times,"&lt;"&amp;B189),INDEX(R_Schedule_Amounts,MATCH(B189,R_Schedule_Times,1)),K188)),"")</f>
        <v>9060</v>
      </c>
      <c r="I189" s="30">
        <f t="shared" si="10"/>
        <v>100</v>
      </c>
      <c r="J189" s="31">
        <f t="shared" si="11"/>
        <v>3.5</v>
      </c>
      <c r="K189" s="29">
        <f t="shared" si="12"/>
        <v>8960</v>
      </c>
      <c r="L189" s="31" t="str">
        <f t="shared" si="13"/>
        <v/>
      </c>
      <c r="M189" s="31" t="str">
        <f t="shared" si="14"/>
        <v/>
      </c>
    </row>
    <row r="190" spans="1:13" x14ac:dyDescent="0.15">
      <c r="A190" s="163" t="s">
        <v>210</v>
      </c>
      <c r="B190" s="163">
        <v>42282.492098078706</v>
      </c>
      <c r="C190" s="164" t="s">
        <v>699</v>
      </c>
      <c r="D190" s="164" t="s">
        <v>13</v>
      </c>
      <c r="E190" s="165">
        <v>80</v>
      </c>
      <c r="F190" s="166">
        <v>0</v>
      </c>
      <c r="G190" s="227">
        <f>IF($B$2,IF(ROWS(B$6:$B190) = 1,$B190-Start_Date,$B190-$B189),"")</f>
        <v>1.2745717613142915E-3</v>
      </c>
      <c r="H190" s="29">
        <f>IF($B$2,IF(ROWS(B$6:$B190) = 1,IF(COUNTIFS(R_Schedule_Times,"&lt;"&amp;B190),INDEX(R_Schedule_Amounts,MATCH(B190,R_Schedule_Times,1)),Starting_Cash),IF(COUNTIFS(R_Schedule_Times,"&gt;"&amp;B189,R_Schedule_Times,"&lt;"&amp;B190),INDEX(R_Schedule_Amounts,MATCH(B190,R_Schedule_Times,1)),K189)),"")</f>
        <v>8960</v>
      </c>
      <c r="I190" s="30">
        <f t="shared" si="10"/>
        <v>80</v>
      </c>
      <c r="J190" s="31">
        <f t="shared" si="11"/>
        <v>0</v>
      </c>
      <c r="K190" s="29">
        <f t="shared" si="12"/>
        <v>8880</v>
      </c>
      <c r="L190" s="31" t="str">
        <f t="shared" si="13"/>
        <v/>
      </c>
      <c r="M190" s="31" t="str">
        <f t="shared" si="14"/>
        <v/>
      </c>
    </row>
    <row r="191" spans="1:13" x14ac:dyDescent="0.15">
      <c r="A191" s="163" t="s">
        <v>210</v>
      </c>
      <c r="B191" s="163">
        <v>42282.496835694445</v>
      </c>
      <c r="C191" s="164" t="s">
        <v>700</v>
      </c>
      <c r="D191" s="164" t="s">
        <v>13</v>
      </c>
      <c r="E191" s="165">
        <v>80</v>
      </c>
      <c r="F191" s="166">
        <v>0</v>
      </c>
      <c r="G191" s="227">
        <f>IF($B$2,IF(ROWS(B$6:$B191) = 1,$B191-Start_Date,$B191-$B190),"")</f>
        <v>4.7376157381222583E-3</v>
      </c>
      <c r="H191" s="29">
        <f>IF($B$2,IF(ROWS(B$6:$B191) = 1,IF(COUNTIFS(R_Schedule_Times,"&lt;"&amp;B191),INDEX(R_Schedule_Amounts,MATCH(B191,R_Schedule_Times,1)),Starting_Cash),IF(COUNTIFS(R_Schedule_Times,"&gt;"&amp;B190,R_Schedule_Times,"&lt;"&amp;B191),INDEX(R_Schedule_Amounts,MATCH(B191,R_Schedule_Times,1)),K190)),"")</f>
        <v>8880</v>
      </c>
      <c r="I191" s="30">
        <f t="shared" si="10"/>
        <v>80</v>
      </c>
      <c r="J191" s="31">
        <f t="shared" si="11"/>
        <v>0</v>
      </c>
      <c r="K191" s="29">
        <f t="shared" si="12"/>
        <v>8800</v>
      </c>
      <c r="L191" s="31" t="str">
        <f t="shared" si="13"/>
        <v/>
      </c>
      <c r="M191" s="31" t="str">
        <f t="shared" si="14"/>
        <v/>
      </c>
    </row>
    <row r="192" spans="1:13" x14ac:dyDescent="0.15">
      <c r="A192" s="163" t="s">
        <v>210</v>
      </c>
      <c r="B192" s="163">
        <v>42282.497819456017</v>
      </c>
      <c r="C192" s="164" t="s">
        <v>701</v>
      </c>
      <c r="D192" s="164" t="s">
        <v>13</v>
      </c>
      <c r="E192" s="165">
        <v>120</v>
      </c>
      <c r="F192" s="166">
        <v>0</v>
      </c>
      <c r="G192" s="227">
        <f>IF($B$2,IF(ROWS(B$6:$B192) = 1,$B192-Start_Date,$B192-$B191),"")</f>
        <v>9.8376157257007435E-4</v>
      </c>
      <c r="H192" s="29">
        <f>IF($B$2,IF(ROWS(B$6:$B192) = 1,IF(COUNTIFS(R_Schedule_Times,"&lt;"&amp;B192),INDEX(R_Schedule_Amounts,MATCH(B192,R_Schedule_Times,1)),Starting_Cash),IF(COUNTIFS(R_Schedule_Times,"&gt;"&amp;B191,R_Schedule_Times,"&lt;"&amp;B192),INDEX(R_Schedule_Amounts,MATCH(B192,R_Schedule_Times,1)),K191)),"")</f>
        <v>8800</v>
      </c>
      <c r="I192" s="30">
        <f t="shared" si="10"/>
        <v>120</v>
      </c>
      <c r="J192" s="31">
        <f t="shared" si="11"/>
        <v>0</v>
      </c>
      <c r="K192" s="29">
        <f t="shared" si="12"/>
        <v>8680</v>
      </c>
      <c r="L192" s="31" t="str">
        <f t="shared" si="13"/>
        <v/>
      </c>
      <c r="M192" s="31" t="str">
        <f t="shared" si="14"/>
        <v/>
      </c>
    </row>
    <row r="193" spans="1:13" x14ac:dyDescent="0.15">
      <c r="A193" s="163" t="s">
        <v>210</v>
      </c>
      <c r="B193" s="163">
        <v>42282.517362696759</v>
      </c>
      <c r="C193" s="164" t="s">
        <v>14</v>
      </c>
      <c r="D193" s="164" t="s">
        <v>13</v>
      </c>
      <c r="E193" s="165">
        <v>100</v>
      </c>
      <c r="F193" s="166">
        <v>3.5</v>
      </c>
      <c r="G193" s="227">
        <f>IF($B$2,IF(ROWS(B$6:$B193) = 1,$B193-Start_Date,$B193-$B192),"")</f>
        <v>1.9543240741768386E-2</v>
      </c>
      <c r="H193" s="29">
        <f>IF($B$2,IF(ROWS(B$6:$B193) = 1,IF(COUNTIFS(R_Schedule_Times,"&lt;"&amp;B193),INDEX(R_Schedule_Amounts,MATCH(B193,R_Schedule_Times,1)),Starting_Cash),IF(COUNTIFS(R_Schedule_Times,"&gt;"&amp;B192,R_Schedule_Times,"&lt;"&amp;B193),INDEX(R_Schedule_Amounts,MATCH(B193,R_Schedule_Times,1)),K192)),"")</f>
        <v>8680</v>
      </c>
      <c r="I193" s="30">
        <f t="shared" si="10"/>
        <v>100</v>
      </c>
      <c r="J193" s="31">
        <f t="shared" si="11"/>
        <v>3.5</v>
      </c>
      <c r="K193" s="29">
        <f t="shared" si="12"/>
        <v>8580</v>
      </c>
      <c r="L193" s="31" t="str">
        <f t="shared" si="13"/>
        <v/>
      </c>
      <c r="M193" s="31" t="str">
        <f t="shared" si="14"/>
        <v/>
      </c>
    </row>
    <row r="194" spans="1:13" x14ac:dyDescent="0.15">
      <c r="A194" s="163" t="s">
        <v>210</v>
      </c>
      <c r="B194" s="163">
        <v>42282.518353634259</v>
      </c>
      <c r="C194" s="164" t="s">
        <v>702</v>
      </c>
      <c r="D194" s="164" t="s">
        <v>13</v>
      </c>
      <c r="E194" s="165">
        <v>60</v>
      </c>
      <c r="F194" s="166">
        <v>0</v>
      </c>
      <c r="G194" s="227">
        <f>IF($B$2,IF(ROWS(B$6:$B194) = 1,$B194-Start_Date,$B194-$B193),"")</f>
        <v>9.9093750031897798E-4</v>
      </c>
      <c r="H194" s="29">
        <f>IF($B$2,IF(ROWS(B$6:$B194) = 1,IF(COUNTIFS(R_Schedule_Times,"&lt;"&amp;B194),INDEX(R_Schedule_Amounts,MATCH(B194,R_Schedule_Times,1)),Starting_Cash),IF(COUNTIFS(R_Schedule_Times,"&gt;"&amp;B193,R_Schedule_Times,"&lt;"&amp;B194),INDEX(R_Schedule_Amounts,MATCH(B194,R_Schedule_Times,1)),K193)),"")</f>
        <v>8580</v>
      </c>
      <c r="I194" s="30">
        <f t="shared" si="10"/>
        <v>60</v>
      </c>
      <c r="J194" s="31">
        <f t="shared" si="11"/>
        <v>0</v>
      </c>
      <c r="K194" s="29">
        <f t="shared" si="12"/>
        <v>8520</v>
      </c>
      <c r="L194" s="31" t="str">
        <f t="shared" si="13"/>
        <v/>
      </c>
      <c r="M194" s="31" t="str">
        <f t="shared" si="14"/>
        <v/>
      </c>
    </row>
    <row r="195" spans="1:13" x14ac:dyDescent="0.15">
      <c r="A195" s="163" t="s">
        <v>210</v>
      </c>
      <c r="B195" s="163">
        <v>42282.524100486109</v>
      </c>
      <c r="C195" s="164" t="s">
        <v>308</v>
      </c>
      <c r="D195" s="164" t="s">
        <v>13</v>
      </c>
      <c r="E195" s="165">
        <v>40</v>
      </c>
      <c r="F195" s="166">
        <v>0</v>
      </c>
      <c r="G195" s="227">
        <f>IF($B$2,IF(ROWS(B$6:$B195) = 1,$B195-Start_Date,$B195-$B194),"")</f>
        <v>5.746851849835366E-3</v>
      </c>
      <c r="H195" s="29">
        <f>IF($B$2,IF(ROWS(B$6:$B195) = 1,IF(COUNTIFS(R_Schedule_Times,"&lt;"&amp;B195),INDEX(R_Schedule_Amounts,MATCH(B195,R_Schedule_Times,1)),Starting_Cash),IF(COUNTIFS(R_Schedule_Times,"&gt;"&amp;B194,R_Schedule_Times,"&lt;"&amp;B195),INDEX(R_Schedule_Amounts,MATCH(B195,R_Schedule_Times,1)),K194)),"")</f>
        <v>8520</v>
      </c>
      <c r="I195" s="30">
        <f t="shared" si="10"/>
        <v>40</v>
      </c>
      <c r="J195" s="31">
        <f t="shared" si="11"/>
        <v>0</v>
      </c>
      <c r="K195" s="29">
        <f t="shared" si="12"/>
        <v>8480</v>
      </c>
      <c r="L195" s="31" t="str">
        <f t="shared" si="13"/>
        <v/>
      </c>
      <c r="M195" s="31" t="str">
        <f t="shared" si="14"/>
        <v/>
      </c>
    </row>
    <row r="196" spans="1:13" x14ac:dyDescent="0.15">
      <c r="A196" s="163" t="s">
        <v>210</v>
      </c>
      <c r="B196" s="163">
        <v>42282.533501979167</v>
      </c>
      <c r="C196" s="164" t="s">
        <v>703</v>
      </c>
      <c r="D196" s="164" t="s">
        <v>13</v>
      </c>
      <c r="E196" s="165">
        <v>60</v>
      </c>
      <c r="F196" s="166">
        <v>0</v>
      </c>
      <c r="G196" s="227">
        <f>IF($B$2,IF(ROWS(B$6:$B196) = 1,$B196-Start_Date,$B196-$B195),"")</f>
        <v>9.4014930582488887E-3</v>
      </c>
      <c r="H196" s="29">
        <f>IF($B$2,IF(ROWS(B$6:$B196) = 1,IF(COUNTIFS(R_Schedule_Times,"&lt;"&amp;B196),INDEX(R_Schedule_Amounts,MATCH(B196,R_Schedule_Times,1)),Starting_Cash),IF(COUNTIFS(R_Schedule_Times,"&gt;"&amp;B195,R_Schedule_Times,"&lt;"&amp;B196),INDEX(R_Schedule_Amounts,MATCH(B196,R_Schedule_Times,1)),K195)),"")</f>
        <v>8480</v>
      </c>
      <c r="I196" s="30">
        <f t="shared" si="10"/>
        <v>60</v>
      </c>
      <c r="J196" s="31">
        <f t="shared" si="11"/>
        <v>0</v>
      </c>
      <c r="K196" s="29">
        <f t="shared" si="12"/>
        <v>8420</v>
      </c>
      <c r="L196" s="31" t="str">
        <f t="shared" si="13"/>
        <v/>
      </c>
      <c r="M196" s="31" t="str">
        <f t="shared" si="14"/>
        <v/>
      </c>
    </row>
    <row r="197" spans="1:13" x14ac:dyDescent="0.15">
      <c r="A197" s="163" t="s">
        <v>210</v>
      </c>
      <c r="B197" s="163">
        <v>42282.551832025463</v>
      </c>
      <c r="C197" s="164" t="s">
        <v>309</v>
      </c>
      <c r="D197" s="164" t="s">
        <v>13</v>
      </c>
      <c r="E197" s="165">
        <v>200</v>
      </c>
      <c r="F197" s="166">
        <v>0</v>
      </c>
      <c r="G197" s="227">
        <f>IF($B$2,IF(ROWS(B$6:$B197) = 1,$B197-Start_Date,$B197-$B196),"")</f>
        <v>1.8330046295886859E-2</v>
      </c>
      <c r="H197" s="29">
        <f>IF($B$2,IF(ROWS(B$6:$B197) = 1,IF(COUNTIFS(R_Schedule_Times,"&lt;"&amp;B197),INDEX(R_Schedule_Amounts,MATCH(B197,R_Schedule_Times,1)),Starting_Cash),IF(COUNTIFS(R_Schedule_Times,"&gt;"&amp;B196,R_Schedule_Times,"&lt;"&amp;B197),INDEX(R_Schedule_Amounts,MATCH(B197,R_Schedule_Times,1)),K196)),"")</f>
        <v>8420</v>
      </c>
      <c r="I197" s="30">
        <f t="shared" si="10"/>
        <v>200</v>
      </c>
      <c r="J197" s="31">
        <f t="shared" si="11"/>
        <v>0</v>
      </c>
      <c r="K197" s="29">
        <f t="shared" si="12"/>
        <v>8220</v>
      </c>
      <c r="L197" s="31" t="str">
        <f t="shared" si="13"/>
        <v/>
      </c>
      <c r="M197" s="31" t="str">
        <f t="shared" si="14"/>
        <v/>
      </c>
    </row>
    <row r="198" spans="1:13" x14ac:dyDescent="0.15">
      <c r="A198" s="163" t="s">
        <v>210</v>
      </c>
      <c r="B198" s="163">
        <v>42282.572768136575</v>
      </c>
      <c r="C198" s="164" t="s">
        <v>704</v>
      </c>
      <c r="D198" s="164" t="s">
        <v>13</v>
      </c>
      <c r="E198" s="165">
        <v>40</v>
      </c>
      <c r="F198" s="166">
        <v>0</v>
      </c>
      <c r="G198" s="227">
        <f>IF($B$2,IF(ROWS(B$6:$B198) = 1,$B198-Start_Date,$B198-$B197),"")</f>
        <v>2.0936111111950595E-2</v>
      </c>
      <c r="H198" s="29">
        <f>IF($B$2,IF(ROWS(B$6:$B198) = 1,IF(COUNTIFS(R_Schedule_Times,"&lt;"&amp;B198),INDEX(R_Schedule_Amounts,MATCH(B198,R_Schedule_Times,1)),Starting_Cash),IF(COUNTIFS(R_Schedule_Times,"&gt;"&amp;B197,R_Schedule_Times,"&lt;"&amp;B198),INDEX(R_Schedule_Amounts,MATCH(B198,R_Schedule_Times,1)),K197)),"")</f>
        <v>8220</v>
      </c>
      <c r="I198" s="30">
        <f t="shared" si="10"/>
        <v>40</v>
      </c>
      <c r="J198" s="31">
        <f t="shared" si="11"/>
        <v>0</v>
      </c>
      <c r="K198" s="29">
        <f t="shared" si="12"/>
        <v>8180</v>
      </c>
      <c r="L198" s="31" t="str">
        <f t="shared" si="13"/>
        <v/>
      </c>
      <c r="M198" s="31" t="str">
        <f t="shared" si="14"/>
        <v/>
      </c>
    </row>
    <row r="199" spans="1:13" x14ac:dyDescent="0.15">
      <c r="A199" s="163" t="s">
        <v>210</v>
      </c>
      <c r="B199" s="163">
        <v>42282.593263807874</v>
      </c>
      <c r="C199" s="164" t="s">
        <v>705</v>
      </c>
      <c r="D199" s="164" t="s">
        <v>13</v>
      </c>
      <c r="E199" s="165">
        <v>20</v>
      </c>
      <c r="F199" s="166">
        <v>0</v>
      </c>
      <c r="G199" s="227">
        <f>IF($B$2,IF(ROWS(B$6:$B199) = 1,$B199-Start_Date,$B199-$B198),"")</f>
        <v>2.049567129870411E-2</v>
      </c>
      <c r="H199" s="29">
        <f>IF($B$2,IF(ROWS(B$6:$B199) = 1,IF(COUNTIFS(R_Schedule_Times,"&lt;"&amp;B199),INDEX(R_Schedule_Amounts,MATCH(B199,R_Schedule_Times,1)),Starting_Cash),IF(COUNTIFS(R_Schedule_Times,"&gt;"&amp;B198,R_Schedule_Times,"&lt;"&amp;B199),INDEX(R_Schedule_Amounts,MATCH(B199,R_Schedule_Times,1)),K198)),"")</f>
        <v>8180</v>
      </c>
      <c r="I199" s="30">
        <f t="shared" ref="I199:I262" si="15">IF($B$2,IF(H199&gt;=E199,E199,0),"")</f>
        <v>20</v>
      </c>
      <c r="J199" s="31">
        <f t="shared" ref="J199:J262" si="16">IF($B$2,IF(H199&gt;=E199,F199,0),"")</f>
        <v>0</v>
      </c>
      <c r="K199" s="29">
        <f t="shared" ref="K199:K262" si="17">IF($B$2,ABS(I199-H199),"")</f>
        <v>8160</v>
      </c>
      <c r="L199" s="31" t="str">
        <f t="shared" ref="L199:L262" si="18">IF($B$2,IF(H199&lt;E199,"YES",""),"")</f>
        <v/>
      </c>
      <c r="M199" s="31" t="str">
        <f t="shared" ref="M199:M262" si="19">IF($B$2,IF(L199="YES",F199,""),"")</f>
        <v/>
      </c>
    </row>
    <row r="200" spans="1:13" x14ac:dyDescent="0.15">
      <c r="A200" s="163" t="s">
        <v>210</v>
      </c>
      <c r="B200" s="163">
        <v>42282.617094363428</v>
      </c>
      <c r="C200" s="164" t="s">
        <v>310</v>
      </c>
      <c r="D200" s="164" t="s">
        <v>13</v>
      </c>
      <c r="E200" s="165">
        <v>40</v>
      </c>
      <c r="F200" s="166">
        <v>0</v>
      </c>
      <c r="G200" s="227">
        <f>IF($B$2,IF(ROWS(B$6:$B200) = 1,$B200-Start_Date,$B200-$B199),"")</f>
        <v>2.3830555554013699E-2</v>
      </c>
      <c r="H200" s="29">
        <f>IF($B$2,IF(ROWS(B$6:$B200) = 1,IF(COUNTIFS(R_Schedule_Times,"&lt;"&amp;B200),INDEX(R_Schedule_Amounts,MATCH(B200,R_Schedule_Times,1)),Starting_Cash),IF(COUNTIFS(R_Schedule_Times,"&gt;"&amp;B199,R_Schedule_Times,"&lt;"&amp;B200),INDEX(R_Schedule_Amounts,MATCH(B200,R_Schedule_Times,1)),K199)),"")</f>
        <v>8160</v>
      </c>
      <c r="I200" s="30">
        <f t="shared" si="15"/>
        <v>40</v>
      </c>
      <c r="J200" s="31">
        <f t="shared" si="16"/>
        <v>0</v>
      </c>
      <c r="K200" s="29">
        <f t="shared" si="17"/>
        <v>8120</v>
      </c>
      <c r="L200" s="31" t="str">
        <f t="shared" si="18"/>
        <v/>
      </c>
      <c r="M200" s="31" t="str">
        <f t="shared" si="19"/>
        <v/>
      </c>
    </row>
    <row r="201" spans="1:13" x14ac:dyDescent="0.15">
      <c r="A201" s="163" t="s">
        <v>210</v>
      </c>
      <c r="B201" s="163">
        <v>42282.633821203701</v>
      </c>
      <c r="C201" s="164" t="s">
        <v>706</v>
      </c>
      <c r="D201" s="164" t="s">
        <v>13</v>
      </c>
      <c r="E201" s="165">
        <v>100</v>
      </c>
      <c r="F201" s="166">
        <v>0</v>
      </c>
      <c r="G201" s="227">
        <f>IF($B$2,IF(ROWS(B$6:$B201) = 1,$B201-Start_Date,$B201-$B200),"")</f>
        <v>1.672684027289506E-2</v>
      </c>
      <c r="H201" s="29">
        <f>IF($B$2,IF(ROWS(B$6:$B201) = 1,IF(COUNTIFS(R_Schedule_Times,"&lt;"&amp;B201),INDEX(R_Schedule_Amounts,MATCH(B201,R_Schedule_Times,1)),Starting_Cash),IF(COUNTIFS(R_Schedule_Times,"&gt;"&amp;B200,R_Schedule_Times,"&lt;"&amp;B201),INDEX(R_Schedule_Amounts,MATCH(B201,R_Schedule_Times,1)),K200)),"")</f>
        <v>8120</v>
      </c>
      <c r="I201" s="30">
        <f t="shared" si="15"/>
        <v>100</v>
      </c>
      <c r="J201" s="31">
        <f t="shared" si="16"/>
        <v>0</v>
      </c>
      <c r="K201" s="29">
        <f t="shared" si="17"/>
        <v>8020</v>
      </c>
      <c r="L201" s="31" t="str">
        <f t="shared" si="18"/>
        <v/>
      </c>
      <c r="M201" s="31" t="str">
        <f t="shared" si="19"/>
        <v/>
      </c>
    </row>
    <row r="202" spans="1:13" x14ac:dyDescent="0.15">
      <c r="A202" s="163" t="s">
        <v>210</v>
      </c>
      <c r="B202" s="163">
        <v>42282.640391793982</v>
      </c>
      <c r="C202" s="164" t="s">
        <v>302</v>
      </c>
      <c r="D202" s="164" t="s">
        <v>13</v>
      </c>
      <c r="E202" s="165">
        <v>60</v>
      </c>
      <c r="F202" s="166">
        <v>0</v>
      </c>
      <c r="G202" s="227">
        <f>IF($B$2,IF(ROWS(B$6:$B202) = 1,$B202-Start_Date,$B202-$B201),"")</f>
        <v>6.5705902816262096E-3</v>
      </c>
      <c r="H202" s="29">
        <f>IF($B$2,IF(ROWS(B$6:$B202) = 1,IF(COUNTIFS(R_Schedule_Times,"&lt;"&amp;B202),INDEX(R_Schedule_Amounts,MATCH(B202,R_Schedule_Times,1)),Starting_Cash),IF(COUNTIFS(R_Schedule_Times,"&gt;"&amp;B201,R_Schedule_Times,"&lt;"&amp;B202),INDEX(R_Schedule_Amounts,MATCH(B202,R_Schedule_Times,1)),K201)),"")</f>
        <v>8020</v>
      </c>
      <c r="I202" s="30">
        <f t="shared" si="15"/>
        <v>60</v>
      </c>
      <c r="J202" s="31">
        <f t="shared" si="16"/>
        <v>0</v>
      </c>
      <c r="K202" s="29">
        <f t="shared" si="17"/>
        <v>7960</v>
      </c>
      <c r="L202" s="31" t="str">
        <f t="shared" si="18"/>
        <v/>
      </c>
      <c r="M202" s="31" t="str">
        <f t="shared" si="19"/>
        <v/>
      </c>
    </row>
    <row r="203" spans="1:13" x14ac:dyDescent="0.15">
      <c r="A203" s="163" t="s">
        <v>210</v>
      </c>
      <c r="B203" s="163">
        <v>42282.647901226854</v>
      </c>
      <c r="C203" s="164" t="s">
        <v>707</v>
      </c>
      <c r="D203" s="164" t="s">
        <v>13</v>
      </c>
      <c r="E203" s="165">
        <v>20</v>
      </c>
      <c r="F203" s="166">
        <v>0</v>
      </c>
      <c r="G203" s="227">
        <f>IF($B$2,IF(ROWS(B$6:$B203) = 1,$B203-Start_Date,$B203-$B202),"")</f>
        <v>7.5094328713021241E-3</v>
      </c>
      <c r="H203" s="29">
        <f>IF($B$2,IF(ROWS(B$6:$B203) = 1,IF(COUNTIFS(R_Schedule_Times,"&lt;"&amp;B203),INDEX(R_Schedule_Amounts,MATCH(B203,R_Schedule_Times,1)),Starting_Cash),IF(COUNTIFS(R_Schedule_Times,"&gt;"&amp;B202,R_Schedule_Times,"&lt;"&amp;B203),INDEX(R_Schedule_Amounts,MATCH(B203,R_Schedule_Times,1)),K202)),"")</f>
        <v>7960</v>
      </c>
      <c r="I203" s="30">
        <f t="shared" si="15"/>
        <v>20</v>
      </c>
      <c r="J203" s="31">
        <f t="shared" si="16"/>
        <v>0</v>
      </c>
      <c r="K203" s="29">
        <f t="shared" si="17"/>
        <v>7940</v>
      </c>
      <c r="L203" s="31" t="str">
        <f t="shared" si="18"/>
        <v/>
      </c>
      <c r="M203" s="31" t="str">
        <f t="shared" si="19"/>
        <v/>
      </c>
    </row>
    <row r="204" spans="1:13" x14ac:dyDescent="0.15">
      <c r="A204" s="163" t="s">
        <v>210</v>
      </c>
      <c r="B204" s="163">
        <v>42282.66285670139</v>
      </c>
      <c r="C204" s="164" t="s">
        <v>708</v>
      </c>
      <c r="D204" s="164" t="s">
        <v>13</v>
      </c>
      <c r="E204" s="165">
        <v>20</v>
      </c>
      <c r="F204" s="166">
        <v>0</v>
      </c>
      <c r="G204" s="227">
        <f>IF($B$2,IF(ROWS(B$6:$B204) = 1,$B204-Start_Date,$B204-$B203),"")</f>
        <v>1.4955474536691327E-2</v>
      </c>
      <c r="H204" s="29">
        <f>IF($B$2,IF(ROWS(B$6:$B204) = 1,IF(COUNTIFS(R_Schedule_Times,"&lt;"&amp;B204),INDEX(R_Schedule_Amounts,MATCH(B204,R_Schedule_Times,1)),Starting_Cash),IF(COUNTIFS(R_Schedule_Times,"&gt;"&amp;B203,R_Schedule_Times,"&lt;"&amp;B204),INDEX(R_Schedule_Amounts,MATCH(B204,R_Schedule_Times,1)),K203)),"")</f>
        <v>7940</v>
      </c>
      <c r="I204" s="30">
        <f t="shared" si="15"/>
        <v>20</v>
      </c>
      <c r="J204" s="31">
        <f t="shared" si="16"/>
        <v>0</v>
      </c>
      <c r="K204" s="29">
        <f t="shared" si="17"/>
        <v>7920</v>
      </c>
      <c r="L204" s="31" t="str">
        <f t="shared" si="18"/>
        <v/>
      </c>
      <c r="M204" s="31" t="str">
        <f t="shared" si="19"/>
        <v/>
      </c>
    </row>
    <row r="205" spans="1:13" x14ac:dyDescent="0.15">
      <c r="A205" s="163" t="s">
        <v>210</v>
      </c>
      <c r="B205" s="163">
        <v>42282.672045925923</v>
      </c>
      <c r="C205" s="164" t="s">
        <v>14</v>
      </c>
      <c r="D205" s="164" t="s">
        <v>13</v>
      </c>
      <c r="E205" s="165">
        <v>100</v>
      </c>
      <c r="F205" s="166">
        <v>3.5</v>
      </c>
      <c r="G205" s="227">
        <f>IF($B$2,IF(ROWS(B$6:$B205) = 1,$B205-Start_Date,$B205-$B204),"")</f>
        <v>9.1892245327471755E-3</v>
      </c>
      <c r="H205" s="29">
        <f>IF($B$2,IF(ROWS(B$6:$B205) = 1,IF(COUNTIFS(R_Schedule_Times,"&lt;"&amp;B205),INDEX(R_Schedule_Amounts,MATCH(B205,R_Schedule_Times,1)),Starting_Cash),IF(COUNTIFS(R_Schedule_Times,"&gt;"&amp;B204,R_Schedule_Times,"&lt;"&amp;B205),INDEX(R_Schedule_Amounts,MATCH(B205,R_Schedule_Times,1)),K204)),"")</f>
        <v>7920</v>
      </c>
      <c r="I205" s="30">
        <f t="shared" si="15"/>
        <v>100</v>
      </c>
      <c r="J205" s="31">
        <f t="shared" si="16"/>
        <v>3.5</v>
      </c>
      <c r="K205" s="29">
        <f t="shared" si="17"/>
        <v>7820</v>
      </c>
      <c r="L205" s="31" t="str">
        <f t="shared" si="18"/>
        <v/>
      </c>
      <c r="M205" s="31" t="str">
        <f t="shared" si="19"/>
        <v/>
      </c>
    </row>
    <row r="206" spans="1:13" x14ac:dyDescent="0.15">
      <c r="A206" s="163" t="s">
        <v>210</v>
      </c>
      <c r="B206" s="163">
        <v>42282.680119131946</v>
      </c>
      <c r="C206" s="164" t="s">
        <v>709</v>
      </c>
      <c r="D206" s="164" t="s">
        <v>15</v>
      </c>
      <c r="E206" s="165">
        <v>80</v>
      </c>
      <c r="F206" s="166">
        <v>2.4</v>
      </c>
      <c r="G206" s="227">
        <f>IF($B$2,IF(ROWS(B$6:$B206) = 1,$B206-Start_Date,$B206-$B205),"")</f>
        <v>8.0732060232548974E-3</v>
      </c>
      <c r="H206" s="29">
        <f>IF($B$2,IF(ROWS(B$6:$B206) = 1,IF(COUNTIFS(R_Schedule_Times,"&lt;"&amp;B206),INDEX(R_Schedule_Amounts,MATCH(B206,R_Schedule_Times,1)),Starting_Cash),IF(COUNTIFS(R_Schedule_Times,"&gt;"&amp;B205,R_Schedule_Times,"&lt;"&amp;B206),INDEX(R_Schedule_Amounts,MATCH(B206,R_Schedule_Times,1)),K205)),"")</f>
        <v>7820</v>
      </c>
      <c r="I206" s="30">
        <f t="shared" si="15"/>
        <v>80</v>
      </c>
      <c r="J206" s="31">
        <f t="shared" si="16"/>
        <v>2.4</v>
      </c>
      <c r="K206" s="29">
        <f t="shared" si="17"/>
        <v>7740</v>
      </c>
      <c r="L206" s="31" t="str">
        <f t="shared" si="18"/>
        <v/>
      </c>
      <c r="M206" s="31" t="str">
        <f t="shared" si="19"/>
        <v/>
      </c>
    </row>
    <row r="207" spans="1:13" x14ac:dyDescent="0.15">
      <c r="A207" s="163" t="s">
        <v>210</v>
      </c>
      <c r="B207" s="163">
        <v>42282.693150787039</v>
      </c>
      <c r="C207" s="164" t="s">
        <v>14</v>
      </c>
      <c r="D207" s="164" t="s">
        <v>15</v>
      </c>
      <c r="E207" s="165">
        <v>40</v>
      </c>
      <c r="F207" s="166">
        <v>3.7</v>
      </c>
      <c r="G207" s="227">
        <f>IF($B$2,IF(ROWS(B$6:$B207) = 1,$B207-Start_Date,$B207-$B206),"")</f>
        <v>1.3031655093072914E-2</v>
      </c>
      <c r="H207" s="29">
        <f>IF($B$2,IF(ROWS(B$6:$B207) = 1,IF(COUNTIFS(R_Schedule_Times,"&lt;"&amp;B207),INDEX(R_Schedule_Amounts,MATCH(B207,R_Schedule_Times,1)),Starting_Cash),IF(COUNTIFS(R_Schedule_Times,"&gt;"&amp;B206,R_Schedule_Times,"&lt;"&amp;B207),INDEX(R_Schedule_Amounts,MATCH(B207,R_Schedule_Times,1)),K206)),"")</f>
        <v>7740</v>
      </c>
      <c r="I207" s="30">
        <f t="shared" si="15"/>
        <v>40</v>
      </c>
      <c r="J207" s="31">
        <f t="shared" si="16"/>
        <v>3.7</v>
      </c>
      <c r="K207" s="29">
        <f t="shared" si="17"/>
        <v>7700</v>
      </c>
      <c r="L207" s="31" t="str">
        <f t="shared" si="18"/>
        <v/>
      </c>
      <c r="M207" s="31" t="str">
        <f t="shared" si="19"/>
        <v/>
      </c>
    </row>
    <row r="208" spans="1:13" x14ac:dyDescent="0.15">
      <c r="A208" s="163" t="s">
        <v>210</v>
      </c>
      <c r="B208" s="163">
        <v>42282.709338067129</v>
      </c>
      <c r="C208" s="164" t="s">
        <v>710</v>
      </c>
      <c r="D208" s="164" t="s">
        <v>13</v>
      </c>
      <c r="E208" s="165">
        <v>100</v>
      </c>
      <c r="F208" s="166">
        <v>0</v>
      </c>
      <c r="G208" s="227">
        <f>IF($B$2,IF(ROWS(B$6:$B208) = 1,$B208-Start_Date,$B208-$B207),"")</f>
        <v>1.6187280089070555E-2</v>
      </c>
      <c r="H208" s="29">
        <f>IF($B$2,IF(ROWS(B$6:$B208) = 1,IF(COUNTIFS(R_Schedule_Times,"&lt;"&amp;B208),INDEX(R_Schedule_Amounts,MATCH(B208,R_Schedule_Times,1)),Starting_Cash),IF(COUNTIFS(R_Schedule_Times,"&gt;"&amp;B207,R_Schedule_Times,"&lt;"&amp;B208),INDEX(R_Schedule_Amounts,MATCH(B208,R_Schedule_Times,1)),K207)),"")</f>
        <v>7700</v>
      </c>
      <c r="I208" s="30">
        <f t="shared" si="15"/>
        <v>100</v>
      </c>
      <c r="J208" s="31">
        <f t="shared" si="16"/>
        <v>0</v>
      </c>
      <c r="K208" s="29">
        <f t="shared" si="17"/>
        <v>7600</v>
      </c>
      <c r="L208" s="31" t="str">
        <f t="shared" si="18"/>
        <v/>
      </c>
      <c r="M208" s="31" t="str">
        <f t="shared" si="19"/>
        <v/>
      </c>
    </row>
    <row r="209" spans="1:13" x14ac:dyDescent="0.15">
      <c r="A209" s="163" t="s">
        <v>210</v>
      </c>
      <c r="B209" s="163">
        <v>42282.72037289352</v>
      </c>
      <c r="C209" s="164" t="s">
        <v>711</v>
      </c>
      <c r="D209" s="164" t="s">
        <v>13</v>
      </c>
      <c r="E209" s="165">
        <v>40</v>
      </c>
      <c r="F209" s="166">
        <v>0</v>
      </c>
      <c r="G209" s="227">
        <f>IF($B$2,IF(ROWS(B$6:$B209) = 1,$B209-Start_Date,$B209-$B208),"")</f>
        <v>1.1034826391551178E-2</v>
      </c>
      <c r="H209" s="29">
        <f>IF($B$2,IF(ROWS(B$6:$B209) = 1,IF(COUNTIFS(R_Schedule_Times,"&lt;"&amp;B209),INDEX(R_Schedule_Amounts,MATCH(B209,R_Schedule_Times,1)),Starting_Cash),IF(COUNTIFS(R_Schedule_Times,"&gt;"&amp;B208,R_Schedule_Times,"&lt;"&amp;B209),INDEX(R_Schedule_Amounts,MATCH(B209,R_Schedule_Times,1)),K208)),"")</f>
        <v>7600</v>
      </c>
      <c r="I209" s="30">
        <f t="shared" si="15"/>
        <v>40</v>
      </c>
      <c r="J209" s="31">
        <f t="shared" si="16"/>
        <v>0</v>
      </c>
      <c r="K209" s="29">
        <f t="shared" si="17"/>
        <v>7560</v>
      </c>
      <c r="L209" s="31" t="str">
        <f t="shared" si="18"/>
        <v/>
      </c>
      <c r="M209" s="31" t="str">
        <f t="shared" si="19"/>
        <v/>
      </c>
    </row>
    <row r="210" spans="1:13" x14ac:dyDescent="0.15">
      <c r="A210" s="163" t="s">
        <v>210</v>
      </c>
      <c r="B210" s="163">
        <v>42282.741719999998</v>
      </c>
      <c r="C210" s="164" t="s">
        <v>712</v>
      </c>
      <c r="D210" s="164" t="s">
        <v>13</v>
      </c>
      <c r="E210" s="165">
        <v>40</v>
      </c>
      <c r="F210" s="166">
        <v>0</v>
      </c>
      <c r="G210" s="227">
        <f>IF($B$2,IF(ROWS(B$6:$B210) = 1,$B210-Start_Date,$B210-$B209),"")</f>
        <v>2.1347106478060596E-2</v>
      </c>
      <c r="H210" s="29">
        <f>IF($B$2,IF(ROWS(B$6:$B210) = 1,IF(COUNTIFS(R_Schedule_Times,"&lt;"&amp;B210),INDEX(R_Schedule_Amounts,MATCH(B210,R_Schedule_Times,1)),Starting_Cash),IF(COUNTIFS(R_Schedule_Times,"&gt;"&amp;B209,R_Schedule_Times,"&lt;"&amp;B210),INDEX(R_Schedule_Amounts,MATCH(B210,R_Schedule_Times,1)),K209)),"")</f>
        <v>7560</v>
      </c>
      <c r="I210" s="30">
        <f t="shared" si="15"/>
        <v>40</v>
      </c>
      <c r="J210" s="31">
        <f t="shared" si="16"/>
        <v>0</v>
      </c>
      <c r="K210" s="29">
        <f t="shared" si="17"/>
        <v>7520</v>
      </c>
      <c r="L210" s="31" t="str">
        <f t="shared" si="18"/>
        <v/>
      </c>
      <c r="M210" s="31" t="str">
        <f t="shared" si="19"/>
        <v/>
      </c>
    </row>
    <row r="211" spans="1:13" x14ac:dyDescent="0.15">
      <c r="A211" s="163" t="s">
        <v>210</v>
      </c>
      <c r="B211" s="163">
        <v>42282.74803865741</v>
      </c>
      <c r="C211" s="164" t="s">
        <v>311</v>
      </c>
      <c r="D211" s="164" t="s">
        <v>13</v>
      </c>
      <c r="E211" s="165">
        <v>40</v>
      </c>
      <c r="F211" s="166">
        <v>0</v>
      </c>
      <c r="G211" s="227">
        <f>IF($B$2,IF(ROWS(B$6:$B211) = 1,$B211-Start_Date,$B211-$B210),"")</f>
        <v>6.318657411611639E-3</v>
      </c>
      <c r="H211" s="29">
        <f>IF($B$2,IF(ROWS(B$6:$B211) = 1,IF(COUNTIFS(R_Schedule_Times,"&lt;"&amp;B211),INDEX(R_Schedule_Amounts,MATCH(B211,R_Schedule_Times,1)),Starting_Cash),IF(COUNTIFS(R_Schedule_Times,"&gt;"&amp;B210,R_Schedule_Times,"&lt;"&amp;B211),INDEX(R_Schedule_Amounts,MATCH(B211,R_Schedule_Times,1)),K210)),"")</f>
        <v>7520</v>
      </c>
      <c r="I211" s="30">
        <f t="shared" si="15"/>
        <v>40</v>
      </c>
      <c r="J211" s="31">
        <f t="shared" si="16"/>
        <v>0</v>
      </c>
      <c r="K211" s="29">
        <f t="shared" si="17"/>
        <v>7480</v>
      </c>
      <c r="L211" s="31" t="str">
        <f t="shared" si="18"/>
        <v/>
      </c>
      <c r="M211" s="31" t="str">
        <f t="shared" si="19"/>
        <v/>
      </c>
    </row>
    <row r="212" spans="1:13" x14ac:dyDescent="0.15">
      <c r="A212" s="163" t="s">
        <v>210</v>
      </c>
      <c r="B212" s="163">
        <v>42282.753756388891</v>
      </c>
      <c r="C212" s="164" t="s">
        <v>663</v>
      </c>
      <c r="D212" s="164" t="s">
        <v>13</v>
      </c>
      <c r="E212" s="165">
        <v>200</v>
      </c>
      <c r="F212" s="166">
        <v>0</v>
      </c>
      <c r="G212" s="227">
        <f>IF($B$2,IF(ROWS(B$6:$B212) = 1,$B212-Start_Date,$B212-$B211),"")</f>
        <v>5.7177314811269753E-3</v>
      </c>
      <c r="H212" s="29">
        <f>IF($B$2,IF(ROWS(B$6:$B212) = 1,IF(COUNTIFS(R_Schedule_Times,"&lt;"&amp;B212),INDEX(R_Schedule_Amounts,MATCH(B212,R_Schedule_Times,1)),Starting_Cash),IF(COUNTIFS(R_Schedule_Times,"&gt;"&amp;B211,R_Schedule_Times,"&lt;"&amp;B212),INDEX(R_Schedule_Amounts,MATCH(B212,R_Schedule_Times,1)),K211)),"")</f>
        <v>7480</v>
      </c>
      <c r="I212" s="30">
        <f t="shared" si="15"/>
        <v>200</v>
      </c>
      <c r="J212" s="31">
        <f t="shared" si="16"/>
        <v>0</v>
      </c>
      <c r="K212" s="29">
        <f t="shared" si="17"/>
        <v>7280</v>
      </c>
      <c r="L212" s="31" t="str">
        <f t="shared" si="18"/>
        <v/>
      </c>
      <c r="M212" s="31" t="str">
        <f t="shared" si="19"/>
        <v/>
      </c>
    </row>
    <row r="213" spans="1:13" x14ac:dyDescent="0.15">
      <c r="A213" s="163" t="s">
        <v>210</v>
      </c>
      <c r="B213" s="163">
        <v>42282.75431931713</v>
      </c>
      <c r="C213" s="164" t="s">
        <v>14</v>
      </c>
      <c r="D213" s="164" t="s">
        <v>13</v>
      </c>
      <c r="E213" s="165">
        <v>60</v>
      </c>
      <c r="F213" s="166">
        <v>3.5</v>
      </c>
      <c r="G213" s="227">
        <f>IF($B$2,IF(ROWS(B$6:$B213) = 1,$B213-Start_Date,$B213-$B212),"")</f>
        <v>5.629282386507839E-4</v>
      </c>
      <c r="H213" s="29">
        <f>IF($B$2,IF(ROWS(B$6:$B213) = 1,IF(COUNTIFS(R_Schedule_Times,"&lt;"&amp;B213),INDEX(R_Schedule_Amounts,MATCH(B213,R_Schedule_Times,1)),Starting_Cash),IF(COUNTIFS(R_Schedule_Times,"&gt;"&amp;B212,R_Schedule_Times,"&lt;"&amp;B213),INDEX(R_Schedule_Amounts,MATCH(B213,R_Schedule_Times,1)),K212)),"")</f>
        <v>7280</v>
      </c>
      <c r="I213" s="30">
        <f t="shared" si="15"/>
        <v>60</v>
      </c>
      <c r="J213" s="31">
        <f t="shared" si="16"/>
        <v>3.5</v>
      </c>
      <c r="K213" s="29">
        <f t="shared" si="17"/>
        <v>7220</v>
      </c>
      <c r="L213" s="31" t="str">
        <f t="shared" si="18"/>
        <v/>
      </c>
      <c r="M213" s="31" t="str">
        <f t="shared" si="19"/>
        <v/>
      </c>
    </row>
    <row r="214" spans="1:13" x14ac:dyDescent="0.15">
      <c r="A214" s="163" t="s">
        <v>210</v>
      </c>
      <c r="B214" s="163">
        <v>42282.778554548611</v>
      </c>
      <c r="C214" s="164" t="s">
        <v>713</v>
      </c>
      <c r="D214" s="164" t="s">
        <v>15</v>
      </c>
      <c r="E214" s="165">
        <v>40</v>
      </c>
      <c r="F214" s="166">
        <v>1.2</v>
      </c>
      <c r="G214" s="227">
        <f>IF($B$2,IF(ROWS(B$6:$B214) = 1,$B214-Start_Date,$B214-$B213),"")</f>
        <v>2.423523148172535E-2</v>
      </c>
      <c r="H214" s="29">
        <f>IF($B$2,IF(ROWS(B$6:$B214) = 1,IF(COUNTIFS(R_Schedule_Times,"&lt;"&amp;B214),INDEX(R_Schedule_Amounts,MATCH(B214,R_Schedule_Times,1)),Starting_Cash),IF(COUNTIFS(R_Schedule_Times,"&gt;"&amp;B213,R_Schedule_Times,"&lt;"&amp;B214),INDEX(R_Schedule_Amounts,MATCH(B214,R_Schedule_Times,1)),K213)),"")</f>
        <v>7220</v>
      </c>
      <c r="I214" s="30">
        <f t="shared" si="15"/>
        <v>40</v>
      </c>
      <c r="J214" s="31">
        <f t="shared" si="16"/>
        <v>1.2</v>
      </c>
      <c r="K214" s="29">
        <f t="shared" si="17"/>
        <v>7180</v>
      </c>
      <c r="L214" s="31" t="str">
        <f t="shared" si="18"/>
        <v/>
      </c>
      <c r="M214" s="31" t="str">
        <f t="shared" si="19"/>
        <v/>
      </c>
    </row>
    <row r="215" spans="1:13" x14ac:dyDescent="0.15">
      <c r="A215" s="163" t="s">
        <v>210</v>
      </c>
      <c r="B215" s="163">
        <v>42282.781913425926</v>
      </c>
      <c r="C215" s="164" t="s">
        <v>714</v>
      </c>
      <c r="D215" s="164" t="s">
        <v>13</v>
      </c>
      <c r="E215" s="165">
        <v>60</v>
      </c>
      <c r="F215" s="166">
        <v>0</v>
      </c>
      <c r="G215" s="227">
        <f>IF($B$2,IF(ROWS(B$6:$B215) = 1,$B215-Start_Date,$B215-$B214),"")</f>
        <v>3.3588773148949258E-3</v>
      </c>
      <c r="H215" s="29">
        <f>IF($B$2,IF(ROWS(B$6:$B215) = 1,IF(COUNTIFS(R_Schedule_Times,"&lt;"&amp;B215),INDEX(R_Schedule_Amounts,MATCH(B215,R_Schedule_Times,1)),Starting_Cash),IF(COUNTIFS(R_Schedule_Times,"&gt;"&amp;B214,R_Schedule_Times,"&lt;"&amp;B215),INDEX(R_Schedule_Amounts,MATCH(B215,R_Schedule_Times,1)),K214)),"")</f>
        <v>7180</v>
      </c>
      <c r="I215" s="30">
        <f t="shared" si="15"/>
        <v>60</v>
      </c>
      <c r="J215" s="31">
        <f t="shared" si="16"/>
        <v>0</v>
      </c>
      <c r="K215" s="29">
        <f t="shared" si="17"/>
        <v>7120</v>
      </c>
      <c r="L215" s="31" t="str">
        <f t="shared" si="18"/>
        <v/>
      </c>
      <c r="M215" s="31" t="str">
        <f t="shared" si="19"/>
        <v/>
      </c>
    </row>
    <row r="216" spans="1:13" x14ac:dyDescent="0.15">
      <c r="A216" s="163" t="s">
        <v>210</v>
      </c>
      <c r="B216" s="163">
        <v>42282.850058009259</v>
      </c>
      <c r="C216" s="164" t="s">
        <v>715</v>
      </c>
      <c r="D216" s="164" t="s">
        <v>13</v>
      </c>
      <c r="E216" s="165">
        <v>40</v>
      </c>
      <c r="F216" s="166">
        <v>0</v>
      </c>
      <c r="G216" s="227">
        <f>IF($B$2,IF(ROWS(B$6:$B216) = 1,$B216-Start_Date,$B216-$B215),"")</f>
        <v>6.8144583332468756E-2</v>
      </c>
      <c r="H216" s="29">
        <f>IF($B$2,IF(ROWS(B$6:$B216) = 1,IF(COUNTIFS(R_Schedule_Times,"&lt;"&amp;B216),INDEX(R_Schedule_Amounts,MATCH(B216,R_Schedule_Times,1)),Starting_Cash),IF(COUNTIFS(R_Schedule_Times,"&gt;"&amp;B215,R_Schedule_Times,"&lt;"&amp;B216),INDEX(R_Schedule_Amounts,MATCH(B216,R_Schedule_Times,1)),K215)),"")</f>
        <v>7120</v>
      </c>
      <c r="I216" s="30">
        <f t="shared" si="15"/>
        <v>40</v>
      </c>
      <c r="J216" s="31">
        <f t="shared" si="16"/>
        <v>0</v>
      </c>
      <c r="K216" s="29">
        <f t="shared" si="17"/>
        <v>7080</v>
      </c>
      <c r="L216" s="31" t="str">
        <f t="shared" si="18"/>
        <v/>
      </c>
      <c r="M216" s="31" t="str">
        <f t="shared" si="19"/>
        <v/>
      </c>
    </row>
    <row r="217" spans="1:13" x14ac:dyDescent="0.15">
      <c r="A217" s="163" t="s">
        <v>210</v>
      </c>
      <c r="B217" s="163">
        <v>42282.85753335648</v>
      </c>
      <c r="C217" s="164" t="s">
        <v>716</v>
      </c>
      <c r="D217" s="164" t="s">
        <v>13</v>
      </c>
      <c r="E217" s="165">
        <v>380</v>
      </c>
      <c r="F217" s="166">
        <v>0</v>
      </c>
      <c r="G217" s="227">
        <f>IF($B$2,IF(ROWS(B$6:$B217) = 1,$B217-Start_Date,$B217-$B216),"")</f>
        <v>7.4753472217707895E-3</v>
      </c>
      <c r="H217" s="29">
        <f>IF($B$2,IF(ROWS(B$6:$B217) = 1,IF(COUNTIFS(R_Schedule_Times,"&lt;"&amp;B217),INDEX(R_Schedule_Amounts,MATCH(B217,R_Schedule_Times,1)),Starting_Cash),IF(COUNTIFS(R_Schedule_Times,"&gt;"&amp;B216,R_Schedule_Times,"&lt;"&amp;B217),INDEX(R_Schedule_Amounts,MATCH(B217,R_Schedule_Times,1)),K216)),"")</f>
        <v>7080</v>
      </c>
      <c r="I217" s="30">
        <f t="shared" si="15"/>
        <v>380</v>
      </c>
      <c r="J217" s="31">
        <f t="shared" si="16"/>
        <v>0</v>
      </c>
      <c r="K217" s="29">
        <f t="shared" si="17"/>
        <v>6700</v>
      </c>
      <c r="L217" s="31" t="str">
        <f t="shared" si="18"/>
        <v/>
      </c>
      <c r="M217" s="31" t="str">
        <f t="shared" si="19"/>
        <v/>
      </c>
    </row>
    <row r="218" spans="1:13" x14ac:dyDescent="0.15">
      <c r="A218" s="163" t="s">
        <v>210</v>
      </c>
      <c r="B218" s="163">
        <v>42282.87938071759</v>
      </c>
      <c r="C218" s="164" t="s">
        <v>717</v>
      </c>
      <c r="D218" s="164" t="s">
        <v>13</v>
      </c>
      <c r="E218" s="165">
        <v>200</v>
      </c>
      <c r="F218" s="166">
        <v>0</v>
      </c>
      <c r="G218" s="227">
        <f>IF($B$2,IF(ROWS(B$6:$B218) = 1,$B218-Start_Date,$B218-$B217),"")</f>
        <v>2.1847361109394114E-2</v>
      </c>
      <c r="H218" s="29">
        <f>IF($B$2,IF(ROWS(B$6:$B218) = 1,IF(COUNTIFS(R_Schedule_Times,"&lt;"&amp;B218),INDEX(R_Schedule_Amounts,MATCH(B218,R_Schedule_Times,1)),Starting_Cash),IF(COUNTIFS(R_Schedule_Times,"&gt;"&amp;B217,R_Schedule_Times,"&lt;"&amp;B218),INDEX(R_Schedule_Amounts,MATCH(B218,R_Schedule_Times,1)),K217)),"")</f>
        <v>6700</v>
      </c>
      <c r="I218" s="30">
        <f t="shared" si="15"/>
        <v>200</v>
      </c>
      <c r="J218" s="31">
        <f t="shared" si="16"/>
        <v>0</v>
      </c>
      <c r="K218" s="29">
        <f t="shared" si="17"/>
        <v>6500</v>
      </c>
      <c r="L218" s="31" t="str">
        <f t="shared" si="18"/>
        <v/>
      </c>
      <c r="M218" s="31" t="str">
        <f t="shared" si="19"/>
        <v/>
      </c>
    </row>
    <row r="219" spans="1:13" x14ac:dyDescent="0.15">
      <c r="A219" s="163" t="s">
        <v>210</v>
      </c>
      <c r="B219" s="163">
        <v>42282.983526226853</v>
      </c>
      <c r="C219" s="164" t="s">
        <v>718</v>
      </c>
      <c r="D219" s="164" t="s">
        <v>13</v>
      </c>
      <c r="E219" s="165">
        <v>100</v>
      </c>
      <c r="F219" s="166">
        <v>0</v>
      </c>
      <c r="G219" s="227">
        <f>IF($B$2,IF(ROWS(B$6:$B219) = 1,$B219-Start_Date,$B219-$B218),"")</f>
        <v>0.10414550926361699</v>
      </c>
      <c r="H219" s="29">
        <f>IF($B$2,IF(ROWS(B$6:$B219) = 1,IF(COUNTIFS(R_Schedule_Times,"&lt;"&amp;B219),INDEX(R_Schedule_Amounts,MATCH(B219,R_Schedule_Times,1)),Starting_Cash),IF(COUNTIFS(R_Schedule_Times,"&gt;"&amp;B218,R_Schedule_Times,"&lt;"&amp;B219),INDEX(R_Schedule_Amounts,MATCH(B219,R_Schedule_Times,1)),K218)),"")</f>
        <v>6500</v>
      </c>
      <c r="I219" s="30">
        <f t="shared" si="15"/>
        <v>100</v>
      </c>
      <c r="J219" s="31">
        <f t="shared" si="16"/>
        <v>0</v>
      </c>
      <c r="K219" s="29">
        <f t="shared" si="17"/>
        <v>6400</v>
      </c>
      <c r="L219" s="31" t="str">
        <f t="shared" si="18"/>
        <v/>
      </c>
      <c r="M219" s="31" t="str">
        <f t="shared" si="19"/>
        <v/>
      </c>
    </row>
    <row r="220" spans="1:13" x14ac:dyDescent="0.15">
      <c r="A220" s="163" t="s">
        <v>210</v>
      </c>
      <c r="B220" s="163">
        <v>42283.297725613425</v>
      </c>
      <c r="C220" s="164" t="s">
        <v>312</v>
      </c>
      <c r="D220" s="164" t="s">
        <v>13</v>
      </c>
      <c r="E220" s="165">
        <v>20</v>
      </c>
      <c r="F220" s="166">
        <v>0</v>
      </c>
      <c r="G220" s="227">
        <f>IF($B$2,IF(ROWS(B$6:$B220) = 1,$B220-Start_Date,$B220-$B219),"")</f>
        <v>0.31419938657199964</v>
      </c>
      <c r="H220" s="29">
        <f>IF($B$2,IF(ROWS(B$6:$B220) = 1,IF(COUNTIFS(R_Schedule_Times,"&lt;"&amp;B220),INDEX(R_Schedule_Amounts,MATCH(B220,R_Schedule_Times,1)),Starting_Cash),IF(COUNTIFS(R_Schedule_Times,"&gt;"&amp;B219,R_Schedule_Times,"&lt;"&amp;B220),INDEX(R_Schedule_Amounts,MATCH(B220,R_Schedule_Times,1)),K219)),"")</f>
        <v>6400</v>
      </c>
      <c r="I220" s="30">
        <f t="shared" si="15"/>
        <v>20</v>
      </c>
      <c r="J220" s="31">
        <f t="shared" si="16"/>
        <v>0</v>
      </c>
      <c r="K220" s="29">
        <f t="shared" si="17"/>
        <v>6380</v>
      </c>
      <c r="L220" s="31" t="str">
        <f t="shared" si="18"/>
        <v/>
      </c>
      <c r="M220" s="31" t="str">
        <f t="shared" si="19"/>
        <v/>
      </c>
    </row>
    <row r="221" spans="1:13" x14ac:dyDescent="0.15">
      <c r="A221" s="163" t="s">
        <v>210</v>
      </c>
      <c r="B221" s="163">
        <v>42283.303969085646</v>
      </c>
      <c r="C221" s="164" t="s">
        <v>14</v>
      </c>
      <c r="D221" s="164" t="s">
        <v>13</v>
      </c>
      <c r="E221" s="165">
        <v>60</v>
      </c>
      <c r="F221" s="166">
        <v>3.5</v>
      </c>
      <c r="G221" s="227">
        <f>IF($B$2,IF(ROWS(B$6:$B221) = 1,$B221-Start_Date,$B221-$B220),"")</f>
        <v>6.2434722203761339E-3</v>
      </c>
      <c r="H221" s="29">
        <f>IF($B$2,IF(ROWS(B$6:$B221) = 1,IF(COUNTIFS(R_Schedule_Times,"&lt;"&amp;B221),INDEX(R_Schedule_Amounts,MATCH(B221,R_Schedule_Times,1)),Starting_Cash),IF(COUNTIFS(R_Schedule_Times,"&gt;"&amp;B220,R_Schedule_Times,"&lt;"&amp;B221),INDEX(R_Schedule_Amounts,MATCH(B221,R_Schedule_Times,1)),K220)),"")</f>
        <v>6380</v>
      </c>
      <c r="I221" s="30">
        <f t="shared" si="15"/>
        <v>60</v>
      </c>
      <c r="J221" s="31">
        <f t="shared" si="16"/>
        <v>3.5</v>
      </c>
      <c r="K221" s="29">
        <f t="shared" si="17"/>
        <v>6320</v>
      </c>
      <c r="L221" s="31" t="str">
        <f t="shared" si="18"/>
        <v/>
      </c>
      <c r="M221" s="31" t="str">
        <f t="shared" si="19"/>
        <v/>
      </c>
    </row>
    <row r="222" spans="1:13" x14ac:dyDescent="0.15">
      <c r="A222" s="163" t="s">
        <v>210</v>
      </c>
      <c r="B222" s="163">
        <v>42283.315001099538</v>
      </c>
      <c r="C222" s="164" t="s">
        <v>719</v>
      </c>
      <c r="D222" s="164" t="s">
        <v>13</v>
      </c>
      <c r="E222" s="165">
        <v>20</v>
      </c>
      <c r="F222" s="166">
        <v>0</v>
      </c>
      <c r="G222" s="227">
        <f>IF($B$2,IF(ROWS(B$6:$B222) = 1,$B222-Start_Date,$B222-$B221),"")</f>
        <v>1.1032013891963288E-2</v>
      </c>
      <c r="H222" s="29">
        <f>IF($B$2,IF(ROWS(B$6:$B222) = 1,IF(COUNTIFS(R_Schedule_Times,"&lt;"&amp;B222),INDEX(R_Schedule_Amounts,MATCH(B222,R_Schedule_Times,1)),Starting_Cash),IF(COUNTIFS(R_Schedule_Times,"&gt;"&amp;B221,R_Schedule_Times,"&lt;"&amp;B222),INDEX(R_Schedule_Amounts,MATCH(B222,R_Schedule_Times,1)),K221)),"")</f>
        <v>6320</v>
      </c>
      <c r="I222" s="30">
        <f t="shared" si="15"/>
        <v>20</v>
      </c>
      <c r="J222" s="31">
        <f t="shared" si="16"/>
        <v>0</v>
      </c>
      <c r="K222" s="29">
        <f t="shared" si="17"/>
        <v>6300</v>
      </c>
      <c r="L222" s="31" t="str">
        <f t="shared" si="18"/>
        <v/>
      </c>
      <c r="M222" s="31" t="str">
        <f t="shared" si="19"/>
        <v/>
      </c>
    </row>
    <row r="223" spans="1:13" x14ac:dyDescent="0.15">
      <c r="A223" s="163" t="s">
        <v>210</v>
      </c>
      <c r="B223" s="163">
        <v>42283.323999930559</v>
      </c>
      <c r="C223" s="164" t="s">
        <v>720</v>
      </c>
      <c r="D223" s="164" t="s">
        <v>13</v>
      </c>
      <c r="E223" s="165">
        <v>20</v>
      </c>
      <c r="F223" s="166">
        <v>0</v>
      </c>
      <c r="G223" s="227">
        <f>IF($B$2,IF(ROWS(B$6:$B223) = 1,$B223-Start_Date,$B223-$B222),"")</f>
        <v>8.998831021017395E-3</v>
      </c>
      <c r="H223" s="29">
        <f>IF($B$2,IF(ROWS(B$6:$B223) = 1,IF(COUNTIFS(R_Schedule_Times,"&lt;"&amp;B223),INDEX(R_Schedule_Amounts,MATCH(B223,R_Schedule_Times,1)),Starting_Cash),IF(COUNTIFS(R_Schedule_Times,"&gt;"&amp;B222,R_Schedule_Times,"&lt;"&amp;B223),INDEX(R_Schedule_Amounts,MATCH(B223,R_Schedule_Times,1)),K222)),"")</f>
        <v>6300</v>
      </c>
      <c r="I223" s="30">
        <f t="shared" si="15"/>
        <v>20</v>
      </c>
      <c r="J223" s="31">
        <f t="shared" si="16"/>
        <v>0</v>
      </c>
      <c r="K223" s="29">
        <f t="shared" si="17"/>
        <v>6280</v>
      </c>
      <c r="L223" s="31" t="str">
        <f t="shared" si="18"/>
        <v/>
      </c>
      <c r="M223" s="31" t="str">
        <f t="shared" si="19"/>
        <v/>
      </c>
    </row>
    <row r="224" spans="1:13" x14ac:dyDescent="0.15">
      <c r="A224" s="163" t="s">
        <v>210</v>
      </c>
      <c r="B224" s="163">
        <v>42283.338599236115</v>
      </c>
      <c r="C224" s="164" t="s">
        <v>721</v>
      </c>
      <c r="D224" s="164" t="s">
        <v>13</v>
      </c>
      <c r="E224" s="165">
        <v>80</v>
      </c>
      <c r="F224" s="166">
        <v>0</v>
      </c>
      <c r="G224" s="227">
        <f>IF($B$2,IF(ROWS(B$6:$B224) = 1,$B224-Start_Date,$B224-$B223),"")</f>
        <v>1.4599305555748288E-2</v>
      </c>
      <c r="H224" s="29">
        <f>IF($B$2,IF(ROWS(B$6:$B224) = 1,IF(COUNTIFS(R_Schedule_Times,"&lt;"&amp;B224),INDEX(R_Schedule_Amounts,MATCH(B224,R_Schedule_Times,1)),Starting_Cash),IF(COUNTIFS(R_Schedule_Times,"&gt;"&amp;B223,R_Schedule_Times,"&lt;"&amp;B224),INDEX(R_Schedule_Amounts,MATCH(B224,R_Schedule_Times,1)),K223)),"")</f>
        <v>6280</v>
      </c>
      <c r="I224" s="30">
        <f t="shared" si="15"/>
        <v>80</v>
      </c>
      <c r="J224" s="31">
        <f t="shared" si="16"/>
        <v>0</v>
      </c>
      <c r="K224" s="29">
        <f t="shared" si="17"/>
        <v>6200</v>
      </c>
      <c r="L224" s="31" t="str">
        <f t="shared" si="18"/>
        <v/>
      </c>
      <c r="M224" s="31" t="str">
        <f t="shared" si="19"/>
        <v/>
      </c>
    </row>
    <row r="225" spans="1:13" x14ac:dyDescent="0.15">
      <c r="A225" s="163" t="s">
        <v>210</v>
      </c>
      <c r="B225" s="163">
        <v>42283.339417418982</v>
      </c>
      <c r="C225" s="164" t="s">
        <v>722</v>
      </c>
      <c r="D225" s="164" t="s">
        <v>13</v>
      </c>
      <c r="E225" s="165">
        <v>60</v>
      </c>
      <c r="F225" s="166">
        <v>0</v>
      </c>
      <c r="G225" s="227">
        <f>IF($B$2,IF(ROWS(B$6:$B225) = 1,$B225-Start_Date,$B225-$B224),"")</f>
        <v>8.1818286707857624E-4</v>
      </c>
      <c r="H225" s="29">
        <f>IF($B$2,IF(ROWS(B$6:$B225) = 1,IF(COUNTIFS(R_Schedule_Times,"&lt;"&amp;B225),INDEX(R_Schedule_Amounts,MATCH(B225,R_Schedule_Times,1)),Starting_Cash),IF(COUNTIFS(R_Schedule_Times,"&gt;"&amp;B224,R_Schedule_Times,"&lt;"&amp;B225),INDEX(R_Schedule_Amounts,MATCH(B225,R_Schedule_Times,1)),K224)),"")</f>
        <v>6200</v>
      </c>
      <c r="I225" s="30">
        <f t="shared" si="15"/>
        <v>60</v>
      </c>
      <c r="J225" s="31">
        <f t="shared" si="16"/>
        <v>0</v>
      </c>
      <c r="K225" s="29">
        <f t="shared" si="17"/>
        <v>6140</v>
      </c>
      <c r="L225" s="31" t="str">
        <f t="shared" si="18"/>
        <v/>
      </c>
      <c r="M225" s="31" t="str">
        <f t="shared" si="19"/>
        <v/>
      </c>
    </row>
    <row r="226" spans="1:13" x14ac:dyDescent="0.15">
      <c r="A226" s="163" t="s">
        <v>210</v>
      </c>
      <c r="B226" s="163">
        <v>42283.390810266203</v>
      </c>
      <c r="C226" s="164" t="s">
        <v>723</v>
      </c>
      <c r="D226" s="164" t="s">
        <v>13</v>
      </c>
      <c r="E226" s="165">
        <v>500</v>
      </c>
      <c r="F226" s="166">
        <v>0</v>
      </c>
      <c r="G226" s="227">
        <f>IF($B$2,IF(ROWS(B$6:$B226) = 1,$B226-Start_Date,$B226-$B225),"")</f>
        <v>5.1392847220995463E-2</v>
      </c>
      <c r="H226" s="29">
        <f>IF($B$2,IF(ROWS(B$6:$B226) = 1,IF(COUNTIFS(R_Schedule_Times,"&lt;"&amp;B226),INDEX(R_Schedule_Amounts,MATCH(B226,R_Schedule_Times,1)),Starting_Cash),IF(COUNTIFS(R_Schedule_Times,"&gt;"&amp;B225,R_Schedule_Times,"&lt;"&amp;B226),INDEX(R_Schedule_Amounts,MATCH(B226,R_Schedule_Times,1)),K225)),"")</f>
        <v>6140</v>
      </c>
      <c r="I226" s="30">
        <f t="shared" si="15"/>
        <v>500</v>
      </c>
      <c r="J226" s="31">
        <f t="shared" si="16"/>
        <v>0</v>
      </c>
      <c r="K226" s="29">
        <f t="shared" si="17"/>
        <v>5640</v>
      </c>
      <c r="L226" s="31" t="str">
        <f t="shared" si="18"/>
        <v/>
      </c>
      <c r="M226" s="31" t="str">
        <f t="shared" si="19"/>
        <v/>
      </c>
    </row>
    <row r="227" spans="1:13" x14ac:dyDescent="0.15">
      <c r="A227" s="163" t="s">
        <v>210</v>
      </c>
      <c r="B227" s="163">
        <v>42283.419101354164</v>
      </c>
      <c r="C227" s="164" t="s">
        <v>724</v>
      </c>
      <c r="D227" s="164" t="s">
        <v>13</v>
      </c>
      <c r="E227" s="165">
        <v>20</v>
      </c>
      <c r="F227" s="166">
        <v>0</v>
      </c>
      <c r="G227" s="227">
        <f>IF($B$2,IF(ROWS(B$6:$B227) = 1,$B227-Start_Date,$B227-$B226),"")</f>
        <v>2.8291087961406447E-2</v>
      </c>
      <c r="H227" s="29">
        <f>IF($B$2,IF(ROWS(B$6:$B227) = 1,IF(COUNTIFS(R_Schedule_Times,"&lt;"&amp;B227),INDEX(R_Schedule_Amounts,MATCH(B227,R_Schedule_Times,1)),Starting_Cash),IF(COUNTIFS(R_Schedule_Times,"&gt;"&amp;B226,R_Schedule_Times,"&lt;"&amp;B227),INDEX(R_Schedule_Amounts,MATCH(B227,R_Schedule_Times,1)),K226)),"")</f>
        <v>5640</v>
      </c>
      <c r="I227" s="30">
        <f t="shared" si="15"/>
        <v>20</v>
      </c>
      <c r="J227" s="31">
        <f t="shared" si="16"/>
        <v>0</v>
      </c>
      <c r="K227" s="29">
        <f t="shared" si="17"/>
        <v>5620</v>
      </c>
      <c r="L227" s="31" t="str">
        <f t="shared" si="18"/>
        <v/>
      </c>
      <c r="M227" s="31" t="str">
        <f t="shared" si="19"/>
        <v/>
      </c>
    </row>
    <row r="228" spans="1:13" x14ac:dyDescent="0.15">
      <c r="A228" s="163" t="s">
        <v>210</v>
      </c>
      <c r="B228" s="163">
        <v>42283.426450868057</v>
      </c>
      <c r="C228" s="164" t="s">
        <v>14</v>
      </c>
      <c r="D228" s="164" t="s">
        <v>13</v>
      </c>
      <c r="E228" s="165">
        <v>500</v>
      </c>
      <c r="F228" s="166">
        <v>3.5</v>
      </c>
      <c r="G228" s="227">
        <f>IF($B$2,IF(ROWS(B$6:$B228) = 1,$B228-Start_Date,$B228-$B227),"")</f>
        <v>7.349513893132098E-3</v>
      </c>
      <c r="H228" s="29">
        <f>IF($B$2,IF(ROWS(B$6:$B228) = 1,IF(COUNTIFS(R_Schedule_Times,"&lt;"&amp;B228),INDEX(R_Schedule_Amounts,MATCH(B228,R_Schedule_Times,1)),Starting_Cash),IF(COUNTIFS(R_Schedule_Times,"&gt;"&amp;B227,R_Schedule_Times,"&lt;"&amp;B228),INDEX(R_Schedule_Amounts,MATCH(B228,R_Schedule_Times,1)),K227)),"")</f>
        <v>5620</v>
      </c>
      <c r="I228" s="30">
        <f t="shared" si="15"/>
        <v>500</v>
      </c>
      <c r="J228" s="31">
        <f t="shared" si="16"/>
        <v>3.5</v>
      </c>
      <c r="K228" s="29">
        <f t="shared" si="17"/>
        <v>5120</v>
      </c>
      <c r="L228" s="31" t="str">
        <f t="shared" si="18"/>
        <v/>
      </c>
      <c r="M228" s="31" t="str">
        <f t="shared" si="19"/>
        <v/>
      </c>
    </row>
    <row r="229" spans="1:13" x14ac:dyDescent="0.15">
      <c r="A229" s="163" t="s">
        <v>210</v>
      </c>
      <c r="B229" s="163">
        <v>42283.437150763886</v>
      </c>
      <c r="C229" s="164" t="s">
        <v>725</v>
      </c>
      <c r="D229" s="164" t="s">
        <v>13</v>
      </c>
      <c r="E229" s="165">
        <v>40</v>
      </c>
      <c r="F229" s="166">
        <v>0</v>
      </c>
      <c r="G229" s="227">
        <f>IF($B$2,IF(ROWS(B$6:$B229) = 1,$B229-Start_Date,$B229-$B228),"")</f>
        <v>1.0699895829020534E-2</v>
      </c>
      <c r="H229" s="29">
        <f>IF($B$2,IF(ROWS(B$6:$B229) = 1,IF(COUNTIFS(R_Schedule_Times,"&lt;"&amp;B229),INDEX(R_Schedule_Amounts,MATCH(B229,R_Schedule_Times,1)),Starting_Cash),IF(COUNTIFS(R_Schedule_Times,"&gt;"&amp;B228,R_Schedule_Times,"&lt;"&amp;B229),INDEX(R_Schedule_Amounts,MATCH(B229,R_Schedule_Times,1)),K228)),"")</f>
        <v>5120</v>
      </c>
      <c r="I229" s="30">
        <f t="shared" si="15"/>
        <v>40</v>
      </c>
      <c r="J229" s="31">
        <f t="shared" si="16"/>
        <v>0</v>
      </c>
      <c r="K229" s="29">
        <f t="shared" si="17"/>
        <v>5080</v>
      </c>
      <c r="L229" s="31" t="str">
        <f t="shared" si="18"/>
        <v/>
      </c>
      <c r="M229" s="31" t="str">
        <f t="shared" si="19"/>
        <v/>
      </c>
    </row>
    <row r="230" spans="1:13" x14ac:dyDescent="0.15">
      <c r="A230" s="163" t="s">
        <v>210</v>
      </c>
      <c r="B230" s="163">
        <v>42283.438087210649</v>
      </c>
      <c r="C230" s="164" t="s">
        <v>726</v>
      </c>
      <c r="D230" s="164" t="s">
        <v>13</v>
      </c>
      <c r="E230" s="165">
        <v>100</v>
      </c>
      <c r="F230" s="166">
        <v>0</v>
      </c>
      <c r="G230" s="227">
        <f>IF($B$2,IF(ROWS(B$6:$B230) = 1,$B230-Start_Date,$B230-$B229),"")</f>
        <v>9.3644676235271618E-4</v>
      </c>
      <c r="H230" s="29">
        <f>IF($B$2,IF(ROWS(B$6:$B230) = 1,IF(COUNTIFS(R_Schedule_Times,"&lt;"&amp;B230),INDEX(R_Schedule_Amounts,MATCH(B230,R_Schedule_Times,1)),Starting_Cash),IF(COUNTIFS(R_Schedule_Times,"&gt;"&amp;B229,R_Schedule_Times,"&lt;"&amp;B230),INDEX(R_Schedule_Amounts,MATCH(B230,R_Schedule_Times,1)),K229)),"")</f>
        <v>5080</v>
      </c>
      <c r="I230" s="30">
        <f t="shared" si="15"/>
        <v>100</v>
      </c>
      <c r="J230" s="31">
        <f t="shared" si="16"/>
        <v>0</v>
      </c>
      <c r="K230" s="29">
        <f t="shared" si="17"/>
        <v>4980</v>
      </c>
      <c r="L230" s="31" t="str">
        <f t="shared" si="18"/>
        <v/>
      </c>
      <c r="M230" s="31" t="str">
        <f t="shared" si="19"/>
        <v/>
      </c>
    </row>
    <row r="231" spans="1:13" x14ac:dyDescent="0.15">
      <c r="A231" s="163" t="s">
        <v>210</v>
      </c>
      <c r="B231" s="163">
        <v>42283.440665752314</v>
      </c>
      <c r="C231" s="164" t="s">
        <v>727</v>
      </c>
      <c r="D231" s="164" t="s">
        <v>13</v>
      </c>
      <c r="E231" s="165">
        <v>100</v>
      </c>
      <c r="F231" s="166">
        <v>0</v>
      </c>
      <c r="G231" s="227">
        <f>IF($B$2,IF(ROWS(B$6:$B231) = 1,$B231-Start_Date,$B231-$B230),"")</f>
        <v>2.5785416655708104E-3</v>
      </c>
      <c r="H231" s="29">
        <f>IF($B$2,IF(ROWS(B$6:$B231) = 1,IF(COUNTIFS(R_Schedule_Times,"&lt;"&amp;B231),INDEX(R_Schedule_Amounts,MATCH(B231,R_Schedule_Times,1)),Starting_Cash),IF(COUNTIFS(R_Schedule_Times,"&gt;"&amp;B230,R_Schedule_Times,"&lt;"&amp;B231),INDEX(R_Schedule_Amounts,MATCH(B231,R_Schedule_Times,1)),K230)),"")</f>
        <v>4980</v>
      </c>
      <c r="I231" s="30">
        <f t="shared" si="15"/>
        <v>100</v>
      </c>
      <c r="J231" s="31">
        <f t="shared" si="16"/>
        <v>0</v>
      </c>
      <c r="K231" s="29">
        <f t="shared" si="17"/>
        <v>4880</v>
      </c>
      <c r="L231" s="31" t="str">
        <f t="shared" si="18"/>
        <v/>
      </c>
      <c r="M231" s="31" t="str">
        <f t="shared" si="19"/>
        <v/>
      </c>
    </row>
    <row r="232" spans="1:13" x14ac:dyDescent="0.15">
      <c r="A232" s="163" t="s">
        <v>210</v>
      </c>
      <c r="B232" s="163">
        <v>42283.460021724539</v>
      </c>
      <c r="C232" s="164" t="s">
        <v>14</v>
      </c>
      <c r="D232" s="164" t="s">
        <v>13</v>
      </c>
      <c r="E232" s="165">
        <v>40</v>
      </c>
      <c r="F232" s="166">
        <v>3.5</v>
      </c>
      <c r="G232" s="227">
        <f>IF($B$2,IF(ROWS(B$6:$B232) = 1,$B232-Start_Date,$B232-$B231),"")</f>
        <v>1.9355972224730067E-2</v>
      </c>
      <c r="H232" s="29">
        <f>IF($B$2,IF(ROWS(B$6:$B232) = 1,IF(COUNTIFS(R_Schedule_Times,"&lt;"&amp;B232),INDEX(R_Schedule_Amounts,MATCH(B232,R_Schedule_Times,1)),Starting_Cash),IF(COUNTIFS(R_Schedule_Times,"&gt;"&amp;B231,R_Schedule_Times,"&lt;"&amp;B232),INDEX(R_Schedule_Amounts,MATCH(B232,R_Schedule_Times,1)),K231)),"")</f>
        <v>4880</v>
      </c>
      <c r="I232" s="30">
        <f t="shared" si="15"/>
        <v>40</v>
      </c>
      <c r="J232" s="31">
        <f t="shared" si="16"/>
        <v>3.5</v>
      </c>
      <c r="K232" s="29">
        <f t="shared" si="17"/>
        <v>4840</v>
      </c>
      <c r="L232" s="31" t="str">
        <f t="shared" si="18"/>
        <v/>
      </c>
      <c r="M232" s="31" t="str">
        <f t="shared" si="19"/>
        <v/>
      </c>
    </row>
    <row r="233" spans="1:13" x14ac:dyDescent="0.15">
      <c r="A233" s="163" t="s">
        <v>210</v>
      </c>
      <c r="B233" s="163">
        <v>42283.476900636575</v>
      </c>
      <c r="C233" s="164" t="s">
        <v>728</v>
      </c>
      <c r="D233" s="164" t="s">
        <v>13</v>
      </c>
      <c r="E233" s="165">
        <v>80</v>
      </c>
      <c r="F233" s="166">
        <v>0</v>
      </c>
      <c r="G233" s="227">
        <f>IF($B$2,IF(ROWS(B$6:$B233) = 1,$B233-Start_Date,$B233-$B232),"")</f>
        <v>1.6878912036190741E-2</v>
      </c>
      <c r="H233" s="29">
        <f>IF($B$2,IF(ROWS(B$6:$B233) = 1,IF(COUNTIFS(R_Schedule_Times,"&lt;"&amp;B233),INDEX(R_Schedule_Amounts,MATCH(B233,R_Schedule_Times,1)),Starting_Cash),IF(COUNTIFS(R_Schedule_Times,"&gt;"&amp;B232,R_Schedule_Times,"&lt;"&amp;B233),INDEX(R_Schedule_Amounts,MATCH(B233,R_Schedule_Times,1)),K232)),"")</f>
        <v>4840</v>
      </c>
      <c r="I233" s="30">
        <f t="shared" si="15"/>
        <v>80</v>
      </c>
      <c r="J233" s="31">
        <f t="shared" si="16"/>
        <v>0</v>
      </c>
      <c r="K233" s="29">
        <f t="shared" si="17"/>
        <v>4760</v>
      </c>
      <c r="L233" s="31" t="str">
        <f t="shared" si="18"/>
        <v/>
      </c>
      <c r="M233" s="31" t="str">
        <f t="shared" si="19"/>
        <v/>
      </c>
    </row>
    <row r="234" spans="1:13" x14ac:dyDescent="0.15">
      <c r="A234" s="163" t="s">
        <v>210</v>
      </c>
      <c r="B234" s="163">
        <v>42283.495749490743</v>
      </c>
      <c r="C234" s="164" t="s">
        <v>729</v>
      </c>
      <c r="D234" s="164" t="s">
        <v>15</v>
      </c>
      <c r="E234" s="165">
        <v>60</v>
      </c>
      <c r="F234" s="166">
        <v>1.8</v>
      </c>
      <c r="G234" s="227">
        <f>IF($B$2,IF(ROWS(B$6:$B234) = 1,$B234-Start_Date,$B234-$B233),"")</f>
        <v>1.8848854168027174E-2</v>
      </c>
      <c r="H234" s="29">
        <f>IF($B$2,IF(ROWS(B$6:$B234) = 1,IF(COUNTIFS(R_Schedule_Times,"&lt;"&amp;B234),INDEX(R_Schedule_Amounts,MATCH(B234,R_Schedule_Times,1)),Starting_Cash),IF(COUNTIFS(R_Schedule_Times,"&gt;"&amp;B233,R_Schedule_Times,"&lt;"&amp;B234),INDEX(R_Schedule_Amounts,MATCH(B234,R_Schedule_Times,1)),K233)),"")</f>
        <v>4760</v>
      </c>
      <c r="I234" s="30">
        <f t="shared" si="15"/>
        <v>60</v>
      </c>
      <c r="J234" s="31">
        <f t="shared" si="16"/>
        <v>1.8</v>
      </c>
      <c r="K234" s="29">
        <f t="shared" si="17"/>
        <v>4700</v>
      </c>
      <c r="L234" s="31" t="str">
        <f t="shared" si="18"/>
        <v/>
      </c>
      <c r="M234" s="31" t="str">
        <f t="shared" si="19"/>
        <v/>
      </c>
    </row>
    <row r="235" spans="1:13" x14ac:dyDescent="0.15">
      <c r="A235" s="163" t="s">
        <v>210</v>
      </c>
      <c r="B235" s="163">
        <v>42283.500290555552</v>
      </c>
      <c r="C235" s="164" t="s">
        <v>730</v>
      </c>
      <c r="D235" s="164" t="s">
        <v>13</v>
      </c>
      <c r="E235" s="165">
        <v>100</v>
      </c>
      <c r="F235" s="166">
        <v>0</v>
      </c>
      <c r="G235" s="227">
        <f>IF($B$2,IF(ROWS(B$6:$B235) = 1,$B235-Start_Date,$B235-$B234),"")</f>
        <v>4.5410648090182804E-3</v>
      </c>
      <c r="H235" s="29">
        <f>IF($B$2,IF(ROWS(B$6:$B235) = 1,IF(COUNTIFS(R_Schedule_Times,"&lt;"&amp;B235),INDEX(R_Schedule_Amounts,MATCH(B235,R_Schedule_Times,1)),Starting_Cash),IF(COUNTIFS(R_Schedule_Times,"&gt;"&amp;B234,R_Schedule_Times,"&lt;"&amp;B235),INDEX(R_Schedule_Amounts,MATCH(B235,R_Schedule_Times,1)),K234)),"")</f>
        <v>4700</v>
      </c>
      <c r="I235" s="30">
        <f t="shared" si="15"/>
        <v>100</v>
      </c>
      <c r="J235" s="31">
        <f t="shared" si="16"/>
        <v>0</v>
      </c>
      <c r="K235" s="29">
        <f t="shared" si="17"/>
        <v>4600</v>
      </c>
      <c r="L235" s="31" t="str">
        <f t="shared" si="18"/>
        <v/>
      </c>
      <c r="M235" s="31" t="str">
        <f t="shared" si="19"/>
        <v/>
      </c>
    </row>
    <row r="236" spans="1:13" x14ac:dyDescent="0.15">
      <c r="A236" s="163" t="s">
        <v>210</v>
      </c>
      <c r="B236" s="163">
        <v>42283.518095624997</v>
      </c>
      <c r="C236" s="164" t="s">
        <v>731</v>
      </c>
      <c r="D236" s="164" t="s">
        <v>13</v>
      </c>
      <c r="E236" s="165">
        <v>100</v>
      </c>
      <c r="F236" s="166">
        <v>0</v>
      </c>
      <c r="G236" s="227">
        <f>IF($B$2,IF(ROWS(B$6:$B236) = 1,$B236-Start_Date,$B236-$B235),"")</f>
        <v>1.7805069444875699E-2</v>
      </c>
      <c r="H236" s="29">
        <f>IF($B$2,IF(ROWS(B$6:$B236) = 1,IF(COUNTIFS(R_Schedule_Times,"&lt;"&amp;B236),INDEX(R_Schedule_Amounts,MATCH(B236,R_Schedule_Times,1)),Starting_Cash),IF(COUNTIFS(R_Schedule_Times,"&gt;"&amp;B235,R_Schedule_Times,"&lt;"&amp;B236),INDEX(R_Schedule_Amounts,MATCH(B236,R_Schedule_Times,1)),K235)),"")</f>
        <v>4600</v>
      </c>
      <c r="I236" s="30">
        <f t="shared" si="15"/>
        <v>100</v>
      </c>
      <c r="J236" s="31">
        <f t="shared" si="16"/>
        <v>0</v>
      </c>
      <c r="K236" s="29">
        <f t="shared" si="17"/>
        <v>4500</v>
      </c>
      <c r="L236" s="31" t="str">
        <f t="shared" si="18"/>
        <v/>
      </c>
      <c r="M236" s="31" t="str">
        <f t="shared" si="19"/>
        <v/>
      </c>
    </row>
    <row r="237" spans="1:13" x14ac:dyDescent="0.15">
      <c r="A237" s="163" t="s">
        <v>210</v>
      </c>
      <c r="B237" s="163">
        <v>42283.528102557873</v>
      </c>
      <c r="C237" s="164" t="s">
        <v>732</v>
      </c>
      <c r="D237" s="164" t="s">
        <v>13</v>
      </c>
      <c r="E237" s="165">
        <v>20</v>
      </c>
      <c r="F237" s="166">
        <v>0</v>
      </c>
      <c r="G237" s="227">
        <f>IF($B$2,IF(ROWS(B$6:$B237) = 1,$B237-Start_Date,$B237-$B236),"")</f>
        <v>1.000693287642207E-2</v>
      </c>
      <c r="H237" s="29">
        <f>IF($B$2,IF(ROWS(B$6:$B237) = 1,IF(COUNTIFS(R_Schedule_Times,"&lt;"&amp;B237),INDEX(R_Schedule_Amounts,MATCH(B237,R_Schedule_Times,1)),Starting_Cash),IF(COUNTIFS(R_Schedule_Times,"&gt;"&amp;B236,R_Schedule_Times,"&lt;"&amp;B237),INDEX(R_Schedule_Amounts,MATCH(B237,R_Schedule_Times,1)),K236)),"")</f>
        <v>4500</v>
      </c>
      <c r="I237" s="30">
        <f t="shared" si="15"/>
        <v>20</v>
      </c>
      <c r="J237" s="31">
        <f t="shared" si="16"/>
        <v>0</v>
      </c>
      <c r="K237" s="29">
        <f t="shared" si="17"/>
        <v>4480</v>
      </c>
      <c r="L237" s="31" t="str">
        <f t="shared" si="18"/>
        <v/>
      </c>
      <c r="M237" s="31" t="str">
        <f t="shared" si="19"/>
        <v/>
      </c>
    </row>
    <row r="238" spans="1:13" x14ac:dyDescent="0.15">
      <c r="A238" s="163" t="s">
        <v>210</v>
      </c>
      <c r="B238" s="163">
        <v>42283.537909166669</v>
      </c>
      <c r="C238" s="164" t="s">
        <v>14</v>
      </c>
      <c r="D238" s="164" t="s">
        <v>13</v>
      </c>
      <c r="E238" s="165">
        <v>60</v>
      </c>
      <c r="F238" s="166">
        <v>3.5</v>
      </c>
      <c r="G238" s="227">
        <f>IF($B$2,IF(ROWS(B$6:$B238) = 1,$B238-Start_Date,$B238-$B237),"")</f>
        <v>9.806608795770444E-3</v>
      </c>
      <c r="H238" s="29">
        <f>IF($B$2,IF(ROWS(B$6:$B238) = 1,IF(COUNTIFS(R_Schedule_Times,"&lt;"&amp;B238),INDEX(R_Schedule_Amounts,MATCH(B238,R_Schedule_Times,1)),Starting_Cash),IF(COUNTIFS(R_Schedule_Times,"&gt;"&amp;B237,R_Schedule_Times,"&lt;"&amp;B238),INDEX(R_Schedule_Amounts,MATCH(B238,R_Schedule_Times,1)),K237)),"")</f>
        <v>4480</v>
      </c>
      <c r="I238" s="30">
        <f t="shared" si="15"/>
        <v>60</v>
      </c>
      <c r="J238" s="31">
        <f t="shared" si="16"/>
        <v>3.5</v>
      </c>
      <c r="K238" s="29">
        <f t="shared" si="17"/>
        <v>4420</v>
      </c>
      <c r="L238" s="31" t="str">
        <f t="shared" si="18"/>
        <v/>
      </c>
      <c r="M238" s="31" t="str">
        <f t="shared" si="19"/>
        <v/>
      </c>
    </row>
    <row r="239" spans="1:13" x14ac:dyDescent="0.15">
      <c r="A239" s="163" t="s">
        <v>210</v>
      </c>
      <c r="B239" s="163">
        <v>42283.539590127315</v>
      </c>
      <c r="C239" s="164" t="s">
        <v>733</v>
      </c>
      <c r="D239" s="164" t="s">
        <v>13</v>
      </c>
      <c r="E239" s="165">
        <v>40</v>
      </c>
      <c r="F239" s="166">
        <v>0</v>
      </c>
      <c r="G239" s="227">
        <f>IF($B$2,IF(ROWS(B$6:$B239) = 1,$B239-Start_Date,$B239-$B238),"")</f>
        <v>1.6809606458991766E-3</v>
      </c>
      <c r="H239" s="29">
        <f>IF($B$2,IF(ROWS(B$6:$B239) = 1,IF(COUNTIFS(R_Schedule_Times,"&lt;"&amp;B239),INDEX(R_Schedule_Amounts,MATCH(B239,R_Schedule_Times,1)),Starting_Cash),IF(COUNTIFS(R_Schedule_Times,"&gt;"&amp;B238,R_Schedule_Times,"&lt;"&amp;B239),INDEX(R_Schedule_Amounts,MATCH(B239,R_Schedule_Times,1)),K238)),"")</f>
        <v>4420</v>
      </c>
      <c r="I239" s="30">
        <f t="shared" si="15"/>
        <v>40</v>
      </c>
      <c r="J239" s="31">
        <f t="shared" si="16"/>
        <v>0</v>
      </c>
      <c r="K239" s="29">
        <f t="shared" si="17"/>
        <v>4380</v>
      </c>
      <c r="L239" s="31" t="str">
        <f t="shared" si="18"/>
        <v/>
      </c>
      <c r="M239" s="31" t="str">
        <f t="shared" si="19"/>
        <v/>
      </c>
    </row>
    <row r="240" spans="1:13" x14ac:dyDescent="0.15">
      <c r="A240" s="163" t="s">
        <v>210</v>
      </c>
      <c r="B240" s="163">
        <v>42283.56308216435</v>
      </c>
      <c r="C240" s="164" t="s">
        <v>734</v>
      </c>
      <c r="D240" s="164" t="s">
        <v>13</v>
      </c>
      <c r="E240" s="165">
        <v>100</v>
      </c>
      <c r="F240" s="166">
        <v>0</v>
      </c>
      <c r="G240" s="227">
        <f>IF($B$2,IF(ROWS(B$6:$B240) = 1,$B240-Start_Date,$B240-$B239),"")</f>
        <v>2.3492037034884561E-2</v>
      </c>
      <c r="H240" s="29">
        <f>IF($B$2,IF(ROWS(B$6:$B240) = 1,IF(COUNTIFS(R_Schedule_Times,"&lt;"&amp;B240),INDEX(R_Schedule_Amounts,MATCH(B240,R_Schedule_Times,1)),Starting_Cash),IF(COUNTIFS(R_Schedule_Times,"&gt;"&amp;B239,R_Schedule_Times,"&lt;"&amp;B240),INDEX(R_Schedule_Amounts,MATCH(B240,R_Schedule_Times,1)),K239)),"")</f>
        <v>4380</v>
      </c>
      <c r="I240" s="30">
        <f t="shared" si="15"/>
        <v>100</v>
      </c>
      <c r="J240" s="31">
        <f t="shared" si="16"/>
        <v>0</v>
      </c>
      <c r="K240" s="29">
        <f t="shared" si="17"/>
        <v>4280</v>
      </c>
      <c r="L240" s="31" t="str">
        <f t="shared" si="18"/>
        <v/>
      </c>
      <c r="M240" s="31" t="str">
        <f t="shared" si="19"/>
        <v/>
      </c>
    </row>
    <row r="241" spans="1:13" x14ac:dyDescent="0.15">
      <c r="A241" s="163" t="s">
        <v>210</v>
      </c>
      <c r="B241" s="163">
        <v>42283.588880312498</v>
      </c>
      <c r="C241" s="164" t="s">
        <v>735</v>
      </c>
      <c r="D241" s="164" t="s">
        <v>15</v>
      </c>
      <c r="E241" s="165">
        <v>100</v>
      </c>
      <c r="F241" s="166">
        <v>3</v>
      </c>
      <c r="G241" s="227">
        <f>IF($B$2,IF(ROWS(B$6:$B241) = 1,$B241-Start_Date,$B241-$B240),"")</f>
        <v>2.5798148148169275E-2</v>
      </c>
      <c r="H241" s="29">
        <f>IF($B$2,IF(ROWS(B$6:$B241) = 1,IF(COUNTIFS(R_Schedule_Times,"&lt;"&amp;B241),INDEX(R_Schedule_Amounts,MATCH(B241,R_Schedule_Times,1)),Starting_Cash),IF(COUNTIFS(R_Schedule_Times,"&gt;"&amp;B240,R_Schedule_Times,"&lt;"&amp;B241),INDEX(R_Schedule_Amounts,MATCH(B241,R_Schedule_Times,1)),K240)),"")</f>
        <v>4280</v>
      </c>
      <c r="I241" s="30">
        <f t="shared" si="15"/>
        <v>100</v>
      </c>
      <c r="J241" s="31">
        <f t="shared" si="16"/>
        <v>3</v>
      </c>
      <c r="K241" s="29">
        <f t="shared" si="17"/>
        <v>4180</v>
      </c>
      <c r="L241" s="31" t="str">
        <f t="shared" si="18"/>
        <v/>
      </c>
      <c r="M241" s="31" t="str">
        <f t="shared" si="19"/>
        <v/>
      </c>
    </row>
    <row r="242" spans="1:13" x14ac:dyDescent="0.15">
      <c r="A242" s="163" t="s">
        <v>210</v>
      </c>
      <c r="B242" s="163">
        <v>42283.607699756947</v>
      </c>
      <c r="C242" s="164" t="s">
        <v>736</v>
      </c>
      <c r="D242" s="164" t="s">
        <v>13</v>
      </c>
      <c r="E242" s="165">
        <v>60</v>
      </c>
      <c r="F242" s="166">
        <v>0</v>
      </c>
      <c r="G242" s="227">
        <f>IF($B$2,IF(ROWS(B$6:$B242) = 1,$B242-Start_Date,$B242-$B241),"")</f>
        <v>1.8819444449036382E-2</v>
      </c>
      <c r="H242" s="29">
        <f>IF($B$2,IF(ROWS(B$6:$B242) = 1,IF(COUNTIFS(R_Schedule_Times,"&lt;"&amp;B242),INDEX(R_Schedule_Amounts,MATCH(B242,R_Schedule_Times,1)),Starting_Cash),IF(COUNTIFS(R_Schedule_Times,"&gt;"&amp;B241,R_Schedule_Times,"&lt;"&amp;B242),INDEX(R_Schedule_Amounts,MATCH(B242,R_Schedule_Times,1)),K241)),"")</f>
        <v>4180</v>
      </c>
      <c r="I242" s="30">
        <f t="shared" si="15"/>
        <v>60</v>
      </c>
      <c r="J242" s="31">
        <f t="shared" si="16"/>
        <v>0</v>
      </c>
      <c r="K242" s="29">
        <f t="shared" si="17"/>
        <v>4120</v>
      </c>
      <c r="L242" s="31" t="str">
        <f t="shared" si="18"/>
        <v/>
      </c>
      <c r="M242" s="31" t="str">
        <f t="shared" si="19"/>
        <v/>
      </c>
    </row>
    <row r="243" spans="1:13" x14ac:dyDescent="0.15">
      <c r="A243" s="163" t="s">
        <v>210</v>
      </c>
      <c r="B243" s="163">
        <v>42283.672693460649</v>
      </c>
      <c r="C243" s="164" t="s">
        <v>737</v>
      </c>
      <c r="D243" s="164" t="s">
        <v>13</v>
      </c>
      <c r="E243" s="165">
        <v>60</v>
      </c>
      <c r="F243" s="166">
        <v>0</v>
      </c>
      <c r="G243" s="227">
        <f>IF($B$2,IF(ROWS(B$6:$B243) = 1,$B243-Start_Date,$B243-$B242),"")</f>
        <v>6.499370370147517E-2</v>
      </c>
      <c r="H243" s="29">
        <f>IF($B$2,IF(ROWS(B$6:$B243) = 1,IF(COUNTIFS(R_Schedule_Times,"&lt;"&amp;B243),INDEX(R_Schedule_Amounts,MATCH(B243,R_Schedule_Times,1)),Starting_Cash),IF(COUNTIFS(R_Schedule_Times,"&gt;"&amp;B242,R_Schedule_Times,"&lt;"&amp;B243),INDEX(R_Schedule_Amounts,MATCH(B243,R_Schedule_Times,1)),K242)),"")</f>
        <v>4120</v>
      </c>
      <c r="I243" s="30">
        <f t="shared" si="15"/>
        <v>60</v>
      </c>
      <c r="J243" s="31">
        <f t="shared" si="16"/>
        <v>0</v>
      </c>
      <c r="K243" s="29">
        <f t="shared" si="17"/>
        <v>4060</v>
      </c>
      <c r="L243" s="31" t="str">
        <f t="shared" si="18"/>
        <v/>
      </c>
      <c r="M243" s="31" t="str">
        <f t="shared" si="19"/>
        <v/>
      </c>
    </row>
    <row r="244" spans="1:13" x14ac:dyDescent="0.15">
      <c r="A244" s="163" t="s">
        <v>210</v>
      </c>
      <c r="B244" s="163">
        <v>42283.675392060184</v>
      </c>
      <c r="C244" s="164" t="s">
        <v>738</v>
      </c>
      <c r="D244" s="164" t="s">
        <v>13</v>
      </c>
      <c r="E244" s="165">
        <v>120</v>
      </c>
      <c r="F244" s="166">
        <v>0</v>
      </c>
      <c r="G244" s="227">
        <f>IF($B$2,IF(ROWS(B$6:$B244) = 1,$B244-Start_Date,$B244-$B243),"")</f>
        <v>2.6985995355062187E-3</v>
      </c>
      <c r="H244" s="29">
        <f>IF($B$2,IF(ROWS(B$6:$B244) = 1,IF(COUNTIFS(R_Schedule_Times,"&lt;"&amp;B244),INDEX(R_Schedule_Amounts,MATCH(B244,R_Schedule_Times,1)),Starting_Cash),IF(COUNTIFS(R_Schedule_Times,"&gt;"&amp;B243,R_Schedule_Times,"&lt;"&amp;B244),INDEX(R_Schedule_Amounts,MATCH(B244,R_Schedule_Times,1)),K243)),"")</f>
        <v>4060</v>
      </c>
      <c r="I244" s="30">
        <f t="shared" si="15"/>
        <v>120</v>
      </c>
      <c r="J244" s="31">
        <f t="shared" si="16"/>
        <v>0</v>
      </c>
      <c r="K244" s="29">
        <f t="shared" si="17"/>
        <v>3940</v>
      </c>
      <c r="L244" s="31" t="str">
        <f t="shared" si="18"/>
        <v/>
      </c>
      <c r="M244" s="31" t="str">
        <f t="shared" si="19"/>
        <v/>
      </c>
    </row>
    <row r="245" spans="1:13" x14ac:dyDescent="0.15">
      <c r="A245" s="163" t="s">
        <v>210</v>
      </c>
      <c r="B245" s="163">
        <v>42283.676068935187</v>
      </c>
      <c r="C245" s="164" t="s">
        <v>739</v>
      </c>
      <c r="D245" s="164" t="s">
        <v>13</v>
      </c>
      <c r="E245" s="165">
        <v>100</v>
      </c>
      <c r="F245" s="166">
        <v>0</v>
      </c>
      <c r="G245" s="227">
        <f>IF($B$2,IF(ROWS(B$6:$B245) = 1,$B245-Start_Date,$B245-$B244),"")</f>
        <v>6.7687500268220901E-4</v>
      </c>
      <c r="H245" s="29">
        <f>IF($B$2,IF(ROWS(B$6:$B245) = 1,IF(COUNTIFS(R_Schedule_Times,"&lt;"&amp;B245),INDEX(R_Schedule_Amounts,MATCH(B245,R_Schedule_Times,1)),Starting_Cash),IF(COUNTIFS(R_Schedule_Times,"&gt;"&amp;B244,R_Schedule_Times,"&lt;"&amp;B245),INDEX(R_Schedule_Amounts,MATCH(B245,R_Schedule_Times,1)),K244)),"")</f>
        <v>3940</v>
      </c>
      <c r="I245" s="30">
        <f t="shared" si="15"/>
        <v>100</v>
      </c>
      <c r="J245" s="31">
        <f t="shared" si="16"/>
        <v>0</v>
      </c>
      <c r="K245" s="29">
        <f t="shared" si="17"/>
        <v>3840</v>
      </c>
      <c r="L245" s="31" t="str">
        <f t="shared" si="18"/>
        <v/>
      </c>
      <c r="M245" s="31" t="str">
        <f t="shared" si="19"/>
        <v/>
      </c>
    </row>
    <row r="246" spans="1:13" x14ac:dyDescent="0.15">
      <c r="A246" s="163" t="s">
        <v>210</v>
      </c>
      <c r="B246" s="163">
        <v>42283.677098252316</v>
      </c>
      <c r="C246" s="164" t="s">
        <v>313</v>
      </c>
      <c r="D246" s="164" t="s">
        <v>13</v>
      </c>
      <c r="E246" s="165">
        <v>100</v>
      </c>
      <c r="F246" s="166">
        <v>0</v>
      </c>
      <c r="G246" s="227">
        <f>IF($B$2,IF(ROWS(B$6:$B246) = 1,$B246-Start_Date,$B246-$B245),"")</f>
        <v>1.0293171289958991E-3</v>
      </c>
      <c r="H246" s="29">
        <f>IF($B$2,IF(ROWS(B$6:$B246) = 1,IF(COUNTIFS(R_Schedule_Times,"&lt;"&amp;B246),INDEX(R_Schedule_Amounts,MATCH(B246,R_Schedule_Times,1)),Starting_Cash),IF(COUNTIFS(R_Schedule_Times,"&gt;"&amp;B245,R_Schedule_Times,"&lt;"&amp;B246),INDEX(R_Schedule_Amounts,MATCH(B246,R_Schedule_Times,1)),K245)),"")</f>
        <v>3840</v>
      </c>
      <c r="I246" s="30">
        <f t="shared" si="15"/>
        <v>100</v>
      </c>
      <c r="J246" s="31">
        <f t="shared" si="16"/>
        <v>0</v>
      </c>
      <c r="K246" s="29">
        <f t="shared" si="17"/>
        <v>3740</v>
      </c>
      <c r="L246" s="31" t="str">
        <f t="shared" si="18"/>
        <v/>
      </c>
      <c r="M246" s="31" t="str">
        <f t="shared" si="19"/>
        <v/>
      </c>
    </row>
    <row r="247" spans="1:13" x14ac:dyDescent="0.15">
      <c r="A247" s="163" t="s">
        <v>210</v>
      </c>
      <c r="B247" s="163">
        <v>42283.744257615741</v>
      </c>
      <c r="C247" s="164" t="s">
        <v>740</v>
      </c>
      <c r="D247" s="164" t="s">
        <v>13</v>
      </c>
      <c r="E247" s="165">
        <v>40</v>
      </c>
      <c r="F247" s="166">
        <v>0</v>
      </c>
      <c r="G247" s="227">
        <f>IF($B$2,IF(ROWS(B$6:$B247) = 1,$B247-Start_Date,$B247-$B246),"")</f>
        <v>6.7159363425162155E-2</v>
      </c>
      <c r="H247" s="29">
        <f>IF($B$2,IF(ROWS(B$6:$B247) = 1,IF(COUNTIFS(R_Schedule_Times,"&lt;"&amp;B247),INDEX(R_Schedule_Amounts,MATCH(B247,R_Schedule_Times,1)),Starting_Cash),IF(COUNTIFS(R_Schedule_Times,"&gt;"&amp;B246,R_Schedule_Times,"&lt;"&amp;B247),INDEX(R_Schedule_Amounts,MATCH(B247,R_Schedule_Times,1)),K246)),"")</f>
        <v>3740</v>
      </c>
      <c r="I247" s="30">
        <f t="shared" si="15"/>
        <v>40</v>
      </c>
      <c r="J247" s="31">
        <f t="shared" si="16"/>
        <v>0</v>
      </c>
      <c r="K247" s="29">
        <f t="shared" si="17"/>
        <v>3700</v>
      </c>
      <c r="L247" s="31" t="str">
        <f t="shared" si="18"/>
        <v/>
      </c>
      <c r="M247" s="31" t="str">
        <f t="shared" si="19"/>
        <v/>
      </c>
    </row>
    <row r="248" spans="1:13" x14ac:dyDescent="0.15">
      <c r="A248" s="163" t="s">
        <v>210</v>
      </c>
      <c r="B248" s="163">
        <v>42283.782250393517</v>
      </c>
      <c r="C248" s="164" t="s">
        <v>741</v>
      </c>
      <c r="D248" s="164" t="s">
        <v>13</v>
      </c>
      <c r="E248" s="165">
        <v>60</v>
      </c>
      <c r="F248" s="166">
        <v>0</v>
      </c>
      <c r="G248" s="227">
        <f>IF($B$2,IF(ROWS(B$6:$B248) = 1,$B248-Start_Date,$B248-$B247),"")</f>
        <v>3.7992777775798459E-2</v>
      </c>
      <c r="H248" s="29">
        <f>IF($B$2,IF(ROWS(B$6:$B248) = 1,IF(COUNTIFS(R_Schedule_Times,"&lt;"&amp;B248),INDEX(R_Schedule_Amounts,MATCH(B248,R_Schedule_Times,1)),Starting_Cash),IF(COUNTIFS(R_Schedule_Times,"&gt;"&amp;B247,R_Schedule_Times,"&lt;"&amp;B248),INDEX(R_Schedule_Amounts,MATCH(B248,R_Schedule_Times,1)),K247)),"")</f>
        <v>3700</v>
      </c>
      <c r="I248" s="30">
        <f t="shared" si="15"/>
        <v>60</v>
      </c>
      <c r="J248" s="31">
        <f t="shared" si="16"/>
        <v>0</v>
      </c>
      <c r="K248" s="29">
        <f t="shared" si="17"/>
        <v>3640</v>
      </c>
      <c r="L248" s="31" t="str">
        <f t="shared" si="18"/>
        <v/>
      </c>
      <c r="M248" s="31" t="str">
        <f t="shared" si="19"/>
        <v/>
      </c>
    </row>
    <row r="249" spans="1:13" x14ac:dyDescent="0.15">
      <c r="A249" s="163" t="s">
        <v>210</v>
      </c>
      <c r="B249" s="163">
        <v>42284.298215949071</v>
      </c>
      <c r="C249" s="164" t="s">
        <v>742</v>
      </c>
      <c r="D249" s="164" t="s">
        <v>13</v>
      </c>
      <c r="E249" s="165">
        <v>100</v>
      </c>
      <c r="F249" s="166">
        <v>0</v>
      </c>
      <c r="G249" s="227">
        <f>IF($B$2,IF(ROWS(B$6:$B249) = 1,$B249-Start_Date,$B249-$B248),"")</f>
        <v>0.51596555555443047</v>
      </c>
      <c r="H249" s="29">
        <f>IF($B$2,IF(ROWS(B$6:$B249) = 1,IF(COUNTIFS(R_Schedule_Times,"&lt;"&amp;B249),INDEX(R_Schedule_Amounts,MATCH(B249,R_Schedule_Times,1)),Starting_Cash),IF(COUNTIFS(R_Schedule_Times,"&gt;"&amp;B248,R_Schedule_Times,"&lt;"&amp;B249),INDEX(R_Schedule_Amounts,MATCH(B249,R_Schedule_Times,1)),K248)),"")</f>
        <v>3640</v>
      </c>
      <c r="I249" s="30">
        <f t="shared" si="15"/>
        <v>100</v>
      </c>
      <c r="J249" s="31">
        <f t="shared" si="16"/>
        <v>0</v>
      </c>
      <c r="K249" s="29">
        <f t="shared" si="17"/>
        <v>3540</v>
      </c>
      <c r="L249" s="31" t="str">
        <f t="shared" si="18"/>
        <v/>
      </c>
      <c r="M249" s="31" t="str">
        <f t="shared" si="19"/>
        <v/>
      </c>
    </row>
    <row r="250" spans="1:13" x14ac:dyDescent="0.15">
      <c r="A250" s="163" t="s">
        <v>210</v>
      </c>
      <c r="B250" s="163">
        <v>42284.327755486112</v>
      </c>
      <c r="C250" s="164" t="s">
        <v>743</v>
      </c>
      <c r="D250" s="164" t="s">
        <v>13</v>
      </c>
      <c r="E250" s="165">
        <v>200</v>
      </c>
      <c r="F250" s="166">
        <v>0</v>
      </c>
      <c r="G250" s="227">
        <f>IF($B$2,IF(ROWS(B$6:$B250) = 1,$B250-Start_Date,$B250-$B249),"")</f>
        <v>2.9539537041273434E-2</v>
      </c>
      <c r="H250" s="29">
        <f>IF($B$2,IF(ROWS(B$6:$B250) = 1,IF(COUNTIFS(R_Schedule_Times,"&lt;"&amp;B250),INDEX(R_Schedule_Amounts,MATCH(B250,R_Schedule_Times,1)),Starting_Cash),IF(COUNTIFS(R_Schedule_Times,"&gt;"&amp;B249,R_Schedule_Times,"&lt;"&amp;B250),INDEX(R_Schedule_Amounts,MATCH(B250,R_Schedule_Times,1)),K249)),"")</f>
        <v>3540</v>
      </c>
      <c r="I250" s="30">
        <f t="shared" si="15"/>
        <v>200</v>
      </c>
      <c r="J250" s="31">
        <f t="shared" si="16"/>
        <v>0</v>
      </c>
      <c r="K250" s="29">
        <f t="shared" si="17"/>
        <v>3340</v>
      </c>
      <c r="L250" s="31" t="str">
        <f t="shared" si="18"/>
        <v/>
      </c>
      <c r="M250" s="31" t="str">
        <f t="shared" si="19"/>
        <v/>
      </c>
    </row>
    <row r="251" spans="1:13" x14ac:dyDescent="0.15">
      <c r="A251" s="163" t="s">
        <v>210</v>
      </c>
      <c r="B251" s="163">
        <v>42284.339842627312</v>
      </c>
      <c r="C251" s="164" t="s">
        <v>314</v>
      </c>
      <c r="D251" s="164" t="s">
        <v>13</v>
      </c>
      <c r="E251" s="165">
        <v>100</v>
      </c>
      <c r="F251" s="166">
        <v>0</v>
      </c>
      <c r="G251" s="227">
        <f>IF($B$2,IF(ROWS(B$6:$B251) = 1,$B251-Start_Date,$B251-$B250),"")</f>
        <v>1.2087141200026963E-2</v>
      </c>
      <c r="H251" s="29">
        <f>IF($B$2,IF(ROWS(B$6:$B251) = 1,IF(COUNTIFS(R_Schedule_Times,"&lt;"&amp;B251),INDEX(R_Schedule_Amounts,MATCH(B251,R_Schedule_Times,1)),Starting_Cash),IF(COUNTIFS(R_Schedule_Times,"&gt;"&amp;B250,R_Schedule_Times,"&lt;"&amp;B251),INDEX(R_Schedule_Amounts,MATCH(B251,R_Schedule_Times,1)),K250)),"")</f>
        <v>3340</v>
      </c>
      <c r="I251" s="30">
        <f t="shared" si="15"/>
        <v>100</v>
      </c>
      <c r="J251" s="31">
        <f t="shared" si="16"/>
        <v>0</v>
      </c>
      <c r="K251" s="29">
        <f t="shared" si="17"/>
        <v>3240</v>
      </c>
      <c r="L251" s="31" t="str">
        <f t="shared" si="18"/>
        <v/>
      </c>
      <c r="M251" s="31" t="str">
        <f t="shared" si="19"/>
        <v/>
      </c>
    </row>
    <row r="252" spans="1:13" x14ac:dyDescent="0.15">
      <c r="A252" s="163" t="s">
        <v>210</v>
      </c>
      <c r="B252" s="163">
        <v>42284.363803287037</v>
      </c>
      <c r="C252" s="164" t="s">
        <v>744</v>
      </c>
      <c r="D252" s="164" t="s">
        <v>13</v>
      </c>
      <c r="E252" s="165">
        <v>100</v>
      </c>
      <c r="F252" s="166">
        <v>0</v>
      </c>
      <c r="G252" s="227">
        <f>IF($B$2,IF(ROWS(B$6:$B252) = 1,$B252-Start_Date,$B252-$B251),"")</f>
        <v>2.3960659724252764E-2</v>
      </c>
      <c r="H252" s="29">
        <f>IF($B$2,IF(ROWS(B$6:$B252) = 1,IF(COUNTIFS(R_Schedule_Times,"&lt;"&amp;B252),INDEX(R_Schedule_Amounts,MATCH(B252,R_Schedule_Times,1)),Starting_Cash),IF(COUNTIFS(R_Schedule_Times,"&gt;"&amp;B251,R_Schedule_Times,"&lt;"&amp;B252),INDEX(R_Schedule_Amounts,MATCH(B252,R_Schedule_Times,1)),K251)),"")</f>
        <v>3240</v>
      </c>
      <c r="I252" s="30">
        <f t="shared" si="15"/>
        <v>100</v>
      </c>
      <c r="J252" s="31">
        <f t="shared" si="16"/>
        <v>0</v>
      </c>
      <c r="K252" s="29">
        <f t="shared" si="17"/>
        <v>3140</v>
      </c>
      <c r="L252" s="31" t="str">
        <f t="shared" si="18"/>
        <v/>
      </c>
      <c r="M252" s="31" t="str">
        <f t="shared" si="19"/>
        <v/>
      </c>
    </row>
    <row r="253" spans="1:13" x14ac:dyDescent="0.15">
      <c r="A253" s="163" t="s">
        <v>210</v>
      </c>
      <c r="B253" s="163">
        <v>42284.454029166664</v>
      </c>
      <c r="C253" s="164" t="s">
        <v>745</v>
      </c>
      <c r="D253" s="164" t="s">
        <v>13</v>
      </c>
      <c r="E253" s="165">
        <v>40</v>
      </c>
      <c r="F253" s="166">
        <v>0</v>
      </c>
      <c r="G253" s="227">
        <f>IF($B$2,IF(ROWS(B$6:$B253) = 1,$B253-Start_Date,$B253-$B252),"")</f>
        <v>9.0225879626814276E-2</v>
      </c>
      <c r="H253" s="29">
        <f>IF($B$2,IF(ROWS(B$6:$B253) = 1,IF(COUNTIFS(R_Schedule_Times,"&lt;"&amp;B253),INDEX(R_Schedule_Amounts,MATCH(B253,R_Schedule_Times,1)),Starting_Cash),IF(COUNTIFS(R_Schedule_Times,"&gt;"&amp;B252,R_Schedule_Times,"&lt;"&amp;B253),INDEX(R_Schedule_Amounts,MATCH(B253,R_Schedule_Times,1)),K252)),"")</f>
        <v>3140</v>
      </c>
      <c r="I253" s="30">
        <f t="shared" si="15"/>
        <v>40</v>
      </c>
      <c r="J253" s="31">
        <f t="shared" si="16"/>
        <v>0</v>
      </c>
      <c r="K253" s="29">
        <f t="shared" si="17"/>
        <v>3100</v>
      </c>
      <c r="L253" s="31" t="str">
        <f t="shared" si="18"/>
        <v/>
      </c>
      <c r="M253" s="31" t="str">
        <f t="shared" si="19"/>
        <v/>
      </c>
    </row>
    <row r="254" spans="1:13" x14ac:dyDescent="0.15">
      <c r="A254" s="163" t="s">
        <v>210</v>
      </c>
      <c r="B254" s="163">
        <v>42284.465395520834</v>
      </c>
      <c r="C254" s="164" t="s">
        <v>14</v>
      </c>
      <c r="D254" s="164" t="s">
        <v>13</v>
      </c>
      <c r="E254" s="165">
        <v>40</v>
      </c>
      <c r="F254" s="166">
        <v>3.5</v>
      </c>
      <c r="G254" s="227">
        <f>IF($B$2,IF(ROWS(B$6:$B254) = 1,$B254-Start_Date,$B254-$B253),"")</f>
        <v>1.1366354170604609E-2</v>
      </c>
      <c r="H254" s="29">
        <f>IF($B$2,IF(ROWS(B$6:$B254) = 1,IF(COUNTIFS(R_Schedule_Times,"&lt;"&amp;B254),INDEX(R_Schedule_Amounts,MATCH(B254,R_Schedule_Times,1)),Starting_Cash),IF(COUNTIFS(R_Schedule_Times,"&gt;"&amp;B253,R_Schedule_Times,"&lt;"&amp;B254),INDEX(R_Schedule_Amounts,MATCH(B254,R_Schedule_Times,1)),K253)),"")</f>
        <v>3100</v>
      </c>
      <c r="I254" s="30">
        <f t="shared" si="15"/>
        <v>40</v>
      </c>
      <c r="J254" s="31">
        <f t="shared" si="16"/>
        <v>3.5</v>
      </c>
      <c r="K254" s="29">
        <f t="shared" si="17"/>
        <v>3060</v>
      </c>
      <c r="L254" s="31" t="str">
        <f t="shared" si="18"/>
        <v/>
      </c>
      <c r="M254" s="31" t="str">
        <f t="shared" si="19"/>
        <v/>
      </c>
    </row>
    <row r="255" spans="1:13" x14ac:dyDescent="0.15">
      <c r="A255" s="163" t="s">
        <v>210</v>
      </c>
      <c r="B255" s="163">
        <v>42284.466533692132</v>
      </c>
      <c r="C255" s="164" t="s">
        <v>746</v>
      </c>
      <c r="D255" s="164" t="s">
        <v>13</v>
      </c>
      <c r="E255" s="165">
        <v>40</v>
      </c>
      <c r="F255" s="166">
        <v>0</v>
      </c>
      <c r="G255" s="227">
        <f>IF($B$2,IF(ROWS(B$6:$B255) = 1,$B255-Start_Date,$B255-$B254),"")</f>
        <v>1.1381712974980474E-3</v>
      </c>
      <c r="H255" s="29">
        <f>IF($B$2,IF(ROWS(B$6:$B255) = 1,IF(COUNTIFS(R_Schedule_Times,"&lt;"&amp;B255),INDEX(R_Schedule_Amounts,MATCH(B255,R_Schedule_Times,1)),Starting_Cash),IF(COUNTIFS(R_Schedule_Times,"&gt;"&amp;B254,R_Schedule_Times,"&lt;"&amp;B255),INDEX(R_Schedule_Amounts,MATCH(B255,R_Schedule_Times,1)),K254)),"")</f>
        <v>3060</v>
      </c>
      <c r="I255" s="30">
        <f t="shared" si="15"/>
        <v>40</v>
      </c>
      <c r="J255" s="31">
        <f t="shared" si="16"/>
        <v>0</v>
      </c>
      <c r="K255" s="29">
        <f t="shared" si="17"/>
        <v>3020</v>
      </c>
      <c r="L255" s="31" t="str">
        <f t="shared" si="18"/>
        <v/>
      </c>
      <c r="M255" s="31" t="str">
        <f t="shared" si="19"/>
        <v/>
      </c>
    </row>
    <row r="256" spans="1:13" x14ac:dyDescent="0.15">
      <c r="A256" s="163" t="s">
        <v>210</v>
      </c>
      <c r="B256" s="163">
        <v>42284.471191203702</v>
      </c>
      <c r="C256" s="164" t="s">
        <v>167</v>
      </c>
      <c r="D256" s="164" t="s">
        <v>13</v>
      </c>
      <c r="E256" s="165">
        <v>100</v>
      </c>
      <c r="F256" s="166">
        <v>0</v>
      </c>
      <c r="G256" s="227">
        <f>IF($B$2,IF(ROWS(B$6:$B256) = 1,$B256-Start_Date,$B256-$B255),"")</f>
        <v>4.6575115702580661E-3</v>
      </c>
      <c r="H256" s="29">
        <f>IF($B$2,IF(ROWS(B$6:$B256) = 1,IF(COUNTIFS(R_Schedule_Times,"&lt;"&amp;B256),INDEX(R_Schedule_Amounts,MATCH(B256,R_Schedule_Times,1)),Starting_Cash),IF(COUNTIFS(R_Schedule_Times,"&gt;"&amp;B255,R_Schedule_Times,"&lt;"&amp;B256),INDEX(R_Schedule_Amounts,MATCH(B256,R_Schedule_Times,1)),K255)),"")</f>
        <v>3020</v>
      </c>
      <c r="I256" s="30">
        <f t="shared" si="15"/>
        <v>100</v>
      </c>
      <c r="J256" s="31">
        <f t="shared" si="16"/>
        <v>0</v>
      </c>
      <c r="K256" s="29">
        <f t="shared" si="17"/>
        <v>2920</v>
      </c>
      <c r="L256" s="31" t="str">
        <f t="shared" si="18"/>
        <v/>
      </c>
      <c r="M256" s="31" t="str">
        <f t="shared" si="19"/>
        <v/>
      </c>
    </row>
    <row r="257" spans="1:13" x14ac:dyDescent="0.15">
      <c r="A257" s="163" t="s">
        <v>210</v>
      </c>
      <c r="B257" s="163">
        <v>42284.47236738426</v>
      </c>
      <c r="C257" s="164" t="s">
        <v>747</v>
      </c>
      <c r="D257" s="164" t="s">
        <v>13</v>
      </c>
      <c r="E257" s="165">
        <v>100</v>
      </c>
      <c r="F257" s="166">
        <v>0</v>
      </c>
      <c r="G257" s="227">
        <f>IF($B$2,IF(ROWS(B$6:$B257) = 1,$B257-Start_Date,$B257-$B256),"")</f>
        <v>1.1761805581045337E-3</v>
      </c>
      <c r="H257" s="29">
        <f>IF($B$2,IF(ROWS(B$6:$B257) = 1,IF(COUNTIFS(R_Schedule_Times,"&lt;"&amp;B257),INDEX(R_Schedule_Amounts,MATCH(B257,R_Schedule_Times,1)),Starting_Cash),IF(COUNTIFS(R_Schedule_Times,"&gt;"&amp;B256,R_Schedule_Times,"&lt;"&amp;B257),INDEX(R_Schedule_Amounts,MATCH(B257,R_Schedule_Times,1)),K256)),"")</f>
        <v>2920</v>
      </c>
      <c r="I257" s="30">
        <f t="shared" si="15"/>
        <v>100</v>
      </c>
      <c r="J257" s="31">
        <f t="shared" si="16"/>
        <v>0</v>
      </c>
      <c r="K257" s="29">
        <f t="shared" si="17"/>
        <v>2820</v>
      </c>
      <c r="L257" s="31" t="str">
        <f t="shared" si="18"/>
        <v/>
      </c>
      <c r="M257" s="31" t="str">
        <f t="shared" si="19"/>
        <v/>
      </c>
    </row>
    <row r="258" spans="1:13" x14ac:dyDescent="0.15">
      <c r="A258" s="163" t="s">
        <v>210</v>
      </c>
      <c r="B258" s="163">
        <v>42284.49433425926</v>
      </c>
      <c r="C258" s="164" t="s">
        <v>14</v>
      </c>
      <c r="D258" s="164" t="s">
        <v>13</v>
      </c>
      <c r="E258" s="165">
        <v>40</v>
      </c>
      <c r="F258" s="166">
        <v>3.5</v>
      </c>
      <c r="G258" s="227">
        <f>IF($B$2,IF(ROWS(B$6:$B258) = 1,$B258-Start_Date,$B258-$B257),"")</f>
        <v>2.1966874999634456E-2</v>
      </c>
      <c r="H258" s="29">
        <f>IF($B$2,IF(ROWS(B$6:$B258) = 1,IF(COUNTIFS(R_Schedule_Times,"&lt;"&amp;B258),INDEX(R_Schedule_Amounts,MATCH(B258,R_Schedule_Times,1)),Starting_Cash),IF(COUNTIFS(R_Schedule_Times,"&gt;"&amp;B257,R_Schedule_Times,"&lt;"&amp;B258),INDEX(R_Schedule_Amounts,MATCH(B258,R_Schedule_Times,1)),K257)),"")</f>
        <v>2820</v>
      </c>
      <c r="I258" s="30">
        <f t="shared" si="15"/>
        <v>40</v>
      </c>
      <c r="J258" s="31">
        <f t="shared" si="16"/>
        <v>3.5</v>
      </c>
      <c r="K258" s="29">
        <f t="shared" si="17"/>
        <v>2780</v>
      </c>
      <c r="L258" s="31" t="str">
        <f t="shared" si="18"/>
        <v/>
      </c>
      <c r="M258" s="31" t="str">
        <f t="shared" si="19"/>
        <v/>
      </c>
    </row>
    <row r="259" spans="1:13" x14ac:dyDescent="0.15">
      <c r="A259" s="163" t="s">
        <v>210</v>
      </c>
      <c r="B259" s="163">
        <v>42284.508963993052</v>
      </c>
      <c r="C259" s="164" t="s">
        <v>748</v>
      </c>
      <c r="D259" s="164" t="s">
        <v>13</v>
      </c>
      <c r="E259" s="165">
        <v>120</v>
      </c>
      <c r="F259" s="166">
        <v>0</v>
      </c>
      <c r="G259" s="227">
        <f>IF($B$2,IF(ROWS(B$6:$B259) = 1,$B259-Start_Date,$B259-$B258),"")</f>
        <v>1.4629733792389743E-2</v>
      </c>
      <c r="H259" s="29">
        <f>IF($B$2,IF(ROWS(B$6:$B259) = 1,IF(COUNTIFS(R_Schedule_Times,"&lt;"&amp;B259),INDEX(R_Schedule_Amounts,MATCH(B259,R_Schedule_Times,1)),Starting_Cash),IF(COUNTIFS(R_Schedule_Times,"&gt;"&amp;B258,R_Schedule_Times,"&lt;"&amp;B259),INDEX(R_Schedule_Amounts,MATCH(B259,R_Schedule_Times,1)),K258)),"")</f>
        <v>2780</v>
      </c>
      <c r="I259" s="30">
        <f t="shared" si="15"/>
        <v>120</v>
      </c>
      <c r="J259" s="31">
        <f t="shared" si="16"/>
        <v>0</v>
      </c>
      <c r="K259" s="29">
        <f t="shared" si="17"/>
        <v>2660</v>
      </c>
      <c r="L259" s="31" t="str">
        <f t="shared" si="18"/>
        <v/>
      </c>
      <c r="M259" s="31" t="str">
        <f t="shared" si="19"/>
        <v/>
      </c>
    </row>
    <row r="260" spans="1:13" x14ac:dyDescent="0.15">
      <c r="A260" s="163" t="s">
        <v>210</v>
      </c>
      <c r="B260" s="163">
        <v>42284.521827743054</v>
      </c>
      <c r="C260" s="164" t="s">
        <v>749</v>
      </c>
      <c r="D260" s="164" t="s">
        <v>13</v>
      </c>
      <c r="E260" s="165">
        <v>60</v>
      </c>
      <c r="F260" s="166">
        <v>0</v>
      </c>
      <c r="G260" s="227">
        <f>IF($B$2,IF(ROWS(B$6:$B260) = 1,$B260-Start_Date,$B260-$B259),"")</f>
        <v>1.2863750001997687E-2</v>
      </c>
      <c r="H260" s="29">
        <f>IF($B$2,IF(ROWS(B$6:$B260) = 1,IF(COUNTIFS(R_Schedule_Times,"&lt;"&amp;B260),INDEX(R_Schedule_Amounts,MATCH(B260,R_Schedule_Times,1)),Starting_Cash),IF(COUNTIFS(R_Schedule_Times,"&gt;"&amp;B259,R_Schedule_Times,"&lt;"&amp;B260),INDEX(R_Schedule_Amounts,MATCH(B260,R_Schedule_Times,1)),K259)),"")</f>
        <v>2660</v>
      </c>
      <c r="I260" s="30">
        <f t="shared" si="15"/>
        <v>60</v>
      </c>
      <c r="J260" s="31">
        <f t="shared" si="16"/>
        <v>0</v>
      </c>
      <c r="K260" s="29">
        <f t="shared" si="17"/>
        <v>2600</v>
      </c>
      <c r="L260" s="31" t="str">
        <f t="shared" si="18"/>
        <v/>
      </c>
      <c r="M260" s="31" t="str">
        <f t="shared" si="19"/>
        <v/>
      </c>
    </row>
    <row r="261" spans="1:13" x14ac:dyDescent="0.15">
      <c r="A261" s="163" t="s">
        <v>210</v>
      </c>
      <c r="B261" s="163">
        <v>42284.540284444447</v>
      </c>
      <c r="C261" s="164" t="s">
        <v>750</v>
      </c>
      <c r="D261" s="164" t="s">
        <v>15</v>
      </c>
      <c r="E261" s="165">
        <v>80</v>
      </c>
      <c r="F261" s="166">
        <v>2.4</v>
      </c>
      <c r="G261" s="227">
        <f>IF($B$2,IF(ROWS(B$6:$B261) = 1,$B261-Start_Date,$B261-$B260),"")</f>
        <v>1.8456701393006369E-2</v>
      </c>
      <c r="H261" s="29">
        <f>IF($B$2,IF(ROWS(B$6:$B261) = 1,IF(COUNTIFS(R_Schedule_Times,"&lt;"&amp;B261),INDEX(R_Schedule_Amounts,MATCH(B261,R_Schedule_Times,1)),Starting_Cash),IF(COUNTIFS(R_Schedule_Times,"&gt;"&amp;B260,R_Schedule_Times,"&lt;"&amp;B261),INDEX(R_Schedule_Amounts,MATCH(B261,R_Schedule_Times,1)),K260)),"")</f>
        <v>2600</v>
      </c>
      <c r="I261" s="30">
        <f t="shared" si="15"/>
        <v>80</v>
      </c>
      <c r="J261" s="31">
        <f t="shared" si="16"/>
        <v>2.4</v>
      </c>
      <c r="K261" s="29">
        <f t="shared" si="17"/>
        <v>2520</v>
      </c>
      <c r="L261" s="31" t="str">
        <f t="shared" si="18"/>
        <v/>
      </c>
      <c r="M261" s="31" t="str">
        <f t="shared" si="19"/>
        <v/>
      </c>
    </row>
    <row r="262" spans="1:13" x14ac:dyDescent="0.15">
      <c r="A262" s="163" t="s">
        <v>210</v>
      </c>
      <c r="B262" s="163">
        <v>42284.545604398147</v>
      </c>
      <c r="C262" s="164" t="s">
        <v>14</v>
      </c>
      <c r="D262" s="164" t="s">
        <v>13</v>
      </c>
      <c r="E262" s="165">
        <v>40</v>
      </c>
      <c r="F262" s="166">
        <v>3.5</v>
      </c>
      <c r="G262" s="227">
        <f>IF($B$2,IF(ROWS(B$6:$B262) = 1,$B262-Start_Date,$B262-$B261),"")</f>
        <v>5.3199536996544339E-3</v>
      </c>
      <c r="H262" s="29">
        <f>IF($B$2,IF(ROWS(B$6:$B262) = 1,IF(COUNTIFS(R_Schedule_Times,"&lt;"&amp;B262),INDEX(R_Schedule_Amounts,MATCH(B262,R_Schedule_Times,1)),Starting_Cash),IF(COUNTIFS(R_Schedule_Times,"&gt;"&amp;B261,R_Schedule_Times,"&lt;"&amp;B262),INDEX(R_Schedule_Amounts,MATCH(B262,R_Schedule_Times,1)),K261)),"")</f>
        <v>2520</v>
      </c>
      <c r="I262" s="30">
        <f t="shared" si="15"/>
        <v>40</v>
      </c>
      <c r="J262" s="31">
        <f t="shared" si="16"/>
        <v>3.5</v>
      </c>
      <c r="K262" s="29">
        <f t="shared" si="17"/>
        <v>2480</v>
      </c>
      <c r="L262" s="31" t="str">
        <f t="shared" si="18"/>
        <v/>
      </c>
      <c r="M262" s="31" t="str">
        <f t="shared" si="19"/>
        <v/>
      </c>
    </row>
    <row r="263" spans="1:13" x14ac:dyDescent="0.15">
      <c r="A263" s="163" t="s">
        <v>210</v>
      </c>
      <c r="B263" s="163">
        <v>42284.552134479163</v>
      </c>
      <c r="C263" s="164" t="s">
        <v>751</v>
      </c>
      <c r="D263" s="164" t="s">
        <v>13</v>
      </c>
      <c r="E263" s="165">
        <v>60</v>
      </c>
      <c r="F263" s="166">
        <v>0</v>
      </c>
      <c r="G263" s="227">
        <f>IF($B$2,IF(ROWS(B$6:$B263) = 1,$B263-Start_Date,$B263-$B262),"")</f>
        <v>6.5300810165354051E-3</v>
      </c>
      <c r="H263" s="29">
        <f>IF($B$2,IF(ROWS(B$6:$B263) = 1,IF(COUNTIFS(R_Schedule_Times,"&lt;"&amp;B263),INDEX(R_Schedule_Amounts,MATCH(B263,R_Schedule_Times,1)),Starting_Cash),IF(COUNTIFS(R_Schedule_Times,"&gt;"&amp;B262,R_Schedule_Times,"&lt;"&amp;B263),INDEX(R_Schedule_Amounts,MATCH(B263,R_Schedule_Times,1)),K262)),"")</f>
        <v>2480</v>
      </c>
      <c r="I263" s="30">
        <f t="shared" ref="I263:I326" si="20">IF($B$2,IF(H263&gt;=E263,E263,0),"")</f>
        <v>60</v>
      </c>
      <c r="J263" s="31">
        <f t="shared" ref="J263:J326" si="21">IF($B$2,IF(H263&gt;=E263,F263,0),"")</f>
        <v>0</v>
      </c>
      <c r="K263" s="29">
        <f t="shared" ref="K263:K326" si="22">IF($B$2,ABS(I263-H263),"")</f>
        <v>2420</v>
      </c>
      <c r="L263" s="31" t="str">
        <f t="shared" ref="L263:L326" si="23">IF($B$2,IF(H263&lt;E263,"YES",""),"")</f>
        <v/>
      </c>
      <c r="M263" s="31" t="str">
        <f t="shared" ref="M263:M326" si="24">IF($B$2,IF(L263="YES",F263,""),"")</f>
        <v/>
      </c>
    </row>
    <row r="264" spans="1:13" x14ac:dyDescent="0.15">
      <c r="A264" s="163" t="s">
        <v>210</v>
      </c>
      <c r="B264" s="163">
        <v>42284.639858078706</v>
      </c>
      <c r="C264" s="164" t="s">
        <v>752</v>
      </c>
      <c r="D264" s="164" t="s">
        <v>15</v>
      </c>
      <c r="E264" s="165">
        <v>200</v>
      </c>
      <c r="F264" s="166">
        <v>6</v>
      </c>
      <c r="G264" s="227">
        <f>IF($B$2,IF(ROWS(B$6:$B264) = 1,$B264-Start_Date,$B264-$B263),"")</f>
        <v>8.7723599543096498E-2</v>
      </c>
      <c r="H264" s="29">
        <f>IF($B$2,IF(ROWS(B$6:$B264) = 1,IF(COUNTIFS(R_Schedule_Times,"&lt;"&amp;B264),INDEX(R_Schedule_Amounts,MATCH(B264,R_Schedule_Times,1)),Starting_Cash),IF(COUNTIFS(R_Schedule_Times,"&gt;"&amp;B263,R_Schedule_Times,"&lt;"&amp;B264),INDEX(R_Schedule_Amounts,MATCH(B264,R_Schedule_Times,1)),K263)),"")</f>
        <v>2420</v>
      </c>
      <c r="I264" s="30">
        <f t="shared" si="20"/>
        <v>200</v>
      </c>
      <c r="J264" s="31">
        <f t="shared" si="21"/>
        <v>6</v>
      </c>
      <c r="K264" s="29">
        <f t="shared" si="22"/>
        <v>2220</v>
      </c>
      <c r="L264" s="31" t="str">
        <f t="shared" si="23"/>
        <v/>
      </c>
      <c r="M264" s="31" t="str">
        <f t="shared" si="24"/>
        <v/>
      </c>
    </row>
    <row r="265" spans="1:13" x14ac:dyDescent="0.15">
      <c r="A265" s="163" t="s">
        <v>210</v>
      </c>
      <c r="B265" s="163">
        <v>42284.640389664353</v>
      </c>
      <c r="C265" s="164" t="s">
        <v>753</v>
      </c>
      <c r="D265" s="164" t="s">
        <v>13</v>
      </c>
      <c r="E265" s="165">
        <v>40</v>
      </c>
      <c r="F265" s="166">
        <v>0</v>
      </c>
      <c r="G265" s="227">
        <f>IF($B$2,IF(ROWS(B$6:$B265) = 1,$B265-Start_Date,$B265-$B264),"")</f>
        <v>5.3158564696786925E-4</v>
      </c>
      <c r="H265" s="29">
        <f>IF($B$2,IF(ROWS(B$6:$B265) = 1,IF(COUNTIFS(R_Schedule_Times,"&lt;"&amp;B265),INDEX(R_Schedule_Amounts,MATCH(B265,R_Schedule_Times,1)),Starting_Cash),IF(COUNTIFS(R_Schedule_Times,"&gt;"&amp;B264,R_Schedule_Times,"&lt;"&amp;B265),INDEX(R_Schedule_Amounts,MATCH(B265,R_Schedule_Times,1)),K264)),"")</f>
        <v>2220</v>
      </c>
      <c r="I265" s="30">
        <f t="shared" si="20"/>
        <v>40</v>
      </c>
      <c r="J265" s="31">
        <f t="shared" si="21"/>
        <v>0</v>
      </c>
      <c r="K265" s="29">
        <f t="shared" si="22"/>
        <v>2180</v>
      </c>
      <c r="L265" s="31" t="str">
        <f t="shared" si="23"/>
        <v/>
      </c>
      <c r="M265" s="31" t="str">
        <f t="shared" si="24"/>
        <v/>
      </c>
    </row>
    <row r="266" spans="1:13" x14ac:dyDescent="0.15">
      <c r="A266" s="163" t="s">
        <v>210</v>
      </c>
      <c r="B266" s="163">
        <v>42284.655469432873</v>
      </c>
      <c r="C266" s="164" t="s">
        <v>754</v>
      </c>
      <c r="D266" s="164" t="s">
        <v>13</v>
      </c>
      <c r="E266" s="165">
        <v>100</v>
      </c>
      <c r="F266" s="166">
        <v>0</v>
      </c>
      <c r="G266" s="227">
        <f>IF($B$2,IF(ROWS(B$6:$B266) = 1,$B266-Start_Date,$B266-$B265),"")</f>
        <v>1.5079768520081416E-2</v>
      </c>
      <c r="H266" s="29">
        <f>IF($B$2,IF(ROWS(B$6:$B266) = 1,IF(COUNTIFS(R_Schedule_Times,"&lt;"&amp;B266),INDEX(R_Schedule_Amounts,MATCH(B266,R_Schedule_Times,1)),Starting_Cash),IF(COUNTIFS(R_Schedule_Times,"&gt;"&amp;B265,R_Schedule_Times,"&lt;"&amp;B266),INDEX(R_Schedule_Amounts,MATCH(B266,R_Schedule_Times,1)),K265)),"")</f>
        <v>2180</v>
      </c>
      <c r="I266" s="30">
        <f t="shared" si="20"/>
        <v>100</v>
      </c>
      <c r="J266" s="31">
        <f t="shared" si="21"/>
        <v>0</v>
      </c>
      <c r="K266" s="29">
        <f t="shared" si="22"/>
        <v>2080</v>
      </c>
      <c r="L266" s="31" t="str">
        <f t="shared" si="23"/>
        <v/>
      </c>
      <c r="M266" s="31" t="str">
        <f t="shared" si="24"/>
        <v/>
      </c>
    </row>
    <row r="267" spans="1:13" x14ac:dyDescent="0.15">
      <c r="A267" s="163" t="s">
        <v>210</v>
      </c>
      <c r="B267" s="163">
        <v>42284.662368483798</v>
      </c>
      <c r="C267" s="164" t="s">
        <v>755</v>
      </c>
      <c r="D267" s="164" t="s">
        <v>13</v>
      </c>
      <c r="E267" s="165">
        <v>100</v>
      </c>
      <c r="F267" s="166">
        <v>0</v>
      </c>
      <c r="G267" s="227">
        <f>IF($B$2,IF(ROWS(B$6:$B267) = 1,$B267-Start_Date,$B267-$B266),"")</f>
        <v>6.8990509244031273E-3</v>
      </c>
      <c r="H267" s="29">
        <f>IF($B$2,IF(ROWS(B$6:$B267) = 1,IF(COUNTIFS(R_Schedule_Times,"&lt;"&amp;B267),INDEX(R_Schedule_Amounts,MATCH(B267,R_Schedule_Times,1)),Starting_Cash),IF(COUNTIFS(R_Schedule_Times,"&gt;"&amp;B266,R_Schedule_Times,"&lt;"&amp;B267),INDEX(R_Schedule_Amounts,MATCH(B267,R_Schedule_Times,1)),K266)),"")</f>
        <v>2080</v>
      </c>
      <c r="I267" s="30">
        <f t="shared" si="20"/>
        <v>100</v>
      </c>
      <c r="J267" s="31">
        <f t="shared" si="21"/>
        <v>0</v>
      </c>
      <c r="K267" s="29">
        <f t="shared" si="22"/>
        <v>1980</v>
      </c>
      <c r="L267" s="31" t="str">
        <f t="shared" si="23"/>
        <v/>
      </c>
      <c r="M267" s="31" t="str">
        <f t="shared" si="24"/>
        <v/>
      </c>
    </row>
    <row r="268" spans="1:13" x14ac:dyDescent="0.15">
      <c r="A268" s="163" t="s">
        <v>210</v>
      </c>
      <c r="B268" s="163">
        <v>42284.663083981482</v>
      </c>
      <c r="C268" s="164" t="s">
        <v>756</v>
      </c>
      <c r="D268" s="164" t="s">
        <v>13</v>
      </c>
      <c r="E268" s="165">
        <v>100</v>
      </c>
      <c r="F268" s="166">
        <v>0</v>
      </c>
      <c r="G268" s="227">
        <f>IF($B$2,IF(ROWS(B$6:$B268) = 1,$B268-Start_Date,$B268-$B267),"")</f>
        <v>7.1549768472323194E-4</v>
      </c>
      <c r="H268" s="29">
        <f>IF($B$2,IF(ROWS(B$6:$B268) = 1,IF(COUNTIFS(R_Schedule_Times,"&lt;"&amp;B268),INDEX(R_Schedule_Amounts,MATCH(B268,R_Schedule_Times,1)),Starting_Cash),IF(COUNTIFS(R_Schedule_Times,"&gt;"&amp;B267,R_Schedule_Times,"&lt;"&amp;B268),INDEX(R_Schedule_Amounts,MATCH(B268,R_Schedule_Times,1)),K267)),"")</f>
        <v>1980</v>
      </c>
      <c r="I268" s="30">
        <f t="shared" si="20"/>
        <v>100</v>
      </c>
      <c r="J268" s="31">
        <f t="shared" si="21"/>
        <v>0</v>
      </c>
      <c r="K268" s="29">
        <f t="shared" si="22"/>
        <v>1880</v>
      </c>
      <c r="L268" s="31" t="str">
        <f t="shared" si="23"/>
        <v/>
      </c>
      <c r="M268" s="31" t="str">
        <f t="shared" si="24"/>
        <v/>
      </c>
    </row>
    <row r="269" spans="1:13" x14ac:dyDescent="0.15">
      <c r="A269" s="163" t="s">
        <v>210</v>
      </c>
      <c r="B269" s="163">
        <v>42284.682448391206</v>
      </c>
      <c r="C269" s="164" t="s">
        <v>757</v>
      </c>
      <c r="D269" s="164" t="s">
        <v>13</v>
      </c>
      <c r="E269" s="165">
        <v>180</v>
      </c>
      <c r="F269" s="166">
        <v>0</v>
      </c>
      <c r="G269" s="227">
        <f>IF($B$2,IF(ROWS(B$6:$B269) = 1,$B269-Start_Date,$B269-$B268),"")</f>
        <v>1.9364409723493736E-2</v>
      </c>
      <c r="H269" s="29">
        <f>IF($B$2,IF(ROWS(B$6:$B269) = 1,IF(COUNTIFS(R_Schedule_Times,"&lt;"&amp;B269),INDEX(R_Schedule_Amounts,MATCH(B269,R_Schedule_Times,1)),Starting_Cash),IF(COUNTIFS(R_Schedule_Times,"&gt;"&amp;B268,R_Schedule_Times,"&lt;"&amp;B269),INDEX(R_Schedule_Amounts,MATCH(B269,R_Schedule_Times,1)),K268)),"")</f>
        <v>1880</v>
      </c>
      <c r="I269" s="30">
        <f t="shared" si="20"/>
        <v>180</v>
      </c>
      <c r="J269" s="31">
        <f t="shared" si="21"/>
        <v>0</v>
      </c>
      <c r="K269" s="29">
        <f t="shared" si="22"/>
        <v>1700</v>
      </c>
      <c r="L269" s="31" t="str">
        <f t="shared" si="23"/>
        <v/>
      </c>
      <c r="M269" s="31" t="str">
        <f t="shared" si="24"/>
        <v/>
      </c>
    </row>
    <row r="270" spans="1:13" x14ac:dyDescent="0.15">
      <c r="A270" s="163" t="s">
        <v>210</v>
      </c>
      <c r="B270" s="163">
        <v>42284.704425937503</v>
      </c>
      <c r="C270" s="164" t="s">
        <v>758</v>
      </c>
      <c r="D270" s="164" t="s">
        <v>13</v>
      </c>
      <c r="E270" s="165">
        <v>100</v>
      </c>
      <c r="F270" s="166">
        <v>0</v>
      </c>
      <c r="G270" s="227">
        <f>IF($B$2,IF(ROWS(B$6:$B270) = 1,$B270-Start_Date,$B270-$B269),"")</f>
        <v>2.1977546297421213E-2</v>
      </c>
      <c r="H270" s="29">
        <f>IF($B$2,IF(ROWS(B$6:$B270) = 1,IF(COUNTIFS(R_Schedule_Times,"&lt;"&amp;B270),INDEX(R_Schedule_Amounts,MATCH(B270,R_Schedule_Times,1)),Starting_Cash),IF(COUNTIFS(R_Schedule_Times,"&gt;"&amp;B269,R_Schedule_Times,"&lt;"&amp;B270),INDEX(R_Schedule_Amounts,MATCH(B270,R_Schedule_Times,1)),K269)),"")</f>
        <v>1700</v>
      </c>
      <c r="I270" s="30">
        <f t="shared" si="20"/>
        <v>100</v>
      </c>
      <c r="J270" s="31">
        <f t="shared" si="21"/>
        <v>0</v>
      </c>
      <c r="K270" s="29">
        <f t="shared" si="22"/>
        <v>1600</v>
      </c>
      <c r="L270" s="31" t="str">
        <f t="shared" si="23"/>
        <v/>
      </c>
      <c r="M270" s="31" t="str">
        <f t="shared" si="24"/>
        <v/>
      </c>
    </row>
    <row r="271" spans="1:13" x14ac:dyDescent="0.15">
      <c r="A271" s="163" t="s">
        <v>210</v>
      </c>
      <c r="B271" s="163">
        <v>42284.707501990742</v>
      </c>
      <c r="C271" s="164" t="s">
        <v>315</v>
      </c>
      <c r="D271" s="164" t="s">
        <v>13</v>
      </c>
      <c r="E271" s="165">
        <v>100</v>
      </c>
      <c r="F271" s="166">
        <v>0</v>
      </c>
      <c r="G271" s="227">
        <f>IF($B$2,IF(ROWS(B$6:$B271) = 1,$B271-Start_Date,$B271-$B270),"")</f>
        <v>3.0760532390559092E-3</v>
      </c>
      <c r="H271" s="29">
        <f>IF($B$2,IF(ROWS(B$6:$B271) = 1,IF(COUNTIFS(R_Schedule_Times,"&lt;"&amp;B271),INDEX(R_Schedule_Amounts,MATCH(B271,R_Schedule_Times,1)),Starting_Cash),IF(COUNTIFS(R_Schedule_Times,"&gt;"&amp;B270,R_Schedule_Times,"&lt;"&amp;B271),INDEX(R_Schedule_Amounts,MATCH(B271,R_Schedule_Times,1)),K270)),"")</f>
        <v>1600</v>
      </c>
      <c r="I271" s="30">
        <f t="shared" si="20"/>
        <v>100</v>
      </c>
      <c r="J271" s="31">
        <f t="shared" si="21"/>
        <v>0</v>
      </c>
      <c r="K271" s="29">
        <f t="shared" si="22"/>
        <v>1500</v>
      </c>
      <c r="L271" s="31" t="str">
        <f t="shared" si="23"/>
        <v/>
      </c>
      <c r="M271" s="31" t="str">
        <f t="shared" si="24"/>
        <v/>
      </c>
    </row>
    <row r="272" spans="1:13" x14ac:dyDescent="0.15">
      <c r="A272" s="163" t="s">
        <v>210</v>
      </c>
      <c r="B272" s="163">
        <v>42284.720418807869</v>
      </c>
      <c r="C272" s="164" t="s">
        <v>14</v>
      </c>
      <c r="D272" s="164" t="s">
        <v>15</v>
      </c>
      <c r="E272" s="165">
        <v>500</v>
      </c>
      <c r="F272" s="166">
        <v>17.5</v>
      </c>
      <c r="G272" s="227">
        <f>IF($B$2,IF(ROWS(B$6:$B272) = 1,$B272-Start_Date,$B272-$B271),"")</f>
        <v>1.2916817126097158E-2</v>
      </c>
      <c r="H272" s="29">
        <f>IF($B$2,IF(ROWS(B$6:$B272) = 1,IF(COUNTIFS(R_Schedule_Times,"&lt;"&amp;B272),INDEX(R_Schedule_Amounts,MATCH(B272,R_Schedule_Times,1)),Starting_Cash),IF(COUNTIFS(R_Schedule_Times,"&gt;"&amp;B271,R_Schedule_Times,"&lt;"&amp;B272),INDEX(R_Schedule_Amounts,MATCH(B272,R_Schedule_Times,1)),K271)),"")</f>
        <v>20000</v>
      </c>
      <c r="I272" s="30">
        <f t="shared" si="20"/>
        <v>500</v>
      </c>
      <c r="J272" s="31">
        <f t="shared" si="21"/>
        <v>17.5</v>
      </c>
      <c r="K272" s="29">
        <f t="shared" si="22"/>
        <v>19500</v>
      </c>
      <c r="L272" s="31" t="str">
        <f t="shared" si="23"/>
        <v/>
      </c>
      <c r="M272" s="31" t="str">
        <f t="shared" si="24"/>
        <v/>
      </c>
    </row>
    <row r="273" spans="1:13" x14ac:dyDescent="0.15">
      <c r="A273" s="163" t="s">
        <v>210</v>
      </c>
      <c r="B273" s="163">
        <v>42284.761835046294</v>
      </c>
      <c r="C273" s="164" t="s">
        <v>759</v>
      </c>
      <c r="D273" s="164" t="s">
        <v>13</v>
      </c>
      <c r="E273" s="165">
        <v>100</v>
      </c>
      <c r="F273" s="166">
        <v>0</v>
      </c>
      <c r="G273" s="227">
        <f>IF($B$2,IF(ROWS(B$6:$B273) = 1,$B273-Start_Date,$B273-$B272),"")</f>
        <v>4.1416238425881602E-2</v>
      </c>
      <c r="H273" s="29">
        <f>IF($B$2,IF(ROWS(B$6:$B273) = 1,IF(COUNTIFS(R_Schedule_Times,"&lt;"&amp;B273),INDEX(R_Schedule_Amounts,MATCH(B273,R_Schedule_Times,1)),Starting_Cash),IF(COUNTIFS(R_Schedule_Times,"&gt;"&amp;B272,R_Schedule_Times,"&lt;"&amp;B273),INDEX(R_Schedule_Amounts,MATCH(B273,R_Schedule_Times,1)),K272)),"")</f>
        <v>19500</v>
      </c>
      <c r="I273" s="30">
        <f t="shared" si="20"/>
        <v>100</v>
      </c>
      <c r="J273" s="31">
        <f t="shared" si="21"/>
        <v>0</v>
      </c>
      <c r="K273" s="29">
        <f t="shared" si="22"/>
        <v>19400</v>
      </c>
      <c r="L273" s="31" t="str">
        <f t="shared" si="23"/>
        <v/>
      </c>
      <c r="M273" s="31" t="str">
        <f t="shared" si="24"/>
        <v/>
      </c>
    </row>
    <row r="274" spans="1:13" x14ac:dyDescent="0.15">
      <c r="A274" s="163" t="s">
        <v>210</v>
      </c>
      <c r="B274" s="163">
        <v>42284.768185347224</v>
      </c>
      <c r="C274" s="164" t="s">
        <v>760</v>
      </c>
      <c r="D274" s="164" t="s">
        <v>13</v>
      </c>
      <c r="E274" s="165">
        <v>180</v>
      </c>
      <c r="F274" s="166">
        <v>0</v>
      </c>
      <c r="G274" s="227">
        <f>IF($B$2,IF(ROWS(B$6:$B274) = 1,$B274-Start_Date,$B274-$B273),"")</f>
        <v>6.3503009296255186E-3</v>
      </c>
      <c r="H274" s="29">
        <f>IF($B$2,IF(ROWS(B$6:$B274) = 1,IF(COUNTIFS(R_Schedule_Times,"&lt;"&amp;B274),INDEX(R_Schedule_Amounts,MATCH(B274,R_Schedule_Times,1)),Starting_Cash),IF(COUNTIFS(R_Schedule_Times,"&gt;"&amp;B273,R_Schedule_Times,"&lt;"&amp;B274),INDEX(R_Schedule_Amounts,MATCH(B274,R_Schedule_Times,1)),K273)),"")</f>
        <v>19400</v>
      </c>
      <c r="I274" s="30">
        <f t="shared" si="20"/>
        <v>180</v>
      </c>
      <c r="J274" s="31">
        <f t="shared" si="21"/>
        <v>0</v>
      </c>
      <c r="K274" s="29">
        <f t="shared" si="22"/>
        <v>19220</v>
      </c>
      <c r="L274" s="31" t="str">
        <f t="shared" si="23"/>
        <v/>
      </c>
      <c r="M274" s="31" t="str">
        <f t="shared" si="24"/>
        <v/>
      </c>
    </row>
    <row r="275" spans="1:13" x14ac:dyDescent="0.15">
      <c r="A275" s="163" t="s">
        <v>210</v>
      </c>
      <c r="B275" s="163">
        <v>42284.771688321758</v>
      </c>
      <c r="C275" s="164" t="s">
        <v>14</v>
      </c>
      <c r="D275" s="164" t="s">
        <v>13</v>
      </c>
      <c r="E275" s="165">
        <v>160</v>
      </c>
      <c r="F275" s="166">
        <v>3.5</v>
      </c>
      <c r="G275" s="227">
        <f>IF($B$2,IF(ROWS(B$6:$B275) = 1,$B275-Start_Date,$B275-$B274),"")</f>
        <v>3.5029745340580121E-3</v>
      </c>
      <c r="H275" s="29">
        <f>IF($B$2,IF(ROWS(B$6:$B275) = 1,IF(COUNTIFS(R_Schedule_Times,"&lt;"&amp;B275),INDEX(R_Schedule_Amounts,MATCH(B275,R_Schedule_Times,1)),Starting_Cash),IF(COUNTIFS(R_Schedule_Times,"&gt;"&amp;B274,R_Schedule_Times,"&lt;"&amp;B275),INDEX(R_Schedule_Amounts,MATCH(B275,R_Schedule_Times,1)),K274)),"")</f>
        <v>19220</v>
      </c>
      <c r="I275" s="30">
        <f t="shared" si="20"/>
        <v>160</v>
      </c>
      <c r="J275" s="31">
        <f t="shared" si="21"/>
        <v>3.5</v>
      </c>
      <c r="K275" s="29">
        <f t="shared" si="22"/>
        <v>19060</v>
      </c>
      <c r="L275" s="31" t="str">
        <f t="shared" si="23"/>
        <v/>
      </c>
      <c r="M275" s="31" t="str">
        <f t="shared" si="24"/>
        <v/>
      </c>
    </row>
    <row r="276" spans="1:13" x14ac:dyDescent="0.15">
      <c r="A276" s="163" t="s">
        <v>210</v>
      </c>
      <c r="B276" s="163">
        <v>42284.779889409721</v>
      </c>
      <c r="C276" s="164" t="s">
        <v>649</v>
      </c>
      <c r="D276" s="164" t="s">
        <v>13</v>
      </c>
      <c r="E276" s="165">
        <v>100</v>
      </c>
      <c r="F276" s="166">
        <v>0</v>
      </c>
      <c r="G276" s="227">
        <f>IF($B$2,IF(ROWS(B$6:$B276) = 1,$B276-Start_Date,$B276-$B275),"")</f>
        <v>8.2010879632434808E-3</v>
      </c>
      <c r="H276" s="29">
        <f>IF($B$2,IF(ROWS(B$6:$B276) = 1,IF(COUNTIFS(R_Schedule_Times,"&lt;"&amp;B276),INDEX(R_Schedule_Amounts,MATCH(B276,R_Schedule_Times,1)),Starting_Cash),IF(COUNTIFS(R_Schedule_Times,"&gt;"&amp;B275,R_Schedule_Times,"&lt;"&amp;B276),INDEX(R_Schedule_Amounts,MATCH(B276,R_Schedule_Times,1)),K275)),"")</f>
        <v>19060</v>
      </c>
      <c r="I276" s="30">
        <f t="shared" si="20"/>
        <v>100</v>
      </c>
      <c r="J276" s="31">
        <f t="shared" si="21"/>
        <v>0</v>
      </c>
      <c r="K276" s="29">
        <f t="shared" si="22"/>
        <v>18960</v>
      </c>
      <c r="L276" s="31" t="str">
        <f t="shared" si="23"/>
        <v/>
      </c>
      <c r="M276" s="31" t="str">
        <f t="shared" si="24"/>
        <v/>
      </c>
    </row>
    <row r="277" spans="1:13" x14ac:dyDescent="0.15">
      <c r="A277" s="163" t="s">
        <v>210</v>
      </c>
      <c r="B277" s="163">
        <v>42284.784603865737</v>
      </c>
      <c r="C277" s="164" t="s">
        <v>316</v>
      </c>
      <c r="D277" s="164" t="s">
        <v>13</v>
      </c>
      <c r="E277" s="165">
        <v>80</v>
      </c>
      <c r="F277" s="166">
        <v>0</v>
      </c>
      <c r="G277" s="227">
        <f>IF($B$2,IF(ROWS(B$6:$B277) = 1,$B277-Start_Date,$B277-$B276),"")</f>
        <v>4.714456015790347E-3</v>
      </c>
      <c r="H277" s="29">
        <f>IF($B$2,IF(ROWS(B$6:$B277) = 1,IF(COUNTIFS(R_Schedule_Times,"&lt;"&amp;B277),INDEX(R_Schedule_Amounts,MATCH(B277,R_Schedule_Times,1)),Starting_Cash),IF(COUNTIFS(R_Schedule_Times,"&gt;"&amp;B276,R_Schedule_Times,"&lt;"&amp;B277),INDEX(R_Schedule_Amounts,MATCH(B277,R_Schedule_Times,1)),K276)),"")</f>
        <v>18960</v>
      </c>
      <c r="I277" s="30">
        <f t="shared" si="20"/>
        <v>80</v>
      </c>
      <c r="J277" s="31">
        <f t="shared" si="21"/>
        <v>0</v>
      </c>
      <c r="K277" s="29">
        <f t="shared" si="22"/>
        <v>18880</v>
      </c>
      <c r="L277" s="31" t="str">
        <f t="shared" si="23"/>
        <v/>
      </c>
      <c r="M277" s="31" t="str">
        <f t="shared" si="24"/>
        <v/>
      </c>
    </row>
    <row r="278" spans="1:13" x14ac:dyDescent="0.15">
      <c r="A278" s="163" t="s">
        <v>210</v>
      </c>
      <c r="B278" s="163">
        <v>42284.790894548612</v>
      </c>
      <c r="C278" s="164" t="s">
        <v>761</v>
      </c>
      <c r="D278" s="164" t="s">
        <v>13</v>
      </c>
      <c r="E278" s="165">
        <v>20</v>
      </c>
      <c r="F278" s="166">
        <v>0</v>
      </c>
      <c r="G278" s="227">
        <f>IF($B$2,IF(ROWS(B$6:$B278) = 1,$B278-Start_Date,$B278-$B277),"")</f>
        <v>6.2906828752602451E-3</v>
      </c>
      <c r="H278" s="29">
        <f>IF($B$2,IF(ROWS(B$6:$B278) = 1,IF(COUNTIFS(R_Schedule_Times,"&lt;"&amp;B278),INDEX(R_Schedule_Amounts,MATCH(B278,R_Schedule_Times,1)),Starting_Cash),IF(COUNTIFS(R_Schedule_Times,"&gt;"&amp;B277,R_Schedule_Times,"&lt;"&amp;B278),INDEX(R_Schedule_Amounts,MATCH(B278,R_Schedule_Times,1)),K277)),"")</f>
        <v>18880</v>
      </c>
      <c r="I278" s="30">
        <f t="shared" si="20"/>
        <v>20</v>
      </c>
      <c r="J278" s="31">
        <f t="shared" si="21"/>
        <v>0</v>
      </c>
      <c r="K278" s="29">
        <f t="shared" si="22"/>
        <v>18860</v>
      </c>
      <c r="L278" s="31" t="str">
        <f t="shared" si="23"/>
        <v/>
      </c>
      <c r="M278" s="31" t="str">
        <f t="shared" si="24"/>
        <v/>
      </c>
    </row>
    <row r="279" spans="1:13" x14ac:dyDescent="0.15">
      <c r="A279" s="163" t="s">
        <v>210</v>
      </c>
      <c r="B279" s="163">
        <v>42284.895155844904</v>
      </c>
      <c r="C279" s="164" t="s">
        <v>762</v>
      </c>
      <c r="D279" s="164" t="s">
        <v>13</v>
      </c>
      <c r="E279" s="165">
        <v>20</v>
      </c>
      <c r="F279" s="166">
        <v>0</v>
      </c>
      <c r="G279" s="227">
        <f>IF($B$2,IF(ROWS(B$6:$B279) = 1,$B279-Start_Date,$B279-$B278),"")</f>
        <v>0.10426129629195202</v>
      </c>
      <c r="H279" s="29">
        <f>IF($B$2,IF(ROWS(B$6:$B279) = 1,IF(COUNTIFS(R_Schedule_Times,"&lt;"&amp;B279),INDEX(R_Schedule_Amounts,MATCH(B279,R_Schedule_Times,1)),Starting_Cash),IF(COUNTIFS(R_Schedule_Times,"&gt;"&amp;B278,R_Schedule_Times,"&lt;"&amp;B279),INDEX(R_Schedule_Amounts,MATCH(B279,R_Schedule_Times,1)),K278)),"")</f>
        <v>18860</v>
      </c>
      <c r="I279" s="30">
        <f t="shared" si="20"/>
        <v>20</v>
      </c>
      <c r="J279" s="31">
        <f t="shared" si="21"/>
        <v>0</v>
      </c>
      <c r="K279" s="29">
        <f t="shared" si="22"/>
        <v>18840</v>
      </c>
      <c r="L279" s="31" t="str">
        <f t="shared" si="23"/>
        <v/>
      </c>
      <c r="M279" s="31" t="str">
        <f t="shared" si="24"/>
        <v/>
      </c>
    </row>
    <row r="280" spans="1:13" x14ac:dyDescent="0.15">
      <c r="A280" s="163" t="s">
        <v>210</v>
      </c>
      <c r="B280" s="163">
        <v>42284.933207650465</v>
      </c>
      <c r="C280" s="164" t="s">
        <v>317</v>
      </c>
      <c r="D280" s="164" t="s">
        <v>13</v>
      </c>
      <c r="E280" s="165">
        <v>20</v>
      </c>
      <c r="F280" s="166">
        <v>0</v>
      </c>
      <c r="G280" s="227">
        <f>IF($B$2,IF(ROWS(B$6:$B280) = 1,$B280-Start_Date,$B280-$B279),"")</f>
        <v>3.8051805560826324E-2</v>
      </c>
      <c r="H280" s="29">
        <f>IF($B$2,IF(ROWS(B$6:$B280) = 1,IF(COUNTIFS(R_Schedule_Times,"&lt;"&amp;B280),INDEX(R_Schedule_Amounts,MATCH(B280,R_Schedule_Times,1)),Starting_Cash),IF(COUNTIFS(R_Schedule_Times,"&gt;"&amp;B279,R_Schedule_Times,"&lt;"&amp;B280),INDEX(R_Schedule_Amounts,MATCH(B280,R_Schedule_Times,1)),K279)),"")</f>
        <v>18840</v>
      </c>
      <c r="I280" s="30">
        <f t="shared" si="20"/>
        <v>20</v>
      </c>
      <c r="J280" s="31">
        <f t="shared" si="21"/>
        <v>0</v>
      </c>
      <c r="K280" s="29">
        <f t="shared" si="22"/>
        <v>18820</v>
      </c>
      <c r="L280" s="31" t="str">
        <f t="shared" si="23"/>
        <v/>
      </c>
      <c r="M280" s="31" t="str">
        <f t="shared" si="24"/>
        <v/>
      </c>
    </row>
    <row r="281" spans="1:13" x14ac:dyDescent="0.15">
      <c r="A281" s="163" t="s">
        <v>210</v>
      </c>
      <c r="B281" s="163">
        <v>42285.322059027778</v>
      </c>
      <c r="C281" s="164" t="s">
        <v>763</v>
      </c>
      <c r="D281" s="164" t="s">
        <v>13</v>
      </c>
      <c r="E281" s="165">
        <v>100</v>
      </c>
      <c r="F281" s="166">
        <v>0</v>
      </c>
      <c r="G281" s="227">
        <f>IF($B$2,IF(ROWS(B$6:$B281) = 1,$B281-Start_Date,$B281-$B280),"")</f>
        <v>0.38885137731267605</v>
      </c>
      <c r="H281" s="29">
        <f>IF($B$2,IF(ROWS(B$6:$B281) = 1,IF(COUNTIFS(R_Schedule_Times,"&lt;"&amp;B281),INDEX(R_Schedule_Amounts,MATCH(B281,R_Schedule_Times,1)),Starting_Cash),IF(COUNTIFS(R_Schedule_Times,"&gt;"&amp;B280,R_Schedule_Times,"&lt;"&amp;B281),INDEX(R_Schedule_Amounts,MATCH(B281,R_Schedule_Times,1)),K280)),"")</f>
        <v>18820</v>
      </c>
      <c r="I281" s="30">
        <f t="shared" si="20"/>
        <v>100</v>
      </c>
      <c r="J281" s="31">
        <f t="shared" si="21"/>
        <v>0</v>
      </c>
      <c r="K281" s="29">
        <f t="shared" si="22"/>
        <v>18720</v>
      </c>
      <c r="L281" s="31" t="str">
        <f t="shared" si="23"/>
        <v/>
      </c>
      <c r="M281" s="31" t="str">
        <f t="shared" si="24"/>
        <v/>
      </c>
    </row>
    <row r="282" spans="1:13" x14ac:dyDescent="0.15">
      <c r="A282" s="163" t="s">
        <v>210</v>
      </c>
      <c r="B282" s="163">
        <v>42285.326387719906</v>
      </c>
      <c r="C282" s="164" t="s">
        <v>764</v>
      </c>
      <c r="D282" s="164" t="s">
        <v>13</v>
      </c>
      <c r="E282" s="165">
        <v>140</v>
      </c>
      <c r="F282" s="166">
        <v>0</v>
      </c>
      <c r="G282" s="227">
        <f>IF($B$2,IF(ROWS(B$6:$B282) = 1,$B282-Start_Date,$B282-$B281),"")</f>
        <v>4.3286921281833202E-3</v>
      </c>
      <c r="H282" s="29">
        <f>IF($B$2,IF(ROWS(B$6:$B282) = 1,IF(COUNTIFS(R_Schedule_Times,"&lt;"&amp;B282),INDEX(R_Schedule_Amounts,MATCH(B282,R_Schedule_Times,1)),Starting_Cash),IF(COUNTIFS(R_Schedule_Times,"&gt;"&amp;B281,R_Schedule_Times,"&lt;"&amp;B282),INDEX(R_Schedule_Amounts,MATCH(B282,R_Schedule_Times,1)),K281)),"")</f>
        <v>18720</v>
      </c>
      <c r="I282" s="30">
        <f t="shared" si="20"/>
        <v>140</v>
      </c>
      <c r="J282" s="31">
        <f t="shared" si="21"/>
        <v>0</v>
      </c>
      <c r="K282" s="29">
        <f t="shared" si="22"/>
        <v>18580</v>
      </c>
      <c r="L282" s="31" t="str">
        <f t="shared" si="23"/>
        <v/>
      </c>
      <c r="M282" s="31" t="str">
        <f t="shared" si="24"/>
        <v/>
      </c>
    </row>
    <row r="283" spans="1:13" x14ac:dyDescent="0.15">
      <c r="A283" s="163" t="s">
        <v>210</v>
      </c>
      <c r="B283" s="163">
        <v>42285.327109872684</v>
      </c>
      <c r="C283" s="164" t="s">
        <v>765</v>
      </c>
      <c r="D283" s="164" t="s">
        <v>13</v>
      </c>
      <c r="E283" s="165">
        <v>40</v>
      </c>
      <c r="F283" s="166">
        <v>0</v>
      </c>
      <c r="G283" s="227">
        <f>IF($B$2,IF(ROWS(B$6:$B283) = 1,$B283-Start_Date,$B283-$B282),"")</f>
        <v>7.2215277759823948E-4</v>
      </c>
      <c r="H283" s="29">
        <f>IF($B$2,IF(ROWS(B$6:$B283) = 1,IF(COUNTIFS(R_Schedule_Times,"&lt;"&amp;B283),INDEX(R_Schedule_Amounts,MATCH(B283,R_Schedule_Times,1)),Starting_Cash),IF(COUNTIFS(R_Schedule_Times,"&gt;"&amp;B282,R_Schedule_Times,"&lt;"&amp;B283),INDEX(R_Schedule_Amounts,MATCH(B283,R_Schedule_Times,1)),K282)),"")</f>
        <v>18580</v>
      </c>
      <c r="I283" s="30">
        <f t="shared" si="20"/>
        <v>40</v>
      </c>
      <c r="J283" s="31">
        <f t="shared" si="21"/>
        <v>0</v>
      </c>
      <c r="K283" s="29">
        <f t="shared" si="22"/>
        <v>18540</v>
      </c>
      <c r="L283" s="31" t="str">
        <f t="shared" si="23"/>
        <v/>
      </c>
      <c r="M283" s="31" t="str">
        <f t="shared" si="24"/>
        <v/>
      </c>
    </row>
    <row r="284" spans="1:13" x14ac:dyDescent="0.15">
      <c r="A284" s="163" t="s">
        <v>210</v>
      </c>
      <c r="B284" s="163">
        <v>42285.370155578705</v>
      </c>
      <c r="C284" s="164" t="s">
        <v>766</v>
      </c>
      <c r="D284" s="164" t="s">
        <v>13</v>
      </c>
      <c r="E284" s="165">
        <v>20</v>
      </c>
      <c r="F284" s="166">
        <v>0</v>
      </c>
      <c r="G284" s="227">
        <f>IF($B$2,IF(ROWS(B$6:$B284) = 1,$B284-Start_Date,$B284-$B283),"")</f>
        <v>4.3045706021075603E-2</v>
      </c>
      <c r="H284" s="29">
        <f>IF($B$2,IF(ROWS(B$6:$B284) = 1,IF(COUNTIFS(R_Schedule_Times,"&lt;"&amp;B284),INDEX(R_Schedule_Amounts,MATCH(B284,R_Schedule_Times,1)),Starting_Cash),IF(COUNTIFS(R_Schedule_Times,"&gt;"&amp;B283,R_Schedule_Times,"&lt;"&amp;B284),INDEX(R_Schedule_Amounts,MATCH(B284,R_Schedule_Times,1)),K283)),"")</f>
        <v>18540</v>
      </c>
      <c r="I284" s="30">
        <f t="shared" si="20"/>
        <v>20</v>
      </c>
      <c r="J284" s="31">
        <f t="shared" si="21"/>
        <v>0</v>
      </c>
      <c r="K284" s="29">
        <f t="shared" si="22"/>
        <v>18520</v>
      </c>
      <c r="L284" s="31" t="str">
        <f t="shared" si="23"/>
        <v/>
      </c>
      <c r="M284" s="31" t="str">
        <f t="shared" si="24"/>
        <v/>
      </c>
    </row>
    <row r="285" spans="1:13" x14ac:dyDescent="0.15">
      <c r="A285" s="163" t="s">
        <v>210</v>
      </c>
      <c r="B285" s="163">
        <v>42285.393725335649</v>
      </c>
      <c r="C285" s="164" t="s">
        <v>767</v>
      </c>
      <c r="D285" s="164" t="s">
        <v>13</v>
      </c>
      <c r="E285" s="165">
        <v>40</v>
      </c>
      <c r="F285" s="166">
        <v>0</v>
      </c>
      <c r="G285" s="227">
        <f>IF($B$2,IF(ROWS(B$6:$B285) = 1,$B285-Start_Date,$B285-$B284),"")</f>
        <v>2.3569756944198161E-2</v>
      </c>
      <c r="H285" s="29">
        <f>IF($B$2,IF(ROWS(B$6:$B285) = 1,IF(COUNTIFS(R_Schedule_Times,"&lt;"&amp;B285),INDEX(R_Schedule_Amounts,MATCH(B285,R_Schedule_Times,1)),Starting_Cash),IF(COUNTIFS(R_Schedule_Times,"&gt;"&amp;B284,R_Schedule_Times,"&lt;"&amp;B285),INDEX(R_Schedule_Amounts,MATCH(B285,R_Schedule_Times,1)),K284)),"")</f>
        <v>18520</v>
      </c>
      <c r="I285" s="30">
        <f t="shared" si="20"/>
        <v>40</v>
      </c>
      <c r="J285" s="31">
        <f t="shared" si="21"/>
        <v>0</v>
      </c>
      <c r="K285" s="29">
        <f t="shared" si="22"/>
        <v>18480</v>
      </c>
      <c r="L285" s="31" t="str">
        <f t="shared" si="23"/>
        <v/>
      </c>
      <c r="M285" s="31" t="str">
        <f t="shared" si="24"/>
        <v/>
      </c>
    </row>
    <row r="286" spans="1:13" x14ac:dyDescent="0.15">
      <c r="A286" s="163" t="s">
        <v>210</v>
      </c>
      <c r="B286" s="163">
        <v>42285.406992835648</v>
      </c>
      <c r="C286" s="164" t="s">
        <v>318</v>
      </c>
      <c r="D286" s="164" t="s">
        <v>13</v>
      </c>
      <c r="E286" s="165">
        <v>500</v>
      </c>
      <c r="F286" s="166">
        <v>0</v>
      </c>
      <c r="G286" s="227">
        <f>IF($B$2,IF(ROWS(B$6:$B286) = 1,$B286-Start_Date,$B286-$B285),"")</f>
        <v>1.3267499998619314E-2</v>
      </c>
      <c r="H286" s="29">
        <f>IF($B$2,IF(ROWS(B$6:$B286) = 1,IF(COUNTIFS(R_Schedule_Times,"&lt;"&amp;B286),INDEX(R_Schedule_Amounts,MATCH(B286,R_Schedule_Times,1)),Starting_Cash),IF(COUNTIFS(R_Schedule_Times,"&gt;"&amp;B285,R_Schedule_Times,"&lt;"&amp;B286),INDEX(R_Schedule_Amounts,MATCH(B286,R_Schedule_Times,1)),K285)),"")</f>
        <v>18480</v>
      </c>
      <c r="I286" s="30">
        <f t="shared" si="20"/>
        <v>500</v>
      </c>
      <c r="J286" s="31">
        <f t="shared" si="21"/>
        <v>0</v>
      </c>
      <c r="K286" s="29">
        <f t="shared" si="22"/>
        <v>17980</v>
      </c>
      <c r="L286" s="31" t="str">
        <f t="shared" si="23"/>
        <v/>
      </c>
      <c r="M286" s="31" t="str">
        <f t="shared" si="24"/>
        <v/>
      </c>
    </row>
    <row r="287" spans="1:13" x14ac:dyDescent="0.15">
      <c r="A287" s="163" t="s">
        <v>210</v>
      </c>
      <c r="B287" s="163">
        <v>42285.465173379627</v>
      </c>
      <c r="C287" s="164" t="s">
        <v>768</v>
      </c>
      <c r="D287" s="164" t="s">
        <v>13</v>
      </c>
      <c r="E287" s="165">
        <v>40</v>
      </c>
      <c r="F287" s="166">
        <v>0</v>
      </c>
      <c r="G287" s="227">
        <f>IF($B$2,IF(ROWS(B$6:$B287) = 1,$B287-Start_Date,$B287-$B286),"")</f>
        <v>5.8180543979688082E-2</v>
      </c>
      <c r="H287" s="29">
        <f>IF($B$2,IF(ROWS(B$6:$B287) = 1,IF(COUNTIFS(R_Schedule_Times,"&lt;"&amp;B287),INDEX(R_Schedule_Amounts,MATCH(B287,R_Schedule_Times,1)),Starting_Cash),IF(COUNTIFS(R_Schedule_Times,"&gt;"&amp;B286,R_Schedule_Times,"&lt;"&amp;B287),INDEX(R_Schedule_Amounts,MATCH(B287,R_Schedule_Times,1)),K286)),"")</f>
        <v>17980</v>
      </c>
      <c r="I287" s="30">
        <f t="shared" si="20"/>
        <v>40</v>
      </c>
      <c r="J287" s="31">
        <f t="shared" si="21"/>
        <v>0</v>
      </c>
      <c r="K287" s="29">
        <f t="shared" si="22"/>
        <v>17940</v>
      </c>
      <c r="L287" s="31" t="str">
        <f t="shared" si="23"/>
        <v/>
      </c>
      <c r="M287" s="31" t="str">
        <f t="shared" si="24"/>
        <v/>
      </c>
    </row>
    <row r="288" spans="1:13" x14ac:dyDescent="0.15">
      <c r="A288" s="163" t="s">
        <v>210</v>
      </c>
      <c r="B288" s="163">
        <v>42285.469920046293</v>
      </c>
      <c r="C288" s="164" t="s">
        <v>769</v>
      </c>
      <c r="D288" s="164" t="s">
        <v>13</v>
      </c>
      <c r="E288" s="165">
        <v>100</v>
      </c>
      <c r="F288" s="166">
        <v>0</v>
      </c>
      <c r="G288" s="227">
        <f>IF($B$2,IF(ROWS(B$6:$B288) = 1,$B288-Start_Date,$B288-$B287),"")</f>
        <v>4.7466666655964218E-3</v>
      </c>
      <c r="H288" s="29">
        <f>IF($B$2,IF(ROWS(B$6:$B288) = 1,IF(COUNTIFS(R_Schedule_Times,"&lt;"&amp;B288),INDEX(R_Schedule_Amounts,MATCH(B288,R_Schedule_Times,1)),Starting_Cash),IF(COUNTIFS(R_Schedule_Times,"&gt;"&amp;B287,R_Schedule_Times,"&lt;"&amp;B288),INDEX(R_Schedule_Amounts,MATCH(B288,R_Schedule_Times,1)),K287)),"")</f>
        <v>17940</v>
      </c>
      <c r="I288" s="30">
        <f t="shared" si="20"/>
        <v>100</v>
      </c>
      <c r="J288" s="31">
        <f t="shared" si="21"/>
        <v>0</v>
      </c>
      <c r="K288" s="29">
        <f t="shared" si="22"/>
        <v>17840</v>
      </c>
      <c r="L288" s="31" t="str">
        <f t="shared" si="23"/>
        <v/>
      </c>
      <c r="M288" s="31" t="str">
        <f t="shared" si="24"/>
        <v/>
      </c>
    </row>
    <row r="289" spans="1:13" x14ac:dyDescent="0.15">
      <c r="A289" s="163" t="s">
        <v>210</v>
      </c>
      <c r="B289" s="163">
        <v>42285.476169837966</v>
      </c>
      <c r="C289" s="164" t="s">
        <v>770</v>
      </c>
      <c r="D289" s="164" t="s">
        <v>13</v>
      </c>
      <c r="E289" s="165">
        <v>20</v>
      </c>
      <c r="F289" s="166">
        <v>0</v>
      </c>
      <c r="G289" s="227">
        <f>IF($B$2,IF(ROWS(B$6:$B289) = 1,$B289-Start_Date,$B289-$B288),"")</f>
        <v>6.2497916733263992E-3</v>
      </c>
      <c r="H289" s="29">
        <f>IF($B$2,IF(ROWS(B$6:$B289) = 1,IF(COUNTIFS(R_Schedule_Times,"&lt;"&amp;B289),INDEX(R_Schedule_Amounts,MATCH(B289,R_Schedule_Times,1)),Starting_Cash),IF(COUNTIFS(R_Schedule_Times,"&gt;"&amp;B288,R_Schedule_Times,"&lt;"&amp;B289),INDEX(R_Schedule_Amounts,MATCH(B289,R_Schedule_Times,1)),K288)),"")</f>
        <v>17840</v>
      </c>
      <c r="I289" s="30">
        <f t="shared" si="20"/>
        <v>20</v>
      </c>
      <c r="J289" s="31">
        <f t="shared" si="21"/>
        <v>0</v>
      </c>
      <c r="K289" s="29">
        <f t="shared" si="22"/>
        <v>17820</v>
      </c>
      <c r="L289" s="31" t="str">
        <f t="shared" si="23"/>
        <v/>
      </c>
      <c r="M289" s="31" t="str">
        <f t="shared" si="24"/>
        <v/>
      </c>
    </row>
    <row r="290" spans="1:13" x14ac:dyDescent="0.15">
      <c r="A290" s="163" t="s">
        <v>210</v>
      </c>
      <c r="B290" s="163">
        <v>42285.481117592593</v>
      </c>
      <c r="C290" s="164" t="s">
        <v>771</v>
      </c>
      <c r="D290" s="164" t="s">
        <v>13</v>
      </c>
      <c r="E290" s="165">
        <v>60</v>
      </c>
      <c r="F290" s="166">
        <v>0</v>
      </c>
      <c r="G290" s="227">
        <f>IF($B$2,IF(ROWS(B$6:$B290) = 1,$B290-Start_Date,$B290-$B289),"")</f>
        <v>4.9477546272100881E-3</v>
      </c>
      <c r="H290" s="29">
        <f>IF($B$2,IF(ROWS(B$6:$B290) = 1,IF(COUNTIFS(R_Schedule_Times,"&lt;"&amp;B290),INDEX(R_Schedule_Amounts,MATCH(B290,R_Schedule_Times,1)),Starting_Cash),IF(COUNTIFS(R_Schedule_Times,"&gt;"&amp;B289,R_Schedule_Times,"&lt;"&amp;B290),INDEX(R_Schedule_Amounts,MATCH(B290,R_Schedule_Times,1)),K289)),"")</f>
        <v>17820</v>
      </c>
      <c r="I290" s="30">
        <f t="shared" si="20"/>
        <v>60</v>
      </c>
      <c r="J290" s="31">
        <f t="shared" si="21"/>
        <v>0</v>
      </c>
      <c r="K290" s="29">
        <f t="shared" si="22"/>
        <v>17760</v>
      </c>
      <c r="L290" s="31" t="str">
        <f t="shared" si="23"/>
        <v/>
      </c>
      <c r="M290" s="31" t="str">
        <f t="shared" si="24"/>
        <v/>
      </c>
    </row>
    <row r="291" spans="1:13" x14ac:dyDescent="0.15">
      <c r="A291" s="163" t="s">
        <v>210</v>
      </c>
      <c r="B291" s="163">
        <v>42285.500820381945</v>
      </c>
      <c r="C291" s="164" t="s">
        <v>14</v>
      </c>
      <c r="D291" s="164" t="s">
        <v>15</v>
      </c>
      <c r="E291" s="165">
        <v>40</v>
      </c>
      <c r="F291" s="166">
        <v>3.7</v>
      </c>
      <c r="G291" s="227">
        <f>IF($B$2,IF(ROWS(B$6:$B291) = 1,$B291-Start_Date,$B291-$B290),"")</f>
        <v>1.9702789351867978E-2</v>
      </c>
      <c r="H291" s="29">
        <f>IF($B$2,IF(ROWS(B$6:$B291) = 1,IF(COUNTIFS(R_Schedule_Times,"&lt;"&amp;B291),INDEX(R_Schedule_Amounts,MATCH(B291,R_Schedule_Times,1)),Starting_Cash),IF(COUNTIFS(R_Schedule_Times,"&gt;"&amp;B290,R_Schedule_Times,"&lt;"&amp;B291),INDEX(R_Schedule_Amounts,MATCH(B291,R_Schedule_Times,1)),K290)),"")</f>
        <v>17760</v>
      </c>
      <c r="I291" s="30">
        <f t="shared" si="20"/>
        <v>40</v>
      </c>
      <c r="J291" s="31">
        <f t="shared" si="21"/>
        <v>3.7</v>
      </c>
      <c r="K291" s="29">
        <f t="shared" si="22"/>
        <v>17720</v>
      </c>
      <c r="L291" s="31" t="str">
        <f t="shared" si="23"/>
        <v/>
      </c>
      <c r="M291" s="31" t="str">
        <f t="shared" si="24"/>
        <v/>
      </c>
    </row>
    <row r="292" spans="1:13" x14ac:dyDescent="0.15">
      <c r="A292" s="163" t="s">
        <v>210</v>
      </c>
      <c r="B292" s="163">
        <v>42285.507757777777</v>
      </c>
      <c r="C292" s="164" t="s">
        <v>772</v>
      </c>
      <c r="D292" s="164" t="s">
        <v>13</v>
      </c>
      <c r="E292" s="165">
        <v>100</v>
      </c>
      <c r="F292" s="166">
        <v>0</v>
      </c>
      <c r="G292" s="227">
        <f>IF($B$2,IF(ROWS(B$6:$B292) = 1,$B292-Start_Date,$B292-$B291),"")</f>
        <v>6.9373958322103135E-3</v>
      </c>
      <c r="H292" s="29">
        <f>IF($B$2,IF(ROWS(B$6:$B292) = 1,IF(COUNTIFS(R_Schedule_Times,"&lt;"&amp;B292),INDEX(R_Schedule_Amounts,MATCH(B292,R_Schedule_Times,1)),Starting_Cash),IF(COUNTIFS(R_Schedule_Times,"&gt;"&amp;B291,R_Schedule_Times,"&lt;"&amp;B292),INDEX(R_Schedule_Amounts,MATCH(B292,R_Schedule_Times,1)),K291)),"")</f>
        <v>17720</v>
      </c>
      <c r="I292" s="30">
        <f t="shared" si="20"/>
        <v>100</v>
      </c>
      <c r="J292" s="31">
        <f t="shared" si="21"/>
        <v>0</v>
      </c>
      <c r="K292" s="29">
        <f t="shared" si="22"/>
        <v>17620</v>
      </c>
      <c r="L292" s="31" t="str">
        <f t="shared" si="23"/>
        <v/>
      </c>
      <c r="M292" s="31" t="str">
        <f t="shared" si="24"/>
        <v/>
      </c>
    </row>
    <row r="293" spans="1:13" x14ac:dyDescent="0.15">
      <c r="A293" s="163" t="s">
        <v>210</v>
      </c>
      <c r="B293" s="163">
        <v>42285.512369606484</v>
      </c>
      <c r="C293" s="164" t="s">
        <v>773</v>
      </c>
      <c r="D293" s="164" t="s">
        <v>13</v>
      </c>
      <c r="E293" s="165">
        <v>100</v>
      </c>
      <c r="F293" s="166">
        <v>0</v>
      </c>
      <c r="G293" s="227">
        <f>IF($B$2,IF(ROWS(B$6:$B293) = 1,$B293-Start_Date,$B293-$B292),"")</f>
        <v>4.6118287064018659E-3</v>
      </c>
      <c r="H293" s="29">
        <f>IF($B$2,IF(ROWS(B$6:$B293) = 1,IF(COUNTIFS(R_Schedule_Times,"&lt;"&amp;B293),INDEX(R_Schedule_Amounts,MATCH(B293,R_Schedule_Times,1)),Starting_Cash),IF(COUNTIFS(R_Schedule_Times,"&gt;"&amp;B292,R_Schedule_Times,"&lt;"&amp;B293),INDEX(R_Schedule_Amounts,MATCH(B293,R_Schedule_Times,1)),K292)),"")</f>
        <v>17620</v>
      </c>
      <c r="I293" s="30">
        <f t="shared" si="20"/>
        <v>100</v>
      </c>
      <c r="J293" s="31">
        <f t="shared" si="21"/>
        <v>0</v>
      </c>
      <c r="K293" s="29">
        <f t="shared" si="22"/>
        <v>17520</v>
      </c>
      <c r="L293" s="31" t="str">
        <f t="shared" si="23"/>
        <v/>
      </c>
      <c r="M293" s="31" t="str">
        <f t="shared" si="24"/>
        <v/>
      </c>
    </row>
    <row r="294" spans="1:13" x14ac:dyDescent="0.15">
      <c r="A294" s="163" t="s">
        <v>210</v>
      </c>
      <c r="B294" s="163">
        <v>42285.514127164352</v>
      </c>
      <c r="C294" s="164" t="s">
        <v>774</v>
      </c>
      <c r="D294" s="164" t="s">
        <v>13</v>
      </c>
      <c r="E294" s="165">
        <v>60</v>
      </c>
      <c r="F294" s="166">
        <v>0</v>
      </c>
      <c r="G294" s="227">
        <f>IF($B$2,IF(ROWS(B$6:$B294) = 1,$B294-Start_Date,$B294-$B293),"")</f>
        <v>1.757557867676951E-3</v>
      </c>
      <c r="H294" s="29">
        <f>IF($B$2,IF(ROWS(B$6:$B294) = 1,IF(COUNTIFS(R_Schedule_Times,"&lt;"&amp;B294),INDEX(R_Schedule_Amounts,MATCH(B294,R_Schedule_Times,1)),Starting_Cash),IF(COUNTIFS(R_Schedule_Times,"&gt;"&amp;B293,R_Schedule_Times,"&lt;"&amp;B294),INDEX(R_Schedule_Amounts,MATCH(B294,R_Schedule_Times,1)),K293)),"")</f>
        <v>17520</v>
      </c>
      <c r="I294" s="30">
        <f t="shared" si="20"/>
        <v>60</v>
      </c>
      <c r="J294" s="31">
        <f t="shared" si="21"/>
        <v>0</v>
      </c>
      <c r="K294" s="29">
        <f t="shared" si="22"/>
        <v>17460</v>
      </c>
      <c r="L294" s="31" t="str">
        <f t="shared" si="23"/>
        <v/>
      </c>
      <c r="M294" s="31" t="str">
        <f t="shared" si="24"/>
        <v/>
      </c>
    </row>
    <row r="295" spans="1:13" x14ac:dyDescent="0.15">
      <c r="A295" s="163" t="s">
        <v>210</v>
      </c>
      <c r="B295" s="163">
        <v>42285.514879085647</v>
      </c>
      <c r="C295" s="164" t="s">
        <v>775</v>
      </c>
      <c r="D295" s="164" t="s">
        <v>13</v>
      </c>
      <c r="E295" s="165">
        <v>200</v>
      </c>
      <c r="F295" s="166">
        <v>0</v>
      </c>
      <c r="G295" s="227">
        <f>IF($B$2,IF(ROWS(B$6:$B295) = 1,$B295-Start_Date,$B295-$B294),"")</f>
        <v>7.519212958868593E-4</v>
      </c>
      <c r="H295" s="29">
        <f>IF($B$2,IF(ROWS(B$6:$B295) = 1,IF(COUNTIFS(R_Schedule_Times,"&lt;"&amp;B295),INDEX(R_Schedule_Amounts,MATCH(B295,R_Schedule_Times,1)),Starting_Cash),IF(COUNTIFS(R_Schedule_Times,"&gt;"&amp;B294,R_Schedule_Times,"&lt;"&amp;B295),INDEX(R_Schedule_Amounts,MATCH(B295,R_Schedule_Times,1)),K294)),"")</f>
        <v>17460</v>
      </c>
      <c r="I295" s="30">
        <f t="shared" si="20"/>
        <v>200</v>
      </c>
      <c r="J295" s="31">
        <f t="shared" si="21"/>
        <v>0</v>
      </c>
      <c r="K295" s="29">
        <f t="shared" si="22"/>
        <v>17260</v>
      </c>
      <c r="L295" s="31" t="str">
        <f t="shared" si="23"/>
        <v/>
      </c>
      <c r="M295" s="31" t="str">
        <f t="shared" si="24"/>
        <v/>
      </c>
    </row>
    <row r="296" spans="1:13" x14ac:dyDescent="0.15">
      <c r="A296" s="163" t="s">
        <v>210</v>
      </c>
      <c r="B296" s="163">
        <v>42285.516648101853</v>
      </c>
      <c r="C296" s="164" t="s">
        <v>776</v>
      </c>
      <c r="D296" s="164" t="s">
        <v>13</v>
      </c>
      <c r="E296" s="165">
        <v>200</v>
      </c>
      <c r="F296" s="166">
        <v>0</v>
      </c>
      <c r="G296" s="227">
        <f>IF($B$2,IF(ROWS(B$6:$B296) = 1,$B296-Start_Date,$B296-$B295),"")</f>
        <v>1.7690162057988346E-3</v>
      </c>
      <c r="H296" s="29">
        <f>IF($B$2,IF(ROWS(B$6:$B296) = 1,IF(COUNTIFS(R_Schedule_Times,"&lt;"&amp;B296),INDEX(R_Schedule_Amounts,MATCH(B296,R_Schedule_Times,1)),Starting_Cash),IF(COUNTIFS(R_Schedule_Times,"&gt;"&amp;B295,R_Schedule_Times,"&lt;"&amp;B296),INDEX(R_Schedule_Amounts,MATCH(B296,R_Schedule_Times,1)),K295)),"")</f>
        <v>17260</v>
      </c>
      <c r="I296" s="30">
        <f t="shared" si="20"/>
        <v>200</v>
      </c>
      <c r="J296" s="31">
        <f t="shared" si="21"/>
        <v>0</v>
      </c>
      <c r="K296" s="29">
        <f t="shared" si="22"/>
        <v>17060</v>
      </c>
      <c r="L296" s="31" t="str">
        <f t="shared" si="23"/>
        <v/>
      </c>
      <c r="M296" s="31" t="str">
        <f t="shared" si="24"/>
        <v/>
      </c>
    </row>
    <row r="297" spans="1:13" x14ac:dyDescent="0.15">
      <c r="A297" s="163" t="s">
        <v>210</v>
      </c>
      <c r="B297" s="163">
        <v>42285.520028310188</v>
      </c>
      <c r="C297" s="164" t="s">
        <v>14</v>
      </c>
      <c r="D297" s="164" t="s">
        <v>15</v>
      </c>
      <c r="E297" s="165">
        <v>60</v>
      </c>
      <c r="F297" s="166">
        <v>4.3</v>
      </c>
      <c r="G297" s="227">
        <f>IF($B$2,IF(ROWS(B$6:$B297) = 1,$B297-Start_Date,$B297-$B296),"")</f>
        <v>3.3802083344198763E-3</v>
      </c>
      <c r="H297" s="29">
        <f>IF($B$2,IF(ROWS(B$6:$B297) = 1,IF(COUNTIFS(R_Schedule_Times,"&lt;"&amp;B297),INDEX(R_Schedule_Amounts,MATCH(B297,R_Schedule_Times,1)),Starting_Cash),IF(COUNTIFS(R_Schedule_Times,"&gt;"&amp;B296,R_Schedule_Times,"&lt;"&amp;B297),INDEX(R_Schedule_Amounts,MATCH(B297,R_Schedule_Times,1)),K296)),"")</f>
        <v>17060</v>
      </c>
      <c r="I297" s="30">
        <f t="shared" si="20"/>
        <v>60</v>
      </c>
      <c r="J297" s="31">
        <f t="shared" si="21"/>
        <v>4.3</v>
      </c>
      <c r="K297" s="29">
        <f t="shared" si="22"/>
        <v>17000</v>
      </c>
      <c r="L297" s="31" t="str">
        <f t="shared" si="23"/>
        <v/>
      </c>
      <c r="M297" s="31" t="str">
        <f t="shared" si="24"/>
        <v/>
      </c>
    </row>
    <row r="298" spans="1:13" x14ac:dyDescent="0.15">
      <c r="A298" s="163" t="s">
        <v>210</v>
      </c>
      <c r="B298" s="163">
        <v>42285.5341944213</v>
      </c>
      <c r="C298" s="164" t="s">
        <v>319</v>
      </c>
      <c r="D298" s="164" t="s">
        <v>13</v>
      </c>
      <c r="E298" s="165">
        <v>100</v>
      </c>
      <c r="F298" s="166">
        <v>0</v>
      </c>
      <c r="G298" s="227">
        <f>IF($B$2,IF(ROWS(B$6:$B298) = 1,$B298-Start_Date,$B298-$B297),"")</f>
        <v>1.4166111111990176E-2</v>
      </c>
      <c r="H298" s="29">
        <f>IF($B$2,IF(ROWS(B$6:$B298) = 1,IF(COUNTIFS(R_Schedule_Times,"&lt;"&amp;B298),INDEX(R_Schedule_Amounts,MATCH(B298,R_Schedule_Times,1)),Starting_Cash),IF(COUNTIFS(R_Schedule_Times,"&gt;"&amp;B297,R_Schedule_Times,"&lt;"&amp;B298),INDEX(R_Schedule_Amounts,MATCH(B298,R_Schedule_Times,1)),K297)),"")</f>
        <v>17000</v>
      </c>
      <c r="I298" s="30">
        <f t="shared" si="20"/>
        <v>100</v>
      </c>
      <c r="J298" s="31">
        <f t="shared" si="21"/>
        <v>0</v>
      </c>
      <c r="K298" s="29">
        <f t="shared" si="22"/>
        <v>16900</v>
      </c>
      <c r="L298" s="31" t="str">
        <f t="shared" si="23"/>
        <v/>
      </c>
      <c r="M298" s="31" t="str">
        <f t="shared" si="24"/>
        <v/>
      </c>
    </row>
    <row r="299" spans="1:13" x14ac:dyDescent="0.15">
      <c r="A299" s="163" t="s">
        <v>210</v>
      </c>
      <c r="B299" s="163">
        <v>42285.54290453704</v>
      </c>
      <c r="C299" s="164" t="s">
        <v>777</v>
      </c>
      <c r="D299" s="164" t="s">
        <v>13</v>
      </c>
      <c r="E299" s="165">
        <v>100</v>
      </c>
      <c r="F299" s="166">
        <v>0</v>
      </c>
      <c r="G299" s="227">
        <f>IF($B$2,IF(ROWS(B$6:$B299) = 1,$B299-Start_Date,$B299-$B298),"")</f>
        <v>8.7101157405413687E-3</v>
      </c>
      <c r="H299" s="29">
        <f>IF($B$2,IF(ROWS(B$6:$B299) = 1,IF(COUNTIFS(R_Schedule_Times,"&lt;"&amp;B299),INDEX(R_Schedule_Amounts,MATCH(B299,R_Schedule_Times,1)),Starting_Cash),IF(COUNTIFS(R_Schedule_Times,"&gt;"&amp;B298,R_Schedule_Times,"&lt;"&amp;B299),INDEX(R_Schedule_Amounts,MATCH(B299,R_Schedule_Times,1)),K298)),"")</f>
        <v>16900</v>
      </c>
      <c r="I299" s="30">
        <f t="shared" si="20"/>
        <v>100</v>
      </c>
      <c r="J299" s="31">
        <f t="shared" si="21"/>
        <v>0</v>
      </c>
      <c r="K299" s="29">
        <f t="shared" si="22"/>
        <v>16800</v>
      </c>
      <c r="L299" s="31" t="str">
        <f t="shared" si="23"/>
        <v/>
      </c>
      <c r="M299" s="31" t="str">
        <f t="shared" si="24"/>
        <v/>
      </c>
    </row>
    <row r="300" spans="1:13" x14ac:dyDescent="0.15">
      <c r="A300" s="163" t="s">
        <v>210</v>
      </c>
      <c r="B300" s="163">
        <v>42285.552747303242</v>
      </c>
      <c r="C300" s="164" t="s">
        <v>778</v>
      </c>
      <c r="D300" s="164" t="s">
        <v>13</v>
      </c>
      <c r="E300" s="165">
        <v>100</v>
      </c>
      <c r="F300" s="166">
        <v>0</v>
      </c>
      <c r="G300" s="227">
        <f>IF($B$2,IF(ROWS(B$6:$B300) = 1,$B300-Start_Date,$B300-$B299),"")</f>
        <v>9.8427662014728412E-3</v>
      </c>
      <c r="H300" s="29">
        <f>IF($B$2,IF(ROWS(B$6:$B300) = 1,IF(COUNTIFS(R_Schedule_Times,"&lt;"&amp;B300),INDEX(R_Schedule_Amounts,MATCH(B300,R_Schedule_Times,1)),Starting_Cash),IF(COUNTIFS(R_Schedule_Times,"&gt;"&amp;B299,R_Schedule_Times,"&lt;"&amp;B300),INDEX(R_Schedule_Amounts,MATCH(B300,R_Schedule_Times,1)),K299)),"")</f>
        <v>16800</v>
      </c>
      <c r="I300" s="30">
        <f t="shared" si="20"/>
        <v>100</v>
      </c>
      <c r="J300" s="31">
        <f t="shared" si="21"/>
        <v>0</v>
      </c>
      <c r="K300" s="29">
        <f t="shared" si="22"/>
        <v>16700</v>
      </c>
      <c r="L300" s="31" t="str">
        <f t="shared" si="23"/>
        <v/>
      </c>
      <c r="M300" s="31" t="str">
        <f t="shared" si="24"/>
        <v/>
      </c>
    </row>
    <row r="301" spans="1:13" x14ac:dyDescent="0.15">
      <c r="A301" s="163" t="s">
        <v>210</v>
      </c>
      <c r="B301" s="163">
        <v>42285.569445868059</v>
      </c>
      <c r="C301" s="164" t="s">
        <v>779</v>
      </c>
      <c r="D301" s="164" t="s">
        <v>13</v>
      </c>
      <c r="E301" s="165">
        <v>60</v>
      </c>
      <c r="F301" s="166">
        <v>0</v>
      </c>
      <c r="G301" s="227">
        <f>IF($B$2,IF(ROWS(B$6:$B301) = 1,$B301-Start_Date,$B301-$B300),"")</f>
        <v>1.6698564817488659E-2</v>
      </c>
      <c r="H301" s="29">
        <f>IF($B$2,IF(ROWS(B$6:$B301) = 1,IF(COUNTIFS(R_Schedule_Times,"&lt;"&amp;B301),INDEX(R_Schedule_Amounts,MATCH(B301,R_Schedule_Times,1)),Starting_Cash),IF(COUNTIFS(R_Schedule_Times,"&gt;"&amp;B300,R_Schedule_Times,"&lt;"&amp;B301),INDEX(R_Schedule_Amounts,MATCH(B301,R_Schedule_Times,1)),K300)),"")</f>
        <v>16700</v>
      </c>
      <c r="I301" s="30">
        <f t="shared" si="20"/>
        <v>60</v>
      </c>
      <c r="J301" s="31">
        <f t="shared" si="21"/>
        <v>0</v>
      </c>
      <c r="K301" s="29">
        <f t="shared" si="22"/>
        <v>16640</v>
      </c>
      <c r="L301" s="31" t="str">
        <f t="shared" si="23"/>
        <v/>
      </c>
      <c r="M301" s="31" t="str">
        <f t="shared" si="24"/>
        <v/>
      </c>
    </row>
    <row r="302" spans="1:13" x14ac:dyDescent="0.15">
      <c r="A302" s="163" t="s">
        <v>210</v>
      </c>
      <c r="B302" s="163">
        <v>42285.592076921297</v>
      </c>
      <c r="C302" s="164" t="s">
        <v>780</v>
      </c>
      <c r="D302" s="164" t="s">
        <v>13</v>
      </c>
      <c r="E302" s="165">
        <v>100</v>
      </c>
      <c r="F302" s="166">
        <v>0</v>
      </c>
      <c r="G302" s="227">
        <f>IF($B$2,IF(ROWS(B$6:$B302) = 1,$B302-Start_Date,$B302-$B301),"")</f>
        <v>2.2631053238001186E-2</v>
      </c>
      <c r="H302" s="29">
        <f>IF($B$2,IF(ROWS(B$6:$B302) = 1,IF(COUNTIFS(R_Schedule_Times,"&lt;"&amp;B302),INDEX(R_Schedule_Amounts,MATCH(B302,R_Schedule_Times,1)),Starting_Cash),IF(COUNTIFS(R_Schedule_Times,"&gt;"&amp;B301,R_Schedule_Times,"&lt;"&amp;B302),INDEX(R_Schedule_Amounts,MATCH(B302,R_Schedule_Times,1)),K301)),"")</f>
        <v>16640</v>
      </c>
      <c r="I302" s="30">
        <f t="shared" si="20"/>
        <v>100</v>
      </c>
      <c r="J302" s="31">
        <f t="shared" si="21"/>
        <v>0</v>
      </c>
      <c r="K302" s="29">
        <f t="shared" si="22"/>
        <v>16540</v>
      </c>
      <c r="L302" s="31" t="str">
        <f t="shared" si="23"/>
        <v/>
      </c>
      <c r="M302" s="31" t="str">
        <f t="shared" si="24"/>
        <v/>
      </c>
    </row>
    <row r="303" spans="1:13" x14ac:dyDescent="0.15">
      <c r="A303" s="163" t="s">
        <v>210</v>
      </c>
      <c r="B303" s="163">
        <v>42285.594986388889</v>
      </c>
      <c r="C303" s="164" t="s">
        <v>781</v>
      </c>
      <c r="D303" s="164" t="s">
        <v>13</v>
      </c>
      <c r="E303" s="165">
        <v>100</v>
      </c>
      <c r="F303" s="166">
        <v>0</v>
      </c>
      <c r="G303" s="227">
        <f>IF($B$2,IF(ROWS(B$6:$B303) = 1,$B303-Start_Date,$B303-$B302),"")</f>
        <v>2.9094675919623114E-3</v>
      </c>
      <c r="H303" s="29">
        <f>IF($B$2,IF(ROWS(B$6:$B303) = 1,IF(COUNTIFS(R_Schedule_Times,"&lt;"&amp;B303),INDEX(R_Schedule_Amounts,MATCH(B303,R_Schedule_Times,1)),Starting_Cash),IF(COUNTIFS(R_Schedule_Times,"&gt;"&amp;B302,R_Schedule_Times,"&lt;"&amp;B303),INDEX(R_Schedule_Amounts,MATCH(B303,R_Schedule_Times,1)),K302)),"")</f>
        <v>16540</v>
      </c>
      <c r="I303" s="30">
        <f t="shared" si="20"/>
        <v>100</v>
      </c>
      <c r="J303" s="31">
        <f t="shared" si="21"/>
        <v>0</v>
      </c>
      <c r="K303" s="29">
        <f t="shared" si="22"/>
        <v>16440</v>
      </c>
      <c r="L303" s="31" t="str">
        <f t="shared" si="23"/>
        <v/>
      </c>
      <c r="M303" s="31" t="str">
        <f t="shared" si="24"/>
        <v/>
      </c>
    </row>
    <row r="304" spans="1:13" x14ac:dyDescent="0.15">
      <c r="A304" s="163" t="s">
        <v>210</v>
      </c>
      <c r="B304" s="163">
        <v>42285.600474050923</v>
      </c>
      <c r="C304" s="164" t="s">
        <v>782</v>
      </c>
      <c r="D304" s="164" t="s">
        <v>13</v>
      </c>
      <c r="E304" s="165">
        <v>100</v>
      </c>
      <c r="F304" s="166">
        <v>0</v>
      </c>
      <c r="G304" s="227">
        <f>IF($B$2,IF(ROWS(B$6:$B304) = 1,$B304-Start_Date,$B304-$B303),"")</f>
        <v>5.4876620342838578E-3</v>
      </c>
      <c r="H304" s="29">
        <f>IF($B$2,IF(ROWS(B$6:$B304) = 1,IF(COUNTIFS(R_Schedule_Times,"&lt;"&amp;B304),INDEX(R_Schedule_Amounts,MATCH(B304,R_Schedule_Times,1)),Starting_Cash),IF(COUNTIFS(R_Schedule_Times,"&gt;"&amp;B303,R_Schedule_Times,"&lt;"&amp;B304),INDEX(R_Schedule_Amounts,MATCH(B304,R_Schedule_Times,1)),K303)),"")</f>
        <v>16440</v>
      </c>
      <c r="I304" s="30">
        <f t="shared" si="20"/>
        <v>100</v>
      </c>
      <c r="J304" s="31">
        <f t="shared" si="21"/>
        <v>0</v>
      </c>
      <c r="K304" s="29">
        <f t="shared" si="22"/>
        <v>16340</v>
      </c>
      <c r="L304" s="31" t="str">
        <f t="shared" si="23"/>
        <v/>
      </c>
      <c r="M304" s="31" t="str">
        <f t="shared" si="24"/>
        <v/>
      </c>
    </row>
    <row r="305" spans="1:13" x14ac:dyDescent="0.15">
      <c r="A305" s="163" t="s">
        <v>210</v>
      </c>
      <c r="B305" s="163">
        <v>42285.614807789352</v>
      </c>
      <c r="C305" s="164" t="s">
        <v>320</v>
      </c>
      <c r="D305" s="164" t="s">
        <v>13</v>
      </c>
      <c r="E305" s="165">
        <v>100</v>
      </c>
      <c r="F305" s="166">
        <v>0</v>
      </c>
      <c r="G305" s="227">
        <f>IF($B$2,IF(ROWS(B$6:$B305) = 1,$B305-Start_Date,$B305-$B304),"")</f>
        <v>1.4333738428831566E-2</v>
      </c>
      <c r="H305" s="29">
        <f>IF($B$2,IF(ROWS(B$6:$B305) = 1,IF(COUNTIFS(R_Schedule_Times,"&lt;"&amp;B305),INDEX(R_Schedule_Amounts,MATCH(B305,R_Schedule_Times,1)),Starting_Cash),IF(COUNTIFS(R_Schedule_Times,"&gt;"&amp;B304,R_Schedule_Times,"&lt;"&amp;B305),INDEX(R_Schedule_Amounts,MATCH(B305,R_Schedule_Times,1)),K304)),"")</f>
        <v>16340</v>
      </c>
      <c r="I305" s="30">
        <f t="shared" si="20"/>
        <v>100</v>
      </c>
      <c r="J305" s="31">
        <f t="shared" si="21"/>
        <v>0</v>
      </c>
      <c r="K305" s="29">
        <f t="shared" si="22"/>
        <v>16240</v>
      </c>
      <c r="L305" s="31" t="str">
        <f t="shared" si="23"/>
        <v/>
      </c>
      <c r="M305" s="31" t="str">
        <f t="shared" si="24"/>
        <v/>
      </c>
    </row>
    <row r="306" spans="1:13" x14ac:dyDescent="0.15">
      <c r="A306" s="163" t="s">
        <v>210</v>
      </c>
      <c r="B306" s="163">
        <v>42285.635817291666</v>
      </c>
      <c r="C306" s="164" t="s">
        <v>783</v>
      </c>
      <c r="D306" s="164" t="s">
        <v>13</v>
      </c>
      <c r="E306" s="165">
        <v>100</v>
      </c>
      <c r="F306" s="166">
        <v>0</v>
      </c>
      <c r="G306" s="227">
        <f>IF($B$2,IF(ROWS(B$6:$B306) = 1,$B306-Start_Date,$B306-$B305),"")</f>
        <v>2.1009502313972916E-2</v>
      </c>
      <c r="H306" s="29">
        <f>IF($B$2,IF(ROWS(B$6:$B306) = 1,IF(COUNTIFS(R_Schedule_Times,"&lt;"&amp;B306),INDEX(R_Schedule_Amounts,MATCH(B306,R_Schedule_Times,1)),Starting_Cash),IF(COUNTIFS(R_Schedule_Times,"&gt;"&amp;B305,R_Schedule_Times,"&lt;"&amp;B306),INDEX(R_Schedule_Amounts,MATCH(B306,R_Schedule_Times,1)),K305)),"")</f>
        <v>16240</v>
      </c>
      <c r="I306" s="30">
        <f t="shared" si="20"/>
        <v>100</v>
      </c>
      <c r="J306" s="31">
        <f t="shared" si="21"/>
        <v>0</v>
      </c>
      <c r="K306" s="29">
        <f t="shared" si="22"/>
        <v>16140</v>
      </c>
      <c r="L306" s="31" t="str">
        <f t="shared" si="23"/>
        <v/>
      </c>
      <c r="M306" s="31" t="str">
        <f t="shared" si="24"/>
        <v/>
      </c>
    </row>
    <row r="307" spans="1:13" x14ac:dyDescent="0.15">
      <c r="A307" s="163" t="s">
        <v>210</v>
      </c>
      <c r="B307" s="163">
        <v>42285.649262025465</v>
      </c>
      <c r="C307" s="164" t="s">
        <v>784</v>
      </c>
      <c r="D307" s="164" t="s">
        <v>13</v>
      </c>
      <c r="E307" s="165">
        <v>400</v>
      </c>
      <c r="F307" s="166">
        <v>0</v>
      </c>
      <c r="G307" s="227">
        <f>IF($B$2,IF(ROWS(B$6:$B307) = 1,$B307-Start_Date,$B307-$B306),"")</f>
        <v>1.3444733798678499E-2</v>
      </c>
      <c r="H307" s="29">
        <f>IF($B$2,IF(ROWS(B$6:$B307) = 1,IF(COUNTIFS(R_Schedule_Times,"&lt;"&amp;B307),INDEX(R_Schedule_Amounts,MATCH(B307,R_Schedule_Times,1)),Starting_Cash),IF(COUNTIFS(R_Schedule_Times,"&gt;"&amp;B306,R_Schedule_Times,"&lt;"&amp;B307),INDEX(R_Schedule_Amounts,MATCH(B307,R_Schedule_Times,1)),K306)),"")</f>
        <v>16140</v>
      </c>
      <c r="I307" s="30">
        <f t="shared" si="20"/>
        <v>400</v>
      </c>
      <c r="J307" s="31">
        <f t="shared" si="21"/>
        <v>0</v>
      </c>
      <c r="K307" s="29">
        <f t="shared" si="22"/>
        <v>15740</v>
      </c>
      <c r="L307" s="31" t="str">
        <f t="shared" si="23"/>
        <v/>
      </c>
      <c r="M307" s="31" t="str">
        <f t="shared" si="24"/>
        <v/>
      </c>
    </row>
    <row r="308" spans="1:13" x14ac:dyDescent="0.15">
      <c r="A308" s="163" t="s">
        <v>210</v>
      </c>
      <c r="B308" s="163">
        <v>42285.653085115744</v>
      </c>
      <c r="C308" s="164" t="s">
        <v>785</v>
      </c>
      <c r="D308" s="164" t="s">
        <v>13</v>
      </c>
      <c r="E308" s="165">
        <v>40</v>
      </c>
      <c r="F308" s="166">
        <v>0</v>
      </c>
      <c r="G308" s="227">
        <f>IF($B$2,IF(ROWS(B$6:$B308) = 1,$B308-Start_Date,$B308-$B307),"")</f>
        <v>3.8230902791838162E-3</v>
      </c>
      <c r="H308" s="29">
        <f>IF($B$2,IF(ROWS(B$6:$B308) = 1,IF(COUNTIFS(R_Schedule_Times,"&lt;"&amp;B308),INDEX(R_Schedule_Amounts,MATCH(B308,R_Schedule_Times,1)),Starting_Cash),IF(COUNTIFS(R_Schedule_Times,"&gt;"&amp;B307,R_Schedule_Times,"&lt;"&amp;B308),INDEX(R_Schedule_Amounts,MATCH(B308,R_Schedule_Times,1)),K307)),"")</f>
        <v>15740</v>
      </c>
      <c r="I308" s="30">
        <f t="shared" si="20"/>
        <v>40</v>
      </c>
      <c r="J308" s="31">
        <f t="shared" si="21"/>
        <v>0</v>
      </c>
      <c r="K308" s="29">
        <f t="shared" si="22"/>
        <v>15700</v>
      </c>
      <c r="L308" s="31" t="str">
        <f t="shared" si="23"/>
        <v/>
      </c>
      <c r="M308" s="31" t="str">
        <f t="shared" si="24"/>
        <v/>
      </c>
    </row>
    <row r="309" spans="1:13" x14ac:dyDescent="0.15">
      <c r="A309" s="163" t="s">
        <v>210</v>
      </c>
      <c r="B309" s="163">
        <v>42285.667512025466</v>
      </c>
      <c r="C309" s="164" t="s">
        <v>786</v>
      </c>
      <c r="D309" s="164" t="s">
        <v>13</v>
      </c>
      <c r="E309" s="165">
        <v>60</v>
      </c>
      <c r="F309" s="166">
        <v>0</v>
      </c>
      <c r="G309" s="227">
        <f>IF($B$2,IF(ROWS(B$6:$B309) = 1,$B309-Start_Date,$B309-$B308),"")</f>
        <v>1.4426909721805714E-2</v>
      </c>
      <c r="H309" s="29">
        <f>IF($B$2,IF(ROWS(B$6:$B309) = 1,IF(COUNTIFS(R_Schedule_Times,"&lt;"&amp;B309),INDEX(R_Schedule_Amounts,MATCH(B309,R_Schedule_Times,1)),Starting_Cash),IF(COUNTIFS(R_Schedule_Times,"&gt;"&amp;B308,R_Schedule_Times,"&lt;"&amp;B309),INDEX(R_Schedule_Amounts,MATCH(B309,R_Schedule_Times,1)),K308)),"")</f>
        <v>15700</v>
      </c>
      <c r="I309" s="30">
        <f t="shared" si="20"/>
        <v>60</v>
      </c>
      <c r="J309" s="31">
        <f t="shared" si="21"/>
        <v>0</v>
      </c>
      <c r="K309" s="29">
        <f t="shared" si="22"/>
        <v>15640</v>
      </c>
      <c r="L309" s="31" t="str">
        <f t="shared" si="23"/>
        <v/>
      </c>
      <c r="M309" s="31" t="str">
        <f t="shared" si="24"/>
        <v/>
      </c>
    </row>
    <row r="310" spans="1:13" x14ac:dyDescent="0.15">
      <c r="A310" s="163" t="s">
        <v>210</v>
      </c>
      <c r="B310" s="163">
        <v>42285.672471388891</v>
      </c>
      <c r="C310" s="164" t="s">
        <v>787</v>
      </c>
      <c r="D310" s="164" t="s">
        <v>13</v>
      </c>
      <c r="E310" s="165">
        <v>200</v>
      </c>
      <c r="F310" s="166">
        <v>0</v>
      </c>
      <c r="G310" s="227">
        <f>IF($B$2,IF(ROWS(B$6:$B310) = 1,$B310-Start_Date,$B310-$B309),"")</f>
        <v>4.9593634248594753E-3</v>
      </c>
      <c r="H310" s="29">
        <f>IF($B$2,IF(ROWS(B$6:$B310) = 1,IF(COUNTIFS(R_Schedule_Times,"&lt;"&amp;B310),INDEX(R_Schedule_Amounts,MATCH(B310,R_Schedule_Times,1)),Starting_Cash),IF(COUNTIFS(R_Schedule_Times,"&gt;"&amp;B309,R_Schedule_Times,"&lt;"&amp;B310),INDEX(R_Schedule_Amounts,MATCH(B310,R_Schedule_Times,1)),K309)),"")</f>
        <v>15640</v>
      </c>
      <c r="I310" s="30">
        <f t="shared" si="20"/>
        <v>200</v>
      </c>
      <c r="J310" s="31">
        <f t="shared" si="21"/>
        <v>0</v>
      </c>
      <c r="K310" s="29">
        <f t="shared" si="22"/>
        <v>15440</v>
      </c>
      <c r="L310" s="31" t="str">
        <f t="shared" si="23"/>
        <v/>
      </c>
      <c r="M310" s="31" t="str">
        <f t="shared" si="24"/>
        <v/>
      </c>
    </row>
    <row r="311" spans="1:13" x14ac:dyDescent="0.15">
      <c r="A311" s="163" t="s">
        <v>210</v>
      </c>
      <c r="B311" s="163">
        <v>42285.710507476855</v>
      </c>
      <c r="C311" s="164" t="s">
        <v>788</v>
      </c>
      <c r="D311" s="164" t="s">
        <v>13</v>
      </c>
      <c r="E311" s="165">
        <v>80</v>
      </c>
      <c r="F311" s="166">
        <v>0</v>
      </c>
      <c r="G311" s="227">
        <f>IF($B$2,IF(ROWS(B$6:$B311) = 1,$B311-Start_Date,$B311-$B310),"")</f>
        <v>3.8036087964428589E-2</v>
      </c>
      <c r="H311" s="29">
        <f>IF($B$2,IF(ROWS(B$6:$B311) = 1,IF(COUNTIFS(R_Schedule_Times,"&lt;"&amp;B311),INDEX(R_Schedule_Amounts,MATCH(B311,R_Schedule_Times,1)),Starting_Cash),IF(COUNTIFS(R_Schedule_Times,"&gt;"&amp;B310,R_Schedule_Times,"&lt;"&amp;B311),INDEX(R_Schedule_Amounts,MATCH(B311,R_Schedule_Times,1)),K310)),"")</f>
        <v>15440</v>
      </c>
      <c r="I311" s="30">
        <f t="shared" si="20"/>
        <v>80</v>
      </c>
      <c r="J311" s="31">
        <f t="shared" si="21"/>
        <v>0</v>
      </c>
      <c r="K311" s="29">
        <f t="shared" si="22"/>
        <v>15360</v>
      </c>
      <c r="L311" s="31" t="str">
        <f t="shared" si="23"/>
        <v/>
      </c>
      <c r="M311" s="31" t="str">
        <f t="shared" si="24"/>
        <v/>
      </c>
    </row>
    <row r="312" spans="1:13" x14ac:dyDescent="0.15">
      <c r="A312" s="163" t="s">
        <v>210</v>
      </c>
      <c r="B312" s="163">
        <v>42285.718137094904</v>
      </c>
      <c r="C312" s="164" t="s">
        <v>296</v>
      </c>
      <c r="D312" s="164" t="s">
        <v>13</v>
      </c>
      <c r="E312" s="165">
        <v>80</v>
      </c>
      <c r="F312" s="166">
        <v>0</v>
      </c>
      <c r="G312" s="227">
        <f>IF($B$2,IF(ROWS(B$6:$B312) = 1,$B312-Start_Date,$B312-$B311),"")</f>
        <v>7.6296180486679077E-3</v>
      </c>
      <c r="H312" s="29">
        <f>IF($B$2,IF(ROWS(B$6:$B312) = 1,IF(COUNTIFS(R_Schedule_Times,"&lt;"&amp;B312),INDEX(R_Schedule_Amounts,MATCH(B312,R_Schedule_Times,1)),Starting_Cash),IF(COUNTIFS(R_Schedule_Times,"&gt;"&amp;B311,R_Schedule_Times,"&lt;"&amp;B312),INDEX(R_Schedule_Amounts,MATCH(B312,R_Schedule_Times,1)),K311)),"")</f>
        <v>15360</v>
      </c>
      <c r="I312" s="30">
        <f t="shared" si="20"/>
        <v>80</v>
      </c>
      <c r="J312" s="31">
        <f t="shared" si="21"/>
        <v>0</v>
      </c>
      <c r="K312" s="29">
        <f t="shared" si="22"/>
        <v>15280</v>
      </c>
      <c r="L312" s="31" t="str">
        <f t="shared" si="23"/>
        <v/>
      </c>
      <c r="M312" s="31" t="str">
        <f t="shared" si="24"/>
        <v/>
      </c>
    </row>
    <row r="313" spans="1:13" x14ac:dyDescent="0.15">
      <c r="A313" s="163" t="s">
        <v>210</v>
      </c>
      <c r="B313" s="163">
        <v>42285.727015648146</v>
      </c>
      <c r="C313" s="164" t="s">
        <v>789</v>
      </c>
      <c r="D313" s="164" t="s">
        <v>13</v>
      </c>
      <c r="E313" s="165">
        <v>60</v>
      </c>
      <c r="F313" s="166">
        <v>0</v>
      </c>
      <c r="G313" s="227">
        <f>IF($B$2,IF(ROWS(B$6:$B313) = 1,$B313-Start_Date,$B313-$B312),"")</f>
        <v>8.8785532425390556E-3</v>
      </c>
      <c r="H313" s="29">
        <f>IF($B$2,IF(ROWS(B$6:$B313) = 1,IF(COUNTIFS(R_Schedule_Times,"&lt;"&amp;B313),INDEX(R_Schedule_Amounts,MATCH(B313,R_Schedule_Times,1)),Starting_Cash),IF(COUNTIFS(R_Schedule_Times,"&gt;"&amp;B312,R_Schedule_Times,"&lt;"&amp;B313),INDEX(R_Schedule_Amounts,MATCH(B313,R_Schedule_Times,1)),K312)),"")</f>
        <v>15280</v>
      </c>
      <c r="I313" s="30">
        <f t="shared" si="20"/>
        <v>60</v>
      </c>
      <c r="J313" s="31">
        <f t="shared" si="21"/>
        <v>0</v>
      </c>
      <c r="K313" s="29">
        <f t="shared" si="22"/>
        <v>15220</v>
      </c>
      <c r="L313" s="31" t="str">
        <f t="shared" si="23"/>
        <v/>
      </c>
      <c r="M313" s="31" t="str">
        <f t="shared" si="24"/>
        <v/>
      </c>
    </row>
    <row r="314" spans="1:13" x14ac:dyDescent="0.15">
      <c r="A314" s="163" t="s">
        <v>210</v>
      </c>
      <c r="B314" s="163">
        <v>42285.733381006947</v>
      </c>
      <c r="C314" s="164" t="s">
        <v>790</v>
      </c>
      <c r="D314" s="164" t="s">
        <v>13</v>
      </c>
      <c r="E314" s="165">
        <v>100</v>
      </c>
      <c r="F314" s="166">
        <v>0</v>
      </c>
      <c r="G314" s="227">
        <f>IF($B$2,IF(ROWS(B$6:$B314) = 1,$B314-Start_Date,$B314-$B313),"")</f>
        <v>6.3653588003944606E-3</v>
      </c>
      <c r="H314" s="29">
        <f>IF($B$2,IF(ROWS(B$6:$B314) = 1,IF(COUNTIFS(R_Schedule_Times,"&lt;"&amp;B314),INDEX(R_Schedule_Amounts,MATCH(B314,R_Schedule_Times,1)),Starting_Cash),IF(COUNTIFS(R_Schedule_Times,"&gt;"&amp;B313,R_Schedule_Times,"&lt;"&amp;B314),INDEX(R_Schedule_Amounts,MATCH(B314,R_Schedule_Times,1)),K313)),"")</f>
        <v>15220</v>
      </c>
      <c r="I314" s="30">
        <f t="shared" si="20"/>
        <v>100</v>
      </c>
      <c r="J314" s="31">
        <f t="shared" si="21"/>
        <v>0</v>
      </c>
      <c r="K314" s="29">
        <f t="shared" si="22"/>
        <v>15120</v>
      </c>
      <c r="L314" s="31" t="str">
        <f t="shared" si="23"/>
        <v/>
      </c>
      <c r="M314" s="31" t="str">
        <f t="shared" si="24"/>
        <v/>
      </c>
    </row>
    <row r="315" spans="1:13" x14ac:dyDescent="0.15">
      <c r="A315" s="163" t="s">
        <v>210</v>
      </c>
      <c r="B315" s="163">
        <v>42285.735863784721</v>
      </c>
      <c r="C315" s="164" t="s">
        <v>791</v>
      </c>
      <c r="D315" s="164" t="s">
        <v>13</v>
      </c>
      <c r="E315" s="165">
        <v>200</v>
      </c>
      <c r="F315" s="166">
        <v>0</v>
      </c>
      <c r="G315" s="227">
        <f>IF($B$2,IF(ROWS(B$6:$B315) = 1,$B315-Start_Date,$B315-$B314),"")</f>
        <v>2.4827777742757462E-3</v>
      </c>
      <c r="H315" s="29">
        <f>IF($B$2,IF(ROWS(B$6:$B315) = 1,IF(COUNTIFS(R_Schedule_Times,"&lt;"&amp;B315),INDEX(R_Schedule_Amounts,MATCH(B315,R_Schedule_Times,1)),Starting_Cash),IF(COUNTIFS(R_Schedule_Times,"&gt;"&amp;B314,R_Schedule_Times,"&lt;"&amp;B315),INDEX(R_Schedule_Amounts,MATCH(B315,R_Schedule_Times,1)),K314)),"")</f>
        <v>15120</v>
      </c>
      <c r="I315" s="30">
        <f t="shared" si="20"/>
        <v>200</v>
      </c>
      <c r="J315" s="31">
        <f t="shared" si="21"/>
        <v>0</v>
      </c>
      <c r="K315" s="29">
        <f t="shared" si="22"/>
        <v>14920</v>
      </c>
      <c r="L315" s="31" t="str">
        <f t="shared" si="23"/>
        <v/>
      </c>
      <c r="M315" s="31" t="str">
        <f t="shared" si="24"/>
        <v/>
      </c>
    </row>
    <row r="316" spans="1:13" x14ac:dyDescent="0.15">
      <c r="A316" s="163" t="s">
        <v>210</v>
      </c>
      <c r="B316" s="163">
        <v>42285.742219687498</v>
      </c>
      <c r="C316" s="164" t="s">
        <v>792</v>
      </c>
      <c r="D316" s="164" t="s">
        <v>13</v>
      </c>
      <c r="E316" s="165">
        <v>140</v>
      </c>
      <c r="F316" s="166">
        <v>0</v>
      </c>
      <c r="G316" s="227">
        <f>IF($B$2,IF(ROWS(B$6:$B316) = 1,$B316-Start_Date,$B316-$B315),"")</f>
        <v>6.3559027767041698E-3</v>
      </c>
      <c r="H316" s="29">
        <f>IF($B$2,IF(ROWS(B$6:$B316) = 1,IF(COUNTIFS(R_Schedule_Times,"&lt;"&amp;B316),INDEX(R_Schedule_Amounts,MATCH(B316,R_Schedule_Times,1)),Starting_Cash),IF(COUNTIFS(R_Schedule_Times,"&gt;"&amp;B315,R_Schedule_Times,"&lt;"&amp;B316),INDEX(R_Schedule_Amounts,MATCH(B316,R_Schedule_Times,1)),K315)),"")</f>
        <v>14920</v>
      </c>
      <c r="I316" s="30">
        <f t="shared" si="20"/>
        <v>140</v>
      </c>
      <c r="J316" s="31">
        <f t="shared" si="21"/>
        <v>0</v>
      </c>
      <c r="K316" s="29">
        <f t="shared" si="22"/>
        <v>14780</v>
      </c>
      <c r="L316" s="31" t="str">
        <f t="shared" si="23"/>
        <v/>
      </c>
      <c r="M316" s="31" t="str">
        <f t="shared" si="24"/>
        <v/>
      </c>
    </row>
    <row r="317" spans="1:13" x14ac:dyDescent="0.15">
      <c r="A317" s="163" t="s">
        <v>210</v>
      </c>
      <c r="B317" s="163">
        <v>42285.743338194443</v>
      </c>
      <c r="C317" s="164" t="s">
        <v>793</v>
      </c>
      <c r="D317" s="164" t="s">
        <v>13</v>
      </c>
      <c r="E317" s="165">
        <v>120</v>
      </c>
      <c r="F317" s="166">
        <v>0</v>
      </c>
      <c r="G317" s="227">
        <f>IF($B$2,IF(ROWS(B$6:$B317) = 1,$B317-Start_Date,$B317-$B316),"")</f>
        <v>1.1185069452039897E-3</v>
      </c>
      <c r="H317" s="29">
        <f>IF($B$2,IF(ROWS(B$6:$B317) = 1,IF(COUNTIFS(R_Schedule_Times,"&lt;"&amp;B317),INDEX(R_Schedule_Amounts,MATCH(B317,R_Schedule_Times,1)),Starting_Cash),IF(COUNTIFS(R_Schedule_Times,"&gt;"&amp;B316,R_Schedule_Times,"&lt;"&amp;B317),INDEX(R_Schedule_Amounts,MATCH(B317,R_Schedule_Times,1)),K316)),"")</f>
        <v>14780</v>
      </c>
      <c r="I317" s="30">
        <f t="shared" si="20"/>
        <v>120</v>
      </c>
      <c r="J317" s="31">
        <f t="shared" si="21"/>
        <v>0</v>
      </c>
      <c r="K317" s="29">
        <f t="shared" si="22"/>
        <v>14660</v>
      </c>
      <c r="L317" s="31" t="str">
        <f t="shared" si="23"/>
        <v/>
      </c>
      <c r="M317" s="31" t="str">
        <f t="shared" si="24"/>
        <v/>
      </c>
    </row>
    <row r="318" spans="1:13" x14ac:dyDescent="0.15">
      <c r="A318" s="163" t="s">
        <v>210</v>
      </c>
      <c r="B318" s="163">
        <v>42285.761614039351</v>
      </c>
      <c r="C318" s="164" t="s">
        <v>14</v>
      </c>
      <c r="D318" s="164" t="s">
        <v>13</v>
      </c>
      <c r="E318" s="165">
        <v>40</v>
      </c>
      <c r="F318" s="166">
        <v>3.5</v>
      </c>
      <c r="G318" s="227">
        <f>IF($B$2,IF(ROWS(B$6:$B318) = 1,$B318-Start_Date,$B318-$B317),"")</f>
        <v>1.8275844908202998E-2</v>
      </c>
      <c r="H318" s="29">
        <f>IF($B$2,IF(ROWS(B$6:$B318) = 1,IF(COUNTIFS(R_Schedule_Times,"&lt;"&amp;B318),INDEX(R_Schedule_Amounts,MATCH(B318,R_Schedule_Times,1)),Starting_Cash),IF(COUNTIFS(R_Schedule_Times,"&gt;"&amp;B317,R_Schedule_Times,"&lt;"&amp;B318),INDEX(R_Schedule_Amounts,MATCH(B318,R_Schedule_Times,1)),K317)),"")</f>
        <v>14660</v>
      </c>
      <c r="I318" s="30">
        <f t="shared" si="20"/>
        <v>40</v>
      </c>
      <c r="J318" s="31">
        <f t="shared" si="21"/>
        <v>3.5</v>
      </c>
      <c r="K318" s="29">
        <f t="shared" si="22"/>
        <v>14620</v>
      </c>
      <c r="L318" s="31" t="str">
        <f t="shared" si="23"/>
        <v/>
      </c>
      <c r="M318" s="31" t="str">
        <f t="shared" si="24"/>
        <v/>
      </c>
    </row>
    <row r="319" spans="1:13" x14ac:dyDescent="0.15">
      <c r="A319" s="163" t="s">
        <v>210</v>
      </c>
      <c r="B319" s="163">
        <v>42285.835825405091</v>
      </c>
      <c r="C319" s="164" t="s">
        <v>794</v>
      </c>
      <c r="D319" s="164" t="s">
        <v>13</v>
      </c>
      <c r="E319" s="165">
        <v>80</v>
      </c>
      <c r="F319" s="166">
        <v>0</v>
      </c>
      <c r="G319" s="227">
        <f>IF($B$2,IF(ROWS(B$6:$B319) = 1,$B319-Start_Date,$B319-$B318),"")</f>
        <v>7.4211365739756729E-2</v>
      </c>
      <c r="H319" s="29">
        <f>IF($B$2,IF(ROWS(B$6:$B319) = 1,IF(COUNTIFS(R_Schedule_Times,"&lt;"&amp;B319),INDEX(R_Schedule_Amounts,MATCH(B319,R_Schedule_Times,1)),Starting_Cash),IF(COUNTIFS(R_Schedule_Times,"&gt;"&amp;B318,R_Schedule_Times,"&lt;"&amp;B319),INDEX(R_Schedule_Amounts,MATCH(B319,R_Schedule_Times,1)),K318)),"")</f>
        <v>14620</v>
      </c>
      <c r="I319" s="30">
        <f t="shared" si="20"/>
        <v>80</v>
      </c>
      <c r="J319" s="31">
        <f t="shared" si="21"/>
        <v>0</v>
      </c>
      <c r="K319" s="29">
        <f t="shared" si="22"/>
        <v>14540</v>
      </c>
      <c r="L319" s="31" t="str">
        <f t="shared" si="23"/>
        <v/>
      </c>
      <c r="M319" s="31" t="str">
        <f t="shared" si="24"/>
        <v/>
      </c>
    </row>
    <row r="320" spans="1:13" x14ac:dyDescent="0.15">
      <c r="A320" s="163" t="s">
        <v>210</v>
      </c>
      <c r="B320" s="163">
        <v>42285.869069791668</v>
      </c>
      <c r="C320" s="164" t="s">
        <v>321</v>
      </c>
      <c r="D320" s="164" t="s">
        <v>13</v>
      </c>
      <c r="E320" s="165">
        <v>80</v>
      </c>
      <c r="F320" s="166">
        <v>0</v>
      </c>
      <c r="G320" s="227">
        <f>IF($B$2,IF(ROWS(B$6:$B320) = 1,$B320-Start_Date,$B320-$B319),"")</f>
        <v>3.3244386577280238E-2</v>
      </c>
      <c r="H320" s="29">
        <f>IF($B$2,IF(ROWS(B$6:$B320) = 1,IF(COUNTIFS(R_Schedule_Times,"&lt;"&amp;B320),INDEX(R_Schedule_Amounts,MATCH(B320,R_Schedule_Times,1)),Starting_Cash),IF(COUNTIFS(R_Schedule_Times,"&gt;"&amp;B319,R_Schedule_Times,"&lt;"&amp;B320),INDEX(R_Schedule_Amounts,MATCH(B320,R_Schedule_Times,1)),K319)),"")</f>
        <v>14540</v>
      </c>
      <c r="I320" s="30">
        <f t="shared" si="20"/>
        <v>80</v>
      </c>
      <c r="J320" s="31">
        <f t="shared" si="21"/>
        <v>0</v>
      </c>
      <c r="K320" s="29">
        <f t="shared" si="22"/>
        <v>14460</v>
      </c>
      <c r="L320" s="31" t="str">
        <f t="shared" si="23"/>
        <v/>
      </c>
      <c r="M320" s="31" t="str">
        <f t="shared" si="24"/>
        <v/>
      </c>
    </row>
    <row r="321" spans="1:13" x14ac:dyDescent="0.15">
      <c r="A321" s="163" t="s">
        <v>210</v>
      </c>
      <c r="B321" s="163">
        <v>42285.884507013892</v>
      </c>
      <c r="C321" s="164" t="s">
        <v>795</v>
      </c>
      <c r="D321" s="164" t="s">
        <v>13</v>
      </c>
      <c r="E321" s="165">
        <v>80</v>
      </c>
      <c r="F321" s="166">
        <v>0</v>
      </c>
      <c r="G321" s="227">
        <f>IF($B$2,IF(ROWS(B$6:$B321) = 1,$B321-Start_Date,$B321-$B320),"")</f>
        <v>1.5437222224136349E-2</v>
      </c>
      <c r="H321" s="29">
        <f>IF($B$2,IF(ROWS(B$6:$B321) = 1,IF(COUNTIFS(R_Schedule_Times,"&lt;"&amp;B321),INDEX(R_Schedule_Amounts,MATCH(B321,R_Schedule_Times,1)),Starting_Cash),IF(COUNTIFS(R_Schedule_Times,"&gt;"&amp;B320,R_Schedule_Times,"&lt;"&amp;B321),INDEX(R_Schedule_Amounts,MATCH(B321,R_Schedule_Times,1)),K320)),"")</f>
        <v>14460</v>
      </c>
      <c r="I321" s="30">
        <f t="shared" si="20"/>
        <v>80</v>
      </c>
      <c r="J321" s="31">
        <f t="shared" si="21"/>
        <v>0</v>
      </c>
      <c r="K321" s="29">
        <f t="shared" si="22"/>
        <v>14380</v>
      </c>
      <c r="L321" s="31" t="str">
        <f t="shared" si="23"/>
        <v/>
      </c>
      <c r="M321" s="31" t="str">
        <f t="shared" si="24"/>
        <v/>
      </c>
    </row>
    <row r="322" spans="1:13" x14ac:dyDescent="0.15">
      <c r="A322" s="163" t="s">
        <v>210</v>
      </c>
      <c r="B322" s="163">
        <v>42285.890746145837</v>
      </c>
      <c r="C322" s="164" t="s">
        <v>796</v>
      </c>
      <c r="D322" s="164" t="s">
        <v>13</v>
      </c>
      <c r="E322" s="165">
        <v>20</v>
      </c>
      <c r="F322" s="166">
        <v>0</v>
      </c>
      <c r="G322" s="227">
        <f>IF($B$2,IF(ROWS(B$6:$B322) = 1,$B322-Start_Date,$B322-$B321),"")</f>
        <v>6.2391319443122484E-3</v>
      </c>
      <c r="H322" s="29">
        <f>IF($B$2,IF(ROWS(B$6:$B322) = 1,IF(COUNTIFS(R_Schedule_Times,"&lt;"&amp;B322),INDEX(R_Schedule_Amounts,MATCH(B322,R_Schedule_Times,1)),Starting_Cash),IF(COUNTIFS(R_Schedule_Times,"&gt;"&amp;B321,R_Schedule_Times,"&lt;"&amp;B322),INDEX(R_Schedule_Amounts,MATCH(B322,R_Schedule_Times,1)),K321)),"")</f>
        <v>14380</v>
      </c>
      <c r="I322" s="30">
        <f t="shared" si="20"/>
        <v>20</v>
      </c>
      <c r="J322" s="31">
        <f t="shared" si="21"/>
        <v>0</v>
      </c>
      <c r="K322" s="29">
        <f t="shared" si="22"/>
        <v>14360</v>
      </c>
      <c r="L322" s="31" t="str">
        <f t="shared" si="23"/>
        <v/>
      </c>
      <c r="M322" s="31" t="str">
        <f t="shared" si="24"/>
        <v/>
      </c>
    </row>
    <row r="323" spans="1:13" x14ac:dyDescent="0.15">
      <c r="A323" s="163" t="s">
        <v>210</v>
      </c>
      <c r="B323" s="163">
        <v>42285.920929236112</v>
      </c>
      <c r="C323" s="164" t="s">
        <v>797</v>
      </c>
      <c r="D323" s="164" t="s">
        <v>13</v>
      </c>
      <c r="E323" s="165">
        <v>100</v>
      </c>
      <c r="F323" s="166">
        <v>0</v>
      </c>
      <c r="G323" s="227">
        <f>IF($B$2,IF(ROWS(B$6:$B323) = 1,$B323-Start_Date,$B323-$B322),"")</f>
        <v>3.0183090275386348E-2</v>
      </c>
      <c r="H323" s="29">
        <f>IF($B$2,IF(ROWS(B$6:$B323) = 1,IF(COUNTIFS(R_Schedule_Times,"&lt;"&amp;B323),INDEX(R_Schedule_Amounts,MATCH(B323,R_Schedule_Times,1)),Starting_Cash),IF(COUNTIFS(R_Schedule_Times,"&gt;"&amp;B322,R_Schedule_Times,"&lt;"&amp;B323),INDEX(R_Schedule_Amounts,MATCH(B323,R_Schedule_Times,1)),K322)),"")</f>
        <v>14360</v>
      </c>
      <c r="I323" s="30">
        <f t="shared" si="20"/>
        <v>100</v>
      </c>
      <c r="J323" s="31">
        <f t="shared" si="21"/>
        <v>0</v>
      </c>
      <c r="K323" s="29">
        <f t="shared" si="22"/>
        <v>14260</v>
      </c>
      <c r="L323" s="31" t="str">
        <f t="shared" si="23"/>
        <v/>
      </c>
      <c r="M323" s="31" t="str">
        <f t="shared" si="24"/>
        <v/>
      </c>
    </row>
    <row r="324" spans="1:13" x14ac:dyDescent="0.15">
      <c r="A324" s="163" t="s">
        <v>210</v>
      </c>
      <c r="B324" s="163">
        <v>42286.295331770831</v>
      </c>
      <c r="C324" s="164" t="s">
        <v>798</v>
      </c>
      <c r="D324" s="164" t="s">
        <v>13</v>
      </c>
      <c r="E324" s="165">
        <v>100</v>
      </c>
      <c r="F324" s="166">
        <v>0</v>
      </c>
      <c r="G324" s="227">
        <f>IF($B$2,IF(ROWS(B$6:$B324) = 1,$B324-Start_Date,$B324-$B323),"")</f>
        <v>0.37440253471868346</v>
      </c>
      <c r="H324" s="29">
        <f>IF($B$2,IF(ROWS(B$6:$B324) = 1,IF(COUNTIFS(R_Schedule_Times,"&lt;"&amp;B324),INDEX(R_Schedule_Amounts,MATCH(B324,R_Schedule_Times,1)),Starting_Cash),IF(COUNTIFS(R_Schedule_Times,"&gt;"&amp;B323,R_Schedule_Times,"&lt;"&amp;B324),INDEX(R_Schedule_Amounts,MATCH(B324,R_Schedule_Times,1)),K323)),"")</f>
        <v>14260</v>
      </c>
      <c r="I324" s="30">
        <f t="shared" si="20"/>
        <v>100</v>
      </c>
      <c r="J324" s="31">
        <f t="shared" si="21"/>
        <v>0</v>
      </c>
      <c r="K324" s="29">
        <f t="shared" si="22"/>
        <v>14160</v>
      </c>
      <c r="L324" s="31" t="str">
        <f t="shared" si="23"/>
        <v/>
      </c>
      <c r="M324" s="31" t="str">
        <f t="shared" si="24"/>
        <v/>
      </c>
    </row>
    <row r="325" spans="1:13" x14ac:dyDescent="0.15">
      <c r="A325" s="163" t="s">
        <v>210</v>
      </c>
      <c r="B325" s="163">
        <v>42286.306731770834</v>
      </c>
      <c r="C325" s="164" t="s">
        <v>799</v>
      </c>
      <c r="D325" s="164" t="s">
        <v>13</v>
      </c>
      <c r="E325" s="165">
        <v>40</v>
      </c>
      <c r="F325" s="166">
        <v>0</v>
      </c>
      <c r="G325" s="227">
        <f>IF($B$2,IF(ROWS(B$6:$B325) = 1,$B325-Start_Date,$B325-$B324),"")</f>
        <v>1.1400000003050081E-2</v>
      </c>
      <c r="H325" s="29">
        <f>IF($B$2,IF(ROWS(B$6:$B325) = 1,IF(COUNTIFS(R_Schedule_Times,"&lt;"&amp;B325),INDEX(R_Schedule_Amounts,MATCH(B325,R_Schedule_Times,1)),Starting_Cash),IF(COUNTIFS(R_Schedule_Times,"&gt;"&amp;B324,R_Schedule_Times,"&lt;"&amp;B325),INDEX(R_Schedule_Amounts,MATCH(B325,R_Schedule_Times,1)),K324)),"")</f>
        <v>14160</v>
      </c>
      <c r="I325" s="30">
        <f t="shared" si="20"/>
        <v>40</v>
      </c>
      <c r="J325" s="31">
        <f t="shared" si="21"/>
        <v>0</v>
      </c>
      <c r="K325" s="29">
        <f t="shared" si="22"/>
        <v>14120</v>
      </c>
      <c r="L325" s="31" t="str">
        <f t="shared" si="23"/>
        <v/>
      </c>
      <c r="M325" s="31" t="str">
        <f t="shared" si="24"/>
        <v/>
      </c>
    </row>
    <row r="326" spans="1:13" x14ac:dyDescent="0.15">
      <c r="A326" s="163" t="s">
        <v>210</v>
      </c>
      <c r="B326" s="163">
        <v>42286.309330891207</v>
      </c>
      <c r="C326" s="164" t="s">
        <v>14</v>
      </c>
      <c r="D326" s="164" t="s">
        <v>13</v>
      </c>
      <c r="E326" s="165">
        <v>40</v>
      </c>
      <c r="F326" s="166">
        <v>3.5</v>
      </c>
      <c r="G326" s="227">
        <f>IF($B$2,IF(ROWS(B$6:$B326) = 1,$B326-Start_Date,$B326-$B325),"")</f>
        <v>2.5991203729063272E-3</v>
      </c>
      <c r="H326" s="29">
        <f>IF($B$2,IF(ROWS(B$6:$B326) = 1,IF(COUNTIFS(R_Schedule_Times,"&lt;"&amp;B326),INDEX(R_Schedule_Amounts,MATCH(B326,R_Schedule_Times,1)),Starting_Cash),IF(COUNTIFS(R_Schedule_Times,"&gt;"&amp;B325,R_Schedule_Times,"&lt;"&amp;B326),INDEX(R_Schedule_Amounts,MATCH(B326,R_Schedule_Times,1)),K325)),"")</f>
        <v>14120</v>
      </c>
      <c r="I326" s="30">
        <f t="shared" si="20"/>
        <v>40</v>
      </c>
      <c r="J326" s="31">
        <f t="shared" si="21"/>
        <v>3.5</v>
      </c>
      <c r="K326" s="29">
        <f t="shared" si="22"/>
        <v>14080</v>
      </c>
      <c r="L326" s="31" t="str">
        <f t="shared" si="23"/>
        <v/>
      </c>
      <c r="M326" s="31" t="str">
        <f t="shared" si="24"/>
        <v/>
      </c>
    </row>
    <row r="327" spans="1:13" x14ac:dyDescent="0.15">
      <c r="A327" s="163" t="s">
        <v>210</v>
      </c>
      <c r="B327" s="163">
        <v>42286.320832974539</v>
      </c>
      <c r="C327" s="164" t="s">
        <v>14</v>
      </c>
      <c r="D327" s="164" t="s">
        <v>13</v>
      </c>
      <c r="E327" s="165">
        <v>200</v>
      </c>
      <c r="F327" s="166">
        <v>3.5</v>
      </c>
      <c r="G327" s="227">
        <f>IF($B$2,IF(ROWS(B$6:$B327) = 1,$B327-Start_Date,$B327-$B326),"")</f>
        <v>1.1502083332743496E-2</v>
      </c>
      <c r="H327" s="29">
        <f>IF($B$2,IF(ROWS(B$6:$B327) = 1,IF(COUNTIFS(R_Schedule_Times,"&lt;"&amp;B327),INDEX(R_Schedule_Amounts,MATCH(B327,R_Schedule_Times,1)),Starting_Cash),IF(COUNTIFS(R_Schedule_Times,"&gt;"&amp;B326,R_Schedule_Times,"&lt;"&amp;B327),INDEX(R_Schedule_Amounts,MATCH(B327,R_Schedule_Times,1)),K326)),"")</f>
        <v>14080</v>
      </c>
      <c r="I327" s="30">
        <f t="shared" ref="I327:I390" si="25">IF($B$2,IF(H327&gt;=E327,E327,0),"")</f>
        <v>200</v>
      </c>
      <c r="J327" s="31">
        <f t="shared" ref="J327:J390" si="26">IF($B$2,IF(H327&gt;=E327,F327,0),"")</f>
        <v>3.5</v>
      </c>
      <c r="K327" s="29">
        <f t="shared" ref="K327:K390" si="27">IF($B$2,ABS(I327-H327),"")</f>
        <v>13880</v>
      </c>
      <c r="L327" s="31" t="str">
        <f t="shared" ref="L327:L390" si="28">IF($B$2,IF(H327&lt;E327,"YES",""),"")</f>
        <v/>
      </c>
      <c r="M327" s="31" t="str">
        <f t="shared" ref="M327:M390" si="29">IF($B$2,IF(L327="YES",F327,""),"")</f>
        <v/>
      </c>
    </row>
    <row r="328" spans="1:13" x14ac:dyDescent="0.15">
      <c r="A328" s="163" t="s">
        <v>210</v>
      </c>
      <c r="B328" s="163">
        <v>42286.323071921295</v>
      </c>
      <c r="C328" s="164" t="s">
        <v>800</v>
      </c>
      <c r="D328" s="164" t="s">
        <v>13</v>
      </c>
      <c r="E328" s="165">
        <v>40</v>
      </c>
      <c r="F328" s="166">
        <v>0</v>
      </c>
      <c r="G328" s="227">
        <f>IF($B$2,IF(ROWS(B$6:$B328) = 1,$B328-Start_Date,$B328-$B327),"")</f>
        <v>2.2389467558241449E-3</v>
      </c>
      <c r="H328" s="29">
        <f>IF($B$2,IF(ROWS(B$6:$B328) = 1,IF(COUNTIFS(R_Schedule_Times,"&lt;"&amp;B328),INDEX(R_Schedule_Amounts,MATCH(B328,R_Schedule_Times,1)),Starting_Cash),IF(COUNTIFS(R_Schedule_Times,"&gt;"&amp;B327,R_Schedule_Times,"&lt;"&amp;B328),INDEX(R_Schedule_Amounts,MATCH(B328,R_Schedule_Times,1)),K327)),"")</f>
        <v>13880</v>
      </c>
      <c r="I328" s="30">
        <f t="shared" si="25"/>
        <v>40</v>
      </c>
      <c r="J328" s="31">
        <f t="shared" si="26"/>
        <v>0</v>
      </c>
      <c r="K328" s="29">
        <f t="shared" si="27"/>
        <v>13840</v>
      </c>
      <c r="L328" s="31" t="str">
        <f t="shared" si="28"/>
        <v/>
      </c>
      <c r="M328" s="31" t="str">
        <f t="shared" si="29"/>
        <v/>
      </c>
    </row>
    <row r="329" spans="1:13" x14ac:dyDescent="0.15">
      <c r="A329" s="163" t="s">
        <v>210</v>
      </c>
      <c r="B329" s="163">
        <v>42286.331577048608</v>
      </c>
      <c r="C329" s="164" t="s">
        <v>801</v>
      </c>
      <c r="D329" s="164" t="s">
        <v>13</v>
      </c>
      <c r="E329" s="165">
        <v>60</v>
      </c>
      <c r="F329" s="166">
        <v>0</v>
      </c>
      <c r="G329" s="227">
        <f>IF($B$2,IF(ROWS(B$6:$B329) = 1,$B329-Start_Date,$B329-$B328),"")</f>
        <v>8.5051273126737215E-3</v>
      </c>
      <c r="H329" s="29">
        <f>IF($B$2,IF(ROWS(B$6:$B329) = 1,IF(COUNTIFS(R_Schedule_Times,"&lt;"&amp;B329),INDEX(R_Schedule_Amounts,MATCH(B329,R_Schedule_Times,1)),Starting_Cash),IF(COUNTIFS(R_Schedule_Times,"&gt;"&amp;B328,R_Schedule_Times,"&lt;"&amp;B329),INDEX(R_Schedule_Amounts,MATCH(B329,R_Schedule_Times,1)),K328)),"")</f>
        <v>13840</v>
      </c>
      <c r="I329" s="30">
        <f t="shared" si="25"/>
        <v>60</v>
      </c>
      <c r="J329" s="31">
        <f t="shared" si="26"/>
        <v>0</v>
      </c>
      <c r="K329" s="29">
        <f t="shared" si="27"/>
        <v>13780</v>
      </c>
      <c r="L329" s="31" t="str">
        <f t="shared" si="28"/>
        <v/>
      </c>
      <c r="M329" s="31" t="str">
        <f t="shared" si="29"/>
        <v/>
      </c>
    </row>
    <row r="330" spans="1:13" x14ac:dyDescent="0.15">
      <c r="A330" s="163" t="s">
        <v>210</v>
      </c>
      <c r="B330" s="163">
        <v>42286.35695454861</v>
      </c>
      <c r="C330" s="164" t="s">
        <v>97</v>
      </c>
      <c r="D330" s="164" t="s">
        <v>13</v>
      </c>
      <c r="E330" s="165">
        <v>60</v>
      </c>
      <c r="F330" s="166">
        <v>0</v>
      </c>
      <c r="G330" s="227">
        <f>IF($B$2,IF(ROWS(B$6:$B330) = 1,$B330-Start_Date,$B330-$B329),"")</f>
        <v>2.5377500001923181E-2</v>
      </c>
      <c r="H330" s="29">
        <f>IF($B$2,IF(ROWS(B$6:$B330) = 1,IF(COUNTIFS(R_Schedule_Times,"&lt;"&amp;B330),INDEX(R_Schedule_Amounts,MATCH(B330,R_Schedule_Times,1)),Starting_Cash),IF(COUNTIFS(R_Schedule_Times,"&gt;"&amp;B329,R_Schedule_Times,"&lt;"&amp;B330),INDEX(R_Schedule_Amounts,MATCH(B330,R_Schedule_Times,1)),K329)),"")</f>
        <v>13780</v>
      </c>
      <c r="I330" s="30">
        <f t="shared" si="25"/>
        <v>60</v>
      </c>
      <c r="J330" s="31">
        <f t="shared" si="26"/>
        <v>0</v>
      </c>
      <c r="K330" s="29">
        <f t="shared" si="27"/>
        <v>13720</v>
      </c>
      <c r="L330" s="31" t="str">
        <f t="shared" si="28"/>
        <v/>
      </c>
      <c r="M330" s="31" t="str">
        <f t="shared" si="29"/>
        <v/>
      </c>
    </row>
    <row r="331" spans="1:13" x14ac:dyDescent="0.15">
      <c r="A331" s="163" t="s">
        <v>210</v>
      </c>
      <c r="B331" s="163">
        <v>42286.376115613428</v>
      </c>
      <c r="C331" s="164" t="s">
        <v>802</v>
      </c>
      <c r="D331" s="164" t="s">
        <v>13</v>
      </c>
      <c r="E331" s="165">
        <v>60</v>
      </c>
      <c r="F331" s="166">
        <v>0</v>
      </c>
      <c r="G331" s="227">
        <f>IF($B$2,IF(ROWS(B$6:$B331) = 1,$B331-Start_Date,$B331-$B330),"")</f>
        <v>1.9161064818035811E-2</v>
      </c>
      <c r="H331" s="29">
        <f>IF($B$2,IF(ROWS(B$6:$B331) = 1,IF(COUNTIFS(R_Schedule_Times,"&lt;"&amp;B331),INDEX(R_Schedule_Amounts,MATCH(B331,R_Schedule_Times,1)),Starting_Cash),IF(COUNTIFS(R_Schedule_Times,"&gt;"&amp;B330,R_Schedule_Times,"&lt;"&amp;B331),INDEX(R_Schedule_Amounts,MATCH(B331,R_Schedule_Times,1)),K330)),"")</f>
        <v>13720</v>
      </c>
      <c r="I331" s="30">
        <f t="shared" si="25"/>
        <v>60</v>
      </c>
      <c r="J331" s="31">
        <f t="shared" si="26"/>
        <v>0</v>
      </c>
      <c r="K331" s="29">
        <f t="shared" si="27"/>
        <v>13660</v>
      </c>
      <c r="L331" s="31" t="str">
        <f t="shared" si="28"/>
        <v/>
      </c>
      <c r="M331" s="31" t="str">
        <f t="shared" si="29"/>
        <v/>
      </c>
    </row>
    <row r="332" spans="1:13" x14ac:dyDescent="0.15">
      <c r="A332" s="163" t="s">
        <v>210</v>
      </c>
      <c r="B332" s="163">
        <v>42286.378091354163</v>
      </c>
      <c r="C332" s="164" t="s">
        <v>14</v>
      </c>
      <c r="D332" s="164" t="s">
        <v>13</v>
      </c>
      <c r="E332" s="165">
        <v>40</v>
      </c>
      <c r="F332" s="166">
        <v>3.5</v>
      </c>
      <c r="G332" s="227">
        <f>IF($B$2,IF(ROWS(B$6:$B332) = 1,$B332-Start_Date,$B332-$B331),"")</f>
        <v>1.9757407353608869E-3</v>
      </c>
      <c r="H332" s="29">
        <f>IF($B$2,IF(ROWS(B$6:$B332) = 1,IF(COUNTIFS(R_Schedule_Times,"&lt;"&amp;B332),INDEX(R_Schedule_Amounts,MATCH(B332,R_Schedule_Times,1)),Starting_Cash),IF(COUNTIFS(R_Schedule_Times,"&gt;"&amp;B331,R_Schedule_Times,"&lt;"&amp;B332),INDEX(R_Schedule_Amounts,MATCH(B332,R_Schedule_Times,1)),K331)),"")</f>
        <v>13660</v>
      </c>
      <c r="I332" s="30">
        <f t="shared" si="25"/>
        <v>40</v>
      </c>
      <c r="J332" s="31">
        <f t="shared" si="26"/>
        <v>3.5</v>
      </c>
      <c r="K332" s="29">
        <f t="shared" si="27"/>
        <v>13620</v>
      </c>
      <c r="L332" s="31" t="str">
        <f t="shared" si="28"/>
        <v/>
      </c>
      <c r="M332" s="31" t="str">
        <f t="shared" si="29"/>
        <v/>
      </c>
    </row>
    <row r="333" spans="1:13" x14ac:dyDescent="0.15">
      <c r="A333" s="163" t="s">
        <v>210</v>
      </c>
      <c r="B333" s="163">
        <v>42286.418578946759</v>
      </c>
      <c r="C333" s="164" t="s">
        <v>803</v>
      </c>
      <c r="D333" s="164" t="s">
        <v>13</v>
      </c>
      <c r="E333" s="165">
        <v>100</v>
      </c>
      <c r="F333" s="166">
        <v>0</v>
      </c>
      <c r="G333" s="227">
        <f>IF($B$2,IF(ROWS(B$6:$B333) = 1,$B333-Start_Date,$B333-$B332),"")</f>
        <v>4.0487592596036848E-2</v>
      </c>
      <c r="H333" s="29">
        <f>IF($B$2,IF(ROWS(B$6:$B333) = 1,IF(COUNTIFS(R_Schedule_Times,"&lt;"&amp;B333),INDEX(R_Schedule_Amounts,MATCH(B333,R_Schedule_Times,1)),Starting_Cash),IF(COUNTIFS(R_Schedule_Times,"&gt;"&amp;B332,R_Schedule_Times,"&lt;"&amp;B333),INDEX(R_Schedule_Amounts,MATCH(B333,R_Schedule_Times,1)),K332)),"")</f>
        <v>13620</v>
      </c>
      <c r="I333" s="30">
        <f t="shared" si="25"/>
        <v>100</v>
      </c>
      <c r="J333" s="31">
        <f t="shared" si="26"/>
        <v>0</v>
      </c>
      <c r="K333" s="29">
        <f t="shared" si="27"/>
        <v>13520</v>
      </c>
      <c r="L333" s="31" t="str">
        <f t="shared" si="28"/>
        <v/>
      </c>
      <c r="M333" s="31" t="str">
        <f t="shared" si="29"/>
        <v/>
      </c>
    </row>
    <row r="334" spans="1:13" x14ac:dyDescent="0.15">
      <c r="A334" s="163" t="s">
        <v>210</v>
      </c>
      <c r="B334" s="163">
        <v>42286.456761203706</v>
      </c>
      <c r="C334" s="164" t="s">
        <v>804</v>
      </c>
      <c r="D334" s="164" t="s">
        <v>13</v>
      </c>
      <c r="E334" s="165">
        <v>200</v>
      </c>
      <c r="F334" s="166">
        <v>0</v>
      </c>
      <c r="G334" s="227">
        <f>IF($B$2,IF(ROWS(B$6:$B334) = 1,$B334-Start_Date,$B334-$B333),"")</f>
        <v>3.8182256947038695E-2</v>
      </c>
      <c r="H334" s="29">
        <f>IF($B$2,IF(ROWS(B$6:$B334) = 1,IF(COUNTIFS(R_Schedule_Times,"&lt;"&amp;B334),INDEX(R_Schedule_Amounts,MATCH(B334,R_Schedule_Times,1)),Starting_Cash),IF(COUNTIFS(R_Schedule_Times,"&gt;"&amp;B333,R_Schedule_Times,"&lt;"&amp;B334),INDEX(R_Schedule_Amounts,MATCH(B334,R_Schedule_Times,1)),K333)),"")</f>
        <v>13520</v>
      </c>
      <c r="I334" s="30">
        <f t="shared" si="25"/>
        <v>200</v>
      </c>
      <c r="J334" s="31">
        <f t="shared" si="26"/>
        <v>0</v>
      </c>
      <c r="K334" s="29">
        <f t="shared" si="27"/>
        <v>13320</v>
      </c>
      <c r="L334" s="31" t="str">
        <f t="shared" si="28"/>
        <v/>
      </c>
      <c r="M334" s="31" t="str">
        <f t="shared" si="29"/>
        <v/>
      </c>
    </row>
    <row r="335" spans="1:13" x14ac:dyDescent="0.15">
      <c r="A335" s="163" t="s">
        <v>210</v>
      </c>
      <c r="B335" s="163">
        <v>42286.462095115741</v>
      </c>
      <c r="C335" s="164" t="s">
        <v>805</v>
      </c>
      <c r="D335" s="164" t="s">
        <v>13</v>
      </c>
      <c r="E335" s="165">
        <v>40</v>
      </c>
      <c r="F335" s="166">
        <v>0</v>
      </c>
      <c r="G335" s="227">
        <f>IF($B$2,IF(ROWS(B$6:$B335) = 1,$B335-Start_Date,$B335-$B334),"")</f>
        <v>5.333912034984678E-3</v>
      </c>
      <c r="H335" s="29">
        <f>IF($B$2,IF(ROWS(B$6:$B335) = 1,IF(COUNTIFS(R_Schedule_Times,"&lt;"&amp;B335),INDEX(R_Schedule_Amounts,MATCH(B335,R_Schedule_Times,1)),Starting_Cash),IF(COUNTIFS(R_Schedule_Times,"&gt;"&amp;B334,R_Schedule_Times,"&lt;"&amp;B335),INDEX(R_Schedule_Amounts,MATCH(B335,R_Schedule_Times,1)),K334)),"")</f>
        <v>13320</v>
      </c>
      <c r="I335" s="30">
        <f t="shared" si="25"/>
        <v>40</v>
      </c>
      <c r="J335" s="31">
        <f t="shared" si="26"/>
        <v>0</v>
      </c>
      <c r="K335" s="29">
        <f t="shared" si="27"/>
        <v>13280</v>
      </c>
      <c r="L335" s="31" t="str">
        <f t="shared" si="28"/>
        <v/>
      </c>
      <c r="M335" s="31" t="str">
        <f t="shared" si="29"/>
        <v/>
      </c>
    </row>
    <row r="336" spans="1:13" x14ac:dyDescent="0.15">
      <c r="A336" s="163" t="s">
        <v>210</v>
      </c>
      <c r="B336" s="163">
        <v>42286.471016747688</v>
      </c>
      <c r="C336" s="164" t="s">
        <v>806</v>
      </c>
      <c r="D336" s="164" t="s">
        <v>13</v>
      </c>
      <c r="E336" s="165">
        <v>200</v>
      </c>
      <c r="F336" s="166">
        <v>0</v>
      </c>
      <c r="G336" s="227">
        <f>IF($B$2,IF(ROWS(B$6:$B336) = 1,$B336-Start_Date,$B336-$B335),"")</f>
        <v>8.9216319465776905E-3</v>
      </c>
      <c r="H336" s="29">
        <f>IF($B$2,IF(ROWS(B$6:$B336) = 1,IF(COUNTIFS(R_Schedule_Times,"&lt;"&amp;B336),INDEX(R_Schedule_Amounts,MATCH(B336,R_Schedule_Times,1)),Starting_Cash),IF(COUNTIFS(R_Schedule_Times,"&gt;"&amp;B335,R_Schedule_Times,"&lt;"&amp;B336),INDEX(R_Schedule_Amounts,MATCH(B336,R_Schedule_Times,1)),K335)),"")</f>
        <v>13280</v>
      </c>
      <c r="I336" s="30">
        <f t="shared" si="25"/>
        <v>200</v>
      </c>
      <c r="J336" s="31">
        <f t="shared" si="26"/>
        <v>0</v>
      </c>
      <c r="K336" s="29">
        <f t="shared" si="27"/>
        <v>13080</v>
      </c>
      <c r="L336" s="31" t="str">
        <f t="shared" si="28"/>
        <v/>
      </c>
      <c r="M336" s="31" t="str">
        <f t="shared" si="29"/>
        <v/>
      </c>
    </row>
    <row r="337" spans="1:13" x14ac:dyDescent="0.15">
      <c r="A337" s="163" t="s">
        <v>210</v>
      </c>
      <c r="B337" s="163">
        <v>42286.483392858798</v>
      </c>
      <c r="C337" s="164" t="s">
        <v>807</v>
      </c>
      <c r="D337" s="164" t="s">
        <v>13</v>
      </c>
      <c r="E337" s="165">
        <v>100</v>
      </c>
      <c r="F337" s="166">
        <v>0</v>
      </c>
      <c r="G337" s="227">
        <f>IF($B$2,IF(ROWS(B$6:$B337) = 1,$B337-Start_Date,$B337-$B336),"")</f>
        <v>1.2376111109915655E-2</v>
      </c>
      <c r="H337" s="29">
        <f>IF($B$2,IF(ROWS(B$6:$B337) = 1,IF(COUNTIFS(R_Schedule_Times,"&lt;"&amp;B337),INDEX(R_Schedule_Amounts,MATCH(B337,R_Schedule_Times,1)),Starting_Cash),IF(COUNTIFS(R_Schedule_Times,"&gt;"&amp;B336,R_Schedule_Times,"&lt;"&amp;B337),INDEX(R_Schedule_Amounts,MATCH(B337,R_Schedule_Times,1)),K336)),"")</f>
        <v>13080</v>
      </c>
      <c r="I337" s="30">
        <f t="shared" si="25"/>
        <v>100</v>
      </c>
      <c r="J337" s="31">
        <f t="shared" si="26"/>
        <v>0</v>
      </c>
      <c r="K337" s="29">
        <f t="shared" si="27"/>
        <v>12980</v>
      </c>
      <c r="L337" s="31" t="str">
        <f t="shared" si="28"/>
        <v/>
      </c>
      <c r="M337" s="31" t="str">
        <f t="shared" si="29"/>
        <v/>
      </c>
    </row>
    <row r="338" spans="1:13" x14ac:dyDescent="0.15">
      <c r="A338" s="163" t="s">
        <v>210</v>
      </c>
      <c r="B338" s="163">
        <v>42286.486652106483</v>
      </c>
      <c r="C338" s="164" t="s">
        <v>808</v>
      </c>
      <c r="D338" s="164" t="s">
        <v>13</v>
      </c>
      <c r="E338" s="165">
        <v>60</v>
      </c>
      <c r="F338" s="166">
        <v>0</v>
      </c>
      <c r="G338" s="227">
        <f>IF($B$2,IF(ROWS(B$6:$B338) = 1,$B338-Start_Date,$B338-$B337),"")</f>
        <v>3.2592476854915731E-3</v>
      </c>
      <c r="H338" s="29">
        <f>IF($B$2,IF(ROWS(B$6:$B338) = 1,IF(COUNTIFS(R_Schedule_Times,"&lt;"&amp;B338),INDEX(R_Schedule_Amounts,MATCH(B338,R_Schedule_Times,1)),Starting_Cash),IF(COUNTIFS(R_Schedule_Times,"&gt;"&amp;B337,R_Schedule_Times,"&lt;"&amp;B338),INDEX(R_Schedule_Amounts,MATCH(B338,R_Schedule_Times,1)),K337)),"")</f>
        <v>12980</v>
      </c>
      <c r="I338" s="30">
        <f t="shared" si="25"/>
        <v>60</v>
      </c>
      <c r="J338" s="31">
        <f t="shared" si="26"/>
        <v>0</v>
      </c>
      <c r="K338" s="29">
        <f t="shared" si="27"/>
        <v>12920</v>
      </c>
      <c r="L338" s="31" t="str">
        <f t="shared" si="28"/>
        <v/>
      </c>
      <c r="M338" s="31" t="str">
        <f t="shared" si="29"/>
        <v/>
      </c>
    </row>
    <row r="339" spans="1:13" x14ac:dyDescent="0.15">
      <c r="A339" s="163" t="s">
        <v>210</v>
      </c>
      <c r="B339" s="163">
        <v>42286.493767094908</v>
      </c>
      <c r="C339" s="164" t="s">
        <v>809</v>
      </c>
      <c r="D339" s="164" t="s">
        <v>13</v>
      </c>
      <c r="E339" s="165">
        <v>60</v>
      </c>
      <c r="F339" s="166">
        <v>0</v>
      </c>
      <c r="G339" s="227">
        <f>IF($B$2,IF(ROWS(B$6:$B339) = 1,$B339-Start_Date,$B339-$B338),"")</f>
        <v>7.1149884242913686E-3</v>
      </c>
      <c r="H339" s="29">
        <f>IF($B$2,IF(ROWS(B$6:$B339) = 1,IF(COUNTIFS(R_Schedule_Times,"&lt;"&amp;B339),INDEX(R_Schedule_Amounts,MATCH(B339,R_Schedule_Times,1)),Starting_Cash),IF(COUNTIFS(R_Schedule_Times,"&gt;"&amp;B338,R_Schedule_Times,"&lt;"&amp;B339),INDEX(R_Schedule_Amounts,MATCH(B339,R_Schedule_Times,1)),K338)),"")</f>
        <v>12920</v>
      </c>
      <c r="I339" s="30">
        <f t="shared" si="25"/>
        <v>60</v>
      </c>
      <c r="J339" s="31">
        <f t="shared" si="26"/>
        <v>0</v>
      </c>
      <c r="K339" s="29">
        <f t="shared" si="27"/>
        <v>12860</v>
      </c>
      <c r="L339" s="31" t="str">
        <f t="shared" si="28"/>
        <v/>
      </c>
      <c r="M339" s="31" t="str">
        <f t="shared" si="29"/>
        <v/>
      </c>
    </row>
    <row r="340" spans="1:13" x14ac:dyDescent="0.15">
      <c r="A340" s="163" t="s">
        <v>210</v>
      </c>
      <c r="B340" s="163">
        <v>42286.507948125</v>
      </c>
      <c r="C340" s="164" t="s">
        <v>322</v>
      </c>
      <c r="D340" s="164" t="s">
        <v>13</v>
      </c>
      <c r="E340" s="165">
        <v>80</v>
      </c>
      <c r="F340" s="166">
        <v>0</v>
      </c>
      <c r="G340" s="227">
        <f>IF($B$2,IF(ROWS(B$6:$B340) = 1,$B340-Start_Date,$B340-$B339),"")</f>
        <v>1.4181030092004221E-2</v>
      </c>
      <c r="H340" s="29">
        <f>IF($B$2,IF(ROWS(B$6:$B340) = 1,IF(COUNTIFS(R_Schedule_Times,"&lt;"&amp;B340),INDEX(R_Schedule_Amounts,MATCH(B340,R_Schedule_Times,1)),Starting_Cash),IF(COUNTIFS(R_Schedule_Times,"&gt;"&amp;B339,R_Schedule_Times,"&lt;"&amp;B340),INDEX(R_Schedule_Amounts,MATCH(B340,R_Schedule_Times,1)),K339)),"")</f>
        <v>12860</v>
      </c>
      <c r="I340" s="30">
        <f t="shared" si="25"/>
        <v>80</v>
      </c>
      <c r="J340" s="31">
        <f t="shared" si="26"/>
        <v>0</v>
      </c>
      <c r="K340" s="29">
        <f t="shared" si="27"/>
        <v>12780</v>
      </c>
      <c r="L340" s="31" t="str">
        <f t="shared" si="28"/>
        <v/>
      </c>
      <c r="M340" s="31" t="str">
        <f t="shared" si="29"/>
        <v/>
      </c>
    </row>
    <row r="341" spans="1:13" x14ac:dyDescent="0.15">
      <c r="A341" s="163" t="s">
        <v>210</v>
      </c>
      <c r="B341" s="163">
        <v>42286.517983379628</v>
      </c>
      <c r="C341" s="164" t="s">
        <v>810</v>
      </c>
      <c r="D341" s="164" t="s">
        <v>13</v>
      </c>
      <c r="E341" s="165">
        <v>120</v>
      </c>
      <c r="F341" s="166">
        <v>0</v>
      </c>
      <c r="G341" s="227">
        <f>IF($B$2,IF(ROWS(B$6:$B341) = 1,$B341-Start_Date,$B341-$B340),"")</f>
        <v>1.003525462874677E-2</v>
      </c>
      <c r="H341" s="29">
        <f>IF($B$2,IF(ROWS(B$6:$B341) = 1,IF(COUNTIFS(R_Schedule_Times,"&lt;"&amp;B341),INDEX(R_Schedule_Amounts,MATCH(B341,R_Schedule_Times,1)),Starting_Cash),IF(COUNTIFS(R_Schedule_Times,"&gt;"&amp;B340,R_Schedule_Times,"&lt;"&amp;B341),INDEX(R_Schedule_Amounts,MATCH(B341,R_Schedule_Times,1)),K340)),"")</f>
        <v>12780</v>
      </c>
      <c r="I341" s="30">
        <f t="shared" si="25"/>
        <v>120</v>
      </c>
      <c r="J341" s="31">
        <f t="shared" si="26"/>
        <v>0</v>
      </c>
      <c r="K341" s="29">
        <f t="shared" si="27"/>
        <v>12660</v>
      </c>
      <c r="L341" s="31" t="str">
        <f t="shared" si="28"/>
        <v/>
      </c>
      <c r="M341" s="31" t="str">
        <f t="shared" si="29"/>
        <v/>
      </c>
    </row>
    <row r="342" spans="1:13" x14ac:dyDescent="0.15">
      <c r="A342" s="163" t="s">
        <v>210</v>
      </c>
      <c r="B342" s="163">
        <v>42286.519378703706</v>
      </c>
      <c r="C342" s="164" t="s">
        <v>811</v>
      </c>
      <c r="D342" s="164" t="s">
        <v>13</v>
      </c>
      <c r="E342" s="165">
        <v>100</v>
      </c>
      <c r="F342" s="166">
        <v>0</v>
      </c>
      <c r="G342" s="227">
        <f>IF($B$2,IF(ROWS(B$6:$B342) = 1,$B342-Start_Date,$B342-$B341),"")</f>
        <v>1.3953240777482279E-3</v>
      </c>
      <c r="H342" s="29">
        <f>IF($B$2,IF(ROWS(B$6:$B342) = 1,IF(COUNTIFS(R_Schedule_Times,"&lt;"&amp;B342),INDEX(R_Schedule_Amounts,MATCH(B342,R_Schedule_Times,1)),Starting_Cash),IF(COUNTIFS(R_Schedule_Times,"&gt;"&amp;B341,R_Schedule_Times,"&lt;"&amp;B342),INDEX(R_Schedule_Amounts,MATCH(B342,R_Schedule_Times,1)),K341)),"")</f>
        <v>12660</v>
      </c>
      <c r="I342" s="30">
        <f t="shared" si="25"/>
        <v>100</v>
      </c>
      <c r="J342" s="31">
        <f t="shared" si="26"/>
        <v>0</v>
      </c>
      <c r="K342" s="29">
        <f t="shared" si="27"/>
        <v>12560</v>
      </c>
      <c r="L342" s="31" t="str">
        <f t="shared" si="28"/>
        <v/>
      </c>
      <c r="M342" s="31" t="str">
        <f t="shared" si="29"/>
        <v/>
      </c>
    </row>
    <row r="343" spans="1:13" x14ac:dyDescent="0.15">
      <c r="A343" s="163" t="s">
        <v>210</v>
      </c>
      <c r="B343" s="163">
        <v>42286.529744363426</v>
      </c>
      <c r="C343" s="164" t="s">
        <v>812</v>
      </c>
      <c r="D343" s="164" t="s">
        <v>13</v>
      </c>
      <c r="E343" s="165">
        <v>100</v>
      </c>
      <c r="F343" s="166">
        <v>0</v>
      </c>
      <c r="G343" s="227">
        <f>IF($B$2,IF(ROWS(B$6:$B343) = 1,$B343-Start_Date,$B343-$B342),"")</f>
        <v>1.0365659720264375E-2</v>
      </c>
      <c r="H343" s="29">
        <f>IF($B$2,IF(ROWS(B$6:$B343) = 1,IF(COUNTIFS(R_Schedule_Times,"&lt;"&amp;B343),INDEX(R_Schedule_Amounts,MATCH(B343,R_Schedule_Times,1)),Starting_Cash),IF(COUNTIFS(R_Schedule_Times,"&gt;"&amp;B342,R_Schedule_Times,"&lt;"&amp;B343),INDEX(R_Schedule_Amounts,MATCH(B343,R_Schedule_Times,1)),K342)),"")</f>
        <v>12560</v>
      </c>
      <c r="I343" s="30">
        <f t="shared" si="25"/>
        <v>100</v>
      </c>
      <c r="J343" s="31">
        <f t="shared" si="26"/>
        <v>0</v>
      </c>
      <c r="K343" s="29">
        <f t="shared" si="27"/>
        <v>12460</v>
      </c>
      <c r="L343" s="31" t="str">
        <f t="shared" si="28"/>
        <v/>
      </c>
      <c r="M343" s="31" t="str">
        <f t="shared" si="29"/>
        <v/>
      </c>
    </row>
    <row r="344" spans="1:13" x14ac:dyDescent="0.15">
      <c r="A344" s="163" t="s">
        <v>210</v>
      </c>
      <c r="B344" s="163">
        <v>42286.533298287039</v>
      </c>
      <c r="C344" s="164" t="s">
        <v>813</v>
      </c>
      <c r="D344" s="164" t="s">
        <v>13</v>
      </c>
      <c r="E344" s="165">
        <v>60</v>
      </c>
      <c r="F344" s="166">
        <v>0</v>
      </c>
      <c r="G344" s="227">
        <f>IF($B$2,IF(ROWS(B$6:$B344) = 1,$B344-Start_Date,$B344-$B343),"")</f>
        <v>3.5539236123440787E-3</v>
      </c>
      <c r="H344" s="29">
        <f>IF($B$2,IF(ROWS(B$6:$B344) = 1,IF(COUNTIFS(R_Schedule_Times,"&lt;"&amp;B344),INDEX(R_Schedule_Amounts,MATCH(B344,R_Schedule_Times,1)),Starting_Cash),IF(COUNTIFS(R_Schedule_Times,"&gt;"&amp;B343,R_Schedule_Times,"&lt;"&amp;B344),INDEX(R_Schedule_Amounts,MATCH(B344,R_Schedule_Times,1)),K343)),"")</f>
        <v>12460</v>
      </c>
      <c r="I344" s="30">
        <f t="shared" si="25"/>
        <v>60</v>
      </c>
      <c r="J344" s="31">
        <f t="shared" si="26"/>
        <v>0</v>
      </c>
      <c r="K344" s="29">
        <f t="shared" si="27"/>
        <v>12400</v>
      </c>
      <c r="L344" s="31" t="str">
        <f t="shared" si="28"/>
        <v/>
      </c>
      <c r="M344" s="31" t="str">
        <f t="shared" si="29"/>
        <v/>
      </c>
    </row>
    <row r="345" spans="1:13" x14ac:dyDescent="0.15">
      <c r="A345" s="163" t="s">
        <v>210</v>
      </c>
      <c r="B345" s="163">
        <v>42286.533913923609</v>
      </c>
      <c r="C345" s="164" t="s">
        <v>244</v>
      </c>
      <c r="D345" s="164" t="s">
        <v>13</v>
      </c>
      <c r="E345" s="165">
        <v>60</v>
      </c>
      <c r="F345" s="166">
        <v>0</v>
      </c>
      <c r="G345" s="227">
        <f>IF($B$2,IF(ROWS(B$6:$B345) = 1,$B345-Start_Date,$B345-$B344),"")</f>
        <v>6.1563657072838396E-4</v>
      </c>
      <c r="H345" s="29">
        <f>IF($B$2,IF(ROWS(B$6:$B345) = 1,IF(COUNTIFS(R_Schedule_Times,"&lt;"&amp;B345),INDEX(R_Schedule_Amounts,MATCH(B345,R_Schedule_Times,1)),Starting_Cash),IF(COUNTIFS(R_Schedule_Times,"&gt;"&amp;B344,R_Schedule_Times,"&lt;"&amp;B345),INDEX(R_Schedule_Amounts,MATCH(B345,R_Schedule_Times,1)),K344)),"")</f>
        <v>12400</v>
      </c>
      <c r="I345" s="30">
        <f t="shared" si="25"/>
        <v>60</v>
      </c>
      <c r="J345" s="31">
        <f t="shared" si="26"/>
        <v>0</v>
      </c>
      <c r="K345" s="29">
        <f t="shared" si="27"/>
        <v>12340</v>
      </c>
      <c r="L345" s="31" t="str">
        <f t="shared" si="28"/>
        <v/>
      </c>
      <c r="M345" s="31" t="str">
        <f t="shared" si="29"/>
        <v/>
      </c>
    </row>
    <row r="346" spans="1:13" x14ac:dyDescent="0.15">
      <c r="A346" s="163" t="s">
        <v>210</v>
      </c>
      <c r="B346" s="163">
        <v>42286.546296215274</v>
      </c>
      <c r="C346" s="164" t="s">
        <v>814</v>
      </c>
      <c r="D346" s="164" t="s">
        <v>13</v>
      </c>
      <c r="E346" s="165">
        <v>20</v>
      </c>
      <c r="F346" s="166">
        <v>0</v>
      </c>
      <c r="G346" s="227">
        <f>IF($B$2,IF(ROWS(B$6:$B346) = 1,$B346-Start_Date,$B346-$B345),"")</f>
        <v>1.2382291664835066E-2</v>
      </c>
      <c r="H346" s="29">
        <f>IF($B$2,IF(ROWS(B$6:$B346) = 1,IF(COUNTIFS(R_Schedule_Times,"&lt;"&amp;B346),INDEX(R_Schedule_Amounts,MATCH(B346,R_Schedule_Times,1)),Starting_Cash),IF(COUNTIFS(R_Schedule_Times,"&gt;"&amp;B345,R_Schedule_Times,"&lt;"&amp;B346),INDEX(R_Schedule_Amounts,MATCH(B346,R_Schedule_Times,1)),K345)),"")</f>
        <v>12340</v>
      </c>
      <c r="I346" s="30">
        <f t="shared" si="25"/>
        <v>20</v>
      </c>
      <c r="J346" s="31">
        <f t="shared" si="26"/>
        <v>0</v>
      </c>
      <c r="K346" s="29">
        <f t="shared" si="27"/>
        <v>12320</v>
      </c>
      <c r="L346" s="31" t="str">
        <f t="shared" si="28"/>
        <v/>
      </c>
      <c r="M346" s="31" t="str">
        <f t="shared" si="29"/>
        <v/>
      </c>
    </row>
    <row r="347" spans="1:13" x14ac:dyDescent="0.15">
      <c r="A347" s="163" t="s">
        <v>210</v>
      </c>
      <c r="B347" s="163">
        <v>42286.596800358799</v>
      </c>
      <c r="C347" s="164" t="s">
        <v>815</v>
      </c>
      <c r="D347" s="164" t="s">
        <v>13</v>
      </c>
      <c r="E347" s="165">
        <v>200</v>
      </c>
      <c r="F347" s="166">
        <v>0</v>
      </c>
      <c r="G347" s="227">
        <f>IF($B$2,IF(ROWS(B$6:$B347) = 1,$B347-Start_Date,$B347-$B346),"")</f>
        <v>5.0504143524449319E-2</v>
      </c>
      <c r="H347" s="29">
        <f>IF($B$2,IF(ROWS(B$6:$B347) = 1,IF(COUNTIFS(R_Schedule_Times,"&lt;"&amp;B347),INDEX(R_Schedule_Amounts,MATCH(B347,R_Schedule_Times,1)),Starting_Cash),IF(COUNTIFS(R_Schedule_Times,"&gt;"&amp;B346,R_Schedule_Times,"&lt;"&amp;B347),INDEX(R_Schedule_Amounts,MATCH(B347,R_Schedule_Times,1)),K346)),"")</f>
        <v>12320</v>
      </c>
      <c r="I347" s="30">
        <f t="shared" si="25"/>
        <v>200</v>
      </c>
      <c r="J347" s="31">
        <f t="shared" si="26"/>
        <v>0</v>
      </c>
      <c r="K347" s="29">
        <f t="shared" si="27"/>
        <v>12120</v>
      </c>
      <c r="L347" s="31" t="str">
        <f t="shared" si="28"/>
        <v/>
      </c>
      <c r="M347" s="31" t="str">
        <f t="shared" si="29"/>
        <v/>
      </c>
    </row>
    <row r="348" spans="1:13" x14ac:dyDescent="0.15">
      <c r="A348" s="163" t="s">
        <v>210</v>
      </c>
      <c r="B348" s="163">
        <v>42286.608475243054</v>
      </c>
      <c r="C348" s="164" t="s">
        <v>14</v>
      </c>
      <c r="D348" s="164" t="s">
        <v>13</v>
      </c>
      <c r="E348" s="165">
        <v>100</v>
      </c>
      <c r="F348" s="166">
        <v>3.5</v>
      </c>
      <c r="G348" s="227">
        <f>IF($B$2,IF(ROWS(B$6:$B348) = 1,$B348-Start_Date,$B348-$B347),"")</f>
        <v>1.1674884255626239E-2</v>
      </c>
      <c r="H348" s="29">
        <f>IF($B$2,IF(ROWS(B$6:$B348) = 1,IF(COUNTIFS(R_Schedule_Times,"&lt;"&amp;B348),INDEX(R_Schedule_Amounts,MATCH(B348,R_Schedule_Times,1)),Starting_Cash),IF(COUNTIFS(R_Schedule_Times,"&gt;"&amp;B347,R_Schedule_Times,"&lt;"&amp;B348),INDEX(R_Schedule_Amounts,MATCH(B348,R_Schedule_Times,1)),K347)),"")</f>
        <v>12120</v>
      </c>
      <c r="I348" s="30">
        <f t="shared" si="25"/>
        <v>100</v>
      </c>
      <c r="J348" s="31">
        <f t="shared" si="26"/>
        <v>3.5</v>
      </c>
      <c r="K348" s="29">
        <f t="shared" si="27"/>
        <v>12020</v>
      </c>
      <c r="L348" s="31" t="str">
        <f t="shared" si="28"/>
        <v/>
      </c>
      <c r="M348" s="31" t="str">
        <f t="shared" si="29"/>
        <v/>
      </c>
    </row>
    <row r="349" spans="1:13" x14ac:dyDescent="0.15">
      <c r="A349" s="163" t="s">
        <v>210</v>
      </c>
      <c r="B349" s="163">
        <v>42286.622918298614</v>
      </c>
      <c r="C349" s="164" t="s">
        <v>816</v>
      </c>
      <c r="D349" s="164" t="s">
        <v>13</v>
      </c>
      <c r="E349" s="165">
        <v>100</v>
      </c>
      <c r="F349" s="166">
        <v>0</v>
      </c>
      <c r="G349" s="227">
        <f>IF($B$2,IF(ROWS(B$6:$B349) = 1,$B349-Start_Date,$B349-$B348),"")</f>
        <v>1.4443055559240747E-2</v>
      </c>
      <c r="H349" s="29">
        <f>IF($B$2,IF(ROWS(B$6:$B349) = 1,IF(COUNTIFS(R_Schedule_Times,"&lt;"&amp;B349),INDEX(R_Schedule_Amounts,MATCH(B349,R_Schedule_Times,1)),Starting_Cash),IF(COUNTIFS(R_Schedule_Times,"&gt;"&amp;B348,R_Schedule_Times,"&lt;"&amp;B349),INDEX(R_Schedule_Amounts,MATCH(B349,R_Schedule_Times,1)),K348)),"")</f>
        <v>12020</v>
      </c>
      <c r="I349" s="30">
        <f t="shared" si="25"/>
        <v>100</v>
      </c>
      <c r="J349" s="31">
        <f t="shared" si="26"/>
        <v>0</v>
      </c>
      <c r="K349" s="29">
        <f t="shared" si="27"/>
        <v>11920</v>
      </c>
      <c r="L349" s="31" t="str">
        <f t="shared" si="28"/>
        <v/>
      </c>
      <c r="M349" s="31" t="str">
        <f t="shared" si="29"/>
        <v/>
      </c>
    </row>
    <row r="350" spans="1:13" x14ac:dyDescent="0.15">
      <c r="A350" s="163" t="s">
        <v>210</v>
      </c>
      <c r="B350" s="163">
        <v>42286.631382685184</v>
      </c>
      <c r="C350" s="164" t="s">
        <v>817</v>
      </c>
      <c r="D350" s="164" t="s">
        <v>13</v>
      </c>
      <c r="E350" s="165">
        <v>20</v>
      </c>
      <c r="F350" s="166">
        <v>0</v>
      </c>
      <c r="G350" s="227">
        <f>IF($B$2,IF(ROWS(B$6:$B350) = 1,$B350-Start_Date,$B350-$B349),"")</f>
        <v>8.4643865702673793E-3</v>
      </c>
      <c r="H350" s="29">
        <f>IF($B$2,IF(ROWS(B$6:$B350) = 1,IF(COUNTIFS(R_Schedule_Times,"&lt;"&amp;B350),INDEX(R_Schedule_Amounts,MATCH(B350,R_Schedule_Times,1)),Starting_Cash),IF(COUNTIFS(R_Schedule_Times,"&gt;"&amp;B349,R_Schedule_Times,"&lt;"&amp;B350),INDEX(R_Schedule_Amounts,MATCH(B350,R_Schedule_Times,1)),K349)),"")</f>
        <v>11920</v>
      </c>
      <c r="I350" s="30">
        <f t="shared" si="25"/>
        <v>20</v>
      </c>
      <c r="J350" s="31">
        <f t="shared" si="26"/>
        <v>0</v>
      </c>
      <c r="K350" s="29">
        <f t="shared" si="27"/>
        <v>11900</v>
      </c>
      <c r="L350" s="31" t="str">
        <f t="shared" si="28"/>
        <v/>
      </c>
      <c r="M350" s="31" t="str">
        <f t="shared" si="29"/>
        <v/>
      </c>
    </row>
    <row r="351" spans="1:13" x14ac:dyDescent="0.15">
      <c r="A351" s="163" t="s">
        <v>210</v>
      </c>
      <c r="B351" s="163">
        <v>42286.632961111114</v>
      </c>
      <c r="C351" s="164" t="s">
        <v>14</v>
      </c>
      <c r="D351" s="164" t="s">
        <v>13</v>
      </c>
      <c r="E351" s="165">
        <v>60</v>
      </c>
      <c r="F351" s="166">
        <v>3.5</v>
      </c>
      <c r="G351" s="227">
        <f>IF($B$2,IF(ROWS(B$6:$B351) = 1,$B351-Start_Date,$B351-$B350),"")</f>
        <v>1.5784259303472936E-3</v>
      </c>
      <c r="H351" s="29">
        <f>IF($B$2,IF(ROWS(B$6:$B351) = 1,IF(COUNTIFS(R_Schedule_Times,"&lt;"&amp;B351),INDEX(R_Schedule_Amounts,MATCH(B351,R_Schedule_Times,1)),Starting_Cash),IF(COUNTIFS(R_Schedule_Times,"&gt;"&amp;B350,R_Schedule_Times,"&lt;"&amp;B351),INDEX(R_Schedule_Amounts,MATCH(B351,R_Schedule_Times,1)),K350)),"")</f>
        <v>11900</v>
      </c>
      <c r="I351" s="30">
        <f t="shared" si="25"/>
        <v>60</v>
      </c>
      <c r="J351" s="31">
        <f t="shared" si="26"/>
        <v>3.5</v>
      </c>
      <c r="K351" s="29">
        <f t="shared" si="27"/>
        <v>11840</v>
      </c>
      <c r="L351" s="31" t="str">
        <f t="shared" si="28"/>
        <v/>
      </c>
      <c r="M351" s="31" t="str">
        <f t="shared" si="29"/>
        <v/>
      </c>
    </row>
    <row r="352" spans="1:13" x14ac:dyDescent="0.15">
      <c r="A352" s="163" t="s">
        <v>210</v>
      </c>
      <c r="B352" s="163">
        <v>42286.704152812497</v>
      </c>
      <c r="C352" s="164" t="s">
        <v>818</v>
      </c>
      <c r="D352" s="164" t="s">
        <v>13</v>
      </c>
      <c r="E352" s="165">
        <v>500</v>
      </c>
      <c r="F352" s="166">
        <v>0</v>
      </c>
      <c r="G352" s="227">
        <f>IF($B$2,IF(ROWS(B$6:$B352) = 1,$B352-Start_Date,$B352-$B351),"")</f>
        <v>7.1191701383213513E-2</v>
      </c>
      <c r="H352" s="29">
        <f>IF($B$2,IF(ROWS(B$6:$B352) = 1,IF(COUNTIFS(R_Schedule_Times,"&lt;"&amp;B352),INDEX(R_Schedule_Amounts,MATCH(B352,R_Schedule_Times,1)),Starting_Cash),IF(COUNTIFS(R_Schedule_Times,"&gt;"&amp;B351,R_Schedule_Times,"&lt;"&amp;B352),INDEX(R_Schedule_Amounts,MATCH(B352,R_Schedule_Times,1)),K351)),"")</f>
        <v>11840</v>
      </c>
      <c r="I352" s="30">
        <f t="shared" si="25"/>
        <v>500</v>
      </c>
      <c r="J352" s="31">
        <f t="shared" si="26"/>
        <v>0</v>
      </c>
      <c r="K352" s="29">
        <f t="shared" si="27"/>
        <v>11340</v>
      </c>
      <c r="L352" s="31" t="str">
        <f t="shared" si="28"/>
        <v/>
      </c>
      <c r="M352" s="31" t="str">
        <f t="shared" si="29"/>
        <v/>
      </c>
    </row>
    <row r="353" spans="1:13" x14ac:dyDescent="0.15">
      <c r="A353" s="163" t="s">
        <v>210</v>
      </c>
      <c r="B353" s="163">
        <v>42286.7060178588</v>
      </c>
      <c r="C353" s="164" t="s">
        <v>819</v>
      </c>
      <c r="D353" s="164" t="s">
        <v>13</v>
      </c>
      <c r="E353" s="165">
        <v>20</v>
      </c>
      <c r="F353" s="166">
        <v>0</v>
      </c>
      <c r="G353" s="227">
        <f>IF($B$2,IF(ROWS(B$6:$B353) = 1,$B353-Start_Date,$B353-$B352),"")</f>
        <v>1.8650463025551289E-3</v>
      </c>
      <c r="H353" s="29">
        <f>IF($B$2,IF(ROWS(B$6:$B353) = 1,IF(COUNTIFS(R_Schedule_Times,"&lt;"&amp;B353),INDEX(R_Schedule_Amounts,MATCH(B353,R_Schedule_Times,1)),Starting_Cash),IF(COUNTIFS(R_Schedule_Times,"&gt;"&amp;B352,R_Schedule_Times,"&lt;"&amp;B353),INDEX(R_Schedule_Amounts,MATCH(B353,R_Schedule_Times,1)),K352)),"")</f>
        <v>11340</v>
      </c>
      <c r="I353" s="30">
        <f t="shared" si="25"/>
        <v>20</v>
      </c>
      <c r="J353" s="31">
        <f t="shared" si="26"/>
        <v>0</v>
      </c>
      <c r="K353" s="29">
        <f t="shared" si="27"/>
        <v>11320</v>
      </c>
      <c r="L353" s="31" t="str">
        <f t="shared" si="28"/>
        <v/>
      </c>
      <c r="M353" s="31" t="str">
        <f t="shared" si="29"/>
        <v/>
      </c>
    </row>
    <row r="354" spans="1:13" x14ac:dyDescent="0.15">
      <c r="A354" s="163" t="s">
        <v>210</v>
      </c>
      <c r="B354" s="163">
        <v>42286.711404444446</v>
      </c>
      <c r="C354" s="164" t="s">
        <v>820</v>
      </c>
      <c r="D354" s="164" t="s">
        <v>13</v>
      </c>
      <c r="E354" s="165">
        <v>100</v>
      </c>
      <c r="F354" s="166">
        <v>0</v>
      </c>
      <c r="G354" s="227">
        <f>IF($B$2,IF(ROWS(B$6:$B354) = 1,$B354-Start_Date,$B354-$B353),"")</f>
        <v>5.3865856461925432E-3</v>
      </c>
      <c r="H354" s="29">
        <f>IF($B$2,IF(ROWS(B$6:$B354) = 1,IF(COUNTIFS(R_Schedule_Times,"&lt;"&amp;B354),INDEX(R_Schedule_Amounts,MATCH(B354,R_Schedule_Times,1)),Starting_Cash),IF(COUNTIFS(R_Schedule_Times,"&gt;"&amp;B353,R_Schedule_Times,"&lt;"&amp;B354),INDEX(R_Schedule_Amounts,MATCH(B354,R_Schedule_Times,1)),K353)),"")</f>
        <v>11320</v>
      </c>
      <c r="I354" s="30">
        <f t="shared" si="25"/>
        <v>100</v>
      </c>
      <c r="J354" s="31">
        <f t="shared" si="26"/>
        <v>0</v>
      </c>
      <c r="K354" s="29">
        <f t="shared" si="27"/>
        <v>11220</v>
      </c>
      <c r="L354" s="31" t="str">
        <f t="shared" si="28"/>
        <v/>
      </c>
      <c r="M354" s="31" t="str">
        <f t="shared" si="29"/>
        <v/>
      </c>
    </row>
    <row r="355" spans="1:13" x14ac:dyDescent="0.15">
      <c r="A355" s="163" t="s">
        <v>210</v>
      </c>
      <c r="B355" s="163">
        <v>42286.724482025464</v>
      </c>
      <c r="C355" s="164" t="s">
        <v>821</v>
      </c>
      <c r="D355" s="164" t="s">
        <v>13</v>
      </c>
      <c r="E355" s="165">
        <v>100</v>
      </c>
      <c r="F355" s="166">
        <v>0</v>
      </c>
      <c r="G355" s="227">
        <f>IF($B$2,IF(ROWS(B$6:$B355) = 1,$B355-Start_Date,$B355-$B354),"")</f>
        <v>1.3077581017569173E-2</v>
      </c>
      <c r="H355" s="29">
        <f>IF($B$2,IF(ROWS(B$6:$B355) = 1,IF(COUNTIFS(R_Schedule_Times,"&lt;"&amp;B355),INDEX(R_Schedule_Amounts,MATCH(B355,R_Schedule_Times,1)),Starting_Cash),IF(COUNTIFS(R_Schedule_Times,"&gt;"&amp;B354,R_Schedule_Times,"&lt;"&amp;B355),INDEX(R_Schedule_Amounts,MATCH(B355,R_Schedule_Times,1)),K354)),"")</f>
        <v>11220</v>
      </c>
      <c r="I355" s="30">
        <f t="shared" si="25"/>
        <v>100</v>
      </c>
      <c r="J355" s="31">
        <f t="shared" si="26"/>
        <v>0</v>
      </c>
      <c r="K355" s="29">
        <f t="shared" si="27"/>
        <v>11120</v>
      </c>
      <c r="L355" s="31" t="str">
        <f t="shared" si="28"/>
        <v/>
      </c>
      <c r="M355" s="31" t="str">
        <f t="shared" si="29"/>
        <v/>
      </c>
    </row>
    <row r="356" spans="1:13" x14ac:dyDescent="0.15">
      <c r="A356" s="163" t="s">
        <v>210</v>
      </c>
      <c r="B356" s="163">
        <v>42286.753317650466</v>
      </c>
      <c r="C356" s="164" t="s">
        <v>14</v>
      </c>
      <c r="D356" s="164" t="s">
        <v>13</v>
      </c>
      <c r="E356" s="165">
        <v>20</v>
      </c>
      <c r="F356" s="166">
        <v>3.5</v>
      </c>
      <c r="G356" s="227">
        <f>IF($B$2,IF(ROWS(B$6:$B356) = 1,$B356-Start_Date,$B356-$B355),"")</f>
        <v>2.8835625002102461E-2</v>
      </c>
      <c r="H356" s="29">
        <f>IF($B$2,IF(ROWS(B$6:$B356) = 1,IF(COUNTIFS(R_Schedule_Times,"&lt;"&amp;B356),INDEX(R_Schedule_Amounts,MATCH(B356,R_Schedule_Times,1)),Starting_Cash),IF(COUNTIFS(R_Schedule_Times,"&gt;"&amp;B355,R_Schedule_Times,"&lt;"&amp;B356),INDEX(R_Schedule_Amounts,MATCH(B356,R_Schedule_Times,1)),K355)),"")</f>
        <v>11120</v>
      </c>
      <c r="I356" s="30">
        <f t="shared" si="25"/>
        <v>20</v>
      </c>
      <c r="J356" s="31">
        <f t="shared" si="26"/>
        <v>3.5</v>
      </c>
      <c r="K356" s="29">
        <f t="shared" si="27"/>
        <v>11100</v>
      </c>
      <c r="L356" s="31" t="str">
        <f t="shared" si="28"/>
        <v/>
      </c>
      <c r="M356" s="31" t="str">
        <f t="shared" si="29"/>
        <v/>
      </c>
    </row>
    <row r="357" spans="1:13" x14ac:dyDescent="0.15">
      <c r="A357" s="163" t="s">
        <v>210</v>
      </c>
      <c r="B357" s="163">
        <v>42286.769610474534</v>
      </c>
      <c r="C357" s="164" t="s">
        <v>822</v>
      </c>
      <c r="D357" s="164" t="s">
        <v>13</v>
      </c>
      <c r="E357" s="165">
        <v>40</v>
      </c>
      <c r="F357" s="166">
        <v>0</v>
      </c>
      <c r="G357" s="227">
        <f>IF($B$2,IF(ROWS(B$6:$B357) = 1,$B357-Start_Date,$B357-$B356),"")</f>
        <v>1.6292824067932088E-2</v>
      </c>
      <c r="H357" s="29">
        <f>IF($B$2,IF(ROWS(B$6:$B357) = 1,IF(COUNTIFS(R_Schedule_Times,"&lt;"&amp;B357),INDEX(R_Schedule_Amounts,MATCH(B357,R_Schedule_Times,1)),Starting_Cash),IF(COUNTIFS(R_Schedule_Times,"&gt;"&amp;B356,R_Schedule_Times,"&lt;"&amp;B357),INDEX(R_Schedule_Amounts,MATCH(B357,R_Schedule_Times,1)),K356)),"")</f>
        <v>11100</v>
      </c>
      <c r="I357" s="30">
        <f t="shared" si="25"/>
        <v>40</v>
      </c>
      <c r="J357" s="31">
        <f t="shared" si="26"/>
        <v>0</v>
      </c>
      <c r="K357" s="29">
        <f t="shared" si="27"/>
        <v>11060</v>
      </c>
      <c r="L357" s="31" t="str">
        <f t="shared" si="28"/>
        <v/>
      </c>
      <c r="M357" s="31" t="str">
        <f t="shared" si="29"/>
        <v/>
      </c>
    </row>
    <row r="358" spans="1:13" x14ac:dyDescent="0.15">
      <c r="A358" s="163" t="s">
        <v>210</v>
      </c>
      <c r="B358" s="163">
        <v>42286.780994976849</v>
      </c>
      <c r="C358" s="164" t="s">
        <v>823</v>
      </c>
      <c r="D358" s="164" t="s">
        <v>13</v>
      </c>
      <c r="E358" s="165">
        <v>100</v>
      </c>
      <c r="F358" s="166">
        <v>0</v>
      </c>
      <c r="G358" s="227">
        <f>IF($B$2,IF(ROWS(B$6:$B358) = 1,$B358-Start_Date,$B358-$B357),"")</f>
        <v>1.1384502315195277E-2</v>
      </c>
      <c r="H358" s="29">
        <f>IF($B$2,IF(ROWS(B$6:$B358) = 1,IF(COUNTIFS(R_Schedule_Times,"&lt;"&amp;B358),INDEX(R_Schedule_Amounts,MATCH(B358,R_Schedule_Times,1)),Starting_Cash),IF(COUNTIFS(R_Schedule_Times,"&gt;"&amp;B357,R_Schedule_Times,"&lt;"&amp;B358),INDEX(R_Schedule_Amounts,MATCH(B358,R_Schedule_Times,1)),K357)),"")</f>
        <v>11060</v>
      </c>
      <c r="I358" s="30">
        <f t="shared" si="25"/>
        <v>100</v>
      </c>
      <c r="J358" s="31">
        <f t="shared" si="26"/>
        <v>0</v>
      </c>
      <c r="K358" s="29">
        <f t="shared" si="27"/>
        <v>10960</v>
      </c>
      <c r="L358" s="31" t="str">
        <f t="shared" si="28"/>
        <v/>
      </c>
      <c r="M358" s="31" t="str">
        <f t="shared" si="29"/>
        <v/>
      </c>
    </row>
    <row r="359" spans="1:13" x14ac:dyDescent="0.15">
      <c r="A359" s="163" t="s">
        <v>210</v>
      </c>
      <c r="B359" s="163">
        <v>42286.793669976854</v>
      </c>
      <c r="C359" s="164" t="s">
        <v>824</v>
      </c>
      <c r="D359" s="164" t="s">
        <v>13</v>
      </c>
      <c r="E359" s="165">
        <v>200</v>
      </c>
      <c r="F359" s="166">
        <v>0</v>
      </c>
      <c r="G359" s="227">
        <f>IF($B$2,IF(ROWS(B$6:$B359) = 1,$B359-Start_Date,$B359-$B358),"")</f>
        <v>1.2675000005401671E-2</v>
      </c>
      <c r="H359" s="29">
        <f>IF($B$2,IF(ROWS(B$6:$B359) = 1,IF(COUNTIFS(R_Schedule_Times,"&lt;"&amp;B359),INDEX(R_Schedule_Amounts,MATCH(B359,R_Schedule_Times,1)),Starting_Cash),IF(COUNTIFS(R_Schedule_Times,"&gt;"&amp;B358,R_Schedule_Times,"&lt;"&amp;B359),INDEX(R_Schedule_Amounts,MATCH(B359,R_Schedule_Times,1)),K358)),"")</f>
        <v>10960</v>
      </c>
      <c r="I359" s="30">
        <f t="shared" si="25"/>
        <v>200</v>
      </c>
      <c r="J359" s="31">
        <f t="shared" si="26"/>
        <v>0</v>
      </c>
      <c r="K359" s="29">
        <f t="shared" si="27"/>
        <v>10760</v>
      </c>
      <c r="L359" s="31" t="str">
        <f t="shared" si="28"/>
        <v/>
      </c>
      <c r="M359" s="31" t="str">
        <f t="shared" si="29"/>
        <v/>
      </c>
    </row>
    <row r="360" spans="1:13" x14ac:dyDescent="0.15">
      <c r="A360" s="163" t="s">
        <v>210</v>
      </c>
      <c r="B360" s="163">
        <v>42286.799760034723</v>
      </c>
      <c r="C360" s="164" t="s">
        <v>323</v>
      </c>
      <c r="D360" s="164" t="s">
        <v>13</v>
      </c>
      <c r="E360" s="165">
        <v>100</v>
      </c>
      <c r="F360" s="166">
        <v>0</v>
      </c>
      <c r="G360" s="227">
        <f>IF($B$2,IF(ROWS(B$6:$B360) = 1,$B360-Start_Date,$B360-$B359),"")</f>
        <v>6.0900578682776541E-3</v>
      </c>
      <c r="H360" s="29">
        <f>IF($B$2,IF(ROWS(B$6:$B360) = 1,IF(COUNTIFS(R_Schedule_Times,"&lt;"&amp;B360),INDEX(R_Schedule_Amounts,MATCH(B360,R_Schedule_Times,1)),Starting_Cash),IF(COUNTIFS(R_Schedule_Times,"&gt;"&amp;B359,R_Schedule_Times,"&lt;"&amp;B360),INDEX(R_Schedule_Amounts,MATCH(B360,R_Schedule_Times,1)),K359)),"")</f>
        <v>10760</v>
      </c>
      <c r="I360" s="30">
        <f t="shared" si="25"/>
        <v>100</v>
      </c>
      <c r="J360" s="31">
        <f t="shared" si="26"/>
        <v>0</v>
      </c>
      <c r="K360" s="29">
        <f t="shared" si="27"/>
        <v>10660</v>
      </c>
      <c r="L360" s="31" t="str">
        <f t="shared" si="28"/>
        <v/>
      </c>
      <c r="M360" s="31" t="str">
        <f t="shared" si="29"/>
        <v/>
      </c>
    </row>
    <row r="361" spans="1:13" x14ac:dyDescent="0.15">
      <c r="A361" s="163" t="s">
        <v>210</v>
      </c>
      <c r="B361" s="163">
        <v>42286.85917236111</v>
      </c>
      <c r="C361" s="164" t="s">
        <v>14</v>
      </c>
      <c r="D361" s="164" t="s">
        <v>13</v>
      </c>
      <c r="E361" s="165">
        <v>200</v>
      </c>
      <c r="F361" s="166">
        <v>3.5</v>
      </c>
      <c r="G361" s="227">
        <f>IF($B$2,IF(ROWS(B$6:$B361) = 1,$B361-Start_Date,$B361-$B360),"")</f>
        <v>5.9412326387246139E-2</v>
      </c>
      <c r="H361" s="29">
        <f>IF($B$2,IF(ROWS(B$6:$B361) = 1,IF(COUNTIFS(R_Schedule_Times,"&lt;"&amp;B361),INDEX(R_Schedule_Amounts,MATCH(B361,R_Schedule_Times,1)),Starting_Cash),IF(COUNTIFS(R_Schedule_Times,"&gt;"&amp;B360,R_Schedule_Times,"&lt;"&amp;B361),INDEX(R_Schedule_Amounts,MATCH(B361,R_Schedule_Times,1)),K360)),"")</f>
        <v>10660</v>
      </c>
      <c r="I361" s="30">
        <f t="shared" si="25"/>
        <v>200</v>
      </c>
      <c r="J361" s="31">
        <f t="shared" si="26"/>
        <v>3.5</v>
      </c>
      <c r="K361" s="29">
        <f t="shared" si="27"/>
        <v>10460</v>
      </c>
      <c r="L361" s="31" t="str">
        <f t="shared" si="28"/>
        <v/>
      </c>
      <c r="M361" s="31" t="str">
        <f t="shared" si="29"/>
        <v/>
      </c>
    </row>
    <row r="362" spans="1:13" x14ac:dyDescent="0.15">
      <c r="A362" s="163" t="s">
        <v>210</v>
      </c>
      <c r="B362" s="163">
        <v>42286.888979282405</v>
      </c>
      <c r="C362" s="164" t="s">
        <v>107</v>
      </c>
      <c r="D362" s="164" t="s">
        <v>13</v>
      </c>
      <c r="E362" s="165">
        <v>40</v>
      </c>
      <c r="F362" s="166">
        <v>0</v>
      </c>
      <c r="G362" s="227">
        <f>IF($B$2,IF(ROWS(B$6:$B362) = 1,$B362-Start_Date,$B362-$B361),"")</f>
        <v>2.9806921294948552E-2</v>
      </c>
      <c r="H362" s="29">
        <f>IF($B$2,IF(ROWS(B$6:$B362) = 1,IF(COUNTIFS(R_Schedule_Times,"&lt;"&amp;B362),INDEX(R_Schedule_Amounts,MATCH(B362,R_Schedule_Times,1)),Starting_Cash),IF(COUNTIFS(R_Schedule_Times,"&gt;"&amp;B361,R_Schedule_Times,"&lt;"&amp;B362),INDEX(R_Schedule_Amounts,MATCH(B362,R_Schedule_Times,1)),K361)),"")</f>
        <v>10460</v>
      </c>
      <c r="I362" s="30">
        <f t="shared" si="25"/>
        <v>40</v>
      </c>
      <c r="J362" s="31">
        <f t="shared" si="26"/>
        <v>0</v>
      </c>
      <c r="K362" s="29">
        <f t="shared" si="27"/>
        <v>10420</v>
      </c>
      <c r="L362" s="31" t="str">
        <f t="shared" si="28"/>
        <v/>
      </c>
      <c r="M362" s="31" t="str">
        <f t="shared" si="29"/>
        <v/>
      </c>
    </row>
    <row r="363" spans="1:13" x14ac:dyDescent="0.15">
      <c r="A363" s="163" t="s">
        <v>210</v>
      </c>
      <c r="B363" s="163">
        <v>42286.914136539352</v>
      </c>
      <c r="C363" s="164" t="s">
        <v>825</v>
      </c>
      <c r="D363" s="164" t="s">
        <v>13</v>
      </c>
      <c r="E363" s="165">
        <v>440</v>
      </c>
      <c r="F363" s="166">
        <v>0</v>
      </c>
      <c r="G363" s="227">
        <f>IF($B$2,IF(ROWS(B$6:$B363) = 1,$B363-Start_Date,$B363-$B362),"")</f>
        <v>2.5157256946840789E-2</v>
      </c>
      <c r="H363" s="29">
        <f>IF($B$2,IF(ROWS(B$6:$B363) = 1,IF(COUNTIFS(R_Schedule_Times,"&lt;"&amp;B363),INDEX(R_Schedule_Amounts,MATCH(B363,R_Schedule_Times,1)),Starting_Cash),IF(COUNTIFS(R_Schedule_Times,"&gt;"&amp;B362,R_Schedule_Times,"&lt;"&amp;B363),INDEX(R_Schedule_Amounts,MATCH(B363,R_Schedule_Times,1)),K362)),"")</f>
        <v>10420</v>
      </c>
      <c r="I363" s="30">
        <f t="shared" si="25"/>
        <v>440</v>
      </c>
      <c r="J363" s="31">
        <f t="shared" si="26"/>
        <v>0</v>
      </c>
      <c r="K363" s="29">
        <f t="shared" si="27"/>
        <v>9980</v>
      </c>
      <c r="L363" s="31" t="str">
        <f t="shared" si="28"/>
        <v/>
      </c>
      <c r="M363" s="31" t="str">
        <f t="shared" si="29"/>
        <v/>
      </c>
    </row>
    <row r="364" spans="1:13" x14ac:dyDescent="0.15">
      <c r="A364" s="163" t="s">
        <v>210</v>
      </c>
      <c r="B364" s="163">
        <v>42286.937185069444</v>
      </c>
      <c r="C364" s="164" t="s">
        <v>826</v>
      </c>
      <c r="D364" s="164" t="s">
        <v>13</v>
      </c>
      <c r="E364" s="165">
        <v>80</v>
      </c>
      <c r="F364" s="166">
        <v>0</v>
      </c>
      <c r="G364" s="227">
        <f>IF($B$2,IF(ROWS(B$6:$B364) = 1,$B364-Start_Date,$B364-$B363),"")</f>
        <v>2.304853009263752E-2</v>
      </c>
      <c r="H364" s="29">
        <f>IF($B$2,IF(ROWS(B$6:$B364) = 1,IF(COUNTIFS(R_Schedule_Times,"&lt;"&amp;B364),INDEX(R_Schedule_Amounts,MATCH(B364,R_Schedule_Times,1)),Starting_Cash),IF(COUNTIFS(R_Schedule_Times,"&gt;"&amp;B363,R_Schedule_Times,"&lt;"&amp;B364),INDEX(R_Schedule_Amounts,MATCH(B364,R_Schedule_Times,1)),K363)),"")</f>
        <v>9980</v>
      </c>
      <c r="I364" s="30">
        <f t="shared" si="25"/>
        <v>80</v>
      </c>
      <c r="J364" s="31">
        <f t="shared" si="26"/>
        <v>0</v>
      </c>
      <c r="K364" s="29">
        <f t="shared" si="27"/>
        <v>9900</v>
      </c>
      <c r="L364" s="31" t="str">
        <f t="shared" si="28"/>
        <v/>
      </c>
      <c r="M364" s="31" t="str">
        <f t="shared" si="29"/>
        <v/>
      </c>
    </row>
    <row r="365" spans="1:13" x14ac:dyDescent="0.15">
      <c r="A365" s="163" t="s">
        <v>210</v>
      </c>
      <c r="B365" s="163">
        <v>42286.94303318287</v>
      </c>
      <c r="C365" s="164" t="s">
        <v>827</v>
      </c>
      <c r="D365" s="164" t="s">
        <v>13</v>
      </c>
      <c r="E365" s="165">
        <v>20</v>
      </c>
      <c r="F365" s="166">
        <v>0</v>
      </c>
      <c r="G365" s="227">
        <f>IF($B$2,IF(ROWS(B$6:$B365) = 1,$B365-Start_Date,$B365-$B364),"")</f>
        <v>5.8481134255998768E-3</v>
      </c>
      <c r="H365" s="29">
        <f>IF($B$2,IF(ROWS(B$6:$B365) = 1,IF(COUNTIFS(R_Schedule_Times,"&lt;"&amp;B365),INDEX(R_Schedule_Amounts,MATCH(B365,R_Schedule_Times,1)),Starting_Cash),IF(COUNTIFS(R_Schedule_Times,"&gt;"&amp;B364,R_Schedule_Times,"&lt;"&amp;B365),INDEX(R_Schedule_Amounts,MATCH(B365,R_Schedule_Times,1)),K364)),"")</f>
        <v>9900</v>
      </c>
      <c r="I365" s="30">
        <f t="shared" si="25"/>
        <v>20</v>
      </c>
      <c r="J365" s="31">
        <f t="shared" si="26"/>
        <v>0</v>
      </c>
      <c r="K365" s="29">
        <f t="shared" si="27"/>
        <v>9880</v>
      </c>
      <c r="L365" s="31" t="str">
        <f t="shared" si="28"/>
        <v/>
      </c>
      <c r="M365" s="31" t="str">
        <f t="shared" si="29"/>
        <v/>
      </c>
    </row>
    <row r="366" spans="1:13" x14ac:dyDescent="0.15">
      <c r="A366" s="163" t="s">
        <v>210</v>
      </c>
      <c r="B366" s="163">
        <v>42286.990605370367</v>
      </c>
      <c r="C366" s="164" t="s">
        <v>828</v>
      </c>
      <c r="D366" s="164" t="s">
        <v>13</v>
      </c>
      <c r="E366" s="165">
        <v>40</v>
      </c>
      <c r="F366" s="166">
        <v>0</v>
      </c>
      <c r="G366" s="227">
        <f>IF($B$2,IF(ROWS(B$6:$B366) = 1,$B366-Start_Date,$B366-$B365),"")</f>
        <v>4.7572187497280538E-2</v>
      </c>
      <c r="H366" s="29">
        <f>IF($B$2,IF(ROWS(B$6:$B366) = 1,IF(COUNTIFS(R_Schedule_Times,"&lt;"&amp;B366),INDEX(R_Schedule_Amounts,MATCH(B366,R_Schedule_Times,1)),Starting_Cash),IF(COUNTIFS(R_Schedule_Times,"&gt;"&amp;B365,R_Schedule_Times,"&lt;"&amp;B366),INDEX(R_Schedule_Amounts,MATCH(B366,R_Schedule_Times,1)),K365)),"")</f>
        <v>9880</v>
      </c>
      <c r="I366" s="30">
        <f t="shared" si="25"/>
        <v>40</v>
      </c>
      <c r="J366" s="31">
        <f t="shared" si="26"/>
        <v>0</v>
      </c>
      <c r="K366" s="29">
        <f t="shared" si="27"/>
        <v>9840</v>
      </c>
      <c r="L366" s="31" t="str">
        <f t="shared" si="28"/>
        <v/>
      </c>
      <c r="M366" s="31" t="str">
        <f t="shared" si="29"/>
        <v/>
      </c>
    </row>
    <row r="367" spans="1:13" x14ac:dyDescent="0.15">
      <c r="A367" s="163" t="s">
        <v>210</v>
      </c>
      <c r="B367" s="163">
        <v>42286.99354171296</v>
      </c>
      <c r="C367" s="164" t="s">
        <v>829</v>
      </c>
      <c r="D367" s="164" t="s">
        <v>13</v>
      </c>
      <c r="E367" s="165">
        <v>120</v>
      </c>
      <c r="F367" s="166">
        <v>0</v>
      </c>
      <c r="G367" s="227">
        <f>IF($B$2,IF(ROWS(B$6:$B367) = 1,$B367-Start_Date,$B367-$B366),"")</f>
        <v>2.9363425928750075E-3</v>
      </c>
      <c r="H367" s="29">
        <f>IF($B$2,IF(ROWS(B$6:$B367) = 1,IF(COUNTIFS(R_Schedule_Times,"&lt;"&amp;B367),INDEX(R_Schedule_Amounts,MATCH(B367,R_Schedule_Times,1)),Starting_Cash),IF(COUNTIFS(R_Schedule_Times,"&gt;"&amp;B366,R_Schedule_Times,"&lt;"&amp;B367),INDEX(R_Schedule_Amounts,MATCH(B367,R_Schedule_Times,1)),K366)),"")</f>
        <v>9840</v>
      </c>
      <c r="I367" s="30">
        <f t="shared" si="25"/>
        <v>120</v>
      </c>
      <c r="J367" s="31">
        <f t="shared" si="26"/>
        <v>0</v>
      </c>
      <c r="K367" s="29">
        <f t="shared" si="27"/>
        <v>9720</v>
      </c>
      <c r="L367" s="31" t="str">
        <f t="shared" si="28"/>
        <v/>
      </c>
      <c r="M367" s="31" t="str">
        <f t="shared" si="29"/>
        <v/>
      </c>
    </row>
    <row r="368" spans="1:13" x14ac:dyDescent="0.15">
      <c r="A368" s="163" t="s">
        <v>210</v>
      </c>
      <c r="B368" s="163">
        <v>42287.39521505787</v>
      </c>
      <c r="C368" s="164" t="s">
        <v>830</v>
      </c>
      <c r="D368" s="164" t="s">
        <v>13</v>
      </c>
      <c r="E368" s="165">
        <v>80</v>
      </c>
      <c r="F368" s="166">
        <v>0</v>
      </c>
      <c r="G368" s="227">
        <f>IF($B$2,IF(ROWS(B$6:$B368) = 1,$B368-Start_Date,$B368-$B367),"")</f>
        <v>0.40167334490979556</v>
      </c>
      <c r="H368" s="29">
        <f>IF($B$2,IF(ROWS(B$6:$B368) = 1,IF(COUNTIFS(R_Schedule_Times,"&lt;"&amp;B368),INDEX(R_Schedule_Amounts,MATCH(B368,R_Schedule_Times,1)),Starting_Cash),IF(COUNTIFS(R_Schedule_Times,"&gt;"&amp;B367,R_Schedule_Times,"&lt;"&amp;B368),INDEX(R_Schedule_Amounts,MATCH(B368,R_Schedule_Times,1)),K367)),"")</f>
        <v>9720</v>
      </c>
      <c r="I368" s="30">
        <f t="shared" si="25"/>
        <v>80</v>
      </c>
      <c r="J368" s="31">
        <f t="shared" si="26"/>
        <v>0</v>
      </c>
      <c r="K368" s="29">
        <f t="shared" si="27"/>
        <v>9640</v>
      </c>
      <c r="L368" s="31" t="str">
        <f t="shared" si="28"/>
        <v/>
      </c>
      <c r="M368" s="31" t="str">
        <f t="shared" si="29"/>
        <v/>
      </c>
    </row>
    <row r="369" spans="1:13" x14ac:dyDescent="0.15">
      <c r="A369" s="163" t="s">
        <v>210</v>
      </c>
      <c r="B369" s="163">
        <v>42287.464950127316</v>
      </c>
      <c r="C369" s="164" t="s">
        <v>263</v>
      </c>
      <c r="D369" s="164" t="s">
        <v>13</v>
      </c>
      <c r="E369" s="165">
        <v>20</v>
      </c>
      <c r="F369" s="166">
        <v>0</v>
      </c>
      <c r="G369" s="227">
        <f>IF($B$2,IF(ROWS(B$6:$B369) = 1,$B369-Start_Date,$B369-$B368),"")</f>
        <v>6.9735069446323905E-2</v>
      </c>
      <c r="H369" s="29">
        <f>IF($B$2,IF(ROWS(B$6:$B369) = 1,IF(COUNTIFS(R_Schedule_Times,"&lt;"&amp;B369),INDEX(R_Schedule_Amounts,MATCH(B369,R_Schedule_Times,1)),Starting_Cash),IF(COUNTIFS(R_Schedule_Times,"&gt;"&amp;B368,R_Schedule_Times,"&lt;"&amp;B369),INDEX(R_Schedule_Amounts,MATCH(B369,R_Schedule_Times,1)),K368)),"")</f>
        <v>9640</v>
      </c>
      <c r="I369" s="30">
        <f t="shared" si="25"/>
        <v>20</v>
      </c>
      <c r="J369" s="31">
        <f t="shared" si="26"/>
        <v>0</v>
      </c>
      <c r="K369" s="29">
        <f t="shared" si="27"/>
        <v>9620</v>
      </c>
      <c r="L369" s="31" t="str">
        <f t="shared" si="28"/>
        <v/>
      </c>
      <c r="M369" s="31" t="str">
        <f t="shared" si="29"/>
        <v/>
      </c>
    </row>
    <row r="370" spans="1:13" x14ac:dyDescent="0.15">
      <c r="A370" s="163" t="s">
        <v>210</v>
      </c>
      <c r="B370" s="163">
        <v>42287.50067947917</v>
      </c>
      <c r="C370" s="164" t="s">
        <v>72</v>
      </c>
      <c r="D370" s="164" t="s">
        <v>13</v>
      </c>
      <c r="E370" s="165">
        <v>40</v>
      </c>
      <c r="F370" s="166">
        <v>0</v>
      </c>
      <c r="G370" s="227">
        <f>IF($B$2,IF(ROWS(B$6:$B370) = 1,$B370-Start_Date,$B370-$B369),"")</f>
        <v>3.5729351853660773E-2</v>
      </c>
      <c r="H370" s="29">
        <f>IF($B$2,IF(ROWS(B$6:$B370) = 1,IF(COUNTIFS(R_Schedule_Times,"&lt;"&amp;B370),INDEX(R_Schedule_Amounts,MATCH(B370,R_Schedule_Times,1)),Starting_Cash),IF(COUNTIFS(R_Schedule_Times,"&gt;"&amp;B369,R_Schedule_Times,"&lt;"&amp;B370),INDEX(R_Schedule_Amounts,MATCH(B370,R_Schedule_Times,1)),K369)),"")</f>
        <v>9620</v>
      </c>
      <c r="I370" s="30">
        <f t="shared" si="25"/>
        <v>40</v>
      </c>
      <c r="J370" s="31">
        <f t="shared" si="26"/>
        <v>0</v>
      </c>
      <c r="K370" s="29">
        <f t="shared" si="27"/>
        <v>9580</v>
      </c>
      <c r="L370" s="31" t="str">
        <f t="shared" si="28"/>
        <v/>
      </c>
      <c r="M370" s="31" t="str">
        <f t="shared" si="29"/>
        <v/>
      </c>
    </row>
    <row r="371" spans="1:13" x14ac:dyDescent="0.15">
      <c r="A371" s="163" t="s">
        <v>210</v>
      </c>
      <c r="B371" s="163">
        <v>42287.506959872684</v>
      </c>
      <c r="C371" s="164" t="s">
        <v>831</v>
      </c>
      <c r="D371" s="164" t="s">
        <v>13</v>
      </c>
      <c r="E371" s="165">
        <v>100</v>
      </c>
      <c r="F371" s="166">
        <v>0</v>
      </c>
      <c r="G371" s="227">
        <f>IF($B$2,IF(ROWS(B$6:$B371) = 1,$B371-Start_Date,$B371-$B370),"")</f>
        <v>6.280393514316529E-3</v>
      </c>
      <c r="H371" s="29">
        <f>IF($B$2,IF(ROWS(B$6:$B371) = 1,IF(COUNTIFS(R_Schedule_Times,"&lt;"&amp;B371),INDEX(R_Schedule_Amounts,MATCH(B371,R_Schedule_Times,1)),Starting_Cash),IF(COUNTIFS(R_Schedule_Times,"&gt;"&amp;B370,R_Schedule_Times,"&lt;"&amp;B371),INDEX(R_Schedule_Amounts,MATCH(B371,R_Schedule_Times,1)),K370)),"")</f>
        <v>9580</v>
      </c>
      <c r="I371" s="30">
        <f t="shared" si="25"/>
        <v>100</v>
      </c>
      <c r="J371" s="31">
        <f t="shared" si="26"/>
        <v>0</v>
      </c>
      <c r="K371" s="29">
        <f t="shared" si="27"/>
        <v>9480</v>
      </c>
      <c r="L371" s="31" t="str">
        <f t="shared" si="28"/>
        <v/>
      </c>
      <c r="M371" s="31" t="str">
        <f t="shared" si="29"/>
        <v/>
      </c>
    </row>
    <row r="372" spans="1:13" x14ac:dyDescent="0.15">
      <c r="A372" s="163" t="s">
        <v>210</v>
      </c>
      <c r="B372" s="163">
        <v>42287.558651064814</v>
      </c>
      <c r="C372" s="164" t="s">
        <v>324</v>
      </c>
      <c r="D372" s="164" t="s">
        <v>13</v>
      </c>
      <c r="E372" s="165">
        <v>100</v>
      </c>
      <c r="F372" s="166">
        <v>0</v>
      </c>
      <c r="G372" s="227">
        <f>IF($B$2,IF(ROWS(B$6:$B372) = 1,$B372-Start_Date,$B372-$B371),"")</f>
        <v>5.1691192129510455E-2</v>
      </c>
      <c r="H372" s="29">
        <f>IF($B$2,IF(ROWS(B$6:$B372) = 1,IF(COUNTIFS(R_Schedule_Times,"&lt;"&amp;B372),INDEX(R_Schedule_Amounts,MATCH(B372,R_Schedule_Times,1)),Starting_Cash),IF(COUNTIFS(R_Schedule_Times,"&gt;"&amp;B371,R_Schedule_Times,"&lt;"&amp;B372),INDEX(R_Schedule_Amounts,MATCH(B372,R_Schedule_Times,1)),K371)),"")</f>
        <v>9480</v>
      </c>
      <c r="I372" s="30">
        <f t="shared" si="25"/>
        <v>100</v>
      </c>
      <c r="J372" s="31">
        <f t="shared" si="26"/>
        <v>0</v>
      </c>
      <c r="K372" s="29">
        <f t="shared" si="27"/>
        <v>9380</v>
      </c>
      <c r="L372" s="31" t="str">
        <f t="shared" si="28"/>
        <v/>
      </c>
      <c r="M372" s="31" t="str">
        <f t="shared" si="29"/>
        <v/>
      </c>
    </row>
    <row r="373" spans="1:13" x14ac:dyDescent="0.15">
      <c r="A373" s="163" t="s">
        <v>210</v>
      </c>
      <c r="B373" s="163">
        <v>42287.572365868058</v>
      </c>
      <c r="C373" s="164" t="s">
        <v>14</v>
      </c>
      <c r="D373" s="164" t="s">
        <v>13</v>
      </c>
      <c r="E373" s="165">
        <v>160</v>
      </c>
      <c r="F373" s="166">
        <v>3.5</v>
      </c>
      <c r="G373" s="227">
        <f>IF($B$2,IF(ROWS(B$6:$B373) = 1,$B373-Start_Date,$B373-$B372),"")</f>
        <v>1.3714803244511131E-2</v>
      </c>
      <c r="H373" s="29">
        <f>IF($B$2,IF(ROWS(B$6:$B373) = 1,IF(COUNTIFS(R_Schedule_Times,"&lt;"&amp;B373),INDEX(R_Schedule_Amounts,MATCH(B373,R_Schedule_Times,1)),Starting_Cash),IF(COUNTIFS(R_Schedule_Times,"&gt;"&amp;B372,R_Schedule_Times,"&lt;"&amp;B373),INDEX(R_Schedule_Amounts,MATCH(B373,R_Schedule_Times,1)),K372)),"")</f>
        <v>9380</v>
      </c>
      <c r="I373" s="30">
        <f t="shared" si="25"/>
        <v>160</v>
      </c>
      <c r="J373" s="31">
        <f t="shared" si="26"/>
        <v>3.5</v>
      </c>
      <c r="K373" s="29">
        <f t="shared" si="27"/>
        <v>9220</v>
      </c>
      <c r="L373" s="31" t="str">
        <f t="shared" si="28"/>
        <v/>
      </c>
      <c r="M373" s="31" t="str">
        <f t="shared" si="29"/>
        <v/>
      </c>
    </row>
    <row r="374" spans="1:13" x14ac:dyDescent="0.15">
      <c r="A374" s="163" t="s">
        <v>210</v>
      </c>
      <c r="B374" s="163">
        <v>42287.59809255787</v>
      </c>
      <c r="C374" s="164" t="s">
        <v>832</v>
      </c>
      <c r="D374" s="164" t="s">
        <v>13</v>
      </c>
      <c r="E374" s="165">
        <v>100</v>
      </c>
      <c r="F374" s="166">
        <v>0</v>
      </c>
      <c r="G374" s="227">
        <f>IF($B$2,IF(ROWS(B$6:$B374) = 1,$B374-Start_Date,$B374-$B373),"")</f>
        <v>2.5726689811563119E-2</v>
      </c>
      <c r="H374" s="29">
        <f>IF($B$2,IF(ROWS(B$6:$B374) = 1,IF(COUNTIFS(R_Schedule_Times,"&lt;"&amp;B374),INDEX(R_Schedule_Amounts,MATCH(B374,R_Schedule_Times,1)),Starting_Cash),IF(COUNTIFS(R_Schedule_Times,"&gt;"&amp;B373,R_Schedule_Times,"&lt;"&amp;B374),INDEX(R_Schedule_Amounts,MATCH(B374,R_Schedule_Times,1)),K373)),"")</f>
        <v>9220</v>
      </c>
      <c r="I374" s="30">
        <f t="shared" si="25"/>
        <v>100</v>
      </c>
      <c r="J374" s="31">
        <f t="shared" si="26"/>
        <v>0</v>
      </c>
      <c r="K374" s="29">
        <f t="shared" si="27"/>
        <v>9120</v>
      </c>
      <c r="L374" s="31" t="str">
        <f t="shared" si="28"/>
        <v/>
      </c>
      <c r="M374" s="31" t="str">
        <f t="shared" si="29"/>
        <v/>
      </c>
    </row>
    <row r="375" spans="1:13" x14ac:dyDescent="0.15">
      <c r="A375" s="163" t="s">
        <v>210</v>
      </c>
      <c r="B375" s="163">
        <v>42287.598790231481</v>
      </c>
      <c r="C375" s="164" t="s">
        <v>833</v>
      </c>
      <c r="D375" s="164" t="s">
        <v>13</v>
      </c>
      <c r="E375" s="165">
        <v>100</v>
      </c>
      <c r="F375" s="166">
        <v>0</v>
      </c>
      <c r="G375" s="227">
        <f>IF($B$2,IF(ROWS(B$6:$B375) = 1,$B375-Start_Date,$B375-$B374),"")</f>
        <v>6.9767361128469929E-4</v>
      </c>
      <c r="H375" s="29">
        <f>IF($B$2,IF(ROWS(B$6:$B375) = 1,IF(COUNTIFS(R_Schedule_Times,"&lt;"&amp;B375),INDEX(R_Schedule_Amounts,MATCH(B375,R_Schedule_Times,1)),Starting_Cash),IF(COUNTIFS(R_Schedule_Times,"&gt;"&amp;B374,R_Schedule_Times,"&lt;"&amp;B375),INDEX(R_Schedule_Amounts,MATCH(B375,R_Schedule_Times,1)),K374)),"")</f>
        <v>9120</v>
      </c>
      <c r="I375" s="30">
        <f t="shared" si="25"/>
        <v>100</v>
      </c>
      <c r="J375" s="31">
        <f t="shared" si="26"/>
        <v>0</v>
      </c>
      <c r="K375" s="29">
        <f t="shared" si="27"/>
        <v>9020</v>
      </c>
      <c r="L375" s="31" t="str">
        <f t="shared" si="28"/>
        <v/>
      </c>
      <c r="M375" s="31" t="str">
        <f t="shared" si="29"/>
        <v/>
      </c>
    </row>
    <row r="376" spans="1:13" x14ac:dyDescent="0.15">
      <c r="A376" s="163" t="s">
        <v>210</v>
      </c>
      <c r="B376" s="163">
        <v>42287.60354009259</v>
      </c>
      <c r="C376" s="164" t="s">
        <v>834</v>
      </c>
      <c r="D376" s="164" t="s">
        <v>13</v>
      </c>
      <c r="E376" s="165">
        <v>100</v>
      </c>
      <c r="F376" s="166">
        <v>0</v>
      </c>
      <c r="G376" s="227">
        <f>IF($B$2,IF(ROWS(B$6:$B376) = 1,$B376-Start_Date,$B376-$B375),"")</f>
        <v>4.7498611093033105E-3</v>
      </c>
      <c r="H376" s="29">
        <f>IF($B$2,IF(ROWS(B$6:$B376) = 1,IF(COUNTIFS(R_Schedule_Times,"&lt;"&amp;B376),INDEX(R_Schedule_Amounts,MATCH(B376,R_Schedule_Times,1)),Starting_Cash),IF(COUNTIFS(R_Schedule_Times,"&gt;"&amp;B375,R_Schedule_Times,"&lt;"&amp;B376),INDEX(R_Schedule_Amounts,MATCH(B376,R_Schedule_Times,1)),K375)),"")</f>
        <v>9020</v>
      </c>
      <c r="I376" s="30">
        <f t="shared" si="25"/>
        <v>100</v>
      </c>
      <c r="J376" s="31">
        <f t="shared" si="26"/>
        <v>0</v>
      </c>
      <c r="K376" s="29">
        <f t="shared" si="27"/>
        <v>8920</v>
      </c>
      <c r="L376" s="31" t="str">
        <f t="shared" si="28"/>
        <v/>
      </c>
      <c r="M376" s="31" t="str">
        <f t="shared" si="29"/>
        <v/>
      </c>
    </row>
    <row r="377" spans="1:13" x14ac:dyDescent="0.15">
      <c r="A377" s="163" t="s">
        <v>210</v>
      </c>
      <c r="B377" s="163">
        <v>42287.608991597219</v>
      </c>
      <c r="C377" s="164" t="s">
        <v>835</v>
      </c>
      <c r="D377" s="164" t="s">
        <v>13</v>
      </c>
      <c r="E377" s="165">
        <v>40</v>
      </c>
      <c r="F377" s="166">
        <v>0</v>
      </c>
      <c r="G377" s="227">
        <f>IF($B$2,IF(ROWS(B$6:$B377) = 1,$B377-Start_Date,$B377-$B376),"")</f>
        <v>5.4515046285814606E-3</v>
      </c>
      <c r="H377" s="29">
        <f>IF($B$2,IF(ROWS(B$6:$B377) = 1,IF(COUNTIFS(R_Schedule_Times,"&lt;"&amp;B377),INDEX(R_Schedule_Amounts,MATCH(B377,R_Schedule_Times,1)),Starting_Cash),IF(COUNTIFS(R_Schedule_Times,"&gt;"&amp;B376,R_Schedule_Times,"&lt;"&amp;B377),INDEX(R_Schedule_Amounts,MATCH(B377,R_Schedule_Times,1)),K376)),"")</f>
        <v>8920</v>
      </c>
      <c r="I377" s="30">
        <f t="shared" si="25"/>
        <v>40</v>
      </c>
      <c r="J377" s="31">
        <f t="shared" si="26"/>
        <v>0</v>
      </c>
      <c r="K377" s="29">
        <f t="shared" si="27"/>
        <v>8880</v>
      </c>
      <c r="L377" s="31" t="str">
        <f t="shared" si="28"/>
        <v/>
      </c>
      <c r="M377" s="31" t="str">
        <f t="shared" si="29"/>
        <v/>
      </c>
    </row>
    <row r="378" spans="1:13" x14ac:dyDescent="0.15">
      <c r="A378" s="163" t="s">
        <v>210</v>
      </c>
      <c r="B378" s="163">
        <v>42287.613007881948</v>
      </c>
      <c r="C378" s="164" t="s">
        <v>836</v>
      </c>
      <c r="D378" s="164" t="s">
        <v>13</v>
      </c>
      <c r="E378" s="165">
        <v>60</v>
      </c>
      <c r="F378" s="166">
        <v>0</v>
      </c>
      <c r="G378" s="227">
        <f>IF($B$2,IF(ROWS(B$6:$B378) = 1,$B378-Start_Date,$B378-$B377),"")</f>
        <v>4.0162847290048376E-3</v>
      </c>
      <c r="H378" s="29">
        <f>IF($B$2,IF(ROWS(B$6:$B378) = 1,IF(COUNTIFS(R_Schedule_Times,"&lt;"&amp;B378),INDEX(R_Schedule_Amounts,MATCH(B378,R_Schedule_Times,1)),Starting_Cash),IF(COUNTIFS(R_Schedule_Times,"&gt;"&amp;B377,R_Schedule_Times,"&lt;"&amp;B378),INDEX(R_Schedule_Amounts,MATCH(B378,R_Schedule_Times,1)),K377)),"")</f>
        <v>8880</v>
      </c>
      <c r="I378" s="30">
        <f t="shared" si="25"/>
        <v>60</v>
      </c>
      <c r="J378" s="31">
        <f t="shared" si="26"/>
        <v>0</v>
      </c>
      <c r="K378" s="29">
        <f t="shared" si="27"/>
        <v>8820</v>
      </c>
      <c r="L378" s="31" t="str">
        <f t="shared" si="28"/>
        <v/>
      </c>
      <c r="M378" s="31" t="str">
        <f t="shared" si="29"/>
        <v/>
      </c>
    </row>
    <row r="379" spans="1:13" x14ac:dyDescent="0.15">
      <c r="A379" s="163" t="s">
        <v>210</v>
      </c>
      <c r="B379" s="163">
        <v>42287.622062847222</v>
      </c>
      <c r="C379" s="164" t="s">
        <v>837</v>
      </c>
      <c r="D379" s="164" t="s">
        <v>13</v>
      </c>
      <c r="E379" s="165">
        <v>20</v>
      </c>
      <c r="F379" s="166">
        <v>0</v>
      </c>
      <c r="G379" s="227">
        <f>IF($B$2,IF(ROWS(B$6:$B379) = 1,$B379-Start_Date,$B379-$B378),"")</f>
        <v>9.0549652741174214E-3</v>
      </c>
      <c r="H379" s="29">
        <f>IF($B$2,IF(ROWS(B$6:$B379) = 1,IF(COUNTIFS(R_Schedule_Times,"&lt;"&amp;B379),INDEX(R_Schedule_Amounts,MATCH(B379,R_Schedule_Times,1)),Starting_Cash),IF(COUNTIFS(R_Schedule_Times,"&gt;"&amp;B378,R_Schedule_Times,"&lt;"&amp;B379),INDEX(R_Schedule_Amounts,MATCH(B379,R_Schedule_Times,1)),K378)),"")</f>
        <v>8820</v>
      </c>
      <c r="I379" s="30">
        <f t="shared" si="25"/>
        <v>20</v>
      </c>
      <c r="J379" s="31">
        <f t="shared" si="26"/>
        <v>0</v>
      </c>
      <c r="K379" s="29">
        <f t="shared" si="27"/>
        <v>8800</v>
      </c>
      <c r="L379" s="31" t="str">
        <f t="shared" si="28"/>
        <v/>
      </c>
      <c r="M379" s="31" t="str">
        <f t="shared" si="29"/>
        <v/>
      </c>
    </row>
    <row r="380" spans="1:13" x14ac:dyDescent="0.15">
      <c r="A380" s="163" t="s">
        <v>210</v>
      </c>
      <c r="B380" s="163">
        <v>42287.647044050929</v>
      </c>
      <c r="C380" s="164" t="s">
        <v>838</v>
      </c>
      <c r="D380" s="164" t="s">
        <v>13</v>
      </c>
      <c r="E380" s="165">
        <v>100</v>
      </c>
      <c r="F380" s="166">
        <v>0</v>
      </c>
      <c r="G380" s="227">
        <f>IF($B$2,IF(ROWS(B$6:$B380) = 1,$B380-Start_Date,$B380-$B379),"")</f>
        <v>2.4981203707284294E-2</v>
      </c>
      <c r="H380" s="29">
        <f>IF($B$2,IF(ROWS(B$6:$B380) = 1,IF(COUNTIFS(R_Schedule_Times,"&lt;"&amp;B380),INDEX(R_Schedule_Amounts,MATCH(B380,R_Schedule_Times,1)),Starting_Cash),IF(COUNTIFS(R_Schedule_Times,"&gt;"&amp;B379,R_Schedule_Times,"&lt;"&amp;B380),INDEX(R_Schedule_Amounts,MATCH(B380,R_Schedule_Times,1)),K379)),"")</f>
        <v>8800</v>
      </c>
      <c r="I380" s="30">
        <f t="shared" si="25"/>
        <v>100</v>
      </c>
      <c r="J380" s="31">
        <f t="shared" si="26"/>
        <v>0</v>
      </c>
      <c r="K380" s="29">
        <f t="shared" si="27"/>
        <v>8700</v>
      </c>
      <c r="L380" s="31" t="str">
        <f t="shared" si="28"/>
        <v/>
      </c>
      <c r="M380" s="31" t="str">
        <f t="shared" si="29"/>
        <v/>
      </c>
    </row>
    <row r="381" spans="1:13" x14ac:dyDescent="0.15">
      <c r="A381" s="163" t="s">
        <v>210</v>
      </c>
      <c r="B381" s="163">
        <v>42287.655215775463</v>
      </c>
      <c r="C381" s="164" t="s">
        <v>839</v>
      </c>
      <c r="D381" s="164" t="s">
        <v>13</v>
      </c>
      <c r="E381" s="165">
        <v>80</v>
      </c>
      <c r="F381" s="166">
        <v>0</v>
      </c>
      <c r="G381" s="227">
        <f>IF($B$2,IF(ROWS(B$6:$B381) = 1,$B381-Start_Date,$B381-$B380),"")</f>
        <v>8.1717245338950306E-3</v>
      </c>
      <c r="H381" s="29">
        <f>IF($B$2,IF(ROWS(B$6:$B381) = 1,IF(COUNTIFS(R_Schedule_Times,"&lt;"&amp;B381),INDEX(R_Schedule_Amounts,MATCH(B381,R_Schedule_Times,1)),Starting_Cash),IF(COUNTIFS(R_Schedule_Times,"&gt;"&amp;B380,R_Schedule_Times,"&lt;"&amp;B381),INDEX(R_Schedule_Amounts,MATCH(B381,R_Schedule_Times,1)),K380)),"")</f>
        <v>8700</v>
      </c>
      <c r="I381" s="30">
        <f t="shared" si="25"/>
        <v>80</v>
      </c>
      <c r="J381" s="31">
        <f t="shared" si="26"/>
        <v>0</v>
      </c>
      <c r="K381" s="29">
        <f t="shared" si="27"/>
        <v>8620</v>
      </c>
      <c r="L381" s="31" t="str">
        <f t="shared" si="28"/>
        <v/>
      </c>
      <c r="M381" s="31" t="str">
        <f t="shared" si="29"/>
        <v/>
      </c>
    </row>
    <row r="382" spans="1:13" x14ac:dyDescent="0.15">
      <c r="A382" s="163" t="s">
        <v>210</v>
      </c>
      <c r="B382" s="163">
        <v>42287.660610902778</v>
      </c>
      <c r="C382" s="164" t="s">
        <v>840</v>
      </c>
      <c r="D382" s="164" t="s">
        <v>13</v>
      </c>
      <c r="E382" s="165">
        <v>120</v>
      </c>
      <c r="F382" s="166">
        <v>0</v>
      </c>
      <c r="G382" s="227">
        <f>IF($B$2,IF(ROWS(B$6:$B382) = 1,$B382-Start_Date,$B382-$B381),"")</f>
        <v>5.3951273148413748E-3</v>
      </c>
      <c r="H382" s="29">
        <f>IF($B$2,IF(ROWS(B$6:$B382) = 1,IF(COUNTIFS(R_Schedule_Times,"&lt;"&amp;B382),INDEX(R_Schedule_Amounts,MATCH(B382,R_Schedule_Times,1)),Starting_Cash),IF(COUNTIFS(R_Schedule_Times,"&gt;"&amp;B381,R_Schedule_Times,"&lt;"&amp;B382),INDEX(R_Schedule_Amounts,MATCH(B382,R_Schedule_Times,1)),K381)),"")</f>
        <v>8620</v>
      </c>
      <c r="I382" s="30">
        <f t="shared" si="25"/>
        <v>120</v>
      </c>
      <c r="J382" s="31">
        <f t="shared" si="26"/>
        <v>0</v>
      </c>
      <c r="K382" s="29">
        <f t="shared" si="27"/>
        <v>8500</v>
      </c>
      <c r="L382" s="31" t="str">
        <f t="shared" si="28"/>
        <v/>
      </c>
      <c r="M382" s="31" t="str">
        <f t="shared" si="29"/>
        <v/>
      </c>
    </row>
    <row r="383" spans="1:13" x14ac:dyDescent="0.15">
      <c r="A383" s="163" t="s">
        <v>210</v>
      </c>
      <c r="B383" s="163">
        <v>42287.669616145831</v>
      </c>
      <c r="C383" s="164" t="s">
        <v>104</v>
      </c>
      <c r="D383" s="164" t="s">
        <v>13</v>
      </c>
      <c r="E383" s="165">
        <v>100</v>
      </c>
      <c r="F383" s="166">
        <v>0</v>
      </c>
      <c r="G383" s="227">
        <f>IF($B$2,IF(ROWS(B$6:$B383) = 1,$B383-Start_Date,$B383-$B382),"")</f>
        <v>9.0052430532523431E-3</v>
      </c>
      <c r="H383" s="29">
        <f>IF($B$2,IF(ROWS(B$6:$B383) = 1,IF(COUNTIFS(R_Schedule_Times,"&lt;"&amp;B383),INDEX(R_Schedule_Amounts,MATCH(B383,R_Schedule_Times,1)),Starting_Cash),IF(COUNTIFS(R_Schedule_Times,"&gt;"&amp;B382,R_Schedule_Times,"&lt;"&amp;B383),INDEX(R_Schedule_Amounts,MATCH(B383,R_Schedule_Times,1)),K382)),"")</f>
        <v>8500</v>
      </c>
      <c r="I383" s="30">
        <f t="shared" si="25"/>
        <v>100</v>
      </c>
      <c r="J383" s="31">
        <f t="shared" si="26"/>
        <v>0</v>
      </c>
      <c r="K383" s="29">
        <f t="shared" si="27"/>
        <v>8400</v>
      </c>
      <c r="L383" s="31" t="str">
        <f t="shared" si="28"/>
        <v/>
      </c>
      <c r="M383" s="31" t="str">
        <f t="shared" si="29"/>
        <v/>
      </c>
    </row>
    <row r="384" spans="1:13" x14ac:dyDescent="0.15">
      <c r="A384" s="163" t="s">
        <v>210</v>
      </c>
      <c r="B384" s="163">
        <v>42287.673561215277</v>
      </c>
      <c r="C384" s="164" t="s">
        <v>841</v>
      </c>
      <c r="D384" s="164" t="s">
        <v>13</v>
      </c>
      <c r="E384" s="165">
        <v>40</v>
      </c>
      <c r="F384" s="166">
        <v>0</v>
      </c>
      <c r="G384" s="227">
        <f>IF($B$2,IF(ROWS(B$6:$B384) = 1,$B384-Start_Date,$B384-$B383),"")</f>
        <v>3.9450694457627833E-3</v>
      </c>
      <c r="H384" s="29">
        <f>IF($B$2,IF(ROWS(B$6:$B384) = 1,IF(COUNTIFS(R_Schedule_Times,"&lt;"&amp;B384),INDEX(R_Schedule_Amounts,MATCH(B384,R_Schedule_Times,1)),Starting_Cash),IF(COUNTIFS(R_Schedule_Times,"&gt;"&amp;B383,R_Schedule_Times,"&lt;"&amp;B384),INDEX(R_Schedule_Amounts,MATCH(B384,R_Schedule_Times,1)),K383)),"")</f>
        <v>8400</v>
      </c>
      <c r="I384" s="30">
        <f t="shared" si="25"/>
        <v>40</v>
      </c>
      <c r="J384" s="31">
        <f t="shared" si="26"/>
        <v>0</v>
      </c>
      <c r="K384" s="29">
        <f t="shared" si="27"/>
        <v>8360</v>
      </c>
      <c r="L384" s="31" t="str">
        <f t="shared" si="28"/>
        <v/>
      </c>
      <c r="M384" s="31" t="str">
        <f t="shared" si="29"/>
        <v/>
      </c>
    </row>
    <row r="385" spans="1:13" x14ac:dyDescent="0.15">
      <c r="A385" s="163" t="s">
        <v>210</v>
      </c>
      <c r="B385" s="163">
        <v>42287.679695497682</v>
      </c>
      <c r="C385" s="164" t="s">
        <v>14</v>
      </c>
      <c r="D385" s="164" t="s">
        <v>13</v>
      </c>
      <c r="E385" s="165">
        <v>100</v>
      </c>
      <c r="F385" s="166">
        <v>3.5</v>
      </c>
      <c r="G385" s="227">
        <f>IF($B$2,IF(ROWS(B$6:$B385) = 1,$B385-Start_Date,$B385-$B384),"")</f>
        <v>6.1342824046732858E-3</v>
      </c>
      <c r="H385" s="29">
        <f>IF($B$2,IF(ROWS(B$6:$B385) = 1,IF(COUNTIFS(R_Schedule_Times,"&lt;"&amp;B385),INDEX(R_Schedule_Amounts,MATCH(B385,R_Schedule_Times,1)),Starting_Cash),IF(COUNTIFS(R_Schedule_Times,"&gt;"&amp;B384,R_Schedule_Times,"&lt;"&amp;B385),INDEX(R_Schedule_Amounts,MATCH(B385,R_Schedule_Times,1)),K384)),"")</f>
        <v>8360</v>
      </c>
      <c r="I385" s="30">
        <f t="shared" si="25"/>
        <v>100</v>
      </c>
      <c r="J385" s="31">
        <f t="shared" si="26"/>
        <v>3.5</v>
      </c>
      <c r="K385" s="29">
        <f t="shared" si="27"/>
        <v>8260</v>
      </c>
      <c r="L385" s="31" t="str">
        <f t="shared" si="28"/>
        <v/>
      </c>
      <c r="M385" s="31" t="str">
        <f t="shared" si="29"/>
        <v/>
      </c>
    </row>
    <row r="386" spans="1:13" x14ac:dyDescent="0.15">
      <c r="A386" s="163" t="s">
        <v>210</v>
      </c>
      <c r="B386" s="163">
        <v>42287.715490891205</v>
      </c>
      <c r="C386" s="164" t="s">
        <v>325</v>
      </c>
      <c r="D386" s="164" t="s">
        <v>13</v>
      </c>
      <c r="E386" s="165">
        <v>100</v>
      </c>
      <c r="F386" s="166">
        <v>0</v>
      </c>
      <c r="G386" s="227">
        <f>IF($B$2,IF(ROWS(B$6:$B386) = 1,$B386-Start_Date,$B386-$B385),"")</f>
        <v>3.5795393523585517E-2</v>
      </c>
      <c r="H386" s="29">
        <f>IF($B$2,IF(ROWS(B$6:$B386) = 1,IF(COUNTIFS(R_Schedule_Times,"&lt;"&amp;B386),INDEX(R_Schedule_Amounts,MATCH(B386,R_Schedule_Times,1)),Starting_Cash),IF(COUNTIFS(R_Schedule_Times,"&gt;"&amp;B385,R_Schedule_Times,"&lt;"&amp;B386),INDEX(R_Schedule_Amounts,MATCH(B386,R_Schedule_Times,1)),K385)),"")</f>
        <v>8260</v>
      </c>
      <c r="I386" s="30">
        <f t="shared" si="25"/>
        <v>100</v>
      </c>
      <c r="J386" s="31">
        <f t="shared" si="26"/>
        <v>0</v>
      </c>
      <c r="K386" s="29">
        <f t="shared" si="27"/>
        <v>8160</v>
      </c>
      <c r="L386" s="31" t="str">
        <f t="shared" si="28"/>
        <v/>
      </c>
      <c r="M386" s="31" t="str">
        <f t="shared" si="29"/>
        <v/>
      </c>
    </row>
    <row r="387" spans="1:13" x14ac:dyDescent="0.15">
      <c r="A387" s="163" t="s">
        <v>210</v>
      </c>
      <c r="B387" s="163">
        <v>42287.717026192127</v>
      </c>
      <c r="C387" s="164" t="s">
        <v>842</v>
      </c>
      <c r="D387" s="164" t="s">
        <v>13</v>
      </c>
      <c r="E387" s="165">
        <v>40</v>
      </c>
      <c r="F387" s="166">
        <v>0</v>
      </c>
      <c r="G387" s="227">
        <f>IF($B$2,IF(ROWS(B$6:$B387) = 1,$B387-Start_Date,$B387-$B386),"")</f>
        <v>1.5353009221144021E-3</v>
      </c>
      <c r="H387" s="29">
        <f>IF($B$2,IF(ROWS(B$6:$B387) = 1,IF(COUNTIFS(R_Schedule_Times,"&lt;"&amp;B387),INDEX(R_Schedule_Amounts,MATCH(B387,R_Schedule_Times,1)),Starting_Cash),IF(COUNTIFS(R_Schedule_Times,"&gt;"&amp;B386,R_Schedule_Times,"&lt;"&amp;B387),INDEX(R_Schedule_Amounts,MATCH(B387,R_Schedule_Times,1)),K386)),"")</f>
        <v>8160</v>
      </c>
      <c r="I387" s="30">
        <f t="shared" si="25"/>
        <v>40</v>
      </c>
      <c r="J387" s="31">
        <f t="shared" si="26"/>
        <v>0</v>
      </c>
      <c r="K387" s="29">
        <f t="shared" si="27"/>
        <v>8120</v>
      </c>
      <c r="L387" s="31" t="str">
        <f t="shared" si="28"/>
        <v/>
      </c>
      <c r="M387" s="31" t="str">
        <f t="shared" si="29"/>
        <v/>
      </c>
    </row>
    <row r="388" spans="1:13" x14ac:dyDescent="0.15">
      <c r="A388" s="163" t="s">
        <v>210</v>
      </c>
      <c r="B388" s="163">
        <v>42287.731993958332</v>
      </c>
      <c r="C388" s="164" t="s">
        <v>843</v>
      </c>
      <c r="D388" s="164" t="s">
        <v>13</v>
      </c>
      <c r="E388" s="165">
        <v>100</v>
      </c>
      <c r="F388" s="166">
        <v>0</v>
      </c>
      <c r="G388" s="227">
        <f>IF($B$2,IF(ROWS(B$6:$B388) = 1,$B388-Start_Date,$B388-$B387),"")</f>
        <v>1.4967766204790678E-2</v>
      </c>
      <c r="H388" s="29">
        <f>IF($B$2,IF(ROWS(B$6:$B388) = 1,IF(COUNTIFS(R_Schedule_Times,"&lt;"&amp;B388),INDEX(R_Schedule_Amounts,MATCH(B388,R_Schedule_Times,1)),Starting_Cash),IF(COUNTIFS(R_Schedule_Times,"&gt;"&amp;B387,R_Schedule_Times,"&lt;"&amp;B388),INDEX(R_Schedule_Amounts,MATCH(B388,R_Schedule_Times,1)),K387)),"")</f>
        <v>8120</v>
      </c>
      <c r="I388" s="30">
        <f t="shared" si="25"/>
        <v>100</v>
      </c>
      <c r="J388" s="31">
        <f t="shared" si="26"/>
        <v>0</v>
      </c>
      <c r="K388" s="29">
        <f t="shared" si="27"/>
        <v>8020</v>
      </c>
      <c r="L388" s="31" t="str">
        <f t="shared" si="28"/>
        <v/>
      </c>
      <c r="M388" s="31" t="str">
        <f t="shared" si="29"/>
        <v/>
      </c>
    </row>
    <row r="389" spans="1:13" x14ac:dyDescent="0.15">
      <c r="A389" s="163" t="s">
        <v>210</v>
      </c>
      <c r="B389" s="163">
        <v>42287.735313067133</v>
      </c>
      <c r="C389" s="164" t="s">
        <v>844</v>
      </c>
      <c r="D389" s="164" t="s">
        <v>13</v>
      </c>
      <c r="E389" s="165">
        <v>20</v>
      </c>
      <c r="F389" s="166">
        <v>0</v>
      </c>
      <c r="G389" s="227">
        <f>IF($B$2,IF(ROWS(B$6:$B389) = 1,$B389-Start_Date,$B389-$B388),"")</f>
        <v>3.319108800496906E-3</v>
      </c>
      <c r="H389" s="29">
        <f>IF($B$2,IF(ROWS(B$6:$B389) = 1,IF(COUNTIFS(R_Schedule_Times,"&lt;"&amp;B389),INDEX(R_Schedule_Amounts,MATCH(B389,R_Schedule_Times,1)),Starting_Cash),IF(COUNTIFS(R_Schedule_Times,"&gt;"&amp;B388,R_Schedule_Times,"&lt;"&amp;B389),INDEX(R_Schedule_Amounts,MATCH(B389,R_Schedule_Times,1)),K388)),"")</f>
        <v>8020</v>
      </c>
      <c r="I389" s="30">
        <f t="shared" si="25"/>
        <v>20</v>
      </c>
      <c r="J389" s="31">
        <f t="shared" si="26"/>
        <v>0</v>
      </c>
      <c r="K389" s="29">
        <f t="shared" si="27"/>
        <v>8000</v>
      </c>
      <c r="L389" s="31" t="str">
        <f t="shared" si="28"/>
        <v/>
      </c>
      <c r="M389" s="31" t="str">
        <f t="shared" si="29"/>
        <v/>
      </c>
    </row>
    <row r="390" spans="1:13" x14ac:dyDescent="0.15">
      <c r="A390" s="163" t="s">
        <v>210</v>
      </c>
      <c r="B390" s="163">
        <v>42287.73745479167</v>
      </c>
      <c r="C390" s="164" t="s">
        <v>845</v>
      </c>
      <c r="D390" s="164" t="s">
        <v>13</v>
      </c>
      <c r="E390" s="165">
        <v>40</v>
      </c>
      <c r="F390" s="166">
        <v>0</v>
      </c>
      <c r="G390" s="227">
        <f>IF($B$2,IF(ROWS(B$6:$B390) = 1,$B390-Start_Date,$B390-$B389),"")</f>
        <v>2.1417245370685123E-3</v>
      </c>
      <c r="H390" s="29">
        <f>IF($B$2,IF(ROWS(B$6:$B390) = 1,IF(COUNTIFS(R_Schedule_Times,"&lt;"&amp;B390),INDEX(R_Schedule_Amounts,MATCH(B390,R_Schedule_Times,1)),Starting_Cash),IF(COUNTIFS(R_Schedule_Times,"&gt;"&amp;B389,R_Schedule_Times,"&lt;"&amp;B390),INDEX(R_Schedule_Amounts,MATCH(B390,R_Schedule_Times,1)),K389)),"")</f>
        <v>8000</v>
      </c>
      <c r="I390" s="30">
        <f t="shared" si="25"/>
        <v>40</v>
      </c>
      <c r="J390" s="31">
        <f t="shared" si="26"/>
        <v>0</v>
      </c>
      <c r="K390" s="29">
        <f t="shared" si="27"/>
        <v>7960</v>
      </c>
      <c r="L390" s="31" t="str">
        <f t="shared" si="28"/>
        <v/>
      </c>
      <c r="M390" s="31" t="str">
        <f t="shared" si="29"/>
        <v/>
      </c>
    </row>
    <row r="391" spans="1:13" x14ac:dyDescent="0.15">
      <c r="A391" s="163" t="s">
        <v>210</v>
      </c>
      <c r="B391" s="163">
        <v>42287.755093344909</v>
      </c>
      <c r="C391" s="164" t="s">
        <v>257</v>
      </c>
      <c r="D391" s="164" t="s">
        <v>13</v>
      </c>
      <c r="E391" s="165">
        <v>100</v>
      </c>
      <c r="F391" s="166">
        <v>0</v>
      </c>
      <c r="G391" s="227">
        <f>IF($B$2,IF(ROWS(B$6:$B391) = 1,$B391-Start_Date,$B391-$B390),"")</f>
        <v>1.7638553239521571E-2</v>
      </c>
      <c r="H391" s="29">
        <f>IF($B$2,IF(ROWS(B$6:$B391) = 1,IF(COUNTIFS(R_Schedule_Times,"&lt;"&amp;B391),INDEX(R_Schedule_Amounts,MATCH(B391,R_Schedule_Times,1)),Starting_Cash),IF(COUNTIFS(R_Schedule_Times,"&gt;"&amp;B390,R_Schedule_Times,"&lt;"&amp;B391),INDEX(R_Schedule_Amounts,MATCH(B391,R_Schedule_Times,1)),K390)),"")</f>
        <v>7960</v>
      </c>
      <c r="I391" s="30">
        <f t="shared" ref="I391:I454" si="30">IF($B$2,IF(H391&gt;=E391,E391,0),"")</f>
        <v>100</v>
      </c>
      <c r="J391" s="31">
        <f t="shared" ref="J391:J454" si="31">IF($B$2,IF(H391&gt;=E391,F391,0),"")</f>
        <v>0</v>
      </c>
      <c r="K391" s="29">
        <f t="shared" ref="K391:K454" si="32">IF($B$2,ABS(I391-H391),"")</f>
        <v>7860</v>
      </c>
      <c r="L391" s="31" t="str">
        <f t="shared" ref="L391:L454" si="33">IF($B$2,IF(H391&lt;E391,"YES",""),"")</f>
        <v/>
      </c>
      <c r="M391" s="31" t="str">
        <f t="shared" ref="M391:M454" si="34">IF($B$2,IF(L391="YES",F391,""),"")</f>
        <v/>
      </c>
    </row>
    <row r="392" spans="1:13" x14ac:dyDescent="0.15">
      <c r="A392" s="163" t="s">
        <v>210</v>
      </c>
      <c r="B392" s="163">
        <v>42287.769778090274</v>
      </c>
      <c r="C392" s="164" t="s">
        <v>846</v>
      </c>
      <c r="D392" s="164" t="s">
        <v>13</v>
      </c>
      <c r="E392" s="165">
        <v>80</v>
      </c>
      <c r="F392" s="166">
        <v>0</v>
      </c>
      <c r="G392" s="227">
        <f>IF($B$2,IF(ROWS(B$6:$B392) = 1,$B392-Start_Date,$B392-$B391),"")</f>
        <v>1.4684745365229901E-2</v>
      </c>
      <c r="H392" s="29">
        <f>IF($B$2,IF(ROWS(B$6:$B392) = 1,IF(COUNTIFS(R_Schedule_Times,"&lt;"&amp;B392),INDEX(R_Schedule_Amounts,MATCH(B392,R_Schedule_Times,1)),Starting_Cash),IF(COUNTIFS(R_Schedule_Times,"&gt;"&amp;B391,R_Schedule_Times,"&lt;"&amp;B392),INDEX(R_Schedule_Amounts,MATCH(B392,R_Schedule_Times,1)),K391)),"")</f>
        <v>7860</v>
      </c>
      <c r="I392" s="30">
        <f t="shared" si="30"/>
        <v>80</v>
      </c>
      <c r="J392" s="31">
        <f t="shared" si="31"/>
        <v>0</v>
      </c>
      <c r="K392" s="29">
        <f t="shared" si="32"/>
        <v>7780</v>
      </c>
      <c r="L392" s="31" t="str">
        <f t="shared" si="33"/>
        <v/>
      </c>
      <c r="M392" s="31" t="str">
        <f t="shared" si="34"/>
        <v/>
      </c>
    </row>
    <row r="393" spans="1:13" x14ac:dyDescent="0.15">
      <c r="A393" s="163" t="s">
        <v>210</v>
      </c>
      <c r="B393" s="163">
        <v>42287.771660972219</v>
      </c>
      <c r="C393" s="164" t="s">
        <v>847</v>
      </c>
      <c r="D393" s="164" t="s">
        <v>13</v>
      </c>
      <c r="E393" s="165">
        <v>20</v>
      </c>
      <c r="F393" s="166">
        <v>0</v>
      </c>
      <c r="G393" s="227">
        <f>IF($B$2,IF(ROWS(B$6:$B393) = 1,$B393-Start_Date,$B393-$B392),"")</f>
        <v>1.8828819447662681E-3</v>
      </c>
      <c r="H393" s="29">
        <f>IF($B$2,IF(ROWS(B$6:$B393) = 1,IF(COUNTIFS(R_Schedule_Times,"&lt;"&amp;B393),INDEX(R_Schedule_Amounts,MATCH(B393,R_Schedule_Times,1)),Starting_Cash),IF(COUNTIFS(R_Schedule_Times,"&gt;"&amp;B392,R_Schedule_Times,"&lt;"&amp;B393),INDEX(R_Schedule_Amounts,MATCH(B393,R_Schedule_Times,1)),K392)),"")</f>
        <v>7780</v>
      </c>
      <c r="I393" s="30">
        <f t="shared" si="30"/>
        <v>20</v>
      </c>
      <c r="J393" s="31">
        <f t="shared" si="31"/>
        <v>0</v>
      </c>
      <c r="K393" s="29">
        <f t="shared" si="32"/>
        <v>7760</v>
      </c>
      <c r="L393" s="31" t="str">
        <f t="shared" si="33"/>
        <v/>
      </c>
      <c r="M393" s="31" t="str">
        <f t="shared" si="34"/>
        <v/>
      </c>
    </row>
    <row r="394" spans="1:13" x14ac:dyDescent="0.15">
      <c r="A394" s="163" t="s">
        <v>210</v>
      </c>
      <c r="B394" s="163">
        <v>42287.773237141206</v>
      </c>
      <c r="C394" s="164" t="s">
        <v>14</v>
      </c>
      <c r="D394" s="164" t="s">
        <v>13</v>
      </c>
      <c r="E394" s="165">
        <v>440</v>
      </c>
      <c r="F394" s="166">
        <v>3.5</v>
      </c>
      <c r="G394" s="227">
        <f>IF($B$2,IF(ROWS(B$6:$B394) = 1,$B394-Start_Date,$B394-$B393),"")</f>
        <v>1.5761689865030348E-3</v>
      </c>
      <c r="H394" s="29">
        <f>IF($B$2,IF(ROWS(B$6:$B394) = 1,IF(COUNTIFS(R_Schedule_Times,"&lt;"&amp;B394),INDEX(R_Schedule_Amounts,MATCH(B394,R_Schedule_Times,1)),Starting_Cash),IF(COUNTIFS(R_Schedule_Times,"&gt;"&amp;B393,R_Schedule_Times,"&lt;"&amp;B394),INDEX(R_Schedule_Amounts,MATCH(B394,R_Schedule_Times,1)),K393)),"")</f>
        <v>7760</v>
      </c>
      <c r="I394" s="30">
        <f t="shared" si="30"/>
        <v>440</v>
      </c>
      <c r="J394" s="31">
        <f t="shared" si="31"/>
        <v>3.5</v>
      </c>
      <c r="K394" s="29">
        <f t="shared" si="32"/>
        <v>7320</v>
      </c>
      <c r="L394" s="31" t="str">
        <f t="shared" si="33"/>
        <v/>
      </c>
      <c r="M394" s="31" t="str">
        <f t="shared" si="34"/>
        <v/>
      </c>
    </row>
    <row r="395" spans="1:13" x14ac:dyDescent="0.15">
      <c r="A395" s="163" t="s">
        <v>210</v>
      </c>
      <c r="B395" s="163">
        <v>42287.782597812497</v>
      </c>
      <c r="C395" s="164" t="s">
        <v>848</v>
      </c>
      <c r="D395" s="164" t="s">
        <v>13</v>
      </c>
      <c r="E395" s="165">
        <v>500</v>
      </c>
      <c r="F395" s="166">
        <v>0</v>
      </c>
      <c r="G395" s="227">
        <f>IF($B$2,IF(ROWS(B$6:$B395) = 1,$B395-Start_Date,$B395-$B394),"")</f>
        <v>9.360671290778555E-3</v>
      </c>
      <c r="H395" s="29">
        <f>IF($B$2,IF(ROWS(B$6:$B395) = 1,IF(COUNTIFS(R_Schedule_Times,"&lt;"&amp;B395),INDEX(R_Schedule_Amounts,MATCH(B395,R_Schedule_Times,1)),Starting_Cash),IF(COUNTIFS(R_Schedule_Times,"&gt;"&amp;B394,R_Schedule_Times,"&lt;"&amp;B395),INDEX(R_Schedule_Amounts,MATCH(B395,R_Schedule_Times,1)),K394)),"")</f>
        <v>7320</v>
      </c>
      <c r="I395" s="30">
        <f t="shared" si="30"/>
        <v>500</v>
      </c>
      <c r="J395" s="31">
        <f t="shared" si="31"/>
        <v>0</v>
      </c>
      <c r="K395" s="29">
        <f t="shared" si="32"/>
        <v>6820</v>
      </c>
      <c r="L395" s="31" t="str">
        <f t="shared" si="33"/>
        <v/>
      </c>
      <c r="M395" s="31" t="str">
        <f t="shared" si="34"/>
        <v/>
      </c>
    </row>
    <row r="396" spans="1:13" x14ac:dyDescent="0.15">
      <c r="A396" s="163" t="s">
        <v>210</v>
      </c>
      <c r="B396" s="163">
        <v>42287.785055300927</v>
      </c>
      <c r="C396" s="164" t="s">
        <v>849</v>
      </c>
      <c r="D396" s="164" t="s">
        <v>13</v>
      </c>
      <c r="E396" s="165">
        <v>60</v>
      </c>
      <c r="F396" s="166">
        <v>0</v>
      </c>
      <c r="G396" s="227">
        <f>IF($B$2,IF(ROWS(B$6:$B396) = 1,$B396-Start_Date,$B396-$B395),"")</f>
        <v>2.4574884300818667E-3</v>
      </c>
      <c r="H396" s="29">
        <f>IF($B$2,IF(ROWS(B$6:$B396) = 1,IF(COUNTIFS(R_Schedule_Times,"&lt;"&amp;B396),INDEX(R_Schedule_Amounts,MATCH(B396,R_Schedule_Times,1)),Starting_Cash),IF(COUNTIFS(R_Schedule_Times,"&gt;"&amp;B395,R_Schedule_Times,"&lt;"&amp;B396),INDEX(R_Schedule_Amounts,MATCH(B396,R_Schedule_Times,1)),K395)),"")</f>
        <v>6820</v>
      </c>
      <c r="I396" s="30">
        <f t="shared" si="30"/>
        <v>60</v>
      </c>
      <c r="J396" s="31">
        <f t="shared" si="31"/>
        <v>0</v>
      </c>
      <c r="K396" s="29">
        <f t="shared" si="32"/>
        <v>6760</v>
      </c>
      <c r="L396" s="31" t="str">
        <f t="shared" si="33"/>
        <v/>
      </c>
      <c r="M396" s="31" t="str">
        <f t="shared" si="34"/>
        <v/>
      </c>
    </row>
    <row r="397" spans="1:13" x14ac:dyDescent="0.15">
      <c r="A397" s="163" t="s">
        <v>210</v>
      </c>
      <c r="B397" s="163">
        <v>42287.830916006948</v>
      </c>
      <c r="C397" s="164" t="s">
        <v>850</v>
      </c>
      <c r="D397" s="164" t="s">
        <v>13</v>
      </c>
      <c r="E397" s="165">
        <v>100</v>
      </c>
      <c r="F397" s="166">
        <v>0</v>
      </c>
      <c r="G397" s="227">
        <f>IF($B$2,IF(ROWS(B$6:$B397) = 1,$B397-Start_Date,$B397-$B396),"")</f>
        <v>4.5860706020903308E-2</v>
      </c>
      <c r="H397" s="29">
        <f>IF($B$2,IF(ROWS(B$6:$B397) = 1,IF(COUNTIFS(R_Schedule_Times,"&lt;"&amp;B397),INDEX(R_Schedule_Amounts,MATCH(B397,R_Schedule_Times,1)),Starting_Cash),IF(COUNTIFS(R_Schedule_Times,"&gt;"&amp;B396,R_Schedule_Times,"&lt;"&amp;B397),INDEX(R_Schedule_Amounts,MATCH(B397,R_Schedule_Times,1)),K396)),"")</f>
        <v>6760</v>
      </c>
      <c r="I397" s="30">
        <f t="shared" si="30"/>
        <v>100</v>
      </c>
      <c r="J397" s="31">
        <f t="shared" si="31"/>
        <v>0</v>
      </c>
      <c r="K397" s="29">
        <f t="shared" si="32"/>
        <v>6660</v>
      </c>
      <c r="L397" s="31" t="str">
        <f t="shared" si="33"/>
        <v/>
      </c>
      <c r="M397" s="31" t="str">
        <f t="shared" si="34"/>
        <v/>
      </c>
    </row>
    <row r="398" spans="1:13" x14ac:dyDescent="0.15">
      <c r="A398" s="163" t="s">
        <v>210</v>
      </c>
      <c r="B398" s="163">
        <v>42287.898786423611</v>
      </c>
      <c r="C398" s="164" t="s">
        <v>851</v>
      </c>
      <c r="D398" s="164" t="s">
        <v>13</v>
      </c>
      <c r="E398" s="165">
        <v>300</v>
      </c>
      <c r="F398" s="166">
        <v>0</v>
      </c>
      <c r="G398" s="227">
        <f>IF($B$2,IF(ROWS(B$6:$B398) = 1,$B398-Start_Date,$B398-$B397),"")</f>
        <v>6.7870416663936339E-2</v>
      </c>
      <c r="H398" s="29">
        <f>IF($B$2,IF(ROWS(B$6:$B398) = 1,IF(COUNTIFS(R_Schedule_Times,"&lt;"&amp;B398),INDEX(R_Schedule_Amounts,MATCH(B398,R_Schedule_Times,1)),Starting_Cash),IF(COUNTIFS(R_Schedule_Times,"&gt;"&amp;B397,R_Schedule_Times,"&lt;"&amp;B398),INDEX(R_Schedule_Amounts,MATCH(B398,R_Schedule_Times,1)),K397)),"")</f>
        <v>6660</v>
      </c>
      <c r="I398" s="30">
        <f t="shared" si="30"/>
        <v>300</v>
      </c>
      <c r="J398" s="31">
        <f t="shared" si="31"/>
        <v>0</v>
      </c>
      <c r="K398" s="29">
        <f t="shared" si="32"/>
        <v>6360</v>
      </c>
      <c r="L398" s="31" t="str">
        <f t="shared" si="33"/>
        <v/>
      </c>
      <c r="M398" s="31" t="str">
        <f t="shared" si="34"/>
        <v/>
      </c>
    </row>
    <row r="399" spans="1:13" x14ac:dyDescent="0.15">
      <c r="A399" s="163" t="s">
        <v>210</v>
      </c>
      <c r="B399" s="163">
        <v>42287.966969918984</v>
      </c>
      <c r="C399" s="164" t="s">
        <v>852</v>
      </c>
      <c r="D399" s="164" t="s">
        <v>13</v>
      </c>
      <c r="E399" s="165">
        <v>40</v>
      </c>
      <c r="F399" s="166">
        <v>0</v>
      </c>
      <c r="G399" s="227">
        <f>IF($B$2,IF(ROWS(B$6:$B399) = 1,$B399-Start_Date,$B399-$B398),"")</f>
        <v>6.8183495372068137E-2</v>
      </c>
      <c r="H399" s="29">
        <f>IF($B$2,IF(ROWS(B$6:$B399) = 1,IF(COUNTIFS(R_Schedule_Times,"&lt;"&amp;B399),INDEX(R_Schedule_Amounts,MATCH(B399,R_Schedule_Times,1)),Starting_Cash),IF(COUNTIFS(R_Schedule_Times,"&gt;"&amp;B398,R_Schedule_Times,"&lt;"&amp;B399),INDEX(R_Schedule_Amounts,MATCH(B399,R_Schedule_Times,1)),K398)),"")</f>
        <v>6360</v>
      </c>
      <c r="I399" s="30">
        <f t="shared" si="30"/>
        <v>40</v>
      </c>
      <c r="J399" s="31">
        <f t="shared" si="31"/>
        <v>0</v>
      </c>
      <c r="K399" s="29">
        <f t="shared" si="32"/>
        <v>6320</v>
      </c>
      <c r="L399" s="31" t="str">
        <f t="shared" si="33"/>
        <v/>
      </c>
      <c r="M399" s="31" t="str">
        <f t="shared" si="34"/>
        <v/>
      </c>
    </row>
    <row r="400" spans="1:13" x14ac:dyDescent="0.15">
      <c r="A400" s="163" t="s">
        <v>210</v>
      </c>
      <c r="B400" s="163">
        <v>42287.997574988425</v>
      </c>
      <c r="C400" s="164" t="s">
        <v>853</v>
      </c>
      <c r="D400" s="164" t="s">
        <v>13</v>
      </c>
      <c r="E400" s="165">
        <v>40</v>
      </c>
      <c r="F400" s="166">
        <v>0</v>
      </c>
      <c r="G400" s="227">
        <f>IF($B$2,IF(ROWS(B$6:$B400) = 1,$B400-Start_Date,$B400-$B399),"")</f>
        <v>3.0605069441662636E-2</v>
      </c>
      <c r="H400" s="29">
        <f>IF($B$2,IF(ROWS(B$6:$B400) = 1,IF(COUNTIFS(R_Schedule_Times,"&lt;"&amp;B400),INDEX(R_Schedule_Amounts,MATCH(B400,R_Schedule_Times,1)),Starting_Cash),IF(COUNTIFS(R_Schedule_Times,"&gt;"&amp;B399,R_Schedule_Times,"&lt;"&amp;B400),INDEX(R_Schedule_Amounts,MATCH(B400,R_Schedule_Times,1)),K399)),"")</f>
        <v>6320</v>
      </c>
      <c r="I400" s="30">
        <f t="shared" si="30"/>
        <v>40</v>
      </c>
      <c r="J400" s="31">
        <f t="shared" si="31"/>
        <v>0</v>
      </c>
      <c r="K400" s="29">
        <f t="shared" si="32"/>
        <v>6280</v>
      </c>
      <c r="L400" s="31" t="str">
        <f t="shared" si="33"/>
        <v/>
      </c>
      <c r="M400" s="31" t="str">
        <f t="shared" si="34"/>
        <v/>
      </c>
    </row>
    <row r="401" spans="1:13" x14ac:dyDescent="0.15">
      <c r="A401" s="163" t="s">
        <v>210</v>
      </c>
      <c r="B401" s="163">
        <v>42288.069379791668</v>
      </c>
      <c r="C401" s="164" t="s">
        <v>326</v>
      </c>
      <c r="D401" s="164" t="s">
        <v>13</v>
      </c>
      <c r="E401" s="165">
        <v>100</v>
      </c>
      <c r="F401" s="166">
        <v>0</v>
      </c>
      <c r="G401" s="227">
        <f>IF($B$2,IF(ROWS(B$6:$B401) = 1,$B401-Start_Date,$B401-$B400),"")</f>
        <v>7.1804803243139759E-2</v>
      </c>
      <c r="H401" s="29">
        <f>IF($B$2,IF(ROWS(B$6:$B401) = 1,IF(COUNTIFS(R_Schedule_Times,"&lt;"&amp;B401),INDEX(R_Schedule_Amounts,MATCH(B401,R_Schedule_Times,1)),Starting_Cash),IF(COUNTIFS(R_Schedule_Times,"&gt;"&amp;B400,R_Schedule_Times,"&lt;"&amp;B401),INDEX(R_Schedule_Amounts,MATCH(B401,R_Schedule_Times,1)),K400)),"")</f>
        <v>6280</v>
      </c>
      <c r="I401" s="30">
        <f t="shared" si="30"/>
        <v>100</v>
      </c>
      <c r="J401" s="31">
        <f t="shared" si="31"/>
        <v>0</v>
      </c>
      <c r="K401" s="29">
        <f t="shared" si="32"/>
        <v>6180</v>
      </c>
      <c r="L401" s="31" t="str">
        <f t="shared" si="33"/>
        <v/>
      </c>
      <c r="M401" s="31" t="str">
        <f t="shared" si="34"/>
        <v/>
      </c>
    </row>
    <row r="402" spans="1:13" x14ac:dyDescent="0.15">
      <c r="A402" s="163" t="s">
        <v>210</v>
      </c>
      <c r="B402" s="163">
        <v>42288.396606504626</v>
      </c>
      <c r="C402" s="164" t="s">
        <v>854</v>
      </c>
      <c r="D402" s="164" t="s">
        <v>13</v>
      </c>
      <c r="E402" s="165">
        <v>40</v>
      </c>
      <c r="F402" s="166">
        <v>0</v>
      </c>
      <c r="G402" s="227">
        <f>IF($B$2,IF(ROWS(B$6:$B402) = 1,$B402-Start_Date,$B402-$B401),"")</f>
        <v>0.32722671295778127</v>
      </c>
      <c r="H402" s="29">
        <f>IF($B$2,IF(ROWS(B$6:$B402) = 1,IF(COUNTIFS(R_Schedule_Times,"&lt;"&amp;B402),INDEX(R_Schedule_Amounts,MATCH(B402,R_Schedule_Times,1)),Starting_Cash),IF(COUNTIFS(R_Schedule_Times,"&gt;"&amp;B401,R_Schedule_Times,"&lt;"&amp;B402),INDEX(R_Schedule_Amounts,MATCH(B402,R_Schedule_Times,1)),K401)),"")</f>
        <v>6180</v>
      </c>
      <c r="I402" s="30">
        <f t="shared" si="30"/>
        <v>40</v>
      </c>
      <c r="J402" s="31">
        <f t="shared" si="31"/>
        <v>0</v>
      </c>
      <c r="K402" s="29">
        <f t="shared" si="32"/>
        <v>6140</v>
      </c>
      <c r="L402" s="31" t="str">
        <f t="shared" si="33"/>
        <v/>
      </c>
      <c r="M402" s="31" t="str">
        <f t="shared" si="34"/>
        <v/>
      </c>
    </row>
    <row r="403" spans="1:13" x14ac:dyDescent="0.15">
      <c r="A403" s="163" t="s">
        <v>210</v>
      </c>
      <c r="B403" s="163">
        <v>42288.405734548614</v>
      </c>
      <c r="C403" s="164" t="s">
        <v>855</v>
      </c>
      <c r="D403" s="164" t="s">
        <v>13</v>
      </c>
      <c r="E403" s="165">
        <v>20</v>
      </c>
      <c r="F403" s="166">
        <v>0</v>
      </c>
      <c r="G403" s="227">
        <f>IF($B$2,IF(ROWS(B$6:$B403) = 1,$B403-Start_Date,$B403-$B402),"")</f>
        <v>9.1280439883121289E-3</v>
      </c>
      <c r="H403" s="29">
        <f>IF($B$2,IF(ROWS(B$6:$B403) = 1,IF(COUNTIFS(R_Schedule_Times,"&lt;"&amp;B403),INDEX(R_Schedule_Amounts,MATCH(B403,R_Schedule_Times,1)),Starting_Cash),IF(COUNTIFS(R_Schedule_Times,"&gt;"&amp;B402,R_Schedule_Times,"&lt;"&amp;B403),INDEX(R_Schedule_Amounts,MATCH(B403,R_Schedule_Times,1)),K402)),"")</f>
        <v>6140</v>
      </c>
      <c r="I403" s="30">
        <f t="shared" si="30"/>
        <v>20</v>
      </c>
      <c r="J403" s="31">
        <f t="shared" si="31"/>
        <v>0</v>
      </c>
      <c r="K403" s="29">
        <f t="shared" si="32"/>
        <v>6120</v>
      </c>
      <c r="L403" s="31" t="str">
        <f t="shared" si="33"/>
        <v/>
      </c>
      <c r="M403" s="31" t="str">
        <f t="shared" si="34"/>
        <v/>
      </c>
    </row>
    <row r="404" spans="1:13" x14ac:dyDescent="0.15">
      <c r="A404" s="163" t="s">
        <v>210</v>
      </c>
      <c r="B404" s="163">
        <v>42288.426092662034</v>
      </c>
      <c r="C404" s="164" t="s">
        <v>856</v>
      </c>
      <c r="D404" s="164" t="s">
        <v>13</v>
      </c>
      <c r="E404" s="165">
        <v>100</v>
      </c>
      <c r="F404" s="166">
        <v>0</v>
      </c>
      <c r="G404" s="227">
        <f>IF($B$2,IF(ROWS(B$6:$B404) = 1,$B404-Start_Date,$B404-$B403),"")</f>
        <v>2.0358113419206347E-2</v>
      </c>
      <c r="H404" s="29">
        <f>IF($B$2,IF(ROWS(B$6:$B404) = 1,IF(COUNTIFS(R_Schedule_Times,"&lt;"&amp;B404),INDEX(R_Schedule_Amounts,MATCH(B404,R_Schedule_Times,1)),Starting_Cash),IF(COUNTIFS(R_Schedule_Times,"&gt;"&amp;B403,R_Schedule_Times,"&lt;"&amp;B404),INDEX(R_Schedule_Amounts,MATCH(B404,R_Schedule_Times,1)),K403)),"")</f>
        <v>6120</v>
      </c>
      <c r="I404" s="30">
        <f t="shared" si="30"/>
        <v>100</v>
      </c>
      <c r="J404" s="31">
        <f t="shared" si="31"/>
        <v>0</v>
      </c>
      <c r="K404" s="29">
        <f t="shared" si="32"/>
        <v>6020</v>
      </c>
      <c r="L404" s="31" t="str">
        <f t="shared" si="33"/>
        <v/>
      </c>
      <c r="M404" s="31" t="str">
        <f t="shared" si="34"/>
        <v/>
      </c>
    </row>
    <row r="405" spans="1:13" x14ac:dyDescent="0.15">
      <c r="A405" s="163" t="s">
        <v>210</v>
      </c>
      <c r="B405" s="163">
        <v>42288.454324444443</v>
      </c>
      <c r="C405" s="164" t="s">
        <v>327</v>
      </c>
      <c r="D405" s="164" t="s">
        <v>13</v>
      </c>
      <c r="E405" s="165">
        <v>40</v>
      </c>
      <c r="F405" s="166">
        <v>0</v>
      </c>
      <c r="G405" s="227">
        <f>IF($B$2,IF(ROWS(B$6:$B405) = 1,$B405-Start_Date,$B405-$B404),"")</f>
        <v>2.8231782409420703E-2</v>
      </c>
      <c r="H405" s="29">
        <f>IF($B$2,IF(ROWS(B$6:$B405) = 1,IF(COUNTIFS(R_Schedule_Times,"&lt;"&amp;B405),INDEX(R_Schedule_Amounts,MATCH(B405,R_Schedule_Times,1)),Starting_Cash),IF(COUNTIFS(R_Schedule_Times,"&gt;"&amp;B404,R_Schedule_Times,"&lt;"&amp;B405),INDEX(R_Schedule_Amounts,MATCH(B405,R_Schedule_Times,1)),K404)),"")</f>
        <v>6020</v>
      </c>
      <c r="I405" s="30">
        <f t="shared" si="30"/>
        <v>40</v>
      </c>
      <c r="J405" s="31">
        <f t="shared" si="31"/>
        <v>0</v>
      </c>
      <c r="K405" s="29">
        <f t="shared" si="32"/>
        <v>5980</v>
      </c>
      <c r="L405" s="31" t="str">
        <f t="shared" si="33"/>
        <v/>
      </c>
      <c r="M405" s="31" t="str">
        <f t="shared" si="34"/>
        <v/>
      </c>
    </row>
    <row r="406" spans="1:13" x14ac:dyDescent="0.15">
      <c r="A406" s="163" t="s">
        <v>210</v>
      </c>
      <c r="B406" s="163">
        <v>42288.465300069445</v>
      </c>
      <c r="C406" s="164" t="s">
        <v>857</v>
      </c>
      <c r="D406" s="164" t="s">
        <v>13</v>
      </c>
      <c r="E406" s="165">
        <v>100</v>
      </c>
      <c r="F406" s="166">
        <v>0</v>
      </c>
      <c r="G406" s="227">
        <f>IF($B$2,IF(ROWS(B$6:$B406) = 1,$B406-Start_Date,$B406-$B405),"")</f>
        <v>1.0975625002174638E-2</v>
      </c>
      <c r="H406" s="29">
        <f>IF($B$2,IF(ROWS(B$6:$B406) = 1,IF(COUNTIFS(R_Schedule_Times,"&lt;"&amp;B406),INDEX(R_Schedule_Amounts,MATCH(B406,R_Schedule_Times,1)),Starting_Cash),IF(COUNTIFS(R_Schedule_Times,"&gt;"&amp;B405,R_Schedule_Times,"&lt;"&amp;B406),INDEX(R_Schedule_Amounts,MATCH(B406,R_Schedule_Times,1)),K405)),"")</f>
        <v>5980</v>
      </c>
      <c r="I406" s="30">
        <f t="shared" si="30"/>
        <v>100</v>
      </c>
      <c r="J406" s="31">
        <f t="shared" si="31"/>
        <v>0</v>
      </c>
      <c r="K406" s="29">
        <f t="shared" si="32"/>
        <v>5880</v>
      </c>
      <c r="L406" s="31" t="str">
        <f t="shared" si="33"/>
        <v/>
      </c>
      <c r="M406" s="31" t="str">
        <f t="shared" si="34"/>
        <v/>
      </c>
    </row>
    <row r="407" spans="1:13" x14ac:dyDescent="0.15">
      <c r="A407" s="163" t="s">
        <v>210</v>
      </c>
      <c r="B407" s="163">
        <v>42288.472245138888</v>
      </c>
      <c r="C407" s="164" t="s">
        <v>621</v>
      </c>
      <c r="D407" s="164" t="s">
        <v>13</v>
      </c>
      <c r="E407" s="165">
        <v>40</v>
      </c>
      <c r="F407" s="166">
        <v>0</v>
      </c>
      <c r="G407" s="227">
        <f>IF($B$2,IF(ROWS(B$6:$B407) = 1,$B407-Start_Date,$B407-$B406),"")</f>
        <v>6.9450694427359849E-3</v>
      </c>
      <c r="H407" s="29">
        <f>IF($B$2,IF(ROWS(B$6:$B407) = 1,IF(COUNTIFS(R_Schedule_Times,"&lt;"&amp;B407),INDEX(R_Schedule_Amounts,MATCH(B407,R_Schedule_Times,1)),Starting_Cash),IF(COUNTIFS(R_Schedule_Times,"&gt;"&amp;B406,R_Schedule_Times,"&lt;"&amp;B407),INDEX(R_Schedule_Amounts,MATCH(B407,R_Schedule_Times,1)),K406)),"")</f>
        <v>5880</v>
      </c>
      <c r="I407" s="30">
        <f t="shared" si="30"/>
        <v>40</v>
      </c>
      <c r="J407" s="31">
        <f t="shared" si="31"/>
        <v>0</v>
      </c>
      <c r="K407" s="29">
        <f t="shared" si="32"/>
        <v>5840</v>
      </c>
      <c r="L407" s="31" t="str">
        <f t="shared" si="33"/>
        <v/>
      </c>
      <c r="M407" s="31" t="str">
        <f t="shared" si="34"/>
        <v/>
      </c>
    </row>
    <row r="408" spans="1:13" x14ac:dyDescent="0.15">
      <c r="A408" s="163" t="s">
        <v>210</v>
      </c>
      <c r="B408" s="163">
        <v>42288.478879513888</v>
      </c>
      <c r="C408" s="164" t="s">
        <v>697</v>
      </c>
      <c r="D408" s="164" t="s">
        <v>13</v>
      </c>
      <c r="E408" s="165">
        <v>40</v>
      </c>
      <c r="F408" s="166">
        <v>0</v>
      </c>
      <c r="G408" s="227">
        <f>IF($B$2,IF(ROWS(B$6:$B408) = 1,$B408-Start_Date,$B408-$B407),"")</f>
        <v>6.6343750004307367E-3</v>
      </c>
      <c r="H408" s="29">
        <f>IF($B$2,IF(ROWS(B$6:$B408) = 1,IF(COUNTIFS(R_Schedule_Times,"&lt;"&amp;B408),INDEX(R_Schedule_Amounts,MATCH(B408,R_Schedule_Times,1)),Starting_Cash),IF(COUNTIFS(R_Schedule_Times,"&gt;"&amp;B407,R_Schedule_Times,"&lt;"&amp;B408),INDEX(R_Schedule_Amounts,MATCH(B408,R_Schedule_Times,1)),K407)),"")</f>
        <v>5840</v>
      </c>
      <c r="I408" s="30">
        <f t="shared" si="30"/>
        <v>40</v>
      </c>
      <c r="J408" s="31">
        <f t="shared" si="31"/>
        <v>0</v>
      </c>
      <c r="K408" s="29">
        <f t="shared" si="32"/>
        <v>5800</v>
      </c>
      <c r="L408" s="31" t="str">
        <f t="shared" si="33"/>
        <v/>
      </c>
      <c r="M408" s="31" t="str">
        <f t="shared" si="34"/>
        <v/>
      </c>
    </row>
    <row r="409" spans="1:13" x14ac:dyDescent="0.15">
      <c r="A409" s="163" t="s">
        <v>210</v>
      </c>
      <c r="B409" s="163">
        <v>42288.486162847221</v>
      </c>
      <c r="C409" s="164" t="s">
        <v>858</v>
      </c>
      <c r="D409" s="164" t="s">
        <v>13</v>
      </c>
      <c r="E409" s="165">
        <v>60</v>
      </c>
      <c r="F409" s="166">
        <v>0</v>
      </c>
      <c r="G409" s="227">
        <f>IF($B$2,IF(ROWS(B$6:$B409) = 1,$B409-Start_Date,$B409-$B408),"")</f>
        <v>7.2833333324524574E-3</v>
      </c>
      <c r="H409" s="29">
        <f>IF($B$2,IF(ROWS(B$6:$B409) = 1,IF(COUNTIFS(R_Schedule_Times,"&lt;"&amp;B409),INDEX(R_Schedule_Amounts,MATCH(B409,R_Schedule_Times,1)),Starting_Cash),IF(COUNTIFS(R_Schedule_Times,"&gt;"&amp;B408,R_Schedule_Times,"&lt;"&amp;B409),INDEX(R_Schedule_Amounts,MATCH(B409,R_Schedule_Times,1)),K408)),"")</f>
        <v>5800</v>
      </c>
      <c r="I409" s="30">
        <f t="shared" si="30"/>
        <v>60</v>
      </c>
      <c r="J409" s="31">
        <f t="shared" si="31"/>
        <v>0</v>
      </c>
      <c r="K409" s="29">
        <f t="shared" si="32"/>
        <v>5740</v>
      </c>
      <c r="L409" s="31" t="str">
        <f t="shared" si="33"/>
        <v/>
      </c>
      <c r="M409" s="31" t="str">
        <f t="shared" si="34"/>
        <v/>
      </c>
    </row>
    <row r="410" spans="1:13" x14ac:dyDescent="0.15">
      <c r="A410" s="163" t="s">
        <v>210</v>
      </c>
      <c r="B410" s="163">
        <v>42288.501938182868</v>
      </c>
      <c r="C410" s="164" t="s">
        <v>859</v>
      </c>
      <c r="D410" s="164" t="s">
        <v>13</v>
      </c>
      <c r="E410" s="165">
        <v>40</v>
      </c>
      <c r="F410" s="166">
        <v>0</v>
      </c>
      <c r="G410" s="227">
        <f>IF($B$2,IF(ROWS(B$6:$B410) = 1,$B410-Start_Date,$B410-$B409),"")</f>
        <v>1.577533564704936E-2</v>
      </c>
      <c r="H410" s="29">
        <f>IF($B$2,IF(ROWS(B$6:$B410) = 1,IF(COUNTIFS(R_Schedule_Times,"&lt;"&amp;B410),INDEX(R_Schedule_Amounts,MATCH(B410,R_Schedule_Times,1)),Starting_Cash),IF(COUNTIFS(R_Schedule_Times,"&gt;"&amp;B409,R_Schedule_Times,"&lt;"&amp;B410),INDEX(R_Schedule_Amounts,MATCH(B410,R_Schedule_Times,1)),K409)),"")</f>
        <v>5740</v>
      </c>
      <c r="I410" s="30">
        <f t="shared" si="30"/>
        <v>40</v>
      </c>
      <c r="J410" s="31">
        <f t="shared" si="31"/>
        <v>0</v>
      </c>
      <c r="K410" s="29">
        <f t="shared" si="32"/>
        <v>5700</v>
      </c>
      <c r="L410" s="31" t="str">
        <f t="shared" si="33"/>
        <v/>
      </c>
      <c r="M410" s="31" t="str">
        <f t="shared" si="34"/>
        <v/>
      </c>
    </row>
    <row r="411" spans="1:13" x14ac:dyDescent="0.15">
      <c r="A411" s="163" t="s">
        <v>210</v>
      </c>
      <c r="B411" s="163">
        <v>42288.560082673612</v>
      </c>
      <c r="C411" s="164" t="s">
        <v>860</v>
      </c>
      <c r="D411" s="164" t="s">
        <v>13</v>
      </c>
      <c r="E411" s="165">
        <v>100</v>
      </c>
      <c r="F411" s="166">
        <v>0</v>
      </c>
      <c r="G411" s="227">
        <f>IF($B$2,IF(ROWS(B$6:$B411) = 1,$B411-Start_Date,$B411-$B410),"")</f>
        <v>5.8144490743870847E-2</v>
      </c>
      <c r="H411" s="29">
        <f>IF($B$2,IF(ROWS(B$6:$B411) = 1,IF(COUNTIFS(R_Schedule_Times,"&lt;"&amp;B411),INDEX(R_Schedule_Amounts,MATCH(B411,R_Schedule_Times,1)),Starting_Cash),IF(COUNTIFS(R_Schedule_Times,"&gt;"&amp;B410,R_Schedule_Times,"&lt;"&amp;B411),INDEX(R_Schedule_Amounts,MATCH(B411,R_Schedule_Times,1)),K410)),"")</f>
        <v>5700</v>
      </c>
      <c r="I411" s="30">
        <f t="shared" si="30"/>
        <v>100</v>
      </c>
      <c r="J411" s="31">
        <f t="shared" si="31"/>
        <v>0</v>
      </c>
      <c r="K411" s="29">
        <f t="shared" si="32"/>
        <v>5600</v>
      </c>
      <c r="L411" s="31" t="str">
        <f t="shared" si="33"/>
        <v/>
      </c>
      <c r="M411" s="31" t="str">
        <f t="shared" si="34"/>
        <v/>
      </c>
    </row>
    <row r="412" spans="1:13" x14ac:dyDescent="0.15">
      <c r="A412" s="163" t="s">
        <v>210</v>
      </c>
      <c r="B412" s="163">
        <v>42288.575740949076</v>
      </c>
      <c r="C412" s="164" t="s">
        <v>328</v>
      </c>
      <c r="D412" s="164" t="s">
        <v>13</v>
      </c>
      <c r="E412" s="165">
        <v>100</v>
      </c>
      <c r="F412" s="166">
        <v>0</v>
      </c>
      <c r="G412" s="227">
        <f>IF($B$2,IF(ROWS(B$6:$B412) = 1,$B412-Start_Date,$B412-$B411),"")</f>
        <v>1.5658275464375038E-2</v>
      </c>
      <c r="H412" s="29">
        <f>IF($B$2,IF(ROWS(B$6:$B412) = 1,IF(COUNTIFS(R_Schedule_Times,"&lt;"&amp;B412),INDEX(R_Schedule_Amounts,MATCH(B412,R_Schedule_Times,1)),Starting_Cash),IF(COUNTIFS(R_Schedule_Times,"&gt;"&amp;B411,R_Schedule_Times,"&lt;"&amp;B412),INDEX(R_Schedule_Amounts,MATCH(B412,R_Schedule_Times,1)),K411)),"")</f>
        <v>5600</v>
      </c>
      <c r="I412" s="30">
        <f t="shared" si="30"/>
        <v>100</v>
      </c>
      <c r="J412" s="31">
        <f t="shared" si="31"/>
        <v>0</v>
      </c>
      <c r="K412" s="29">
        <f t="shared" si="32"/>
        <v>5500</v>
      </c>
      <c r="L412" s="31" t="str">
        <f t="shared" si="33"/>
        <v/>
      </c>
      <c r="M412" s="31" t="str">
        <f t="shared" si="34"/>
        <v/>
      </c>
    </row>
    <row r="413" spans="1:13" x14ac:dyDescent="0.15">
      <c r="A413" s="163" t="s">
        <v>210</v>
      </c>
      <c r="B413" s="163">
        <v>42288.592368229169</v>
      </c>
      <c r="C413" s="164" t="s">
        <v>14</v>
      </c>
      <c r="D413" s="164" t="s">
        <v>13</v>
      </c>
      <c r="E413" s="165">
        <v>100</v>
      </c>
      <c r="F413" s="166">
        <v>3.5</v>
      </c>
      <c r="G413" s="227">
        <f>IF($B$2,IF(ROWS(B$6:$B413) = 1,$B413-Start_Date,$B413-$B412),"")</f>
        <v>1.6627280092507135E-2</v>
      </c>
      <c r="H413" s="29">
        <f>IF($B$2,IF(ROWS(B$6:$B413) = 1,IF(COUNTIFS(R_Schedule_Times,"&lt;"&amp;B413),INDEX(R_Schedule_Amounts,MATCH(B413,R_Schedule_Times,1)),Starting_Cash),IF(COUNTIFS(R_Schedule_Times,"&gt;"&amp;B412,R_Schedule_Times,"&lt;"&amp;B413),INDEX(R_Schedule_Amounts,MATCH(B413,R_Schedule_Times,1)),K412)),"")</f>
        <v>5500</v>
      </c>
      <c r="I413" s="30">
        <f t="shared" si="30"/>
        <v>100</v>
      </c>
      <c r="J413" s="31">
        <f t="shared" si="31"/>
        <v>3.5</v>
      </c>
      <c r="K413" s="29">
        <f t="shared" si="32"/>
        <v>5400</v>
      </c>
      <c r="L413" s="31" t="str">
        <f t="shared" si="33"/>
        <v/>
      </c>
      <c r="M413" s="31" t="str">
        <f t="shared" si="34"/>
        <v/>
      </c>
    </row>
    <row r="414" spans="1:13" x14ac:dyDescent="0.15">
      <c r="A414" s="163" t="s">
        <v>210</v>
      </c>
      <c r="B414" s="163">
        <v>42288.593375370372</v>
      </c>
      <c r="C414" s="164" t="s">
        <v>861</v>
      </c>
      <c r="D414" s="164" t="s">
        <v>13</v>
      </c>
      <c r="E414" s="165">
        <v>40</v>
      </c>
      <c r="F414" s="166">
        <v>0</v>
      </c>
      <c r="G414" s="227">
        <f>IF($B$2,IF(ROWS(B$6:$B414) = 1,$B414-Start_Date,$B414-$B413),"")</f>
        <v>1.0071412034449168E-3</v>
      </c>
      <c r="H414" s="29">
        <f>IF($B$2,IF(ROWS(B$6:$B414) = 1,IF(COUNTIFS(R_Schedule_Times,"&lt;"&amp;B414),INDEX(R_Schedule_Amounts,MATCH(B414,R_Schedule_Times,1)),Starting_Cash),IF(COUNTIFS(R_Schedule_Times,"&gt;"&amp;B413,R_Schedule_Times,"&lt;"&amp;B414),INDEX(R_Schedule_Amounts,MATCH(B414,R_Schedule_Times,1)),K413)),"")</f>
        <v>5400</v>
      </c>
      <c r="I414" s="30">
        <f t="shared" si="30"/>
        <v>40</v>
      </c>
      <c r="J414" s="31">
        <f t="shared" si="31"/>
        <v>0</v>
      </c>
      <c r="K414" s="29">
        <f t="shared" si="32"/>
        <v>5360</v>
      </c>
      <c r="L414" s="31" t="str">
        <f t="shared" si="33"/>
        <v/>
      </c>
      <c r="M414" s="31" t="str">
        <f t="shared" si="34"/>
        <v/>
      </c>
    </row>
    <row r="415" spans="1:13" x14ac:dyDescent="0.15">
      <c r="A415" s="163" t="s">
        <v>210</v>
      </c>
      <c r="B415" s="163">
        <v>42288.621305081018</v>
      </c>
      <c r="C415" s="164" t="s">
        <v>862</v>
      </c>
      <c r="D415" s="164" t="s">
        <v>13</v>
      </c>
      <c r="E415" s="165">
        <v>200</v>
      </c>
      <c r="F415" s="166">
        <v>0</v>
      </c>
      <c r="G415" s="227">
        <f>IF($B$2,IF(ROWS(B$6:$B415) = 1,$B415-Start_Date,$B415-$B414),"")</f>
        <v>2.7929710646276362E-2</v>
      </c>
      <c r="H415" s="29">
        <f>IF($B$2,IF(ROWS(B$6:$B415) = 1,IF(COUNTIFS(R_Schedule_Times,"&lt;"&amp;B415),INDEX(R_Schedule_Amounts,MATCH(B415,R_Schedule_Times,1)),Starting_Cash),IF(COUNTIFS(R_Schedule_Times,"&gt;"&amp;B414,R_Schedule_Times,"&lt;"&amp;B415),INDEX(R_Schedule_Amounts,MATCH(B415,R_Schedule_Times,1)),K414)),"")</f>
        <v>5360</v>
      </c>
      <c r="I415" s="30">
        <f t="shared" si="30"/>
        <v>200</v>
      </c>
      <c r="J415" s="31">
        <f t="shared" si="31"/>
        <v>0</v>
      </c>
      <c r="K415" s="29">
        <f t="shared" si="32"/>
        <v>5160</v>
      </c>
      <c r="L415" s="31" t="str">
        <f t="shared" si="33"/>
        <v/>
      </c>
      <c r="M415" s="31" t="str">
        <f t="shared" si="34"/>
        <v/>
      </c>
    </row>
    <row r="416" spans="1:13" x14ac:dyDescent="0.15">
      <c r="A416" s="163" t="s">
        <v>210</v>
      </c>
      <c r="B416" s="163">
        <v>42288.630952881947</v>
      </c>
      <c r="C416" s="164" t="s">
        <v>863</v>
      </c>
      <c r="D416" s="164" t="s">
        <v>13</v>
      </c>
      <c r="E416" s="165">
        <v>40</v>
      </c>
      <c r="F416" s="166">
        <v>0</v>
      </c>
      <c r="G416" s="227">
        <f>IF($B$2,IF(ROWS(B$6:$B416) = 1,$B416-Start_Date,$B416-$B415),"")</f>
        <v>9.6478009290876798E-3</v>
      </c>
      <c r="H416" s="29">
        <f>IF($B$2,IF(ROWS(B$6:$B416) = 1,IF(COUNTIFS(R_Schedule_Times,"&lt;"&amp;B416),INDEX(R_Schedule_Amounts,MATCH(B416,R_Schedule_Times,1)),Starting_Cash),IF(COUNTIFS(R_Schedule_Times,"&gt;"&amp;B415,R_Schedule_Times,"&lt;"&amp;B416),INDEX(R_Schedule_Amounts,MATCH(B416,R_Schedule_Times,1)),K415)),"")</f>
        <v>5160</v>
      </c>
      <c r="I416" s="30">
        <f t="shared" si="30"/>
        <v>40</v>
      </c>
      <c r="J416" s="31">
        <f t="shared" si="31"/>
        <v>0</v>
      </c>
      <c r="K416" s="29">
        <f t="shared" si="32"/>
        <v>5120</v>
      </c>
      <c r="L416" s="31" t="str">
        <f t="shared" si="33"/>
        <v/>
      </c>
      <c r="M416" s="31" t="str">
        <f t="shared" si="34"/>
        <v/>
      </c>
    </row>
    <row r="417" spans="1:13" x14ac:dyDescent="0.15">
      <c r="A417" s="163" t="s">
        <v>210</v>
      </c>
      <c r="B417" s="163">
        <v>42288.631923310182</v>
      </c>
      <c r="C417" s="164" t="s">
        <v>14</v>
      </c>
      <c r="D417" s="164" t="s">
        <v>13</v>
      </c>
      <c r="E417" s="165">
        <v>100</v>
      </c>
      <c r="F417" s="166">
        <v>3.5</v>
      </c>
      <c r="G417" s="227">
        <f>IF($B$2,IF(ROWS(B$6:$B417) = 1,$B417-Start_Date,$B417-$B416),"")</f>
        <v>9.7042823472293094E-4</v>
      </c>
      <c r="H417" s="29">
        <f>IF($B$2,IF(ROWS(B$6:$B417) = 1,IF(COUNTIFS(R_Schedule_Times,"&lt;"&amp;B417),INDEX(R_Schedule_Amounts,MATCH(B417,R_Schedule_Times,1)),Starting_Cash),IF(COUNTIFS(R_Schedule_Times,"&gt;"&amp;B416,R_Schedule_Times,"&lt;"&amp;B417),INDEX(R_Schedule_Amounts,MATCH(B417,R_Schedule_Times,1)),K416)),"")</f>
        <v>5120</v>
      </c>
      <c r="I417" s="30">
        <f t="shared" si="30"/>
        <v>100</v>
      </c>
      <c r="J417" s="31">
        <f t="shared" si="31"/>
        <v>3.5</v>
      </c>
      <c r="K417" s="29">
        <f t="shared" si="32"/>
        <v>5020</v>
      </c>
      <c r="L417" s="31" t="str">
        <f t="shared" si="33"/>
        <v/>
      </c>
      <c r="M417" s="31" t="str">
        <f t="shared" si="34"/>
        <v/>
      </c>
    </row>
    <row r="418" spans="1:13" x14ac:dyDescent="0.15">
      <c r="A418" s="163" t="s">
        <v>210</v>
      </c>
      <c r="B418" s="163">
        <v>42288.644217048612</v>
      </c>
      <c r="C418" s="164" t="s">
        <v>864</v>
      </c>
      <c r="D418" s="164" t="s">
        <v>13</v>
      </c>
      <c r="E418" s="165">
        <v>200</v>
      </c>
      <c r="F418" s="166">
        <v>0</v>
      </c>
      <c r="G418" s="227">
        <f>IF($B$2,IF(ROWS(B$6:$B418) = 1,$B418-Start_Date,$B418-$B417),"")</f>
        <v>1.2293738429434597E-2</v>
      </c>
      <c r="H418" s="29">
        <f>IF($B$2,IF(ROWS(B$6:$B418) = 1,IF(COUNTIFS(R_Schedule_Times,"&lt;"&amp;B418),INDEX(R_Schedule_Amounts,MATCH(B418,R_Schedule_Times,1)),Starting_Cash),IF(COUNTIFS(R_Schedule_Times,"&gt;"&amp;B417,R_Schedule_Times,"&lt;"&amp;B418),INDEX(R_Schedule_Amounts,MATCH(B418,R_Schedule_Times,1)),K417)),"")</f>
        <v>5020</v>
      </c>
      <c r="I418" s="30">
        <f t="shared" si="30"/>
        <v>200</v>
      </c>
      <c r="J418" s="31">
        <f t="shared" si="31"/>
        <v>0</v>
      </c>
      <c r="K418" s="29">
        <f t="shared" si="32"/>
        <v>4820</v>
      </c>
      <c r="L418" s="31" t="str">
        <f t="shared" si="33"/>
        <v/>
      </c>
      <c r="M418" s="31" t="str">
        <f t="shared" si="34"/>
        <v/>
      </c>
    </row>
    <row r="419" spans="1:13" x14ac:dyDescent="0.15">
      <c r="A419" s="163" t="s">
        <v>210</v>
      </c>
      <c r="B419" s="163">
        <v>42288.648500312498</v>
      </c>
      <c r="C419" s="164" t="s">
        <v>865</v>
      </c>
      <c r="D419" s="164" t="s">
        <v>13</v>
      </c>
      <c r="E419" s="165">
        <v>20</v>
      </c>
      <c r="F419" s="166">
        <v>0</v>
      </c>
      <c r="G419" s="227">
        <f>IF($B$2,IF(ROWS(B$6:$B419) = 1,$B419-Start_Date,$B419-$B418),"")</f>
        <v>4.2832638864638284E-3</v>
      </c>
      <c r="H419" s="29">
        <f>IF($B$2,IF(ROWS(B$6:$B419) = 1,IF(COUNTIFS(R_Schedule_Times,"&lt;"&amp;B419),INDEX(R_Schedule_Amounts,MATCH(B419,R_Schedule_Times,1)),Starting_Cash),IF(COUNTIFS(R_Schedule_Times,"&gt;"&amp;B418,R_Schedule_Times,"&lt;"&amp;B419),INDEX(R_Schedule_Amounts,MATCH(B419,R_Schedule_Times,1)),K418)),"")</f>
        <v>4820</v>
      </c>
      <c r="I419" s="30">
        <f t="shared" si="30"/>
        <v>20</v>
      </c>
      <c r="J419" s="31">
        <f t="shared" si="31"/>
        <v>0</v>
      </c>
      <c r="K419" s="29">
        <f t="shared" si="32"/>
        <v>4800</v>
      </c>
      <c r="L419" s="31" t="str">
        <f t="shared" si="33"/>
        <v/>
      </c>
      <c r="M419" s="31" t="str">
        <f t="shared" si="34"/>
        <v/>
      </c>
    </row>
    <row r="420" spans="1:13" x14ac:dyDescent="0.15">
      <c r="A420" s="163" t="s">
        <v>210</v>
      </c>
      <c r="B420" s="163">
        <v>42288.665286770833</v>
      </c>
      <c r="C420" s="164" t="s">
        <v>181</v>
      </c>
      <c r="D420" s="164" t="s">
        <v>13</v>
      </c>
      <c r="E420" s="165">
        <v>500</v>
      </c>
      <c r="F420" s="166">
        <v>0</v>
      </c>
      <c r="G420" s="227">
        <f>IF($B$2,IF(ROWS(B$6:$B420) = 1,$B420-Start_Date,$B420-$B419),"")</f>
        <v>1.6786458334536292E-2</v>
      </c>
      <c r="H420" s="29">
        <f>IF($B$2,IF(ROWS(B$6:$B420) = 1,IF(COUNTIFS(R_Schedule_Times,"&lt;"&amp;B420),INDEX(R_Schedule_Amounts,MATCH(B420,R_Schedule_Times,1)),Starting_Cash),IF(COUNTIFS(R_Schedule_Times,"&gt;"&amp;B419,R_Schedule_Times,"&lt;"&amp;B420),INDEX(R_Schedule_Amounts,MATCH(B420,R_Schedule_Times,1)),K419)),"")</f>
        <v>4800</v>
      </c>
      <c r="I420" s="30">
        <f t="shared" si="30"/>
        <v>500</v>
      </c>
      <c r="J420" s="31">
        <f t="shared" si="31"/>
        <v>0</v>
      </c>
      <c r="K420" s="29">
        <f t="shared" si="32"/>
        <v>4300</v>
      </c>
      <c r="L420" s="31" t="str">
        <f t="shared" si="33"/>
        <v/>
      </c>
      <c r="M420" s="31" t="str">
        <f t="shared" si="34"/>
        <v/>
      </c>
    </row>
    <row r="421" spans="1:13" x14ac:dyDescent="0.15">
      <c r="A421" s="163" t="s">
        <v>210</v>
      </c>
      <c r="B421" s="163">
        <v>42288.724898900466</v>
      </c>
      <c r="C421" s="164" t="s">
        <v>866</v>
      </c>
      <c r="D421" s="164" t="s">
        <v>13</v>
      </c>
      <c r="E421" s="165">
        <v>100</v>
      </c>
      <c r="F421" s="166">
        <v>0</v>
      </c>
      <c r="G421" s="227">
        <f>IF($B$2,IF(ROWS(B$6:$B421) = 1,$B421-Start_Date,$B421-$B420),"")</f>
        <v>5.9612129633023869E-2</v>
      </c>
      <c r="H421" s="29">
        <f>IF($B$2,IF(ROWS(B$6:$B421) = 1,IF(COUNTIFS(R_Schedule_Times,"&lt;"&amp;B421),INDEX(R_Schedule_Amounts,MATCH(B421,R_Schedule_Times,1)),Starting_Cash),IF(COUNTIFS(R_Schedule_Times,"&gt;"&amp;B420,R_Schedule_Times,"&lt;"&amp;B421),INDEX(R_Schedule_Amounts,MATCH(B421,R_Schedule_Times,1)),K420)),"")</f>
        <v>4300</v>
      </c>
      <c r="I421" s="30">
        <f t="shared" si="30"/>
        <v>100</v>
      </c>
      <c r="J421" s="31">
        <f t="shared" si="31"/>
        <v>0</v>
      </c>
      <c r="K421" s="29">
        <f t="shared" si="32"/>
        <v>4200</v>
      </c>
      <c r="L421" s="31" t="str">
        <f t="shared" si="33"/>
        <v/>
      </c>
      <c r="M421" s="31" t="str">
        <f t="shared" si="34"/>
        <v/>
      </c>
    </row>
    <row r="422" spans="1:13" x14ac:dyDescent="0.15">
      <c r="A422" s="163" t="s">
        <v>210</v>
      </c>
      <c r="B422" s="163">
        <v>42288.755284212966</v>
      </c>
      <c r="C422" s="164" t="s">
        <v>867</v>
      </c>
      <c r="D422" s="164" t="s">
        <v>13</v>
      </c>
      <c r="E422" s="165">
        <v>140</v>
      </c>
      <c r="F422" s="166">
        <v>0</v>
      </c>
      <c r="G422" s="227">
        <f>IF($B$2,IF(ROWS(B$6:$B422) = 1,$B422-Start_Date,$B422-$B421),"")</f>
        <v>3.0385312500584405E-2</v>
      </c>
      <c r="H422" s="29">
        <f>IF($B$2,IF(ROWS(B$6:$B422) = 1,IF(COUNTIFS(R_Schedule_Times,"&lt;"&amp;B422),INDEX(R_Schedule_Amounts,MATCH(B422,R_Schedule_Times,1)),Starting_Cash),IF(COUNTIFS(R_Schedule_Times,"&gt;"&amp;B421,R_Schedule_Times,"&lt;"&amp;B422),INDEX(R_Schedule_Amounts,MATCH(B422,R_Schedule_Times,1)),K421)),"")</f>
        <v>4200</v>
      </c>
      <c r="I422" s="30">
        <f t="shared" si="30"/>
        <v>140</v>
      </c>
      <c r="J422" s="31">
        <f t="shared" si="31"/>
        <v>0</v>
      </c>
      <c r="K422" s="29">
        <f t="shared" si="32"/>
        <v>4060</v>
      </c>
      <c r="L422" s="31" t="str">
        <f t="shared" si="33"/>
        <v/>
      </c>
      <c r="M422" s="31" t="str">
        <f t="shared" si="34"/>
        <v/>
      </c>
    </row>
    <row r="423" spans="1:13" x14ac:dyDescent="0.15">
      <c r="A423" s="163" t="s">
        <v>210</v>
      </c>
      <c r="B423" s="163">
        <v>42288.828744687497</v>
      </c>
      <c r="C423" s="164" t="s">
        <v>329</v>
      </c>
      <c r="D423" s="164" t="s">
        <v>13</v>
      </c>
      <c r="E423" s="165">
        <v>100</v>
      </c>
      <c r="F423" s="166">
        <v>0</v>
      </c>
      <c r="G423" s="227">
        <f>IF($B$2,IF(ROWS(B$6:$B423) = 1,$B423-Start_Date,$B423-$B422),"")</f>
        <v>7.3460474530293141E-2</v>
      </c>
      <c r="H423" s="29">
        <f>IF($B$2,IF(ROWS(B$6:$B423) = 1,IF(COUNTIFS(R_Schedule_Times,"&lt;"&amp;B423),INDEX(R_Schedule_Amounts,MATCH(B423,R_Schedule_Times,1)),Starting_Cash),IF(COUNTIFS(R_Schedule_Times,"&gt;"&amp;B422,R_Schedule_Times,"&lt;"&amp;B423),INDEX(R_Schedule_Amounts,MATCH(B423,R_Schedule_Times,1)),K422)),"")</f>
        <v>4060</v>
      </c>
      <c r="I423" s="30">
        <f t="shared" si="30"/>
        <v>100</v>
      </c>
      <c r="J423" s="31">
        <f t="shared" si="31"/>
        <v>0</v>
      </c>
      <c r="K423" s="29">
        <f t="shared" si="32"/>
        <v>3960</v>
      </c>
      <c r="L423" s="31" t="str">
        <f t="shared" si="33"/>
        <v/>
      </c>
      <c r="M423" s="31" t="str">
        <f t="shared" si="34"/>
        <v/>
      </c>
    </row>
    <row r="424" spans="1:13" x14ac:dyDescent="0.15">
      <c r="A424" s="163" t="s">
        <v>210</v>
      </c>
      <c r="B424" s="163">
        <v>42288.903909814813</v>
      </c>
      <c r="C424" s="164" t="s">
        <v>868</v>
      </c>
      <c r="D424" s="164" t="s">
        <v>13</v>
      </c>
      <c r="E424" s="165">
        <v>200</v>
      </c>
      <c r="F424" s="166">
        <v>0</v>
      </c>
      <c r="G424" s="227">
        <f>IF($B$2,IF(ROWS(B$6:$B424) = 1,$B424-Start_Date,$B424-$B423),"")</f>
        <v>7.5165127316722646E-2</v>
      </c>
      <c r="H424" s="29">
        <f>IF($B$2,IF(ROWS(B$6:$B424) = 1,IF(COUNTIFS(R_Schedule_Times,"&lt;"&amp;B424),INDEX(R_Schedule_Amounts,MATCH(B424,R_Schedule_Times,1)),Starting_Cash),IF(COUNTIFS(R_Schedule_Times,"&gt;"&amp;B423,R_Schedule_Times,"&lt;"&amp;B424),INDEX(R_Schedule_Amounts,MATCH(B424,R_Schedule_Times,1)),K423)),"")</f>
        <v>3960</v>
      </c>
      <c r="I424" s="30">
        <f t="shared" si="30"/>
        <v>200</v>
      </c>
      <c r="J424" s="31">
        <f t="shared" si="31"/>
        <v>0</v>
      </c>
      <c r="K424" s="29">
        <f t="shared" si="32"/>
        <v>3760</v>
      </c>
      <c r="L424" s="31" t="str">
        <f t="shared" si="33"/>
        <v/>
      </c>
      <c r="M424" s="31" t="str">
        <f t="shared" si="34"/>
        <v/>
      </c>
    </row>
    <row r="425" spans="1:13" x14ac:dyDescent="0.15">
      <c r="A425" s="163" t="s">
        <v>210</v>
      </c>
      <c r="B425" s="163">
        <v>42288.985936597222</v>
      </c>
      <c r="C425" s="164" t="s">
        <v>262</v>
      </c>
      <c r="D425" s="164" t="s">
        <v>13</v>
      </c>
      <c r="E425" s="165">
        <v>80</v>
      </c>
      <c r="F425" s="166">
        <v>0</v>
      </c>
      <c r="G425" s="227">
        <f>IF($B$2,IF(ROWS(B$6:$B425) = 1,$B425-Start_Date,$B425-$B424),"")</f>
        <v>8.2026782409229781E-2</v>
      </c>
      <c r="H425" s="29">
        <f>IF($B$2,IF(ROWS(B$6:$B425) = 1,IF(COUNTIFS(R_Schedule_Times,"&lt;"&amp;B425),INDEX(R_Schedule_Amounts,MATCH(B425,R_Schedule_Times,1)),Starting_Cash),IF(COUNTIFS(R_Schedule_Times,"&gt;"&amp;B424,R_Schedule_Times,"&lt;"&amp;B425),INDEX(R_Schedule_Amounts,MATCH(B425,R_Schedule_Times,1)),K424)),"")</f>
        <v>3760</v>
      </c>
      <c r="I425" s="30">
        <f t="shared" si="30"/>
        <v>80</v>
      </c>
      <c r="J425" s="31">
        <f t="shared" si="31"/>
        <v>0</v>
      </c>
      <c r="K425" s="29">
        <f t="shared" si="32"/>
        <v>3680</v>
      </c>
      <c r="L425" s="31" t="str">
        <f t="shared" si="33"/>
        <v/>
      </c>
      <c r="M425" s="31" t="str">
        <f t="shared" si="34"/>
        <v/>
      </c>
    </row>
    <row r="426" spans="1:13" x14ac:dyDescent="0.15">
      <c r="A426" s="163" t="s">
        <v>210</v>
      </c>
      <c r="B426" s="163">
        <v>42289.226911550926</v>
      </c>
      <c r="C426" s="164" t="s">
        <v>268</v>
      </c>
      <c r="D426" s="164" t="s">
        <v>13</v>
      </c>
      <c r="E426" s="165">
        <v>140</v>
      </c>
      <c r="F426" s="166">
        <v>0</v>
      </c>
      <c r="G426" s="227">
        <f>IF($B$2,IF(ROWS(B$6:$B426) = 1,$B426-Start_Date,$B426-$B425),"")</f>
        <v>0.2409749537036987</v>
      </c>
      <c r="H426" s="29">
        <f>IF($B$2,IF(ROWS(B$6:$B426) = 1,IF(COUNTIFS(R_Schedule_Times,"&lt;"&amp;B426),INDEX(R_Schedule_Amounts,MATCH(B426,R_Schedule_Times,1)),Starting_Cash),IF(COUNTIFS(R_Schedule_Times,"&gt;"&amp;B425,R_Schedule_Times,"&lt;"&amp;B426),INDEX(R_Schedule_Amounts,MATCH(B426,R_Schedule_Times,1)),K425)),"")</f>
        <v>11000</v>
      </c>
      <c r="I426" s="30">
        <f t="shared" si="30"/>
        <v>140</v>
      </c>
      <c r="J426" s="31">
        <f t="shared" si="31"/>
        <v>0</v>
      </c>
      <c r="K426" s="29">
        <f t="shared" si="32"/>
        <v>10860</v>
      </c>
      <c r="L426" s="31" t="str">
        <f t="shared" si="33"/>
        <v/>
      </c>
      <c r="M426" s="31" t="str">
        <f t="shared" si="34"/>
        <v/>
      </c>
    </row>
    <row r="427" spans="1:13" x14ac:dyDescent="0.15">
      <c r="A427" s="163" t="s">
        <v>210</v>
      </c>
      <c r="B427" s="163">
        <v>42289.292191840279</v>
      </c>
      <c r="C427" s="164" t="s">
        <v>869</v>
      </c>
      <c r="D427" s="164" t="s">
        <v>13</v>
      </c>
      <c r="E427" s="165">
        <v>40</v>
      </c>
      <c r="F427" s="166">
        <v>0</v>
      </c>
      <c r="G427" s="227">
        <f>IF($B$2,IF(ROWS(B$6:$B427) = 1,$B427-Start_Date,$B427-$B426),"")</f>
        <v>6.528028935281327E-2</v>
      </c>
      <c r="H427" s="29">
        <f>IF($B$2,IF(ROWS(B$6:$B427) = 1,IF(COUNTIFS(R_Schedule_Times,"&lt;"&amp;B427),INDEX(R_Schedule_Amounts,MATCH(B427,R_Schedule_Times,1)),Starting_Cash),IF(COUNTIFS(R_Schedule_Times,"&gt;"&amp;B426,R_Schedule_Times,"&lt;"&amp;B427),INDEX(R_Schedule_Amounts,MATCH(B427,R_Schedule_Times,1)),K426)),"")</f>
        <v>10860</v>
      </c>
      <c r="I427" s="30">
        <f t="shared" si="30"/>
        <v>40</v>
      </c>
      <c r="J427" s="31">
        <f t="shared" si="31"/>
        <v>0</v>
      </c>
      <c r="K427" s="29">
        <f t="shared" si="32"/>
        <v>10820</v>
      </c>
      <c r="L427" s="31" t="str">
        <f t="shared" si="33"/>
        <v/>
      </c>
      <c r="M427" s="31" t="str">
        <f t="shared" si="34"/>
        <v/>
      </c>
    </row>
    <row r="428" spans="1:13" x14ac:dyDescent="0.15">
      <c r="A428" s="163" t="s">
        <v>210</v>
      </c>
      <c r="B428" s="163">
        <v>42289.322367372682</v>
      </c>
      <c r="C428" s="164" t="s">
        <v>14</v>
      </c>
      <c r="D428" s="164" t="s">
        <v>13</v>
      </c>
      <c r="E428" s="165">
        <v>40</v>
      </c>
      <c r="F428" s="166">
        <v>3.5</v>
      </c>
      <c r="G428" s="227">
        <f>IF($B$2,IF(ROWS(B$6:$B428) = 1,$B428-Start_Date,$B428-$B427),"")</f>
        <v>3.0175532403518446E-2</v>
      </c>
      <c r="H428" s="29">
        <f>IF($B$2,IF(ROWS(B$6:$B428) = 1,IF(COUNTIFS(R_Schedule_Times,"&lt;"&amp;B428),INDEX(R_Schedule_Amounts,MATCH(B428,R_Schedule_Times,1)),Starting_Cash),IF(COUNTIFS(R_Schedule_Times,"&gt;"&amp;B427,R_Schedule_Times,"&lt;"&amp;B428),INDEX(R_Schedule_Amounts,MATCH(B428,R_Schedule_Times,1)),K427)),"")</f>
        <v>10820</v>
      </c>
      <c r="I428" s="30">
        <f t="shared" si="30"/>
        <v>40</v>
      </c>
      <c r="J428" s="31">
        <f t="shared" si="31"/>
        <v>3.5</v>
      </c>
      <c r="K428" s="29">
        <f t="shared" si="32"/>
        <v>10780</v>
      </c>
      <c r="L428" s="31" t="str">
        <f t="shared" si="33"/>
        <v/>
      </c>
      <c r="M428" s="31" t="str">
        <f t="shared" si="34"/>
        <v/>
      </c>
    </row>
    <row r="429" spans="1:13" x14ac:dyDescent="0.15">
      <c r="A429" s="163" t="s">
        <v>210</v>
      </c>
      <c r="B429" s="163">
        <v>42289.326359722225</v>
      </c>
      <c r="C429" s="164" t="s">
        <v>870</v>
      </c>
      <c r="D429" s="164" t="s">
        <v>13</v>
      </c>
      <c r="E429" s="165">
        <v>80</v>
      </c>
      <c r="F429" s="166">
        <v>0</v>
      </c>
      <c r="G429" s="227">
        <f>IF($B$2,IF(ROWS(B$6:$B429) = 1,$B429-Start_Date,$B429-$B428),"")</f>
        <v>3.9923495423863642E-3</v>
      </c>
      <c r="H429" s="29">
        <f>IF($B$2,IF(ROWS(B$6:$B429) = 1,IF(COUNTIFS(R_Schedule_Times,"&lt;"&amp;B429),INDEX(R_Schedule_Amounts,MATCH(B429,R_Schedule_Times,1)),Starting_Cash),IF(COUNTIFS(R_Schedule_Times,"&gt;"&amp;B428,R_Schedule_Times,"&lt;"&amp;B429),INDEX(R_Schedule_Amounts,MATCH(B429,R_Schedule_Times,1)),K428)),"")</f>
        <v>10780</v>
      </c>
      <c r="I429" s="30">
        <f t="shared" si="30"/>
        <v>80</v>
      </c>
      <c r="J429" s="31">
        <f t="shared" si="31"/>
        <v>0</v>
      </c>
      <c r="K429" s="29">
        <f t="shared" si="32"/>
        <v>10700</v>
      </c>
      <c r="L429" s="31" t="str">
        <f t="shared" si="33"/>
        <v/>
      </c>
      <c r="M429" s="31" t="str">
        <f t="shared" si="34"/>
        <v/>
      </c>
    </row>
    <row r="430" spans="1:13" x14ac:dyDescent="0.15">
      <c r="A430" s="163" t="s">
        <v>210</v>
      </c>
      <c r="B430" s="163">
        <v>42289.333225567127</v>
      </c>
      <c r="C430" s="164" t="s">
        <v>871</v>
      </c>
      <c r="D430" s="164" t="s">
        <v>15</v>
      </c>
      <c r="E430" s="165">
        <v>40</v>
      </c>
      <c r="F430" s="166">
        <v>1.2</v>
      </c>
      <c r="G430" s="227">
        <f>IF($B$2,IF(ROWS(B$6:$B430) = 1,$B430-Start_Date,$B430-$B429),"")</f>
        <v>6.8658449017675593E-3</v>
      </c>
      <c r="H430" s="29">
        <f>IF($B$2,IF(ROWS(B$6:$B430) = 1,IF(COUNTIFS(R_Schedule_Times,"&lt;"&amp;B430),INDEX(R_Schedule_Amounts,MATCH(B430,R_Schedule_Times,1)),Starting_Cash),IF(COUNTIFS(R_Schedule_Times,"&gt;"&amp;B429,R_Schedule_Times,"&lt;"&amp;B430),INDEX(R_Schedule_Amounts,MATCH(B430,R_Schedule_Times,1)),K429)),"")</f>
        <v>10700</v>
      </c>
      <c r="I430" s="30">
        <f t="shared" si="30"/>
        <v>40</v>
      </c>
      <c r="J430" s="31">
        <f t="shared" si="31"/>
        <v>1.2</v>
      </c>
      <c r="K430" s="29">
        <f t="shared" si="32"/>
        <v>10660</v>
      </c>
      <c r="L430" s="31" t="str">
        <f t="shared" si="33"/>
        <v/>
      </c>
      <c r="M430" s="31" t="str">
        <f t="shared" si="34"/>
        <v/>
      </c>
    </row>
    <row r="431" spans="1:13" x14ac:dyDescent="0.15">
      <c r="A431" s="163" t="s">
        <v>210</v>
      </c>
      <c r="B431" s="163">
        <v>42289.339614340279</v>
      </c>
      <c r="C431" s="164" t="s">
        <v>14</v>
      </c>
      <c r="D431" s="164" t="s">
        <v>13</v>
      </c>
      <c r="E431" s="165">
        <v>40</v>
      </c>
      <c r="F431" s="166">
        <v>3.5</v>
      </c>
      <c r="G431" s="227">
        <f>IF($B$2,IF(ROWS(B$6:$B431) = 1,$B431-Start_Date,$B431-$B430),"")</f>
        <v>6.3887731521390378E-3</v>
      </c>
      <c r="H431" s="29">
        <f>IF($B$2,IF(ROWS(B$6:$B431) = 1,IF(COUNTIFS(R_Schedule_Times,"&lt;"&amp;B431),INDEX(R_Schedule_Amounts,MATCH(B431,R_Schedule_Times,1)),Starting_Cash),IF(COUNTIFS(R_Schedule_Times,"&gt;"&amp;B430,R_Schedule_Times,"&lt;"&amp;B431),INDEX(R_Schedule_Amounts,MATCH(B431,R_Schedule_Times,1)),K430)),"")</f>
        <v>10660</v>
      </c>
      <c r="I431" s="30">
        <f t="shared" si="30"/>
        <v>40</v>
      </c>
      <c r="J431" s="31">
        <f t="shared" si="31"/>
        <v>3.5</v>
      </c>
      <c r="K431" s="29">
        <f t="shared" si="32"/>
        <v>10620</v>
      </c>
      <c r="L431" s="31" t="str">
        <f t="shared" si="33"/>
        <v/>
      </c>
      <c r="M431" s="31" t="str">
        <f t="shared" si="34"/>
        <v/>
      </c>
    </row>
    <row r="432" spans="1:13" x14ac:dyDescent="0.15">
      <c r="A432" s="163" t="s">
        <v>210</v>
      </c>
      <c r="B432" s="163">
        <v>42289.34830553241</v>
      </c>
      <c r="C432" s="164" t="s">
        <v>872</v>
      </c>
      <c r="D432" s="164" t="s">
        <v>13</v>
      </c>
      <c r="E432" s="165">
        <v>120</v>
      </c>
      <c r="F432" s="166">
        <v>0</v>
      </c>
      <c r="G432" s="227">
        <f>IF($B$2,IF(ROWS(B$6:$B432) = 1,$B432-Start_Date,$B432-$B431),"")</f>
        <v>8.6911921316641383E-3</v>
      </c>
      <c r="H432" s="29">
        <f>IF($B$2,IF(ROWS(B$6:$B432) = 1,IF(COUNTIFS(R_Schedule_Times,"&lt;"&amp;B432),INDEX(R_Schedule_Amounts,MATCH(B432,R_Schedule_Times,1)),Starting_Cash),IF(COUNTIFS(R_Schedule_Times,"&gt;"&amp;B431,R_Schedule_Times,"&lt;"&amp;B432),INDEX(R_Schedule_Amounts,MATCH(B432,R_Schedule_Times,1)),K431)),"")</f>
        <v>10620</v>
      </c>
      <c r="I432" s="30">
        <f t="shared" si="30"/>
        <v>120</v>
      </c>
      <c r="J432" s="31">
        <f t="shared" si="31"/>
        <v>0</v>
      </c>
      <c r="K432" s="29">
        <f t="shared" si="32"/>
        <v>10500</v>
      </c>
      <c r="L432" s="31" t="str">
        <f t="shared" si="33"/>
        <v/>
      </c>
      <c r="M432" s="31" t="str">
        <f t="shared" si="34"/>
        <v/>
      </c>
    </row>
    <row r="433" spans="1:13" x14ac:dyDescent="0.15">
      <c r="A433" s="163" t="s">
        <v>210</v>
      </c>
      <c r="B433" s="163">
        <v>42289.36384928241</v>
      </c>
      <c r="C433" s="164" t="s">
        <v>873</v>
      </c>
      <c r="D433" s="164" t="s">
        <v>13</v>
      </c>
      <c r="E433" s="165">
        <v>100</v>
      </c>
      <c r="F433" s="166">
        <v>0</v>
      </c>
      <c r="G433" s="227">
        <f>IF($B$2,IF(ROWS(B$6:$B433) = 1,$B433-Start_Date,$B433-$B432),"")</f>
        <v>1.5543749999778811E-2</v>
      </c>
      <c r="H433" s="29">
        <f>IF($B$2,IF(ROWS(B$6:$B433) = 1,IF(COUNTIFS(R_Schedule_Times,"&lt;"&amp;B433),INDEX(R_Schedule_Amounts,MATCH(B433,R_Schedule_Times,1)),Starting_Cash),IF(COUNTIFS(R_Schedule_Times,"&gt;"&amp;B432,R_Schedule_Times,"&lt;"&amp;B433),INDEX(R_Schedule_Amounts,MATCH(B433,R_Schedule_Times,1)),K432)),"")</f>
        <v>10500</v>
      </c>
      <c r="I433" s="30">
        <f t="shared" si="30"/>
        <v>100</v>
      </c>
      <c r="J433" s="31">
        <f t="shared" si="31"/>
        <v>0</v>
      </c>
      <c r="K433" s="29">
        <f t="shared" si="32"/>
        <v>10400</v>
      </c>
      <c r="L433" s="31" t="str">
        <f t="shared" si="33"/>
        <v/>
      </c>
      <c r="M433" s="31" t="str">
        <f t="shared" si="34"/>
        <v/>
      </c>
    </row>
    <row r="434" spans="1:13" x14ac:dyDescent="0.15">
      <c r="A434" s="163" t="s">
        <v>210</v>
      </c>
      <c r="B434" s="163">
        <v>42289.396145243052</v>
      </c>
      <c r="C434" s="164" t="s">
        <v>330</v>
      </c>
      <c r="D434" s="164" t="s">
        <v>13</v>
      </c>
      <c r="E434" s="165">
        <v>100</v>
      </c>
      <c r="F434" s="166">
        <v>0</v>
      </c>
      <c r="G434" s="227">
        <f>IF($B$2,IF(ROWS(B$6:$B434) = 1,$B434-Start_Date,$B434-$B433),"")</f>
        <v>3.2295960641931742E-2</v>
      </c>
      <c r="H434" s="29">
        <f>IF($B$2,IF(ROWS(B$6:$B434) = 1,IF(COUNTIFS(R_Schedule_Times,"&lt;"&amp;B434),INDEX(R_Schedule_Amounts,MATCH(B434,R_Schedule_Times,1)),Starting_Cash),IF(COUNTIFS(R_Schedule_Times,"&gt;"&amp;B433,R_Schedule_Times,"&lt;"&amp;B434),INDEX(R_Schedule_Amounts,MATCH(B434,R_Schedule_Times,1)),K433)),"")</f>
        <v>10400</v>
      </c>
      <c r="I434" s="30">
        <f t="shared" si="30"/>
        <v>100</v>
      </c>
      <c r="J434" s="31">
        <f t="shared" si="31"/>
        <v>0</v>
      </c>
      <c r="K434" s="29">
        <f t="shared" si="32"/>
        <v>10300</v>
      </c>
      <c r="L434" s="31" t="str">
        <f t="shared" si="33"/>
        <v/>
      </c>
      <c r="M434" s="31" t="str">
        <f t="shared" si="34"/>
        <v/>
      </c>
    </row>
    <row r="435" spans="1:13" x14ac:dyDescent="0.15">
      <c r="A435" s="163" t="s">
        <v>210</v>
      </c>
      <c r="B435" s="163">
        <v>42289.41718916667</v>
      </c>
      <c r="C435" s="164" t="s">
        <v>874</v>
      </c>
      <c r="D435" s="164" t="s">
        <v>13</v>
      </c>
      <c r="E435" s="165">
        <v>40</v>
      </c>
      <c r="F435" s="166">
        <v>0</v>
      </c>
      <c r="G435" s="227">
        <f>IF($B$2,IF(ROWS(B$6:$B435) = 1,$B435-Start_Date,$B435-$B434),"")</f>
        <v>2.1043923617980909E-2</v>
      </c>
      <c r="H435" s="29">
        <f>IF($B$2,IF(ROWS(B$6:$B435) = 1,IF(COUNTIFS(R_Schedule_Times,"&lt;"&amp;B435),INDEX(R_Schedule_Amounts,MATCH(B435,R_Schedule_Times,1)),Starting_Cash),IF(COUNTIFS(R_Schedule_Times,"&gt;"&amp;B434,R_Schedule_Times,"&lt;"&amp;B435),INDEX(R_Schedule_Amounts,MATCH(B435,R_Schedule_Times,1)),K434)),"")</f>
        <v>10300</v>
      </c>
      <c r="I435" s="30">
        <f t="shared" si="30"/>
        <v>40</v>
      </c>
      <c r="J435" s="31">
        <f t="shared" si="31"/>
        <v>0</v>
      </c>
      <c r="K435" s="29">
        <f t="shared" si="32"/>
        <v>10260</v>
      </c>
      <c r="L435" s="31" t="str">
        <f t="shared" si="33"/>
        <v/>
      </c>
      <c r="M435" s="31" t="str">
        <f t="shared" si="34"/>
        <v/>
      </c>
    </row>
    <row r="436" spans="1:13" x14ac:dyDescent="0.15">
      <c r="A436" s="163" t="s">
        <v>210</v>
      </c>
      <c r="B436" s="163">
        <v>42289.429057766203</v>
      </c>
      <c r="C436" s="164" t="s">
        <v>875</v>
      </c>
      <c r="D436" s="164" t="s">
        <v>13</v>
      </c>
      <c r="E436" s="165">
        <v>100</v>
      </c>
      <c r="F436" s="166">
        <v>0</v>
      </c>
      <c r="G436" s="227">
        <f>IF($B$2,IF(ROWS(B$6:$B436) = 1,$B436-Start_Date,$B436-$B435),"")</f>
        <v>1.1868599533045199E-2</v>
      </c>
      <c r="H436" s="29">
        <f>IF($B$2,IF(ROWS(B$6:$B436) = 1,IF(COUNTIFS(R_Schedule_Times,"&lt;"&amp;B436),INDEX(R_Schedule_Amounts,MATCH(B436,R_Schedule_Times,1)),Starting_Cash),IF(COUNTIFS(R_Schedule_Times,"&gt;"&amp;B435,R_Schedule_Times,"&lt;"&amp;B436),INDEX(R_Schedule_Amounts,MATCH(B436,R_Schedule_Times,1)),K435)),"")</f>
        <v>10260</v>
      </c>
      <c r="I436" s="30">
        <f t="shared" si="30"/>
        <v>100</v>
      </c>
      <c r="J436" s="31">
        <f t="shared" si="31"/>
        <v>0</v>
      </c>
      <c r="K436" s="29">
        <f t="shared" si="32"/>
        <v>10160</v>
      </c>
      <c r="L436" s="31" t="str">
        <f t="shared" si="33"/>
        <v/>
      </c>
      <c r="M436" s="31" t="str">
        <f t="shared" si="34"/>
        <v/>
      </c>
    </row>
    <row r="437" spans="1:13" x14ac:dyDescent="0.15">
      <c r="A437" s="163" t="s">
        <v>210</v>
      </c>
      <c r="B437" s="163">
        <v>42289.430239398149</v>
      </c>
      <c r="C437" s="164" t="s">
        <v>876</v>
      </c>
      <c r="D437" s="164" t="s">
        <v>13</v>
      </c>
      <c r="E437" s="165">
        <v>40</v>
      </c>
      <c r="F437" s="166">
        <v>0</v>
      </c>
      <c r="G437" s="227">
        <f>IF($B$2,IF(ROWS(B$6:$B437) = 1,$B437-Start_Date,$B437-$B436),"")</f>
        <v>1.1816319456556812E-3</v>
      </c>
      <c r="H437" s="29">
        <f>IF($B$2,IF(ROWS(B$6:$B437) = 1,IF(COUNTIFS(R_Schedule_Times,"&lt;"&amp;B437),INDEX(R_Schedule_Amounts,MATCH(B437,R_Schedule_Times,1)),Starting_Cash),IF(COUNTIFS(R_Schedule_Times,"&gt;"&amp;B436,R_Schedule_Times,"&lt;"&amp;B437),INDEX(R_Schedule_Amounts,MATCH(B437,R_Schedule_Times,1)),K436)),"")</f>
        <v>10160</v>
      </c>
      <c r="I437" s="30">
        <f t="shared" si="30"/>
        <v>40</v>
      </c>
      <c r="J437" s="31">
        <f t="shared" si="31"/>
        <v>0</v>
      </c>
      <c r="K437" s="29">
        <f t="shared" si="32"/>
        <v>10120</v>
      </c>
      <c r="L437" s="31" t="str">
        <f t="shared" si="33"/>
        <v/>
      </c>
      <c r="M437" s="31" t="str">
        <f t="shared" si="34"/>
        <v/>
      </c>
    </row>
    <row r="438" spans="1:13" x14ac:dyDescent="0.15">
      <c r="A438" s="163" t="s">
        <v>210</v>
      </c>
      <c r="B438" s="163">
        <v>42289.455943634261</v>
      </c>
      <c r="C438" s="164" t="s">
        <v>877</v>
      </c>
      <c r="D438" s="164" t="s">
        <v>13</v>
      </c>
      <c r="E438" s="165">
        <v>20</v>
      </c>
      <c r="F438" s="166">
        <v>0</v>
      </c>
      <c r="G438" s="227">
        <f>IF($B$2,IF(ROWS(B$6:$B438) = 1,$B438-Start_Date,$B438-$B437),"")</f>
        <v>2.57042361117783E-2</v>
      </c>
      <c r="H438" s="29">
        <f>IF($B$2,IF(ROWS(B$6:$B438) = 1,IF(COUNTIFS(R_Schedule_Times,"&lt;"&amp;B438),INDEX(R_Schedule_Amounts,MATCH(B438,R_Schedule_Times,1)),Starting_Cash),IF(COUNTIFS(R_Schedule_Times,"&gt;"&amp;B437,R_Schedule_Times,"&lt;"&amp;B438),INDEX(R_Schedule_Amounts,MATCH(B438,R_Schedule_Times,1)),K437)),"")</f>
        <v>10120</v>
      </c>
      <c r="I438" s="30">
        <f t="shared" si="30"/>
        <v>20</v>
      </c>
      <c r="J438" s="31">
        <f t="shared" si="31"/>
        <v>0</v>
      </c>
      <c r="K438" s="29">
        <f t="shared" si="32"/>
        <v>10100</v>
      </c>
      <c r="L438" s="31" t="str">
        <f t="shared" si="33"/>
        <v/>
      </c>
      <c r="M438" s="31" t="str">
        <f t="shared" si="34"/>
        <v/>
      </c>
    </row>
    <row r="439" spans="1:13" x14ac:dyDescent="0.15">
      <c r="A439" s="163" t="s">
        <v>210</v>
      </c>
      <c r="B439" s="163">
        <v>42289.457993171294</v>
      </c>
      <c r="C439" s="164" t="s">
        <v>331</v>
      </c>
      <c r="D439" s="164" t="s">
        <v>13</v>
      </c>
      <c r="E439" s="165">
        <v>100</v>
      </c>
      <c r="F439" s="166">
        <v>0</v>
      </c>
      <c r="G439" s="227">
        <f>IF($B$2,IF(ROWS(B$6:$B439) = 1,$B439-Start_Date,$B439-$B438),"")</f>
        <v>2.0495370335993357E-3</v>
      </c>
      <c r="H439" s="29">
        <f>IF($B$2,IF(ROWS(B$6:$B439) = 1,IF(COUNTIFS(R_Schedule_Times,"&lt;"&amp;B439),INDEX(R_Schedule_Amounts,MATCH(B439,R_Schedule_Times,1)),Starting_Cash),IF(COUNTIFS(R_Schedule_Times,"&gt;"&amp;B438,R_Schedule_Times,"&lt;"&amp;B439),INDEX(R_Schedule_Amounts,MATCH(B439,R_Schedule_Times,1)),K438)),"")</f>
        <v>10100</v>
      </c>
      <c r="I439" s="30">
        <f t="shared" si="30"/>
        <v>100</v>
      </c>
      <c r="J439" s="31">
        <f t="shared" si="31"/>
        <v>0</v>
      </c>
      <c r="K439" s="29">
        <f t="shared" si="32"/>
        <v>10000</v>
      </c>
      <c r="L439" s="31" t="str">
        <f t="shared" si="33"/>
        <v/>
      </c>
      <c r="M439" s="31" t="str">
        <f t="shared" si="34"/>
        <v/>
      </c>
    </row>
    <row r="440" spans="1:13" x14ac:dyDescent="0.15">
      <c r="A440" s="163" t="s">
        <v>210</v>
      </c>
      <c r="B440" s="163">
        <v>42289.477843703702</v>
      </c>
      <c r="C440" s="164" t="s">
        <v>878</v>
      </c>
      <c r="D440" s="164" t="s">
        <v>13</v>
      </c>
      <c r="E440" s="165">
        <v>100</v>
      </c>
      <c r="F440" s="166">
        <v>0</v>
      </c>
      <c r="G440" s="227">
        <f>IF($B$2,IF(ROWS(B$6:$B440) = 1,$B440-Start_Date,$B440-$B439),"")</f>
        <v>1.9850532407872379E-2</v>
      </c>
      <c r="H440" s="29">
        <f>IF($B$2,IF(ROWS(B$6:$B440) = 1,IF(COUNTIFS(R_Schedule_Times,"&lt;"&amp;B440),INDEX(R_Schedule_Amounts,MATCH(B440,R_Schedule_Times,1)),Starting_Cash),IF(COUNTIFS(R_Schedule_Times,"&gt;"&amp;B439,R_Schedule_Times,"&lt;"&amp;B440),INDEX(R_Schedule_Amounts,MATCH(B440,R_Schedule_Times,1)),K439)),"")</f>
        <v>10000</v>
      </c>
      <c r="I440" s="30">
        <f t="shared" si="30"/>
        <v>100</v>
      </c>
      <c r="J440" s="31">
        <f t="shared" si="31"/>
        <v>0</v>
      </c>
      <c r="K440" s="29">
        <f t="shared" si="32"/>
        <v>9900</v>
      </c>
      <c r="L440" s="31" t="str">
        <f t="shared" si="33"/>
        <v/>
      </c>
      <c r="M440" s="31" t="str">
        <f t="shared" si="34"/>
        <v/>
      </c>
    </row>
    <row r="441" spans="1:13" x14ac:dyDescent="0.15">
      <c r="A441" s="163" t="s">
        <v>210</v>
      </c>
      <c r="B441" s="163">
        <v>42289.480772488423</v>
      </c>
      <c r="C441" s="164" t="s">
        <v>879</v>
      </c>
      <c r="D441" s="164" t="s">
        <v>13</v>
      </c>
      <c r="E441" s="165">
        <v>100</v>
      </c>
      <c r="F441" s="166">
        <v>0</v>
      </c>
      <c r="G441" s="227">
        <f>IF($B$2,IF(ROWS(B$6:$B441) = 1,$B441-Start_Date,$B441-$B440),"")</f>
        <v>2.928784721007105E-3</v>
      </c>
      <c r="H441" s="29">
        <f>IF($B$2,IF(ROWS(B$6:$B441) = 1,IF(COUNTIFS(R_Schedule_Times,"&lt;"&amp;B441),INDEX(R_Schedule_Amounts,MATCH(B441,R_Schedule_Times,1)),Starting_Cash),IF(COUNTIFS(R_Schedule_Times,"&gt;"&amp;B440,R_Schedule_Times,"&lt;"&amp;B441),INDEX(R_Schedule_Amounts,MATCH(B441,R_Schedule_Times,1)),K440)),"")</f>
        <v>9900</v>
      </c>
      <c r="I441" s="30">
        <f t="shared" si="30"/>
        <v>100</v>
      </c>
      <c r="J441" s="31">
        <f t="shared" si="31"/>
        <v>0</v>
      </c>
      <c r="K441" s="29">
        <f t="shared" si="32"/>
        <v>9800</v>
      </c>
      <c r="L441" s="31" t="str">
        <f t="shared" si="33"/>
        <v/>
      </c>
      <c r="M441" s="31" t="str">
        <f t="shared" si="34"/>
        <v/>
      </c>
    </row>
    <row r="442" spans="1:13" x14ac:dyDescent="0.15">
      <c r="A442" s="163" t="s">
        <v>210</v>
      </c>
      <c r="B442" s="163">
        <v>42289.482781319442</v>
      </c>
      <c r="C442" s="164" t="s">
        <v>14</v>
      </c>
      <c r="D442" s="164" t="s">
        <v>15</v>
      </c>
      <c r="E442" s="165">
        <v>100</v>
      </c>
      <c r="F442" s="166">
        <v>5.5</v>
      </c>
      <c r="G442" s="227">
        <f>IF($B$2,IF(ROWS(B$6:$B442) = 1,$B442-Start_Date,$B442-$B441),"")</f>
        <v>2.008831019338686E-3</v>
      </c>
      <c r="H442" s="29">
        <f>IF($B$2,IF(ROWS(B$6:$B442) = 1,IF(COUNTIFS(R_Schedule_Times,"&lt;"&amp;B442),INDEX(R_Schedule_Amounts,MATCH(B442,R_Schedule_Times,1)),Starting_Cash),IF(COUNTIFS(R_Schedule_Times,"&gt;"&amp;B441,R_Schedule_Times,"&lt;"&amp;B442),INDEX(R_Schedule_Amounts,MATCH(B442,R_Schedule_Times,1)),K441)),"")</f>
        <v>9800</v>
      </c>
      <c r="I442" s="30">
        <f t="shared" si="30"/>
        <v>100</v>
      </c>
      <c r="J442" s="31">
        <f t="shared" si="31"/>
        <v>5.5</v>
      </c>
      <c r="K442" s="29">
        <f t="shared" si="32"/>
        <v>9700</v>
      </c>
      <c r="L442" s="31" t="str">
        <f t="shared" si="33"/>
        <v/>
      </c>
      <c r="M442" s="31" t="str">
        <f t="shared" si="34"/>
        <v/>
      </c>
    </row>
    <row r="443" spans="1:13" x14ac:dyDescent="0.15">
      <c r="A443" s="163" t="s">
        <v>210</v>
      </c>
      <c r="B443" s="163">
        <v>42289.492994675929</v>
      </c>
      <c r="C443" s="164" t="s">
        <v>880</v>
      </c>
      <c r="D443" s="164" t="s">
        <v>13</v>
      </c>
      <c r="E443" s="165">
        <v>40</v>
      </c>
      <c r="F443" s="166">
        <v>0</v>
      </c>
      <c r="G443" s="227">
        <f>IF($B$2,IF(ROWS(B$6:$B443) = 1,$B443-Start_Date,$B443-$B442),"")</f>
        <v>1.0213356486929115E-2</v>
      </c>
      <c r="H443" s="29">
        <f>IF($B$2,IF(ROWS(B$6:$B443) = 1,IF(COUNTIFS(R_Schedule_Times,"&lt;"&amp;B443),INDEX(R_Schedule_Amounts,MATCH(B443,R_Schedule_Times,1)),Starting_Cash),IF(COUNTIFS(R_Schedule_Times,"&gt;"&amp;B442,R_Schedule_Times,"&lt;"&amp;B443),INDEX(R_Schedule_Amounts,MATCH(B443,R_Schedule_Times,1)),K442)),"")</f>
        <v>9700</v>
      </c>
      <c r="I443" s="30">
        <f t="shared" si="30"/>
        <v>40</v>
      </c>
      <c r="J443" s="31">
        <f t="shared" si="31"/>
        <v>0</v>
      </c>
      <c r="K443" s="29">
        <f t="shared" si="32"/>
        <v>9660</v>
      </c>
      <c r="L443" s="31" t="str">
        <f t="shared" si="33"/>
        <v/>
      </c>
      <c r="M443" s="31" t="str">
        <f t="shared" si="34"/>
        <v/>
      </c>
    </row>
    <row r="444" spans="1:13" x14ac:dyDescent="0.15">
      <c r="A444" s="163" t="s">
        <v>210</v>
      </c>
      <c r="B444" s="163">
        <v>42289.507220706022</v>
      </c>
      <c r="C444" s="164" t="s">
        <v>881</v>
      </c>
      <c r="D444" s="164" t="s">
        <v>13</v>
      </c>
      <c r="E444" s="165">
        <v>80</v>
      </c>
      <c r="F444" s="166">
        <v>0</v>
      </c>
      <c r="G444" s="227">
        <f>IF($B$2,IF(ROWS(B$6:$B444) = 1,$B444-Start_Date,$B444-$B443),"")</f>
        <v>1.4226030092686415E-2</v>
      </c>
      <c r="H444" s="29">
        <f>IF($B$2,IF(ROWS(B$6:$B444) = 1,IF(COUNTIFS(R_Schedule_Times,"&lt;"&amp;B444),INDEX(R_Schedule_Amounts,MATCH(B444,R_Schedule_Times,1)),Starting_Cash),IF(COUNTIFS(R_Schedule_Times,"&gt;"&amp;B443,R_Schedule_Times,"&lt;"&amp;B444),INDEX(R_Schedule_Amounts,MATCH(B444,R_Schedule_Times,1)),K443)),"")</f>
        <v>9660</v>
      </c>
      <c r="I444" s="30">
        <f t="shared" si="30"/>
        <v>80</v>
      </c>
      <c r="J444" s="31">
        <f t="shared" si="31"/>
        <v>0</v>
      </c>
      <c r="K444" s="29">
        <f t="shared" si="32"/>
        <v>9580</v>
      </c>
      <c r="L444" s="31" t="str">
        <f t="shared" si="33"/>
        <v/>
      </c>
      <c r="M444" s="31" t="str">
        <f t="shared" si="34"/>
        <v/>
      </c>
    </row>
    <row r="445" spans="1:13" x14ac:dyDescent="0.15">
      <c r="A445" s="163" t="s">
        <v>210</v>
      </c>
      <c r="B445" s="163">
        <v>42289.508284224539</v>
      </c>
      <c r="C445" s="164" t="s">
        <v>882</v>
      </c>
      <c r="D445" s="164" t="s">
        <v>15</v>
      </c>
      <c r="E445" s="165">
        <v>100</v>
      </c>
      <c r="F445" s="166">
        <v>3</v>
      </c>
      <c r="G445" s="227">
        <f>IF($B$2,IF(ROWS(B$6:$B445) = 1,$B445-Start_Date,$B445-$B444),"")</f>
        <v>1.0635185171850026E-3</v>
      </c>
      <c r="H445" s="29">
        <f>IF($B$2,IF(ROWS(B$6:$B445) = 1,IF(COUNTIFS(R_Schedule_Times,"&lt;"&amp;B445),INDEX(R_Schedule_Amounts,MATCH(B445,R_Schedule_Times,1)),Starting_Cash),IF(COUNTIFS(R_Schedule_Times,"&gt;"&amp;B444,R_Schedule_Times,"&lt;"&amp;B445),INDEX(R_Schedule_Amounts,MATCH(B445,R_Schedule_Times,1)),K444)),"")</f>
        <v>9580</v>
      </c>
      <c r="I445" s="30">
        <f t="shared" si="30"/>
        <v>100</v>
      </c>
      <c r="J445" s="31">
        <f t="shared" si="31"/>
        <v>3</v>
      </c>
      <c r="K445" s="29">
        <f t="shared" si="32"/>
        <v>9480</v>
      </c>
      <c r="L445" s="31" t="str">
        <f t="shared" si="33"/>
        <v/>
      </c>
      <c r="M445" s="31" t="str">
        <f t="shared" si="34"/>
        <v/>
      </c>
    </row>
    <row r="446" spans="1:13" x14ac:dyDescent="0.15">
      <c r="A446" s="163" t="s">
        <v>210</v>
      </c>
      <c r="B446" s="163">
        <v>42289.516454467594</v>
      </c>
      <c r="C446" s="164" t="s">
        <v>883</v>
      </c>
      <c r="D446" s="164" t="s">
        <v>13</v>
      </c>
      <c r="E446" s="165">
        <v>100</v>
      </c>
      <c r="F446" s="166">
        <v>0</v>
      </c>
      <c r="G446" s="227">
        <f>IF($B$2,IF(ROWS(B$6:$B446) = 1,$B446-Start_Date,$B446-$B445),"")</f>
        <v>8.1702430543373339E-3</v>
      </c>
      <c r="H446" s="29">
        <f>IF($B$2,IF(ROWS(B$6:$B446) = 1,IF(COUNTIFS(R_Schedule_Times,"&lt;"&amp;B446),INDEX(R_Schedule_Amounts,MATCH(B446,R_Schedule_Times,1)),Starting_Cash),IF(COUNTIFS(R_Schedule_Times,"&gt;"&amp;B445,R_Schedule_Times,"&lt;"&amp;B446),INDEX(R_Schedule_Amounts,MATCH(B446,R_Schedule_Times,1)),K445)),"")</f>
        <v>9480</v>
      </c>
      <c r="I446" s="30">
        <f t="shared" si="30"/>
        <v>100</v>
      </c>
      <c r="J446" s="31">
        <f t="shared" si="31"/>
        <v>0</v>
      </c>
      <c r="K446" s="29">
        <f t="shared" si="32"/>
        <v>9380</v>
      </c>
      <c r="L446" s="31" t="str">
        <f t="shared" si="33"/>
        <v/>
      </c>
      <c r="M446" s="31" t="str">
        <f t="shared" si="34"/>
        <v/>
      </c>
    </row>
    <row r="447" spans="1:13" x14ac:dyDescent="0.15">
      <c r="A447" s="163" t="s">
        <v>210</v>
      </c>
      <c r="B447" s="163">
        <v>42289.521938738428</v>
      </c>
      <c r="C447" s="164" t="s">
        <v>884</v>
      </c>
      <c r="D447" s="164" t="s">
        <v>15</v>
      </c>
      <c r="E447" s="165">
        <v>100</v>
      </c>
      <c r="F447" s="166">
        <v>3</v>
      </c>
      <c r="G447" s="227">
        <f>IF($B$2,IF(ROWS(B$6:$B447) = 1,$B447-Start_Date,$B447-$B446),"")</f>
        <v>5.4842708341311663E-3</v>
      </c>
      <c r="H447" s="29">
        <f>IF($B$2,IF(ROWS(B$6:$B447) = 1,IF(COUNTIFS(R_Schedule_Times,"&lt;"&amp;B447),INDEX(R_Schedule_Amounts,MATCH(B447,R_Schedule_Times,1)),Starting_Cash),IF(COUNTIFS(R_Schedule_Times,"&gt;"&amp;B446,R_Schedule_Times,"&lt;"&amp;B447),INDEX(R_Schedule_Amounts,MATCH(B447,R_Schedule_Times,1)),K446)),"")</f>
        <v>9380</v>
      </c>
      <c r="I447" s="30">
        <f t="shared" si="30"/>
        <v>100</v>
      </c>
      <c r="J447" s="31">
        <f t="shared" si="31"/>
        <v>3</v>
      </c>
      <c r="K447" s="29">
        <f t="shared" si="32"/>
        <v>9280</v>
      </c>
      <c r="L447" s="31" t="str">
        <f t="shared" si="33"/>
        <v/>
      </c>
      <c r="M447" s="31" t="str">
        <f t="shared" si="34"/>
        <v/>
      </c>
    </row>
    <row r="448" spans="1:13" x14ac:dyDescent="0.15">
      <c r="A448" s="163" t="s">
        <v>210</v>
      </c>
      <c r="B448" s="163">
        <v>42289.524432048609</v>
      </c>
      <c r="C448" s="164" t="s">
        <v>885</v>
      </c>
      <c r="D448" s="164" t="s">
        <v>13</v>
      </c>
      <c r="E448" s="165">
        <v>120</v>
      </c>
      <c r="F448" s="166">
        <v>0</v>
      </c>
      <c r="G448" s="227">
        <f>IF($B$2,IF(ROWS(B$6:$B448) = 1,$B448-Start_Date,$B448-$B447),"")</f>
        <v>2.4933101813076064E-3</v>
      </c>
      <c r="H448" s="29">
        <f>IF($B$2,IF(ROWS(B$6:$B448) = 1,IF(COUNTIFS(R_Schedule_Times,"&lt;"&amp;B448),INDEX(R_Schedule_Amounts,MATCH(B448,R_Schedule_Times,1)),Starting_Cash),IF(COUNTIFS(R_Schedule_Times,"&gt;"&amp;B447,R_Schedule_Times,"&lt;"&amp;B448),INDEX(R_Schedule_Amounts,MATCH(B448,R_Schedule_Times,1)),K447)),"")</f>
        <v>9280</v>
      </c>
      <c r="I448" s="30">
        <f t="shared" si="30"/>
        <v>120</v>
      </c>
      <c r="J448" s="31">
        <f t="shared" si="31"/>
        <v>0</v>
      </c>
      <c r="K448" s="29">
        <f t="shared" si="32"/>
        <v>9160</v>
      </c>
      <c r="L448" s="31" t="str">
        <f t="shared" si="33"/>
        <v/>
      </c>
      <c r="M448" s="31" t="str">
        <f t="shared" si="34"/>
        <v/>
      </c>
    </row>
    <row r="449" spans="1:13" x14ac:dyDescent="0.15">
      <c r="A449" s="163" t="s">
        <v>210</v>
      </c>
      <c r="B449" s="163">
        <v>42289.535978599539</v>
      </c>
      <c r="C449" s="164" t="s">
        <v>14</v>
      </c>
      <c r="D449" s="164" t="s">
        <v>13</v>
      </c>
      <c r="E449" s="165">
        <v>40</v>
      </c>
      <c r="F449" s="166">
        <v>3.5</v>
      </c>
      <c r="G449" s="227">
        <f>IF($B$2,IF(ROWS(B$6:$B449) = 1,$B449-Start_Date,$B449-$B448),"")</f>
        <v>1.1546550929779187E-2</v>
      </c>
      <c r="H449" s="29">
        <f>IF($B$2,IF(ROWS(B$6:$B449) = 1,IF(COUNTIFS(R_Schedule_Times,"&lt;"&amp;B449),INDEX(R_Schedule_Amounts,MATCH(B449,R_Schedule_Times,1)),Starting_Cash),IF(COUNTIFS(R_Schedule_Times,"&gt;"&amp;B448,R_Schedule_Times,"&lt;"&amp;B449),INDEX(R_Schedule_Amounts,MATCH(B449,R_Schedule_Times,1)),K448)),"")</f>
        <v>9160</v>
      </c>
      <c r="I449" s="30">
        <f t="shared" si="30"/>
        <v>40</v>
      </c>
      <c r="J449" s="31">
        <f t="shared" si="31"/>
        <v>3.5</v>
      </c>
      <c r="K449" s="29">
        <f t="shared" si="32"/>
        <v>9120</v>
      </c>
      <c r="L449" s="31" t="str">
        <f t="shared" si="33"/>
        <v/>
      </c>
      <c r="M449" s="31" t="str">
        <f t="shared" si="34"/>
        <v/>
      </c>
    </row>
    <row r="450" spans="1:13" x14ac:dyDescent="0.15">
      <c r="A450" s="163" t="s">
        <v>210</v>
      </c>
      <c r="B450" s="163">
        <v>42289.538777708331</v>
      </c>
      <c r="C450" s="164" t="s">
        <v>886</v>
      </c>
      <c r="D450" s="164" t="s">
        <v>13</v>
      </c>
      <c r="E450" s="165">
        <v>80</v>
      </c>
      <c r="F450" s="166">
        <v>0</v>
      </c>
      <c r="G450" s="227">
        <f>IF($B$2,IF(ROWS(B$6:$B450) = 1,$B450-Start_Date,$B450-$B449),"")</f>
        <v>2.7991087918053381E-3</v>
      </c>
      <c r="H450" s="29">
        <f>IF($B$2,IF(ROWS(B$6:$B450) = 1,IF(COUNTIFS(R_Schedule_Times,"&lt;"&amp;B450),INDEX(R_Schedule_Amounts,MATCH(B450,R_Schedule_Times,1)),Starting_Cash),IF(COUNTIFS(R_Schedule_Times,"&gt;"&amp;B449,R_Schedule_Times,"&lt;"&amp;B450),INDEX(R_Schedule_Amounts,MATCH(B450,R_Schedule_Times,1)),K449)),"")</f>
        <v>9120</v>
      </c>
      <c r="I450" s="30">
        <f t="shared" si="30"/>
        <v>80</v>
      </c>
      <c r="J450" s="31">
        <f t="shared" si="31"/>
        <v>0</v>
      </c>
      <c r="K450" s="29">
        <f t="shared" si="32"/>
        <v>9040</v>
      </c>
      <c r="L450" s="31" t="str">
        <f t="shared" si="33"/>
        <v/>
      </c>
      <c r="M450" s="31" t="str">
        <f t="shared" si="34"/>
        <v/>
      </c>
    </row>
    <row r="451" spans="1:13" x14ac:dyDescent="0.15">
      <c r="A451" s="163" t="s">
        <v>210</v>
      </c>
      <c r="B451" s="163">
        <v>42289.541175601851</v>
      </c>
      <c r="C451" s="164" t="s">
        <v>887</v>
      </c>
      <c r="D451" s="164" t="s">
        <v>13</v>
      </c>
      <c r="E451" s="165">
        <v>100</v>
      </c>
      <c r="F451" s="166">
        <v>0</v>
      </c>
      <c r="G451" s="227">
        <f>IF($B$2,IF(ROWS(B$6:$B451) = 1,$B451-Start_Date,$B451-$B450),"")</f>
        <v>2.3978935205377638E-3</v>
      </c>
      <c r="H451" s="29">
        <f>IF($B$2,IF(ROWS(B$6:$B451) = 1,IF(COUNTIFS(R_Schedule_Times,"&lt;"&amp;B451),INDEX(R_Schedule_Amounts,MATCH(B451,R_Schedule_Times,1)),Starting_Cash),IF(COUNTIFS(R_Schedule_Times,"&gt;"&amp;B450,R_Schedule_Times,"&lt;"&amp;B451),INDEX(R_Schedule_Amounts,MATCH(B451,R_Schedule_Times,1)),K450)),"")</f>
        <v>9040</v>
      </c>
      <c r="I451" s="30">
        <f t="shared" si="30"/>
        <v>100</v>
      </c>
      <c r="J451" s="31">
        <f t="shared" si="31"/>
        <v>0</v>
      </c>
      <c r="K451" s="29">
        <f t="shared" si="32"/>
        <v>8940</v>
      </c>
      <c r="L451" s="31" t="str">
        <f t="shared" si="33"/>
        <v/>
      </c>
      <c r="M451" s="31" t="str">
        <f t="shared" si="34"/>
        <v/>
      </c>
    </row>
    <row r="452" spans="1:13" x14ac:dyDescent="0.15">
      <c r="A452" s="163" t="s">
        <v>210</v>
      </c>
      <c r="B452" s="163">
        <v>42289.55627857639</v>
      </c>
      <c r="C452" s="164" t="s">
        <v>888</v>
      </c>
      <c r="D452" s="164" t="s">
        <v>13</v>
      </c>
      <c r="E452" s="165">
        <v>100</v>
      </c>
      <c r="F452" s="166">
        <v>0</v>
      </c>
      <c r="G452" s="227">
        <f>IF($B$2,IF(ROWS(B$6:$B452) = 1,$B452-Start_Date,$B452-$B451),"")</f>
        <v>1.5102974539331626E-2</v>
      </c>
      <c r="H452" s="29">
        <f>IF($B$2,IF(ROWS(B$6:$B452) = 1,IF(COUNTIFS(R_Schedule_Times,"&lt;"&amp;B452),INDEX(R_Schedule_Amounts,MATCH(B452,R_Schedule_Times,1)),Starting_Cash),IF(COUNTIFS(R_Schedule_Times,"&gt;"&amp;B451,R_Schedule_Times,"&lt;"&amp;B452),INDEX(R_Schedule_Amounts,MATCH(B452,R_Schedule_Times,1)),K451)),"")</f>
        <v>8940</v>
      </c>
      <c r="I452" s="30">
        <f t="shared" si="30"/>
        <v>100</v>
      </c>
      <c r="J452" s="31">
        <f t="shared" si="31"/>
        <v>0</v>
      </c>
      <c r="K452" s="29">
        <f t="shared" si="32"/>
        <v>8840</v>
      </c>
      <c r="L452" s="31" t="str">
        <f t="shared" si="33"/>
        <v/>
      </c>
      <c r="M452" s="31" t="str">
        <f t="shared" si="34"/>
        <v/>
      </c>
    </row>
    <row r="453" spans="1:13" x14ac:dyDescent="0.15">
      <c r="A453" s="163" t="s">
        <v>210</v>
      </c>
      <c r="B453" s="163">
        <v>42289.587904201391</v>
      </c>
      <c r="C453" s="164" t="s">
        <v>251</v>
      </c>
      <c r="D453" s="164" t="s">
        <v>13</v>
      </c>
      <c r="E453" s="165">
        <v>60</v>
      </c>
      <c r="F453" s="166">
        <v>0</v>
      </c>
      <c r="G453" s="227">
        <f>IF($B$2,IF(ROWS(B$6:$B453) = 1,$B453-Start_Date,$B453-$B452),"")</f>
        <v>3.162562500074273E-2</v>
      </c>
      <c r="H453" s="29">
        <f>IF($B$2,IF(ROWS(B$6:$B453) = 1,IF(COUNTIFS(R_Schedule_Times,"&lt;"&amp;B453),INDEX(R_Schedule_Amounts,MATCH(B453,R_Schedule_Times,1)),Starting_Cash),IF(COUNTIFS(R_Schedule_Times,"&gt;"&amp;B452,R_Schedule_Times,"&lt;"&amp;B453),INDEX(R_Schedule_Amounts,MATCH(B453,R_Schedule_Times,1)),K452)),"")</f>
        <v>8840</v>
      </c>
      <c r="I453" s="30">
        <f t="shared" si="30"/>
        <v>60</v>
      </c>
      <c r="J453" s="31">
        <f t="shared" si="31"/>
        <v>0</v>
      </c>
      <c r="K453" s="29">
        <f t="shared" si="32"/>
        <v>8780</v>
      </c>
      <c r="L453" s="31" t="str">
        <f t="shared" si="33"/>
        <v/>
      </c>
      <c r="M453" s="31" t="str">
        <f t="shared" si="34"/>
        <v/>
      </c>
    </row>
    <row r="454" spans="1:13" x14ac:dyDescent="0.15">
      <c r="A454" s="163" t="s">
        <v>210</v>
      </c>
      <c r="B454" s="163">
        <v>42289.596788391202</v>
      </c>
      <c r="C454" s="164" t="s">
        <v>889</v>
      </c>
      <c r="D454" s="164" t="s">
        <v>13</v>
      </c>
      <c r="E454" s="165">
        <v>40</v>
      </c>
      <c r="F454" s="166">
        <v>0</v>
      </c>
      <c r="G454" s="227">
        <f>IF($B$2,IF(ROWS(B$6:$B454) = 1,$B454-Start_Date,$B454-$B453),"")</f>
        <v>8.8841898104874417E-3</v>
      </c>
      <c r="H454" s="29">
        <f>IF($B$2,IF(ROWS(B$6:$B454) = 1,IF(COUNTIFS(R_Schedule_Times,"&lt;"&amp;B454),INDEX(R_Schedule_Amounts,MATCH(B454,R_Schedule_Times,1)),Starting_Cash),IF(COUNTIFS(R_Schedule_Times,"&gt;"&amp;B453,R_Schedule_Times,"&lt;"&amp;B454),INDEX(R_Schedule_Amounts,MATCH(B454,R_Schedule_Times,1)),K453)),"")</f>
        <v>8780</v>
      </c>
      <c r="I454" s="30">
        <f t="shared" si="30"/>
        <v>40</v>
      </c>
      <c r="J454" s="31">
        <f t="shared" si="31"/>
        <v>0</v>
      </c>
      <c r="K454" s="29">
        <f t="shared" si="32"/>
        <v>8740</v>
      </c>
      <c r="L454" s="31" t="str">
        <f t="shared" si="33"/>
        <v/>
      </c>
      <c r="M454" s="31" t="str">
        <f t="shared" si="34"/>
        <v/>
      </c>
    </row>
    <row r="455" spans="1:13" x14ac:dyDescent="0.15">
      <c r="A455" s="163" t="s">
        <v>210</v>
      </c>
      <c r="B455" s="163">
        <v>42289.616371550925</v>
      </c>
      <c r="C455" s="164" t="s">
        <v>890</v>
      </c>
      <c r="D455" s="164" t="s">
        <v>13</v>
      </c>
      <c r="E455" s="165">
        <v>20</v>
      </c>
      <c r="F455" s="166">
        <v>0</v>
      </c>
      <c r="G455" s="227">
        <f>IF($B$2,IF(ROWS(B$6:$B455) = 1,$B455-Start_Date,$B455-$B454),"")</f>
        <v>1.9583159722969867E-2</v>
      </c>
      <c r="H455" s="29">
        <f>IF($B$2,IF(ROWS(B$6:$B455) = 1,IF(COUNTIFS(R_Schedule_Times,"&lt;"&amp;B455),INDEX(R_Schedule_Amounts,MATCH(B455,R_Schedule_Times,1)),Starting_Cash),IF(COUNTIFS(R_Schedule_Times,"&gt;"&amp;B454,R_Schedule_Times,"&lt;"&amp;B455),INDEX(R_Schedule_Amounts,MATCH(B455,R_Schedule_Times,1)),K454)),"")</f>
        <v>8740</v>
      </c>
      <c r="I455" s="30">
        <f t="shared" ref="I455:I518" si="35">IF($B$2,IF(H455&gt;=E455,E455,0),"")</f>
        <v>20</v>
      </c>
      <c r="J455" s="31">
        <f t="shared" ref="J455:J518" si="36">IF($B$2,IF(H455&gt;=E455,F455,0),"")</f>
        <v>0</v>
      </c>
      <c r="K455" s="29">
        <f t="shared" ref="K455:K518" si="37">IF($B$2,ABS(I455-H455),"")</f>
        <v>8720</v>
      </c>
      <c r="L455" s="31" t="str">
        <f t="shared" ref="L455:L518" si="38">IF($B$2,IF(H455&lt;E455,"YES",""),"")</f>
        <v/>
      </c>
      <c r="M455" s="31" t="str">
        <f t="shared" ref="M455:M518" si="39">IF($B$2,IF(L455="YES",F455,""),"")</f>
        <v/>
      </c>
    </row>
    <row r="456" spans="1:13" x14ac:dyDescent="0.15">
      <c r="A456" s="163" t="s">
        <v>210</v>
      </c>
      <c r="B456" s="163">
        <v>42289.619392754626</v>
      </c>
      <c r="C456" s="164" t="s">
        <v>891</v>
      </c>
      <c r="D456" s="164" t="s">
        <v>13</v>
      </c>
      <c r="E456" s="165">
        <v>100</v>
      </c>
      <c r="F456" s="166">
        <v>0</v>
      </c>
      <c r="G456" s="227">
        <f>IF($B$2,IF(ROWS(B$6:$B456) = 1,$B456-Start_Date,$B456-$B455),"")</f>
        <v>3.0212037017918192E-3</v>
      </c>
      <c r="H456" s="29">
        <f>IF($B$2,IF(ROWS(B$6:$B456) = 1,IF(COUNTIFS(R_Schedule_Times,"&lt;"&amp;B456),INDEX(R_Schedule_Amounts,MATCH(B456,R_Schedule_Times,1)),Starting_Cash),IF(COUNTIFS(R_Schedule_Times,"&gt;"&amp;B455,R_Schedule_Times,"&lt;"&amp;B456),INDEX(R_Schedule_Amounts,MATCH(B456,R_Schedule_Times,1)),K455)),"")</f>
        <v>8720</v>
      </c>
      <c r="I456" s="30">
        <f t="shared" si="35"/>
        <v>100</v>
      </c>
      <c r="J456" s="31">
        <f t="shared" si="36"/>
        <v>0</v>
      </c>
      <c r="K456" s="29">
        <f t="shared" si="37"/>
        <v>8620</v>
      </c>
      <c r="L456" s="31" t="str">
        <f t="shared" si="38"/>
        <v/>
      </c>
      <c r="M456" s="31" t="str">
        <f t="shared" si="39"/>
        <v/>
      </c>
    </row>
    <row r="457" spans="1:13" x14ac:dyDescent="0.15">
      <c r="A457" s="163" t="s">
        <v>210</v>
      </c>
      <c r="B457" s="163">
        <v>42289.634079444448</v>
      </c>
      <c r="C457" s="164" t="s">
        <v>892</v>
      </c>
      <c r="D457" s="164" t="s">
        <v>13</v>
      </c>
      <c r="E457" s="165">
        <v>200</v>
      </c>
      <c r="F457" s="166">
        <v>0</v>
      </c>
      <c r="G457" s="227">
        <f>IF($B$2,IF(ROWS(B$6:$B457) = 1,$B457-Start_Date,$B457-$B456),"")</f>
        <v>1.4686689821246546E-2</v>
      </c>
      <c r="H457" s="29">
        <f>IF($B$2,IF(ROWS(B$6:$B457) = 1,IF(COUNTIFS(R_Schedule_Times,"&lt;"&amp;B457),INDEX(R_Schedule_Amounts,MATCH(B457,R_Schedule_Times,1)),Starting_Cash),IF(COUNTIFS(R_Schedule_Times,"&gt;"&amp;B456,R_Schedule_Times,"&lt;"&amp;B457),INDEX(R_Schedule_Amounts,MATCH(B457,R_Schedule_Times,1)),K456)),"")</f>
        <v>8620</v>
      </c>
      <c r="I457" s="30">
        <f t="shared" si="35"/>
        <v>200</v>
      </c>
      <c r="J457" s="31">
        <f t="shared" si="36"/>
        <v>0</v>
      </c>
      <c r="K457" s="29">
        <f t="shared" si="37"/>
        <v>8420</v>
      </c>
      <c r="L457" s="31" t="str">
        <f t="shared" si="38"/>
        <v/>
      </c>
      <c r="M457" s="31" t="str">
        <f t="shared" si="39"/>
        <v/>
      </c>
    </row>
    <row r="458" spans="1:13" x14ac:dyDescent="0.15">
      <c r="A458" s="163" t="s">
        <v>210</v>
      </c>
      <c r="B458" s="163">
        <v>42289.636031643517</v>
      </c>
      <c r="C458" s="164" t="s">
        <v>893</v>
      </c>
      <c r="D458" s="164" t="s">
        <v>13</v>
      </c>
      <c r="E458" s="165">
        <v>100</v>
      </c>
      <c r="F458" s="166">
        <v>0</v>
      </c>
      <c r="G458" s="227">
        <f>IF($B$2,IF(ROWS(B$6:$B458) = 1,$B458-Start_Date,$B458-$B457),"")</f>
        <v>1.9521990689099766E-3</v>
      </c>
      <c r="H458" s="29">
        <f>IF($B$2,IF(ROWS(B$6:$B458) = 1,IF(COUNTIFS(R_Schedule_Times,"&lt;"&amp;B458),INDEX(R_Schedule_Amounts,MATCH(B458,R_Schedule_Times,1)),Starting_Cash),IF(COUNTIFS(R_Schedule_Times,"&gt;"&amp;B457,R_Schedule_Times,"&lt;"&amp;B458),INDEX(R_Schedule_Amounts,MATCH(B458,R_Schedule_Times,1)),K457)),"")</f>
        <v>8420</v>
      </c>
      <c r="I458" s="30">
        <f t="shared" si="35"/>
        <v>100</v>
      </c>
      <c r="J458" s="31">
        <f t="shared" si="36"/>
        <v>0</v>
      </c>
      <c r="K458" s="29">
        <f t="shared" si="37"/>
        <v>8320</v>
      </c>
      <c r="L458" s="31" t="str">
        <f t="shared" si="38"/>
        <v/>
      </c>
      <c r="M458" s="31" t="str">
        <f t="shared" si="39"/>
        <v/>
      </c>
    </row>
    <row r="459" spans="1:13" x14ac:dyDescent="0.15">
      <c r="A459" s="163" t="s">
        <v>210</v>
      </c>
      <c r="B459" s="163">
        <v>42289.643336307869</v>
      </c>
      <c r="C459" s="164" t="s">
        <v>894</v>
      </c>
      <c r="D459" s="164" t="s">
        <v>13</v>
      </c>
      <c r="E459" s="165">
        <v>180</v>
      </c>
      <c r="F459" s="166">
        <v>0</v>
      </c>
      <c r="G459" s="227">
        <f>IF($B$2,IF(ROWS(B$6:$B459) = 1,$B459-Start_Date,$B459-$B458),"")</f>
        <v>7.3046643519774079E-3</v>
      </c>
      <c r="H459" s="29">
        <f>IF($B$2,IF(ROWS(B$6:$B459) = 1,IF(COUNTIFS(R_Schedule_Times,"&lt;"&amp;B459),INDEX(R_Schedule_Amounts,MATCH(B459,R_Schedule_Times,1)),Starting_Cash),IF(COUNTIFS(R_Schedule_Times,"&gt;"&amp;B458,R_Schedule_Times,"&lt;"&amp;B459),INDEX(R_Schedule_Amounts,MATCH(B459,R_Schedule_Times,1)),K458)),"")</f>
        <v>8320</v>
      </c>
      <c r="I459" s="30">
        <f t="shared" si="35"/>
        <v>180</v>
      </c>
      <c r="J459" s="31">
        <f t="shared" si="36"/>
        <v>0</v>
      </c>
      <c r="K459" s="29">
        <f t="shared" si="37"/>
        <v>8140</v>
      </c>
      <c r="L459" s="31" t="str">
        <f t="shared" si="38"/>
        <v/>
      </c>
      <c r="M459" s="31" t="str">
        <f t="shared" si="39"/>
        <v/>
      </c>
    </row>
    <row r="460" spans="1:13" x14ac:dyDescent="0.15">
      <c r="A460" s="163" t="s">
        <v>210</v>
      </c>
      <c r="B460" s="163">
        <v>42289.656100486114</v>
      </c>
      <c r="C460" s="164" t="s">
        <v>895</v>
      </c>
      <c r="D460" s="164" t="s">
        <v>13</v>
      </c>
      <c r="E460" s="165">
        <v>120</v>
      </c>
      <c r="F460" s="166">
        <v>0</v>
      </c>
      <c r="G460" s="227">
        <f>IF($B$2,IF(ROWS(B$6:$B460) = 1,$B460-Start_Date,$B460-$B459),"")</f>
        <v>1.2764178245561197E-2</v>
      </c>
      <c r="H460" s="29">
        <f>IF($B$2,IF(ROWS(B$6:$B460) = 1,IF(COUNTIFS(R_Schedule_Times,"&lt;"&amp;B460),INDEX(R_Schedule_Amounts,MATCH(B460,R_Schedule_Times,1)),Starting_Cash),IF(COUNTIFS(R_Schedule_Times,"&gt;"&amp;B459,R_Schedule_Times,"&lt;"&amp;B460),INDEX(R_Schedule_Amounts,MATCH(B460,R_Schedule_Times,1)),K459)),"")</f>
        <v>8140</v>
      </c>
      <c r="I460" s="30">
        <f t="shared" si="35"/>
        <v>120</v>
      </c>
      <c r="J460" s="31">
        <f t="shared" si="36"/>
        <v>0</v>
      </c>
      <c r="K460" s="29">
        <f t="shared" si="37"/>
        <v>8020</v>
      </c>
      <c r="L460" s="31" t="str">
        <f t="shared" si="38"/>
        <v/>
      </c>
      <c r="M460" s="31" t="str">
        <f t="shared" si="39"/>
        <v/>
      </c>
    </row>
    <row r="461" spans="1:13" x14ac:dyDescent="0.15">
      <c r="A461" s="163" t="s">
        <v>210</v>
      </c>
      <c r="B461" s="163">
        <v>42289.66464328704</v>
      </c>
      <c r="C461" s="164" t="s">
        <v>896</v>
      </c>
      <c r="D461" s="164" t="s">
        <v>13</v>
      </c>
      <c r="E461" s="165">
        <v>80</v>
      </c>
      <c r="F461" s="166">
        <v>0</v>
      </c>
      <c r="G461" s="227">
        <f>IF($B$2,IF(ROWS(B$6:$B461) = 1,$B461-Start_Date,$B461-$B460),"")</f>
        <v>8.5428009260795079E-3</v>
      </c>
      <c r="H461" s="29">
        <f>IF($B$2,IF(ROWS(B$6:$B461) = 1,IF(COUNTIFS(R_Schedule_Times,"&lt;"&amp;B461),INDEX(R_Schedule_Amounts,MATCH(B461,R_Schedule_Times,1)),Starting_Cash),IF(COUNTIFS(R_Schedule_Times,"&gt;"&amp;B460,R_Schedule_Times,"&lt;"&amp;B461),INDEX(R_Schedule_Amounts,MATCH(B461,R_Schedule_Times,1)),K460)),"")</f>
        <v>8020</v>
      </c>
      <c r="I461" s="30">
        <f t="shared" si="35"/>
        <v>80</v>
      </c>
      <c r="J461" s="31">
        <f t="shared" si="36"/>
        <v>0</v>
      </c>
      <c r="K461" s="29">
        <f t="shared" si="37"/>
        <v>7940</v>
      </c>
      <c r="L461" s="31" t="str">
        <f t="shared" si="38"/>
        <v/>
      </c>
      <c r="M461" s="31" t="str">
        <f t="shared" si="39"/>
        <v/>
      </c>
    </row>
    <row r="462" spans="1:13" x14ac:dyDescent="0.15">
      <c r="A462" s="163" t="s">
        <v>210</v>
      </c>
      <c r="B462" s="163">
        <v>42289.670954004629</v>
      </c>
      <c r="C462" s="164" t="s">
        <v>14</v>
      </c>
      <c r="D462" s="164" t="s">
        <v>15</v>
      </c>
      <c r="E462" s="165">
        <v>200</v>
      </c>
      <c r="F462" s="166">
        <v>8.5</v>
      </c>
      <c r="G462" s="227">
        <f>IF($B$2,IF(ROWS(B$6:$B462) = 1,$B462-Start_Date,$B462-$B461),"")</f>
        <v>6.3107175883487798E-3</v>
      </c>
      <c r="H462" s="29">
        <f>IF($B$2,IF(ROWS(B$6:$B462) = 1,IF(COUNTIFS(R_Schedule_Times,"&lt;"&amp;B462),INDEX(R_Schedule_Amounts,MATCH(B462,R_Schedule_Times,1)),Starting_Cash),IF(COUNTIFS(R_Schedule_Times,"&gt;"&amp;B461,R_Schedule_Times,"&lt;"&amp;B462),INDEX(R_Schedule_Amounts,MATCH(B462,R_Schedule_Times,1)),K461)),"")</f>
        <v>7940</v>
      </c>
      <c r="I462" s="30">
        <f t="shared" si="35"/>
        <v>200</v>
      </c>
      <c r="J462" s="31">
        <f t="shared" si="36"/>
        <v>8.5</v>
      </c>
      <c r="K462" s="29">
        <f t="shared" si="37"/>
        <v>7740</v>
      </c>
      <c r="L462" s="31" t="str">
        <f t="shared" si="38"/>
        <v/>
      </c>
      <c r="M462" s="31" t="str">
        <f t="shared" si="39"/>
        <v/>
      </c>
    </row>
    <row r="463" spans="1:13" x14ac:dyDescent="0.15">
      <c r="A463" s="163" t="s">
        <v>210</v>
      </c>
      <c r="B463" s="163">
        <v>42289.681359097223</v>
      </c>
      <c r="C463" s="164" t="s">
        <v>117</v>
      </c>
      <c r="D463" s="164" t="s">
        <v>13</v>
      </c>
      <c r="E463" s="165">
        <v>40</v>
      </c>
      <c r="F463" s="166">
        <v>0</v>
      </c>
      <c r="G463" s="227">
        <f>IF($B$2,IF(ROWS(B$6:$B463) = 1,$B463-Start_Date,$B463-$B462),"")</f>
        <v>1.0405092594737653E-2</v>
      </c>
      <c r="H463" s="29">
        <f>IF($B$2,IF(ROWS(B$6:$B463) = 1,IF(COUNTIFS(R_Schedule_Times,"&lt;"&amp;B463),INDEX(R_Schedule_Amounts,MATCH(B463,R_Schedule_Times,1)),Starting_Cash),IF(COUNTIFS(R_Schedule_Times,"&gt;"&amp;B462,R_Schedule_Times,"&lt;"&amp;B463),INDEX(R_Schedule_Amounts,MATCH(B463,R_Schedule_Times,1)),K462)),"")</f>
        <v>7740</v>
      </c>
      <c r="I463" s="30">
        <f t="shared" si="35"/>
        <v>40</v>
      </c>
      <c r="J463" s="31">
        <f t="shared" si="36"/>
        <v>0</v>
      </c>
      <c r="K463" s="29">
        <f t="shared" si="37"/>
        <v>7700</v>
      </c>
      <c r="L463" s="31" t="str">
        <f t="shared" si="38"/>
        <v/>
      </c>
      <c r="M463" s="31" t="str">
        <f t="shared" si="39"/>
        <v/>
      </c>
    </row>
    <row r="464" spans="1:13" x14ac:dyDescent="0.15">
      <c r="A464" s="163" t="s">
        <v>210</v>
      </c>
      <c r="B464" s="163">
        <v>42289.688324513889</v>
      </c>
      <c r="C464" s="164" t="s">
        <v>332</v>
      </c>
      <c r="D464" s="164" t="s">
        <v>13</v>
      </c>
      <c r="E464" s="165">
        <v>40</v>
      </c>
      <c r="F464" s="166">
        <v>0</v>
      </c>
      <c r="G464" s="227">
        <f>IF($B$2,IF(ROWS(B$6:$B464) = 1,$B464-Start_Date,$B464-$B463),"")</f>
        <v>6.9654166654800065E-3</v>
      </c>
      <c r="H464" s="29">
        <f>IF($B$2,IF(ROWS(B$6:$B464) = 1,IF(COUNTIFS(R_Schedule_Times,"&lt;"&amp;B464),INDEX(R_Schedule_Amounts,MATCH(B464,R_Schedule_Times,1)),Starting_Cash),IF(COUNTIFS(R_Schedule_Times,"&gt;"&amp;B463,R_Schedule_Times,"&lt;"&amp;B464),INDEX(R_Schedule_Amounts,MATCH(B464,R_Schedule_Times,1)),K463)),"")</f>
        <v>7700</v>
      </c>
      <c r="I464" s="30">
        <f t="shared" si="35"/>
        <v>40</v>
      </c>
      <c r="J464" s="31">
        <f t="shared" si="36"/>
        <v>0</v>
      </c>
      <c r="K464" s="29">
        <f t="shared" si="37"/>
        <v>7660</v>
      </c>
      <c r="L464" s="31" t="str">
        <f t="shared" si="38"/>
        <v/>
      </c>
      <c r="M464" s="31" t="str">
        <f t="shared" si="39"/>
        <v/>
      </c>
    </row>
    <row r="465" spans="1:13" x14ac:dyDescent="0.15">
      <c r="A465" s="163" t="s">
        <v>210</v>
      </c>
      <c r="B465" s="163">
        <v>42289.691463564814</v>
      </c>
      <c r="C465" s="164" t="s">
        <v>897</v>
      </c>
      <c r="D465" s="164" t="s">
        <v>13</v>
      </c>
      <c r="E465" s="165">
        <v>100</v>
      </c>
      <c r="F465" s="166">
        <v>0</v>
      </c>
      <c r="G465" s="227">
        <f>IF($B$2,IF(ROWS(B$6:$B465) = 1,$B465-Start_Date,$B465-$B464),"")</f>
        <v>3.1390509248012677E-3</v>
      </c>
      <c r="H465" s="29">
        <f>IF($B$2,IF(ROWS(B$6:$B465) = 1,IF(COUNTIFS(R_Schedule_Times,"&lt;"&amp;B465),INDEX(R_Schedule_Amounts,MATCH(B465,R_Schedule_Times,1)),Starting_Cash),IF(COUNTIFS(R_Schedule_Times,"&gt;"&amp;B464,R_Schedule_Times,"&lt;"&amp;B465),INDEX(R_Schedule_Amounts,MATCH(B465,R_Schedule_Times,1)),K464)),"")</f>
        <v>7660</v>
      </c>
      <c r="I465" s="30">
        <f t="shared" si="35"/>
        <v>100</v>
      </c>
      <c r="J465" s="31">
        <f t="shared" si="36"/>
        <v>0</v>
      </c>
      <c r="K465" s="29">
        <f t="shared" si="37"/>
        <v>7560</v>
      </c>
      <c r="L465" s="31" t="str">
        <f t="shared" si="38"/>
        <v/>
      </c>
      <c r="M465" s="31" t="str">
        <f t="shared" si="39"/>
        <v/>
      </c>
    </row>
    <row r="466" spans="1:13" x14ac:dyDescent="0.15">
      <c r="A466" s="163" t="s">
        <v>210</v>
      </c>
      <c r="B466" s="163">
        <v>42289.698808946756</v>
      </c>
      <c r="C466" s="164" t="s">
        <v>333</v>
      </c>
      <c r="D466" s="164" t="s">
        <v>13</v>
      </c>
      <c r="E466" s="165">
        <v>40</v>
      </c>
      <c r="F466" s="166">
        <v>0</v>
      </c>
      <c r="G466" s="227">
        <f>IF($B$2,IF(ROWS(B$6:$B466) = 1,$B466-Start_Date,$B466-$B465),"")</f>
        <v>7.3453819422866218E-3</v>
      </c>
      <c r="H466" s="29">
        <f>IF($B$2,IF(ROWS(B$6:$B466) = 1,IF(COUNTIFS(R_Schedule_Times,"&lt;"&amp;B466),INDEX(R_Schedule_Amounts,MATCH(B466,R_Schedule_Times,1)),Starting_Cash),IF(COUNTIFS(R_Schedule_Times,"&gt;"&amp;B465,R_Schedule_Times,"&lt;"&amp;B466),INDEX(R_Schedule_Amounts,MATCH(B466,R_Schedule_Times,1)),K465)),"")</f>
        <v>7560</v>
      </c>
      <c r="I466" s="30">
        <f t="shared" si="35"/>
        <v>40</v>
      </c>
      <c r="J466" s="31">
        <f t="shared" si="36"/>
        <v>0</v>
      </c>
      <c r="K466" s="29">
        <f t="shared" si="37"/>
        <v>7520</v>
      </c>
      <c r="L466" s="31" t="str">
        <f t="shared" si="38"/>
        <v/>
      </c>
      <c r="M466" s="31" t="str">
        <f t="shared" si="39"/>
        <v/>
      </c>
    </row>
    <row r="467" spans="1:13" x14ac:dyDescent="0.15">
      <c r="A467" s="163" t="s">
        <v>210</v>
      </c>
      <c r="B467" s="163">
        <v>42289.708473553241</v>
      </c>
      <c r="C467" s="164" t="s">
        <v>898</v>
      </c>
      <c r="D467" s="164" t="s">
        <v>13</v>
      </c>
      <c r="E467" s="165">
        <v>100</v>
      </c>
      <c r="F467" s="166">
        <v>0</v>
      </c>
      <c r="G467" s="227">
        <f>IF($B$2,IF(ROWS(B$6:$B467) = 1,$B467-Start_Date,$B467-$B466),"")</f>
        <v>9.6646064848755486E-3</v>
      </c>
      <c r="H467" s="29">
        <f>IF($B$2,IF(ROWS(B$6:$B467) = 1,IF(COUNTIFS(R_Schedule_Times,"&lt;"&amp;B467),INDEX(R_Schedule_Amounts,MATCH(B467,R_Schedule_Times,1)),Starting_Cash),IF(COUNTIFS(R_Schedule_Times,"&gt;"&amp;B466,R_Schedule_Times,"&lt;"&amp;B467),INDEX(R_Schedule_Amounts,MATCH(B467,R_Schedule_Times,1)),K466)),"")</f>
        <v>7520</v>
      </c>
      <c r="I467" s="30">
        <f t="shared" si="35"/>
        <v>100</v>
      </c>
      <c r="J467" s="31">
        <f t="shared" si="36"/>
        <v>0</v>
      </c>
      <c r="K467" s="29">
        <f t="shared" si="37"/>
        <v>7420</v>
      </c>
      <c r="L467" s="31" t="str">
        <f t="shared" si="38"/>
        <v/>
      </c>
      <c r="M467" s="31" t="str">
        <f t="shared" si="39"/>
        <v/>
      </c>
    </row>
    <row r="468" spans="1:13" x14ac:dyDescent="0.15">
      <c r="A468" s="163" t="s">
        <v>210</v>
      </c>
      <c r="B468" s="163">
        <v>42289.712411099536</v>
      </c>
      <c r="C468" s="164" t="s">
        <v>334</v>
      </c>
      <c r="D468" s="164" t="s">
        <v>13</v>
      </c>
      <c r="E468" s="165">
        <v>60</v>
      </c>
      <c r="F468" s="166">
        <v>0</v>
      </c>
      <c r="G468" s="227">
        <f>IF($B$2,IF(ROWS(B$6:$B468) = 1,$B468-Start_Date,$B468-$B467),"")</f>
        <v>3.9375462947646156E-3</v>
      </c>
      <c r="H468" s="29">
        <f>IF($B$2,IF(ROWS(B$6:$B468) = 1,IF(COUNTIFS(R_Schedule_Times,"&lt;"&amp;B468),INDEX(R_Schedule_Amounts,MATCH(B468,R_Schedule_Times,1)),Starting_Cash),IF(COUNTIFS(R_Schedule_Times,"&gt;"&amp;B467,R_Schedule_Times,"&lt;"&amp;B468),INDEX(R_Schedule_Amounts,MATCH(B468,R_Schedule_Times,1)),K467)),"")</f>
        <v>7420</v>
      </c>
      <c r="I468" s="30">
        <f t="shared" si="35"/>
        <v>60</v>
      </c>
      <c r="J468" s="31">
        <f t="shared" si="36"/>
        <v>0</v>
      </c>
      <c r="K468" s="29">
        <f t="shared" si="37"/>
        <v>7360</v>
      </c>
      <c r="L468" s="31" t="str">
        <f t="shared" si="38"/>
        <v/>
      </c>
      <c r="M468" s="31" t="str">
        <f t="shared" si="39"/>
        <v/>
      </c>
    </row>
    <row r="469" spans="1:13" x14ac:dyDescent="0.15">
      <c r="A469" s="163" t="s">
        <v>210</v>
      </c>
      <c r="B469" s="163">
        <v>42289.751293807873</v>
      </c>
      <c r="C469" s="164" t="s">
        <v>14</v>
      </c>
      <c r="D469" s="164" t="s">
        <v>13</v>
      </c>
      <c r="E469" s="165">
        <v>80</v>
      </c>
      <c r="F469" s="166">
        <v>3.5</v>
      </c>
      <c r="G469" s="227">
        <f>IF($B$2,IF(ROWS(B$6:$B469) = 1,$B469-Start_Date,$B469-$B468),"")</f>
        <v>3.8882708337041549E-2</v>
      </c>
      <c r="H469" s="29">
        <f>IF($B$2,IF(ROWS(B$6:$B469) = 1,IF(COUNTIFS(R_Schedule_Times,"&lt;"&amp;B469),INDEX(R_Schedule_Amounts,MATCH(B469,R_Schedule_Times,1)),Starting_Cash),IF(COUNTIFS(R_Schedule_Times,"&gt;"&amp;B468,R_Schedule_Times,"&lt;"&amp;B469),INDEX(R_Schedule_Amounts,MATCH(B469,R_Schedule_Times,1)),K468)),"")</f>
        <v>7360</v>
      </c>
      <c r="I469" s="30">
        <f t="shared" si="35"/>
        <v>80</v>
      </c>
      <c r="J469" s="31">
        <f t="shared" si="36"/>
        <v>3.5</v>
      </c>
      <c r="K469" s="29">
        <f t="shared" si="37"/>
        <v>7280</v>
      </c>
      <c r="L469" s="31" t="str">
        <f t="shared" si="38"/>
        <v/>
      </c>
      <c r="M469" s="31" t="str">
        <f t="shared" si="39"/>
        <v/>
      </c>
    </row>
    <row r="470" spans="1:13" x14ac:dyDescent="0.15">
      <c r="A470" s="163" t="s">
        <v>210</v>
      </c>
      <c r="B470" s="163">
        <v>42289.768881851851</v>
      </c>
      <c r="C470" s="164" t="s">
        <v>335</v>
      </c>
      <c r="D470" s="164" t="s">
        <v>13</v>
      </c>
      <c r="E470" s="165">
        <v>300</v>
      </c>
      <c r="F470" s="166">
        <v>0</v>
      </c>
      <c r="G470" s="227">
        <f>IF($B$2,IF(ROWS(B$6:$B470) = 1,$B470-Start_Date,$B470-$B469),"")</f>
        <v>1.7588043978321366E-2</v>
      </c>
      <c r="H470" s="29">
        <f>IF($B$2,IF(ROWS(B$6:$B470) = 1,IF(COUNTIFS(R_Schedule_Times,"&lt;"&amp;B470),INDEX(R_Schedule_Amounts,MATCH(B470,R_Schedule_Times,1)),Starting_Cash),IF(COUNTIFS(R_Schedule_Times,"&gt;"&amp;B469,R_Schedule_Times,"&lt;"&amp;B470),INDEX(R_Schedule_Amounts,MATCH(B470,R_Schedule_Times,1)),K469)),"")</f>
        <v>7280</v>
      </c>
      <c r="I470" s="30">
        <f t="shared" si="35"/>
        <v>300</v>
      </c>
      <c r="J470" s="31">
        <f t="shared" si="36"/>
        <v>0</v>
      </c>
      <c r="K470" s="29">
        <f t="shared" si="37"/>
        <v>6980</v>
      </c>
      <c r="L470" s="31" t="str">
        <f t="shared" si="38"/>
        <v/>
      </c>
      <c r="M470" s="31" t="str">
        <f t="shared" si="39"/>
        <v/>
      </c>
    </row>
    <row r="471" spans="1:13" x14ac:dyDescent="0.15">
      <c r="A471" s="163" t="s">
        <v>210</v>
      </c>
      <c r="B471" s="163">
        <v>42289.774762615743</v>
      </c>
      <c r="C471" s="164" t="s">
        <v>336</v>
      </c>
      <c r="D471" s="164" t="s">
        <v>13</v>
      </c>
      <c r="E471" s="165">
        <v>80</v>
      </c>
      <c r="F471" s="166">
        <v>0</v>
      </c>
      <c r="G471" s="227">
        <f>IF($B$2,IF(ROWS(B$6:$B471) = 1,$B471-Start_Date,$B471-$B470),"")</f>
        <v>5.8807638924918137E-3</v>
      </c>
      <c r="H471" s="29">
        <f>IF($B$2,IF(ROWS(B$6:$B471) = 1,IF(COUNTIFS(R_Schedule_Times,"&lt;"&amp;B471),INDEX(R_Schedule_Amounts,MATCH(B471,R_Schedule_Times,1)),Starting_Cash),IF(COUNTIFS(R_Schedule_Times,"&gt;"&amp;B470,R_Schedule_Times,"&lt;"&amp;B471),INDEX(R_Schedule_Amounts,MATCH(B471,R_Schedule_Times,1)),K470)),"")</f>
        <v>6980</v>
      </c>
      <c r="I471" s="30">
        <f t="shared" si="35"/>
        <v>80</v>
      </c>
      <c r="J471" s="31">
        <f t="shared" si="36"/>
        <v>0</v>
      </c>
      <c r="K471" s="29">
        <f t="shared" si="37"/>
        <v>6900</v>
      </c>
      <c r="L471" s="31" t="str">
        <f t="shared" si="38"/>
        <v/>
      </c>
      <c r="M471" s="31" t="str">
        <f t="shared" si="39"/>
        <v/>
      </c>
    </row>
    <row r="472" spans="1:13" x14ac:dyDescent="0.15">
      <c r="A472" s="163" t="s">
        <v>210</v>
      </c>
      <c r="B472" s="163">
        <v>42289.778681979165</v>
      </c>
      <c r="C472" s="164" t="s">
        <v>899</v>
      </c>
      <c r="D472" s="164" t="s">
        <v>13</v>
      </c>
      <c r="E472" s="165">
        <v>200</v>
      </c>
      <c r="F472" s="166">
        <v>0</v>
      </c>
      <c r="G472" s="227">
        <f>IF($B$2,IF(ROWS(B$6:$B472) = 1,$B472-Start_Date,$B472-$B471),"")</f>
        <v>3.9193634220282547E-3</v>
      </c>
      <c r="H472" s="29">
        <f>IF($B$2,IF(ROWS(B$6:$B472) = 1,IF(COUNTIFS(R_Schedule_Times,"&lt;"&amp;B472),INDEX(R_Schedule_Amounts,MATCH(B472,R_Schedule_Times,1)),Starting_Cash),IF(COUNTIFS(R_Schedule_Times,"&gt;"&amp;B471,R_Schedule_Times,"&lt;"&amp;B472),INDEX(R_Schedule_Amounts,MATCH(B472,R_Schedule_Times,1)),K471)),"")</f>
        <v>6900</v>
      </c>
      <c r="I472" s="30">
        <f t="shared" si="35"/>
        <v>200</v>
      </c>
      <c r="J472" s="31">
        <f t="shared" si="36"/>
        <v>0</v>
      </c>
      <c r="K472" s="29">
        <f t="shared" si="37"/>
        <v>6700</v>
      </c>
      <c r="L472" s="31" t="str">
        <f t="shared" si="38"/>
        <v/>
      </c>
      <c r="M472" s="31" t="str">
        <f t="shared" si="39"/>
        <v/>
      </c>
    </row>
    <row r="473" spans="1:13" x14ac:dyDescent="0.15">
      <c r="A473" s="163" t="s">
        <v>210</v>
      </c>
      <c r="B473" s="163">
        <v>42289.935846886576</v>
      </c>
      <c r="C473" s="164" t="s">
        <v>900</v>
      </c>
      <c r="D473" s="164" t="s">
        <v>13</v>
      </c>
      <c r="E473" s="165">
        <v>20</v>
      </c>
      <c r="F473" s="166">
        <v>0</v>
      </c>
      <c r="G473" s="227">
        <f>IF($B$2,IF(ROWS(B$6:$B473) = 1,$B473-Start_Date,$B473-$B472),"")</f>
        <v>0.1571649074103334</v>
      </c>
      <c r="H473" s="29">
        <f>IF($B$2,IF(ROWS(B$6:$B473) = 1,IF(COUNTIFS(R_Schedule_Times,"&lt;"&amp;B473),INDEX(R_Schedule_Amounts,MATCH(B473,R_Schedule_Times,1)),Starting_Cash),IF(COUNTIFS(R_Schedule_Times,"&gt;"&amp;B472,R_Schedule_Times,"&lt;"&amp;B473),INDEX(R_Schedule_Amounts,MATCH(B473,R_Schedule_Times,1)),K472)),"")</f>
        <v>6700</v>
      </c>
      <c r="I473" s="30">
        <f t="shared" si="35"/>
        <v>20</v>
      </c>
      <c r="J473" s="31">
        <f t="shared" si="36"/>
        <v>0</v>
      </c>
      <c r="K473" s="29">
        <f t="shared" si="37"/>
        <v>6680</v>
      </c>
      <c r="L473" s="31" t="str">
        <f t="shared" si="38"/>
        <v/>
      </c>
      <c r="M473" s="31" t="str">
        <f t="shared" si="39"/>
        <v/>
      </c>
    </row>
    <row r="474" spans="1:13" x14ac:dyDescent="0.15">
      <c r="A474" s="163" t="s">
        <v>210</v>
      </c>
      <c r="B474" s="163">
        <v>42290.242108599537</v>
      </c>
      <c r="C474" s="164" t="s">
        <v>337</v>
      </c>
      <c r="D474" s="164" t="s">
        <v>13</v>
      </c>
      <c r="E474" s="165">
        <v>40</v>
      </c>
      <c r="F474" s="166">
        <v>0</v>
      </c>
      <c r="G474" s="227">
        <f>IF($B$2,IF(ROWS(B$6:$B474) = 1,$B474-Start_Date,$B474-$B473),"")</f>
        <v>0.30626171296171378</v>
      </c>
      <c r="H474" s="29">
        <f>IF($B$2,IF(ROWS(B$6:$B474) = 1,IF(COUNTIFS(R_Schedule_Times,"&lt;"&amp;B474),INDEX(R_Schedule_Amounts,MATCH(B474,R_Schedule_Times,1)),Starting_Cash),IF(COUNTIFS(R_Schedule_Times,"&gt;"&amp;B473,R_Schedule_Times,"&lt;"&amp;B474),INDEX(R_Schedule_Amounts,MATCH(B474,R_Schedule_Times,1)),K473)),"")</f>
        <v>6680</v>
      </c>
      <c r="I474" s="30">
        <f t="shared" si="35"/>
        <v>40</v>
      </c>
      <c r="J474" s="31">
        <f t="shared" si="36"/>
        <v>0</v>
      </c>
      <c r="K474" s="29">
        <f t="shared" si="37"/>
        <v>6640</v>
      </c>
      <c r="L474" s="31" t="str">
        <f t="shared" si="38"/>
        <v/>
      </c>
      <c r="M474" s="31" t="str">
        <f t="shared" si="39"/>
        <v/>
      </c>
    </row>
    <row r="475" spans="1:13" x14ac:dyDescent="0.15">
      <c r="A475" s="163" t="s">
        <v>210</v>
      </c>
      <c r="B475" s="163">
        <v>42290.285114212966</v>
      </c>
      <c r="C475" s="164" t="s">
        <v>311</v>
      </c>
      <c r="D475" s="164" t="s">
        <v>13</v>
      </c>
      <c r="E475" s="165">
        <v>40</v>
      </c>
      <c r="F475" s="166">
        <v>0</v>
      </c>
      <c r="G475" s="227">
        <f>IF($B$2,IF(ROWS(B$6:$B475) = 1,$B475-Start_Date,$B475-$B474),"")</f>
        <v>4.300561342824949E-2</v>
      </c>
      <c r="H475" s="29">
        <f>IF($B$2,IF(ROWS(B$6:$B475) = 1,IF(COUNTIFS(R_Schedule_Times,"&lt;"&amp;B475),INDEX(R_Schedule_Amounts,MATCH(B475,R_Schedule_Times,1)),Starting_Cash),IF(COUNTIFS(R_Schedule_Times,"&gt;"&amp;B474,R_Schedule_Times,"&lt;"&amp;B475),INDEX(R_Schedule_Amounts,MATCH(B475,R_Schedule_Times,1)),K474)),"")</f>
        <v>6640</v>
      </c>
      <c r="I475" s="30">
        <f t="shared" si="35"/>
        <v>40</v>
      </c>
      <c r="J475" s="31">
        <f t="shared" si="36"/>
        <v>0</v>
      </c>
      <c r="K475" s="29">
        <f t="shared" si="37"/>
        <v>6600</v>
      </c>
      <c r="L475" s="31" t="str">
        <f t="shared" si="38"/>
        <v/>
      </c>
      <c r="M475" s="31" t="str">
        <f t="shared" si="39"/>
        <v/>
      </c>
    </row>
    <row r="476" spans="1:13" x14ac:dyDescent="0.15">
      <c r="A476" s="163" t="s">
        <v>210</v>
      </c>
      <c r="B476" s="163">
        <v>42290.306020127318</v>
      </c>
      <c r="C476" s="164" t="s">
        <v>901</v>
      </c>
      <c r="D476" s="164" t="s">
        <v>13</v>
      </c>
      <c r="E476" s="165">
        <v>100</v>
      </c>
      <c r="F476" s="166">
        <v>0</v>
      </c>
      <c r="G476" s="227">
        <f>IF($B$2,IF(ROWS(B$6:$B476) = 1,$B476-Start_Date,$B476-$B475),"")</f>
        <v>2.0905914352624677E-2</v>
      </c>
      <c r="H476" s="29">
        <f>IF($B$2,IF(ROWS(B$6:$B476) = 1,IF(COUNTIFS(R_Schedule_Times,"&lt;"&amp;B476),INDEX(R_Schedule_Amounts,MATCH(B476,R_Schedule_Times,1)),Starting_Cash),IF(COUNTIFS(R_Schedule_Times,"&gt;"&amp;B475,R_Schedule_Times,"&lt;"&amp;B476),INDEX(R_Schedule_Amounts,MATCH(B476,R_Schedule_Times,1)),K475)),"")</f>
        <v>6600</v>
      </c>
      <c r="I476" s="30">
        <f t="shared" si="35"/>
        <v>100</v>
      </c>
      <c r="J476" s="31">
        <f t="shared" si="36"/>
        <v>0</v>
      </c>
      <c r="K476" s="29">
        <f t="shared" si="37"/>
        <v>6500</v>
      </c>
      <c r="L476" s="31" t="str">
        <f t="shared" si="38"/>
        <v/>
      </c>
      <c r="M476" s="31" t="str">
        <f t="shared" si="39"/>
        <v/>
      </c>
    </row>
    <row r="477" spans="1:13" x14ac:dyDescent="0.15">
      <c r="A477" s="163" t="s">
        <v>210</v>
      </c>
      <c r="B477" s="163">
        <v>42290.309861388887</v>
      </c>
      <c r="C477" s="164" t="s">
        <v>902</v>
      </c>
      <c r="D477" s="164" t="s">
        <v>13</v>
      </c>
      <c r="E477" s="165">
        <v>200</v>
      </c>
      <c r="F477" s="166">
        <v>0</v>
      </c>
      <c r="G477" s="227">
        <f>IF($B$2,IF(ROWS(B$6:$B477) = 1,$B477-Start_Date,$B477-$B476),"")</f>
        <v>3.8412615685956553E-3</v>
      </c>
      <c r="H477" s="29">
        <f>IF($B$2,IF(ROWS(B$6:$B477) = 1,IF(COUNTIFS(R_Schedule_Times,"&lt;"&amp;B477),INDEX(R_Schedule_Amounts,MATCH(B477,R_Schedule_Times,1)),Starting_Cash),IF(COUNTIFS(R_Schedule_Times,"&gt;"&amp;B476,R_Schedule_Times,"&lt;"&amp;B477),INDEX(R_Schedule_Amounts,MATCH(B477,R_Schedule_Times,1)),K476)),"")</f>
        <v>6500</v>
      </c>
      <c r="I477" s="30">
        <f t="shared" si="35"/>
        <v>200</v>
      </c>
      <c r="J477" s="31">
        <f t="shared" si="36"/>
        <v>0</v>
      </c>
      <c r="K477" s="29">
        <f t="shared" si="37"/>
        <v>6300</v>
      </c>
      <c r="L477" s="31" t="str">
        <f t="shared" si="38"/>
        <v/>
      </c>
      <c r="M477" s="31" t="str">
        <f t="shared" si="39"/>
        <v/>
      </c>
    </row>
    <row r="478" spans="1:13" x14ac:dyDescent="0.15">
      <c r="A478" s="163" t="s">
        <v>210</v>
      </c>
      <c r="B478" s="163">
        <v>42290.339084247687</v>
      </c>
      <c r="C478" s="164" t="s">
        <v>903</v>
      </c>
      <c r="D478" s="164" t="s">
        <v>13</v>
      </c>
      <c r="E478" s="165">
        <v>200</v>
      </c>
      <c r="F478" s="166">
        <v>0</v>
      </c>
      <c r="G478" s="227">
        <f>IF($B$2,IF(ROWS(B$6:$B478) = 1,$B478-Start_Date,$B478-$B477),"")</f>
        <v>2.9222858800494578E-2</v>
      </c>
      <c r="H478" s="29">
        <f>IF($B$2,IF(ROWS(B$6:$B478) = 1,IF(COUNTIFS(R_Schedule_Times,"&lt;"&amp;B478),INDEX(R_Schedule_Amounts,MATCH(B478,R_Schedule_Times,1)),Starting_Cash),IF(COUNTIFS(R_Schedule_Times,"&gt;"&amp;B477,R_Schedule_Times,"&lt;"&amp;B478),INDEX(R_Schedule_Amounts,MATCH(B478,R_Schedule_Times,1)),K477)),"")</f>
        <v>6300</v>
      </c>
      <c r="I478" s="30">
        <f t="shared" si="35"/>
        <v>200</v>
      </c>
      <c r="J478" s="31">
        <f t="shared" si="36"/>
        <v>0</v>
      </c>
      <c r="K478" s="29">
        <f t="shared" si="37"/>
        <v>6100</v>
      </c>
      <c r="L478" s="31" t="str">
        <f t="shared" si="38"/>
        <v/>
      </c>
      <c r="M478" s="31" t="str">
        <f t="shared" si="39"/>
        <v/>
      </c>
    </row>
    <row r="479" spans="1:13" x14ac:dyDescent="0.15">
      <c r="A479" s="163" t="s">
        <v>210</v>
      </c>
      <c r="B479" s="163">
        <v>42290.380335127316</v>
      </c>
      <c r="C479" s="164" t="s">
        <v>904</v>
      </c>
      <c r="D479" s="164" t="s">
        <v>13</v>
      </c>
      <c r="E479" s="165">
        <v>400</v>
      </c>
      <c r="F479" s="166">
        <v>0</v>
      </c>
      <c r="G479" s="227">
        <f>IF($B$2,IF(ROWS(B$6:$B479) = 1,$B479-Start_Date,$B479-$B478),"")</f>
        <v>4.1250879628933035E-2</v>
      </c>
      <c r="H479" s="29">
        <f>IF($B$2,IF(ROWS(B$6:$B479) = 1,IF(COUNTIFS(R_Schedule_Times,"&lt;"&amp;B479),INDEX(R_Schedule_Amounts,MATCH(B479,R_Schedule_Times,1)),Starting_Cash),IF(COUNTIFS(R_Schedule_Times,"&gt;"&amp;B478,R_Schedule_Times,"&lt;"&amp;B479),INDEX(R_Schedule_Amounts,MATCH(B479,R_Schedule_Times,1)),K478)),"")</f>
        <v>6100</v>
      </c>
      <c r="I479" s="30">
        <f t="shared" si="35"/>
        <v>400</v>
      </c>
      <c r="J479" s="31">
        <f t="shared" si="36"/>
        <v>0</v>
      </c>
      <c r="K479" s="29">
        <f t="shared" si="37"/>
        <v>5700</v>
      </c>
      <c r="L479" s="31" t="str">
        <f t="shared" si="38"/>
        <v/>
      </c>
      <c r="M479" s="31" t="str">
        <f t="shared" si="39"/>
        <v/>
      </c>
    </row>
    <row r="480" spans="1:13" x14ac:dyDescent="0.15">
      <c r="A480" s="163" t="s">
        <v>210</v>
      </c>
      <c r="B480" s="163">
        <v>42290.399229247683</v>
      </c>
      <c r="C480" s="164" t="s">
        <v>905</v>
      </c>
      <c r="D480" s="164" t="s">
        <v>13</v>
      </c>
      <c r="E480" s="165">
        <v>40</v>
      </c>
      <c r="F480" s="166">
        <v>0</v>
      </c>
      <c r="G480" s="227">
        <f>IF($B$2,IF(ROWS(B$6:$B480) = 1,$B480-Start_Date,$B480-$B479),"")</f>
        <v>1.889412036689464E-2</v>
      </c>
      <c r="H480" s="29">
        <f>IF($B$2,IF(ROWS(B$6:$B480) = 1,IF(COUNTIFS(R_Schedule_Times,"&lt;"&amp;B480),INDEX(R_Schedule_Amounts,MATCH(B480,R_Schedule_Times,1)),Starting_Cash),IF(COUNTIFS(R_Schedule_Times,"&gt;"&amp;B479,R_Schedule_Times,"&lt;"&amp;B480),INDEX(R_Schedule_Amounts,MATCH(B480,R_Schedule_Times,1)),K479)),"")</f>
        <v>5700</v>
      </c>
      <c r="I480" s="30">
        <f t="shared" si="35"/>
        <v>40</v>
      </c>
      <c r="J480" s="31">
        <f t="shared" si="36"/>
        <v>0</v>
      </c>
      <c r="K480" s="29">
        <f t="shared" si="37"/>
        <v>5660</v>
      </c>
      <c r="L480" s="31" t="str">
        <f t="shared" si="38"/>
        <v/>
      </c>
      <c r="M480" s="31" t="str">
        <f t="shared" si="39"/>
        <v/>
      </c>
    </row>
    <row r="481" spans="1:13" x14ac:dyDescent="0.15">
      <c r="A481" s="163" t="s">
        <v>210</v>
      </c>
      <c r="B481" s="163">
        <v>42290.402240509262</v>
      </c>
      <c r="C481" s="164" t="s">
        <v>86</v>
      </c>
      <c r="D481" s="164" t="s">
        <v>13</v>
      </c>
      <c r="E481" s="165">
        <v>100</v>
      </c>
      <c r="F481" s="166">
        <v>0</v>
      </c>
      <c r="G481" s="227">
        <f>IF($B$2,IF(ROWS(B$6:$B481) = 1,$B481-Start_Date,$B481-$B480),"")</f>
        <v>3.0112615786492825E-3</v>
      </c>
      <c r="H481" s="29">
        <f>IF($B$2,IF(ROWS(B$6:$B481) = 1,IF(COUNTIFS(R_Schedule_Times,"&lt;"&amp;B481),INDEX(R_Schedule_Amounts,MATCH(B481,R_Schedule_Times,1)),Starting_Cash),IF(COUNTIFS(R_Schedule_Times,"&gt;"&amp;B480,R_Schedule_Times,"&lt;"&amp;B481),INDEX(R_Schedule_Amounts,MATCH(B481,R_Schedule_Times,1)),K480)),"")</f>
        <v>5660</v>
      </c>
      <c r="I481" s="30">
        <f t="shared" si="35"/>
        <v>100</v>
      </c>
      <c r="J481" s="31">
        <f t="shared" si="36"/>
        <v>0</v>
      </c>
      <c r="K481" s="29">
        <f t="shared" si="37"/>
        <v>5560</v>
      </c>
      <c r="L481" s="31" t="str">
        <f t="shared" si="38"/>
        <v/>
      </c>
      <c r="M481" s="31" t="str">
        <f t="shared" si="39"/>
        <v/>
      </c>
    </row>
    <row r="482" spans="1:13" x14ac:dyDescent="0.15">
      <c r="A482" s="163" t="s">
        <v>210</v>
      </c>
      <c r="B482" s="163">
        <v>42290.44182630787</v>
      </c>
      <c r="C482" s="164" t="s">
        <v>906</v>
      </c>
      <c r="D482" s="164" t="s">
        <v>13</v>
      </c>
      <c r="E482" s="165">
        <v>180</v>
      </c>
      <c r="F482" s="166">
        <v>0</v>
      </c>
      <c r="G482" s="227">
        <f>IF($B$2,IF(ROWS(B$6:$B482) = 1,$B482-Start_Date,$B482-$B481),"")</f>
        <v>3.9585798607731704E-2</v>
      </c>
      <c r="H482" s="29">
        <f>IF($B$2,IF(ROWS(B$6:$B482) = 1,IF(COUNTIFS(R_Schedule_Times,"&lt;"&amp;B482),INDEX(R_Schedule_Amounts,MATCH(B482,R_Schedule_Times,1)),Starting_Cash),IF(COUNTIFS(R_Schedule_Times,"&gt;"&amp;B481,R_Schedule_Times,"&lt;"&amp;B482),INDEX(R_Schedule_Amounts,MATCH(B482,R_Schedule_Times,1)),K481)),"")</f>
        <v>5560</v>
      </c>
      <c r="I482" s="30">
        <f t="shared" si="35"/>
        <v>180</v>
      </c>
      <c r="J482" s="31">
        <f t="shared" si="36"/>
        <v>0</v>
      </c>
      <c r="K482" s="29">
        <f t="shared" si="37"/>
        <v>5380</v>
      </c>
      <c r="L482" s="31" t="str">
        <f t="shared" si="38"/>
        <v/>
      </c>
      <c r="M482" s="31" t="str">
        <f t="shared" si="39"/>
        <v/>
      </c>
    </row>
    <row r="483" spans="1:13" x14ac:dyDescent="0.15">
      <c r="A483" s="163" t="s">
        <v>210</v>
      </c>
      <c r="B483" s="163">
        <v>42290.450301620367</v>
      </c>
      <c r="C483" s="164" t="s">
        <v>907</v>
      </c>
      <c r="D483" s="164" t="s">
        <v>13</v>
      </c>
      <c r="E483" s="165">
        <v>20</v>
      </c>
      <c r="F483" s="166">
        <v>0</v>
      </c>
      <c r="G483" s="227">
        <f>IF($B$2,IF(ROWS(B$6:$B483) = 1,$B483-Start_Date,$B483-$B482),"")</f>
        <v>8.4753124974668026E-3</v>
      </c>
      <c r="H483" s="29">
        <f>IF($B$2,IF(ROWS(B$6:$B483) = 1,IF(COUNTIFS(R_Schedule_Times,"&lt;"&amp;B483),INDEX(R_Schedule_Amounts,MATCH(B483,R_Schedule_Times,1)),Starting_Cash),IF(COUNTIFS(R_Schedule_Times,"&gt;"&amp;B482,R_Schedule_Times,"&lt;"&amp;B483),INDEX(R_Schedule_Amounts,MATCH(B483,R_Schedule_Times,1)),K482)),"")</f>
        <v>5380</v>
      </c>
      <c r="I483" s="30">
        <f t="shared" si="35"/>
        <v>20</v>
      </c>
      <c r="J483" s="31">
        <f t="shared" si="36"/>
        <v>0</v>
      </c>
      <c r="K483" s="29">
        <f t="shared" si="37"/>
        <v>5360</v>
      </c>
      <c r="L483" s="31" t="str">
        <f t="shared" si="38"/>
        <v/>
      </c>
      <c r="M483" s="31" t="str">
        <f t="shared" si="39"/>
        <v/>
      </c>
    </row>
    <row r="484" spans="1:13" x14ac:dyDescent="0.15">
      <c r="A484" s="163" t="s">
        <v>210</v>
      </c>
      <c r="B484" s="163">
        <v>42290.464784942131</v>
      </c>
      <c r="C484" s="164" t="s">
        <v>338</v>
      </c>
      <c r="D484" s="164" t="s">
        <v>13</v>
      </c>
      <c r="E484" s="165">
        <v>100</v>
      </c>
      <c r="F484" s="166">
        <v>0</v>
      </c>
      <c r="G484" s="227">
        <f>IF($B$2,IF(ROWS(B$6:$B484) = 1,$B484-Start_Date,$B484-$B483),"")</f>
        <v>1.4483321763691492E-2</v>
      </c>
      <c r="H484" s="29">
        <f>IF($B$2,IF(ROWS(B$6:$B484) = 1,IF(COUNTIFS(R_Schedule_Times,"&lt;"&amp;B484),INDEX(R_Schedule_Amounts,MATCH(B484,R_Schedule_Times,1)),Starting_Cash),IF(COUNTIFS(R_Schedule_Times,"&gt;"&amp;B483,R_Schedule_Times,"&lt;"&amp;B484),INDEX(R_Schedule_Amounts,MATCH(B484,R_Schedule_Times,1)),K483)),"")</f>
        <v>5360</v>
      </c>
      <c r="I484" s="30">
        <f t="shared" si="35"/>
        <v>100</v>
      </c>
      <c r="J484" s="31">
        <f t="shared" si="36"/>
        <v>0</v>
      </c>
      <c r="K484" s="29">
        <f t="shared" si="37"/>
        <v>5260</v>
      </c>
      <c r="L484" s="31" t="str">
        <f t="shared" si="38"/>
        <v/>
      </c>
      <c r="M484" s="31" t="str">
        <f t="shared" si="39"/>
        <v/>
      </c>
    </row>
    <row r="485" spans="1:13" x14ac:dyDescent="0.15">
      <c r="A485" s="163" t="s">
        <v>210</v>
      </c>
      <c r="B485" s="163">
        <v>42290.465553263886</v>
      </c>
      <c r="C485" s="164" t="s">
        <v>908</v>
      </c>
      <c r="D485" s="164" t="s">
        <v>13</v>
      </c>
      <c r="E485" s="165">
        <v>40</v>
      </c>
      <c r="F485" s="166">
        <v>0</v>
      </c>
      <c r="G485" s="227">
        <f>IF($B$2,IF(ROWS(B$6:$B485) = 1,$B485-Start_Date,$B485-$B484),"")</f>
        <v>7.6832175545860082E-4</v>
      </c>
      <c r="H485" s="29">
        <f>IF($B$2,IF(ROWS(B$6:$B485) = 1,IF(COUNTIFS(R_Schedule_Times,"&lt;"&amp;B485),INDEX(R_Schedule_Amounts,MATCH(B485,R_Schedule_Times,1)),Starting_Cash),IF(COUNTIFS(R_Schedule_Times,"&gt;"&amp;B484,R_Schedule_Times,"&lt;"&amp;B485),INDEX(R_Schedule_Amounts,MATCH(B485,R_Schedule_Times,1)),K484)),"")</f>
        <v>5260</v>
      </c>
      <c r="I485" s="30">
        <f t="shared" si="35"/>
        <v>40</v>
      </c>
      <c r="J485" s="31">
        <f t="shared" si="36"/>
        <v>0</v>
      </c>
      <c r="K485" s="29">
        <f t="shared" si="37"/>
        <v>5220</v>
      </c>
      <c r="L485" s="31" t="str">
        <f t="shared" si="38"/>
        <v/>
      </c>
      <c r="M485" s="31" t="str">
        <f t="shared" si="39"/>
        <v/>
      </c>
    </row>
    <row r="486" spans="1:13" x14ac:dyDescent="0.15">
      <c r="A486" s="163" t="s">
        <v>210</v>
      </c>
      <c r="B486" s="163">
        <v>42290.48487896991</v>
      </c>
      <c r="C486" s="164" t="s">
        <v>14</v>
      </c>
      <c r="D486" s="164" t="s">
        <v>13</v>
      </c>
      <c r="E486" s="165">
        <v>100</v>
      </c>
      <c r="F486" s="166">
        <v>3.5</v>
      </c>
      <c r="G486" s="227">
        <f>IF($B$2,IF(ROWS(B$6:$B486) = 1,$B486-Start_Date,$B486-$B485),"")</f>
        <v>1.9325706023664679E-2</v>
      </c>
      <c r="H486" s="29">
        <f>IF($B$2,IF(ROWS(B$6:$B486) = 1,IF(COUNTIFS(R_Schedule_Times,"&lt;"&amp;B486),INDEX(R_Schedule_Amounts,MATCH(B486,R_Schedule_Times,1)),Starting_Cash),IF(COUNTIFS(R_Schedule_Times,"&gt;"&amp;B485,R_Schedule_Times,"&lt;"&amp;B486),INDEX(R_Schedule_Amounts,MATCH(B486,R_Schedule_Times,1)),K485)),"")</f>
        <v>5220</v>
      </c>
      <c r="I486" s="30">
        <f t="shared" si="35"/>
        <v>100</v>
      </c>
      <c r="J486" s="31">
        <f t="shared" si="36"/>
        <v>3.5</v>
      </c>
      <c r="K486" s="29">
        <f t="shared" si="37"/>
        <v>5120</v>
      </c>
      <c r="L486" s="31" t="str">
        <f t="shared" si="38"/>
        <v/>
      </c>
      <c r="M486" s="31" t="str">
        <f t="shared" si="39"/>
        <v/>
      </c>
    </row>
    <row r="487" spans="1:13" x14ac:dyDescent="0.15">
      <c r="A487" s="163" t="s">
        <v>210</v>
      </c>
      <c r="B487" s="163">
        <v>42290.49099510417</v>
      </c>
      <c r="C487" s="164" t="s">
        <v>339</v>
      </c>
      <c r="D487" s="164" t="s">
        <v>13</v>
      </c>
      <c r="E487" s="165">
        <v>80</v>
      </c>
      <c r="F487" s="166">
        <v>0</v>
      </c>
      <c r="G487" s="227">
        <f>IF($B$2,IF(ROWS(B$6:$B487) = 1,$B487-Start_Date,$B487-$B486),"")</f>
        <v>6.1161342600826174E-3</v>
      </c>
      <c r="H487" s="29">
        <f>IF($B$2,IF(ROWS(B$6:$B487) = 1,IF(COUNTIFS(R_Schedule_Times,"&lt;"&amp;B487),INDEX(R_Schedule_Amounts,MATCH(B487,R_Schedule_Times,1)),Starting_Cash),IF(COUNTIFS(R_Schedule_Times,"&gt;"&amp;B486,R_Schedule_Times,"&lt;"&amp;B487),INDEX(R_Schedule_Amounts,MATCH(B487,R_Schedule_Times,1)),K486)),"")</f>
        <v>5120</v>
      </c>
      <c r="I487" s="30">
        <f t="shared" si="35"/>
        <v>80</v>
      </c>
      <c r="J487" s="31">
        <f t="shared" si="36"/>
        <v>0</v>
      </c>
      <c r="K487" s="29">
        <f t="shared" si="37"/>
        <v>5040</v>
      </c>
      <c r="L487" s="31" t="str">
        <f t="shared" si="38"/>
        <v/>
      </c>
      <c r="M487" s="31" t="str">
        <f t="shared" si="39"/>
        <v/>
      </c>
    </row>
    <row r="488" spans="1:13" x14ac:dyDescent="0.15">
      <c r="A488" s="163" t="s">
        <v>210</v>
      </c>
      <c r="B488" s="163">
        <v>42290.495381608795</v>
      </c>
      <c r="C488" s="164" t="s">
        <v>909</v>
      </c>
      <c r="D488" s="164" t="s">
        <v>13</v>
      </c>
      <c r="E488" s="165">
        <v>40</v>
      </c>
      <c r="F488" s="166">
        <v>0</v>
      </c>
      <c r="G488" s="227">
        <f>IF($B$2,IF(ROWS(B$6:$B488) = 1,$B488-Start_Date,$B488-$B487),"")</f>
        <v>4.3865046245628037E-3</v>
      </c>
      <c r="H488" s="29">
        <f>IF($B$2,IF(ROWS(B$6:$B488) = 1,IF(COUNTIFS(R_Schedule_Times,"&lt;"&amp;B488),INDEX(R_Schedule_Amounts,MATCH(B488,R_Schedule_Times,1)),Starting_Cash),IF(COUNTIFS(R_Schedule_Times,"&gt;"&amp;B487,R_Schedule_Times,"&lt;"&amp;B488),INDEX(R_Schedule_Amounts,MATCH(B488,R_Schedule_Times,1)),K487)),"")</f>
        <v>5040</v>
      </c>
      <c r="I488" s="30">
        <f t="shared" si="35"/>
        <v>40</v>
      </c>
      <c r="J488" s="31">
        <f t="shared" si="36"/>
        <v>0</v>
      </c>
      <c r="K488" s="29">
        <f t="shared" si="37"/>
        <v>5000</v>
      </c>
      <c r="L488" s="31" t="str">
        <f t="shared" si="38"/>
        <v/>
      </c>
      <c r="M488" s="31" t="str">
        <f t="shared" si="39"/>
        <v/>
      </c>
    </row>
    <row r="489" spans="1:13" x14ac:dyDescent="0.15">
      <c r="A489" s="163" t="s">
        <v>210</v>
      </c>
      <c r="B489" s="163">
        <v>42290.522141527777</v>
      </c>
      <c r="C489" s="164" t="s">
        <v>910</v>
      </c>
      <c r="D489" s="164" t="s">
        <v>13</v>
      </c>
      <c r="E489" s="165">
        <v>100</v>
      </c>
      <c r="F489" s="166">
        <v>0</v>
      </c>
      <c r="G489" s="227">
        <f>IF($B$2,IF(ROWS(B$6:$B489) = 1,$B489-Start_Date,$B489-$B488),"")</f>
        <v>2.6759918982861564E-2</v>
      </c>
      <c r="H489" s="29">
        <f>IF($B$2,IF(ROWS(B$6:$B489) = 1,IF(COUNTIFS(R_Schedule_Times,"&lt;"&amp;B489),INDEX(R_Schedule_Amounts,MATCH(B489,R_Schedule_Times,1)),Starting_Cash),IF(COUNTIFS(R_Schedule_Times,"&gt;"&amp;B488,R_Schedule_Times,"&lt;"&amp;B489),INDEX(R_Schedule_Amounts,MATCH(B489,R_Schedule_Times,1)),K488)),"")</f>
        <v>5000</v>
      </c>
      <c r="I489" s="30">
        <f t="shared" si="35"/>
        <v>100</v>
      </c>
      <c r="J489" s="31">
        <f t="shared" si="36"/>
        <v>0</v>
      </c>
      <c r="K489" s="29">
        <f t="shared" si="37"/>
        <v>4900</v>
      </c>
      <c r="L489" s="31" t="str">
        <f t="shared" si="38"/>
        <v/>
      </c>
      <c r="M489" s="31" t="str">
        <f t="shared" si="39"/>
        <v/>
      </c>
    </row>
    <row r="490" spans="1:13" x14ac:dyDescent="0.15">
      <c r="A490" s="163" t="s">
        <v>210</v>
      </c>
      <c r="B490" s="163">
        <v>42290.52749497685</v>
      </c>
      <c r="C490" s="164" t="s">
        <v>340</v>
      </c>
      <c r="D490" s="164" t="s">
        <v>13</v>
      </c>
      <c r="E490" s="165">
        <v>40</v>
      </c>
      <c r="F490" s="166">
        <v>0</v>
      </c>
      <c r="G490" s="227">
        <f>IF($B$2,IF(ROWS(B$6:$B490) = 1,$B490-Start_Date,$B490-$B489),"")</f>
        <v>5.3534490725724027E-3</v>
      </c>
      <c r="H490" s="29">
        <f>IF($B$2,IF(ROWS(B$6:$B490) = 1,IF(COUNTIFS(R_Schedule_Times,"&lt;"&amp;B490),INDEX(R_Schedule_Amounts,MATCH(B490,R_Schedule_Times,1)),Starting_Cash),IF(COUNTIFS(R_Schedule_Times,"&gt;"&amp;B489,R_Schedule_Times,"&lt;"&amp;B490),INDEX(R_Schedule_Amounts,MATCH(B490,R_Schedule_Times,1)),K489)),"")</f>
        <v>4900</v>
      </c>
      <c r="I490" s="30">
        <f t="shared" si="35"/>
        <v>40</v>
      </c>
      <c r="J490" s="31">
        <f t="shared" si="36"/>
        <v>0</v>
      </c>
      <c r="K490" s="29">
        <f t="shared" si="37"/>
        <v>4860</v>
      </c>
      <c r="L490" s="31" t="str">
        <f t="shared" si="38"/>
        <v/>
      </c>
      <c r="M490" s="31" t="str">
        <f t="shared" si="39"/>
        <v/>
      </c>
    </row>
    <row r="491" spans="1:13" x14ac:dyDescent="0.15">
      <c r="A491" s="163" t="s">
        <v>210</v>
      </c>
      <c r="B491" s="163">
        <v>42290.540503819444</v>
      </c>
      <c r="C491" s="164" t="s">
        <v>911</v>
      </c>
      <c r="D491" s="164" t="s">
        <v>13</v>
      </c>
      <c r="E491" s="165">
        <v>20</v>
      </c>
      <c r="F491" s="166">
        <v>0</v>
      </c>
      <c r="G491" s="227">
        <f>IF($B$2,IF(ROWS(B$6:$B491) = 1,$B491-Start_Date,$B491-$B490),"")</f>
        <v>1.3008842593990266E-2</v>
      </c>
      <c r="H491" s="29">
        <f>IF($B$2,IF(ROWS(B$6:$B491) = 1,IF(COUNTIFS(R_Schedule_Times,"&lt;"&amp;B491),INDEX(R_Schedule_Amounts,MATCH(B491,R_Schedule_Times,1)),Starting_Cash),IF(COUNTIFS(R_Schedule_Times,"&gt;"&amp;B490,R_Schedule_Times,"&lt;"&amp;B491),INDEX(R_Schedule_Amounts,MATCH(B491,R_Schedule_Times,1)),K490)),"")</f>
        <v>4860</v>
      </c>
      <c r="I491" s="30">
        <f t="shared" si="35"/>
        <v>20</v>
      </c>
      <c r="J491" s="31">
        <f t="shared" si="36"/>
        <v>0</v>
      </c>
      <c r="K491" s="29">
        <f t="shared" si="37"/>
        <v>4840</v>
      </c>
      <c r="L491" s="31" t="str">
        <f t="shared" si="38"/>
        <v/>
      </c>
      <c r="M491" s="31" t="str">
        <f t="shared" si="39"/>
        <v/>
      </c>
    </row>
    <row r="492" spans="1:13" x14ac:dyDescent="0.15">
      <c r="A492" s="163" t="s">
        <v>210</v>
      </c>
      <c r="B492" s="163">
        <v>42290.552833217589</v>
      </c>
      <c r="C492" s="164" t="s">
        <v>14</v>
      </c>
      <c r="D492" s="164" t="s">
        <v>13</v>
      </c>
      <c r="E492" s="165">
        <v>140</v>
      </c>
      <c r="F492" s="166">
        <v>3.5</v>
      </c>
      <c r="G492" s="227">
        <f>IF($B$2,IF(ROWS(B$6:$B492) = 1,$B492-Start_Date,$B492-$B491),"")</f>
        <v>1.2329398145084269E-2</v>
      </c>
      <c r="H492" s="29">
        <f>IF($B$2,IF(ROWS(B$6:$B492) = 1,IF(COUNTIFS(R_Schedule_Times,"&lt;"&amp;B492),INDEX(R_Schedule_Amounts,MATCH(B492,R_Schedule_Times,1)),Starting_Cash),IF(COUNTIFS(R_Schedule_Times,"&gt;"&amp;B491,R_Schedule_Times,"&lt;"&amp;B492),INDEX(R_Schedule_Amounts,MATCH(B492,R_Schedule_Times,1)),K491)),"")</f>
        <v>4840</v>
      </c>
      <c r="I492" s="30">
        <f t="shared" si="35"/>
        <v>140</v>
      </c>
      <c r="J492" s="31">
        <f t="shared" si="36"/>
        <v>3.5</v>
      </c>
      <c r="K492" s="29">
        <f t="shared" si="37"/>
        <v>4700</v>
      </c>
      <c r="L492" s="31" t="str">
        <f t="shared" si="38"/>
        <v/>
      </c>
      <c r="M492" s="31" t="str">
        <f t="shared" si="39"/>
        <v/>
      </c>
    </row>
    <row r="493" spans="1:13" x14ac:dyDescent="0.15">
      <c r="A493" s="163" t="s">
        <v>210</v>
      </c>
      <c r="B493" s="163">
        <v>42290.589279583335</v>
      </c>
      <c r="C493" s="164" t="s">
        <v>912</v>
      </c>
      <c r="D493" s="164" t="s">
        <v>15</v>
      </c>
      <c r="E493" s="165">
        <v>200</v>
      </c>
      <c r="F493" s="166">
        <v>6</v>
      </c>
      <c r="G493" s="227">
        <f>IF($B$2,IF(ROWS(B$6:$B493) = 1,$B493-Start_Date,$B493-$B492),"")</f>
        <v>3.6446365746087395E-2</v>
      </c>
      <c r="H493" s="29">
        <f>IF($B$2,IF(ROWS(B$6:$B493) = 1,IF(COUNTIFS(R_Schedule_Times,"&lt;"&amp;B493),INDEX(R_Schedule_Amounts,MATCH(B493,R_Schedule_Times,1)),Starting_Cash),IF(COUNTIFS(R_Schedule_Times,"&gt;"&amp;B492,R_Schedule_Times,"&lt;"&amp;B493),INDEX(R_Schedule_Amounts,MATCH(B493,R_Schedule_Times,1)),K492)),"")</f>
        <v>4700</v>
      </c>
      <c r="I493" s="30">
        <f t="shared" si="35"/>
        <v>200</v>
      </c>
      <c r="J493" s="31">
        <f t="shared" si="36"/>
        <v>6</v>
      </c>
      <c r="K493" s="29">
        <f t="shared" si="37"/>
        <v>4500</v>
      </c>
      <c r="L493" s="31" t="str">
        <f t="shared" si="38"/>
        <v/>
      </c>
      <c r="M493" s="31" t="str">
        <f t="shared" si="39"/>
        <v/>
      </c>
    </row>
    <row r="494" spans="1:13" x14ac:dyDescent="0.15">
      <c r="A494" s="163" t="s">
        <v>210</v>
      </c>
      <c r="B494" s="163">
        <v>42290.590999004628</v>
      </c>
      <c r="C494" s="164" t="s">
        <v>913</v>
      </c>
      <c r="D494" s="164" t="s">
        <v>13</v>
      </c>
      <c r="E494" s="165">
        <v>100</v>
      </c>
      <c r="F494" s="166">
        <v>0</v>
      </c>
      <c r="G494" s="227">
        <f>IF($B$2,IF(ROWS(B$6:$B494) = 1,$B494-Start_Date,$B494-$B493),"")</f>
        <v>1.7194212923641317E-3</v>
      </c>
      <c r="H494" s="29">
        <f>IF($B$2,IF(ROWS(B$6:$B494) = 1,IF(COUNTIFS(R_Schedule_Times,"&lt;"&amp;B494),INDEX(R_Schedule_Amounts,MATCH(B494,R_Schedule_Times,1)),Starting_Cash),IF(COUNTIFS(R_Schedule_Times,"&gt;"&amp;B493,R_Schedule_Times,"&lt;"&amp;B494),INDEX(R_Schedule_Amounts,MATCH(B494,R_Schedule_Times,1)),K493)),"")</f>
        <v>4500</v>
      </c>
      <c r="I494" s="30">
        <f t="shared" si="35"/>
        <v>100</v>
      </c>
      <c r="J494" s="31">
        <f t="shared" si="36"/>
        <v>0</v>
      </c>
      <c r="K494" s="29">
        <f t="shared" si="37"/>
        <v>4400</v>
      </c>
      <c r="L494" s="31" t="str">
        <f t="shared" si="38"/>
        <v/>
      </c>
      <c r="M494" s="31" t="str">
        <f t="shared" si="39"/>
        <v/>
      </c>
    </row>
    <row r="495" spans="1:13" x14ac:dyDescent="0.15">
      <c r="A495" s="163" t="s">
        <v>210</v>
      </c>
      <c r="B495" s="163">
        <v>42290.592322870369</v>
      </c>
      <c r="C495" s="164" t="s">
        <v>14</v>
      </c>
      <c r="D495" s="164" t="s">
        <v>13</v>
      </c>
      <c r="E495" s="165">
        <v>20</v>
      </c>
      <c r="F495" s="166">
        <v>3.5</v>
      </c>
      <c r="G495" s="227">
        <f>IF($B$2,IF(ROWS(B$6:$B495) = 1,$B495-Start_Date,$B495-$B494),"")</f>
        <v>1.3238657411420718E-3</v>
      </c>
      <c r="H495" s="29">
        <f>IF($B$2,IF(ROWS(B$6:$B495) = 1,IF(COUNTIFS(R_Schedule_Times,"&lt;"&amp;B495),INDEX(R_Schedule_Amounts,MATCH(B495,R_Schedule_Times,1)),Starting_Cash),IF(COUNTIFS(R_Schedule_Times,"&gt;"&amp;B494,R_Schedule_Times,"&lt;"&amp;B495),INDEX(R_Schedule_Amounts,MATCH(B495,R_Schedule_Times,1)),K494)),"")</f>
        <v>4400</v>
      </c>
      <c r="I495" s="30">
        <f t="shared" si="35"/>
        <v>20</v>
      </c>
      <c r="J495" s="31">
        <f t="shared" si="36"/>
        <v>3.5</v>
      </c>
      <c r="K495" s="29">
        <f t="shared" si="37"/>
        <v>4380</v>
      </c>
      <c r="L495" s="31" t="str">
        <f t="shared" si="38"/>
        <v/>
      </c>
      <c r="M495" s="31" t="str">
        <f t="shared" si="39"/>
        <v/>
      </c>
    </row>
    <row r="496" spans="1:13" x14ac:dyDescent="0.15">
      <c r="A496" s="163" t="s">
        <v>210</v>
      </c>
      <c r="B496" s="163">
        <v>42290.625071921299</v>
      </c>
      <c r="C496" s="164" t="s">
        <v>914</v>
      </c>
      <c r="D496" s="164" t="s">
        <v>13</v>
      </c>
      <c r="E496" s="165">
        <v>40</v>
      </c>
      <c r="F496" s="166">
        <v>0</v>
      </c>
      <c r="G496" s="227">
        <f>IF($B$2,IF(ROWS(B$6:$B496) = 1,$B496-Start_Date,$B496-$B495),"")</f>
        <v>3.2749050929851364E-2</v>
      </c>
      <c r="H496" s="29">
        <f>IF($B$2,IF(ROWS(B$6:$B496) = 1,IF(COUNTIFS(R_Schedule_Times,"&lt;"&amp;B496),INDEX(R_Schedule_Amounts,MATCH(B496,R_Schedule_Times,1)),Starting_Cash),IF(COUNTIFS(R_Schedule_Times,"&gt;"&amp;B495,R_Schedule_Times,"&lt;"&amp;B496),INDEX(R_Schedule_Amounts,MATCH(B496,R_Schedule_Times,1)),K495)),"")</f>
        <v>4380</v>
      </c>
      <c r="I496" s="30">
        <f t="shared" si="35"/>
        <v>40</v>
      </c>
      <c r="J496" s="31">
        <f t="shared" si="36"/>
        <v>0</v>
      </c>
      <c r="K496" s="29">
        <f t="shared" si="37"/>
        <v>4340</v>
      </c>
      <c r="L496" s="31" t="str">
        <f t="shared" si="38"/>
        <v/>
      </c>
      <c r="M496" s="31" t="str">
        <f t="shared" si="39"/>
        <v/>
      </c>
    </row>
    <row r="497" spans="1:13" x14ac:dyDescent="0.15">
      <c r="A497" s="163" t="s">
        <v>210</v>
      </c>
      <c r="B497" s="163">
        <v>42290.661071712966</v>
      </c>
      <c r="C497" s="164" t="s">
        <v>915</v>
      </c>
      <c r="D497" s="164" t="s">
        <v>13</v>
      </c>
      <c r="E497" s="165">
        <v>80</v>
      </c>
      <c r="F497" s="166">
        <v>0</v>
      </c>
      <c r="G497" s="227">
        <f>IF($B$2,IF(ROWS(B$6:$B497) = 1,$B497-Start_Date,$B497-$B496),"")</f>
        <v>3.5999791667563841E-2</v>
      </c>
      <c r="H497" s="29">
        <f>IF($B$2,IF(ROWS(B$6:$B497) = 1,IF(COUNTIFS(R_Schedule_Times,"&lt;"&amp;B497),INDEX(R_Schedule_Amounts,MATCH(B497,R_Schedule_Times,1)),Starting_Cash),IF(COUNTIFS(R_Schedule_Times,"&gt;"&amp;B496,R_Schedule_Times,"&lt;"&amp;B497),INDEX(R_Schedule_Amounts,MATCH(B497,R_Schedule_Times,1)),K496)),"")</f>
        <v>4340</v>
      </c>
      <c r="I497" s="30">
        <f t="shared" si="35"/>
        <v>80</v>
      </c>
      <c r="J497" s="31">
        <f t="shared" si="36"/>
        <v>0</v>
      </c>
      <c r="K497" s="29">
        <f t="shared" si="37"/>
        <v>4260</v>
      </c>
      <c r="L497" s="31" t="str">
        <f t="shared" si="38"/>
        <v/>
      </c>
      <c r="M497" s="31" t="str">
        <f t="shared" si="39"/>
        <v/>
      </c>
    </row>
    <row r="498" spans="1:13" x14ac:dyDescent="0.15">
      <c r="A498" s="163" t="s">
        <v>210</v>
      </c>
      <c r="B498" s="163">
        <v>42290.665598460648</v>
      </c>
      <c r="C498" s="164" t="s">
        <v>916</v>
      </c>
      <c r="D498" s="164" t="s">
        <v>13</v>
      </c>
      <c r="E498" s="165">
        <v>380</v>
      </c>
      <c r="F498" s="166">
        <v>0</v>
      </c>
      <c r="G498" s="227">
        <f>IF($B$2,IF(ROWS(B$6:$B498) = 1,$B498-Start_Date,$B498-$B497),"")</f>
        <v>4.5267476816661656E-3</v>
      </c>
      <c r="H498" s="29">
        <f>IF($B$2,IF(ROWS(B$6:$B498) = 1,IF(COUNTIFS(R_Schedule_Times,"&lt;"&amp;B498),INDEX(R_Schedule_Amounts,MATCH(B498,R_Schedule_Times,1)),Starting_Cash),IF(COUNTIFS(R_Schedule_Times,"&gt;"&amp;B497,R_Schedule_Times,"&lt;"&amp;B498),INDEX(R_Schedule_Amounts,MATCH(B498,R_Schedule_Times,1)),K497)),"")</f>
        <v>4260</v>
      </c>
      <c r="I498" s="30">
        <f t="shared" si="35"/>
        <v>380</v>
      </c>
      <c r="J498" s="31">
        <f t="shared" si="36"/>
        <v>0</v>
      </c>
      <c r="K498" s="29">
        <f t="shared" si="37"/>
        <v>3880</v>
      </c>
      <c r="L498" s="31" t="str">
        <f t="shared" si="38"/>
        <v/>
      </c>
      <c r="M498" s="31" t="str">
        <f t="shared" si="39"/>
        <v/>
      </c>
    </row>
    <row r="499" spans="1:13" x14ac:dyDescent="0.15">
      <c r="A499" s="163" t="s">
        <v>210</v>
      </c>
      <c r="B499" s="163">
        <v>42290.696883946759</v>
      </c>
      <c r="C499" s="164" t="s">
        <v>14</v>
      </c>
      <c r="D499" s="164" t="s">
        <v>13</v>
      </c>
      <c r="E499" s="165">
        <v>200</v>
      </c>
      <c r="F499" s="166">
        <v>3.5</v>
      </c>
      <c r="G499" s="227">
        <f>IF($B$2,IF(ROWS(B$6:$B499) = 1,$B499-Start_Date,$B499-$B498),"")</f>
        <v>3.1285486111300997E-2</v>
      </c>
      <c r="H499" s="29">
        <f>IF($B$2,IF(ROWS(B$6:$B499) = 1,IF(COUNTIFS(R_Schedule_Times,"&lt;"&amp;B499),INDEX(R_Schedule_Amounts,MATCH(B499,R_Schedule_Times,1)),Starting_Cash),IF(COUNTIFS(R_Schedule_Times,"&gt;"&amp;B498,R_Schedule_Times,"&lt;"&amp;B499),INDEX(R_Schedule_Amounts,MATCH(B499,R_Schedule_Times,1)),K498)),"")</f>
        <v>3880</v>
      </c>
      <c r="I499" s="30">
        <f t="shared" si="35"/>
        <v>200</v>
      </c>
      <c r="J499" s="31">
        <f t="shared" si="36"/>
        <v>3.5</v>
      </c>
      <c r="K499" s="29">
        <f t="shared" si="37"/>
        <v>3680</v>
      </c>
      <c r="L499" s="31" t="str">
        <f t="shared" si="38"/>
        <v/>
      </c>
      <c r="M499" s="31" t="str">
        <f t="shared" si="39"/>
        <v/>
      </c>
    </row>
    <row r="500" spans="1:13" x14ac:dyDescent="0.15">
      <c r="A500" s="163" t="s">
        <v>210</v>
      </c>
      <c r="B500" s="163">
        <v>42290.712427199076</v>
      </c>
      <c r="C500" s="164" t="s">
        <v>917</v>
      </c>
      <c r="D500" s="164" t="s">
        <v>13</v>
      </c>
      <c r="E500" s="165">
        <v>20</v>
      </c>
      <c r="F500" s="166">
        <v>0</v>
      </c>
      <c r="G500" s="227">
        <f>IF($B$2,IF(ROWS(B$6:$B500) = 1,$B500-Start_Date,$B500-$B499),"")</f>
        <v>1.5543252317002043E-2</v>
      </c>
      <c r="H500" s="29">
        <f>IF($B$2,IF(ROWS(B$6:$B500) = 1,IF(COUNTIFS(R_Schedule_Times,"&lt;"&amp;B500),INDEX(R_Schedule_Amounts,MATCH(B500,R_Schedule_Times,1)),Starting_Cash),IF(COUNTIFS(R_Schedule_Times,"&gt;"&amp;B499,R_Schedule_Times,"&lt;"&amp;B500),INDEX(R_Schedule_Amounts,MATCH(B500,R_Schedule_Times,1)),K499)),"")</f>
        <v>3680</v>
      </c>
      <c r="I500" s="30">
        <f t="shared" si="35"/>
        <v>20</v>
      </c>
      <c r="J500" s="31">
        <f t="shared" si="36"/>
        <v>0</v>
      </c>
      <c r="K500" s="29">
        <f t="shared" si="37"/>
        <v>3660</v>
      </c>
      <c r="L500" s="31" t="str">
        <f t="shared" si="38"/>
        <v/>
      </c>
      <c r="M500" s="31" t="str">
        <f t="shared" si="39"/>
        <v/>
      </c>
    </row>
    <row r="501" spans="1:13" x14ac:dyDescent="0.15">
      <c r="A501" s="163" t="s">
        <v>210</v>
      </c>
      <c r="B501" s="163">
        <v>42290.720295891202</v>
      </c>
      <c r="C501" s="164" t="s">
        <v>918</v>
      </c>
      <c r="D501" s="164" t="s">
        <v>13</v>
      </c>
      <c r="E501" s="165">
        <v>100</v>
      </c>
      <c r="F501" s="166">
        <v>0</v>
      </c>
      <c r="G501" s="227">
        <f>IF($B$2,IF(ROWS(B$6:$B501) = 1,$B501-Start_Date,$B501-$B500),"")</f>
        <v>7.8686921260668896E-3</v>
      </c>
      <c r="H501" s="29">
        <f>IF($B$2,IF(ROWS(B$6:$B501) = 1,IF(COUNTIFS(R_Schedule_Times,"&lt;"&amp;B501),INDEX(R_Schedule_Amounts,MATCH(B501,R_Schedule_Times,1)),Starting_Cash),IF(COUNTIFS(R_Schedule_Times,"&gt;"&amp;B500,R_Schedule_Times,"&lt;"&amp;B501),INDEX(R_Schedule_Amounts,MATCH(B501,R_Schedule_Times,1)),K500)),"")</f>
        <v>3660</v>
      </c>
      <c r="I501" s="30">
        <f t="shared" si="35"/>
        <v>100</v>
      </c>
      <c r="J501" s="31">
        <f t="shared" si="36"/>
        <v>0</v>
      </c>
      <c r="K501" s="29">
        <f t="shared" si="37"/>
        <v>3560</v>
      </c>
      <c r="L501" s="31" t="str">
        <f t="shared" si="38"/>
        <v/>
      </c>
      <c r="M501" s="31" t="str">
        <f t="shared" si="39"/>
        <v/>
      </c>
    </row>
    <row r="502" spans="1:13" x14ac:dyDescent="0.15">
      <c r="A502" s="163" t="s">
        <v>210</v>
      </c>
      <c r="B502" s="163">
        <v>42290.722356319442</v>
      </c>
      <c r="C502" s="164" t="s">
        <v>919</v>
      </c>
      <c r="D502" s="164" t="s">
        <v>13</v>
      </c>
      <c r="E502" s="165">
        <v>120</v>
      </c>
      <c r="F502" s="166">
        <v>0</v>
      </c>
      <c r="G502" s="227">
        <f>IF($B$2,IF(ROWS(B$6:$B502) = 1,$B502-Start_Date,$B502-$B501),"")</f>
        <v>2.0604282399290241E-3</v>
      </c>
      <c r="H502" s="29">
        <f>IF($B$2,IF(ROWS(B$6:$B502) = 1,IF(COUNTIFS(R_Schedule_Times,"&lt;"&amp;B502),INDEX(R_Schedule_Amounts,MATCH(B502,R_Schedule_Times,1)),Starting_Cash),IF(COUNTIFS(R_Schedule_Times,"&gt;"&amp;B501,R_Schedule_Times,"&lt;"&amp;B502),INDEX(R_Schedule_Amounts,MATCH(B502,R_Schedule_Times,1)),K501)),"")</f>
        <v>3560</v>
      </c>
      <c r="I502" s="30">
        <f t="shared" si="35"/>
        <v>120</v>
      </c>
      <c r="J502" s="31">
        <f t="shared" si="36"/>
        <v>0</v>
      </c>
      <c r="K502" s="29">
        <f t="shared" si="37"/>
        <v>3440</v>
      </c>
      <c r="L502" s="31" t="str">
        <f t="shared" si="38"/>
        <v/>
      </c>
      <c r="M502" s="31" t="str">
        <f t="shared" si="39"/>
        <v/>
      </c>
    </row>
    <row r="503" spans="1:13" x14ac:dyDescent="0.15">
      <c r="A503" s="163" t="s">
        <v>210</v>
      </c>
      <c r="B503" s="163">
        <v>42290.737565370371</v>
      </c>
      <c r="C503" s="164" t="s">
        <v>341</v>
      </c>
      <c r="D503" s="164" t="s">
        <v>13</v>
      </c>
      <c r="E503" s="165">
        <v>300</v>
      </c>
      <c r="F503" s="166">
        <v>0</v>
      </c>
      <c r="G503" s="227">
        <f>IF($B$2,IF(ROWS(B$6:$B503) = 1,$B503-Start_Date,$B503-$B502),"")</f>
        <v>1.520905092911562E-2</v>
      </c>
      <c r="H503" s="29">
        <f>IF($B$2,IF(ROWS(B$6:$B503) = 1,IF(COUNTIFS(R_Schedule_Times,"&lt;"&amp;B503),INDEX(R_Schedule_Amounts,MATCH(B503,R_Schedule_Times,1)),Starting_Cash),IF(COUNTIFS(R_Schedule_Times,"&gt;"&amp;B502,R_Schedule_Times,"&lt;"&amp;B503),INDEX(R_Schedule_Amounts,MATCH(B503,R_Schedule_Times,1)),K502)),"")</f>
        <v>3440</v>
      </c>
      <c r="I503" s="30">
        <f t="shared" si="35"/>
        <v>300</v>
      </c>
      <c r="J503" s="31">
        <f t="shared" si="36"/>
        <v>0</v>
      </c>
      <c r="K503" s="29">
        <f t="shared" si="37"/>
        <v>3140</v>
      </c>
      <c r="L503" s="31" t="str">
        <f t="shared" si="38"/>
        <v/>
      </c>
      <c r="M503" s="31" t="str">
        <f t="shared" si="39"/>
        <v/>
      </c>
    </row>
    <row r="504" spans="1:13" x14ac:dyDescent="0.15">
      <c r="A504" s="163" t="s">
        <v>210</v>
      </c>
      <c r="B504" s="163">
        <v>42290.821753946759</v>
      </c>
      <c r="C504" s="164" t="s">
        <v>14</v>
      </c>
      <c r="D504" s="164" t="s">
        <v>13</v>
      </c>
      <c r="E504" s="165">
        <v>80</v>
      </c>
      <c r="F504" s="166">
        <v>3.5</v>
      </c>
      <c r="G504" s="227">
        <f>IF($B$2,IF(ROWS(B$6:$B504) = 1,$B504-Start_Date,$B504-$B503),"")</f>
        <v>8.4188576387532521E-2</v>
      </c>
      <c r="H504" s="29">
        <f>IF($B$2,IF(ROWS(B$6:$B504) = 1,IF(COUNTIFS(R_Schedule_Times,"&lt;"&amp;B504),INDEX(R_Schedule_Amounts,MATCH(B504,R_Schedule_Times,1)),Starting_Cash),IF(COUNTIFS(R_Schedule_Times,"&gt;"&amp;B503,R_Schedule_Times,"&lt;"&amp;B504),INDEX(R_Schedule_Amounts,MATCH(B504,R_Schedule_Times,1)),K503)),"")</f>
        <v>3140</v>
      </c>
      <c r="I504" s="30">
        <f t="shared" si="35"/>
        <v>80</v>
      </c>
      <c r="J504" s="31">
        <f t="shared" si="36"/>
        <v>3.5</v>
      </c>
      <c r="K504" s="29">
        <f t="shared" si="37"/>
        <v>3060</v>
      </c>
      <c r="L504" s="31" t="str">
        <f t="shared" si="38"/>
        <v/>
      </c>
      <c r="M504" s="31" t="str">
        <f t="shared" si="39"/>
        <v/>
      </c>
    </row>
    <row r="505" spans="1:13" x14ac:dyDescent="0.15">
      <c r="A505" s="163" t="s">
        <v>210</v>
      </c>
      <c r="B505" s="163">
        <v>42290.906831550928</v>
      </c>
      <c r="C505" s="164" t="s">
        <v>920</v>
      </c>
      <c r="D505" s="164" t="s">
        <v>13</v>
      </c>
      <c r="E505" s="165">
        <v>200</v>
      </c>
      <c r="F505" s="166">
        <v>0</v>
      </c>
      <c r="G505" s="227">
        <f>IF($B$2,IF(ROWS(B$6:$B505) = 1,$B505-Start_Date,$B505-$B504),"")</f>
        <v>8.5077604169782717E-2</v>
      </c>
      <c r="H505" s="29">
        <f>IF($B$2,IF(ROWS(B$6:$B505) = 1,IF(COUNTIFS(R_Schedule_Times,"&lt;"&amp;B505),INDEX(R_Schedule_Amounts,MATCH(B505,R_Schedule_Times,1)),Starting_Cash),IF(COUNTIFS(R_Schedule_Times,"&gt;"&amp;B504,R_Schedule_Times,"&lt;"&amp;B505),INDEX(R_Schedule_Amounts,MATCH(B505,R_Schedule_Times,1)),K504)),"")</f>
        <v>3060</v>
      </c>
      <c r="I505" s="30">
        <f t="shared" si="35"/>
        <v>200</v>
      </c>
      <c r="J505" s="31">
        <f t="shared" si="36"/>
        <v>0</v>
      </c>
      <c r="K505" s="29">
        <f t="shared" si="37"/>
        <v>2860</v>
      </c>
      <c r="L505" s="31" t="str">
        <f t="shared" si="38"/>
        <v/>
      </c>
      <c r="M505" s="31" t="str">
        <f t="shared" si="39"/>
        <v/>
      </c>
    </row>
    <row r="506" spans="1:13" x14ac:dyDescent="0.15">
      <c r="A506" s="163" t="s">
        <v>210</v>
      </c>
      <c r="B506" s="163">
        <v>42290.968607662035</v>
      </c>
      <c r="C506" s="164" t="s">
        <v>921</v>
      </c>
      <c r="D506" s="164" t="s">
        <v>13</v>
      </c>
      <c r="E506" s="165">
        <v>500</v>
      </c>
      <c r="F506" s="166">
        <v>0</v>
      </c>
      <c r="G506" s="227">
        <f>IF($B$2,IF(ROWS(B$6:$B506) = 1,$B506-Start_Date,$B506-$B505),"")</f>
        <v>6.177611110615544E-2</v>
      </c>
      <c r="H506" s="29">
        <f>IF($B$2,IF(ROWS(B$6:$B506) = 1,IF(COUNTIFS(R_Schedule_Times,"&lt;"&amp;B506),INDEX(R_Schedule_Amounts,MATCH(B506,R_Schedule_Times,1)),Starting_Cash),IF(COUNTIFS(R_Schedule_Times,"&gt;"&amp;B505,R_Schedule_Times,"&lt;"&amp;B506),INDEX(R_Schedule_Amounts,MATCH(B506,R_Schedule_Times,1)),K505)),"")</f>
        <v>2860</v>
      </c>
      <c r="I506" s="30">
        <f t="shared" si="35"/>
        <v>500</v>
      </c>
      <c r="J506" s="31">
        <f t="shared" si="36"/>
        <v>0</v>
      </c>
      <c r="K506" s="29">
        <f t="shared" si="37"/>
        <v>2360</v>
      </c>
      <c r="L506" s="31" t="str">
        <f t="shared" si="38"/>
        <v/>
      </c>
      <c r="M506" s="31" t="str">
        <f t="shared" si="39"/>
        <v/>
      </c>
    </row>
    <row r="507" spans="1:13" x14ac:dyDescent="0.15">
      <c r="A507" s="163" t="s">
        <v>210</v>
      </c>
      <c r="B507" s="163">
        <v>42290.997780578706</v>
      </c>
      <c r="C507" s="164" t="s">
        <v>850</v>
      </c>
      <c r="D507" s="164" t="s">
        <v>13</v>
      </c>
      <c r="E507" s="165">
        <v>60</v>
      </c>
      <c r="F507" s="166">
        <v>0</v>
      </c>
      <c r="G507" s="227">
        <f>IF($B$2,IF(ROWS(B$6:$B507) = 1,$B507-Start_Date,$B507-$B506),"")</f>
        <v>2.9172916671086568E-2</v>
      </c>
      <c r="H507" s="29">
        <f>IF($B$2,IF(ROWS(B$6:$B507) = 1,IF(COUNTIFS(R_Schedule_Times,"&lt;"&amp;B507),INDEX(R_Schedule_Amounts,MATCH(B507,R_Schedule_Times,1)),Starting_Cash),IF(COUNTIFS(R_Schedule_Times,"&gt;"&amp;B506,R_Schedule_Times,"&lt;"&amp;B507),INDEX(R_Schedule_Amounts,MATCH(B507,R_Schedule_Times,1)),K506)),"")</f>
        <v>2360</v>
      </c>
      <c r="I507" s="30">
        <f t="shared" si="35"/>
        <v>60</v>
      </c>
      <c r="J507" s="31">
        <f t="shared" si="36"/>
        <v>0</v>
      </c>
      <c r="K507" s="29">
        <f t="shared" si="37"/>
        <v>2300</v>
      </c>
      <c r="L507" s="31" t="str">
        <f t="shared" si="38"/>
        <v/>
      </c>
      <c r="M507" s="31" t="str">
        <f t="shared" si="39"/>
        <v/>
      </c>
    </row>
    <row r="508" spans="1:13" x14ac:dyDescent="0.15">
      <c r="A508" s="163" t="s">
        <v>210</v>
      </c>
      <c r="B508" s="163">
        <v>42291.249388425924</v>
      </c>
      <c r="C508" s="164" t="s">
        <v>14</v>
      </c>
      <c r="D508" s="164" t="s">
        <v>13</v>
      </c>
      <c r="E508" s="165">
        <v>100</v>
      </c>
      <c r="F508" s="166">
        <v>3.5</v>
      </c>
      <c r="G508" s="227">
        <f>IF($B$2,IF(ROWS(B$6:$B508) = 1,$B508-Start_Date,$B508-$B507),"")</f>
        <v>0.25160784721811069</v>
      </c>
      <c r="H508" s="29">
        <f>IF($B$2,IF(ROWS(B$6:$B508) = 1,IF(COUNTIFS(R_Schedule_Times,"&lt;"&amp;B508),INDEX(R_Schedule_Amounts,MATCH(B508,R_Schedule_Times,1)),Starting_Cash),IF(COUNTIFS(R_Schedule_Times,"&gt;"&amp;B507,R_Schedule_Times,"&lt;"&amp;B508),INDEX(R_Schedule_Amounts,MATCH(B508,R_Schedule_Times,1)),K507)),"")</f>
        <v>2300</v>
      </c>
      <c r="I508" s="30">
        <f t="shared" si="35"/>
        <v>100</v>
      </c>
      <c r="J508" s="31">
        <f t="shared" si="36"/>
        <v>3.5</v>
      </c>
      <c r="K508" s="29">
        <f t="shared" si="37"/>
        <v>2200</v>
      </c>
      <c r="L508" s="31" t="str">
        <f t="shared" si="38"/>
        <v/>
      </c>
      <c r="M508" s="31" t="str">
        <f t="shared" si="39"/>
        <v/>
      </c>
    </row>
    <row r="509" spans="1:13" x14ac:dyDescent="0.15">
      <c r="A509" s="163" t="s">
        <v>210</v>
      </c>
      <c r="B509" s="163">
        <v>42291.409476782406</v>
      </c>
      <c r="C509" s="164" t="s">
        <v>922</v>
      </c>
      <c r="D509" s="164" t="s">
        <v>13</v>
      </c>
      <c r="E509" s="165">
        <v>40</v>
      </c>
      <c r="F509" s="166">
        <v>0</v>
      </c>
      <c r="G509" s="227">
        <f>IF($B$2,IF(ROWS(B$6:$B509) = 1,$B509-Start_Date,$B509-$B508),"")</f>
        <v>0.16008835648244713</v>
      </c>
      <c r="H509" s="29">
        <f>IF($B$2,IF(ROWS(B$6:$B509) = 1,IF(COUNTIFS(R_Schedule_Times,"&lt;"&amp;B509),INDEX(R_Schedule_Amounts,MATCH(B509,R_Schedule_Times,1)),Starting_Cash),IF(COUNTIFS(R_Schedule_Times,"&gt;"&amp;B508,R_Schedule_Times,"&lt;"&amp;B509),INDEX(R_Schedule_Amounts,MATCH(B509,R_Schedule_Times,1)),K508)),"")</f>
        <v>2200</v>
      </c>
      <c r="I509" s="30">
        <f t="shared" si="35"/>
        <v>40</v>
      </c>
      <c r="J509" s="31">
        <f t="shared" si="36"/>
        <v>0</v>
      </c>
      <c r="K509" s="29">
        <f t="shared" si="37"/>
        <v>2160</v>
      </c>
      <c r="L509" s="31" t="str">
        <f t="shared" si="38"/>
        <v/>
      </c>
      <c r="M509" s="31" t="str">
        <f t="shared" si="39"/>
        <v/>
      </c>
    </row>
    <row r="510" spans="1:13" x14ac:dyDescent="0.15">
      <c r="A510" s="163" t="s">
        <v>210</v>
      </c>
      <c r="B510" s="163">
        <v>42291.429267662039</v>
      </c>
      <c r="C510" s="164" t="s">
        <v>923</v>
      </c>
      <c r="D510" s="164" t="s">
        <v>13</v>
      </c>
      <c r="E510" s="165">
        <v>400</v>
      </c>
      <c r="F510" s="166">
        <v>0</v>
      </c>
      <c r="G510" s="227">
        <f>IF($B$2,IF(ROWS(B$6:$B510) = 1,$B510-Start_Date,$B510-$B509),"")</f>
        <v>1.979087963263737E-2</v>
      </c>
      <c r="H510" s="29">
        <f>IF($B$2,IF(ROWS(B$6:$B510) = 1,IF(COUNTIFS(R_Schedule_Times,"&lt;"&amp;B510),INDEX(R_Schedule_Amounts,MATCH(B510,R_Schedule_Times,1)),Starting_Cash),IF(COUNTIFS(R_Schedule_Times,"&gt;"&amp;B509,R_Schedule_Times,"&lt;"&amp;B510),INDEX(R_Schedule_Amounts,MATCH(B510,R_Schedule_Times,1)),K509)),"")</f>
        <v>2160</v>
      </c>
      <c r="I510" s="30">
        <f t="shared" si="35"/>
        <v>400</v>
      </c>
      <c r="J510" s="31">
        <f t="shared" si="36"/>
        <v>0</v>
      </c>
      <c r="K510" s="29">
        <f t="shared" si="37"/>
        <v>1760</v>
      </c>
      <c r="L510" s="31" t="str">
        <f t="shared" si="38"/>
        <v/>
      </c>
      <c r="M510" s="31" t="str">
        <f t="shared" si="39"/>
        <v/>
      </c>
    </row>
    <row r="511" spans="1:13" x14ac:dyDescent="0.15">
      <c r="A511" s="163" t="s">
        <v>210</v>
      </c>
      <c r="B511" s="163">
        <v>42291.464488784724</v>
      </c>
      <c r="C511" s="164" t="s">
        <v>924</v>
      </c>
      <c r="D511" s="164" t="s">
        <v>13</v>
      </c>
      <c r="E511" s="165">
        <v>200</v>
      </c>
      <c r="F511" s="166">
        <v>0</v>
      </c>
      <c r="G511" s="227">
        <f>IF($B$2,IF(ROWS(B$6:$B511) = 1,$B511-Start_Date,$B511-$B510),"")</f>
        <v>3.5221122685470618E-2</v>
      </c>
      <c r="H511" s="29">
        <f>IF($B$2,IF(ROWS(B$6:$B511) = 1,IF(COUNTIFS(R_Schedule_Times,"&lt;"&amp;B511),INDEX(R_Schedule_Amounts,MATCH(B511,R_Schedule_Times,1)),Starting_Cash),IF(COUNTIFS(R_Schedule_Times,"&gt;"&amp;B510,R_Schedule_Times,"&lt;"&amp;B511),INDEX(R_Schedule_Amounts,MATCH(B511,R_Schedule_Times,1)),K510)),"")</f>
        <v>1760</v>
      </c>
      <c r="I511" s="30">
        <f t="shared" si="35"/>
        <v>200</v>
      </c>
      <c r="J511" s="31">
        <f t="shared" si="36"/>
        <v>0</v>
      </c>
      <c r="K511" s="29">
        <f t="shared" si="37"/>
        <v>1560</v>
      </c>
      <c r="L511" s="31" t="str">
        <f t="shared" si="38"/>
        <v/>
      </c>
      <c r="M511" s="31" t="str">
        <f t="shared" si="39"/>
        <v/>
      </c>
    </row>
    <row r="512" spans="1:13" x14ac:dyDescent="0.15">
      <c r="A512" s="163" t="s">
        <v>210</v>
      </c>
      <c r="B512" s="163">
        <v>42291.478716493053</v>
      </c>
      <c r="C512" s="164" t="s">
        <v>14</v>
      </c>
      <c r="D512" s="164" t="s">
        <v>13</v>
      </c>
      <c r="E512" s="165">
        <v>100</v>
      </c>
      <c r="F512" s="166">
        <v>3.5</v>
      </c>
      <c r="G512" s="227">
        <f>IF($B$2,IF(ROWS(B$6:$B512) = 1,$B512-Start_Date,$B512-$B511),"")</f>
        <v>1.4227708328689914E-2</v>
      </c>
      <c r="H512" s="29">
        <f>IF($B$2,IF(ROWS(B$6:$B512) = 1,IF(COUNTIFS(R_Schedule_Times,"&lt;"&amp;B512),INDEX(R_Schedule_Amounts,MATCH(B512,R_Schedule_Times,1)),Starting_Cash),IF(COUNTIFS(R_Schedule_Times,"&gt;"&amp;B511,R_Schedule_Times,"&lt;"&amp;B512),INDEX(R_Schedule_Amounts,MATCH(B512,R_Schedule_Times,1)),K511)),"")</f>
        <v>1560</v>
      </c>
      <c r="I512" s="30">
        <f t="shared" si="35"/>
        <v>100</v>
      </c>
      <c r="J512" s="31">
        <f t="shared" si="36"/>
        <v>3.5</v>
      </c>
      <c r="K512" s="29">
        <f t="shared" si="37"/>
        <v>1460</v>
      </c>
      <c r="L512" s="31" t="str">
        <f t="shared" si="38"/>
        <v/>
      </c>
      <c r="M512" s="31" t="str">
        <f t="shared" si="39"/>
        <v/>
      </c>
    </row>
    <row r="513" spans="1:13" x14ac:dyDescent="0.15">
      <c r="A513" s="163" t="s">
        <v>210</v>
      </c>
      <c r="B513" s="163">
        <v>42291.507185532406</v>
      </c>
      <c r="C513" s="164" t="s">
        <v>925</v>
      </c>
      <c r="D513" s="164" t="s">
        <v>13</v>
      </c>
      <c r="E513" s="165">
        <v>180</v>
      </c>
      <c r="F513" s="166">
        <v>0</v>
      </c>
      <c r="G513" s="227">
        <f>IF($B$2,IF(ROWS(B$6:$B513) = 1,$B513-Start_Date,$B513-$B512),"")</f>
        <v>2.846903935278533E-2</v>
      </c>
      <c r="H513" s="29">
        <f>IF($B$2,IF(ROWS(B$6:$B513) = 1,IF(COUNTIFS(R_Schedule_Times,"&lt;"&amp;B513),INDEX(R_Schedule_Amounts,MATCH(B513,R_Schedule_Times,1)),Starting_Cash),IF(COUNTIFS(R_Schedule_Times,"&gt;"&amp;B512,R_Schedule_Times,"&lt;"&amp;B513),INDEX(R_Schedule_Amounts,MATCH(B513,R_Schedule_Times,1)),K512)),"")</f>
        <v>1460</v>
      </c>
      <c r="I513" s="30">
        <f t="shared" si="35"/>
        <v>180</v>
      </c>
      <c r="J513" s="31">
        <f t="shared" si="36"/>
        <v>0</v>
      </c>
      <c r="K513" s="29">
        <f t="shared" si="37"/>
        <v>1280</v>
      </c>
      <c r="L513" s="31" t="str">
        <f t="shared" si="38"/>
        <v/>
      </c>
      <c r="M513" s="31" t="str">
        <f t="shared" si="39"/>
        <v/>
      </c>
    </row>
    <row r="514" spans="1:13" x14ac:dyDescent="0.15">
      <c r="A514" s="163" t="s">
        <v>210</v>
      </c>
      <c r="B514" s="163">
        <v>42291.510352164354</v>
      </c>
      <c r="C514" s="164" t="s">
        <v>926</v>
      </c>
      <c r="D514" s="164" t="s">
        <v>13</v>
      </c>
      <c r="E514" s="165">
        <v>60</v>
      </c>
      <c r="F514" s="166">
        <v>0</v>
      </c>
      <c r="G514" s="227">
        <f>IF($B$2,IF(ROWS(B$6:$B514) = 1,$B514-Start_Date,$B514-$B513),"")</f>
        <v>3.1666319482610561E-3</v>
      </c>
      <c r="H514" s="29">
        <f>IF($B$2,IF(ROWS(B$6:$B514) = 1,IF(COUNTIFS(R_Schedule_Times,"&lt;"&amp;B514),INDEX(R_Schedule_Amounts,MATCH(B514,R_Schedule_Times,1)),Starting_Cash),IF(COUNTIFS(R_Schedule_Times,"&gt;"&amp;B513,R_Schedule_Times,"&lt;"&amp;B514),INDEX(R_Schedule_Amounts,MATCH(B514,R_Schedule_Times,1)),K513)),"")</f>
        <v>1280</v>
      </c>
      <c r="I514" s="30">
        <f t="shared" si="35"/>
        <v>60</v>
      </c>
      <c r="J514" s="31">
        <f t="shared" si="36"/>
        <v>0</v>
      </c>
      <c r="K514" s="29">
        <f t="shared" si="37"/>
        <v>1220</v>
      </c>
      <c r="L514" s="31" t="str">
        <f t="shared" si="38"/>
        <v/>
      </c>
      <c r="M514" s="31" t="str">
        <f t="shared" si="39"/>
        <v/>
      </c>
    </row>
    <row r="515" spans="1:13" x14ac:dyDescent="0.15">
      <c r="A515" s="163" t="s">
        <v>210</v>
      </c>
      <c r="B515" s="163">
        <v>42291.530034675925</v>
      </c>
      <c r="C515" s="164" t="s">
        <v>14</v>
      </c>
      <c r="D515" s="164" t="s">
        <v>15</v>
      </c>
      <c r="E515" s="165">
        <v>400</v>
      </c>
      <c r="F515" s="166">
        <v>14.5</v>
      </c>
      <c r="G515" s="227">
        <f>IF($B$2,IF(ROWS(B$6:$B515) = 1,$B515-Start_Date,$B515-$B514),"")</f>
        <v>1.9682511570863426E-2</v>
      </c>
      <c r="H515" s="29">
        <f>IF($B$2,IF(ROWS(B$6:$B515) = 1,IF(COUNTIFS(R_Schedule_Times,"&lt;"&amp;B515),INDEX(R_Schedule_Amounts,MATCH(B515,R_Schedule_Times,1)),Starting_Cash),IF(COUNTIFS(R_Schedule_Times,"&gt;"&amp;B514,R_Schedule_Times,"&lt;"&amp;B515),INDEX(R_Schedule_Amounts,MATCH(B515,R_Schedule_Times,1)),K514)),"")</f>
        <v>1220</v>
      </c>
      <c r="I515" s="30">
        <f t="shared" si="35"/>
        <v>400</v>
      </c>
      <c r="J515" s="31">
        <f t="shared" si="36"/>
        <v>14.5</v>
      </c>
      <c r="K515" s="29">
        <f t="shared" si="37"/>
        <v>820</v>
      </c>
      <c r="L515" s="31" t="str">
        <f t="shared" si="38"/>
        <v/>
      </c>
      <c r="M515" s="31" t="str">
        <f t="shared" si="39"/>
        <v/>
      </c>
    </row>
    <row r="516" spans="1:13" x14ac:dyDescent="0.15">
      <c r="A516" s="163" t="s">
        <v>210</v>
      </c>
      <c r="B516" s="163">
        <v>42291.574169282409</v>
      </c>
      <c r="C516" s="164" t="s">
        <v>14</v>
      </c>
      <c r="D516" s="164" t="s">
        <v>13</v>
      </c>
      <c r="E516" s="165">
        <v>100</v>
      </c>
      <c r="F516" s="166">
        <v>3.5</v>
      </c>
      <c r="G516" s="227">
        <f>IF($B$2,IF(ROWS(B$6:$B516) = 1,$B516-Start_Date,$B516-$B515),"")</f>
        <v>4.413460648356704E-2</v>
      </c>
      <c r="H516" s="29">
        <f>IF($B$2,IF(ROWS(B$6:$B516) = 1,IF(COUNTIFS(R_Schedule_Times,"&lt;"&amp;B516),INDEX(R_Schedule_Amounts,MATCH(B516,R_Schedule_Times,1)),Starting_Cash),IF(COUNTIFS(R_Schedule_Times,"&gt;"&amp;B515,R_Schedule_Times,"&lt;"&amp;B516),INDEX(R_Schedule_Amounts,MATCH(B516,R_Schedule_Times,1)),K515)),"")</f>
        <v>820</v>
      </c>
      <c r="I516" s="30">
        <f t="shared" si="35"/>
        <v>100</v>
      </c>
      <c r="J516" s="31">
        <f t="shared" si="36"/>
        <v>3.5</v>
      </c>
      <c r="K516" s="29">
        <f t="shared" si="37"/>
        <v>720</v>
      </c>
      <c r="L516" s="31" t="str">
        <f t="shared" si="38"/>
        <v/>
      </c>
      <c r="M516" s="31" t="str">
        <f t="shared" si="39"/>
        <v/>
      </c>
    </row>
    <row r="517" spans="1:13" x14ac:dyDescent="0.15">
      <c r="A517" s="163" t="s">
        <v>210</v>
      </c>
      <c r="B517" s="163">
        <v>42291.601758599536</v>
      </c>
      <c r="C517" s="164" t="s">
        <v>927</v>
      </c>
      <c r="D517" s="164" t="s">
        <v>13</v>
      </c>
      <c r="E517" s="165">
        <v>80</v>
      </c>
      <c r="F517" s="166">
        <v>0</v>
      </c>
      <c r="G517" s="227">
        <f>IF($B$2,IF(ROWS(B$6:$B517) = 1,$B517-Start_Date,$B517-$B516),"")</f>
        <v>2.7589317127421964E-2</v>
      </c>
      <c r="H517" s="29">
        <f>IF($B$2,IF(ROWS(B$6:$B517) = 1,IF(COUNTIFS(R_Schedule_Times,"&lt;"&amp;B517),INDEX(R_Schedule_Amounts,MATCH(B517,R_Schedule_Times,1)),Starting_Cash),IF(COUNTIFS(R_Schedule_Times,"&gt;"&amp;B516,R_Schedule_Times,"&lt;"&amp;B517),INDEX(R_Schedule_Amounts,MATCH(B517,R_Schedule_Times,1)),K516)),"")</f>
        <v>720</v>
      </c>
      <c r="I517" s="30">
        <f t="shared" si="35"/>
        <v>80</v>
      </c>
      <c r="J517" s="31">
        <f t="shared" si="36"/>
        <v>0</v>
      </c>
      <c r="K517" s="29">
        <f t="shared" si="37"/>
        <v>640</v>
      </c>
      <c r="L517" s="31" t="str">
        <f t="shared" si="38"/>
        <v/>
      </c>
      <c r="M517" s="31" t="str">
        <f t="shared" si="39"/>
        <v/>
      </c>
    </row>
    <row r="518" spans="1:13" x14ac:dyDescent="0.15">
      <c r="A518" s="163" t="s">
        <v>210</v>
      </c>
      <c r="B518" s="163">
        <v>42291.613048449071</v>
      </c>
      <c r="C518" s="164" t="s">
        <v>342</v>
      </c>
      <c r="D518" s="164" t="s">
        <v>13</v>
      </c>
      <c r="E518" s="165">
        <v>40</v>
      </c>
      <c r="F518" s="166">
        <v>0</v>
      </c>
      <c r="G518" s="227">
        <f>IF($B$2,IF(ROWS(B$6:$B518) = 1,$B518-Start_Date,$B518-$B517),"")</f>
        <v>1.1289849535387475E-2</v>
      </c>
      <c r="H518" s="29">
        <f>IF($B$2,IF(ROWS(B$6:$B518) = 1,IF(COUNTIFS(R_Schedule_Times,"&lt;"&amp;B518),INDEX(R_Schedule_Amounts,MATCH(B518,R_Schedule_Times,1)),Starting_Cash),IF(COUNTIFS(R_Schedule_Times,"&gt;"&amp;B517,R_Schedule_Times,"&lt;"&amp;B518),INDEX(R_Schedule_Amounts,MATCH(B518,R_Schedule_Times,1)),K517)),"")</f>
        <v>640</v>
      </c>
      <c r="I518" s="30">
        <f t="shared" si="35"/>
        <v>40</v>
      </c>
      <c r="J518" s="31">
        <f t="shared" si="36"/>
        <v>0</v>
      </c>
      <c r="K518" s="29">
        <f t="shared" si="37"/>
        <v>600</v>
      </c>
      <c r="L518" s="31" t="str">
        <f t="shared" si="38"/>
        <v/>
      </c>
      <c r="M518" s="31" t="str">
        <f t="shared" si="39"/>
        <v/>
      </c>
    </row>
    <row r="519" spans="1:13" x14ac:dyDescent="0.15">
      <c r="A519" s="163" t="s">
        <v>210</v>
      </c>
      <c r="B519" s="163">
        <v>42291.644200821756</v>
      </c>
      <c r="C519" s="164" t="s">
        <v>928</v>
      </c>
      <c r="D519" s="164" t="s">
        <v>13</v>
      </c>
      <c r="E519" s="165">
        <v>20</v>
      </c>
      <c r="F519" s="166">
        <v>0</v>
      </c>
      <c r="G519" s="227">
        <f>IF($B$2,IF(ROWS(B$6:$B519) = 1,$B519-Start_Date,$B519-$B518),"")</f>
        <v>3.115237268502824E-2</v>
      </c>
      <c r="H519" s="29">
        <f>IF($B$2,IF(ROWS(B$6:$B519) = 1,IF(COUNTIFS(R_Schedule_Times,"&lt;"&amp;B519),INDEX(R_Schedule_Amounts,MATCH(B519,R_Schedule_Times,1)),Starting_Cash),IF(COUNTIFS(R_Schedule_Times,"&gt;"&amp;B518,R_Schedule_Times,"&lt;"&amp;B519),INDEX(R_Schedule_Amounts,MATCH(B519,R_Schedule_Times,1)),K518)),"")</f>
        <v>600</v>
      </c>
      <c r="I519" s="30">
        <f t="shared" ref="I519:I582" si="40">IF($B$2,IF(H519&gt;=E519,E519,0),"")</f>
        <v>20</v>
      </c>
      <c r="J519" s="31">
        <f t="shared" ref="J519:J582" si="41">IF($B$2,IF(H519&gt;=E519,F519,0),"")</f>
        <v>0</v>
      </c>
      <c r="K519" s="29">
        <f t="shared" ref="K519:K582" si="42">IF($B$2,ABS(I519-H519),"")</f>
        <v>580</v>
      </c>
      <c r="L519" s="31" t="str">
        <f t="shared" ref="L519:L582" si="43">IF($B$2,IF(H519&lt;E519,"YES",""),"")</f>
        <v/>
      </c>
      <c r="M519" s="31" t="str">
        <f t="shared" ref="M519:M582" si="44">IF($B$2,IF(L519="YES",F519,""),"")</f>
        <v/>
      </c>
    </row>
    <row r="520" spans="1:13" x14ac:dyDescent="0.15">
      <c r="A520" s="163" t="s">
        <v>210</v>
      </c>
      <c r="B520" s="163">
        <v>42291.670752523147</v>
      </c>
      <c r="C520" s="164" t="s">
        <v>227</v>
      </c>
      <c r="D520" s="164" t="s">
        <v>13</v>
      </c>
      <c r="E520" s="165">
        <v>20</v>
      </c>
      <c r="F520" s="166">
        <v>0</v>
      </c>
      <c r="G520" s="227">
        <f>IF($B$2,IF(ROWS(B$6:$B520) = 1,$B520-Start_Date,$B520-$B519),"")</f>
        <v>2.6551701390417293E-2</v>
      </c>
      <c r="H520" s="29">
        <f>IF($B$2,IF(ROWS(B$6:$B520) = 1,IF(COUNTIFS(R_Schedule_Times,"&lt;"&amp;B520),INDEX(R_Schedule_Amounts,MATCH(B520,R_Schedule_Times,1)),Starting_Cash),IF(COUNTIFS(R_Schedule_Times,"&gt;"&amp;B519,R_Schedule_Times,"&lt;"&amp;B520),INDEX(R_Schedule_Amounts,MATCH(B520,R_Schedule_Times,1)),K519)),"")</f>
        <v>580</v>
      </c>
      <c r="I520" s="30">
        <f t="shared" si="40"/>
        <v>20</v>
      </c>
      <c r="J520" s="31">
        <f t="shared" si="41"/>
        <v>0</v>
      </c>
      <c r="K520" s="29">
        <f t="shared" si="42"/>
        <v>560</v>
      </c>
      <c r="L520" s="31" t="str">
        <f t="shared" si="43"/>
        <v/>
      </c>
      <c r="M520" s="31" t="str">
        <f t="shared" si="44"/>
        <v/>
      </c>
    </row>
    <row r="521" spans="1:13" x14ac:dyDescent="0.15">
      <c r="A521" s="163" t="s">
        <v>210</v>
      </c>
      <c r="B521" s="163">
        <v>42291.671898854169</v>
      </c>
      <c r="C521" s="164" t="s">
        <v>929</v>
      </c>
      <c r="D521" s="164" t="s">
        <v>13</v>
      </c>
      <c r="E521" s="165">
        <v>60</v>
      </c>
      <c r="F521" s="166">
        <v>0</v>
      </c>
      <c r="G521" s="227">
        <f>IF($B$2,IF(ROWS(B$6:$B521) = 1,$B521-Start_Date,$B521-$B520),"")</f>
        <v>1.14633102202788E-3</v>
      </c>
      <c r="H521" s="29">
        <f>IF($B$2,IF(ROWS(B$6:$B521) = 1,IF(COUNTIFS(R_Schedule_Times,"&lt;"&amp;B521),INDEX(R_Schedule_Amounts,MATCH(B521,R_Schedule_Times,1)),Starting_Cash),IF(COUNTIFS(R_Schedule_Times,"&gt;"&amp;B520,R_Schedule_Times,"&lt;"&amp;B521),INDEX(R_Schedule_Amounts,MATCH(B521,R_Schedule_Times,1)),K520)),"")</f>
        <v>560</v>
      </c>
      <c r="I521" s="30">
        <f t="shared" si="40"/>
        <v>60</v>
      </c>
      <c r="J521" s="31">
        <f t="shared" si="41"/>
        <v>0</v>
      </c>
      <c r="K521" s="29">
        <f t="shared" si="42"/>
        <v>500</v>
      </c>
      <c r="L521" s="31" t="str">
        <f t="shared" si="43"/>
        <v/>
      </c>
      <c r="M521" s="31" t="str">
        <f t="shared" si="44"/>
        <v/>
      </c>
    </row>
    <row r="522" spans="1:13" x14ac:dyDescent="0.15">
      <c r="A522" s="163" t="s">
        <v>210</v>
      </c>
      <c r="B522" s="163">
        <v>42291.681089872684</v>
      </c>
      <c r="C522" s="164" t="s">
        <v>14</v>
      </c>
      <c r="D522" s="164" t="s">
        <v>15</v>
      </c>
      <c r="E522" s="165">
        <v>100</v>
      </c>
      <c r="F522" s="166">
        <v>5.5</v>
      </c>
      <c r="G522" s="227">
        <f>IF($B$2,IF(ROWS(B$6:$B522) = 1,$B522-Start_Date,$B522-$B521),"")</f>
        <v>9.1910185146844015E-3</v>
      </c>
      <c r="H522" s="29">
        <f>IF($B$2,IF(ROWS(B$6:$B522) = 1,IF(COUNTIFS(R_Schedule_Times,"&lt;"&amp;B522),INDEX(R_Schedule_Amounts,MATCH(B522,R_Schedule_Times,1)),Starting_Cash),IF(COUNTIFS(R_Schedule_Times,"&gt;"&amp;B521,R_Schedule_Times,"&lt;"&amp;B522),INDEX(R_Schedule_Amounts,MATCH(B522,R_Schedule_Times,1)),K521)),"")</f>
        <v>500</v>
      </c>
      <c r="I522" s="30">
        <f t="shared" si="40"/>
        <v>100</v>
      </c>
      <c r="J522" s="31">
        <f t="shared" si="41"/>
        <v>5.5</v>
      </c>
      <c r="K522" s="29">
        <f t="shared" si="42"/>
        <v>400</v>
      </c>
      <c r="L522" s="31" t="str">
        <f t="shared" si="43"/>
        <v/>
      </c>
      <c r="M522" s="31" t="str">
        <f t="shared" si="44"/>
        <v/>
      </c>
    </row>
    <row r="523" spans="1:13" x14ac:dyDescent="0.15">
      <c r="A523" s="163" t="s">
        <v>210</v>
      </c>
      <c r="B523" s="163">
        <v>42291.709973784724</v>
      </c>
      <c r="C523" s="164" t="s">
        <v>930</v>
      </c>
      <c r="D523" s="164" t="s">
        <v>13</v>
      </c>
      <c r="E523" s="165">
        <v>60</v>
      </c>
      <c r="F523" s="166">
        <v>0</v>
      </c>
      <c r="G523" s="227">
        <f>IF($B$2,IF(ROWS(B$6:$B523) = 1,$B523-Start_Date,$B523-$B522),"")</f>
        <v>2.8883912040328141E-2</v>
      </c>
      <c r="H523" s="29">
        <f>IF($B$2,IF(ROWS(B$6:$B523) = 1,IF(COUNTIFS(R_Schedule_Times,"&lt;"&amp;B523),INDEX(R_Schedule_Amounts,MATCH(B523,R_Schedule_Times,1)),Starting_Cash),IF(COUNTIFS(R_Schedule_Times,"&gt;"&amp;B522,R_Schedule_Times,"&lt;"&amp;B523),INDEX(R_Schedule_Amounts,MATCH(B523,R_Schedule_Times,1)),K522)),"")</f>
        <v>20000</v>
      </c>
      <c r="I523" s="30">
        <f t="shared" si="40"/>
        <v>60</v>
      </c>
      <c r="J523" s="31">
        <f t="shared" si="41"/>
        <v>0</v>
      </c>
      <c r="K523" s="29">
        <f t="shared" si="42"/>
        <v>19940</v>
      </c>
      <c r="L523" s="31" t="str">
        <f t="shared" si="43"/>
        <v/>
      </c>
      <c r="M523" s="31" t="str">
        <f t="shared" si="44"/>
        <v/>
      </c>
    </row>
    <row r="524" spans="1:13" x14ac:dyDescent="0.15">
      <c r="A524" s="163" t="s">
        <v>210</v>
      </c>
      <c r="B524" s="163">
        <v>42291.715302094904</v>
      </c>
      <c r="C524" s="164" t="s">
        <v>931</v>
      </c>
      <c r="D524" s="164" t="s">
        <v>13</v>
      </c>
      <c r="E524" s="165">
        <v>200</v>
      </c>
      <c r="F524" s="166">
        <v>0</v>
      </c>
      <c r="G524" s="227">
        <f>IF($B$2,IF(ROWS(B$6:$B524) = 1,$B524-Start_Date,$B524-$B523),"")</f>
        <v>5.3283101806300692E-3</v>
      </c>
      <c r="H524" s="29">
        <f>IF($B$2,IF(ROWS(B$6:$B524) = 1,IF(COUNTIFS(R_Schedule_Times,"&lt;"&amp;B524),INDEX(R_Schedule_Amounts,MATCH(B524,R_Schedule_Times,1)),Starting_Cash),IF(COUNTIFS(R_Schedule_Times,"&gt;"&amp;B523,R_Schedule_Times,"&lt;"&amp;B524),INDEX(R_Schedule_Amounts,MATCH(B524,R_Schedule_Times,1)),K523)),"")</f>
        <v>19940</v>
      </c>
      <c r="I524" s="30">
        <f t="shared" si="40"/>
        <v>200</v>
      </c>
      <c r="J524" s="31">
        <f t="shared" si="41"/>
        <v>0</v>
      </c>
      <c r="K524" s="29">
        <f t="shared" si="42"/>
        <v>19740</v>
      </c>
      <c r="L524" s="31" t="str">
        <f t="shared" si="43"/>
        <v/>
      </c>
      <c r="M524" s="31" t="str">
        <f t="shared" si="44"/>
        <v/>
      </c>
    </row>
    <row r="525" spans="1:13" x14ac:dyDescent="0.15">
      <c r="A525" s="163" t="s">
        <v>210</v>
      </c>
      <c r="B525" s="163">
        <v>42291.722476944444</v>
      </c>
      <c r="C525" s="164" t="s">
        <v>932</v>
      </c>
      <c r="D525" s="164" t="s">
        <v>13</v>
      </c>
      <c r="E525" s="165">
        <v>100</v>
      </c>
      <c r="F525" s="166">
        <v>0</v>
      </c>
      <c r="G525" s="227">
        <f>IF($B$2,IF(ROWS(B$6:$B525) = 1,$B525-Start_Date,$B525-$B524),"")</f>
        <v>7.1748495392967016E-3</v>
      </c>
      <c r="H525" s="29">
        <f>IF($B$2,IF(ROWS(B$6:$B525) = 1,IF(COUNTIFS(R_Schedule_Times,"&lt;"&amp;B525),INDEX(R_Schedule_Amounts,MATCH(B525,R_Schedule_Times,1)),Starting_Cash),IF(COUNTIFS(R_Schedule_Times,"&gt;"&amp;B524,R_Schedule_Times,"&lt;"&amp;B525),INDEX(R_Schedule_Amounts,MATCH(B525,R_Schedule_Times,1)),K524)),"")</f>
        <v>19740</v>
      </c>
      <c r="I525" s="30">
        <f t="shared" si="40"/>
        <v>100</v>
      </c>
      <c r="J525" s="31">
        <f t="shared" si="41"/>
        <v>0</v>
      </c>
      <c r="K525" s="29">
        <f t="shared" si="42"/>
        <v>19640</v>
      </c>
      <c r="L525" s="31" t="str">
        <f t="shared" si="43"/>
        <v/>
      </c>
      <c r="M525" s="31" t="str">
        <f t="shared" si="44"/>
        <v/>
      </c>
    </row>
    <row r="526" spans="1:13" x14ac:dyDescent="0.15">
      <c r="A526" s="163" t="s">
        <v>210</v>
      </c>
      <c r="B526" s="163">
        <v>42291.723248391201</v>
      </c>
      <c r="C526" s="164" t="s">
        <v>933</v>
      </c>
      <c r="D526" s="164" t="s">
        <v>13</v>
      </c>
      <c r="E526" s="165">
        <v>60</v>
      </c>
      <c r="F526" s="166">
        <v>0</v>
      </c>
      <c r="G526" s="227">
        <f>IF($B$2,IF(ROWS(B$6:$B526) = 1,$B526-Start_Date,$B526-$B525),"")</f>
        <v>7.7144675742601976E-4</v>
      </c>
      <c r="H526" s="29">
        <f>IF($B$2,IF(ROWS(B$6:$B526) = 1,IF(COUNTIFS(R_Schedule_Times,"&lt;"&amp;B526),INDEX(R_Schedule_Amounts,MATCH(B526,R_Schedule_Times,1)),Starting_Cash),IF(COUNTIFS(R_Schedule_Times,"&gt;"&amp;B525,R_Schedule_Times,"&lt;"&amp;B526),INDEX(R_Schedule_Amounts,MATCH(B526,R_Schedule_Times,1)),K525)),"")</f>
        <v>19640</v>
      </c>
      <c r="I526" s="30">
        <f t="shared" si="40"/>
        <v>60</v>
      </c>
      <c r="J526" s="31">
        <f t="shared" si="41"/>
        <v>0</v>
      </c>
      <c r="K526" s="29">
        <f t="shared" si="42"/>
        <v>19580</v>
      </c>
      <c r="L526" s="31" t="str">
        <f t="shared" si="43"/>
        <v/>
      </c>
      <c r="M526" s="31" t="str">
        <f t="shared" si="44"/>
        <v/>
      </c>
    </row>
    <row r="527" spans="1:13" x14ac:dyDescent="0.15">
      <c r="A527" s="163" t="s">
        <v>210</v>
      </c>
      <c r="B527" s="163">
        <v>42291.735446782404</v>
      </c>
      <c r="C527" s="164" t="s">
        <v>934</v>
      </c>
      <c r="D527" s="164" t="s">
        <v>13</v>
      </c>
      <c r="E527" s="165">
        <v>60</v>
      </c>
      <c r="F527" s="166">
        <v>0</v>
      </c>
      <c r="G527" s="227">
        <f>IF($B$2,IF(ROWS(B$6:$B527) = 1,$B527-Start_Date,$B527-$B526),"")</f>
        <v>1.2198391203128267E-2</v>
      </c>
      <c r="H527" s="29">
        <f>IF($B$2,IF(ROWS(B$6:$B527) = 1,IF(COUNTIFS(R_Schedule_Times,"&lt;"&amp;B527),INDEX(R_Schedule_Amounts,MATCH(B527,R_Schedule_Times,1)),Starting_Cash),IF(COUNTIFS(R_Schedule_Times,"&gt;"&amp;B526,R_Schedule_Times,"&lt;"&amp;B527),INDEX(R_Schedule_Amounts,MATCH(B527,R_Schedule_Times,1)),K526)),"")</f>
        <v>19580</v>
      </c>
      <c r="I527" s="30">
        <f t="shared" si="40"/>
        <v>60</v>
      </c>
      <c r="J527" s="31">
        <f t="shared" si="41"/>
        <v>0</v>
      </c>
      <c r="K527" s="29">
        <f t="shared" si="42"/>
        <v>19520</v>
      </c>
      <c r="L527" s="31" t="str">
        <f t="shared" si="43"/>
        <v/>
      </c>
      <c r="M527" s="31" t="str">
        <f t="shared" si="44"/>
        <v/>
      </c>
    </row>
    <row r="528" spans="1:13" x14ac:dyDescent="0.15">
      <c r="A528" s="163" t="s">
        <v>210</v>
      </c>
      <c r="B528" s="163">
        <v>42291.737560787034</v>
      </c>
      <c r="C528" s="164" t="s">
        <v>935</v>
      </c>
      <c r="D528" s="164" t="s">
        <v>13</v>
      </c>
      <c r="E528" s="165">
        <v>100</v>
      </c>
      <c r="F528" s="166">
        <v>0</v>
      </c>
      <c r="G528" s="227">
        <f>IF($B$2,IF(ROWS(B$6:$B528) = 1,$B528-Start_Date,$B528-$B527),"")</f>
        <v>2.1140046301297843E-3</v>
      </c>
      <c r="H528" s="29">
        <f>IF($B$2,IF(ROWS(B$6:$B528) = 1,IF(COUNTIFS(R_Schedule_Times,"&lt;"&amp;B528),INDEX(R_Schedule_Amounts,MATCH(B528,R_Schedule_Times,1)),Starting_Cash),IF(COUNTIFS(R_Schedule_Times,"&gt;"&amp;B527,R_Schedule_Times,"&lt;"&amp;B528),INDEX(R_Schedule_Amounts,MATCH(B528,R_Schedule_Times,1)),K527)),"")</f>
        <v>19520</v>
      </c>
      <c r="I528" s="30">
        <f t="shared" si="40"/>
        <v>100</v>
      </c>
      <c r="J528" s="31">
        <f t="shared" si="41"/>
        <v>0</v>
      </c>
      <c r="K528" s="29">
        <f t="shared" si="42"/>
        <v>19420</v>
      </c>
      <c r="L528" s="31" t="str">
        <f t="shared" si="43"/>
        <v/>
      </c>
      <c r="M528" s="31" t="str">
        <f t="shared" si="44"/>
        <v/>
      </c>
    </row>
    <row r="529" spans="1:13" x14ac:dyDescent="0.15">
      <c r="A529" s="163" t="s">
        <v>210</v>
      </c>
      <c r="B529" s="163">
        <v>42291.776934027781</v>
      </c>
      <c r="C529" s="164" t="s">
        <v>936</v>
      </c>
      <c r="D529" s="164" t="s">
        <v>13</v>
      </c>
      <c r="E529" s="165">
        <v>100</v>
      </c>
      <c r="F529" s="166">
        <v>0</v>
      </c>
      <c r="G529" s="227">
        <f>IF($B$2,IF(ROWS(B$6:$B529) = 1,$B529-Start_Date,$B529-$B528),"")</f>
        <v>3.9373240746499505E-2</v>
      </c>
      <c r="H529" s="29">
        <f>IF($B$2,IF(ROWS(B$6:$B529) = 1,IF(COUNTIFS(R_Schedule_Times,"&lt;"&amp;B529),INDEX(R_Schedule_Amounts,MATCH(B529,R_Schedule_Times,1)),Starting_Cash),IF(COUNTIFS(R_Schedule_Times,"&gt;"&amp;B528,R_Schedule_Times,"&lt;"&amp;B529),INDEX(R_Schedule_Amounts,MATCH(B529,R_Schedule_Times,1)),K528)),"")</f>
        <v>19420</v>
      </c>
      <c r="I529" s="30">
        <f t="shared" si="40"/>
        <v>100</v>
      </c>
      <c r="J529" s="31">
        <f t="shared" si="41"/>
        <v>0</v>
      </c>
      <c r="K529" s="29">
        <f t="shared" si="42"/>
        <v>19320</v>
      </c>
      <c r="L529" s="31" t="str">
        <f t="shared" si="43"/>
        <v/>
      </c>
      <c r="M529" s="31" t="str">
        <f t="shared" si="44"/>
        <v/>
      </c>
    </row>
    <row r="530" spans="1:13" x14ac:dyDescent="0.15">
      <c r="A530" s="163" t="s">
        <v>210</v>
      </c>
      <c r="B530" s="163">
        <v>42291.782380914352</v>
      </c>
      <c r="C530" s="164" t="s">
        <v>937</v>
      </c>
      <c r="D530" s="164" t="s">
        <v>13</v>
      </c>
      <c r="E530" s="165">
        <v>80</v>
      </c>
      <c r="F530" s="166">
        <v>0</v>
      </c>
      <c r="G530" s="227">
        <f>IF($B$2,IF(ROWS(B$6:$B530) = 1,$B530-Start_Date,$B530-$B529),"")</f>
        <v>5.4468865710077807E-3</v>
      </c>
      <c r="H530" s="29">
        <f>IF($B$2,IF(ROWS(B$6:$B530) = 1,IF(COUNTIFS(R_Schedule_Times,"&lt;"&amp;B530),INDEX(R_Schedule_Amounts,MATCH(B530,R_Schedule_Times,1)),Starting_Cash),IF(COUNTIFS(R_Schedule_Times,"&gt;"&amp;B529,R_Schedule_Times,"&lt;"&amp;B530),INDEX(R_Schedule_Amounts,MATCH(B530,R_Schedule_Times,1)),K529)),"")</f>
        <v>19320</v>
      </c>
      <c r="I530" s="30">
        <f t="shared" si="40"/>
        <v>80</v>
      </c>
      <c r="J530" s="31">
        <f t="shared" si="41"/>
        <v>0</v>
      </c>
      <c r="K530" s="29">
        <f t="shared" si="42"/>
        <v>19240</v>
      </c>
      <c r="L530" s="31" t="str">
        <f t="shared" si="43"/>
        <v/>
      </c>
      <c r="M530" s="31" t="str">
        <f t="shared" si="44"/>
        <v/>
      </c>
    </row>
    <row r="531" spans="1:13" x14ac:dyDescent="0.15">
      <c r="A531" s="163" t="s">
        <v>210</v>
      </c>
      <c r="B531" s="163">
        <v>42291.999311504631</v>
      </c>
      <c r="C531" s="164" t="s">
        <v>88</v>
      </c>
      <c r="D531" s="164" t="s">
        <v>13</v>
      </c>
      <c r="E531" s="165">
        <v>100</v>
      </c>
      <c r="F531" s="166">
        <v>0</v>
      </c>
      <c r="G531" s="227">
        <f>IF($B$2,IF(ROWS(B$6:$B531) = 1,$B531-Start_Date,$B531-$B530),"")</f>
        <v>0.21693059027893469</v>
      </c>
      <c r="H531" s="29">
        <f>IF($B$2,IF(ROWS(B$6:$B531) = 1,IF(COUNTIFS(R_Schedule_Times,"&lt;"&amp;B531),INDEX(R_Schedule_Amounts,MATCH(B531,R_Schedule_Times,1)),Starting_Cash),IF(COUNTIFS(R_Schedule_Times,"&gt;"&amp;B530,R_Schedule_Times,"&lt;"&amp;B531),INDEX(R_Schedule_Amounts,MATCH(B531,R_Schedule_Times,1)),K530)),"")</f>
        <v>19240</v>
      </c>
      <c r="I531" s="30">
        <f t="shared" si="40"/>
        <v>100</v>
      </c>
      <c r="J531" s="31">
        <f t="shared" si="41"/>
        <v>0</v>
      </c>
      <c r="K531" s="29">
        <f t="shared" si="42"/>
        <v>19140</v>
      </c>
      <c r="L531" s="31" t="str">
        <f t="shared" si="43"/>
        <v/>
      </c>
      <c r="M531" s="31" t="str">
        <f t="shared" si="44"/>
        <v/>
      </c>
    </row>
    <row r="532" spans="1:13" x14ac:dyDescent="0.15">
      <c r="A532" s="163" t="s">
        <v>210</v>
      </c>
      <c r="B532" s="163">
        <v>42292.302814155089</v>
      </c>
      <c r="C532" s="164" t="s">
        <v>938</v>
      </c>
      <c r="D532" s="164" t="s">
        <v>13</v>
      </c>
      <c r="E532" s="165">
        <v>120</v>
      </c>
      <c r="F532" s="166">
        <v>0</v>
      </c>
      <c r="G532" s="227">
        <f>IF($B$2,IF(ROWS(B$6:$B532) = 1,$B532-Start_Date,$B532-$B531),"")</f>
        <v>0.3035026504585403</v>
      </c>
      <c r="H532" s="29">
        <f>IF($B$2,IF(ROWS(B$6:$B532) = 1,IF(COUNTIFS(R_Schedule_Times,"&lt;"&amp;B532),INDEX(R_Schedule_Amounts,MATCH(B532,R_Schedule_Times,1)),Starting_Cash),IF(COUNTIFS(R_Schedule_Times,"&gt;"&amp;B531,R_Schedule_Times,"&lt;"&amp;B532),INDEX(R_Schedule_Amounts,MATCH(B532,R_Schedule_Times,1)),K531)),"")</f>
        <v>19140</v>
      </c>
      <c r="I532" s="30">
        <f t="shared" si="40"/>
        <v>120</v>
      </c>
      <c r="J532" s="31">
        <f t="shared" si="41"/>
        <v>0</v>
      </c>
      <c r="K532" s="29">
        <f t="shared" si="42"/>
        <v>19020</v>
      </c>
      <c r="L532" s="31" t="str">
        <f t="shared" si="43"/>
        <v/>
      </c>
      <c r="M532" s="31" t="str">
        <f t="shared" si="44"/>
        <v/>
      </c>
    </row>
    <row r="533" spans="1:13" x14ac:dyDescent="0.15">
      <c r="A533" s="163" t="s">
        <v>210</v>
      </c>
      <c r="B533" s="163">
        <v>42292.319624756943</v>
      </c>
      <c r="C533" s="164" t="s">
        <v>939</v>
      </c>
      <c r="D533" s="164" t="s">
        <v>13</v>
      </c>
      <c r="E533" s="165">
        <v>120</v>
      </c>
      <c r="F533" s="166">
        <v>0</v>
      </c>
      <c r="G533" s="227">
        <f>IF($B$2,IF(ROWS(B$6:$B533) = 1,$B533-Start_Date,$B533-$B532),"")</f>
        <v>1.6810601853649132E-2</v>
      </c>
      <c r="H533" s="29">
        <f>IF($B$2,IF(ROWS(B$6:$B533) = 1,IF(COUNTIFS(R_Schedule_Times,"&lt;"&amp;B533),INDEX(R_Schedule_Amounts,MATCH(B533,R_Schedule_Times,1)),Starting_Cash),IF(COUNTIFS(R_Schedule_Times,"&gt;"&amp;B532,R_Schedule_Times,"&lt;"&amp;B533),INDEX(R_Schedule_Amounts,MATCH(B533,R_Schedule_Times,1)),K532)),"")</f>
        <v>19020</v>
      </c>
      <c r="I533" s="30">
        <f t="shared" si="40"/>
        <v>120</v>
      </c>
      <c r="J533" s="31">
        <f t="shared" si="41"/>
        <v>0</v>
      </c>
      <c r="K533" s="29">
        <f t="shared" si="42"/>
        <v>18900</v>
      </c>
      <c r="L533" s="31" t="str">
        <f t="shared" si="43"/>
        <v/>
      </c>
      <c r="M533" s="31" t="str">
        <f t="shared" si="44"/>
        <v/>
      </c>
    </row>
    <row r="534" spans="1:13" x14ac:dyDescent="0.15">
      <c r="A534" s="163" t="s">
        <v>210</v>
      </c>
      <c r="B534" s="163">
        <v>42292.349280497685</v>
      </c>
      <c r="C534" s="164" t="s">
        <v>940</v>
      </c>
      <c r="D534" s="164" t="s">
        <v>13</v>
      </c>
      <c r="E534" s="165">
        <v>60</v>
      </c>
      <c r="F534" s="166">
        <v>0</v>
      </c>
      <c r="G534" s="227">
        <f>IF($B$2,IF(ROWS(B$6:$B534) = 1,$B534-Start_Date,$B534-$B533),"")</f>
        <v>2.965574074187316E-2</v>
      </c>
      <c r="H534" s="29">
        <f>IF($B$2,IF(ROWS(B$6:$B534) = 1,IF(COUNTIFS(R_Schedule_Times,"&lt;"&amp;B534),INDEX(R_Schedule_Amounts,MATCH(B534,R_Schedule_Times,1)),Starting_Cash),IF(COUNTIFS(R_Schedule_Times,"&gt;"&amp;B533,R_Schedule_Times,"&lt;"&amp;B534),INDEX(R_Schedule_Amounts,MATCH(B534,R_Schedule_Times,1)),K533)),"")</f>
        <v>18900</v>
      </c>
      <c r="I534" s="30">
        <f t="shared" si="40"/>
        <v>60</v>
      </c>
      <c r="J534" s="31">
        <f t="shared" si="41"/>
        <v>0</v>
      </c>
      <c r="K534" s="29">
        <f t="shared" si="42"/>
        <v>18840</v>
      </c>
      <c r="L534" s="31" t="str">
        <f t="shared" si="43"/>
        <v/>
      </c>
      <c r="M534" s="31" t="str">
        <f t="shared" si="44"/>
        <v/>
      </c>
    </row>
    <row r="535" spans="1:13" x14ac:dyDescent="0.15">
      <c r="A535" s="163" t="s">
        <v>210</v>
      </c>
      <c r="B535" s="163">
        <v>42292.357623449076</v>
      </c>
      <c r="C535" s="164" t="s">
        <v>941</v>
      </c>
      <c r="D535" s="164" t="s">
        <v>13</v>
      </c>
      <c r="E535" s="165">
        <v>120</v>
      </c>
      <c r="F535" s="166">
        <v>0</v>
      </c>
      <c r="G535" s="227">
        <f>IF($B$2,IF(ROWS(B$6:$B535) = 1,$B535-Start_Date,$B535-$B534),"")</f>
        <v>8.3429513906594366E-3</v>
      </c>
      <c r="H535" s="29">
        <f>IF($B$2,IF(ROWS(B$6:$B535) = 1,IF(COUNTIFS(R_Schedule_Times,"&lt;"&amp;B535),INDEX(R_Schedule_Amounts,MATCH(B535,R_Schedule_Times,1)),Starting_Cash),IF(COUNTIFS(R_Schedule_Times,"&gt;"&amp;B534,R_Schedule_Times,"&lt;"&amp;B535),INDEX(R_Schedule_Amounts,MATCH(B535,R_Schedule_Times,1)),K534)),"")</f>
        <v>18840</v>
      </c>
      <c r="I535" s="30">
        <f t="shared" si="40"/>
        <v>120</v>
      </c>
      <c r="J535" s="31">
        <f t="shared" si="41"/>
        <v>0</v>
      </c>
      <c r="K535" s="29">
        <f t="shared" si="42"/>
        <v>18720</v>
      </c>
      <c r="L535" s="31" t="str">
        <f t="shared" si="43"/>
        <v/>
      </c>
      <c r="M535" s="31" t="str">
        <f t="shared" si="44"/>
        <v/>
      </c>
    </row>
    <row r="536" spans="1:13" x14ac:dyDescent="0.15">
      <c r="A536" s="163" t="s">
        <v>210</v>
      </c>
      <c r="B536" s="163">
        <v>42292.366651759257</v>
      </c>
      <c r="C536" s="164" t="s">
        <v>14</v>
      </c>
      <c r="D536" s="164" t="s">
        <v>13</v>
      </c>
      <c r="E536" s="165">
        <v>100</v>
      </c>
      <c r="F536" s="166">
        <v>3.5</v>
      </c>
      <c r="G536" s="227">
        <f>IF($B$2,IF(ROWS(B$6:$B536) = 1,$B536-Start_Date,$B536-$B535),"")</f>
        <v>9.0283101817476563E-3</v>
      </c>
      <c r="H536" s="29">
        <f>IF($B$2,IF(ROWS(B$6:$B536) = 1,IF(COUNTIFS(R_Schedule_Times,"&lt;"&amp;B536),INDEX(R_Schedule_Amounts,MATCH(B536,R_Schedule_Times,1)),Starting_Cash),IF(COUNTIFS(R_Schedule_Times,"&gt;"&amp;B535,R_Schedule_Times,"&lt;"&amp;B536),INDEX(R_Schedule_Amounts,MATCH(B536,R_Schedule_Times,1)),K535)),"")</f>
        <v>18720</v>
      </c>
      <c r="I536" s="30">
        <f t="shared" si="40"/>
        <v>100</v>
      </c>
      <c r="J536" s="31">
        <f t="shared" si="41"/>
        <v>3.5</v>
      </c>
      <c r="K536" s="29">
        <f t="shared" si="42"/>
        <v>18620</v>
      </c>
      <c r="L536" s="31" t="str">
        <f t="shared" si="43"/>
        <v/>
      </c>
      <c r="M536" s="31" t="str">
        <f t="shared" si="44"/>
        <v/>
      </c>
    </row>
    <row r="537" spans="1:13" x14ac:dyDescent="0.15">
      <c r="A537" s="163" t="s">
        <v>210</v>
      </c>
      <c r="B537" s="163">
        <v>42292.427593472225</v>
      </c>
      <c r="C537" s="164" t="s">
        <v>942</v>
      </c>
      <c r="D537" s="164" t="s">
        <v>13</v>
      </c>
      <c r="E537" s="165">
        <v>20</v>
      </c>
      <c r="F537" s="166">
        <v>0</v>
      </c>
      <c r="G537" s="227">
        <f>IF($B$2,IF(ROWS(B$6:$B537) = 1,$B537-Start_Date,$B537-$B536),"")</f>
        <v>6.0941712967178319E-2</v>
      </c>
      <c r="H537" s="29">
        <f>IF($B$2,IF(ROWS(B$6:$B537) = 1,IF(COUNTIFS(R_Schedule_Times,"&lt;"&amp;B537),INDEX(R_Schedule_Amounts,MATCH(B537,R_Schedule_Times,1)),Starting_Cash),IF(COUNTIFS(R_Schedule_Times,"&gt;"&amp;B536,R_Schedule_Times,"&lt;"&amp;B537),INDEX(R_Schedule_Amounts,MATCH(B537,R_Schedule_Times,1)),K536)),"")</f>
        <v>18620</v>
      </c>
      <c r="I537" s="30">
        <f t="shared" si="40"/>
        <v>20</v>
      </c>
      <c r="J537" s="31">
        <f t="shared" si="41"/>
        <v>0</v>
      </c>
      <c r="K537" s="29">
        <f t="shared" si="42"/>
        <v>18600</v>
      </c>
      <c r="L537" s="31" t="str">
        <f t="shared" si="43"/>
        <v/>
      </c>
      <c r="M537" s="31" t="str">
        <f t="shared" si="44"/>
        <v/>
      </c>
    </row>
    <row r="538" spans="1:13" x14ac:dyDescent="0.15">
      <c r="A538" s="163" t="s">
        <v>210</v>
      </c>
      <c r="B538" s="163">
        <v>42292.452264398147</v>
      </c>
      <c r="C538" s="164" t="s">
        <v>343</v>
      </c>
      <c r="D538" s="164" t="s">
        <v>13</v>
      </c>
      <c r="E538" s="165">
        <v>40</v>
      </c>
      <c r="F538" s="166">
        <v>0</v>
      </c>
      <c r="G538" s="227">
        <f>IF($B$2,IF(ROWS(B$6:$B538) = 1,$B538-Start_Date,$B538-$B537),"")</f>
        <v>2.4670925922691822E-2</v>
      </c>
      <c r="H538" s="29">
        <f>IF($B$2,IF(ROWS(B$6:$B538) = 1,IF(COUNTIFS(R_Schedule_Times,"&lt;"&amp;B538),INDEX(R_Schedule_Amounts,MATCH(B538,R_Schedule_Times,1)),Starting_Cash),IF(COUNTIFS(R_Schedule_Times,"&gt;"&amp;B537,R_Schedule_Times,"&lt;"&amp;B538),INDEX(R_Schedule_Amounts,MATCH(B538,R_Schedule_Times,1)),K537)),"")</f>
        <v>18600</v>
      </c>
      <c r="I538" s="30">
        <f t="shared" si="40"/>
        <v>40</v>
      </c>
      <c r="J538" s="31">
        <f t="shared" si="41"/>
        <v>0</v>
      </c>
      <c r="K538" s="29">
        <f t="shared" si="42"/>
        <v>18560</v>
      </c>
      <c r="L538" s="31" t="str">
        <f t="shared" si="43"/>
        <v/>
      </c>
      <c r="M538" s="31" t="str">
        <f t="shared" si="44"/>
        <v/>
      </c>
    </row>
    <row r="539" spans="1:13" x14ac:dyDescent="0.15">
      <c r="A539" s="163" t="s">
        <v>210</v>
      </c>
      <c r="B539" s="163">
        <v>42292.460013275464</v>
      </c>
      <c r="C539" s="164" t="s">
        <v>943</v>
      </c>
      <c r="D539" s="164" t="s">
        <v>13</v>
      </c>
      <c r="E539" s="165">
        <v>100</v>
      </c>
      <c r="F539" s="166">
        <v>0</v>
      </c>
      <c r="G539" s="227">
        <f>IF($B$2,IF(ROWS(B$6:$B539) = 1,$B539-Start_Date,$B539-$B538),"")</f>
        <v>7.7488773167715408E-3</v>
      </c>
      <c r="H539" s="29">
        <f>IF($B$2,IF(ROWS(B$6:$B539) = 1,IF(COUNTIFS(R_Schedule_Times,"&lt;"&amp;B539),INDEX(R_Schedule_Amounts,MATCH(B539,R_Schedule_Times,1)),Starting_Cash),IF(COUNTIFS(R_Schedule_Times,"&gt;"&amp;B538,R_Schedule_Times,"&lt;"&amp;B539),INDEX(R_Schedule_Amounts,MATCH(B539,R_Schedule_Times,1)),K538)),"")</f>
        <v>18560</v>
      </c>
      <c r="I539" s="30">
        <f t="shared" si="40"/>
        <v>100</v>
      </c>
      <c r="J539" s="31">
        <f t="shared" si="41"/>
        <v>0</v>
      </c>
      <c r="K539" s="29">
        <f t="shared" si="42"/>
        <v>18460</v>
      </c>
      <c r="L539" s="31" t="str">
        <f t="shared" si="43"/>
        <v/>
      </c>
      <c r="M539" s="31" t="str">
        <f t="shared" si="44"/>
        <v/>
      </c>
    </row>
    <row r="540" spans="1:13" x14ac:dyDescent="0.15">
      <c r="A540" s="163" t="s">
        <v>210</v>
      </c>
      <c r="B540" s="163">
        <v>42292.470473310183</v>
      </c>
      <c r="C540" s="164" t="s">
        <v>944</v>
      </c>
      <c r="D540" s="164" t="s">
        <v>13</v>
      </c>
      <c r="E540" s="165">
        <v>40</v>
      </c>
      <c r="F540" s="166">
        <v>0</v>
      </c>
      <c r="G540" s="227">
        <f>IF($B$2,IF(ROWS(B$6:$B540) = 1,$B540-Start_Date,$B540-$B539),"")</f>
        <v>1.0460034718562383E-2</v>
      </c>
      <c r="H540" s="29">
        <f>IF($B$2,IF(ROWS(B$6:$B540) = 1,IF(COUNTIFS(R_Schedule_Times,"&lt;"&amp;B540),INDEX(R_Schedule_Amounts,MATCH(B540,R_Schedule_Times,1)),Starting_Cash),IF(COUNTIFS(R_Schedule_Times,"&gt;"&amp;B539,R_Schedule_Times,"&lt;"&amp;B540),INDEX(R_Schedule_Amounts,MATCH(B540,R_Schedule_Times,1)),K539)),"")</f>
        <v>18460</v>
      </c>
      <c r="I540" s="30">
        <f t="shared" si="40"/>
        <v>40</v>
      </c>
      <c r="J540" s="31">
        <f t="shared" si="41"/>
        <v>0</v>
      </c>
      <c r="K540" s="29">
        <f t="shared" si="42"/>
        <v>18420</v>
      </c>
      <c r="L540" s="31" t="str">
        <f t="shared" si="43"/>
        <v/>
      </c>
      <c r="M540" s="31" t="str">
        <f t="shared" si="44"/>
        <v/>
      </c>
    </row>
    <row r="541" spans="1:13" x14ac:dyDescent="0.15">
      <c r="A541" s="163" t="s">
        <v>210</v>
      </c>
      <c r="B541" s="163">
        <v>42292.487720555553</v>
      </c>
      <c r="C541" s="164" t="s">
        <v>14</v>
      </c>
      <c r="D541" s="164" t="s">
        <v>13</v>
      </c>
      <c r="E541" s="165">
        <v>40</v>
      </c>
      <c r="F541" s="166">
        <v>3.5</v>
      </c>
      <c r="G541" s="227">
        <f>IF($B$2,IF(ROWS(B$6:$B541) = 1,$B541-Start_Date,$B541-$B540),"")</f>
        <v>1.7247245370526798E-2</v>
      </c>
      <c r="H541" s="29">
        <f>IF($B$2,IF(ROWS(B$6:$B541) = 1,IF(COUNTIFS(R_Schedule_Times,"&lt;"&amp;B541),INDEX(R_Schedule_Amounts,MATCH(B541,R_Schedule_Times,1)),Starting_Cash),IF(COUNTIFS(R_Schedule_Times,"&gt;"&amp;B540,R_Schedule_Times,"&lt;"&amp;B541),INDEX(R_Schedule_Amounts,MATCH(B541,R_Schedule_Times,1)),K540)),"")</f>
        <v>18420</v>
      </c>
      <c r="I541" s="30">
        <f t="shared" si="40"/>
        <v>40</v>
      </c>
      <c r="J541" s="31">
        <f t="shared" si="41"/>
        <v>3.5</v>
      </c>
      <c r="K541" s="29">
        <f t="shared" si="42"/>
        <v>18380</v>
      </c>
      <c r="L541" s="31" t="str">
        <f t="shared" si="43"/>
        <v/>
      </c>
      <c r="M541" s="31" t="str">
        <f t="shared" si="44"/>
        <v/>
      </c>
    </row>
    <row r="542" spans="1:13" x14ac:dyDescent="0.15">
      <c r="A542" s="163" t="s">
        <v>210</v>
      </c>
      <c r="B542" s="163">
        <v>42292.493003333337</v>
      </c>
      <c r="C542" s="164" t="s">
        <v>945</v>
      </c>
      <c r="D542" s="164" t="s">
        <v>13</v>
      </c>
      <c r="E542" s="165">
        <v>20</v>
      </c>
      <c r="F542" s="166">
        <v>0</v>
      </c>
      <c r="G542" s="227">
        <f>IF($B$2,IF(ROWS(B$6:$B542) = 1,$B542-Start_Date,$B542-$B541),"")</f>
        <v>5.2827777835773304E-3</v>
      </c>
      <c r="H542" s="29">
        <f>IF($B$2,IF(ROWS(B$6:$B542) = 1,IF(COUNTIFS(R_Schedule_Times,"&lt;"&amp;B542),INDEX(R_Schedule_Amounts,MATCH(B542,R_Schedule_Times,1)),Starting_Cash),IF(COUNTIFS(R_Schedule_Times,"&gt;"&amp;B541,R_Schedule_Times,"&lt;"&amp;B542),INDEX(R_Schedule_Amounts,MATCH(B542,R_Schedule_Times,1)),K541)),"")</f>
        <v>18380</v>
      </c>
      <c r="I542" s="30">
        <f t="shared" si="40"/>
        <v>20</v>
      </c>
      <c r="J542" s="31">
        <f t="shared" si="41"/>
        <v>0</v>
      </c>
      <c r="K542" s="29">
        <f t="shared" si="42"/>
        <v>18360</v>
      </c>
      <c r="L542" s="31" t="str">
        <f t="shared" si="43"/>
        <v/>
      </c>
      <c r="M542" s="31" t="str">
        <f t="shared" si="44"/>
        <v/>
      </c>
    </row>
    <row r="543" spans="1:13" x14ac:dyDescent="0.15">
      <c r="A543" s="163" t="s">
        <v>210</v>
      </c>
      <c r="B543" s="163">
        <v>42292.500998124997</v>
      </c>
      <c r="C543" s="164" t="s">
        <v>946</v>
      </c>
      <c r="D543" s="164" t="s">
        <v>13</v>
      </c>
      <c r="E543" s="165">
        <v>60</v>
      </c>
      <c r="F543" s="166">
        <v>0</v>
      </c>
      <c r="G543" s="227">
        <f>IF($B$2,IF(ROWS(B$6:$B543) = 1,$B543-Start_Date,$B543-$B542),"")</f>
        <v>7.9947916601668112E-3</v>
      </c>
      <c r="H543" s="29">
        <f>IF($B$2,IF(ROWS(B$6:$B543) = 1,IF(COUNTIFS(R_Schedule_Times,"&lt;"&amp;B543),INDEX(R_Schedule_Amounts,MATCH(B543,R_Schedule_Times,1)),Starting_Cash),IF(COUNTIFS(R_Schedule_Times,"&gt;"&amp;B542,R_Schedule_Times,"&lt;"&amp;B543),INDEX(R_Schedule_Amounts,MATCH(B543,R_Schedule_Times,1)),K542)),"")</f>
        <v>18360</v>
      </c>
      <c r="I543" s="30">
        <f t="shared" si="40"/>
        <v>60</v>
      </c>
      <c r="J543" s="31">
        <f t="shared" si="41"/>
        <v>0</v>
      </c>
      <c r="K543" s="29">
        <f t="shared" si="42"/>
        <v>18300</v>
      </c>
      <c r="L543" s="31" t="str">
        <f t="shared" si="43"/>
        <v/>
      </c>
      <c r="M543" s="31" t="str">
        <f t="shared" si="44"/>
        <v/>
      </c>
    </row>
    <row r="544" spans="1:13" x14ac:dyDescent="0.15">
      <c r="A544" s="163" t="s">
        <v>210</v>
      </c>
      <c r="B544" s="163">
        <v>42292.531000648145</v>
      </c>
      <c r="C544" s="164" t="s">
        <v>14</v>
      </c>
      <c r="D544" s="164" t="s">
        <v>13</v>
      </c>
      <c r="E544" s="165">
        <v>100</v>
      </c>
      <c r="F544" s="166">
        <v>3.5</v>
      </c>
      <c r="G544" s="227">
        <f>IF($B$2,IF(ROWS(B$6:$B544) = 1,$B544-Start_Date,$B544-$B543),"")</f>
        <v>3.0002523148141336E-2</v>
      </c>
      <c r="H544" s="29">
        <f>IF($B$2,IF(ROWS(B$6:$B544) = 1,IF(COUNTIFS(R_Schedule_Times,"&lt;"&amp;B544),INDEX(R_Schedule_Amounts,MATCH(B544,R_Schedule_Times,1)),Starting_Cash),IF(COUNTIFS(R_Schedule_Times,"&gt;"&amp;B543,R_Schedule_Times,"&lt;"&amp;B544),INDEX(R_Schedule_Amounts,MATCH(B544,R_Schedule_Times,1)),K543)),"")</f>
        <v>18300</v>
      </c>
      <c r="I544" s="30">
        <f t="shared" si="40"/>
        <v>100</v>
      </c>
      <c r="J544" s="31">
        <f t="shared" si="41"/>
        <v>3.5</v>
      </c>
      <c r="K544" s="29">
        <f t="shared" si="42"/>
        <v>18200</v>
      </c>
      <c r="L544" s="31" t="str">
        <f t="shared" si="43"/>
        <v/>
      </c>
      <c r="M544" s="31" t="str">
        <f t="shared" si="44"/>
        <v/>
      </c>
    </row>
    <row r="545" spans="1:13" x14ac:dyDescent="0.15">
      <c r="A545" s="163" t="s">
        <v>210</v>
      </c>
      <c r="B545" s="163">
        <v>42292.53149119213</v>
      </c>
      <c r="C545" s="164" t="s">
        <v>947</v>
      </c>
      <c r="D545" s="164" t="s">
        <v>13</v>
      </c>
      <c r="E545" s="165">
        <v>100</v>
      </c>
      <c r="F545" s="166">
        <v>0</v>
      </c>
      <c r="G545" s="227">
        <f>IF($B$2,IF(ROWS(B$6:$B545) = 1,$B545-Start_Date,$B545-$B544),"")</f>
        <v>4.9054398550651968E-4</v>
      </c>
      <c r="H545" s="29">
        <f>IF($B$2,IF(ROWS(B$6:$B545) = 1,IF(COUNTIFS(R_Schedule_Times,"&lt;"&amp;B545),INDEX(R_Schedule_Amounts,MATCH(B545,R_Schedule_Times,1)),Starting_Cash),IF(COUNTIFS(R_Schedule_Times,"&gt;"&amp;B544,R_Schedule_Times,"&lt;"&amp;B545),INDEX(R_Schedule_Amounts,MATCH(B545,R_Schedule_Times,1)),K544)),"")</f>
        <v>18200</v>
      </c>
      <c r="I545" s="30">
        <f t="shared" si="40"/>
        <v>100</v>
      </c>
      <c r="J545" s="31">
        <f t="shared" si="41"/>
        <v>0</v>
      </c>
      <c r="K545" s="29">
        <f t="shared" si="42"/>
        <v>18100</v>
      </c>
      <c r="L545" s="31" t="str">
        <f t="shared" si="43"/>
        <v/>
      </c>
      <c r="M545" s="31" t="str">
        <f t="shared" si="44"/>
        <v/>
      </c>
    </row>
    <row r="546" spans="1:13" x14ac:dyDescent="0.15">
      <c r="A546" s="163" t="s">
        <v>210</v>
      </c>
      <c r="B546" s="163">
        <v>42292.566238321757</v>
      </c>
      <c r="C546" s="164" t="s">
        <v>948</v>
      </c>
      <c r="D546" s="164" t="s">
        <v>13</v>
      </c>
      <c r="E546" s="165">
        <v>120</v>
      </c>
      <c r="F546" s="166">
        <v>0</v>
      </c>
      <c r="G546" s="227">
        <f>IF($B$2,IF(ROWS(B$6:$B546) = 1,$B546-Start_Date,$B546-$B545),"")</f>
        <v>3.4747129626339301E-2</v>
      </c>
      <c r="H546" s="29">
        <f>IF($B$2,IF(ROWS(B$6:$B546) = 1,IF(COUNTIFS(R_Schedule_Times,"&lt;"&amp;B546),INDEX(R_Schedule_Amounts,MATCH(B546,R_Schedule_Times,1)),Starting_Cash),IF(COUNTIFS(R_Schedule_Times,"&gt;"&amp;B545,R_Schedule_Times,"&lt;"&amp;B546),INDEX(R_Schedule_Amounts,MATCH(B546,R_Schedule_Times,1)),K545)),"")</f>
        <v>18100</v>
      </c>
      <c r="I546" s="30">
        <f t="shared" si="40"/>
        <v>120</v>
      </c>
      <c r="J546" s="31">
        <f t="shared" si="41"/>
        <v>0</v>
      </c>
      <c r="K546" s="29">
        <f t="shared" si="42"/>
        <v>17980</v>
      </c>
      <c r="L546" s="31" t="str">
        <f t="shared" si="43"/>
        <v/>
      </c>
      <c r="M546" s="31" t="str">
        <f t="shared" si="44"/>
        <v/>
      </c>
    </row>
    <row r="547" spans="1:13" x14ac:dyDescent="0.15">
      <c r="A547" s="163" t="s">
        <v>210</v>
      </c>
      <c r="B547" s="163">
        <v>42292.590697002313</v>
      </c>
      <c r="C547" s="164" t="s">
        <v>949</v>
      </c>
      <c r="D547" s="164" t="s">
        <v>13</v>
      </c>
      <c r="E547" s="165">
        <v>60</v>
      </c>
      <c r="F547" s="166">
        <v>0</v>
      </c>
      <c r="G547" s="227">
        <f>IF($B$2,IF(ROWS(B$6:$B547) = 1,$B547-Start_Date,$B547-$B546),"")</f>
        <v>2.4458680556563195E-2</v>
      </c>
      <c r="H547" s="29">
        <f>IF($B$2,IF(ROWS(B$6:$B547) = 1,IF(COUNTIFS(R_Schedule_Times,"&lt;"&amp;B547),INDEX(R_Schedule_Amounts,MATCH(B547,R_Schedule_Times,1)),Starting_Cash),IF(COUNTIFS(R_Schedule_Times,"&gt;"&amp;B546,R_Schedule_Times,"&lt;"&amp;B547),INDEX(R_Schedule_Amounts,MATCH(B547,R_Schedule_Times,1)),K546)),"")</f>
        <v>17980</v>
      </c>
      <c r="I547" s="30">
        <f t="shared" si="40"/>
        <v>60</v>
      </c>
      <c r="J547" s="31">
        <f t="shared" si="41"/>
        <v>0</v>
      </c>
      <c r="K547" s="29">
        <f t="shared" si="42"/>
        <v>17920</v>
      </c>
      <c r="L547" s="31" t="str">
        <f t="shared" si="43"/>
        <v/>
      </c>
      <c r="M547" s="31" t="str">
        <f t="shared" si="44"/>
        <v/>
      </c>
    </row>
    <row r="548" spans="1:13" x14ac:dyDescent="0.15">
      <c r="A548" s="163" t="s">
        <v>210</v>
      </c>
      <c r="B548" s="163">
        <v>42292.619456550929</v>
      </c>
      <c r="C548" s="164" t="s">
        <v>950</v>
      </c>
      <c r="D548" s="164" t="s">
        <v>13</v>
      </c>
      <c r="E548" s="165">
        <v>100</v>
      </c>
      <c r="F548" s="166">
        <v>0</v>
      </c>
      <c r="G548" s="227">
        <f>IF($B$2,IF(ROWS(B$6:$B548) = 1,$B548-Start_Date,$B548-$B547),"")</f>
        <v>2.8759548615198582E-2</v>
      </c>
      <c r="H548" s="29">
        <f>IF($B$2,IF(ROWS(B$6:$B548) = 1,IF(COUNTIFS(R_Schedule_Times,"&lt;"&amp;B548),INDEX(R_Schedule_Amounts,MATCH(B548,R_Schedule_Times,1)),Starting_Cash),IF(COUNTIFS(R_Schedule_Times,"&gt;"&amp;B547,R_Schedule_Times,"&lt;"&amp;B548),INDEX(R_Schedule_Amounts,MATCH(B548,R_Schedule_Times,1)),K547)),"")</f>
        <v>17920</v>
      </c>
      <c r="I548" s="30">
        <f t="shared" si="40"/>
        <v>100</v>
      </c>
      <c r="J548" s="31">
        <f t="shared" si="41"/>
        <v>0</v>
      </c>
      <c r="K548" s="29">
        <f t="shared" si="42"/>
        <v>17820</v>
      </c>
      <c r="L548" s="31" t="str">
        <f t="shared" si="43"/>
        <v/>
      </c>
      <c r="M548" s="31" t="str">
        <f t="shared" si="44"/>
        <v/>
      </c>
    </row>
    <row r="549" spans="1:13" x14ac:dyDescent="0.15">
      <c r="A549" s="163" t="s">
        <v>210</v>
      </c>
      <c r="B549" s="163">
        <v>42292.623404398146</v>
      </c>
      <c r="C549" s="164" t="s">
        <v>344</v>
      </c>
      <c r="D549" s="164" t="s">
        <v>13</v>
      </c>
      <c r="E549" s="165">
        <v>40</v>
      </c>
      <c r="F549" s="166">
        <v>0</v>
      </c>
      <c r="G549" s="227">
        <f>IF($B$2,IF(ROWS(B$6:$B549) = 1,$B549-Start_Date,$B549-$B548),"")</f>
        <v>3.9478472172049806E-3</v>
      </c>
      <c r="H549" s="29">
        <f>IF($B$2,IF(ROWS(B$6:$B549) = 1,IF(COUNTIFS(R_Schedule_Times,"&lt;"&amp;B549),INDEX(R_Schedule_Amounts,MATCH(B549,R_Schedule_Times,1)),Starting_Cash),IF(COUNTIFS(R_Schedule_Times,"&gt;"&amp;B548,R_Schedule_Times,"&lt;"&amp;B549),INDEX(R_Schedule_Amounts,MATCH(B549,R_Schedule_Times,1)),K548)),"")</f>
        <v>17820</v>
      </c>
      <c r="I549" s="30">
        <f t="shared" si="40"/>
        <v>40</v>
      </c>
      <c r="J549" s="31">
        <f t="shared" si="41"/>
        <v>0</v>
      </c>
      <c r="K549" s="29">
        <f t="shared" si="42"/>
        <v>17780</v>
      </c>
      <c r="L549" s="31" t="str">
        <f t="shared" si="43"/>
        <v/>
      </c>
      <c r="M549" s="31" t="str">
        <f t="shared" si="44"/>
        <v/>
      </c>
    </row>
    <row r="550" spans="1:13" x14ac:dyDescent="0.15">
      <c r="A550" s="163" t="s">
        <v>210</v>
      </c>
      <c r="B550" s="163">
        <v>42292.639938796296</v>
      </c>
      <c r="C550" s="164" t="s">
        <v>951</v>
      </c>
      <c r="D550" s="164" t="s">
        <v>13</v>
      </c>
      <c r="E550" s="165">
        <v>360</v>
      </c>
      <c r="F550" s="166">
        <v>0</v>
      </c>
      <c r="G550" s="227">
        <f>IF($B$2,IF(ROWS(B$6:$B550) = 1,$B550-Start_Date,$B550-$B549),"")</f>
        <v>1.6534398149815388E-2</v>
      </c>
      <c r="H550" s="29">
        <f>IF($B$2,IF(ROWS(B$6:$B550) = 1,IF(COUNTIFS(R_Schedule_Times,"&lt;"&amp;B550),INDEX(R_Schedule_Amounts,MATCH(B550,R_Schedule_Times,1)),Starting_Cash),IF(COUNTIFS(R_Schedule_Times,"&gt;"&amp;B549,R_Schedule_Times,"&lt;"&amp;B550),INDEX(R_Schedule_Amounts,MATCH(B550,R_Schedule_Times,1)),K549)),"")</f>
        <v>17780</v>
      </c>
      <c r="I550" s="30">
        <f t="shared" si="40"/>
        <v>360</v>
      </c>
      <c r="J550" s="31">
        <f t="shared" si="41"/>
        <v>0</v>
      </c>
      <c r="K550" s="29">
        <f t="shared" si="42"/>
        <v>17420</v>
      </c>
      <c r="L550" s="31" t="str">
        <f t="shared" si="43"/>
        <v/>
      </c>
      <c r="M550" s="31" t="str">
        <f t="shared" si="44"/>
        <v/>
      </c>
    </row>
    <row r="551" spans="1:13" x14ac:dyDescent="0.15">
      <c r="A551" s="163" t="s">
        <v>210</v>
      </c>
      <c r="B551" s="163">
        <v>42292.647419606481</v>
      </c>
      <c r="C551" s="164" t="s">
        <v>952</v>
      </c>
      <c r="D551" s="164" t="s">
        <v>13</v>
      </c>
      <c r="E551" s="165">
        <v>40</v>
      </c>
      <c r="F551" s="166">
        <v>0</v>
      </c>
      <c r="G551" s="227">
        <f>IF($B$2,IF(ROWS(B$6:$B551) = 1,$B551-Start_Date,$B551-$B550),"")</f>
        <v>7.4808101853705011E-3</v>
      </c>
      <c r="H551" s="29">
        <f>IF($B$2,IF(ROWS(B$6:$B551) = 1,IF(COUNTIFS(R_Schedule_Times,"&lt;"&amp;B551),INDEX(R_Schedule_Amounts,MATCH(B551,R_Schedule_Times,1)),Starting_Cash),IF(COUNTIFS(R_Schedule_Times,"&gt;"&amp;B550,R_Schedule_Times,"&lt;"&amp;B551),INDEX(R_Schedule_Amounts,MATCH(B551,R_Schedule_Times,1)),K550)),"")</f>
        <v>17420</v>
      </c>
      <c r="I551" s="30">
        <f t="shared" si="40"/>
        <v>40</v>
      </c>
      <c r="J551" s="31">
        <f t="shared" si="41"/>
        <v>0</v>
      </c>
      <c r="K551" s="29">
        <f t="shared" si="42"/>
        <v>17380</v>
      </c>
      <c r="L551" s="31" t="str">
        <f t="shared" si="43"/>
        <v/>
      </c>
      <c r="M551" s="31" t="str">
        <f t="shared" si="44"/>
        <v/>
      </c>
    </row>
    <row r="552" spans="1:13" x14ac:dyDescent="0.15">
      <c r="A552" s="163" t="s">
        <v>210</v>
      </c>
      <c r="B552" s="163">
        <v>42292.653874861113</v>
      </c>
      <c r="C552" s="164" t="s">
        <v>953</v>
      </c>
      <c r="D552" s="164" t="s">
        <v>13</v>
      </c>
      <c r="E552" s="165">
        <v>100</v>
      </c>
      <c r="F552" s="166">
        <v>0</v>
      </c>
      <c r="G552" s="227">
        <f>IF($B$2,IF(ROWS(B$6:$B552) = 1,$B552-Start_Date,$B552-$B551),"")</f>
        <v>6.4552546318736859E-3</v>
      </c>
      <c r="H552" s="29">
        <f>IF($B$2,IF(ROWS(B$6:$B552) = 1,IF(COUNTIFS(R_Schedule_Times,"&lt;"&amp;B552),INDEX(R_Schedule_Amounts,MATCH(B552,R_Schedule_Times,1)),Starting_Cash),IF(COUNTIFS(R_Schedule_Times,"&gt;"&amp;B551,R_Schedule_Times,"&lt;"&amp;B552),INDEX(R_Schedule_Amounts,MATCH(B552,R_Schedule_Times,1)),K551)),"")</f>
        <v>17380</v>
      </c>
      <c r="I552" s="30">
        <f t="shared" si="40"/>
        <v>100</v>
      </c>
      <c r="J552" s="31">
        <f t="shared" si="41"/>
        <v>0</v>
      </c>
      <c r="K552" s="29">
        <f t="shared" si="42"/>
        <v>17280</v>
      </c>
      <c r="L552" s="31" t="str">
        <f t="shared" si="43"/>
        <v/>
      </c>
      <c r="M552" s="31" t="str">
        <f t="shared" si="44"/>
        <v/>
      </c>
    </row>
    <row r="553" spans="1:13" x14ac:dyDescent="0.15">
      <c r="A553" s="163" t="s">
        <v>210</v>
      </c>
      <c r="B553" s="163">
        <v>42292.655319421297</v>
      </c>
      <c r="C553" s="164" t="s">
        <v>954</v>
      </c>
      <c r="D553" s="164" t="s">
        <v>13</v>
      </c>
      <c r="E553" s="165">
        <v>60</v>
      </c>
      <c r="F553" s="166">
        <v>0</v>
      </c>
      <c r="G553" s="227">
        <f>IF($B$2,IF(ROWS(B$6:$B553) = 1,$B553-Start_Date,$B553-$B552),"")</f>
        <v>1.4445601846091449E-3</v>
      </c>
      <c r="H553" s="29">
        <f>IF($B$2,IF(ROWS(B$6:$B553) = 1,IF(COUNTIFS(R_Schedule_Times,"&lt;"&amp;B553),INDEX(R_Schedule_Amounts,MATCH(B553,R_Schedule_Times,1)),Starting_Cash),IF(COUNTIFS(R_Schedule_Times,"&gt;"&amp;B552,R_Schedule_Times,"&lt;"&amp;B553),INDEX(R_Schedule_Amounts,MATCH(B553,R_Schedule_Times,1)),K552)),"")</f>
        <v>17280</v>
      </c>
      <c r="I553" s="30">
        <f t="shared" si="40"/>
        <v>60</v>
      </c>
      <c r="J553" s="31">
        <f t="shared" si="41"/>
        <v>0</v>
      </c>
      <c r="K553" s="29">
        <f t="shared" si="42"/>
        <v>17220</v>
      </c>
      <c r="L553" s="31" t="str">
        <f t="shared" si="43"/>
        <v/>
      </c>
      <c r="M553" s="31" t="str">
        <f t="shared" si="44"/>
        <v/>
      </c>
    </row>
    <row r="554" spans="1:13" x14ac:dyDescent="0.15">
      <c r="A554" s="163" t="s">
        <v>210</v>
      </c>
      <c r="B554" s="163">
        <v>42292.674306828703</v>
      </c>
      <c r="C554" s="164" t="s">
        <v>14</v>
      </c>
      <c r="D554" s="164" t="s">
        <v>15</v>
      </c>
      <c r="E554" s="165">
        <v>40</v>
      </c>
      <c r="F554" s="166">
        <v>3.7</v>
      </c>
      <c r="G554" s="227">
        <f>IF($B$2,IF(ROWS(B$6:$B554) = 1,$B554-Start_Date,$B554-$B553),"")</f>
        <v>1.8987407405802514E-2</v>
      </c>
      <c r="H554" s="29">
        <f>IF($B$2,IF(ROWS(B$6:$B554) = 1,IF(COUNTIFS(R_Schedule_Times,"&lt;"&amp;B554),INDEX(R_Schedule_Amounts,MATCH(B554,R_Schedule_Times,1)),Starting_Cash),IF(COUNTIFS(R_Schedule_Times,"&gt;"&amp;B553,R_Schedule_Times,"&lt;"&amp;B554),INDEX(R_Schedule_Amounts,MATCH(B554,R_Schedule_Times,1)),K553)),"")</f>
        <v>17220</v>
      </c>
      <c r="I554" s="30">
        <f t="shared" si="40"/>
        <v>40</v>
      </c>
      <c r="J554" s="31">
        <f t="shared" si="41"/>
        <v>3.7</v>
      </c>
      <c r="K554" s="29">
        <f t="shared" si="42"/>
        <v>17180</v>
      </c>
      <c r="L554" s="31" t="str">
        <f t="shared" si="43"/>
        <v/>
      </c>
      <c r="M554" s="31" t="str">
        <f t="shared" si="44"/>
        <v/>
      </c>
    </row>
    <row r="555" spans="1:13" x14ac:dyDescent="0.15">
      <c r="A555" s="163" t="s">
        <v>210</v>
      </c>
      <c r="B555" s="163">
        <v>42292.684886157411</v>
      </c>
      <c r="C555" s="164" t="s">
        <v>955</v>
      </c>
      <c r="D555" s="164" t="s">
        <v>13</v>
      </c>
      <c r="E555" s="165">
        <v>40</v>
      </c>
      <c r="F555" s="166">
        <v>0</v>
      </c>
      <c r="G555" s="227">
        <f>IF($B$2,IF(ROWS(B$6:$B555) = 1,$B555-Start_Date,$B555-$B554),"")</f>
        <v>1.0579328707535751E-2</v>
      </c>
      <c r="H555" s="29">
        <f>IF($B$2,IF(ROWS(B$6:$B555) = 1,IF(COUNTIFS(R_Schedule_Times,"&lt;"&amp;B555),INDEX(R_Schedule_Amounts,MATCH(B555,R_Schedule_Times,1)),Starting_Cash),IF(COUNTIFS(R_Schedule_Times,"&gt;"&amp;B554,R_Schedule_Times,"&lt;"&amp;B555),INDEX(R_Schedule_Amounts,MATCH(B555,R_Schedule_Times,1)),K554)),"")</f>
        <v>17180</v>
      </c>
      <c r="I555" s="30">
        <f t="shared" si="40"/>
        <v>40</v>
      </c>
      <c r="J555" s="31">
        <f t="shared" si="41"/>
        <v>0</v>
      </c>
      <c r="K555" s="29">
        <f t="shared" si="42"/>
        <v>17140</v>
      </c>
      <c r="L555" s="31" t="str">
        <f t="shared" si="43"/>
        <v/>
      </c>
      <c r="M555" s="31" t="str">
        <f t="shared" si="44"/>
        <v/>
      </c>
    </row>
    <row r="556" spans="1:13" x14ac:dyDescent="0.15">
      <c r="A556" s="163" t="s">
        <v>210</v>
      </c>
      <c r="B556" s="163">
        <v>42292.687675104164</v>
      </c>
      <c r="C556" s="164" t="s">
        <v>956</v>
      </c>
      <c r="D556" s="164" t="s">
        <v>15</v>
      </c>
      <c r="E556" s="165">
        <v>100</v>
      </c>
      <c r="F556" s="166">
        <v>3</v>
      </c>
      <c r="G556" s="227">
        <f>IF($B$2,IF(ROWS(B$6:$B556) = 1,$B556-Start_Date,$B556-$B555),"")</f>
        <v>2.7889467528439127E-3</v>
      </c>
      <c r="H556" s="29">
        <f>IF($B$2,IF(ROWS(B$6:$B556) = 1,IF(COUNTIFS(R_Schedule_Times,"&lt;"&amp;B556),INDEX(R_Schedule_Amounts,MATCH(B556,R_Schedule_Times,1)),Starting_Cash),IF(COUNTIFS(R_Schedule_Times,"&gt;"&amp;B555,R_Schedule_Times,"&lt;"&amp;B556),INDEX(R_Schedule_Amounts,MATCH(B556,R_Schedule_Times,1)),K555)),"")</f>
        <v>17140</v>
      </c>
      <c r="I556" s="30">
        <f t="shared" si="40"/>
        <v>100</v>
      </c>
      <c r="J556" s="31">
        <f t="shared" si="41"/>
        <v>3</v>
      </c>
      <c r="K556" s="29">
        <f t="shared" si="42"/>
        <v>17040</v>
      </c>
      <c r="L556" s="31" t="str">
        <f t="shared" si="43"/>
        <v/>
      </c>
      <c r="M556" s="31" t="str">
        <f t="shared" si="44"/>
        <v/>
      </c>
    </row>
    <row r="557" spans="1:13" x14ac:dyDescent="0.15">
      <c r="A557" s="163" t="s">
        <v>210</v>
      </c>
      <c r="B557" s="163">
        <v>42292.68826260417</v>
      </c>
      <c r="C557" s="164" t="s">
        <v>957</v>
      </c>
      <c r="D557" s="164" t="s">
        <v>13</v>
      </c>
      <c r="E557" s="165">
        <v>100</v>
      </c>
      <c r="F557" s="166">
        <v>0</v>
      </c>
      <c r="G557" s="227">
        <f>IF($B$2,IF(ROWS(B$6:$B557) = 1,$B557-Start_Date,$B557-$B556),"")</f>
        <v>5.875000060768798E-4</v>
      </c>
      <c r="H557" s="29">
        <f>IF($B$2,IF(ROWS(B$6:$B557) = 1,IF(COUNTIFS(R_Schedule_Times,"&lt;"&amp;B557),INDEX(R_Schedule_Amounts,MATCH(B557,R_Schedule_Times,1)),Starting_Cash),IF(COUNTIFS(R_Schedule_Times,"&gt;"&amp;B556,R_Schedule_Times,"&lt;"&amp;B557),INDEX(R_Schedule_Amounts,MATCH(B557,R_Schedule_Times,1)),K556)),"")</f>
        <v>17040</v>
      </c>
      <c r="I557" s="30">
        <f t="shared" si="40"/>
        <v>100</v>
      </c>
      <c r="J557" s="31">
        <f t="shared" si="41"/>
        <v>0</v>
      </c>
      <c r="K557" s="29">
        <f t="shared" si="42"/>
        <v>16940</v>
      </c>
      <c r="L557" s="31" t="str">
        <f t="shared" si="43"/>
        <v/>
      </c>
      <c r="M557" s="31" t="str">
        <f t="shared" si="44"/>
        <v/>
      </c>
    </row>
    <row r="558" spans="1:13" x14ac:dyDescent="0.15">
      <c r="A558" s="163" t="s">
        <v>210</v>
      </c>
      <c r="B558" s="163">
        <v>42292.710363888888</v>
      </c>
      <c r="C558" s="164" t="s">
        <v>958</v>
      </c>
      <c r="D558" s="164" t="s">
        <v>13</v>
      </c>
      <c r="E558" s="165">
        <v>400</v>
      </c>
      <c r="F558" s="166">
        <v>0</v>
      </c>
      <c r="G558" s="227">
        <f>IF($B$2,IF(ROWS(B$6:$B558) = 1,$B558-Start_Date,$B558-$B557),"")</f>
        <v>2.2101284717791714E-2</v>
      </c>
      <c r="H558" s="29">
        <f>IF($B$2,IF(ROWS(B$6:$B558) = 1,IF(COUNTIFS(R_Schedule_Times,"&lt;"&amp;B558),INDEX(R_Schedule_Amounts,MATCH(B558,R_Schedule_Times,1)),Starting_Cash),IF(COUNTIFS(R_Schedule_Times,"&gt;"&amp;B557,R_Schedule_Times,"&lt;"&amp;B558),INDEX(R_Schedule_Amounts,MATCH(B558,R_Schedule_Times,1)),K557)),"")</f>
        <v>16940</v>
      </c>
      <c r="I558" s="30">
        <f t="shared" si="40"/>
        <v>400</v>
      </c>
      <c r="J558" s="31">
        <f t="shared" si="41"/>
        <v>0</v>
      </c>
      <c r="K558" s="29">
        <f t="shared" si="42"/>
        <v>16540</v>
      </c>
      <c r="L558" s="31" t="str">
        <f t="shared" si="43"/>
        <v/>
      </c>
      <c r="M558" s="31" t="str">
        <f t="shared" si="44"/>
        <v/>
      </c>
    </row>
    <row r="559" spans="1:13" x14ac:dyDescent="0.15">
      <c r="A559" s="163" t="s">
        <v>210</v>
      </c>
      <c r="B559" s="163">
        <v>42292.716403946761</v>
      </c>
      <c r="C559" s="164" t="s">
        <v>959</v>
      </c>
      <c r="D559" s="164" t="s">
        <v>13</v>
      </c>
      <c r="E559" s="165">
        <v>100</v>
      </c>
      <c r="F559" s="166">
        <v>0</v>
      </c>
      <c r="G559" s="227">
        <f>IF($B$2,IF(ROWS(B$6:$B559) = 1,$B559-Start_Date,$B559-$B558),"")</f>
        <v>6.0400578731787391E-3</v>
      </c>
      <c r="H559" s="29">
        <f>IF($B$2,IF(ROWS(B$6:$B559) = 1,IF(COUNTIFS(R_Schedule_Times,"&lt;"&amp;B559),INDEX(R_Schedule_Amounts,MATCH(B559,R_Schedule_Times,1)),Starting_Cash),IF(COUNTIFS(R_Schedule_Times,"&gt;"&amp;B558,R_Schedule_Times,"&lt;"&amp;B559),INDEX(R_Schedule_Amounts,MATCH(B559,R_Schedule_Times,1)),K558)),"")</f>
        <v>16540</v>
      </c>
      <c r="I559" s="30">
        <f t="shared" si="40"/>
        <v>100</v>
      </c>
      <c r="J559" s="31">
        <f t="shared" si="41"/>
        <v>0</v>
      </c>
      <c r="K559" s="29">
        <f t="shared" si="42"/>
        <v>16440</v>
      </c>
      <c r="L559" s="31" t="str">
        <f t="shared" si="43"/>
        <v/>
      </c>
      <c r="M559" s="31" t="str">
        <f t="shared" si="44"/>
        <v/>
      </c>
    </row>
    <row r="560" spans="1:13" x14ac:dyDescent="0.15">
      <c r="A560" s="163" t="s">
        <v>210</v>
      </c>
      <c r="B560" s="163">
        <v>42292.731278125</v>
      </c>
      <c r="C560" s="164" t="s">
        <v>960</v>
      </c>
      <c r="D560" s="164" t="s">
        <v>13</v>
      </c>
      <c r="E560" s="165">
        <v>440</v>
      </c>
      <c r="F560" s="166">
        <v>0</v>
      </c>
      <c r="G560" s="227">
        <f>IF($B$2,IF(ROWS(B$6:$B560) = 1,$B560-Start_Date,$B560-$B559),"")</f>
        <v>1.4874178239551838E-2</v>
      </c>
      <c r="H560" s="29">
        <f>IF($B$2,IF(ROWS(B$6:$B560) = 1,IF(COUNTIFS(R_Schedule_Times,"&lt;"&amp;B560),INDEX(R_Schedule_Amounts,MATCH(B560,R_Schedule_Times,1)),Starting_Cash),IF(COUNTIFS(R_Schedule_Times,"&gt;"&amp;B559,R_Schedule_Times,"&lt;"&amp;B560),INDEX(R_Schedule_Amounts,MATCH(B560,R_Schedule_Times,1)),K559)),"")</f>
        <v>16440</v>
      </c>
      <c r="I560" s="30">
        <f t="shared" si="40"/>
        <v>440</v>
      </c>
      <c r="J560" s="31">
        <f t="shared" si="41"/>
        <v>0</v>
      </c>
      <c r="K560" s="29">
        <f t="shared" si="42"/>
        <v>16000</v>
      </c>
      <c r="L560" s="31" t="str">
        <f t="shared" si="43"/>
        <v/>
      </c>
      <c r="M560" s="31" t="str">
        <f t="shared" si="44"/>
        <v/>
      </c>
    </row>
    <row r="561" spans="1:13" x14ac:dyDescent="0.15">
      <c r="A561" s="163" t="s">
        <v>210</v>
      </c>
      <c r="B561" s="163">
        <v>42292.734511273149</v>
      </c>
      <c r="C561" s="164" t="s">
        <v>345</v>
      </c>
      <c r="D561" s="164" t="s">
        <v>13</v>
      </c>
      <c r="E561" s="165">
        <v>20</v>
      </c>
      <c r="F561" s="166">
        <v>0</v>
      </c>
      <c r="G561" s="227">
        <f>IF($B$2,IF(ROWS(B$6:$B561) = 1,$B561-Start_Date,$B561-$B560),"")</f>
        <v>3.233148148865439E-3</v>
      </c>
      <c r="H561" s="29">
        <f>IF($B$2,IF(ROWS(B$6:$B561) = 1,IF(COUNTIFS(R_Schedule_Times,"&lt;"&amp;B561),INDEX(R_Schedule_Amounts,MATCH(B561,R_Schedule_Times,1)),Starting_Cash),IF(COUNTIFS(R_Schedule_Times,"&gt;"&amp;B560,R_Schedule_Times,"&lt;"&amp;B561),INDEX(R_Schedule_Amounts,MATCH(B561,R_Schedule_Times,1)),K560)),"")</f>
        <v>16000</v>
      </c>
      <c r="I561" s="30">
        <f t="shared" si="40"/>
        <v>20</v>
      </c>
      <c r="J561" s="31">
        <f t="shared" si="41"/>
        <v>0</v>
      </c>
      <c r="K561" s="29">
        <f t="shared" si="42"/>
        <v>15980</v>
      </c>
      <c r="L561" s="31" t="str">
        <f t="shared" si="43"/>
        <v/>
      </c>
      <c r="M561" s="31" t="str">
        <f t="shared" si="44"/>
        <v/>
      </c>
    </row>
    <row r="562" spans="1:13" x14ac:dyDescent="0.15">
      <c r="A562" s="163" t="s">
        <v>210</v>
      </c>
      <c r="B562" s="163">
        <v>42292.735161342593</v>
      </c>
      <c r="C562" s="164" t="s">
        <v>961</v>
      </c>
      <c r="D562" s="164" t="s">
        <v>13</v>
      </c>
      <c r="E562" s="165">
        <v>100</v>
      </c>
      <c r="F562" s="166">
        <v>0</v>
      </c>
      <c r="G562" s="227">
        <f>IF($B$2,IF(ROWS(B$6:$B562) = 1,$B562-Start_Date,$B562-$B561),"")</f>
        <v>6.5006944350898266E-4</v>
      </c>
      <c r="H562" s="29">
        <f>IF($B$2,IF(ROWS(B$6:$B562) = 1,IF(COUNTIFS(R_Schedule_Times,"&lt;"&amp;B562),INDEX(R_Schedule_Amounts,MATCH(B562,R_Schedule_Times,1)),Starting_Cash),IF(COUNTIFS(R_Schedule_Times,"&gt;"&amp;B561,R_Schedule_Times,"&lt;"&amp;B562),INDEX(R_Schedule_Amounts,MATCH(B562,R_Schedule_Times,1)),K561)),"")</f>
        <v>15980</v>
      </c>
      <c r="I562" s="30">
        <f t="shared" si="40"/>
        <v>100</v>
      </c>
      <c r="J562" s="31">
        <f t="shared" si="41"/>
        <v>0</v>
      </c>
      <c r="K562" s="29">
        <f t="shared" si="42"/>
        <v>15880</v>
      </c>
      <c r="L562" s="31" t="str">
        <f t="shared" si="43"/>
        <v/>
      </c>
      <c r="M562" s="31" t="str">
        <f t="shared" si="44"/>
        <v/>
      </c>
    </row>
    <row r="563" spans="1:13" x14ac:dyDescent="0.15">
      <c r="A563" s="163" t="s">
        <v>210</v>
      </c>
      <c r="B563" s="163">
        <v>42292.741997800927</v>
      </c>
      <c r="C563" s="164" t="s">
        <v>231</v>
      </c>
      <c r="D563" s="164" t="s">
        <v>13</v>
      </c>
      <c r="E563" s="165">
        <v>20</v>
      </c>
      <c r="F563" s="166">
        <v>0</v>
      </c>
      <c r="G563" s="227">
        <f>IF($B$2,IF(ROWS(B$6:$B563) = 1,$B563-Start_Date,$B563-$B562),"")</f>
        <v>6.8364583348738961E-3</v>
      </c>
      <c r="H563" s="29">
        <f>IF($B$2,IF(ROWS(B$6:$B563) = 1,IF(COUNTIFS(R_Schedule_Times,"&lt;"&amp;B563),INDEX(R_Schedule_Amounts,MATCH(B563,R_Schedule_Times,1)),Starting_Cash),IF(COUNTIFS(R_Schedule_Times,"&gt;"&amp;B562,R_Schedule_Times,"&lt;"&amp;B563),INDEX(R_Schedule_Amounts,MATCH(B563,R_Schedule_Times,1)),K562)),"")</f>
        <v>15880</v>
      </c>
      <c r="I563" s="30">
        <f t="shared" si="40"/>
        <v>20</v>
      </c>
      <c r="J563" s="31">
        <f t="shared" si="41"/>
        <v>0</v>
      </c>
      <c r="K563" s="29">
        <f t="shared" si="42"/>
        <v>15860</v>
      </c>
      <c r="L563" s="31" t="str">
        <f t="shared" si="43"/>
        <v/>
      </c>
      <c r="M563" s="31" t="str">
        <f t="shared" si="44"/>
        <v/>
      </c>
    </row>
    <row r="564" spans="1:13" x14ac:dyDescent="0.15">
      <c r="A564" s="163" t="s">
        <v>210</v>
      </c>
      <c r="B564" s="163">
        <v>42292.743959803243</v>
      </c>
      <c r="C564" s="164" t="s">
        <v>962</v>
      </c>
      <c r="D564" s="164" t="s">
        <v>13</v>
      </c>
      <c r="E564" s="165">
        <v>100</v>
      </c>
      <c r="F564" s="166">
        <v>0</v>
      </c>
      <c r="G564" s="227">
        <f>IF($B$2,IF(ROWS(B$6:$B564) = 1,$B564-Start_Date,$B564-$B563),"")</f>
        <v>1.9620023158495314E-3</v>
      </c>
      <c r="H564" s="29">
        <f>IF($B$2,IF(ROWS(B$6:$B564) = 1,IF(COUNTIFS(R_Schedule_Times,"&lt;"&amp;B564),INDEX(R_Schedule_Amounts,MATCH(B564,R_Schedule_Times,1)),Starting_Cash),IF(COUNTIFS(R_Schedule_Times,"&gt;"&amp;B563,R_Schedule_Times,"&lt;"&amp;B564),INDEX(R_Schedule_Amounts,MATCH(B564,R_Schedule_Times,1)),K563)),"")</f>
        <v>15860</v>
      </c>
      <c r="I564" s="30">
        <f t="shared" si="40"/>
        <v>100</v>
      </c>
      <c r="J564" s="31">
        <f t="shared" si="41"/>
        <v>0</v>
      </c>
      <c r="K564" s="29">
        <f t="shared" si="42"/>
        <v>15760</v>
      </c>
      <c r="L564" s="31" t="str">
        <f t="shared" si="43"/>
        <v/>
      </c>
      <c r="M564" s="31" t="str">
        <f t="shared" si="44"/>
        <v/>
      </c>
    </row>
    <row r="565" spans="1:13" x14ac:dyDescent="0.15">
      <c r="A565" s="163" t="s">
        <v>210</v>
      </c>
      <c r="B565" s="163">
        <v>42292.747143067128</v>
      </c>
      <c r="C565" s="164" t="s">
        <v>963</v>
      </c>
      <c r="D565" s="164" t="s">
        <v>13</v>
      </c>
      <c r="E565" s="165">
        <v>40</v>
      </c>
      <c r="F565" s="166">
        <v>0</v>
      </c>
      <c r="G565" s="227">
        <f>IF($B$2,IF(ROWS(B$6:$B565) = 1,$B565-Start_Date,$B565-$B564),"")</f>
        <v>3.1832638851483352E-3</v>
      </c>
      <c r="H565" s="29">
        <f>IF($B$2,IF(ROWS(B$6:$B565) = 1,IF(COUNTIFS(R_Schedule_Times,"&lt;"&amp;B565),INDEX(R_Schedule_Amounts,MATCH(B565,R_Schedule_Times,1)),Starting_Cash),IF(COUNTIFS(R_Schedule_Times,"&gt;"&amp;B564,R_Schedule_Times,"&lt;"&amp;B565),INDEX(R_Schedule_Amounts,MATCH(B565,R_Schedule_Times,1)),K564)),"")</f>
        <v>15760</v>
      </c>
      <c r="I565" s="30">
        <f t="shared" si="40"/>
        <v>40</v>
      </c>
      <c r="J565" s="31">
        <f t="shared" si="41"/>
        <v>0</v>
      </c>
      <c r="K565" s="29">
        <f t="shared" si="42"/>
        <v>15720</v>
      </c>
      <c r="L565" s="31" t="str">
        <f t="shared" si="43"/>
        <v/>
      </c>
      <c r="M565" s="31" t="str">
        <f t="shared" si="44"/>
        <v/>
      </c>
    </row>
    <row r="566" spans="1:13" x14ac:dyDescent="0.15">
      <c r="A566" s="163" t="s">
        <v>210</v>
      </c>
      <c r="B566" s="163">
        <v>42292.748009120369</v>
      </c>
      <c r="C566" s="164" t="s">
        <v>964</v>
      </c>
      <c r="D566" s="164" t="s">
        <v>13</v>
      </c>
      <c r="E566" s="165">
        <v>100</v>
      </c>
      <c r="F566" s="166">
        <v>0</v>
      </c>
      <c r="G566" s="227">
        <f>IF($B$2,IF(ROWS(B$6:$B566) = 1,$B566-Start_Date,$B566-$B565),"")</f>
        <v>8.66053240315523E-4</v>
      </c>
      <c r="H566" s="29">
        <f>IF($B$2,IF(ROWS(B$6:$B566) = 1,IF(COUNTIFS(R_Schedule_Times,"&lt;"&amp;B566),INDEX(R_Schedule_Amounts,MATCH(B566,R_Schedule_Times,1)),Starting_Cash),IF(COUNTIFS(R_Schedule_Times,"&gt;"&amp;B565,R_Schedule_Times,"&lt;"&amp;B566),INDEX(R_Schedule_Amounts,MATCH(B566,R_Schedule_Times,1)),K565)),"")</f>
        <v>15720</v>
      </c>
      <c r="I566" s="30">
        <f t="shared" si="40"/>
        <v>100</v>
      </c>
      <c r="J566" s="31">
        <f t="shared" si="41"/>
        <v>0</v>
      </c>
      <c r="K566" s="29">
        <f t="shared" si="42"/>
        <v>15620</v>
      </c>
      <c r="L566" s="31" t="str">
        <f t="shared" si="43"/>
        <v/>
      </c>
      <c r="M566" s="31" t="str">
        <f t="shared" si="44"/>
        <v/>
      </c>
    </row>
    <row r="567" spans="1:13" x14ac:dyDescent="0.15">
      <c r="A567" s="163" t="s">
        <v>210</v>
      </c>
      <c r="B567" s="163">
        <v>42292.751047546299</v>
      </c>
      <c r="C567" s="164" t="s">
        <v>965</v>
      </c>
      <c r="D567" s="164" t="s">
        <v>13</v>
      </c>
      <c r="E567" s="165">
        <v>200</v>
      </c>
      <c r="F567" s="166">
        <v>0</v>
      </c>
      <c r="G567" s="227">
        <f>IF($B$2,IF(ROWS(B$6:$B567) = 1,$B567-Start_Date,$B567-$B566),"")</f>
        <v>3.0384259298443794E-3</v>
      </c>
      <c r="H567" s="29">
        <f>IF($B$2,IF(ROWS(B$6:$B567) = 1,IF(COUNTIFS(R_Schedule_Times,"&lt;"&amp;B567),INDEX(R_Schedule_Amounts,MATCH(B567,R_Schedule_Times,1)),Starting_Cash),IF(COUNTIFS(R_Schedule_Times,"&gt;"&amp;B566,R_Schedule_Times,"&lt;"&amp;B567),INDEX(R_Schedule_Amounts,MATCH(B567,R_Schedule_Times,1)),K566)),"")</f>
        <v>15620</v>
      </c>
      <c r="I567" s="30">
        <f t="shared" si="40"/>
        <v>200</v>
      </c>
      <c r="J567" s="31">
        <f t="shared" si="41"/>
        <v>0</v>
      </c>
      <c r="K567" s="29">
        <f t="shared" si="42"/>
        <v>15420</v>
      </c>
      <c r="L567" s="31" t="str">
        <f t="shared" si="43"/>
        <v/>
      </c>
      <c r="M567" s="31" t="str">
        <f t="shared" si="44"/>
        <v/>
      </c>
    </row>
    <row r="568" spans="1:13" x14ac:dyDescent="0.15">
      <c r="A568" s="163" t="s">
        <v>210</v>
      </c>
      <c r="B568" s="163">
        <v>42292.752531087965</v>
      </c>
      <c r="C568" s="164" t="s">
        <v>966</v>
      </c>
      <c r="D568" s="164" t="s">
        <v>13</v>
      </c>
      <c r="E568" s="165">
        <v>40</v>
      </c>
      <c r="F568" s="166">
        <v>0</v>
      </c>
      <c r="G568" s="227">
        <f>IF($B$2,IF(ROWS(B$6:$B568) = 1,$B568-Start_Date,$B568-$B567),"")</f>
        <v>1.4835416659479961E-3</v>
      </c>
      <c r="H568" s="29">
        <f>IF($B$2,IF(ROWS(B$6:$B568) = 1,IF(COUNTIFS(R_Schedule_Times,"&lt;"&amp;B568),INDEX(R_Schedule_Amounts,MATCH(B568,R_Schedule_Times,1)),Starting_Cash),IF(COUNTIFS(R_Schedule_Times,"&gt;"&amp;B567,R_Schedule_Times,"&lt;"&amp;B568),INDEX(R_Schedule_Amounts,MATCH(B568,R_Schedule_Times,1)),K567)),"")</f>
        <v>15420</v>
      </c>
      <c r="I568" s="30">
        <f t="shared" si="40"/>
        <v>40</v>
      </c>
      <c r="J568" s="31">
        <f t="shared" si="41"/>
        <v>0</v>
      </c>
      <c r="K568" s="29">
        <f t="shared" si="42"/>
        <v>15380</v>
      </c>
      <c r="L568" s="31" t="str">
        <f t="shared" si="43"/>
        <v/>
      </c>
      <c r="M568" s="31" t="str">
        <f t="shared" si="44"/>
        <v/>
      </c>
    </row>
    <row r="569" spans="1:13" x14ac:dyDescent="0.15">
      <c r="A569" s="163" t="s">
        <v>210</v>
      </c>
      <c r="B569" s="163">
        <v>42292.75684011574</v>
      </c>
      <c r="C569" s="164" t="s">
        <v>14</v>
      </c>
      <c r="D569" s="164" t="s">
        <v>13</v>
      </c>
      <c r="E569" s="165">
        <v>100</v>
      </c>
      <c r="F569" s="166">
        <v>3.5</v>
      </c>
      <c r="G569" s="227">
        <f>IF($B$2,IF(ROWS(B$6:$B569) = 1,$B569-Start_Date,$B569-$B568),"")</f>
        <v>4.3090277758892626E-3</v>
      </c>
      <c r="H569" s="29">
        <f>IF($B$2,IF(ROWS(B$6:$B569) = 1,IF(COUNTIFS(R_Schedule_Times,"&lt;"&amp;B569),INDEX(R_Schedule_Amounts,MATCH(B569,R_Schedule_Times,1)),Starting_Cash),IF(COUNTIFS(R_Schedule_Times,"&gt;"&amp;B568,R_Schedule_Times,"&lt;"&amp;B569),INDEX(R_Schedule_Amounts,MATCH(B569,R_Schedule_Times,1)),K568)),"")</f>
        <v>15380</v>
      </c>
      <c r="I569" s="30">
        <f t="shared" si="40"/>
        <v>100</v>
      </c>
      <c r="J569" s="31">
        <f t="shared" si="41"/>
        <v>3.5</v>
      </c>
      <c r="K569" s="29">
        <f t="shared" si="42"/>
        <v>15280</v>
      </c>
      <c r="L569" s="31" t="str">
        <f t="shared" si="43"/>
        <v/>
      </c>
      <c r="M569" s="31" t="str">
        <f t="shared" si="44"/>
        <v/>
      </c>
    </row>
    <row r="570" spans="1:13" x14ac:dyDescent="0.15">
      <c r="A570" s="163" t="s">
        <v>210</v>
      </c>
      <c r="B570" s="163">
        <v>42292.76396866898</v>
      </c>
      <c r="C570" s="164" t="s">
        <v>967</v>
      </c>
      <c r="D570" s="164" t="s">
        <v>13</v>
      </c>
      <c r="E570" s="165">
        <v>200</v>
      </c>
      <c r="F570" s="166">
        <v>0</v>
      </c>
      <c r="G570" s="227">
        <f>IF($B$2,IF(ROWS(B$6:$B570) = 1,$B570-Start_Date,$B570-$B569),"")</f>
        <v>7.1285532394540496E-3</v>
      </c>
      <c r="H570" s="29">
        <f>IF($B$2,IF(ROWS(B$6:$B570) = 1,IF(COUNTIFS(R_Schedule_Times,"&lt;"&amp;B570),INDEX(R_Schedule_Amounts,MATCH(B570,R_Schedule_Times,1)),Starting_Cash),IF(COUNTIFS(R_Schedule_Times,"&gt;"&amp;B569,R_Schedule_Times,"&lt;"&amp;B570),INDEX(R_Schedule_Amounts,MATCH(B570,R_Schedule_Times,1)),K569)),"")</f>
        <v>15280</v>
      </c>
      <c r="I570" s="30">
        <f t="shared" si="40"/>
        <v>200</v>
      </c>
      <c r="J570" s="31">
        <f t="shared" si="41"/>
        <v>0</v>
      </c>
      <c r="K570" s="29">
        <f t="shared" si="42"/>
        <v>15080</v>
      </c>
      <c r="L570" s="31" t="str">
        <f t="shared" si="43"/>
        <v/>
      </c>
      <c r="M570" s="31" t="str">
        <f t="shared" si="44"/>
        <v/>
      </c>
    </row>
    <row r="571" spans="1:13" x14ac:dyDescent="0.15">
      <c r="A571" s="163" t="s">
        <v>210</v>
      </c>
      <c r="B571" s="163">
        <v>42292.773693414354</v>
      </c>
      <c r="C571" s="164" t="s">
        <v>346</v>
      </c>
      <c r="D571" s="164" t="s">
        <v>13</v>
      </c>
      <c r="E571" s="165">
        <v>20</v>
      </c>
      <c r="F571" s="166">
        <v>0</v>
      </c>
      <c r="G571" s="227">
        <f>IF($B$2,IF(ROWS(B$6:$B571) = 1,$B571-Start_Date,$B571-$B570),"")</f>
        <v>9.7247453741147183E-3</v>
      </c>
      <c r="H571" s="29">
        <f>IF($B$2,IF(ROWS(B$6:$B571) = 1,IF(COUNTIFS(R_Schedule_Times,"&lt;"&amp;B571),INDEX(R_Schedule_Amounts,MATCH(B571,R_Schedule_Times,1)),Starting_Cash),IF(COUNTIFS(R_Schedule_Times,"&gt;"&amp;B570,R_Schedule_Times,"&lt;"&amp;B571),INDEX(R_Schedule_Amounts,MATCH(B571,R_Schedule_Times,1)),K570)),"")</f>
        <v>15080</v>
      </c>
      <c r="I571" s="30">
        <f t="shared" si="40"/>
        <v>20</v>
      </c>
      <c r="J571" s="31">
        <f t="shared" si="41"/>
        <v>0</v>
      </c>
      <c r="K571" s="29">
        <f t="shared" si="42"/>
        <v>15060</v>
      </c>
      <c r="L571" s="31" t="str">
        <f t="shared" si="43"/>
        <v/>
      </c>
      <c r="M571" s="31" t="str">
        <f t="shared" si="44"/>
        <v/>
      </c>
    </row>
    <row r="572" spans="1:13" x14ac:dyDescent="0.15">
      <c r="A572" s="163" t="s">
        <v>210</v>
      </c>
      <c r="B572" s="163">
        <v>42292.785012708337</v>
      </c>
      <c r="C572" s="164" t="s">
        <v>347</v>
      </c>
      <c r="D572" s="164" t="s">
        <v>13</v>
      </c>
      <c r="E572" s="165">
        <v>40</v>
      </c>
      <c r="F572" s="166">
        <v>0</v>
      </c>
      <c r="G572" s="227">
        <f>IF($B$2,IF(ROWS(B$6:$B572) = 1,$B572-Start_Date,$B572-$B571),"")</f>
        <v>1.1319293982523959E-2</v>
      </c>
      <c r="H572" s="29">
        <f>IF($B$2,IF(ROWS(B$6:$B572) = 1,IF(COUNTIFS(R_Schedule_Times,"&lt;"&amp;B572),INDEX(R_Schedule_Amounts,MATCH(B572,R_Schedule_Times,1)),Starting_Cash),IF(COUNTIFS(R_Schedule_Times,"&gt;"&amp;B571,R_Schedule_Times,"&lt;"&amp;B572),INDEX(R_Schedule_Amounts,MATCH(B572,R_Schedule_Times,1)),K571)),"")</f>
        <v>15060</v>
      </c>
      <c r="I572" s="30">
        <f t="shared" si="40"/>
        <v>40</v>
      </c>
      <c r="J572" s="31">
        <f t="shared" si="41"/>
        <v>0</v>
      </c>
      <c r="K572" s="29">
        <f t="shared" si="42"/>
        <v>15020</v>
      </c>
      <c r="L572" s="31" t="str">
        <f t="shared" si="43"/>
        <v/>
      </c>
      <c r="M572" s="31" t="str">
        <f t="shared" si="44"/>
        <v/>
      </c>
    </row>
    <row r="573" spans="1:13" x14ac:dyDescent="0.15">
      <c r="A573" s="163" t="s">
        <v>210</v>
      </c>
      <c r="B573" s="163">
        <v>42292.786273506943</v>
      </c>
      <c r="C573" s="164" t="s">
        <v>968</v>
      </c>
      <c r="D573" s="164" t="s">
        <v>13</v>
      </c>
      <c r="E573" s="165">
        <v>80</v>
      </c>
      <c r="F573" s="166">
        <v>0</v>
      </c>
      <c r="G573" s="227">
        <f>IF($B$2,IF(ROWS(B$6:$B573) = 1,$B573-Start_Date,$B573-$B572),"")</f>
        <v>1.2607986063812859E-3</v>
      </c>
      <c r="H573" s="29">
        <f>IF($B$2,IF(ROWS(B$6:$B573) = 1,IF(COUNTIFS(R_Schedule_Times,"&lt;"&amp;B573),INDEX(R_Schedule_Amounts,MATCH(B573,R_Schedule_Times,1)),Starting_Cash),IF(COUNTIFS(R_Schedule_Times,"&gt;"&amp;B572,R_Schedule_Times,"&lt;"&amp;B573),INDEX(R_Schedule_Amounts,MATCH(B573,R_Schedule_Times,1)),K572)),"")</f>
        <v>15020</v>
      </c>
      <c r="I573" s="30">
        <f t="shared" si="40"/>
        <v>80</v>
      </c>
      <c r="J573" s="31">
        <f t="shared" si="41"/>
        <v>0</v>
      </c>
      <c r="K573" s="29">
        <f t="shared" si="42"/>
        <v>14940</v>
      </c>
      <c r="L573" s="31" t="str">
        <f t="shared" si="43"/>
        <v/>
      </c>
      <c r="M573" s="31" t="str">
        <f t="shared" si="44"/>
        <v/>
      </c>
    </row>
    <row r="574" spans="1:13" x14ac:dyDescent="0.15">
      <c r="A574" s="163" t="s">
        <v>210</v>
      </c>
      <c r="B574" s="163">
        <v>42292.814486331015</v>
      </c>
      <c r="C574" s="164" t="s">
        <v>348</v>
      </c>
      <c r="D574" s="164" t="s">
        <v>13</v>
      </c>
      <c r="E574" s="165">
        <v>60</v>
      </c>
      <c r="F574" s="166">
        <v>0</v>
      </c>
      <c r="G574" s="227">
        <f>IF($B$2,IF(ROWS(B$6:$B574) = 1,$B574-Start_Date,$B574-$B573),"")</f>
        <v>2.821282407239778E-2</v>
      </c>
      <c r="H574" s="29">
        <f>IF($B$2,IF(ROWS(B$6:$B574) = 1,IF(COUNTIFS(R_Schedule_Times,"&lt;"&amp;B574),INDEX(R_Schedule_Amounts,MATCH(B574,R_Schedule_Times,1)),Starting_Cash),IF(COUNTIFS(R_Schedule_Times,"&gt;"&amp;B573,R_Schedule_Times,"&lt;"&amp;B574),INDEX(R_Schedule_Amounts,MATCH(B574,R_Schedule_Times,1)),K573)),"")</f>
        <v>14940</v>
      </c>
      <c r="I574" s="30">
        <f t="shared" si="40"/>
        <v>60</v>
      </c>
      <c r="J574" s="31">
        <f t="shared" si="41"/>
        <v>0</v>
      </c>
      <c r="K574" s="29">
        <f t="shared" si="42"/>
        <v>14880</v>
      </c>
      <c r="L574" s="31" t="str">
        <f t="shared" si="43"/>
        <v/>
      </c>
      <c r="M574" s="31" t="str">
        <f t="shared" si="44"/>
        <v/>
      </c>
    </row>
    <row r="575" spans="1:13" x14ac:dyDescent="0.15">
      <c r="A575" s="163" t="s">
        <v>210</v>
      </c>
      <c r="B575" s="163">
        <v>42292.909209942132</v>
      </c>
      <c r="C575" s="164" t="s">
        <v>969</v>
      </c>
      <c r="D575" s="164" t="s">
        <v>13</v>
      </c>
      <c r="E575" s="165">
        <v>100</v>
      </c>
      <c r="F575" s="166">
        <v>0</v>
      </c>
      <c r="G575" s="227">
        <f>IF($B$2,IF(ROWS(B$6:$B575) = 1,$B575-Start_Date,$B575-$B574),"")</f>
        <v>9.4723611116933171E-2</v>
      </c>
      <c r="H575" s="29">
        <f>IF($B$2,IF(ROWS(B$6:$B575) = 1,IF(COUNTIFS(R_Schedule_Times,"&lt;"&amp;B575),INDEX(R_Schedule_Amounts,MATCH(B575,R_Schedule_Times,1)),Starting_Cash),IF(COUNTIFS(R_Schedule_Times,"&gt;"&amp;B574,R_Schedule_Times,"&lt;"&amp;B575),INDEX(R_Schedule_Amounts,MATCH(B575,R_Schedule_Times,1)),K574)),"")</f>
        <v>14880</v>
      </c>
      <c r="I575" s="30">
        <f t="shared" si="40"/>
        <v>100</v>
      </c>
      <c r="J575" s="31">
        <f t="shared" si="41"/>
        <v>0</v>
      </c>
      <c r="K575" s="29">
        <f t="shared" si="42"/>
        <v>14780</v>
      </c>
      <c r="L575" s="31" t="str">
        <f t="shared" si="43"/>
        <v/>
      </c>
      <c r="M575" s="31" t="str">
        <f t="shared" si="44"/>
        <v/>
      </c>
    </row>
    <row r="576" spans="1:13" x14ac:dyDescent="0.15">
      <c r="A576" s="163" t="s">
        <v>210</v>
      </c>
      <c r="B576" s="163">
        <v>42292.99228309028</v>
      </c>
      <c r="C576" s="164" t="s">
        <v>970</v>
      </c>
      <c r="D576" s="164" t="s">
        <v>13</v>
      </c>
      <c r="E576" s="165">
        <v>100</v>
      </c>
      <c r="F576" s="166">
        <v>0</v>
      </c>
      <c r="G576" s="227">
        <f>IF($B$2,IF(ROWS(B$6:$B576) = 1,$B576-Start_Date,$B576-$B575),"")</f>
        <v>8.3073148147377651E-2</v>
      </c>
      <c r="H576" s="29">
        <f>IF($B$2,IF(ROWS(B$6:$B576) = 1,IF(COUNTIFS(R_Schedule_Times,"&lt;"&amp;B576),INDEX(R_Schedule_Amounts,MATCH(B576,R_Schedule_Times,1)),Starting_Cash),IF(COUNTIFS(R_Schedule_Times,"&gt;"&amp;B575,R_Schedule_Times,"&lt;"&amp;B576),INDEX(R_Schedule_Amounts,MATCH(B576,R_Schedule_Times,1)),K575)),"")</f>
        <v>14780</v>
      </c>
      <c r="I576" s="30">
        <f t="shared" si="40"/>
        <v>100</v>
      </c>
      <c r="J576" s="31">
        <f t="shared" si="41"/>
        <v>0</v>
      </c>
      <c r="K576" s="29">
        <f t="shared" si="42"/>
        <v>14680</v>
      </c>
      <c r="L576" s="31" t="str">
        <f t="shared" si="43"/>
        <v/>
      </c>
      <c r="M576" s="31" t="str">
        <f t="shared" si="44"/>
        <v/>
      </c>
    </row>
    <row r="577" spans="1:13" x14ac:dyDescent="0.15">
      <c r="A577" s="163" t="s">
        <v>210</v>
      </c>
      <c r="B577" s="163">
        <v>42293.142394803239</v>
      </c>
      <c r="C577" s="164" t="s">
        <v>971</v>
      </c>
      <c r="D577" s="164" t="s">
        <v>15</v>
      </c>
      <c r="E577" s="165">
        <v>400</v>
      </c>
      <c r="F577" s="166">
        <v>12</v>
      </c>
      <c r="G577" s="227">
        <f>IF($B$2,IF(ROWS(B$6:$B577) = 1,$B577-Start_Date,$B577-$B576),"")</f>
        <v>0.15011171295918757</v>
      </c>
      <c r="H577" s="29">
        <f>IF($B$2,IF(ROWS(B$6:$B577) = 1,IF(COUNTIFS(R_Schedule_Times,"&lt;"&amp;B577),INDEX(R_Schedule_Amounts,MATCH(B577,R_Schedule_Times,1)),Starting_Cash),IF(COUNTIFS(R_Schedule_Times,"&gt;"&amp;B576,R_Schedule_Times,"&lt;"&amp;B577),INDEX(R_Schedule_Amounts,MATCH(B577,R_Schedule_Times,1)),K576)),"")</f>
        <v>14680</v>
      </c>
      <c r="I577" s="30">
        <f t="shared" si="40"/>
        <v>400</v>
      </c>
      <c r="J577" s="31">
        <f t="shared" si="41"/>
        <v>12</v>
      </c>
      <c r="K577" s="29">
        <f t="shared" si="42"/>
        <v>14280</v>
      </c>
      <c r="L577" s="31" t="str">
        <f t="shared" si="43"/>
        <v/>
      </c>
      <c r="M577" s="31" t="str">
        <f t="shared" si="44"/>
        <v/>
      </c>
    </row>
    <row r="578" spans="1:13" x14ac:dyDescent="0.15">
      <c r="A578" s="163" t="s">
        <v>210</v>
      </c>
      <c r="B578" s="163">
        <v>42293.276330428242</v>
      </c>
      <c r="C578" s="164" t="s">
        <v>972</v>
      </c>
      <c r="D578" s="164" t="s">
        <v>13</v>
      </c>
      <c r="E578" s="165">
        <v>100</v>
      </c>
      <c r="F578" s="166">
        <v>0</v>
      </c>
      <c r="G578" s="227">
        <f>IF($B$2,IF(ROWS(B$6:$B578) = 1,$B578-Start_Date,$B578-$B577),"")</f>
        <v>0.13393562500277767</v>
      </c>
      <c r="H578" s="29">
        <f>IF($B$2,IF(ROWS(B$6:$B578) = 1,IF(COUNTIFS(R_Schedule_Times,"&lt;"&amp;B578),INDEX(R_Schedule_Amounts,MATCH(B578,R_Schedule_Times,1)),Starting_Cash),IF(COUNTIFS(R_Schedule_Times,"&gt;"&amp;B577,R_Schedule_Times,"&lt;"&amp;B578),INDEX(R_Schedule_Amounts,MATCH(B578,R_Schedule_Times,1)),K577)),"")</f>
        <v>14280</v>
      </c>
      <c r="I578" s="30">
        <f t="shared" si="40"/>
        <v>100</v>
      </c>
      <c r="J578" s="31">
        <f t="shared" si="41"/>
        <v>0</v>
      </c>
      <c r="K578" s="29">
        <f t="shared" si="42"/>
        <v>14180</v>
      </c>
      <c r="L578" s="31" t="str">
        <f t="shared" si="43"/>
        <v/>
      </c>
      <c r="M578" s="31" t="str">
        <f t="shared" si="44"/>
        <v/>
      </c>
    </row>
    <row r="579" spans="1:13" x14ac:dyDescent="0.15">
      <c r="A579" s="163" t="s">
        <v>210</v>
      </c>
      <c r="B579" s="163">
        <v>42293.306839861114</v>
      </c>
      <c r="C579" s="164" t="s">
        <v>973</v>
      </c>
      <c r="D579" s="164" t="s">
        <v>13</v>
      </c>
      <c r="E579" s="165">
        <v>40</v>
      </c>
      <c r="F579" s="166">
        <v>0</v>
      </c>
      <c r="G579" s="227">
        <f>IF($B$2,IF(ROWS(B$6:$B579) = 1,$B579-Start_Date,$B579-$B578),"")</f>
        <v>3.0509432872349862E-2</v>
      </c>
      <c r="H579" s="29">
        <f>IF($B$2,IF(ROWS(B$6:$B579) = 1,IF(COUNTIFS(R_Schedule_Times,"&lt;"&amp;B579),INDEX(R_Schedule_Amounts,MATCH(B579,R_Schedule_Times,1)),Starting_Cash),IF(COUNTIFS(R_Schedule_Times,"&gt;"&amp;B578,R_Schedule_Times,"&lt;"&amp;B579),INDEX(R_Schedule_Amounts,MATCH(B579,R_Schedule_Times,1)),K578)),"")</f>
        <v>14180</v>
      </c>
      <c r="I579" s="30">
        <f t="shared" si="40"/>
        <v>40</v>
      </c>
      <c r="J579" s="31">
        <f t="shared" si="41"/>
        <v>0</v>
      </c>
      <c r="K579" s="29">
        <f t="shared" si="42"/>
        <v>14140</v>
      </c>
      <c r="L579" s="31" t="str">
        <f t="shared" si="43"/>
        <v/>
      </c>
      <c r="M579" s="31" t="str">
        <f t="shared" si="44"/>
        <v/>
      </c>
    </row>
    <row r="580" spans="1:13" x14ac:dyDescent="0.15">
      <c r="A580" s="163" t="s">
        <v>210</v>
      </c>
      <c r="B580" s="163">
        <v>42293.321397754633</v>
      </c>
      <c r="C580" s="164" t="s">
        <v>974</v>
      </c>
      <c r="D580" s="164" t="s">
        <v>13</v>
      </c>
      <c r="E580" s="165">
        <v>180</v>
      </c>
      <c r="F580" s="166">
        <v>0</v>
      </c>
      <c r="G580" s="227">
        <f>IF($B$2,IF(ROWS(B$6:$B580) = 1,$B580-Start_Date,$B580-$B579),"")</f>
        <v>1.4557893518940546E-2</v>
      </c>
      <c r="H580" s="29">
        <f>IF($B$2,IF(ROWS(B$6:$B580) = 1,IF(COUNTIFS(R_Schedule_Times,"&lt;"&amp;B580),INDEX(R_Schedule_Amounts,MATCH(B580,R_Schedule_Times,1)),Starting_Cash),IF(COUNTIFS(R_Schedule_Times,"&gt;"&amp;B579,R_Schedule_Times,"&lt;"&amp;B580),INDEX(R_Schedule_Amounts,MATCH(B580,R_Schedule_Times,1)),K579)),"")</f>
        <v>14140</v>
      </c>
      <c r="I580" s="30">
        <f t="shared" si="40"/>
        <v>180</v>
      </c>
      <c r="J580" s="31">
        <f t="shared" si="41"/>
        <v>0</v>
      </c>
      <c r="K580" s="29">
        <f t="shared" si="42"/>
        <v>13960</v>
      </c>
      <c r="L580" s="31" t="str">
        <f t="shared" si="43"/>
        <v/>
      </c>
      <c r="M580" s="31" t="str">
        <f t="shared" si="44"/>
        <v/>
      </c>
    </row>
    <row r="581" spans="1:13" x14ac:dyDescent="0.15">
      <c r="A581" s="163" t="s">
        <v>210</v>
      </c>
      <c r="B581" s="163">
        <v>42293.326979780089</v>
      </c>
      <c r="C581" s="164" t="s">
        <v>14</v>
      </c>
      <c r="D581" s="164" t="s">
        <v>15</v>
      </c>
      <c r="E581" s="165">
        <v>80</v>
      </c>
      <c r="F581" s="166">
        <v>4.9000000000000004</v>
      </c>
      <c r="G581" s="227">
        <f>IF($B$2,IF(ROWS(B$6:$B581) = 1,$B581-Start_Date,$B581-$B580),"")</f>
        <v>5.5820254565333016E-3</v>
      </c>
      <c r="H581" s="29">
        <f>IF($B$2,IF(ROWS(B$6:$B581) = 1,IF(COUNTIFS(R_Schedule_Times,"&lt;"&amp;B581),INDEX(R_Schedule_Amounts,MATCH(B581,R_Schedule_Times,1)),Starting_Cash),IF(COUNTIFS(R_Schedule_Times,"&gt;"&amp;B580,R_Schedule_Times,"&lt;"&amp;B581),INDEX(R_Schedule_Amounts,MATCH(B581,R_Schedule_Times,1)),K580)),"")</f>
        <v>13960</v>
      </c>
      <c r="I581" s="30">
        <f t="shared" si="40"/>
        <v>80</v>
      </c>
      <c r="J581" s="31">
        <f t="shared" si="41"/>
        <v>4.9000000000000004</v>
      </c>
      <c r="K581" s="29">
        <f t="shared" si="42"/>
        <v>13880</v>
      </c>
      <c r="L581" s="31" t="str">
        <f t="shared" si="43"/>
        <v/>
      </c>
      <c r="M581" s="31" t="str">
        <f t="shared" si="44"/>
        <v/>
      </c>
    </row>
    <row r="582" spans="1:13" x14ac:dyDescent="0.15">
      <c r="A582" s="163" t="s">
        <v>210</v>
      </c>
      <c r="B582" s="163">
        <v>42293.347503414348</v>
      </c>
      <c r="C582" s="164" t="s">
        <v>975</v>
      </c>
      <c r="D582" s="164" t="s">
        <v>13</v>
      </c>
      <c r="E582" s="165">
        <v>100</v>
      </c>
      <c r="F582" s="166">
        <v>0</v>
      </c>
      <c r="G582" s="227">
        <f>IF($B$2,IF(ROWS(B$6:$B582) = 1,$B582-Start_Date,$B582-$B581),"")</f>
        <v>2.052363425900694E-2</v>
      </c>
      <c r="H582" s="29">
        <f>IF($B$2,IF(ROWS(B$6:$B582) = 1,IF(COUNTIFS(R_Schedule_Times,"&lt;"&amp;B582),INDEX(R_Schedule_Amounts,MATCH(B582,R_Schedule_Times,1)),Starting_Cash),IF(COUNTIFS(R_Schedule_Times,"&gt;"&amp;B581,R_Schedule_Times,"&lt;"&amp;B582),INDEX(R_Schedule_Amounts,MATCH(B582,R_Schedule_Times,1)),K581)),"")</f>
        <v>13880</v>
      </c>
      <c r="I582" s="30">
        <f t="shared" si="40"/>
        <v>100</v>
      </c>
      <c r="J582" s="31">
        <f t="shared" si="41"/>
        <v>0</v>
      </c>
      <c r="K582" s="29">
        <f t="shared" si="42"/>
        <v>13780</v>
      </c>
      <c r="L582" s="31" t="str">
        <f t="shared" si="43"/>
        <v/>
      </c>
      <c r="M582" s="31" t="str">
        <f t="shared" si="44"/>
        <v/>
      </c>
    </row>
    <row r="583" spans="1:13" x14ac:dyDescent="0.15">
      <c r="A583" s="163" t="s">
        <v>210</v>
      </c>
      <c r="B583" s="163">
        <v>42293.371513773149</v>
      </c>
      <c r="C583" s="164" t="s">
        <v>976</v>
      </c>
      <c r="D583" s="164" t="s">
        <v>13</v>
      </c>
      <c r="E583" s="165">
        <v>40</v>
      </c>
      <c r="F583" s="166">
        <v>0</v>
      </c>
      <c r="G583" s="227">
        <f>IF($B$2,IF(ROWS(B$6:$B583) = 1,$B583-Start_Date,$B583-$B582),"")</f>
        <v>2.4010358800296672E-2</v>
      </c>
      <c r="H583" s="29">
        <f>IF($B$2,IF(ROWS(B$6:$B583) = 1,IF(COUNTIFS(R_Schedule_Times,"&lt;"&amp;B583),INDEX(R_Schedule_Amounts,MATCH(B583,R_Schedule_Times,1)),Starting_Cash),IF(COUNTIFS(R_Schedule_Times,"&gt;"&amp;B582,R_Schedule_Times,"&lt;"&amp;B583),INDEX(R_Schedule_Amounts,MATCH(B583,R_Schedule_Times,1)),K582)),"")</f>
        <v>13780</v>
      </c>
      <c r="I583" s="30">
        <f t="shared" ref="I583:I646" si="45">IF($B$2,IF(H583&gt;=E583,E583,0),"")</f>
        <v>40</v>
      </c>
      <c r="J583" s="31">
        <f t="shared" ref="J583:J646" si="46">IF($B$2,IF(H583&gt;=E583,F583,0),"")</f>
        <v>0</v>
      </c>
      <c r="K583" s="29">
        <f t="shared" ref="K583:K646" si="47">IF($B$2,ABS(I583-H583),"")</f>
        <v>13740</v>
      </c>
      <c r="L583" s="31" t="str">
        <f t="shared" ref="L583:L646" si="48">IF($B$2,IF(H583&lt;E583,"YES",""),"")</f>
        <v/>
      </c>
      <c r="M583" s="31" t="str">
        <f t="shared" ref="M583:M646" si="49">IF($B$2,IF(L583="YES",F583,""),"")</f>
        <v/>
      </c>
    </row>
    <row r="584" spans="1:13" x14ac:dyDescent="0.15">
      <c r="A584" s="163" t="s">
        <v>210</v>
      </c>
      <c r="B584" s="163">
        <v>42293.383108611109</v>
      </c>
      <c r="C584" s="164" t="s">
        <v>977</v>
      </c>
      <c r="D584" s="164" t="s">
        <v>13</v>
      </c>
      <c r="E584" s="165">
        <v>180</v>
      </c>
      <c r="F584" s="166">
        <v>0</v>
      </c>
      <c r="G584" s="227">
        <f>IF($B$2,IF(ROWS(B$6:$B584) = 1,$B584-Start_Date,$B584-$B583),"")</f>
        <v>1.159483796072891E-2</v>
      </c>
      <c r="H584" s="29">
        <f>IF($B$2,IF(ROWS(B$6:$B584) = 1,IF(COUNTIFS(R_Schedule_Times,"&lt;"&amp;B584),INDEX(R_Schedule_Amounts,MATCH(B584,R_Schedule_Times,1)),Starting_Cash),IF(COUNTIFS(R_Schedule_Times,"&gt;"&amp;B583,R_Schedule_Times,"&lt;"&amp;B584),INDEX(R_Schedule_Amounts,MATCH(B584,R_Schedule_Times,1)),K583)),"")</f>
        <v>13740</v>
      </c>
      <c r="I584" s="30">
        <f t="shared" si="45"/>
        <v>180</v>
      </c>
      <c r="J584" s="31">
        <f t="shared" si="46"/>
        <v>0</v>
      </c>
      <c r="K584" s="29">
        <f t="shared" si="47"/>
        <v>13560</v>
      </c>
      <c r="L584" s="31" t="str">
        <f t="shared" si="48"/>
        <v/>
      </c>
      <c r="M584" s="31" t="str">
        <f t="shared" si="49"/>
        <v/>
      </c>
    </row>
    <row r="585" spans="1:13" x14ac:dyDescent="0.15">
      <c r="A585" s="163" t="s">
        <v>210</v>
      </c>
      <c r="B585" s="163">
        <v>42293.41562861111</v>
      </c>
      <c r="C585" s="164" t="s">
        <v>349</v>
      </c>
      <c r="D585" s="164" t="s">
        <v>13</v>
      </c>
      <c r="E585" s="165">
        <v>100</v>
      </c>
      <c r="F585" s="166">
        <v>0</v>
      </c>
      <c r="G585" s="227">
        <f>IF($B$2,IF(ROWS(B$6:$B585) = 1,$B585-Start_Date,$B585-$B584),"")</f>
        <v>3.2520000000658911E-2</v>
      </c>
      <c r="H585" s="29">
        <f>IF($B$2,IF(ROWS(B$6:$B585) = 1,IF(COUNTIFS(R_Schedule_Times,"&lt;"&amp;B585),INDEX(R_Schedule_Amounts,MATCH(B585,R_Schedule_Times,1)),Starting_Cash),IF(COUNTIFS(R_Schedule_Times,"&gt;"&amp;B584,R_Schedule_Times,"&lt;"&amp;B585),INDEX(R_Schedule_Amounts,MATCH(B585,R_Schedule_Times,1)),K584)),"")</f>
        <v>13560</v>
      </c>
      <c r="I585" s="30">
        <f t="shared" si="45"/>
        <v>100</v>
      </c>
      <c r="J585" s="31">
        <f t="shared" si="46"/>
        <v>0</v>
      </c>
      <c r="K585" s="29">
        <f t="shared" si="47"/>
        <v>13460</v>
      </c>
      <c r="L585" s="31" t="str">
        <f t="shared" si="48"/>
        <v/>
      </c>
      <c r="M585" s="31" t="str">
        <f t="shared" si="49"/>
        <v/>
      </c>
    </row>
    <row r="586" spans="1:13" x14ac:dyDescent="0.15">
      <c r="A586" s="163" t="s">
        <v>210</v>
      </c>
      <c r="B586" s="163">
        <v>42293.418671458334</v>
      </c>
      <c r="C586" s="164" t="s">
        <v>978</v>
      </c>
      <c r="D586" s="164" t="s">
        <v>13</v>
      </c>
      <c r="E586" s="165">
        <v>100</v>
      </c>
      <c r="F586" s="166">
        <v>0</v>
      </c>
      <c r="G586" s="227">
        <f>IF($B$2,IF(ROWS(B$6:$B586) = 1,$B586-Start_Date,$B586-$B585),"")</f>
        <v>3.0428472236962989E-3</v>
      </c>
      <c r="H586" s="29">
        <f>IF($B$2,IF(ROWS(B$6:$B586) = 1,IF(COUNTIFS(R_Schedule_Times,"&lt;"&amp;B586),INDEX(R_Schedule_Amounts,MATCH(B586,R_Schedule_Times,1)),Starting_Cash),IF(COUNTIFS(R_Schedule_Times,"&gt;"&amp;B585,R_Schedule_Times,"&lt;"&amp;B586),INDEX(R_Schedule_Amounts,MATCH(B586,R_Schedule_Times,1)),K585)),"")</f>
        <v>13460</v>
      </c>
      <c r="I586" s="30">
        <f t="shared" si="45"/>
        <v>100</v>
      </c>
      <c r="J586" s="31">
        <f t="shared" si="46"/>
        <v>0</v>
      </c>
      <c r="K586" s="29">
        <f t="shared" si="47"/>
        <v>13360</v>
      </c>
      <c r="L586" s="31" t="str">
        <f t="shared" si="48"/>
        <v/>
      </c>
      <c r="M586" s="31" t="str">
        <f t="shared" si="49"/>
        <v/>
      </c>
    </row>
    <row r="587" spans="1:13" x14ac:dyDescent="0.15">
      <c r="A587" s="163" t="s">
        <v>210</v>
      </c>
      <c r="B587" s="163">
        <v>42293.433721076392</v>
      </c>
      <c r="C587" s="164" t="s">
        <v>350</v>
      </c>
      <c r="D587" s="164" t="s">
        <v>13</v>
      </c>
      <c r="E587" s="165">
        <v>100</v>
      </c>
      <c r="F587" s="166">
        <v>0</v>
      </c>
      <c r="G587" s="227">
        <f>IF($B$2,IF(ROWS(B$6:$B587) = 1,$B587-Start_Date,$B587-$B586),"")</f>
        <v>1.5049618057673797E-2</v>
      </c>
      <c r="H587" s="29">
        <f>IF($B$2,IF(ROWS(B$6:$B587) = 1,IF(COUNTIFS(R_Schedule_Times,"&lt;"&amp;B587),INDEX(R_Schedule_Amounts,MATCH(B587,R_Schedule_Times,1)),Starting_Cash),IF(COUNTIFS(R_Schedule_Times,"&gt;"&amp;B586,R_Schedule_Times,"&lt;"&amp;B587),INDEX(R_Schedule_Amounts,MATCH(B587,R_Schedule_Times,1)),K586)),"")</f>
        <v>13360</v>
      </c>
      <c r="I587" s="30">
        <f t="shared" si="45"/>
        <v>100</v>
      </c>
      <c r="J587" s="31">
        <f t="shared" si="46"/>
        <v>0</v>
      </c>
      <c r="K587" s="29">
        <f t="shared" si="47"/>
        <v>13260</v>
      </c>
      <c r="L587" s="31" t="str">
        <f t="shared" si="48"/>
        <v/>
      </c>
      <c r="M587" s="31" t="str">
        <f t="shared" si="49"/>
        <v/>
      </c>
    </row>
    <row r="588" spans="1:13" x14ac:dyDescent="0.15">
      <c r="A588" s="163" t="s">
        <v>210</v>
      </c>
      <c r="B588" s="163">
        <v>42293.43792178241</v>
      </c>
      <c r="C588" s="164" t="s">
        <v>979</v>
      </c>
      <c r="D588" s="164" t="s">
        <v>13</v>
      </c>
      <c r="E588" s="165">
        <v>200</v>
      </c>
      <c r="F588" s="166">
        <v>0</v>
      </c>
      <c r="G588" s="227">
        <f>IF($B$2,IF(ROWS(B$6:$B588) = 1,$B588-Start_Date,$B588-$B587),"")</f>
        <v>4.2007060183095746E-3</v>
      </c>
      <c r="H588" s="29">
        <f>IF($B$2,IF(ROWS(B$6:$B588) = 1,IF(COUNTIFS(R_Schedule_Times,"&lt;"&amp;B588),INDEX(R_Schedule_Amounts,MATCH(B588,R_Schedule_Times,1)),Starting_Cash),IF(COUNTIFS(R_Schedule_Times,"&gt;"&amp;B587,R_Schedule_Times,"&lt;"&amp;B588),INDEX(R_Schedule_Amounts,MATCH(B588,R_Schedule_Times,1)),K587)),"")</f>
        <v>13260</v>
      </c>
      <c r="I588" s="30">
        <f t="shared" si="45"/>
        <v>200</v>
      </c>
      <c r="J588" s="31">
        <f t="shared" si="46"/>
        <v>0</v>
      </c>
      <c r="K588" s="29">
        <f t="shared" si="47"/>
        <v>13060</v>
      </c>
      <c r="L588" s="31" t="str">
        <f t="shared" si="48"/>
        <v/>
      </c>
      <c r="M588" s="31" t="str">
        <f t="shared" si="49"/>
        <v/>
      </c>
    </row>
    <row r="589" spans="1:13" x14ac:dyDescent="0.15">
      <c r="A589" s="163" t="s">
        <v>210</v>
      </c>
      <c r="B589" s="163">
        <v>42293.440517060182</v>
      </c>
      <c r="C589" s="164" t="s">
        <v>980</v>
      </c>
      <c r="D589" s="164" t="s">
        <v>13</v>
      </c>
      <c r="E589" s="165">
        <v>100</v>
      </c>
      <c r="F589" s="166">
        <v>0</v>
      </c>
      <c r="G589" s="227">
        <f>IF($B$2,IF(ROWS(B$6:$B589) = 1,$B589-Start_Date,$B589-$B588),"")</f>
        <v>2.5952777723432519E-3</v>
      </c>
      <c r="H589" s="29">
        <f>IF($B$2,IF(ROWS(B$6:$B589) = 1,IF(COUNTIFS(R_Schedule_Times,"&lt;"&amp;B589),INDEX(R_Schedule_Amounts,MATCH(B589,R_Schedule_Times,1)),Starting_Cash),IF(COUNTIFS(R_Schedule_Times,"&gt;"&amp;B588,R_Schedule_Times,"&lt;"&amp;B589),INDEX(R_Schedule_Amounts,MATCH(B589,R_Schedule_Times,1)),K588)),"")</f>
        <v>13060</v>
      </c>
      <c r="I589" s="30">
        <f t="shared" si="45"/>
        <v>100</v>
      </c>
      <c r="J589" s="31">
        <f t="shared" si="46"/>
        <v>0</v>
      </c>
      <c r="K589" s="29">
        <f t="shared" si="47"/>
        <v>12960</v>
      </c>
      <c r="L589" s="31" t="str">
        <f t="shared" si="48"/>
        <v/>
      </c>
      <c r="M589" s="31" t="str">
        <f t="shared" si="49"/>
        <v/>
      </c>
    </row>
    <row r="590" spans="1:13" x14ac:dyDescent="0.15">
      <c r="A590" s="163" t="s">
        <v>210</v>
      </c>
      <c r="B590" s="163">
        <v>42293.444903506941</v>
      </c>
      <c r="C590" s="164" t="s">
        <v>981</v>
      </c>
      <c r="D590" s="164" t="s">
        <v>13</v>
      </c>
      <c r="E590" s="165">
        <v>200</v>
      </c>
      <c r="F590" s="166">
        <v>0</v>
      </c>
      <c r="G590" s="227">
        <f>IF($B$2,IF(ROWS(B$6:$B590) = 1,$B590-Start_Date,$B590-$B589),"")</f>
        <v>4.3864467588718981E-3</v>
      </c>
      <c r="H590" s="29">
        <f>IF($B$2,IF(ROWS(B$6:$B590) = 1,IF(COUNTIFS(R_Schedule_Times,"&lt;"&amp;B590),INDEX(R_Schedule_Amounts,MATCH(B590,R_Schedule_Times,1)),Starting_Cash),IF(COUNTIFS(R_Schedule_Times,"&gt;"&amp;B589,R_Schedule_Times,"&lt;"&amp;B590),INDEX(R_Schedule_Amounts,MATCH(B590,R_Schedule_Times,1)),K589)),"")</f>
        <v>12960</v>
      </c>
      <c r="I590" s="30">
        <f t="shared" si="45"/>
        <v>200</v>
      </c>
      <c r="J590" s="31">
        <f t="shared" si="46"/>
        <v>0</v>
      </c>
      <c r="K590" s="29">
        <f t="shared" si="47"/>
        <v>12760</v>
      </c>
      <c r="L590" s="31" t="str">
        <f t="shared" si="48"/>
        <v/>
      </c>
      <c r="M590" s="31" t="str">
        <f t="shared" si="49"/>
        <v/>
      </c>
    </row>
    <row r="591" spans="1:13" x14ac:dyDescent="0.15">
      <c r="A591" s="163" t="s">
        <v>210</v>
      </c>
      <c r="B591" s="163">
        <v>42293.459687060182</v>
      </c>
      <c r="C591" s="164" t="s">
        <v>982</v>
      </c>
      <c r="D591" s="164" t="s">
        <v>13</v>
      </c>
      <c r="E591" s="165">
        <v>40</v>
      </c>
      <c r="F591" s="166">
        <v>0</v>
      </c>
      <c r="G591" s="227">
        <f>IF($B$2,IF(ROWS(B$6:$B591) = 1,$B591-Start_Date,$B591-$B590),"")</f>
        <v>1.478355324070435E-2</v>
      </c>
      <c r="H591" s="29">
        <f>IF($B$2,IF(ROWS(B$6:$B591) = 1,IF(COUNTIFS(R_Schedule_Times,"&lt;"&amp;B591),INDEX(R_Schedule_Amounts,MATCH(B591,R_Schedule_Times,1)),Starting_Cash),IF(COUNTIFS(R_Schedule_Times,"&gt;"&amp;B590,R_Schedule_Times,"&lt;"&amp;B591),INDEX(R_Schedule_Amounts,MATCH(B591,R_Schedule_Times,1)),K590)),"")</f>
        <v>12760</v>
      </c>
      <c r="I591" s="30">
        <f t="shared" si="45"/>
        <v>40</v>
      </c>
      <c r="J591" s="31">
        <f t="shared" si="46"/>
        <v>0</v>
      </c>
      <c r="K591" s="29">
        <f t="shared" si="47"/>
        <v>12720</v>
      </c>
      <c r="L591" s="31" t="str">
        <f t="shared" si="48"/>
        <v/>
      </c>
      <c r="M591" s="31" t="str">
        <f t="shared" si="49"/>
        <v/>
      </c>
    </row>
    <row r="592" spans="1:13" x14ac:dyDescent="0.15">
      <c r="A592" s="163" t="s">
        <v>210</v>
      </c>
      <c r="B592" s="163">
        <v>42293.483728784726</v>
      </c>
      <c r="C592" s="164" t="s">
        <v>983</v>
      </c>
      <c r="D592" s="164" t="s">
        <v>13</v>
      </c>
      <c r="E592" s="165">
        <v>40</v>
      </c>
      <c r="F592" s="166">
        <v>0</v>
      </c>
      <c r="G592" s="227">
        <f>IF($B$2,IF(ROWS(B$6:$B592) = 1,$B592-Start_Date,$B592-$B591),"")</f>
        <v>2.4041724544076715E-2</v>
      </c>
      <c r="H592" s="29">
        <f>IF($B$2,IF(ROWS(B$6:$B592) = 1,IF(COUNTIFS(R_Schedule_Times,"&lt;"&amp;B592),INDEX(R_Schedule_Amounts,MATCH(B592,R_Schedule_Times,1)),Starting_Cash),IF(COUNTIFS(R_Schedule_Times,"&gt;"&amp;B591,R_Schedule_Times,"&lt;"&amp;B592),INDEX(R_Schedule_Amounts,MATCH(B592,R_Schedule_Times,1)),K591)),"")</f>
        <v>12720</v>
      </c>
      <c r="I592" s="30">
        <f t="shared" si="45"/>
        <v>40</v>
      </c>
      <c r="J592" s="31">
        <f t="shared" si="46"/>
        <v>0</v>
      </c>
      <c r="K592" s="29">
        <f t="shared" si="47"/>
        <v>12680</v>
      </c>
      <c r="L592" s="31" t="str">
        <f t="shared" si="48"/>
        <v/>
      </c>
      <c r="M592" s="31" t="str">
        <f t="shared" si="49"/>
        <v/>
      </c>
    </row>
    <row r="593" spans="1:13" x14ac:dyDescent="0.15">
      <c r="A593" s="163" t="s">
        <v>210</v>
      </c>
      <c r="B593" s="163">
        <v>42293.498208854166</v>
      </c>
      <c r="C593" s="164" t="s">
        <v>984</v>
      </c>
      <c r="D593" s="164" t="s">
        <v>13</v>
      </c>
      <c r="E593" s="165">
        <v>40</v>
      </c>
      <c r="F593" s="166">
        <v>0</v>
      </c>
      <c r="G593" s="227">
        <f>IF($B$2,IF(ROWS(B$6:$B593) = 1,$B593-Start_Date,$B593-$B592),"")</f>
        <v>1.4480069439741783E-2</v>
      </c>
      <c r="H593" s="29">
        <f>IF($B$2,IF(ROWS(B$6:$B593) = 1,IF(COUNTIFS(R_Schedule_Times,"&lt;"&amp;B593),INDEX(R_Schedule_Amounts,MATCH(B593,R_Schedule_Times,1)),Starting_Cash),IF(COUNTIFS(R_Schedule_Times,"&gt;"&amp;B592,R_Schedule_Times,"&lt;"&amp;B593),INDEX(R_Schedule_Amounts,MATCH(B593,R_Schedule_Times,1)),K592)),"")</f>
        <v>12680</v>
      </c>
      <c r="I593" s="30">
        <f t="shared" si="45"/>
        <v>40</v>
      </c>
      <c r="J593" s="31">
        <f t="shared" si="46"/>
        <v>0</v>
      </c>
      <c r="K593" s="29">
        <f t="shared" si="47"/>
        <v>12640</v>
      </c>
      <c r="L593" s="31" t="str">
        <f t="shared" si="48"/>
        <v/>
      </c>
      <c r="M593" s="31" t="str">
        <f t="shared" si="49"/>
        <v/>
      </c>
    </row>
    <row r="594" spans="1:13" x14ac:dyDescent="0.15">
      <c r="A594" s="163" t="s">
        <v>210</v>
      </c>
      <c r="B594" s="163">
        <v>42293.500664317129</v>
      </c>
      <c r="C594" s="164" t="s">
        <v>985</v>
      </c>
      <c r="D594" s="164" t="s">
        <v>13</v>
      </c>
      <c r="E594" s="165">
        <v>60</v>
      </c>
      <c r="F594" s="166">
        <v>0</v>
      </c>
      <c r="G594" s="227">
        <f>IF($B$2,IF(ROWS(B$6:$B594) = 1,$B594-Start_Date,$B594-$B593),"")</f>
        <v>2.4554629635531455E-3</v>
      </c>
      <c r="H594" s="29">
        <f>IF($B$2,IF(ROWS(B$6:$B594) = 1,IF(COUNTIFS(R_Schedule_Times,"&lt;"&amp;B594),INDEX(R_Schedule_Amounts,MATCH(B594,R_Schedule_Times,1)),Starting_Cash),IF(COUNTIFS(R_Schedule_Times,"&gt;"&amp;B593,R_Schedule_Times,"&lt;"&amp;B594),INDEX(R_Schedule_Amounts,MATCH(B594,R_Schedule_Times,1)),K593)),"")</f>
        <v>12640</v>
      </c>
      <c r="I594" s="30">
        <f t="shared" si="45"/>
        <v>60</v>
      </c>
      <c r="J594" s="31">
        <f t="shared" si="46"/>
        <v>0</v>
      </c>
      <c r="K594" s="29">
        <f t="shared" si="47"/>
        <v>12580</v>
      </c>
      <c r="L594" s="31" t="str">
        <f t="shared" si="48"/>
        <v/>
      </c>
      <c r="M594" s="31" t="str">
        <f t="shared" si="49"/>
        <v/>
      </c>
    </row>
    <row r="595" spans="1:13" x14ac:dyDescent="0.15">
      <c r="A595" s="163" t="s">
        <v>210</v>
      </c>
      <c r="B595" s="163">
        <v>42293.502848101853</v>
      </c>
      <c r="C595" s="164" t="s">
        <v>986</v>
      </c>
      <c r="D595" s="164" t="s">
        <v>13</v>
      </c>
      <c r="E595" s="165">
        <v>100</v>
      </c>
      <c r="F595" s="166">
        <v>0</v>
      </c>
      <c r="G595" s="227">
        <f>IF($B$2,IF(ROWS(B$6:$B595) = 1,$B595-Start_Date,$B595-$B594),"")</f>
        <v>2.1837847234564833E-3</v>
      </c>
      <c r="H595" s="29">
        <f>IF($B$2,IF(ROWS(B$6:$B595) = 1,IF(COUNTIFS(R_Schedule_Times,"&lt;"&amp;B595),INDEX(R_Schedule_Amounts,MATCH(B595,R_Schedule_Times,1)),Starting_Cash),IF(COUNTIFS(R_Schedule_Times,"&gt;"&amp;B594,R_Schedule_Times,"&lt;"&amp;B595),INDEX(R_Schedule_Amounts,MATCH(B595,R_Schedule_Times,1)),K594)),"")</f>
        <v>12580</v>
      </c>
      <c r="I595" s="30">
        <f t="shared" si="45"/>
        <v>100</v>
      </c>
      <c r="J595" s="31">
        <f t="shared" si="46"/>
        <v>0</v>
      </c>
      <c r="K595" s="29">
        <f t="shared" si="47"/>
        <v>12480</v>
      </c>
      <c r="L595" s="31" t="str">
        <f t="shared" si="48"/>
        <v/>
      </c>
      <c r="M595" s="31" t="str">
        <f t="shared" si="49"/>
        <v/>
      </c>
    </row>
    <row r="596" spans="1:13" x14ac:dyDescent="0.15">
      <c r="A596" s="163" t="s">
        <v>210</v>
      </c>
      <c r="B596" s="163">
        <v>42293.505884375001</v>
      </c>
      <c r="C596" s="164" t="s">
        <v>987</v>
      </c>
      <c r="D596" s="164" t="s">
        <v>13</v>
      </c>
      <c r="E596" s="165">
        <v>100</v>
      </c>
      <c r="F596" s="166">
        <v>0</v>
      </c>
      <c r="G596" s="227">
        <f>IF($B$2,IF(ROWS(B$6:$B596) = 1,$B596-Start_Date,$B596-$B595),"")</f>
        <v>3.0362731486093253E-3</v>
      </c>
      <c r="H596" s="29">
        <f>IF($B$2,IF(ROWS(B$6:$B596) = 1,IF(COUNTIFS(R_Schedule_Times,"&lt;"&amp;B596),INDEX(R_Schedule_Amounts,MATCH(B596,R_Schedule_Times,1)),Starting_Cash),IF(COUNTIFS(R_Schedule_Times,"&gt;"&amp;B595,R_Schedule_Times,"&lt;"&amp;B596),INDEX(R_Schedule_Amounts,MATCH(B596,R_Schedule_Times,1)),K595)),"")</f>
        <v>12480</v>
      </c>
      <c r="I596" s="30">
        <f t="shared" si="45"/>
        <v>100</v>
      </c>
      <c r="J596" s="31">
        <f t="shared" si="46"/>
        <v>0</v>
      </c>
      <c r="K596" s="29">
        <f t="shared" si="47"/>
        <v>12380</v>
      </c>
      <c r="L596" s="31" t="str">
        <f t="shared" si="48"/>
        <v/>
      </c>
      <c r="M596" s="31" t="str">
        <f t="shared" si="49"/>
        <v/>
      </c>
    </row>
    <row r="597" spans="1:13" x14ac:dyDescent="0.15">
      <c r="A597" s="163" t="s">
        <v>210</v>
      </c>
      <c r="B597" s="163">
        <v>42293.508294733794</v>
      </c>
      <c r="C597" s="164" t="s">
        <v>988</v>
      </c>
      <c r="D597" s="164" t="s">
        <v>13</v>
      </c>
      <c r="E597" s="165">
        <v>20</v>
      </c>
      <c r="F597" s="166">
        <v>0</v>
      </c>
      <c r="G597" s="227">
        <f>IF($B$2,IF(ROWS(B$6:$B597) = 1,$B597-Start_Date,$B597-$B596),"")</f>
        <v>2.4103587929857895E-3</v>
      </c>
      <c r="H597" s="29">
        <f>IF($B$2,IF(ROWS(B$6:$B597) = 1,IF(COUNTIFS(R_Schedule_Times,"&lt;"&amp;B597),INDEX(R_Schedule_Amounts,MATCH(B597,R_Schedule_Times,1)),Starting_Cash),IF(COUNTIFS(R_Schedule_Times,"&gt;"&amp;B596,R_Schedule_Times,"&lt;"&amp;B597),INDEX(R_Schedule_Amounts,MATCH(B597,R_Schedule_Times,1)),K596)),"")</f>
        <v>12380</v>
      </c>
      <c r="I597" s="30">
        <f t="shared" si="45"/>
        <v>20</v>
      </c>
      <c r="J597" s="31">
        <f t="shared" si="46"/>
        <v>0</v>
      </c>
      <c r="K597" s="29">
        <f t="shared" si="47"/>
        <v>12360</v>
      </c>
      <c r="L597" s="31" t="str">
        <f t="shared" si="48"/>
        <v/>
      </c>
      <c r="M597" s="31" t="str">
        <f t="shared" si="49"/>
        <v/>
      </c>
    </row>
    <row r="598" spans="1:13" x14ac:dyDescent="0.15">
      <c r="A598" s="163" t="s">
        <v>210</v>
      </c>
      <c r="B598" s="163">
        <v>42293.510665891205</v>
      </c>
      <c r="C598" s="164" t="s">
        <v>989</v>
      </c>
      <c r="D598" s="164" t="s">
        <v>13</v>
      </c>
      <c r="E598" s="165">
        <v>100</v>
      </c>
      <c r="F598" s="166">
        <v>0</v>
      </c>
      <c r="G598" s="227">
        <f>IF($B$2,IF(ROWS(B$6:$B598) = 1,$B598-Start_Date,$B598-$B597),"")</f>
        <v>2.3711574103799649E-3</v>
      </c>
      <c r="H598" s="29">
        <f>IF($B$2,IF(ROWS(B$6:$B598) = 1,IF(COUNTIFS(R_Schedule_Times,"&lt;"&amp;B598),INDEX(R_Schedule_Amounts,MATCH(B598,R_Schedule_Times,1)),Starting_Cash),IF(COUNTIFS(R_Schedule_Times,"&gt;"&amp;B597,R_Schedule_Times,"&lt;"&amp;B598),INDEX(R_Schedule_Amounts,MATCH(B598,R_Schedule_Times,1)),K597)),"")</f>
        <v>12360</v>
      </c>
      <c r="I598" s="30">
        <f t="shared" si="45"/>
        <v>100</v>
      </c>
      <c r="J598" s="31">
        <f t="shared" si="46"/>
        <v>0</v>
      </c>
      <c r="K598" s="29">
        <f t="shared" si="47"/>
        <v>12260</v>
      </c>
      <c r="L598" s="31" t="str">
        <f t="shared" si="48"/>
        <v/>
      </c>
      <c r="M598" s="31" t="str">
        <f t="shared" si="49"/>
        <v/>
      </c>
    </row>
    <row r="599" spans="1:13" x14ac:dyDescent="0.15">
      <c r="A599" s="163" t="s">
        <v>210</v>
      </c>
      <c r="B599" s="163">
        <v>42293.5136221875</v>
      </c>
      <c r="C599" s="164" t="s">
        <v>990</v>
      </c>
      <c r="D599" s="164" t="s">
        <v>13</v>
      </c>
      <c r="E599" s="165">
        <v>300</v>
      </c>
      <c r="F599" s="166">
        <v>0</v>
      </c>
      <c r="G599" s="227">
        <f>IF($B$2,IF(ROWS(B$6:$B599) = 1,$B599-Start_Date,$B599-$B598),"")</f>
        <v>2.956296295451466E-3</v>
      </c>
      <c r="H599" s="29">
        <f>IF($B$2,IF(ROWS(B$6:$B599) = 1,IF(COUNTIFS(R_Schedule_Times,"&lt;"&amp;B599),INDEX(R_Schedule_Amounts,MATCH(B599,R_Schedule_Times,1)),Starting_Cash),IF(COUNTIFS(R_Schedule_Times,"&gt;"&amp;B598,R_Schedule_Times,"&lt;"&amp;B599),INDEX(R_Schedule_Amounts,MATCH(B599,R_Schedule_Times,1)),K598)),"")</f>
        <v>12260</v>
      </c>
      <c r="I599" s="30">
        <f t="shared" si="45"/>
        <v>300</v>
      </c>
      <c r="J599" s="31">
        <f t="shared" si="46"/>
        <v>0</v>
      </c>
      <c r="K599" s="29">
        <f t="shared" si="47"/>
        <v>11960</v>
      </c>
      <c r="L599" s="31" t="str">
        <f t="shared" si="48"/>
        <v/>
      </c>
      <c r="M599" s="31" t="str">
        <f t="shared" si="49"/>
        <v/>
      </c>
    </row>
    <row r="600" spans="1:13" x14ac:dyDescent="0.15">
      <c r="A600" s="163" t="s">
        <v>210</v>
      </c>
      <c r="B600" s="163">
        <v>42293.53777920139</v>
      </c>
      <c r="C600" s="164" t="s">
        <v>991</v>
      </c>
      <c r="D600" s="164" t="s">
        <v>13</v>
      </c>
      <c r="E600" s="165">
        <v>100</v>
      </c>
      <c r="F600" s="166">
        <v>0</v>
      </c>
      <c r="G600" s="227">
        <f>IF($B$2,IF(ROWS(B$6:$B600) = 1,$B600-Start_Date,$B600-$B599),"")</f>
        <v>2.4157013889634982E-2</v>
      </c>
      <c r="H600" s="29">
        <f>IF($B$2,IF(ROWS(B$6:$B600) = 1,IF(COUNTIFS(R_Schedule_Times,"&lt;"&amp;B600),INDEX(R_Schedule_Amounts,MATCH(B600,R_Schedule_Times,1)),Starting_Cash),IF(COUNTIFS(R_Schedule_Times,"&gt;"&amp;B599,R_Schedule_Times,"&lt;"&amp;B600),INDEX(R_Schedule_Amounts,MATCH(B600,R_Schedule_Times,1)),K599)),"")</f>
        <v>11960</v>
      </c>
      <c r="I600" s="30">
        <f t="shared" si="45"/>
        <v>100</v>
      </c>
      <c r="J600" s="31">
        <f t="shared" si="46"/>
        <v>0</v>
      </c>
      <c r="K600" s="29">
        <f t="shared" si="47"/>
        <v>11860</v>
      </c>
      <c r="L600" s="31" t="str">
        <f t="shared" si="48"/>
        <v/>
      </c>
      <c r="M600" s="31" t="str">
        <f t="shared" si="49"/>
        <v/>
      </c>
    </row>
    <row r="601" spans="1:13" x14ac:dyDescent="0.15">
      <c r="A601" s="163" t="s">
        <v>210</v>
      </c>
      <c r="B601" s="163">
        <v>42293.539597870367</v>
      </c>
      <c r="C601" s="164" t="s">
        <v>992</v>
      </c>
      <c r="D601" s="164" t="s">
        <v>13</v>
      </c>
      <c r="E601" s="165">
        <v>100</v>
      </c>
      <c r="F601" s="166">
        <v>0</v>
      </c>
      <c r="G601" s="227">
        <f>IF($B$2,IF(ROWS(B$6:$B601) = 1,$B601-Start_Date,$B601-$B600),"")</f>
        <v>1.8186689776484855E-3</v>
      </c>
      <c r="H601" s="29">
        <f>IF($B$2,IF(ROWS(B$6:$B601) = 1,IF(COUNTIFS(R_Schedule_Times,"&lt;"&amp;B601),INDEX(R_Schedule_Amounts,MATCH(B601,R_Schedule_Times,1)),Starting_Cash),IF(COUNTIFS(R_Schedule_Times,"&gt;"&amp;B600,R_Schedule_Times,"&lt;"&amp;B601),INDEX(R_Schedule_Amounts,MATCH(B601,R_Schedule_Times,1)),K600)),"")</f>
        <v>11860</v>
      </c>
      <c r="I601" s="30">
        <f t="shared" si="45"/>
        <v>100</v>
      </c>
      <c r="J601" s="31">
        <f t="shared" si="46"/>
        <v>0</v>
      </c>
      <c r="K601" s="29">
        <f t="shared" si="47"/>
        <v>11760</v>
      </c>
      <c r="L601" s="31" t="str">
        <f t="shared" si="48"/>
        <v/>
      </c>
      <c r="M601" s="31" t="str">
        <f t="shared" si="49"/>
        <v/>
      </c>
    </row>
    <row r="602" spans="1:13" x14ac:dyDescent="0.15">
      <c r="A602" s="163" t="s">
        <v>210</v>
      </c>
      <c r="B602" s="163">
        <v>42293.557081666666</v>
      </c>
      <c r="C602" s="164" t="s">
        <v>993</v>
      </c>
      <c r="D602" s="164" t="s">
        <v>13</v>
      </c>
      <c r="E602" s="165">
        <v>100</v>
      </c>
      <c r="F602" s="166">
        <v>0</v>
      </c>
      <c r="G602" s="227">
        <f>IF($B$2,IF(ROWS(B$6:$B602) = 1,$B602-Start_Date,$B602-$B601),"")</f>
        <v>1.7483796298620291E-2</v>
      </c>
      <c r="H602" s="29">
        <f>IF($B$2,IF(ROWS(B$6:$B602) = 1,IF(COUNTIFS(R_Schedule_Times,"&lt;"&amp;B602),INDEX(R_Schedule_Amounts,MATCH(B602,R_Schedule_Times,1)),Starting_Cash),IF(COUNTIFS(R_Schedule_Times,"&gt;"&amp;B601,R_Schedule_Times,"&lt;"&amp;B602),INDEX(R_Schedule_Amounts,MATCH(B602,R_Schedule_Times,1)),K601)),"")</f>
        <v>11760</v>
      </c>
      <c r="I602" s="30">
        <f t="shared" si="45"/>
        <v>100</v>
      </c>
      <c r="J602" s="31">
        <f t="shared" si="46"/>
        <v>0</v>
      </c>
      <c r="K602" s="29">
        <f t="shared" si="47"/>
        <v>11660</v>
      </c>
      <c r="L602" s="31" t="str">
        <f t="shared" si="48"/>
        <v/>
      </c>
      <c r="M602" s="31" t="str">
        <f t="shared" si="49"/>
        <v/>
      </c>
    </row>
    <row r="603" spans="1:13" x14ac:dyDescent="0.15">
      <c r="A603" s="163" t="s">
        <v>210</v>
      </c>
      <c r="B603" s="163">
        <v>42293.586546087965</v>
      </c>
      <c r="C603" s="164" t="s">
        <v>994</v>
      </c>
      <c r="D603" s="164" t="s">
        <v>13</v>
      </c>
      <c r="E603" s="165">
        <v>60</v>
      </c>
      <c r="F603" s="166">
        <v>0</v>
      </c>
      <c r="G603" s="227">
        <f>IF($B$2,IF(ROWS(B$6:$B603) = 1,$B603-Start_Date,$B603-$B602),"")</f>
        <v>2.9464421299053356E-2</v>
      </c>
      <c r="H603" s="29">
        <f>IF($B$2,IF(ROWS(B$6:$B603) = 1,IF(COUNTIFS(R_Schedule_Times,"&lt;"&amp;B603),INDEX(R_Schedule_Amounts,MATCH(B603,R_Schedule_Times,1)),Starting_Cash),IF(COUNTIFS(R_Schedule_Times,"&gt;"&amp;B602,R_Schedule_Times,"&lt;"&amp;B603),INDEX(R_Schedule_Amounts,MATCH(B603,R_Schedule_Times,1)),K602)),"")</f>
        <v>11660</v>
      </c>
      <c r="I603" s="30">
        <f t="shared" si="45"/>
        <v>60</v>
      </c>
      <c r="J603" s="31">
        <f t="shared" si="46"/>
        <v>0</v>
      </c>
      <c r="K603" s="29">
        <f t="shared" si="47"/>
        <v>11600</v>
      </c>
      <c r="L603" s="31" t="str">
        <f t="shared" si="48"/>
        <v/>
      </c>
      <c r="M603" s="31" t="str">
        <f t="shared" si="49"/>
        <v/>
      </c>
    </row>
    <row r="604" spans="1:13" x14ac:dyDescent="0.15">
      <c r="A604" s="163" t="s">
        <v>210</v>
      </c>
      <c r="B604" s="163">
        <v>42293.587591770833</v>
      </c>
      <c r="C604" s="164" t="s">
        <v>347</v>
      </c>
      <c r="D604" s="164" t="s">
        <v>13</v>
      </c>
      <c r="E604" s="165">
        <v>100</v>
      </c>
      <c r="F604" s="166">
        <v>0</v>
      </c>
      <c r="G604" s="227">
        <f>IF($B$2,IF(ROWS(B$6:$B604) = 1,$B604-Start_Date,$B604-$B603),"")</f>
        <v>1.0456828676979057E-3</v>
      </c>
      <c r="H604" s="29">
        <f>IF($B$2,IF(ROWS(B$6:$B604) = 1,IF(COUNTIFS(R_Schedule_Times,"&lt;"&amp;B604),INDEX(R_Schedule_Amounts,MATCH(B604,R_Schedule_Times,1)),Starting_Cash),IF(COUNTIFS(R_Schedule_Times,"&gt;"&amp;B603,R_Schedule_Times,"&lt;"&amp;B604),INDEX(R_Schedule_Amounts,MATCH(B604,R_Schedule_Times,1)),K603)),"")</f>
        <v>11600</v>
      </c>
      <c r="I604" s="30">
        <f t="shared" si="45"/>
        <v>100</v>
      </c>
      <c r="J604" s="31">
        <f t="shared" si="46"/>
        <v>0</v>
      </c>
      <c r="K604" s="29">
        <f t="shared" si="47"/>
        <v>11500</v>
      </c>
      <c r="L604" s="31" t="str">
        <f t="shared" si="48"/>
        <v/>
      </c>
      <c r="M604" s="31" t="str">
        <f t="shared" si="49"/>
        <v/>
      </c>
    </row>
    <row r="605" spans="1:13" x14ac:dyDescent="0.15">
      <c r="A605" s="163" t="s">
        <v>210</v>
      </c>
      <c r="B605" s="163">
        <v>42293.591035081015</v>
      </c>
      <c r="C605" s="164" t="s">
        <v>995</v>
      </c>
      <c r="D605" s="164" t="s">
        <v>13</v>
      </c>
      <c r="E605" s="165">
        <v>20</v>
      </c>
      <c r="F605" s="166">
        <v>0</v>
      </c>
      <c r="G605" s="227">
        <f>IF($B$2,IF(ROWS(B$6:$B605) = 1,$B605-Start_Date,$B605-$B604),"")</f>
        <v>3.4433101827744395E-3</v>
      </c>
      <c r="H605" s="29">
        <f>IF($B$2,IF(ROWS(B$6:$B605) = 1,IF(COUNTIFS(R_Schedule_Times,"&lt;"&amp;B605),INDEX(R_Schedule_Amounts,MATCH(B605,R_Schedule_Times,1)),Starting_Cash),IF(COUNTIFS(R_Schedule_Times,"&gt;"&amp;B604,R_Schedule_Times,"&lt;"&amp;B605),INDEX(R_Schedule_Amounts,MATCH(B605,R_Schedule_Times,1)),K604)),"")</f>
        <v>11500</v>
      </c>
      <c r="I605" s="30">
        <f t="shared" si="45"/>
        <v>20</v>
      </c>
      <c r="J605" s="31">
        <f t="shared" si="46"/>
        <v>0</v>
      </c>
      <c r="K605" s="29">
        <f t="shared" si="47"/>
        <v>11480</v>
      </c>
      <c r="L605" s="31" t="str">
        <f t="shared" si="48"/>
        <v/>
      </c>
      <c r="M605" s="31" t="str">
        <f t="shared" si="49"/>
        <v/>
      </c>
    </row>
    <row r="606" spans="1:13" x14ac:dyDescent="0.15">
      <c r="A606" s="163" t="s">
        <v>210</v>
      </c>
      <c r="B606" s="163">
        <v>42293.630287939814</v>
      </c>
      <c r="C606" s="164" t="s">
        <v>996</v>
      </c>
      <c r="D606" s="164" t="s">
        <v>13</v>
      </c>
      <c r="E606" s="165">
        <v>40</v>
      </c>
      <c r="F606" s="166">
        <v>0</v>
      </c>
      <c r="G606" s="227">
        <f>IF($B$2,IF(ROWS(B$6:$B606) = 1,$B606-Start_Date,$B606-$B605),"")</f>
        <v>3.9252858798136003E-2</v>
      </c>
      <c r="H606" s="29">
        <f>IF($B$2,IF(ROWS(B$6:$B606) = 1,IF(COUNTIFS(R_Schedule_Times,"&lt;"&amp;B606),INDEX(R_Schedule_Amounts,MATCH(B606,R_Schedule_Times,1)),Starting_Cash),IF(COUNTIFS(R_Schedule_Times,"&gt;"&amp;B605,R_Schedule_Times,"&lt;"&amp;B606),INDEX(R_Schedule_Amounts,MATCH(B606,R_Schedule_Times,1)),K605)),"")</f>
        <v>11480</v>
      </c>
      <c r="I606" s="30">
        <f t="shared" si="45"/>
        <v>40</v>
      </c>
      <c r="J606" s="31">
        <f t="shared" si="46"/>
        <v>0</v>
      </c>
      <c r="K606" s="29">
        <f t="shared" si="47"/>
        <v>11440</v>
      </c>
      <c r="L606" s="31" t="str">
        <f t="shared" si="48"/>
        <v/>
      </c>
      <c r="M606" s="31" t="str">
        <f t="shared" si="49"/>
        <v/>
      </c>
    </row>
    <row r="607" spans="1:13" x14ac:dyDescent="0.15">
      <c r="A607" s="163" t="s">
        <v>210</v>
      </c>
      <c r="B607" s="163">
        <v>42293.636700555558</v>
      </c>
      <c r="C607" s="164" t="s">
        <v>351</v>
      </c>
      <c r="D607" s="164" t="s">
        <v>13</v>
      </c>
      <c r="E607" s="165">
        <v>60</v>
      </c>
      <c r="F607" s="166">
        <v>0</v>
      </c>
      <c r="G607" s="227">
        <f>IF($B$2,IF(ROWS(B$6:$B607) = 1,$B607-Start_Date,$B607-$B606),"")</f>
        <v>6.4126157449209131E-3</v>
      </c>
      <c r="H607" s="29">
        <f>IF($B$2,IF(ROWS(B$6:$B607) = 1,IF(COUNTIFS(R_Schedule_Times,"&lt;"&amp;B607),INDEX(R_Schedule_Amounts,MATCH(B607,R_Schedule_Times,1)),Starting_Cash),IF(COUNTIFS(R_Schedule_Times,"&gt;"&amp;B606,R_Schedule_Times,"&lt;"&amp;B607),INDEX(R_Schedule_Amounts,MATCH(B607,R_Schedule_Times,1)),K606)),"")</f>
        <v>11440</v>
      </c>
      <c r="I607" s="30">
        <f t="shared" si="45"/>
        <v>60</v>
      </c>
      <c r="J607" s="31">
        <f t="shared" si="46"/>
        <v>0</v>
      </c>
      <c r="K607" s="29">
        <f t="shared" si="47"/>
        <v>11380</v>
      </c>
      <c r="L607" s="31" t="str">
        <f t="shared" si="48"/>
        <v/>
      </c>
      <c r="M607" s="31" t="str">
        <f t="shared" si="49"/>
        <v/>
      </c>
    </row>
    <row r="608" spans="1:13" x14ac:dyDescent="0.15">
      <c r="A608" s="163" t="s">
        <v>210</v>
      </c>
      <c r="B608" s="163">
        <v>42293.643453518518</v>
      </c>
      <c r="C608" s="164" t="s">
        <v>14</v>
      </c>
      <c r="D608" s="164" t="s">
        <v>13</v>
      </c>
      <c r="E608" s="165">
        <v>200</v>
      </c>
      <c r="F608" s="166">
        <v>3.5</v>
      </c>
      <c r="G608" s="227">
        <f>IF($B$2,IF(ROWS(B$6:$B608) = 1,$B608-Start_Date,$B608-$B607),"")</f>
        <v>6.7529629595810547E-3</v>
      </c>
      <c r="H608" s="29">
        <f>IF($B$2,IF(ROWS(B$6:$B608) = 1,IF(COUNTIFS(R_Schedule_Times,"&lt;"&amp;B608),INDEX(R_Schedule_Amounts,MATCH(B608,R_Schedule_Times,1)),Starting_Cash),IF(COUNTIFS(R_Schedule_Times,"&gt;"&amp;B607,R_Schedule_Times,"&lt;"&amp;B608),INDEX(R_Schedule_Amounts,MATCH(B608,R_Schedule_Times,1)),K607)),"")</f>
        <v>11380</v>
      </c>
      <c r="I608" s="30">
        <f t="shared" si="45"/>
        <v>200</v>
      </c>
      <c r="J608" s="31">
        <f t="shared" si="46"/>
        <v>3.5</v>
      </c>
      <c r="K608" s="29">
        <f t="shared" si="47"/>
        <v>11180</v>
      </c>
      <c r="L608" s="31" t="str">
        <f t="shared" si="48"/>
        <v/>
      </c>
      <c r="M608" s="31" t="str">
        <f t="shared" si="49"/>
        <v/>
      </c>
    </row>
    <row r="609" spans="1:13" x14ac:dyDescent="0.15">
      <c r="A609" s="163" t="s">
        <v>210</v>
      </c>
      <c r="B609" s="163">
        <v>42293.656584259261</v>
      </c>
      <c r="C609" s="164" t="s">
        <v>997</v>
      </c>
      <c r="D609" s="164" t="s">
        <v>15</v>
      </c>
      <c r="E609" s="165">
        <v>40</v>
      </c>
      <c r="F609" s="166">
        <v>1.2</v>
      </c>
      <c r="G609" s="227">
        <f>IF($B$2,IF(ROWS(B$6:$B609) = 1,$B609-Start_Date,$B609-$B608),"")</f>
        <v>1.31307407427812E-2</v>
      </c>
      <c r="H609" s="29">
        <f>IF($B$2,IF(ROWS(B$6:$B609) = 1,IF(COUNTIFS(R_Schedule_Times,"&lt;"&amp;B609),INDEX(R_Schedule_Amounts,MATCH(B609,R_Schedule_Times,1)),Starting_Cash),IF(COUNTIFS(R_Schedule_Times,"&gt;"&amp;B608,R_Schedule_Times,"&lt;"&amp;B609),INDEX(R_Schedule_Amounts,MATCH(B609,R_Schedule_Times,1)),K608)),"")</f>
        <v>11180</v>
      </c>
      <c r="I609" s="30">
        <f t="shared" si="45"/>
        <v>40</v>
      </c>
      <c r="J609" s="31">
        <f t="shared" si="46"/>
        <v>1.2</v>
      </c>
      <c r="K609" s="29">
        <f t="shared" si="47"/>
        <v>11140</v>
      </c>
      <c r="L609" s="31" t="str">
        <f t="shared" si="48"/>
        <v/>
      </c>
      <c r="M609" s="31" t="str">
        <f t="shared" si="49"/>
        <v/>
      </c>
    </row>
    <row r="610" spans="1:13" x14ac:dyDescent="0.15">
      <c r="A610" s="163" t="s">
        <v>210</v>
      </c>
      <c r="B610" s="163">
        <v>42293.657166655095</v>
      </c>
      <c r="C610" s="164" t="s">
        <v>74</v>
      </c>
      <c r="D610" s="164" t="s">
        <v>13</v>
      </c>
      <c r="E610" s="165">
        <v>80</v>
      </c>
      <c r="F610" s="166">
        <v>0</v>
      </c>
      <c r="G610" s="227">
        <f>IF($B$2,IF(ROWS(B$6:$B610) = 1,$B610-Start_Date,$B610-$B609),"")</f>
        <v>5.8239583449903876E-4</v>
      </c>
      <c r="H610" s="29">
        <f>IF($B$2,IF(ROWS(B$6:$B610) = 1,IF(COUNTIFS(R_Schedule_Times,"&lt;"&amp;B610),INDEX(R_Schedule_Amounts,MATCH(B610,R_Schedule_Times,1)),Starting_Cash),IF(COUNTIFS(R_Schedule_Times,"&gt;"&amp;B609,R_Schedule_Times,"&lt;"&amp;B610),INDEX(R_Schedule_Amounts,MATCH(B610,R_Schedule_Times,1)),K609)),"")</f>
        <v>11140</v>
      </c>
      <c r="I610" s="30">
        <f t="shared" si="45"/>
        <v>80</v>
      </c>
      <c r="J610" s="31">
        <f t="shared" si="46"/>
        <v>0</v>
      </c>
      <c r="K610" s="29">
        <f t="shared" si="47"/>
        <v>11060</v>
      </c>
      <c r="L610" s="31" t="str">
        <f t="shared" si="48"/>
        <v/>
      </c>
      <c r="M610" s="31" t="str">
        <f t="shared" si="49"/>
        <v/>
      </c>
    </row>
    <row r="611" spans="1:13" x14ac:dyDescent="0.15">
      <c r="A611" s="163" t="s">
        <v>210</v>
      </c>
      <c r="B611" s="163">
        <v>42293.65779957176</v>
      </c>
      <c r="C611" s="164" t="s">
        <v>998</v>
      </c>
      <c r="D611" s="164" t="s">
        <v>13</v>
      </c>
      <c r="E611" s="165">
        <v>40</v>
      </c>
      <c r="F611" s="166">
        <v>0</v>
      </c>
      <c r="G611" s="227">
        <f>IF($B$2,IF(ROWS(B$6:$B611) = 1,$B611-Start_Date,$B611-$B610),"")</f>
        <v>6.329166644718498E-4</v>
      </c>
      <c r="H611" s="29">
        <f>IF($B$2,IF(ROWS(B$6:$B611) = 1,IF(COUNTIFS(R_Schedule_Times,"&lt;"&amp;B611),INDEX(R_Schedule_Amounts,MATCH(B611,R_Schedule_Times,1)),Starting_Cash),IF(COUNTIFS(R_Schedule_Times,"&gt;"&amp;B610,R_Schedule_Times,"&lt;"&amp;B611),INDEX(R_Schedule_Amounts,MATCH(B611,R_Schedule_Times,1)),K610)),"")</f>
        <v>11060</v>
      </c>
      <c r="I611" s="30">
        <f t="shared" si="45"/>
        <v>40</v>
      </c>
      <c r="J611" s="31">
        <f t="shared" si="46"/>
        <v>0</v>
      </c>
      <c r="K611" s="29">
        <f t="shared" si="47"/>
        <v>11020</v>
      </c>
      <c r="L611" s="31" t="str">
        <f t="shared" si="48"/>
        <v/>
      </c>
      <c r="M611" s="31" t="str">
        <f t="shared" si="49"/>
        <v/>
      </c>
    </row>
    <row r="612" spans="1:13" x14ac:dyDescent="0.15">
      <c r="A612" s="163" t="s">
        <v>210</v>
      </c>
      <c r="B612" s="163">
        <v>42293.659338680554</v>
      </c>
      <c r="C612" s="164" t="s">
        <v>999</v>
      </c>
      <c r="D612" s="164" t="s">
        <v>13</v>
      </c>
      <c r="E612" s="165">
        <v>40</v>
      </c>
      <c r="F612" s="166">
        <v>0</v>
      </c>
      <c r="G612" s="227">
        <f>IF($B$2,IF(ROWS(B$6:$B612) = 1,$B612-Start_Date,$B612-$B611),"")</f>
        <v>1.539108794531785E-3</v>
      </c>
      <c r="H612" s="29">
        <f>IF($B$2,IF(ROWS(B$6:$B612) = 1,IF(COUNTIFS(R_Schedule_Times,"&lt;"&amp;B612),INDEX(R_Schedule_Amounts,MATCH(B612,R_Schedule_Times,1)),Starting_Cash),IF(COUNTIFS(R_Schedule_Times,"&gt;"&amp;B611,R_Schedule_Times,"&lt;"&amp;B612),INDEX(R_Schedule_Amounts,MATCH(B612,R_Schedule_Times,1)),K611)),"")</f>
        <v>11020</v>
      </c>
      <c r="I612" s="30">
        <f t="shared" si="45"/>
        <v>40</v>
      </c>
      <c r="J612" s="31">
        <f t="shared" si="46"/>
        <v>0</v>
      </c>
      <c r="K612" s="29">
        <f t="shared" si="47"/>
        <v>10980</v>
      </c>
      <c r="L612" s="31" t="str">
        <f t="shared" si="48"/>
        <v/>
      </c>
      <c r="M612" s="31" t="str">
        <f t="shared" si="49"/>
        <v/>
      </c>
    </row>
    <row r="613" spans="1:13" x14ac:dyDescent="0.15">
      <c r="A613" s="163" t="s">
        <v>210</v>
      </c>
      <c r="B613" s="163">
        <v>42293.660075381944</v>
      </c>
      <c r="C613" s="164" t="s">
        <v>1000</v>
      </c>
      <c r="D613" s="164" t="s">
        <v>13</v>
      </c>
      <c r="E613" s="165">
        <v>100</v>
      </c>
      <c r="F613" s="166">
        <v>0</v>
      </c>
      <c r="G613" s="227">
        <f>IF($B$2,IF(ROWS(B$6:$B613) = 1,$B613-Start_Date,$B613-$B612),"")</f>
        <v>7.3670138954184949E-4</v>
      </c>
      <c r="H613" s="29">
        <f>IF($B$2,IF(ROWS(B$6:$B613) = 1,IF(COUNTIFS(R_Schedule_Times,"&lt;"&amp;B613),INDEX(R_Schedule_Amounts,MATCH(B613,R_Schedule_Times,1)),Starting_Cash),IF(COUNTIFS(R_Schedule_Times,"&gt;"&amp;B612,R_Schedule_Times,"&lt;"&amp;B613),INDEX(R_Schedule_Amounts,MATCH(B613,R_Schedule_Times,1)),K612)),"")</f>
        <v>10980</v>
      </c>
      <c r="I613" s="30">
        <f t="shared" si="45"/>
        <v>100</v>
      </c>
      <c r="J613" s="31">
        <f t="shared" si="46"/>
        <v>0</v>
      </c>
      <c r="K613" s="29">
        <f t="shared" si="47"/>
        <v>10880</v>
      </c>
      <c r="L613" s="31" t="str">
        <f t="shared" si="48"/>
        <v/>
      </c>
      <c r="M613" s="31" t="str">
        <f t="shared" si="49"/>
        <v/>
      </c>
    </row>
    <row r="614" spans="1:13" x14ac:dyDescent="0.15">
      <c r="A614" s="163" t="s">
        <v>210</v>
      </c>
      <c r="B614" s="163">
        <v>42293.664248541667</v>
      </c>
      <c r="C614" s="164" t="s">
        <v>1001</v>
      </c>
      <c r="D614" s="164" t="s">
        <v>13</v>
      </c>
      <c r="E614" s="165">
        <v>40</v>
      </c>
      <c r="F614" s="166">
        <v>0</v>
      </c>
      <c r="G614" s="227">
        <f>IF($B$2,IF(ROWS(B$6:$B614) = 1,$B614-Start_Date,$B614-$B613),"")</f>
        <v>4.1731597229954787E-3</v>
      </c>
      <c r="H614" s="29">
        <f>IF($B$2,IF(ROWS(B$6:$B614) = 1,IF(COUNTIFS(R_Schedule_Times,"&lt;"&amp;B614),INDEX(R_Schedule_Amounts,MATCH(B614,R_Schedule_Times,1)),Starting_Cash),IF(COUNTIFS(R_Schedule_Times,"&gt;"&amp;B613,R_Schedule_Times,"&lt;"&amp;B614),INDEX(R_Schedule_Amounts,MATCH(B614,R_Schedule_Times,1)),K613)),"")</f>
        <v>10880</v>
      </c>
      <c r="I614" s="30">
        <f t="shared" si="45"/>
        <v>40</v>
      </c>
      <c r="J614" s="31">
        <f t="shared" si="46"/>
        <v>0</v>
      </c>
      <c r="K614" s="29">
        <f t="shared" si="47"/>
        <v>10840</v>
      </c>
      <c r="L614" s="31" t="str">
        <f t="shared" si="48"/>
        <v/>
      </c>
      <c r="M614" s="31" t="str">
        <f t="shared" si="49"/>
        <v/>
      </c>
    </row>
    <row r="615" spans="1:13" x14ac:dyDescent="0.15">
      <c r="A615" s="163" t="s">
        <v>210</v>
      </c>
      <c r="B615" s="163">
        <v>42293.701612893521</v>
      </c>
      <c r="C615" s="164" t="s">
        <v>1002</v>
      </c>
      <c r="D615" s="164" t="s">
        <v>13</v>
      </c>
      <c r="E615" s="165">
        <v>20</v>
      </c>
      <c r="F615" s="166">
        <v>0</v>
      </c>
      <c r="G615" s="227">
        <f>IF($B$2,IF(ROWS(B$6:$B615) = 1,$B615-Start_Date,$B615-$B614),"")</f>
        <v>3.7364351854193956E-2</v>
      </c>
      <c r="H615" s="29">
        <f>IF($B$2,IF(ROWS(B$6:$B615) = 1,IF(COUNTIFS(R_Schedule_Times,"&lt;"&amp;B615),INDEX(R_Schedule_Amounts,MATCH(B615,R_Schedule_Times,1)),Starting_Cash),IF(COUNTIFS(R_Schedule_Times,"&gt;"&amp;B614,R_Schedule_Times,"&lt;"&amp;B615),INDEX(R_Schedule_Amounts,MATCH(B615,R_Schedule_Times,1)),K614)),"")</f>
        <v>10840</v>
      </c>
      <c r="I615" s="30">
        <f t="shared" si="45"/>
        <v>20</v>
      </c>
      <c r="J615" s="31">
        <f t="shared" si="46"/>
        <v>0</v>
      </c>
      <c r="K615" s="29">
        <f t="shared" si="47"/>
        <v>10820</v>
      </c>
      <c r="L615" s="31" t="str">
        <f t="shared" si="48"/>
        <v/>
      </c>
      <c r="M615" s="31" t="str">
        <f t="shared" si="49"/>
        <v/>
      </c>
    </row>
    <row r="616" spans="1:13" x14ac:dyDescent="0.15">
      <c r="A616" s="163" t="s">
        <v>210</v>
      </c>
      <c r="B616" s="163">
        <v>42293.758072962963</v>
      </c>
      <c r="C616" s="164" t="s">
        <v>1003</v>
      </c>
      <c r="D616" s="164" t="s">
        <v>13</v>
      </c>
      <c r="E616" s="165">
        <v>60</v>
      </c>
      <c r="F616" s="166">
        <v>0</v>
      </c>
      <c r="G616" s="227">
        <f>IF($B$2,IF(ROWS(B$6:$B616) = 1,$B616-Start_Date,$B616-$B615),"")</f>
        <v>5.6460069441527594E-2</v>
      </c>
      <c r="H616" s="29">
        <f>IF($B$2,IF(ROWS(B$6:$B616) = 1,IF(COUNTIFS(R_Schedule_Times,"&lt;"&amp;B616),INDEX(R_Schedule_Amounts,MATCH(B616,R_Schedule_Times,1)),Starting_Cash),IF(COUNTIFS(R_Schedule_Times,"&gt;"&amp;B615,R_Schedule_Times,"&lt;"&amp;B616),INDEX(R_Schedule_Amounts,MATCH(B616,R_Schedule_Times,1)),K615)),"")</f>
        <v>10820</v>
      </c>
      <c r="I616" s="30">
        <f t="shared" si="45"/>
        <v>60</v>
      </c>
      <c r="J616" s="31">
        <f t="shared" si="46"/>
        <v>0</v>
      </c>
      <c r="K616" s="29">
        <f t="shared" si="47"/>
        <v>10760</v>
      </c>
      <c r="L616" s="31" t="str">
        <f t="shared" si="48"/>
        <v/>
      </c>
      <c r="M616" s="31" t="str">
        <f t="shared" si="49"/>
        <v/>
      </c>
    </row>
    <row r="617" spans="1:13" x14ac:dyDescent="0.15">
      <c r="A617" s="163" t="s">
        <v>210</v>
      </c>
      <c r="B617" s="163">
        <v>42293.766176863428</v>
      </c>
      <c r="C617" s="164" t="s">
        <v>1004</v>
      </c>
      <c r="D617" s="164" t="s">
        <v>13</v>
      </c>
      <c r="E617" s="165">
        <v>40</v>
      </c>
      <c r="F617" s="166">
        <v>0</v>
      </c>
      <c r="G617" s="227">
        <f>IF($B$2,IF(ROWS(B$6:$B617) = 1,$B617-Start_Date,$B617-$B616),"")</f>
        <v>8.103900465357583E-3</v>
      </c>
      <c r="H617" s="29">
        <f>IF($B$2,IF(ROWS(B$6:$B617) = 1,IF(COUNTIFS(R_Schedule_Times,"&lt;"&amp;B617),INDEX(R_Schedule_Amounts,MATCH(B617,R_Schedule_Times,1)),Starting_Cash),IF(COUNTIFS(R_Schedule_Times,"&gt;"&amp;B616,R_Schedule_Times,"&lt;"&amp;B617),INDEX(R_Schedule_Amounts,MATCH(B617,R_Schedule_Times,1)),K616)),"")</f>
        <v>10760</v>
      </c>
      <c r="I617" s="30">
        <f t="shared" si="45"/>
        <v>40</v>
      </c>
      <c r="J617" s="31">
        <f t="shared" si="46"/>
        <v>0</v>
      </c>
      <c r="K617" s="29">
        <f t="shared" si="47"/>
        <v>10720</v>
      </c>
      <c r="L617" s="31" t="str">
        <f t="shared" si="48"/>
        <v/>
      </c>
      <c r="M617" s="31" t="str">
        <f t="shared" si="49"/>
        <v/>
      </c>
    </row>
    <row r="618" spans="1:13" x14ac:dyDescent="0.15">
      <c r="A618" s="163" t="s">
        <v>210</v>
      </c>
      <c r="B618" s="163">
        <v>42293.781270671294</v>
      </c>
      <c r="C618" s="164" t="s">
        <v>352</v>
      </c>
      <c r="D618" s="164" t="s">
        <v>13</v>
      </c>
      <c r="E618" s="165">
        <v>100</v>
      </c>
      <c r="F618" s="166">
        <v>0</v>
      </c>
      <c r="G618" s="227">
        <f>IF($B$2,IF(ROWS(B$6:$B618) = 1,$B618-Start_Date,$B618-$B617),"")</f>
        <v>1.5093807865923736E-2</v>
      </c>
      <c r="H618" s="29">
        <f>IF($B$2,IF(ROWS(B$6:$B618) = 1,IF(COUNTIFS(R_Schedule_Times,"&lt;"&amp;B618),INDEX(R_Schedule_Amounts,MATCH(B618,R_Schedule_Times,1)),Starting_Cash),IF(COUNTIFS(R_Schedule_Times,"&gt;"&amp;B617,R_Schedule_Times,"&lt;"&amp;B618),INDEX(R_Schedule_Amounts,MATCH(B618,R_Schedule_Times,1)),K617)),"")</f>
        <v>10720</v>
      </c>
      <c r="I618" s="30">
        <f t="shared" si="45"/>
        <v>100</v>
      </c>
      <c r="J618" s="31">
        <f t="shared" si="46"/>
        <v>0</v>
      </c>
      <c r="K618" s="29">
        <f t="shared" si="47"/>
        <v>10620</v>
      </c>
      <c r="L618" s="31" t="str">
        <f t="shared" si="48"/>
        <v/>
      </c>
      <c r="M618" s="31" t="str">
        <f t="shared" si="49"/>
        <v/>
      </c>
    </row>
    <row r="619" spans="1:13" x14ac:dyDescent="0.15">
      <c r="A619" s="163" t="s">
        <v>210</v>
      </c>
      <c r="B619" s="163">
        <v>42293.784770300925</v>
      </c>
      <c r="C619" s="164" t="s">
        <v>1005</v>
      </c>
      <c r="D619" s="164" t="s">
        <v>13</v>
      </c>
      <c r="E619" s="165">
        <v>500</v>
      </c>
      <c r="F619" s="166">
        <v>0</v>
      </c>
      <c r="G619" s="227">
        <f>IF($B$2,IF(ROWS(B$6:$B619) = 1,$B619-Start_Date,$B619-$B618),"")</f>
        <v>3.4996296308236197E-3</v>
      </c>
      <c r="H619" s="29">
        <f>IF($B$2,IF(ROWS(B$6:$B619) = 1,IF(COUNTIFS(R_Schedule_Times,"&lt;"&amp;B619),INDEX(R_Schedule_Amounts,MATCH(B619,R_Schedule_Times,1)),Starting_Cash),IF(COUNTIFS(R_Schedule_Times,"&gt;"&amp;B618,R_Schedule_Times,"&lt;"&amp;B619),INDEX(R_Schedule_Amounts,MATCH(B619,R_Schedule_Times,1)),K618)),"")</f>
        <v>10620</v>
      </c>
      <c r="I619" s="30">
        <f t="shared" si="45"/>
        <v>500</v>
      </c>
      <c r="J619" s="31">
        <f t="shared" si="46"/>
        <v>0</v>
      </c>
      <c r="K619" s="29">
        <f t="shared" si="47"/>
        <v>10120</v>
      </c>
      <c r="L619" s="31" t="str">
        <f t="shared" si="48"/>
        <v/>
      </c>
      <c r="M619" s="31" t="str">
        <f t="shared" si="49"/>
        <v/>
      </c>
    </row>
    <row r="620" spans="1:13" x14ac:dyDescent="0.15">
      <c r="A620" s="163" t="s">
        <v>210</v>
      </c>
      <c r="B620" s="163">
        <v>42293.788585358794</v>
      </c>
      <c r="C620" s="164" t="s">
        <v>710</v>
      </c>
      <c r="D620" s="164" t="s">
        <v>13</v>
      </c>
      <c r="E620" s="165">
        <v>500</v>
      </c>
      <c r="F620" s="166">
        <v>0</v>
      </c>
      <c r="G620" s="227">
        <f>IF($B$2,IF(ROWS(B$6:$B620) = 1,$B620-Start_Date,$B620-$B619),"")</f>
        <v>3.8150578693603165E-3</v>
      </c>
      <c r="H620" s="29">
        <f>IF($B$2,IF(ROWS(B$6:$B620) = 1,IF(COUNTIFS(R_Schedule_Times,"&lt;"&amp;B620),INDEX(R_Schedule_Amounts,MATCH(B620,R_Schedule_Times,1)),Starting_Cash),IF(COUNTIFS(R_Schedule_Times,"&gt;"&amp;B619,R_Schedule_Times,"&lt;"&amp;B620),INDEX(R_Schedule_Amounts,MATCH(B620,R_Schedule_Times,1)),K619)),"")</f>
        <v>10120</v>
      </c>
      <c r="I620" s="30">
        <f t="shared" si="45"/>
        <v>500</v>
      </c>
      <c r="J620" s="31">
        <f t="shared" si="46"/>
        <v>0</v>
      </c>
      <c r="K620" s="29">
        <f t="shared" si="47"/>
        <v>9620</v>
      </c>
      <c r="L620" s="31" t="str">
        <f t="shared" si="48"/>
        <v/>
      </c>
      <c r="M620" s="31" t="str">
        <f t="shared" si="49"/>
        <v/>
      </c>
    </row>
    <row r="621" spans="1:13" x14ac:dyDescent="0.15">
      <c r="A621" s="163" t="s">
        <v>210</v>
      </c>
      <c r="B621" s="163">
        <v>42293.792003854163</v>
      </c>
      <c r="C621" s="164" t="s">
        <v>1006</v>
      </c>
      <c r="D621" s="164" t="s">
        <v>13</v>
      </c>
      <c r="E621" s="165">
        <v>100</v>
      </c>
      <c r="F621" s="166">
        <v>0</v>
      </c>
      <c r="G621" s="227">
        <f>IF($B$2,IF(ROWS(B$6:$B621) = 1,$B621-Start_Date,$B621-$B620),"")</f>
        <v>3.4184953692601994E-3</v>
      </c>
      <c r="H621" s="29">
        <f>IF($B$2,IF(ROWS(B$6:$B621) = 1,IF(COUNTIFS(R_Schedule_Times,"&lt;"&amp;B621),INDEX(R_Schedule_Amounts,MATCH(B621,R_Schedule_Times,1)),Starting_Cash),IF(COUNTIFS(R_Schedule_Times,"&gt;"&amp;B620,R_Schedule_Times,"&lt;"&amp;B621),INDEX(R_Schedule_Amounts,MATCH(B621,R_Schedule_Times,1)),K620)),"")</f>
        <v>9620</v>
      </c>
      <c r="I621" s="30">
        <f t="shared" si="45"/>
        <v>100</v>
      </c>
      <c r="J621" s="31">
        <f t="shared" si="46"/>
        <v>0</v>
      </c>
      <c r="K621" s="29">
        <f t="shared" si="47"/>
        <v>9520</v>
      </c>
      <c r="L621" s="31" t="str">
        <f t="shared" si="48"/>
        <v/>
      </c>
      <c r="M621" s="31" t="str">
        <f t="shared" si="49"/>
        <v/>
      </c>
    </row>
    <row r="622" spans="1:13" x14ac:dyDescent="0.15">
      <c r="A622" s="163" t="s">
        <v>210</v>
      </c>
      <c r="B622" s="163">
        <v>42293.826987835651</v>
      </c>
      <c r="C622" s="164" t="s">
        <v>1007</v>
      </c>
      <c r="D622" s="164" t="s">
        <v>13</v>
      </c>
      <c r="E622" s="165">
        <v>100</v>
      </c>
      <c r="F622" s="166">
        <v>0</v>
      </c>
      <c r="G622" s="227">
        <f>IF($B$2,IF(ROWS(B$6:$B622) = 1,$B622-Start_Date,$B622-$B621),"")</f>
        <v>3.4983981488039717E-2</v>
      </c>
      <c r="H622" s="29">
        <f>IF($B$2,IF(ROWS(B$6:$B622) = 1,IF(COUNTIFS(R_Schedule_Times,"&lt;"&amp;B622),INDEX(R_Schedule_Amounts,MATCH(B622,R_Schedule_Times,1)),Starting_Cash),IF(COUNTIFS(R_Schedule_Times,"&gt;"&amp;B621,R_Schedule_Times,"&lt;"&amp;B622),INDEX(R_Schedule_Amounts,MATCH(B622,R_Schedule_Times,1)),K621)),"")</f>
        <v>9520</v>
      </c>
      <c r="I622" s="30">
        <f t="shared" si="45"/>
        <v>100</v>
      </c>
      <c r="J622" s="31">
        <f t="shared" si="46"/>
        <v>0</v>
      </c>
      <c r="K622" s="29">
        <f t="shared" si="47"/>
        <v>9420</v>
      </c>
      <c r="L622" s="31" t="str">
        <f t="shared" si="48"/>
        <v/>
      </c>
      <c r="M622" s="31" t="str">
        <f t="shared" si="49"/>
        <v/>
      </c>
    </row>
    <row r="623" spans="1:13" x14ac:dyDescent="0.15">
      <c r="A623" s="163" t="s">
        <v>210</v>
      </c>
      <c r="B623" s="163">
        <v>42293.837893969911</v>
      </c>
      <c r="C623" s="164" t="s">
        <v>14</v>
      </c>
      <c r="D623" s="164" t="s">
        <v>13</v>
      </c>
      <c r="E623" s="165">
        <v>60</v>
      </c>
      <c r="F623" s="166">
        <v>3.5</v>
      </c>
      <c r="G623" s="227">
        <f>IF($B$2,IF(ROWS(B$6:$B623) = 1,$B623-Start_Date,$B623-$B622),"")</f>
        <v>1.090613425913034E-2</v>
      </c>
      <c r="H623" s="29">
        <f>IF($B$2,IF(ROWS(B$6:$B623) = 1,IF(COUNTIFS(R_Schedule_Times,"&lt;"&amp;B623),INDEX(R_Schedule_Amounts,MATCH(B623,R_Schedule_Times,1)),Starting_Cash),IF(COUNTIFS(R_Schedule_Times,"&gt;"&amp;B622,R_Schedule_Times,"&lt;"&amp;B623),INDEX(R_Schedule_Amounts,MATCH(B623,R_Schedule_Times,1)),K622)),"")</f>
        <v>9420</v>
      </c>
      <c r="I623" s="30">
        <f t="shared" si="45"/>
        <v>60</v>
      </c>
      <c r="J623" s="31">
        <f t="shared" si="46"/>
        <v>3.5</v>
      </c>
      <c r="K623" s="29">
        <f t="shared" si="47"/>
        <v>9360</v>
      </c>
      <c r="L623" s="31" t="str">
        <f t="shared" si="48"/>
        <v/>
      </c>
      <c r="M623" s="31" t="str">
        <f t="shared" si="49"/>
        <v/>
      </c>
    </row>
    <row r="624" spans="1:13" x14ac:dyDescent="0.15">
      <c r="A624" s="163" t="s">
        <v>210</v>
      </c>
      <c r="B624" s="163">
        <v>42293.852807430558</v>
      </c>
      <c r="C624" s="164" t="s">
        <v>1002</v>
      </c>
      <c r="D624" s="164" t="s">
        <v>13</v>
      </c>
      <c r="E624" s="165">
        <v>100</v>
      </c>
      <c r="F624" s="166">
        <v>0</v>
      </c>
      <c r="G624" s="227">
        <f>IF($B$2,IF(ROWS(B$6:$B624) = 1,$B624-Start_Date,$B624-$B623),"")</f>
        <v>1.4913460647221655E-2</v>
      </c>
      <c r="H624" s="29">
        <f>IF($B$2,IF(ROWS(B$6:$B624) = 1,IF(COUNTIFS(R_Schedule_Times,"&lt;"&amp;B624),INDEX(R_Schedule_Amounts,MATCH(B624,R_Schedule_Times,1)),Starting_Cash),IF(COUNTIFS(R_Schedule_Times,"&gt;"&amp;B623,R_Schedule_Times,"&lt;"&amp;B624),INDEX(R_Schedule_Amounts,MATCH(B624,R_Schedule_Times,1)),K623)),"")</f>
        <v>9360</v>
      </c>
      <c r="I624" s="30">
        <f t="shared" si="45"/>
        <v>100</v>
      </c>
      <c r="J624" s="31">
        <f t="shared" si="46"/>
        <v>0</v>
      </c>
      <c r="K624" s="29">
        <f t="shared" si="47"/>
        <v>9260</v>
      </c>
      <c r="L624" s="31" t="str">
        <f t="shared" si="48"/>
        <v/>
      </c>
      <c r="M624" s="31" t="str">
        <f t="shared" si="49"/>
        <v/>
      </c>
    </row>
    <row r="625" spans="1:13" x14ac:dyDescent="0.15">
      <c r="A625" s="163" t="s">
        <v>210</v>
      </c>
      <c r="B625" s="163">
        <v>42293.861221504631</v>
      </c>
      <c r="C625" s="164" t="s">
        <v>1008</v>
      </c>
      <c r="D625" s="164" t="s">
        <v>13</v>
      </c>
      <c r="E625" s="165">
        <v>100</v>
      </c>
      <c r="F625" s="166">
        <v>0</v>
      </c>
      <c r="G625" s="227">
        <f>IF($B$2,IF(ROWS(B$6:$B625) = 1,$B625-Start_Date,$B625-$B624),"")</f>
        <v>8.4140740727889352E-3</v>
      </c>
      <c r="H625" s="29">
        <f>IF($B$2,IF(ROWS(B$6:$B625) = 1,IF(COUNTIFS(R_Schedule_Times,"&lt;"&amp;B625),INDEX(R_Schedule_Amounts,MATCH(B625,R_Schedule_Times,1)),Starting_Cash),IF(COUNTIFS(R_Schedule_Times,"&gt;"&amp;B624,R_Schedule_Times,"&lt;"&amp;B625),INDEX(R_Schedule_Amounts,MATCH(B625,R_Schedule_Times,1)),K624)),"")</f>
        <v>9260</v>
      </c>
      <c r="I625" s="30">
        <f t="shared" si="45"/>
        <v>100</v>
      </c>
      <c r="J625" s="31">
        <f t="shared" si="46"/>
        <v>0</v>
      </c>
      <c r="K625" s="29">
        <f t="shared" si="47"/>
        <v>9160</v>
      </c>
      <c r="L625" s="31" t="str">
        <f t="shared" si="48"/>
        <v/>
      </c>
      <c r="M625" s="31" t="str">
        <f t="shared" si="49"/>
        <v/>
      </c>
    </row>
    <row r="626" spans="1:13" x14ac:dyDescent="0.15">
      <c r="A626" s="163" t="s">
        <v>210</v>
      </c>
      <c r="B626" s="163">
        <v>42293.904430381946</v>
      </c>
      <c r="C626" s="164" t="s">
        <v>1009</v>
      </c>
      <c r="D626" s="164" t="s">
        <v>13</v>
      </c>
      <c r="E626" s="165">
        <v>80</v>
      </c>
      <c r="F626" s="166">
        <v>0</v>
      </c>
      <c r="G626" s="227">
        <f>IF($B$2,IF(ROWS(B$6:$B626) = 1,$B626-Start_Date,$B626-$B625),"")</f>
        <v>4.3208877315919381E-2</v>
      </c>
      <c r="H626" s="29">
        <f>IF($B$2,IF(ROWS(B$6:$B626) = 1,IF(COUNTIFS(R_Schedule_Times,"&lt;"&amp;B626),INDEX(R_Schedule_Amounts,MATCH(B626,R_Schedule_Times,1)),Starting_Cash),IF(COUNTIFS(R_Schedule_Times,"&gt;"&amp;B625,R_Schedule_Times,"&lt;"&amp;B626),INDEX(R_Schedule_Amounts,MATCH(B626,R_Schedule_Times,1)),K625)),"")</f>
        <v>9160</v>
      </c>
      <c r="I626" s="30">
        <f t="shared" si="45"/>
        <v>80</v>
      </c>
      <c r="J626" s="31">
        <f t="shared" si="46"/>
        <v>0</v>
      </c>
      <c r="K626" s="29">
        <f t="shared" si="47"/>
        <v>9080</v>
      </c>
      <c r="L626" s="31" t="str">
        <f t="shared" si="48"/>
        <v/>
      </c>
      <c r="M626" s="31" t="str">
        <f t="shared" si="49"/>
        <v/>
      </c>
    </row>
    <row r="627" spans="1:13" x14ac:dyDescent="0.15">
      <c r="A627" s="163" t="s">
        <v>210</v>
      </c>
      <c r="B627" s="163">
        <v>42293.911580405096</v>
      </c>
      <c r="C627" s="164" t="s">
        <v>1010</v>
      </c>
      <c r="D627" s="164" t="s">
        <v>13</v>
      </c>
      <c r="E627" s="165">
        <v>20</v>
      </c>
      <c r="F627" s="166">
        <v>0</v>
      </c>
      <c r="G627" s="227">
        <f>IF($B$2,IF(ROWS(B$6:$B627) = 1,$B627-Start_Date,$B627-$B626),"")</f>
        <v>7.1500231497338973E-3</v>
      </c>
      <c r="H627" s="29">
        <f>IF($B$2,IF(ROWS(B$6:$B627) = 1,IF(COUNTIFS(R_Schedule_Times,"&lt;"&amp;B627),INDEX(R_Schedule_Amounts,MATCH(B627,R_Schedule_Times,1)),Starting_Cash),IF(COUNTIFS(R_Schedule_Times,"&gt;"&amp;B626,R_Schedule_Times,"&lt;"&amp;B627),INDEX(R_Schedule_Amounts,MATCH(B627,R_Schedule_Times,1)),K626)),"")</f>
        <v>9080</v>
      </c>
      <c r="I627" s="30">
        <f t="shared" si="45"/>
        <v>20</v>
      </c>
      <c r="J627" s="31">
        <f t="shared" si="46"/>
        <v>0</v>
      </c>
      <c r="K627" s="29">
        <f t="shared" si="47"/>
        <v>9060</v>
      </c>
      <c r="L627" s="31" t="str">
        <f t="shared" si="48"/>
        <v/>
      </c>
      <c r="M627" s="31" t="str">
        <f t="shared" si="49"/>
        <v/>
      </c>
    </row>
    <row r="628" spans="1:13" x14ac:dyDescent="0.15">
      <c r="A628" s="163" t="s">
        <v>210</v>
      </c>
      <c r="B628" s="163">
        <v>42294.008817337963</v>
      </c>
      <c r="C628" s="164" t="s">
        <v>1011</v>
      </c>
      <c r="D628" s="164" t="s">
        <v>13</v>
      </c>
      <c r="E628" s="165">
        <v>100</v>
      </c>
      <c r="F628" s="166">
        <v>0</v>
      </c>
      <c r="G628" s="227">
        <f>IF($B$2,IF(ROWS(B$6:$B628) = 1,$B628-Start_Date,$B628-$B627),"")</f>
        <v>9.7236932866508141E-2</v>
      </c>
      <c r="H628" s="29">
        <f>IF($B$2,IF(ROWS(B$6:$B628) = 1,IF(COUNTIFS(R_Schedule_Times,"&lt;"&amp;B628),INDEX(R_Schedule_Amounts,MATCH(B628,R_Schedule_Times,1)),Starting_Cash),IF(COUNTIFS(R_Schedule_Times,"&gt;"&amp;B627,R_Schedule_Times,"&lt;"&amp;B628),INDEX(R_Schedule_Amounts,MATCH(B628,R_Schedule_Times,1)),K627)),"")</f>
        <v>9060</v>
      </c>
      <c r="I628" s="30">
        <f t="shared" si="45"/>
        <v>100</v>
      </c>
      <c r="J628" s="31">
        <f t="shared" si="46"/>
        <v>0</v>
      </c>
      <c r="K628" s="29">
        <f t="shared" si="47"/>
        <v>8960</v>
      </c>
      <c r="L628" s="31" t="str">
        <f t="shared" si="48"/>
        <v/>
      </c>
      <c r="M628" s="31" t="str">
        <f t="shared" si="49"/>
        <v/>
      </c>
    </row>
    <row r="629" spans="1:13" x14ac:dyDescent="0.15">
      <c r="A629" s="163" t="s">
        <v>210</v>
      </c>
      <c r="B629" s="163">
        <v>42294.016608564816</v>
      </c>
      <c r="C629" s="164" t="s">
        <v>1012</v>
      </c>
      <c r="D629" s="164" t="s">
        <v>13</v>
      </c>
      <c r="E629" s="165">
        <v>100</v>
      </c>
      <c r="F629" s="166">
        <v>0</v>
      </c>
      <c r="G629" s="227">
        <f>IF($B$2,IF(ROWS(B$6:$B629) = 1,$B629-Start_Date,$B629-$B628),"")</f>
        <v>7.7912268534419127E-3</v>
      </c>
      <c r="H629" s="29">
        <f>IF($B$2,IF(ROWS(B$6:$B629) = 1,IF(COUNTIFS(R_Schedule_Times,"&lt;"&amp;B629),INDEX(R_Schedule_Amounts,MATCH(B629,R_Schedule_Times,1)),Starting_Cash),IF(COUNTIFS(R_Schedule_Times,"&gt;"&amp;B628,R_Schedule_Times,"&lt;"&amp;B629),INDEX(R_Schedule_Amounts,MATCH(B629,R_Schedule_Times,1)),K628)),"")</f>
        <v>8960</v>
      </c>
      <c r="I629" s="30">
        <f t="shared" si="45"/>
        <v>100</v>
      </c>
      <c r="J629" s="31">
        <f t="shared" si="46"/>
        <v>0</v>
      </c>
      <c r="K629" s="29">
        <f t="shared" si="47"/>
        <v>8860</v>
      </c>
      <c r="L629" s="31" t="str">
        <f t="shared" si="48"/>
        <v/>
      </c>
      <c r="M629" s="31" t="str">
        <f t="shared" si="49"/>
        <v/>
      </c>
    </row>
    <row r="630" spans="1:13" x14ac:dyDescent="0.15">
      <c r="A630" s="163" t="s">
        <v>210</v>
      </c>
      <c r="B630" s="163">
        <v>42294.385578020832</v>
      </c>
      <c r="C630" s="164" t="s">
        <v>1013</v>
      </c>
      <c r="D630" s="164" t="s">
        <v>13</v>
      </c>
      <c r="E630" s="165">
        <v>120</v>
      </c>
      <c r="F630" s="166">
        <v>0</v>
      </c>
      <c r="G630" s="227">
        <f>IF($B$2,IF(ROWS(B$6:$B630) = 1,$B630-Start_Date,$B630-$B629),"")</f>
        <v>0.36896945601620246</v>
      </c>
      <c r="H630" s="29">
        <f>IF($B$2,IF(ROWS(B$6:$B630) = 1,IF(COUNTIFS(R_Schedule_Times,"&lt;"&amp;B630),INDEX(R_Schedule_Amounts,MATCH(B630,R_Schedule_Times,1)),Starting_Cash),IF(COUNTIFS(R_Schedule_Times,"&gt;"&amp;B629,R_Schedule_Times,"&lt;"&amp;B630),INDEX(R_Schedule_Amounts,MATCH(B630,R_Schedule_Times,1)),K629)),"")</f>
        <v>8860</v>
      </c>
      <c r="I630" s="30">
        <f t="shared" si="45"/>
        <v>120</v>
      </c>
      <c r="J630" s="31">
        <f t="shared" si="46"/>
        <v>0</v>
      </c>
      <c r="K630" s="29">
        <f t="shared" si="47"/>
        <v>8740</v>
      </c>
      <c r="L630" s="31" t="str">
        <f t="shared" si="48"/>
        <v/>
      </c>
      <c r="M630" s="31" t="str">
        <f t="shared" si="49"/>
        <v/>
      </c>
    </row>
    <row r="631" spans="1:13" x14ac:dyDescent="0.15">
      <c r="A631" s="163" t="s">
        <v>210</v>
      </c>
      <c r="B631" s="163">
        <v>42294.407951435183</v>
      </c>
      <c r="C631" s="164" t="s">
        <v>1014</v>
      </c>
      <c r="D631" s="164" t="s">
        <v>13</v>
      </c>
      <c r="E631" s="165">
        <v>100</v>
      </c>
      <c r="F631" s="166">
        <v>0</v>
      </c>
      <c r="G631" s="227">
        <f>IF($B$2,IF(ROWS(B$6:$B631) = 1,$B631-Start_Date,$B631-$B630),"")</f>
        <v>2.2373414351022802E-2</v>
      </c>
      <c r="H631" s="29">
        <f>IF($B$2,IF(ROWS(B$6:$B631) = 1,IF(COUNTIFS(R_Schedule_Times,"&lt;"&amp;B631),INDEX(R_Schedule_Amounts,MATCH(B631,R_Schedule_Times,1)),Starting_Cash),IF(COUNTIFS(R_Schedule_Times,"&gt;"&amp;B630,R_Schedule_Times,"&lt;"&amp;B631),INDEX(R_Schedule_Amounts,MATCH(B631,R_Schedule_Times,1)),K630)),"")</f>
        <v>8740</v>
      </c>
      <c r="I631" s="30">
        <f t="shared" si="45"/>
        <v>100</v>
      </c>
      <c r="J631" s="31">
        <f t="shared" si="46"/>
        <v>0</v>
      </c>
      <c r="K631" s="29">
        <f t="shared" si="47"/>
        <v>8640</v>
      </c>
      <c r="L631" s="31" t="str">
        <f t="shared" si="48"/>
        <v/>
      </c>
      <c r="M631" s="31" t="str">
        <f t="shared" si="49"/>
        <v/>
      </c>
    </row>
    <row r="632" spans="1:13" x14ac:dyDescent="0.15">
      <c r="A632" s="163" t="s">
        <v>210</v>
      </c>
      <c r="B632" s="163">
        <v>42294.428243055554</v>
      </c>
      <c r="C632" s="164" t="s">
        <v>974</v>
      </c>
      <c r="D632" s="164" t="s">
        <v>13</v>
      </c>
      <c r="E632" s="165">
        <v>40</v>
      </c>
      <c r="F632" s="166">
        <v>0</v>
      </c>
      <c r="G632" s="227">
        <f>IF($B$2,IF(ROWS(B$6:$B632) = 1,$B632-Start_Date,$B632-$B631),"")</f>
        <v>2.0291620370699093E-2</v>
      </c>
      <c r="H632" s="29">
        <f>IF($B$2,IF(ROWS(B$6:$B632) = 1,IF(COUNTIFS(R_Schedule_Times,"&lt;"&amp;B632),INDEX(R_Schedule_Amounts,MATCH(B632,R_Schedule_Times,1)),Starting_Cash),IF(COUNTIFS(R_Schedule_Times,"&gt;"&amp;B631,R_Schedule_Times,"&lt;"&amp;B632),INDEX(R_Schedule_Amounts,MATCH(B632,R_Schedule_Times,1)),K631)),"")</f>
        <v>8640</v>
      </c>
      <c r="I632" s="30">
        <f t="shared" si="45"/>
        <v>40</v>
      </c>
      <c r="J632" s="31">
        <f t="shared" si="46"/>
        <v>0</v>
      </c>
      <c r="K632" s="29">
        <f t="shared" si="47"/>
        <v>8600</v>
      </c>
      <c r="L632" s="31" t="str">
        <f t="shared" si="48"/>
        <v/>
      </c>
      <c r="M632" s="31" t="str">
        <f t="shared" si="49"/>
        <v/>
      </c>
    </row>
    <row r="633" spans="1:13" x14ac:dyDescent="0.15">
      <c r="A633" s="163" t="s">
        <v>210</v>
      </c>
      <c r="B633" s="163">
        <v>42294.441879988422</v>
      </c>
      <c r="C633" s="164" t="s">
        <v>14</v>
      </c>
      <c r="D633" s="164" t="s">
        <v>13</v>
      </c>
      <c r="E633" s="165">
        <v>80</v>
      </c>
      <c r="F633" s="166">
        <v>3.5</v>
      </c>
      <c r="G633" s="227">
        <f>IF($B$2,IF(ROWS(B$6:$B633) = 1,$B633-Start_Date,$B633-$B632),"")</f>
        <v>1.3636932868394069E-2</v>
      </c>
      <c r="H633" s="29">
        <f>IF($B$2,IF(ROWS(B$6:$B633) = 1,IF(COUNTIFS(R_Schedule_Times,"&lt;"&amp;B633),INDEX(R_Schedule_Amounts,MATCH(B633,R_Schedule_Times,1)),Starting_Cash),IF(COUNTIFS(R_Schedule_Times,"&gt;"&amp;B632,R_Schedule_Times,"&lt;"&amp;B633),INDEX(R_Schedule_Amounts,MATCH(B633,R_Schedule_Times,1)),K632)),"")</f>
        <v>8600</v>
      </c>
      <c r="I633" s="30">
        <f t="shared" si="45"/>
        <v>80</v>
      </c>
      <c r="J633" s="31">
        <f t="shared" si="46"/>
        <v>3.5</v>
      </c>
      <c r="K633" s="29">
        <f t="shared" si="47"/>
        <v>8520</v>
      </c>
      <c r="L633" s="31" t="str">
        <f t="shared" si="48"/>
        <v/>
      </c>
      <c r="M633" s="31" t="str">
        <f t="shared" si="49"/>
        <v/>
      </c>
    </row>
    <row r="634" spans="1:13" x14ac:dyDescent="0.15">
      <c r="A634" s="163" t="s">
        <v>210</v>
      </c>
      <c r="B634" s="163">
        <v>42294.455768101849</v>
      </c>
      <c r="C634" s="164" t="s">
        <v>1015</v>
      </c>
      <c r="D634" s="164" t="s">
        <v>13</v>
      </c>
      <c r="E634" s="165">
        <v>40</v>
      </c>
      <c r="F634" s="166">
        <v>0</v>
      </c>
      <c r="G634" s="227">
        <f>IF($B$2,IF(ROWS(B$6:$B634) = 1,$B634-Start_Date,$B634-$B633),"")</f>
        <v>1.3888113426219206E-2</v>
      </c>
      <c r="H634" s="29">
        <f>IF($B$2,IF(ROWS(B$6:$B634) = 1,IF(COUNTIFS(R_Schedule_Times,"&lt;"&amp;B634),INDEX(R_Schedule_Amounts,MATCH(B634,R_Schedule_Times,1)),Starting_Cash),IF(COUNTIFS(R_Schedule_Times,"&gt;"&amp;B633,R_Schedule_Times,"&lt;"&amp;B634),INDEX(R_Schedule_Amounts,MATCH(B634,R_Schedule_Times,1)),K633)),"")</f>
        <v>8520</v>
      </c>
      <c r="I634" s="30">
        <f t="shared" si="45"/>
        <v>40</v>
      </c>
      <c r="J634" s="31">
        <f t="shared" si="46"/>
        <v>0</v>
      </c>
      <c r="K634" s="29">
        <f t="shared" si="47"/>
        <v>8480</v>
      </c>
      <c r="L634" s="31" t="str">
        <f t="shared" si="48"/>
        <v/>
      </c>
      <c r="M634" s="31" t="str">
        <f t="shared" si="49"/>
        <v/>
      </c>
    </row>
    <row r="635" spans="1:13" x14ac:dyDescent="0.15">
      <c r="A635" s="163" t="s">
        <v>210</v>
      </c>
      <c r="B635" s="163">
        <v>42294.463578981478</v>
      </c>
      <c r="C635" s="164" t="s">
        <v>1016</v>
      </c>
      <c r="D635" s="164" t="s">
        <v>13</v>
      </c>
      <c r="E635" s="165">
        <v>80</v>
      </c>
      <c r="F635" s="166">
        <v>0</v>
      </c>
      <c r="G635" s="227">
        <f>IF($B$2,IF(ROWS(B$6:$B635) = 1,$B635-Start_Date,$B635-$B634),"")</f>
        <v>7.8108796296874061E-3</v>
      </c>
      <c r="H635" s="29">
        <f>IF($B$2,IF(ROWS(B$6:$B635) = 1,IF(COUNTIFS(R_Schedule_Times,"&lt;"&amp;B635),INDEX(R_Schedule_Amounts,MATCH(B635,R_Schedule_Times,1)),Starting_Cash),IF(COUNTIFS(R_Schedule_Times,"&gt;"&amp;B634,R_Schedule_Times,"&lt;"&amp;B635),INDEX(R_Schedule_Amounts,MATCH(B635,R_Schedule_Times,1)),K634)),"")</f>
        <v>8480</v>
      </c>
      <c r="I635" s="30">
        <f t="shared" si="45"/>
        <v>80</v>
      </c>
      <c r="J635" s="31">
        <f t="shared" si="46"/>
        <v>0</v>
      </c>
      <c r="K635" s="29">
        <f t="shared" si="47"/>
        <v>8400</v>
      </c>
      <c r="L635" s="31" t="str">
        <f t="shared" si="48"/>
        <v/>
      </c>
      <c r="M635" s="31" t="str">
        <f t="shared" si="49"/>
        <v/>
      </c>
    </row>
    <row r="636" spans="1:13" x14ac:dyDescent="0.15">
      <c r="A636" s="163" t="s">
        <v>210</v>
      </c>
      <c r="B636" s="163">
        <v>42294.464846712966</v>
      </c>
      <c r="C636" s="164" t="s">
        <v>1017</v>
      </c>
      <c r="D636" s="164" t="s">
        <v>13</v>
      </c>
      <c r="E636" s="165">
        <v>200</v>
      </c>
      <c r="F636" s="166">
        <v>0</v>
      </c>
      <c r="G636" s="227">
        <f>IF($B$2,IF(ROWS(B$6:$B636) = 1,$B636-Start_Date,$B636-$B635),"")</f>
        <v>1.2677314880420454E-3</v>
      </c>
      <c r="H636" s="29">
        <f>IF($B$2,IF(ROWS(B$6:$B636) = 1,IF(COUNTIFS(R_Schedule_Times,"&lt;"&amp;B636),INDEX(R_Schedule_Amounts,MATCH(B636,R_Schedule_Times,1)),Starting_Cash),IF(COUNTIFS(R_Schedule_Times,"&gt;"&amp;B635,R_Schedule_Times,"&lt;"&amp;B636),INDEX(R_Schedule_Amounts,MATCH(B636,R_Schedule_Times,1)),K635)),"")</f>
        <v>8400</v>
      </c>
      <c r="I636" s="30">
        <f t="shared" si="45"/>
        <v>200</v>
      </c>
      <c r="J636" s="31">
        <f t="shared" si="46"/>
        <v>0</v>
      </c>
      <c r="K636" s="29">
        <f t="shared" si="47"/>
        <v>8200</v>
      </c>
      <c r="L636" s="31" t="str">
        <f t="shared" si="48"/>
        <v/>
      </c>
      <c r="M636" s="31" t="str">
        <f t="shared" si="49"/>
        <v/>
      </c>
    </row>
    <row r="637" spans="1:13" x14ac:dyDescent="0.15">
      <c r="A637" s="163" t="s">
        <v>210</v>
      </c>
      <c r="B637" s="163">
        <v>42294.471974409724</v>
      </c>
      <c r="C637" s="164" t="s">
        <v>1018</v>
      </c>
      <c r="D637" s="164" t="s">
        <v>13</v>
      </c>
      <c r="E637" s="165">
        <v>40</v>
      </c>
      <c r="F637" s="166">
        <v>0</v>
      </c>
      <c r="G637" s="227">
        <f>IF($B$2,IF(ROWS(B$6:$B637) = 1,$B637-Start_Date,$B637-$B636),"")</f>
        <v>7.1276967573794536E-3</v>
      </c>
      <c r="H637" s="29">
        <f>IF($B$2,IF(ROWS(B$6:$B637) = 1,IF(COUNTIFS(R_Schedule_Times,"&lt;"&amp;B637),INDEX(R_Schedule_Amounts,MATCH(B637,R_Schedule_Times,1)),Starting_Cash),IF(COUNTIFS(R_Schedule_Times,"&gt;"&amp;B636,R_Schedule_Times,"&lt;"&amp;B637),INDEX(R_Schedule_Amounts,MATCH(B637,R_Schedule_Times,1)),K636)),"")</f>
        <v>8200</v>
      </c>
      <c r="I637" s="30">
        <f t="shared" si="45"/>
        <v>40</v>
      </c>
      <c r="J637" s="31">
        <f t="shared" si="46"/>
        <v>0</v>
      </c>
      <c r="K637" s="29">
        <f t="shared" si="47"/>
        <v>8160</v>
      </c>
      <c r="L637" s="31" t="str">
        <f t="shared" si="48"/>
        <v/>
      </c>
      <c r="M637" s="31" t="str">
        <f t="shared" si="49"/>
        <v/>
      </c>
    </row>
    <row r="638" spans="1:13" x14ac:dyDescent="0.15">
      <c r="A638" s="163" t="s">
        <v>210</v>
      </c>
      <c r="B638" s="163">
        <v>42294.500574027777</v>
      </c>
      <c r="C638" s="164" t="s">
        <v>1019</v>
      </c>
      <c r="D638" s="164" t="s">
        <v>13</v>
      </c>
      <c r="E638" s="165">
        <v>160</v>
      </c>
      <c r="F638" s="166">
        <v>0</v>
      </c>
      <c r="G638" s="227">
        <f>IF($B$2,IF(ROWS(B$6:$B638) = 1,$B638-Start_Date,$B638-$B637),"")</f>
        <v>2.8599618053704035E-2</v>
      </c>
      <c r="H638" s="29">
        <f>IF($B$2,IF(ROWS(B$6:$B638) = 1,IF(COUNTIFS(R_Schedule_Times,"&lt;"&amp;B638),INDEX(R_Schedule_Amounts,MATCH(B638,R_Schedule_Times,1)),Starting_Cash),IF(COUNTIFS(R_Schedule_Times,"&gt;"&amp;B637,R_Schedule_Times,"&lt;"&amp;B638),INDEX(R_Schedule_Amounts,MATCH(B638,R_Schedule_Times,1)),K637)),"")</f>
        <v>8160</v>
      </c>
      <c r="I638" s="30">
        <f t="shared" si="45"/>
        <v>160</v>
      </c>
      <c r="J638" s="31">
        <f t="shared" si="46"/>
        <v>0</v>
      </c>
      <c r="K638" s="29">
        <f t="shared" si="47"/>
        <v>8000</v>
      </c>
      <c r="L638" s="31" t="str">
        <f t="shared" si="48"/>
        <v/>
      </c>
      <c r="M638" s="31" t="str">
        <f t="shared" si="49"/>
        <v/>
      </c>
    </row>
    <row r="639" spans="1:13" x14ac:dyDescent="0.15">
      <c r="A639" s="163" t="s">
        <v>210</v>
      </c>
      <c r="B639" s="163">
        <v>42294.510906319447</v>
      </c>
      <c r="C639" s="164" t="s">
        <v>1020</v>
      </c>
      <c r="D639" s="164" t="s">
        <v>13</v>
      </c>
      <c r="E639" s="165">
        <v>120</v>
      </c>
      <c r="F639" s="166">
        <v>0</v>
      </c>
      <c r="G639" s="227">
        <f>IF($B$2,IF(ROWS(B$6:$B639) = 1,$B639-Start_Date,$B639-$B638),"")</f>
        <v>1.0332291669328697E-2</v>
      </c>
      <c r="H639" s="29">
        <f>IF($B$2,IF(ROWS(B$6:$B639) = 1,IF(COUNTIFS(R_Schedule_Times,"&lt;"&amp;B639),INDEX(R_Schedule_Amounts,MATCH(B639,R_Schedule_Times,1)),Starting_Cash),IF(COUNTIFS(R_Schedule_Times,"&gt;"&amp;B638,R_Schedule_Times,"&lt;"&amp;B639),INDEX(R_Schedule_Amounts,MATCH(B639,R_Schedule_Times,1)),K638)),"")</f>
        <v>8000</v>
      </c>
      <c r="I639" s="30">
        <f t="shared" si="45"/>
        <v>120</v>
      </c>
      <c r="J639" s="31">
        <f t="shared" si="46"/>
        <v>0</v>
      </c>
      <c r="K639" s="29">
        <f t="shared" si="47"/>
        <v>7880</v>
      </c>
      <c r="L639" s="31" t="str">
        <f t="shared" si="48"/>
        <v/>
      </c>
      <c r="M639" s="31" t="str">
        <f t="shared" si="49"/>
        <v/>
      </c>
    </row>
    <row r="640" spans="1:13" x14ac:dyDescent="0.15">
      <c r="A640" s="163" t="s">
        <v>210</v>
      </c>
      <c r="B640" s="163">
        <v>42294.528910497684</v>
      </c>
      <c r="C640" s="164" t="s">
        <v>1021</v>
      </c>
      <c r="D640" s="164" t="s">
        <v>13</v>
      </c>
      <c r="E640" s="165">
        <v>100</v>
      </c>
      <c r="F640" s="166">
        <v>0</v>
      </c>
      <c r="G640" s="227">
        <f>IF($B$2,IF(ROWS(B$6:$B640) = 1,$B640-Start_Date,$B640-$B639),"")</f>
        <v>1.8004178236878943E-2</v>
      </c>
      <c r="H640" s="29">
        <f>IF($B$2,IF(ROWS(B$6:$B640) = 1,IF(COUNTIFS(R_Schedule_Times,"&lt;"&amp;B640),INDEX(R_Schedule_Amounts,MATCH(B640,R_Schedule_Times,1)),Starting_Cash),IF(COUNTIFS(R_Schedule_Times,"&gt;"&amp;B639,R_Schedule_Times,"&lt;"&amp;B640),INDEX(R_Schedule_Amounts,MATCH(B640,R_Schedule_Times,1)),K639)),"")</f>
        <v>7880</v>
      </c>
      <c r="I640" s="30">
        <f t="shared" si="45"/>
        <v>100</v>
      </c>
      <c r="J640" s="31">
        <f t="shared" si="46"/>
        <v>0</v>
      </c>
      <c r="K640" s="29">
        <f t="shared" si="47"/>
        <v>7780</v>
      </c>
      <c r="L640" s="31" t="str">
        <f t="shared" si="48"/>
        <v/>
      </c>
      <c r="M640" s="31" t="str">
        <f t="shared" si="49"/>
        <v/>
      </c>
    </row>
    <row r="641" spans="1:13" x14ac:dyDescent="0.15">
      <c r="A641" s="163" t="s">
        <v>210</v>
      </c>
      <c r="B641" s="163">
        <v>42294.530452060186</v>
      </c>
      <c r="C641" s="164" t="s">
        <v>353</v>
      </c>
      <c r="D641" s="164" t="s">
        <v>13</v>
      </c>
      <c r="E641" s="165">
        <v>100</v>
      </c>
      <c r="F641" s="166">
        <v>0</v>
      </c>
      <c r="G641" s="227">
        <f>IF($B$2,IF(ROWS(B$6:$B641) = 1,$B641-Start_Date,$B641-$B640),"")</f>
        <v>1.5415625020978041E-3</v>
      </c>
      <c r="H641" s="29">
        <f>IF($B$2,IF(ROWS(B$6:$B641) = 1,IF(COUNTIFS(R_Schedule_Times,"&lt;"&amp;B641),INDEX(R_Schedule_Amounts,MATCH(B641,R_Schedule_Times,1)),Starting_Cash),IF(COUNTIFS(R_Schedule_Times,"&gt;"&amp;B640,R_Schedule_Times,"&lt;"&amp;B641),INDEX(R_Schedule_Amounts,MATCH(B641,R_Schedule_Times,1)),K640)),"")</f>
        <v>7780</v>
      </c>
      <c r="I641" s="30">
        <f t="shared" si="45"/>
        <v>100</v>
      </c>
      <c r="J641" s="31">
        <f t="shared" si="46"/>
        <v>0</v>
      </c>
      <c r="K641" s="29">
        <f t="shared" si="47"/>
        <v>7680</v>
      </c>
      <c r="L641" s="31" t="str">
        <f t="shared" si="48"/>
        <v/>
      </c>
      <c r="M641" s="31" t="str">
        <f t="shared" si="49"/>
        <v/>
      </c>
    </row>
    <row r="642" spans="1:13" x14ac:dyDescent="0.15">
      <c r="A642" s="163" t="s">
        <v>210</v>
      </c>
      <c r="B642" s="163">
        <v>42294.536183090277</v>
      </c>
      <c r="C642" s="164" t="s">
        <v>1022</v>
      </c>
      <c r="D642" s="164" t="s">
        <v>13</v>
      </c>
      <c r="E642" s="165">
        <v>80</v>
      </c>
      <c r="F642" s="166">
        <v>0</v>
      </c>
      <c r="G642" s="227">
        <f>IF($B$2,IF(ROWS(B$6:$B642) = 1,$B642-Start_Date,$B642-$B641),"")</f>
        <v>5.7310300908284262E-3</v>
      </c>
      <c r="H642" s="29">
        <f>IF($B$2,IF(ROWS(B$6:$B642) = 1,IF(COUNTIFS(R_Schedule_Times,"&lt;"&amp;B642),INDEX(R_Schedule_Amounts,MATCH(B642,R_Schedule_Times,1)),Starting_Cash),IF(COUNTIFS(R_Schedule_Times,"&gt;"&amp;B641,R_Schedule_Times,"&lt;"&amp;B642),INDEX(R_Schedule_Amounts,MATCH(B642,R_Schedule_Times,1)),K641)),"")</f>
        <v>7680</v>
      </c>
      <c r="I642" s="30">
        <f t="shared" si="45"/>
        <v>80</v>
      </c>
      <c r="J642" s="31">
        <f t="shared" si="46"/>
        <v>0</v>
      </c>
      <c r="K642" s="29">
        <f t="shared" si="47"/>
        <v>7600</v>
      </c>
      <c r="L642" s="31" t="str">
        <f t="shared" si="48"/>
        <v/>
      </c>
      <c r="M642" s="31" t="str">
        <f t="shared" si="49"/>
        <v/>
      </c>
    </row>
    <row r="643" spans="1:13" x14ac:dyDescent="0.15">
      <c r="A643" s="163" t="s">
        <v>210</v>
      </c>
      <c r="B643" s="163">
        <v>42294.556335138892</v>
      </c>
      <c r="C643" s="164" t="s">
        <v>1023</v>
      </c>
      <c r="D643" s="164" t="s">
        <v>13</v>
      </c>
      <c r="E643" s="165">
        <v>20</v>
      </c>
      <c r="F643" s="166">
        <v>0</v>
      </c>
      <c r="G643" s="227">
        <f>IF($B$2,IF(ROWS(B$6:$B643) = 1,$B643-Start_Date,$B643-$B642),"")</f>
        <v>2.0152048615273088E-2</v>
      </c>
      <c r="H643" s="29">
        <f>IF($B$2,IF(ROWS(B$6:$B643) = 1,IF(COUNTIFS(R_Schedule_Times,"&lt;"&amp;B643),INDEX(R_Schedule_Amounts,MATCH(B643,R_Schedule_Times,1)),Starting_Cash),IF(COUNTIFS(R_Schedule_Times,"&gt;"&amp;B642,R_Schedule_Times,"&lt;"&amp;B643),INDEX(R_Schedule_Amounts,MATCH(B643,R_Schedule_Times,1)),K642)),"")</f>
        <v>7600</v>
      </c>
      <c r="I643" s="30">
        <f t="shared" si="45"/>
        <v>20</v>
      </c>
      <c r="J643" s="31">
        <f t="shared" si="46"/>
        <v>0</v>
      </c>
      <c r="K643" s="29">
        <f t="shared" si="47"/>
        <v>7580</v>
      </c>
      <c r="L643" s="31" t="str">
        <f t="shared" si="48"/>
        <v/>
      </c>
      <c r="M643" s="31" t="str">
        <f t="shared" si="49"/>
        <v/>
      </c>
    </row>
    <row r="644" spans="1:13" x14ac:dyDescent="0.15">
      <c r="A644" s="163" t="s">
        <v>210</v>
      </c>
      <c r="B644" s="163">
        <v>42294.57561482639</v>
      </c>
      <c r="C644" s="164" t="s">
        <v>1024</v>
      </c>
      <c r="D644" s="164" t="s">
        <v>13</v>
      </c>
      <c r="E644" s="165">
        <v>60</v>
      </c>
      <c r="F644" s="166">
        <v>0</v>
      </c>
      <c r="G644" s="227">
        <f>IF($B$2,IF(ROWS(B$6:$B644) = 1,$B644-Start_Date,$B644-$B643),"")</f>
        <v>1.9279687498055864E-2</v>
      </c>
      <c r="H644" s="29">
        <f>IF($B$2,IF(ROWS(B$6:$B644) = 1,IF(COUNTIFS(R_Schedule_Times,"&lt;"&amp;B644),INDEX(R_Schedule_Amounts,MATCH(B644,R_Schedule_Times,1)),Starting_Cash),IF(COUNTIFS(R_Schedule_Times,"&gt;"&amp;B643,R_Schedule_Times,"&lt;"&amp;B644),INDEX(R_Schedule_Amounts,MATCH(B644,R_Schedule_Times,1)),K643)),"")</f>
        <v>7580</v>
      </c>
      <c r="I644" s="30">
        <f t="shared" si="45"/>
        <v>60</v>
      </c>
      <c r="J644" s="31">
        <f t="shared" si="46"/>
        <v>0</v>
      </c>
      <c r="K644" s="29">
        <f t="shared" si="47"/>
        <v>7520</v>
      </c>
      <c r="L644" s="31" t="str">
        <f t="shared" si="48"/>
        <v/>
      </c>
      <c r="M644" s="31" t="str">
        <f t="shared" si="49"/>
        <v/>
      </c>
    </row>
    <row r="645" spans="1:13" x14ac:dyDescent="0.15">
      <c r="A645" s="163" t="s">
        <v>210</v>
      </c>
      <c r="B645" s="163">
        <v>42294.598080266202</v>
      </c>
      <c r="C645" s="164" t="s">
        <v>1025</v>
      </c>
      <c r="D645" s="164" t="s">
        <v>13</v>
      </c>
      <c r="E645" s="165">
        <v>60</v>
      </c>
      <c r="F645" s="166">
        <v>0</v>
      </c>
      <c r="G645" s="227">
        <f>IF($B$2,IF(ROWS(B$6:$B645) = 1,$B645-Start_Date,$B645-$B644),"")</f>
        <v>2.2465439811639953E-2</v>
      </c>
      <c r="H645" s="29">
        <f>IF($B$2,IF(ROWS(B$6:$B645) = 1,IF(COUNTIFS(R_Schedule_Times,"&lt;"&amp;B645),INDEX(R_Schedule_Amounts,MATCH(B645,R_Schedule_Times,1)),Starting_Cash),IF(COUNTIFS(R_Schedule_Times,"&gt;"&amp;B644,R_Schedule_Times,"&lt;"&amp;B645),INDEX(R_Schedule_Amounts,MATCH(B645,R_Schedule_Times,1)),K644)),"")</f>
        <v>7520</v>
      </c>
      <c r="I645" s="30">
        <f t="shared" si="45"/>
        <v>60</v>
      </c>
      <c r="J645" s="31">
        <f t="shared" si="46"/>
        <v>0</v>
      </c>
      <c r="K645" s="29">
        <f t="shared" si="47"/>
        <v>7460</v>
      </c>
      <c r="L645" s="31" t="str">
        <f t="shared" si="48"/>
        <v/>
      </c>
      <c r="M645" s="31" t="str">
        <f t="shared" si="49"/>
        <v/>
      </c>
    </row>
    <row r="646" spans="1:13" x14ac:dyDescent="0.15">
      <c r="A646" s="163" t="s">
        <v>210</v>
      </c>
      <c r="B646" s="163">
        <v>42294.605411805554</v>
      </c>
      <c r="C646" s="164" t="s">
        <v>1026</v>
      </c>
      <c r="D646" s="164" t="s">
        <v>13</v>
      </c>
      <c r="E646" s="165">
        <v>40</v>
      </c>
      <c r="F646" s="166">
        <v>0</v>
      </c>
      <c r="G646" s="227">
        <f>IF($B$2,IF(ROWS(B$6:$B646) = 1,$B646-Start_Date,$B646-$B645),"")</f>
        <v>7.3315393528901041E-3</v>
      </c>
      <c r="H646" s="29">
        <f>IF($B$2,IF(ROWS(B$6:$B646) = 1,IF(COUNTIFS(R_Schedule_Times,"&lt;"&amp;B646),INDEX(R_Schedule_Amounts,MATCH(B646,R_Schedule_Times,1)),Starting_Cash),IF(COUNTIFS(R_Schedule_Times,"&gt;"&amp;B645,R_Schedule_Times,"&lt;"&amp;B646),INDEX(R_Schedule_Amounts,MATCH(B646,R_Schedule_Times,1)),K645)),"")</f>
        <v>7460</v>
      </c>
      <c r="I646" s="30">
        <f t="shared" si="45"/>
        <v>40</v>
      </c>
      <c r="J646" s="31">
        <f t="shared" si="46"/>
        <v>0</v>
      </c>
      <c r="K646" s="29">
        <f t="shared" si="47"/>
        <v>7420</v>
      </c>
      <c r="L646" s="31" t="str">
        <f t="shared" si="48"/>
        <v/>
      </c>
      <c r="M646" s="31" t="str">
        <f t="shared" si="49"/>
        <v/>
      </c>
    </row>
    <row r="647" spans="1:13" x14ac:dyDescent="0.15">
      <c r="A647" s="163" t="s">
        <v>210</v>
      </c>
      <c r="B647" s="163">
        <v>42294.620924340277</v>
      </c>
      <c r="C647" s="164" t="s">
        <v>1027</v>
      </c>
      <c r="D647" s="164" t="s">
        <v>13</v>
      </c>
      <c r="E647" s="165">
        <v>40</v>
      </c>
      <c r="F647" s="166">
        <v>0</v>
      </c>
      <c r="G647" s="227">
        <f>IF($B$2,IF(ROWS(B$6:$B647) = 1,$B647-Start_Date,$B647-$B646),"")</f>
        <v>1.5512534722802229E-2</v>
      </c>
      <c r="H647" s="29">
        <f>IF($B$2,IF(ROWS(B$6:$B647) = 1,IF(COUNTIFS(R_Schedule_Times,"&lt;"&amp;B647),INDEX(R_Schedule_Amounts,MATCH(B647,R_Schedule_Times,1)),Starting_Cash),IF(COUNTIFS(R_Schedule_Times,"&gt;"&amp;B646,R_Schedule_Times,"&lt;"&amp;B647),INDEX(R_Schedule_Amounts,MATCH(B647,R_Schedule_Times,1)),K646)),"")</f>
        <v>7420</v>
      </c>
      <c r="I647" s="30">
        <f t="shared" ref="I647:I710" si="50">IF($B$2,IF(H647&gt;=E647,E647,0),"")</f>
        <v>40</v>
      </c>
      <c r="J647" s="31">
        <f t="shared" ref="J647:J710" si="51">IF($B$2,IF(H647&gt;=E647,F647,0),"")</f>
        <v>0</v>
      </c>
      <c r="K647" s="29">
        <f t="shared" ref="K647:K710" si="52">IF($B$2,ABS(I647-H647),"")</f>
        <v>7380</v>
      </c>
      <c r="L647" s="31" t="str">
        <f t="shared" ref="L647:L710" si="53">IF($B$2,IF(H647&lt;E647,"YES",""),"")</f>
        <v/>
      </c>
      <c r="M647" s="31" t="str">
        <f t="shared" ref="M647:M710" si="54">IF($B$2,IF(L647="YES",F647,""),"")</f>
        <v/>
      </c>
    </row>
    <row r="648" spans="1:13" x14ac:dyDescent="0.15">
      <c r="A648" s="163" t="s">
        <v>210</v>
      </c>
      <c r="B648" s="163">
        <v>42294.622199004632</v>
      </c>
      <c r="C648" s="164" t="s">
        <v>354</v>
      </c>
      <c r="D648" s="164" t="s">
        <v>13</v>
      </c>
      <c r="E648" s="165">
        <v>200</v>
      </c>
      <c r="F648" s="166">
        <v>0</v>
      </c>
      <c r="G648" s="227">
        <f>IF($B$2,IF(ROWS(B$6:$B648) = 1,$B648-Start_Date,$B648-$B647),"")</f>
        <v>1.2746643551508896E-3</v>
      </c>
      <c r="H648" s="29">
        <f>IF($B$2,IF(ROWS(B$6:$B648) = 1,IF(COUNTIFS(R_Schedule_Times,"&lt;"&amp;B648),INDEX(R_Schedule_Amounts,MATCH(B648,R_Schedule_Times,1)),Starting_Cash),IF(COUNTIFS(R_Schedule_Times,"&gt;"&amp;B647,R_Schedule_Times,"&lt;"&amp;B648),INDEX(R_Schedule_Amounts,MATCH(B648,R_Schedule_Times,1)),K647)),"")</f>
        <v>7380</v>
      </c>
      <c r="I648" s="30">
        <f t="shared" si="50"/>
        <v>200</v>
      </c>
      <c r="J648" s="31">
        <f t="shared" si="51"/>
        <v>0</v>
      </c>
      <c r="K648" s="29">
        <f t="shared" si="52"/>
        <v>7180</v>
      </c>
      <c r="L648" s="31" t="str">
        <f t="shared" si="53"/>
        <v/>
      </c>
      <c r="M648" s="31" t="str">
        <f t="shared" si="54"/>
        <v/>
      </c>
    </row>
    <row r="649" spans="1:13" x14ac:dyDescent="0.15">
      <c r="A649" s="163" t="s">
        <v>210</v>
      </c>
      <c r="B649" s="163">
        <v>42294.627205023149</v>
      </c>
      <c r="C649" s="164" t="s">
        <v>1028</v>
      </c>
      <c r="D649" s="164" t="s">
        <v>15</v>
      </c>
      <c r="E649" s="165">
        <v>60</v>
      </c>
      <c r="F649" s="166">
        <v>1.8</v>
      </c>
      <c r="G649" s="227">
        <f>IF($B$2,IF(ROWS(B$6:$B649) = 1,$B649-Start_Date,$B649-$B648),"")</f>
        <v>5.0060185167239979E-3</v>
      </c>
      <c r="H649" s="29">
        <f>IF($B$2,IF(ROWS(B$6:$B649) = 1,IF(COUNTIFS(R_Schedule_Times,"&lt;"&amp;B649),INDEX(R_Schedule_Amounts,MATCH(B649,R_Schedule_Times,1)),Starting_Cash),IF(COUNTIFS(R_Schedule_Times,"&gt;"&amp;B648,R_Schedule_Times,"&lt;"&amp;B649),INDEX(R_Schedule_Amounts,MATCH(B649,R_Schedule_Times,1)),K648)),"")</f>
        <v>7180</v>
      </c>
      <c r="I649" s="30">
        <f t="shared" si="50"/>
        <v>60</v>
      </c>
      <c r="J649" s="31">
        <f t="shared" si="51"/>
        <v>1.8</v>
      </c>
      <c r="K649" s="29">
        <f t="shared" si="52"/>
        <v>7120</v>
      </c>
      <c r="L649" s="31" t="str">
        <f t="shared" si="53"/>
        <v/>
      </c>
      <c r="M649" s="31" t="str">
        <f t="shared" si="54"/>
        <v/>
      </c>
    </row>
    <row r="650" spans="1:13" x14ac:dyDescent="0.15">
      <c r="A650" s="163" t="s">
        <v>210</v>
      </c>
      <c r="B650" s="163">
        <v>42294.681848993052</v>
      </c>
      <c r="C650" s="164" t="s">
        <v>1029</v>
      </c>
      <c r="D650" s="164" t="s">
        <v>13</v>
      </c>
      <c r="E650" s="165">
        <v>20</v>
      </c>
      <c r="F650" s="166">
        <v>0</v>
      </c>
      <c r="G650" s="227">
        <f>IF($B$2,IF(ROWS(B$6:$B650) = 1,$B650-Start_Date,$B650-$B649),"")</f>
        <v>5.4643969902826939E-2</v>
      </c>
      <c r="H650" s="29">
        <f>IF($B$2,IF(ROWS(B$6:$B650) = 1,IF(COUNTIFS(R_Schedule_Times,"&lt;"&amp;B650),INDEX(R_Schedule_Amounts,MATCH(B650,R_Schedule_Times,1)),Starting_Cash),IF(COUNTIFS(R_Schedule_Times,"&gt;"&amp;B649,R_Schedule_Times,"&lt;"&amp;B650),INDEX(R_Schedule_Amounts,MATCH(B650,R_Schedule_Times,1)),K649)),"")</f>
        <v>7120</v>
      </c>
      <c r="I650" s="30">
        <f t="shared" si="50"/>
        <v>20</v>
      </c>
      <c r="J650" s="31">
        <f t="shared" si="51"/>
        <v>0</v>
      </c>
      <c r="K650" s="29">
        <f t="shared" si="52"/>
        <v>7100</v>
      </c>
      <c r="L650" s="31" t="str">
        <f t="shared" si="53"/>
        <v/>
      </c>
      <c r="M650" s="31" t="str">
        <f t="shared" si="54"/>
        <v/>
      </c>
    </row>
    <row r="651" spans="1:13" x14ac:dyDescent="0.15">
      <c r="A651" s="163" t="s">
        <v>210</v>
      </c>
      <c r="B651" s="163">
        <v>42294.682511828702</v>
      </c>
      <c r="C651" s="164" t="s">
        <v>1030</v>
      </c>
      <c r="D651" s="164" t="s">
        <v>13</v>
      </c>
      <c r="E651" s="165">
        <v>60</v>
      </c>
      <c r="F651" s="166">
        <v>0</v>
      </c>
      <c r="G651" s="227">
        <f>IF($B$2,IF(ROWS(B$6:$B651) = 1,$B651-Start_Date,$B651-$B650),"")</f>
        <v>6.6283564956393093E-4</v>
      </c>
      <c r="H651" s="29">
        <f>IF($B$2,IF(ROWS(B$6:$B651) = 1,IF(COUNTIFS(R_Schedule_Times,"&lt;"&amp;B651),INDEX(R_Schedule_Amounts,MATCH(B651,R_Schedule_Times,1)),Starting_Cash),IF(COUNTIFS(R_Schedule_Times,"&gt;"&amp;B650,R_Schedule_Times,"&lt;"&amp;B651),INDEX(R_Schedule_Amounts,MATCH(B651,R_Schedule_Times,1)),K650)),"")</f>
        <v>7100</v>
      </c>
      <c r="I651" s="30">
        <f t="shared" si="50"/>
        <v>60</v>
      </c>
      <c r="J651" s="31">
        <f t="shared" si="51"/>
        <v>0</v>
      </c>
      <c r="K651" s="29">
        <f t="shared" si="52"/>
        <v>7040</v>
      </c>
      <c r="L651" s="31" t="str">
        <f t="shared" si="53"/>
        <v/>
      </c>
      <c r="M651" s="31" t="str">
        <f t="shared" si="54"/>
        <v/>
      </c>
    </row>
    <row r="652" spans="1:13" x14ac:dyDescent="0.15">
      <c r="A652" s="163" t="s">
        <v>210</v>
      </c>
      <c r="B652" s="163">
        <v>42294.700151967591</v>
      </c>
      <c r="C652" s="164" t="s">
        <v>1031</v>
      </c>
      <c r="D652" s="164" t="s">
        <v>13</v>
      </c>
      <c r="E652" s="165">
        <v>260</v>
      </c>
      <c r="F652" s="166">
        <v>0</v>
      </c>
      <c r="G652" s="227">
        <f>IF($B$2,IF(ROWS(B$6:$B652) = 1,$B652-Start_Date,$B652-$B651),"")</f>
        <v>1.7640138888964429E-2</v>
      </c>
      <c r="H652" s="29">
        <f>IF($B$2,IF(ROWS(B$6:$B652) = 1,IF(COUNTIFS(R_Schedule_Times,"&lt;"&amp;B652),INDEX(R_Schedule_Amounts,MATCH(B652,R_Schedule_Times,1)),Starting_Cash),IF(COUNTIFS(R_Schedule_Times,"&gt;"&amp;B651,R_Schedule_Times,"&lt;"&amp;B652),INDEX(R_Schedule_Amounts,MATCH(B652,R_Schedule_Times,1)),K651)),"")</f>
        <v>7040</v>
      </c>
      <c r="I652" s="30">
        <f t="shared" si="50"/>
        <v>260</v>
      </c>
      <c r="J652" s="31">
        <f t="shared" si="51"/>
        <v>0</v>
      </c>
      <c r="K652" s="29">
        <f t="shared" si="52"/>
        <v>6780</v>
      </c>
      <c r="L652" s="31" t="str">
        <f t="shared" si="53"/>
        <v/>
      </c>
      <c r="M652" s="31" t="str">
        <f t="shared" si="54"/>
        <v/>
      </c>
    </row>
    <row r="653" spans="1:13" x14ac:dyDescent="0.15">
      <c r="A653" s="163" t="s">
        <v>210</v>
      </c>
      <c r="B653" s="163">
        <v>42294.701037407409</v>
      </c>
      <c r="C653" s="164" t="s">
        <v>1032</v>
      </c>
      <c r="D653" s="164" t="s">
        <v>13</v>
      </c>
      <c r="E653" s="165">
        <v>100</v>
      </c>
      <c r="F653" s="166">
        <v>0</v>
      </c>
      <c r="G653" s="227">
        <f>IF($B$2,IF(ROWS(B$6:$B653) = 1,$B653-Start_Date,$B653-$B652),"")</f>
        <v>8.8543981837574393E-4</v>
      </c>
      <c r="H653" s="29">
        <f>IF($B$2,IF(ROWS(B$6:$B653) = 1,IF(COUNTIFS(R_Schedule_Times,"&lt;"&amp;B653),INDEX(R_Schedule_Amounts,MATCH(B653,R_Schedule_Times,1)),Starting_Cash),IF(COUNTIFS(R_Schedule_Times,"&gt;"&amp;B652,R_Schedule_Times,"&lt;"&amp;B653),INDEX(R_Schedule_Amounts,MATCH(B653,R_Schedule_Times,1)),K652)),"")</f>
        <v>6780</v>
      </c>
      <c r="I653" s="30">
        <f t="shared" si="50"/>
        <v>100</v>
      </c>
      <c r="J653" s="31">
        <f t="shared" si="51"/>
        <v>0</v>
      </c>
      <c r="K653" s="29">
        <f t="shared" si="52"/>
        <v>6680</v>
      </c>
      <c r="L653" s="31" t="str">
        <f t="shared" si="53"/>
        <v/>
      </c>
      <c r="M653" s="31" t="str">
        <f t="shared" si="54"/>
        <v/>
      </c>
    </row>
    <row r="654" spans="1:13" x14ac:dyDescent="0.15">
      <c r="A654" s="163" t="s">
        <v>210</v>
      </c>
      <c r="B654" s="163">
        <v>42294.710148958337</v>
      </c>
      <c r="C654" s="164" t="s">
        <v>182</v>
      </c>
      <c r="D654" s="164" t="s">
        <v>13</v>
      </c>
      <c r="E654" s="165">
        <v>100</v>
      </c>
      <c r="F654" s="166">
        <v>0</v>
      </c>
      <c r="G654" s="227">
        <f>IF($B$2,IF(ROWS(B$6:$B654) = 1,$B654-Start_Date,$B654-$B653),"")</f>
        <v>9.1115509276278317E-3</v>
      </c>
      <c r="H654" s="29">
        <f>IF($B$2,IF(ROWS(B$6:$B654) = 1,IF(COUNTIFS(R_Schedule_Times,"&lt;"&amp;B654),INDEX(R_Schedule_Amounts,MATCH(B654,R_Schedule_Times,1)),Starting_Cash),IF(COUNTIFS(R_Schedule_Times,"&gt;"&amp;B653,R_Schedule_Times,"&lt;"&amp;B654),INDEX(R_Schedule_Amounts,MATCH(B654,R_Schedule_Times,1)),K653)),"")</f>
        <v>6680</v>
      </c>
      <c r="I654" s="30">
        <f t="shared" si="50"/>
        <v>100</v>
      </c>
      <c r="J654" s="31">
        <f t="shared" si="51"/>
        <v>0</v>
      </c>
      <c r="K654" s="29">
        <f t="shared" si="52"/>
        <v>6580</v>
      </c>
      <c r="L654" s="31" t="str">
        <f t="shared" si="53"/>
        <v/>
      </c>
      <c r="M654" s="31" t="str">
        <f t="shared" si="54"/>
        <v/>
      </c>
    </row>
    <row r="655" spans="1:13" x14ac:dyDescent="0.15">
      <c r="A655" s="163" t="s">
        <v>210</v>
      </c>
      <c r="B655" s="163">
        <v>42294.738156516207</v>
      </c>
      <c r="C655" s="164" t="s">
        <v>1033</v>
      </c>
      <c r="D655" s="164" t="s">
        <v>13</v>
      </c>
      <c r="E655" s="165">
        <v>40</v>
      </c>
      <c r="F655" s="166">
        <v>0</v>
      </c>
      <c r="G655" s="227">
        <f>IF($B$2,IF(ROWS(B$6:$B655) = 1,$B655-Start_Date,$B655-$B654),"")</f>
        <v>2.8007557870296296E-2</v>
      </c>
      <c r="H655" s="29">
        <f>IF($B$2,IF(ROWS(B$6:$B655) = 1,IF(COUNTIFS(R_Schedule_Times,"&lt;"&amp;B655),INDEX(R_Schedule_Amounts,MATCH(B655,R_Schedule_Times,1)),Starting_Cash),IF(COUNTIFS(R_Schedule_Times,"&gt;"&amp;B654,R_Schedule_Times,"&lt;"&amp;B655),INDEX(R_Schedule_Amounts,MATCH(B655,R_Schedule_Times,1)),K654)),"")</f>
        <v>6580</v>
      </c>
      <c r="I655" s="30">
        <f t="shared" si="50"/>
        <v>40</v>
      </c>
      <c r="J655" s="31">
        <f t="shared" si="51"/>
        <v>0</v>
      </c>
      <c r="K655" s="29">
        <f t="shared" si="52"/>
        <v>6540</v>
      </c>
      <c r="L655" s="31" t="str">
        <f t="shared" si="53"/>
        <v/>
      </c>
      <c r="M655" s="31" t="str">
        <f t="shared" si="54"/>
        <v/>
      </c>
    </row>
    <row r="656" spans="1:13" x14ac:dyDescent="0.15">
      <c r="A656" s="163" t="s">
        <v>210</v>
      </c>
      <c r="B656" s="163">
        <v>42294.740426597222</v>
      </c>
      <c r="C656" s="164" t="s">
        <v>1034</v>
      </c>
      <c r="D656" s="164" t="s">
        <v>13</v>
      </c>
      <c r="E656" s="165">
        <v>100</v>
      </c>
      <c r="F656" s="166">
        <v>0</v>
      </c>
      <c r="G656" s="227">
        <f>IF($B$2,IF(ROWS(B$6:$B656) = 1,$B656-Start_Date,$B656-$B655),"")</f>
        <v>2.2700810150126927E-3</v>
      </c>
      <c r="H656" s="29">
        <f>IF($B$2,IF(ROWS(B$6:$B656) = 1,IF(COUNTIFS(R_Schedule_Times,"&lt;"&amp;B656),INDEX(R_Schedule_Amounts,MATCH(B656,R_Schedule_Times,1)),Starting_Cash),IF(COUNTIFS(R_Schedule_Times,"&gt;"&amp;B655,R_Schedule_Times,"&lt;"&amp;B656),INDEX(R_Schedule_Amounts,MATCH(B656,R_Schedule_Times,1)),K655)),"")</f>
        <v>6540</v>
      </c>
      <c r="I656" s="30">
        <f t="shared" si="50"/>
        <v>100</v>
      </c>
      <c r="J656" s="31">
        <f t="shared" si="51"/>
        <v>0</v>
      </c>
      <c r="K656" s="29">
        <f t="shared" si="52"/>
        <v>6440</v>
      </c>
      <c r="L656" s="31" t="str">
        <f t="shared" si="53"/>
        <v/>
      </c>
      <c r="M656" s="31" t="str">
        <f t="shared" si="54"/>
        <v/>
      </c>
    </row>
    <row r="657" spans="1:13" x14ac:dyDescent="0.15">
      <c r="A657" s="163" t="s">
        <v>210</v>
      </c>
      <c r="B657" s="163">
        <v>42294.751106122683</v>
      </c>
      <c r="C657" s="164" t="s">
        <v>696</v>
      </c>
      <c r="D657" s="164" t="s">
        <v>13</v>
      </c>
      <c r="E657" s="165">
        <v>500</v>
      </c>
      <c r="F657" s="166">
        <v>0</v>
      </c>
      <c r="G657" s="227">
        <f>IF($B$2,IF(ROWS(B$6:$B657) = 1,$B657-Start_Date,$B657-$B656),"")</f>
        <v>1.0679525461455341E-2</v>
      </c>
      <c r="H657" s="29">
        <f>IF($B$2,IF(ROWS(B$6:$B657) = 1,IF(COUNTIFS(R_Schedule_Times,"&lt;"&amp;B657),INDEX(R_Schedule_Amounts,MATCH(B657,R_Schedule_Times,1)),Starting_Cash),IF(COUNTIFS(R_Schedule_Times,"&gt;"&amp;B656,R_Schedule_Times,"&lt;"&amp;B657),INDEX(R_Schedule_Amounts,MATCH(B657,R_Schedule_Times,1)),K656)),"")</f>
        <v>6440</v>
      </c>
      <c r="I657" s="30">
        <f t="shared" si="50"/>
        <v>500</v>
      </c>
      <c r="J657" s="31">
        <f t="shared" si="51"/>
        <v>0</v>
      </c>
      <c r="K657" s="29">
        <f t="shared" si="52"/>
        <v>5940</v>
      </c>
      <c r="L657" s="31" t="str">
        <f t="shared" si="53"/>
        <v/>
      </c>
      <c r="M657" s="31" t="str">
        <f t="shared" si="54"/>
        <v/>
      </c>
    </row>
    <row r="658" spans="1:13" x14ac:dyDescent="0.15">
      <c r="A658" s="163" t="s">
        <v>210</v>
      </c>
      <c r="B658" s="163">
        <v>42294.758723298612</v>
      </c>
      <c r="C658" s="164" t="s">
        <v>355</v>
      </c>
      <c r="D658" s="164" t="s">
        <v>13</v>
      </c>
      <c r="E658" s="165">
        <v>100</v>
      </c>
      <c r="F658" s="166">
        <v>0</v>
      </c>
      <c r="G658" s="227">
        <f>IF($B$2,IF(ROWS(B$6:$B658) = 1,$B658-Start_Date,$B658-$B657),"")</f>
        <v>7.6171759283170104E-3</v>
      </c>
      <c r="H658" s="29">
        <f>IF($B$2,IF(ROWS(B$6:$B658) = 1,IF(COUNTIFS(R_Schedule_Times,"&lt;"&amp;B658),INDEX(R_Schedule_Amounts,MATCH(B658,R_Schedule_Times,1)),Starting_Cash),IF(COUNTIFS(R_Schedule_Times,"&gt;"&amp;B657,R_Schedule_Times,"&lt;"&amp;B658),INDEX(R_Schedule_Amounts,MATCH(B658,R_Schedule_Times,1)),K657)),"")</f>
        <v>5940</v>
      </c>
      <c r="I658" s="30">
        <f t="shared" si="50"/>
        <v>100</v>
      </c>
      <c r="J658" s="31">
        <f t="shared" si="51"/>
        <v>0</v>
      </c>
      <c r="K658" s="29">
        <f t="shared" si="52"/>
        <v>5840</v>
      </c>
      <c r="L658" s="31" t="str">
        <f t="shared" si="53"/>
        <v/>
      </c>
      <c r="M658" s="31" t="str">
        <f t="shared" si="54"/>
        <v/>
      </c>
    </row>
    <row r="659" spans="1:13" x14ac:dyDescent="0.15">
      <c r="A659" s="163" t="s">
        <v>210</v>
      </c>
      <c r="B659" s="163">
        <v>42294.759761921297</v>
      </c>
      <c r="C659" s="164" t="s">
        <v>1035</v>
      </c>
      <c r="D659" s="164" t="s">
        <v>13</v>
      </c>
      <c r="E659" s="165">
        <v>60</v>
      </c>
      <c r="F659" s="166">
        <v>0</v>
      </c>
      <c r="G659" s="227">
        <f>IF($B$2,IF(ROWS(B$6:$B659) = 1,$B659-Start_Date,$B659-$B658),"")</f>
        <v>1.0386226858827285E-3</v>
      </c>
      <c r="H659" s="29">
        <f>IF($B$2,IF(ROWS(B$6:$B659) = 1,IF(COUNTIFS(R_Schedule_Times,"&lt;"&amp;B659),INDEX(R_Schedule_Amounts,MATCH(B659,R_Schedule_Times,1)),Starting_Cash),IF(COUNTIFS(R_Schedule_Times,"&gt;"&amp;B658,R_Schedule_Times,"&lt;"&amp;B659),INDEX(R_Schedule_Amounts,MATCH(B659,R_Schedule_Times,1)),K658)),"")</f>
        <v>5840</v>
      </c>
      <c r="I659" s="30">
        <f t="shared" si="50"/>
        <v>60</v>
      </c>
      <c r="J659" s="31">
        <f t="shared" si="51"/>
        <v>0</v>
      </c>
      <c r="K659" s="29">
        <f t="shared" si="52"/>
        <v>5780</v>
      </c>
      <c r="L659" s="31" t="str">
        <f t="shared" si="53"/>
        <v/>
      </c>
      <c r="M659" s="31" t="str">
        <f t="shared" si="54"/>
        <v/>
      </c>
    </row>
    <row r="660" spans="1:13" x14ac:dyDescent="0.15">
      <c r="A660" s="163" t="s">
        <v>210</v>
      </c>
      <c r="B660" s="163">
        <v>42294.768996724539</v>
      </c>
      <c r="C660" s="164" t="s">
        <v>1036</v>
      </c>
      <c r="D660" s="164" t="s">
        <v>13</v>
      </c>
      <c r="E660" s="165">
        <v>60</v>
      </c>
      <c r="F660" s="166">
        <v>0</v>
      </c>
      <c r="G660" s="227">
        <f>IF($B$2,IF(ROWS(B$6:$B660) = 1,$B660-Start_Date,$B660-$B659),"")</f>
        <v>9.2348032412701286E-3</v>
      </c>
      <c r="H660" s="29">
        <f>IF($B$2,IF(ROWS(B$6:$B660) = 1,IF(COUNTIFS(R_Schedule_Times,"&lt;"&amp;B660),INDEX(R_Schedule_Amounts,MATCH(B660,R_Schedule_Times,1)),Starting_Cash),IF(COUNTIFS(R_Schedule_Times,"&gt;"&amp;B659,R_Schedule_Times,"&lt;"&amp;B660),INDEX(R_Schedule_Amounts,MATCH(B660,R_Schedule_Times,1)),K659)),"")</f>
        <v>5780</v>
      </c>
      <c r="I660" s="30">
        <f t="shared" si="50"/>
        <v>60</v>
      </c>
      <c r="J660" s="31">
        <f t="shared" si="51"/>
        <v>0</v>
      </c>
      <c r="K660" s="29">
        <f t="shared" si="52"/>
        <v>5720</v>
      </c>
      <c r="L660" s="31" t="str">
        <f t="shared" si="53"/>
        <v/>
      </c>
      <c r="M660" s="31" t="str">
        <f t="shared" si="54"/>
        <v/>
      </c>
    </row>
    <row r="661" spans="1:13" x14ac:dyDescent="0.15">
      <c r="A661" s="163" t="s">
        <v>210</v>
      </c>
      <c r="B661" s="163">
        <v>42294.780847534719</v>
      </c>
      <c r="C661" s="164" t="s">
        <v>1037</v>
      </c>
      <c r="D661" s="164" t="s">
        <v>13</v>
      </c>
      <c r="E661" s="165">
        <v>200</v>
      </c>
      <c r="F661" s="166">
        <v>0</v>
      </c>
      <c r="G661" s="227">
        <f>IF($B$2,IF(ROWS(B$6:$B661) = 1,$B661-Start_Date,$B661-$B660),"")</f>
        <v>1.1850810180476401E-2</v>
      </c>
      <c r="H661" s="29">
        <f>IF($B$2,IF(ROWS(B$6:$B661) = 1,IF(COUNTIFS(R_Schedule_Times,"&lt;"&amp;B661),INDEX(R_Schedule_Amounts,MATCH(B661,R_Schedule_Times,1)),Starting_Cash),IF(COUNTIFS(R_Schedule_Times,"&gt;"&amp;B660,R_Schedule_Times,"&lt;"&amp;B661),INDEX(R_Schedule_Amounts,MATCH(B661,R_Schedule_Times,1)),K660)),"")</f>
        <v>5720</v>
      </c>
      <c r="I661" s="30">
        <f t="shared" si="50"/>
        <v>200</v>
      </c>
      <c r="J661" s="31">
        <f t="shared" si="51"/>
        <v>0</v>
      </c>
      <c r="K661" s="29">
        <f t="shared" si="52"/>
        <v>5520</v>
      </c>
      <c r="L661" s="31" t="str">
        <f t="shared" si="53"/>
        <v/>
      </c>
      <c r="M661" s="31" t="str">
        <f t="shared" si="54"/>
        <v/>
      </c>
    </row>
    <row r="662" spans="1:13" x14ac:dyDescent="0.15">
      <c r="A662" s="163" t="s">
        <v>210</v>
      </c>
      <c r="B662" s="163">
        <v>42294.784633692128</v>
      </c>
      <c r="C662" s="164" t="s">
        <v>1038</v>
      </c>
      <c r="D662" s="164" t="s">
        <v>13</v>
      </c>
      <c r="E662" s="165">
        <v>100</v>
      </c>
      <c r="F662" s="166">
        <v>0</v>
      </c>
      <c r="G662" s="227">
        <f>IF($B$2,IF(ROWS(B$6:$B662) = 1,$B662-Start_Date,$B662-$B661),"")</f>
        <v>3.7861574091948569E-3</v>
      </c>
      <c r="H662" s="29">
        <f>IF($B$2,IF(ROWS(B$6:$B662) = 1,IF(COUNTIFS(R_Schedule_Times,"&lt;"&amp;B662),INDEX(R_Schedule_Amounts,MATCH(B662,R_Schedule_Times,1)),Starting_Cash),IF(COUNTIFS(R_Schedule_Times,"&gt;"&amp;B661,R_Schedule_Times,"&lt;"&amp;B662),INDEX(R_Schedule_Amounts,MATCH(B662,R_Schedule_Times,1)),K661)),"")</f>
        <v>5520</v>
      </c>
      <c r="I662" s="30">
        <f t="shared" si="50"/>
        <v>100</v>
      </c>
      <c r="J662" s="31">
        <f t="shared" si="51"/>
        <v>0</v>
      </c>
      <c r="K662" s="29">
        <f t="shared" si="52"/>
        <v>5420</v>
      </c>
      <c r="L662" s="31" t="str">
        <f t="shared" si="53"/>
        <v/>
      </c>
      <c r="M662" s="31" t="str">
        <f t="shared" si="54"/>
        <v/>
      </c>
    </row>
    <row r="663" spans="1:13" x14ac:dyDescent="0.15">
      <c r="A663" s="163" t="s">
        <v>210</v>
      </c>
      <c r="B663" s="163">
        <v>42294.819486666667</v>
      </c>
      <c r="C663" s="164" t="s">
        <v>1039</v>
      </c>
      <c r="D663" s="164" t="s">
        <v>13</v>
      </c>
      <c r="E663" s="165">
        <v>100</v>
      </c>
      <c r="F663" s="166">
        <v>0</v>
      </c>
      <c r="G663" s="227">
        <f>IF($B$2,IF(ROWS(B$6:$B663) = 1,$B663-Start_Date,$B663-$B662),"")</f>
        <v>3.4852974538807757E-2</v>
      </c>
      <c r="H663" s="29">
        <f>IF($B$2,IF(ROWS(B$6:$B663) = 1,IF(COUNTIFS(R_Schedule_Times,"&lt;"&amp;B663),INDEX(R_Schedule_Amounts,MATCH(B663,R_Schedule_Times,1)),Starting_Cash),IF(COUNTIFS(R_Schedule_Times,"&gt;"&amp;B662,R_Schedule_Times,"&lt;"&amp;B663),INDEX(R_Schedule_Amounts,MATCH(B663,R_Schedule_Times,1)),K662)),"")</f>
        <v>5420</v>
      </c>
      <c r="I663" s="30">
        <f t="shared" si="50"/>
        <v>100</v>
      </c>
      <c r="J663" s="31">
        <f t="shared" si="51"/>
        <v>0</v>
      </c>
      <c r="K663" s="29">
        <f t="shared" si="52"/>
        <v>5320</v>
      </c>
      <c r="L663" s="31" t="str">
        <f t="shared" si="53"/>
        <v/>
      </c>
      <c r="M663" s="31" t="str">
        <f t="shared" si="54"/>
        <v/>
      </c>
    </row>
    <row r="664" spans="1:13" x14ac:dyDescent="0.15">
      <c r="A664" s="163" t="s">
        <v>210</v>
      </c>
      <c r="B664" s="163">
        <v>42294.822690162036</v>
      </c>
      <c r="C664" s="164" t="s">
        <v>14</v>
      </c>
      <c r="D664" s="164" t="s">
        <v>13</v>
      </c>
      <c r="E664" s="165">
        <v>100</v>
      </c>
      <c r="F664" s="166">
        <v>3.5</v>
      </c>
      <c r="G664" s="227">
        <f>IF($B$2,IF(ROWS(B$6:$B664) = 1,$B664-Start_Date,$B664-$B663),"")</f>
        <v>3.203495369234588E-3</v>
      </c>
      <c r="H664" s="29">
        <f>IF($B$2,IF(ROWS(B$6:$B664) = 1,IF(COUNTIFS(R_Schedule_Times,"&lt;"&amp;B664),INDEX(R_Schedule_Amounts,MATCH(B664,R_Schedule_Times,1)),Starting_Cash),IF(COUNTIFS(R_Schedule_Times,"&gt;"&amp;B663,R_Schedule_Times,"&lt;"&amp;B664),INDEX(R_Schedule_Amounts,MATCH(B664,R_Schedule_Times,1)),K663)),"")</f>
        <v>5320</v>
      </c>
      <c r="I664" s="30">
        <f t="shared" si="50"/>
        <v>100</v>
      </c>
      <c r="J664" s="31">
        <f t="shared" si="51"/>
        <v>3.5</v>
      </c>
      <c r="K664" s="29">
        <f t="shared" si="52"/>
        <v>5220</v>
      </c>
      <c r="L664" s="31" t="str">
        <f t="shared" si="53"/>
        <v/>
      </c>
      <c r="M664" s="31" t="str">
        <f t="shared" si="54"/>
        <v/>
      </c>
    </row>
    <row r="665" spans="1:13" x14ac:dyDescent="0.15">
      <c r="A665" s="163" t="s">
        <v>210</v>
      </c>
      <c r="B665" s="163">
        <v>42294.827527997688</v>
      </c>
      <c r="C665" s="164" t="s">
        <v>1040</v>
      </c>
      <c r="D665" s="164" t="s">
        <v>13</v>
      </c>
      <c r="E665" s="165">
        <v>120</v>
      </c>
      <c r="F665" s="166">
        <v>0</v>
      </c>
      <c r="G665" s="227">
        <f>IF($B$2,IF(ROWS(B$6:$B665) = 1,$B665-Start_Date,$B665-$B664),"")</f>
        <v>4.8378356514149345E-3</v>
      </c>
      <c r="H665" s="29">
        <f>IF($B$2,IF(ROWS(B$6:$B665) = 1,IF(COUNTIFS(R_Schedule_Times,"&lt;"&amp;B665),INDEX(R_Schedule_Amounts,MATCH(B665,R_Schedule_Times,1)),Starting_Cash),IF(COUNTIFS(R_Schedule_Times,"&gt;"&amp;B664,R_Schedule_Times,"&lt;"&amp;B665),INDEX(R_Schedule_Amounts,MATCH(B665,R_Schedule_Times,1)),K664)),"")</f>
        <v>5220</v>
      </c>
      <c r="I665" s="30">
        <f t="shared" si="50"/>
        <v>120</v>
      </c>
      <c r="J665" s="31">
        <f t="shared" si="51"/>
        <v>0</v>
      </c>
      <c r="K665" s="29">
        <f t="shared" si="52"/>
        <v>5100</v>
      </c>
      <c r="L665" s="31" t="str">
        <f t="shared" si="53"/>
        <v/>
      </c>
      <c r="M665" s="31" t="str">
        <f t="shared" si="54"/>
        <v/>
      </c>
    </row>
    <row r="666" spans="1:13" x14ac:dyDescent="0.15">
      <c r="A666" s="163" t="s">
        <v>210</v>
      </c>
      <c r="B666" s="163">
        <v>42294.834981956017</v>
      </c>
      <c r="C666" s="164" t="s">
        <v>1041</v>
      </c>
      <c r="D666" s="164" t="s">
        <v>13</v>
      </c>
      <c r="E666" s="165">
        <v>120</v>
      </c>
      <c r="F666" s="166">
        <v>0</v>
      </c>
      <c r="G666" s="227">
        <f>IF($B$2,IF(ROWS(B$6:$B666) = 1,$B666-Start_Date,$B666-$B665),"")</f>
        <v>7.4539583292789757E-3</v>
      </c>
      <c r="H666" s="29">
        <f>IF($B$2,IF(ROWS(B$6:$B666) = 1,IF(COUNTIFS(R_Schedule_Times,"&lt;"&amp;B666),INDEX(R_Schedule_Amounts,MATCH(B666,R_Schedule_Times,1)),Starting_Cash),IF(COUNTIFS(R_Schedule_Times,"&gt;"&amp;B665,R_Schedule_Times,"&lt;"&amp;B666),INDEX(R_Schedule_Amounts,MATCH(B666,R_Schedule_Times,1)),K665)),"")</f>
        <v>5100</v>
      </c>
      <c r="I666" s="30">
        <f t="shared" si="50"/>
        <v>120</v>
      </c>
      <c r="J666" s="31">
        <f t="shared" si="51"/>
        <v>0</v>
      </c>
      <c r="K666" s="29">
        <f t="shared" si="52"/>
        <v>4980</v>
      </c>
      <c r="L666" s="31" t="str">
        <f t="shared" si="53"/>
        <v/>
      </c>
      <c r="M666" s="31" t="str">
        <f t="shared" si="54"/>
        <v/>
      </c>
    </row>
    <row r="667" spans="1:13" x14ac:dyDescent="0.15">
      <c r="A667" s="163" t="s">
        <v>210</v>
      </c>
      <c r="B667" s="163">
        <v>42294.883827893522</v>
      </c>
      <c r="C667" s="164" t="s">
        <v>14</v>
      </c>
      <c r="D667" s="164" t="s">
        <v>13</v>
      </c>
      <c r="E667" s="165">
        <v>40</v>
      </c>
      <c r="F667" s="166">
        <v>3.5</v>
      </c>
      <c r="G667" s="227">
        <f>IF($B$2,IF(ROWS(B$6:$B667) = 1,$B667-Start_Date,$B667-$B666),"")</f>
        <v>4.8845937504665926E-2</v>
      </c>
      <c r="H667" s="29">
        <f>IF($B$2,IF(ROWS(B$6:$B667) = 1,IF(COUNTIFS(R_Schedule_Times,"&lt;"&amp;B667),INDEX(R_Schedule_Amounts,MATCH(B667,R_Schedule_Times,1)),Starting_Cash),IF(COUNTIFS(R_Schedule_Times,"&gt;"&amp;B666,R_Schedule_Times,"&lt;"&amp;B667),INDEX(R_Schedule_Amounts,MATCH(B667,R_Schedule_Times,1)),K666)),"")</f>
        <v>4980</v>
      </c>
      <c r="I667" s="30">
        <f t="shared" si="50"/>
        <v>40</v>
      </c>
      <c r="J667" s="31">
        <f t="shared" si="51"/>
        <v>3.5</v>
      </c>
      <c r="K667" s="29">
        <f t="shared" si="52"/>
        <v>4940</v>
      </c>
      <c r="L667" s="31" t="str">
        <f t="shared" si="53"/>
        <v/>
      </c>
      <c r="M667" s="31" t="str">
        <f t="shared" si="54"/>
        <v/>
      </c>
    </row>
    <row r="668" spans="1:13" x14ac:dyDescent="0.15">
      <c r="A668" s="163" t="s">
        <v>210</v>
      </c>
      <c r="B668" s="163">
        <v>42294.907018726852</v>
      </c>
      <c r="C668" s="164" t="s">
        <v>315</v>
      </c>
      <c r="D668" s="164" t="s">
        <v>13</v>
      </c>
      <c r="E668" s="165">
        <v>160</v>
      </c>
      <c r="F668" s="166">
        <v>0</v>
      </c>
      <c r="G668" s="227">
        <f>IF($B$2,IF(ROWS(B$6:$B668) = 1,$B668-Start_Date,$B668-$B667),"")</f>
        <v>2.3190833329863381E-2</v>
      </c>
      <c r="H668" s="29">
        <f>IF($B$2,IF(ROWS(B$6:$B668) = 1,IF(COUNTIFS(R_Schedule_Times,"&lt;"&amp;B668),INDEX(R_Schedule_Amounts,MATCH(B668,R_Schedule_Times,1)),Starting_Cash),IF(COUNTIFS(R_Schedule_Times,"&gt;"&amp;B667,R_Schedule_Times,"&lt;"&amp;B668),INDEX(R_Schedule_Amounts,MATCH(B668,R_Schedule_Times,1)),K667)),"")</f>
        <v>4940</v>
      </c>
      <c r="I668" s="30">
        <f t="shared" si="50"/>
        <v>160</v>
      </c>
      <c r="J668" s="31">
        <f t="shared" si="51"/>
        <v>0</v>
      </c>
      <c r="K668" s="29">
        <f t="shared" si="52"/>
        <v>4780</v>
      </c>
      <c r="L668" s="31" t="str">
        <f t="shared" si="53"/>
        <v/>
      </c>
      <c r="M668" s="31" t="str">
        <f t="shared" si="54"/>
        <v/>
      </c>
    </row>
    <row r="669" spans="1:13" x14ac:dyDescent="0.15">
      <c r="A669" s="163" t="s">
        <v>210</v>
      </c>
      <c r="B669" s="163">
        <v>42294.925274872687</v>
      </c>
      <c r="C669" s="164" t="s">
        <v>1042</v>
      </c>
      <c r="D669" s="164" t="s">
        <v>13</v>
      </c>
      <c r="E669" s="165">
        <v>100</v>
      </c>
      <c r="F669" s="166">
        <v>0</v>
      </c>
      <c r="G669" s="227">
        <f>IF($B$2,IF(ROWS(B$6:$B669) = 1,$B669-Start_Date,$B669-$B668),"")</f>
        <v>1.8256145835039206E-2</v>
      </c>
      <c r="H669" s="29">
        <f>IF($B$2,IF(ROWS(B$6:$B669) = 1,IF(COUNTIFS(R_Schedule_Times,"&lt;"&amp;B669),INDEX(R_Schedule_Amounts,MATCH(B669,R_Schedule_Times,1)),Starting_Cash),IF(COUNTIFS(R_Schedule_Times,"&gt;"&amp;B668,R_Schedule_Times,"&lt;"&amp;B669),INDEX(R_Schedule_Amounts,MATCH(B669,R_Schedule_Times,1)),K668)),"")</f>
        <v>4780</v>
      </c>
      <c r="I669" s="30">
        <f t="shared" si="50"/>
        <v>100</v>
      </c>
      <c r="J669" s="31">
        <f t="shared" si="51"/>
        <v>0</v>
      </c>
      <c r="K669" s="29">
        <f t="shared" si="52"/>
        <v>4680</v>
      </c>
      <c r="L669" s="31" t="str">
        <f t="shared" si="53"/>
        <v/>
      </c>
      <c r="M669" s="31" t="str">
        <f t="shared" si="54"/>
        <v/>
      </c>
    </row>
    <row r="670" spans="1:13" x14ac:dyDescent="0.15">
      <c r="A670" s="163" t="s">
        <v>210</v>
      </c>
      <c r="B670" s="163">
        <v>42294.926177407404</v>
      </c>
      <c r="C670" s="164" t="s">
        <v>356</v>
      </c>
      <c r="D670" s="164" t="s">
        <v>13</v>
      </c>
      <c r="E670" s="165">
        <v>20</v>
      </c>
      <c r="F670" s="166">
        <v>0</v>
      </c>
      <c r="G670" s="227">
        <f>IF($B$2,IF(ROWS(B$6:$B670) = 1,$B670-Start_Date,$B670-$B669),"")</f>
        <v>9.0253471717005596E-4</v>
      </c>
      <c r="H670" s="29">
        <f>IF($B$2,IF(ROWS(B$6:$B670) = 1,IF(COUNTIFS(R_Schedule_Times,"&lt;"&amp;B670),INDEX(R_Schedule_Amounts,MATCH(B670,R_Schedule_Times,1)),Starting_Cash),IF(COUNTIFS(R_Schedule_Times,"&gt;"&amp;B669,R_Schedule_Times,"&lt;"&amp;B670),INDEX(R_Schedule_Amounts,MATCH(B670,R_Schedule_Times,1)),K669)),"")</f>
        <v>4680</v>
      </c>
      <c r="I670" s="30">
        <f t="shared" si="50"/>
        <v>20</v>
      </c>
      <c r="J670" s="31">
        <f t="shared" si="51"/>
        <v>0</v>
      </c>
      <c r="K670" s="29">
        <f t="shared" si="52"/>
        <v>4660</v>
      </c>
      <c r="L670" s="31" t="str">
        <f t="shared" si="53"/>
        <v/>
      </c>
      <c r="M670" s="31" t="str">
        <f t="shared" si="54"/>
        <v/>
      </c>
    </row>
    <row r="671" spans="1:13" x14ac:dyDescent="0.15">
      <c r="A671" s="163" t="s">
        <v>210</v>
      </c>
      <c r="B671" s="163">
        <v>42294.927600104165</v>
      </c>
      <c r="C671" s="164" t="s">
        <v>1043</v>
      </c>
      <c r="D671" s="164" t="s">
        <v>13</v>
      </c>
      <c r="E671" s="165">
        <v>40</v>
      </c>
      <c r="F671" s="166">
        <v>0</v>
      </c>
      <c r="G671" s="227">
        <f>IF($B$2,IF(ROWS(B$6:$B671) = 1,$B671-Start_Date,$B671-$B670),"")</f>
        <v>1.4226967614376917E-3</v>
      </c>
      <c r="H671" s="29">
        <f>IF($B$2,IF(ROWS(B$6:$B671) = 1,IF(COUNTIFS(R_Schedule_Times,"&lt;"&amp;B671),INDEX(R_Schedule_Amounts,MATCH(B671,R_Schedule_Times,1)),Starting_Cash),IF(COUNTIFS(R_Schedule_Times,"&gt;"&amp;B670,R_Schedule_Times,"&lt;"&amp;B671),INDEX(R_Schedule_Amounts,MATCH(B671,R_Schedule_Times,1)),K670)),"")</f>
        <v>4660</v>
      </c>
      <c r="I671" s="30">
        <f t="shared" si="50"/>
        <v>40</v>
      </c>
      <c r="J671" s="31">
        <f t="shared" si="51"/>
        <v>0</v>
      </c>
      <c r="K671" s="29">
        <f t="shared" si="52"/>
        <v>4620</v>
      </c>
      <c r="L671" s="31" t="str">
        <f t="shared" si="53"/>
        <v/>
      </c>
      <c r="M671" s="31" t="str">
        <f t="shared" si="54"/>
        <v/>
      </c>
    </row>
    <row r="672" spans="1:13" x14ac:dyDescent="0.15">
      <c r="A672" s="163" t="s">
        <v>210</v>
      </c>
      <c r="B672" s="163">
        <v>42294.947140312499</v>
      </c>
      <c r="C672" s="164" t="s">
        <v>14</v>
      </c>
      <c r="D672" s="164" t="s">
        <v>13</v>
      </c>
      <c r="E672" s="165">
        <v>80</v>
      </c>
      <c r="F672" s="166">
        <v>3.5</v>
      </c>
      <c r="G672" s="227">
        <f>IF($B$2,IF(ROWS(B$6:$B672) = 1,$B672-Start_Date,$B672-$B671),"")</f>
        <v>1.9540208333637565E-2</v>
      </c>
      <c r="H672" s="29">
        <f>IF($B$2,IF(ROWS(B$6:$B672) = 1,IF(COUNTIFS(R_Schedule_Times,"&lt;"&amp;B672),INDEX(R_Schedule_Amounts,MATCH(B672,R_Schedule_Times,1)),Starting_Cash),IF(COUNTIFS(R_Schedule_Times,"&gt;"&amp;B671,R_Schedule_Times,"&lt;"&amp;B672),INDEX(R_Schedule_Amounts,MATCH(B672,R_Schedule_Times,1)),K671)),"")</f>
        <v>4620</v>
      </c>
      <c r="I672" s="30">
        <f t="shared" si="50"/>
        <v>80</v>
      </c>
      <c r="J672" s="31">
        <f t="shared" si="51"/>
        <v>3.5</v>
      </c>
      <c r="K672" s="29">
        <f t="shared" si="52"/>
        <v>4540</v>
      </c>
      <c r="L672" s="31" t="str">
        <f t="shared" si="53"/>
        <v/>
      </c>
      <c r="M672" s="31" t="str">
        <f t="shared" si="54"/>
        <v/>
      </c>
    </row>
    <row r="673" spans="1:13" x14ac:dyDescent="0.15">
      <c r="A673" s="163" t="s">
        <v>210</v>
      </c>
      <c r="B673" s="163">
        <v>42295.042867152777</v>
      </c>
      <c r="C673" s="164" t="s">
        <v>1044</v>
      </c>
      <c r="D673" s="164" t="s">
        <v>13</v>
      </c>
      <c r="E673" s="165">
        <v>60</v>
      </c>
      <c r="F673" s="166">
        <v>0</v>
      </c>
      <c r="G673" s="227">
        <f>IF($B$2,IF(ROWS(B$6:$B673) = 1,$B673-Start_Date,$B673-$B672),"")</f>
        <v>9.5726840278075542E-2</v>
      </c>
      <c r="H673" s="29">
        <f>IF($B$2,IF(ROWS(B$6:$B673) = 1,IF(COUNTIFS(R_Schedule_Times,"&lt;"&amp;B673),INDEX(R_Schedule_Amounts,MATCH(B673,R_Schedule_Times,1)),Starting_Cash),IF(COUNTIFS(R_Schedule_Times,"&gt;"&amp;B672,R_Schedule_Times,"&lt;"&amp;B673),INDEX(R_Schedule_Amounts,MATCH(B673,R_Schedule_Times,1)),K672)),"")</f>
        <v>4540</v>
      </c>
      <c r="I673" s="30">
        <f t="shared" si="50"/>
        <v>60</v>
      </c>
      <c r="J673" s="31">
        <f t="shared" si="51"/>
        <v>0</v>
      </c>
      <c r="K673" s="29">
        <f t="shared" si="52"/>
        <v>4480</v>
      </c>
      <c r="L673" s="31" t="str">
        <f t="shared" si="53"/>
        <v/>
      </c>
      <c r="M673" s="31" t="str">
        <f t="shared" si="54"/>
        <v/>
      </c>
    </row>
    <row r="674" spans="1:13" x14ac:dyDescent="0.15">
      <c r="A674" s="163" t="s">
        <v>210</v>
      </c>
      <c r="B674" s="163">
        <v>42295.35032459491</v>
      </c>
      <c r="C674" s="164" t="s">
        <v>1045</v>
      </c>
      <c r="D674" s="164" t="s">
        <v>13</v>
      </c>
      <c r="E674" s="165">
        <v>80</v>
      </c>
      <c r="F674" s="166">
        <v>0</v>
      </c>
      <c r="G674" s="227">
        <f>IF($B$2,IF(ROWS(B$6:$B674) = 1,$B674-Start_Date,$B674-$B673),"")</f>
        <v>0.30745744213345461</v>
      </c>
      <c r="H674" s="29">
        <f>IF($B$2,IF(ROWS(B$6:$B674) = 1,IF(COUNTIFS(R_Schedule_Times,"&lt;"&amp;B674),INDEX(R_Schedule_Amounts,MATCH(B674,R_Schedule_Times,1)),Starting_Cash),IF(COUNTIFS(R_Schedule_Times,"&gt;"&amp;B673,R_Schedule_Times,"&lt;"&amp;B674),INDEX(R_Schedule_Amounts,MATCH(B674,R_Schedule_Times,1)),K673)),"")</f>
        <v>4480</v>
      </c>
      <c r="I674" s="30">
        <f t="shared" si="50"/>
        <v>80</v>
      </c>
      <c r="J674" s="31">
        <f t="shared" si="51"/>
        <v>0</v>
      </c>
      <c r="K674" s="29">
        <f t="shared" si="52"/>
        <v>4400</v>
      </c>
      <c r="L674" s="31" t="str">
        <f t="shared" si="53"/>
        <v/>
      </c>
      <c r="M674" s="31" t="str">
        <f t="shared" si="54"/>
        <v/>
      </c>
    </row>
    <row r="675" spans="1:13" x14ac:dyDescent="0.15">
      <c r="A675" s="163" t="s">
        <v>210</v>
      </c>
      <c r="B675" s="163">
        <v>42295.391302361109</v>
      </c>
      <c r="C675" s="164" t="s">
        <v>1046</v>
      </c>
      <c r="D675" s="164" t="s">
        <v>13</v>
      </c>
      <c r="E675" s="165">
        <v>40</v>
      </c>
      <c r="F675" s="166">
        <v>0</v>
      </c>
      <c r="G675" s="227">
        <f>IF($B$2,IF(ROWS(B$6:$B675) = 1,$B675-Start_Date,$B675-$B674),"")</f>
        <v>4.0977766198921017E-2</v>
      </c>
      <c r="H675" s="29">
        <f>IF($B$2,IF(ROWS(B$6:$B675) = 1,IF(COUNTIFS(R_Schedule_Times,"&lt;"&amp;B675),INDEX(R_Schedule_Amounts,MATCH(B675,R_Schedule_Times,1)),Starting_Cash),IF(COUNTIFS(R_Schedule_Times,"&gt;"&amp;B674,R_Schedule_Times,"&lt;"&amp;B675),INDEX(R_Schedule_Amounts,MATCH(B675,R_Schedule_Times,1)),K674)),"")</f>
        <v>4400</v>
      </c>
      <c r="I675" s="30">
        <f t="shared" si="50"/>
        <v>40</v>
      </c>
      <c r="J675" s="31">
        <f t="shared" si="51"/>
        <v>0</v>
      </c>
      <c r="K675" s="29">
        <f t="shared" si="52"/>
        <v>4360</v>
      </c>
      <c r="L675" s="31" t="str">
        <f t="shared" si="53"/>
        <v/>
      </c>
      <c r="M675" s="31" t="str">
        <f t="shared" si="54"/>
        <v/>
      </c>
    </row>
    <row r="676" spans="1:13" x14ac:dyDescent="0.15">
      <c r="A676" s="163" t="s">
        <v>210</v>
      </c>
      <c r="B676" s="163">
        <v>42295.424042604165</v>
      </c>
      <c r="C676" s="164" t="s">
        <v>1047</v>
      </c>
      <c r="D676" s="164" t="s">
        <v>13</v>
      </c>
      <c r="E676" s="165">
        <v>200</v>
      </c>
      <c r="F676" s="166">
        <v>0</v>
      </c>
      <c r="G676" s="227">
        <f>IF($B$2,IF(ROWS(B$6:$B676) = 1,$B676-Start_Date,$B676-$B675),"")</f>
        <v>3.2740243055741303E-2</v>
      </c>
      <c r="H676" s="29">
        <f>IF($B$2,IF(ROWS(B$6:$B676) = 1,IF(COUNTIFS(R_Schedule_Times,"&lt;"&amp;B676),INDEX(R_Schedule_Amounts,MATCH(B676,R_Schedule_Times,1)),Starting_Cash),IF(COUNTIFS(R_Schedule_Times,"&gt;"&amp;B675,R_Schedule_Times,"&lt;"&amp;B676),INDEX(R_Schedule_Amounts,MATCH(B676,R_Schedule_Times,1)),K675)),"")</f>
        <v>4360</v>
      </c>
      <c r="I676" s="30">
        <f t="shared" si="50"/>
        <v>200</v>
      </c>
      <c r="J676" s="31">
        <f t="shared" si="51"/>
        <v>0</v>
      </c>
      <c r="K676" s="29">
        <f t="shared" si="52"/>
        <v>4160</v>
      </c>
      <c r="L676" s="31" t="str">
        <f t="shared" si="53"/>
        <v/>
      </c>
      <c r="M676" s="31" t="str">
        <f t="shared" si="54"/>
        <v/>
      </c>
    </row>
    <row r="677" spans="1:13" x14ac:dyDescent="0.15">
      <c r="A677" s="163" t="s">
        <v>210</v>
      </c>
      <c r="B677" s="163">
        <v>42295.429330636573</v>
      </c>
      <c r="C677" s="164" t="s">
        <v>1002</v>
      </c>
      <c r="D677" s="164" t="s">
        <v>13</v>
      </c>
      <c r="E677" s="165">
        <v>40</v>
      </c>
      <c r="F677" s="166">
        <v>0</v>
      </c>
      <c r="G677" s="227">
        <f>IF($B$2,IF(ROWS(B$6:$B677) = 1,$B677-Start_Date,$B677-$B676),"")</f>
        <v>5.2880324074067175E-3</v>
      </c>
      <c r="H677" s="29">
        <f>IF($B$2,IF(ROWS(B$6:$B677) = 1,IF(COUNTIFS(R_Schedule_Times,"&lt;"&amp;B677),INDEX(R_Schedule_Amounts,MATCH(B677,R_Schedule_Times,1)),Starting_Cash),IF(COUNTIFS(R_Schedule_Times,"&gt;"&amp;B676,R_Schedule_Times,"&lt;"&amp;B677),INDEX(R_Schedule_Amounts,MATCH(B677,R_Schedule_Times,1)),K676)),"")</f>
        <v>4160</v>
      </c>
      <c r="I677" s="30">
        <f t="shared" si="50"/>
        <v>40</v>
      </c>
      <c r="J677" s="31">
        <f t="shared" si="51"/>
        <v>0</v>
      </c>
      <c r="K677" s="29">
        <f t="shared" si="52"/>
        <v>4120</v>
      </c>
      <c r="L677" s="31" t="str">
        <f t="shared" si="53"/>
        <v/>
      </c>
      <c r="M677" s="31" t="str">
        <f t="shared" si="54"/>
        <v/>
      </c>
    </row>
    <row r="678" spans="1:13" x14ac:dyDescent="0.15">
      <c r="A678" s="163" t="s">
        <v>210</v>
      </c>
      <c r="B678" s="163">
        <v>42295.43964733796</v>
      </c>
      <c r="C678" s="164" t="s">
        <v>1048</v>
      </c>
      <c r="D678" s="164" t="s">
        <v>13</v>
      </c>
      <c r="E678" s="165">
        <v>100</v>
      </c>
      <c r="F678" s="166">
        <v>0</v>
      </c>
      <c r="G678" s="227">
        <f>IF($B$2,IF(ROWS(B$6:$B678) = 1,$B678-Start_Date,$B678-$B677),"")</f>
        <v>1.0316701387637295E-2</v>
      </c>
      <c r="H678" s="29">
        <f>IF($B$2,IF(ROWS(B$6:$B678) = 1,IF(COUNTIFS(R_Schedule_Times,"&lt;"&amp;B678),INDEX(R_Schedule_Amounts,MATCH(B678,R_Schedule_Times,1)),Starting_Cash),IF(COUNTIFS(R_Schedule_Times,"&gt;"&amp;B677,R_Schedule_Times,"&lt;"&amp;B678),INDEX(R_Schedule_Amounts,MATCH(B678,R_Schedule_Times,1)),K677)),"")</f>
        <v>4120</v>
      </c>
      <c r="I678" s="30">
        <f t="shared" si="50"/>
        <v>100</v>
      </c>
      <c r="J678" s="31">
        <f t="shared" si="51"/>
        <v>0</v>
      </c>
      <c r="K678" s="29">
        <f t="shared" si="52"/>
        <v>4020</v>
      </c>
      <c r="L678" s="31" t="str">
        <f t="shared" si="53"/>
        <v/>
      </c>
      <c r="M678" s="31" t="str">
        <f t="shared" si="54"/>
        <v/>
      </c>
    </row>
    <row r="679" spans="1:13" x14ac:dyDescent="0.15">
      <c r="A679" s="163" t="s">
        <v>210</v>
      </c>
      <c r="B679" s="163">
        <v>42295.484828599539</v>
      </c>
      <c r="C679" s="164" t="s">
        <v>357</v>
      </c>
      <c r="D679" s="164" t="s">
        <v>13</v>
      </c>
      <c r="E679" s="165">
        <v>40</v>
      </c>
      <c r="F679" s="166">
        <v>0</v>
      </c>
      <c r="G679" s="227">
        <f>IF($B$2,IF(ROWS(B$6:$B679) = 1,$B679-Start_Date,$B679-$B678),"")</f>
        <v>4.5181261579273269E-2</v>
      </c>
      <c r="H679" s="29">
        <f>IF($B$2,IF(ROWS(B$6:$B679) = 1,IF(COUNTIFS(R_Schedule_Times,"&lt;"&amp;B679),INDEX(R_Schedule_Amounts,MATCH(B679,R_Schedule_Times,1)),Starting_Cash),IF(COUNTIFS(R_Schedule_Times,"&gt;"&amp;B678,R_Schedule_Times,"&lt;"&amp;B679),INDEX(R_Schedule_Amounts,MATCH(B679,R_Schedule_Times,1)),K678)),"")</f>
        <v>4020</v>
      </c>
      <c r="I679" s="30">
        <f t="shared" si="50"/>
        <v>40</v>
      </c>
      <c r="J679" s="31">
        <f t="shared" si="51"/>
        <v>0</v>
      </c>
      <c r="K679" s="29">
        <f t="shared" si="52"/>
        <v>3980</v>
      </c>
      <c r="L679" s="31" t="str">
        <f t="shared" si="53"/>
        <v/>
      </c>
      <c r="M679" s="31" t="str">
        <f t="shared" si="54"/>
        <v/>
      </c>
    </row>
    <row r="680" spans="1:13" x14ac:dyDescent="0.15">
      <c r="A680" s="163" t="s">
        <v>210</v>
      </c>
      <c r="B680" s="163">
        <v>42295.485471550928</v>
      </c>
      <c r="C680" s="164" t="s">
        <v>319</v>
      </c>
      <c r="D680" s="164" t="s">
        <v>13</v>
      </c>
      <c r="E680" s="165">
        <v>20</v>
      </c>
      <c r="F680" s="166">
        <v>0</v>
      </c>
      <c r="G680" s="227">
        <f>IF($B$2,IF(ROWS(B$6:$B680) = 1,$B680-Start_Date,$B680-$B679),"")</f>
        <v>6.4295138872694224E-4</v>
      </c>
      <c r="H680" s="29">
        <f>IF($B$2,IF(ROWS(B$6:$B680) = 1,IF(COUNTIFS(R_Schedule_Times,"&lt;"&amp;B680),INDEX(R_Schedule_Amounts,MATCH(B680,R_Schedule_Times,1)),Starting_Cash),IF(COUNTIFS(R_Schedule_Times,"&gt;"&amp;B679,R_Schedule_Times,"&lt;"&amp;B680),INDEX(R_Schedule_Amounts,MATCH(B680,R_Schedule_Times,1)),K679)),"")</f>
        <v>3980</v>
      </c>
      <c r="I680" s="30">
        <f t="shared" si="50"/>
        <v>20</v>
      </c>
      <c r="J680" s="31">
        <f t="shared" si="51"/>
        <v>0</v>
      </c>
      <c r="K680" s="29">
        <f t="shared" si="52"/>
        <v>3960</v>
      </c>
      <c r="L680" s="31" t="str">
        <f t="shared" si="53"/>
        <v/>
      </c>
      <c r="M680" s="31" t="str">
        <f t="shared" si="54"/>
        <v/>
      </c>
    </row>
    <row r="681" spans="1:13" x14ac:dyDescent="0.15">
      <c r="A681" s="163" t="s">
        <v>210</v>
      </c>
      <c r="B681" s="163">
        <v>42295.490509768519</v>
      </c>
      <c r="C681" s="164" t="s">
        <v>1049</v>
      </c>
      <c r="D681" s="164" t="s">
        <v>13</v>
      </c>
      <c r="E681" s="165">
        <v>40</v>
      </c>
      <c r="F681" s="166">
        <v>0</v>
      </c>
      <c r="G681" s="227">
        <f>IF($B$2,IF(ROWS(B$6:$B681) = 1,$B681-Start_Date,$B681-$B680),"")</f>
        <v>5.0382175904815085E-3</v>
      </c>
      <c r="H681" s="29">
        <f>IF($B$2,IF(ROWS(B$6:$B681) = 1,IF(COUNTIFS(R_Schedule_Times,"&lt;"&amp;B681),INDEX(R_Schedule_Amounts,MATCH(B681,R_Schedule_Times,1)),Starting_Cash),IF(COUNTIFS(R_Schedule_Times,"&gt;"&amp;B680,R_Schedule_Times,"&lt;"&amp;B681),INDEX(R_Schedule_Amounts,MATCH(B681,R_Schedule_Times,1)),K680)),"")</f>
        <v>3960</v>
      </c>
      <c r="I681" s="30">
        <f t="shared" si="50"/>
        <v>40</v>
      </c>
      <c r="J681" s="31">
        <f t="shared" si="51"/>
        <v>0</v>
      </c>
      <c r="K681" s="29">
        <f t="shared" si="52"/>
        <v>3920</v>
      </c>
      <c r="L681" s="31" t="str">
        <f t="shared" si="53"/>
        <v/>
      </c>
      <c r="M681" s="31" t="str">
        <f t="shared" si="54"/>
        <v/>
      </c>
    </row>
    <row r="682" spans="1:13" x14ac:dyDescent="0.15">
      <c r="A682" s="163" t="s">
        <v>210</v>
      </c>
      <c r="B682" s="163">
        <v>42295.492904976854</v>
      </c>
      <c r="C682" s="164" t="s">
        <v>1050</v>
      </c>
      <c r="D682" s="164" t="s">
        <v>13</v>
      </c>
      <c r="E682" s="165">
        <v>100</v>
      </c>
      <c r="F682" s="166">
        <v>0</v>
      </c>
      <c r="G682" s="227">
        <f>IF($B$2,IF(ROWS(B$6:$B682) = 1,$B682-Start_Date,$B682-$B681),"")</f>
        <v>2.3952083356562071E-3</v>
      </c>
      <c r="H682" s="29">
        <f>IF($B$2,IF(ROWS(B$6:$B682) = 1,IF(COUNTIFS(R_Schedule_Times,"&lt;"&amp;B682),INDEX(R_Schedule_Amounts,MATCH(B682,R_Schedule_Times,1)),Starting_Cash),IF(COUNTIFS(R_Schedule_Times,"&gt;"&amp;B681,R_Schedule_Times,"&lt;"&amp;B682),INDEX(R_Schedule_Amounts,MATCH(B682,R_Schedule_Times,1)),K681)),"")</f>
        <v>3920</v>
      </c>
      <c r="I682" s="30">
        <f t="shared" si="50"/>
        <v>100</v>
      </c>
      <c r="J682" s="31">
        <f t="shared" si="51"/>
        <v>0</v>
      </c>
      <c r="K682" s="29">
        <f t="shared" si="52"/>
        <v>3820</v>
      </c>
      <c r="L682" s="31" t="str">
        <f t="shared" si="53"/>
        <v/>
      </c>
      <c r="M682" s="31" t="str">
        <f t="shared" si="54"/>
        <v/>
      </c>
    </row>
    <row r="683" spans="1:13" x14ac:dyDescent="0.15">
      <c r="A683" s="163" t="s">
        <v>210</v>
      </c>
      <c r="B683" s="163">
        <v>42295.495345706018</v>
      </c>
      <c r="C683" s="164" t="s">
        <v>1051</v>
      </c>
      <c r="D683" s="164" t="s">
        <v>13</v>
      </c>
      <c r="E683" s="165">
        <v>40</v>
      </c>
      <c r="F683" s="166">
        <v>0</v>
      </c>
      <c r="G683" s="227">
        <f>IF($B$2,IF(ROWS(B$6:$B683) = 1,$B683-Start_Date,$B683-$B682),"")</f>
        <v>2.4407291639363393E-3</v>
      </c>
      <c r="H683" s="29">
        <f>IF($B$2,IF(ROWS(B$6:$B683) = 1,IF(COUNTIFS(R_Schedule_Times,"&lt;"&amp;B683),INDEX(R_Schedule_Amounts,MATCH(B683,R_Schedule_Times,1)),Starting_Cash),IF(COUNTIFS(R_Schedule_Times,"&gt;"&amp;B682,R_Schedule_Times,"&lt;"&amp;B683),INDEX(R_Schedule_Amounts,MATCH(B683,R_Schedule_Times,1)),K682)),"")</f>
        <v>3820</v>
      </c>
      <c r="I683" s="30">
        <f t="shared" si="50"/>
        <v>40</v>
      </c>
      <c r="J683" s="31">
        <f t="shared" si="51"/>
        <v>0</v>
      </c>
      <c r="K683" s="29">
        <f t="shared" si="52"/>
        <v>3780</v>
      </c>
      <c r="L683" s="31" t="str">
        <f t="shared" si="53"/>
        <v/>
      </c>
      <c r="M683" s="31" t="str">
        <f t="shared" si="54"/>
        <v/>
      </c>
    </row>
    <row r="684" spans="1:13" x14ac:dyDescent="0.15">
      <c r="A684" s="163" t="s">
        <v>210</v>
      </c>
      <c r="B684" s="163">
        <v>42295.512372349534</v>
      </c>
      <c r="C684" s="164" t="s">
        <v>1052</v>
      </c>
      <c r="D684" s="164" t="s">
        <v>13</v>
      </c>
      <c r="E684" s="165">
        <v>60</v>
      </c>
      <c r="F684" s="166">
        <v>0</v>
      </c>
      <c r="G684" s="227">
        <f>IF($B$2,IF(ROWS(B$6:$B684) = 1,$B684-Start_Date,$B684-$B683),"")</f>
        <v>1.7026643516146578E-2</v>
      </c>
      <c r="H684" s="29">
        <f>IF($B$2,IF(ROWS(B$6:$B684) = 1,IF(COUNTIFS(R_Schedule_Times,"&lt;"&amp;B684),INDEX(R_Schedule_Amounts,MATCH(B684,R_Schedule_Times,1)),Starting_Cash),IF(COUNTIFS(R_Schedule_Times,"&gt;"&amp;B683,R_Schedule_Times,"&lt;"&amp;B684),INDEX(R_Schedule_Amounts,MATCH(B684,R_Schedule_Times,1)),K683)),"")</f>
        <v>3780</v>
      </c>
      <c r="I684" s="30">
        <f t="shared" si="50"/>
        <v>60</v>
      </c>
      <c r="J684" s="31">
        <f t="shared" si="51"/>
        <v>0</v>
      </c>
      <c r="K684" s="29">
        <f t="shared" si="52"/>
        <v>3720</v>
      </c>
      <c r="L684" s="31" t="str">
        <f t="shared" si="53"/>
        <v/>
      </c>
      <c r="M684" s="31" t="str">
        <f t="shared" si="54"/>
        <v/>
      </c>
    </row>
    <row r="685" spans="1:13" x14ac:dyDescent="0.15">
      <c r="A685" s="163" t="s">
        <v>210</v>
      </c>
      <c r="B685" s="163">
        <v>42295.525315046296</v>
      </c>
      <c r="C685" s="164" t="s">
        <v>14</v>
      </c>
      <c r="D685" s="164" t="s">
        <v>15</v>
      </c>
      <c r="E685" s="165">
        <v>20</v>
      </c>
      <c r="F685" s="166">
        <v>3.1</v>
      </c>
      <c r="G685" s="227">
        <f>IF($B$2,IF(ROWS(B$6:$B685) = 1,$B685-Start_Date,$B685-$B684),"")</f>
        <v>1.2942696761456318E-2</v>
      </c>
      <c r="H685" s="29">
        <f>IF($B$2,IF(ROWS(B$6:$B685) = 1,IF(COUNTIFS(R_Schedule_Times,"&lt;"&amp;B685),INDEX(R_Schedule_Amounts,MATCH(B685,R_Schedule_Times,1)),Starting_Cash),IF(COUNTIFS(R_Schedule_Times,"&gt;"&amp;B684,R_Schedule_Times,"&lt;"&amp;B685),INDEX(R_Schedule_Amounts,MATCH(B685,R_Schedule_Times,1)),K684)),"")</f>
        <v>3720</v>
      </c>
      <c r="I685" s="30">
        <f t="shared" si="50"/>
        <v>20</v>
      </c>
      <c r="J685" s="31">
        <f t="shared" si="51"/>
        <v>3.1</v>
      </c>
      <c r="K685" s="29">
        <f t="shared" si="52"/>
        <v>3700</v>
      </c>
      <c r="L685" s="31" t="str">
        <f t="shared" si="53"/>
        <v/>
      </c>
      <c r="M685" s="31" t="str">
        <f t="shared" si="54"/>
        <v/>
      </c>
    </row>
    <row r="686" spans="1:13" x14ac:dyDescent="0.15">
      <c r="A686" s="163" t="s">
        <v>210</v>
      </c>
      <c r="B686" s="163">
        <v>42295.532324583335</v>
      </c>
      <c r="C686" s="164" t="s">
        <v>1053</v>
      </c>
      <c r="D686" s="164" t="s">
        <v>13</v>
      </c>
      <c r="E686" s="165">
        <v>60</v>
      </c>
      <c r="F686" s="166">
        <v>0</v>
      </c>
      <c r="G686" s="227">
        <f>IF($B$2,IF(ROWS(B$6:$B686) = 1,$B686-Start_Date,$B686-$B685),"")</f>
        <v>7.0095370392664336E-3</v>
      </c>
      <c r="H686" s="29">
        <f>IF($B$2,IF(ROWS(B$6:$B686) = 1,IF(COUNTIFS(R_Schedule_Times,"&lt;"&amp;B686),INDEX(R_Schedule_Amounts,MATCH(B686,R_Schedule_Times,1)),Starting_Cash),IF(COUNTIFS(R_Schedule_Times,"&gt;"&amp;B685,R_Schedule_Times,"&lt;"&amp;B686),INDEX(R_Schedule_Amounts,MATCH(B686,R_Schedule_Times,1)),K685)),"")</f>
        <v>3700</v>
      </c>
      <c r="I686" s="30">
        <f t="shared" si="50"/>
        <v>60</v>
      </c>
      <c r="J686" s="31">
        <f t="shared" si="51"/>
        <v>0</v>
      </c>
      <c r="K686" s="29">
        <f t="shared" si="52"/>
        <v>3640</v>
      </c>
      <c r="L686" s="31" t="str">
        <f t="shared" si="53"/>
        <v/>
      </c>
      <c r="M686" s="31" t="str">
        <f t="shared" si="54"/>
        <v/>
      </c>
    </row>
    <row r="687" spans="1:13" x14ac:dyDescent="0.15">
      <c r="A687" s="163" t="s">
        <v>210</v>
      </c>
      <c r="B687" s="163">
        <v>42295.545653321758</v>
      </c>
      <c r="C687" s="164" t="s">
        <v>1054</v>
      </c>
      <c r="D687" s="164" t="s">
        <v>13</v>
      </c>
      <c r="E687" s="165">
        <v>100</v>
      </c>
      <c r="F687" s="166">
        <v>0</v>
      </c>
      <c r="G687" s="227">
        <f>IF($B$2,IF(ROWS(B$6:$B687) = 1,$B687-Start_Date,$B687-$B686),"")</f>
        <v>1.3328738423297182E-2</v>
      </c>
      <c r="H687" s="29">
        <f>IF($B$2,IF(ROWS(B$6:$B687) = 1,IF(COUNTIFS(R_Schedule_Times,"&lt;"&amp;B687),INDEX(R_Schedule_Amounts,MATCH(B687,R_Schedule_Times,1)),Starting_Cash),IF(COUNTIFS(R_Schedule_Times,"&gt;"&amp;B686,R_Schedule_Times,"&lt;"&amp;B687),INDEX(R_Schedule_Amounts,MATCH(B687,R_Schedule_Times,1)),K686)),"")</f>
        <v>3640</v>
      </c>
      <c r="I687" s="30">
        <f t="shared" si="50"/>
        <v>100</v>
      </c>
      <c r="J687" s="31">
        <f t="shared" si="51"/>
        <v>0</v>
      </c>
      <c r="K687" s="29">
        <f t="shared" si="52"/>
        <v>3540</v>
      </c>
      <c r="L687" s="31" t="str">
        <f t="shared" si="53"/>
        <v/>
      </c>
      <c r="M687" s="31" t="str">
        <f t="shared" si="54"/>
        <v/>
      </c>
    </row>
    <row r="688" spans="1:13" x14ac:dyDescent="0.15">
      <c r="A688" s="163" t="s">
        <v>210</v>
      </c>
      <c r="B688" s="163">
        <v>42295.55261013889</v>
      </c>
      <c r="C688" s="164" t="s">
        <v>1055</v>
      </c>
      <c r="D688" s="164" t="s">
        <v>13</v>
      </c>
      <c r="E688" s="165">
        <v>40</v>
      </c>
      <c r="F688" s="166">
        <v>0</v>
      </c>
      <c r="G688" s="227">
        <f>IF($B$2,IF(ROWS(B$6:$B688) = 1,$B688-Start_Date,$B688-$B687),"")</f>
        <v>6.9568171311402693E-3</v>
      </c>
      <c r="H688" s="29">
        <f>IF($B$2,IF(ROWS(B$6:$B688) = 1,IF(COUNTIFS(R_Schedule_Times,"&lt;"&amp;B688),INDEX(R_Schedule_Amounts,MATCH(B688,R_Schedule_Times,1)),Starting_Cash),IF(COUNTIFS(R_Schedule_Times,"&gt;"&amp;B687,R_Schedule_Times,"&lt;"&amp;B688),INDEX(R_Schedule_Amounts,MATCH(B688,R_Schedule_Times,1)),K687)),"")</f>
        <v>3540</v>
      </c>
      <c r="I688" s="30">
        <f t="shared" si="50"/>
        <v>40</v>
      </c>
      <c r="J688" s="31">
        <f t="shared" si="51"/>
        <v>0</v>
      </c>
      <c r="K688" s="29">
        <f t="shared" si="52"/>
        <v>3500</v>
      </c>
      <c r="L688" s="31" t="str">
        <f t="shared" si="53"/>
        <v/>
      </c>
      <c r="M688" s="31" t="str">
        <f t="shared" si="54"/>
        <v/>
      </c>
    </row>
    <row r="689" spans="1:13" x14ac:dyDescent="0.15">
      <c r="A689" s="163" t="s">
        <v>210</v>
      </c>
      <c r="B689" s="163">
        <v>42295.565941666668</v>
      </c>
      <c r="C689" s="164" t="s">
        <v>1056</v>
      </c>
      <c r="D689" s="164" t="s">
        <v>13</v>
      </c>
      <c r="E689" s="165">
        <v>100</v>
      </c>
      <c r="F689" s="166">
        <v>0</v>
      </c>
      <c r="G689" s="227">
        <f>IF($B$2,IF(ROWS(B$6:$B689) = 1,$B689-Start_Date,$B689-$B688),"")</f>
        <v>1.3331527778063901E-2</v>
      </c>
      <c r="H689" s="29">
        <f>IF($B$2,IF(ROWS(B$6:$B689) = 1,IF(COUNTIFS(R_Schedule_Times,"&lt;"&amp;B689),INDEX(R_Schedule_Amounts,MATCH(B689,R_Schedule_Times,1)),Starting_Cash),IF(COUNTIFS(R_Schedule_Times,"&gt;"&amp;B688,R_Schedule_Times,"&lt;"&amp;B689),INDEX(R_Schedule_Amounts,MATCH(B689,R_Schedule_Times,1)),K688)),"")</f>
        <v>3500</v>
      </c>
      <c r="I689" s="30">
        <f t="shared" si="50"/>
        <v>100</v>
      </c>
      <c r="J689" s="31">
        <f t="shared" si="51"/>
        <v>0</v>
      </c>
      <c r="K689" s="29">
        <f t="shared" si="52"/>
        <v>3400</v>
      </c>
      <c r="L689" s="31" t="str">
        <f t="shared" si="53"/>
        <v/>
      </c>
      <c r="M689" s="31" t="str">
        <f t="shared" si="54"/>
        <v/>
      </c>
    </row>
    <row r="690" spans="1:13" x14ac:dyDescent="0.15">
      <c r="A690" s="163" t="s">
        <v>210</v>
      </c>
      <c r="B690" s="163">
        <v>42295.569567442129</v>
      </c>
      <c r="C690" s="164" t="s">
        <v>1045</v>
      </c>
      <c r="D690" s="164" t="s">
        <v>13</v>
      </c>
      <c r="E690" s="165">
        <v>100</v>
      </c>
      <c r="F690" s="166">
        <v>0</v>
      </c>
      <c r="G690" s="227">
        <f>IF($B$2,IF(ROWS(B$6:$B690) = 1,$B690-Start_Date,$B690-$B689),"")</f>
        <v>3.6257754618418403E-3</v>
      </c>
      <c r="H690" s="29">
        <f>IF($B$2,IF(ROWS(B$6:$B690) = 1,IF(COUNTIFS(R_Schedule_Times,"&lt;"&amp;B690),INDEX(R_Schedule_Amounts,MATCH(B690,R_Schedule_Times,1)),Starting_Cash),IF(COUNTIFS(R_Schedule_Times,"&gt;"&amp;B689,R_Schedule_Times,"&lt;"&amp;B690),INDEX(R_Schedule_Amounts,MATCH(B690,R_Schedule_Times,1)),K689)),"")</f>
        <v>3400</v>
      </c>
      <c r="I690" s="30">
        <f t="shared" si="50"/>
        <v>100</v>
      </c>
      <c r="J690" s="31">
        <f t="shared" si="51"/>
        <v>0</v>
      </c>
      <c r="K690" s="29">
        <f t="shared" si="52"/>
        <v>3300</v>
      </c>
      <c r="L690" s="31" t="str">
        <f t="shared" si="53"/>
        <v/>
      </c>
      <c r="M690" s="31" t="str">
        <f t="shared" si="54"/>
        <v/>
      </c>
    </row>
    <row r="691" spans="1:13" x14ac:dyDescent="0.15">
      <c r="A691" s="163" t="s">
        <v>210</v>
      </c>
      <c r="B691" s="163">
        <v>42295.581522395834</v>
      </c>
      <c r="C691" s="164" t="s">
        <v>1057</v>
      </c>
      <c r="D691" s="164" t="s">
        <v>13</v>
      </c>
      <c r="E691" s="165">
        <v>40</v>
      </c>
      <c r="F691" s="166">
        <v>0</v>
      </c>
      <c r="G691" s="227">
        <f>IF($B$2,IF(ROWS(B$6:$B691) = 1,$B691-Start_Date,$B691-$B690),"")</f>
        <v>1.1954953704844229E-2</v>
      </c>
      <c r="H691" s="29">
        <f>IF($B$2,IF(ROWS(B$6:$B691) = 1,IF(COUNTIFS(R_Schedule_Times,"&lt;"&amp;B691),INDEX(R_Schedule_Amounts,MATCH(B691,R_Schedule_Times,1)),Starting_Cash),IF(COUNTIFS(R_Schedule_Times,"&gt;"&amp;B690,R_Schedule_Times,"&lt;"&amp;B691),INDEX(R_Schedule_Amounts,MATCH(B691,R_Schedule_Times,1)),K690)),"")</f>
        <v>3300</v>
      </c>
      <c r="I691" s="30">
        <f t="shared" si="50"/>
        <v>40</v>
      </c>
      <c r="J691" s="31">
        <f t="shared" si="51"/>
        <v>0</v>
      </c>
      <c r="K691" s="29">
        <f t="shared" si="52"/>
        <v>3260</v>
      </c>
      <c r="L691" s="31" t="str">
        <f t="shared" si="53"/>
        <v/>
      </c>
      <c r="M691" s="31" t="str">
        <f t="shared" si="54"/>
        <v/>
      </c>
    </row>
    <row r="692" spans="1:13" x14ac:dyDescent="0.15">
      <c r="A692" s="163" t="s">
        <v>210</v>
      </c>
      <c r="B692" s="163">
        <v>42295.599725509259</v>
      </c>
      <c r="C692" s="164" t="s">
        <v>1058</v>
      </c>
      <c r="D692" s="164" t="s">
        <v>13</v>
      </c>
      <c r="E692" s="165">
        <v>20</v>
      </c>
      <c r="F692" s="166">
        <v>0</v>
      </c>
      <c r="G692" s="227">
        <f>IF($B$2,IF(ROWS(B$6:$B692) = 1,$B692-Start_Date,$B692-$B691),"")</f>
        <v>1.8203113424533512E-2</v>
      </c>
      <c r="H692" s="29">
        <f>IF($B$2,IF(ROWS(B$6:$B692) = 1,IF(COUNTIFS(R_Schedule_Times,"&lt;"&amp;B692),INDEX(R_Schedule_Amounts,MATCH(B692,R_Schedule_Times,1)),Starting_Cash),IF(COUNTIFS(R_Schedule_Times,"&gt;"&amp;B691,R_Schedule_Times,"&lt;"&amp;B692),INDEX(R_Schedule_Amounts,MATCH(B692,R_Schedule_Times,1)),K691)),"")</f>
        <v>3260</v>
      </c>
      <c r="I692" s="30">
        <f t="shared" si="50"/>
        <v>20</v>
      </c>
      <c r="J692" s="31">
        <f t="shared" si="51"/>
        <v>0</v>
      </c>
      <c r="K692" s="29">
        <f t="shared" si="52"/>
        <v>3240</v>
      </c>
      <c r="L692" s="31" t="str">
        <f t="shared" si="53"/>
        <v/>
      </c>
      <c r="M692" s="31" t="str">
        <f t="shared" si="54"/>
        <v/>
      </c>
    </row>
    <row r="693" spans="1:13" x14ac:dyDescent="0.15">
      <c r="A693" s="163" t="s">
        <v>210</v>
      </c>
      <c r="B693" s="163">
        <v>42295.603525474537</v>
      </c>
      <c r="C693" s="164" t="s">
        <v>1059</v>
      </c>
      <c r="D693" s="164" t="s">
        <v>13</v>
      </c>
      <c r="E693" s="165">
        <v>100</v>
      </c>
      <c r="F693" s="166">
        <v>0</v>
      </c>
      <c r="G693" s="227">
        <f>IF($B$2,IF(ROWS(B$6:$B693) = 1,$B693-Start_Date,$B693-$B692),"")</f>
        <v>3.7999652777216397E-3</v>
      </c>
      <c r="H693" s="29">
        <f>IF($B$2,IF(ROWS(B$6:$B693) = 1,IF(COUNTIFS(R_Schedule_Times,"&lt;"&amp;B693),INDEX(R_Schedule_Amounts,MATCH(B693,R_Schedule_Times,1)),Starting_Cash),IF(COUNTIFS(R_Schedule_Times,"&gt;"&amp;B692,R_Schedule_Times,"&lt;"&amp;B693),INDEX(R_Schedule_Amounts,MATCH(B693,R_Schedule_Times,1)),K692)),"")</f>
        <v>3240</v>
      </c>
      <c r="I693" s="30">
        <f t="shared" si="50"/>
        <v>100</v>
      </c>
      <c r="J693" s="31">
        <f t="shared" si="51"/>
        <v>0</v>
      </c>
      <c r="K693" s="29">
        <f t="shared" si="52"/>
        <v>3140</v>
      </c>
      <c r="L693" s="31" t="str">
        <f t="shared" si="53"/>
        <v/>
      </c>
      <c r="M693" s="31" t="str">
        <f t="shared" si="54"/>
        <v/>
      </c>
    </row>
    <row r="694" spans="1:13" x14ac:dyDescent="0.15">
      <c r="A694" s="163" t="s">
        <v>210</v>
      </c>
      <c r="B694" s="163">
        <v>42295.611738807871</v>
      </c>
      <c r="C694" s="164" t="s">
        <v>1060</v>
      </c>
      <c r="D694" s="164" t="s">
        <v>15</v>
      </c>
      <c r="E694" s="165">
        <v>40</v>
      </c>
      <c r="F694" s="166">
        <v>1.2</v>
      </c>
      <c r="G694" s="227">
        <f>IF($B$2,IF(ROWS(B$6:$B694) = 1,$B694-Start_Date,$B694-$B693),"")</f>
        <v>8.2133333344245329E-3</v>
      </c>
      <c r="H694" s="29">
        <f>IF($B$2,IF(ROWS(B$6:$B694) = 1,IF(COUNTIFS(R_Schedule_Times,"&lt;"&amp;B694),INDEX(R_Schedule_Amounts,MATCH(B694,R_Schedule_Times,1)),Starting_Cash),IF(COUNTIFS(R_Schedule_Times,"&gt;"&amp;B693,R_Schedule_Times,"&lt;"&amp;B694),INDEX(R_Schedule_Amounts,MATCH(B694,R_Schedule_Times,1)),K693)),"")</f>
        <v>3140</v>
      </c>
      <c r="I694" s="30">
        <f t="shared" si="50"/>
        <v>40</v>
      </c>
      <c r="J694" s="31">
        <f t="shared" si="51"/>
        <v>1.2</v>
      </c>
      <c r="K694" s="29">
        <f t="shared" si="52"/>
        <v>3100</v>
      </c>
      <c r="L694" s="31" t="str">
        <f t="shared" si="53"/>
        <v/>
      </c>
      <c r="M694" s="31" t="str">
        <f t="shared" si="54"/>
        <v/>
      </c>
    </row>
    <row r="695" spans="1:13" x14ac:dyDescent="0.15">
      <c r="A695" s="163" t="s">
        <v>210</v>
      </c>
      <c r="B695" s="163">
        <v>42295.638047094908</v>
      </c>
      <c r="C695" s="164" t="s">
        <v>1061</v>
      </c>
      <c r="D695" s="164" t="s">
        <v>13</v>
      </c>
      <c r="E695" s="165">
        <v>80</v>
      </c>
      <c r="F695" s="166">
        <v>0</v>
      </c>
      <c r="G695" s="227">
        <f>IF($B$2,IF(ROWS(B$6:$B695) = 1,$B695-Start_Date,$B695-$B694),"")</f>
        <v>2.6308287036954425E-2</v>
      </c>
      <c r="H695" s="29">
        <f>IF($B$2,IF(ROWS(B$6:$B695) = 1,IF(COUNTIFS(R_Schedule_Times,"&lt;"&amp;B695),INDEX(R_Schedule_Amounts,MATCH(B695,R_Schedule_Times,1)),Starting_Cash),IF(COUNTIFS(R_Schedule_Times,"&gt;"&amp;B694,R_Schedule_Times,"&lt;"&amp;B695),INDEX(R_Schedule_Amounts,MATCH(B695,R_Schedule_Times,1)),K694)),"")</f>
        <v>3100</v>
      </c>
      <c r="I695" s="30">
        <f t="shared" si="50"/>
        <v>80</v>
      </c>
      <c r="J695" s="31">
        <f t="shared" si="51"/>
        <v>0</v>
      </c>
      <c r="K695" s="29">
        <f t="shared" si="52"/>
        <v>3020</v>
      </c>
      <c r="L695" s="31" t="str">
        <f t="shared" si="53"/>
        <v/>
      </c>
      <c r="M695" s="31" t="str">
        <f t="shared" si="54"/>
        <v/>
      </c>
    </row>
    <row r="696" spans="1:13" x14ac:dyDescent="0.15">
      <c r="A696" s="163" t="s">
        <v>210</v>
      </c>
      <c r="B696" s="163">
        <v>42295.682621655091</v>
      </c>
      <c r="C696" s="164" t="s">
        <v>1062</v>
      </c>
      <c r="D696" s="164" t="s">
        <v>13</v>
      </c>
      <c r="E696" s="165">
        <v>40</v>
      </c>
      <c r="F696" s="166">
        <v>0</v>
      </c>
      <c r="G696" s="227">
        <f>IF($B$2,IF(ROWS(B$6:$B696) = 1,$B696-Start_Date,$B696-$B695),"")</f>
        <v>4.4574560182809364E-2</v>
      </c>
      <c r="H696" s="29">
        <f>IF($B$2,IF(ROWS(B$6:$B696) = 1,IF(COUNTIFS(R_Schedule_Times,"&lt;"&amp;B696),INDEX(R_Schedule_Amounts,MATCH(B696,R_Schedule_Times,1)),Starting_Cash),IF(COUNTIFS(R_Schedule_Times,"&gt;"&amp;B695,R_Schedule_Times,"&lt;"&amp;B696),INDEX(R_Schedule_Amounts,MATCH(B696,R_Schedule_Times,1)),K695)),"")</f>
        <v>3020</v>
      </c>
      <c r="I696" s="30">
        <f t="shared" si="50"/>
        <v>40</v>
      </c>
      <c r="J696" s="31">
        <f t="shared" si="51"/>
        <v>0</v>
      </c>
      <c r="K696" s="29">
        <f t="shared" si="52"/>
        <v>2980</v>
      </c>
      <c r="L696" s="31" t="str">
        <f t="shared" si="53"/>
        <v/>
      </c>
      <c r="M696" s="31" t="str">
        <f t="shared" si="54"/>
        <v/>
      </c>
    </row>
    <row r="697" spans="1:13" x14ac:dyDescent="0.15">
      <c r="A697" s="163" t="s">
        <v>210</v>
      </c>
      <c r="B697" s="163">
        <v>42295.683773831021</v>
      </c>
      <c r="C697" s="164" t="s">
        <v>1063</v>
      </c>
      <c r="D697" s="164" t="s">
        <v>13</v>
      </c>
      <c r="E697" s="165">
        <v>100</v>
      </c>
      <c r="F697" s="166">
        <v>0</v>
      </c>
      <c r="G697" s="227">
        <f>IF($B$2,IF(ROWS(B$6:$B697) = 1,$B697-Start_Date,$B697-$B696),"")</f>
        <v>1.1521759297465906E-3</v>
      </c>
      <c r="H697" s="29">
        <f>IF($B$2,IF(ROWS(B$6:$B697) = 1,IF(COUNTIFS(R_Schedule_Times,"&lt;"&amp;B697),INDEX(R_Schedule_Amounts,MATCH(B697,R_Schedule_Times,1)),Starting_Cash),IF(COUNTIFS(R_Schedule_Times,"&gt;"&amp;B696,R_Schedule_Times,"&lt;"&amp;B697),INDEX(R_Schedule_Amounts,MATCH(B697,R_Schedule_Times,1)),K696)),"")</f>
        <v>2980</v>
      </c>
      <c r="I697" s="30">
        <f t="shared" si="50"/>
        <v>100</v>
      </c>
      <c r="J697" s="31">
        <f t="shared" si="51"/>
        <v>0</v>
      </c>
      <c r="K697" s="29">
        <f t="shared" si="52"/>
        <v>2880</v>
      </c>
      <c r="L697" s="31" t="str">
        <f t="shared" si="53"/>
        <v/>
      </c>
      <c r="M697" s="31" t="str">
        <f t="shared" si="54"/>
        <v/>
      </c>
    </row>
    <row r="698" spans="1:13" x14ac:dyDescent="0.15">
      <c r="A698" s="163" t="s">
        <v>210</v>
      </c>
      <c r="B698" s="163">
        <v>42295.697220601854</v>
      </c>
      <c r="C698" s="164" t="s">
        <v>1064</v>
      </c>
      <c r="D698" s="164" t="s">
        <v>13</v>
      </c>
      <c r="E698" s="165">
        <v>20</v>
      </c>
      <c r="F698" s="166">
        <v>0</v>
      </c>
      <c r="G698" s="227">
        <f>IF($B$2,IF(ROWS(B$6:$B698) = 1,$B698-Start_Date,$B698-$B697),"")</f>
        <v>1.3446770833979826E-2</v>
      </c>
      <c r="H698" s="29">
        <f>IF($B$2,IF(ROWS(B$6:$B698) = 1,IF(COUNTIFS(R_Schedule_Times,"&lt;"&amp;B698),INDEX(R_Schedule_Amounts,MATCH(B698,R_Schedule_Times,1)),Starting_Cash),IF(COUNTIFS(R_Schedule_Times,"&gt;"&amp;B697,R_Schedule_Times,"&lt;"&amp;B698),INDEX(R_Schedule_Amounts,MATCH(B698,R_Schedule_Times,1)),K697)),"")</f>
        <v>2880</v>
      </c>
      <c r="I698" s="30">
        <f t="shared" si="50"/>
        <v>20</v>
      </c>
      <c r="J698" s="31">
        <f t="shared" si="51"/>
        <v>0</v>
      </c>
      <c r="K698" s="29">
        <f t="shared" si="52"/>
        <v>2860</v>
      </c>
      <c r="L698" s="31" t="str">
        <f t="shared" si="53"/>
        <v/>
      </c>
      <c r="M698" s="31" t="str">
        <f t="shared" si="54"/>
        <v/>
      </c>
    </row>
    <row r="699" spans="1:13" x14ac:dyDescent="0.15">
      <c r="A699" s="163" t="s">
        <v>210</v>
      </c>
      <c r="B699" s="163">
        <v>42295.774917337963</v>
      </c>
      <c r="C699" s="164" t="s">
        <v>1065</v>
      </c>
      <c r="D699" s="164" t="s">
        <v>13</v>
      </c>
      <c r="E699" s="165">
        <v>100</v>
      </c>
      <c r="F699" s="166">
        <v>0</v>
      </c>
      <c r="G699" s="227">
        <f>IF($B$2,IF(ROWS(B$6:$B699) = 1,$B699-Start_Date,$B699-$B698),"")</f>
        <v>7.769673610891914E-2</v>
      </c>
      <c r="H699" s="29">
        <f>IF($B$2,IF(ROWS(B$6:$B699) = 1,IF(COUNTIFS(R_Schedule_Times,"&lt;"&amp;B699),INDEX(R_Schedule_Amounts,MATCH(B699,R_Schedule_Times,1)),Starting_Cash),IF(COUNTIFS(R_Schedule_Times,"&gt;"&amp;B698,R_Schedule_Times,"&lt;"&amp;B699),INDEX(R_Schedule_Amounts,MATCH(B699,R_Schedule_Times,1)),K698)),"")</f>
        <v>2860</v>
      </c>
      <c r="I699" s="30">
        <f t="shared" si="50"/>
        <v>100</v>
      </c>
      <c r="J699" s="31">
        <f t="shared" si="51"/>
        <v>0</v>
      </c>
      <c r="K699" s="29">
        <f t="shared" si="52"/>
        <v>2760</v>
      </c>
      <c r="L699" s="31" t="str">
        <f t="shared" si="53"/>
        <v/>
      </c>
      <c r="M699" s="31" t="str">
        <f t="shared" si="54"/>
        <v/>
      </c>
    </row>
    <row r="700" spans="1:13" x14ac:dyDescent="0.15">
      <c r="A700" s="163" t="s">
        <v>210</v>
      </c>
      <c r="B700" s="163">
        <v>42295.808091597224</v>
      </c>
      <c r="C700" s="164" t="s">
        <v>1066</v>
      </c>
      <c r="D700" s="164" t="s">
        <v>13</v>
      </c>
      <c r="E700" s="165">
        <v>60</v>
      </c>
      <c r="F700" s="166">
        <v>0</v>
      </c>
      <c r="G700" s="227">
        <f>IF($B$2,IF(ROWS(B$6:$B700) = 1,$B700-Start_Date,$B700-$B699),"")</f>
        <v>3.3174259260704275E-2</v>
      </c>
      <c r="H700" s="29">
        <f>IF($B$2,IF(ROWS(B$6:$B700) = 1,IF(COUNTIFS(R_Schedule_Times,"&lt;"&amp;B700),INDEX(R_Schedule_Amounts,MATCH(B700,R_Schedule_Times,1)),Starting_Cash),IF(COUNTIFS(R_Schedule_Times,"&gt;"&amp;B699,R_Schedule_Times,"&lt;"&amp;B700),INDEX(R_Schedule_Amounts,MATCH(B700,R_Schedule_Times,1)),K699)),"")</f>
        <v>2760</v>
      </c>
      <c r="I700" s="30">
        <f t="shared" si="50"/>
        <v>60</v>
      </c>
      <c r="J700" s="31">
        <f t="shared" si="51"/>
        <v>0</v>
      </c>
      <c r="K700" s="29">
        <f t="shared" si="52"/>
        <v>2700</v>
      </c>
      <c r="L700" s="31" t="str">
        <f t="shared" si="53"/>
        <v/>
      </c>
      <c r="M700" s="31" t="str">
        <f t="shared" si="54"/>
        <v/>
      </c>
    </row>
    <row r="701" spans="1:13" x14ac:dyDescent="0.15">
      <c r="A701" s="163" t="s">
        <v>210</v>
      </c>
      <c r="B701" s="163">
        <v>42295.859699942128</v>
      </c>
      <c r="C701" s="164" t="s">
        <v>1067</v>
      </c>
      <c r="D701" s="164" t="s">
        <v>13</v>
      </c>
      <c r="E701" s="165">
        <v>100</v>
      </c>
      <c r="F701" s="166">
        <v>0</v>
      </c>
      <c r="G701" s="227">
        <f>IF($B$2,IF(ROWS(B$6:$B701) = 1,$B701-Start_Date,$B701-$B700),"")</f>
        <v>5.1608344903797843E-2</v>
      </c>
      <c r="H701" s="29">
        <f>IF($B$2,IF(ROWS(B$6:$B701) = 1,IF(COUNTIFS(R_Schedule_Times,"&lt;"&amp;B701),INDEX(R_Schedule_Amounts,MATCH(B701,R_Schedule_Times,1)),Starting_Cash),IF(COUNTIFS(R_Schedule_Times,"&gt;"&amp;B700,R_Schedule_Times,"&lt;"&amp;B701),INDEX(R_Schedule_Amounts,MATCH(B701,R_Schedule_Times,1)),K700)),"")</f>
        <v>2700</v>
      </c>
      <c r="I701" s="30">
        <f t="shared" si="50"/>
        <v>100</v>
      </c>
      <c r="J701" s="31">
        <f t="shared" si="51"/>
        <v>0</v>
      </c>
      <c r="K701" s="29">
        <f t="shared" si="52"/>
        <v>2600</v>
      </c>
      <c r="L701" s="31" t="str">
        <f t="shared" si="53"/>
        <v/>
      </c>
      <c r="M701" s="31" t="str">
        <f t="shared" si="54"/>
        <v/>
      </c>
    </row>
    <row r="702" spans="1:13" x14ac:dyDescent="0.15">
      <c r="A702" s="163" t="s">
        <v>210</v>
      </c>
      <c r="B702" s="163">
        <v>42295.865169351855</v>
      </c>
      <c r="C702" s="164" t="s">
        <v>1068</v>
      </c>
      <c r="D702" s="164" t="s">
        <v>13</v>
      </c>
      <c r="E702" s="165">
        <v>20</v>
      </c>
      <c r="F702" s="166">
        <v>0</v>
      </c>
      <c r="G702" s="227">
        <f>IF($B$2,IF(ROWS(B$6:$B702) = 1,$B702-Start_Date,$B702-$B701),"")</f>
        <v>5.4694097270839848E-3</v>
      </c>
      <c r="H702" s="29">
        <f>IF($B$2,IF(ROWS(B$6:$B702) = 1,IF(COUNTIFS(R_Schedule_Times,"&lt;"&amp;B702),INDEX(R_Schedule_Amounts,MATCH(B702,R_Schedule_Times,1)),Starting_Cash),IF(COUNTIFS(R_Schedule_Times,"&gt;"&amp;B701,R_Schedule_Times,"&lt;"&amp;B702),INDEX(R_Schedule_Amounts,MATCH(B702,R_Schedule_Times,1)),K701)),"")</f>
        <v>2600</v>
      </c>
      <c r="I702" s="30">
        <f t="shared" si="50"/>
        <v>20</v>
      </c>
      <c r="J702" s="31">
        <f t="shared" si="51"/>
        <v>0</v>
      </c>
      <c r="K702" s="29">
        <f t="shared" si="52"/>
        <v>2580</v>
      </c>
      <c r="L702" s="31" t="str">
        <f t="shared" si="53"/>
        <v/>
      </c>
      <c r="M702" s="31" t="str">
        <f t="shared" si="54"/>
        <v/>
      </c>
    </row>
    <row r="703" spans="1:13" x14ac:dyDescent="0.15">
      <c r="A703" s="163" t="s">
        <v>210</v>
      </c>
      <c r="B703" s="163">
        <v>42296.26122497685</v>
      </c>
      <c r="C703" s="164" t="s">
        <v>1069</v>
      </c>
      <c r="D703" s="164" t="s">
        <v>13</v>
      </c>
      <c r="E703" s="165">
        <v>100</v>
      </c>
      <c r="F703" s="166">
        <v>0</v>
      </c>
      <c r="G703" s="227">
        <f>IF($B$2,IF(ROWS(B$6:$B703) = 1,$B703-Start_Date,$B703-$B702),"")</f>
        <v>0.39605562499491498</v>
      </c>
      <c r="H703" s="29">
        <f>IF($B$2,IF(ROWS(B$6:$B703) = 1,IF(COUNTIFS(R_Schedule_Times,"&lt;"&amp;B703),INDEX(R_Schedule_Amounts,MATCH(B703,R_Schedule_Times,1)),Starting_Cash),IF(COUNTIFS(R_Schedule_Times,"&gt;"&amp;B702,R_Schedule_Times,"&lt;"&amp;B703),INDEX(R_Schedule_Amounts,MATCH(B703,R_Schedule_Times,1)),K702)),"")</f>
        <v>11000</v>
      </c>
      <c r="I703" s="30">
        <f t="shared" si="50"/>
        <v>100</v>
      </c>
      <c r="J703" s="31">
        <f t="shared" si="51"/>
        <v>0</v>
      </c>
      <c r="K703" s="29">
        <f t="shared" si="52"/>
        <v>10900</v>
      </c>
      <c r="L703" s="31" t="str">
        <f t="shared" si="53"/>
        <v/>
      </c>
      <c r="M703" s="31" t="str">
        <f t="shared" si="54"/>
        <v/>
      </c>
    </row>
    <row r="704" spans="1:13" x14ac:dyDescent="0.15">
      <c r="A704" s="163" t="s">
        <v>210</v>
      </c>
      <c r="B704" s="163">
        <v>42296.296295138891</v>
      </c>
      <c r="C704" s="164" t="s">
        <v>1070</v>
      </c>
      <c r="D704" s="164" t="s">
        <v>13</v>
      </c>
      <c r="E704" s="165">
        <v>100</v>
      </c>
      <c r="F704" s="166">
        <v>0</v>
      </c>
      <c r="G704" s="227">
        <f>IF($B$2,IF(ROWS(B$6:$B704) = 1,$B704-Start_Date,$B704-$B703),"")</f>
        <v>3.5070162040938158E-2</v>
      </c>
      <c r="H704" s="29">
        <f>IF($B$2,IF(ROWS(B$6:$B704) = 1,IF(COUNTIFS(R_Schedule_Times,"&lt;"&amp;B704),INDEX(R_Schedule_Amounts,MATCH(B704,R_Schedule_Times,1)),Starting_Cash),IF(COUNTIFS(R_Schedule_Times,"&gt;"&amp;B703,R_Schedule_Times,"&lt;"&amp;B704),INDEX(R_Schedule_Amounts,MATCH(B704,R_Schedule_Times,1)),K703)),"")</f>
        <v>10900</v>
      </c>
      <c r="I704" s="30">
        <f t="shared" si="50"/>
        <v>100</v>
      </c>
      <c r="J704" s="31">
        <f t="shared" si="51"/>
        <v>0</v>
      </c>
      <c r="K704" s="29">
        <f t="shared" si="52"/>
        <v>10800</v>
      </c>
      <c r="L704" s="31" t="str">
        <f t="shared" si="53"/>
        <v/>
      </c>
      <c r="M704" s="31" t="str">
        <f t="shared" si="54"/>
        <v/>
      </c>
    </row>
    <row r="705" spans="1:13" x14ac:dyDescent="0.15">
      <c r="A705" s="163" t="s">
        <v>210</v>
      </c>
      <c r="B705" s="163">
        <v>42296.297067766202</v>
      </c>
      <c r="C705" s="164" t="s">
        <v>1071</v>
      </c>
      <c r="D705" s="164" t="s">
        <v>13</v>
      </c>
      <c r="E705" s="165">
        <v>100</v>
      </c>
      <c r="F705" s="166">
        <v>0</v>
      </c>
      <c r="G705" s="227">
        <f>IF($B$2,IF(ROWS(B$6:$B705) = 1,$B705-Start_Date,$B705-$B704),"")</f>
        <v>7.7262731065275148E-4</v>
      </c>
      <c r="H705" s="29">
        <f>IF($B$2,IF(ROWS(B$6:$B705) = 1,IF(COUNTIFS(R_Schedule_Times,"&lt;"&amp;B705),INDEX(R_Schedule_Amounts,MATCH(B705,R_Schedule_Times,1)),Starting_Cash),IF(COUNTIFS(R_Schedule_Times,"&gt;"&amp;B704,R_Schedule_Times,"&lt;"&amp;B705),INDEX(R_Schedule_Amounts,MATCH(B705,R_Schedule_Times,1)),K704)),"")</f>
        <v>10800</v>
      </c>
      <c r="I705" s="30">
        <f t="shared" si="50"/>
        <v>100</v>
      </c>
      <c r="J705" s="31">
        <f t="shared" si="51"/>
        <v>0</v>
      </c>
      <c r="K705" s="29">
        <f t="shared" si="52"/>
        <v>10700</v>
      </c>
      <c r="L705" s="31" t="str">
        <f t="shared" si="53"/>
        <v/>
      </c>
      <c r="M705" s="31" t="str">
        <f t="shared" si="54"/>
        <v/>
      </c>
    </row>
    <row r="706" spans="1:13" x14ac:dyDescent="0.15">
      <c r="A706" s="163" t="s">
        <v>210</v>
      </c>
      <c r="B706" s="163">
        <v>42296.335493495368</v>
      </c>
      <c r="C706" s="164" t="s">
        <v>1072</v>
      </c>
      <c r="D706" s="164" t="s">
        <v>13</v>
      </c>
      <c r="E706" s="165">
        <v>80</v>
      </c>
      <c r="F706" s="166">
        <v>0</v>
      </c>
      <c r="G706" s="227">
        <f>IF($B$2,IF(ROWS(B$6:$B706) = 1,$B706-Start_Date,$B706-$B705),"")</f>
        <v>3.8425729166192468E-2</v>
      </c>
      <c r="H706" s="29">
        <f>IF($B$2,IF(ROWS(B$6:$B706) = 1,IF(COUNTIFS(R_Schedule_Times,"&lt;"&amp;B706),INDEX(R_Schedule_Amounts,MATCH(B706,R_Schedule_Times,1)),Starting_Cash),IF(COUNTIFS(R_Schedule_Times,"&gt;"&amp;B705,R_Schedule_Times,"&lt;"&amp;B706),INDEX(R_Schedule_Amounts,MATCH(B706,R_Schedule_Times,1)),K705)),"")</f>
        <v>10700</v>
      </c>
      <c r="I706" s="30">
        <f t="shared" si="50"/>
        <v>80</v>
      </c>
      <c r="J706" s="31">
        <f t="shared" si="51"/>
        <v>0</v>
      </c>
      <c r="K706" s="29">
        <f t="shared" si="52"/>
        <v>10620</v>
      </c>
      <c r="L706" s="31" t="str">
        <f t="shared" si="53"/>
        <v/>
      </c>
      <c r="M706" s="31" t="str">
        <f t="shared" si="54"/>
        <v/>
      </c>
    </row>
    <row r="707" spans="1:13" x14ac:dyDescent="0.15">
      <c r="A707" s="163" t="s">
        <v>210</v>
      </c>
      <c r="B707" s="163">
        <v>42296.347783055557</v>
      </c>
      <c r="C707" s="164" t="s">
        <v>1073</v>
      </c>
      <c r="D707" s="164" t="s">
        <v>13</v>
      </c>
      <c r="E707" s="165">
        <v>80</v>
      </c>
      <c r="F707" s="166">
        <v>0</v>
      </c>
      <c r="G707" s="227">
        <f>IF($B$2,IF(ROWS(B$6:$B707) = 1,$B707-Start_Date,$B707-$B706),"")</f>
        <v>1.228956018894678E-2</v>
      </c>
      <c r="H707" s="29">
        <f>IF($B$2,IF(ROWS(B$6:$B707) = 1,IF(COUNTIFS(R_Schedule_Times,"&lt;"&amp;B707),INDEX(R_Schedule_Amounts,MATCH(B707,R_Schedule_Times,1)),Starting_Cash),IF(COUNTIFS(R_Schedule_Times,"&gt;"&amp;B706,R_Schedule_Times,"&lt;"&amp;B707),INDEX(R_Schedule_Amounts,MATCH(B707,R_Schedule_Times,1)),K706)),"")</f>
        <v>10620</v>
      </c>
      <c r="I707" s="30">
        <f t="shared" si="50"/>
        <v>80</v>
      </c>
      <c r="J707" s="31">
        <f t="shared" si="51"/>
        <v>0</v>
      </c>
      <c r="K707" s="29">
        <f t="shared" si="52"/>
        <v>10540</v>
      </c>
      <c r="L707" s="31" t="str">
        <f t="shared" si="53"/>
        <v/>
      </c>
      <c r="M707" s="31" t="str">
        <f t="shared" si="54"/>
        <v/>
      </c>
    </row>
    <row r="708" spans="1:13" x14ac:dyDescent="0.15">
      <c r="A708" s="163" t="s">
        <v>210</v>
      </c>
      <c r="B708" s="163">
        <v>42296.37288195602</v>
      </c>
      <c r="C708" s="164" t="s">
        <v>14</v>
      </c>
      <c r="D708" s="164" t="s">
        <v>13</v>
      </c>
      <c r="E708" s="165">
        <v>120</v>
      </c>
      <c r="F708" s="166">
        <v>3.5</v>
      </c>
      <c r="G708" s="227">
        <f>IF($B$2,IF(ROWS(B$6:$B708) = 1,$B708-Start_Date,$B708-$B707),"")</f>
        <v>2.5098900463490281E-2</v>
      </c>
      <c r="H708" s="29">
        <f>IF($B$2,IF(ROWS(B$6:$B708) = 1,IF(COUNTIFS(R_Schedule_Times,"&lt;"&amp;B708),INDEX(R_Schedule_Amounts,MATCH(B708,R_Schedule_Times,1)),Starting_Cash),IF(COUNTIFS(R_Schedule_Times,"&gt;"&amp;B707,R_Schedule_Times,"&lt;"&amp;B708),INDEX(R_Schedule_Amounts,MATCH(B708,R_Schedule_Times,1)),K707)),"")</f>
        <v>10540</v>
      </c>
      <c r="I708" s="30">
        <f t="shared" si="50"/>
        <v>120</v>
      </c>
      <c r="J708" s="31">
        <f t="shared" si="51"/>
        <v>3.5</v>
      </c>
      <c r="K708" s="29">
        <f t="shared" si="52"/>
        <v>10420</v>
      </c>
      <c r="L708" s="31" t="str">
        <f t="shared" si="53"/>
        <v/>
      </c>
      <c r="M708" s="31" t="str">
        <f t="shared" si="54"/>
        <v/>
      </c>
    </row>
    <row r="709" spans="1:13" x14ac:dyDescent="0.15">
      <c r="A709" s="163" t="s">
        <v>210</v>
      </c>
      <c r="B709" s="163">
        <v>42296.380298842596</v>
      </c>
      <c r="C709" s="164" t="s">
        <v>1074</v>
      </c>
      <c r="D709" s="164" t="s">
        <v>13</v>
      </c>
      <c r="E709" s="165">
        <v>60</v>
      </c>
      <c r="F709" s="166">
        <v>0</v>
      </c>
      <c r="G709" s="227">
        <f>IF($B$2,IF(ROWS(B$6:$B709) = 1,$B709-Start_Date,$B709-$B708),"")</f>
        <v>7.4168865758110769E-3</v>
      </c>
      <c r="H709" s="29">
        <f>IF($B$2,IF(ROWS(B$6:$B709) = 1,IF(COUNTIFS(R_Schedule_Times,"&lt;"&amp;B709),INDEX(R_Schedule_Amounts,MATCH(B709,R_Schedule_Times,1)),Starting_Cash),IF(COUNTIFS(R_Schedule_Times,"&gt;"&amp;B708,R_Schedule_Times,"&lt;"&amp;B709),INDEX(R_Schedule_Amounts,MATCH(B709,R_Schedule_Times,1)),K708)),"")</f>
        <v>10420</v>
      </c>
      <c r="I709" s="30">
        <f t="shared" si="50"/>
        <v>60</v>
      </c>
      <c r="J709" s="31">
        <f t="shared" si="51"/>
        <v>0</v>
      </c>
      <c r="K709" s="29">
        <f t="shared" si="52"/>
        <v>10360</v>
      </c>
      <c r="L709" s="31" t="str">
        <f t="shared" si="53"/>
        <v/>
      </c>
      <c r="M709" s="31" t="str">
        <f t="shared" si="54"/>
        <v/>
      </c>
    </row>
    <row r="710" spans="1:13" x14ac:dyDescent="0.15">
      <c r="A710" s="163" t="s">
        <v>210</v>
      </c>
      <c r="B710" s="163">
        <v>42296.415557685184</v>
      </c>
      <c r="C710" s="164" t="s">
        <v>14</v>
      </c>
      <c r="D710" s="164" t="s">
        <v>13</v>
      </c>
      <c r="E710" s="165">
        <v>100</v>
      </c>
      <c r="F710" s="166">
        <v>3.5</v>
      </c>
      <c r="G710" s="227">
        <f>IF($B$2,IF(ROWS(B$6:$B710) = 1,$B710-Start_Date,$B710-$B709),"")</f>
        <v>3.5258842588518746E-2</v>
      </c>
      <c r="H710" s="29">
        <f>IF($B$2,IF(ROWS(B$6:$B710) = 1,IF(COUNTIFS(R_Schedule_Times,"&lt;"&amp;B710),INDEX(R_Schedule_Amounts,MATCH(B710,R_Schedule_Times,1)),Starting_Cash),IF(COUNTIFS(R_Schedule_Times,"&gt;"&amp;B709,R_Schedule_Times,"&lt;"&amp;B710),INDEX(R_Schedule_Amounts,MATCH(B710,R_Schedule_Times,1)),K709)),"")</f>
        <v>10360</v>
      </c>
      <c r="I710" s="30">
        <f t="shared" si="50"/>
        <v>100</v>
      </c>
      <c r="J710" s="31">
        <f t="shared" si="51"/>
        <v>3.5</v>
      </c>
      <c r="K710" s="29">
        <f t="shared" si="52"/>
        <v>10260</v>
      </c>
      <c r="L710" s="31" t="str">
        <f t="shared" si="53"/>
        <v/>
      </c>
      <c r="M710" s="31" t="str">
        <f t="shared" si="54"/>
        <v/>
      </c>
    </row>
    <row r="711" spans="1:13" x14ac:dyDescent="0.15">
      <c r="A711" s="163" t="s">
        <v>210</v>
      </c>
      <c r="B711" s="163">
        <v>42296.452561967591</v>
      </c>
      <c r="C711" s="164" t="s">
        <v>1075</v>
      </c>
      <c r="D711" s="164" t="s">
        <v>13</v>
      </c>
      <c r="E711" s="165">
        <v>100</v>
      </c>
      <c r="F711" s="166">
        <v>0</v>
      </c>
      <c r="G711" s="227">
        <f>IF($B$2,IF(ROWS(B$6:$B711) = 1,$B711-Start_Date,$B711-$B710),"")</f>
        <v>3.7004282406996936E-2</v>
      </c>
      <c r="H711" s="29">
        <f>IF($B$2,IF(ROWS(B$6:$B711) = 1,IF(COUNTIFS(R_Schedule_Times,"&lt;"&amp;B711),INDEX(R_Schedule_Amounts,MATCH(B711,R_Schedule_Times,1)),Starting_Cash),IF(COUNTIFS(R_Schedule_Times,"&gt;"&amp;B710,R_Schedule_Times,"&lt;"&amp;B711),INDEX(R_Schedule_Amounts,MATCH(B711,R_Schedule_Times,1)),K710)),"")</f>
        <v>10260</v>
      </c>
      <c r="I711" s="30">
        <f t="shared" ref="I711:I774" si="55">IF($B$2,IF(H711&gt;=E711,E711,0),"")</f>
        <v>100</v>
      </c>
      <c r="J711" s="31">
        <f t="shared" ref="J711:J774" si="56">IF($B$2,IF(H711&gt;=E711,F711,0),"")</f>
        <v>0</v>
      </c>
      <c r="K711" s="29">
        <f t="shared" ref="K711:K774" si="57">IF($B$2,ABS(I711-H711),"")</f>
        <v>10160</v>
      </c>
      <c r="L711" s="31" t="str">
        <f t="shared" ref="L711:L774" si="58">IF($B$2,IF(H711&lt;E711,"YES",""),"")</f>
        <v/>
      </c>
      <c r="M711" s="31" t="str">
        <f t="shared" ref="M711:M774" si="59">IF($B$2,IF(L711="YES",F711,""),"")</f>
        <v/>
      </c>
    </row>
    <row r="712" spans="1:13" x14ac:dyDescent="0.15">
      <c r="A712" s="163" t="s">
        <v>210</v>
      </c>
      <c r="B712" s="163">
        <v>42296.475228437499</v>
      </c>
      <c r="C712" s="164" t="s">
        <v>1076</v>
      </c>
      <c r="D712" s="164" t="s">
        <v>13</v>
      </c>
      <c r="E712" s="165">
        <v>20</v>
      </c>
      <c r="F712" s="166">
        <v>0</v>
      </c>
      <c r="G712" s="227">
        <f>IF($B$2,IF(ROWS(B$6:$B712) = 1,$B712-Start_Date,$B712-$B711),"")</f>
        <v>2.2666469907562714E-2</v>
      </c>
      <c r="H712" s="29">
        <f>IF($B$2,IF(ROWS(B$6:$B712) = 1,IF(COUNTIFS(R_Schedule_Times,"&lt;"&amp;B712),INDEX(R_Schedule_Amounts,MATCH(B712,R_Schedule_Times,1)),Starting_Cash),IF(COUNTIFS(R_Schedule_Times,"&gt;"&amp;B711,R_Schedule_Times,"&lt;"&amp;B712),INDEX(R_Schedule_Amounts,MATCH(B712,R_Schedule_Times,1)),K711)),"")</f>
        <v>10160</v>
      </c>
      <c r="I712" s="30">
        <f t="shared" si="55"/>
        <v>20</v>
      </c>
      <c r="J712" s="31">
        <f t="shared" si="56"/>
        <v>0</v>
      </c>
      <c r="K712" s="29">
        <f t="shared" si="57"/>
        <v>10140</v>
      </c>
      <c r="L712" s="31" t="str">
        <f t="shared" si="58"/>
        <v/>
      </c>
      <c r="M712" s="31" t="str">
        <f t="shared" si="59"/>
        <v/>
      </c>
    </row>
    <row r="713" spans="1:13" x14ac:dyDescent="0.15">
      <c r="A713" s="163" t="s">
        <v>210</v>
      </c>
      <c r="B713" s="163">
        <v>42296.476313449071</v>
      </c>
      <c r="C713" s="164" t="s">
        <v>1077</v>
      </c>
      <c r="D713" s="164" t="s">
        <v>13</v>
      </c>
      <c r="E713" s="165">
        <v>20</v>
      </c>
      <c r="F713" s="166">
        <v>0</v>
      </c>
      <c r="G713" s="227">
        <f>IF($B$2,IF(ROWS(B$6:$B713) = 1,$B713-Start_Date,$B713-$B712),"")</f>
        <v>1.085011572286021E-3</v>
      </c>
      <c r="H713" s="29">
        <f>IF($B$2,IF(ROWS(B$6:$B713) = 1,IF(COUNTIFS(R_Schedule_Times,"&lt;"&amp;B713),INDEX(R_Schedule_Amounts,MATCH(B713,R_Schedule_Times,1)),Starting_Cash),IF(COUNTIFS(R_Schedule_Times,"&gt;"&amp;B712,R_Schedule_Times,"&lt;"&amp;B713),INDEX(R_Schedule_Amounts,MATCH(B713,R_Schedule_Times,1)),K712)),"")</f>
        <v>10140</v>
      </c>
      <c r="I713" s="30">
        <f t="shared" si="55"/>
        <v>20</v>
      </c>
      <c r="J713" s="31">
        <f t="shared" si="56"/>
        <v>0</v>
      </c>
      <c r="K713" s="29">
        <f t="shared" si="57"/>
        <v>10120</v>
      </c>
      <c r="L713" s="31" t="str">
        <f t="shared" si="58"/>
        <v/>
      </c>
      <c r="M713" s="31" t="str">
        <f t="shared" si="59"/>
        <v/>
      </c>
    </row>
    <row r="714" spans="1:13" x14ac:dyDescent="0.15">
      <c r="A714" s="163" t="s">
        <v>210</v>
      </c>
      <c r="B714" s="163">
        <v>42296.477635370371</v>
      </c>
      <c r="C714" s="164" t="s">
        <v>1078</v>
      </c>
      <c r="D714" s="164" t="s">
        <v>13</v>
      </c>
      <c r="E714" s="165">
        <v>100</v>
      </c>
      <c r="F714" s="166">
        <v>0</v>
      </c>
      <c r="G714" s="227">
        <f>IF($B$2,IF(ROWS(B$6:$B714) = 1,$B714-Start_Date,$B714-$B713),"")</f>
        <v>1.3219212996773422E-3</v>
      </c>
      <c r="H714" s="29">
        <f>IF($B$2,IF(ROWS(B$6:$B714) = 1,IF(COUNTIFS(R_Schedule_Times,"&lt;"&amp;B714),INDEX(R_Schedule_Amounts,MATCH(B714,R_Schedule_Times,1)),Starting_Cash),IF(COUNTIFS(R_Schedule_Times,"&gt;"&amp;B713,R_Schedule_Times,"&lt;"&amp;B714),INDEX(R_Schedule_Amounts,MATCH(B714,R_Schedule_Times,1)),K713)),"")</f>
        <v>10120</v>
      </c>
      <c r="I714" s="30">
        <f t="shared" si="55"/>
        <v>100</v>
      </c>
      <c r="J714" s="31">
        <f t="shared" si="56"/>
        <v>0</v>
      </c>
      <c r="K714" s="29">
        <f t="shared" si="57"/>
        <v>10020</v>
      </c>
      <c r="L714" s="31" t="str">
        <f t="shared" si="58"/>
        <v/>
      </c>
      <c r="M714" s="31" t="str">
        <f t="shared" si="59"/>
        <v/>
      </c>
    </row>
    <row r="715" spans="1:13" x14ac:dyDescent="0.15">
      <c r="A715" s="163" t="s">
        <v>210</v>
      </c>
      <c r="B715" s="163">
        <v>42296.508439861114</v>
      </c>
      <c r="C715" s="164" t="s">
        <v>14</v>
      </c>
      <c r="D715" s="164" t="s">
        <v>13</v>
      </c>
      <c r="E715" s="165">
        <v>80</v>
      </c>
      <c r="F715" s="166">
        <v>3.5</v>
      </c>
      <c r="G715" s="227">
        <f>IF($B$2,IF(ROWS(B$6:$B715) = 1,$B715-Start_Date,$B715-$B714),"")</f>
        <v>3.0804490743321367E-2</v>
      </c>
      <c r="H715" s="29">
        <f>IF($B$2,IF(ROWS(B$6:$B715) = 1,IF(COUNTIFS(R_Schedule_Times,"&lt;"&amp;B715),INDEX(R_Schedule_Amounts,MATCH(B715,R_Schedule_Times,1)),Starting_Cash),IF(COUNTIFS(R_Schedule_Times,"&gt;"&amp;B714,R_Schedule_Times,"&lt;"&amp;B715),INDEX(R_Schedule_Amounts,MATCH(B715,R_Schedule_Times,1)),K714)),"")</f>
        <v>10020</v>
      </c>
      <c r="I715" s="30">
        <f t="shared" si="55"/>
        <v>80</v>
      </c>
      <c r="J715" s="31">
        <f t="shared" si="56"/>
        <v>3.5</v>
      </c>
      <c r="K715" s="29">
        <f t="shared" si="57"/>
        <v>9940</v>
      </c>
      <c r="L715" s="31" t="str">
        <f t="shared" si="58"/>
        <v/>
      </c>
      <c r="M715" s="31" t="str">
        <f t="shared" si="59"/>
        <v/>
      </c>
    </row>
    <row r="716" spans="1:13" x14ac:dyDescent="0.15">
      <c r="A716" s="163" t="s">
        <v>210</v>
      </c>
      <c r="B716" s="163">
        <v>42296.514152962962</v>
      </c>
      <c r="C716" s="164" t="s">
        <v>1079</v>
      </c>
      <c r="D716" s="164" t="s">
        <v>13</v>
      </c>
      <c r="E716" s="165">
        <v>100</v>
      </c>
      <c r="F716" s="166">
        <v>0</v>
      </c>
      <c r="G716" s="227">
        <f>IF($B$2,IF(ROWS(B$6:$B716) = 1,$B716-Start_Date,$B716-$B715),"")</f>
        <v>5.7131018475047313E-3</v>
      </c>
      <c r="H716" s="29">
        <f>IF($B$2,IF(ROWS(B$6:$B716) = 1,IF(COUNTIFS(R_Schedule_Times,"&lt;"&amp;B716),INDEX(R_Schedule_Amounts,MATCH(B716,R_Schedule_Times,1)),Starting_Cash),IF(COUNTIFS(R_Schedule_Times,"&gt;"&amp;B715,R_Schedule_Times,"&lt;"&amp;B716),INDEX(R_Schedule_Amounts,MATCH(B716,R_Schedule_Times,1)),K715)),"")</f>
        <v>9940</v>
      </c>
      <c r="I716" s="30">
        <f t="shared" si="55"/>
        <v>100</v>
      </c>
      <c r="J716" s="31">
        <f t="shared" si="56"/>
        <v>0</v>
      </c>
      <c r="K716" s="29">
        <f t="shared" si="57"/>
        <v>9840</v>
      </c>
      <c r="L716" s="31" t="str">
        <f t="shared" si="58"/>
        <v/>
      </c>
      <c r="M716" s="31" t="str">
        <f t="shared" si="59"/>
        <v/>
      </c>
    </row>
    <row r="717" spans="1:13" x14ac:dyDescent="0.15">
      <c r="A717" s="163" t="s">
        <v>210</v>
      </c>
      <c r="B717" s="163">
        <v>42296.518604444442</v>
      </c>
      <c r="C717" s="164" t="s">
        <v>1080</v>
      </c>
      <c r="D717" s="164" t="s">
        <v>13</v>
      </c>
      <c r="E717" s="165">
        <v>40</v>
      </c>
      <c r="F717" s="166">
        <v>0</v>
      </c>
      <c r="G717" s="227">
        <f>IF($B$2,IF(ROWS(B$6:$B717) = 1,$B717-Start_Date,$B717-$B716),"")</f>
        <v>4.4514814799185842E-3</v>
      </c>
      <c r="H717" s="29">
        <f>IF($B$2,IF(ROWS(B$6:$B717) = 1,IF(COUNTIFS(R_Schedule_Times,"&lt;"&amp;B717),INDEX(R_Schedule_Amounts,MATCH(B717,R_Schedule_Times,1)),Starting_Cash),IF(COUNTIFS(R_Schedule_Times,"&gt;"&amp;B716,R_Schedule_Times,"&lt;"&amp;B717),INDEX(R_Schedule_Amounts,MATCH(B717,R_Schedule_Times,1)),K716)),"")</f>
        <v>9840</v>
      </c>
      <c r="I717" s="30">
        <f t="shared" si="55"/>
        <v>40</v>
      </c>
      <c r="J717" s="31">
        <f t="shared" si="56"/>
        <v>0</v>
      </c>
      <c r="K717" s="29">
        <f t="shared" si="57"/>
        <v>9800</v>
      </c>
      <c r="L717" s="31" t="str">
        <f t="shared" si="58"/>
        <v/>
      </c>
      <c r="M717" s="31" t="str">
        <f t="shared" si="59"/>
        <v/>
      </c>
    </row>
    <row r="718" spans="1:13" x14ac:dyDescent="0.15">
      <c r="A718" s="163" t="s">
        <v>210</v>
      </c>
      <c r="B718" s="163">
        <v>42296.532336724536</v>
      </c>
      <c r="C718" s="164" t="s">
        <v>1081</v>
      </c>
      <c r="D718" s="164" t="s">
        <v>13</v>
      </c>
      <c r="E718" s="165">
        <v>40</v>
      </c>
      <c r="F718" s="166">
        <v>0</v>
      </c>
      <c r="G718" s="227">
        <f>IF($B$2,IF(ROWS(B$6:$B718) = 1,$B718-Start_Date,$B718-$B717),"")</f>
        <v>1.37322800947004E-2</v>
      </c>
      <c r="H718" s="29">
        <f>IF($B$2,IF(ROWS(B$6:$B718) = 1,IF(COUNTIFS(R_Schedule_Times,"&lt;"&amp;B718),INDEX(R_Schedule_Amounts,MATCH(B718,R_Schedule_Times,1)),Starting_Cash),IF(COUNTIFS(R_Schedule_Times,"&gt;"&amp;B717,R_Schedule_Times,"&lt;"&amp;B718),INDEX(R_Schedule_Amounts,MATCH(B718,R_Schedule_Times,1)),K717)),"")</f>
        <v>9800</v>
      </c>
      <c r="I718" s="30">
        <f t="shared" si="55"/>
        <v>40</v>
      </c>
      <c r="J718" s="31">
        <f t="shared" si="56"/>
        <v>0</v>
      </c>
      <c r="K718" s="29">
        <f t="shared" si="57"/>
        <v>9760</v>
      </c>
      <c r="L718" s="31" t="str">
        <f t="shared" si="58"/>
        <v/>
      </c>
      <c r="M718" s="31" t="str">
        <f t="shared" si="59"/>
        <v/>
      </c>
    </row>
    <row r="719" spans="1:13" x14ac:dyDescent="0.15">
      <c r="A719" s="163" t="s">
        <v>210</v>
      </c>
      <c r="B719" s="163">
        <v>42296.535098020831</v>
      </c>
      <c r="C719" s="164" t="s">
        <v>1082</v>
      </c>
      <c r="D719" s="164" t="s">
        <v>13</v>
      </c>
      <c r="E719" s="165">
        <v>60</v>
      </c>
      <c r="F719" s="166">
        <v>0</v>
      </c>
      <c r="G719" s="227">
        <f>IF($B$2,IF(ROWS(B$6:$B719) = 1,$B719-Start_Date,$B719-$B718),"")</f>
        <v>2.7612962949206121E-3</v>
      </c>
      <c r="H719" s="29">
        <f>IF($B$2,IF(ROWS(B$6:$B719) = 1,IF(COUNTIFS(R_Schedule_Times,"&lt;"&amp;B719),INDEX(R_Schedule_Amounts,MATCH(B719,R_Schedule_Times,1)),Starting_Cash),IF(COUNTIFS(R_Schedule_Times,"&gt;"&amp;B718,R_Schedule_Times,"&lt;"&amp;B719),INDEX(R_Schedule_Amounts,MATCH(B719,R_Schedule_Times,1)),K718)),"")</f>
        <v>9760</v>
      </c>
      <c r="I719" s="30">
        <f t="shared" si="55"/>
        <v>60</v>
      </c>
      <c r="J719" s="31">
        <f t="shared" si="56"/>
        <v>0</v>
      </c>
      <c r="K719" s="29">
        <f t="shared" si="57"/>
        <v>9700</v>
      </c>
      <c r="L719" s="31" t="str">
        <f t="shared" si="58"/>
        <v/>
      </c>
      <c r="M719" s="31" t="str">
        <f t="shared" si="59"/>
        <v/>
      </c>
    </row>
    <row r="720" spans="1:13" x14ac:dyDescent="0.15">
      <c r="A720" s="163" t="s">
        <v>210</v>
      </c>
      <c r="B720" s="163">
        <v>42296.53847699074</v>
      </c>
      <c r="C720" s="164" t="s">
        <v>1083</v>
      </c>
      <c r="D720" s="164" t="s">
        <v>13</v>
      </c>
      <c r="E720" s="165">
        <v>80</v>
      </c>
      <c r="F720" s="166">
        <v>0</v>
      </c>
      <c r="G720" s="227">
        <f>IF($B$2,IF(ROWS(B$6:$B720) = 1,$B720-Start_Date,$B720-$B719),"")</f>
        <v>3.3789699082262814E-3</v>
      </c>
      <c r="H720" s="29">
        <f>IF($B$2,IF(ROWS(B$6:$B720) = 1,IF(COUNTIFS(R_Schedule_Times,"&lt;"&amp;B720),INDEX(R_Schedule_Amounts,MATCH(B720,R_Schedule_Times,1)),Starting_Cash),IF(COUNTIFS(R_Schedule_Times,"&gt;"&amp;B719,R_Schedule_Times,"&lt;"&amp;B720),INDEX(R_Schedule_Amounts,MATCH(B720,R_Schedule_Times,1)),K719)),"")</f>
        <v>9700</v>
      </c>
      <c r="I720" s="30">
        <f t="shared" si="55"/>
        <v>80</v>
      </c>
      <c r="J720" s="31">
        <f t="shared" si="56"/>
        <v>0</v>
      </c>
      <c r="K720" s="29">
        <f t="shared" si="57"/>
        <v>9620</v>
      </c>
      <c r="L720" s="31" t="str">
        <f t="shared" si="58"/>
        <v/>
      </c>
      <c r="M720" s="31" t="str">
        <f t="shared" si="59"/>
        <v/>
      </c>
    </row>
    <row r="721" spans="1:13" x14ac:dyDescent="0.15">
      <c r="A721" s="163" t="s">
        <v>210</v>
      </c>
      <c r="B721" s="163">
        <v>42296.542254004627</v>
      </c>
      <c r="C721" s="164" t="s">
        <v>1084</v>
      </c>
      <c r="D721" s="164" t="s">
        <v>13</v>
      </c>
      <c r="E721" s="165">
        <v>100</v>
      </c>
      <c r="F721" s="166">
        <v>0</v>
      </c>
      <c r="G721" s="227">
        <f>IF($B$2,IF(ROWS(B$6:$B721) = 1,$B721-Start_Date,$B721-$B720),"")</f>
        <v>3.7770138878840953E-3</v>
      </c>
      <c r="H721" s="29">
        <f>IF($B$2,IF(ROWS(B$6:$B721) = 1,IF(COUNTIFS(R_Schedule_Times,"&lt;"&amp;B721),INDEX(R_Schedule_Amounts,MATCH(B721,R_Schedule_Times,1)),Starting_Cash),IF(COUNTIFS(R_Schedule_Times,"&gt;"&amp;B720,R_Schedule_Times,"&lt;"&amp;B721),INDEX(R_Schedule_Amounts,MATCH(B721,R_Schedule_Times,1)),K720)),"")</f>
        <v>9620</v>
      </c>
      <c r="I721" s="30">
        <f t="shared" si="55"/>
        <v>100</v>
      </c>
      <c r="J721" s="31">
        <f t="shared" si="56"/>
        <v>0</v>
      </c>
      <c r="K721" s="29">
        <f t="shared" si="57"/>
        <v>9520</v>
      </c>
      <c r="L721" s="31" t="str">
        <f t="shared" si="58"/>
        <v/>
      </c>
      <c r="M721" s="31" t="str">
        <f t="shared" si="59"/>
        <v/>
      </c>
    </row>
    <row r="722" spans="1:13" x14ac:dyDescent="0.15">
      <c r="A722" s="163" t="s">
        <v>210</v>
      </c>
      <c r="B722" s="163">
        <v>42296.554052465275</v>
      </c>
      <c r="C722" s="164" t="s">
        <v>1085</v>
      </c>
      <c r="D722" s="164" t="s">
        <v>13</v>
      </c>
      <c r="E722" s="165">
        <v>100</v>
      </c>
      <c r="F722" s="166">
        <v>0</v>
      </c>
      <c r="G722" s="227">
        <f>IF($B$2,IF(ROWS(B$6:$B722) = 1,$B722-Start_Date,$B722-$B721),"")</f>
        <v>1.1798460647696629E-2</v>
      </c>
      <c r="H722" s="29">
        <f>IF($B$2,IF(ROWS(B$6:$B722) = 1,IF(COUNTIFS(R_Schedule_Times,"&lt;"&amp;B722),INDEX(R_Schedule_Amounts,MATCH(B722,R_Schedule_Times,1)),Starting_Cash),IF(COUNTIFS(R_Schedule_Times,"&gt;"&amp;B721,R_Schedule_Times,"&lt;"&amp;B722),INDEX(R_Schedule_Amounts,MATCH(B722,R_Schedule_Times,1)),K721)),"")</f>
        <v>9520</v>
      </c>
      <c r="I722" s="30">
        <f t="shared" si="55"/>
        <v>100</v>
      </c>
      <c r="J722" s="31">
        <f t="shared" si="56"/>
        <v>0</v>
      </c>
      <c r="K722" s="29">
        <f t="shared" si="57"/>
        <v>9420</v>
      </c>
      <c r="L722" s="31" t="str">
        <f t="shared" si="58"/>
        <v/>
      </c>
      <c r="M722" s="31" t="str">
        <f t="shared" si="59"/>
        <v/>
      </c>
    </row>
    <row r="723" spans="1:13" x14ac:dyDescent="0.15">
      <c r="A723" s="163" t="s">
        <v>210</v>
      </c>
      <c r="B723" s="163">
        <v>42296.582393634257</v>
      </c>
      <c r="C723" s="164" t="s">
        <v>1086</v>
      </c>
      <c r="D723" s="164" t="s">
        <v>13</v>
      </c>
      <c r="E723" s="165">
        <v>40</v>
      </c>
      <c r="F723" s="166">
        <v>0</v>
      </c>
      <c r="G723" s="227">
        <f>IF($B$2,IF(ROWS(B$6:$B723) = 1,$B723-Start_Date,$B723-$B722),"")</f>
        <v>2.8341168981569353E-2</v>
      </c>
      <c r="H723" s="29">
        <f>IF($B$2,IF(ROWS(B$6:$B723) = 1,IF(COUNTIFS(R_Schedule_Times,"&lt;"&amp;B723),INDEX(R_Schedule_Amounts,MATCH(B723,R_Schedule_Times,1)),Starting_Cash),IF(COUNTIFS(R_Schedule_Times,"&gt;"&amp;B722,R_Schedule_Times,"&lt;"&amp;B723),INDEX(R_Schedule_Amounts,MATCH(B723,R_Schedule_Times,1)),K722)),"")</f>
        <v>9420</v>
      </c>
      <c r="I723" s="30">
        <f t="shared" si="55"/>
        <v>40</v>
      </c>
      <c r="J723" s="31">
        <f t="shared" si="56"/>
        <v>0</v>
      </c>
      <c r="K723" s="29">
        <f t="shared" si="57"/>
        <v>9380</v>
      </c>
      <c r="L723" s="31" t="str">
        <f t="shared" si="58"/>
        <v/>
      </c>
      <c r="M723" s="31" t="str">
        <f t="shared" si="59"/>
        <v/>
      </c>
    </row>
    <row r="724" spans="1:13" x14ac:dyDescent="0.15">
      <c r="A724" s="163" t="s">
        <v>210</v>
      </c>
      <c r="B724" s="163">
        <v>42296.583633206021</v>
      </c>
      <c r="C724" s="164" t="s">
        <v>322</v>
      </c>
      <c r="D724" s="164" t="s">
        <v>13</v>
      </c>
      <c r="E724" s="165">
        <v>60</v>
      </c>
      <c r="F724" s="166">
        <v>0</v>
      </c>
      <c r="G724" s="227">
        <f>IF($B$2,IF(ROWS(B$6:$B724) = 1,$B724-Start_Date,$B724-$B723),"")</f>
        <v>1.2395717640174553E-3</v>
      </c>
      <c r="H724" s="29">
        <f>IF($B$2,IF(ROWS(B$6:$B724) = 1,IF(COUNTIFS(R_Schedule_Times,"&lt;"&amp;B724),INDEX(R_Schedule_Amounts,MATCH(B724,R_Schedule_Times,1)),Starting_Cash),IF(COUNTIFS(R_Schedule_Times,"&gt;"&amp;B723,R_Schedule_Times,"&lt;"&amp;B724),INDEX(R_Schedule_Amounts,MATCH(B724,R_Schedule_Times,1)),K723)),"")</f>
        <v>9380</v>
      </c>
      <c r="I724" s="30">
        <f t="shared" si="55"/>
        <v>60</v>
      </c>
      <c r="J724" s="31">
        <f t="shared" si="56"/>
        <v>0</v>
      </c>
      <c r="K724" s="29">
        <f t="shared" si="57"/>
        <v>9320</v>
      </c>
      <c r="L724" s="31" t="str">
        <f t="shared" si="58"/>
        <v/>
      </c>
      <c r="M724" s="31" t="str">
        <f t="shared" si="59"/>
        <v/>
      </c>
    </row>
    <row r="725" spans="1:13" x14ac:dyDescent="0.15">
      <c r="A725" s="163" t="s">
        <v>210</v>
      </c>
      <c r="B725" s="163">
        <v>42296.594129999998</v>
      </c>
      <c r="C725" s="164" t="s">
        <v>358</v>
      </c>
      <c r="D725" s="164" t="s">
        <v>13</v>
      </c>
      <c r="E725" s="165">
        <v>500</v>
      </c>
      <c r="F725" s="166">
        <v>0</v>
      </c>
      <c r="G725" s="227">
        <f>IF($B$2,IF(ROWS(B$6:$B725) = 1,$B725-Start_Date,$B725-$B724),"")</f>
        <v>1.049679397692671E-2</v>
      </c>
      <c r="H725" s="29">
        <f>IF($B$2,IF(ROWS(B$6:$B725) = 1,IF(COUNTIFS(R_Schedule_Times,"&lt;"&amp;B725),INDEX(R_Schedule_Amounts,MATCH(B725,R_Schedule_Times,1)),Starting_Cash),IF(COUNTIFS(R_Schedule_Times,"&gt;"&amp;B724,R_Schedule_Times,"&lt;"&amp;B725),INDEX(R_Schedule_Amounts,MATCH(B725,R_Schedule_Times,1)),K724)),"")</f>
        <v>9320</v>
      </c>
      <c r="I725" s="30">
        <f t="shared" si="55"/>
        <v>500</v>
      </c>
      <c r="J725" s="31">
        <f t="shared" si="56"/>
        <v>0</v>
      </c>
      <c r="K725" s="29">
        <f t="shared" si="57"/>
        <v>8820</v>
      </c>
      <c r="L725" s="31" t="str">
        <f t="shared" si="58"/>
        <v/>
      </c>
      <c r="M725" s="31" t="str">
        <f t="shared" si="59"/>
        <v/>
      </c>
    </row>
    <row r="726" spans="1:13" x14ac:dyDescent="0.15">
      <c r="A726" s="163" t="s">
        <v>210</v>
      </c>
      <c r="B726" s="163">
        <v>42296.595156203701</v>
      </c>
      <c r="C726" s="164" t="s">
        <v>1087</v>
      </c>
      <c r="D726" s="164" t="s">
        <v>13</v>
      </c>
      <c r="E726" s="165">
        <v>100</v>
      </c>
      <c r="F726" s="166">
        <v>0</v>
      </c>
      <c r="G726" s="227">
        <f>IF($B$2,IF(ROWS(B$6:$B726) = 1,$B726-Start_Date,$B726-$B725),"")</f>
        <v>1.0262037030770443E-3</v>
      </c>
      <c r="H726" s="29">
        <f>IF($B$2,IF(ROWS(B$6:$B726) = 1,IF(COUNTIFS(R_Schedule_Times,"&lt;"&amp;B726),INDEX(R_Schedule_Amounts,MATCH(B726,R_Schedule_Times,1)),Starting_Cash),IF(COUNTIFS(R_Schedule_Times,"&gt;"&amp;B725,R_Schedule_Times,"&lt;"&amp;B726),INDEX(R_Schedule_Amounts,MATCH(B726,R_Schedule_Times,1)),K725)),"")</f>
        <v>8820</v>
      </c>
      <c r="I726" s="30">
        <f t="shared" si="55"/>
        <v>100</v>
      </c>
      <c r="J726" s="31">
        <f t="shared" si="56"/>
        <v>0</v>
      </c>
      <c r="K726" s="29">
        <f t="shared" si="57"/>
        <v>8720</v>
      </c>
      <c r="L726" s="31" t="str">
        <f t="shared" si="58"/>
        <v/>
      </c>
      <c r="M726" s="31" t="str">
        <f t="shared" si="59"/>
        <v/>
      </c>
    </row>
    <row r="727" spans="1:13" x14ac:dyDescent="0.15">
      <c r="A727" s="163" t="s">
        <v>210</v>
      </c>
      <c r="B727" s="163">
        <v>42296.597310081015</v>
      </c>
      <c r="C727" s="164" t="s">
        <v>1088</v>
      </c>
      <c r="D727" s="164" t="s">
        <v>13</v>
      </c>
      <c r="E727" s="165">
        <v>20</v>
      </c>
      <c r="F727" s="166">
        <v>0</v>
      </c>
      <c r="G727" s="227">
        <f>IF($B$2,IF(ROWS(B$6:$B727) = 1,$B727-Start_Date,$B727-$B726),"")</f>
        <v>2.1538773144129664E-3</v>
      </c>
      <c r="H727" s="29">
        <f>IF($B$2,IF(ROWS(B$6:$B727) = 1,IF(COUNTIFS(R_Schedule_Times,"&lt;"&amp;B727),INDEX(R_Schedule_Amounts,MATCH(B727,R_Schedule_Times,1)),Starting_Cash),IF(COUNTIFS(R_Schedule_Times,"&gt;"&amp;B726,R_Schedule_Times,"&lt;"&amp;B727),INDEX(R_Schedule_Amounts,MATCH(B727,R_Schedule_Times,1)),K726)),"")</f>
        <v>8720</v>
      </c>
      <c r="I727" s="30">
        <f t="shared" si="55"/>
        <v>20</v>
      </c>
      <c r="J727" s="31">
        <f t="shared" si="56"/>
        <v>0</v>
      </c>
      <c r="K727" s="29">
        <f t="shared" si="57"/>
        <v>8700</v>
      </c>
      <c r="L727" s="31" t="str">
        <f t="shared" si="58"/>
        <v/>
      </c>
      <c r="M727" s="31" t="str">
        <f t="shared" si="59"/>
        <v/>
      </c>
    </row>
    <row r="728" spans="1:13" x14ac:dyDescent="0.15">
      <c r="A728" s="163" t="s">
        <v>210</v>
      </c>
      <c r="B728" s="163">
        <v>42296.607216574077</v>
      </c>
      <c r="C728" s="164" t="s">
        <v>359</v>
      </c>
      <c r="D728" s="164" t="s">
        <v>13</v>
      </c>
      <c r="E728" s="165">
        <v>140</v>
      </c>
      <c r="F728" s="166">
        <v>0</v>
      </c>
      <c r="G728" s="227">
        <f>IF($B$2,IF(ROWS(B$6:$B728) = 1,$B728-Start_Date,$B728-$B727),"")</f>
        <v>9.9064930618624203E-3</v>
      </c>
      <c r="H728" s="29">
        <f>IF($B$2,IF(ROWS(B$6:$B728) = 1,IF(COUNTIFS(R_Schedule_Times,"&lt;"&amp;B728),INDEX(R_Schedule_Amounts,MATCH(B728,R_Schedule_Times,1)),Starting_Cash),IF(COUNTIFS(R_Schedule_Times,"&gt;"&amp;B727,R_Schedule_Times,"&lt;"&amp;B728),INDEX(R_Schedule_Amounts,MATCH(B728,R_Schedule_Times,1)),K727)),"")</f>
        <v>8700</v>
      </c>
      <c r="I728" s="30">
        <f t="shared" si="55"/>
        <v>140</v>
      </c>
      <c r="J728" s="31">
        <f t="shared" si="56"/>
        <v>0</v>
      </c>
      <c r="K728" s="29">
        <f t="shared" si="57"/>
        <v>8560</v>
      </c>
      <c r="L728" s="31" t="str">
        <f t="shared" si="58"/>
        <v/>
      </c>
      <c r="M728" s="31" t="str">
        <f t="shared" si="59"/>
        <v/>
      </c>
    </row>
    <row r="729" spans="1:13" x14ac:dyDescent="0.15">
      <c r="A729" s="163" t="s">
        <v>210</v>
      </c>
      <c r="B729" s="163">
        <v>42296.639579826391</v>
      </c>
      <c r="C729" s="164" t="s">
        <v>1089</v>
      </c>
      <c r="D729" s="164" t="s">
        <v>13</v>
      </c>
      <c r="E729" s="165">
        <v>100</v>
      </c>
      <c r="F729" s="166">
        <v>0</v>
      </c>
      <c r="G729" s="227">
        <f>IF($B$2,IF(ROWS(B$6:$B729) = 1,$B729-Start_Date,$B729-$B728),"")</f>
        <v>3.2363252314098645E-2</v>
      </c>
      <c r="H729" s="29">
        <f>IF($B$2,IF(ROWS(B$6:$B729) = 1,IF(COUNTIFS(R_Schedule_Times,"&lt;"&amp;B729),INDEX(R_Schedule_Amounts,MATCH(B729,R_Schedule_Times,1)),Starting_Cash),IF(COUNTIFS(R_Schedule_Times,"&gt;"&amp;B728,R_Schedule_Times,"&lt;"&amp;B729),INDEX(R_Schedule_Amounts,MATCH(B729,R_Schedule_Times,1)),K728)),"")</f>
        <v>8560</v>
      </c>
      <c r="I729" s="30">
        <f t="shared" si="55"/>
        <v>100</v>
      </c>
      <c r="J729" s="31">
        <f t="shared" si="56"/>
        <v>0</v>
      </c>
      <c r="K729" s="29">
        <f t="shared" si="57"/>
        <v>8460</v>
      </c>
      <c r="L729" s="31" t="str">
        <f t="shared" si="58"/>
        <v/>
      </c>
      <c r="M729" s="31" t="str">
        <f t="shared" si="59"/>
        <v/>
      </c>
    </row>
    <row r="730" spans="1:13" x14ac:dyDescent="0.15">
      <c r="A730" s="163" t="s">
        <v>210</v>
      </c>
      <c r="B730" s="163">
        <v>42296.671070613425</v>
      </c>
      <c r="C730" s="164" t="s">
        <v>1090</v>
      </c>
      <c r="D730" s="164" t="s">
        <v>13</v>
      </c>
      <c r="E730" s="165">
        <v>80</v>
      </c>
      <c r="F730" s="166">
        <v>0</v>
      </c>
      <c r="G730" s="227">
        <f>IF($B$2,IF(ROWS(B$6:$B730) = 1,$B730-Start_Date,$B730-$B729),"")</f>
        <v>3.1490787034272216E-2</v>
      </c>
      <c r="H730" s="29">
        <f>IF($B$2,IF(ROWS(B$6:$B730) = 1,IF(COUNTIFS(R_Schedule_Times,"&lt;"&amp;B730),INDEX(R_Schedule_Amounts,MATCH(B730,R_Schedule_Times,1)),Starting_Cash),IF(COUNTIFS(R_Schedule_Times,"&gt;"&amp;B729,R_Schedule_Times,"&lt;"&amp;B730),INDEX(R_Schedule_Amounts,MATCH(B730,R_Schedule_Times,1)),K729)),"")</f>
        <v>8460</v>
      </c>
      <c r="I730" s="30">
        <f t="shared" si="55"/>
        <v>80</v>
      </c>
      <c r="J730" s="31">
        <f t="shared" si="56"/>
        <v>0</v>
      </c>
      <c r="K730" s="29">
        <f t="shared" si="57"/>
        <v>8380</v>
      </c>
      <c r="L730" s="31" t="str">
        <f t="shared" si="58"/>
        <v/>
      </c>
      <c r="M730" s="31" t="str">
        <f t="shared" si="59"/>
        <v/>
      </c>
    </row>
    <row r="731" spans="1:13" x14ac:dyDescent="0.15">
      <c r="A731" s="163" t="s">
        <v>210</v>
      </c>
      <c r="B731" s="163">
        <v>42296.683695312502</v>
      </c>
      <c r="C731" s="164" t="s">
        <v>360</v>
      </c>
      <c r="D731" s="164" t="s">
        <v>13</v>
      </c>
      <c r="E731" s="165">
        <v>40</v>
      </c>
      <c r="F731" s="166">
        <v>0</v>
      </c>
      <c r="G731" s="227">
        <f>IF($B$2,IF(ROWS(B$6:$B731) = 1,$B731-Start_Date,$B731-$B730),"")</f>
        <v>1.2624699076695833E-2</v>
      </c>
      <c r="H731" s="29">
        <f>IF($B$2,IF(ROWS(B$6:$B731) = 1,IF(COUNTIFS(R_Schedule_Times,"&lt;"&amp;B731),INDEX(R_Schedule_Amounts,MATCH(B731,R_Schedule_Times,1)),Starting_Cash),IF(COUNTIFS(R_Schedule_Times,"&gt;"&amp;B730,R_Schedule_Times,"&lt;"&amp;B731),INDEX(R_Schedule_Amounts,MATCH(B731,R_Schedule_Times,1)),K730)),"")</f>
        <v>8380</v>
      </c>
      <c r="I731" s="30">
        <f t="shared" si="55"/>
        <v>40</v>
      </c>
      <c r="J731" s="31">
        <f t="shared" si="56"/>
        <v>0</v>
      </c>
      <c r="K731" s="29">
        <f t="shared" si="57"/>
        <v>8340</v>
      </c>
      <c r="L731" s="31" t="str">
        <f t="shared" si="58"/>
        <v/>
      </c>
      <c r="M731" s="31" t="str">
        <f t="shared" si="59"/>
        <v/>
      </c>
    </row>
    <row r="732" spans="1:13" x14ac:dyDescent="0.15">
      <c r="A732" s="163" t="s">
        <v>210</v>
      </c>
      <c r="B732" s="163">
        <v>42296.701332384262</v>
      </c>
      <c r="C732" s="164" t="s">
        <v>1091</v>
      </c>
      <c r="D732" s="164" t="s">
        <v>13</v>
      </c>
      <c r="E732" s="165">
        <v>60</v>
      </c>
      <c r="F732" s="166">
        <v>0</v>
      </c>
      <c r="G732" s="227">
        <f>IF($B$2,IF(ROWS(B$6:$B732) = 1,$B732-Start_Date,$B732-$B731),"")</f>
        <v>1.7637071759963874E-2</v>
      </c>
      <c r="H732" s="29">
        <f>IF($B$2,IF(ROWS(B$6:$B732) = 1,IF(COUNTIFS(R_Schedule_Times,"&lt;"&amp;B732),INDEX(R_Schedule_Amounts,MATCH(B732,R_Schedule_Times,1)),Starting_Cash),IF(COUNTIFS(R_Schedule_Times,"&gt;"&amp;B731,R_Schedule_Times,"&lt;"&amp;B732),INDEX(R_Schedule_Amounts,MATCH(B732,R_Schedule_Times,1)),K731)),"")</f>
        <v>8340</v>
      </c>
      <c r="I732" s="30">
        <f t="shared" si="55"/>
        <v>60</v>
      </c>
      <c r="J732" s="31">
        <f t="shared" si="56"/>
        <v>0</v>
      </c>
      <c r="K732" s="29">
        <f t="shared" si="57"/>
        <v>8280</v>
      </c>
      <c r="L732" s="31" t="str">
        <f t="shared" si="58"/>
        <v/>
      </c>
      <c r="M732" s="31" t="str">
        <f t="shared" si="59"/>
        <v/>
      </c>
    </row>
    <row r="733" spans="1:13" x14ac:dyDescent="0.15">
      <c r="A733" s="163" t="s">
        <v>210</v>
      </c>
      <c r="B733" s="163">
        <v>42296.702087800928</v>
      </c>
      <c r="C733" s="164" t="s">
        <v>1092</v>
      </c>
      <c r="D733" s="164" t="s">
        <v>13</v>
      </c>
      <c r="E733" s="165">
        <v>120</v>
      </c>
      <c r="F733" s="166">
        <v>0</v>
      </c>
      <c r="G733" s="227">
        <f>IF($B$2,IF(ROWS(B$6:$B733) = 1,$B733-Start_Date,$B733-$B732),"")</f>
        <v>7.5541666592471302E-4</v>
      </c>
      <c r="H733" s="29">
        <f>IF($B$2,IF(ROWS(B$6:$B733) = 1,IF(COUNTIFS(R_Schedule_Times,"&lt;"&amp;B733),INDEX(R_Schedule_Amounts,MATCH(B733,R_Schedule_Times,1)),Starting_Cash),IF(COUNTIFS(R_Schedule_Times,"&gt;"&amp;B732,R_Schedule_Times,"&lt;"&amp;B733),INDEX(R_Schedule_Amounts,MATCH(B733,R_Schedule_Times,1)),K732)),"")</f>
        <v>8280</v>
      </c>
      <c r="I733" s="30">
        <f t="shared" si="55"/>
        <v>120</v>
      </c>
      <c r="J733" s="31">
        <f t="shared" si="56"/>
        <v>0</v>
      </c>
      <c r="K733" s="29">
        <f t="shared" si="57"/>
        <v>8160</v>
      </c>
      <c r="L733" s="31" t="str">
        <f t="shared" si="58"/>
        <v/>
      </c>
      <c r="M733" s="31" t="str">
        <f t="shared" si="59"/>
        <v/>
      </c>
    </row>
    <row r="734" spans="1:13" x14ac:dyDescent="0.15">
      <c r="A734" s="163" t="s">
        <v>210</v>
      </c>
      <c r="B734" s="163">
        <v>42296.734094814812</v>
      </c>
      <c r="C734" s="164" t="s">
        <v>1093</v>
      </c>
      <c r="D734" s="164" t="s">
        <v>13</v>
      </c>
      <c r="E734" s="165">
        <v>100</v>
      </c>
      <c r="F734" s="166">
        <v>0</v>
      </c>
      <c r="G734" s="227">
        <f>IF($B$2,IF(ROWS(B$6:$B734) = 1,$B734-Start_Date,$B734-$B733),"")</f>
        <v>3.2007013884140179E-2</v>
      </c>
      <c r="H734" s="29">
        <f>IF($B$2,IF(ROWS(B$6:$B734) = 1,IF(COUNTIFS(R_Schedule_Times,"&lt;"&amp;B734),INDEX(R_Schedule_Amounts,MATCH(B734,R_Schedule_Times,1)),Starting_Cash),IF(COUNTIFS(R_Schedule_Times,"&gt;"&amp;B733,R_Schedule_Times,"&lt;"&amp;B734),INDEX(R_Schedule_Amounts,MATCH(B734,R_Schedule_Times,1)),K733)),"")</f>
        <v>8160</v>
      </c>
      <c r="I734" s="30">
        <f t="shared" si="55"/>
        <v>100</v>
      </c>
      <c r="J734" s="31">
        <f t="shared" si="56"/>
        <v>0</v>
      </c>
      <c r="K734" s="29">
        <f t="shared" si="57"/>
        <v>8060</v>
      </c>
      <c r="L734" s="31" t="str">
        <f t="shared" si="58"/>
        <v/>
      </c>
      <c r="M734" s="31" t="str">
        <f t="shared" si="59"/>
        <v/>
      </c>
    </row>
    <row r="735" spans="1:13" x14ac:dyDescent="0.15">
      <c r="A735" s="163" t="s">
        <v>210</v>
      </c>
      <c r="B735" s="163">
        <v>42296.735641388892</v>
      </c>
      <c r="C735" s="164" t="s">
        <v>1094</v>
      </c>
      <c r="D735" s="164" t="s">
        <v>13</v>
      </c>
      <c r="E735" s="165">
        <v>20</v>
      </c>
      <c r="F735" s="166">
        <v>0</v>
      </c>
      <c r="G735" s="227">
        <f>IF($B$2,IF(ROWS(B$6:$B735) = 1,$B735-Start_Date,$B735-$B734),"")</f>
        <v>1.546574079839047E-3</v>
      </c>
      <c r="H735" s="29">
        <f>IF($B$2,IF(ROWS(B$6:$B735) = 1,IF(COUNTIFS(R_Schedule_Times,"&lt;"&amp;B735),INDEX(R_Schedule_Amounts,MATCH(B735,R_Schedule_Times,1)),Starting_Cash),IF(COUNTIFS(R_Schedule_Times,"&gt;"&amp;B734,R_Schedule_Times,"&lt;"&amp;B735),INDEX(R_Schedule_Amounts,MATCH(B735,R_Schedule_Times,1)),K734)),"")</f>
        <v>8060</v>
      </c>
      <c r="I735" s="30">
        <f t="shared" si="55"/>
        <v>20</v>
      </c>
      <c r="J735" s="31">
        <f t="shared" si="56"/>
        <v>0</v>
      </c>
      <c r="K735" s="29">
        <f t="shared" si="57"/>
        <v>8040</v>
      </c>
      <c r="L735" s="31" t="str">
        <f t="shared" si="58"/>
        <v/>
      </c>
      <c r="M735" s="31" t="str">
        <f t="shared" si="59"/>
        <v/>
      </c>
    </row>
    <row r="736" spans="1:13" x14ac:dyDescent="0.15">
      <c r="A736" s="163" t="s">
        <v>210</v>
      </c>
      <c r="B736" s="163">
        <v>42296.737487546299</v>
      </c>
      <c r="C736" s="164" t="s">
        <v>616</v>
      </c>
      <c r="D736" s="164" t="s">
        <v>13</v>
      </c>
      <c r="E736" s="165">
        <v>100</v>
      </c>
      <c r="F736" s="166">
        <v>0</v>
      </c>
      <c r="G736" s="227">
        <f>IF($B$2,IF(ROWS(B$6:$B736) = 1,$B736-Start_Date,$B736-$B735),"")</f>
        <v>1.8461574072716758E-3</v>
      </c>
      <c r="H736" s="29">
        <f>IF($B$2,IF(ROWS(B$6:$B736) = 1,IF(COUNTIFS(R_Schedule_Times,"&lt;"&amp;B736),INDEX(R_Schedule_Amounts,MATCH(B736,R_Schedule_Times,1)),Starting_Cash),IF(COUNTIFS(R_Schedule_Times,"&gt;"&amp;B735,R_Schedule_Times,"&lt;"&amp;B736),INDEX(R_Schedule_Amounts,MATCH(B736,R_Schedule_Times,1)),K735)),"")</f>
        <v>8040</v>
      </c>
      <c r="I736" s="30">
        <f t="shared" si="55"/>
        <v>100</v>
      </c>
      <c r="J736" s="31">
        <f t="shared" si="56"/>
        <v>0</v>
      </c>
      <c r="K736" s="29">
        <f t="shared" si="57"/>
        <v>7940</v>
      </c>
      <c r="L736" s="31" t="str">
        <f t="shared" si="58"/>
        <v/>
      </c>
      <c r="M736" s="31" t="str">
        <f t="shared" si="59"/>
        <v/>
      </c>
    </row>
    <row r="737" spans="1:13" x14ac:dyDescent="0.15">
      <c r="A737" s="163" t="s">
        <v>210</v>
      </c>
      <c r="B737" s="163">
        <v>42296.749887268517</v>
      </c>
      <c r="C737" s="164" t="s">
        <v>361</v>
      </c>
      <c r="D737" s="164" t="s">
        <v>13</v>
      </c>
      <c r="E737" s="165">
        <v>20</v>
      </c>
      <c r="F737" s="166">
        <v>0</v>
      </c>
      <c r="G737" s="227">
        <f>IF($B$2,IF(ROWS(B$6:$B737) = 1,$B737-Start_Date,$B737-$B736),"")</f>
        <v>1.2399722218106035E-2</v>
      </c>
      <c r="H737" s="29">
        <f>IF($B$2,IF(ROWS(B$6:$B737) = 1,IF(COUNTIFS(R_Schedule_Times,"&lt;"&amp;B737),INDEX(R_Schedule_Amounts,MATCH(B737,R_Schedule_Times,1)),Starting_Cash),IF(COUNTIFS(R_Schedule_Times,"&gt;"&amp;B736,R_Schedule_Times,"&lt;"&amp;B737),INDEX(R_Schedule_Amounts,MATCH(B737,R_Schedule_Times,1)),K736)),"")</f>
        <v>7940</v>
      </c>
      <c r="I737" s="30">
        <f t="shared" si="55"/>
        <v>20</v>
      </c>
      <c r="J737" s="31">
        <f t="shared" si="56"/>
        <v>0</v>
      </c>
      <c r="K737" s="29">
        <f t="shared" si="57"/>
        <v>7920</v>
      </c>
      <c r="L737" s="31" t="str">
        <f t="shared" si="58"/>
        <v/>
      </c>
      <c r="M737" s="31" t="str">
        <f t="shared" si="59"/>
        <v/>
      </c>
    </row>
    <row r="738" spans="1:13" x14ac:dyDescent="0.15">
      <c r="A738" s="163" t="s">
        <v>210</v>
      </c>
      <c r="B738" s="163">
        <v>42296.752230081016</v>
      </c>
      <c r="C738" s="164" t="s">
        <v>14</v>
      </c>
      <c r="D738" s="164" t="s">
        <v>13</v>
      </c>
      <c r="E738" s="165">
        <v>60</v>
      </c>
      <c r="F738" s="166">
        <v>3.5</v>
      </c>
      <c r="G738" s="227">
        <f>IF($B$2,IF(ROWS(B$6:$B738) = 1,$B738-Start_Date,$B738-$B737),"")</f>
        <v>2.3428124986821786E-3</v>
      </c>
      <c r="H738" s="29">
        <f>IF($B$2,IF(ROWS(B$6:$B738) = 1,IF(COUNTIFS(R_Schedule_Times,"&lt;"&amp;B738),INDEX(R_Schedule_Amounts,MATCH(B738,R_Schedule_Times,1)),Starting_Cash),IF(COUNTIFS(R_Schedule_Times,"&gt;"&amp;B737,R_Schedule_Times,"&lt;"&amp;B738),INDEX(R_Schedule_Amounts,MATCH(B738,R_Schedule_Times,1)),K737)),"")</f>
        <v>7920</v>
      </c>
      <c r="I738" s="30">
        <f t="shared" si="55"/>
        <v>60</v>
      </c>
      <c r="J738" s="31">
        <f t="shared" si="56"/>
        <v>3.5</v>
      </c>
      <c r="K738" s="29">
        <f t="shared" si="57"/>
        <v>7860</v>
      </c>
      <c r="L738" s="31" t="str">
        <f t="shared" si="58"/>
        <v/>
      </c>
      <c r="M738" s="31" t="str">
        <f t="shared" si="59"/>
        <v/>
      </c>
    </row>
    <row r="739" spans="1:13" x14ac:dyDescent="0.15">
      <c r="A739" s="163" t="s">
        <v>210</v>
      </c>
      <c r="B739" s="163">
        <v>42296.753874444446</v>
      </c>
      <c r="C739" s="164" t="s">
        <v>1095</v>
      </c>
      <c r="D739" s="164" t="s">
        <v>13</v>
      </c>
      <c r="E739" s="165">
        <v>200</v>
      </c>
      <c r="F739" s="166">
        <v>0</v>
      </c>
      <c r="G739" s="227">
        <f>IF($B$2,IF(ROWS(B$6:$B739) = 1,$B739-Start_Date,$B739-$B738),"")</f>
        <v>1.6443634303868748E-3</v>
      </c>
      <c r="H739" s="29">
        <f>IF($B$2,IF(ROWS(B$6:$B739) = 1,IF(COUNTIFS(R_Schedule_Times,"&lt;"&amp;B739),INDEX(R_Schedule_Amounts,MATCH(B739,R_Schedule_Times,1)),Starting_Cash),IF(COUNTIFS(R_Schedule_Times,"&gt;"&amp;B738,R_Schedule_Times,"&lt;"&amp;B739),INDEX(R_Schedule_Amounts,MATCH(B739,R_Schedule_Times,1)),K738)),"")</f>
        <v>7860</v>
      </c>
      <c r="I739" s="30">
        <f t="shared" si="55"/>
        <v>200</v>
      </c>
      <c r="J739" s="31">
        <f t="shared" si="56"/>
        <v>0</v>
      </c>
      <c r="K739" s="29">
        <f t="shared" si="57"/>
        <v>7660</v>
      </c>
      <c r="L739" s="31" t="str">
        <f t="shared" si="58"/>
        <v/>
      </c>
      <c r="M739" s="31" t="str">
        <f t="shared" si="59"/>
        <v/>
      </c>
    </row>
    <row r="740" spans="1:13" x14ac:dyDescent="0.15">
      <c r="A740" s="163" t="s">
        <v>210</v>
      </c>
      <c r="B740" s="163">
        <v>42296.759766828705</v>
      </c>
      <c r="C740" s="164" t="s">
        <v>1096</v>
      </c>
      <c r="D740" s="164" t="s">
        <v>13</v>
      </c>
      <c r="E740" s="165">
        <v>40</v>
      </c>
      <c r="F740" s="166">
        <v>0</v>
      </c>
      <c r="G740" s="227">
        <f>IF($B$2,IF(ROWS(B$6:$B740) = 1,$B740-Start_Date,$B740-$B739),"")</f>
        <v>5.8923842589138076E-3</v>
      </c>
      <c r="H740" s="29">
        <f>IF($B$2,IF(ROWS(B$6:$B740) = 1,IF(COUNTIFS(R_Schedule_Times,"&lt;"&amp;B740),INDEX(R_Schedule_Amounts,MATCH(B740,R_Schedule_Times,1)),Starting_Cash),IF(COUNTIFS(R_Schedule_Times,"&gt;"&amp;B739,R_Schedule_Times,"&lt;"&amp;B740),INDEX(R_Schedule_Amounts,MATCH(B740,R_Schedule_Times,1)),K739)),"")</f>
        <v>7660</v>
      </c>
      <c r="I740" s="30">
        <f t="shared" si="55"/>
        <v>40</v>
      </c>
      <c r="J740" s="31">
        <f t="shared" si="56"/>
        <v>0</v>
      </c>
      <c r="K740" s="29">
        <f t="shared" si="57"/>
        <v>7620</v>
      </c>
      <c r="L740" s="31" t="str">
        <f t="shared" si="58"/>
        <v/>
      </c>
      <c r="M740" s="31" t="str">
        <f t="shared" si="59"/>
        <v/>
      </c>
    </row>
    <row r="741" spans="1:13" x14ac:dyDescent="0.15">
      <c r="A741" s="163" t="s">
        <v>210</v>
      </c>
      <c r="B741" s="163">
        <v>42296.764745995373</v>
      </c>
      <c r="C741" s="164" t="s">
        <v>362</v>
      </c>
      <c r="D741" s="164" t="s">
        <v>13</v>
      </c>
      <c r="E741" s="165">
        <v>20</v>
      </c>
      <c r="F741" s="166">
        <v>0</v>
      </c>
      <c r="G741" s="227">
        <f>IF($B$2,IF(ROWS(B$6:$B741) = 1,$B741-Start_Date,$B741-$B740),"")</f>
        <v>4.9791666679084301E-3</v>
      </c>
      <c r="H741" s="29">
        <f>IF($B$2,IF(ROWS(B$6:$B741) = 1,IF(COUNTIFS(R_Schedule_Times,"&lt;"&amp;B741),INDEX(R_Schedule_Amounts,MATCH(B741,R_Schedule_Times,1)),Starting_Cash),IF(COUNTIFS(R_Schedule_Times,"&gt;"&amp;B740,R_Schedule_Times,"&lt;"&amp;B741),INDEX(R_Schedule_Amounts,MATCH(B741,R_Schedule_Times,1)),K740)),"")</f>
        <v>7620</v>
      </c>
      <c r="I741" s="30">
        <f t="shared" si="55"/>
        <v>20</v>
      </c>
      <c r="J741" s="31">
        <f t="shared" si="56"/>
        <v>0</v>
      </c>
      <c r="K741" s="29">
        <f t="shared" si="57"/>
        <v>7600</v>
      </c>
      <c r="L741" s="31" t="str">
        <f t="shared" si="58"/>
        <v/>
      </c>
      <c r="M741" s="31" t="str">
        <f t="shared" si="59"/>
        <v/>
      </c>
    </row>
    <row r="742" spans="1:13" x14ac:dyDescent="0.15">
      <c r="A742" s="163" t="s">
        <v>210</v>
      </c>
      <c r="B742" s="163">
        <v>42296.787954467596</v>
      </c>
      <c r="C742" s="164" t="s">
        <v>1097</v>
      </c>
      <c r="D742" s="164" t="s">
        <v>13</v>
      </c>
      <c r="E742" s="165">
        <v>40</v>
      </c>
      <c r="F742" s="166">
        <v>0</v>
      </c>
      <c r="G742" s="227">
        <f>IF($B$2,IF(ROWS(B$6:$B742) = 1,$B742-Start_Date,$B742-$B741),"")</f>
        <v>2.3208472222904675E-2</v>
      </c>
      <c r="H742" s="29">
        <f>IF($B$2,IF(ROWS(B$6:$B742) = 1,IF(COUNTIFS(R_Schedule_Times,"&lt;"&amp;B742),INDEX(R_Schedule_Amounts,MATCH(B742,R_Schedule_Times,1)),Starting_Cash),IF(COUNTIFS(R_Schedule_Times,"&gt;"&amp;B741,R_Schedule_Times,"&lt;"&amp;B742),INDEX(R_Schedule_Amounts,MATCH(B742,R_Schedule_Times,1)),K741)),"")</f>
        <v>7600</v>
      </c>
      <c r="I742" s="30">
        <f t="shared" si="55"/>
        <v>40</v>
      </c>
      <c r="J742" s="31">
        <f t="shared" si="56"/>
        <v>0</v>
      </c>
      <c r="K742" s="29">
        <f t="shared" si="57"/>
        <v>7560</v>
      </c>
      <c r="L742" s="31" t="str">
        <f t="shared" si="58"/>
        <v/>
      </c>
      <c r="M742" s="31" t="str">
        <f t="shared" si="59"/>
        <v/>
      </c>
    </row>
    <row r="743" spans="1:13" x14ac:dyDescent="0.15">
      <c r="A743" s="163" t="s">
        <v>210</v>
      </c>
      <c r="B743" s="163">
        <v>42296.967790393515</v>
      </c>
      <c r="C743" s="164" t="s">
        <v>1098</v>
      </c>
      <c r="D743" s="164" t="s">
        <v>13</v>
      </c>
      <c r="E743" s="165">
        <v>80</v>
      </c>
      <c r="F743" s="166">
        <v>0</v>
      </c>
      <c r="G743" s="227">
        <f>IF($B$2,IF(ROWS(B$6:$B743) = 1,$B743-Start_Date,$B743-$B742),"")</f>
        <v>0.17983592591917841</v>
      </c>
      <c r="H743" s="29">
        <f>IF($B$2,IF(ROWS(B$6:$B743) = 1,IF(COUNTIFS(R_Schedule_Times,"&lt;"&amp;B743),INDEX(R_Schedule_Amounts,MATCH(B743,R_Schedule_Times,1)),Starting_Cash),IF(COUNTIFS(R_Schedule_Times,"&gt;"&amp;B742,R_Schedule_Times,"&lt;"&amp;B743),INDEX(R_Schedule_Amounts,MATCH(B743,R_Schedule_Times,1)),K742)),"")</f>
        <v>7560</v>
      </c>
      <c r="I743" s="30">
        <f t="shared" si="55"/>
        <v>80</v>
      </c>
      <c r="J743" s="31">
        <f t="shared" si="56"/>
        <v>0</v>
      </c>
      <c r="K743" s="29">
        <f t="shared" si="57"/>
        <v>7480</v>
      </c>
      <c r="L743" s="31" t="str">
        <f t="shared" si="58"/>
        <v/>
      </c>
      <c r="M743" s="31" t="str">
        <f t="shared" si="59"/>
        <v/>
      </c>
    </row>
    <row r="744" spans="1:13" x14ac:dyDescent="0.15">
      <c r="A744" s="163" t="s">
        <v>210</v>
      </c>
      <c r="B744" s="163">
        <v>42297.2122275</v>
      </c>
      <c r="C744" s="164" t="s">
        <v>14</v>
      </c>
      <c r="D744" s="164" t="s">
        <v>13</v>
      </c>
      <c r="E744" s="165">
        <v>300</v>
      </c>
      <c r="F744" s="166">
        <v>3.5</v>
      </c>
      <c r="G744" s="227">
        <f>IF($B$2,IF(ROWS(B$6:$B744) = 1,$B744-Start_Date,$B744-$B743),"")</f>
        <v>0.2444371064848383</v>
      </c>
      <c r="H744" s="29">
        <f>IF($B$2,IF(ROWS(B$6:$B744) = 1,IF(COUNTIFS(R_Schedule_Times,"&lt;"&amp;B744),INDEX(R_Schedule_Amounts,MATCH(B744,R_Schedule_Times,1)),Starting_Cash),IF(COUNTIFS(R_Schedule_Times,"&gt;"&amp;B743,R_Schedule_Times,"&lt;"&amp;B744),INDEX(R_Schedule_Amounts,MATCH(B744,R_Schedule_Times,1)),K743)),"")</f>
        <v>7480</v>
      </c>
      <c r="I744" s="30">
        <f t="shared" si="55"/>
        <v>300</v>
      </c>
      <c r="J744" s="31">
        <f t="shared" si="56"/>
        <v>3.5</v>
      </c>
      <c r="K744" s="29">
        <f t="shared" si="57"/>
        <v>7180</v>
      </c>
      <c r="L744" s="31" t="str">
        <f t="shared" si="58"/>
        <v/>
      </c>
      <c r="M744" s="31" t="str">
        <f t="shared" si="59"/>
        <v/>
      </c>
    </row>
    <row r="745" spans="1:13" x14ac:dyDescent="0.15">
      <c r="A745" s="163" t="s">
        <v>210</v>
      </c>
      <c r="B745" s="163">
        <v>42297.246519409724</v>
      </c>
      <c r="C745" s="164" t="s">
        <v>1099</v>
      </c>
      <c r="D745" s="164" t="s">
        <v>13</v>
      </c>
      <c r="E745" s="165">
        <v>40</v>
      </c>
      <c r="F745" s="166">
        <v>0</v>
      </c>
      <c r="G745" s="227">
        <f>IF($B$2,IF(ROWS(B$6:$B745) = 1,$B745-Start_Date,$B745-$B744),"")</f>
        <v>3.4291909723833669E-2</v>
      </c>
      <c r="H745" s="29">
        <f>IF($B$2,IF(ROWS(B$6:$B745) = 1,IF(COUNTIFS(R_Schedule_Times,"&lt;"&amp;B745),INDEX(R_Schedule_Amounts,MATCH(B745,R_Schedule_Times,1)),Starting_Cash),IF(COUNTIFS(R_Schedule_Times,"&gt;"&amp;B744,R_Schedule_Times,"&lt;"&amp;B745),INDEX(R_Schedule_Amounts,MATCH(B745,R_Schedule_Times,1)),K744)),"")</f>
        <v>7180</v>
      </c>
      <c r="I745" s="30">
        <f t="shared" si="55"/>
        <v>40</v>
      </c>
      <c r="J745" s="31">
        <f t="shared" si="56"/>
        <v>0</v>
      </c>
      <c r="K745" s="29">
        <f t="shared" si="57"/>
        <v>7140</v>
      </c>
      <c r="L745" s="31" t="str">
        <f t="shared" si="58"/>
        <v/>
      </c>
      <c r="M745" s="31" t="str">
        <f t="shared" si="59"/>
        <v/>
      </c>
    </row>
    <row r="746" spans="1:13" x14ac:dyDescent="0.15">
      <c r="A746" s="163" t="s">
        <v>210</v>
      </c>
      <c r="B746" s="163">
        <v>42297.29365954861</v>
      </c>
      <c r="C746" s="164" t="s">
        <v>1100</v>
      </c>
      <c r="D746" s="164" t="s">
        <v>13</v>
      </c>
      <c r="E746" s="165">
        <v>40</v>
      </c>
      <c r="F746" s="166">
        <v>0</v>
      </c>
      <c r="G746" s="227">
        <f>IF($B$2,IF(ROWS(B$6:$B746) = 1,$B746-Start_Date,$B746-$B745),"")</f>
        <v>4.7140138885879423E-2</v>
      </c>
      <c r="H746" s="29">
        <f>IF($B$2,IF(ROWS(B$6:$B746) = 1,IF(COUNTIFS(R_Schedule_Times,"&lt;"&amp;B746),INDEX(R_Schedule_Amounts,MATCH(B746,R_Schedule_Times,1)),Starting_Cash),IF(COUNTIFS(R_Schedule_Times,"&gt;"&amp;B745,R_Schedule_Times,"&lt;"&amp;B746),INDEX(R_Schedule_Amounts,MATCH(B746,R_Schedule_Times,1)),K745)),"")</f>
        <v>7140</v>
      </c>
      <c r="I746" s="30">
        <f t="shared" si="55"/>
        <v>40</v>
      </c>
      <c r="J746" s="31">
        <f t="shared" si="56"/>
        <v>0</v>
      </c>
      <c r="K746" s="29">
        <f t="shared" si="57"/>
        <v>7100</v>
      </c>
      <c r="L746" s="31" t="str">
        <f t="shared" si="58"/>
        <v/>
      </c>
      <c r="M746" s="31" t="str">
        <f t="shared" si="59"/>
        <v/>
      </c>
    </row>
    <row r="747" spans="1:13" x14ac:dyDescent="0.15">
      <c r="A747" s="163" t="s">
        <v>210</v>
      </c>
      <c r="B747" s="163">
        <v>42297.309361562497</v>
      </c>
      <c r="C747" s="164" t="s">
        <v>1101</v>
      </c>
      <c r="D747" s="164" t="s">
        <v>13</v>
      </c>
      <c r="E747" s="165">
        <v>200</v>
      </c>
      <c r="F747" s="166">
        <v>0</v>
      </c>
      <c r="G747" s="227">
        <f>IF($B$2,IF(ROWS(B$6:$B747) = 1,$B747-Start_Date,$B747-$B746),"")</f>
        <v>1.5702013886766508E-2</v>
      </c>
      <c r="H747" s="29">
        <f>IF($B$2,IF(ROWS(B$6:$B747) = 1,IF(COUNTIFS(R_Schedule_Times,"&lt;"&amp;B747),INDEX(R_Schedule_Amounts,MATCH(B747,R_Schedule_Times,1)),Starting_Cash),IF(COUNTIFS(R_Schedule_Times,"&gt;"&amp;B746,R_Schedule_Times,"&lt;"&amp;B747),INDEX(R_Schedule_Amounts,MATCH(B747,R_Schedule_Times,1)),K746)),"")</f>
        <v>7100</v>
      </c>
      <c r="I747" s="30">
        <f t="shared" si="55"/>
        <v>200</v>
      </c>
      <c r="J747" s="31">
        <f t="shared" si="56"/>
        <v>0</v>
      </c>
      <c r="K747" s="29">
        <f t="shared" si="57"/>
        <v>6900</v>
      </c>
      <c r="L747" s="31" t="str">
        <f t="shared" si="58"/>
        <v/>
      </c>
      <c r="M747" s="31" t="str">
        <f t="shared" si="59"/>
        <v/>
      </c>
    </row>
    <row r="748" spans="1:13" x14ac:dyDescent="0.15">
      <c r="A748" s="163" t="s">
        <v>210</v>
      </c>
      <c r="B748" s="163">
        <v>42297.34170946759</v>
      </c>
      <c r="C748" s="164" t="s">
        <v>1102</v>
      </c>
      <c r="D748" s="164" t="s">
        <v>13</v>
      </c>
      <c r="E748" s="165">
        <v>40</v>
      </c>
      <c r="F748" s="166">
        <v>0</v>
      </c>
      <c r="G748" s="227">
        <f>IF($B$2,IF(ROWS(B$6:$B748) = 1,$B748-Start_Date,$B748-$B747),"")</f>
        <v>3.2347905093047302E-2</v>
      </c>
      <c r="H748" s="29">
        <f>IF($B$2,IF(ROWS(B$6:$B748) = 1,IF(COUNTIFS(R_Schedule_Times,"&lt;"&amp;B748),INDEX(R_Schedule_Amounts,MATCH(B748,R_Schedule_Times,1)),Starting_Cash),IF(COUNTIFS(R_Schedule_Times,"&gt;"&amp;B747,R_Schedule_Times,"&lt;"&amp;B748),INDEX(R_Schedule_Amounts,MATCH(B748,R_Schedule_Times,1)),K747)),"")</f>
        <v>6900</v>
      </c>
      <c r="I748" s="30">
        <f t="shared" si="55"/>
        <v>40</v>
      </c>
      <c r="J748" s="31">
        <f t="shared" si="56"/>
        <v>0</v>
      </c>
      <c r="K748" s="29">
        <f t="shared" si="57"/>
        <v>6860</v>
      </c>
      <c r="L748" s="31" t="str">
        <f t="shared" si="58"/>
        <v/>
      </c>
      <c r="M748" s="31" t="str">
        <f t="shared" si="59"/>
        <v/>
      </c>
    </row>
    <row r="749" spans="1:13" x14ac:dyDescent="0.15">
      <c r="A749" s="163" t="s">
        <v>210</v>
      </c>
      <c r="B749" s="163">
        <v>42297.368236516202</v>
      </c>
      <c r="C749" s="164" t="s">
        <v>1103</v>
      </c>
      <c r="D749" s="164" t="s">
        <v>13</v>
      </c>
      <c r="E749" s="165">
        <v>60</v>
      </c>
      <c r="F749" s="166">
        <v>0</v>
      </c>
      <c r="G749" s="227">
        <f>IF($B$2,IF(ROWS(B$6:$B749) = 1,$B749-Start_Date,$B749-$B748),"")</f>
        <v>2.652704861247912E-2</v>
      </c>
      <c r="H749" s="29">
        <f>IF($B$2,IF(ROWS(B$6:$B749) = 1,IF(COUNTIFS(R_Schedule_Times,"&lt;"&amp;B749),INDEX(R_Schedule_Amounts,MATCH(B749,R_Schedule_Times,1)),Starting_Cash),IF(COUNTIFS(R_Schedule_Times,"&gt;"&amp;B748,R_Schedule_Times,"&lt;"&amp;B749),INDEX(R_Schedule_Amounts,MATCH(B749,R_Schedule_Times,1)),K748)),"")</f>
        <v>6860</v>
      </c>
      <c r="I749" s="30">
        <f t="shared" si="55"/>
        <v>60</v>
      </c>
      <c r="J749" s="31">
        <f t="shared" si="56"/>
        <v>0</v>
      </c>
      <c r="K749" s="29">
        <f t="shared" si="57"/>
        <v>6800</v>
      </c>
      <c r="L749" s="31" t="str">
        <f t="shared" si="58"/>
        <v/>
      </c>
      <c r="M749" s="31" t="str">
        <f t="shared" si="59"/>
        <v/>
      </c>
    </row>
    <row r="750" spans="1:13" x14ac:dyDescent="0.15">
      <c r="A750" s="163" t="s">
        <v>210</v>
      </c>
      <c r="B750" s="163">
        <v>42297.391704513888</v>
      </c>
      <c r="C750" s="164" t="s">
        <v>1104</v>
      </c>
      <c r="D750" s="164" t="s">
        <v>13</v>
      </c>
      <c r="E750" s="165">
        <v>40</v>
      </c>
      <c r="F750" s="166">
        <v>0</v>
      </c>
      <c r="G750" s="227">
        <f>IF($B$2,IF(ROWS(B$6:$B750) = 1,$B750-Start_Date,$B750-$B749),"")</f>
        <v>2.3467997685656883E-2</v>
      </c>
      <c r="H750" s="29">
        <f>IF($B$2,IF(ROWS(B$6:$B750) = 1,IF(COUNTIFS(R_Schedule_Times,"&lt;"&amp;B750),INDEX(R_Schedule_Amounts,MATCH(B750,R_Schedule_Times,1)),Starting_Cash),IF(COUNTIFS(R_Schedule_Times,"&gt;"&amp;B749,R_Schedule_Times,"&lt;"&amp;B750),INDEX(R_Schedule_Amounts,MATCH(B750,R_Schedule_Times,1)),K749)),"")</f>
        <v>6800</v>
      </c>
      <c r="I750" s="30">
        <f t="shared" si="55"/>
        <v>40</v>
      </c>
      <c r="J750" s="31">
        <f t="shared" si="56"/>
        <v>0</v>
      </c>
      <c r="K750" s="29">
        <f t="shared" si="57"/>
        <v>6760</v>
      </c>
      <c r="L750" s="31" t="str">
        <f t="shared" si="58"/>
        <v/>
      </c>
      <c r="M750" s="31" t="str">
        <f t="shared" si="59"/>
        <v/>
      </c>
    </row>
    <row r="751" spans="1:13" x14ac:dyDescent="0.15">
      <c r="A751" s="163" t="s">
        <v>210</v>
      </c>
      <c r="B751" s="163">
        <v>42297.458454641201</v>
      </c>
      <c r="C751" s="164" t="s">
        <v>1105</v>
      </c>
      <c r="D751" s="164" t="s">
        <v>13</v>
      </c>
      <c r="E751" s="165">
        <v>80</v>
      </c>
      <c r="F751" s="166">
        <v>0</v>
      </c>
      <c r="G751" s="227">
        <f>IF($B$2,IF(ROWS(B$6:$B751) = 1,$B751-Start_Date,$B751-$B750),"")</f>
        <v>6.6750127312843688E-2</v>
      </c>
      <c r="H751" s="29">
        <f>IF($B$2,IF(ROWS(B$6:$B751) = 1,IF(COUNTIFS(R_Schedule_Times,"&lt;"&amp;B751),INDEX(R_Schedule_Amounts,MATCH(B751,R_Schedule_Times,1)),Starting_Cash),IF(COUNTIFS(R_Schedule_Times,"&gt;"&amp;B750,R_Schedule_Times,"&lt;"&amp;B751),INDEX(R_Schedule_Amounts,MATCH(B751,R_Schedule_Times,1)),K750)),"")</f>
        <v>6760</v>
      </c>
      <c r="I751" s="30">
        <f t="shared" si="55"/>
        <v>80</v>
      </c>
      <c r="J751" s="31">
        <f t="shared" si="56"/>
        <v>0</v>
      </c>
      <c r="K751" s="29">
        <f t="shared" si="57"/>
        <v>6680</v>
      </c>
      <c r="L751" s="31" t="str">
        <f t="shared" si="58"/>
        <v/>
      </c>
      <c r="M751" s="31" t="str">
        <f t="shared" si="59"/>
        <v/>
      </c>
    </row>
    <row r="752" spans="1:13" x14ac:dyDescent="0.15">
      <c r="A752" s="163" t="s">
        <v>210</v>
      </c>
      <c r="B752" s="163">
        <v>42297.481207881945</v>
      </c>
      <c r="C752" s="164" t="s">
        <v>1106</v>
      </c>
      <c r="D752" s="164" t="s">
        <v>13</v>
      </c>
      <c r="E752" s="165">
        <v>40</v>
      </c>
      <c r="F752" s="166">
        <v>0</v>
      </c>
      <c r="G752" s="227">
        <f>IF($B$2,IF(ROWS(B$6:$B752) = 1,$B752-Start_Date,$B752-$B751),"")</f>
        <v>2.2753240744350478E-2</v>
      </c>
      <c r="H752" s="29">
        <f>IF($B$2,IF(ROWS(B$6:$B752) = 1,IF(COUNTIFS(R_Schedule_Times,"&lt;"&amp;B752),INDEX(R_Schedule_Amounts,MATCH(B752,R_Schedule_Times,1)),Starting_Cash),IF(COUNTIFS(R_Schedule_Times,"&gt;"&amp;B751,R_Schedule_Times,"&lt;"&amp;B752),INDEX(R_Schedule_Amounts,MATCH(B752,R_Schedule_Times,1)),K751)),"")</f>
        <v>6680</v>
      </c>
      <c r="I752" s="30">
        <f t="shared" si="55"/>
        <v>40</v>
      </c>
      <c r="J752" s="31">
        <f t="shared" si="56"/>
        <v>0</v>
      </c>
      <c r="K752" s="29">
        <f t="shared" si="57"/>
        <v>6640</v>
      </c>
      <c r="L752" s="31" t="str">
        <f t="shared" si="58"/>
        <v/>
      </c>
      <c r="M752" s="31" t="str">
        <f t="shared" si="59"/>
        <v/>
      </c>
    </row>
    <row r="753" spans="1:13" x14ac:dyDescent="0.15">
      <c r="A753" s="163" t="s">
        <v>210</v>
      </c>
      <c r="B753" s="163">
        <v>42297.482560138887</v>
      </c>
      <c r="C753" s="164" t="s">
        <v>1107</v>
      </c>
      <c r="D753" s="164" t="s">
        <v>13</v>
      </c>
      <c r="E753" s="165">
        <v>80</v>
      </c>
      <c r="F753" s="166">
        <v>0</v>
      </c>
      <c r="G753" s="227">
        <f>IF($B$2,IF(ROWS(B$6:$B753) = 1,$B753-Start_Date,$B753-$B752),"")</f>
        <v>1.3522569424821995E-3</v>
      </c>
      <c r="H753" s="29">
        <f>IF($B$2,IF(ROWS(B$6:$B753) = 1,IF(COUNTIFS(R_Schedule_Times,"&lt;"&amp;B753),INDEX(R_Schedule_Amounts,MATCH(B753,R_Schedule_Times,1)),Starting_Cash),IF(COUNTIFS(R_Schedule_Times,"&gt;"&amp;B752,R_Schedule_Times,"&lt;"&amp;B753),INDEX(R_Schedule_Amounts,MATCH(B753,R_Schedule_Times,1)),K752)),"")</f>
        <v>6640</v>
      </c>
      <c r="I753" s="30">
        <f t="shared" si="55"/>
        <v>80</v>
      </c>
      <c r="J753" s="31">
        <f t="shared" si="56"/>
        <v>0</v>
      </c>
      <c r="K753" s="29">
        <f t="shared" si="57"/>
        <v>6560</v>
      </c>
      <c r="L753" s="31" t="str">
        <f t="shared" si="58"/>
        <v/>
      </c>
      <c r="M753" s="31" t="str">
        <f t="shared" si="59"/>
        <v/>
      </c>
    </row>
    <row r="754" spans="1:13" x14ac:dyDescent="0.15">
      <c r="A754" s="163" t="s">
        <v>210</v>
      </c>
      <c r="B754" s="163">
        <v>42297.49997827546</v>
      </c>
      <c r="C754" s="164" t="s">
        <v>1108</v>
      </c>
      <c r="D754" s="164" t="s">
        <v>13</v>
      </c>
      <c r="E754" s="165">
        <v>100</v>
      </c>
      <c r="F754" s="166">
        <v>0</v>
      </c>
      <c r="G754" s="227">
        <f>IF($B$2,IF(ROWS(B$6:$B754) = 1,$B754-Start_Date,$B754-$B753),"")</f>
        <v>1.7418136572814547E-2</v>
      </c>
      <c r="H754" s="29">
        <f>IF($B$2,IF(ROWS(B$6:$B754) = 1,IF(COUNTIFS(R_Schedule_Times,"&lt;"&amp;B754),INDEX(R_Schedule_Amounts,MATCH(B754,R_Schedule_Times,1)),Starting_Cash),IF(COUNTIFS(R_Schedule_Times,"&gt;"&amp;B753,R_Schedule_Times,"&lt;"&amp;B754),INDEX(R_Schedule_Amounts,MATCH(B754,R_Schedule_Times,1)),K753)),"")</f>
        <v>6560</v>
      </c>
      <c r="I754" s="30">
        <f t="shared" si="55"/>
        <v>100</v>
      </c>
      <c r="J754" s="31">
        <f t="shared" si="56"/>
        <v>0</v>
      </c>
      <c r="K754" s="29">
        <f t="shared" si="57"/>
        <v>6460</v>
      </c>
      <c r="L754" s="31" t="str">
        <f t="shared" si="58"/>
        <v/>
      </c>
      <c r="M754" s="31" t="str">
        <f t="shared" si="59"/>
        <v/>
      </c>
    </row>
    <row r="755" spans="1:13" x14ac:dyDescent="0.15">
      <c r="A755" s="163" t="s">
        <v>210</v>
      </c>
      <c r="B755" s="163">
        <v>42297.50506152778</v>
      </c>
      <c r="C755" s="164" t="s">
        <v>363</v>
      </c>
      <c r="D755" s="164" t="s">
        <v>13</v>
      </c>
      <c r="E755" s="165">
        <v>20</v>
      </c>
      <c r="F755" s="166">
        <v>0</v>
      </c>
      <c r="G755" s="227">
        <f>IF($B$2,IF(ROWS(B$6:$B755) = 1,$B755-Start_Date,$B755-$B754),"")</f>
        <v>5.0832523193093948E-3</v>
      </c>
      <c r="H755" s="29">
        <f>IF($B$2,IF(ROWS(B$6:$B755) = 1,IF(COUNTIFS(R_Schedule_Times,"&lt;"&amp;B755),INDEX(R_Schedule_Amounts,MATCH(B755,R_Schedule_Times,1)),Starting_Cash),IF(COUNTIFS(R_Schedule_Times,"&gt;"&amp;B754,R_Schedule_Times,"&lt;"&amp;B755),INDEX(R_Schedule_Amounts,MATCH(B755,R_Schedule_Times,1)),K754)),"")</f>
        <v>6460</v>
      </c>
      <c r="I755" s="30">
        <f t="shared" si="55"/>
        <v>20</v>
      </c>
      <c r="J755" s="31">
        <f t="shared" si="56"/>
        <v>0</v>
      </c>
      <c r="K755" s="29">
        <f t="shared" si="57"/>
        <v>6440</v>
      </c>
      <c r="L755" s="31" t="str">
        <f t="shared" si="58"/>
        <v/>
      </c>
      <c r="M755" s="31" t="str">
        <f t="shared" si="59"/>
        <v/>
      </c>
    </row>
    <row r="756" spans="1:13" x14ac:dyDescent="0.15">
      <c r="A756" s="163" t="s">
        <v>210</v>
      </c>
      <c r="B756" s="163">
        <v>42297.522838750003</v>
      </c>
      <c r="C756" s="164" t="s">
        <v>1109</v>
      </c>
      <c r="D756" s="164" t="s">
        <v>13</v>
      </c>
      <c r="E756" s="165">
        <v>100</v>
      </c>
      <c r="F756" s="166">
        <v>0</v>
      </c>
      <c r="G756" s="227">
        <f>IF($B$2,IF(ROWS(B$6:$B756) = 1,$B756-Start_Date,$B756-$B755),"")</f>
        <v>1.7777222223230638E-2</v>
      </c>
      <c r="H756" s="29">
        <f>IF($B$2,IF(ROWS(B$6:$B756) = 1,IF(COUNTIFS(R_Schedule_Times,"&lt;"&amp;B756),INDEX(R_Schedule_Amounts,MATCH(B756,R_Schedule_Times,1)),Starting_Cash),IF(COUNTIFS(R_Schedule_Times,"&gt;"&amp;B755,R_Schedule_Times,"&lt;"&amp;B756),INDEX(R_Schedule_Amounts,MATCH(B756,R_Schedule_Times,1)),K755)),"")</f>
        <v>6440</v>
      </c>
      <c r="I756" s="30">
        <f t="shared" si="55"/>
        <v>100</v>
      </c>
      <c r="J756" s="31">
        <f t="shared" si="56"/>
        <v>0</v>
      </c>
      <c r="K756" s="29">
        <f t="shared" si="57"/>
        <v>6340</v>
      </c>
      <c r="L756" s="31" t="str">
        <f t="shared" si="58"/>
        <v/>
      </c>
      <c r="M756" s="31" t="str">
        <f t="shared" si="59"/>
        <v/>
      </c>
    </row>
    <row r="757" spans="1:13" x14ac:dyDescent="0.15">
      <c r="A757" s="163" t="s">
        <v>210</v>
      </c>
      <c r="B757" s="163">
        <v>42297.523379189814</v>
      </c>
      <c r="C757" s="164" t="s">
        <v>1110</v>
      </c>
      <c r="D757" s="164" t="s">
        <v>13</v>
      </c>
      <c r="E757" s="165">
        <v>40</v>
      </c>
      <c r="F757" s="166">
        <v>0</v>
      </c>
      <c r="G757" s="227">
        <f>IF($B$2,IF(ROWS(B$6:$B757) = 1,$B757-Start_Date,$B757-$B756),"")</f>
        <v>5.4043981072027236E-4</v>
      </c>
      <c r="H757" s="29">
        <f>IF($B$2,IF(ROWS(B$6:$B757) = 1,IF(COUNTIFS(R_Schedule_Times,"&lt;"&amp;B757),INDEX(R_Schedule_Amounts,MATCH(B757,R_Schedule_Times,1)),Starting_Cash),IF(COUNTIFS(R_Schedule_Times,"&gt;"&amp;B756,R_Schedule_Times,"&lt;"&amp;B757),INDEX(R_Schedule_Amounts,MATCH(B757,R_Schedule_Times,1)),K756)),"")</f>
        <v>6340</v>
      </c>
      <c r="I757" s="30">
        <f t="shared" si="55"/>
        <v>40</v>
      </c>
      <c r="J757" s="31">
        <f t="shared" si="56"/>
        <v>0</v>
      </c>
      <c r="K757" s="29">
        <f t="shared" si="57"/>
        <v>6300</v>
      </c>
      <c r="L757" s="31" t="str">
        <f t="shared" si="58"/>
        <v/>
      </c>
      <c r="M757" s="31" t="str">
        <f t="shared" si="59"/>
        <v/>
      </c>
    </row>
    <row r="758" spans="1:13" x14ac:dyDescent="0.15">
      <c r="A758" s="163" t="s">
        <v>210</v>
      </c>
      <c r="B758" s="163">
        <v>42297.531363252318</v>
      </c>
      <c r="C758" s="164" t="s">
        <v>1111</v>
      </c>
      <c r="D758" s="164" t="s">
        <v>13</v>
      </c>
      <c r="E758" s="165">
        <v>40</v>
      </c>
      <c r="F758" s="166">
        <v>0</v>
      </c>
      <c r="G758" s="227">
        <f>IF($B$2,IF(ROWS(B$6:$B758) = 1,$B758-Start_Date,$B758-$B757),"")</f>
        <v>7.9840625039651059E-3</v>
      </c>
      <c r="H758" s="29">
        <f>IF($B$2,IF(ROWS(B$6:$B758) = 1,IF(COUNTIFS(R_Schedule_Times,"&lt;"&amp;B758),INDEX(R_Schedule_Amounts,MATCH(B758,R_Schedule_Times,1)),Starting_Cash),IF(COUNTIFS(R_Schedule_Times,"&gt;"&amp;B757,R_Schedule_Times,"&lt;"&amp;B758),INDEX(R_Schedule_Amounts,MATCH(B758,R_Schedule_Times,1)),K757)),"")</f>
        <v>6300</v>
      </c>
      <c r="I758" s="30">
        <f t="shared" si="55"/>
        <v>40</v>
      </c>
      <c r="J758" s="31">
        <f t="shared" si="56"/>
        <v>0</v>
      </c>
      <c r="K758" s="29">
        <f t="shared" si="57"/>
        <v>6260</v>
      </c>
      <c r="L758" s="31" t="str">
        <f t="shared" si="58"/>
        <v/>
      </c>
      <c r="M758" s="31" t="str">
        <f t="shared" si="59"/>
        <v/>
      </c>
    </row>
    <row r="759" spans="1:13" x14ac:dyDescent="0.15">
      <c r="A759" s="163" t="s">
        <v>210</v>
      </c>
      <c r="B759" s="163">
        <v>42297.533722638887</v>
      </c>
      <c r="C759" s="164" t="s">
        <v>1112</v>
      </c>
      <c r="D759" s="164" t="s">
        <v>15</v>
      </c>
      <c r="E759" s="165">
        <v>60</v>
      </c>
      <c r="F759" s="166">
        <v>1.8</v>
      </c>
      <c r="G759" s="227">
        <f>IF($B$2,IF(ROWS(B$6:$B759) = 1,$B759-Start_Date,$B759-$B758),"")</f>
        <v>2.3593865698785521E-3</v>
      </c>
      <c r="H759" s="29">
        <f>IF($B$2,IF(ROWS(B$6:$B759) = 1,IF(COUNTIFS(R_Schedule_Times,"&lt;"&amp;B759),INDEX(R_Schedule_Amounts,MATCH(B759,R_Schedule_Times,1)),Starting_Cash),IF(COUNTIFS(R_Schedule_Times,"&gt;"&amp;B758,R_Schedule_Times,"&lt;"&amp;B759),INDEX(R_Schedule_Amounts,MATCH(B759,R_Schedule_Times,1)),K758)),"")</f>
        <v>6260</v>
      </c>
      <c r="I759" s="30">
        <f t="shared" si="55"/>
        <v>60</v>
      </c>
      <c r="J759" s="31">
        <f t="shared" si="56"/>
        <v>1.8</v>
      </c>
      <c r="K759" s="29">
        <f t="shared" si="57"/>
        <v>6200</v>
      </c>
      <c r="L759" s="31" t="str">
        <f t="shared" si="58"/>
        <v/>
      </c>
      <c r="M759" s="31" t="str">
        <f t="shared" si="59"/>
        <v/>
      </c>
    </row>
    <row r="760" spans="1:13" x14ac:dyDescent="0.15">
      <c r="A760" s="163" t="s">
        <v>210</v>
      </c>
      <c r="B760" s="163">
        <v>42297.535724837966</v>
      </c>
      <c r="C760" s="164" t="s">
        <v>1113</v>
      </c>
      <c r="D760" s="164" t="s">
        <v>13</v>
      </c>
      <c r="E760" s="165">
        <v>80</v>
      </c>
      <c r="F760" s="166">
        <v>0</v>
      </c>
      <c r="G760" s="227">
        <f>IF($B$2,IF(ROWS(B$6:$B760) = 1,$B760-Start_Date,$B760-$B759),"")</f>
        <v>2.0021990785608068E-3</v>
      </c>
      <c r="H760" s="29">
        <f>IF($B$2,IF(ROWS(B$6:$B760) = 1,IF(COUNTIFS(R_Schedule_Times,"&lt;"&amp;B760),INDEX(R_Schedule_Amounts,MATCH(B760,R_Schedule_Times,1)),Starting_Cash),IF(COUNTIFS(R_Schedule_Times,"&gt;"&amp;B759,R_Schedule_Times,"&lt;"&amp;B760),INDEX(R_Schedule_Amounts,MATCH(B760,R_Schedule_Times,1)),K759)),"")</f>
        <v>6200</v>
      </c>
      <c r="I760" s="30">
        <f t="shared" si="55"/>
        <v>80</v>
      </c>
      <c r="J760" s="31">
        <f t="shared" si="56"/>
        <v>0</v>
      </c>
      <c r="K760" s="29">
        <f t="shared" si="57"/>
        <v>6120</v>
      </c>
      <c r="L760" s="31" t="str">
        <f t="shared" si="58"/>
        <v/>
      </c>
      <c r="M760" s="31" t="str">
        <f t="shared" si="59"/>
        <v/>
      </c>
    </row>
    <row r="761" spans="1:13" x14ac:dyDescent="0.15">
      <c r="A761" s="163" t="s">
        <v>210</v>
      </c>
      <c r="B761" s="163">
        <v>42297.539466863425</v>
      </c>
      <c r="C761" s="164" t="s">
        <v>1114</v>
      </c>
      <c r="D761" s="164" t="s">
        <v>13</v>
      </c>
      <c r="E761" s="165">
        <v>100</v>
      </c>
      <c r="F761" s="166">
        <v>0</v>
      </c>
      <c r="G761" s="227">
        <f>IF($B$2,IF(ROWS(B$6:$B761) = 1,$B761-Start_Date,$B761-$B760),"")</f>
        <v>3.7420254593598656E-3</v>
      </c>
      <c r="H761" s="29">
        <f>IF($B$2,IF(ROWS(B$6:$B761) = 1,IF(COUNTIFS(R_Schedule_Times,"&lt;"&amp;B761),INDEX(R_Schedule_Amounts,MATCH(B761,R_Schedule_Times,1)),Starting_Cash),IF(COUNTIFS(R_Schedule_Times,"&gt;"&amp;B760,R_Schedule_Times,"&lt;"&amp;B761),INDEX(R_Schedule_Amounts,MATCH(B761,R_Schedule_Times,1)),K760)),"")</f>
        <v>6120</v>
      </c>
      <c r="I761" s="30">
        <f t="shared" si="55"/>
        <v>100</v>
      </c>
      <c r="J761" s="31">
        <f t="shared" si="56"/>
        <v>0</v>
      </c>
      <c r="K761" s="29">
        <f t="shared" si="57"/>
        <v>6020</v>
      </c>
      <c r="L761" s="31" t="str">
        <f t="shared" si="58"/>
        <v/>
      </c>
      <c r="M761" s="31" t="str">
        <f t="shared" si="59"/>
        <v/>
      </c>
    </row>
    <row r="762" spans="1:13" x14ac:dyDescent="0.15">
      <c r="A762" s="163" t="s">
        <v>210</v>
      </c>
      <c r="B762" s="163">
        <v>42297.553593553239</v>
      </c>
      <c r="C762" s="164" t="s">
        <v>1115</v>
      </c>
      <c r="D762" s="164" t="s">
        <v>13</v>
      </c>
      <c r="E762" s="165">
        <v>80</v>
      </c>
      <c r="F762" s="166">
        <v>0</v>
      </c>
      <c r="G762" s="227">
        <f>IF($B$2,IF(ROWS(B$6:$B762) = 1,$B762-Start_Date,$B762-$B761),"")</f>
        <v>1.4126689813565463E-2</v>
      </c>
      <c r="H762" s="29">
        <f>IF($B$2,IF(ROWS(B$6:$B762) = 1,IF(COUNTIFS(R_Schedule_Times,"&lt;"&amp;B762),INDEX(R_Schedule_Amounts,MATCH(B762,R_Schedule_Times,1)),Starting_Cash),IF(COUNTIFS(R_Schedule_Times,"&gt;"&amp;B761,R_Schedule_Times,"&lt;"&amp;B762),INDEX(R_Schedule_Amounts,MATCH(B762,R_Schedule_Times,1)),K761)),"")</f>
        <v>6020</v>
      </c>
      <c r="I762" s="30">
        <f t="shared" si="55"/>
        <v>80</v>
      </c>
      <c r="J762" s="31">
        <f t="shared" si="56"/>
        <v>0</v>
      </c>
      <c r="K762" s="29">
        <f t="shared" si="57"/>
        <v>5940</v>
      </c>
      <c r="L762" s="31" t="str">
        <f t="shared" si="58"/>
        <v/>
      </c>
      <c r="M762" s="31" t="str">
        <f t="shared" si="59"/>
        <v/>
      </c>
    </row>
    <row r="763" spans="1:13" x14ac:dyDescent="0.15">
      <c r="A763" s="163" t="s">
        <v>210</v>
      </c>
      <c r="B763" s="163">
        <v>42297.562964490739</v>
      </c>
      <c r="C763" s="164" t="s">
        <v>364</v>
      </c>
      <c r="D763" s="164" t="s">
        <v>13</v>
      </c>
      <c r="E763" s="165">
        <v>80</v>
      </c>
      <c r="F763" s="166">
        <v>0</v>
      </c>
      <c r="G763" s="227">
        <f>IF($B$2,IF(ROWS(B$6:$B763) = 1,$B763-Start_Date,$B763-$B762),"")</f>
        <v>9.3709374996251427E-3</v>
      </c>
      <c r="H763" s="29">
        <f>IF($B$2,IF(ROWS(B$6:$B763) = 1,IF(COUNTIFS(R_Schedule_Times,"&lt;"&amp;B763),INDEX(R_Schedule_Amounts,MATCH(B763,R_Schedule_Times,1)),Starting_Cash),IF(COUNTIFS(R_Schedule_Times,"&gt;"&amp;B762,R_Schedule_Times,"&lt;"&amp;B763),INDEX(R_Schedule_Amounts,MATCH(B763,R_Schedule_Times,1)),K762)),"")</f>
        <v>5940</v>
      </c>
      <c r="I763" s="30">
        <f t="shared" si="55"/>
        <v>80</v>
      </c>
      <c r="J763" s="31">
        <f t="shared" si="56"/>
        <v>0</v>
      </c>
      <c r="K763" s="29">
        <f t="shared" si="57"/>
        <v>5860</v>
      </c>
      <c r="L763" s="31" t="str">
        <f t="shared" si="58"/>
        <v/>
      </c>
      <c r="M763" s="31" t="str">
        <f t="shared" si="59"/>
        <v/>
      </c>
    </row>
    <row r="764" spans="1:13" x14ac:dyDescent="0.15">
      <c r="A764" s="163" t="s">
        <v>210</v>
      </c>
      <c r="B764" s="163">
        <v>42297.566067939813</v>
      </c>
      <c r="C764" s="164" t="s">
        <v>1116</v>
      </c>
      <c r="D764" s="164" t="s">
        <v>13</v>
      </c>
      <c r="E764" s="165">
        <v>500</v>
      </c>
      <c r="F764" s="166">
        <v>0</v>
      </c>
      <c r="G764" s="227">
        <f>IF($B$2,IF(ROWS(B$6:$B764) = 1,$B764-Start_Date,$B764-$B763),"")</f>
        <v>3.1034490748425014E-3</v>
      </c>
      <c r="H764" s="29">
        <f>IF($B$2,IF(ROWS(B$6:$B764) = 1,IF(COUNTIFS(R_Schedule_Times,"&lt;"&amp;B764),INDEX(R_Schedule_Amounts,MATCH(B764,R_Schedule_Times,1)),Starting_Cash),IF(COUNTIFS(R_Schedule_Times,"&gt;"&amp;B763,R_Schedule_Times,"&lt;"&amp;B764),INDEX(R_Schedule_Amounts,MATCH(B764,R_Schedule_Times,1)),K763)),"")</f>
        <v>5860</v>
      </c>
      <c r="I764" s="30">
        <f t="shared" si="55"/>
        <v>500</v>
      </c>
      <c r="J764" s="31">
        <f t="shared" si="56"/>
        <v>0</v>
      </c>
      <c r="K764" s="29">
        <f t="shared" si="57"/>
        <v>5360</v>
      </c>
      <c r="L764" s="31" t="str">
        <f t="shared" si="58"/>
        <v/>
      </c>
      <c r="M764" s="31" t="str">
        <f t="shared" si="59"/>
        <v/>
      </c>
    </row>
    <row r="765" spans="1:13" x14ac:dyDescent="0.15">
      <c r="A765" s="163" t="s">
        <v>210</v>
      </c>
      <c r="B765" s="163">
        <v>42297.583453043982</v>
      </c>
      <c r="C765" s="164" t="s">
        <v>1117</v>
      </c>
      <c r="D765" s="164" t="s">
        <v>13</v>
      </c>
      <c r="E765" s="165">
        <v>40</v>
      </c>
      <c r="F765" s="166">
        <v>0</v>
      </c>
      <c r="G765" s="227">
        <f>IF($B$2,IF(ROWS(B$6:$B765) = 1,$B765-Start_Date,$B765-$B764),"")</f>
        <v>1.7385104169079568E-2</v>
      </c>
      <c r="H765" s="29">
        <f>IF($B$2,IF(ROWS(B$6:$B765) = 1,IF(COUNTIFS(R_Schedule_Times,"&lt;"&amp;B765),INDEX(R_Schedule_Amounts,MATCH(B765,R_Schedule_Times,1)),Starting_Cash),IF(COUNTIFS(R_Schedule_Times,"&gt;"&amp;B764,R_Schedule_Times,"&lt;"&amp;B765),INDEX(R_Schedule_Amounts,MATCH(B765,R_Schedule_Times,1)),K764)),"")</f>
        <v>5360</v>
      </c>
      <c r="I765" s="30">
        <f t="shared" si="55"/>
        <v>40</v>
      </c>
      <c r="J765" s="31">
        <f t="shared" si="56"/>
        <v>0</v>
      </c>
      <c r="K765" s="29">
        <f t="shared" si="57"/>
        <v>5320</v>
      </c>
      <c r="L765" s="31" t="str">
        <f t="shared" si="58"/>
        <v/>
      </c>
      <c r="M765" s="31" t="str">
        <f t="shared" si="59"/>
        <v/>
      </c>
    </row>
    <row r="766" spans="1:13" x14ac:dyDescent="0.15">
      <c r="A766" s="163" t="s">
        <v>210</v>
      </c>
      <c r="B766" s="163">
        <v>42297.59235013889</v>
      </c>
      <c r="C766" s="164" t="s">
        <v>1118</v>
      </c>
      <c r="D766" s="164" t="s">
        <v>15</v>
      </c>
      <c r="E766" s="165">
        <v>320</v>
      </c>
      <c r="F766" s="166">
        <v>9.6</v>
      </c>
      <c r="G766" s="227">
        <f>IF($B$2,IF(ROWS(B$6:$B766) = 1,$B766-Start_Date,$B766-$B765),"")</f>
        <v>8.8970949072972871E-3</v>
      </c>
      <c r="H766" s="29">
        <f>IF($B$2,IF(ROWS(B$6:$B766) = 1,IF(COUNTIFS(R_Schedule_Times,"&lt;"&amp;B766),INDEX(R_Schedule_Amounts,MATCH(B766,R_Schedule_Times,1)),Starting_Cash),IF(COUNTIFS(R_Schedule_Times,"&gt;"&amp;B765,R_Schedule_Times,"&lt;"&amp;B766),INDEX(R_Schedule_Amounts,MATCH(B766,R_Schedule_Times,1)),K765)),"")</f>
        <v>5320</v>
      </c>
      <c r="I766" s="30">
        <f t="shared" si="55"/>
        <v>320</v>
      </c>
      <c r="J766" s="31">
        <f t="shared" si="56"/>
        <v>9.6</v>
      </c>
      <c r="K766" s="29">
        <f t="shared" si="57"/>
        <v>5000</v>
      </c>
      <c r="L766" s="31" t="str">
        <f t="shared" si="58"/>
        <v/>
      </c>
      <c r="M766" s="31" t="str">
        <f t="shared" si="59"/>
        <v/>
      </c>
    </row>
    <row r="767" spans="1:13" x14ac:dyDescent="0.15">
      <c r="A767" s="163" t="s">
        <v>210</v>
      </c>
      <c r="B767" s="163">
        <v>42297.597010995371</v>
      </c>
      <c r="C767" s="164" t="s">
        <v>1119</v>
      </c>
      <c r="D767" s="164" t="s">
        <v>13</v>
      </c>
      <c r="E767" s="165">
        <v>200</v>
      </c>
      <c r="F767" s="166">
        <v>0</v>
      </c>
      <c r="G767" s="227">
        <f>IF($B$2,IF(ROWS(B$6:$B767) = 1,$B767-Start_Date,$B767-$B766),"")</f>
        <v>4.6608564807684161E-3</v>
      </c>
      <c r="H767" s="29">
        <f>IF($B$2,IF(ROWS(B$6:$B767) = 1,IF(COUNTIFS(R_Schedule_Times,"&lt;"&amp;B767),INDEX(R_Schedule_Amounts,MATCH(B767,R_Schedule_Times,1)),Starting_Cash),IF(COUNTIFS(R_Schedule_Times,"&gt;"&amp;B766,R_Schedule_Times,"&lt;"&amp;B767),INDEX(R_Schedule_Amounts,MATCH(B767,R_Schedule_Times,1)),K766)),"")</f>
        <v>5000</v>
      </c>
      <c r="I767" s="30">
        <f t="shared" si="55"/>
        <v>200</v>
      </c>
      <c r="J767" s="31">
        <f t="shared" si="56"/>
        <v>0</v>
      </c>
      <c r="K767" s="29">
        <f t="shared" si="57"/>
        <v>4800</v>
      </c>
      <c r="L767" s="31" t="str">
        <f t="shared" si="58"/>
        <v/>
      </c>
      <c r="M767" s="31" t="str">
        <f t="shared" si="59"/>
        <v/>
      </c>
    </row>
    <row r="768" spans="1:13" x14ac:dyDescent="0.15">
      <c r="A768" s="163" t="s">
        <v>210</v>
      </c>
      <c r="B768" s="163">
        <v>42297.612752372683</v>
      </c>
      <c r="C768" s="164" t="s">
        <v>1120</v>
      </c>
      <c r="D768" s="164" t="s">
        <v>13</v>
      </c>
      <c r="E768" s="165">
        <v>40</v>
      </c>
      <c r="F768" s="166">
        <v>0</v>
      </c>
      <c r="G768" s="227">
        <f>IF($B$2,IF(ROWS(B$6:$B768) = 1,$B768-Start_Date,$B768-$B767),"")</f>
        <v>1.5741377312224358E-2</v>
      </c>
      <c r="H768" s="29">
        <f>IF($B$2,IF(ROWS(B$6:$B768) = 1,IF(COUNTIFS(R_Schedule_Times,"&lt;"&amp;B768),INDEX(R_Schedule_Amounts,MATCH(B768,R_Schedule_Times,1)),Starting_Cash),IF(COUNTIFS(R_Schedule_Times,"&gt;"&amp;B767,R_Schedule_Times,"&lt;"&amp;B768),INDEX(R_Schedule_Amounts,MATCH(B768,R_Schedule_Times,1)),K767)),"")</f>
        <v>4800</v>
      </c>
      <c r="I768" s="30">
        <f t="shared" si="55"/>
        <v>40</v>
      </c>
      <c r="J768" s="31">
        <f t="shared" si="56"/>
        <v>0</v>
      </c>
      <c r="K768" s="29">
        <f t="shared" si="57"/>
        <v>4760</v>
      </c>
      <c r="L768" s="31" t="str">
        <f t="shared" si="58"/>
        <v/>
      </c>
      <c r="M768" s="31" t="str">
        <f t="shared" si="59"/>
        <v/>
      </c>
    </row>
    <row r="769" spans="1:13" x14ac:dyDescent="0.15">
      <c r="A769" s="163" t="s">
        <v>210</v>
      </c>
      <c r="B769" s="163">
        <v>42297.631805243058</v>
      </c>
      <c r="C769" s="164" t="s">
        <v>1121</v>
      </c>
      <c r="D769" s="164" t="s">
        <v>13</v>
      </c>
      <c r="E769" s="165">
        <v>100</v>
      </c>
      <c r="F769" s="166">
        <v>0</v>
      </c>
      <c r="G769" s="227">
        <f>IF($B$2,IF(ROWS(B$6:$B769) = 1,$B769-Start_Date,$B769-$B768),"")</f>
        <v>1.9052870375162456E-2</v>
      </c>
      <c r="H769" s="29">
        <f>IF($B$2,IF(ROWS(B$6:$B769) = 1,IF(COUNTIFS(R_Schedule_Times,"&lt;"&amp;B769),INDEX(R_Schedule_Amounts,MATCH(B769,R_Schedule_Times,1)),Starting_Cash),IF(COUNTIFS(R_Schedule_Times,"&gt;"&amp;B768,R_Schedule_Times,"&lt;"&amp;B769),INDEX(R_Schedule_Amounts,MATCH(B769,R_Schedule_Times,1)),K768)),"")</f>
        <v>4760</v>
      </c>
      <c r="I769" s="30">
        <f t="shared" si="55"/>
        <v>100</v>
      </c>
      <c r="J769" s="31">
        <f t="shared" si="56"/>
        <v>0</v>
      </c>
      <c r="K769" s="29">
        <f t="shared" si="57"/>
        <v>4660</v>
      </c>
      <c r="L769" s="31" t="str">
        <f t="shared" si="58"/>
        <v/>
      </c>
      <c r="M769" s="31" t="str">
        <f t="shared" si="59"/>
        <v/>
      </c>
    </row>
    <row r="770" spans="1:13" x14ac:dyDescent="0.15">
      <c r="A770" s="163" t="s">
        <v>210</v>
      </c>
      <c r="B770" s="163">
        <v>42297.642465138888</v>
      </c>
      <c r="C770" s="164" t="s">
        <v>1122</v>
      </c>
      <c r="D770" s="164" t="s">
        <v>13</v>
      </c>
      <c r="E770" s="165">
        <v>40</v>
      </c>
      <c r="F770" s="166">
        <v>0</v>
      </c>
      <c r="G770" s="227">
        <f>IF($B$2,IF(ROWS(B$6:$B770) = 1,$B770-Start_Date,$B770-$B769),"")</f>
        <v>1.0659895830031019E-2</v>
      </c>
      <c r="H770" s="29">
        <f>IF($B$2,IF(ROWS(B$6:$B770) = 1,IF(COUNTIFS(R_Schedule_Times,"&lt;"&amp;B770),INDEX(R_Schedule_Amounts,MATCH(B770,R_Schedule_Times,1)),Starting_Cash),IF(COUNTIFS(R_Schedule_Times,"&gt;"&amp;B769,R_Schedule_Times,"&lt;"&amp;B770),INDEX(R_Schedule_Amounts,MATCH(B770,R_Schedule_Times,1)),K769)),"")</f>
        <v>4660</v>
      </c>
      <c r="I770" s="30">
        <f t="shared" si="55"/>
        <v>40</v>
      </c>
      <c r="J770" s="31">
        <f t="shared" si="56"/>
        <v>0</v>
      </c>
      <c r="K770" s="29">
        <f t="shared" si="57"/>
        <v>4620</v>
      </c>
      <c r="L770" s="31" t="str">
        <f t="shared" si="58"/>
        <v/>
      </c>
      <c r="M770" s="31" t="str">
        <f t="shared" si="59"/>
        <v/>
      </c>
    </row>
    <row r="771" spans="1:13" x14ac:dyDescent="0.15">
      <c r="A771" s="163" t="s">
        <v>210</v>
      </c>
      <c r="B771" s="163">
        <v>42297.667992222225</v>
      </c>
      <c r="C771" s="164" t="s">
        <v>365</v>
      </c>
      <c r="D771" s="164" t="s">
        <v>13</v>
      </c>
      <c r="E771" s="165">
        <v>20</v>
      </c>
      <c r="F771" s="166">
        <v>0</v>
      </c>
      <c r="G771" s="227">
        <f>IF($B$2,IF(ROWS(B$6:$B771) = 1,$B771-Start_Date,$B771-$B770),"")</f>
        <v>2.5527083336783107E-2</v>
      </c>
      <c r="H771" s="29">
        <f>IF($B$2,IF(ROWS(B$6:$B771) = 1,IF(COUNTIFS(R_Schedule_Times,"&lt;"&amp;B771),INDEX(R_Schedule_Amounts,MATCH(B771,R_Schedule_Times,1)),Starting_Cash),IF(COUNTIFS(R_Schedule_Times,"&gt;"&amp;B770,R_Schedule_Times,"&lt;"&amp;B771),INDEX(R_Schedule_Amounts,MATCH(B771,R_Schedule_Times,1)),K770)),"")</f>
        <v>4620</v>
      </c>
      <c r="I771" s="30">
        <f t="shared" si="55"/>
        <v>20</v>
      </c>
      <c r="J771" s="31">
        <f t="shared" si="56"/>
        <v>0</v>
      </c>
      <c r="K771" s="29">
        <f t="shared" si="57"/>
        <v>4600</v>
      </c>
      <c r="L771" s="31" t="str">
        <f t="shared" si="58"/>
        <v/>
      </c>
      <c r="M771" s="31" t="str">
        <f t="shared" si="59"/>
        <v/>
      </c>
    </row>
    <row r="772" spans="1:13" x14ac:dyDescent="0.15">
      <c r="A772" s="163" t="s">
        <v>210</v>
      </c>
      <c r="B772" s="163">
        <v>42297.702023391204</v>
      </c>
      <c r="C772" s="164" t="s">
        <v>1123</v>
      </c>
      <c r="D772" s="164" t="s">
        <v>13</v>
      </c>
      <c r="E772" s="165">
        <v>200</v>
      </c>
      <c r="F772" s="166">
        <v>0</v>
      </c>
      <c r="G772" s="227">
        <f>IF($B$2,IF(ROWS(B$6:$B772) = 1,$B772-Start_Date,$B772-$B771),"")</f>
        <v>3.4031168979709037E-2</v>
      </c>
      <c r="H772" s="29">
        <f>IF($B$2,IF(ROWS(B$6:$B772) = 1,IF(COUNTIFS(R_Schedule_Times,"&lt;"&amp;B772),INDEX(R_Schedule_Amounts,MATCH(B772,R_Schedule_Times,1)),Starting_Cash),IF(COUNTIFS(R_Schedule_Times,"&gt;"&amp;B771,R_Schedule_Times,"&lt;"&amp;B772),INDEX(R_Schedule_Amounts,MATCH(B772,R_Schedule_Times,1)),K771)),"")</f>
        <v>4600</v>
      </c>
      <c r="I772" s="30">
        <f t="shared" si="55"/>
        <v>200</v>
      </c>
      <c r="J772" s="31">
        <f t="shared" si="56"/>
        <v>0</v>
      </c>
      <c r="K772" s="29">
        <f t="shared" si="57"/>
        <v>4400</v>
      </c>
      <c r="L772" s="31" t="str">
        <f t="shared" si="58"/>
        <v/>
      </c>
      <c r="M772" s="31" t="str">
        <f t="shared" si="59"/>
        <v/>
      </c>
    </row>
    <row r="773" spans="1:13" x14ac:dyDescent="0.15">
      <c r="A773" s="163" t="s">
        <v>210</v>
      </c>
      <c r="B773" s="163">
        <v>42297.706070219909</v>
      </c>
      <c r="C773" s="164" t="s">
        <v>1124</v>
      </c>
      <c r="D773" s="164" t="s">
        <v>13</v>
      </c>
      <c r="E773" s="165">
        <v>20</v>
      </c>
      <c r="F773" s="166">
        <v>0</v>
      </c>
      <c r="G773" s="227">
        <f>IF($B$2,IF(ROWS(B$6:$B773) = 1,$B773-Start_Date,$B773-$B772),"")</f>
        <v>4.0468287043040618E-3</v>
      </c>
      <c r="H773" s="29">
        <f>IF($B$2,IF(ROWS(B$6:$B773) = 1,IF(COUNTIFS(R_Schedule_Times,"&lt;"&amp;B773),INDEX(R_Schedule_Amounts,MATCH(B773,R_Schedule_Times,1)),Starting_Cash),IF(COUNTIFS(R_Schedule_Times,"&gt;"&amp;B772,R_Schedule_Times,"&lt;"&amp;B773),INDEX(R_Schedule_Amounts,MATCH(B773,R_Schedule_Times,1)),K772)),"")</f>
        <v>4400</v>
      </c>
      <c r="I773" s="30">
        <f t="shared" si="55"/>
        <v>20</v>
      </c>
      <c r="J773" s="31">
        <f t="shared" si="56"/>
        <v>0</v>
      </c>
      <c r="K773" s="29">
        <f t="shared" si="57"/>
        <v>4380</v>
      </c>
      <c r="L773" s="31" t="str">
        <f t="shared" si="58"/>
        <v/>
      </c>
      <c r="M773" s="31" t="str">
        <f t="shared" si="59"/>
        <v/>
      </c>
    </row>
    <row r="774" spans="1:13" x14ac:dyDescent="0.15">
      <c r="A774" s="163" t="s">
        <v>210</v>
      </c>
      <c r="B774" s="163">
        <v>42297.71662958333</v>
      </c>
      <c r="C774" s="164" t="s">
        <v>1125</v>
      </c>
      <c r="D774" s="164" t="s">
        <v>13</v>
      </c>
      <c r="E774" s="165">
        <v>100</v>
      </c>
      <c r="F774" s="166">
        <v>0</v>
      </c>
      <c r="G774" s="227">
        <f>IF($B$2,IF(ROWS(B$6:$B774) = 1,$B774-Start_Date,$B774-$B773),"")</f>
        <v>1.0559363421634771E-2</v>
      </c>
      <c r="H774" s="29">
        <f>IF($B$2,IF(ROWS(B$6:$B774) = 1,IF(COUNTIFS(R_Schedule_Times,"&lt;"&amp;B774),INDEX(R_Schedule_Amounts,MATCH(B774,R_Schedule_Times,1)),Starting_Cash),IF(COUNTIFS(R_Schedule_Times,"&gt;"&amp;B773,R_Schedule_Times,"&lt;"&amp;B774),INDEX(R_Schedule_Amounts,MATCH(B774,R_Schedule_Times,1)),K773)),"")</f>
        <v>4380</v>
      </c>
      <c r="I774" s="30">
        <f t="shared" si="55"/>
        <v>100</v>
      </c>
      <c r="J774" s="31">
        <f t="shared" si="56"/>
        <v>0</v>
      </c>
      <c r="K774" s="29">
        <f t="shared" si="57"/>
        <v>4280</v>
      </c>
      <c r="L774" s="31" t="str">
        <f t="shared" si="58"/>
        <v/>
      </c>
      <c r="M774" s="31" t="str">
        <f t="shared" si="59"/>
        <v/>
      </c>
    </row>
    <row r="775" spans="1:13" x14ac:dyDescent="0.15">
      <c r="A775" s="163" t="s">
        <v>210</v>
      </c>
      <c r="B775" s="163">
        <v>42297.724344745373</v>
      </c>
      <c r="C775" s="164" t="s">
        <v>1126</v>
      </c>
      <c r="D775" s="164" t="s">
        <v>13</v>
      </c>
      <c r="E775" s="165">
        <v>60</v>
      </c>
      <c r="F775" s="166">
        <v>0</v>
      </c>
      <c r="G775" s="227">
        <f>IF($B$2,IF(ROWS(B$6:$B775) = 1,$B775-Start_Date,$B775-$B774),"")</f>
        <v>7.7151620425865985E-3</v>
      </c>
      <c r="H775" s="29">
        <f>IF($B$2,IF(ROWS(B$6:$B775) = 1,IF(COUNTIFS(R_Schedule_Times,"&lt;"&amp;B775),INDEX(R_Schedule_Amounts,MATCH(B775,R_Schedule_Times,1)),Starting_Cash),IF(COUNTIFS(R_Schedule_Times,"&gt;"&amp;B774,R_Schedule_Times,"&lt;"&amp;B775),INDEX(R_Schedule_Amounts,MATCH(B775,R_Schedule_Times,1)),K774)),"")</f>
        <v>4280</v>
      </c>
      <c r="I775" s="30">
        <f t="shared" ref="I775:I838" si="60">IF($B$2,IF(H775&gt;=E775,E775,0),"")</f>
        <v>60</v>
      </c>
      <c r="J775" s="31">
        <f t="shared" ref="J775:J838" si="61">IF($B$2,IF(H775&gt;=E775,F775,0),"")</f>
        <v>0</v>
      </c>
      <c r="K775" s="29">
        <f t="shared" ref="K775:K838" si="62">IF($B$2,ABS(I775-H775),"")</f>
        <v>4220</v>
      </c>
      <c r="L775" s="31" t="str">
        <f t="shared" ref="L775:L838" si="63">IF($B$2,IF(H775&lt;E775,"YES",""),"")</f>
        <v/>
      </c>
      <c r="M775" s="31" t="str">
        <f t="shared" ref="M775:M838" si="64">IF($B$2,IF(L775="YES",F775,""),"")</f>
        <v/>
      </c>
    </row>
    <row r="776" spans="1:13" x14ac:dyDescent="0.15">
      <c r="A776" s="163" t="s">
        <v>210</v>
      </c>
      <c r="B776" s="163">
        <v>42297.726447372683</v>
      </c>
      <c r="C776" s="164" t="s">
        <v>1127</v>
      </c>
      <c r="D776" s="164" t="s">
        <v>13</v>
      </c>
      <c r="E776" s="165">
        <v>100</v>
      </c>
      <c r="F776" s="166">
        <v>0</v>
      </c>
      <c r="G776" s="227">
        <f>IF($B$2,IF(ROWS(B$6:$B776) = 1,$B776-Start_Date,$B776-$B775),"")</f>
        <v>2.1026273097959347E-3</v>
      </c>
      <c r="H776" s="29">
        <f>IF($B$2,IF(ROWS(B$6:$B776) = 1,IF(COUNTIFS(R_Schedule_Times,"&lt;"&amp;B776),INDEX(R_Schedule_Amounts,MATCH(B776,R_Schedule_Times,1)),Starting_Cash),IF(COUNTIFS(R_Schedule_Times,"&gt;"&amp;B775,R_Schedule_Times,"&lt;"&amp;B776),INDEX(R_Schedule_Amounts,MATCH(B776,R_Schedule_Times,1)),K775)),"")</f>
        <v>4220</v>
      </c>
      <c r="I776" s="30">
        <f t="shared" si="60"/>
        <v>100</v>
      </c>
      <c r="J776" s="31">
        <f t="shared" si="61"/>
        <v>0</v>
      </c>
      <c r="K776" s="29">
        <f t="shared" si="62"/>
        <v>4120</v>
      </c>
      <c r="L776" s="31" t="str">
        <f t="shared" si="63"/>
        <v/>
      </c>
      <c r="M776" s="31" t="str">
        <f t="shared" si="64"/>
        <v/>
      </c>
    </row>
    <row r="777" spans="1:13" x14ac:dyDescent="0.15">
      <c r="A777" s="163" t="s">
        <v>210</v>
      </c>
      <c r="B777" s="163">
        <v>42297.728956990744</v>
      </c>
      <c r="C777" s="164" t="s">
        <v>612</v>
      </c>
      <c r="D777" s="164" t="s">
        <v>13</v>
      </c>
      <c r="E777" s="165">
        <v>100</v>
      </c>
      <c r="F777" s="166">
        <v>0</v>
      </c>
      <c r="G777" s="227">
        <f>IF($B$2,IF(ROWS(B$6:$B777) = 1,$B777-Start_Date,$B777-$B776),"")</f>
        <v>2.5096180615946651E-3</v>
      </c>
      <c r="H777" s="29">
        <f>IF($B$2,IF(ROWS(B$6:$B777) = 1,IF(COUNTIFS(R_Schedule_Times,"&lt;"&amp;B777),INDEX(R_Schedule_Amounts,MATCH(B777,R_Schedule_Times,1)),Starting_Cash),IF(COUNTIFS(R_Schedule_Times,"&gt;"&amp;B776,R_Schedule_Times,"&lt;"&amp;B777),INDEX(R_Schedule_Amounts,MATCH(B777,R_Schedule_Times,1)),K776)),"")</f>
        <v>4120</v>
      </c>
      <c r="I777" s="30">
        <f t="shared" si="60"/>
        <v>100</v>
      </c>
      <c r="J777" s="31">
        <f t="shared" si="61"/>
        <v>0</v>
      </c>
      <c r="K777" s="29">
        <f t="shared" si="62"/>
        <v>4020</v>
      </c>
      <c r="L777" s="31" t="str">
        <f t="shared" si="63"/>
        <v/>
      </c>
      <c r="M777" s="31" t="str">
        <f t="shared" si="64"/>
        <v/>
      </c>
    </row>
    <row r="778" spans="1:13" x14ac:dyDescent="0.15">
      <c r="A778" s="163" t="s">
        <v>210</v>
      </c>
      <c r="B778" s="163">
        <v>42297.731872083335</v>
      </c>
      <c r="C778" s="164" t="s">
        <v>1012</v>
      </c>
      <c r="D778" s="164" t="s">
        <v>13</v>
      </c>
      <c r="E778" s="165">
        <v>40</v>
      </c>
      <c r="F778" s="166">
        <v>0</v>
      </c>
      <c r="G778" s="227">
        <f>IF($B$2,IF(ROWS(B$6:$B778) = 1,$B778-Start_Date,$B778-$B777),"")</f>
        <v>2.9150925911380909E-3</v>
      </c>
      <c r="H778" s="29">
        <f>IF($B$2,IF(ROWS(B$6:$B778) = 1,IF(COUNTIFS(R_Schedule_Times,"&lt;"&amp;B778),INDEX(R_Schedule_Amounts,MATCH(B778,R_Schedule_Times,1)),Starting_Cash),IF(COUNTIFS(R_Schedule_Times,"&gt;"&amp;B777,R_Schedule_Times,"&lt;"&amp;B778),INDEX(R_Schedule_Amounts,MATCH(B778,R_Schedule_Times,1)),K777)),"")</f>
        <v>4020</v>
      </c>
      <c r="I778" s="30">
        <f t="shared" si="60"/>
        <v>40</v>
      </c>
      <c r="J778" s="31">
        <f t="shared" si="61"/>
        <v>0</v>
      </c>
      <c r="K778" s="29">
        <f t="shared" si="62"/>
        <v>3980</v>
      </c>
      <c r="L778" s="31" t="str">
        <f t="shared" si="63"/>
        <v/>
      </c>
      <c r="M778" s="31" t="str">
        <f t="shared" si="64"/>
        <v/>
      </c>
    </row>
    <row r="779" spans="1:13" x14ac:dyDescent="0.15">
      <c r="A779" s="163" t="s">
        <v>210</v>
      </c>
      <c r="B779" s="163">
        <v>42297.764982071756</v>
      </c>
      <c r="C779" s="164" t="s">
        <v>1128</v>
      </c>
      <c r="D779" s="164" t="s">
        <v>13</v>
      </c>
      <c r="E779" s="165">
        <v>20</v>
      </c>
      <c r="F779" s="166">
        <v>0</v>
      </c>
      <c r="G779" s="227">
        <f>IF($B$2,IF(ROWS(B$6:$B779) = 1,$B779-Start_Date,$B779-$B778),"")</f>
        <v>3.3109988420619629E-2</v>
      </c>
      <c r="H779" s="29">
        <f>IF($B$2,IF(ROWS(B$6:$B779) = 1,IF(COUNTIFS(R_Schedule_Times,"&lt;"&amp;B779),INDEX(R_Schedule_Amounts,MATCH(B779,R_Schedule_Times,1)),Starting_Cash),IF(COUNTIFS(R_Schedule_Times,"&gt;"&amp;B778,R_Schedule_Times,"&lt;"&amp;B779),INDEX(R_Schedule_Amounts,MATCH(B779,R_Schedule_Times,1)),K778)),"")</f>
        <v>3980</v>
      </c>
      <c r="I779" s="30">
        <f t="shared" si="60"/>
        <v>20</v>
      </c>
      <c r="J779" s="31">
        <f t="shared" si="61"/>
        <v>0</v>
      </c>
      <c r="K779" s="29">
        <f t="shared" si="62"/>
        <v>3960</v>
      </c>
      <c r="L779" s="31" t="str">
        <f t="shared" si="63"/>
        <v/>
      </c>
      <c r="M779" s="31" t="str">
        <f t="shared" si="64"/>
        <v/>
      </c>
    </row>
    <row r="780" spans="1:13" x14ac:dyDescent="0.15">
      <c r="A780" s="163" t="s">
        <v>210</v>
      </c>
      <c r="B780" s="163">
        <v>42297.77875060185</v>
      </c>
      <c r="C780" s="164" t="s">
        <v>366</v>
      </c>
      <c r="D780" s="164" t="s">
        <v>13</v>
      </c>
      <c r="E780" s="165">
        <v>80</v>
      </c>
      <c r="F780" s="166">
        <v>0</v>
      </c>
      <c r="G780" s="227">
        <f>IF($B$2,IF(ROWS(B$6:$B780) = 1,$B780-Start_Date,$B780-$B779),"")</f>
        <v>1.3768530094239395E-2</v>
      </c>
      <c r="H780" s="29">
        <f>IF($B$2,IF(ROWS(B$6:$B780) = 1,IF(COUNTIFS(R_Schedule_Times,"&lt;"&amp;B780),INDEX(R_Schedule_Amounts,MATCH(B780,R_Schedule_Times,1)),Starting_Cash),IF(COUNTIFS(R_Schedule_Times,"&gt;"&amp;B779,R_Schedule_Times,"&lt;"&amp;B780),INDEX(R_Schedule_Amounts,MATCH(B780,R_Schedule_Times,1)),K779)),"")</f>
        <v>3960</v>
      </c>
      <c r="I780" s="30">
        <f t="shared" si="60"/>
        <v>80</v>
      </c>
      <c r="J780" s="31">
        <f t="shared" si="61"/>
        <v>0</v>
      </c>
      <c r="K780" s="29">
        <f t="shared" si="62"/>
        <v>3880</v>
      </c>
      <c r="L780" s="31" t="str">
        <f t="shared" si="63"/>
        <v/>
      </c>
      <c r="M780" s="31" t="str">
        <f t="shared" si="64"/>
        <v/>
      </c>
    </row>
    <row r="781" spans="1:13" x14ac:dyDescent="0.15">
      <c r="A781" s="163" t="s">
        <v>210</v>
      </c>
      <c r="B781" s="163">
        <v>42297.784654560186</v>
      </c>
      <c r="C781" s="164" t="s">
        <v>1129</v>
      </c>
      <c r="D781" s="164" t="s">
        <v>13</v>
      </c>
      <c r="E781" s="165">
        <v>40</v>
      </c>
      <c r="F781" s="166">
        <v>0</v>
      </c>
      <c r="G781" s="227">
        <f>IF($B$2,IF(ROWS(B$6:$B781) = 1,$B781-Start_Date,$B781-$B780),"")</f>
        <v>5.90395833569346E-3</v>
      </c>
      <c r="H781" s="29">
        <f>IF($B$2,IF(ROWS(B$6:$B781) = 1,IF(COUNTIFS(R_Schedule_Times,"&lt;"&amp;B781),INDEX(R_Schedule_Amounts,MATCH(B781,R_Schedule_Times,1)),Starting_Cash),IF(COUNTIFS(R_Schedule_Times,"&gt;"&amp;B780,R_Schedule_Times,"&lt;"&amp;B781),INDEX(R_Schedule_Amounts,MATCH(B781,R_Schedule_Times,1)),K780)),"")</f>
        <v>3880</v>
      </c>
      <c r="I781" s="30">
        <f t="shared" si="60"/>
        <v>40</v>
      </c>
      <c r="J781" s="31">
        <f t="shared" si="61"/>
        <v>0</v>
      </c>
      <c r="K781" s="29">
        <f t="shared" si="62"/>
        <v>3840</v>
      </c>
      <c r="L781" s="31" t="str">
        <f t="shared" si="63"/>
        <v/>
      </c>
      <c r="M781" s="31" t="str">
        <f t="shared" si="64"/>
        <v/>
      </c>
    </row>
    <row r="782" spans="1:13" x14ac:dyDescent="0.15">
      <c r="A782" s="163" t="s">
        <v>210</v>
      </c>
      <c r="B782" s="163">
        <v>42297.786158229166</v>
      </c>
      <c r="C782" s="164" t="s">
        <v>1130</v>
      </c>
      <c r="D782" s="164" t="s">
        <v>13</v>
      </c>
      <c r="E782" s="165">
        <v>40</v>
      </c>
      <c r="F782" s="166">
        <v>0</v>
      </c>
      <c r="G782" s="227">
        <f>IF($B$2,IF(ROWS(B$6:$B782) = 1,$B782-Start_Date,$B782-$B781),"")</f>
        <v>1.5036689801490866E-3</v>
      </c>
      <c r="H782" s="29">
        <f>IF($B$2,IF(ROWS(B$6:$B782) = 1,IF(COUNTIFS(R_Schedule_Times,"&lt;"&amp;B782),INDEX(R_Schedule_Amounts,MATCH(B782,R_Schedule_Times,1)),Starting_Cash),IF(COUNTIFS(R_Schedule_Times,"&gt;"&amp;B781,R_Schedule_Times,"&lt;"&amp;B782),INDEX(R_Schedule_Amounts,MATCH(B782,R_Schedule_Times,1)),K781)),"")</f>
        <v>3840</v>
      </c>
      <c r="I782" s="30">
        <f t="shared" si="60"/>
        <v>40</v>
      </c>
      <c r="J782" s="31">
        <f t="shared" si="61"/>
        <v>0</v>
      </c>
      <c r="K782" s="29">
        <f t="shared" si="62"/>
        <v>3800</v>
      </c>
      <c r="L782" s="31" t="str">
        <f t="shared" si="63"/>
        <v/>
      </c>
      <c r="M782" s="31" t="str">
        <f t="shared" si="64"/>
        <v/>
      </c>
    </row>
    <row r="783" spans="1:13" x14ac:dyDescent="0.15">
      <c r="A783" s="163" t="s">
        <v>210</v>
      </c>
      <c r="B783" s="163">
        <v>42297.786854537037</v>
      </c>
      <c r="C783" s="164" t="s">
        <v>115</v>
      </c>
      <c r="D783" s="164" t="s">
        <v>13</v>
      </c>
      <c r="E783" s="165">
        <v>40</v>
      </c>
      <c r="F783" s="166">
        <v>0</v>
      </c>
      <c r="G783" s="227">
        <f>IF($B$2,IF(ROWS(B$6:$B783) = 1,$B783-Start_Date,$B783-$B782),"")</f>
        <v>6.9630787038477138E-4</v>
      </c>
      <c r="H783" s="29">
        <f>IF($B$2,IF(ROWS(B$6:$B783) = 1,IF(COUNTIFS(R_Schedule_Times,"&lt;"&amp;B783),INDEX(R_Schedule_Amounts,MATCH(B783,R_Schedule_Times,1)),Starting_Cash),IF(COUNTIFS(R_Schedule_Times,"&gt;"&amp;B782,R_Schedule_Times,"&lt;"&amp;B783),INDEX(R_Schedule_Amounts,MATCH(B783,R_Schedule_Times,1)),K782)),"")</f>
        <v>3800</v>
      </c>
      <c r="I783" s="30">
        <f t="shared" si="60"/>
        <v>40</v>
      </c>
      <c r="J783" s="31">
        <f t="shared" si="61"/>
        <v>0</v>
      </c>
      <c r="K783" s="29">
        <f t="shared" si="62"/>
        <v>3760</v>
      </c>
      <c r="L783" s="31" t="str">
        <f t="shared" si="63"/>
        <v/>
      </c>
      <c r="M783" s="31" t="str">
        <f t="shared" si="64"/>
        <v/>
      </c>
    </row>
    <row r="784" spans="1:13" x14ac:dyDescent="0.15">
      <c r="A784" s="163" t="s">
        <v>210</v>
      </c>
      <c r="B784" s="163">
        <v>42297.828705057873</v>
      </c>
      <c r="C784" s="164" t="s">
        <v>1131</v>
      </c>
      <c r="D784" s="164" t="s">
        <v>13</v>
      </c>
      <c r="E784" s="165">
        <v>20</v>
      </c>
      <c r="F784" s="166">
        <v>0</v>
      </c>
      <c r="G784" s="227">
        <f>IF($B$2,IF(ROWS(B$6:$B784) = 1,$B784-Start_Date,$B784-$B783),"")</f>
        <v>4.1850520836305805E-2</v>
      </c>
      <c r="H784" s="29">
        <f>IF($B$2,IF(ROWS(B$6:$B784) = 1,IF(COUNTIFS(R_Schedule_Times,"&lt;"&amp;B784),INDEX(R_Schedule_Amounts,MATCH(B784,R_Schedule_Times,1)),Starting_Cash),IF(COUNTIFS(R_Schedule_Times,"&gt;"&amp;B783,R_Schedule_Times,"&lt;"&amp;B784),INDEX(R_Schedule_Amounts,MATCH(B784,R_Schedule_Times,1)),K783)),"")</f>
        <v>3760</v>
      </c>
      <c r="I784" s="30">
        <f t="shared" si="60"/>
        <v>20</v>
      </c>
      <c r="J784" s="31">
        <f t="shared" si="61"/>
        <v>0</v>
      </c>
      <c r="K784" s="29">
        <f t="shared" si="62"/>
        <v>3740</v>
      </c>
      <c r="L784" s="31" t="str">
        <f t="shared" si="63"/>
        <v/>
      </c>
      <c r="M784" s="31" t="str">
        <f t="shared" si="64"/>
        <v/>
      </c>
    </row>
    <row r="785" spans="1:13" x14ac:dyDescent="0.15">
      <c r="A785" s="163" t="s">
        <v>210</v>
      </c>
      <c r="B785" s="163">
        <v>42297.87098644676</v>
      </c>
      <c r="C785" s="164" t="s">
        <v>1132</v>
      </c>
      <c r="D785" s="164" t="s">
        <v>13</v>
      </c>
      <c r="E785" s="165">
        <v>80</v>
      </c>
      <c r="F785" s="166">
        <v>0</v>
      </c>
      <c r="G785" s="227">
        <f>IF($B$2,IF(ROWS(B$6:$B785) = 1,$B785-Start_Date,$B785-$B784),"")</f>
        <v>4.228138888720423E-2</v>
      </c>
      <c r="H785" s="29">
        <f>IF($B$2,IF(ROWS(B$6:$B785) = 1,IF(COUNTIFS(R_Schedule_Times,"&lt;"&amp;B785),INDEX(R_Schedule_Amounts,MATCH(B785,R_Schedule_Times,1)),Starting_Cash),IF(COUNTIFS(R_Schedule_Times,"&gt;"&amp;B784,R_Schedule_Times,"&lt;"&amp;B785),INDEX(R_Schedule_Amounts,MATCH(B785,R_Schedule_Times,1)),K784)),"")</f>
        <v>3740</v>
      </c>
      <c r="I785" s="30">
        <f t="shared" si="60"/>
        <v>80</v>
      </c>
      <c r="J785" s="31">
        <f t="shared" si="61"/>
        <v>0</v>
      </c>
      <c r="K785" s="29">
        <f t="shared" si="62"/>
        <v>3660</v>
      </c>
      <c r="L785" s="31" t="str">
        <f t="shared" si="63"/>
        <v/>
      </c>
      <c r="M785" s="31" t="str">
        <f t="shared" si="64"/>
        <v/>
      </c>
    </row>
    <row r="786" spans="1:13" x14ac:dyDescent="0.15">
      <c r="A786" s="163" t="s">
        <v>210</v>
      </c>
      <c r="B786" s="163">
        <v>42298.210906400462</v>
      </c>
      <c r="C786" s="164" t="s">
        <v>1133</v>
      </c>
      <c r="D786" s="164" t="s">
        <v>15</v>
      </c>
      <c r="E786" s="165">
        <v>40</v>
      </c>
      <c r="F786" s="166">
        <v>1.2</v>
      </c>
      <c r="G786" s="227">
        <f>IF($B$2,IF(ROWS(B$6:$B786) = 1,$B786-Start_Date,$B786-$B785),"")</f>
        <v>0.33991995370161021</v>
      </c>
      <c r="H786" s="29">
        <f>IF($B$2,IF(ROWS(B$6:$B786) = 1,IF(COUNTIFS(R_Schedule_Times,"&lt;"&amp;B786),INDEX(R_Schedule_Amounts,MATCH(B786,R_Schedule_Times,1)),Starting_Cash),IF(COUNTIFS(R_Schedule_Times,"&gt;"&amp;B785,R_Schedule_Times,"&lt;"&amp;B786),INDEX(R_Schedule_Amounts,MATCH(B786,R_Schedule_Times,1)),K785)),"")</f>
        <v>3660</v>
      </c>
      <c r="I786" s="30">
        <f t="shared" si="60"/>
        <v>40</v>
      </c>
      <c r="J786" s="31">
        <f t="shared" si="61"/>
        <v>1.2</v>
      </c>
      <c r="K786" s="29">
        <f t="shared" si="62"/>
        <v>3620</v>
      </c>
      <c r="L786" s="31" t="str">
        <f t="shared" si="63"/>
        <v/>
      </c>
      <c r="M786" s="31" t="str">
        <f t="shared" si="64"/>
        <v/>
      </c>
    </row>
    <row r="787" spans="1:13" x14ac:dyDescent="0.15">
      <c r="A787" s="163" t="s">
        <v>210</v>
      </c>
      <c r="B787" s="163">
        <v>42298.29790542824</v>
      </c>
      <c r="C787" s="164" t="s">
        <v>1134</v>
      </c>
      <c r="D787" s="164" t="s">
        <v>13</v>
      </c>
      <c r="E787" s="165">
        <v>60</v>
      </c>
      <c r="F787" s="166">
        <v>0</v>
      </c>
      <c r="G787" s="227">
        <f>IF($B$2,IF(ROWS(B$6:$B787) = 1,$B787-Start_Date,$B787-$B786),"")</f>
        <v>8.6999027778801974E-2</v>
      </c>
      <c r="H787" s="29">
        <f>IF($B$2,IF(ROWS(B$6:$B787) = 1,IF(COUNTIFS(R_Schedule_Times,"&lt;"&amp;B787),INDEX(R_Schedule_Amounts,MATCH(B787,R_Schedule_Times,1)),Starting_Cash),IF(COUNTIFS(R_Schedule_Times,"&gt;"&amp;B786,R_Schedule_Times,"&lt;"&amp;B787),INDEX(R_Schedule_Amounts,MATCH(B787,R_Schedule_Times,1)),K786)),"")</f>
        <v>3620</v>
      </c>
      <c r="I787" s="30">
        <f t="shared" si="60"/>
        <v>60</v>
      </c>
      <c r="J787" s="31">
        <f t="shared" si="61"/>
        <v>0</v>
      </c>
      <c r="K787" s="29">
        <f t="shared" si="62"/>
        <v>3560</v>
      </c>
      <c r="L787" s="31" t="str">
        <f t="shared" si="63"/>
        <v/>
      </c>
      <c r="M787" s="31" t="str">
        <f t="shared" si="64"/>
        <v/>
      </c>
    </row>
    <row r="788" spans="1:13" x14ac:dyDescent="0.15">
      <c r="A788" s="163" t="s">
        <v>210</v>
      </c>
      <c r="B788" s="163">
        <v>42298.337183807867</v>
      </c>
      <c r="C788" s="164" t="s">
        <v>1135</v>
      </c>
      <c r="D788" s="164" t="s">
        <v>13</v>
      </c>
      <c r="E788" s="165">
        <v>120</v>
      </c>
      <c r="F788" s="166">
        <v>0</v>
      </c>
      <c r="G788" s="227">
        <f>IF($B$2,IF(ROWS(B$6:$B788) = 1,$B788-Start_Date,$B788-$B787),"")</f>
        <v>3.9278379626921378E-2</v>
      </c>
      <c r="H788" s="29">
        <f>IF($B$2,IF(ROWS(B$6:$B788) = 1,IF(COUNTIFS(R_Schedule_Times,"&lt;"&amp;B788),INDEX(R_Schedule_Amounts,MATCH(B788,R_Schedule_Times,1)),Starting_Cash),IF(COUNTIFS(R_Schedule_Times,"&gt;"&amp;B787,R_Schedule_Times,"&lt;"&amp;B788),INDEX(R_Schedule_Amounts,MATCH(B788,R_Schedule_Times,1)),K787)),"")</f>
        <v>3560</v>
      </c>
      <c r="I788" s="30">
        <f t="shared" si="60"/>
        <v>120</v>
      </c>
      <c r="J788" s="31">
        <f t="shared" si="61"/>
        <v>0</v>
      </c>
      <c r="K788" s="29">
        <f t="shared" si="62"/>
        <v>3440</v>
      </c>
      <c r="L788" s="31" t="str">
        <f t="shared" si="63"/>
        <v/>
      </c>
      <c r="M788" s="31" t="str">
        <f t="shared" si="64"/>
        <v/>
      </c>
    </row>
    <row r="789" spans="1:13" x14ac:dyDescent="0.15">
      <c r="A789" s="163" t="s">
        <v>210</v>
      </c>
      <c r="B789" s="163">
        <v>42298.379425289349</v>
      </c>
      <c r="C789" s="164" t="s">
        <v>1136</v>
      </c>
      <c r="D789" s="164" t="s">
        <v>13</v>
      </c>
      <c r="E789" s="165">
        <v>100</v>
      </c>
      <c r="F789" s="166">
        <v>0</v>
      </c>
      <c r="G789" s="227">
        <f>IF($B$2,IF(ROWS(B$6:$B789) = 1,$B789-Start_Date,$B789-$B788),"")</f>
        <v>4.2241481482051313E-2</v>
      </c>
      <c r="H789" s="29">
        <f>IF($B$2,IF(ROWS(B$6:$B789) = 1,IF(COUNTIFS(R_Schedule_Times,"&lt;"&amp;B789),INDEX(R_Schedule_Amounts,MATCH(B789,R_Schedule_Times,1)),Starting_Cash),IF(COUNTIFS(R_Schedule_Times,"&gt;"&amp;B788,R_Schedule_Times,"&lt;"&amp;B789),INDEX(R_Schedule_Amounts,MATCH(B789,R_Schedule_Times,1)),K788)),"")</f>
        <v>3440</v>
      </c>
      <c r="I789" s="30">
        <f t="shared" si="60"/>
        <v>100</v>
      </c>
      <c r="J789" s="31">
        <f t="shared" si="61"/>
        <v>0</v>
      </c>
      <c r="K789" s="29">
        <f t="shared" si="62"/>
        <v>3340</v>
      </c>
      <c r="L789" s="31" t="str">
        <f t="shared" si="63"/>
        <v/>
      </c>
      <c r="M789" s="31" t="str">
        <f t="shared" si="64"/>
        <v/>
      </c>
    </row>
    <row r="790" spans="1:13" x14ac:dyDescent="0.15">
      <c r="A790" s="163" t="s">
        <v>210</v>
      </c>
      <c r="B790" s="163">
        <v>42298.389281620373</v>
      </c>
      <c r="C790" s="164" t="s">
        <v>1137</v>
      </c>
      <c r="D790" s="164" t="s">
        <v>13</v>
      </c>
      <c r="E790" s="165">
        <v>40</v>
      </c>
      <c r="F790" s="166">
        <v>0</v>
      </c>
      <c r="G790" s="227">
        <f>IF($B$2,IF(ROWS(B$6:$B790) = 1,$B790-Start_Date,$B790-$B789),"")</f>
        <v>9.8563310239114799E-3</v>
      </c>
      <c r="H790" s="29">
        <f>IF($B$2,IF(ROWS(B$6:$B790) = 1,IF(COUNTIFS(R_Schedule_Times,"&lt;"&amp;B790),INDEX(R_Schedule_Amounts,MATCH(B790,R_Schedule_Times,1)),Starting_Cash),IF(COUNTIFS(R_Schedule_Times,"&gt;"&amp;B789,R_Schedule_Times,"&lt;"&amp;B790),INDEX(R_Schedule_Amounts,MATCH(B790,R_Schedule_Times,1)),K789)),"")</f>
        <v>3340</v>
      </c>
      <c r="I790" s="30">
        <f t="shared" si="60"/>
        <v>40</v>
      </c>
      <c r="J790" s="31">
        <f t="shared" si="61"/>
        <v>0</v>
      </c>
      <c r="K790" s="29">
        <f t="shared" si="62"/>
        <v>3300</v>
      </c>
      <c r="L790" s="31" t="str">
        <f t="shared" si="63"/>
        <v/>
      </c>
      <c r="M790" s="31" t="str">
        <f t="shared" si="64"/>
        <v/>
      </c>
    </row>
    <row r="791" spans="1:13" x14ac:dyDescent="0.15">
      <c r="A791" s="163" t="s">
        <v>210</v>
      </c>
      <c r="B791" s="163">
        <v>42298.413037858794</v>
      </c>
      <c r="C791" s="164" t="s">
        <v>1138</v>
      </c>
      <c r="D791" s="164" t="s">
        <v>13</v>
      </c>
      <c r="E791" s="165">
        <v>80</v>
      </c>
      <c r="F791" s="166">
        <v>0</v>
      </c>
      <c r="G791" s="227">
        <f>IF($B$2,IF(ROWS(B$6:$B791) = 1,$B791-Start_Date,$B791-$B790),"")</f>
        <v>2.3756238420901354E-2</v>
      </c>
      <c r="H791" s="29">
        <f>IF($B$2,IF(ROWS(B$6:$B791) = 1,IF(COUNTIFS(R_Schedule_Times,"&lt;"&amp;B791),INDEX(R_Schedule_Amounts,MATCH(B791,R_Schedule_Times,1)),Starting_Cash),IF(COUNTIFS(R_Schedule_Times,"&gt;"&amp;B790,R_Schedule_Times,"&lt;"&amp;B791),INDEX(R_Schedule_Amounts,MATCH(B791,R_Schedule_Times,1)),K790)),"")</f>
        <v>3300</v>
      </c>
      <c r="I791" s="30">
        <f t="shared" si="60"/>
        <v>80</v>
      </c>
      <c r="J791" s="31">
        <f t="shared" si="61"/>
        <v>0</v>
      </c>
      <c r="K791" s="29">
        <f t="shared" si="62"/>
        <v>3220</v>
      </c>
      <c r="L791" s="31" t="str">
        <f t="shared" si="63"/>
        <v/>
      </c>
      <c r="M791" s="31" t="str">
        <f t="shared" si="64"/>
        <v/>
      </c>
    </row>
    <row r="792" spans="1:13" x14ac:dyDescent="0.15">
      <c r="A792" s="163" t="s">
        <v>210</v>
      </c>
      <c r="B792" s="163">
        <v>42298.433537384262</v>
      </c>
      <c r="C792" s="164" t="s">
        <v>367</v>
      </c>
      <c r="D792" s="164" t="s">
        <v>13</v>
      </c>
      <c r="E792" s="165">
        <v>100</v>
      </c>
      <c r="F792" s="166">
        <v>0</v>
      </c>
      <c r="G792" s="227">
        <f>IF($B$2,IF(ROWS(B$6:$B792) = 1,$B792-Start_Date,$B792-$B791),"")</f>
        <v>2.0499525468039792E-2</v>
      </c>
      <c r="H792" s="29">
        <f>IF($B$2,IF(ROWS(B$6:$B792) = 1,IF(COUNTIFS(R_Schedule_Times,"&lt;"&amp;B792),INDEX(R_Schedule_Amounts,MATCH(B792,R_Schedule_Times,1)),Starting_Cash),IF(COUNTIFS(R_Schedule_Times,"&gt;"&amp;B791,R_Schedule_Times,"&lt;"&amp;B792),INDEX(R_Schedule_Amounts,MATCH(B792,R_Schedule_Times,1)),K791)),"")</f>
        <v>3220</v>
      </c>
      <c r="I792" s="30">
        <f t="shared" si="60"/>
        <v>100</v>
      </c>
      <c r="J792" s="31">
        <f t="shared" si="61"/>
        <v>0</v>
      </c>
      <c r="K792" s="29">
        <f t="shared" si="62"/>
        <v>3120</v>
      </c>
      <c r="L792" s="31" t="str">
        <f t="shared" si="63"/>
        <v/>
      </c>
      <c r="M792" s="31" t="str">
        <f t="shared" si="64"/>
        <v/>
      </c>
    </row>
    <row r="793" spans="1:13" x14ac:dyDescent="0.15">
      <c r="A793" s="163" t="s">
        <v>210</v>
      </c>
      <c r="B793" s="163">
        <v>42298.447209351849</v>
      </c>
      <c r="C793" s="164" t="s">
        <v>1139</v>
      </c>
      <c r="D793" s="164" t="s">
        <v>13</v>
      </c>
      <c r="E793" s="165">
        <v>40</v>
      </c>
      <c r="F793" s="166">
        <v>0</v>
      </c>
      <c r="G793" s="227">
        <f>IF($B$2,IF(ROWS(B$6:$B793) = 1,$B793-Start_Date,$B793-$B792),"")</f>
        <v>1.367196758656064E-2</v>
      </c>
      <c r="H793" s="29">
        <f>IF($B$2,IF(ROWS(B$6:$B793) = 1,IF(COUNTIFS(R_Schedule_Times,"&lt;"&amp;B793),INDEX(R_Schedule_Amounts,MATCH(B793,R_Schedule_Times,1)),Starting_Cash),IF(COUNTIFS(R_Schedule_Times,"&gt;"&amp;B792,R_Schedule_Times,"&lt;"&amp;B793),INDEX(R_Schedule_Amounts,MATCH(B793,R_Schedule_Times,1)),K792)),"")</f>
        <v>3120</v>
      </c>
      <c r="I793" s="30">
        <f t="shared" si="60"/>
        <v>40</v>
      </c>
      <c r="J793" s="31">
        <f t="shared" si="61"/>
        <v>0</v>
      </c>
      <c r="K793" s="29">
        <f t="shared" si="62"/>
        <v>3080</v>
      </c>
      <c r="L793" s="31" t="str">
        <f t="shared" si="63"/>
        <v/>
      </c>
      <c r="M793" s="31" t="str">
        <f t="shared" si="64"/>
        <v/>
      </c>
    </row>
    <row r="794" spans="1:13" x14ac:dyDescent="0.15">
      <c r="A794" s="163" t="s">
        <v>210</v>
      </c>
      <c r="B794" s="163">
        <v>42298.46703359954</v>
      </c>
      <c r="C794" s="164" t="s">
        <v>1140</v>
      </c>
      <c r="D794" s="164" t="s">
        <v>13</v>
      </c>
      <c r="E794" s="165">
        <v>40</v>
      </c>
      <c r="F794" s="166">
        <v>0</v>
      </c>
      <c r="G794" s="227">
        <f>IF($B$2,IF(ROWS(B$6:$B794) = 1,$B794-Start_Date,$B794-$B793),"")</f>
        <v>1.9824247690849006E-2</v>
      </c>
      <c r="H794" s="29">
        <f>IF($B$2,IF(ROWS(B$6:$B794) = 1,IF(COUNTIFS(R_Schedule_Times,"&lt;"&amp;B794),INDEX(R_Schedule_Amounts,MATCH(B794,R_Schedule_Times,1)),Starting_Cash),IF(COUNTIFS(R_Schedule_Times,"&gt;"&amp;B793,R_Schedule_Times,"&lt;"&amp;B794),INDEX(R_Schedule_Amounts,MATCH(B794,R_Schedule_Times,1)),K793)),"")</f>
        <v>3080</v>
      </c>
      <c r="I794" s="30">
        <f t="shared" si="60"/>
        <v>40</v>
      </c>
      <c r="J794" s="31">
        <f t="shared" si="61"/>
        <v>0</v>
      </c>
      <c r="K794" s="29">
        <f t="shared" si="62"/>
        <v>3040</v>
      </c>
      <c r="L794" s="31" t="str">
        <f t="shared" si="63"/>
        <v/>
      </c>
      <c r="M794" s="31" t="str">
        <f t="shared" si="64"/>
        <v/>
      </c>
    </row>
    <row r="795" spans="1:13" x14ac:dyDescent="0.15">
      <c r="A795" s="163" t="s">
        <v>210</v>
      </c>
      <c r="B795" s="163">
        <v>42298.473035115741</v>
      </c>
      <c r="C795" s="164" t="s">
        <v>1141</v>
      </c>
      <c r="D795" s="164" t="s">
        <v>13</v>
      </c>
      <c r="E795" s="165">
        <v>80</v>
      </c>
      <c r="F795" s="166">
        <v>0</v>
      </c>
      <c r="G795" s="227">
        <f>IF($B$2,IF(ROWS(B$6:$B795) = 1,$B795-Start_Date,$B795-$B794),"")</f>
        <v>6.0015162016497925E-3</v>
      </c>
      <c r="H795" s="29">
        <f>IF($B$2,IF(ROWS(B$6:$B795) = 1,IF(COUNTIFS(R_Schedule_Times,"&lt;"&amp;B795),INDEX(R_Schedule_Amounts,MATCH(B795,R_Schedule_Times,1)),Starting_Cash),IF(COUNTIFS(R_Schedule_Times,"&gt;"&amp;B794,R_Schedule_Times,"&lt;"&amp;B795),INDEX(R_Schedule_Amounts,MATCH(B795,R_Schedule_Times,1)),K794)),"")</f>
        <v>3040</v>
      </c>
      <c r="I795" s="30">
        <f t="shared" si="60"/>
        <v>80</v>
      </c>
      <c r="J795" s="31">
        <f t="shared" si="61"/>
        <v>0</v>
      </c>
      <c r="K795" s="29">
        <f t="shared" si="62"/>
        <v>2960</v>
      </c>
      <c r="L795" s="31" t="str">
        <f t="shared" si="63"/>
        <v/>
      </c>
      <c r="M795" s="31" t="str">
        <f t="shared" si="64"/>
        <v/>
      </c>
    </row>
    <row r="796" spans="1:13" x14ac:dyDescent="0.15">
      <c r="A796" s="163" t="s">
        <v>210</v>
      </c>
      <c r="B796" s="163">
        <v>42298.492381122684</v>
      </c>
      <c r="C796" s="164" t="s">
        <v>14</v>
      </c>
      <c r="D796" s="164" t="s">
        <v>13</v>
      </c>
      <c r="E796" s="165">
        <v>100</v>
      </c>
      <c r="F796" s="166">
        <v>3.5</v>
      </c>
      <c r="G796" s="227">
        <f>IF($B$2,IF(ROWS(B$6:$B796) = 1,$B796-Start_Date,$B796-$B795),"")</f>
        <v>1.9346006942214444E-2</v>
      </c>
      <c r="H796" s="29">
        <f>IF($B$2,IF(ROWS(B$6:$B796) = 1,IF(COUNTIFS(R_Schedule_Times,"&lt;"&amp;B796),INDEX(R_Schedule_Amounts,MATCH(B796,R_Schedule_Times,1)),Starting_Cash),IF(COUNTIFS(R_Schedule_Times,"&gt;"&amp;B795,R_Schedule_Times,"&lt;"&amp;B796),INDEX(R_Schedule_Amounts,MATCH(B796,R_Schedule_Times,1)),K795)),"")</f>
        <v>2960</v>
      </c>
      <c r="I796" s="30">
        <f t="shared" si="60"/>
        <v>100</v>
      </c>
      <c r="J796" s="31">
        <f t="shared" si="61"/>
        <v>3.5</v>
      </c>
      <c r="K796" s="29">
        <f t="shared" si="62"/>
        <v>2860</v>
      </c>
      <c r="L796" s="31" t="str">
        <f t="shared" si="63"/>
        <v/>
      </c>
      <c r="M796" s="31" t="str">
        <f t="shared" si="64"/>
        <v/>
      </c>
    </row>
    <row r="797" spans="1:13" x14ac:dyDescent="0.15">
      <c r="A797" s="163" t="s">
        <v>210</v>
      </c>
      <c r="B797" s="163">
        <v>42298.499074375002</v>
      </c>
      <c r="C797" s="164" t="s">
        <v>1142</v>
      </c>
      <c r="D797" s="164" t="s">
        <v>13</v>
      </c>
      <c r="E797" s="165">
        <v>100</v>
      </c>
      <c r="F797" s="166">
        <v>0</v>
      </c>
      <c r="G797" s="227">
        <f>IF($B$2,IF(ROWS(B$6:$B797) = 1,$B797-Start_Date,$B797-$B796),"")</f>
        <v>6.6932523186551407E-3</v>
      </c>
      <c r="H797" s="29">
        <f>IF($B$2,IF(ROWS(B$6:$B797) = 1,IF(COUNTIFS(R_Schedule_Times,"&lt;"&amp;B797),INDEX(R_Schedule_Amounts,MATCH(B797,R_Schedule_Times,1)),Starting_Cash),IF(COUNTIFS(R_Schedule_Times,"&gt;"&amp;B796,R_Schedule_Times,"&lt;"&amp;B797),INDEX(R_Schedule_Amounts,MATCH(B797,R_Schedule_Times,1)),K796)),"")</f>
        <v>2860</v>
      </c>
      <c r="I797" s="30">
        <f t="shared" si="60"/>
        <v>100</v>
      </c>
      <c r="J797" s="31">
        <f t="shared" si="61"/>
        <v>0</v>
      </c>
      <c r="K797" s="29">
        <f t="shared" si="62"/>
        <v>2760</v>
      </c>
      <c r="L797" s="31" t="str">
        <f t="shared" si="63"/>
        <v/>
      </c>
      <c r="M797" s="31" t="str">
        <f t="shared" si="64"/>
        <v/>
      </c>
    </row>
    <row r="798" spans="1:13" x14ac:dyDescent="0.15">
      <c r="A798" s="163" t="s">
        <v>210</v>
      </c>
      <c r="B798" s="163">
        <v>42298.501608402781</v>
      </c>
      <c r="C798" s="164" t="s">
        <v>1143</v>
      </c>
      <c r="D798" s="164" t="s">
        <v>13</v>
      </c>
      <c r="E798" s="165">
        <v>60</v>
      </c>
      <c r="F798" s="166">
        <v>0</v>
      </c>
      <c r="G798" s="227">
        <f>IF($B$2,IF(ROWS(B$6:$B798) = 1,$B798-Start_Date,$B798-$B797),"")</f>
        <v>2.5340277788927779E-3</v>
      </c>
      <c r="H798" s="29">
        <f>IF($B$2,IF(ROWS(B$6:$B798) = 1,IF(COUNTIFS(R_Schedule_Times,"&lt;"&amp;B798),INDEX(R_Schedule_Amounts,MATCH(B798,R_Schedule_Times,1)),Starting_Cash),IF(COUNTIFS(R_Schedule_Times,"&gt;"&amp;B797,R_Schedule_Times,"&lt;"&amp;B798),INDEX(R_Schedule_Amounts,MATCH(B798,R_Schedule_Times,1)),K797)),"")</f>
        <v>2760</v>
      </c>
      <c r="I798" s="30">
        <f t="shared" si="60"/>
        <v>60</v>
      </c>
      <c r="J798" s="31">
        <f t="shared" si="61"/>
        <v>0</v>
      </c>
      <c r="K798" s="29">
        <f t="shared" si="62"/>
        <v>2700</v>
      </c>
      <c r="L798" s="31" t="str">
        <f t="shared" si="63"/>
        <v/>
      </c>
      <c r="M798" s="31" t="str">
        <f t="shared" si="64"/>
        <v/>
      </c>
    </row>
    <row r="799" spans="1:13" x14ac:dyDescent="0.15">
      <c r="A799" s="163" t="s">
        <v>210</v>
      </c>
      <c r="B799" s="163">
        <v>42298.522743981484</v>
      </c>
      <c r="C799" s="164" t="s">
        <v>14</v>
      </c>
      <c r="D799" s="164" t="s">
        <v>13</v>
      </c>
      <c r="E799" s="165">
        <v>100</v>
      </c>
      <c r="F799" s="166">
        <v>3.5</v>
      </c>
      <c r="G799" s="227">
        <f>IF($B$2,IF(ROWS(B$6:$B799) = 1,$B799-Start_Date,$B799-$B798),"")</f>
        <v>2.1135578703251667E-2</v>
      </c>
      <c r="H799" s="29">
        <f>IF($B$2,IF(ROWS(B$6:$B799) = 1,IF(COUNTIFS(R_Schedule_Times,"&lt;"&amp;B799),INDEX(R_Schedule_Amounts,MATCH(B799,R_Schedule_Times,1)),Starting_Cash),IF(COUNTIFS(R_Schedule_Times,"&gt;"&amp;B798,R_Schedule_Times,"&lt;"&amp;B799),INDEX(R_Schedule_Amounts,MATCH(B799,R_Schedule_Times,1)),K798)),"")</f>
        <v>2700</v>
      </c>
      <c r="I799" s="30">
        <f t="shared" si="60"/>
        <v>100</v>
      </c>
      <c r="J799" s="31">
        <f t="shared" si="61"/>
        <v>3.5</v>
      </c>
      <c r="K799" s="29">
        <f t="shared" si="62"/>
        <v>2600</v>
      </c>
      <c r="L799" s="31" t="str">
        <f t="shared" si="63"/>
        <v/>
      </c>
      <c r="M799" s="31" t="str">
        <f t="shared" si="64"/>
        <v/>
      </c>
    </row>
    <row r="800" spans="1:13" x14ac:dyDescent="0.15">
      <c r="A800" s="163" t="s">
        <v>210</v>
      </c>
      <c r="B800" s="163">
        <v>42298.523324293979</v>
      </c>
      <c r="C800" s="164" t="s">
        <v>1144</v>
      </c>
      <c r="D800" s="164" t="s">
        <v>13</v>
      </c>
      <c r="E800" s="165">
        <v>500</v>
      </c>
      <c r="F800" s="166">
        <v>0</v>
      </c>
      <c r="G800" s="227">
        <f>IF($B$2,IF(ROWS(B$6:$B800) = 1,$B800-Start_Date,$B800-$B799),"")</f>
        <v>5.8031249500345439E-4</v>
      </c>
      <c r="H800" s="29">
        <f>IF($B$2,IF(ROWS(B$6:$B800) = 1,IF(COUNTIFS(R_Schedule_Times,"&lt;"&amp;B800),INDEX(R_Schedule_Amounts,MATCH(B800,R_Schedule_Times,1)),Starting_Cash),IF(COUNTIFS(R_Schedule_Times,"&gt;"&amp;B799,R_Schedule_Times,"&lt;"&amp;B800),INDEX(R_Schedule_Amounts,MATCH(B800,R_Schedule_Times,1)),K799)),"")</f>
        <v>2600</v>
      </c>
      <c r="I800" s="30">
        <f t="shared" si="60"/>
        <v>500</v>
      </c>
      <c r="J800" s="31">
        <f t="shared" si="61"/>
        <v>0</v>
      </c>
      <c r="K800" s="29">
        <f t="shared" si="62"/>
        <v>2100</v>
      </c>
      <c r="L800" s="31" t="str">
        <f t="shared" si="63"/>
        <v/>
      </c>
      <c r="M800" s="31" t="str">
        <f t="shared" si="64"/>
        <v/>
      </c>
    </row>
    <row r="801" spans="1:13" x14ac:dyDescent="0.15">
      <c r="A801" s="163" t="s">
        <v>210</v>
      </c>
      <c r="B801" s="163">
        <v>42298.524027754633</v>
      </c>
      <c r="C801" s="164" t="s">
        <v>577</v>
      </c>
      <c r="D801" s="164" t="s">
        <v>13</v>
      </c>
      <c r="E801" s="165">
        <v>40</v>
      </c>
      <c r="F801" s="166">
        <v>0</v>
      </c>
      <c r="G801" s="227">
        <f>IF($B$2,IF(ROWS(B$6:$B801) = 1,$B801-Start_Date,$B801-$B800),"")</f>
        <v>7.0346065331250429E-4</v>
      </c>
      <c r="H801" s="29">
        <f>IF($B$2,IF(ROWS(B$6:$B801) = 1,IF(COUNTIFS(R_Schedule_Times,"&lt;"&amp;B801),INDEX(R_Schedule_Amounts,MATCH(B801,R_Schedule_Times,1)),Starting_Cash),IF(COUNTIFS(R_Schedule_Times,"&gt;"&amp;B800,R_Schedule_Times,"&lt;"&amp;B801),INDEX(R_Schedule_Amounts,MATCH(B801,R_Schedule_Times,1)),K800)),"")</f>
        <v>2100</v>
      </c>
      <c r="I801" s="30">
        <f t="shared" si="60"/>
        <v>40</v>
      </c>
      <c r="J801" s="31">
        <f t="shared" si="61"/>
        <v>0</v>
      </c>
      <c r="K801" s="29">
        <f t="shared" si="62"/>
        <v>2060</v>
      </c>
      <c r="L801" s="31" t="str">
        <f t="shared" si="63"/>
        <v/>
      </c>
      <c r="M801" s="31" t="str">
        <f t="shared" si="64"/>
        <v/>
      </c>
    </row>
    <row r="802" spans="1:13" x14ac:dyDescent="0.15">
      <c r="A802" s="163" t="s">
        <v>210</v>
      </c>
      <c r="B802" s="163">
        <v>42298.530774247687</v>
      </c>
      <c r="C802" s="164" t="s">
        <v>1145</v>
      </c>
      <c r="D802" s="164" t="s">
        <v>13</v>
      </c>
      <c r="E802" s="165">
        <v>40</v>
      </c>
      <c r="F802" s="166">
        <v>0</v>
      </c>
      <c r="G802" s="227">
        <f>IF($B$2,IF(ROWS(B$6:$B802) = 1,$B802-Start_Date,$B802-$B801),"")</f>
        <v>6.7464930543792434E-3</v>
      </c>
      <c r="H802" s="29">
        <f>IF($B$2,IF(ROWS(B$6:$B802) = 1,IF(COUNTIFS(R_Schedule_Times,"&lt;"&amp;B802),INDEX(R_Schedule_Amounts,MATCH(B802,R_Schedule_Times,1)),Starting_Cash),IF(COUNTIFS(R_Schedule_Times,"&gt;"&amp;B801,R_Schedule_Times,"&lt;"&amp;B802),INDEX(R_Schedule_Amounts,MATCH(B802,R_Schedule_Times,1)),K801)),"")</f>
        <v>2060</v>
      </c>
      <c r="I802" s="30">
        <f t="shared" si="60"/>
        <v>40</v>
      </c>
      <c r="J802" s="31">
        <f t="shared" si="61"/>
        <v>0</v>
      </c>
      <c r="K802" s="29">
        <f t="shared" si="62"/>
        <v>2020</v>
      </c>
      <c r="L802" s="31" t="str">
        <f t="shared" si="63"/>
        <v/>
      </c>
      <c r="M802" s="31" t="str">
        <f t="shared" si="64"/>
        <v/>
      </c>
    </row>
    <row r="803" spans="1:13" x14ac:dyDescent="0.15">
      <c r="A803" s="163" t="s">
        <v>210</v>
      </c>
      <c r="B803" s="163">
        <v>42298.545607465276</v>
      </c>
      <c r="C803" s="164" t="s">
        <v>14</v>
      </c>
      <c r="D803" s="164" t="s">
        <v>13</v>
      </c>
      <c r="E803" s="165">
        <v>100</v>
      </c>
      <c r="F803" s="166">
        <v>3.5</v>
      </c>
      <c r="G803" s="227">
        <f>IF($B$2,IF(ROWS(B$6:$B803) = 1,$B803-Start_Date,$B803-$B802),"")</f>
        <v>1.4833217588602565E-2</v>
      </c>
      <c r="H803" s="29">
        <f>IF($B$2,IF(ROWS(B$6:$B803) = 1,IF(COUNTIFS(R_Schedule_Times,"&lt;"&amp;B803),INDEX(R_Schedule_Amounts,MATCH(B803,R_Schedule_Times,1)),Starting_Cash),IF(COUNTIFS(R_Schedule_Times,"&gt;"&amp;B802,R_Schedule_Times,"&lt;"&amp;B803),INDEX(R_Schedule_Amounts,MATCH(B803,R_Schedule_Times,1)),K802)),"")</f>
        <v>2020</v>
      </c>
      <c r="I803" s="30">
        <f t="shared" si="60"/>
        <v>100</v>
      </c>
      <c r="J803" s="31">
        <f t="shared" si="61"/>
        <v>3.5</v>
      </c>
      <c r="K803" s="29">
        <f t="shared" si="62"/>
        <v>1920</v>
      </c>
      <c r="L803" s="31" t="str">
        <f t="shared" si="63"/>
        <v/>
      </c>
      <c r="M803" s="31" t="str">
        <f t="shared" si="64"/>
        <v/>
      </c>
    </row>
    <row r="804" spans="1:13" x14ac:dyDescent="0.15">
      <c r="A804" s="163" t="s">
        <v>210</v>
      </c>
      <c r="B804" s="163">
        <v>42298.553193437503</v>
      </c>
      <c r="C804" s="164" t="s">
        <v>1146</v>
      </c>
      <c r="D804" s="164" t="s">
        <v>13</v>
      </c>
      <c r="E804" s="165">
        <v>40</v>
      </c>
      <c r="F804" s="166">
        <v>0</v>
      </c>
      <c r="G804" s="227">
        <f>IF($B$2,IF(ROWS(B$6:$B804) = 1,$B804-Start_Date,$B804-$B803),"")</f>
        <v>7.5859722273889929E-3</v>
      </c>
      <c r="H804" s="29">
        <f>IF($B$2,IF(ROWS(B$6:$B804) = 1,IF(COUNTIFS(R_Schedule_Times,"&lt;"&amp;B804),INDEX(R_Schedule_Amounts,MATCH(B804,R_Schedule_Times,1)),Starting_Cash),IF(COUNTIFS(R_Schedule_Times,"&gt;"&amp;B803,R_Schedule_Times,"&lt;"&amp;B804),INDEX(R_Schedule_Amounts,MATCH(B804,R_Schedule_Times,1)),K803)),"")</f>
        <v>1920</v>
      </c>
      <c r="I804" s="30">
        <f t="shared" si="60"/>
        <v>40</v>
      </c>
      <c r="J804" s="31">
        <f t="shared" si="61"/>
        <v>0</v>
      </c>
      <c r="K804" s="29">
        <f t="shared" si="62"/>
        <v>1880</v>
      </c>
      <c r="L804" s="31" t="str">
        <f t="shared" si="63"/>
        <v/>
      </c>
      <c r="M804" s="31" t="str">
        <f t="shared" si="64"/>
        <v/>
      </c>
    </row>
    <row r="805" spans="1:13" x14ac:dyDescent="0.15">
      <c r="A805" s="163" t="s">
        <v>210</v>
      </c>
      <c r="B805" s="163">
        <v>42298.57628681713</v>
      </c>
      <c r="C805" s="164" t="s">
        <v>1147</v>
      </c>
      <c r="D805" s="164" t="s">
        <v>13</v>
      </c>
      <c r="E805" s="165">
        <v>200</v>
      </c>
      <c r="F805" s="166">
        <v>0</v>
      </c>
      <c r="G805" s="227">
        <f>IF($B$2,IF(ROWS(B$6:$B805) = 1,$B805-Start_Date,$B805-$B804),"")</f>
        <v>2.3093379626516253E-2</v>
      </c>
      <c r="H805" s="29">
        <f>IF($B$2,IF(ROWS(B$6:$B805) = 1,IF(COUNTIFS(R_Schedule_Times,"&lt;"&amp;B805),INDEX(R_Schedule_Amounts,MATCH(B805,R_Schedule_Times,1)),Starting_Cash),IF(COUNTIFS(R_Schedule_Times,"&gt;"&amp;B804,R_Schedule_Times,"&lt;"&amp;B805),INDEX(R_Schedule_Amounts,MATCH(B805,R_Schedule_Times,1)),K804)),"")</f>
        <v>1880</v>
      </c>
      <c r="I805" s="30">
        <f t="shared" si="60"/>
        <v>200</v>
      </c>
      <c r="J805" s="31">
        <f t="shared" si="61"/>
        <v>0</v>
      </c>
      <c r="K805" s="29">
        <f t="shared" si="62"/>
        <v>1680</v>
      </c>
      <c r="L805" s="31" t="str">
        <f t="shared" si="63"/>
        <v/>
      </c>
      <c r="M805" s="31" t="str">
        <f t="shared" si="64"/>
        <v/>
      </c>
    </row>
    <row r="806" spans="1:13" x14ac:dyDescent="0.15">
      <c r="A806" s="163" t="s">
        <v>210</v>
      </c>
      <c r="B806" s="163">
        <v>42298.63235983796</v>
      </c>
      <c r="C806" s="164" t="s">
        <v>1148</v>
      </c>
      <c r="D806" s="164" t="s">
        <v>13</v>
      </c>
      <c r="E806" s="165">
        <v>20</v>
      </c>
      <c r="F806" s="166">
        <v>0</v>
      </c>
      <c r="G806" s="227">
        <f>IF($B$2,IF(ROWS(B$6:$B806) = 1,$B806-Start_Date,$B806-$B805),"")</f>
        <v>5.6073020830808673E-2</v>
      </c>
      <c r="H806" s="29">
        <f>IF($B$2,IF(ROWS(B$6:$B806) = 1,IF(COUNTIFS(R_Schedule_Times,"&lt;"&amp;B806),INDEX(R_Schedule_Amounts,MATCH(B806,R_Schedule_Times,1)),Starting_Cash),IF(COUNTIFS(R_Schedule_Times,"&gt;"&amp;B805,R_Schedule_Times,"&lt;"&amp;B806),INDEX(R_Schedule_Amounts,MATCH(B806,R_Schedule_Times,1)),K805)),"")</f>
        <v>1680</v>
      </c>
      <c r="I806" s="30">
        <f t="shared" si="60"/>
        <v>20</v>
      </c>
      <c r="J806" s="31">
        <f t="shared" si="61"/>
        <v>0</v>
      </c>
      <c r="K806" s="29">
        <f t="shared" si="62"/>
        <v>1660</v>
      </c>
      <c r="L806" s="31" t="str">
        <f t="shared" si="63"/>
        <v/>
      </c>
      <c r="M806" s="31" t="str">
        <f t="shared" si="64"/>
        <v/>
      </c>
    </row>
    <row r="807" spans="1:13" x14ac:dyDescent="0.15">
      <c r="A807" s="163" t="s">
        <v>210</v>
      </c>
      <c r="B807" s="163">
        <v>42298.635007673613</v>
      </c>
      <c r="C807" s="164" t="s">
        <v>1149</v>
      </c>
      <c r="D807" s="164" t="s">
        <v>13</v>
      </c>
      <c r="E807" s="165">
        <v>80</v>
      </c>
      <c r="F807" s="166">
        <v>0</v>
      </c>
      <c r="G807" s="227">
        <f>IF($B$2,IF(ROWS(B$6:$B807) = 1,$B807-Start_Date,$B807-$B806),"")</f>
        <v>2.6478356521693058E-3</v>
      </c>
      <c r="H807" s="29">
        <f>IF($B$2,IF(ROWS(B$6:$B807) = 1,IF(COUNTIFS(R_Schedule_Times,"&lt;"&amp;B807),INDEX(R_Schedule_Amounts,MATCH(B807,R_Schedule_Times,1)),Starting_Cash),IF(COUNTIFS(R_Schedule_Times,"&gt;"&amp;B806,R_Schedule_Times,"&lt;"&amp;B807),INDEX(R_Schedule_Amounts,MATCH(B807,R_Schedule_Times,1)),K806)),"")</f>
        <v>1660</v>
      </c>
      <c r="I807" s="30">
        <f t="shared" si="60"/>
        <v>80</v>
      </c>
      <c r="J807" s="31">
        <f t="shared" si="61"/>
        <v>0</v>
      </c>
      <c r="K807" s="29">
        <f t="shared" si="62"/>
        <v>1580</v>
      </c>
      <c r="L807" s="31" t="str">
        <f t="shared" si="63"/>
        <v/>
      </c>
      <c r="M807" s="31" t="str">
        <f t="shared" si="64"/>
        <v/>
      </c>
    </row>
    <row r="808" spans="1:13" x14ac:dyDescent="0.15">
      <c r="A808" s="163" t="s">
        <v>210</v>
      </c>
      <c r="B808" s="163">
        <v>42298.656329050929</v>
      </c>
      <c r="C808" s="164" t="s">
        <v>1150</v>
      </c>
      <c r="D808" s="164" t="s">
        <v>13</v>
      </c>
      <c r="E808" s="165">
        <v>140</v>
      </c>
      <c r="F808" s="166">
        <v>0</v>
      </c>
      <c r="G808" s="227">
        <f>IF($B$2,IF(ROWS(B$6:$B808) = 1,$B808-Start_Date,$B808-$B807),"")</f>
        <v>2.1321377316780854E-2</v>
      </c>
      <c r="H808" s="29">
        <f>IF($B$2,IF(ROWS(B$6:$B808) = 1,IF(COUNTIFS(R_Schedule_Times,"&lt;"&amp;B808),INDEX(R_Schedule_Amounts,MATCH(B808,R_Schedule_Times,1)),Starting_Cash),IF(COUNTIFS(R_Schedule_Times,"&gt;"&amp;B807,R_Schedule_Times,"&lt;"&amp;B808),INDEX(R_Schedule_Amounts,MATCH(B808,R_Schedule_Times,1)),K807)),"")</f>
        <v>1580</v>
      </c>
      <c r="I808" s="30">
        <f t="shared" si="60"/>
        <v>140</v>
      </c>
      <c r="J808" s="31">
        <f t="shared" si="61"/>
        <v>0</v>
      </c>
      <c r="K808" s="29">
        <f t="shared" si="62"/>
        <v>1440</v>
      </c>
      <c r="L808" s="31" t="str">
        <f t="shared" si="63"/>
        <v/>
      </c>
      <c r="M808" s="31" t="str">
        <f t="shared" si="64"/>
        <v/>
      </c>
    </row>
    <row r="809" spans="1:13" x14ac:dyDescent="0.15">
      <c r="A809" s="163" t="s">
        <v>210</v>
      </c>
      <c r="B809" s="163">
        <v>42298.656832789355</v>
      </c>
      <c r="C809" s="164" t="s">
        <v>1151</v>
      </c>
      <c r="D809" s="164" t="s">
        <v>13</v>
      </c>
      <c r="E809" s="165">
        <v>200</v>
      </c>
      <c r="F809" s="166">
        <v>0</v>
      </c>
      <c r="G809" s="227">
        <f>IF($B$2,IF(ROWS(B$6:$B809) = 1,$B809-Start_Date,$B809-$B808),"")</f>
        <v>5.0373842532280833E-4</v>
      </c>
      <c r="H809" s="29">
        <f>IF($B$2,IF(ROWS(B$6:$B809) = 1,IF(COUNTIFS(R_Schedule_Times,"&lt;"&amp;B809),INDEX(R_Schedule_Amounts,MATCH(B809,R_Schedule_Times,1)),Starting_Cash),IF(COUNTIFS(R_Schedule_Times,"&gt;"&amp;B808,R_Schedule_Times,"&lt;"&amp;B809),INDEX(R_Schedule_Amounts,MATCH(B809,R_Schedule_Times,1)),K808)),"")</f>
        <v>1440</v>
      </c>
      <c r="I809" s="30">
        <f t="shared" si="60"/>
        <v>200</v>
      </c>
      <c r="J809" s="31">
        <f t="shared" si="61"/>
        <v>0</v>
      </c>
      <c r="K809" s="29">
        <f t="shared" si="62"/>
        <v>1240</v>
      </c>
      <c r="L809" s="31" t="str">
        <f t="shared" si="63"/>
        <v/>
      </c>
      <c r="M809" s="31" t="str">
        <f t="shared" si="64"/>
        <v/>
      </c>
    </row>
    <row r="810" spans="1:13" x14ac:dyDescent="0.15">
      <c r="A810" s="163" t="s">
        <v>210</v>
      </c>
      <c r="B810" s="163">
        <v>42298.681287731481</v>
      </c>
      <c r="C810" s="164" t="s">
        <v>644</v>
      </c>
      <c r="D810" s="164" t="s">
        <v>13</v>
      </c>
      <c r="E810" s="165">
        <v>60</v>
      </c>
      <c r="F810" s="166">
        <v>0</v>
      </c>
      <c r="G810" s="227">
        <f>IF($B$2,IF(ROWS(B$6:$B810) = 1,$B810-Start_Date,$B810-$B809),"")</f>
        <v>2.4454942125885282E-2</v>
      </c>
      <c r="H810" s="29">
        <f>IF($B$2,IF(ROWS(B$6:$B810) = 1,IF(COUNTIFS(R_Schedule_Times,"&lt;"&amp;B810),INDEX(R_Schedule_Amounts,MATCH(B810,R_Schedule_Times,1)),Starting_Cash),IF(COUNTIFS(R_Schedule_Times,"&gt;"&amp;B809,R_Schedule_Times,"&lt;"&amp;B810),INDEX(R_Schedule_Amounts,MATCH(B810,R_Schedule_Times,1)),K809)),"")</f>
        <v>1240</v>
      </c>
      <c r="I810" s="30">
        <f t="shared" si="60"/>
        <v>60</v>
      </c>
      <c r="J810" s="31">
        <f t="shared" si="61"/>
        <v>0</v>
      </c>
      <c r="K810" s="29">
        <f t="shared" si="62"/>
        <v>1180</v>
      </c>
      <c r="L810" s="31" t="str">
        <f t="shared" si="63"/>
        <v/>
      </c>
      <c r="M810" s="31" t="str">
        <f t="shared" si="64"/>
        <v/>
      </c>
    </row>
    <row r="811" spans="1:13" x14ac:dyDescent="0.15">
      <c r="A811" s="163" t="s">
        <v>210</v>
      </c>
      <c r="B811" s="163">
        <v>42298.682275370367</v>
      </c>
      <c r="C811" s="164" t="s">
        <v>1152</v>
      </c>
      <c r="D811" s="164" t="s">
        <v>13</v>
      </c>
      <c r="E811" s="165">
        <v>80</v>
      </c>
      <c r="F811" s="166">
        <v>0</v>
      </c>
      <c r="G811" s="227">
        <f>IF($B$2,IF(ROWS(B$6:$B811) = 1,$B811-Start_Date,$B811-$B810),"")</f>
        <v>9.8763888672692701E-4</v>
      </c>
      <c r="H811" s="29">
        <f>IF($B$2,IF(ROWS(B$6:$B811) = 1,IF(COUNTIFS(R_Schedule_Times,"&lt;"&amp;B811),INDEX(R_Schedule_Amounts,MATCH(B811,R_Schedule_Times,1)),Starting_Cash),IF(COUNTIFS(R_Schedule_Times,"&gt;"&amp;B810,R_Schedule_Times,"&lt;"&amp;B811),INDEX(R_Schedule_Amounts,MATCH(B811,R_Schedule_Times,1)),K810)),"")</f>
        <v>1180</v>
      </c>
      <c r="I811" s="30">
        <f t="shared" si="60"/>
        <v>80</v>
      </c>
      <c r="J811" s="31">
        <f t="shared" si="61"/>
        <v>0</v>
      </c>
      <c r="K811" s="29">
        <f t="shared" si="62"/>
        <v>1100</v>
      </c>
      <c r="L811" s="31" t="str">
        <f t="shared" si="63"/>
        <v/>
      </c>
      <c r="M811" s="31" t="str">
        <f t="shared" si="64"/>
        <v/>
      </c>
    </row>
    <row r="812" spans="1:13" x14ac:dyDescent="0.15">
      <c r="A812" s="163" t="s">
        <v>210</v>
      </c>
      <c r="B812" s="163">
        <v>42298.703321400462</v>
      </c>
      <c r="C812" s="164" t="s">
        <v>368</v>
      </c>
      <c r="D812" s="164" t="s">
        <v>13</v>
      </c>
      <c r="E812" s="165">
        <v>40</v>
      </c>
      <c r="F812" s="166">
        <v>0</v>
      </c>
      <c r="G812" s="227">
        <f>IF($B$2,IF(ROWS(B$6:$B812) = 1,$B812-Start_Date,$B812-$B811),"")</f>
        <v>2.1046030095021706E-2</v>
      </c>
      <c r="H812" s="29">
        <f>IF($B$2,IF(ROWS(B$6:$B812) = 1,IF(COUNTIFS(R_Schedule_Times,"&lt;"&amp;B812),INDEX(R_Schedule_Amounts,MATCH(B812,R_Schedule_Times,1)),Starting_Cash),IF(COUNTIFS(R_Schedule_Times,"&gt;"&amp;B811,R_Schedule_Times,"&lt;"&amp;B812),INDEX(R_Schedule_Amounts,MATCH(B812,R_Schedule_Times,1)),K811)),"")</f>
        <v>1100</v>
      </c>
      <c r="I812" s="30">
        <f t="shared" si="60"/>
        <v>40</v>
      </c>
      <c r="J812" s="31">
        <f t="shared" si="61"/>
        <v>0</v>
      </c>
      <c r="K812" s="29">
        <f t="shared" si="62"/>
        <v>1060</v>
      </c>
      <c r="L812" s="31" t="str">
        <f t="shared" si="63"/>
        <v/>
      </c>
      <c r="M812" s="31" t="str">
        <f t="shared" si="64"/>
        <v/>
      </c>
    </row>
    <row r="813" spans="1:13" x14ac:dyDescent="0.15">
      <c r="A813" s="163" t="s">
        <v>210</v>
      </c>
      <c r="B813" s="163">
        <v>42298.71449810185</v>
      </c>
      <c r="C813" s="164" t="s">
        <v>14</v>
      </c>
      <c r="D813" s="164" t="s">
        <v>13</v>
      </c>
      <c r="E813" s="165">
        <v>100</v>
      </c>
      <c r="F813" s="166">
        <v>3.5</v>
      </c>
      <c r="G813" s="227">
        <f>IF($B$2,IF(ROWS(B$6:$B813) = 1,$B813-Start_Date,$B813-$B812),"")</f>
        <v>1.117670138773974E-2</v>
      </c>
      <c r="H813" s="29">
        <f>IF($B$2,IF(ROWS(B$6:$B813) = 1,IF(COUNTIFS(R_Schedule_Times,"&lt;"&amp;B813),INDEX(R_Schedule_Amounts,MATCH(B813,R_Schedule_Times,1)),Starting_Cash),IF(COUNTIFS(R_Schedule_Times,"&gt;"&amp;B812,R_Schedule_Times,"&lt;"&amp;B813),INDEX(R_Schedule_Amounts,MATCH(B813,R_Schedule_Times,1)),K812)),"")</f>
        <v>20000</v>
      </c>
      <c r="I813" s="30">
        <f t="shared" si="60"/>
        <v>100</v>
      </c>
      <c r="J813" s="31">
        <f t="shared" si="61"/>
        <v>3.5</v>
      </c>
      <c r="K813" s="29">
        <f t="shared" si="62"/>
        <v>19900</v>
      </c>
      <c r="L813" s="31" t="str">
        <f t="shared" si="63"/>
        <v/>
      </c>
      <c r="M813" s="31" t="str">
        <f t="shared" si="64"/>
        <v/>
      </c>
    </row>
    <row r="814" spans="1:13" x14ac:dyDescent="0.15">
      <c r="A814" s="163" t="s">
        <v>210</v>
      </c>
      <c r="B814" s="163">
        <v>42298.726733414354</v>
      </c>
      <c r="C814" s="164" t="s">
        <v>1153</v>
      </c>
      <c r="D814" s="164" t="s">
        <v>13</v>
      </c>
      <c r="E814" s="165">
        <v>60</v>
      </c>
      <c r="F814" s="166">
        <v>0</v>
      </c>
      <c r="G814" s="227">
        <f>IF($B$2,IF(ROWS(B$6:$B814) = 1,$B814-Start_Date,$B814-$B813),"")</f>
        <v>1.223531250434462E-2</v>
      </c>
      <c r="H814" s="29">
        <f>IF($B$2,IF(ROWS(B$6:$B814) = 1,IF(COUNTIFS(R_Schedule_Times,"&lt;"&amp;B814),INDEX(R_Schedule_Amounts,MATCH(B814,R_Schedule_Times,1)),Starting_Cash),IF(COUNTIFS(R_Schedule_Times,"&gt;"&amp;B813,R_Schedule_Times,"&lt;"&amp;B814),INDEX(R_Schedule_Amounts,MATCH(B814,R_Schedule_Times,1)),K813)),"")</f>
        <v>19900</v>
      </c>
      <c r="I814" s="30">
        <f t="shared" si="60"/>
        <v>60</v>
      </c>
      <c r="J814" s="31">
        <f t="shared" si="61"/>
        <v>0</v>
      </c>
      <c r="K814" s="29">
        <f t="shared" si="62"/>
        <v>19840</v>
      </c>
      <c r="L814" s="31" t="str">
        <f t="shared" si="63"/>
        <v/>
      </c>
      <c r="M814" s="31" t="str">
        <f t="shared" si="64"/>
        <v/>
      </c>
    </row>
    <row r="815" spans="1:13" x14ac:dyDescent="0.15">
      <c r="A815" s="163" t="s">
        <v>210</v>
      </c>
      <c r="B815" s="163">
        <v>42298.756163958336</v>
      </c>
      <c r="C815" s="164" t="s">
        <v>1154</v>
      </c>
      <c r="D815" s="164" t="s">
        <v>13</v>
      </c>
      <c r="E815" s="165">
        <v>40</v>
      </c>
      <c r="F815" s="166">
        <v>0</v>
      </c>
      <c r="G815" s="227">
        <f>IF($B$2,IF(ROWS(B$6:$B815) = 1,$B815-Start_Date,$B815-$B814),"")</f>
        <v>2.9430543982016388E-2</v>
      </c>
      <c r="H815" s="29">
        <f>IF($B$2,IF(ROWS(B$6:$B815) = 1,IF(COUNTIFS(R_Schedule_Times,"&lt;"&amp;B815),INDEX(R_Schedule_Amounts,MATCH(B815,R_Schedule_Times,1)),Starting_Cash),IF(COUNTIFS(R_Schedule_Times,"&gt;"&amp;B814,R_Schedule_Times,"&lt;"&amp;B815),INDEX(R_Schedule_Amounts,MATCH(B815,R_Schedule_Times,1)),K814)),"")</f>
        <v>19840</v>
      </c>
      <c r="I815" s="30">
        <f t="shared" si="60"/>
        <v>40</v>
      </c>
      <c r="J815" s="31">
        <f t="shared" si="61"/>
        <v>0</v>
      </c>
      <c r="K815" s="29">
        <f t="shared" si="62"/>
        <v>19800</v>
      </c>
      <c r="L815" s="31" t="str">
        <f t="shared" si="63"/>
        <v/>
      </c>
      <c r="M815" s="31" t="str">
        <f t="shared" si="64"/>
        <v/>
      </c>
    </row>
    <row r="816" spans="1:13" x14ac:dyDescent="0.15">
      <c r="A816" s="163" t="s">
        <v>210</v>
      </c>
      <c r="B816" s="163">
        <v>42298.767524108793</v>
      </c>
      <c r="C816" s="164" t="s">
        <v>1155</v>
      </c>
      <c r="D816" s="164" t="s">
        <v>13</v>
      </c>
      <c r="E816" s="165">
        <v>100</v>
      </c>
      <c r="F816" s="166">
        <v>0</v>
      </c>
      <c r="G816" s="227">
        <f>IF($B$2,IF(ROWS(B$6:$B816) = 1,$B816-Start_Date,$B816-$B815),"")</f>
        <v>1.1360150456312113E-2</v>
      </c>
      <c r="H816" s="29">
        <f>IF($B$2,IF(ROWS(B$6:$B816) = 1,IF(COUNTIFS(R_Schedule_Times,"&lt;"&amp;B816),INDEX(R_Schedule_Amounts,MATCH(B816,R_Schedule_Times,1)),Starting_Cash),IF(COUNTIFS(R_Schedule_Times,"&gt;"&amp;B815,R_Schedule_Times,"&lt;"&amp;B816),INDEX(R_Schedule_Amounts,MATCH(B816,R_Schedule_Times,1)),K815)),"")</f>
        <v>19800</v>
      </c>
      <c r="I816" s="30">
        <f t="shared" si="60"/>
        <v>100</v>
      </c>
      <c r="J816" s="31">
        <f t="shared" si="61"/>
        <v>0</v>
      </c>
      <c r="K816" s="29">
        <f t="shared" si="62"/>
        <v>19700</v>
      </c>
      <c r="L816" s="31" t="str">
        <f t="shared" si="63"/>
        <v/>
      </c>
      <c r="M816" s="31" t="str">
        <f t="shared" si="64"/>
        <v/>
      </c>
    </row>
    <row r="817" spans="1:13" x14ac:dyDescent="0.15">
      <c r="A817" s="163" t="s">
        <v>210</v>
      </c>
      <c r="B817" s="163">
        <v>42298.775123865744</v>
      </c>
      <c r="C817" s="164" t="s">
        <v>1156</v>
      </c>
      <c r="D817" s="164" t="s">
        <v>13</v>
      </c>
      <c r="E817" s="165">
        <v>100</v>
      </c>
      <c r="F817" s="166">
        <v>0</v>
      </c>
      <c r="G817" s="227">
        <f>IF($B$2,IF(ROWS(B$6:$B817) = 1,$B817-Start_Date,$B817-$B816),"")</f>
        <v>7.599756951094605E-3</v>
      </c>
      <c r="H817" s="29">
        <f>IF($B$2,IF(ROWS(B$6:$B817) = 1,IF(COUNTIFS(R_Schedule_Times,"&lt;"&amp;B817),INDEX(R_Schedule_Amounts,MATCH(B817,R_Schedule_Times,1)),Starting_Cash),IF(COUNTIFS(R_Schedule_Times,"&gt;"&amp;B816,R_Schedule_Times,"&lt;"&amp;B817),INDEX(R_Schedule_Amounts,MATCH(B817,R_Schedule_Times,1)),K816)),"")</f>
        <v>19700</v>
      </c>
      <c r="I817" s="30">
        <f t="shared" si="60"/>
        <v>100</v>
      </c>
      <c r="J817" s="31">
        <f t="shared" si="61"/>
        <v>0</v>
      </c>
      <c r="K817" s="29">
        <f t="shared" si="62"/>
        <v>19600</v>
      </c>
      <c r="L817" s="31" t="str">
        <f t="shared" si="63"/>
        <v/>
      </c>
      <c r="M817" s="31" t="str">
        <f t="shared" si="64"/>
        <v/>
      </c>
    </row>
    <row r="818" spans="1:13" x14ac:dyDescent="0.15">
      <c r="A818" s="163" t="s">
        <v>210</v>
      </c>
      <c r="B818" s="163">
        <v>42298.790914050929</v>
      </c>
      <c r="C818" s="164" t="s">
        <v>1157</v>
      </c>
      <c r="D818" s="164" t="s">
        <v>13</v>
      </c>
      <c r="E818" s="165">
        <v>100</v>
      </c>
      <c r="F818" s="166">
        <v>0</v>
      </c>
      <c r="G818" s="227">
        <f>IF($B$2,IF(ROWS(B$6:$B818) = 1,$B818-Start_Date,$B818-$B817),"")</f>
        <v>1.5790185185323935E-2</v>
      </c>
      <c r="H818" s="29">
        <f>IF($B$2,IF(ROWS(B$6:$B818) = 1,IF(COUNTIFS(R_Schedule_Times,"&lt;"&amp;B818),INDEX(R_Schedule_Amounts,MATCH(B818,R_Schedule_Times,1)),Starting_Cash),IF(COUNTIFS(R_Schedule_Times,"&gt;"&amp;B817,R_Schedule_Times,"&lt;"&amp;B818),INDEX(R_Schedule_Amounts,MATCH(B818,R_Schedule_Times,1)),K817)),"")</f>
        <v>19600</v>
      </c>
      <c r="I818" s="30">
        <f t="shared" si="60"/>
        <v>100</v>
      </c>
      <c r="J818" s="31">
        <f t="shared" si="61"/>
        <v>0</v>
      </c>
      <c r="K818" s="29">
        <f t="shared" si="62"/>
        <v>19500</v>
      </c>
      <c r="L818" s="31" t="str">
        <f t="shared" si="63"/>
        <v/>
      </c>
      <c r="M818" s="31" t="str">
        <f t="shared" si="64"/>
        <v/>
      </c>
    </row>
    <row r="819" spans="1:13" x14ac:dyDescent="0.15">
      <c r="A819" s="163" t="s">
        <v>210</v>
      </c>
      <c r="B819" s="163">
        <v>42298.888061770835</v>
      </c>
      <c r="C819" s="164" t="s">
        <v>1158</v>
      </c>
      <c r="D819" s="164" t="s">
        <v>13</v>
      </c>
      <c r="E819" s="165">
        <v>100</v>
      </c>
      <c r="F819" s="166">
        <v>0</v>
      </c>
      <c r="G819" s="227">
        <f>IF($B$2,IF(ROWS(B$6:$B819) = 1,$B819-Start_Date,$B819-$B818),"")</f>
        <v>9.714771990547888E-2</v>
      </c>
      <c r="H819" s="29">
        <f>IF($B$2,IF(ROWS(B$6:$B819) = 1,IF(COUNTIFS(R_Schedule_Times,"&lt;"&amp;B819),INDEX(R_Schedule_Amounts,MATCH(B819,R_Schedule_Times,1)),Starting_Cash),IF(COUNTIFS(R_Schedule_Times,"&gt;"&amp;B818,R_Schedule_Times,"&lt;"&amp;B819),INDEX(R_Schedule_Amounts,MATCH(B819,R_Schedule_Times,1)),K818)),"")</f>
        <v>19500</v>
      </c>
      <c r="I819" s="30">
        <f t="shared" si="60"/>
        <v>100</v>
      </c>
      <c r="J819" s="31">
        <f t="shared" si="61"/>
        <v>0</v>
      </c>
      <c r="K819" s="29">
        <f t="shared" si="62"/>
        <v>19400</v>
      </c>
      <c r="L819" s="31" t="str">
        <f t="shared" si="63"/>
        <v/>
      </c>
      <c r="M819" s="31" t="str">
        <f t="shared" si="64"/>
        <v/>
      </c>
    </row>
    <row r="820" spans="1:13" x14ac:dyDescent="0.15">
      <c r="A820" s="163" t="s">
        <v>210</v>
      </c>
      <c r="B820" s="163">
        <v>42298.895781689818</v>
      </c>
      <c r="C820" s="164" t="s">
        <v>1159</v>
      </c>
      <c r="D820" s="164" t="s">
        <v>13</v>
      </c>
      <c r="E820" s="165">
        <v>100</v>
      </c>
      <c r="F820" s="166">
        <v>0</v>
      </c>
      <c r="G820" s="227">
        <f>IF($B$2,IF(ROWS(B$6:$B820) = 1,$B820-Start_Date,$B820-$B819),"")</f>
        <v>7.7199189836392179E-3</v>
      </c>
      <c r="H820" s="29">
        <f>IF($B$2,IF(ROWS(B$6:$B820) = 1,IF(COUNTIFS(R_Schedule_Times,"&lt;"&amp;B820),INDEX(R_Schedule_Amounts,MATCH(B820,R_Schedule_Times,1)),Starting_Cash),IF(COUNTIFS(R_Schedule_Times,"&gt;"&amp;B819,R_Schedule_Times,"&lt;"&amp;B820),INDEX(R_Schedule_Amounts,MATCH(B820,R_Schedule_Times,1)),K819)),"")</f>
        <v>19400</v>
      </c>
      <c r="I820" s="30">
        <f t="shared" si="60"/>
        <v>100</v>
      </c>
      <c r="J820" s="31">
        <f t="shared" si="61"/>
        <v>0</v>
      </c>
      <c r="K820" s="29">
        <f t="shared" si="62"/>
        <v>19300</v>
      </c>
      <c r="L820" s="31" t="str">
        <f t="shared" si="63"/>
        <v/>
      </c>
      <c r="M820" s="31" t="str">
        <f t="shared" si="64"/>
        <v/>
      </c>
    </row>
    <row r="821" spans="1:13" x14ac:dyDescent="0.15">
      <c r="A821" s="163" t="s">
        <v>210</v>
      </c>
      <c r="B821" s="163">
        <v>42298.912500995371</v>
      </c>
      <c r="C821" s="164" t="s">
        <v>1160</v>
      </c>
      <c r="D821" s="164" t="s">
        <v>13</v>
      </c>
      <c r="E821" s="165">
        <v>100</v>
      </c>
      <c r="F821" s="166">
        <v>0</v>
      </c>
      <c r="G821" s="227">
        <f>IF($B$2,IF(ROWS(B$6:$B821) = 1,$B821-Start_Date,$B821-$B820),"")</f>
        <v>1.6719305553124286E-2</v>
      </c>
      <c r="H821" s="29">
        <f>IF($B$2,IF(ROWS(B$6:$B821) = 1,IF(COUNTIFS(R_Schedule_Times,"&lt;"&amp;B821),INDEX(R_Schedule_Amounts,MATCH(B821,R_Schedule_Times,1)),Starting_Cash),IF(COUNTIFS(R_Schedule_Times,"&gt;"&amp;B820,R_Schedule_Times,"&lt;"&amp;B821),INDEX(R_Schedule_Amounts,MATCH(B821,R_Schedule_Times,1)),K820)),"")</f>
        <v>19300</v>
      </c>
      <c r="I821" s="30">
        <f t="shared" si="60"/>
        <v>100</v>
      </c>
      <c r="J821" s="31">
        <f t="shared" si="61"/>
        <v>0</v>
      </c>
      <c r="K821" s="29">
        <f t="shared" si="62"/>
        <v>19200</v>
      </c>
      <c r="L821" s="31" t="str">
        <f t="shared" si="63"/>
        <v/>
      </c>
      <c r="M821" s="31" t="str">
        <f t="shared" si="64"/>
        <v/>
      </c>
    </row>
    <row r="822" spans="1:13" x14ac:dyDescent="0.15">
      <c r="A822" s="163" t="s">
        <v>210</v>
      </c>
      <c r="B822" s="163">
        <v>42299.223693402775</v>
      </c>
      <c r="C822" s="164" t="s">
        <v>1161</v>
      </c>
      <c r="D822" s="164" t="s">
        <v>13</v>
      </c>
      <c r="E822" s="165">
        <v>100</v>
      </c>
      <c r="F822" s="166">
        <v>0</v>
      </c>
      <c r="G822" s="227">
        <f>IF($B$2,IF(ROWS(B$6:$B822) = 1,$B822-Start_Date,$B822-$B821),"")</f>
        <v>0.31119240740372334</v>
      </c>
      <c r="H822" s="29">
        <f>IF($B$2,IF(ROWS(B$6:$B822) = 1,IF(COUNTIFS(R_Schedule_Times,"&lt;"&amp;B822),INDEX(R_Schedule_Amounts,MATCH(B822,R_Schedule_Times,1)),Starting_Cash),IF(COUNTIFS(R_Schedule_Times,"&gt;"&amp;B821,R_Schedule_Times,"&lt;"&amp;B822),INDEX(R_Schedule_Amounts,MATCH(B822,R_Schedule_Times,1)),K821)),"")</f>
        <v>19200</v>
      </c>
      <c r="I822" s="30">
        <f t="shared" si="60"/>
        <v>100</v>
      </c>
      <c r="J822" s="31">
        <f t="shared" si="61"/>
        <v>0</v>
      </c>
      <c r="K822" s="29">
        <f t="shared" si="62"/>
        <v>19100</v>
      </c>
      <c r="L822" s="31" t="str">
        <f t="shared" si="63"/>
        <v/>
      </c>
      <c r="M822" s="31" t="str">
        <f t="shared" si="64"/>
        <v/>
      </c>
    </row>
    <row r="823" spans="1:13" x14ac:dyDescent="0.15">
      <c r="A823" s="163" t="s">
        <v>210</v>
      </c>
      <c r="B823" s="163">
        <v>42299.243996134261</v>
      </c>
      <c r="C823" s="164" t="s">
        <v>1162</v>
      </c>
      <c r="D823" s="164" t="s">
        <v>13</v>
      </c>
      <c r="E823" s="165">
        <v>100</v>
      </c>
      <c r="F823" s="166">
        <v>0</v>
      </c>
      <c r="G823" s="227">
        <f>IF($B$2,IF(ROWS(B$6:$B823) = 1,$B823-Start_Date,$B823-$B822),"")</f>
        <v>2.0302731485571712E-2</v>
      </c>
      <c r="H823" s="29">
        <f>IF($B$2,IF(ROWS(B$6:$B823) = 1,IF(COUNTIFS(R_Schedule_Times,"&lt;"&amp;B823),INDEX(R_Schedule_Amounts,MATCH(B823,R_Schedule_Times,1)),Starting_Cash),IF(COUNTIFS(R_Schedule_Times,"&gt;"&amp;B822,R_Schedule_Times,"&lt;"&amp;B823),INDEX(R_Schedule_Amounts,MATCH(B823,R_Schedule_Times,1)),K822)),"")</f>
        <v>19100</v>
      </c>
      <c r="I823" s="30">
        <f t="shared" si="60"/>
        <v>100</v>
      </c>
      <c r="J823" s="31">
        <f t="shared" si="61"/>
        <v>0</v>
      </c>
      <c r="K823" s="29">
        <f t="shared" si="62"/>
        <v>19000</v>
      </c>
      <c r="L823" s="31" t="str">
        <f t="shared" si="63"/>
        <v/>
      </c>
      <c r="M823" s="31" t="str">
        <f t="shared" si="64"/>
        <v/>
      </c>
    </row>
    <row r="824" spans="1:13" x14ac:dyDescent="0.15">
      <c r="A824" s="163" t="s">
        <v>210</v>
      </c>
      <c r="B824" s="163">
        <v>42299.380559652775</v>
      </c>
      <c r="C824" s="164" t="s">
        <v>369</v>
      </c>
      <c r="D824" s="164" t="s">
        <v>13</v>
      </c>
      <c r="E824" s="165">
        <v>500</v>
      </c>
      <c r="F824" s="166">
        <v>0</v>
      </c>
      <c r="G824" s="227">
        <f>IF($B$2,IF(ROWS(B$6:$B824) = 1,$B824-Start_Date,$B824-$B823),"")</f>
        <v>0.13656351851386717</v>
      </c>
      <c r="H824" s="29">
        <f>IF($B$2,IF(ROWS(B$6:$B824) = 1,IF(COUNTIFS(R_Schedule_Times,"&lt;"&amp;B824),INDEX(R_Schedule_Amounts,MATCH(B824,R_Schedule_Times,1)),Starting_Cash),IF(COUNTIFS(R_Schedule_Times,"&gt;"&amp;B823,R_Schedule_Times,"&lt;"&amp;B824),INDEX(R_Schedule_Amounts,MATCH(B824,R_Schedule_Times,1)),K823)),"")</f>
        <v>19000</v>
      </c>
      <c r="I824" s="30">
        <f t="shared" si="60"/>
        <v>500</v>
      </c>
      <c r="J824" s="31">
        <f t="shared" si="61"/>
        <v>0</v>
      </c>
      <c r="K824" s="29">
        <f t="shared" si="62"/>
        <v>18500</v>
      </c>
      <c r="L824" s="31" t="str">
        <f t="shared" si="63"/>
        <v/>
      </c>
      <c r="M824" s="31" t="str">
        <f t="shared" si="64"/>
        <v/>
      </c>
    </row>
    <row r="825" spans="1:13" x14ac:dyDescent="0.15">
      <c r="A825" s="163" t="s">
        <v>210</v>
      </c>
      <c r="B825" s="163">
        <v>42299.382174039354</v>
      </c>
      <c r="C825" s="164" t="s">
        <v>370</v>
      </c>
      <c r="D825" s="164" t="s">
        <v>13</v>
      </c>
      <c r="E825" s="165">
        <v>100</v>
      </c>
      <c r="F825" s="166">
        <v>0</v>
      </c>
      <c r="G825" s="227">
        <f>IF($B$2,IF(ROWS(B$6:$B825) = 1,$B825-Start_Date,$B825-$B824),"")</f>
        <v>1.6143865796038881E-3</v>
      </c>
      <c r="H825" s="29">
        <f>IF($B$2,IF(ROWS(B$6:$B825) = 1,IF(COUNTIFS(R_Schedule_Times,"&lt;"&amp;B825),INDEX(R_Schedule_Amounts,MATCH(B825,R_Schedule_Times,1)),Starting_Cash),IF(COUNTIFS(R_Schedule_Times,"&gt;"&amp;B824,R_Schedule_Times,"&lt;"&amp;B825),INDEX(R_Schedule_Amounts,MATCH(B825,R_Schedule_Times,1)),K824)),"")</f>
        <v>18500</v>
      </c>
      <c r="I825" s="30">
        <f t="shared" si="60"/>
        <v>100</v>
      </c>
      <c r="J825" s="31">
        <f t="shared" si="61"/>
        <v>0</v>
      </c>
      <c r="K825" s="29">
        <f t="shared" si="62"/>
        <v>18400</v>
      </c>
      <c r="L825" s="31" t="str">
        <f t="shared" si="63"/>
        <v/>
      </c>
      <c r="M825" s="31" t="str">
        <f t="shared" si="64"/>
        <v/>
      </c>
    </row>
    <row r="826" spans="1:13" x14ac:dyDescent="0.15">
      <c r="A826" s="163" t="s">
        <v>210</v>
      </c>
      <c r="B826" s="163">
        <v>42299.38530898148</v>
      </c>
      <c r="C826" s="164" t="s">
        <v>1163</v>
      </c>
      <c r="D826" s="164" t="s">
        <v>13</v>
      </c>
      <c r="E826" s="165">
        <v>80</v>
      </c>
      <c r="F826" s="166">
        <v>0</v>
      </c>
      <c r="G826" s="227">
        <f>IF($B$2,IF(ROWS(B$6:$B826) = 1,$B826-Start_Date,$B826-$B825),"")</f>
        <v>3.1349421260529198E-3</v>
      </c>
      <c r="H826" s="29">
        <f>IF($B$2,IF(ROWS(B$6:$B826) = 1,IF(COUNTIFS(R_Schedule_Times,"&lt;"&amp;B826),INDEX(R_Schedule_Amounts,MATCH(B826,R_Schedule_Times,1)),Starting_Cash),IF(COUNTIFS(R_Schedule_Times,"&gt;"&amp;B825,R_Schedule_Times,"&lt;"&amp;B826),INDEX(R_Schedule_Amounts,MATCH(B826,R_Schedule_Times,1)),K825)),"")</f>
        <v>18400</v>
      </c>
      <c r="I826" s="30">
        <f t="shared" si="60"/>
        <v>80</v>
      </c>
      <c r="J826" s="31">
        <f t="shared" si="61"/>
        <v>0</v>
      </c>
      <c r="K826" s="29">
        <f t="shared" si="62"/>
        <v>18320</v>
      </c>
      <c r="L826" s="31" t="str">
        <f t="shared" si="63"/>
        <v/>
      </c>
      <c r="M826" s="31" t="str">
        <f t="shared" si="64"/>
        <v/>
      </c>
    </row>
    <row r="827" spans="1:13" x14ac:dyDescent="0.15">
      <c r="A827" s="163" t="s">
        <v>210</v>
      </c>
      <c r="B827" s="163">
        <v>42299.451873541664</v>
      </c>
      <c r="C827" s="164" t="s">
        <v>1164</v>
      </c>
      <c r="D827" s="164" t="s">
        <v>13</v>
      </c>
      <c r="E827" s="165">
        <v>40</v>
      </c>
      <c r="F827" s="166">
        <v>0</v>
      </c>
      <c r="G827" s="227">
        <f>IF($B$2,IF(ROWS(B$6:$B827) = 1,$B827-Start_Date,$B827-$B826),"")</f>
        <v>6.6564560183905996E-2</v>
      </c>
      <c r="H827" s="29">
        <f>IF($B$2,IF(ROWS(B$6:$B827) = 1,IF(COUNTIFS(R_Schedule_Times,"&lt;"&amp;B827),INDEX(R_Schedule_Amounts,MATCH(B827,R_Schedule_Times,1)),Starting_Cash),IF(COUNTIFS(R_Schedule_Times,"&gt;"&amp;B826,R_Schedule_Times,"&lt;"&amp;B827),INDEX(R_Schedule_Amounts,MATCH(B827,R_Schedule_Times,1)),K826)),"")</f>
        <v>18320</v>
      </c>
      <c r="I827" s="30">
        <f t="shared" si="60"/>
        <v>40</v>
      </c>
      <c r="J827" s="31">
        <f t="shared" si="61"/>
        <v>0</v>
      </c>
      <c r="K827" s="29">
        <f t="shared" si="62"/>
        <v>18280</v>
      </c>
      <c r="L827" s="31" t="str">
        <f t="shared" si="63"/>
        <v/>
      </c>
      <c r="M827" s="31" t="str">
        <f t="shared" si="64"/>
        <v/>
      </c>
    </row>
    <row r="828" spans="1:13" x14ac:dyDescent="0.15">
      <c r="A828" s="163" t="s">
        <v>210</v>
      </c>
      <c r="B828" s="163">
        <v>42299.455033391205</v>
      </c>
      <c r="C828" s="164" t="s">
        <v>1165</v>
      </c>
      <c r="D828" s="164" t="s">
        <v>13</v>
      </c>
      <c r="E828" s="165">
        <v>200</v>
      </c>
      <c r="F828" s="166">
        <v>0</v>
      </c>
      <c r="G828" s="227">
        <f>IF($B$2,IF(ROWS(B$6:$B828) = 1,$B828-Start_Date,$B828-$B827),"")</f>
        <v>3.1598495406797156E-3</v>
      </c>
      <c r="H828" s="29">
        <f>IF($B$2,IF(ROWS(B$6:$B828) = 1,IF(COUNTIFS(R_Schedule_Times,"&lt;"&amp;B828),INDEX(R_Schedule_Amounts,MATCH(B828,R_Schedule_Times,1)),Starting_Cash),IF(COUNTIFS(R_Schedule_Times,"&gt;"&amp;B827,R_Schedule_Times,"&lt;"&amp;B828),INDEX(R_Schedule_Amounts,MATCH(B828,R_Schedule_Times,1)),K827)),"")</f>
        <v>18280</v>
      </c>
      <c r="I828" s="30">
        <f t="shared" si="60"/>
        <v>200</v>
      </c>
      <c r="J828" s="31">
        <f t="shared" si="61"/>
        <v>0</v>
      </c>
      <c r="K828" s="29">
        <f t="shared" si="62"/>
        <v>18080</v>
      </c>
      <c r="L828" s="31" t="str">
        <f t="shared" si="63"/>
        <v/>
      </c>
      <c r="M828" s="31" t="str">
        <f t="shared" si="64"/>
        <v/>
      </c>
    </row>
    <row r="829" spans="1:13" x14ac:dyDescent="0.15">
      <c r="A829" s="163" t="s">
        <v>210</v>
      </c>
      <c r="B829" s="163">
        <v>42299.469304861108</v>
      </c>
      <c r="C829" s="164" t="s">
        <v>14</v>
      </c>
      <c r="D829" s="164" t="s">
        <v>13</v>
      </c>
      <c r="E829" s="165">
        <v>100</v>
      </c>
      <c r="F829" s="166">
        <v>3.5</v>
      </c>
      <c r="G829" s="227">
        <f>IF($B$2,IF(ROWS(B$6:$B829) = 1,$B829-Start_Date,$B829-$B828),"")</f>
        <v>1.4271469903178513E-2</v>
      </c>
      <c r="H829" s="29">
        <f>IF($B$2,IF(ROWS(B$6:$B829) = 1,IF(COUNTIFS(R_Schedule_Times,"&lt;"&amp;B829),INDEX(R_Schedule_Amounts,MATCH(B829,R_Schedule_Times,1)),Starting_Cash),IF(COUNTIFS(R_Schedule_Times,"&gt;"&amp;B828,R_Schedule_Times,"&lt;"&amp;B829),INDEX(R_Schedule_Amounts,MATCH(B829,R_Schedule_Times,1)),K828)),"")</f>
        <v>18080</v>
      </c>
      <c r="I829" s="30">
        <f t="shared" si="60"/>
        <v>100</v>
      </c>
      <c r="J829" s="31">
        <f t="shared" si="61"/>
        <v>3.5</v>
      </c>
      <c r="K829" s="29">
        <f t="shared" si="62"/>
        <v>17980</v>
      </c>
      <c r="L829" s="31" t="str">
        <f t="shared" si="63"/>
        <v/>
      </c>
      <c r="M829" s="31" t="str">
        <f t="shared" si="64"/>
        <v/>
      </c>
    </row>
    <row r="830" spans="1:13" x14ac:dyDescent="0.15">
      <c r="A830" s="163" t="s">
        <v>210</v>
      </c>
      <c r="B830" s="163">
        <v>42299.480788321758</v>
      </c>
      <c r="C830" s="164" t="s">
        <v>1166</v>
      </c>
      <c r="D830" s="164" t="s">
        <v>13</v>
      </c>
      <c r="E830" s="165">
        <v>20</v>
      </c>
      <c r="F830" s="166">
        <v>0</v>
      </c>
      <c r="G830" s="227">
        <f>IF($B$2,IF(ROWS(B$6:$B830) = 1,$B830-Start_Date,$B830-$B829),"")</f>
        <v>1.148346065019723E-2</v>
      </c>
      <c r="H830" s="29">
        <f>IF($B$2,IF(ROWS(B$6:$B830) = 1,IF(COUNTIFS(R_Schedule_Times,"&lt;"&amp;B830),INDEX(R_Schedule_Amounts,MATCH(B830,R_Schedule_Times,1)),Starting_Cash),IF(COUNTIFS(R_Schedule_Times,"&gt;"&amp;B829,R_Schedule_Times,"&lt;"&amp;B830),INDEX(R_Schedule_Amounts,MATCH(B830,R_Schedule_Times,1)),K829)),"")</f>
        <v>17980</v>
      </c>
      <c r="I830" s="30">
        <f t="shared" si="60"/>
        <v>20</v>
      </c>
      <c r="J830" s="31">
        <f t="shared" si="61"/>
        <v>0</v>
      </c>
      <c r="K830" s="29">
        <f t="shared" si="62"/>
        <v>17960</v>
      </c>
      <c r="L830" s="31" t="str">
        <f t="shared" si="63"/>
        <v/>
      </c>
      <c r="M830" s="31" t="str">
        <f t="shared" si="64"/>
        <v/>
      </c>
    </row>
    <row r="831" spans="1:13" x14ac:dyDescent="0.15">
      <c r="A831" s="163" t="s">
        <v>210</v>
      </c>
      <c r="B831" s="163">
        <v>42299.486099363428</v>
      </c>
      <c r="C831" s="164" t="s">
        <v>1167</v>
      </c>
      <c r="D831" s="164" t="s">
        <v>13</v>
      </c>
      <c r="E831" s="165">
        <v>100</v>
      </c>
      <c r="F831" s="166">
        <v>0</v>
      </c>
      <c r="G831" s="227">
        <f>IF($B$2,IF(ROWS(B$6:$B831) = 1,$B831-Start_Date,$B831-$B830),"")</f>
        <v>5.3110416702111252E-3</v>
      </c>
      <c r="H831" s="29">
        <f>IF($B$2,IF(ROWS(B$6:$B831) = 1,IF(COUNTIFS(R_Schedule_Times,"&lt;"&amp;B831),INDEX(R_Schedule_Amounts,MATCH(B831,R_Schedule_Times,1)),Starting_Cash),IF(COUNTIFS(R_Schedule_Times,"&gt;"&amp;B830,R_Schedule_Times,"&lt;"&amp;B831),INDEX(R_Schedule_Amounts,MATCH(B831,R_Schedule_Times,1)),K830)),"")</f>
        <v>17960</v>
      </c>
      <c r="I831" s="30">
        <f t="shared" si="60"/>
        <v>100</v>
      </c>
      <c r="J831" s="31">
        <f t="shared" si="61"/>
        <v>0</v>
      </c>
      <c r="K831" s="29">
        <f t="shared" si="62"/>
        <v>17860</v>
      </c>
      <c r="L831" s="31" t="str">
        <f t="shared" si="63"/>
        <v/>
      </c>
      <c r="M831" s="31" t="str">
        <f t="shared" si="64"/>
        <v/>
      </c>
    </row>
    <row r="832" spans="1:13" x14ac:dyDescent="0.15">
      <c r="A832" s="163" t="s">
        <v>210</v>
      </c>
      <c r="B832" s="163">
        <v>42299.495876412038</v>
      </c>
      <c r="C832" s="164" t="s">
        <v>792</v>
      </c>
      <c r="D832" s="164" t="s">
        <v>13</v>
      </c>
      <c r="E832" s="165">
        <v>40</v>
      </c>
      <c r="F832" s="166">
        <v>0</v>
      </c>
      <c r="G832" s="227">
        <f>IF($B$2,IF(ROWS(B$6:$B832) = 1,$B832-Start_Date,$B832-$B831),"")</f>
        <v>9.7770486099761911E-3</v>
      </c>
      <c r="H832" s="29">
        <f>IF($B$2,IF(ROWS(B$6:$B832) = 1,IF(COUNTIFS(R_Schedule_Times,"&lt;"&amp;B832),INDEX(R_Schedule_Amounts,MATCH(B832,R_Schedule_Times,1)),Starting_Cash),IF(COUNTIFS(R_Schedule_Times,"&gt;"&amp;B831,R_Schedule_Times,"&lt;"&amp;B832),INDEX(R_Schedule_Amounts,MATCH(B832,R_Schedule_Times,1)),K831)),"")</f>
        <v>17860</v>
      </c>
      <c r="I832" s="30">
        <f t="shared" si="60"/>
        <v>40</v>
      </c>
      <c r="J832" s="31">
        <f t="shared" si="61"/>
        <v>0</v>
      </c>
      <c r="K832" s="29">
        <f t="shared" si="62"/>
        <v>17820</v>
      </c>
      <c r="L832" s="31" t="str">
        <f t="shared" si="63"/>
        <v/>
      </c>
      <c r="M832" s="31" t="str">
        <f t="shared" si="64"/>
        <v/>
      </c>
    </row>
    <row r="833" spans="1:13" x14ac:dyDescent="0.15">
      <c r="A833" s="163" t="s">
        <v>210</v>
      </c>
      <c r="B833" s="163">
        <v>42299.497940289351</v>
      </c>
      <c r="C833" s="164" t="s">
        <v>1168</v>
      </c>
      <c r="D833" s="164" t="s">
        <v>13</v>
      </c>
      <c r="E833" s="165">
        <v>60</v>
      </c>
      <c r="F833" s="166">
        <v>0</v>
      </c>
      <c r="G833" s="227">
        <f>IF($B$2,IF(ROWS(B$6:$B833) = 1,$B833-Start_Date,$B833-$B832),"")</f>
        <v>2.0638773130485788E-3</v>
      </c>
      <c r="H833" s="29">
        <f>IF($B$2,IF(ROWS(B$6:$B833) = 1,IF(COUNTIFS(R_Schedule_Times,"&lt;"&amp;B833),INDEX(R_Schedule_Amounts,MATCH(B833,R_Schedule_Times,1)),Starting_Cash),IF(COUNTIFS(R_Schedule_Times,"&gt;"&amp;B832,R_Schedule_Times,"&lt;"&amp;B833),INDEX(R_Schedule_Amounts,MATCH(B833,R_Schedule_Times,1)),K832)),"")</f>
        <v>17820</v>
      </c>
      <c r="I833" s="30">
        <f t="shared" si="60"/>
        <v>60</v>
      </c>
      <c r="J833" s="31">
        <f t="shared" si="61"/>
        <v>0</v>
      </c>
      <c r="K833" s="29">
        <f t="shared" si="62"/>
        <v>17760</v>
      </c>
      <c r="L833" s="31" t="str">
        <f t="shared" si="63"/>
        <v/>
      </c>
      <c r="M833" s="31" t="str">
        <f t="shared" si="64"/>
        <v/>
      </c>
    </row>
    <row r="834" spans="1:13" x14ac:dyDescent="0.15">
      <c r="A834" s="163" t="s">
        <v>210</v>
      </c>
      <c r="B834" s="163">
        <v>42299.502871481483</v>
      </c>
      <c r="C834" s="164" t="s">
        <v>1169</v>
      </c>
      <c r="D834" s="164" t="s">
        <v>13</v>
      </c>
      <c r="E834" s="165">
        <v>60</v>
      </c>
      <c r="F834" s="166">
        <v>0</v>
      </c>
      <c r="G834" s="227">
        <f>IF($B$2,IF(ROWS(B$6:$B834) = 1,$B834-Start_Date,$B834-$B833),"")</f>
        <v>4.9311921320622787E-3</v>
      </c>
      <c r="H834" s="29">
        <f>IF($B$2,IF(ROWS(B$6:$B834) = 1,IF(COUNTIFS(R_Schedule_Times,"&lt;"&amp;B834),INDEX(R_Schedule_Amounts,MATCH(B834,R_Schedule_Times,1)),Starting_Cash),IF(COUNTIFS(R_Schedule_Times,"&gt;"&amp;B833,R_Schedule_Times,"&lt;"&amp;B834),INDEX(R_Schedule_Amounts,MATCH(B834,R_Schedule_Times,1)),K833)),"")</f>
        <v>17760</v>
      </c>
      <c r="I834" s="30">
        <f t="shared" si="60"/>
        <v>60</v>
      </c>
      <c r="J834" s="31">
        <f t="shared" si="61"/>
        <v>0</v>
      </c>
      <c r="K834" s="29">
        <f t="shared" si="62"/>
        <v>17700</v>
      </c>
      <c r="L834" s="31" t="str">
        <f t="shared" si="63"/>
        <v/>
      </c>
      <c r="M834" s="31" t="str">
        <f t="shared" si="64"/>
        <v/>
      </c>
    </row>
    <row r="835" spans="1:13" x14ac:dyDescent="0.15">
      <c r="A835" s="163" t="s">
        <v>210</v>
      </c>
      <c r="B835" s="163">
        <v>42299.516309710649</v>
      </c>
      <c r="C835" s="164" t="s">
        <v>679</v>
      </c>
      <c r="D835" s="164" t="s">
        <v>13</v>
      </c>
      <c r="E835" s="165">
        <v>100</v>
      </c>
      <c r="F835" s="166">
        <v>0</v>
      </c>
      <c r="G835" s="227">
        <f>IF($B$2,IF(ROWS(B$6:$B835) = 1,$B835-Start_Date,$B835-$B834),"")</f>
        <v>1.3438229165330995E-2</v>
      </c>
      <c r="H835" s="29">
        <f>IF($B$2,IF(ROWS(B$6:$B835) = 1,IF(COUNTIFS(R_Schedule_Times,"&lt;"&amp;B835),INDEX(R_Schedule_Amounts,MATCH(B835,R_Schedule_Times,1)),Starting_Cash),IF(COUNTIFS(R_Schedule_Times,"&gt;"&amp;B834,R_Schedule_Times,"&lt;"&amp;B835),INDEX(R_Schedule_Amounts,MATCH(B835,R_Schedule_Times,1)),K834)),"")</f>
        <v>17700</v>
      </c>
      <c r="I835" s="30">
        <f t="shared" si="60"/>
        <v>100</v>
      </c>
      <c r="J835" s="31">
        <f t="shared" si="61"/>
        <v>0</v>
      </c>
      <c r="K835" s="29">
        <f t="shared" si="62"/>
        <v>17600</v>
      </c>
      <c r="L835" s="31" t="str">
        <f t="shared" si="63"/>
        <v/>
      </c>
      <c r="M835" s="31" t="str">
        <f t="shared" si="64"/>
        <v/>
      </c>
    </row>
    <row r="836" spans="1:13" x14ac:dyDescent="0.15">
      <c r="A836" s="163" t="s">
        <v>210</v>
      </c>
      <c r="B836" s="163">
        <v>42299.520981851849</v>
      </c>
      <c r="C836" s="164" t="s">
        <v>1170</v>
      </c>
      <c r="D836" s="164" t="s">
        <v>13</v>
      </c>
      <c r="E836" s="165">
        <v>100</v>
      </c>
      <c r="F836" s="166">
        <v>0</v>
      </c>
      <c r="G836" s="227">
        <f>IF($B$2,IF(ROWS(B$6:$B836) = 1,$B836-Start_Date,$B836-$B835),"")</f>
        <v>4.67214119998971E-3</v>
      </c>
      <c r="H836" s="29">
        <f>IF($B$2,IF(ROWS(B$6:$B836) = 1,IF(COUNTIFS(R_Schedule_Times,"&lt;"&amp;B836),INDEX(R_Schedule_Amounts,MATCH(B836,R_Schedule_Times,1)),Starting_Cash),IF(COUNTIFS(R_Schedule_Times,"&gt;"&amp;B835,R_Schedule_Times,"&lt;"&amp;B836),INDEX(R_Schedule_Amounts,MATCH(B836,R_Schedule_Times,1)),K835)),"")</f>
        <v>17600</v>
      </c>
      <c r="I836" s="30">
        <f t="shared" si="60"/>
        <v>100</v>
      </c>
      <c r="J836" s="31">
        <f t="shared" si="61"/>
        <v>0</v>
      </c>
      <c r="K836" s="29">
        <f t="shared" si="62"/>
        <v>17500</v>
      </c>
      <c r="L836" s="31" t="str">
        <f t="shared" si="63"/>
        <v/>
      </c>
      <c r="M836" s="31" t="str">
        <f t="shared" si="64"/>
        <v/>
      </c>
    </row>
    <row r="837" spans="1:13" x14ac:dyDescent="0.15">
      <c r="A837" s="163" t="s">
        <v>210</v>
      </c>
      <c r="B837" s="163">
        <v>42299.523091030096</v>
      </c>
      <c r="C837" s="164" t="s">
        <v>1171</v>
      </c>
      <c r="D837" s="164" t="s">
        <v>13</v>
      </c>
      <c r="E837" s="165">
        <v>200</v>
      </c>
      <c r="F837" s="166">
        <v>0</v>
      </c>
      <c r="G837" s="227">
        <f>IF($B$2,IF(ROWS(B$6:$B837) = 1,$B837-Start_Date,$B837-$B836),"")</f>
        <v>2.1091782473376952E-3</v>
      </c>
      <c r="H837" s="29">
        <f>IF($B$2,IF(ROWS(B$6:$B837) = 1,IF(COUNTIFS(R_Schedule_Times,"&lt;"&amp;B837),INDEX(R_Schedule_Amounts,MATCH(B837,R_Schedule_Times,1)),Starting_Cash),IF(COUNTIFS(R_Schedule_Times,"&gt;"&amp;B836,R_Schedule_Times,"&lt;"&amp;B837),INDEX(R_Schedule_Amounts,MATCH(B837,R_Schedule_Times,1)),K836)),"")</f>
        <v>17500</v>
      </c>
      <c r="I837" s="30">
        <f t="shared" si="60"/>
        <v>200</v>
      </c>
      <c r="J837" s="31">
        <f t="shared" si="61"/>
        <v>0</v>
      </c>
      <c r="K837" s="29">
        <f t="shared" si="62"/>
        <v>17300</v>
      </c>
      <c r="L837" s="31" t="str">
        <f t="shared" si="63"/>
        <v/>
      </c>
      <c r="M837" s="31" t="str">
        <f t="shared" si="64"/>
        <v/>
      </c>
    </row>
    <row r="838" spans="1:13" x14ac:dyDescent="0.15">
      <c r="A838" s="163" t="s">
        <v>210</v>
      </c>
      <c r="B838" s="163">
        <v>42299.57249121528</v>
      </c>
      <c r="C838" s="164" t="s">
        <v>1172</v>
      </c>
      <c r="D838" s="164" t="s">
        <v>13</v>
      </c>
      <c r="E838" s="165">
        <v>40</v>
      </c>
      <c r="F838" s="166">
        <v>0</v>
      </c>
      <c r="G838" s="227">
        <f>IF($B$2,IF(ROWS(B$6:$B838) = 1,$B838-Start_Date,$B838-$B837),"")</f>
        <v>4.9400185183912981E-2</v>
      </c>
      <c r="H838" s="29">
        <f>IF($B$2,IF(ROWS(B$6:$B838) = 1,IF(COUNTIFS(R_Schedule_Times,"&lt;"&amp;B838),INDEX(R_Schedule_Amounts,MATCH(B838,R_Schedule_Times,1)),Starting_Cash),IF(COUNTIFS(R_Schedule_Times,"&gt;"&amp;B837,R_Schedule_Times,"&lt;"&amp;B838),INDEX(R_Schedule_Amounts,MATCH(B838,R_Schedule_Times,1)),K837)),"")</f>
        <v>17300</v>
      </c>
      <c r="I838" s="30">
        <f t="shared" si="60"/>
        <v>40</v>
      </c>
      <c r="J838" s="31">
        <f t="shared" si="61"/>
        <v>0</v>
      </c>
      <c r="K838" s="29">
        <f t="shared" si="62"/>
        <v>17260</v>
      </c>
      <c r="L838" s="31" t="str">
        <f t="shared" si="63"/>
        <v/>
      </c>
      <c r="M838" s="31" t="str">
        <f t="shared" si="64"/>
        <v/>
      </c>
    </row>
    <row r="839" spans="1:13" x14ac:dyDescent="0.15">
      <c r="A839" s="163" t="s">
        <v>210</v>
      </c>
      <c r="B839" s="163">
        <v>42299.574833379629</v>
      </c>
      <c r="C839" s="164" t="s">
        <v>1173</v>
      </c>
      <c r="D839" s="164" t="s">
        <v>13</v>
      </c>
      <c r="E839" s="165">
        <v>80</v>
      </c>
      <c r="F839" s="166">
        <v>0</v>
      </c>
      <c r="G839" s="227">
        <f>IF($B$2,IF(ROWS(B$6:$B839) = 1,$B839-Start_Date,$B839-$B838),"")</f>
        <v>2.3421643491019495E-3</v>
      </c>
      <c r="H839" s="29">
        <f>IF($B$2,IF(ROWS(B$6:$B839) = 1,IF(COUNTIFS(R_Schedule_Times,"&lt;"&amp;B839),INDEX(R_Schedule_Amounts,MATCH(B839,R_Schedule_Times,1)),Starting_Cash),IF(COUNTIFS(R_Schedule_Times,"&gt;"&amp;B838,R_Schedule_Times,"&lt;"&amp;B839),INDEX(R_Schedule_Amounts,MATCH(B839,R_Schedule_Times,1)),K838)),"")</f>
        <v>17260</v>
      </c>
      <c r="I839" s="30">
        <f t="shared" ref="I839:I902" si="65">IF($B$2,IF(H839&gt;=E839,E839,0),"")</f>
        <v>80</v>
      </c>
      <c r="J839" s="31">
        <f t="shared" ref="J839:J902" si="66">IF($B$2,IF(H839&gt;=E839,F839,0),"")</f>
        <v>0</v>
      </c>
      <c r="K839" s="29">
        <f t="shared" ref="K839:K902" si="67">IF($B$2,ABS(I839-H839),"")</f>
        <v>17180</v>
      </c>
      <c r="L839" s="31" t="str">
        <f t="shared" ref="L839:L902" si="68">IF($B$2,IF(H839&lt;E839,"YES",""),"")</f>
        <v/>
      </c>
      <c r="M839" s="31" t="str">
        <f t="shared" ref="M839:M902" si="69">IF($B$2,IF(L839="YES",F839,""),"")</f>
        <v/>
      </c>
    </row>
    <row r="840" spans="1:13" x14ac:dyDescent="0.15">
      <c r="A840" s="163" t="s">
        <v>210</v>
      </c>
      <c r="B840" s="163">
        <v>42299.576267569442</v>
      </c>
      <c r="C840" s="164" t="s">
        <v>371</v>
      </c>
      <c r="D840" s="164" t="s">
        <v>13</v>
      </c>
      <c r="E840" s="165">
        <v>40</v>
      </c>
      <c r="F840" s="166">
        <v>0</v>
      </c>
      <c r="G840" s="227">
        <f>IF($B$2,IF(ROWS(B$6:$B840) = 1,$B840-Start_Date,$B840-$B839),"")</f>
        <v>1.4341898131533526E-3</v>
      </c>
      <c r="H840" s="29">
        <f>IF($B$2,IF(ROWS(B$6:$B840) = 1,IF(COUNTIFS(R_Schedule_Times,"&lt;"&amp;B840),INDEX(R_Schedule_Amounts,MATCH(B840,R_Schedule_Times,1)),Starting_Cash),IF(COUNTIFS(R_Schedule_Times,"&gt;"&amp;B839,R_Schedule_Times,"&lt;"&amp;B840),INDEX(R_Schedule_Amounts,MATCH(B840,R_Schedule_Times,1)),K839)),"")</f>
        <v>17180</v>
      </c>
      <c r="I840" s="30">
        <f t="shared" si="65"/>
        <v>40</v>
      </c>
      <c r="J840" s="31">
        <f t="shared" si="66"/>
        <v>0</v>
      </c>
      <c r="K840" s="29">
        <f t="shared" si="67"/>
        <v>17140</v>
      </c>
      <c r="L840" s="31" t="str">
        <f t="shared" si="68"/>
        <v/>
      </c>
      <c r="M840" s="31" t="str">
        <f t="shared" si="69"/>
        <v/>
      </c>
    </row>
    <row r="841" spans="1:13" x14ac:dyDescent="0.15">
      <c r="A841" s="163" t="s">
        <v>210</v>
      </c>
      <c r="B841" s="163">
        <v>42299.583297407407</v>
      </c>
      <c r="C841" s="164" t="s">
        <v>1174</v>
      </c>
      <c r="D841" s="164" t="s">
        <v>13</v>
      </c>
      <c r="E841" s="165">
        <v>100</v>
      </c>
      <c r="F841" s="166">
        <v>0</v>
      </c>
      <c r="G841" s="227">
        <f>IF($B$2,IF(ROWS(B$6:$B841) = 1,$B841-Start_Date,$B841-$B840),"")</f>
        <v>7.0298379650921561E-3</v>
      </c>
      <c r="H841" s="29">
        <f>IF($B$2,IF(ROWS(B$6:$B841) = 1,IF(COUNTIFS(R_Schedule_Times,"&lt;"&amp;B841),INDEX(R_Schedule_Amounts,MATCH(B841,R_Schedule_Times,1)),Starting_Cash),IF(COUNTIFS(R_Schedule_Times,"&gt;"&amp;B840,R_Schedule_Times,"&lt;"&amp;B841),INDEX(R_Schedule_Amounts,MATCH(B841,R_Schedule_Times,1)),K840)),"")</f>
        <v>17140</v>
      </c>
      <c r="I841" s="30">
        <f t="shared" si="65"/>
        <v>100</v>
      </c>
      <c r="J841" s="31">
        <f t="shared" si="66"/>
        <v>0</v>
      </c>
      <c r="K841" s="29">
        <f t="shared" si="67"/>
        <v>17040</v>
      </c>
      <c r="L841" s="31" t="str">
        <f t="shared" si="68"/>
        <v/>
      </c>
      <c r="M841" s="31" t="str">
        <f t="shared" si="69"/>
        <v/>
      </c>
    </row>
    <row r="842" spans="1:13" x14ac:dyDescent="0.15">
      <c r="A842" s="163" t="s">
        <v>210</v>
      </c>
      <c r="B842" s="163">
        <v>42299.59392728009</v>
      </c>
      <c r="C842" s="164" t="s">
        <v>1175</v>
      </c>
      <c r="D842" s="164" t="s">
        <v>13</v>
      </c>
      <c r="E842" s="165">
        <v>100</v>
      </c>
      <c r="F842" s="166">
        <v>0</v>
      </c>
      <c r="G842" s="227">
        <f>IF($B$2,IF(ROWS(B$6:$B842) = 1,$B842-Start_Date,$B842-$B841),"")</f>
        <v>1.0629872682329733E-2</v>
      </c>
      <c r="H842" s="29">
        <f>IF($B$2,IF(ROWS(B$6:$B842) = 1,IF(COUNTIFS(R_Schedule_Times,"&lt;"&amp;B842),INDEX(R_Schedule_Amounts,MATCH(B842,R_Schedule_Times,1)),Starting_Cash),IF(COUNTIFS(R_Schedule_Times,"&gt;"&amp;B841,R_Schedule_Times,"&lt;"&amp;B842),INDEX(R_Schedule_Amounts,MATCH(B842,R_Schedule_Times,1)),K841)),"")</f>
        <v>17040</v>
      </c>
      <c r="I842" s="30">
        <f t="shared" si="65"/>
        <v>100</v>
      </c>
      <c r="J842" s="31">
        <f t="shared" si="66"/>
        <v>0</v>
      </c>
      <c r="K842" s="29">
        <f t="shared" si="67"/>
        <v>16940</v>
      </c>
      <c r="L842" s="31" t="str">
        <f t="shared" si="68"/>
        <v/>
      </c>
      <c r="M842" s="31" t="str">
        <f t="shared" si="69"/>
        <v/>
      </c>
    </row>
    <row r="843" spans="1:13" x14ac:dyDescent="0.15">
      <c r="A843" s="163" t="s">
        <v>210</v>
      </c>
      <c r="B843" s="163">
        <v>42299.647972453706</v>
      </c>
      <c r="C843" s="164" t="s">
        <v>1176</v>
      </c>
      <c r="D843" s="164" t="s">
        <v>13</v>
      </c>
      <c r="E843" s="165">
        <v>100</v>
      </c>
      <c r="F843" s="166">
        <v>0</v>
      </c>
      <c r="G843" s="227">
        <f>IF($B$2,IF(ROWS(B$6:$B843) = 1,$B843-Start_Date,$B843-$B842),"")</f>
        <v>5.4045173616032116E-2</v>
      </c>
      <c r="H843" s="29">
        <f>IF($B$2,IF(ROWS(B$6:$B843) = 1,IF(COUNTIFS(R_Schedule_Times,"&lt;"&amp;B843),INDEX(R_Schedule_Amounts,MATCH(B843,R_Schedule_Times,1)),Starting_Cash),IF(COUNTIFS(R_Schedule_Times,"&gt;"&amp;B842,R_Schedule_Times,"&lt;"&amp;B843),INDEX(R_Schedule_Amounts,MATCH(B843,R_Schedule_Times,1)),K842)),"")</f>
        <v>16940</v>
      </c>
      <c r="I843" s="30">
        <f t="shared" si="65"/>
        <v>100</v>
      </c>
      <c r="J843" s="31">
        <f t="shared" si="66"/>
        <v>0</v>
      </c>
      <c r="K843" s="29">
        <f t="shared" si="67"/>
        <v>16840</v>
      </c>
      <c r="L843" s="31" t="str">
        <f t="shared" si="68"/>
        <v/>
      </c>
      <c r="M843" s="31" t="str">
        <f t="shared" si="69"/>
        <v/>
      </c>
    </row>
    <row r="844" spans="1:13" x14ac:dyDescent="0.15">
      <c r="A844" s="163" t="s">
        <v>210</v>
      </c>
      <c r="B844" s="163">
        <v>42299.650168460648</v>
      </c>
      <c r="C844" s="164" t="s">
        <v>1177</v>
      </c>
      <c r="D844" s="164" t="s">
        <v>13</v>
      </c>
      <c r="E844" s="165">
        <v>20</v>
      </c>
      <c r="F844" s="166">
        <v>0</v>
      </c>
      <c r="G844" s="227">
        <f>IF($B$2,IF(ROWS(B$6:$B844) = 1,$B844-Start_Date,$B844-$B843),"")</f>
        <v>2.1960069425404072E-3</v>
      </c>
      <c r="H844" s="29">
        <f>IF($B$2,IF(ROWS(B$6:$B844) = 1,IF(COUNTIFS(R_Schedule_Times,"&lt;"&amp;B844),INDEX(R_Schedule_Amounts,MATCH(B844,R_Schedule_Times,1)),Starting_Cash),IF(COUNTIFS(R_Schedule_Times,"&gt;"&amp;B843,R_Schedule_Times,"&lt;"&amp;B844),INDEX(R_Schedule_Amounts,MATCH(B844,R_Schedule_Times,1)),K843)),"")</f>
        <v>16840</v>
      </c>
      <c r="I844" s="30">
        <f t="shared" si="65"/>
        <v>20</v>
      </c>
      <c r="J844" s="31">
        <f t="shared" si="66"/>
        <v>0</v>
      </c>
      <c r="K844" s="29">
        <f t="shared" si="67"/>
        <v>16820</v>
      </c>
      <c r="L844" s="31" t="str">
        <f t="shared" si="68"/>
        <v/>
      </c>
      <c r="M844" s="31" t="str">
        <f t="shared" si="69"/>
        <v/>
      </c>
    </row>
    <row r="845" spans="1:13" x14ac:dyDescent="0.15">
      <c r="A845" s="163" t="s">
        <v>210</v>
      </c>
      <c r="B845" s="163">
        <v>42299.655733333333</v>
      </c>
      <c r="C845" s="164" t="s">
        <v>1178</v>
      </c>
      <c r="D845" s="164" t="s">
        <v>13</v>
      </c>
      <c r="E845" s="165">
        <v>40</v>
      </c>
      <c r="F845" s="166">
        <v>0</v>
      </c>
      <c r="G845" s="227">
        <f>IF($B$2,IF(ROWS(B$6:$B845) = 1,$B845-Start_Date,$B845-$B844),"")</f>
        <v>5.5648726847721264E-3</v>
      </c>
      <c r="H845" s="29">
        <f>IF($B$2,IF(ROWS(B$6:$B845) = 1,IF(COUNTIFS(R_Schedule_Times,"&lt;"&amp;B845),INDEX(R_Schedule_Amounts,MATCH(B845,R_Schedule_Times,1)),Starting_Cash),IF(COUNTIFS(R_Schedule_Times,"&gt;"&amp;B844,R_Schedule_Times,"&lt;"&amp;B845),INDEX(R_Schedule_Amounts,MATCH(B845,R_Schedule_Times,1)),K844)),"")</f>
        <v>16820</v>
      </c>
      <c r="I845" s="30">
        <f t="shared" si="65"/>
        <v>40</v>
      </c>
      <c r="J845" s="31">
        <f t="shared" si="66"/>
        <v>0</v>
      </c>
      <c r="K845" s="29">
        <f t="shared" si="67"/>
        <v>16780</v>
      </c>
      <c r="L845" s="31" t="str">
        <f t="shared" si="68"/>
        <v/>
      </c>
      <c r="M845" s="31" t="str">
        <f t="shared" si="69"/>
        <v/>
      </c>
    </row>
    <row r="846" spans="1:13" x14ac:dyDescent="0.15">
      <c r="A846" s="163" t="s">
        <v>210</v>
      </c>
      <c r="B846" s="163">
        <v>42299.686236956019</v>
      </c>
      <c r="C846" s="164" t="s">
        <v>1179</v>
      </c>
      <c r="D846" s="164" t="s">
        <v>13</v>
      </c>
      <c r="E846" s="165">
        <v>40</v>
      </c>
      <c r="F846" s="166">
        <v>0</v>
      </c>
      <c r="G846" s="227">
        <f>IF($B$2,IF(ROWS(B$6:$B846) = 1,$B846-Start_Date,$B846-$B845),"")</f>
        <v>3.0503622685500886E-2</v>
      </c>
      <c r="H846" s="29">
        <f>IF($B$2,IF(ROWS(B$6:$B846) = 1,IF(COUNTIFS(R_Schedule_Times,"&lt;"&amp;B846),INDEX(R_Schedule_Amounts,MATCH(B846,R_Schedule_Times,1)),Starting_Cash),IF(COUNTIFS(R_Schedule_Times,"&gt;"&amp;B845,R_Schedule_Times,"&lt;"&amp;B846),INDEX(R_Schedule_Amounts,MATCH(B846,R_Schedule_Times,1)),K845)),"")</f>
        <v>16780</v>
      </c>
      <c r="I846" s="30">
        <f t="shared" si="65"/>
        <v>40</v>
      </c>
      <c r="J846" s="31">
        <f t="shared" si="66"/>
        <v>0</v>
      </c>
      <c r="K846" s="29">
        <f t="shared" si="67"/>
        <v>16740</v>
      </c>
      <c r="L846" s="31" t="str">
        <f t="shared" si="68"/>
        <v/>
      </c>
      <c r="M846" s="31" t="str">
        <f t="shared" si="69"/>
        <v/>
      </c>
    </row>
    <row r="847" spans="1:13" x14ac:dyDescent="0.15">
      <c r="A847" s="163" t="s">
        <v>210</v>
      </c>
      <c r="B847" s="163">
        <v>42299.711274201392</v>
      </c>
      <c r="C847" s="164" t="s">
        <v>1180</v>
      </c>
      <c r="D847" s="164" t="s">
        <v>13</v>
      </c>
      <c r="E847" s="165">
        <v>200</v>
      </c>
      <c r="F847" s="166">
        <v>0</v>
      </c>
      <c r="G847" s="227">
        <f>IF($B$2,IF(ROWS(B$6:$B847) = 1,$B847-Start_Date,$B847-$B846),"")</f>
        <v>2.503724537382368E-2</v>
      </c>
      <c r="H847" s="29">
        <f>IF($B$2,IF(ROWS(B$6:$B847) = 1,IF(COUNTIFS(R_Schedule_Times,"&lt;"&amp;B847),INDEX(R_Schedule_Amounts,MATCH(B847,R_Schedule_Times,1)),Starting_Cash),IF(COUNTIFS(R_Schedule_Times,"&gt;"&amp;B846,R_Schedule_Times,"&lt;"&amp;B847),INDEX(R_Schedule_Amounts,MATCH(B847,R_Schedule_Times,1)),K846)),"")</f>
        <v>16740</v>
      </c>
      <c r="I847" s="30">
        <f t="shared" si="65"/>
        <v>200</v>
      </c>
      <c r="J847" s="31">
        <f t="shared" si="66"/>
        <v>0</v>
      </c>
      <c r="K847" s="29">
        <f t="shared" si="67"/>
        <v>16540</v>
      </c>
      <c r="L847" s="31" t="str">
        <f t="shared" si="68"/>
        <v/>
      </c>
      <c r="M847" s="31" t="str">
        <f t="shared" si="69"/>
        <v/>
      </c>
    </row>
    <row r="848" spans="1:13" x14ac:dyDescent="0.15">
      <c r="A848" s="163" t="s">
        <v>210</v>
      </c>
      <c r="B848" s="163">
        <v>42299.727249456017</v>
      </c>
      <c r="C848" s="164" t="s">
        <v>1181</v>
      </c>
      <c r="D848" s="164" t="s">
        <v>13</v>
      </c>
      <c r="E848" s="165">
        <v>200</v>
      </c>
      <c r="F848" s="166">
        <v>0</v>
      </c>
      <c r="G848" s="227">
        <f>IF($B$2,IF(ROWS(B$6:$B848) = 1,$B848-Start_Date,$B848-$B847),"")</f>
        <v>1.5975254624208901E-2</v>
      </c>
      <c r="H848" s="29">
        <f>IF($B$2,IF(ROWS(B$6:$B848) = 1,IF(COUNTIFS(R_Schedule_Times,"&lt;"&amp;B848),INDEX(R_Schedule_Amounts,MATCH(B848,R_Schedule_Times,1)),Starting_Cash),IF(COUNTIFS(R_Schedule_Times,"&gt;"&amp;B847,R_Schedule_Times,"&lt;"&amp;B848),INDEX(R_Schedule_Amounts,MATCH(B848,R_Schedule_Times,1)),K847)),"")</f>
        <v>16540</v>
      </c>
      <c r="I848" s="30">
        <f t="shared" si="65"/>
        <v>200</v>
      </c>
      <c r="J848" s="31">
        <f t="shared" si="66"/>
        <v>0</v>
      </c>
      <c r="K848" s="29">
        <f t="shared" si="67"/>
        <v>16340</v>
      </c>
      <c r="L848" s="31" t="str">
        <f t="shared" si="68"/>
        <v/>
      </c>
      <c r="M848" s="31" t="str">
        <f t="shared" si="69"/>
        <v/>
      </c>
    </row>
    <row r="849" spans="1:13" x14ac:dyDescent="0.15">
      <c r="A849" s="163" t="s">
        <v>210</v>
      </c>
      <c r="B849" s="163">
        <v>42299.738719930552</v>
      </c>
      <c r="C849" s="164" t="s">
        <v>1182</v>
      </c>
      <c r="D849" s="164" t="s">
        <v>13</v>
      </c>
      <c r="E849" s="165">
        <v>200</v>
      </c>
      <c r="F849" s="166">
        <v>0</v>
      </c>
      <c r="G849" s="227">
        <f>IF($B$2,IF(ROWS(B$6:$B849) = 1,$B849-Start_Date,$B849-$B848),"")</f>
        <v>1.1470474535599351E-2</v>
      </c>
      <c r="H849" s="29">
        <f>IF($B$2,IF(ROWS(B$6:$B849) = 1,IF(COUNTIFS(R_Schedule_Times,"&lt;"&amp;B849),INDEX(R_Schedule_Amounts,MATCH(B849,R_Schedule_Times,1)),Starting_Cash),IF(COUNTIFS(R_Schedule_Times,"&gt;"&amp;B848,R_Schedule_Times,"&lt;"&amp;B849),INDEX(R_Schedule_Amounts,MATCH(B849,R_Schedule_Times,1)),K848)),"")</f>
        <v>16340</v>
      </c>
      <c r="I849" s="30">
        <f t="shared" si="65"/>
        <v>200</v>
      </c>
      <c r="J849" s="31">
        <f t="shared" si="66"/>
        <v>0</v>
      </c>
      <c r="K849" s="29">
        <f t="shared" si="67"/>
        <v>16140</v>
      </c>
      <c r="L849" s="31" t="str">
        <f t="shared" si="68"/>
        <v/>
      </c>
      <c r="M849" s="31" t="str">
        <f t="shared" si="69"/>
        <v/>
      </c>
    </row>
    <row r="850" spans="1:13" x14ac:dyDescent="0.15">
      <c r="A850" s="163" t="s">
        <v>210</v>
      </c>
      <c r="B850" s="163">
        <v>42299.759583009261</v>
      </c>
      <c r="C850" s="164" t="s">
        <v>1183</v>
      </c>
      <c r="D850" s="164" t="s">
        <v>13</v>
      </c>
      <c r="E850" s="165">
        <v>40</v>
      </c>
      <c r="F850" s="166">
        <v>0</v>
      </c>
      <c r="G850" s="227">
        <f>IF($B$2,IF(ROWS(B$6:$B850) = 1,$B850-Start_Date,$B850-$B849),"")</f>
        <v>2.0863078709226102E-2</v>
      </c>
      <c r="H850" s="29">
        <f>IF($B$2,IF(ROWS(B$6:$B850) = 1,IF(COUNTIFS(R_Schedule_Times,"&lt;"&amp;B850),INDEX(R_Schedule_Amounts,MATCH(B850,R_Schedule_Times,1)),Starting_Cash),IF(COUNTIFS(R_Schedule_Times,"&gt;"&amp;B849,R_Schedule_Times,"&lt;"&amp;B850),INDEX(R_Schedule_Amounts,MATCH(B850,R_Schedule_Times,1)),K849)),"")</f>
        <v>16140</v>
      </c>
      <c r="I850" s="30">
        <f t="shared" si="65"/>
        <v>40</v>
      </c>
      <c r="J850" s="31">
        <f t="shared" si="66"/>
        <v>0</v>
      </c>
      <c r="K850" s="29">
        <f t="shared" si="67"/>
        <v>16100</v>
      </c>
      <c r="L850" s="31" t="str">
        <f t="shared" si="68"/>
        <v/>
      </c>
      <c r="M850" s="31" t="str">
        <f t="shared" si="69"/>
        <v/>
      </c>
    </row>
    <row r="851" spans="1:13" x14ac:dyDescent="0.15">
      <c r="A851" s="163" t="s">
        <v>210</v>
      </c>
      <c r="B851" s="163">
        <v>42299.760200011573</v>
      </c>
      <c r="C851" s="164" t="s">
        <v>1184</v>
      </c>
      <c r="D851" s="164" t="s">
        <v>13</v>
      </c>
      <c r="E851" s="165">
        <v>20</v>
      </c>
      <c r="F851" s="166">
        <v>0</v>
      </c>
      <c r="G851" s="227">
        <f>IF($B$2,IF(ROWS(B$6:$B851) = 1,$B851-Start_Date,$B851-$B850),"")</f>
        <v>6.1700231162831187E-4</v>
      </c>
      <c r="H851" s="29">
        <f>IF($B$2,IF(ROWS(B$6:$B851) = 1,IF(COUNTIFS(R_Schedule_Times,"&lt;"&amp;B851),INDEX(R_Schedule_Amounts,MATCH(B851,R_Schedule_Times,1)),Starting_Cash),IF(COUNTIFS(R_Schedule_Times,"&gt;"&amp;B850,R_Schedule_Times,"&lt;"&amp;B851),INDEX(R_Schedule_Amounts,MATCH(B851,R_Schedule_Times,1)),K850)),"")</f>
        <v>16100</v>
      </c>
      <c r="I851" s="30">
        <f t="shared" si="65"/>
        <v>20</v>
      </c>
      <c r="J851" s="31">
        <f t="shared" si="66"/>
        <v>0</v>
      </c>
      <c r="K851" s="29">
        <f t="shared" si="67"/>
        <v>16080</v>
      </c>
      <c r="L851" s="31" t="str">
        <f t="shared" si="68"/>
        <v/>
      </c>
      <c r="M851" s="31" t="str">
        <f t="shared" si="69"/>
        <v/>
      </c>
    </row>
    <row r="852" spans="1:13" x14ac:dyDescent="0.15">
      <c r="A852" s="163" t="s">
        <v>210</v>
      </c>
      <c r="B852" s="163">
        <v>42299.774843749998</v>
      </c>
      <c r="C852" s="164" t="s">
        <v>1185</v>
      </c>
      <c r="D852" s="164" t="s">
        <v>15</v>
      </c>
      <c r="E852" s="165">
        <v>100</v>
      </c>
      <c r="F852" s="166">
        <v>3</v>
      </c>
      <c r="G852" s="227">
        <f>IF($B$2,IF(ROWS(B$6:$B852) = 1,$B852-Start_Date,$B852-$B851),"")</f>
        <v>1.4643738424638286E-2</v>
      </c>
      <c r="H852" s="29">
        <f>IF($B$2,IF(ROWS(B$6:$B852) = 1,IF(COUNTIFS(R_Schedule_Times,"&lt;"&amp;B852),INDEX(R_Schedule_Amounts,MATCH(B852,R_Schedule_Times,1)),Starting_Cash),IF(COUNTIFS(R_Schedule_Times,"&gt;"&amp;B851,R_Schedule_Times,"&lt;"&amp;B852),INDEX(R_Schedule_Amounts,MATCH(B852,R_Schedule_Times,1)),K851)),"")</f>
        <v>16080</v>
      </c>
      <c r="I852" s="30">
        <f t="shared" si="65"/>
        <v>100</v>
      </c>
      <c r="J852" s="31">
        <f t="shared" si="66"/>
        <v>3</v>
      </c>
      <c r="K852" s="29">
        <f t="shared" si="67"/>
        <v>15980</v>
      </c>
      <c r="L852" s="31" t="str">
        <f t="shared" si="68"/>
        <v/>
      </c>
      <c r="M852" s="31" t="str">
        <f t="shared" si="69"/>
        <v/>
      </c>
    </row>
    <row r="853" spans="1:13" x14ac:dyDescent="0.15">
      <c r="A853" s="163" t="s">
        <v>210</v>
      </c>
      <c r="B853" s="163">
        <v>42299.779869120372</v>
      </c>
      <c r="C853" s="164" t="s">
        <v>1186</v>
      </c>
      <c r="D853" s="164" t="s">
        <v>13</v>
      </c>
      <c r="E853" s="165">
        <v>100</v>
      </c>
      <c r="F853" s="166">
        <v>0</v>
      </c>
      <c r="G853" s="227">
        <f>IF($B$2,IF(ROWS(B$6:$B853) = 1,$B853-Start_Date,$B853-$B852),"")</f>
        <v>5.0253703739144839E-3</v>
      </c>
      <c r="H853" s="29">
        <f>IF($B$2,IF(ROWS(B$6:$B853) = 1,IF(COUNTIFS(R_Schedule_Times,"&lt;"&amp;B853),INDEX(R_Schedule_Amounts,MATCH(B853,R_Schedule_Times,1)),Starting_Cash),IF(COUNTIFS(R_Schedule_Times,"&gt;"&amp;B852,R_Schedule_Times,"&lt;"&amp;B853),INDEX(R_Schedule_Amounts,MATCH(B853,R_Schedule_Times,1)),K852)),"")</f>
        <v>15980</v>
      </c>
      <c r="I853" s="30">
        <f t="shared" si="65"/>
        <v>100</v>
      </c>
      <c r="J853" s="31">
        <f t="shared" si="66"/>
        <v>0</v>
      </c>
      <c r="K853" s="29">
        <f t="shared" si="67"/>
        <v>15880</v>
      </c>
      <c r="L853" s="31" t="str">
        <f t="shared" si="68"/>
        <v/>
      </c>
      <c r="M853" s="31" t="str">
        <f t="shared" si="69"/>
        <v/>
      </c>
    </row>
    <row r="854" spans="1:13" x14ac:dyDescent="0.15">
      <c r="A854" s="163" t="s">
        <v>210</v>
      </c>
      <c r="B854" s="163">
        <v>42299.831857881945</v>
      </c>
      <c r="C854" s="164" t="s">
        <v>93</v>
      </c>
      <c r="D854" s="164" t="s">
        <v>13</v>
      </c>
      <c r="E854" s="165">
        <v>160</v>
      </c>
      <c r="F854" s="166">
        <v>0</v>
      </c>
      <c r="G854" s="227">
        <f>IF($B$2,IF(ROWS(B$6:$B854) = 1,$B854-Start_Date,$B854-$B853),"")</f>
        <v>5.1988761573738884E-2</v>
      </c>
      <c r="H854" s="29">
        <f>IF($B$2,IF(ROWS(B$6:$B854) = 1,IF(COUNTIFS(R_Schedule_Times,"&lt;"&amp;B854),INDEX(R_Schedule_Amounts,MATCH(B854,R_Schedule_Times,1)),Starting_Cash),IF(COUNTIFS(R_Schedule_Times,"&gt;"&amp;B853,R_Schedule_Times,"&lt;"&amp;B854),INDEX(R_Schedule_Amounts,MATCH(B854,R_Schedule_Times,1)),K853)),"")</f>
        <v>15880</v>
      </c>
      <c r="I854" s="30">
        <f t="shared" si="65"/>
        <v>160</v>
      </c>
      <c r="J854" s="31">
        <f t="shared" si="66"/>
        <v>0</v>
      </c>
      <c r="K854" s="29">
        <f t="shared" si="67"/>
        <v>15720</v>
      </c>
      <c r="L854" s="31" t="str">
        <f t="shared" si="68"/>
        <v/>
      </c>
      <c r="M854" s="31" t="str">
        <f t="shared" si="69"/>
        <v/>
      </c>
    </row>
    <row r="855" spans="1:13" x14ac:dyDescent="0.15">
      <c r="A855" s="163" t="s">
        <v>210</v>
      </c>
      <c r="B855" s="163">
        <v>42299.842837847224</v>
      </c>
      <c r="C855" s="164" t="s">
        <v>1187</v>
      </c>
      <c r="D855" s="164" t="s">
        <v>13</v>
      </c>
      <c r="E855" s="165">
        <v>20</v>
      </c>
      <c r="F855" s="166">
        <v>0</v>
      </c>
      <c r="G855" s="227">
        <f>IF($B$2,IF(ROWS(B$6:$B855) = 1,$B855-Start_Date,$B855-$B854),"")</f>
        <v>1.0979965278238524E-2</v>
      </c>
      <c r="H855" s="29">
        <f>IF($B$2,IF(ROWS(B$6:$B855) = 1,IF(COUNTIFS(R_Schedule_Times,"&lt;"&amp;B855),INDEX(R_Schedule_Amounts,MATCH(B855,R_Schedule_Times,1)),Starting_Cash),IF(COUNTIFS(R_Schedule_Times,"&gt;"&amp;B854,R_Schedule_Times,"&lt;"&amp;B855),INDEX(R_Schedule_Amounts,MATCH(B855,R_Schedule_Times,1)),K854)),"")</f>
        <v>15720</v>
      </c>
      <c r="I855" s="30">
        <f t="shared" si="65"/>
        <v>20</v>
      </c>
      <c r="J855" s="31">
        <f t="shared" si="66"/>
        <v>0</v>
      </c>
      <c r="K855" s="29">
        <f t="shared" si="67"/>
        <v>15700</v>
      </c>
      <c r="L855" s="31" t="str">
        <f t="shared" si="68"/>
        <v/>
      </c>
      <c r="M855" s="31" t="str">
        <f t="shared" si="69"/>
        <v/>
      </c>
    </row>
    <row r="856" spans="1:13" x14ac:dyDescent="0.15">
      <c r="A856" s="163" t="s">
        <v>210</v>
      </c>
      <c r="B856" s="163">
        <v>42299.857572141205</v>
      </c>
      <c r="C856" s="164" t="s">
        <v>1188</v>
      </c>
      <c r="D856" s="164" t="s">
        <v>13</v>
      </c>
      <c r="E856" s="165">
        <v>100</v>
      </c>
      <c r="F856" s="166">
        <v>0</v>
      </c>
      <c r="G856" s="227">
        <f>IF($B$2,IF(ROWS(B$6:$B856) = 1,$B856-Start_Date,$B856-$B855),"")</f>
        <v>1.4734293981746305E-2</v>
      </c>
      <c r="H856" s="29">
        <f>IF($B$2,IF(ROWS(B$6:$B856) = 1,IF(COUNTIFS(R_Schedule_Times,"&lt;"&amp;B856),INDEX(R_Schedule_Amounts,MATCH(B856,R_Schedule_Times,1)),Starting_Cash),IF(COUNTIFS(R_Schedule_Times,"&gt;"&amp;B855,R_Schedule_Times,"&lt;"&amp;B856),INDEX(R_Schedule_Amounts,MATCH(B856,R_Schedule_Times,1)),K855)),"")</f>
        <v>15700</v>
      </c>
      <c r="I856" s="30">
        <f t="shared" si="65"/>
        <v>100</v>
      </c>
      <c r="J856" s="31">
        <f t="shared" si="66"/>
        <v>0</v>
      </c>
      <c r="K856" s="29">
        <f t="shared" si="67"/>
        <v>15600</v>
      </c>
      <c r="L856" s="31" t="str">
        <f t="shared" si="68"/>
        <v/>
      </c>
      <c r="M856" s="31" t="str">
        <f t="shared" si="69"/>
        <v/>
      </c>
    </row>
    <row r="857" spans="1:13" x14ac:dyDescent="0.15">
      <c r="A857" s="163" t="s">
        <v>210</v>
      </c>
      <c r="B857" s="163">
        <v>42299.875299027779</v>
      </c>
      <c r="C857" s="164" t="s">
        <v>1189</v>
      </c>
      <c r="D857" s="164" t="s">
        <v>13</v>
      </c>
      <c r="E857" s="165">
        <v>20</v>
      </c>
      <c r="F857" s="166">
        <v>0</v>
      </c>
      <c r="G857" s="227">
        <f>IF($B$2,IF(ROWS(B$6:$B857) = 1,$B857-Start_Date,$B857-$B856),"")</f>
        <v>1.7726886573655065E-2</v>
      </c>
      <c r="H857" s="29">
        <f>IF($B$2,IF(ROWS(B$6:$B857) = 1,IF(COUNTIFS(R_Schedule_Times,"&lt;"&amp;B857),INDEX(R_Schedule_Amounts,MATCH(B857,R_Schedule_Times,1)),Starting_Cash),IF(COUNTIFS(R_Schedule_Times,"&gt;"&amp;B856,R_Schedule_Times,"&lt;"&amp;B857),INDEX(R_Schedule_Amounts,MATCH(B857,R_Schedule_Times,1)),K856)),"")</f>
        <v>15600</v>
      </c>
      <c r="I857" s="30">
        <f t="shared" si="65"/>
        <v>20</v>
      </c>
      <c r="J857" s="31">
        <f t="shared" si="66"/>
        <v>0</v>
      </c>
      <c r="K857" s="29">
        <f t="shared" si="67"/>
        <v>15580</v>
      </c>
      <c r="L857" s="31" t="str">
        <f t="shared" si="68"/>
        <v/>
      </c>
      <c r="M857" s="31" t="str">
        <f t="shared" si="69"/>
        <v/>
      </c>
    </row>
    <row r="858" spans="1:13" x14ac:dyDescent="0.15">
      <c r="A858" s="163" t="s">
        <v>210</v>
      </c>
      <c r="B858" s="163">
        <v>42299.924558530096</v>
      </c>
      <c r="C858" s="164" t="s">
        <v>1190</v>
      </c>
      <c r="D858" s="164" t="s">
        <v>13</v>
      </c>
      <c r="E858" s="165">
        <v>200</v>
      </c>
      <c r="F858" s="166">
        <v>0</v>
      </c>
      <c r="G858" s="227">
        <f>IF($B$2,IF(ROWS(B$6:$B858) = 1,$B858-Start_Date,$B858-$B857),"")</f>
        <v>4.9259502316999715E-2</v>
      </c>
      <c r="H858" s="29">
        <f>IF($B$2,IF(ROWS(B$6:$B858) = 1,IF(COUNTIFS(R_Schedule_Times,"&lt;"&amp;B858),INDEX(R_Schedule_Amounts,MATCH(B858,R_Schedule_Times,1)),Starting_Cash),IF(COUNTIFS(R_Schedule_Times,"&gt;"&amp;B857,R_Schedule_Times,"&lt;"&amp;B858),INDEX(R_Schedule_Amounts,MATCH(B858,R_Schedule_Times,1)),K857)),"")</f>
        <v>15580</v>
      </c>
      <c r="I858" s="30">
        <f t="shared" si="65"/>
        <v>200</v>
      </c>
      <c r="J858" s="31">
        <f t="shared" si="66"/>
        <v>0</v>
      </c>
      <c r="K858" s="29">
        <f t="shared" si="67"/>
        <v>15380</v>
      </c>
      <c r="L858" s="31" t="str">
        <f t="shared" si="68"/>
        <v/>
      </c>
      <c r="M858" s="31" t="str">
        <f t="shared" si="69"/>
        <v/>
      </c>
    </row>
    <row r="859" spans="1:13" x14ac:dyDescent="0.15">
      <c r="A859" s="163" t="s">
        <v>210</v>
      </c>
      <c r="B859" s="163">
        <v>42300.068048506946</v>
      </c>
      <c r="C859" s="164" t="s">
        <v>1191</v>
      </c>
      <c r="D859" s="164" t="s">
        <v>13</v>
      </c>
      <c r="E859" s="165">
        <v>80</v>
      </c>
      <c r="F859" s="166">
        <v>0</v>
      </c>
      <c r="G859" s="227">
        <f>IF($B$2,IF(ROWS(B$6:$B859) = 1,$B859-Start_Date,$B859-$B858),"")</f>
        <v>0.14348997685010545</v>
      </c>
      <c r="H859" s="29">
        <f>IF($B$2,IF(ROWS(B$6:$B859) = 1,IF(COUNTIFS(R_Schedule_Times,"&lt;"&amp;B859),INDEX(R_Schedule_Amounts,MATCH(B859,R_Schedule_Times,1)),Starting_Cash),IF(COUNTIFS(R_Schedule_Times,"&gt;"&amp;B858,R_Schedule_Times,"&lt;"&amp;B859),INDEX(R_Schedule_Amounts,MATCH(B859,R_Schedule_Times,1)),K858)),"")</f>
        <v>15380</v>
      </c>
      <c r="I859" s="30">
        <f t="shared" si="65"/>
        <v>80</v>
      </c>
      <c r="J859" s="31">
        <f t="shared" si="66"/>
        <v>0</v>
      </c>
      <c r="K859" s="29">
        <f t="shared" si="67"/>
        <v>15300</v>
      </c>
      <c r="L859" s="31" t="str">
        <f t="shared" si="68"/>
        <v/>
      </c>
      <c r="M859" s="31" t="str">
        <f t="shared" si="69"/>
        <v/>
      </c>
    </row>
    <row r="860" spans="1:13" x14ac:dyDescent="0.15">
      <c r="A860" s="163" t="s">
        <v>210</v>
      </c>
      <c r="B860" s="163">
        <v>42300.276306412037</v>
      </c>
      <c r="C860" s="164" t="s">
        <v>175</v>
      </c>
      <c r="D860" s="164" t="s">
        <v>13</v>
      </c>
      <c r="E860" s="165">
        <v>40</v>
      </c>
      <c r="F860" s="166">
        <v>0</v>
      </c>
      <c r="G860" s="227">
        <f>IF($B$2,IF(ROWS(B$6:$B860) = 1,$B860-Start_Date,$B860-$B859),"")</f>
        <v>0.20825790509115905</v>
      </c>
      <c r="H860" s="29">
        <f>IF($B$2,IF(ROWS(B$6:$B860) = 1,IF(COUNTIFS(R_Schedule_Times,"&lt;"&amp;B860),INDEX(R_Schedule_Amounts,MATCH(B860,R_Schedule_Times,1)),Starting_Cash),IF(COUNTIFS(R_Schedule_Times,"&gt;"&amp;B859,R_Schedule_Times,"&lt;"&amp;B860),INDEX(R_Schedule_Amounts,MATCH(B860,R_Schedule_Times,1)),K859)),"")</f>
        <v>15300</v>
      </c>
      <c r="I860" s="30">
        <f t="shared" si="65"/>
        <v>40</v>
      </c>
      <c r="J860" s="31">
        <f t="shared" si="66"/>
        <v>0</v>
      </c>
      <c r="K860" s="29">
        <f t="shared" si="67"/>
        <v>15260</v>
      </c>
      <c r="L860" s="31" t="str">
        <f t="shared" si="68"/>
        <v/>
      </c>
      <c r="M860" s="31" t="str">
        <f t="shared" si="69"/>
        <v/>
      </c>
    </row>
    <row r="861" spans="1:13" x14ac:dyDescent="0.15">
      <c r="A861" s="163" t="s">
        <v>210</v>
      </c>
      <c r="B861" s="163">
        <v>42300.292640879627</v>
      </c>
      <c r="C861" s="164" t="s">
        <v>1192</v>
      </c>
      <c r="D861" s="164" t="s">
        <v>13</v>
      </c>
      <c r="E861" s="165">
        <v>80</v>
      </c>
      <c r="F861" s="166">
        <v>0</v>
      </c>
      <c r="G861" s="227">
        <f>IF($B$2,IF(ROWS(B$6:$B861) = 1,$B861-Start_Date,$B861-$B860),"")</f>
        <v>1.6334467589331325E-2</v>
      </c>
      <c r="H861" s="29">
        <f>IF($B$2,IF(ROWS(B$6:$B861) = 1,IF(COUNTIFS(R_Schedule_Times,"&lt;"&amp;B861),INDEX(R_Schedule_Amounts,MATCH(B861,R_Schedule_Times,1)),Starting_Cash),IF(COUNTIFS(R_Schedule_Times,"&gt;"&amp;B860,R_Schedule_Times,"&lt;"&amp;B861),INDEX(R_Schedule_Amounts,MATCH(B861,R_Schedule_Times,1)),K860)),"")</f>
        <v>15260</v>
      </c>
      <c r="I861" s="30">
        <f t="shared" si="65"/>
        <v>80</v>
      </c>
      <c r="J861" s="31">
        <f t="shared" si="66"/>
        <v>0</v>
      </c>
      <c r="K861" s="29">
        <f t="shared" si="67"/>
        <v>15180</v>
      </c>
      <c r="L861" s="31" t="str">
        <f t="shared" si="68"/>
        <v/>
      </c>
      <c r="M861" s="31" t="str">
        <f t="shared" si="69"/>
        <v/>
      </c>
    </row>
    <row r="862" spans="1:13" x14ac:dyDescent="0.15">
      <c r="A862" s="163" t="s">
        <v>210</v>
      </c>
      <c r="B862" s="163">
        <v>42300.309765428239</v>
      </c>
      <c r="C862" s="164" t="s">
        <v>1193</v>
      </c>
      <c r="D862" s="164" t="s">
        <v>13</v>
      </c>
      <c r="E862" s="165">
        <v>40</v>
      </c>
      <c r="F862" s="166">
        <v>0</v>
      </c>
      <c r="G862" s="227">
        <f>IF($B$2,IF(ROWS(B$6:$B862) = 1,$B862-Start_Date,$B862-$B861),"")</f>
        <v>1.7124548612628132E-2</v>
      </c>
      <c r="H862" s="29">
        <f>IF($B$2,IF(ROWS(B$6:$B862) = 1,IF(COUNTIFS(R_Schedule_Times,"&lt;"&amp;B862),INDEX(R_Schedule_Amounts,MATCH(B862,R_Schedule_Times,1)),Starting_Cash),IF(COUNTIFS(R_Schedule_Times,"&gt;"&amp;B861,R_Schedule_Times,"&lt;"&amp;B862),INDEX(R_Schedule_Amounts,MATCH(B862,R_Schedule_Times,1)),K861)),"")</f>
        <v>15180</v>
      </c>
      <c r="I862" s="30">
        <f t="shared" si="65"/>
        <v>40</v>
      </c>
      <c r="J862" s="31">
        <f t="shared" si="66"/>
        <v>0</v>
      </c>
      <c r="K862" s="29">
        <f t="shared" si="67"/>
        <v>15140</v>
      </c>
      <c r="L862" s="31" t="str">
        <f t="shared" si="68"/>
        <v/>
      </c>
      <c r="M862" s="31" t="str">
        <f t="shared" si="69"/>
        <v/>
      </c>
    </row>
    <row r="863" spans="1:13" x14ac:dyDescent="0.15">
      <c r="A863" s="163" t="s">
        <v>210</v>
      </c>
      <c r="B863" s="163">
        <v>42300.313559490744</v>
      </c>
      <c r="C863" s="164" t="s">
        <v>14</v>
      </c>
      <c r="D863" s="164" t="s">
        <v>13</v>
      </c>
      <c r="E863" s="165">
        <v>100</v>
      </c>
      <c r="F863" s="166">
        <v>3.5</v>
      </c>
      <c r="G863" s="227">
        <f>IF($B$2,IF(ROWS(B$6:$B863) = 1,$B863-Start_Date,$B863-$B862),"")</f>
        <v>3.7940625043120235E-3</v>
      </c>
      <c r="H863" s="29">
        <f>IF($B$2,IF(ROWS(B$6:$B863) = 1,IF(COUNTIFS(R_Schedule_Times,"&lt;"&amp;B863),INDEX(R_Schedule_Amounts,MATCH(B863,R_Schedule_Times,1)),Starting_Cash),IF(COUNTIFS(R_Schedule_Times,"&gt;"&amp;B862,R_Schedule_Times,"&lt;"&amp;B863),INDEX(R_Schedule_Amounts,MATCH(B863,R_Schedule_Times,1)),K862)),"")</f>
        <v>15140</v>
      </c>
      <c r="I863" s="30">
        <f t="shared" si="65"/>
        <v>100</v>
      </c>
      <c r="J863" s="31">
        <f t="shared" si="66"/>
        <v>3.5</v>
      </c>
      <c r="K863" s="29">
        <f t="shared" si="67"/>
        <v>15040</v>
      </c>
      <c r="L863" s="31" t="str">
        <f t="shared" si="68"/>
        <v/>
      </c>
      <c r="M863" s="31" t="str">
        <f t="shared" si="69"/>
        <v/>
      </c>
    </row>
    <row r="864" spans="1:13" x14ac:dyDescent="0.15">
      <c r="A864" s="163" t="s">
        <v>210</v>
      </c>
      <c r="B864" s="163">
        <v>42300.340603958335</v>
      </c>
      <c r="C864" s="164" t="s">
        <v>1194</v>
      </c>
      <c r="D864" s="164" t="s">
        <v>13</v>
      </c>
      <c r="E864" s="165">
        <v>80</v>
      </c>
      <c r="F864" s="166">
        <v>0</v>
      </c>
      <c r="G864" s="227">
        <f>IF($B$2,IF(ROWS(B$6:$B864) = 1,$B864-Start_Date,$B864-$B863),"")</f>
        <v>2.7044467591622379E-2</v>
      </c>
      <c r="H864" s="29">
        <f>IF($B$2,IF(ROWS(B$6:$B864) = 1,IF(COUNTIFS(R_Schedule_Times,"&lt;"&amp;B864),INDEX(R_Schedule_Amounts,MATCH(B864,R_Schedule_Times,1)),Starting_Cash),IF(COUNTIFS(R_Schedule_Times,"&gt;"&amp;B863,R_Schedule_Times,"&lt;"&amp;B864),INDEX(R_Schedule_Amounts,MATCH(B864,R_Schedule_Times,1)),K863)),"")</f>
        <v>15040</v>
      </c>
      <c r="I864" s="30">
        <f t="shared" si="65"/>
        <v>80</v>
      </c>
      <c r="J864" s="31">
        <f t="shared" si="66"/>
        <v>0</v>
      </c>
      <c r="K864" s="29">
        <f t="shared" si="67"/>
        <v>14960</v>
      </c>
      <c r="L864" s="31" t="str">
        <f t="shared" si="68"/>
        <v/>
      </c>
      <c r="M864" s="31" t="str">
        <f t="shared" si="69"/>
        <v/>
      </c>
    </row>
    <row r="865" spans="1:13" x14ac:dyDescent="0.15">
      <c r="A865" s="163" t="s">
        <v>210</v>
      </c>
      <c r="B865" s="163">
        <v>42300.345289999997</v>
      </c>
      <c r="C865" s="164" t="s">
        <v>1195</v>
      </c>
      <c r="D865" s="164" t="s">
        <v>13</v>
      </c>
      <c r="E865" s="165">
        <v>100</v>
      </c>
      <c r="F865" s="166">
        <v>0</v>
      </c>
      <c r="G865" s="227">
        <f>IF($B$2,IF(ROWS(B$6:$B865) = 1,$B865-Start_Date,$B865-$B864),"")</f>
        <v>4.6860416623530909E-3</v>
      </c>
      <c r="H865" s="29">
        <f>IF($B$2,IF(ROWS(B$6:$B865) = 1,IF(COUNTIFS(R_Schedule_Times,"&lt;"&amp;B865),INDEX(R_Schedule_Amounts,MATCH(B865,R_Schedule_Times,1)),Starting_Cash),IF(COUNTIFS(R_Schedule_Times,"&gt;"&amp;B864,R_Schedule_Times,"&lt;"&amp;B865),INDEX(R_Schedule_Amounts,MATCH(B865,R_Schedule_Times,1)),K864)),"")</f>
        <v>14960</v>
      </c>
      <c r="I865" s="30">
        <f t="shared" si="65"/>
        <v>100</v>
      </c>
      <c r="J865" s="31">
        <f t="shared" si="66"/>
        <v>0</v>
      </c>
      <c r="K865" s="29">
        <f t="shared" si="67"/>
        <v>14860</v>
      </c>
      <c r="L865" s="31" t="str">
        <f t="shared" si="68"/>
        <v/>
      </c>
      <c r="M865" s="31" t="str">
        <f t="shared" si="69"/>
        <v/>
      </c>
    </row>
    <row r="866" spans="1:13" x14ac:dyDescent="0.15">
      <c r="A866" s="163" t="s">
        <v>210</v>
      </c>
      <c r="B866" s="163">
        <v>42300.35677121528</v>
      </c>
      <c r="C866" s="164" t="s">
        <v>1196</v>
      </c>
      <c r="D866" s="164" t="s">
        <v>13</v>
      </c>
      <c r="E866" s="165">
        <v>100</v>
      </c>
      <c r="F866" s="166">
        <v>0</v>
      </c>
      <c r="G866" s="227">
        <f>IF($B$2,IF(ROWS(B$6:$B866) = 1,$B866-Start_Date,$B866-$B865),"")</f>
        <v>1.1481215282401536E-2</v>
      </c>
      <c r="H866" s="29">
        <f>IF($B$2,IF(ROWS(B$6:$B866) = 1,IF(COUNTIFS(R_Schedule_Times,"&lt;"&amp;B866),INDEX(R_Schedule_Amounts,MATCH(B866,R_Schedule_Times,1)),Starting_Cash),IF(COUNTIFS(R_Schedule_Times,"&gt;"&amp;B865,R_Schedule_Times,"&lt;"&amp;B866),INDEX(R_Schedule_Amounts,MATCH(B866,R_Schedule_Times,1)),K865)),"")</f>
        <v>14860</v>
      </c>
      <c r="I866" s="30">
        <f t="shared" si="65"/>
        <v>100</v>
      </c>
      <c r="J866" s="31">
        <f t="shared" si="66"/>
        <v>0</v>
      </c>
      <c r="K866" s="29">
        <f t="shared" si="67"/>
        <v>14760</v>
      </c>
      <c r="L866" s="31" t="str">
        <f t="shared" si="68"/>
        <v/>
      </c>
      <c r="M866" s="31" t="str">
        <f t="shared" si="69"/>
        <v/>
      </c>
    </row>
    <row r="867" spans="1:13" x14ac:dyDescent="0.15">
      <c r="A867" s="163" t="s">
        <v>210</v>
      </c>
      <c r="B867" s="163">
        <v>42300.40569792824</v>
      </c>
      <c r="C867" s="164" t="s">
        <v>1197</v>
      </c>
      <c r="D867" s="164" t="s">
        <v>13</v>
      </c>
      <c r="E867" s="165">
        <v>40</v>
      </c>
      <c r="F867" s="166">
        <v>0</v>
      </c>
      <c r="G867" s="227">
        <f>IF($B$2,IF(ROWS(B$6:$B867) = 1,$B867-Start_Date,$B867-$B866),"")</f>
        <v>4.8926712959655561E-2</v>
      </c>
      <c r="H867" s="29">
        <f>IF($B$2,IF(ROWS(B$6:$B867) = 1,IF(COUNTIFS(R_Schedule_Times,"&lt;"&amp;B867),INDEX(R_Schedule_Amounts,MATCH(B867,R_Schedule_Times,1)),Starting_Cash),IF(COUNTIFS(R_Schedule_Times,"&gt;"&amp;B866,R_Schedule_Times,"&lt;"&amp;B867),INDEX(R_Schedule_Amounts,MATCH(B867,R_Schedule_Times,1)),K866)),"")</f>
        <v>14760</v>
      </c>
      <c r="I867" s="30">
        <f t="shared" si="65"/>
        <v>40</v>
      </c>
      <c r="J867" s="31">
        <f t="shared" si="66"/>
        <v>0</v>
      </c>
      <c r="K867" s="29">
        <f t="shared" si="67"/>
        <v>14720</v>
      </c>
      <c r="L867" s="31" t="str">
        <f t="shared" si="68"/>
        <v/>
      </c>
      <c r="M867" s="31" t="str">
        <f t="shared" si="69"/>
        <v/>
      </c>
    </row>
    <row r="868" spans="1:13" x14ac:dyDescent="0.15">
      <c r="A868" s="163" t="s">
        <v>210</v>
      </c>
      <c r="B868" s="163">
        <v>42300.419629953707</v>
      </c>
      <c r="C868" s="164" t="s">
        <v>975</v>
      </c>
      <c r="D868" s="164" t="s">
        <v>13</v>
      </c>
      <c r="E868" s="165">
        <v>40</v>
      </c>
      <c r="F868" s="166">
        <v>0</v>
      </c>
      <c r="G868" s="227">
        <f>IF($B$2,IF(ROWS(B$6:$B868) = 1,$B868-Start_Date,$B868-$B867),"")</f>
        <v>1.3932025467511266E-2</v>
      </c>
      <c r="H868" s="29">
        <f>IF($B$2,IF(ROWS(B$6:$B868) = 1,IF(COUNTIFS(R_Schedule_Times,"&lt;"&amp;B868),INDEX(R_Schedule_Amounts,MATCH(B868,R_Schedule_Times,1)),Starting_Cash),IF(COUNTIFS(R_Schedule_Times,"&gt;"&amp;B867,R_Schedule_Times,"&lt;"&amp;B868),INDEX(R_Schedule_Amounts,MATCH(B868,R_Schedule_Times,1)),K867)),"")</f>
        <v>14720</v>
      </c>
      <c r="I868" s="30">
        <f t="shared" si="65"/>
        <v>40</v>
      </c>
      <c r="J868" s="31">
        <f t="shared" si="66"/>
        <v>0</v>
      </c>
      <c r="K868" s="29">
        <f t="shared" si="67"/>
        <v>14680</v>
      </c>
      <c r="L868" s="31" t="str">
        <f t="shared" si="68"/>
        <v/>
      </c>
      <c r="M868" s="31" t="str">
        <f t="shared" si="69"/>
        <v/>
      </c>
    </row>
    <row r="869" spans="1:13" x14ac:dyDescent="0.15">
      <c r="A869" s="163" t="s">
        <v>210</v>
      </c>
      <c r="B869" s="163">
        <v>42300.420491574077</v>
      </c>
      <c r="C869" s="164" t="s">
        <v>1198</v>
      </c>
      <c r="D869" s="164" t="s">
        <v>13</v>
      </c>
      <c r="E869" s="165">
        <v>200</v>
      </c>
      <c r="F869" s="166">
        <v>0</v>
      </c>
      <c r="G869" s="227">
        <f>IF($B$2,IF(ROWS(B$6:$B869) = 1,$B869-Start_Date,$B869-$B868),"")</f>
        <v>8.6162037041503936E-4</v>
      </c>
      <c r="H869" s="29">
        <f>IF($B$2,IF(ROWS(B$6:$B869) = 1,IF(COUNTIFS(R_Schedule_Times,"&lt;"&amp;B869),INDEX(R_Schedule_Amounts,MATCH(B869,R_Schedule_Times,1)),Starting_Cash),IF(COUNTIFS(R_Schedule_Times,"&gt;"&amp;B868,R_Schedule_Times,"&lt;"&amp;B869),INDEX(R_Schedule_Amounts,MATCH(B869,R_Schedule_Times,1)),K868)),"")</f>
        <v>14680</v>
      </c>
      <c r="I869" s="30">
        <f t="shared" si="65"/>
        <v>200</v>
      </c>
      <c r="J869" s="31">
        <f t="shared" si="66"/>
        <v>0</v>
      </c>
      <c r="K869" s="29">
        <f t="shared" si="67"/>
        <v>14480</v>
      </c>
      <c r="L869" s="31" t="str">
        <f t="shared" si="68"/>
        <v/>
      </c>
      <c r="M869" s="31" t="str">
        <f t="shared" si="69"/>
        <v/>
      </c>
    </row>
    <row r="870" spans="1:13" x14ac:dyDescent="0.15">
      <c r="A870" s="163" t="s">
        <v>210</v>
      </c>
      <c r="B870" s="163">
        <v>42300.443864513887</v>
      </c>
      <c r="C870" s="164" t="s">
        <v>1199</v>
      </c>
      <c r="D870" s="164" t="s">
        <v>15</v>
      </c>
      <c r="E870" s="165">
        <v>100</v>
      </c>
      <c r="F870" s="166">
        <v>3</v>
      </c>
      <c r="G870" s="227">
        <f>IF($B$2,IF(ROWS(B$6:$B870) = 1,$B870-Start_Date,$B870-$B869),"")</f>
        <v>2.3372939809632953E-2</v>
      </c>
      <c r="H870" s="29">
        <f>IF($B$2,IF(ROWS(B$6:$B870) = 1,IF(COUNTIFS(R_Schedule_Times,"&lt;"&amp;B870),INDEX(R_Schedule_Amounts,MATCH(B870,R_Schedule_Times,1)),Starting_Cash),IF(COUNTIFS(R_Schedule_Times,"&gt;"&amp;B869,R_Schedule_Times,"&lt;"&amp;B870),INDEX(R_Schedule_Amounts,MATCH(B870,R_Schedule_Times,1)),K869)),"")</f>
        <v>14480</v>
      </c>
      <c r="I870" s="30">
        <f t="shared" si="65"/>
        <v>100</v>
      </c>
      <c r="J870" s="31">
        <f t="shared" si="66"/>
        <v>3</v>
      </c>
      <c r="K870" s="29">
        <f t="shared" si="67"/>
        <v>14380</v>
      </c>
      <c r="L870" s="31" t="str">
        <f t="shared" si="68"/>
        <v/>
      </c>
      <c r="M870" s="31" t="str">
        <f t="shared" si="69"/>
        <v/>
      </c>
    </row>
    <row r="871" spans="1:13" x14ac:dyDescent="0.15">
      <c r="A871" s="163" t="s">
        <v>210</v>
      </c>
      <c r="B871" s="163">
        <v>42300.449955601849</v>
      </c>
      <c r="C871" s="164" t="s">
        <v>372</v>
      </c>
      <c r="D871" s="164" t="s">
        <v>13</v>
      </c>
      <c r="E871" s="165">
        <v>100</v>
      </c>
      <c r="F871" s="166">
        <v>0</v>
      </c>
      <c r="G871" s="227">
        <f>IF($B$2,IF(ROWS(B$6:$B871) = 1,$B871-Start_Date,$B871-$B870),"")</f>
        <v>6.0910879619768821E-3</v>
      </c>
      <c r="H871" s="29">
        <f>IF($B$2,IF(ROWS(B$6:$B871) = 1,IF(COUNTIFS(R_Schedule_Times,"&lt;"&amp;B871),INDEX(R_Schedule_Amounts,MATCH(B871,R_Schedule_Times,1)),Starting_Cash),IF(COUNTIFS(R_Schedule_Times,"&gt;"&amp;B870,R_Schedule_Times,"&lt;"&amp;B871),INDEX(R_Schedule_Amounts,MATCH(B871,R_Schedule_Times,1)),K870)),"")</f>
        <v>14380</v>
      </c>
      <c r="I871" s="30">
        <f t="shared" si="65"/>
        <v>100</v>
      </c>
      <c r="J871" s="31">
        <f t="shared" si="66"/>
        <v>0</v>
      </c>
      <c r="K871" s="29">
        <f t="shared" si="67"/>
        <v>14280</v>
      </c>
      <c r="L871" s="31" t="str">
        <f t="shared" si="68"/>
        <v/>
      </c>
      <c r="M871" s="31" t="str">
        <f t="shared" si="69"/>
        <v/>
      </c>
    </row>
    <row r="872" spans="1:13" x14ac:dyDescent="0.15">
      <c r="A872" s="163" t="s">
        <v>210</v>
      </c>
      <c r="B872" s="163">
        <v>42300.461989085648</v>
      </c>
      <c r="C872" s="164" t="s">
        <v>1200</v>
      </c>
      <c r="D872" s="164" t="s">
        <v>13</v>
      </c>
      <c r="E872" s="165">
        <v>40</v>
      </c>
      <c r="F872" s="166">
        <v>0</v>
      </c>
      <c r="G872" s="227">
        <f>IF($B$2,IF(ROWS(B$6:$B872) = 1,$B872-Start_Date,$B872-$B871),"")</f>
        <v>1.2033483799314126E-2</v>
      </c>
      <c r="H872" s="29">
        <f>IF($B$2,IF(ROWS(B$6:$B872) = 1,IF(COUNTIFS(R_Schedule_Times,"&lt;"&amp;B872),INDEX(R_Schedule_Amounts,MATCH(B872,R_Schedule_Times,1)),Starting_Cash),IF(COUNTIFS(R_Schedule_Times,"&gt;"&amp;B871,R_Schedule_Times,"&lt;"&amp;B872),INDEX(R_Schedule_Amounts,MATCH(B872,R_Schedule_Times,1)),K871)),"")</f>
        <v>14280</v>
      </c>
      <c r="I872" s="30">
        <f t="shared" si="65"/>
        <v>40</v>
      </c>
      <c r="J872" s="31">
        <f t="shared" si="66"/>
        <v>0</v>
      </c>
      <c r="K872" s="29">
        <f t="shared" si="67"/>
        <v>14240</v>
      </c>
      <c r="L872" s="31" t="str">
        <f t="shared" si="68"/>
        <v/>
      </c>
      <c r="M872" s="31" t="str">
        <f t="shared" si="69"/>
        <v/>
      </c>
    </row>
    <row r="873" spans="1:13" x14ac:dyDescent="0.15">
      <c r="A873" s="163" t="s">
        <v>210</v>
      </c>
      <c r="B873" s="163">
        <v>42300.463585324076</v>
      </c>
      <c r="C873" s="164" t="s">
        <v>1201</v>
      </c>
      <c r="D873" s="164" t="s">
        <v>13</v>
      </c>
      <c r="E873" s="165">
        <v>40</v>
      </c>
      <c r="F873" s="166">
        <v>0</v>
      </c>
      <c r="G873" s="227">
        <f>IF($B$2,IF(ROWS(B$6:$B873) = 1,$B873-Start_Date,$B873-$B872),"")</f>
        <v>1.5962384277372621E-3</v>
      </c>
      <c r="H873" s="29">
        <f>IF($B$2,IF(ROWS(B$6:$B873) = 1,IF(COUNTIFS(R_Schedule_Times,"&lt;"&amp;B873),INDEX(R_Schedule_Amounts,MATCH(B873,R_Schedule_Times,1)),Starting_Cash),IF(COUNTIFS(R_Schedule_Times,"&gt;"&amp;B872,R_Schedule_Times,"&lt;"&amp;B873),INDEX(R_Schedule_Amounts,MATCH(B873,R_Schedule_Times,1)),K872)),"")</f>
        <v>14240</v>
      </c>
      <c r="I873" s="30">
        <f t="shared" si="65"/>
        <v>40</v>
      </c>
      <c r="J873" s="31">
        <f t="shared" si="66"/>
        <v>0</v>
      </c>
      <c r="K873" s="29">
        <f t="shared" si="67"/>
        <v>14200</v>
      </c>
      <c r="L873" s="31" t="str">
        <f t="shared" si="68"/>
        <v/>
      </c>
      <c r="M873" s="31" t="str">
        <f t="shared" si="69"/>
        <v/>
      </c>
    </row>
    <row r="874" spans="1:13" x14ac:dyDescent="0.15">
      <c r="A874" s="163" t="s">
        <v>210</v>
      </c>
      <c r="B874" s="163">
        <v>42300.483700763885</v>
      </c>
      <c r="C874" s="164" t="s">
        <v>1202</v>
      </c>
      <c r="D874" s="164" t="s">
        <v>13</v>
      </c>
      <c r="E874" s="165">
        <v>200</v>
      </c>
      <c r="F874" s="166">
        <v>0</v>
      </c>
      <c r="G874" s="227">
        <f>IF($B$2,IF(ROWS(B$6:$B874) = 1,$B874-Start_Date,$B874-$B873),"")</f>
        <v>2.0115439809160307E-2</v>
      </c>
      <c r="H874" s="29">
        <f>IF($B$2,IF(ROWS(B$6:$B874) = 1,IF(COUNTIFS(R_Schedule_Times,"&lt;"&amp;B874),INDEX(R_Schedule_Amounts,MATCH(B874,R_Schedule_Times,1)),Starting_Cash),IF(COUNTIFS(R_Schedule_Times,"&gt;"&amp;B873,R_Schedule_Times,"&lt;"&amp;B874),INDEX(R_Schedule_Amounts,MATCH(B874,R_Schedule_Times,1)),K873)),"")</f>
        <v>14200</v>
      </c>
      <c r="I874" s="30">
        <f t="shared" si="65"/>
        <v>200</v>
      </c>
      <c r="J874" s="31">
        <f t="shared" si="66"/>
        <v>0</v>
      </c>
      <c r="K874" s="29">
        <f t="shared" si="67"/>
        <v>14000</v>
      </c>
      <c r="L874" s="31" t="str">
        <f t="shared" si="68"/>
        <v/>
      </c>
      <c r="M874" s="31" t="str">
        <f t="shared" si="69"/>
        <v/>
      </c>
    </row>
    <row r="875" spans="1:13" x14ac:dyDescent="0.15">
      <c r="A875" s="163" t="s">
        <v>210</v>
      </c>
      <c r="B875" s="163">
        <v>42300.484651921295</v>
      </c>
      <c r="C875" s="164" t="s">
        <v>1203</v>
      </c>
      <c r="D875" s="164" t="s">
        <v>13</v>
      </c>
      <c r="E875" s="165">
        <v>100</v>
      </c>
      <c r="F875" s="166">
        <v>0</v>
      </c>
      <c r="G875" s="227">
        <f>IF($B$2,IF(ROWS(B$6:$B875) = 1,$B875-Start_Date,$B875-$B874),"")</f>
        <v>9.5115740987239406E-4</v>
      </c>
      <c r="H875" s="29">
        <f>IF($B$2,IF(ROWS(B$6:$B875) = 1,IF(COUNTIFS(R_Schedule_Times,"&lt;"&amp;B875),INDEX(R_Schedule_Amounts,MATCH(B875,R_Schedule_Times,1)),Starting_Cash),IF(COUNTIFS(R_Schedule_Times,"&gt;"&amp;B874,R_Schedule_Times,"&lt;"&amp;B875),INDEX(R_Schedule_Amounts,MATCH(B875,R_Schedule_Times,1)),K874)),"")</f>
        <v>14000</v>
      </c>
      <c r="I875" s="30">
        <f t="shared" si="65"/>
        <v>100</v>
      </c>
      <c r="J875" s="31">
        <f t="shared" si="66"/>
        <v>0</v>
      </c>
      <c r="K875" s="29">
        <f t="shared" si="67"/>
        <v>13900</v>
      </c>
      <c r="L875" s="31" t="str">
        <f t="shared" si="68"/>
        <v/>
      </c>
      <c r="M875" s="31" t="str">
        <f t="shared" si="69"/>
        <v/>
      </c>
    </row>
    <row r="876" spans="1:13" x14ac:dyDescent="0.15">
      <c r="A876" s="163" t="s">
        <v>210</v>
      </c>
      <c r="B876" s="163">
        <v>42300.485192037035</v>
      </c>
      <c r="C876" s="164" t="s">
        <v>1204</v>
      </c>
      <c r="D876" s="164" t="s">
        <v>13</v>
      </c>
      <c r="E876" s="165">
        <v>100</v>
      </c>
      <c r="F876" s="166">
        <v>0</v>
      </c>
      <c r="G876" s="227">
        <f>IF($B$2,IF(ROWS(B$6:$B876) = 1,$B876-Start_Date,$B876-$B875),"")</f>
        <v>5.4011573956813663E-4</v>
      </c>
      <c r="H876" s="29">
        <f>IF($B$2,IF(ROWS(B$6:$B876) = 1,IF(COUNTIFS(R_Schedule_Times,"&lt;"&amp;B876),INDEX(R_Schedule_Amounts,MATCH(B876,R_Schedule_Times,1)),Starting_Cash),IF(COUNTIFS(R_Schedule_Times,"&gt;"&amp;B875,R_Schedule_Times,"&lt;"&amp;B876),INDEX(R_Schedule_Amounts,MATCH(B876,R_Schedule_Times,1)),K875)),"")</f>
        <v>13900</v>
      </c>
      <c r="I876" s="30">
        <f t="shared" si="65"/>
        <v>100</v>
      </c>
      <c r="J876" s="31">
        <f t="shared" si="66"/>
        <v>0</v>
      </c>
      <c r="K876" s="29">
        <f t="shared" si="67"/>
        <v>13800</v>
      </c>
      <c r="L876" s="31" t="str">
        <f t="shared" si="68"/>
        <v/>
      </c>
      <c r="M876" s="31" t="str">
        <f t="shared" si="69"/>
        <v/>
      </c>
    </row>
    <row r="877" spans="1:13" x14ac:dyDescent="0.15">
      <c r="A877" s="163" t="s">
        <v>210</v>
      </c>
      <c r="B877" s="163">
        <v>42300.488786898146</v>
      </c>
      <c r="C877" s="164" t="s">
        <v>1205</v>
      </c>
      <c r="D877" s="164" t="s">
        <v>13</v>
      </c>
      <c r="E877" s="165">
        <v>160</v>
      </c>
      <c r="F877" s="166">
        <v>0</v>
      </c>
      <c r="G877" s="227">
        <f>IF($B$2,IF(ROWS(B$6:$B877) = 1,$B877-Start_Date,$B877-$B876),"")</f>
        <v>3.5948611111962236E-3</v>
      </c>
      <c r="H877" s="29">
        <f>IF($B$2,IF(ROWS(B$6:$B877) = 1,IF(COUNTIFS(R_Schedule_Times,"&lt;"&amp;B877),INDEX(R_Schedule_Amounts,MATCH(B877,R_Schedule_Times,1)),Starting_Cash),IF(COUNTIFS(R_Schedule_Times,"&gt;"&amp;B876,R_Schedule_Times,"&lt;"&amp;B877),INDEX(R_Schedule_Amounts,MATCH(B877,R_Schedule_Times,1)),K876)),"")</f>
        <v>13800</v>
      </c>
      <c r="I877" s="30">
        <f t="shared" si="65"/>
        <v>160</v>
      </c>
      <c r="J877" s="31">
        <f t="shared" si="66"/>
        <v>0</v>
      </c>
      <c r="K877" s="29">
        <f t="shared" si="67"/>
        <v>13640</v>
      </c>
      <c r="L877" s="31" t="str">
        <f t="shared" si="68"/>
        <v/>
      </c>
      <c r="M877" s="31" t="str">
        <f t="shared" si="69"/>
        <v/>
      </c>
    </row>
    <row r="878" spans="1:13" x14ac:dyDescent="0.15">
      <c r="A878" s="163" t="s">
        <v>210</v>
      </c>
      <c r="B878" s="163">
        <v>42300.499770439812</v>
      </c>
      <c r="C878" s="164" t="s">
        <v>1206</v>
      </c>
      <c r="D878" s="164" t="s">
        <v>13</v>
      </c>
      <c r="E878" s="165">
        <v>40</v>
      </c>
      <c r="F878" s="166">
        <v>0</v>
      </c>
      <c r="G878" s="227">
        <f>IF($B$2,IF(ROWS(B$6:$B878) = 1,$B878-Start_Date,$B878-$B877),"")</f>
        <v>1.0983541666064411E-2</v>
      </c>
      <c r="H878" s="29">
        <f>IF($B$2,IF(ROWS(B$6:$B878) = 1,IF(COUNTIFS(R_Schedule_Times,"&lt;"&amp;B878),INDEX(R_Schedule_Amounts,MATCH(B878,R_Schedule_Times,1)),Starting_Cash),IF(COUNTIFS(R_Schedule_Times,"&gt;"&amp;B877,R_Schedule_Times,"&lt;"&amp;B878),INDEX(R_Schedule_Amounts,MATCH(B878,R_Schedule_Times,1)),K877)),"")</f>
        <v>13640</v>
      </c>
      <c r="I878" s="30">
        <f t="shared" si="65"/>
        <v>40</v>
      </c>
      <c r="J878" s="31">
        <f t="shared" si="66"/>
        <v>0</v>
      </c>
      <c r="K878" s="29">
        <f t="shared" si="67"/>
        <v>13600</v>
      </c>
      <c r="L878" s="31" t="str">
        <f t="shared" si="68"/>
        <v/>
      </c>
      <c r="M878" s="31" t="str">
        <f t="shared" si="69"/>
        <v/>
      </c>
    </row>
    <row r="879" spans="1:13" x14ac:dyDescent="0.15">
      <c r="A879" s="163" t="s">
        <v>210</v>
      </c>
      <c r="B879" s="163">
        <v>42300.516535138886</v>
      </c>
      <c r="C879" s="164" t="s">
        <v>14</v>
      </c>
      <c r="D879" s="164" t="s">
        <v>15</v>
      </c>
      <c r="E879" s="165">
        <v>40</v>
      </c>
      <c r="F879" s="166">
        <v>3.7</v>
      </c>
      <c r="G879" s="227">
        <f>IF($B$2,IF(ROWS(B$6:$B879) = 1,$B879-Start_Date,$B879-$B878),"")</f>
        <v>1.6764699073974043E-2</v>
      </c>
      <c r="H879" s="29">
        <f>IF($B$2,IF(ROWS(B$6:$B879) = 1,IF(COUNTIFS(R_Schedule_Times,"&lt;"&amp;B879),INDEX(R_Schedule_Amounts,MATCH(B879,R_Schedule_Times,1)),Starting_Cash),IF(COUNTIFS(R_Schedule_Times,"&gt;"&amp;B878,R_Schedule_Times,"&lt;"&amp;B879),INDEX(R_Schedule_Amounts,MATCH(B879,R_Schedule_Times,1)),K878)),"")</f>
        <v>13600</v>
      </c>
      <c r="I879" s="30">
        <f t="shared" si="65"/>
        <v>40</v>
      </c>
      <c r="J879" s="31">
        <f t="shared" si="66"/>
        <v>3.7</v>
      </c>
      <c r="K879" s="29">
        <f t="shared" si="67"/>
        <v>13560</v>
      </c>
      <c r="L879" s="31" t="str">
        <f t="shared" si="68"/>
        <v/>
      </c>
      <c r="M879" s="31" t="str">
        <f t="shared" si="69"/>
        <v/>
      </c>
    </row>
    <row r="880" spans="1:13" x14ac:dyDescent="0.15">
      <c r="A880" s="163" t="s">
        <v>210</v>
      </c>
      <c r="B880" s="163">
        <v>42300.518434490739</v>
      </c>
      <c r="C880" s="164" t="s">
        <v>1207</v>
      </c>
      <c r="D880" s="164" t="s">
        <v>13</v>
      </c>
      <c r="E880" s="165">
        <v>140</v>
      </c>
      <c r="F880" s="166">
        <v>0</v>
      </c>
      <c r="G880" s="227">
        <f>IF($B$2,IF(ROWS(B$6:$B880) = 1,$B880-Start_Date,$B880-$B879),"")</f>
        <v>1.899351853353437E-3</v>
      </c>
      <c r="H880" s="29">
        <f>IF($B$2,IF(ROWS(B$6:$B880) = 1,IF(COUNTIFS(R_Schedule_Times,"&lt;"&amp;B880),INDEX(R_Schedule_Amounts,MATCH(B880,R_Schedule_Times,1)),Starting_Cash),IF(COUNTIFS(R_Schedule_Times,"&gt;"&amp;B879,R_Schedule_Times,"&lt;"&amp;B880),INDEX(R_Schedule_Amounts,MATCH(B880,R_Schedule_Times,1)),K879)),"")</f>
        <v>13560</v>
      </c>
      <c r="I880" s="30">
        <f t="shared" si="65"/>
        <v>140</v>
      </c>
      <c r="J880" s="31">
        <f t="shared" si="66"/>
        <v>0</v>
      </c>
      <c r="K880" s="29">
        <f t="shared" si="67"/>
        <v>13420</v>
      </c>
      <c r="L880" s="31" t="str">
        <f t="shared" si="68"/>
        <v/>
      </c>
      <c r="M880" s="31" t="str">
        <f t="shared" si="69"/>
        <v/>
      </c>
    </row>
    <row r="881" spans="1:13" x14ac:dyDescent="0.15">
      <c r="A881" s="163" t="s">
        <v>210</v>
      </c>
      <c r="B881" s="163">
        <v>42300.535268611115</v>
      </c>
      <c r="C881" s="164" t="s">
        <v>1208</v>
      </c>
      <c r="D881" s="164" t="s">
        <v>13</v>
      </c>
      <c r="E881" s="165">
        <v>160</v>
      </c>
      <c r="F881" s="166">
        <v>0</v>
      </c>
      <c r="G881" s="227">
        <f>IF($B$2,IF(ROWS(B$6:$B881) = 1,$B881-Start_Date,$B881-$B880),"")</f>
        <v>1.6834120375278872E-2</v>
      </c>
      <c r="H881" s="29">
        <f>IF($B$2,IF(ROWS(B$6:$B881) = 1,IF(COUNTIFS(R_Schedule_Times,"&lt;"&amp;B881),INDEX(R_Schedule_Amounts,MATCH(B881,R_Schedule_Times,1)),Starting_Cash),IF(COUNTIFS(R_Schedule_Times,"&gt;"&amp;B880,R_Schedule_Times,"&lt;"&amp;B881),INDEX(R_Schedule_Amounts,MATCH(B881,R_Schedule_Times,1)),K880)),"")</f>
        <v>13420</v>
      </c>
      <c r="I881" s="30">
        <f t="shared" si="65"/>
        <v>160</v>
      </c>
      <c r="J881" s="31">
        <f t="shared" si="66"/>
        <v>0</v>
      </c>
      <c r="K881" s="29">
        <f t="shared" si="67"/>
        <v>13260</v>
      </c>
      <c r="L881" s="31" t="str">
        <f t="shared" si="68"/>
        <v/>
      </c>
      <c r="M881" s="31" t="str">
        <f t="shared" si="69"/>
        <v/>
      </c>
    </row>
    <row r="882" spans="1:13" x14ac:dyDescent="0.15">
      <c r="A882" s="163" t="s">
        <v>210</v>
      </c>
      <c r="B882" s="163">
        <v>42300.556257812503</v>
      </c>
      <c r="C882" s="164" t="s">
        <v>1209</v>
      </c>
      <c r="D882" s="164" t="s">
        <v>13</v>
      </c>
      <c r="E882" s="165">
        <v>40</v>
      </c>
      <c r="F882" s="166">
        <v>0</v>
      </c>
      <c r="G882" s="227">
        <f>IF($B$2,IF(ROWS(B$6:$B882) = 1,$B882-Start_Date,$B882-$B881),"")</f>
        <v>2.0989201388147194E-2</v>
      </c>
      <c r="H882" s="29">
        <f>IF($B$2,IF(ROWS(B$6:$B882) = 1,IF(COUNTIFS(R_Schedule_Times,"&lt;"&amp;B882),INDEX(R_Schedule_Amounts,MATCH(B882,R_Schedule_Times,1)),Starting_Cash),IF(COUNTIFS(R_Schedule_Times,"&gt;"&amp;B881,R_Schedule_Times,"&lt;"&amp;B882),INDEX(R_Schedule_Amounts,MATCH(B882,R_Schedule_Times,1)),K881)),"")</f>
        <v>13260</v>
      </c>
      <c r="I882" s="30">
        <f t="shared" si="65"/>
        <v>40</v>
      </c>
      <c r="J882" s="31">
        <f t="shared" si="66"/>
        <v>0</v>
      </c>
      <c r="K882" s="29">
        <f t="shared" si="67"/>
        <v>13220</v>
      </c>
      <c r="L882" s="31" t="str">
        <f t="shared" si="68"/>
        <v/>
      </c>
      <c r="M882" s="31" t="str">
        <f t="shared" si="69"/>
        <v/>
      </c>
    </row>
    <row r="883" spans="1:13" x14ac:dyDescent="0.15">
      <c r="A883" s="163" t="s">
        <v>210</v>
      </c>
      <c r="B883" s="163">
        <v>42300.558284363426</v>
      </c>
      <c r="C883" s="164" t="s">
        <v>1210</v>
      </c>
      <c r="D883" s="164" t="s">
        <v>13</v>
      </c>
      <c r="E883" s="165">
        <v>200</v>
      </c>
      <c r="F883" s="166">
        <v>0</v>
      </c>
      <c r="G883" s="227">
        <f>IF($B$2,IF(ROWS(B$6:$B883) = 1,$B883-Start_Date,$B883-$B882),"")</f>
        <v>2.0265509228920564E-3</v>
      </c>
      <c r="H883" s="29">
        <f>IF($B$2,IF(ROWS(B$6:$B883) = 1,IF(COUNTIFS(R_Schedule_Times,"&lt;"&amp;B883),INDEX(R_Schedule_Amounts,MATCH(B883,R_Schedule_Times,1)),Starting_Cash),IF(COUNTIFS(R_Schedule_Times,"&gt;"&amp;B882,R_Schedule_Times,"&lt;"&amp;B883),INDEX(R_Schedule_Amounts,MATCH(B883,R_Schedule_Times,1)),K882)),"")</f>
        <v>13220</v>
      </c>
      <c r="I883" s="30">
        <f t="shared" si="65"/>
        <v>200</v>
      </c>
      <c r="J883" s="31">
        <f t="shared" si="66"/>
        <v>0</v>
      </c>
      <c r="K883" s="29">
        <f t="shared" si="67"/>
        <v>13020</v>
      </c>
      <c r="L883" s="31" t="str">
        <f t="shared" si="68"/>
        <v/>
      </c>
      <c r="M883" s="31" t="str">
        <f t="shared" si="69"/>
        <v/>
      </c>
    </row>
    <row r="884" spans="1:13" x14ac:dyDescent="0.15">
      <c r="A884" s="163" t="s">
        <v>210</v>
      </c>
      <c r="B884" s="163">
        <v>42300.563224224534</v>
      </c>
      <c r="C884" s="164" t="s">
        <v>1211</v>
      </c>
      <c r="D884" s="164" t="s">
        <v>13</v>
      </c>
      <c r="E884" s="165">
        <v>100</v>
      </c>
      <c r="F884" s="166">
        <v>0</v>
      </c>
      <c r="G884" s="227">
        <f>IF($B$2,IF(ROWS(B$6:$B884) = 1,$B884-Start_Date,$B884-$B883),"")</f>
        <v>4.9398611081414856E-3</v>
      </c>
      <c r="H884" s="29">
        <f>IF($B$2,IF(ROWS(B$6:$B884) = 1,IF(COUNTIFS(R_Schedule_Times,"&lt;"&amp;B884),INDEX(R_Schedule_Amounts,MATCH(B884,R_Schedule_Times,1)),Starting_Cash),IF(COUNTIFS(R_Schedule_Times,"&gt;"&amp;B883,R_Schedule_Times,"&lt;"&amp;B884),INDEX(R_Schedule_Amounts,MATCH(B884,R_Schedule_Times,1)),K883)),"")</f>
        <v>13020</v>
      </c>
      <c r="I884" s="30">
        <f t="shared" si="65"/>
        <v>100</v>
      </c>
      <c r="J884" s="31">
        <f t="shared" si="66"/>
        <v>0</v>
      </c>
      <c r="K884" s="29">
        <f t="shared" si="67"/>
        <v>12920</v>
      </c>
      <c r="L884" s="31" t="str">
        <f t="shared" si="68"/>
        <v/>
      </c>
      <c r="M884" s="31" t="str">
        <f t="shared" si="69"/>
        <v/>
      </c>
    </row>
    <row r="885" spans="1:13" x14ac:dyDescent="0.15">
      <c r="A885" s="163" t="s">
        <v>210</v>
      </c>
      <c r="B885" s="163">
        <v>42300.584384016205</v>
      </c>
      <c r="C885" s="164" t="s">
        <v>1212</v>
      </c>
      <c r="D885" s="164" t="s">
        <v>13</v>
      </c>
      <c r="E885" s="165">
        <v>20</v>
      </c>
      <c r="F885" s="166">
        <v>0</v>
      </c>
      <c r="G885" s="227">
        <f>IF($B$2,IF(ROWS(B$6:$B885) = 1,$B885-Start_Date,$B885-$B884),"")</f>
        <v>2.1159791671379935E-2</v>
      </c>
      <c r="H885" s="29">
        <f>IF($B$2,IF(ROWS(B$6:$B885) = 1,IF(COUNTIFS(R_Schedule_Times,"&lt;"&amp;B885),INDEX(R_Schedule_Amounts,MATCH(B885,R_Schedule_Times,1)),Starting_Cash),IF(COUNTIFS(R_Schedule_Times,"&gt;"&amp;B884,R_Schedule_Times,"&lt;"&amp;B885),INDEX(R_Schedule_Amounts,MATCH(B885,R_Schedule_Times,1)),K884)),"")</f>
        <v>12920</v>
      </c>
      <c r="I885" s="30">
        <f t="shared" si="65"/>
        <v>20</v>
      </c>
      <c r="J885" s="31">
        <f t="shared" si="66"/>
        <v>0</v>
      </c>
      <c r="K885" s="29">
        <f t="shared" si="67"/>
        <v>12900</v>
      </c>
      <c r="L885" s="31" t="str">
        <f t="shared" si="68"/>
        <v/>
      </c>
      <c r="M885" s="31" t="str">
        <f t="shared" si="69"/>
        <v/>
      </c>
    </row>
    <row r="886" spans="1:13" x14ac:dyDescent="0.15">
      <c r="A886" s="163" t="s">
        <v>210</v>
      </c>
      <c r="B886" s="163">
        <v>42300.592191898148</v>
      </c>
      <c r="C886" s="164" t="s">
        <v>1213</v>
      </c>
      <c r="D886" s="164" t="s">
        <v>13</v>
      </c>
      <c r="E886" s="165">
        <v>200</v>
      </c>
      <c r="F886" s="166">
        <v>0</v>
      </c>
      <c r="G886" s="227">
        <f>IF($B$2,IF(ROWS(B$6:$B886) = 1,$B886-Start_Date,$B886-$B885),"")</f>
        <v>7.8078819424263202E-3</v>
      </c>
      <c r="H886" s="29">
        <f>IF($B$2,IF(ROWS(B$6:$B886) = 1,IF(COUNTIFS(R_Schedule_Times,"&lt;"&amp;B886),INDEX(R_Schedule_Amounts,MATCH(B886,R_Schedule_Times,1)),Starting_Cash),IF(COUNTIFS(R_Schedule_Times,"&gt;"&amp;B885,R_Schedule_Times,"&lt;"&amp;B886),INDEX(R_Schedule_Amounts,MATCH(B886,R_Schedule_Times,1)),K885)),"")</f>
        <v>12900</v>
      </c>
      <c r="I886" s="30">
        <f t="shared" si="65"/>
        <v>200</v>
      </c>
      <c r="J886" s="31">
        <f t="shared" si="66"/>
        <v>0</v>
      </c>
      <c r="K886" s="29">
        <f t="shared" si="67"/>
        <v>12700</v>
      </c>
      <c r="L886" s="31" t="str">
        <f t="shared" si="68"/>
        <v/>
      </c>
      <c r="M886" s="31" t="str">
        <f t="shared" si="69"/>
        <v/>
      </c>
    </row>
    <row r="887" spans="1:13" x14ac:dyDescent="0.15">
      <c r="A887" s="163" t="s">
        <v>210</v>
      </c>
      <c r="B887" s="163">
        <v>42300.616513738423</v>
      </c>
      <c r="C887" s="164" t="s">
        <v>14</v>
      </c>
      <c r="D887" s="164" t="s">
        <v>13</v>
      </c>
      <c r="E887" s="165">
        <v>60</v>
      </c>
      <c r="F887" s="166">
        <v>3.5</v>
      </c>
      <c r="G887" s="227">
        <f>IF($B$2,IF(ROWS(B$6:$B887) = 1,$B887-Start_Date,$B887-$B886),"")</f>
        <v>2.4321840275661089E-2</v>
      </c>
      <c r="H887" s="29">
        <f>IF($B$2,IF(ROWS(B$6:$B887) = 1,IF(COUNTIFS(R_Schedule_Times,"&lt;"&amp;B887),INDEX(R_Schedule_Amounts,MATCH(B887,R_Schedule_Times,1)),Starting_Cash),IF(COUNTIFS(R_Schedule_Times,"&gt;"&amp;B886,R_Schedule_Times,"&lt;"&amp;B887),INDEX(R_Schedule_Amounts,MATCH(B887,R_Schedule_Times,1)),K886)),"")</f>
        <v>12700</v>
      </c>
      <c r="I887" s="30">
        <f t="shared" si="65"/>
        <v>60</v>
      </c>
      <c r="J887" s="31">
        <f t="shared" si="66"/>
        <v>3.5</v>
      </c>
      <c r="K887" s="29">
        <f t="shared" si="67"/>
        <v>12640</v>
      </c>
      <c r="L887" s="31" t="str">
        <f t="shared" si="68"/>
        <v/>
      </c>
      <c r="M887" s="31" t="str">
        <f t="shared" si="69"/>
        <v/>
      </c>
    </row>
    <row r="888" spans="1:13" x14ac:dyDescent="0.15">
      <c r="A888" s="163" t="s">
        <v>210</v>
      </c>
      <c r="B888" s="163">
        <v>42300.638803159723</v>
      </c>
      <c r="C888" s="164" t="s">
        <v>373</v>
      </c>
      <c r="D888" s="164" t="s">
        <v>13</v>
      </c>
      <c r="E888" s="165">
        <v>120</v>
      </c>
      <c r="F888" s="166">
        <v>0</v>
      </c>
      <c r="G888" s="227">
        <f>IF($B$2,IF(ROWS(B$6:$B888) = 1,$B888-Start_Date,$B888-$B887),"")</f>
        <v>2.2289421300229151E-2</v>
      </c>
      <c r="H888" s="29">
        <f>IF($B$2,IF(ROWS(B$6:$B888) = 1,IF(COUNTIFS(R_Schedule_Times,"&lt;"&amp;B888),INDEX(R_Schedule_Amounts,MATCH(B888,R_Schedule_Times,1)),Starting_Cash),IF(COUNTIFS(R_Schedule_Times,"&gt;"&amp;B887,R_Schedule_Times,"&lt;"&amp;B888),INDEX(R_Schedule_Amounts,MATCH(B888,R_Schedule_Times,1)),K887)),"")</f>
        <v>12640</v>
      </c>
      <c r="I888" s="30">
        <f t="shared" si="65"/>
        <v>120</v>
      </c>
      <c r="J888" s="31">
        <f t="shared" si="66"/>
        <v>0</v>
      </c>
      <c r="K888" s="29">
        <f t="shared" si="67"/>
        <v>12520</v>
      </c>
      <c r="L888" s="31" t="str">
        <f t="shared" si="68"/>
        <v/>
      </c>
      <c r="M888" s="31" t="str">
        <f t="shared" si="69"/>
        <v/>
      </c>
    </row>
    <row r="889" spans="1:13" x14ac:dyDescent="0.15">
      <c r="A889" s="163" t="s">
        <v>210</v>
      </c>
      <c r="B889" s="163">
        <v>42300.653947210645</v>
      </c>
      <c r="C889" s="164" t="s">
        <v>1214</v>
      </c>
      <c r="D889" s="164" t="s">
        <v>13</v>
      </c>
      <c r="E889" s="165">
        <v>100</v>
      </c>
      <c r="F889" s="166">
        <v>0</v>
      </c>
      <c r="G889" s="227">
        <f>IF($B$2,IF(ROWS(B$6:$B889) = 1,$B889-Start_Date,$B889-$B888),"")</f>
        <v>1.5144050921662711E-2</v>
      </c>
      <c r="H889" s="29">
        <f>IF($B$2,IF(ROWS(B$6:$B889) = 1,IF(COUNTIFS(R_Schedule_Times,"&lt;"&amp;B889),INDEX(R_Schedule_Amounts,MATCH(B889,R_Schedule_Times,1)),Starting_Cash),IF(COUNTIFS(R_Schedule_Times,"&gt;"&amp;B888,R_Schedule_Times,"&lt;"&amp;B889),INDEX(R_Schedule_Amounts,MATCH(B889,R_Schedule_Times,1)),K888)),"")</f>
        <v>12520</v>
      </c>
      <c r="I889" s="30">
        <f t="shared" si="65"/>
        <v>100</v>
      </c>
      <c r="J889" s="31">
        <f t="shared" si="66"/>
        <v>0</v>
      </c>
      <c r="K889" s="29">
        <f t="shared" si="67"/>
        <v>12420</v>
      </c>
      <c r="L889" s="31" t="str">
        <f t="shared" si="68"/>
        <v/>
      </c>
      <c r="M889" s="31" t="str">
        <f t="shared" si="69"/>
        <v/>
      </c>
    </row>
    <row r="890" spans="1:13" x14ac:dyDescent="0.15">
      <c r="A890" s="163" t="s">
        <v>210</v>
      </c>
      <c r="B890" s="163">
        <v>42300.656342650465</v>
      </c>
      <c r="C890" s="164" t="s">
        <v>1215</v>
      </c>
      <c r="D890" s="164" t="s">
        <v>13</v>
      </c>
      <c r="E890" s="165">
        <v>100</v>
      </c>
      <c r="F890" s="166">
        <v>0</v>
      </c>
      <c r="G890" s="227">
        <f>IF($B$2,IF(ROWS(B$6:$B890) = 1,$B890-Start_Date,$B890-$B889),"")</f>
        <v>2.3954398202477023E-3</v>
      </c>
      <c r="H890" s="29">
        <f>IF($B$2,IF(ROWS(B$6:$B890) = 1,IF(COUNTIFS(R_Schedule_Times,"&lt;"&amp;B890),INDEX(R_Schedule_Amounts,MATCH(B890,R_Schedule_Times,1)),Starting_Cash),IF(COUNTIFS(R_Schedule_Times,"&gt;"&amp;B889,R_Schedule_Times,"&lt;"&amp;B890),INDEX(R_Schedule_Amounts,MATCH(B890,R_Schedule_Times,1)),K889)),"")</f>
        <v>12420</v>
      </c>
      <c r="I890" s="30">
        <f t="shared" si="65"/>
        <v>100</v>
      </c>
      <c r="J890" s="31">
        <f t="shared" si="66"/>
        <v>0</v>
      </c>
      <c r="K890" s="29">
        <f t="shared" si="67"/>
        <v>12320</v>
      </c>
      <c r="L890" s="31" t="str">
        <f t="shared" si="68"/>
        <v/>
      </c>
      <c r="M890" s="31" t="str">
        <f t="shared" si="69"/>
        <v/>
      </c>
    </row>
    <row r="891" spans="1:13" x14ac:dyDescent="0.15">
      <c r="A891" s="163" t="s">
        <v>210</v>
      </c>
      <c r="B891" s="163">
        <v>42300.658048599536</v>
      </c>
      <c r="C891" s="164" t="s">
        <v>1216</v>
      </c>
      <c r="D891" s="164" t="s">
        <v>13</v>
      </c>
      <c r="E891" s="165">
        <v>100</v>
      </c>
      <c r="F891" s="166">
        <v>0</v>
      </c>
      <c r="G891" s="227">
        <f>IF($B$2,IF(ROWS(B$6:$B891) = 1,$B891-Start_Date,$B891-$B890),"")</f>
        <v>1.7059490710380487E-3</v>
      </c>
      <c r="H891" s="29">
        <f>IF($B$2,IF(ROWS(B$6:$B891) = 1,IF(COUNTIFS(R_Schedule_Times,"&lt;"&amp;B891),INDEX(R_Schedule_Amounts,MATCH(B891,R_Schedule_Times,1)),Starting_Cash),IF(COUNTIFS(R_Schedule_Times,"&gt;"&amp;B890,R_Schedule_Times,"&lt;"&amp;B891),INDEX(R_Schedule_Amounts,MATCH(B891,R_Schedule_Times,1)),K890)),"")</f>
        <v>12320</v>
      </c>
      <c r="I891" s="30">
        <f t="shared" si="65"/>
        <v>100</v>
      </c>
      <c r="J891" s="31">
        <f t="shared" si="66"/>
        <v>0</v>
      </c>
      <c r="K891" s="29">
        <f t="shared" si="67"/>
        <v>12220</v>
      </c>
      <c r="L891" s="31" t="str">
        <f t="shared" si="68"/>
        <v/>
      </c>
      <c r="M891" s="31" t="str">
        <f t="shared" si="69"/>
        <v/>
      </c>
    </row>
    <row r="892" spans="1:13" x14ac:dyDescent="0.15">
      <c r="A892" s="163" t="s">
        <v>210</v>
      </c>
      <c r="B892" s="163">
        <v>42300.677431863427</v>
      </c>
      <c r="C892" s="164" t="s">
        <v>1217</v>
      </c>
      <c r="D892" s="164" t="s">
        <v>13</v>
      </c>
      <c r="E892" s="165">
        <v>60</v>
      </c>
      <c r="F892" s="166">
        <v>0</v>
      </c>
      <c r="G892" s="227">
        <f>IF($B$2,IF(ROWS(B$6:$B892) = 1,$B892-Start_Date,$B892-$B891),"")</f>
        <v>1.9383263890631497E-2</v>
      </c>
      <c r="H892" s="29">
        <f>IF($B$2,IF(ROWS(B$6:$B892) = 1,IF(COUNTIFS(R_Schedule_Times,"&lt;"&amp;B892),INDEX(R_Schedule_Amounts,MATCH(B892,R_Schedule_Times,1)),Starting_Cash),IF(COUNTIFS(R_Schedule_Times,"&gt;"&amp;B891,R_Schedule_Times,"&lt;"&amp;B892),INDEX(R_Schedule_Amounts,MATCH(B892,R_Schedule_Times,1)),K891)),"")</f>
        <v>12220</v>
      </c>
      <c r="I892" s="30">
        <f t="shared" si="65"/>
        <v>60</v>
      </c>
      <c r="J892" s="31">
        <f t="shared" si="66"/>
        <v>0</v>
      </c>
      <c r="K892" s="29">
        <f t="shared" si="67"/>
        <v>12160</v>
      </c>
      <c r="L892" s="31" t="str">
        <f t="shared" si="68"/>
        <v/>
      </c>
      <c r="M892" s="31" t="str">
        <f t="shared" si="69"/>
        <v/>
      </c>
    </row>
    <row r="893" spans="1:13" x14ac:dyDescent="0.15">
      <c r="A893" s="163" t="s">
        <v>210</v>
      </c>
      <c r="B893" s="163">
        <v>42300.682448229163</v>
      </c>
      <c r="C893" s="164" t="s">
        <v>233</v>
      </c>
      <c r="D893" s="164" t="s">
        <v>13</v>
      </c>
      <c r="E893" s="165">
        <v>40</v>
      </c>
      <c r="F893" s="166">
        <v>0</v>
      </c>
      <c r="G893" s="227">
        <f>IF($B$2,IF(ROWS(B$6:$B893) = 1,$B893-Start_Date,$B893-$B892),"")</f>
        <v>5.0163657360826619E-3</v>
      </c>
      <c r="H893" s="29">
        <f>IF($B$2,IF(ROWS(B$6:$B893) = 1,IF(COUNTIFS(R_Schedule_Times,"&lt;"&amp;B893),INDEX(R_Schedule_Amounts,MATCH(B893,R_Schedule_Times,1)),Starting_Cash),IF(COUNTIFS(R_Schedule_Times,"&gt;"&amp;B892,R_Schedule_Times,"&lt;"&amp;B893),INDEX(R_Schedule_Amounts,MATCH(B893,R_Schedule_Times,1)),K892)),"")</f>
        <v>12160</v>
      </c>
      <c r="I893" s="30">
        <f t="shared" si="65"/>
        <v>40</v>
      </c>
      <c r="J893" s="31">
        <f t="shared" si="66"/>
        <v>0</v>
      </c>
      <c r="K893" s="29">
        <f t="shared" si="67"/>
        <v>12120</v>
      </c>
      <c r="L893" s="31" t="str">
        <f t="shared" si="68"/>
        <v/>
      </c>
      <c r="M893" s="31" t="str">
        <f t="shared" si="69"/>
        <v/>
      </c>
    </row>
    <row r="894" spans="1:13" x14ac:dyDescent="0.15">
      <c r="A894" s="163" t="s">
        <v>210</v>
      </c>
      <c r="B894" s="163">
        <v>42300.685709375</v>
      </c>
      <c r="C894" s="164" t="s">
        <v>1218</v>
      </c>
      <c r="D894" s="164" t="s">
        <v>13</v>
      </c>
      <c r="E894" s="165">
        <v>100</v>
      </c>
      <c r="F894" s="166">
        <v>0</v>
      </c>
      <c r="G894" s="227">
        <f>IF($B$2,IF(ROWS(B$6:$B894) = 1,$B894-Start_Date,$B894-$B893),"")</f>
        <v>3.2611458373139612E-3</v>
      </c>
      <c r="H894" s="29">
        <f>IF($B$2,IF(ROWS(B$6:$B894) = 1,IF(COUNTIFS(R_Schedule_Times,"&lt;"&amp;B894),INDEX(R_Schedule_Amounts,MATCH(B894,R_Schedule_Times,1)),Starting_Cash),IF(COUNTIFS(R_Schedule_Times,"&gt;"&amp;B893,R_Schedule_Times,"&lt;"&amp;B894),INDEX(R_Schedule_Amounts,MATCH(B894,R_Schedule_Times,1)),K893)),"")</f>
        <v>12120</v>
      </c>
      <c r="I894" s="30">
        <f t="shared" si="65"/>
        <v>100</v>
      </c>
      <c r="J894" s="31">
        <f t="shared" si="66"/>
        <v>0</v>
      </c>
      <c r="K894" s="29">
        <f t="shared" si="67"/>
        <v>12020</v>
      </c>
      <c r="L894" s="31" t="str">
        <f t="shared" si="68"/>
        <v/>
      </c>
      <c r="M894" s="31" t="str">
        <f t="shared" si="69"/>
        <v/>
      </c>
    </row>
    <row r="895" spans="1:13" x14ac:dyDescent="0.15">
      <c r="A895" s="163" t="s">
        <v>210</v>
      </c>
      <c r="B895" s="163">
        <v>42300.690852037034</v>
      </c>
      <c r="C895" s="164" t="s">
        <v>1219</v>
      </c>
      <c r="D895" s="164" t="s">
        <v>13</v>
      </c>
      <c r="E895" s="165">
        <v>100</v>
      </c>
      <c r="F895" s="166">
        <v>0</v>
      </c>
      <c r="G895" s="227">
        <f>IF($B$2,IF(ROWS(B$6:$B895) = 1,$B895-Start_Date,$B895-$B894),"")</f>
        <v>5.1426620339043438E-3</v>
      </c>
      <c r="H895" s="29">
        <f>IF($B$2,IF(ROWS(B$6:$B895) = 1,IF(COUNTIFS(R_Schedule_Times,"&lt;"&amp;B895),INDEX(R_Schedule_Amounts,MATCH(B895,R_Schedule_Times,1)),Starting_Cash),IF(COUNTIFS(R_Schedule_Times,"&gt;"&amp;B894,R_Schedule_Times,"&lt;"&amp;B895),INDEX(R_Schedule_Amounts,MATCH(B895,R_Schedule_Times,1)),K894)),"")</f>
        <v>12020</v>
      </c>
      <c r="I895" s="30">
        <f t="shared" si="65"/>
        <v>100</v>
      </c>
      <c r="J895" s="31">
        <f t="shared" si="66"/>
        <v>0</v>
      </c>
      <c r="K895" s="29">
        <f t="shared" si="67"/>
        <v>11920</v>
      </c>
      <c r="L895" s="31" t="str">
        <f t="shared" si="68"/>
        <v/>
      </c>
      <c r="M895" s="31" t="str">
        <f t="shared" si="69"/>
        <v/>
      </c>
    </row>
    <row r="896" spans="1:13" x14ac:dyDescent="0.15">
      <c r="A896" s="163" t="s">
        <v>210</v>
      </c>
      <c r="B896" s="163">
        <v>42300.703268784724</v>
      </c>
      <c r="C896" s="164" t="s">
        <v>1220</v>
      </c>
      <c r="D896" s="164" t="s">
        <v>13</v>
      </c>
      <c r="E896" s="165">
        <v>100</v>
      </c>
      <c r="F896" s="166">
        <v>0</v>
      </c>
      <c r="G896" s="227">
        <f>IF($B$2,IF(ROWS(B$6:$B896) = 1,$B896-Start_Date,$B896-$B895),"")</f>
        <v>1.2416747689712793E-2</v>
      </c>
      <c r="H896" s="29">
        <f>IF($B$2,IF(ROWS(B$6:$B896) = 1,IF(COUNTIFS(R_Schedule_Times,"&lt;"&amp;B896),INDEX(R_Schedule_Amounts,MATCH(B896,R_Schedule_Times,1)),Starting_Cash),IF(COUNTIFS(R_Schedule_Times,"&gt;"&amp;B895,R_Schedule_Times,"&lt;"&amp;B896),INDEX(R_Schedule_Amounts,MATCH(B896,R_Schedule_Times,1)),K895)),"")</f>
        <v>11920</v>
      </c>
      <c r="I896" s="30">
        <f t="shared" si="65"/>
        <v>100</v>
      </c>
      <c r="J896" s="31">
        <f t="shared" si="66"/>
        <v>0</v>
      </c>
      <c r="K896" s="29">
        <f t="shared" si="67"/>
        <v>11820</v>
      </c>
      <c r="L896" s="31" t="str">
        <f t="shared" si="68"/>
        <v/>
      </c>
      <c r="M896" s="31" t="str">
        <f t="shared" si="69"/>
        <v/>
      </c>
    </row>
    <row r="897" spans="1:13" x14ac:dyDescent="0.15">
      <c r="A897" s="163" t="s">
        <v>210</v>
      </c>
      <c r="B897" s="163">
        <v>42300.718235949076</v>
      </c>
      <c r="C897" s="164" t="s">
        <v>14</v>
      </c>
      <c r="D897" s="164" t="s">
        <v>13</v>
      </c>
      <c r="E897" s="165">
        <v>120</v>
      </c>
      <c r="F897" s="166">
        <v>3.5</v>
      </c>
      <c r="G897" s="227">
        <f>IF($B$2,IF(ROWS(B$6:$B897) = 1,$B897-Start_Date,$B897-$B896),"")</f>
        <v>1.4967164352128748E-2</v>
      </c>
      <c r="H897" s="29">
        <f>IF($B$2,IF(ROWS(B$6:$B897) = 1,IF(COUNTIFS(R_Schedule_Times,"&lt;"&amp;B897),INDEX(R_Schedule_Amounts,MATCH(B897,R_Schedule_Times,1)),Starting_Cash),IF(COUNTIFS(R_Schedule_Times,"&gt;"&amp;B896,R_Schedule_Times,"&lt;"&amp;B897),INDEX(R_Schedule_Amounts,MATCH(B897,R_Schedule_Times,1)),K896)),"")</f>
        <v>11820</v>
      </c>
      <c r="I897" s="30">
        <f t="shared" si="65"/>
        <v>120</v>
      </c>
      <c r="J897" s="31">
        <f t="shared" si="66"/>
        <v>3.5</v>
      </c>
      <c r="K897" s="29">
        <f t="shared" si="67"/>
        <v>11700</v>
      </c>
      <c r="L897" s="31" t="str">
        <f t="shared" si="68"/>
        <v/>
      </c>
      <c r="M897" s="31" t="str">
        <f t="shared" si="69"/>
        <v/>
      </c>
    </row>
    <row r="898" spans="1:13" x14ac:dyDescent="0.15">
      <c r="A898" s="163" t="s">
        <v>210</v>
      </c>
      <c r="B898" s="163">
        <v>42300.722700254628</v>
      </c>
      <c r="C898" s="164" t="s">
        <v>1221</v>
      </c>
      <c r="D898" s="164" t="s">
        <v>13</v>
      </c>
      <c r="E898" s="165">
        <v>80</v>
      </c>
      <c r="F898" s="166">
        <v>0</v>
      </c>
      <c r="G898" s="227">
        <f>IF($B$2,IF(ROWS(B$6:$B898) = 1,$B898-Start_Date,$B898-$B897),"")</f>
        <v>4.4643055516644381E-3</v>
      </c>
      <c r="H898" s="29">
        <f>IF($B$2,IF(ROWS(B$6:$B898) = 1,IF(COUNTIFS(R_Schedule_Times,"&lt;"&amp;B898),INDEX(R_Schedule_Amounts,MATCH(B898,R_Schedule_Times,1)),Starting_Cash),IF(COUNTIFS(R_Schedule_Times,"&gt;"&amp;B897,R_Schedule_Times,"&lt;"&amp;B898),INDEX(R_Schedule_Amounts,MATCH(B898,R_Schedule_Times,1)),K897)),"")</f>
        <v>11700</v>
      </c>
      <c r="I898" s="30">
        <f t="shared" si="65"/>
        <v>80</v>
      </c>
      <c r="J898" s="31">
        <f t="shared" si="66"/>
        <v>0</v>
      </c>
      <c r="K898" s="29">
        <f t="shared" si="67"/>
        <v>11620</v>
      </c>
      <c r="L898" s="31" t="str">
        <f t="shared" si="68"/>
        <v/>
      </c>
      <c r="M898" s="31" t="str">
        <f t="shared" si="69"/>
        <v/>
      </c>
    </row>
    <row r="899" spans="1:13" x14ac:dyDescent="0.15">
      <c r="A899" s="163" t="s">
        <v>210</v>
      </c>
      <c r="B899" s="163">
        <v>42300.747444108798</v>
      </c>
      <c r="C899" s="164" t="s">
        <v>1222</v>
      </c>
      <c r="D899" s="164" t="s">
        <v>13</v>
      </c>
      <c r="E899" s="165">
        <v>40</v>
      </c>
      <c r="F899" s="166">
        <v>0</v>
      </c>
      <c r="G899" s="227">
        <f>IF($B$2,IF(ROWS(B$6:$B899) = 1,$B899-Start_Date,$B899-$B898),"")</f>
        <v>2.4743854170083068E-2</v>
      </c>
      <c r="H899" s="29">
        <f>IF($B$2,IF(ROWS(B$6:$B899) = 1,IF(COUNTIFS(R_Schedule_Times,"&lt;"&amp;B899),INDEX(R_Schedule_Amounts,MATCH(B899,R_Schedule_Times,1)),Starting_Cash),IF(COUNTIFS(R_Schedule_Times,"&gt;"&amp;B898,R_Schedule_Times,"&lt;"&amp;B899),INDEX(R_Schedule_Amounts,MATCH(B899,R_Schedule_Times,1)),K898)),"")</f>
        <v>11620</v>
      </c>
      <c r="I899" s="30">
        <f t="shared" si="65"/>
        <v>40</v>
      </c>
      <c r="J899" s="31">
        <f t="shared" si="66"/>
        <v>0</v>
      </c>
      <c r="K899" s="29">
        <f t="shared" si="67"/>
        <v>11580</v>
      </c>
      <c r="L899" s="31" t="str">
        <f t="shared" si="68"/>
        <v/>
      </c>
      <c r="M899" s="31" t="str">
        <f t="shared" si="69"/>
        <v/>
      </c>
    </row>
    <row r="900" spans="1:13" x14ac:dyDescent="0.15">
      <c r="A900" s="163" t="s">
        <v>210</v>
      </c>
      <c r="B900" s="163">
        <v>42300.754726261577</v>
      </c>
      <c r="C900" s="164" t="s">
        <v>1167</v>
      </c>
      <c r="D900" s="164" t="s">
        <v>13</v>
      </c>
      <c r="E900" s="165">
        <v>40</v>
      </c>
      <c r="F900" s="166">
        <v>0</v>
      </c>
      <c r="G900" s="227">
        <f>IF($B$2,IF(ROWS(B$6:$B900) = 1,$B900-Start_Date,$B900-$B899),"")</f>
        <v>7.2821527792257257E-3</v>
      </c>
      <c r="H900" s="29">
        <f>IF($B$2,IF(ROWS(B$6:$B900) = 1,IF(COUNTIFS(R_Schedule_Times,"&lt;"&amp;B900),INDEX(R_Schedule_Amounts,MATCH(B900,R_Schedule_Times,1)),Starting_Cash),IF(COUNTIFS(R_Schedule_Times,"&gt;"&amp;B899,R_Schedule_Times,"&lt;"&amp;B900),INDEX(R_Schedule_Amounts,MATCH(B900,R_Schedule_Times,1)),K899)),"")</f>
        <v>11580</v>
      </c>
      <c r="I900" s="30">
        <f t="shared" si="65"/>
        <v>40</v>
      </c>
      <c r="J900" s="31">
        <f t="shared" si="66"/>
        <v>0</v>
      </c>
      <c r="K900" s="29">
        <f t="shared" si="67"/>
        <v>11540</v>
      </c>
      <c r="L900" s="31" t="str">
        <f t="shared" si="68"/>
        <v/>
      </c>
      <c r="M900" s="31" t="str">
        <f t="shared" si="69"/>
        <v/>
      </c>
    </row>
    <row r="901" spans="1:13" x14ac:dyDescent="0.15">
      <c r="A901" s="163" t="s">
        <v>210</v>
      </c>
      <c r="B901" s="163">
        <v>42300.755635648151</v>
      </c>
      <c r="C901" s="164" t="s">
        <v>1223</v>
      </c>
      <c r="D901" s="164" t="s">
        <v>13</v>
      </c>
      <c r="E901" s="165">
        <v>100</v>
      </c>
      <c r="F901" s="166">
        <v>0</v>
      </c>
      <c r="G901" s="227">
        <f>IF($B$2,IF(ROWS(B$6:$B901) = 1,$B901-Start_Date,$B901-$B900),"")</f>
        <v>9.0938657376682386E-4</v>
      </c>
      <c r="H901" s="29">
        <f>IF($B$2,IF(ROWS(B$6:$B901) = 1,IF(COUNTIFS(R_Schedule_Times,"&lt;"&amp;B901),INDEX(R_Schedule_Amounts,MATCH(B901,R_Schedule_Times,1)),Starting_Cash),IF(COUNTIFS(R_Schedule_Times,"&gt;"&amp;B900,R_Schedule_Times,"&lt;"&amp;B901),INDEX(R_Schedule_Amounts,MATCH(B901,R_Schedule_Times,1)),K900)),"")</f>
        <v>11540</v>
      </c>
      <c r="I901" s="30">
        <f t="shared" si="65"/>
        <v>100</v>
      </c>
      <c r="J901" s="31">
        <f t="shared" si="66"/>
        <v>0</v>
      </c>
      <c r="K901" s="29">
        <f t="shared" si="67"/>
        <v>11440</v>
      </c>
      <c r="L901" s="31" t="str">
        <f t="shared" si="68"/>
        <v/>
      </c>
      <c r="M901" s="31" t="str">
        <f t="shared" si="69"/>
        <v/>
      </c>
    </row>
    <row r="902" spans="1:13" x14ac:dyDescent="0.15">
      <c r="A902" s="163" t="s">
        <v>210</v>
      </c>
      <c r="B902" s="163">
        <v>42300.759326851854</v>
      </c>
      <c r="C902" s="164" t="s">
        <v>1224</v>
      </c>
      <c r="D902" s="164" t="s">
        <v>13</v>
      </c>
      <c r="E902" s="165">
        <v>500</v>
      </c>
      <c r="F902" s="166">
        <v>0</v>
      </c>
      <c r="G902" s="227">
        <f>IF($B$2,IF(ROWS(B$6:$B902) = 1,$B902-Start_Date,$B902-$B901),"")</f>
        <v>3.6912037030560896E-3</v>
      </c>
      <c r="H902" s="29">
        <f>IF($B$2,IF(ROWS(B$6:$B902) = 1,IF(COUNTIFS(R_Schedule_Times,"&lt;"&amp;B902),INDEX(R_Schedule_Amounts,MATCH(B902,R_Schedule_Times,1)),Starting_Cash),IF(COUNTIFS(R_Schedule_Times,"&gt;"&amp;B901,R_Schedule_Times,"&lt;"&amp;B902),INDEX(R_Schedule_Amounts,MATCH(B902,R_Schedule_Times,1)),K901)),"")</f>
        <v>11440</v>
      </c>
      <c r="I902" s="30">
        <f t="shared" si="65"/>
        <v>500</v>
      </c>
      <c r="J902" s="31">
        <f t="shared" si="66"/>
        <v>0</v>
      </c>
      <c r="K902" s="29">
        <f t="shared" si="67"/>
        <v>10940</v>
      </c>
      <c r="L902" s="31" t="str">
        <f t="shared" si="68"/>
        <v/>
      </c>
      <c r="M902" s="31" t="str">
        <f t="shared" si="69"/>
        <v/>
      </c>
    </row>
    <row r="903" spans="1:13" x14ac:dyDescent="0.15">
      <c r="A903" s="163" t="s">
        <v>210</v>
      </c>
      <c r="B903" s="163">
        <v>42300.777678900464</v>
      </c>
      <c r="C903" s="164" t="s">
        <v>14</v>
      </c>
      <c r="D903" s="164" t="s">
        <v>13</v>
      </c>
      <c r="E903" s="165">
        <v>60</v>
      </c>
      <c r="F903" s="166">
        <v>3.5</v>
      </c>
      <c r="G903" s="227">
        <f>IF($B$2,IF(ROWS(B$6:$B903) = 1,$B903-Start_Date,$B903-$B902),"")</f>
        <v>1.835204860981321E-2</v>
      </c>
      <c r="H903" s="29">
        <f>IF($B$2,IF(ROWS(B$6:$B903) = 1,IF(COUNTIFS(R_Schedule_Times,"&lt;"&amp;B903),INDEX(R_Schedule_Amounts,MATCH(B903,R_Schedule_Times,1)),Starting_Cash),IF(COUNTIFS(R_Schedule_Times,"&gt;"&amp;B902,R_Schedule_Times,"&lt;"&amp;B903),INDEX(R_Schedule_Amounts,MATCH(B903,R_Schedule_Times,1)),K902)),"")</f>
        <v>10940</v>
      </c>
      <c r="I903" s="30">
        <f t="shared" ref="I903:I966" si="70">IF($B$2,IF(H903&gt;=E903,E903,0),"")</f>
        <v>60</v>
      </c>
      <c r="J903" s="31">
        <f t="shared" ref="J903:J966" si="71">IF($B$2,IF(H903&gt;=E903,F903,0),"")</f>
        <v>3.5</v>
      </c>
      <c r="K903" s="29">
        <f t="shared" ref="K903:K966" si="72">IF($B$2,ABS(I903-H903),"")</f>
        <v>10880</v>
      </c>
      <c r="L903" s="31" t="str">
        <f t="shared" ref="L903:L966" si="73">IF($B$2,IF(H903&lt;E903,"YES",""),"")</f>
        <v/>
      </c>
      <c r="M903" s="31" t="str">
        <f t="shared" ref="M903:M966" si="74">IF($B$2,IF(L903="YES",F903,""),"")</f>
        <v/>
      </c>
    </row>
    <row r="904" spans="1:13" x14ac:dyDescent="0.15">
      <c r="A904" s="163" t="s">
        <v>210</v>
      </c>
      <c r="B904" s="163">
        <v>42300.830736041666</v>
      </c>
      <c r="C904" s="164" t="s">
        <v>374</v>
      </c>
      <c r="D904" s="164" t="s">
        <v>13</v>
      </c>
      <c r="E904" s="165">
        <v>120</v>
      </c>
      <c r="F904" s="166">
        <v>0</v>
      </c>
      <c r="G904" s="227">
        <f>IF($B$2,IF(ROWS(B$6:$B904) = 1,$B904-Start_Date,$B904-$B903),"")</f>
        <v>5.3057141201861668E-2</v>
      </c>
      <c r="H904" s="29">
        <f>IF($B$2,IF(ROWS(B$6:$B904) = 1,IF(COUNTIFS(R_Schedule_Times,"&lt;"&amp;B904),INDEX(R_Schedule_Amounts,MATCH(B904,R_Schedule_Times,1)),Starting_Cash),IF(COUNTIFS(R_Schedule_Times,"&gt;"&amp;B903,R_Schedule_Times,"&lt;"&amp;B904),INDEX(R_Schedule_Amounts,MATCH(B904,R_Schedule_Times,1)),K903)),"")</f>
        <v>10880</v>
      </c>
      <c r="I904" s="30">
        <f t="shared" si="70"/>
        <v>120</v>
      </c>
      <c r="J904" s="31">
        <f t="shared" si="71"/>
        <v>0</v>
      </c>
      <c r="K904" s="29">
        <f t="shared" si="72"/>
        <v>10760</v>
      </c>
      <c r="L904" s="31" t="str">
        <f t="shared" si="73"/>
        <v/>
      </c>
      <c r="M904" s="31" t="str">
        <f t="shared" si="74"/>
        <v/>
      </c>
    </row>
    <row r="905" spans="1:13" x14ac:dyDescent="0.15">
      <c r="A905" s="163" t="s">
        <v>210</v>
      </c>
      <c r="B905" s="163">
        <v>42300.851058425927</v>
      </c>
      <c r="C905" s="164" t="s">
        <v>272</v>
      </c>
      <c r="D905" s="164" t="s">
        <v>13</v>
      </c>
      <c r="E905" s="165">
        <v>40</v>
      </c>
      <c r="F905" s="166">
        <v>0</v>
      </c>
      <c r="G905" s="227">
        <f>IF($B$2,IF(ROWS(B$6:$B905) = 1,$B905-Start_Date,$B905-$B904),"")</f>
        <v>2.0322384261817206E-2</v>
      </c>
      <c r="H905" s="29">
        <f>IF($B$2,IF(ROWS(B$6:$B905) = 1,IF(COUNTIFS(R_Schedule_Times,"&lt;"&amp;B905),INDEX(R_Schedule_Amounts,MATCH(B905,R_Schedule_Times,1)),Starting_Cash),IF(COUNTIFS(R_Schedule_Times,"&gt;"&amp;B904,R_Schedule_Times,"&lt;"&amp;B905),INDEX(R_Schedule_Amounts,MATCH(B905,R_Schedule_Times,1)),K904)),"")</f>
        <v>10760</v>
      </c>
      <c r="I905" s="30">
        <f t="shared" si="70"/>
        <v>40</v>
      </c>
      <c r="J905" s="31">
        <f t="shared" si="71"/>
        <v>0</v>
      </c>
      <c r="K905" s="29">
        <f t="shared" si="72"/>
        <v>10720</v>
      </c>
      <c r="L905" s="31" t="str">
        <f t="shared" si="73"/>
        <v/>
      </c>
      <c r="M905" s="31" t="str">
        <f t="shared" si="74"/>
        <v/>
      </c>
    </row>
    <row r="906" spans="1:13" x14ac:dyDescent="0.15">
      <c r="A906" s="163" t="s">
        <v>210</v>
      </c>
      <c r="B906" s="163">
        <v>42300.885821261574</v>
      </c>
      <c r="C906" s="164" t="s">
        <v>1225</v>
      </c>
      <c r="D906" s="164" t="s">
        <v>13</v>
      </c>
      <c r="E906" s="165">
        <v>40</v>
      </c>
      <c r="F906" s="166">
        <v>0</v>
      </c>
      <c r="G906" s="227">
        <f>IF($B$2,IF(ROWS(B$6:$B906) = 1,$B906-Start_Date,$B906-$B905),"")</f>
        <v>3.4762835646688472E-2</v>
      </c>
      <c r="H906" s="29">
        <f>IF($B$2,IF(ROWS(B$6:$B906) = 1,IF(COUNTIFS(R_Schedule_Times,"&lt;"&amp;B906),INDEX(R_Schedule_Amounts,MATCH(B906,R_Schedule_Times,1)),Starting_Cash),IF(COUNTIFS(R_Schedule_Times,"&gt;"&amp;B905,R_Schedule_Times,"&lt;"&amp;B906),INDEX(R_Schedule_Amounts,MATCH(B906,R_Schedule_Times,1)),K905)),"")</f>
        <v>10720</v>
      </c>
      <c r="I906" s="30">
        <f t="shared" si="70"/>
        <v>40</v>
      </c>
      <c r="J906" s="31">
        <f t="shared" si="71"/>
        <v>0</v>
      </c>
      <c r="K906" s="29">
        <f t="shared" si="72"/>
        <v>10680</v>
      </c>
      <c r="L906" s="31" t="str">
        <f t="shared" si="73"/>
        <v/>
      </c>
      <c r="M906" s="31" t="str">
        <f t="shared" si="74"/>
        <v/>
      </c>
    </row>
    <row r="907" spans="1:13" x14ac:dyDescent="0.15">
      <c r="A907" s="163" t="s">
        <v>210</v>
      </c>
      <c r="B907" s="163">
        <v>42300.998204490737</v>
      </c>
      <c r="C907" s="164" t="s">
        <v>1226</v>
      </c>
      <c r="D907" s="164" t="s">
        <v>13</v>
      </c>
      <c r="E907" s="165">
        <v>40</v>
      </c>
      <c r="F907" s="166">
        <v>0</v>
      </c>
      <c r="G907" s="227">
        <f>IF($B$2,IF(ROWS(B$6:$B907) = 1,$B907-Start_Date,$B907-$B906),"")</f>
        <v>0.1123832291632425</v>
      </c>
      <c r="H907" s="29">
        <f>IF($B$2,IF(ROWS(B$6:$B907) = 1,IF(COUNTIFS(R_Schedule_Times,"&lt;"&amp;B907),INDEX(R_Schedule_Amounts,MATCH(B907,R_Schedule_Times,1)),Starting_Cash),IF(COUNTIFS(R_Schedule_Times,"&gt;"&amp;B906,R_Schedule_Times,"&lt;"&amp;B907),INDEX(R_Schedule_Amounts,MATCH(B907,R_Schedule_Times,1)),K906)),"")</f>
        <v>10680</v>
      </c>
      <c r="I907" s="30">
        <f t="shared" si="70"/>
        <v>40</v>
      </c>
      <c r="J907" s="31">
        <f t="shared" si="71"/>
        <v>0</v>
      </c>
      <c r="K907" s="29">
        <f t="shared" si="72"/>
        <v>10640</v>
      </c>
      <c r="L907" s="31" t="str">
        <f t="shared" si="73"/>
        <v/>
      </c>
      <c r="M907" s="31" t="str">
        <f t="shared" si="74"/>
        <v/>
      </c>
    </row>
    <row r="908" spans="1:13" x14ac:dyDescent="0.15">
      <c r="A908" s="163" t="s">
        <v>210</v>
      </c>
      <c r="B908" s="163">
        <v>42301.281981006941</v>
      </c>
      <c r="C908" s="164" t="s">
        <v>1227</v>
      </c>
      <c r="D908" s="164" t="s">
        <v>13</v>
      </c>
      <c r="E908" s="165">
        <v>100</v>
      </c>
      <c r="F908" s="166">
        <v>0</v>
      </c>
      <c r="G908" s="227">
        <f>IF($B$2,IF(ROWS(B$6:$B908) = 1,$B908-Start_Date,$B908-$B907),"")</f>
        <v>0.28377651620394317</v>
      </c>
      <c r="H908" s="29">
        <f>IF($B$2,IF(ROWS(B$6:$B908) = 1,IF(COUNTIFS(R_Schedule_Times,"&lt;"&amp;B908),INDEX(R_Schedule_Amounts,MATCH(B908,R_Schedule_Times,1)),Starting_Cash),IF(COUNTIFS(R_Schedule_Times,"&gt;"&amp;B907,R_Schedule_Times,"&lt;"&amp;B908),INDEX(R_Schedule_Amounts,MATCH(B908,R_Schedule_Times,1)),K907)),"")</f>
        <v>10640</v>
      </c>
      <c r="I908" s="30">
        <f t="shared" si="70"/>
        <v>100</v>
      </c>
      <c r="J908" s="31">
        <f t="shared" si="71"/>
        <v>0</v>
      </c>
      <c r="K908" s="29">
        <f t="shared" si="72"/>
        <v>10540</v>
      </c>
      <c r="L908" s="31" t="str">
        <f t="shared" si="73"/>
        <v/>
      </c>
      <c r="M908" s="31" t="str">
        <f t="shared" si="74"/>
        <v/>
      </c>
    </row>
    <row r="909" spans="1:13" x14ac:dyDescent="0.15">
      <c r="A909" s="163" t="s">
        <v>210</v>
      </c>
      <c r="B909" s="163">
        <v>42301.303856006947</v>
      </c>
      <c r="C909" s="164" t="s">
        <v>1073</v>
      </c>
      <c r="D909" s="164" t="s">
        <v>13</v>
      </c>
      <c r="E909" s="165">
        <v>200</v>
      </c>
      <c r="F909" s="166">
        <v>0</v>
      </c>
      <c r="G909" s="227">
        <f>IF($B$2,IF(ROWS(B$6:$B909) = 1,$B909-Start_Date,$B909-$B908),"")</f>
        <v>2.1875000005820766E-2</v>
      </c>
      <c r="H909" s="29">
        <f>IF($B$2,IF(ROWS(B$6:$B909) = 1,IF(COUNTIFS(R_Schedule_Times,"&lt;"&amp;B909),INDEX(R_Schedule_Amounts,MATCH(B909,R_Schedule_Times,1)),Starting_Cash),IF(COUNTIFS(R_Schedule_Times,"&gt;"&amp;B908,R_Schedule_Times,"&lt;"&amp;B909),INDEX(R_Schedule_Amounts,MATCH(B909,R_Schedule_Times,1)),K908)),"")</f>
        <v>10540</v>
      </c>
      <c r="I909" s="30">
        <f t="shared" si="70"/>
        <v>200</v>
      </c>
      <c r="J909" s="31">
        <f t="shared" si="71"/>
        <v>0</v>
      </c>
      <c r="K909" s="29">
        <f t="shared" si="72"/>
        <v>10340</v>
      </c>
      <c r="L909" s="31" t="str">
        <f t="shared" si="73"/>
        <v/>
      </c>
      <c r="M909" s="31" t="str">
        <f t="shared" si="74"/>
        <v/>
      </c>
    </row>
    <row r="910" spans="1:13" x14ac:dyDescent="0.15">
      <c r="A910" s="163" t="s">
        <v>210</v>
      </c>
      <c r="B910" s="163">
        <v>42301.306730787037</v>
      </c>
      <c r="C910" s="164" t="s">
        <v>1228</v>
      </c>
      <c r="D910" s="164" t="s">
        <v>13</v>
      </c>
      <c r="E910" s="165">
        <v>20</v>
      </c>
      <c r="F910" s="166">
        <v>0</v>
      </c>
      <c r="G910" s="227">
        <f>IF($B$2,IF(ROWS(B$6:$B910) = 1,$B910-Start_Date,$B910-$B909),"")</f>
        <v>2.8747800897690468E-3</v>
      </c>
      <c r="H910" s="29">
        <f>IF($B$2,IF(ROWS(B$6:$B910) = 1,IF(COUNTIFS(R_Schedule_Times,"&lt;"&amp;B910),INDEX(R_Schedule_Amounts,MATCH(B910,R_Schedule_Times,1)),Starting_Cash),IF(COUNTIFS(R_Schedule_Times,"&gt;"&amp;B909,R_Schedule_Times,"&lt;"&amp;B910),INDEX(R_Schedule_Amounts,MATCH(B910,R_Schedule_Times,1)),K909)),"")</f>
        <v>10340</v>
      </c>
      <c r="I910" s="30">
        <f t="shared" si="70"/>
        <v>20</v>
      </c>
      <c r="J910" s="31">
        <f t="shared" si="71"/>
        <v>0</v>
      </c>
      <c r="K910" s="29">
        <f t="shared" si="72"/>
        <v>10320</v>
      </c>
      <c r="L910" s="31" t="str">
        <f t="shared" si="73"/>
        <v/>
      </c>
      <c r="M910" s="31" t="str">
        <f t="shared" si="74"/>
        <v/>
      </c>
    </row>
    <row r="911" spans="1:13" x14ac:dyDescent="0.15">
      <c r="A911" s="163" t="s">
        <v>210</v>
      </c>
      <c r="B911" s="163">
        <v>42301.321742361113</v>
      </c>
      <c r="C911" s="164" t="s">
        <v>14</v>
      </c>
      <c r="D911" s="164" t="s">
        <v>15</v>
      </c>
      <c r="E911" s="165">
        <v>20</v>
      </c>
      <c r="F911" s="166">
        <v>3.1</v>
      </c>
      <c r="G911" s="227">
        <f>IF($B$2,IF(ROWS(B$6:$B911) = 1,$B911-Start_Date,$B911-$B910),"")</f>
        <v>1.5011574076197576E-2</v>
      </c>
      <c r="H911" s="29">
        <f>IF($B$2,IF(ROWS(B$6:$B911) = 1,IF(COUNTIFS(R_Schedule_Times,"&lt;"&amp;B911),INDEX(R_Schedule_Amounts,MATCH(B911,R_Schedule_Times,1)),Starting_Cash),IF(COUNTIFS(R_Schedule_Times,"&gt;"&amp;B910,R_Schedule_Times,"&lt;"&amp;B911),INDEX(R_Schedule_Amounts,MATCH(B911,R_Schedule_Times,1)),K910)),"")</f>
        <v>10320</v>
      </c>
      <c r="I911" s="30">
        <f t="shared" si="70"/>
        <v>20</v>
      </c>
      <c r="J911" s="31">
        <f t="shared" si="71"/>
        <v>3.1</v>
      </c>
      <c r="K911" s="29">
        <f t="shared" si="72"/>
        <v>10300</v>
      </c>
      <c r="L911" s="31" t="str">
        <f t="shared" si="73"/>
        <v/>
      </c>
      <c r="M911" s="31" t="str">
        <f t="shared" si="74"/>
        <v/>
      </c>
    </row>
    <row r="912" spans="1:13" x14ac:dyDescent="0.15">
      <c r="A912" s="163" t="s">
        <v>210</v>
      </c>
      <c r="B912" s="163">
        <v>42301.366507569444</v>
      </c>
      <c r="C912" s="164" t="s">
        <v>1229</v>
      </c>
      <c r="D912" s="164" t="s">
        <v>15</v>
      </c>
      <c r="E912" s="165">
        <v>100</v>
      </c>
      <c r="F912" s="166">
        <v>3</v>
      </c>
      <c r="G912" s="227">
        <f>IF($B$2,IF(ROWS(B$6:$B912) = 1,$B912-Start_Date,$B912-$B911),"")</f>
        <v>4.4765208331227768E-2</v>
      </c>
      <c r="H912" s="29">
        <f>IF($B$2,IF(ROWS(B$6:$B912) = 1,IF(COUNTIFS(R_Schedule_Times,"&lt;"&amp;B912),INDEX(R_Schedule_Amounts,MATCH(B912,R_Schedule_Times,1)),Starting_Cash),IF(COUNTIFS(R_Schedule_Times,"&gt;"&amp;B911,R_Schedule_Times,"&lt;"&amp;B912),INDEX(R_Schedule_Amounts,MATCH(B912,R_Schedule_Times,1)),K911)),"")</f>
        <v>10300</v>
      </c>
      <c r="I912" s="30">
        <f t="shared" si="70"/>
        <v>100</v>
      </c>
      <c r="J912" s="31">
        <f t="shared" si="71"/>
        <v>3</v>
      </c>
      <c r="K912" s="29">
        <f t="shared" si="72"/>
        <v>10200</v>
      </c>
      <c r="L912" s="31" t="str">
        <f t="shared" si="73"/>
        <v/>
      </c>
      <c r="M912" s="31" t="str">
        <f t="shared" si="74"/>
        <v/>
      </c>
    </row>
    <row r="913" spans="1:13" x14ac:dyDescent="0.15">
      <c r="A913" s="163" t="s">
        <v>210</v>
      </c>
      <c r="B913" s="163">
        <v>42301.382812534721</v>
      </c>
      <c r="C913" s="164" t="s">
        <v>14</v>
      </c>
      <c r="D913" s="164" t="s">
        <v>13</v>
      </c>
      <c r="E913" s="165">
        <v>100</v>
      </c>
      <c r="F913" s="166">
        <v>3.5</v>
      </c>
      <c r="G913" s="227">
        <f>IF($B$2,IF(ROWS(B$6:$B913) = 1,$B913-Start_Date,$B913-$B912),"")</f>
        <v>1.6304965276503935E-2</v>
      </c>
      <c r="H913" s="29">
        <f>IF($B$2,IF(ROWS(B$6:$B913) = 1,IF(COUNTIFS(R_Schedule_Times,"&lt;"&amp;B913),INDEX(R_Schedule_Amounts,MATCH(B913,R_Schedule_Times,1)),Starting_Cash),IF(COUNTIFS(R_Schedule_Times,"&gt;"&amp;B912,R_Schedule_Times,"&lt;"&amp;B913),INDEX(R_Schedule_Amounts,MATCH(B913,R_Schedule_Times,1)),K912)),"")</f>
        <v>10200</v>
      </c>
      <c r="I913" s="30">
        <f t="shared" si="70"/>
        <v>100</v>
      </c>
      <c r="J913" s="31">
        <f t="shared" si="71"/>
        <v>3.5</v>
      </c>
      <c r="K913" s="29">
        <f t="shared" si="72"/>
        <v>10100</v>
      </c>
      <c r="L913" s="31" t="str">
        <f t="shared" si="73"/>
        <v/>
      </c>
      <c r="M913" s="31" t="str">
        <f t="shared" si="74"/>
        <v/>
      </c>
    </row>
    <row r="914" spans="1:13" x14ac:dyDescent="0.15">
      <c r="A914" s="163" t="s">
        <v>210</v>
      </c>
      <c r="B914" s="163">
        <v>42301.403129629631</v>
      </c>
      <c r="C914" s="164" t="s">
        <v>1230</v>
      </c>
      <c r="D914" s="164" t="s">
        <v>13</v>
      </c>
      <c r="E914" s="165">
        <v>300</v>
      </c>
      <c r="F914" s="166">
        <v>0</v>
      </c>
      <c r="G914" s="227">
        <f>IF($B$2,IF(ROWS(B$6:$B914) = 1,$B914-Start_Date,$B914-$B913),"")</f>
        <v>2.0317094909842126E-2</v>
      </c>
      <c r="H914" s="29">
        <f>IF($B$2,IF(ROWS(B$6:$B914) = 1,IF(COUNTIFS(R_Schedule_Times,"&lt;"&amp;B914),INDEX(R_Schedule_Amounts,MATCH(B914,R_Schedule_Times,1)),Starting_Cash),IF(COUNTIFS(R_Schedule_Times,"&gt;"&amp;B913,R_Schedule_Times,"&lt;"&amp;B914),INDEX(R_Schedule_Amounts,MATCH(B914,R_Schedule_Times,1)),K913)),"")</f>
        <v>10100</v>
      </c>
      <c r="I914" s="30">
        <f t="shared" si="70"/>
        <v>300</v>
      </c>
      <c r="J914" s="31">
        <f t="shared" si="71"/>
        <v>0</v>
      </c>
      <c r="K914" s="29">
        <f t="shared" si="72"/>
        <v>9800</v>
      </c>
      <c r="L914" s="31" t="str">
        <f t="shared" si="73"/>
        <v/>
      </c>
      <c r="M914" s="31" t="str">
        <f t="shared" si="74"/>
        <v/>
      </c>
    </row>
    <row r="915" spans="1:13" x14ac:dyDescent="0.15">
      <c r="A915" s="163" t="s">
        <v>210</v>
      </c>
      <c r="B915" s="163">
        <v>42301.440852650463</v>
      </c>
      <c r="C915" s="164" t="s">
        <v>1231</v>
      </c>
      <c r="D915" s="164" t="s">
        <v>13</v>
      </c>
      <c r="E915" s="165">
        <v>40</v>
      </c>
      <c r="F915" s="166">
        <v>0</v>
      </c>
      <c r="G915" s="227">
        <f>IF($B$2,IF(ROWS(B$6:$B915) = 1,$B915-Start_Date,$B915-$B914),"")</f>
        <v>3.7723020832345355E-2</v>
      </c>
      <c r="H915" s="29">
        <f>IF($B$2,IF(ROWS(B$6:$B915) = 1,IF(COUNTIFS(R_Schedule_Times,"&lt;"&amp;B915),INDEX(R_Schedule_Amounts,MATCH(B915,R_Schedule_Times,1)),Starting_Cash),IF(COUNTIFS(R_Schedule_Times,"&gt;"&amp;B914,R_Schedule_Times,"&lt;"&amp;B915),INDEX(R_Schedule_Amounts,MATCH(B915,R_Schedule_Times,1)),K914)),"")</f>
        <v>9800</v>
      </c>
      <c r="I915" s="30">
        <f t="shared" si="70"/>
        <v>40</v>
      </c>
      <c r="J915" s="31">
        <f t="shared" si="71"/>
        <v>0</v>
      </c>
      <c r="K915" s="29">
        <f t="shared" si="72"/>
        <v>9760</v>
      </c>
      <c r="L915" s="31" t="str">
        <f t="shared" si="73"/>
        <v/>
      </c>
      <c r="M915" s="31" t="str">
        <f t="shared" si="74"/>
        <v/>
      </c>
    </row>
    <row r="916" spans="1:13" x14ac:dyDescent="0.15">
      <c r="A916" s="163" t="s">
        <v>210</v>
      </c>
      <c r="B916" s="163">
        <v>42301.445883263892</v>
      </c>
      <c r="C916" s="164" t="s">
        <v>1232</v>
      </c>
      <c r="D916" s="164" t="s">
        <v>13</v>
      </c>
      <c r="E916" s="165">
        <v>200</v>
      </c>
      <c r="F916" s="166">
        <v>0</v>
      </c>
      <c r="G916" s="227">
        <f>IF($B$2,IF(ROWS(B$6:$B916) = 1,$B916-Start_Date,$B916-$B915),"")</f>
        <v>5.0306134289712645E-3</v>
      </c>
      <c r="H916" s="29">
        <f>IF($B$2,IF(ROWS(B$6:$B916) = 1,IF(COUNTIFS(R_Schedule_Times,"&lt;"&amp;B916),INDEX(R_Schedule_Amounts,MATCH(B916,R_Schedule_Times,1)),Starting_Cash),IF(COUNTIFS(R_Schedule_Times,"&gt;"&amp;B915,R_Schedule_Times,"&lt;"&amp;B916),INDEX(R_Schedule_Amounts,MATCH(B916,R_Schedule_Times,1)),K915)),"")</f>
        <v>9760</v>
      </c>
      <c r="I916" s="30">
        <f t="shared" si="70"/>
        <v>200</v>
      </c>
      <c r="J916" s="31">
        <f t="shared" si="71"/>
        <v>0</v>
      </c>
      <c r="K916" s="29">
        <f t="shared" si="72"/>
        <v>9560</v>
      </c>
      <c r="L916" s="31" t="str">
        <f t="shared" si="73"/>
        <v/>
      </c>
      <c r="M916" s="31" t="str">
        <f t="shared" si="74"/>
        <v/>
      </c>
    </row>
    <row r="917" spans="1:13" x14ac:dyDescent="0.15">
      <c r="A917" s="163" t="s">
        <v>210</v>
      </c>
      <c r="B917" s="163">
        <v>42301.44652179398</v>
      </c>
      <c r="C917" s="164" t="s">
        <v>375</v>
      </c>
      <c r="D917" s="164" t="s">
        <v>13</v>
      </c>
      <c r="E917" s="165">
        <v>40</v>
      </c>
      <c r="F917" s="166">
        <v>0</v>
      </c>
      <c r="G917" s="227">
        <f>IF($B$2,IF(ROWS(B$6:$B917) = 1,$B917-Start_Date,$B917-$B916),"")</f>
        <v>6.3853008759906515E-4</v>
      </c>
      <c r="H917" s="29">
        <f>IF($B$2,IF(ROWS(B$6:$B917) = 1,IF(COUNTIFS(R_Schedule_Times,"&lt;"&amp;B917),INDEX(R_Schedule_Amounts,MATCH(B917,R_Schedule_Times,1)),Starting_Cash),IF(COUNTIFS(R_Schedule_Times,"&gt;"&amp;B916,R_Schedule_Times,"&lt;"&amp;B917),INDEX(R_Schedule_Amounts,MATCH(B917,R_Schedule_Times,1)),K916)),"")</f>
        <v>9560</v>
      </c>
      <c r="I917" s="30">
        <f t="shared" si="70"/>
        <v>40</v>
      </c>
      <c r="J917" s="31">
        <f t="shared" si="71"/>
        <v>0</v>
      </c>
      <c r="K917" s="29">
        <f t="shared" si="72"/>
        <v>9520</v>
      </c>
      <c r="L917" s="31" t="str">
        <f t="shared" si="73"/>
        <v/>
      </c>
      <c r="M917" s="31" t="str">
        <f t="shared" si="74"/>
        <v/>
      </c>
    </row>
    <row r="918" spans="1:13" x14ac:dyDescent="0.15">
      <c r="A918" s="163" t="s">
        <v>210</v>
      </c>
      <c r="B918" s="163">
        <v>42301.457395231482</v>
      </c>
      <c r="C918" s="164" t="s">
        <v>376</v>
      </c>
      <c r="D918" s="164" t="s">
        <v>13</v>
      </c>
      <c r="E918" s="165">
        <v>100</v>
      </c>
      <c r="F918" s="166">
        <v>0</v>
      </c>
      <c r="G918" s="227">
        <f>IF($B$2,IF(ROWS(B$6:$B918) = 1,$B918-Start_Date,$B918-$B917),"")</f>
        <v>1.0873437502596062E-2</v>
      </c>
      <c r="H918" s="29">
        <f>IF($B$2,IF(ROWS(B$6:$B918) = 1,IF(COUNTIFS(R_Schedule_Times,"&lt;"&amp;B918),INDEX(R_Schedule_Amounts,MATCH(B918,R_Schedule_Times,1)),Starting_Cash),IF(COUNTIFS(R_Schedule_Times,"&gt;"&amp;B917,R_Schedule_Times,"&lt;"&amp;B918),INDEX(R_Schedule_Amounts,MATCH(B918,R_Schedule_Times,1)),K917)),"")</f>
        <v>9520</v>
      </c>
      <c r="I918" s="30">
        <f t="shared" si="70"/>
        <v>100</v>
      </c>
      <c r="J918" s="31">
        <f t="shared" si="71"/>
        <v>0</v>
      </c>
      <c r="K918" s="29">
        <f t="shared" si="72"/>
        <v>9420</v>
      </c>
      <c r="L918" s="31" t="str">
        <f t="shared" si="73"/>
        <v/>
      </c>
      <c r="M918" s="31" t="str">
        <f t="shared" si="74"/>
        <v/>
      </c>
    </row>
    <row r="919" spans="1:13" x14ac:dyDescent="0.15">
      <c r="A919" s="163" t="s">
        <v>210</v>
      </c>
      <c r="B919" s="163">
        <v>42301.493233611109</v>
      </c>
      <c r="C919" s="164" t="s">
        <v>377</v>
      </c>
      <c r="D919" s="164" t="s">
        <v>13</v>
      </c>
      <c r="E919" s="165">
        <v>60</v>
      </c>
      <c r="F919" s="166">
        <v>0</v>
      </c>
      <c r="G919" s="227">
        <f>IF($B$2,IF(ROWS(B$6:$B919) = 1,$B919-Start_Date,$B919-$B918),"")</f>
        <v>3.5838379626511596E-2</v>
      </c>
      <c r="H919" s="29">
        <f>IF($B$2,IF(ROWS(B$6:$B919) = 1,IF(COUNTIFS(R_Schedule_Times,"&lt;"&amp;B919),INDEX(R_Schedule_Amounts,MATCH(B919,R_Schedule_Times,1)),Starting_Cash),IF(COUNTIFS(R_Schedule_Times,"&gt;"&amp;B918,R_Schedule_Times,"&lt;"&amp;B919),INDEX(R_Schedule_Amounts,MATCH(B919,R_Schedule_Times,1)),K918)),"")</f>
        <v>9420</v>
      </c>
      <c r="I919" s="30">
        <f t="shared" si="70"/>
        <v>60</v>
      </c>
      <c r="J919" s="31">
        <f t="shared" si="71"/>
        <v>0</v>
      </c>
      <c r="K919" s="29">
        <f t="shared" si="72"/>
        <v>9360</v>
      </c>
      <c r="L919" s="31" t="str">
        <f t="shared" si="73"/>
        <v/>
      </c>
      <c r="M919" s="31" t="str">
        <f t="shared" si="74"/>
        <v/>
      </c>
    </row>
    <row r="920" spans="1:13" x14ac:dyDescent="0.15">
      <c r="A920" s="163" t="s">
        <v>210</v>
      </c>
      <c r="B920" s="163">
        <v>42301.497521331017</v>
      </c>
      <c r="C920" s="164" t="s">
        <v>14</v>
      </c>
      <c r="D920" s="164" t="s">
        <v>13</v>
      </c>
      <c r="E920" s="165">
        <v>40</v>
      </c>
      <c r="F920" s="166">
        <v>3.5</v>
      </c>
      <c r="G920" s="227">
        <f>IF($B$2,IF(ROWS(B$6:$B920) = 1,$B920-Start_Date,$B920-$B919),"")</f>
        <v>4.2877199084614404E-3</v>
      </c>
      <c r="H920" s="29">
        <f>IF($B$2,IF(ROWS(B$6:$B920) = 1,IF(COUNTIFS(R_Schedule_Times,"&lt;"&amp;B920),INDEX(R_Schedule_Amounts,MATCH(B920,R_Schedule_Times,1)),Starting_Cash),IF(COUNTIFS(R_Schedule_Times,"&gt;"&amp;B919,R_Schedule_Times,"&lt;"&amp;B920),INDEX(R_Schedule_Amounts,MATCH(B920,R_Schedule_Times,1)),K919)),"")</f>
        <v>9360</v>
      </c>
      <c r="I920" s="30">
        <f t="shared" si="70"/>
        <v>40</v>
      </c>
      <c r="J920" s="31">
        <f t="shared" si="71"/>
        <v>3.5</v>
      </c>
      <c r="K920" s="29">
        <f t="shared" si="72"/>
        <v>9320</v>
      </c>
      <c r="L920" s="31" t="str">
        <f t="shared" si="73"/>
        <v/>
      </c>
      <c r="M920" s="31" t="str">
        <f t="shared" si="74"/>
        <v/>
      </c>
    </row>
    <row r="921" spans="1:13" x14ac:dyDescent="0.15">
      <c r="A921" s="163" t="s">
        <v>210</v>
      </c>
      <c r="B921" s="163">
        <v>42301.538409791669</v>
      </c>
      <c r="C921" s="164" t="s">
        <v>1233</v>
      </c>
      <c r="D921" s="164" t="s">
        <v>13</v>
      </c>
      <c r="E921" s="165">
        <v>120</v>
      </c>
      <c r="F921" s="166">
        <v>0</v>
      </c>
      <c r="G921" s="227">
        <f>IF($B$2,IF(ROWS(B$6:$B921) = 1,$B921-Start_Date,$B921-$B920),"")</f>
        <v>4.0888460651331116E-2</v>
      </c>
      <c r="H921" s="29">
        <f>IF($B$2,IF(ROWS(B$6:$B921) = 1,IF(COUNTIFS(R_Schedule_Times,"&lt;"&amp;B921),INDEX(R_Schedule_Amounts,MATCH(B921,R_Schedule_Times,1)),Starting_Cash),IF(COUNTIFS(R_Schedule_Times,"&gt;"&amp;B920,R_Schedule_Times,"&lt;"&amp;B921),INDEX(R_Schedule_Amounts,MATCH(B921,R_Schedule_Times,1)),K920)),"")</f>
        <v>9320</v>
      </c>
      <c r="I921" s="30">
        <f t="shared" si="70"/>
        <v>120</v>
      </c>
      <c r="J921" s="31">
        <f t="shared" si="71"/>
        <v>0</v>
      </c>
      <c r="K921" s="29">
        <f t="shared" si="72"/>
        <v>9200</v>
      </c>
      <c r="L921" s="31" t="str">
        <f t="shared" si="73"/>
        <v/>
      </c>
      <c r="M921" s="31" t="str">
        <f t="shared" si="74"/>
        <v/>
      </c>
    </row>
    <row r="922" spans="1:13" x14ac:dyDescent="0.15">
      <c r="A922" s="163" t="s">
        <v>210</v>
      </c>
      <c r="B922" s="163">
        <v>42301.547717800924</v>
      </c>
      <c r="C922" s="164" t="s">
        <v>1234</v>
      </c>
      <c r="D922" s="164" t="s">
        <v>13</v>
      </c>
      <c r="E922" s="165">
        <v>100</v>
      </c>
      <c r="F922" s="166">
        <v>0</v>
      </c>
      <c r="G922" s="227">
        <f>IF($B$2,IF(ROWS(B$6:$B922) = 1,$B922-Start_Date,$B922-$B921),"")</f>
        <v>9.308009255619254E-3</v>
      </c>
      <c r="H922" s="29">
        <f>IF($B$2,IF(ROWS(B$6:$B922) = 1,IF(COUNTIFS(R_Schedule_Times,"&lt;"&amp;B922),INDEX(R_Schedule_Amounts,MATCH(B922,R_Schedule_Times,1)),Starting_Cash),IF(COUNTIFS(R_Schedule_Times,"&gt;"&amp;B921,R_Schedule_Times,"&lt;"&amp;B922),INDEX(R_Schedule_Amounts,MATCH(B922,R_Schedule_Times,1)),K921)),"")</f>
        <v>9200</v>
      </c>
      <c r="I922" s="30">
        <f t="shared" si="70"/>
        <v>100</v>
      </c>
      <c r="J922" s="31">
        <f t="shared" si="71"/>
        <v>0</v>
      </c>
      <c r="K922" s="29">
        <f t="shared" si="72"/>
        <v>9100</v>
      </c>
      <c r="L922" s="31" t="str">
        <f t="shared" si="73"/>
        <v/>
      </c>
      <c r="M922" s="31" t="str">
        <f t="shared" si="74"/>
        <v/>
      </c>
    </row>
    <row r="923" spans="1:13" x14ac:dyDescent="0.15">
      <c r="A923" s="163" t="s">
        <v>210</v>
      </c>
      <c r="B923" s="163">
        <v>42301.551917442128</v>
      </c>
      <c r="C923" s="164" t="s">
        <v>1235</v>
      </c>
      <c r="D923" s="164" t="s">
        <v>13</v>
      </c>
      <c r="E923" s="165">
        <v>100</v>
      </c>
      <c r="F923" s="166">
        <v>0</v>
      </c>
      <c r="G923" s="227">
        <f>IF($B$2,IF(ROWS(B$6:$B923) = 1,$B923-Start_Date,$B923-$B922),"")</f>
        <v>4.1996412037406117E-3</v>
      </c>
      <c r="H923" s="29">
        <f>IF($B$2,IF(ROWS(B$6:$B923) = 1,IF(COUNTIFS(R_Schedule_Times,"&lt;"&amp;B923),INDEX(R_Schedule_Amounts,MATCH(B923,R_Schedule_Times,1)),Starting_Cash),IF(COUNTIFS(R_Schedule_Times,"&gt;"&amp;B922,R_Schedule_Times,"&lt;"&amp;B923),INDEX(R_Schedule_Amounts,MATCH(B923,R_Schedule_Times,1)),K922)),"")</f>
        <v>9100</v>
      </c>
      <c r="I923" s="30">
        <f t="shared" si="70"/>
        <v>100</v>
      </c>
      <c r="J923" s="31">
        <f t="shared" si="71"/>
        <v>0</v>
      </c>
      <c r="K923" s="29">
        <f t="shared" si="72"/>
        <v>9000</v>
      </c>
      <c r="L923" s="31" t="str">
        <f t="shared" si="73"/>
        <v/>
      </c>
      <c r="M923" s="31" t="str">
        <f t="shared" si="74"/>
        <v/>
      </c>
    </row>
    <row r="924" spans="1:13" x14ac:dyDescent="0.15">
      <c r="A924" s="163" t="s">
        <v>210</v>
      </c>
      <c r="B924" s="163">
        <v>42301.573601018521</v>
      </c>
      <c r="C924" s="164" t="s">
        <v>1236</v>
      </c>
      <c r="D924" s="164" t="s">
        <v>13</v>
      </c>
      <c r="E924" s="165">
        <v>200</v>
      </c>
      <c r="F924" s="166">
        <v>0</v>
      </c>
      <c r="G924" s="227">
        <f>IF($B$2,IF(ROWS(B$6:$B924) = 1,$B924-Start_Date,$B924-$B923),"")</f>
        <v>2.16835763931158E-2</v>
      </c>
      <c r="H924" s="29">
        <f>IF($B$2,IF(ROWS(B$6:$B924) = 1,IF(COUNTIFS(R_Schedule_Times,"&lt;"&amp;B924),INDEX(R_Schedule_Amounts,MATCH(B924,R_Schedule_Times,1)),Starting_Cash),IF(COUNTIFS(R_Schedule_Times,"&gt;"&amp;B923,R_Schedule_Times,"&lt;"&amp;B924),INDEX(R_Schedule_Amounts,MATCH(B924,R_Schedule_Times,1)),K923)),"")</f>
        <v>9000</v>
      </c>
      <c r="I924" s="30">
        <f t="shared" si="70"/>
        <v>200</v>
      </c>
      <c r="J924" s="31">
        <f t="shared" si="71"/>
        <v>0</v>
      </c>
      <c r="K924" s="29">
        <f t="shared" si="72"/>
        <v>8800</v>
      </c>
      <c r="L924" s="31" t="str">
        <f t="shared" si="73"/>
        <v/>
      </c>
      <c r="M924" s="31" t="str">
        <f t="shared" si="74"/>
        <v/>
      </c>
    </row>
    <row r="925" spans="1:13" x14ac:dyDescent="0.15">
      <c r="A925" s="163" t="s">
        <v>210</v>
      </c>
      <c r="B925" s="163">
        <v>42301.604236527775</v>
      </c>
      <c r="C925" s="164" t="s">
        <v>313</v>
      </c>
      <c r="D925" s="164" t="s">
        <v>13</v>
      </c>
      <c r="E925" s="165">
        <v>20</v>
      </c>
      <c r="F925" s="166">
        <v>0</v>
      </c>
      <c r="G925" s="227">
        <f>IF($B$2,IF(ROWS(B$6:$B925) = 1,$B925-Start_Date,$B925-$B924),"")</f>
        <v>3.0635509254352655E-2</v>
      </c>
      <c r="H925" s="29">
        <f>IF($B$2,IF(ROWS(B$6:$B925) = 1,IF(COUNTIFS(R_Schedule_Times,"&lt;"&amp;B925),INDEX(R_Schedule_Amounts,MATCH(B925,R_Schedule_Times,1)),Starting_Cash),IF(COUNTIFS(R_Schedule_Times,"&gt;"&amp;B924,R_Schedule_Times,"&lt;"&amp;B925),INDEX(R_Schedule_Amounts,MATCH(B925,R_Schedule_Times,1)),K924)),"")</f>
        <v>8800</v>
      </c>
      <c r="I925" s="30">
        <f t="shared" si="70"/>
        <v>20</v>
      </c>
      <c r="J925" s="31">
        <f t="shared" si="71"/>
        <v>0</v>
      </c>
      <c r="K925" s="29">
        <f t="shared" si="72"/>
        <v>8780</v>
      </c>
      <c r="L925" s="31" t="str">
        <f t="shared" si="73"/>
        <v/>
      </c>
      <c r="M925" s="31" t="str">
        <f t="shared" si="74"/>
        <v/>
      </c>
    </row>
    <row r="926" spans="1:13" x14ac:dyDescent="0.15">
      <c r="A926" s="163" t="s">
        <v>210</v>
      </c>
      <c r="B926" s="163">
        <v>42301.620449479167</v>
      </c>
      <c r="C926" s="164" t="s">
        <v>1237</v>
      </c>
      <c r="D926" s="164" t="s">
        <v>13</v>
      </c>
      <c r="E926" s="165">
        <v>100</v>
      </c>
      <c r="F926" s="166">
        <v>0</v>
      </c>
      <c r="G926" s="227">
        <f>IF($B$2,IF(ROWS(B$6:$B926) = 1,$B926-Start_Date,$B926-$B925),"")</f>
        <v>1.6212951391935349E-2</v>
      </c>
      <c r="H926" s="29">
        <f>IF($B$2,IF(ROWS(B$6:$B926) = 1,IF(COUNTIFS(R_Schedule_Times,"&lt;"&amp;B926),INDEX(R_Schedule_Amounts,MATCH(B926,R_Schedule_Times,1)),Starting_Cash),IF(COUNTIFS(R_Schedule_Times,"&gt;"&amp;B925,R_Schedule_Times,"&lt;"&amp;B926),INDEX(R_Schedule_Amounts,MATCH(B926,R_Schedule_Times,1)),K925)),"")</f>
        <v>8780</v>
      </c>
      <c r="I926" s="30">
        <f t="shared" si="70"/>
        <v>100</v>
      </c>
      <c r="J926" s="31">
        <f t="shared" si="71"/>
        <v>0</v>
      </c>
      <c r="K926" s="29">
        <f t="shared" si="72"/>
        <v>8680</v>
      </c>
      <c r="L926" s="31" t="str">
        <f t="shared" si="73"/>
        <v/>
      </c>
      <c r="M926" s="31" t="str">
        <f t="shared" si="74"/>
        <v/>
      </c>
    </row>
    <row r="927" spans="1:13" x14ac:dyDescent="0.15">
      <c r="A927" s="163" t="s">
        <v>210</v>
      </c>
      <c r="B927" s="163">
        <v>42301.62115619213</v>
      </c>
      <c r="C927" s="164" t="s">
        <v>1238</v>
      </c>
      <c r="D927" s="164" t="s">
        <v>13</v>
      </c>
      <c r="E927" s="165">
        <v>60</v>
      </c>
      <c r="F927" s="166">
        <v>0</v>
      </c>
      <c r="G927" s="227">
        <f>IF($B$2,IF(ROWS(B$6:$B927) = 1,$B927-Start_Date,$B927-$B926),"")</f>
        <v>7.067129627102986E-4</v>
      </c>
      <c r="H927" s="29">
        <f>IF($B$2,IF(ROWS(B$6:$B927) = 1,IF(COUNTIFS(R_Schedule_Times,"&lt;"&amp;B927),INDEX(R_Schedule_Amounts,MATCH(B927,R_Schedule_Times,1)),Starting_Cash),IF(COUNTIFS(R_Schedule_Times,"&gt;"&amp;B926,R_Schedule_Times,"&lt;"&amp;B927),INDEX(R_Schedule_Amounts,MATCH(B927,R_Schedule_Times,1)),K926)),"")</f>
        <v>8680</v>
      </c>
      <c r="I927" s="30">
        <f t="shared" si="70"/>
        <v>60</v>
      </c>
      <c r="J927" s="31">
        <f t="shared" si="71"/>
        <v>0</v>
      </c>
      <c r="K927" s="29">
        <f t="shared" si="72"/>
        <v>8620</v>
      </c>
      <c r="L927" s="31" t="str">
        <f t="shared" si="73"/>
        <v/>
      </c>
      <c r="M927" s="31" t="str">
        <f t="shared" si="74"/>
        <v/>
      </c>
    </row>
    <row r="928" spans="1:13" x14ac:dyDescent="0.15">
      <c r="A928" s="163" t="s">
        <v>210</v>
      </c>
      <c r="B928" s="163">
        <v>42301.629670092596</v>
      </c>
      <c r="C928" s="164" t="s">
        <v>1239</v>
      </c>
      <c r="D928" s="164" t="s">
        <v>13</v>
      </c>
      <c r="E928" s="165">
        <v>100</v>
      </c>
      <c r="F928" s="166">
        <v>0</v>
      </c>
      <c r="G928" s="227">
        <f>IF($B$2,IF(ROWS(B$6:$B928) = 1,$B928-Start_Date,$B928-$B927),"")</f>
        <v>8.5139004659140483E-3</v>
      </c>
      <c r="H928" s="29">
        <f>IF($B$2,IF(ROWS(B$6:$B928) = 1,IF(COUNTIFS(R_Schedule_Times,"&lt;"&amp;B928),INDEX(R_Schedule_Amounts,MATCH(B928,R_Schedule_Times,1)),Starting_Cash),IF(COUNTIFS(R_Schedule_Times,"&gt;"&amp;B927,R_Schedule_Times,"&lt;"&amp;B928),INDEX(R_Schedule_Amounts,MATCH(B928,R_Schedule_Times,1)),K927)),"")</f>
        <v>8620</v>
      </c>
      <c r="I928" s="30">
        <f t="shared" si="70"/>
        <v>100</v>
      </c>
      <c r="J928" s="31">
        <f t="shared" si="71"/>
        <v>0</v>
      </c>
      <c r="K928" s="29">
        <f t="shared" si="72"/>
        <v>8520</v>
      </c>
      <c r="L928" s="31" t="str">
        <f t="shared" si="73"/>
        <v/>
      </c>
      <c r="M928" s="31" t="str">
        <f t="shared" si="74"/>
        <v/>
      </c>
    </row>
    <row r="929" spans="1:13" x14ac:dyDescent="0.15">
      <c r="A929" s="163" t="s">
        <v>210</v>
      </c>
      <c r="B929" s="163">
        <v>42301.690932453705</v>
      </c>
      <c r="C929" s="164" t="s">
        <v>14</v>
      </c>
      <c r="D929" s="164" t="s">
        <v>13</v>
      </c>
      <c r="E929" s="165">
        <v>20</v>
      </c>
      <c r="F929" s="166">
        <v>3.5</v>
      </c>
      <c r="G929" s="227">
        <f>IF($B$2,IF(ROWS(B$6:$B929) = 1,$B929-Start_Date,$B929-$B928),"")</f>
        <v>6.1262361108674668E-2</v>
      </c>
      <c r="H929" s="29">
        <f>IF($B$2,IF(ROWS(B$6:$B929) = 1,IF(COUNTIFS(R_Schedule_Times,"&lt;"&amp;B929),INDEX(R_Schedule_Amounts,MATCH(B929,R_Schedule_Times,1)),Starting_Cash),IF(COUNTIFS(R_Schedule_Times,"&gt;"&amp;B928,R_Schedule_Times,"&lt;"&amp;B929),INDEX(R_Schedule_Amounts,MATCH(B929,R_Schedule_Times,1)),K928)),"")</f>
        <v>8520</v>
      </c>
      <c r="I929" s="30">
        <f t="shared" si="70"/>
        <v>20</v>
      </c>
      <c r="J929" s="31">
        <f t="shared" si="71"/>
        <v>3.5</v>
      </c>
      <c r="K929" s="29">
        <f t="shared" si="72"/>
        <v>8500</v>
      </c>
      <c r="L929" s="31" t="str">
        <f t="shared" si="73"/>
        <v/>
      </c>
      <c r="M929" s="31" t="str">
        <f t="shared" si="74"/>
        <v/>
      </c>
    </row>
    <row r="930" spans="1:13" x14ac:dyDescent="0.15">
      <c r="A930" s="163" t="s">
        <v>210</v>
      </c>
      <c r="B930" s="163">
        <v>42301.69903171296</v>
      </c>
      <c r="C930" s="164" t="s">
        <v>1240</v>
      </c>
      <c r="D930" s="164" t="s">
        <v>13</v>
      </c>
      <c r="E930" s="165">
        <v>120</v>
      </c>
      <c r="F930" s="166">
        <v>0</v>
      </c>
      <c r="G930" s="227">
        <f>IF($B$2,IF(ROWS(B$6:$B930) = 1,$B930-Start_Date,$B930-$B929),"")</f>
        <v>8.0992592556867748E-3</v>
      </c>
      <c r="H930" s="29">
        <f>IF($B$2,IF(ROWS(B$6:$B930) = 1,IF(COUNTIFS(R_Schedule_Times,"&lt;"&amp;B930),INDEX(R_Schedule_Amounts,MATCH(B930,R_Schedule_Times,1)),Starting_Cash),IF(COUNTIFS(R_Schedule_Times,"&gt;"&amp;B929,R_Schedule_Times,"&lt;"&amp;B930),INDEX(R_Schedule_Amounts,MATCH(B930,R_Schedule_Times,1)),K929)),"")</f>
        <v>8500</v>
      </c>
      <c r="I930" s="30">
        <f t="shared" si="70"/>
        <v>120</v>
      </c>
      <c r="J930" s="31">
        <f t="shared" si="71"/>
        <v>0</v>
      </c>
      <c r="K930" s="29">
        <f t="shared" si="72"/>
        <v>8380</v>
      </c>
      <c r="L930" s="31" t="str">
        <f t="shared" si="73"/>
        <v/>
      </c>
      <c r="M930" s="31" t="str">
        <f t="shared" si="74"/>
        <v/>
      </c>
    </row>
    <row r="931" spans="1:13" x14ac:dyDescent="0.15">
      <c r="A931" s="163" t="s">
        <v>210</v>
      </c>
      <c r="B931" s="163">
        <v>42301.73554681713</v>
      </c>
      <c r="C931" s="164" t="s">
        <v>258</v>
      </c>
      <c r="D931" s="164" t="s">
        <v>13</v>
      </c>
      <c r="E931" s="165">
        <v>200</v>
      </c>
      <c r="F931" s="166">
        <v>0</v>
      </c>
      <c r="G931" s="227">
        <f>IF($B$2,IF(ROWS(B$6:$B931) = 1,$B931-Start_Date,$B931-$B930),"")</f>
        <v>3.6515104169666301E-2</v>
      </c>
      <c r="H931" s="29">
        <f>IF($B$2,IF(ROWS(B$6:$B931) = 1,IF(COUNTIFS(R_Schedule_Times,"&lt;"&amp;B931),INDEX(R_Schedule_Amounts,MATCH(B931,R_Schedule_Times,1)),Starting_Cash),IF(COUNTIFS(R_Schedule_Times,"&gt;"&amp;B930,R_Schedule_Times,"&lt;"&amp;B931),INDEX(R_Schedule_Amounts,MATCH(B931,R_Schedule_Times,1)),K930)),"")</f>
        <v>8380</v>
      </c>
      <c r="I931" s="30">
        <f t="shared" si="70"/>
        <v>200</v>
      </c>
      <c r="J931" s="31">
        <f t="shared" si="71"/>
        <v>0</v>
      </c>
      <c r="K931" s="29">
        <f t="shared" si="72"/>
        <v>8180</v>
      </c>
      <c r="L931" s="31" t="str">
        <f t="shared" si="73"/>
        <v/>
      </c>
      <c r="M931" s="31" t="str">
        <f t="shared" si="74"/>
        <v/>
      </c>
    </row>
    <row r="932" spans="1:13" x14ac:dyDescent="0.15">
      <c r="A932" s="163" t="s">
        <v>210</v>
      </c>
      <c r="B932" s="163">
        <v>42301.743557905094</v>
      </c>
      <c r="C932" s="164" t="s">
        <v>1241</v>
      </c>
      <c r="D932" s="164" t="s">
        <v>13</v>
      </c>
      <c r="E932" s="165">
        <v>40</v>
      </c>
      <c r="F932" s="166">
        <v>0</v>
      </c>
      <c r="G932" s="227">
        <f>IF($B$2,IF(ROWS(B$6:$B932) = 1,$B932-Start_Date,$B932-$B931),"")</f>
        <v>8.0110879644053057E-3</v>
      </c>
      <c r="H932" s="29">
        <f>IF($B$2,IF(ROWS(B$6:$B932) = 1,IF(COUNTIFS(R_Schedule_Times,"&lt;"&amp;B932),INDEX(R_Schedule_Amounts,MATCH(B932,R_Schedule_Times,1)),Starting_Cash),IF(COUNTIFS(R_Schedule_Times,"&gt;"&amp;B931,R_Schedule_Times,"&lt;"&amp;B932),INDEX(R_Schedule_Amounts,MATCH(B932,R_Schedule_Times,1)),K931)),"")</f>
        <v>8180</v>
      </c>
      <c r="I932" s="30">
        <f t="shared" si="70"/>
        <v>40</v>
      </c>
      <c r="J932" s="31">
        <f t="shared" si="71"/>
        <v>0</v>
      </c>
      <c r="K932" s="29">
        <f t="shared" si="72"/>
        <v>8140</v>
      </c>
      <c r="L932" s="31" t="str">
        <f t="shared" si="73"/>
        <v/>
      </c>
      <c r="M932" s="31" t="str">
        <f t="shared" si="74"/>
        <v/>
      </c>
    </row>
    <row r="933" spans="1:13" x14ac:dyDescent="0.15">
      <c r="A933" s="163" t="s">
        <v>210</v>
      </c>
      <c r="B933" s="163">
        <v>42301.750353078707</v>
      </c>
      <c r="C933" s="164" t="s">
        <v>1242</v>
      </c>
      <c r="D933" s="164" t="s">
        <v>13</v>
      </c>
      <c r="E933" s="165">
        <v>100</v>
      </c>
      <c r="F933" s="166">
        <v>0</v>
      </c>
      <c r="G933" s="227">
        <f>IF($B$2,IF(ROWS(B$6:$B933) = 1,$B933-Start_Date,$B933-$B932),"")</f>
        <v>6.7951736127724871E-3</v>
      </c>
      <c r="H933" s="29">
        <f>IF($B$2,IF(ROWS(B$6:$B933) = 1,IF(COUNTIFS(R_Schedule_Times,"&lt;"&amp;B933),INDEX(R_Schedule_Amounts,MATCH(B933,R_Schedule_Times,1)),Starting_Cash),IF(COUNTIFS(R_Schedule_Times,"&gt;"&amp;B932,R_Schedule_Times,"&lt;"&amp;B933),INDEX(R_Schedule_Amounts,MATCH(B933,R_Schedule_Times,1)),K932)),"")</f>
        <v>8140</v>
      </c>
      <c r="I933" s="30">
        <f t="shared" si="70"/>
        <v>100</v>
      </c>
      <c r="J933" s="31">
        <f t="shared" si="71"/>
        <v>0</v>
      </c>
      <c r="K933" s="29">
        <f t="shared" si="72"/>
        <v>8040</v>
      </c>
      <c r="L933" s="31" t="str">
        <f t="shared" si="73"/>
        <v/>
      </c>
      <c r="M933" s="31" t="str">
        <f t="shared" si="74"/>
        <v/>
      </c>
    </row>
    <row r="934" spans="1:13" x14ac:dyDescent="0.15">
      <c r="A934" s="163" t="s">
        <v>210</v>
      </c>
      <c r="B934" s="163">
        <v>42301.754573194441</v>
      </c>
      <c r="C934" s="164" t="s">
        <v>1243</v>
      </c>
      <c r="D934" s="164" t="s">
        <v>13</v>
      </c>
      <c r="E934" s="165">
        <v>20</v>
      </c>
      <c r="F934" s="166">
        <v>0</v>
      </c>
      <c r="G934" s="227">
        <f>IF($B$2,IF(ROWS(B$6:$B934) = 1,$B934-Start_Date,$B934-$B933),"")</f>
        <v>4.2201157339150086E-3</v>
      </c>
      <c r="H934" s="29">
        <f>IF($B$2,IF(ROWS(B$6:$B934) = 1,IF(COUNTIFS(R_Schedule_Times,"&lt;"&amp;B934),INDEX(R_Schedule_Amounts,MATCH(B934,R_Schedule_Times,1)),Starting_Cash),IF(COUNTIFS(R_Schedule_Times,"&gt;"&amp;B933,R_Schedule_Times,"&lt;"&amp;B934),INDEX(R_Schedule_Amounts,MATCH(B934,R_Schedule_Times,1)),K933)),"")</f>
        <v>8040</v>
      </c>
      <c r="I934" s="30">
        <f t="shared" si="70"/>
        <v>20</v>
      </c>
      <c r="J934" s="31">
        <f t="shared" si="71"/>
        <v>0</v>
      </c>
      <c r="K934" s="29">
        <f t="shared" si="72"/>
        <v>8020</v>
      </c>
      <c r="L934" s="31" t="str">
        <f t="shared" si="73"/>
        <v/>
      </c>
      <c r="M934" s="31" t="str">
        <f t="shared" si="74"/>
        <v/>
      </c>
    </row>
    <row r="935" spans="1:13" x14ac:dyDescent="0.15">
      <c r="A935" s="163" t="s">
        <v>210</v>
      </c>
      <c r="B935" s="163">
        <v>42301.783139652776</v>
      </c>
      <c r="C935" s="164" t="s">
        <v>1133</v>
      </c>
      <c r="D935" s="164" t="s">
        <v>15</v>
      </c>
      <c r="E935" s="165">
        <v>160</v>
      </c>
      <c r="F935" s="166">
        <v>4.8</v>
      </c>
      <c r="G935" s="227">
        <f>IF($B$2,IF(ROWS(B$6:$B935) = 1,$B935-Start_Date,$B935-$B934),"")</f>
        <v>2.8566458335262723E-2</v>
      </c>
      <c r="H935" s="29">
        <f>IF($B$2,IF(ROWS(B$6:$B935) = 1,IF(COUNTIFS(R_Schedule_Times,"&lt;"&amp;B935),INDEX(R_Schedule_Amounts,MATCH(B935,R_Schedule_Times,1)),Starting_Cash),IF(COUNTIFS(R_Schedule_Times,"&gt;"&amp;B934,R_Schedule_Times,"&lt;"&amp;B935),INDEX(R_Schedule_Amounts,MATCH(B935,R_Schedule_Times,1)),K934)),"")</f>
        <v>8020</v>
      </c>
      <c r="I935" s="30">
        <f t="shared" si="70"/>
        <v>160</v>
      </c>
      <c r="J935" s="31">
        <f t="shared" si="71"/>
        <v>4.8</v>
      </c>
      <c r="K935" s="29">
        <f t="shared" si="72"/>
        <v>7860</v>
      </c>
      <c r="L935" s="31" t="str">
        <f t="shared" si="73"/>
        <v/>
      </c>
      <c r="M935" s="31" t="str">
        <f t="shared" si="74"/>
        <v/>
      </c>
    </row>
    <row r="936" spans="1:13" x14ac:dyDescent="0.15">
      <c r="A936" s="163" t="s">
        <v>210</v>
      </c>
      <c r="B936" s="163">
        <v>42301.784094814815</v>
      </c>
      <c r="C936" s="164" t="s">
        <v>109</v>
      </c>
      <c r="D936" s="164" t="s">
        <v>13</v>
      </c>
      <c r="E936" s="165">
        <v>40</v>
      </c>
      <c r="F936" s="166">
        <v>0</v>
      </c>
      <c r="G936" s="227">
        <f>IF($B$2,IF(ROWS(B$6:$B936) = 1,$B936-Start_Date,$B936-$B935),"")</f>
        <v>9.551620387355797E-4</v>
      </c>
      <c r="H936" s="29">
        <f>IF($B$2,IF(ROWS(B$6:$B936) = 1,IF(COUNTIFS(R_Schedule_Times,"&lt;"&amp;B936),INDEX(R_Schedule_Amounts,MATCH(B936,R_Schedule_Times,1)),Starting_Cash),IF(COUNTIFS(R_Schedule_Times,"&gt;"&amp;B935,R_Schedule_Times,"&lt;"&amp;B936),INDEX(R_Schedule_Amounts,MATCH(B936,R_Schedule_Times,1)),K935)),"")</f>
        <v>7860</v>
      </c>
      <c r="I936" s="30">
        <f t="shared" si="70"/>
        <v>40</v>
      </c>
      <c r="J936" s="31">
        <f t="shared" si="71"/>
        <v>0</v>
      </c>
      <c r="K936" s="29">
        <f t="shared" si="72"/>
        <v>7820</v>
      </c>
      <c r="L936" s="31" t="str">
        <f t="shared" si="73"/>
        <v/>
      </c>
      <c r="M936" s="31" t="str">
        <f t="shared" si="74"/>
        <v/>
      </c>
    </row>
    <row r="937" spans="1:13" x14ac:dyDescent="0.15">
      <c r="A937" s="163" t="s">
        <v>210</v>
      </c>
      <c r="B937" s="163">
        <v>42301.790142997685</v>
      </c>
      <c r="C937" s="164" t="s">
        <v>1244</v>
      </c>
      <c r="D937" s="164" t="s">
        <v>13</v>
      </c>
      <c r="E937" s="165">
        <v>40</v>
      </c>
      <c r="F937" s="166">
        <v>0</v>
      </c>
      <c r="G937" s="227">
        <f>IF($B$2,IF(ROWS(B$6:$B937) = 1,$B937-Start_Date,$B937-$B936),"")</f>
        <v>6.0481828695628792E-3</v>
      </c>
      <c r="H937" s="29">
        <f>IF($B$2,IF(ROWS(B$6:$B937) = 1,IF(COUNTIFS(R_Schedule_Times,"&lt;"&amp;B937),INDEX(R_Schedule_Amounts,MATCH(B937,R_Schedule_Times,1)),Starting_Cash),IF(COUNTIFS(R_Schedule_Times,"&gt;"&amp;B936,R_Schedule_Times,"&lt;"&amp;B937),INDEX(R_Schedule_Amounts,MATCH(B937,R_Schedule_Times,1)),K936)),"")</f>
        <v>7820</v>
      </c>
      <c r="I937" s="30">
        <f t="shared" si="70"/>
        <v>40</v>
      </c>
      <c r="J937" s="31">
        <f t="shared" si="71"/>
        <v>0</v>
      </c>
      <c r="K937" s="29">
        <f t="shared" si="72"/>
        <v>7780</v>
      </c>
      <c r="L937" s="31" t="str">
        <f t="shared" si="73"/>
        <v/>
      </c>
      <c r="M937" s="31" t="str">
        <f t="shared" si="74"/>
        <v/>
      </c>
    </row>
    <row r="938" spans="1:13" x14ac:dyDescent="0.15">
      <c r="A938" s="163" t="s">
        <v>210</v>
      </c>
      <c r="B938" s="163">
        <v>42301.821455671299</v>
      </c>
      <c r="C938" s="164" t="s">
        <v>747</v>
      </c>
      <c r="D938" s="164" t="s">
        <v>13</v>
      </c>
      <c r="E938" s="165">
        <v>140</v>
      </c>
      <c r="F938" s="166">
        <v>0</v>
      </c>
      <c r="G938" s="227">
        <f>IF($B$2,IF(ROWS(B$6:$B938) = 1,$B938-Start_Date,$B938-$B937),"")</f>
        <v>3.1312673614593223E-2</v>
      </c>
      <c r="H938" s="29">
        <f>IF($B$2,IF(ROWS(B$6:$B938) = 1,IF(COUNTIFS(R_Schedule_Times,"&lt;"&amp;B938),INDEX(R_Schedule_Amounts,MATCH(B938,R_Schedule_Times,1)),Starting_Cash),IF(COUNTIFS(R_Schedule_Times,"&gt;"&amp;B937,R_Schedule_Times,"&lt;"&amp;B938),INDEX(R_Schedule_Amounts,MATCH(B938,R_Schedule_Times,1)),K937)),"")</f>
        <v>7780</v>
      </c>
      <c r="I938" s="30">
        <f t="shared" si="70"/>
        <v>140</v>
      </c>
      <c r="J938" s="31">
        <f t="shared" si="71"/>
        <v>0</v>
      </c>
      <c r="K938" s="29">
        <f t="shared" si="72"/>
        <v>7640</v>
      </c>
      <c r="L938" s="31" t="str">
        <f t="shared" si="73"/>
        <v/>
      </c>
      <c r="M938" s="31" t="str">
        <f t="shared" si="74"/>
        <v/>
      </c>
    </row>
    <row r="939" spans="1:13" x14ac:dyDescent="0.15">
      <c r="A939" s="163" t="s">
        <v>210</v>
      </c>
      <c r="B939" s="163">
        <v>42301.858882997687</v>
      </c>
      <c r="C939" s="164" t="s">
        <v>785</v>
      </c>
      <c r="D939" s="164" t="s">
        <v>13</v>
      </c>
      <c r="E939" s="165">
        <v>100</v>
      </c>
      <c r="F939" s="166">
        <v>0</v>
      </c>
      <c r="G939" s="227">
        <f>IF($B$2,IF(ROWS(B$6:$B939) = 1,$B939-Start_Date,$B939-$B938),"")</f>
        <v>3.7427326387842186E-2</v>
      </c>
      <c r="H939" s="29">
        <f>IF($B$2,IF(ROWS(B$6:$B939) = 1,IF(COUNTIFS(R_Schedule_Times,"&lt;"&amp;B939),INDEX(R_Schedule_Amounts,MATCH(B939,R_Schedule_Times,1)),Starting_Cash),IF(COUNTIFS(R_Schedule_Times,"&gt;"&amp;B938,R_Schedule_Times,"&lt;"&amp;B939),INDEX(R_Schedule_Amounts,MATCH(B939,R_Schedule_Times,1)),K938)),"")</f>
        <v>7640</v>
      </c>
      <c r="I939" s="30">
        <f t="shared" si="70"/>
        <v>100</v>
      </c>
      <c r="J939" s="31">
        <f t="shared" si="71"/>
        <v>0</v>
      </c>
      <c r="K939" s="29">
        <f t="shared" si="72"/>
        <v>7540</v>
      </c>
      <c r="L939" s="31" t="str">
        <f t="shared" si="73"/>
        <v/>
      </c>
      <c r="M939" s="31" t="str">
        <f t="shared" si="74"/>
        <v/>
      </c>
    </row>
    <row r="940" spans="1:13" x14ac:dyDescent="0.15">
      <c r="A940" s="163" t="s">
        <v>210</v>
      </c>
      <c r="B940" s="163">
        <v>42301.86510260417</v>
      </c>
      <c r="C940" s="164" t="s">
        <v>85</v>
      </c>
      <c r="D940" s="164" t="s">
        <v>13</v>
      </c>
      <c r="E940" s="165">
        <v>100</v>
      </c>
      <c r="F940" s="166">
        <v>0</v>
      </c>
      <c r="G940" s="227">
        <f>IF($B$2,IF(ROWS(B$6:$B940) = 1,$B940-Start_Date,$B940-$B939),"")</f>
        <v>6.2196064827730879E-3</v>
      </c>
      <c r="H940" s="29">
        <f>IF($B$2,IF(ROWS(B$6:$B940) = 1,IF(COUNTIFS(R_Schedule_Times,"&lt;"&amp;B940),INDEX(R_Schedule_Amounts,MATCH(B940,R_Schedule_Times,1)),Starting_Cash),IF(COUNTIFS(R_Schedule_Times,"&gt;"&amp;B939,R_Schedule_Times,"&lt;"&amp;B940),INDEX(R_Schedule_Amounts,MATCH(B940,R_Schedule_Times,1)),K939)),"")</f>
        <v>7540</v>
      </c>
      <c r="I940" s="30">
        <f t="shared" si="70"/>
        <v>100</v>
      </c>
      <c r="J940" s="31">
        <f t="shared" si="71"/>
        <v>0</v>
      </c>
      <c r="K940" s="29">
        <f t="shared" si="72"/>
        <v>7440</v>
      </c>
      <c r="L940" s="31" t="str">
        <f t="shared" si="73"/>
        <v/>
      </c>
      <c r="M940" s="31" t="str">
        <f t="shared" si="74"/>
        <v/>
      </c>
    </row>
    <row r="941" spans="1:13" x14ac:dyDescent="0.15">
      <c r="A941" s="163" t="s">
        <v>210</v>
      </c>
      <c r="B941" s="163">
        <v>42301.967718645836</v>
      </c>
      <c r="C941" s="164" t="s">
        <v>1016</v>
      </c>
      <c r="D941" s="164" t="s">
        <v>13</v>
      </c>
      <c r="E941" s="165">
        <v>20</v>
      </c>
      <c r="F941" s="166">
        <v>0</v>
      </c>
      <c r="G941" s="227">
        <f>IF($B$2,IF(ROWS(B$6:$B941) = 1,$B941-Start_Date,$B941-$B940),"")</f>
        <v>0.10261604166589677</v>
      </c>
      <c r="H941" s="29">
        <f>IF($B$2,IF(ROWS(B$6:$B941) = 1,IF(COUNTIFS(R_Schedule_Times,"&lt;"&amp;B941),INDEX(R_Schedule_Amounts,MATCH(B941,R_Schedule_Times,1)),Starting_Cash),IF(COUNTIFS(R_Schedule_Times,"&gt;"&amp;B940,R_Schedule_Times,"&lt;"&amp;B941),INDEX(R_Schedule_Amounts,MATCH(B941,R_Schedule_Times,1)),K940)),"")</f>
        <v>7440</v>
      </c>
      <c r="I941" s="30">
        <f t="shared" si="70"/>
        <v>20</v>
      </c>
      <c r="J941" s="31">
        <f t="shared" si="71"/>
        <v>0</v>
      </c>
      <c r="K941" s="29">
        <f t="shared" si="72"/>
        <v>7420</v>
      </c>
      <c r="L941" s="31" t="str">
        <f t="shared" si="73"/>
        <v/>
      </c>
      <c r="M941" s="31" t="str">
        <f t="shared" si="74"/>
        <v/>
      </c>
    </row>
    <row r="942" spans="1:13" x14ac:dyDescent="0.15">
      <c r="A942" s="163" t="s">
        <v>210</v>
      </c>
      <c r="B942" s="163">
        <v>42301.979171793981</v>
      </c>
      <c r="C942" s="164" t="s">
        <v>1245</v>
      </c>
      <c r="D942" s="164" t="s">
        <v>13</v>
      </c>
      <c r="E942" s="165">
        <v>200</v>
      </c>
      <c r="F942" s="166">
        <v>0</v>
      </c>
      <c r="G942" s="227">
        <f>IF($B$2,IF(ROWS(B$6:$B942) = 1,$B942-Start_Date,$B942-$B941),"")</f>
        <v>1.1453148144937586E-2</v>
      </c>
      <c r="H942" s="29">
        <f>IF($B$2,IF(ROWS(B$6:$B942) = 1,IF(COUNTIFS(R_Schedule_Times,"&lt;"&amp;B942),INDEX(R_Schedule_Amounts,MATCH(B942,R_Schedule_Times,1)),Starting_Cash),IF(COUNTIFS(R_Schedule_Times,"&gt;"&amp;B941,R_Schedule_Times,"&lt;"&amp;B942),INDEX(R_Schedule_Amounts,MATCH(B942,R_Schedule_Times,1)),K941)),"")</f>
        <v>7420</v>
      </c>
      <c r="I942" s="30">
        <f t="shared" si="70"/>
        <v>200</v>
      </c>
      <c r="J942" s="31">
        <f t="shared" si="71"/>
        <v>0</v>
      </c>
      <c r="K942" s="29">
        <f t="shared" si="72"/>
        <v>7220</v>
      </c>
      <c r="L942" s="31" t="str">
        <f t="shared" si="73"/>
        <v/>
      </c>
      <c r="M942" s="31" t="str">
        <f t="shared" si="74"/>
        <v/>
      </c>
    </row>
    <row r="943" spans="1:13" x14ac:dyDescent="0.15">
      <c r="A943" s="163" t="s">
        <v>210</v>
      </c>
      <c r="B943" s="163">
        <v>42301.98510820602</v>
      </c>
      <c r="C943" s="164" t="s">
        <v>1246</v>
      </c>
      <c r="D943" s="164" t="s">
        <v>13</v>
      </c>
      <c r="E943" s="165">
        <v>200</v>
      </c>
      <c r="F943" s="166">
        <v>0</v>
      </c>
      <c r="G943" s="227">
        <f>IF($B$2,IF(ROWS(B$6:$B943) = 1,$B943-Start_Date,$B943-$B942),"")</f>
        <v>5.9364120388636366E-3</v>
      </c>
      <c r="H943" s="29">
        <f>IF($B$2,IF(ROWS(B$6:$B943) = 1,IF(COUNTIFS(R_Schedule_Times,"&lt;"&amp;B943),INDEX(R_Schedule_Amounts,MATCH(B943,R_Schedule_Times,1)),Starting_Cash),IF(COUNTIFS(R_Schedule_Times,"&gt;"&amp;B942,R_Schedule_Times,"&lt;"&amp;B943),INDEX(R_Schedule_Amounts,MATCH(B943,R_Schedule_Times,1)),K942)),"")</f>
        <v>7220</v>
      </c>
      <c r="I943" s="30">
        <f t="shared" si="70"/>
        <v>200</v>
      </c>
      <c r="J943" s="31">
        <f t="shared" si="71"/>
        <v>0</v>
      </c>
      <c r="K943" s="29">
        <f t="shared" si="72"/>
        <v>7020</v>
      </c>
      <c r="L943" s="31" t="str">
        <f t="shared" si="73"/>
        <v/>
      </c>
      <c r="M943" s="31" t="str">
        <f t="shared" si="74"/>
        <v/>
      </c>
    </row>
    <row r="944" spans="1:13" x14ac:dyDescent="0.15">
      <c r="A944" s="163" t="s">
        <v>210</v>
      </c>
      <c r="B944" s="163">
        <v>42302.04091729167</v>
      </c>
      <c r="C944" s="164" t="s">
        <v>1247</v>
      </c>
      <c r="D944" s="164" t="s">
        <v>13</v>
      </c>
      <c r="E944" s="165">
        <v>60</v>
      </c>
      <c r="F944" s="166">
        <v>0</v>
      </c>
      <c r="G944" s="227">
        <f>IF($B$2,IF(ROWS(B$6:$B944) = 1,$B944-Start_Date,$B944-$B943),"")</f>
        <v>5.580908565025311E-2</v>
      </c>
      <c r="H944" s="29">
        <f>IF($B$2,IF(ROWS(B$6:$B944) = 1,IF(COUNTIFS(R_Schedule_Times,"&lt;"&amp;B944),INDEX(R_Schedule_Amounts,MATCH(B944,R_Schedule_Times,1)),Starting_Cash),IF(COUNTIFS(R_Schedule_Times,"&gt;"&amp;B943,R_Schedule_Times,"&lt;"&amp;B944),INDEX(R_Schedule_Amounts,MATCH(B944,R_Schedule_Times,1)),K943)),"")</f>
        <v>7020</v>
      </c>
      <c r="I944" s="30">
        <f t="shared" si="70"/>
        <v>60</v>
      </c>
      <c r="J944" s="31">
        <f t="shared" si="71"/>
        <v>0</v>
      </c>
      <c r="K944" s="29">
        <f t="shared" si="72"/>
        <v>6960</v>
      </c>
      <c r="L944" s="31" t="str">
        <f t="shared" si="73"/>
        <v/>
      </c>
      <c r="M944" s="31" t="str">
        <f t="shared" si="74"/>
        <v/>
      </c>
    </row>
    <row r="945" spans="1:13" x14ac:dyDescent="0.15">
      <c r="A945" s="163" t="s">
        <v>210</v>
      </c>
      <c r="B945" s="163">
        <v>42302.061297719905</v>
      </c>
      <c r="C945" s="164" t="s">
        <v>1248</v>
      </c>
      <c r="D945" s="164" t="s">
        <v>13</v>
      </c>
      <c r="E945" s="165">
        <v>80</v>
      </c>
      <c r="F945" s="166">
        <v>0</v>
      </c>
      <c r="G945" s="227">
        <f>IF($B$2,IF(ROWS(B$6:$B945) = 1,$B945-Start_Date,$B945-$B944),"")</f>
        <v>2.0380428235512227E-2</v>
      </c>
      <c r="H945" s="29">
        <f>IF($B$2,IF(ROWS(B$6:$B945) = 1,IF(COUNTIFS(R_Schedule_Times,"&lt;"&amp;B945),INDEX(R_Schedule_Amounts,MATCH(B945,R_Schedule_Times,1)),Starting_Cash),IF(COUNTIFS(R_Schedule_Times,"&gt;"&amp;B944,R_Schedule_Times,"&lt;"&amp;B945),INDEX(R_Schedule_Amounts,MATCH(B945,R_Schedule_Times,1)),K944)),"")</f>
        <v>6960</v>
      </c>
      <c r="I945" s="30">
        <f t="shared" si="70"/>
        <v>80</v>
      </c>
      <c r="J945" s="31">
        <f t="shared" si="71"/>
        <v>0</v>
      </c>
      <c r="K945" s="29">
        <f t="shared" si="72"/>
        <v>6880</v>
      </c>
      <c r="L945" s="31" t="str">
        <f t="shared" si="73"/>
        <v/>
      </c>
      <c r="M945" s="31" t="str">
        <f t="shared" si="74"/>
        <v/>
      </c>
    </row>
    <row r="946" spans="1:13" x14ac:dyDescent="0.15">
      <c r="A946" s="163" t="s">
        <v>210</v>
      </c>
      <c r="B946" s="163">
        <v>42302.062157638888</v>
      </c>
      <c r="C946" s="164" t="s">
        <v>378</v>
      </c>
      <c r="D946" s="164" t="s">
        <v>13</v>
      </c>
      <c r="E946" s="165">
        <v>100</v>
      </c>
      <c r="F946" s="166">
        <v>0</v>
      </c>
      <c r="G946" s="227">
        <f>IF($B$2,IF(ROWS(B$6:$B946) = 1,$B946-Start_Date,$B946-$B945),"")</f>
        <v>8.5991898231441155E-4</v>
      </c>
      <c r="H946" s="29">
        <f>IF($B$2,IF(ROWS(B$6:$B946) = 1,IF(COUNTIFS(R_Schedule_Times,"&lt;"&amp;B946),INDEX(R_Schedule_Amounts,MATCH(B946,R_Schedule_Times,1)),Starting_Cash),IF(COUNTIFS(R_Schedule_Times,"&gt;"&amp;B945,R_Schedule_Times,"&lt;"&amp;B946),INDEX(R_Schedule_Amounts,MATCH(B946,R_Schedule_Times,1)),K945)),"")</f>
        <v>6880</v>
      </c>
      <c r="I946" s="30">
        <f t="shared" si="70"/>
        <v>100</v>
      </c>
      <c r="J946" s="31">
        <f t="shared" si="71"/>
        <v>0</v>
      </c>
      <c r="K946" s="29">
        <f t="shared" si="72"/>
        <v>6780</v>
      </c>
      <c r="L946" s="31" t="str">
        <f t="shared" si="73"/>
        <v/>
      </c>
      <c r="M946" s="31" t="str">
        <f t="shared" si="74"/>
        <v/>
      </c>
    </row>
    <row r="947" spans="1:13" x14ac:dyDescent="0.15">
      <c r="A947" s="163" t="s">
        <v>210</v>
      </c>
      <c r="B947" s="163">
        <v>42302.399271840281</v>
      </c>
      <c r="C947" s="164" t="s">
        <v>730</v>
      </c>
      <c r="D947" s="164" t="s">
        <v>13</v>
      </c>
      <c r="E947" s="165">
        <v>100</v>
      </c>
      <c r="F947" s="166">
        <v>0</v>
      </c>
      <c r="G947" s="227">
        <f>IF($B$2,IF(ROWS(B$6:$B947) = 1,$B947-Start_Date,$B947-$B946),"")</f>
        <v>0.33711420139297843</v>
      </c>
      <c r="H947" s="29">
        <f>IF($B$2,IF(ROWS(B$6:$B947) = 1,IF(COUNTIFS(R_Schedule_Times,"&lt;"&amp;B947),INDEX(R_Schedule_Amounts,MATCH(B947,R_Schedule_Times,1)),Starting_Cash),IF(COUNTIFS(R_Schedule_Times,"&gt;"&amp;B946,R_Schedule_Times,"&lt;"&amp;B947),INDEX(R_Schedule_Amounts,MATCH(B947,R_Schedule_Times,1)),K946)),"")</f>
        <v>6780</v>
      </c>
      <c r="I947" s="30">
        <f t="shared" si="70"/>
        <v>100</v>
      </c>
      <c r="J947" s="31">
        <f t="shared" si="71"/>
        <v>0</v>
      </c>
      <c r="K947" s="29">
        <f t="shared" si="72"/>
        <v>6680</v>
      </c>
      <c r="L947" s="31" t="str">
        <f t="shared" si="73"/>
        <v/>
      </c>
      <c r="M947" s="31" t="str">
        <f t="shared" si="74"/>
        <v/>
      </c>
    </row>
    <row r="948" spans="1:13" x14ac:dyDescent="0.15">
      <c r="A948" s="163" t="s">
        <v>210</v>
      </c>
      <c r="B948" s="163">
        <v>42302.415721724537</v>
      </c>
      <c r="C948" s="164" t="s">
        <v>1249</v>
      </c>
      <c r="D948" s="164" t="s">
        <v>13</v>
      </c>
      <c r="E948" s="165">
        <v>40</v>
      </c>
      <c r="F948" s="166">
        <v>0</v>
      </c>
      <c r="G948" s="227">
        <f>IF($B$2,IF(ROWS(B$6:$B948) = 1,$B948-Start_Date,$B948-$B947),"")</f>
        <v>1.6449884256871883E-2</v>
      </c>
      <c r="H948" s="29">
        <f>IF($B$2,IF(ROWS(B$6:$B948) = 1,IF(COUNTIFS(R_Schedule_Times,"&lt;"&amp;B948),INDEX(R_Schedule_Amounts,MATCH(B948,R_Schedule_Times,1)),Starting_Cash),IF(COUNTIFS(R_Schedule_Times,"&gt;"&amp;B947,R_Schedule_Times,"&lt;"&amp;B948),INDEX(R_Schedule_Amounts,MATCH(B948,R_Schedule_Times,1)),K947)),"")</f>
        <v>6680</v>
      </c>
      <c r="I948" s="30">
        <f t="shared" si="70"/>
        <v>40</v>
      </c>
      <c r="J948" s="31">
        <f t="shared" si="71"/>
        <v>0</v>
      </c>
      <c r="K948" s="29">
        <f t="shared" si="72"/>
        <v>6640</v>
      </c>
      <c r="L948" s="31" t="str">
        <f t="shared" si="73"/>
        <v/>
      </c>
      <c r="M948" s="31" t="str">
        <f t="shared" si="74"/>
        <v/>
      </c>
    </row>
    <row r="949" spans="1:13" x14ac:dyDescent="0.15">
      <c r="A949" s="163" t="s">
        <v>210</v>
      </c>
      <c r="B949" s="163">
        <v>42302.453419108795</v>
      </c>
      <c r="C949" s="164" t="s">
        <v>1250</v>
      </c>
      <c r="D949" s="164" t="s">
        <v>13</v>
      </c>
      <c r="E949" s="165">
        <v>100</v>
      </c>
      <c r="F949" s="166">
        <v>0</v>
      </c>
      <c r="G949" s="227">
        <f>IF($B$2,IF(ROWS(B$6:$B949) = 1,$B949-Start_Date,$B949-$B948),"")</f>
        <v>3.7697384257626254E-2</v>
      </c>
      <c r="H949" s="29">
        <f>IF($B$2,IF(ROWS(B$6:$B949) = 1,IF(COUNTIFS(R_Schedule_Times,"&lt;"&amp;B949),INDEX(R_Schedule_Amounts,MATCH(B949,R_Schedule_Times,1)),Starting_Cash),IF(COUNTIFS(R_Schedule_Times,"&gt;"&amp;B948,R_Schedule_Times,"&lt;"&amp;B949),INDEX(R_Schedule_Amounts,MATCH(B949,R_Schedule_Times,1)),K948)),"")</f>
        <v>6640</v>
      </c>
      <c r="I949" s="30">
        <f t="shared" si="70"/>
        <v>100</v>
      </c>
      <c r="J949" s="31">
        <f t="shared" si="71"/>
        <v>0</v>
      </c>
      <c r="K949" s="29">
        <f t="shared" si="72"/>
        <v>6540</v>
      </c>
      <c r="L949" s="31" t="str">
        <f t="shared" si="73"/>
        <v/>
      </c>
      <c r="M949" s="31" t="str">
        <f t="shared" si="74"/>
        <v/>
      </c>
    </row>
    <row r="950" spans="1:13" x14ac:dyDescent="0.15">
      <c r="A950" s="163" t="s">
        <v>210</v>
      </c>
      <c r="B950" s="163">
        <v>42302.482441979169</v>
      </c>
      <c r="C950" s="164" t="s">
        <v>1251</v>
      </c>
      <c r="D950" s="164" t="s">
        <v>13</v>
      </c>
      <c r="E950" s="165">
        <v>200</v>
      </c>
      <c r="F950" s="166">
        <v>0</v>
      </c>
      <c r="G950" s="227">
        <f>IF($B$2,IF(ROWS(B$6:$B950) = 1,$B950-Start_Date,$B950-$B949),"")</f>
        <v>2.9022870374319609E-2</v>
      </c>
      <c r="H950" s="29">
        <f>IF($B$2,IF(ROWS(B$6:$B950) = 1,IF(COUNTIFS(R_Schedule_Times,"&lt;"&amp;B950),INDEX(R_Schedule_Amounts,MATCH(B950,R_Schedule_Times,1)),Starting_Cash),IF(COUNTIFS(R_Schedule_Times,"&gt;"&amp;B949,R_Schedule_Times,"&lt;"&amp;B950),INDEX(R_Schedule_Amounts,MATCH(B950,R_Schedule_Times,1)),K949)),"")</f>
        <v>6540</v>
      </c>
      <c r="I950" s="30">
        <f t="shared" si="70"/>
        <v>200</v>
      </c>
      <c r="J950" s="31">
        <f t="shared" si="71"/>
        <v>0</v>
      </c>
      <c r="K950" s="29">
        <f t="shared" si="72"/>
        <v>6340</v>
      </c>
      <c r="L950" s="31" t="str">
        <f t="shared" si="73"/>
        <v/>
      </c>
      <c r="M950" s="31" t="str">
        <f t="shared" si="74"/>
        <v/>
      </c>
    </row>
    <row r="951" spans="1:13" x14ac:dyDescent="0.15">
      <c r="A951" s="163" t="s">
        <v>210</v>
      </c>
      <c r="B951" s="163">
        <v>42302.513243773152</v>
      </c>
      <c r="C951" s="164" t="s">
        <v>1252</v>
      </c>
      <c r="D951" s="164" t="s">
        <v>15</v>
      </c>
      <c r="E951" s="165">
        <v>200</v>
      </c>
      <c r="F951" s="166">
        <v>6</v>
      </c>
      <c r="G951" s="227">
        <f>IF($B$2,IF(ROWS(B$6:$B951) = 1,$B951-Start_Date,$B951-$B950),"")</f>
        <v>3.0801793982391246E-2</v>
      </c>
      <c r="H951" s="29">
        <f>IF($B$2,IF(ROWS(B$6:$B951) = 1,IF(COUNTIFS(R_Schedule_Times,"&lt;"&amp;B951),INDEX(R_Schedule_Amounts,MATCH(B951,R_Schedule_Times,1)),Starting_Cash),IF(COUNTIFS(R_Schedule_Times,"&gt;"&amp;B950,R_Schedule_Times,"&lt;"&amp;B951),INDEX(R_Schedule_Amounts,MATCH(B951,R_Schedule_Times,1)),K950)),"")</f>
        <v>6340</v>
      </c>
      <c r="I951" s="30">
        <f t="shared" si="70"/>
        <v>200</v>
      </c>
      <c r="J951" s="31">
        <f t="shared" si="71"/>
        <v>6</v>
      </c>
      <c r="K951" s="29">
        <f t="shared" si="72"/>
        <v>6140</v>
      </c>
      <c r="L951" s="31" t="str">
        <f t="shared" si="73"/>
        <v/>
      </c>
      <c r="M951" s="31" t="str">
        <f t="shared" si="74"/>
        <v/>
      </c>
    </row>
    <row r="952" spans="1:13" x14ac:dyDescent="0.15">
      <c r="A952" s="163" t="s">
        <v>210</v>
      </c>
      <c r="B952" s="163">
        <v>42302.51953928241</v>
      </c>
      <c r="C952" s="164" t="s">
        <v>321</v>
      </c>
      <c r="D952" s="164" t="s">
        <v>13</v>
      </c>
      <c r="E952" s="165">
        <v>60</v>
      </c>
      <c r="F952" s="166">
        <v>0</v>
      </c>
      <c r="G952" s="227">
        <f>IF($B$2,IF(ROWS(B$6:$B952) = 1,$B952-Start_Date,$B952-$B951),"")</f>
        <v>6.2955092580523342E-3</v>
      </c>
      <c r="H952" s="29">
        <f>IF($B$2,IF(ROWS(B$6:$B952) = 1,IF(COUNTIFS(R_Schedule_Times,"&lt;"&amp;B952),INDEX(R_Schedule_Amounts,MATCH(B952,R_Schedule_Times,1)),Starting_Cash),IF(COUNTIFS(R_Schedule_Times,"&gt;"&amp;B951,R_Schedule_Times,"&lt;"&amp;B952),INDEX(R_Schedule_Amounts,MATCH(B952,R_Schedule_Times,1)),K951)),"")</f>
        <v>6140</v>
      </c>
      <c r="I952" s="30">
        <f t="shared" si="70"/>
        <v>60</v>
      </c>
      <c r="J952" s="31">
        <f t="shared" si="71"/>
        <v>0</v>
      </c>
      <c r="K952" s="29">
        <f t="shared" si="72"/>
        <v>6080</v>
      </c>
      <c r="L952" s="31" t="str">
        <f t="shared" si="73"/>
        <v/>
      </c>
      <c r="M952" s="31" t="str">
        <f t="shared" si="74"/>
        <v/>
      </c>
    </row>
    <row r="953" spans="1:13" x14ac:dyDescent="0.15">
      <c r="A953" s="163" t="s">
        <v>210</v>
      </c>
      <c r="B953" s="163">
        <v>42302.550945844909</v>
      </c>
      <c r="C953" s="164" t="s">
        <v>1253</v>
      </c>
      <c r="D953" s="164" t="s">
        <v>13</v>
      </c>
      <c r="E953" s="165">
        <v>100</v>
      </c>
      <c r="F953" s="166">
        <v>0</v>
      </c>
      <c r="G953" s="227">
        <f>IF($B$2,IF(ROWS(B$6:$B953) = 1,$B953-Start_Date,$B953-$B952),"")</f>
        <v>3.140656249888707E-2</v>
      </c>
      <c r="H953" s="29">
        <f>IF($B$2,IF(ROWS(B$6:$B953) = 1,IF(COUNTIFS(R_Schedule_Times,"&lt;"&amp;B953),INDEX(R_Schedule_Amounts,MATCH(B953,R_Schedule_Times,1)),Starting_Cash),IF(COUNTIFS(R_Schedule_Times,"&gt;"&amp;B952,R_Schedule_Times,"&lt;"&amp;B953),INDEX(R_Schedule_Amounts,MATCH(B953,R_Schedule_Times,1)),K952)),"")</f>
        <v>6080</v>
      </c>
      <c r="I953" s="30">
        <f t="shared" si="70"/>
        <v>100</v>
      </c>
      <c r="J953" s="31">
        <f t="shared" si="71"/>
        <v>0</v>
      </c>
      <c r="K953" s="29">
        <f t="shared" si="72"/>
        <v>5980</v>
      </c>
      <c r="L953" s="31" t="str">
        <f t="shared" si="73"/>
        <v/>
      </c>
      <c r="M953" s="31" t="str">
        <f t="shared" si="74"/>
        <v/>
      </c>
    </row>
    <row r="954" spans="1:13" x14ac:dyDescent="0.15">
      <c r="A954" s="163" t="s">
        <v>210</v>
      </c>
      <c r="B954" s="163">
        <v>42302.573129837961</v>
      </c>
      <c r="C954" s="164" t="s">
        <v>1254</v>
      </c>
      <c r="D954" s="164" t="s">
        <v>13</v>
      </c>
      <c r="E954" s="165">
        <v>100</v>
      </c>
      <c r="F954" s="166">
        <v>0</v>
      </c>
      <c r="G954" s="227">
        <f>IF($B$2,IF(ROWS(B$6:$B954) = 1,$B954-Start_Date,$B954-$B953),"")</f>
        <v>2.2183993052749429E-2</v>
      </c>
      <c r="H954" s="29">
        <f>IF($B$2,IF(ROWS(B$6:$B954) = 1,IF(COUNTIFS(R_Schedule_Times,"&lt;"&amp;B954),INDEX(R_Schedule_Amounts,MATCH(B954,R_Schedule_Times,1)),Starting_Cash),IF(COUNTIFS(R_Schedule_Times,"&gt;"&amp;B953,R_Schedule_Times,"&lt;"&amp;B954),INDEX(R_Schedule_Amounts,MATCH(B954,R_Schedule_Times,1)),K953)),"")</f>
        <v>5980</v>
      </c>
      <c r="I954" s="30">
        <f t="shared" si="70"/>
        <v>100</v>
      </c>
      <c r="J954" s="31">
        <f t="shared" si="71"/>
        <v>0</v>
      </c>
      <c r="K954" s="29">
        <f t="shared" si="72"/>
        <v>5880</v>
      </c>
      <c r="L954" s="31" t="str">
        <f t="shared" si="73"/>
        <v/>
      </c>
      <c r="M954" s="31" t="str">
        <f t="shared" si="74"/>
        <v/>
      </c>
    </row>
    <row r="955" spans="1:13" x14ac:dyDescent="0.15">
      <c r="A955" s="163" t="s">
        <v>210</v>
      </c>
      <c r="B955" s="163">
        <v>42302.587882951389</v>
      </c>
      <c r="C955" s="164" t="s">
        <v>1255</v>
      </c>
      <c r="D955" s="164" t="s">
        <v>13</v>
      </c>
      <c r="E955" s="165">
        <v>40</v>
      </c>
      <c r="F955" s="166">
        <v>0</v>
      </c>
      <c r="G955" s="227">
        <f>IF($B$2,IF(ROWS(B$6:$B955) = 1,$B955-Start_Date,$B955-$B954),"")</f>
        <v>1.4753113428014331E-2</v>
      </c>
      <c r="H955" s="29">
        <f>IF($B$2,IF(ROWS(B$6:$B955) = 1,IF(COUNTIFS(R_Schedule_Times,"&lt;"&amp;B955),INDEX(R_Schedule_Amounts,MATCH(B955,R_Schedule_Times,1)),Starting_Cash),IF(COUNTIFS(R_Schedule_Times,"&gt;"&amp;B954,R_Schedule_Times,"&lt;"&amp;B955),INDEX(R_Schedule_Amounts,MATCH(B955,R_Schedule_Times,1)),K954)),"")</f>
        <v>5880</v>
      </c>
      <c r="I955" s="30">
        <f t="shared" si="70"/>
        <v>40</v>
      </c>
      <c r="J955" s="31">
        <f t="shared" si="71"/>
        <v>0</v>
      </c>
      <c r="K955" s="29">
        <f t="shared" si="72"/>
        <v>5840</v>
      </c>
      <c r="L955" s="31" t="str">
        <f t="shared" si="73"/>
        <v/>
      </c>
      <c r="M955" s="31" t="str">
        <f t="shared" si="74"/>
        <v/>
      </c>
    </row>
    <row r="956" spans="1:13" x14ac:dyDescent="0.15">
      <c r="A956" s="163" t="s">
        <v>210</v>
      </c>
      <c r="B956" s="163">
        <v>42302.605867488426</v>
      </c>
      <c r="C956" s="164" t="s">
        <v>196</v>
      </c>
      <c r="D956" s="164" t="s">
        <v>13</v>
      </c>
      <c r="E956" s="165">
        <v>100</v>
      </c>
      <c r="F956" s="166">
        <v>0</v>
      </c>
      <c r="G956" s="227">
        <f>IF($B$2,IF(ROWS(B$6:$B956) = 1,$B956-Start_Date,$B956-$B955),"")</f>
        <v>1.7984537036682013E-2</v>
      </c>
      <c r="H956" s="29">
        <f>IF($B$2,IF(ROWS(B$6:$B956) = 1,IF(COUNTIFS(R_Schedule_Times,"&lt;"&amp;B956),INDEX(R_Schedule_Amounts,MATCH(B956,R_Schedule_Times,1)),Starting_Cash),IF(COUNTIFS(R_Schedule_Times,"&gt;"&amp;B955,R_Schedule_Times,"&lt;"&amp;B956),INDEX(R_Schedule_Amounts,MATCH(B956,R_Schedule_Times,1)),K955)),"")</f>
        <v>5840</v>
      </c>
      <c r="I956" s="30">
        <f t="shared" si="70"/>
        <v>100</v>
      </c>
      <c r="J956" s="31">
        <f t="shared" si="71"/>
        <v>0</v>
      </c>
      <c r="K956" s="29">
        <f t="shared" si="72"/>
        <v>5740</v>
      </c>
      <c r="L956" s="31" t="str">
        <f t="shared" si="73"/>
        <v/>
      </c>
      <c r="M956" s="31" t="str">
        <f t="shared" si="74"/>
        <v/>
      </c>
    </row>
    <row r="957" spans="1:13" x14ac:dyDescent="0.15">
      <c r="A957" s="163" t="s">
        <v>210</v>
      </c>
      <c r="B957" s="163">
        <v>42302.61319142361</v>
      </c>
      <c r="C957" s="164" t="s">
        <v>1256</v>
      </c>
      <c r="D957" s="164" t="s">
        <v>13</v>
      </c>
      <c r="E957" s="165">
        <v>20</v>
      </c>
      <c r="F957" s="166">
        <v>0</v>
      </c>
      <c r="G957" s="227">
        <f>IF($B$2,IF(ROWS(B$6:$B957) = 1,$B957-Start_Date,$B957-$B956),"")</f>
        <v>7.3239351841039024E-3</v>
      </c>
      <c r="H957" s="29">
        <f>IF($B$2,IF(ROWS(B$6:$B957) = 1,IF(COUNTIFS(R_Schedule_Times,"&lt;"&amp;B957),INDEX(R_Schedule_Amounts,MATCH(B957,R_Schedule_Times,1)),Starting_Cash),IF(COUNTIFS(R_Schedule_Times,"&gt;"&amp;B956,R_Schedule_Times,"&lt;"&amp;B957),INDEX(R_Schedule_Amounts,MATCH(B957,R_Schedule_Times,1)),K956)),"")</f>
        <v>5740</v>
      </c>
      <c r="I957" s="30">
        <f t="shared" si="70"/>
        <v>20</v>
      </c>
      <c r="J957" s="31">
        <f t="shared" si="71"/>
        <v>0</v>
      </c>
      <c r="K957" s="29">
        <f t="shared" si="72"/>
        <v>5720</v>
      </c>
      <c r="L957" s="31" t="str">
        <f t="shared" si="73"/>
        <v/>
      </c>
      <c r="M957" s="31" t="str">
        <f t="shared" si="74"/>
        <v/>
      </c>
    </row>
    <row r="958" spans="1:13" x14ac:dyDescent="0.15">
      <c r="A958" s="163" t="s">
        <v>210</v>
      </c>
      <c r="B958" s="163">
        <v>42302.645183796296</v>
      </c>
      <c r="C958" s="164" t="s">
        <v>1257</v>
      </c>
      <c r="D958" s="164" t="s">
        <v>13</v>
      </c>
      <c r="E958" s="165">
        <v>100</v>
      </c>
      <c r="F958" s="166">
        <v>0</v>
      </c>
      <c r="G958" s="227">
        <f>IF($B$2,IF(ROWS(B$6:$B958) = 1,$B958-Start_Date,$B958-$B957),"")</f>
        <v>3.1992372685635928E-2</v>
      </c>
      <c r="H958" s="29">
        <f>IF($B$2,IF(ROWS(B$6:$B958) = 1,IF(COUNTIFS(R_Schedule_Times,"&lt;"&amp;B958),INDEX(R_Schedule_Amounts,MATCH(B958,R_Schedule_Times,1)),Starting_Cash),IF(COUNTIFS(R_Schedule_Times,"&gt;"&amp;B957,R_Schedule_Times,"&lt;"&amp;B958),INDEX(R_Schedule_Amounts,MATCH(B958,R_Schedule_Times,1)),K957)),"")</f>
        <v>5720</v>
      </c>
      <c r="I958" s="30">
        <f t="shared" si="70"/>
        <v>100</v>
      </c>
      <c r="J958" s="31">
        <f t="shared" si="71"/>
        <v>0</v>
      </c>
      <c r="K958" s="29">
        <f t="shared" si="72"/>
        <v>5620</v>
      </c>
      <c r="L958" s="31" t="str">
        <f t="shared" si="73"/>
        <v/>
      </c>
      <c r="M958" s="31" t="str">
        <f t="shared" si="74"/>
        <v/>
      </c>
    </row>
    <row r="959" spans="1:13" x14ac:dyDescent="0.15">
      <c r="A959" s="163" t="s">
        <v>210</v>
      </c>
      <c r="B959" s="163">
        <v>42302.648137476855</v>
      </c>
      <c r="C959" s="164" t="s">
        <v>1258</v>
      </c>
      <c r="D959" s="164" t="s">
        <v>13</v>
      </c>
      <c r="E959" s="165">
        <v>80</v>
      </c>
      <c r="F959" s="166">
        <v>0</v>
      </c>
      <c r="G959" s="227">
        <f>IF($B$2,IF(ROWS(B$6:$B959) = 1,$B959-Start_Date,$B959-$B958),"")</f>
        <v>2.9536805595853366E-3</v>
      </c>
      <c r="H959" s="29">
        <f>IF($B$2,IF(ROWS(B$6:$B959) = 1,IF(COUNTIFS(R_Schedule_Times,"&lt;"&amp;B959),INDEX(R_Schedule_Amounts,MATCH(B959,R_Schedule_Times,1)),Starting_Cash),IF(COUNTIFS(R_Schedule_Times,"&gt;"&amp;B958,R_Schedule_Times,"&lt;"&amp;B959),INDEX(R_Schedule_Amounts,MATCH(B959,R_Schedule_Times,1)),K958)),"")</f>
        <v>5620</v>
      </c>
      <c r="I959" s="30">
        <f t="shared" si="70"/>
        <v>80</v>
      </c>
      <c r="J959" s="31">
        <f t="shared" si="71"/>
        <v>0</v>
      </c>
      <c r="K959" s="29">
        <f t="shared" si="72"/>
        <v>5540</v>
      </c>
      <c r="L959" s="31" t="str">
        <f t="shared" si="73"/>
        <v/>
      </c>
      <c r="M959" s="31" t="str">
        <f t="shared" si="74"/>
        <v/>
      </c>
    </row>
    <row r="960" spans="1:13" x14ac:dyDescent="0.15">
      <c r="A960" s="163" t="s">
        <v>210</v>
      </c>
      <c r="B960" s="163">
        <v>42302.67000726852</v>
      </c>
      <c r="C960" s="164" t="s">
        <v>1259</v>
      </c>
      <c r="D960" s="164" t="s">
        <v>13</v>
      </c>
      <c r="E960" s="165">
        <v>40</v>
      </c>
      <c r="F960" s="166">
        <v>0</v>
      </c>
      <c r="G960" s="227">
        <f>IF($B$2,IF(ROWS(B$6:$B960) = 1,$B960-Start_Date,$B960-$B959),"")</f>
        <v>2.1869791664357763E-2</v>
      </c>
      <c r="H960" s="29">
        <f>IF($B$2,IF(ROWS(B$6:$B960) = 1,IF(COUNTIFS(R_Schedule_Times,"&lt;"&amp;B960),INDEX(R_Schedule_Amounts,MATCH(B960,R_Schedule_Times,1)),Starting_Cash),IF(COUNTIFS(R_Schedule_Times,"&gt;"&amp;B959,R_Schedule_Times,"&lt;"&amp;B960),INDEX(R_Schedule_Amounts,MATCH(B960,R_Schedule_Times,1)),K959)),"")</f>
        <v>5540</v>
      </c>
      <c r="I960" s="30">
        <f t="shared" si="70"/>
        <v>40</v>
      </c>
      <c r="J960" s="31">
        <f t="shared" si="71"/>
        <v>0</v>
      </c>
      <c r="K960" s="29">
        <f t="shared" si="72"/>
        <v>5500</v>
      </c>
      <c r="L960" s="31" t="str">
        <f t="shared" si="73"/>
        <v/>
      </c>
      <c r="M960" s="31" t="str">
        <f t="shared" si="74"/>
        <v/>
      </c>
    </row>
    <row r="961" spans="1:13" x14ac:dyDescent="0.15">
      <c r="A961" s="163" t="s">
        <v>210</v>
      </c>
      <c r="B961" s="163">
        <v>42302.689738958332</v>
      </c>
      <c r="C961" s="164" t="s">
        <v>14</v>
      </c>
      <c r="D961" s="164" t="s">
        <v>13</v>
      </c>
      <c r="E961" s="165">
        <v>60</v>
      </c>
      <c r="F961" s="166">
        <v>3.5</v>
      </c>
      <c r="G961" s="227">
        <f>IF($B$2,IF(ROWS(B$6:$B961) = 1,$B961-Start_Date,$B961-$B960),"")</f>
        <v>1.9731689812033437E-2</v>
      </c>
      <c r="H961" s="29">
        <f>IF($B$2,IF(ROWS(B$6:$B961) = 1,IF(COUNTIFS(R_Schedule_Times,"&lt;"&amp;B961),INDEX(R_Schedule_Amounts,MATCH(B961,R_Schedule_Times,1)),Starting_Cash),IF(COUNTIFS(R_Schedule_Times,"&gt;"&amp;B960,R_Schedule_Times,"&lt;"&amp;B961),INDEX(R_Schedule_Amounts,MATCH(B961,R_Schedule_Times,1)),K960)),"")</f>
        <v>5500</v>
      </c>
      <c r="I961" s="30">
        <f t="shared" si="70"/>
        <v>60</v>
      </c>
      <c r="J961" s="31">
        <f t="shared" si="71"/>
        <v>3.5</v>
      </c>
      <c r="K961" s="29">
        <f t="shared" si="72"/>
        <v>5440</v>
      </c>
      <c r="L961" s="31" t="str">
        <f t="shared" si="73"/>
        <v/>
      </c>
      <c r="M961" s="31" t="str">
        <f t="shared" si="74"/>
        <v/>
      </c>
    </row>
    <row r="962" spans="1:13" x14ac:dyDescent="0.15">
      <c r="A962" s="163" t="s">
        <v>210</v>
      </c>
      <c r="B962" s="163">
        <v>42302.70846976852</v>
      </c>
      <c r="C962" s="164" t="s">
        <v>1260</v>
      </c>
      <c r="D962" s="164" t="s">
        <v>13</v>
      </c>
      <c r="E962" s="165">
        <v>100</v>
      </c>
      <c r="F962" s="166">
        <v>0</v>
      </c>
      <c r="G962" s="227">
        <f>IF($B$2,IF(ROWS(B$6:$B962) = 1,$B962-Start_Date,$B962-$B961),"")</f>
        <v>1.8730810188571922E-2</v>
      </c>
      <c r="H962" s="29">
        <f>IF($B$2,IF(ROWS(B$6:$B962) = 1,IF(COUNTIFS(R_Schedule_Times,"&lt;"&amp;B962),INDEX(R_Schedule_Amounts,MATCH(B962,R_Schedule_Times,1)),Starting_Cash),IF(COUNTIFS(R_Schedule_Times,"&gt;"&amp;B961,R_Schedule_Times,"&lt;"&amp;B962),INDEX(R_Schedule_Amounts,MATCH(B962,R_Schedule_Times,1)),K961)),"")</f>
        <v>5440</v>
      </c>
      <c r="I962" s="30">
        <f t="shared" si="70"/>
        <v>100</v>
      </c>
      <c r="J962" s="31">
        <f t="shared" si="71"/>
        <v>0</v>
      </c>
      <c r="K962" s="29">
        <f t="shared" si="72"/>
        <v>5340</v>
      </c>
      <c r="L962" s="31" t="str">
        <f t="shared" si="73"/>
        <v/>
      </c>
      <c r="M962" s="31" t="str">
        <f t="shared" si="74"/>
        <v/>
      </c>
    </row>
    <row r="963" spans="1:13" x14ac:dyDescent="0.15">
      <c r="A963" s="163" t="s">
        <v>210</v>
      </c>
      <c r="B963" s="163">
        <v>42302.738221307867</v>
      </c>
      <c r="C963" s="164" t="s">
        <v>1261</v>
      </c>
      <c r="D963" s="164" t="s">
        <v>13</v>
      </c>
      <c r="E963" s="165">
        <v>60</v>
      </c>
      <c r="F963" s="166">
        <v>0</v>
      </c>
      <c r="G963" s="227">
        <f>IF($B$2,IF(ROWS(B$6:$B963) = 1,$B963-Start_Date,$B963-$B962),"")</f>
        <v>2.9751539346762002E-2</v>
      </c>
      <c r="H963" s="29">
        <f>IF($B$2,IF(ROWS(B$6:$B963) = 1,IF(COUNTIFS(R_Schedule_Times,"&lt;"&amp;B963),INDEX(R_Schedule_Amounts,MATCH(B963,R_Schedule_Times,1)),Starting_Cash),IF(COUNTIFS(R_Schedule_Times,"&gt;"&amp;B962,R_Schedule_Times,"&lt;"&amp;B963),INDEX(R_Schedule_Amounts,MATCH(B963,R_Schedule_Times,1)),K962)),"")</f>
        <v>5340</v>
      </c>
      <c r="I963" s="30">
        <f t="shared" si="70"/>
        <v>60</v>
      </c>
      <c r="J963" s="31">
        <f t="shared" si="71"/>
        <v>0</v>
      </c>
      <c r="K963" s="29">
        <f t="shared" si="72"/>
        <v>5280</v>
      </c>
      <c r="L963" s="31" t="str">
        <f t="shared" si="73"/>
        <v/>
      </c>
      <c r="M963" s="31" t="str">
        <f t="shared" si="74"/>
        <v/>
      </c>
    </row>
    <row r="964" spans="1:13" x14ac:dyDescent="0.15">
      <c r="A964" s="163" t="s">
        <v>210</v>
      </c>
      <c r="B964" s="163">
        <v>42303.257360057869</v>
      </c>
      <c r="C964" s="164" t="s">
        <v>226</v>
      </c>
      <c r="D964" s="164" t="s">
        <v>13</v>
      </c>
      <c r="E964" s="165">
        <v>20</v>
      </c>
      <c r="F964" s="166">
        <v>0</v>
      </c>
      <c r="G964" s="227">
        <f>IF($B$2,IF(ROWS(B$6:$B964) = 1,$B964-Start_Date,$B964-$B963),"")</f>
        <v>0.51913875000172993</v>
      </c>
      <c r="H964" s="29">
        <f>IF($B$2,IF(ROWS(B$6:$B964) = 1,IF(COUNTIFS(R_Schedule_Times,"&lt;"&amp;B964),INDEX(R_Schedule_Amounts,MATCH(B964,R_Schedule_Times,1)),Starting_Cash),IF(COUNTIFS(R_Schedule_Times,"&gt;"&amp;B963,R_Schedule_Times,"&lt;"&amp;B964),INDEX(R_Schedule_Amounts,MATCH(B964,R_Schedule_Times,1)),K963)),"")</f>
        <v>11000</v>
      </c>
      <c r="I964" s="30">
        <f t="shared" si="70"/>
        <v>20</v>
      </c>
      <c r="J964" s="31">
        <f t="shared" si="71"/>
        <v>0</v>
      </c>
      <c r="K964" s="29">
        <f t="shared" si="72"/>
        <v>10980</v>
      </c>
      <c r="L964" s="31" t="str">
        <f t="shared" si="73"/>
        <v/>
      </c>
      <c r="M964" s="31" t="str">
        <f t="shared" si="74"/>
        <v/>
      </c>
    </row>
    <row r="965" spans="1:13" x14ac:dyDescent="0.15">
      <c r="A965" s="163" t="s">
        <v>210</v>
      </c>
      <c r="B965" s="163">
        <v>42303.295235162041</v>
      </c>
      <c r="C965" s="164" t="s">
        <v>1262</v>
      </c>
      <c r="D965" s="164" t="s">
        <v>13</v>
      </c>
      <c r="E965" s="165">
        <v>100</v>
      </c>
      <c r="F965" s="166">
        <v>0</v>
      </c>
      <c r="G965" s="227">
        <f>IF($B$2,IF(ROWS(B$6:$B965) = 1,$B965-Start_Date,$B965-$B964),"")</f>
        <v>3.78751041716896E-2</v>
      </c>
      <c r="H965" s="29">
        <f>IF($B$2,IF(ROWS(B$6:$B965) = 1,IF(COUNTIFS(R_Schedule_Times,"&lt;"&amp;B965),INDEX(R_Schedule_Amounts,MATCH(B965,R_Schedule_Times,1)),Starting_Cash),IF(COUNTIFS(R_Schedule_Times,"&gt;"&amp;B964,R_Schedule_Times,"&lt;"&amp;B965),INDEX(R_Schedule_Amounts,MATCH(B965,R_Schedule_Times,1)),K964)),"")</f>
        <v>10980</v>
      </c>
      <c r="I965" s="30">
        <f t="shared" si="70"/>
        <v>100</v>
      </c>
      <c r="J965" s="31">
        <f t="shared" si="71"/>
        <v>0</v>
      </c>
      <c r="K965" s="29">
        <f t="shared" si="72"/>
        <v>10880</v>
      </c>
      <c r="L965" s="31" t="str">
        <f t="shared" si="73"/>
        <v/>
      </c>
      <c r="M965" s="31" t="str">
        <f t="shared" si="74"/>
        <v/>
      </c>
    </row>
    <row r="966" spans="1:13" x14ac:dyDescent="0.15">
      <c r="A966" s="163" t="s">
        <v>210</v>
      </c>
      <c r="B966" s="163">
        <v>42303.369555428239</v>
      </c>
      <c r="C966" s="164" t="s">
        <v>1263</v>
      </c>
      <c r="D966" s="164" t="s">
        <v>13</v>
      </c>
      <c r="E966" s="165">
        <v>500</v>
      </c>
      <c r="F966" s="166">
        <v>0</v>
      </c>
      <c r="G966" s="227">
        <f>IF($B$2,IF(ROWS(B$6:$B966) = 1,$B966-Start_Date,$B966-$B965),"")</f>
        <v>7.4320266197901219E-2</v>
      </c>
      <c r="H966" s="29">
        <f>IF($B$2,IF(ROWS(B$6:$B966) = 1,IF(COUNTIFS(R_Schedule_Times,"&lt;"&amp;B966),INDEX(R_Schedule_Amounts,MATCH(B966,R_Schedule_Times,1)),Starting_Cash),IF(COUNTIFS(R_Schedule_Times,"&gt;"&amp;B965,R_Schedule_Times,"&lt;"&amp;B966),INDEX(R_Schedule_Amounts,MATCH(B966,R_Schedule_Times,1)),K965)),"")</f>
        <v>10880</v>
      </c>
      <c r="I966" s="30">
        <f t="shared" si="70"/>
        <v>500</v>
      </c>
      <c r="J966" s="31">
        <f t="shared" si="71"/>
        <v>0</v>
      </c>
      <c r="K966" s="29">
        <f t="shared" si="72"/>
        <v>10380</v>
      </c>
      <c r="L966" s="31" t="str">
        <f t="shared" si="73"/>
        <v/>
      </c>
      <c r="M966" s="31" t="str">
        <f t="shared" si="74"/>
        <v/>
      </c>
    </row>
    <row r="967" spans="1:13" x14ac:dyDescent="0.15">
      <c r="A967" s="163" t="s">
        <v>210</v>
      </c>
      <c r="B967" s="163">
        <v>42303.371169583334</v>
      </c>
      <c r="C967" s="164" t="s">
        <v>1264</v>
      </c>
      <c r="D967" s="164" t="s">
        <v>13</v>
      </c>
      <c r="E967" s="165">
        <v>20</v>
      </c>
      <c r="F967" s="166">
        <v>0</v>
      </c>
      <c r="G967" s="227">
        <f>IF($B$2,IF(ROWS(B$6:$B967) = 1,$B967-Start_Date,$B967-$B966),"")</f>
        <v>1.6141550950123928E-3</v>
      </c>
      <c r="H967" s="29">
        <f>IF($B$2,IF(ROWS(B$6:$B967) = 1,IF(COUNTIFS(R_Schedule_Times,"&lt;"&amp;B967),INDEX(R_Schedule_Amounts,MATCH(B967,R_Schedule_Times,1)),Starting_Cash),IF(COUNTIFS(R_Schedule_Times,"&gt;"&amp;B966,R_Schedule_Times,"&lt;"&amp;B967),INDEX(R_Schedule_Amounts,MATCH(B967,R_Schedule_Times,1)),K966)),"")</f>
        <v>10380</v>
      </c>
      <c r="I967" s="30">
        <f t="shared" ref="I967:I1030" si="75">IF($B$2,IF(H967&gt;=E967,E967,0),"")</f>
        <v>20</v>
      </c>
      <c r="J967" s="31">
        <f t="shared" ref="J967:J1030" si="76">IF($B$2,IF(H967&gt;=E967,F967,0),"")</f>
        <v>0</v>
      </c>
      <c r="K967" s="29">
        <f t="shared" ref="K967:K1030" si="77">IF($B$2,ABS(I967-H967),"")</f>
        <v>10360</v>
      </c>
      <c r="L967" s="31" t="str">
        <f t="shared" ref="L967:L1030" si="78">IF($B$2,IF(H967&lt;E967,"YES",""),"")</f>
        <v/>
      </c>
      <c r="M967" s="31" t="str">
        <f t="shared" ref="M967:M1030" si="79">IF($B$2,IF(L967="YES",F967,""),"")</f>
        <v/>
      </c>
    </row>
    <row r="968" spans="1:13" x14ac:dyDescent="0.15">
      <c r="A968" s="163" t="s">
        <v>210</v>
      </c>
      <c r="B968" s="163">
        <v>42303.373092812501</v>
      </c>
      <c r="C968" s="164" t="s">
        <v>1265</v>
      </c>
      <c r="D968" s="164" t="s">
        <v>15</v>
      </c>
      <c r="E968" s="165">
        <v>100</v>
      </c>
      <c r="F968" s="166">
        <v>3</v>
      </c>
      <c r="G968" s="227">
        <f>IF($B$2,IF(ROWS(B$6:$B968) = 1,$B968-Start_Date,$B968-$B967),"")</f>
        <v>1.9232291670050472E-3</v>
      </c>
      <c r="H968" s="29">
        <f>IF($B$2,IF(ROWS(B$6:$B968) = 1,IF(COUNTIFS(R_Schedule_Times,"&lt;"&amp;B968),INDEX(R_Schedule_Amounts,MATCH(B968,R_Schedule_Times,1)),Starting_Cash),IF(COUNTIFS(R_Schedule_Times,"&gt;"&amp;B967,R_Schedule_Times,"&lt;"&amp;B968),INDEX(R_Schedule_Amounts,MATCH(B968,R_Schedule_Times,1)),K967)),"")</f>
        <v>10360</v>
      </c>
      <c r="I968" s="30">
        <f t="shared" si="75"/>
        <v>100</v>
      </c>
      <c r="J968" s="31">
        <f t="shared" si="76"/>
        <v>3</v>
      </c>
      <c r="K968" s="29">
        <f t="shared" si="77"/>
        <v>10260</v>
      </c>
      <c r="L968" s="31" t="str">
        <f t="shared" si="78"/>
        <v/>
      </c>
      <c r="M968" s="31" t="str">
        <f t="shared" si="79"/>
        <v/>
      </c>
    </row>
    <row r="969" spans="1:13" x14ac:dyDescent="0.15">
      <c r="A969" s="163" t="s">
        <v>210</v>
      </c>
      <c r="B969" s="163">
        <v>42303.420531215277</v>
      </c>
      <c r="C969" s="164" t="s">
        <v>1266</v>
      </c>
      <c r="D969" s="164" t="s">
        <v>13</v>
      </c>
      <c r="E969" s="165">
        <v>60</v>
      </c>
      <c r="F969" s="166">
        <v>0</v>
      </c>
      <c r="G969" s="227">
        <f>IF($B$2,IF(ROWS(B$6:$B969) = 1,$B969-Start_Date,$B969-$B968),"")</f>
        <v>4.7438402776606381E-2</v>
      </c>
      <c r="H969" s="29">
        <f>IF($B$2,IF(ROWS(B$6:$B969) = 1,IF(COUNTIFS(R_Schedule_Times,"&lt;"&amp;B969),INDEX(R_Schedule_Amounts,MATCH(B969,R_Schedule_Times,1)),Starting_Cash),IF(COUNTIFS(R_Schedule_Times,"&gt;"&amp;B968,R_Schedule_Times,"&lt;"&amp;B969),INDEX(R_Schedule_Amounts,MATCH(B969,R_Schedule_Times,1)),K968)),"")</f>
        <v>10260</v>
      </c>
      <c r="I969" s="30">
        <f t="shared" si="75"/>
        <v>60</v>
      </c>
      <c r="J969" s="31">
        <f t="shared" si="76"/>
        <v>0</v>
      </c>
      <c r="K969" s="29">
        <f t="shared" si="77"/>
        <v>10200</v>
      </c>
      <c r="L969" s="31" t="str">
        <f t="shared" si="78"/>
        <v/>
      </c>
      <c r="M969" s="31" t="str">
        <f t="shared" si="79"/>
        <v/>
      </c>
    </row>
    <row r="970" spans="1:13" x14ac:dyDescent="0.15">
      <c r="A970" s="163" t="s">
        <v>210</v>
      </c>
      <c r="B970" s="163">
        <v>42303.441107615741</v>
      </c>
      <c r="C970" s="164" t="s">
        <v>379</v>
      </c>
      <c r="D970" s="164" t="s">
        <v>13</v>
      </c>
      <c r="E970" s="165">
        <v>80</v>
      </c>
      <c r="F970" s="166">
        <v>0</v>
      </c>
      <c r="G970" s="227">
        <f>IF($B$2,IF(ROWS(B$6:$B970) = 1,$B970-Start_Date,$B970-$B969),"")</f>
        <v>2.0576400464051403E-2</v>
      </c>
      <c r="H970" s="29">
        <f>IF($B$2,IF(ROWS(B$6:$B970) = 1,IF(COUNTIFS(R_Schedule_Times,"&lt;"&amp;B970),INDEX(R_Schedule_Amounts,MATCH(B970,R_Schedule_Times,1)),Starting_Cash),IF(COUNTIFS(R_Schedule_Times,"&gt;"&amp;B969,R_Schedule_Times,"&lt;"&amp;B970),INDEX(R_Schedule_Amounts,MATCH(B970,R_Schedule_Times,1)),K969)),"")</f>
        <v>10200</v>
      </c>
      <c r="I970" s="30">
        <f t="shared" si="75"/>
        <v>80</v>
      </c>
      <c r="J970" s="31">
        <f t="shared" si="76"/>
        <v>0</v>
      </c>
      <c r="K970" s="29">
        <f t="shared" si="77"/>
        <v>10120</v>
      </c>
      <c r="L970" s="31" t="str">
        <f t="shared" si="78"/>
        <v/>
      </c>
      <c r="M970" s="31" t="str">
        <f t="shared" si="79"/>
        <v/>
      </c>
    </row>
    <row r="971" spans="1:13" x14ac:dyDescent="0.15">
      <c r="A971" s="163" t="s">
        <v>210</v>
      </c>
      <c r="B971" s="163">
        <v>42303.44440695602</v>
      </c>
      <c r="C971" s="164" t="s">
        <v>1267</v>
      </c>
      <c r="D971" s="164" t="s">
        <v>13</v>
      </c>
      <c r="E971" s="165">
        <v>60</v>
      </c>
      <c r="F971" s="166">
        <v>0</v>
      </c>
      <c r="G971" s="227">
        <f>IF($B$2,IF(ROWS(B$6:$B971) = 1,$B971-Start_Date,$B971-$B970),"")</f>
        <v>3.2993402783176862E-3</v>
      </c>
      <c r="H971" s="29">
        <f>IF($B$2,IF(ROWS(B$6:$B971) = 1,IF(COUNTIFS(R_Schedule_Times,"&lt;"&amp;B971),INDEX(R_Schedule_Amounts,MATCH(B971,R_Schedule_Times,1)),Starting_Cash),IF(COUNTIFS(R_Schedule_Times,"&gt;"&amp;B970,R_Schedule_Times,"&lt;"&amp;B971),INDEX(R_Schedule_Amounts,MATCH(B971,R_Schedule_Times,1)),K970)),"")</f>
        <v>10120</v>
      </c>
      <c r="I971" s="30">
        <f t="shared" si="75"/>
        <v>60</v>
      </c>
      <c r="J971" s="31">
        <f t="shared" si="76"/>
        <v>0</v>
      </c>
      <c r="K971" s="29">
        <f t="shared" si="77"/>
        <v>10060</v>
      </c>
      <c r="L971" s="31" t="str">
        <f t="shared" si="78"/>
        <v/>
      </c>
      <c r="M971" s="31" t="str">
        <f t="shared" si="79"/>
        <v/>
      </c>
    </row>
    <row r="972" spans="1:13" x14ac:dyDescent="0.15">
      <c r="A972" s="163" t="s">
        <v>210</v>
      </c>
      <c r="B972" s="163">
        <v>42303.459121851854</v>
      </c>
      <c r="C972" s="164" t="s">
        <v>1268</v>
      </c>
      <c r="D972" s="164" t="s">
        <v>13</v>
      </c>
      <c r="E972" s="165">
        <v>100</v>
      </c>
      <c r="F972" s="166">
        <v>0</v>
      </c>
      <c r="G972" s="227">
        <f>IF($B$2,IF(ROWS(B$6:$B972) = 1,$B972-Start_Date,$B972-$B971),"")</f>
        <v>1.4714895834913477E-2</v>
      </c>
      <c r="H972" s="29">
        <f>IF($B$2,IF(ROWS(B$6:$B972) = 1,IF(COUNTIFS(R_Schedule_Times,"&lt;"&amp;B972),INDEX(R_Schedule_Amounts,MATCH(B972,R_Schedule_Times,1)),Starting_Cash),IF(COUNTIFS(R_Schedule_Times,"&gt;"&amp;B971,R_Schedule_Times,"&lt;"&amp;B972),INDEX(R_Schedule_Amounts,MATCH(B972,R_Schedule_Times,1)),K971)),"")</f>
        <v>10060</v>
      </c>
      <c r="I972" s="30">
        <f t="shared" si="75"/>
        <v>100</v>
      </c>
      <c r="J972" s="31">
        <f t="shared" si="76"/>
        <v>0</v>
      </c>
      <c r="K972" s="29">
        <f t="shared" si="77"/>
        <v>9960</v>
      </c>
      <c r="L972" s="31" t="str">
        <f t="shared" si="78"/>
        <v/>
      </c>
      <c r="M972" s="31" t="str">
        <f t="shared" si="79"/>
        <v/>
      </c>
    </row>
    <row r="973" spans="1:13" x14ac:dyDescent="0.15">
      <c r="A973" s="163" t="s">
        <v>210</v>
      </c>
      <c r="B973" s="163">
        <v>42303.467791770832</v>
      </c>
      <c r="C973" s="164" t="s">
        <v>1269</v>
      </c>
      <c r="D973" s="164" t="s">
        <v>13</v>
      </c>
      <c r="E973" s="165">
        <v>60</v>
      </c>
      <c r="F973" s="166">
        <v>0</v>
      </c>
      <c r="G973" s="227">
        <f>IF($B$2,IF(ROWS(B$6:$B973) = 1,$B973-Start_Date,$B973-$B972),"")</f>
        <v>8.6699189778300934E-3</v>
      </c>
      <c r="H973" s="29">
        <f>IF($B$2,IF(ROWS(B$6:$B973) = 1,IF(COUNTIFS(R_Schedule_Times,"&lt;"&amp;B973),INDEX(R_Schedule_Amounts,MATCH(B973,R_Schedule_Times,1)),Starting_Cash),IF(COUNTIFS(R_Schedule_Times,"&gt;"&amp;B972,R_Schedule_Times,"&lt;"&amp;B973),INDEX(R_Schedule_Amounts,MATCH(B973,R_Schedule_Times,1)),K972)),"")</f>
        <v>9960</v>
      </c>
      <c r="I973" s="30">
        <f t="shared" si="75"/>
        <v>60</v>
      </c>
      <c r="J973" s="31">
        <f t="shared" si="76"/>
        <v>0</v>
      </c>
      <c r="K973" s="29">
        <f t="shared" si="77"/>
        <v>9900</v>
      </c>
      <c r="L973" s="31" t="str">
        <f t="shared" si="78"/>
        <v/>
      </c>
      <c r="M973" s="31" t="str">
        <f t="shared" si="79"/>
        <v/>
      </c>
    </row>
    <row r="974" spans="1:13" x14ac:dyDescent="0.15">
      <c r="A974" s="163" t="s">
        <v>210</v>
      </c>
      <c r="B974" s="163">
        <v>42303.47397269676</v>
      </c>
      <c r="C974" s="164" t="s">
        <v>1270</v>
      </c>
      <c r="D974" s="164" t="s">
        <v>13</v>
      </c>
      <c r="E974" s="165">
        <v>100</v>
      </c>
      <c r="F974" s="166">
        <v>0</v>
      </c>
      <c r="G974" s="227">
        <f>IF($B$2,IF(ROWS(B$6:$B974) = 1,$B974-Start_Date,$B974-$B973),"")</f>
        <v>6.1809259277652018E-3</v>
      </c>
      <c r="H974" s="29">
        <f>IF($B$2,IF(ROWS(B$6:$B974) = 1,IF(COUNTIFS(R_Schedule_Times,"&lt;"&amp;B974),INDEX(R_Schedule_Amounts,MATCH(B974,R_Schedule_Times,1)),Starting_Cash),IF(COUNTIFS(R_Schedule_Times,"&gt;"&amp;B973,R_Schedule_Times,"&lt;"&amp;B974),INDEX(R_Schedule_Amounts,MATCH(B974,R_Schedule_Times,1)),K973)),"")</f>
        <v>9900</v>
      </c>
      <c r="I974" s="30">
        <f t="shared" si="75"/>
        <v>100</v>
      </c>
      <c r="J974" s="31">
        <f t="shared" si="76"/>
        <v>0</v>
      </c>
      <c r="K974" s="29">
        <f t="shared" si="77"/>
        <v>9800</v>
      </c>
      <c r="L974" s="31" t="str">
        <f t="shared" si="78"/>
        <v/>
      </c>
      <c r="M974" s="31" t="str">
        <f t="shared" si="79"/>
        <v/>
      </c>
    </row>
    <row r="975" spans="1:13" x14ac:dyDescent="0.15">
      <c r="A975" s="163" t="s">
        <v>210</v>
      </c>
      <c r="B975" s="163">
        <v>42303.48515940972</v>
      </c>
      <c r="C975" s="164" t="s">
        <v>1056</v>
      </c>
      <c r="D975" s="164" t="s">
        <v>13</v>
      </c>
      <c r="E975" s="165">
        <v>80</v>
      </c>
      <c r="F975" s="166">
        <v>0</v>
      </c>
      <c r="G975" s="227">
        <f>IF($B$2,IF(ROWS(B$6:$B975) = 1,$B975-Start_Date,$B975-$B974),"")</f>
        <v>1.1186712959897704E-2</v>
      </c>
      <c r="H975" s="29">
        <f>IF($B$2,IF(ROWS(B$6:$B975) = 1,IF(COUNTIFS(R_Schedule_Times,"&lt;"&amp;B975),INDEX(R_Schedule_Amounts,MATCH(B975,R_Schedule_Times,1)),Starting_Cash),IF(COUNTIFS(R_Schedule_Times,"&gt;"&amp;B974,R_Schedule_Times,"&lt;"&amp;B975),INDEX(R_Schedule_Amounts,MATCH(B975,R_Schedule_Times,1)),K974)),"")</f>
        <v>9800</v>
      </c>
      <c r="I975" s="30">
        <f t="shared" si="75"/>
        <v>80</v>
      </c>
      <c r="J975" s="31">
        <f t="shared" si="76"/>
        <v>0</v>
      </c>
      <c r="K975" s="29">
        <f t="shared" si="77"/>
        <v>9720</v>
      </c>
      <c r="L975" s="31" t="str">
        <f t="shared" si="78"/>
        <v/>
      </c>
      <c r="M975" s="31" t="str">
        <f t="shared" si="79"/>
        <v/>
      </c>
    </row>
    <row r="976" spans="1:13" x14ac:dyDescent="0.15">
      <c r="A976" s="163" t="s">
        <v>210</v>
      </c>
      <c r="B976" s="163">
        <v>42303.504579108798</v>
      </c>
      <c r="C976" s="164" t="s">
        <v>1271</v>
      </c>
      <c r="D976" s="164" t="s">
        <v>13</v>
      </c>
      <c r="E976" s="165">
        <v>20</v>
      </c>
      <c r="F976" s="166">
        <v>0</v>
      </c>
      <c r="G976" s="227">
        <f>IF($B$2,IF(ROWS(B$6:$B976) = 1,$B976-Start_Date,$B976-$B975),"")</f>
        <v>1.9419699077843688E-2</v>
      </c>
      <c r="H976" s="29">
        <f>IF($B$2,IF(ROWS(B$6:$B976) = 1,IF(COUNTIFS(R_Schedule_Times,"&lt;"&amp;B976),INDEX(R_Schedule_Amounts,MATCH(B976,R_Schedule_Times,1)),Starting_Cash),IF(COUNTIFS(R_Schedule_Times,"&gt;"&amp;B975,R_Schedule_Times,"&lt;"&amp;B976),INDEX(R_Schedule_Amounts,MATCH(B976,R_Schedule_Times,1)),K975)),"")</f>
        <v>9720</v>
      </c>
      <c r="I976" s="30">
        <f t="shared" si="75"/>
        <v>20</v>
      </c>
      <c r="J976" s="31">
        <f t="shared" si="76"/>
        <v>0</v>
      </c>
      <c r="K976" s="29">
        <f t="shared" si="77"/>
        <v>9700</v>
      </c>
      <c r="L976" s="31" t="str">
        <f t="shared" si="78"/>
        <v/>
      </c>
      <c r="M976" s="31" t="str">
        <f t="shared" si="79"/>
        <v/>
      </c>
    </row>
    <row r="977" spans="1:13" x14ac:dyDescent="0.15">
      <c r="A977" s="163" t="s">
        <v>210</v>
      </c>
      <c r="B977" s="163">
        <v>42303.506489236112</v>
      </c>
      <c r="C977" s="164" t="s">
        <v>14</v>
      </c>
      <c r="D977" s="164" t="s">
        <v>13</v>
      </c>
      <c r="E977" s="165">
        <v>40</v>
      </c>
      <c r="F977" s="166">
        <v>3.5</v>
      </c>
      <c r="G977" s="227">
        <f>IF($B$2,IF(ROWS(B$6:$B977) = 1,$B977-Start_Date,$B977-$B976),"")</f>
        <v>1.910127313749399E-3</v>
      </c>
      <c r="H977" s="29">
        <f>IF($B$2,IF(ROWS(B$6:$B977) = 1,IF(COUNTIFS(R_Schedule_Times,"&lt;"&amp;B977),INDEX(R_Schedule_Amounts,MATCH(B977,R_Schedule_Times,1)),Starting_Cash),IF(COUNTIFS(R_Schedule_Times,"&gt;"&amp;B976,R_Schedule_Times,"&lt;"&amp;B977),INDEX(R_Schedule_Amounts,MATCH(B977,R_Schedule_Times,1)),K976)),"")</f>
        <v>9700</v>
      </c>
      <c r="I977" s="30">
        <f t="shared" si="75"/>
        <v>40</v>
      </c>
      <c r="J977" s="31">
        <f t="shared" si="76"/>
        <v>3.5</v>
      </c>
      <c r="K977" s="29">
        <f t="shared" si="77"/>
        <v>9660</v>
      </c>
      <c r="L977" s="31" t="str">
        <f t="shared" si="78"/>
        <v/>
      </c>
      <c r="M977" s="31" t="str">
        <f t="shared" si="79"/>
        <v/>
      </c>
    </row>
    <row r="978" spans="1:13" x14ac:dyDescent="0.15">
      <c r="A978" s="163" t="s">
        <v>210</v>
      </c>
      <c r="B978" s="163">
        <v>42303.507136967593</v>
      </c>
      <c r="C978" s="164" t="s">
        <v>14</v>
      </c>
      <c r="D978" s="164" t="s">
        <v>13</v>
      </c>
      <c r="E978" s="165">
        <v>120</v>
      </c>
      <c r="F978" s="166">
        <v>3.5</v>
      </c>
      <c r="G978" s="227">
        <f>IF($B$2,IF(ROWS(B$6:$B978) = 1,$B978-Start_Date,$B978-$B977),"")</f>
        <v>6.4773148187668994E-4</v>
      </c>
      <c r="H978" s="29">
        <f>IF($B$2,IF(ROWS(B$6:$B978) = 1,IF(COUNTIFS(R_Schedule_Times,"&lt;"&amp;B978),INDEX(R_Schedule_Amounts,MATCH(B978,R_Schedule_Times,1)),Starting_Cash),IF(COUNTIFS(R_Schedule_Times,"&gt;"&amp;B977,R_Schedule_Times,"&lt;"&amp;B978),INDEX(R_Schedule_Amounts,MATCH(B978,R_Schedule_Times,1)),K977)),"")</f>
        <v>9660</v>
      </c>
      <c r="I978" s="30">
        <f t="shared" si="75"/>
        <v>120</v>
      </c>
      <c r="J978" s="31">
        <f t="shared" si="76"/>
        <v>3.5</v>
      </c>
      <c r="K978" s="29">
        <f t="shared" si="77"/>
        <v>9540</v>
      </c>
      <c r="L978" s="31" t="str">
        <f t="shared" si="78"/>
        <v/>
      </c>
      <c r="M978" s="31" t="str">
        <f t="shared" si="79"/>
        <v/>
      </c>
    </row>
    <row r="979" spans="1:13" x14ac:dyDescent="0.15">
      <c r="A979" s="163" t="s">
        <v>210</v>
      </c>
      <c r="B979" s="163">
        <v>42303.513774282408</v>
      </c>
      <c r="C979" s="164" t="s">
        <v>14</v>
      </c>
      <c r="D979" s="164" t="s">
        <v>13</v>
      </c>
      <c r="E979" s="165">
        <v>500</v>
      </c>
      <c r="F979" s="166">
        <v>3.5</v>
      </c>
      <c r="G979" s="227">
        <f>IF($B$2,IF(ROWS(B$6:$B979) = 1,$B979-Start_Date,$B979-$B978),"")</f>
        <v>6.6373148147249594E-3</v>
      </c>
      <c r="H979" s="29">
        <f>IF($B$2,IF(ROWS(B$6:$B979) = 1,IF(COUNTIFS(R_Schedule_Times,"&lt;"&amp;B979),INDEX(R_Schedule_Amounts,MATCH(B979,R_Schedule_Times,1)),Starting_Cash),IF(COUNTIFS(R_Schedule_Times,"&gt;"&amp;B978,R_Schedule_Times,"&lt;"&amp;B979),INDEX(R_Schedule_Amounts,MATCH(B979,R_Schedule_Times,1)),K978)),"")</f>
        <v>9540</v>
      </c>
      <c r="I979" s="30">
        <f t="shared" si="75"/>
        <v>500</v>
      </c>
      <c r="J979" s="31">
        <f t="shared" si="76"/>
        <v>3.5</v>
      </c>
      <c r="K979" s="29">
        <f t="shared" si="77"/>
        <v>9040</v>
      </c>
      <c r="L979" s="31" t="str">
        <f t="shared" si="78"/>
        <v/>
      </c>
      <c r="M979" s="31" t="str">
        <f t="shared" si="79"/>
        <v/>
      </c>
    </row>
    <row r="980" spans="1:13" x14ac:dyDescent="0.15">
      <c r="A980" s="163" t="s">
        <v>210</v>
      </c>
      <c r="B980" s="163">
        <v>42303.540735243056</v>
      </c>
      <c r="C980" s="164" t="s">
        <v>1272</v>
      </c>
      <c r="D980" s="164" t="s">
        <v>13</v>
      </c>
      <c r="E980" s="165">
        <v>60</v>
      </c>
      <c r="F980" s="166">
        <v>0</v>
      </c>
      <c r="G980" s="227">
        <f>IF($B$2,IF(ROWS(B$6:$B980) = 1,$B980-Start_Date,$B980-$B979),"")</f>
        <v>2.6960960647556931E-2</v>
      </c>
      <c r="H980" s="29">
        <f>IF($B$2,IF(ROWS(B$6:$B980) = 1,IF(COUNTIFS(R_Schedule_Times,"&lt;"&amp;B980),INDEX(R_Schedule_Amounts,MATCH(B980,R_Schedule_Times,1)),Starting_Cash),IF(COUNTIFS(R_Schedule_Times,"&gt;"&amp;B979,R_Schedule_Times,"&lt;"&amp;B980),INDEX(R_Schedule_Amounts,MATCH(B980,R_Schedule_Times,1)),K979)),"")</f>
        <v>9040</v>
      </c>
      <c r="I980" s="30">
        <f t="shared" si="75"/>
        <v>60</v>
      </c>
      <c r="J980" s="31">
        <f t="shared" si="76"/>
        <v>0</v>
      </c>
      <c r="K980" s="29">
        <f t="shared" si="77"/>
        <v>8980</v>
      </c>
      <c r="L980" s="31" t="str">
        <f t="shared" si="78"/>
        <v/>
      </c>
      <c r="M980" s="31" t="str">
        <f t="shared" si="79"/>
        <v/>
      </c>
    </row>
    <row r="981" spans="1:13" x14ac:dyDescent="0.15">
      <c r="A981" s="163" t="s">
        <v>210</v>
      </c>
      <c r="B981" s="163">
        <v>42303.601849710649</v>
      </c>
      <c r="C981" s="164" t="s">
        <v>1273</v>
      </c>
      <c r="D981" s="164" t="s">
        <v>13</v>
      </c>
      <c r="E981" s="165">
        <v>40</v>
      </c>
      <c r="F981" s="166">
        <v>0</v>
      </c>
      <c r="G981" s="227">
        <f>IF($B$2,IF(ROWS(B$6:$B981) = 1,$B981-Start_Date,$B981-$B980),"")</f>
        <v>6.1114467593142763E-2</v>
      </c>
      <c r="H981" s="29">
        <f>IF($B$2,IF(ROWS(B$6:$B981) = 1,IF(COUNTIFS(R_Schedule_Times,"&lt;"&amp;B981),INDEX(R_Schedule_Amounts,MATCH(B981,R_Schedule_Times,1)),Starting_Cash),IF(COUNTIFS(R_Schedule_Times,"&gt;"&amp;B980,R_Schedule_Times,"&lt;"&amp;B981),INDEX(R_Schedule_Amounts,MATCH(B981,R_Schedule_Times,1)),K980)),"")</f>
        <v>8980</v>
      </c>
      <c r="I981" s="30">
        <f t="shared" si="75"/>
        <v>40</v>
      </c>
      <c r="J981" s="31">
        <f t="shared" si="76"/>
        <v>0</v>
      </c>
      <c r="K981" s="29">
        <f t="shared" si="77"/>
        <v>8940</v>
      </c>
      <c r="L981" s="31" t="str">
        <f t="shared" si="78"/>
        <v/>
      </c>
      <c r="M981" s="31" t="str">
        <f t="shared" si="79"/>
        <v/>
      </c>
    </row>
    <row r="982" spans="1:13" x14ac:dyDescent="0.15">
      <c r="A982" s="163" t="s">
        <v>210</v>
      </c>
      <c r="B982" s="163">
        <v>42303.607223564817</v>
      </c>
      <c r="C982" s="164" t="s">
        <v>1274</v>
      </c>
      <c r="D982" s="164" t="s">
        <v>13</v>
      </c>
      <c r="E982" s="165">
        <v>20</v>
      </c>
      <c r="F982" s="166">
        <v>0</v>
      </c>
      <c r="G982" s="227">
        <f>IF($B$2,IF(ROWS(B$6:$B982) = 1,$B982-Start_Date,$B982-$B981),"")</f>
        <v>5.3738541682832874E-3</v>
      </c>
      <c r="H982" s="29">
        <f>IF($B$2,IF(ROWS(B$6:$B982) = 1,IF(COUNTIFS(R_Schedule_Times,"&lt;"&amp;B982),INDEX(R_Schedule_Amounts,MATCH(B982,R_Schedule_Times,1)),Starting_Cash),IF(COUNTIFS(R_Schedule_Times,"&gt;"&amp;B981,R_Schedule_Times,"&lt;"&amp;B982),INDEX(R_Schedule_Amounts,MATCH(B982,R_Schedule_Times,1)),K981)),"")</f>
        <v>8940</v>
      </c>
      <c r="I982" s="30">
        <f t="shared" si="75"/>
        <v>20</v>
      </c>
      <c r="J982" s="31">
        <f t="shared" si="76"/>
        <v>0</v>
      </c>
      <c r="K982" s="29">
        <f t="shared" si="77"/>
        <v>8920</v>
      </c>
      <c r="L982" s="31" t="str">
        <f t="shared" si="78"/>
        <v/>
      </c>
      <c r="M982" s="31" t="str">
        <f t="shared" si="79"/>
        <v/>
      </c>
    </row>
    <row r="983" spans="1:13" x14ac:dyDescent="0.15">
      <c r="A983" s="163" t="s">
        <v>210</v>
      </c>
      <c r="B983" s="163">
        <v>42303.62306445602</v>
      </c>
      <c r="C983" s="164" t="s">
        <v>14</v>
      </c>
      <c r="D983" s="164" t="s">
        <v>13</v>
      </c>
      <c r="E983" s="165">
        <v>100</v>
      </c>
      <c r="F983" s="166">
        <v>3.5</v>
      </c>
      <c r="G983" s="227">
        <f>IF($B$2,IF(ROWS(B$6:$B983) = 1,$B983-Start_Date,$B983-$B982),"")</f>
        <v>1.5840891202969942E-2</v>
      </c>
      <c r="H983" s="29">
        <f>IF($B$2,IF(ROWS(B$6:$B983) = 1,IF(COUNTIFS(R_Schedule_Times,"&lt;"&amp;B983),INDEX(R_Schedule_Amounts,MATCH(B983,R_Schedule_Times,1)),Starting_Cash),IF(COUNTIFS(R_Schedule_Times,"&gt;"&amp;B982,R_Schedule_Times,"&lt;"&amp;B983),INDEX(R_Schedule_Amounts,MATCH(B983,R_Schedule_Times,1)),K982)),"")</f>
        <v>8920</v>
      </c>
      <c r="I983" s="30">
        <f t="shared" si="75"/>
        <v>100</v>
      </c>
      <c r="J983" s="31">
        <f t="shared" si="76"/>
        <v>3.5</v>
      </c>
      <c r="K983" s="29">
        <f t="shared" si="77"/>
        <v>8820</v>
      </c>
      <c r="L983" s="31" t="str">
        <f t="shared" si="78"/>
        <v/>
      </c>
      <c r="M983" s="31" t="str">
        <f t="shared" si="79"/>
        <v/>
      </c>
    </row>
    <row r="984" spans="1:13" x14ac:dyDescent="0.15">
      <c r="A984" s="163" t="s">
        <v>210</v>
      </c>
      <c r="B984" s="163">
        <v>42303.633722789353</v>
      </c>
      <c r="C984" s="164" t="s">
        <v>1275</v>
      </c>
      <c r="D984" s="164" t="s">
        <v>13</v>
      </c>
      <c r="E984" s="165">
        <v>160</v>
      </c>
      <c r="F984" s="166">
        <v>0</v>
      </c>
      <c r="G984" s="227">
        <f>IF($B$2,IF(ROWS(B$6:$B984) = 1,$B984-Start_Date,$B984-$B983),"")</f>
        <v>1.0658333332685288E-2</v>
      </c>
      <c r="H984" s="29">
        <f>IF($B$2,IF(ROWS(B$6:$B984) = 1,IF(COUNTIFS(R_Schedule_Times,"&lt;"&amp;B984),INDEX(R_Schedule_Amounts,MATCH(B984,R_Schedule_Times,1)),Starting_Cash),IF(COUNTIFS(R_Schedule_Times,"&gt;"&amp;B983,R_Schedule_Times,"&lt;"&amp;B984),INDEX(R_Schedule_Amounts,MATCH(B984,R_Schedule_Times,1)),K983)),"")</f>
        <v>8820</v>
      </c>
      <c r="I984" s="30">
        <f t="shared" si="75"/>
        <v>160</v>
      </c>
      <c r="J984" s="31">
        <f t="shared" si="76"/>
        <v>0</v>
      </c>
      <c r="K984" s="29">
        <f t="shared" si="77"/>
        <v>8660</v>
      </c>
      <c r="L984" s="31" t="str">
        <f t="shared" si="78"/>
        <v/>
      </c>
      <c r="M984" s="31" t="str">
        <f t="shared" si="79"/>
        <v/>
      </c>
    </row>
    <row r="985" spans="1:13" x14ac:dyDescent="0.15">
      <c r="A985" s="163" t="s">
        <v>210</v>
      </c>
      <c r="B985" s="163">
        <v>42303.664673541665</v>
      </c>
      <c r="C985" s="164" t="s">
        <v>1276</v>
      </c>
      <c r="D985" s="164" t="s">
        <v>13</v>
      </c>
      <c r="E985" s="165">
        <v>200</v>
      </c>
      <c r="F985" s="166">
        <v>0</v>
      </c>
      <c r="G985" s="227">
        <f>IF($B$2,IF(ROWS(B$6:$B985) = 1,$B985-Start_Date,$B985-$B984),"")</f>
        <v>3.0950752312492114E-2</v>
      </c>
      <c r="H985" s="29">
        <f>IF($B$2,IF(ROWS(B$6:$B985) = 1,IF(COUNTIFS(R_Schedule_Times,"&lt;"&amp;B985),INDEX(R_Schedule_Amounts,MATCH(B985,R_Schedule_Times,1)),Starting_Cash),IF(COUNTIFS(R_Schedule_Times,"&gt;"&amp;B984,R_Schedule_Times,"&lt;"&amp;B985),INDEX(R_Schedule_Amounts,MATCH(B985,R_Schedule_Times,1)),K984)),"")</f>
        <v>8660</v>
      </c>
      <c r="I985" s="30">
        <f t="shared" si="75"/>
        <v>200</v>
      </c>
      <c r="J985" s="31">
        <f t="shared" si="76"/>
        <v>0</v>
      </c>
      <c r="K985" s="29">
        <f t="shared" si="77"/>
        <v>8460</v>
      </c>
      <c r="L985" s="31" t="str">
        <f t="shared" si="78"/>
        <v/>
      </c>
      <c r="M985" s="31" t="str">
        <f t="shared" si="79"/>
        <v/>
      </c>
    </row>
    <row r="986" spans="1:13" x14ac:dyDescent="0.15">
      <c r="A986" s="163" t="s">
        <v>210</v>
      </c>
      <c r="B986" s="163">
        <v>42303.676993564812</v>
      </c>
      <c r="C986" s="164" t="s">
        <v>1277</v>
      </c>
      <c r="D986" s="164" t="s">
        <v>13</v>
      </c>
      <c r="E986" s="165">
        <v>20</v>
      </c>
      <c r="F986" s="166">
        <v>0</v>
      </c>
      <c r="G986" s="227">
        <f>IF($B$2,IF(ROWS(B$6:$B986) = 1,$B986-Start_Date,$B986-$B985),"")</f>
        <v>1.232002314645797E-2</v>
      </c>
      <c r="H986" s="29">
        <f>IF($B$2,IF(ROWS(B$6:$B986) = 1,IF(COUNTIFS(R_Schedule_Times,"&lt;"&amp;B986),INDEX(R_Schedule_Amounts,MATCH(B986,R_Schedule_Times,1)),Starting_Cash),IF(COUNTIFS(R_Schedule_Times,"&gt;"&amp;B985,R_Schedule_Times,"&lt;"&amp;B986),INDEX(R_Schedule_Amounts,MATCH(B986,R_Schedule_Times,1)),K985)),"")</f>
        <v>8460</v>
      </c>
      <c r="I986" s="30">
        <f t="shared" si="75"/>
        <v>20</v>
      </c>
      <c r="J986" s="31">
        <f t="shared" si="76"/>
        <v>0</v>
      </c>
      <c r="K986" s="29">
        <f t="shared" si="77"/>
        <v>8440</v>
      </c>
      <c r="L986" s="31" t="str">
        <f t="shared" si="78"/>
        <v/>
      </c>
      <c r="M986" s="31" t="str">
        <f t="shared" si="79"/>
        <v/>
      </c>
    </row>
    <row r="987" spans="1:13" x14ac:dyDescent="0.15">
      <c r="A987" s="163" t="s">
        <v>210</v>
      </c>
      <c r="B987" s="163">
        <v>42303.67932333333</v>
      </c>
      <c r="C987" s="164" t="s">
        <v>1278</v>
      </c>
      <c r="D987" s="164" t="s">
        <v>15</v>
      </c>
      <c r="E987" s="165">
        <v>160</v>
      </c>
      <c r="F987" s="166">
        <v>4.8</v>
      </c>
      <c r="G987" s="227">
        <f>IF($B$2,IF(ROWS(B$6:$B987) = 1,$B987-Start_Date,$B987-$B986),"")</f>
        <v>2.3297685183933936E-3</v>
      </c>
      <c r="H987" s="29">
        <f>IF($B$2,IF(ROWS(B$6:$B987) = 1,IF(COUNTIFS(R_Schedule_Times,"&lt;"&amp;B987),INDEX(R_Schedule_Amounts,MATCH(B987,R_Schedule_Times,1)),Starting_Cash),IF(COUNTIFS(R_Schedule_Times,"&gt;"&amp;B986,R_Schedule_Times,"&lt;"&amp;B987),INDEX(R_Schedule_Amounts,MATCH(B987,R_Schedule_Times,1)),K986)),"")</f>
        <v>8440</v>
      </c>
      <c r="I987" s="30">
        <f t="shared" si="75"/>
        <v>160</v>
      </c>
      <c r="J987" s="31">
        <f t="shared" si="76"/>
        <v>4.8</v>
      </c>
      <c r="K987" s="29">
        <f t="shared" si="77"/>
        <v>8280</v>
      </c>
      <c r="L987" s="31" t="str">
        <f t="shared" si="78"/>
        <v/>
      </c>
      <c r="M987" s="31" t="str">
        <f t="shared" si="79"/>
        <v/>
      </c>
    </row>
    <row r="988" spans="1:13" x14ac:dyDescent="0.15">
      <c r="A988" s="163" t="s">
        <v>210</v>
      </c>
      <c r="B988" s="163">
        <v>42303.681000636578</v>
      </c>
      <c r="C988" s="164" t="s">
        <v>1279</v>
      </c>
      <c r="D988" s="164" t="s">
        <v>13</v>
      </c>
      <c r="E988" s="165">
        <v>100</v>
      </c>
      <c r="F988" s="166">
        <v>0</v>
      </c>
      <c r="G988" s="227">
        <f>IF($B$2,IF(ROWS(B$6:$B988) = 1,$B988-Start_Date,$B988-$B987),"")</f>
        <v>1.6773032475612126E-3</v>
      </c>
      <c r="H988" s="29">
        <f>IF($B$2,IF(ROWS(B$6:$B988) = 1,IF(COUNTIFS(R_Schedule_Times,"&lt;"&amp;B988),INDEX(R_Schedule_Amounts,MATCH(B988,R_Schedule_Times,1)),Starting_Cash),IF(COUNTIFS(R_Schedule_Times,"&gt;"&amp;B987,R_Schedule_Times,"&lt;"&amp;B988),INDEX(R_Schedule_Amounts,MATCH(B988,R_Schedule_Times,1)),K987)),"")</f>
        <v>8280</v>
      </c>
      <c r="I988" s="30">
        <f t="shared" si="75"/>
        <v>100</v>
      </c>
      <c r="J988" s="31">
        <f t="shared" si="76"/>
        <v>0</v>
      </c>
      <c r="K988" s="29">
        <f t="shared" si="77"/>
        <v>8180</v>
      </c>
      <c r="L988" s="31" t="str">
        <f t="shared" si="78"/>
        <v/>
      </c>
      <c r="M988" s="31" t="str">
        <f t="shared" si="79"/>
        <v/>
      </c>
    </row>
    <row r="989" spans="1:13" x14ac:dyDescent="0.15">
      <c r="A989" s="163" t="s">
        <v>210</v>
      </c>
      <c r="B989" s="163">
        <v>42303.682191597225</v>
      </c>
      <c r="C989" s="164" t="s">
        <v>1280</v>
      </c>
      <c r="D989" s="164" t="s">
        <v>13</v>
      </c>
      <c r="E989" s="165">
        <v>100</v>
      </c>
      <c r="F989" s="166">
        <v>0</v>
      </c>
      <c r="G989" s="227">
        <f>IF($B$2,IF(ROWS(B$6:$B989) = 1,$B989-Start_Date,$B989-$B988),"")</f>
        <v>1.1909606473636813E-3</v>
      </c>
      <c r="H989" s="29">
        <f>IF($B$2,IF(ROWS(B$6:$B989) = 1,IF(COUNTIFS(R_Schedule_Times,"&lt;"&amp;B989),INDEX(R_Schedule_Amounts,MATCH(B989,R_Schedule_Times,1)),Starting_Cash),IF(COUNTIFS(R_Schedule_Times,"&gt;"&amp;B988,R_Schedule_Times,"&lt;"&amp;B989),INDEX(R_Schedule_Amounts,MATCH(B989,R_Schedule_Times,1)),K988)),"")</f>
        <v>8180</v>
      </c>
      <c r="I989" s="30">
        <f t="shared" si="75"/>
        <v>100</v>
      </c>
      <c r="J989" s="31">
        <f t="shared" si="76"/>
        <v>0</v>
      </c>
      <c r="K989" s="29">
        <f t="shared" si="77"/>
        <v>8080</v>
      </c>
      <c r="L989" s="31" t="str">
        <f t="shared" si="78"/>
        <v/>
      </c>
      <c r="M989" s="31" t="str">
        <f t="shared" si="79"/>
        <v/>
      </c>
    </row>
    <row r="990" spans="1:13" x14ac:dyDescent="0.15">
      <c r="A990" s="163" t="s">
        <v>210</v>
      </c>
      <c r="B990" s="163">
        <v>42303.686228310187</v>
      </c>
      <c r="C990" s="164" t="s">
        <v>1281</v>
      </c>
      <c r="D990" s="164" t="s">
        <v>13</v>
      </c>
      <c r="E990" s="165">
        <v>60</v>
      </c>
      <c r="F990" s="166">
        <v>0</v>
      </c>
      <c r="G990" s="227">
        <f>IF($B$2,IF(ROWS(B$6:$B990) = 1,$B990-Start_Date,$B990-$B989),"")</f>
        <v>4.0367129622609355E-3</v>
      </c>
      <c r="H990" s="29">
        <f>IF($B$2,IF(ROWS(B$6:$B990) = 1,IF(COUNTIFS(R_Schedule_Times,"&lt;"&amp;B990),INDEX(R_Schedule_Amounts,MATCH(B990,R_Schedule_Times,1)),Starting_Cash),IF(COUNTIFS(R_Schedule_Times,"&gt;"&amp;B989,R_Schedule_Times,"&lt;"&amp;B990),INDEX(R_Schedule_Amounts,MATCH(B990,R_Schedule_Times,1)),K989)),"")</f>
        <v>8080</v>
      </c>
      <c r="I990" s="30">
        <f t="shared" si="75"/>
        <v>60</v>
      </c>
      <c r="J990" s="31">
        <f t="shared" si="76"/>
        <v>0</v>
      </c>
      <c r="K990" s="29">
        <f t="shared" si="77"/>
        <v>8020</v>
      </c>
      <c r="L990" s="31" t="str">
        <f t="shared" si="78"/>
        <v/>
      </c>
      <c r="M990" s="31" t="str">
        <f t="shared" si="79"/>
        <v/>
      </c>
    </row>
    <row r="991" spans="1:13" x14ac:dyDescent="0.15">
      <c r="A991" s="163" t="s">
        <v>210</v>
      </c>
      <c r="B991" s="163">
        <v>42303.714559247688</v>
      </c>
      <c r="C991" s="164" t="s">
        <v>1282</v>
      </c>
      <c r="D991" s="164" t="s">
        <v>13</v>
      </c>
      <c r="E991" s="165">
        <v>40</v>
      </c>
      <c r="F991" s="166">
        <v>0</v>
      </c>
      <c r="G991" s="227">
        <f>IF($B$2,IF(ROWS(B$6:$B991) = 1,$B991-Start_Date,$B991-$B990),"")</f>
        <v>2.8330937500868458E-2</v>
      </c>
      <c r="H991" s="29">
        <f>IF($B$2,IF(ROWS(B$6:$B991) = 1,IF(COUNTIFS(R_Schedule_Times,"&lt;"&amp;B991),INDEX(R_Schedule_Amounts,MATCH(B991,R_Schedule_Times,1)),Starting_Cash),IF(COUNTIFS(R_Schedule_Times,"&gt;"&amp;B990,R_Schedule_Times,"&lt;"&amp;B991),INDEX(R_Schedule_Amounts,MATCH(B991,R_Schedule_Times,1)),K990)),"")</f>
        <v>8020</v>
      </c>
      <c r="I991" s="30">
        <f t="shared" si="75"/>
        <v>40</v>
      </c>
      <c r="J991" s="31">
        <f t="shared" si="76"/>
        <v>0</v>
      </c>
      <c r="K991" s="29">
        <f t="shared" si="77"/>
        <v>7980</v>
      </c>
      <c r="L991" s="31" t="str">
        <f t="shared" si="78"/>
        <v/>
      </c>
      <c r="M991" s="31" t="str">
        <f t="shared" si="79"/>
        <v/>
      </c>
    </row>
    <row r="992" spans="1:13" x14ac:dyDescent="0.15">
      <c r="A992" s="163" t="s">
        <v>210</v>
      </c>
      <c r="B992" s="163">
        <v>42303.73362071759</v>
      </c>
      <c r="C992" s="164" t="s">
        <v>1283</v>
      </c>
      <c r="D992" s="164" t="s">
        <v>13</v>
      </c>
      <c r="E992" s="165">
        <v>200</v>
      </c>
      <c r="F992" s="166">
        <v>0</v>
      </c>
      <c r="G992" s="227">
        <f>IF($B$2,IF(ROWS(B$6:$B992) = 1,$B992-Start_Date,$B992-$B991),"")</f>
        <v>1.9061469902226236E-2</v>
      </c>
      <c r="H992" s="29">
        <f>IF($B$2,IF(ROWS(B$6:$B992) = 1,IF(COUNTIFS(R_Schedule_Times,"&lt;"&amp;B992),INDEX(R_Schedule_Amounts,MATCH(B992,R_Schedule_Times,1)),Starting_Cash),IF(COUNTIFS(R_Schedule_Times,"&gt;"&amp;B991,R_Schedule_Times,"&lt;"&amp;B992),INDEX(R_Schedule_Amounts,MATCH(B992,R_Schedule_Times,1)),K991)),"")</f>
        <v>7980</v>
      </c>
      <c r="I992" s="30">
        <f t="shared" si="75"/>
        <v>200</v>
      </c>
      <c r="J992" s="31">
        <f t="shared" si="76"/>
        <v>0</v>
      </c>
      <c r="K992" s="29">
        <f t="shared" si="77"/>
        <v>7780</v>
      </c>
      <c r="L992" s="31" t="str">
        <f t="shared" si="78"/>
        <v/>
      </c>
      <c r="M992" s="31" t="str">
        <f t="shared" si="79"/>
        <v/>
      </c>
    </row>
    <row r="993" spans="1:13" x14ac:dyDescent="0.15">
      <c r="A993" s="163" t="s">
        <v>210</v>
      </c>
      <c r="B993" s="163">
        <v>42303.735364247688</v>
      </c>
      <c r="C993" s="164" t="s">
        <v>94</v>
      </c>
      <c r="D993" s="164" t="s">
        <v>13</v>
      </c>
      <c r="E993" s="165">
        <v>100</v>
      </c>
      <c r="F993" s="166">
        <v>0</v>
      </c>
      <c r="G993" s="227">
        <f>IF($B$2,IF(ROWS(B$6:$B993) = 1,$B993-Start_Date,$B993-$B992),"")</f>
        <v>1.7435300978831947E-3</v>
      </c>
      <c r="H993" s="29">
        <f>IF($B$2,IF(ROWS(B$6:$B993) = 1,IF(COUNTIFS(R_Schedule_Times,"&lt;"&amp;B993),INDEX(R_Schedule_Amounts,MATCH(B993,R_Schedule_Times,1)),Starting_Cash),IF(COUNTIFS(R_Schedule_Times,"&gt;"&amp;B992,R_Schedule_Times,"&lt;"&amp;B993),INDEX(R_Schedule_Amounts,MATCH(B993,R_Schedule_Times,1)),K992)),"")</f>
        <v>7780</v>
      </c>
      <c r="I993" s="30">
        <f t="shared" si="75"/>
        <v>100</v>
      </c>
      <c r="J993" s="31">
        <f t="shared" si="76"/>
        <v>0</v>
      </c>
      <c r="K993" s="29">
        <f t="shared" si="77"/>
        <v>7680</v>
      </c>
      <c r="L993" s="31" t="str">
        <f t="shared" si="78"/>
        <v/>
      </c>
      <c r="M993" s="31" t="str">
        <f t="shared" si="79"/>
        <v/>
      </c>
    </row>
    <row r="994" spans="1:13" x14ac:dyDescent="0.15">
      <c r="A994" s="163" t="s">
        <v>210</v>
      </c>
      <c r="B994" s="163">
        <v>42303.736206030095</v>
      </c>
      <c r="C994" s="164" t="s">
        <v>1284</v>
      </c>
      <c r="D994" s="164" t="s">
        <v>13</v>
      </c>
      <c r="E994" s="165">
        <v>40</v>
      </c>
      <c r="F994" s="166">
        <v>0</v>
      </c>
      <c r="G994" s="227">
        <f>IF($B$2,IF(ROWS(B$6:$B994) = 1,$B994-Start_Date,$B994-$B993),"")</f>
        <v>8.4178240649634972E-4</v>
      </c>
      <c r="H994" s="29">
        <f>IF($B$2,IF(ROWS(B$6:$B994) = 1,IF(COUNTIFS(R_Schedule_Times,"&lt;"&amp;B994),INDEX(R_Schedule_Amounts,MATCH(B994,R_Schedule_Times,1)),Starting_Cash),IF(COUNTIFS(R_Schedule_Times,"&gt;"&amp;B993,R_Schedule_Times,"&lt;"&amp;B994),INDEX(R_Schedule_Amounts,MATCH(B994,R_Schedule_Times,1)),K993)),"")</f>
        <v>7680</v>
      </c>
      <c r="I994" s="30">
        <f t="shared" si="75"/>
        <v>40</v>
      </c>
      <c r="J994" s="31">
        <f t="shared" si="76"/>
        <v>0</v>
      </c>
      <c r="K994" s="29">
        <f t="shared" si="77"/>
        <v>7640</v>
      </c>
      <c r="L994" s="31" t="str">
        <f t="shared" si="78"/>
        <v/>
      </c>
      <c r="M994" s="31" t="str">
        <f t="shared" si="79"/>
        <v/>
      </c>
    </row>
    <row r="995" spans="1:13" x14ac:dyDescent="0.15">
      <c r="A995" s="163" t="s">
        <v>210</v>
      </c>
      <c r="B995" s="163">
        <v>42303.739000601854</v>
      </c>
      <c r="C995" s="164" t="s">
        <v>696</v>
      </c>
      <c r="D995" s="164" t="s">
        <v>13</v>
      </c>
      <c r="E995" s="165">
        <v>40</v>
      </c>
      <c r="F995" s="166">
        <v>0</v>
      </c>
      <c r="G995" s="227">
        <f>IF($B$2,IF(ROWS(B$6:$B995) = 1,$B995-Start_Date,$B995-$B994),"")</f>
        <v>2.7945717592956498E-3</v>
      </c>
      <c r="H995" s="29">
        <f>IF($B$2,IF(ROWS(B$6:$B995) = 1,IF(COUNTIFS(R_Schedule_Times,"&lt;"&amp;B995),INDEX(R_Schedule_Amounts,MATCH(B995,R_Schedule_Times,1)),Starting_Cash),IF(COUNTIFS(R_Schedule_Times,"&gt;"&amp;B994,R_Schedule_Times,"&lt;"&amp;B995),INDEX(R_Schedule_Amounts,MATCH(B995,R_Schedule_Times,1)),K994)),"")</f>
        <v>7640</v>
      </c>
      <c r="I995" s="30">
        <f t="shared" si="75"/>
        <v>40</v>
      </c>
      <c r="J995" s="31">
        <f t="shared" si="76"/>
        <v>0</v>
      </c>
      <c r="K995" s="29">
        <f t="shared" si="77"/>
        <v>7600</v>
      </c>
      <c r="L995" s="31" t="str">
        <f t="shared" si="78"/>
        <v/>
      </c>
      <c r="M995" s="31" t="str">
        <f t="shared" si="79"/>
        <v/>
      </c>
    </row>
    <row r="996" spans="1:13" x14ac:dyDescent="0.15">
      <c r="A996" s="163" t="s">
        <v>210</v>
      </c>
      <c r="B996" s="163">
        <v>42303.74941246528</v>
      </c>
      <c r="C996" s="164" t="s">
        <v>1126</v>
      </c>
      <c r="D996" s="164" t="s">
        <v>13</v>
      </c>
      <c r="E996" s="165">
        <v>80</v>
      </c>
      <c r="F996" s="166">
        <v>0</v>
      </c>
      <c r="G996" s="227">
        <f>IF($B$2,IF(ROWS(B$6:$B996) = 1,$B996-Start_Date,$B996-$B995),"")</f>
        <v>1.0411863426270429E-2</v>
      </c>
      <c r="H996" s="29">
        <f>IF($B$2,IF(ROWS(B$6:$B996) = 1,IF(COUNTIFS(R_Schedule_Times,"&lt;"&amp;B996),INDEX(R_Schedule_Amounts,MATCH(B996,R_Schedule_Times,1)),Starting_Cash),IF(COUNTIFS(R_Schedule_Times,"&gt;"&amp;B995,R_Schedule_Times,"&lt;"&amp;B996),INDEX(R_Schedule_Amounts,MATCH(B996,R_Schedule_Times,1)),K995)),"")</f>
        <v>7600</v>
      </c>
      <c r="I996" s="30">
        <f t="shared" si="75"/>
        <v>80</v>
      </c>
      <c r="J996" s="31">
        <f t="shared" si="76"/>
        <v>0</v>
      </c>
      <c r="K996" s="29">
        <f t="shared" si="77"/>
        <v>7520</v>
      </c>
      <c r="L996" s="31" t="str">
        <f t="shared" si="78"/>
        <v/>
      </c>
      <c r="M996" s="31" t="str">
        <f t="shared" si="79"/>
        <v/>
      </c>
    </row>
    <row r="997" spans="1:13" x14ac:dyDescent="0.15">
      <c r="A997" s="163" t="s">
        <v>210</v>
      </c>
      <c r="B997" s="163">
        <v>42303.765461608797</v>
      </c>
      <c r="C997" s="164" t="s">
        <v>380</v>
      </c>
      <c r="D997" s="164" t="s">
        <v>13</v>
      </c>
      <c r="E997" s="165">
        <v>100</v>
      </c>
      <c r="F997" s="166">
        <v>0</v>
      </c>
      <c r="G997" s="227">
        <f>IF($B$2,IF(ROWS(B$6:$B997) = 1,$B997-Start_Date,$B997-$B996),"")</f>
        <v>1.6049143516283948E-2</v>
      </c>
      <c r="H997" s="29">
        <f>IF($B$2,IF(ROWS(B$6:$B997) = 1,IF(COUNTIFS(R_Schedule_Times,"&lt;"&amp;B997),INDEX(R_Schedule_Amounts,MATCH(B997,R_Schedule_Times,1)),Starting_Cash),IF(COUNTIFS(R_Schedule_Times,"&gt;"&amp;B996,R_Schedule_Times,"&lt;"&amp;B997),INDEX(R_Schedule_Amounts,MATCH(B997,R_Schedule_Times,1)),K996)),"")</f>
        <v>7520</v>
      </c>
      <c r="I997" s="30">
        <f t="shared" si="75"/>
        <v>100</v>
      </c>
      <c r="J997" s="31">
        <f t="shared" si="76"/>
        <v>0</v>
      </c>
      <c r="K997" s="29">
        <f t="shared" si="77"/>
        <v>7420</v>
      </c>
      <c r="L997" s="31" t="str">
        <f t="shared" si="78"/>
        <v/>
      </c>
      <c r="M997" s="31" t="str">
        <f t="shared" si="79"/>
        <v/>
      </c>
    </row>
    <row r="998" spans="1:13" x14ac:dyDescent="0.15">
      <c r="A998" s="163" t="s">
        <v>210</v>
      </c>
      <c r="B998" s="163">
        <v>42303.768006550927</v>
      </c>
      <c r="C998" s="164" t="s">
        <v>1285</v>
      </c>
      <c r="D998" s="164" t="s">
        <v>13</v>
      </c>
      <c r="E998" s="165">
        <v>80</v>
      </c>
      <c r="F998" s="166">
        <v>0</v>
      </c>
      <c r="G998" s="227">
        <f>IF($B$2,IF(ROWS(B$6:$B998) = 1,$B998-Start_Date,$B998-$B997),"")</f>
        <v>2.544942130043637E-3</v>
      </c>
      <c r="H998" s="29">
        <f>IF($B$2,IF(ROWS(B$6:$B998) = 1,IF(COUNTIFS(R_Schedule_Times,"&lt;"&amp;B998),INDEX(R_Schedule_Amounts,MATCH(B998,R_Schedule_Times,1)),Starting_Cash),IF(COUNTIFS(R_Schedule_Times,"&gt;"&amp;B997,R_Schedule_Times,"&lt;"&amp;B998),INDEX(R_Schedule_Amounts,MATCH(B998,R_Schedule_Times,1)),K997)),"")</f>
        <v>7420</v>
      </c>
      <c r="I998" s="30">
        <f t="shared" si="75"/>
        <v>80</v>
      </c>
      <c r="J998" s="31">
        <f t="shared" si="76"/>
        <v>0</v>
      </c>
      <c r="K998" s="29">
        <f t="shared" si="77"/>
        <v>7340</v>
      </c>
      <c r="L998" s="31" t="str">
        <f t="shared" si="78"/>
        <v/>
      </c>
      <c r="M998" s="31" t="str">
        <f t="shared" si="79"/>
        <v/>
      </c>
    </row>
    <row r="999" spans="1:13" x14ac:dyDescent="0.15">
      <c r="A999" s="163" t="s">
        <v>210</v>
      </c>
      <c r="B999" s="163">
        <v>42303.772742719906</v>
      </c>
      <c r="C999" s="164" t="s">
        <v>711</v>
      </c>
      <c r="D999" s="164" t="s">
        <v>13</v>
      </c>
      <c r="E999" s="165">
        <v>100</v>
      </c>
      <c r="F999" s="166">
        <v>0</v>
      </c>
      <c r="G999" s="227">
        <f>IF($B$2,IF(ROWS(B$6:$B999) = 1,$B999-Start_Date,$B999-$B998),"")</f>
        <v>4.7361689794342965E-3</v>
      </c>
      <c r="H999" s="29">
        <f>IF($B$2,IF(ROWS(B$6:$B999) = 1,IF(COUNTIFS(R_Schedule_Times,"&lt;"&amp;B999),INDEX(R_Schedule_Amounts,MATCH(B999,R_Schedule_Times,1)),Starting_Cash),IF(COUNTIFS(R_Schedule_Times,"&gt;"&amp;B998,R_Schedule_Times,"&lt;"&amp;B999),INDEX(R_Schedule_Amounts,MATCH(B999,R_Schedule_Times,1)),K998)),"")</f>
        <v>7340</v>
      </c>
      <c r="I999" s="30">
        <f t="shared" si="75"/>
        <v>100</v>
      </c>
      <c r="J999" s="31">
        <f t="shared" si="76"/>
        <v>0</v>
      </c>
      <c r="K999" s="29">
        <f t="shared" si="77"/>
        <v>7240</v>
      </c>
      <c r="L999" s="31" t="str">
        <f t="shared" si="78"/>
        <v/>
      </c>
      <c r="M999" s="31" t="str">
        <f t="shared" si="79"/>
        <v/>
      </c>
    </row>
    <row r="1000" spans="1:13" x14ac:dyDescent="0.15">
      <c r="A1000" s="163" t="s">
        <v>210</v>
      </c>
      <c r="B1000" s="163">
        <v>42303.780128900464</v>
      </c>
      <c r="C1000" s="164" t="s">
        <v>796</v>
      </c>
      <c r="D1000" s="164" t="s">
        <v>13</v>
      </c>
      <c r="E1000" s="165">
        <v>100</v>
      </c>
      <c r="F1000" s="166">
        <v>0</v>
      </c>
      <c r="G1000" s="227">
        <f>IF($B$2,IF(ROWS(B$6:$B1000) = 1,$B1000-Start_Date,$B1000-$B999),"")</f>
        <v>7.3861805576598272E-3</v>
      </c>
      <c r="H1000" s="29">
        <f>IF($B$2,IF(ROWS(B$6:$B1000) = 1,IF(COUNTIFS(R_Schedule_Times,"&lt;"&amp;B1000),INDEX(R_Schedule_Amounts,MATCH(B1000,R_Schedule_Times,1)),Starting_Cash),IF(COUNTIFS(R_Schedule_Times,"&gt;"&amp;B999,R_Schedule_Times,"&lt;"&amp;B1000),INDEX(R_Schedule_Amounts,MATCH(B1000,R_Schedule_Times,1)),K999)),"")</f>
        <v>7240</v>
      </c>
      <c r="I1000" s="30">
        <f t="shared" si="75"/>
        <v>100</v>
      </c>
      <c r="J1000" s="31">
        <f t="shared" si="76"/>
        <v>0</v>
      </c>
      <c r="K1000" s="29">
        <f t="shared" si="77"/>
        <v>7140</v>
      </c>
      <c r="L1000" s="31" t="str">
        <f t="shared" si="78"/>
        <v/>
      </c>
      <c r="M1000" s="31" t="str">
        <f t="shared" si="79"/>
        <v/>
      </c>
    </row>
    <row r="1001" spans="1:13" x14ac:dyDescent="0.15">
      <c r="A1001" s="163" t="s">
        <v>210</v>
      </c>
      <c r="B1001" s="163">
        <v>42303.789972627317</v>
      </c>
      <c r="C1001" s="164" t="s">
        <v>1286</v>
      </c>
      <c r="D1001" s="164" t="s">
        <v>13</v>
      </c>
      <c r="E1001" s="165">
        <v>100</v>
      </c>
      <c r="F1001" s="166">
        <v>0</v>
      </c>
      <c r="G1001" s="227">
        <f>IF($B$2,IF(ROWS(B$6:$B1001) = 1,$B1001-Start_Date,$B1001-$B1000),"")</f>
        <v>9.8437268534325995E-3</v>
      </c>
      <c r="H1001" s="29">
        <f>IF($B$2,IF(ROWS(B$6:$B1001) = 1,IF(COUNTIFS(R_Schedule_Times,"&lt;"&amp;B1001),INDEX(R_Schedule_Amounts,MATCH(B1001,R_Schedule_Times,1)),Starting_Cash),IF(COUNTIFS(R_Schedule_Times,"&gt;"&amp;B1000,R_Schedule_Times,"&lt;"&amp;B1001),INDEX(R_Schedule_Amounts,MATCH(B1001,R_Schedule_Times,1)),K1000)),"")</f>
        <v>7140</v>
      </c>
      <c r="I1001" s="30">
        <f t="shared" si="75"/>
        <v>100</v>
      </c>
      <c r="J1001" s="31">
        <f t="shared" si="76"/>
        <v>0</v>
      </c>
      <c r="K1001" s="29">
        <f t="shared" si="77"/>
        <v>7040</v>
      </c>
      <c r="L1001" s="31" t="str">
        <f t="shared" si="78"/>
        <v/>
      </c>
      <c r="M1001" s="31" t="str">
        <f t="shared" si="79"/>
        <v/>
      </c>
    </row>
    <row r="1002" spans="1:13" x14ac:dyDescent="0.15">
      <c r="A1002" s="163" t="s">
        <v>210</v>
      </c>
      <c r="B1002" s="163">
        <v>42303.85558732639</v>
      </c>
      <c r="C1002" s="164" t="s">
        <v>1287</v>
      </c>
      <c r="D1002" s="164" t="s">
        <v>13</v>
      </c>
      <c r="E1002" s="165">
        <v>120</v>
      </c>
      <c r="F1002" s="166">
        <v>0</v>
      </c>
      <c r="G1002" s="227">
        <f>IF($B$2,IF(ROWS(B$6:$B1002) = 1,$B1002-Start_Date,$B1002-$B1001),"")</f>
        <v>6.561469907319406E-2</v>
      </c>
      <c r="H1002" s="29">
        <f>IF($B$2,IF(ROWS(B$6:$B1002) = 1,IF(COUNTIFS(R_Schedule_Times,"&lt;"&amp;B1002),INDEX(R_Schedule_Amounts,MATCH(B1002,R_Schedule_Times,1)),Starting_Cash),IF(COUNTIFS(R_Schedule_Times,"&gt;"&amp;B1001,R_Schedule_Times,"&lt;"&amp;B1002),INDEX(R_Schedule_Amounts,MATCH(B1002,R_Schedule_Times,1)),K1001)),"")</f>
        <v>7040</v>
      </c>
      <c r="I1002" s="30">
        <f t="shared" si="75"/>
        <v>120</v>
      </c>
      <c r="J1002" s="31">
        <f t="shared" si="76"/>
        <v>0</v>
      </c>
      <c r="K1002" s="29">
        <f t="shared" si="77"/>
        <v>6920</v>
      </c>
      <c r="L1002" s="31" t="str">
        <f t="shared" si="78"/>
        <v/>
      </c>
      <c r="M1002" s="31" t="str">
        <f t="shared" si="79"/>
        <v/>
      </c>
    </row>
    <row r="1003" spans="1:13" x14ac:dyDescent="0.15">
      <c r="A1003" s="163" t="s">
        <v>210</v>
      </c>
      <c r="B1003" s="163">
        <v>42304.302223564817</v>
      </c>
      <c r="C1003" s="164" t="s">
        <v>1288</v>
      </c>
      <c r="D1003" s="164" t="s">
        <v>13</v>
      </c>
      <c r="E1003" s="165">
        <v>100</v>
      </c>
      <c r="F1003" s="166">
        <v>0</v>
      </c>
      <c r="G1003" s="227">
        <f>IF($B$2,IF(ROWS(B$6:$B1003) = 1,$B1003-Start_Date,$B1003-$B1002),"")</f>
        <v>0.44663623842643574</v>
      </c>
      <c r="H1003" s="29">
        <f>IF($B$2,IF(ROWS(B$6:$B1003) = 1,IF(COUNTIFS(R_Schedule_Times,"&lt;"&amp;B1003),INDEX(R_Schedule_Amounts,MATCH(B1003,R_Schedule_Times,1)),Starting_Cash),IF(COUNTIFS(R_Schedule_Times,"&gt;"&amp;B1002,R_Schedule_Times,"&lt;"&amp;B1003),INDEX(R_Schedule_Amounts,MATCH(B1003,R_Schedule_Times,1)),K1002)),"")</f>
        <v>6920</v>
      </c>
      <c r="I1003" s="30">
        <f t="shared" si="75"/>
        <v>100</v>
      </c>
      <c r="J1003" s="31">
        <f t="shared" si="76"/>
        <v>0</v>
      </c>
      <c r="K1003" s="29">
        <f t="shared" si="77"/>
        <v>6820</v>
      </c>
      <c r="L1003" s="31" t="str">
        <f t="shared" si="78"/>
        <v/>
      </c>
      <c r="M1003" s="31" t="str">
        <f t="shared" si="79"/>
        <v/>
      </c>
    </row>
    <row r="1004" spans="1:13" x14ac:dyDescent="0.15">
      <c r="A1004" s="163" t="s">
        <v>210</v>
      </c>
      <c r="B1004" s="163">
        <v>42304.306078553243</v>
      </c>
      <c r="C1004" s="164" t="s">
        <v>1289</v>
      </c>
      <c r="D1004" s="164" t="s">
        <v>13</v>
      </c>
      <c r="E1004" s="165">
        <v>80</v>
      </c>
      <c r="F1004" s="166">
        <v>0</v>
      </c>
      <c r="G1004" s="227">
        <f>IF($B$2,IF(ROWS(B$6:$B1004) = 1,$B1004-Start_Date,$B1004-$B1003),"")</f>
        <v>3.8549884266103618E-3</v>
      </c>
      <c r="H1004" s="29">
        <f>IF($B$2,IF(ROWS(B$6:$B1004) = 1,IF(COUNTIFS(R_Schedule_Times,"&lt;"&amp;B1004),INDEX(R_Schedule_Amounts,MATCH(B1004,R_Schedule_Times,1)),Starting_Cash),IF(COUNTIFS(R_Schedule_Times,"&gt;"&amp;B1003,R_Schedule_Times,"&lt;"&amp;B1004),INDEX(R_Schedule_Amounts,MATCH(B1004,R_Schedule_Times,1)),K1003)),"")</f>
        <v>6820</v>
      </c>
      <c r="I1004" s="30">
        <f t="shared" si="75"/>
        <v>80</v>
      </c>
      <c r="J1004" s="31">
        <f t="shared" si="76"/>
        <v>0</v>
      </c>
      <c r="K1004" s="29">
        <f t="shared" si="77"/>
        <v>6740</v>
      </c>
      <c r="L1004" s="31" t="str">
        <f t="shared" si="78"/>
        <v/>
      </c>
      <c r="M1004" s="31" t="str">
        <f t="shared" si="79"/>
        <v/>
      </c>
    </row>
    <row r="1005" spans="1:13" x14ac:dyDescent="0.15">
      <c r="A1005" s="163" t="s">
        <v>210</v>
      </c>
      <c r="B1005" s="163">
        <v>42304.309361979169</v>
      </c>
      <c r="C1005" s="164" t="s">
        <v>1290</v>
      </c>
      <c r="D1005" s="164" t="s">
        <v>13</v>
      </c>
      <c r="E1005" s="165">
        <v>200</v>
      </c>
      <c r="F1005" s="166">
        <v>0</v>
      </c>
      <c r="G1005" s="227">
        <f>IF($B$2,IF(ROWS(B$6:$B1005) = 1,$B1005-Start_Date,$B1005-$B1004),"")</f>
        <v>3.2834259254741482E-3</v>
      </c>
      <c r="H1005" s="29">
        <f>IF($B$2,IF(ROWS(B$6:$B1005) = 1,IF(COUNTIFS(R_Schedule_Times,"&lt;"&amp;B1005),INDEX(R_Schedule_Amounts,MATCH(B1005,R_Schedule_Times,1)),Starting_Cash),IF(COUNTIFS(R_Schedule_Times,"&gt;"&amp;B1004,R_Schedule_Times,"&lt;"&amp;B1005),INDEX(R_Schedule_Amounts,MATCH(B1005,R_Schedule_Times,1)),K1004)),"")</f>
        <v>6740</v>
      </c>
      <c r="I1005" s="30">
        <f t="shared" si="75"/>
        <v>200</v>
      </c>
      <c r="J1005" s="31">
        <f t="shared" si="76"/>
        <v>0</v>
      </c>
      <c r="K1005" s="29">
        <f t="shared" si="77"/>
        <v>6540</v>
      </c>
      <c r="L1005" s="31" t="str">
        <f t="shared" si="78"/>
        <v/>
      </c>
      <c r="M1005" s="31" t="str">
        <f t="shared" si="79"/>
        <v/>
      </c>
    </row>
    <row r="1006" spans="1:13" x14ac:dyDescent="0.15">
      <c r="A1006" s="163" t="s">
        <v>210</v>
      </c>
      <c r="B1006" s="163">
        <v>42304.339996678238</v>
      </c>
      <c r="C1006" s="164" t="s">
        <v>1291</v>
      </c>
      <c r="D1006" s="164" t="s">
        <v>13</v>
      </c>
      <c r="E1006" s="165">
        <v>60</v>
      </c>
      <c r="F1006" s="166">
        <v>0</v>
      </c>
      <c r="G1006" s="227">
        <f>IF($B$2,IF(ROWS(B$6:$B1006) = 1,$B1006-Start_Date,$B1006-$B1005),"")</f>
        <v>3.0634699069196358E-2</v>
      </c>
      <c r="H1006" s="29">
        <f>IF($B$2,IF(ROWS(B$6:$B1006) = 1,IF(COUNTIFS(R_Schedule_Times,"&lt;"&amp;B1006),INDEX(R_Schedule_Amounts,MATCH(B1006,R_Schedule_Times,1)),Starting_Cash),IF(COUNTIFS(R_Schedule_Times,"&gt;"&amp;B1005,R_Schedule_Times,"&lt;"&amp;B1006),INDEX(R_Schedule_Amounts,MATCH(B1006,R_Schedule_Times,1)),K1005)),"")</f>
        <v>6540</v>
      </c>
      <c r="I1006" s="30">
        <f t="shared" si="75"/>
        <v>60</v>
      </c>
      <c r="J1006" s="31">
        <f t="shared" si="76"/>
        <v>0</v>
      </c>
      <c r="K1006" s="29">
        <f t="shared" si="77"/>
        <v>6480</v>
      </c>
      <c r="L1006" s="31" t="str">
        <f t="shared" si="78"/>
        <v/>
      </c>
      <c r="M1006" s="31" t="str">
        <f t="shared" si="79"/>
        <v/>
      </c>
    </row>
    <row r="1007" spans="1:13" x14ac:dyDescent="0.15">
      <c r="A1007" s="163" t="s">
        <v>210</v>
      </c>
      <c r="B1007" s="163">
        <v>42304.369599490739</v>
      </c>
      <c r="C1007" s="164" t="s">
        <v>14</v>
      </c>
      <c r="D1007" s="164" t="s">
        <v>13</v>
      </c>
      <c r="E1007" s="165">
        <v>100</v>
      </c>
      <c r="F1007" s="166">
        <v>3.5</v>
      </c>
      <c r="G1007" s="227">
        <f>IF($B$2,IF(ROWS(B$6:$B1007) = 1,$B1007-Start_Date,$B1007-$B1006),"")</f>
        <v>2.9602812501252629E-2</v>
      </c>
      <c r="H1007" s="29">
        <f>IF($B$2,IF(ROWS(B$6:$B1007) = 1,IF(COUNTIFS(R_Schedule_Times,"&lt;"&amp;B1007),INDEX(R_Schedule_Amounts,MATCH(B1007,R_Schedule_Times,1)),Starting_Cash),IF(COUNTIFS(R_Schedule_Times,"&gt;"&amp;B1006,R_Schedule_Times,"&lt;"&amp;B1007),INDEX(R_Schedule_Amounts,MATCH(B1007,R_Schedule_Times,1)),K1006)),"")</f>
        <v>6480</v>
      </c>
      <c r="I1007" s="30">
        <f t="shared" si="75"/>
        <v>100</v>
      </c>
      <c r="J1007" s="31">
        <f t="shared" si="76"/>
        <v>3.5</v>
      </c>
      <c r="K1007" s="29">
        <f t="shared" si="77"/>
        <v>6380</v>
      </c>
      <c r="L1007" s="31" t="str">
        <f t="shared" si="78"/>
        <v/>
      </c>
      <c r="M1007" s="31" t="str">
        <f t="shared" si="79"/>
        <v/>
      </c>
    </row>
    <row r="1008" spans="1:13" x14ac:dyDescent="0.15">
      <c r="A1008" s="163" t="s">
        <v>210</v>
      </c>
      <c r="B1008" s="163">
        <v>42304.399962118056</v>
      </c>
      <c r="C1008" s="164" t="s">
        <v>1292</v>
      </c>
      <c r="D1008" s="164" t="s">
        <v>13</v>
      </c>
      <c r="E1008" s="165">
        <v>100</v>
      </c>
      <c r="F1008" s="166">
        <v>0</v>
      </c>
      <c r="G1008" s="227">
        <f>IF($B$2,IF(ROWS(B$6:$B1008) = 1,$B1008-Start_Date,$B1008-$B1007),"")</f>
        <v>3.0362627316208091E-2</v>
      </c>
      <c r="H1008" s="29">
        <f>IF($B$2,IF(ROWS(B$6:$B1008) = 1,IF(COUNTIFS(R_Schedule_Times,"&lt;"&amp;B1008),INDEX(R_Schedule_Amounts,MATCH(B1008,R_Schedule_Times,1)),Starting_Cash),IF(COUNTIFS(R_Schedule_Times,"&gt;"&amp;B1007,R_Schedule_Times,"&lt;"&amp;B1008),INDEX(R_Schedule_Amounts,MATCH(B1008,R_Schedule_Times,1)),K1007)),"")</f>
        <v>6380</v>
      </c>
      <c r="I1008" s="30">
        <f t="shared" si="75"/>
        <v>100</v>
      </c>
      <c r="J1008" s="31">
        <f t="shared" si="76"/>
        <v>0</v>
      </c>
      <c r="K1008" s="29">
        <f t="shared" si="77"/>
        <v>6280</v>
      </c>
      <c r="L1008" s="31" t="str">
        <f t="shared" si="78"/>
        <v/>
      </c>
      <c r="M1008" s="31" t="str">
        <f t="shared" si="79"/>
        <v/>
      </c>
    </row>
    <row r="1009" spans="1:13" x14ac:dyDescent="0.15">
      <c r="A1009" s="163" t="s">
        <v>210</v>
      </c>
      <c r="B1009" s="163">
        <v>42304.402376481485</v>
      </c>
      <c r="C1009" s="164" t="s">
        <v>1293</v>
      </c>
      <c r="D1009" s="164" t="s">
        <v>13</v>
      </c>
      <c r="E1009" s="165">
        <v>40</v>
      </c>
      <c r="F1009" s="166">
        <v>0</v>
      </c>
      <c r="G1009" s="227">
        <f>IF($B$2,IF(ROWS(B$6:$B1009) = 1,$B1009-Start_Date,$B1009-$B1008),"")</f>
        <v>2.4143634291249327E-3</v>
      </c>
      <c r="H1009" s="29">
        <f>IF($B$2,IF(ROWS(B$6:$B1009) = 1,IF(COUNTIFS(R_Schedule_Times,"&lt;"&amp;B1009),INDEX(R_Schedule_Amounts,MATCH(B1009,R_Schedule_Times,1)),Starting_Cash),IF(COUNTIFS(R_Schedule_Times,"&gt;"&amp;B1008,R_Schedule_Times,"&lt;"&amp;B1009),INDEX(R_Schedule_Amounts,MATCH(B1009,R_Schedule_Times,1)),K1008)),"")</f>
        <v>6280</v>
      </c>
      <c r="I1009" s="30">
        <f t="shared" si="75"/>
        <v>40</v>
      </c>
      <c r="J1009" s="31">
        <f t="shared" si="76"/>
        <v>0</v>
      </c>
      <c r="K1009" s="29">
        <f t="shared" si="77"/>
        <v>6240</v>
      </c>
      <c r="L1009" s="31" t="str">
        <f t="shared" si="78"/>
        <v/>
      </c>
      <c r="M1009" s="31" t="str">
        <f t="shared" si="79"/>
        <v/>
      </c>
    </row>
    <row r="1010" spans="1:13" x14ac:dyDescent="0.15">
      <c r="A1010" s="163" t="s">
        <v>210</v>
      </c>
      <c r="B1010" s="163">
        <v>42304.407956597221</v>
      </c>
      <c r="C1010" s="164" t="s">
        <v>1294</v>
      </c>
      <c r="D1010" s="164" t="s">
        <v>15</v>
      </c>
      <c r="E1010" s="165">
        <v>40</v>
      </c>
      <c r="F1010" s="166">
        <v>1.2</v>
      </c>
      <c r="G1010" s="227">
        <f>IF($B$2,IF(ROWS(B$6:$B1010) = 1,$B1010-Start_Date,$B1010-$B1009),"")</f>
        <v>5.5801157359383069E-3</v>
      </c>
      <c r="H1010" s="29">
        <f>IF($B$2,IF(ROWS(B$6:$B1010) = 1,IF(COUNTIFS(R_Schedule_Times,"&lt;"&amp;B1010),INDEX(R_Schedule_Amounts,MATCH(B1010,R_Schedule_Times,1)),Starting_Cash),IF(COUNTIFS(R_Schedule_Times,"&gt;"&amp;B1009,R_Schedule_Times,"&lt;"&amp;B1010),INDEX(R_Schedule_Amounts,MATCH(B1010,R_Schedule_Times,1)),K1009)),"")</f>
        <v>6240</v>
      </c>
      <c r="I1010" s="30">
        <f t="shared" si="75"/>
        <v>40</v>
      </c>
      <c r="J1010" s="31">
        <f t="shared" si="76"/>
        <v>1.2</v>
      </c>
      <c r="K1010" s="29">
        <f t="shared" si="77"/>
        <v>6200</v>
      </c>
      <c r="L1010" s="31" t="str">
        <f t="shared" si="78"/>
        <v/>
      </c>
      <c r="M1010" s="31" t="str">
        <f t="shared" si="79"/>
        <v/>
      </c>
    </row>
    <row r="1011" spans="1:13" x14ac:dyDescent="0.15">
      <c r="A1011" s="163" t="s">
        <v>210</v>
      </c>
      <c r="B1011" s="163">
        <v>42304.408841365737</v>
      </c>
      <c r="C1011" s="164" t="s">
        <v>1295</v>
      </c>
      <c r="D1011" s="164" t="s">
        <v>13</v>
      </c>
      <c r="E1011" s="165">
        <v>40</v>
      </c>
      <c r="F1011" s="166">
        <v>0</v>
      </c>
      <c r="G1011" s="227">
        <f>IF($B$2,IF(ROWS(B$6:$B1011) = 1,$B1011-Start_Date,$B1011-$B1010),"")</f>
        <v>8.8476851669838652E-4</v>
      </c>
      <c r="H1011" s="29">
        <f>IF($B$2,IF(ROWS(B$6:$B1011) = 1,IF(COUNTIFS(R_Schedule_Times,"&lt;"&amp;B1011),INDEX(R_Schedule_Amounts,MATCH(B1011,R_Schedule_Times,1)),Starting_Cash),IF(COUNTIFS(R_Schedule_Times,"&gt;"&amp;B1010,R_Schedule_Times,"&lt;"&amp;B1011),INDEX(R_Schedule_Amounts,MATCH(B1011,R_Schedule_Times,1)),K1010)),"")</f>
        <v>6200</v>
      </c>
      <c r="I1011" s="30">
        <f t="shared" si="75"/>
        <v>40</v>
      </c>
      <c r="J1011" s="31">
        <f t="shared" si="76"/>
        <v>0</v>
      </c>
      <c r="K1011" s="29">
        <f t="shared" si="77"/>
        <v>6160</v>
      </c>
      <c r="L1011" s="31" t="str">
        <f t="shared" si="78"/>
        <v/>
      </c>
      <c r="M1011" s="31" t="str">
        <f t="shared" si="79"/>
        <v/>
      </c>
    </row>
    <row r="1012" spans="1:13" x14ac:dyDescent="0.15">
      <c r="A1012" s="163" t="s">
        <v>210</v>
      </c>
      <c r="B1012" s="163">
        <v>42304.444483333333</v>
      </c>
      <c r="C1012" s="164" t="s">
        <v>1296</v>
      </c>
      <c r="D1012" s="164" t="s">
        <v>13</v>
      </c>
      <c r="E1012" s="165">
        <v>100</v>
      </c>
      <c r="F1012" s="166">
        <v>0</v>
      </c>
      <c r="G1012" s="227">
        <f>IF($B$2,IF(ROWS(B$6:$B1012) = 1,$B1012-Start_Date,$B1012-$B1011),"")</f>
        <v>3.5641967595438473E-2</v>
      </c>
      <c r="H1012" s="29">
        <f>IF($B$2,IF(ROWS(B$6:$B1012) = 1,IF(COUNTIFS(R_Schedule_Times,"&lt;"&amp;B1012),INDEX(R_Schedule_Amounts,MATCH(B1012,R_Schedule_Times,1)),Starting_Cash),IF(COUNTIFS(R_Schedule_Times,"&gt;"&amp;B1011,R_Schedule_Times,"&lt;"&amp;B1012),INDEX(R_Schedule_Amounts,MATCH(B1012,R_Schedule_Times,1)),K1011)),"")</f>
        <v>6160</v>
      </c>
      <c r="I1012" s="30">
        <f t="shared" si="75"/>
        <v>100</v>
      </c>
      <c r="J1012" s="31">
        <f t="shared" si="76"/>
        <v>0</v>
      </c>
      <c r="K1012" s="29">
        <f t="shared" si="77"/>
        <v>6060</v>
      </c>
      <c r="L1012" s="31" t="str">
        <f t="shared" si="78"/>
        <v/>
      </c>
      <c r="M1012" s="31" t="str">
        <f t="shared" si="79"/>
        <v/>
      </c>
    </row>
    <row r="1013" spans="1:13" x14ac:dyDescent="0.15">
      <c r="A1013" s="163" t="s">
        <v>210</v>
      </c>
      <c r="B1013" s="163">
        <v>42304.460720787036</v>
      </c>
      <c r="C1013" s="164" t="s">
        <v>1297</v>
      </c>
      <c r="D1013" s="164" t="s">
        <v>13</v>
      </c>
      <c r="E1013" s="165">
        <v>100</v>
      </c>
      <c r="F1013" s="166">
        <v>0</v>
      </c>
      <c r="G1013" s="227">
        <f>IF($B$2,IF(ROWS(B$6:$B1013) = 1,$B1013-Start_Date,$B1013-$B1012),"")</f>
        <v>1.6237453703070059E-2</v>
      </c>
      <c r="H1013" s="29">
        <f>IF($B$2,IF(ROWS(B$6:$B1013) = 1,IF(COUNTIFS(R_Schedule_Times,"&lt;"&amp;B1013),INDEX(R_Schedule_Amounts,MATCH(B1013,R_Schedule_Times,1)),Starting_Cash),IF(COUNTIFS(R_Schedule_Times,"&gt;"&amp;B1012,R_Schedule_Times,"&lt;"&amp;B1013),INDEX(R_Schedule_Amounts,MATCH(B1013,R_Schedule_Times,1)),K1012)),"")</f>
        <v>6060</v>
      </c>
      <c r="I1013" s="30">
        <f t="shared" si="75"/>
        <v>100</v>
      </c>
      <c r="J1013" s="31">
        <f t="shared" si="76"/>
        <v>0</v>
      </c>
      <c r="K1013" s="29">
        <f t="shared" si="77"/>
        <v>5960</v>
      </c>
      <c r="L1013" s="31" t="str">
        <f t="shared" si="78"/>
        <v/>
      </c>
      <c r="M1013" s="31" t="str">
        <f t="shared" si="79"/>
        <v/>
      </c>
    </row>
    <row r="1014" spans="1:13" x14ac:dyDescent="0.15">
      <c r="A1014" s="163" t="s">
        <v>210</v>
      </c>
      <c r="B1014" s="163">
        <v>42304.500153321758</v>
      </c>
      <c r="C1014" s="164" t="s">
        <v>1298</v>
      </c>
      <c r="D1014" s="164" t="s">
        <v>13</v>
      </c>
      <c r="E1014" s="165">
        <v>40</v>
      </c>
      <c r="F1014" s="166">
        <v>0</v>
      </c>
      <c r="G1014" s="227">
        <f>IF($B$2,IF(ROWS(B$6:$B1014) = 1,$B1014-Start_Date,$B1014-$B1013),"")</f>
        <v>3.9432534722436685E-2</v>
      </c>
      <c r="H1014" s="29">
        <f>IF($B$2,IF(ROWS(B$6:$B1014) = 1,IF(COUNTIFS(R_Schedule_Times,"&lt;"&amp;B1014),INDEX(R_Schedule_Amounts,MATCH(B1014,R_Schedule_Times,1)),Starting_Cash),IF(COUNTIFS(R_Schedule_Times,"&gt;"&amp;B1013,R_Schedule_Times,"&lt;"&amp;B1014),INDEX(R_Schedule_Amounts,MATCH(B1014,R_Schedule_Times,1)),K1013)),"")</f>
        <v>5960</v>
      </c>
      <c r="I1014" s="30">
        <f t="shared" si="75"/>
        <v>40</v>
      </c>
      <c r="J1014" s="31">
        <f t="shared" si="76"/>
        <v>0</v>
      </c>
      <c r="K1014" s="29">
        <f t="shared" si="77"/>
        <v>5920</v>
      </c>
      <c r="L1014" s="31" t="str">
        <f t="shared" si="78"/>
        <v/>
      </c>
      <c r="M1014" s="31" t="str">
        <f t="shared" si="79"/>
        <v/>
      </c>
    </row>
    <row r="1015" spans="1:13" x14ac:dyDescent="0.15">
      <c r="A1015" s="163" t="s">
        <v>210</v>
      </c>
      <c r="B1015" s="163">
        <v>42304.505291030095</v>
      </c>
      <c r="C1015" s="164" t="s">
        <v>381</v>
      </c>
      <c r="D1015" s="164" t="s">
        <v>13</v>
      </c>
      <c r="E1015" s="165">
        <v>180</v>
      </c>
      <c r="F1015" s="166">
        <v>0</v>
      </c>
      <c r="G1015" s="227">
        <f>IF($B$2,IF(ROWS(B$6:$B1015) = 1,$B1015-Start_Date,$B1015-$B1014),"")</f>
        <v>5.1377083364059217E-3</v>
      </c>
      <c r="H1015" s="29">
        <f>IF($B$2,IF(ROWS(B$6:$B1015) = 1,IF(COUNTIFS(R_Schedule_Times,"&lt;"&amp;B1015),INDEX(R_Schedule_Amounts,MATCH(B1015,R_Schedule_Times,1)),Starting_Cash),IF(COUNTIFS(R_Schedule_Times,"&gt;"&amp;B1014,R_Schedule_Times,"&lt;"&amp;B1015),INDEX(R_Schedule_Amounts,MATCH(B1015,R_Schedule_Times,1)),K1014)),"")</f>
        <v>5920</v>
      </c>
      <c r="I1015" s="30">
        <f t="shared" si="75"/>
        <v>180</v>
      </c>
      <c r="J1015" s="31">
        <f t="shared" si="76"/>
        <v>0</v>
      </c>
      <c r="K1015" s="29">
        <f t="shared" si="77"/>
        <v>5740</v>
      </c>
      <c r="L1015" s="31" t="str">
        <f t="shared" si="78"/>
        <v/>
      </c>
      <c r="M1015" s="31" t="str">
        <f t="shared" si="79"/>
        <v/>
      </c>
    </row>
    <row r="1016" spans="1:13" x14ac:dyDescent="0.15">
      <c r="A1016" s="163" t="s">
        <v>210</v>
      </c>
      <c r="B1016" s="163">
        <v>42304.517295914353</v>
      </c>
      <c r="C1016" s="164" t="s">
        <v>1299</v>
      </c>
      <c r="D1016" s="164" t="s">
        <v>15</v>
      </c>
      <c r="E1016" s="165">
        <v>40</v>
      </c>
      <c r="F1016" s="166">
        <v>1.2</v>
      </c>
      <c r="G1016" s="227">
        <f>IF($B$2,IF(ROWS(B$6:$B1016) = 1,$B1016-Start_Date,$B1016-$B1015),"")</f>
        <v>1.2004884258203674E-2</v>
      </c>
      <c r="H1016" s="29">
        <f>IF($B$2,IF(ROWS(B$6:$B1016) = 1,IF(COUNTIFS(R_Schedule_Times,"&lt;"&amp;B1016),INDEX(R_Schedule_Amounts,MATCH(B1016,R_Schedule_Times,1)),Starting_Cash),IF(COUNTIFS(R_Schedule_Times,"&gt;"&amp;B1015,R_Schedule_Times,"&lt;"&amp;B1016),INDEX(R_Schedule_Amounts,MATCH(B1016,R_Schedule_Times,1)),K1015)),"")</f>
        <v>5740</v>
      </c>
      <c r="I1016" s="30">
        <f t="shared" si="75"/>
        <v>40</v>
      </c>
      <c r="J1016" s="31">
        <f t="shared" si="76"/>
        <v>1.2</v>
      </c>
      <c r="K1016" s="29">
        <f t="shared" si="77"/>
        <v>5700</v>
      </c>
      <c r="L1016" s="31" t="str">
        <f t="shared" si="78"/>
        <v/>
      </c>
      <c r="M1016" s="31" t="str">
        <f t="shared" si="79"/>
        <v/>
      </c>
    </row>
    <row r="1017" spans="1:13" x14ac:dyDescent="0.15">
      <c r="A1017" s="163" t="s">
        <v>210</v>
      </c>
      <c r="B1017" s="163">
        <v>42304.517944837964</v>
      </c>
      <c r="C1017" s="164" t="s">
        <v>14</v>
      </c>
      <c r="D1017" s="164" t="s">
        <v>13</v>
      </c>
      <c r="E1017" s="165">
        <v>200</v>
      </c>
      <c r="F1017" s="166">
        <v>3.5</v>
      </c>
      <c r="G1017" s="227">
        <f>IF($B$2,IF(ROWS(B$6:$B1017) = 1,$B1017-Start_Date,$B1017-$B1016),"")</f>
        <v>6.4892361115198582E-4</v>
      </c>
      <c r="H1017" s="29">
        <f>IF($B$2,IF(ROWS(B$6:$B1017) = 1,IF(COUNTIFS(R_Schedule_Times,"&lt;"&amp;B1017),INDEX(R_Schedule_Amounts,MATCH(B1017,R_Schedule_Times,1)),Starting_Cash),IF(COUNTIFS(R_Schedule_Times,"&gt;"&amp;B1016,R_Schedule_Times,"&lt;"&amp;B1017),INDEX(R_Schedule_Amounts,MATCH(B1017,R_Schedule_Times,1)),K1016)),"")</f>
        <v>5700</v>
      </c>
      <c r="I1017" s="30">
        <f t="shared" si="75"/>
        <v>200</v>
      </c>
      <c r="J1017" s="31">
        <f t="shared" si="76"/>
        <v>3.5</v>
      </c>
      <c r="K1017" s="29">
        <f t="shared" si="77"/>
        <v>5500</v>
      </c>
      <c r="L1017" s="31" t="str">
        <f t="shared" si="78"/>
        <v/>
      </c>
      <c r="M1017" s="31" t="str">
        <f t="shared" si="79"/>
        <v/>
      </c>
    </row>
    <row r="1018" spans="1:13" x14ac:dyDescent="0.15">
      <c r="A1018" s="163" t="s">
        <v>210</v>
      </c>
      <c r="B1018" s="163">
        <v>42304.558532280091</v>
      </c>
      <c r="C1018" s="164" t="s">
        <v>1300</v>
      </c>
      <c r="D1018" s="164" t="s">
        <v>13</v>
      </c>
      <c r="E1018" s="165">
        <v>80</v>
      </c>
      <c r="F1018" s="166">
        <v>0</v>
      </c>
      <c r="G1018" s="227">
        <f>IF($B$2,IF(ROWS(B$6:$B1018) = 1,$B1018-Start_Date,$B1018-$B1017),"")</f>
        <v>4.0587442126707174E-2</v>
      </c>
      <c r="H1018" s="29">
        <f>IF($B$2,IF(ROWS(B$6:$B1018) = 1,IF(COUNTIFS(R_Schedule_Times,"&lt;"&amp;B1018),INDEX(R_Schedule_Amounts,MATCH(B1018,R_Schedule_Times,1)),Starting_Cash),IF(COUNTIFS(R_Schedule_Times,"&gt;"&amp;B1017,R_Schedule_Times,"&lt;"&amp;B1018),INDEX(R_Schedule_Amounts,MATCH(B1018,R_Schedule_Times,1)),K1017)),"")</f>
        <v>5500</v>
      </c>
      <c r="I1018" s="30">
        <f t="shared" si="75"/>
        <v>80</v>
      </c>
      <c r="J1018" s="31">
        <f t="shared" si="76"/>
        <v>0</v>
      </c>
      <c r="K1018" s="29">
        <f t="shared" si="77"/>
        <v>5420</v>
      </c>
      <c r="L1018" s="31" t="str">
        <f t="shared" si="78"/>
        <v/>
      </c>
      <c r="M1018" s="31" t="str">
        <f t="shared" si="79"/>
        <v/>
      </c>
    </row>
    <row r="1019" spans="1:13" x14ac:dyDescent="0.15">
      <c r="A1019" s="163" t="s">
        <v>210</v>
      </c>
      <c r="B1019" s="163">
        <v>42304.566230381941</v>
      </c>
      <c r="C1019" s="164" t="s">
        <v>1301</v>
      </c>
      <c r="D1019" s="164" t="s">
        <v>13</v>
      </c>
      <c r="E1019" s="165">
        <v>40</v>
      </c>
      <c r="F1019" s="166">
        <v>0</v>
      </c>
      <c r="G1019" s="227">
        <f>IF($B$2,IF(ROWS(B$6:$B1019) = 1,$B1019-Start_Date,$B1019-$B1018),"")</f>
        <v>7.6981018501101062E-3</v>
      </c>
      <c r="H1019" s="29">
        <f>IF($B$2,IF(ROWS(B$6:$B1019) = 1,IF(COUNTIFS(R_Schedule_Times,"&lt;"&amp;B1019),INDEX(R_Schedule_Amounts,MATCH(B1019,R_Schedule_Times,1)),Starting_Cash),IF(COUNTIFS(R_Schedule_Times,"&gt;"&amp;B1018,R_Schedule_Times,"&lt;"&amp;B1019),INDEX(R_Schedule_Amounts,MATCH(B1019,R_Schedule_Times,1)),K1018)),"")</f>
        <v>5420</v>
      </c>
      <c r="I1019" s="30">
        <f t="shared" si="75"/>
        <v>40</v>
      </c>
      <c r="J1019" s="31">
        <f t="shared" si="76"/>
        <v>0</v>
      </c>
      <c r="K1019" s="29">
        <f t="shared" si="77"/>
        <v>5380</v>
      </c>
      <c r="L1019" s="31" t="str">
        <f t="shared" si="78"/>
        <v/>
      </c>
      <c r="M1019" s="31" t="str">
        <f t="shared" si="79"/>
        <v/>
      </c>
    </row>
    <row r="1020" spans="1:13" x14ac:dyDescent="0.15">
      <c r="A1020" s="163" t="s">
        <v>210</v>
      </c>
      <c r="B1020" s="163">
        <v>42304.580412916664</v>
      </c>
      <c r="C1020" s="164" t="s">
        <v>1302</v>
      </c>
      <c r="D1020" s="164" t="s">
        <v>13</v>
      </c>
      <c r="E1020" s="165">
        <v>100</v>
      </c>
      <c r="F1020" s="166">
        <v>0</v>
      </c>
      <c r="G1020" s="227">
        <f>IF($B$2,IF(ROWS(B$6:$B1020) = 1,$B1020-Start_Date,$B1020-$B1019),"")</f>
        <v>1.4182534723659046E-2</v>
      </c>
      <c r="H1020" s="29">
        <f>IF($B$2,IF(ROWS(B$6:$B1020) = 1,IF(COUNTIFS(R_Schedule_Times,"&lt;"&amp;B1020),INDEX(R_Schedule_Amounts,MATCH(B1020,R_Schedule_Times,1)),Starting_Cash),IF(COUNTIFS(R_Schedule_Times,"&gt;"&amp;B1019,R_Schedule_Times,"&lt;"&amp;B1020),INDEX(R_Schedule_Amounts,MATCH(B1020,R_Schedule_Times,1)),K1019)),"")</f>
        <v>5380</v>
      </c>
      <c r="I1020" s="30">
        <f t="shared" si="75"/>
        <v>100</v>
      </c>
      <c r="J1020" s="31">
        <f t="shared" si="76"/>
        <v>0</v>
      </c>
      <c r="K1020" s="29">
        <f t="shared" si="77"/>
        <v>5280</v>
      </c>
      <c r="L1020" s="31" t="str">
        <f t="shared" si="78"/>
        <v/>
      </c>
      <c r="M1020" s="31" t="str">
        <f t="shared" si="79"/>
        <v/>
      </c>
    </row>
    <row r="1021" spans="1:13" x14ac:dyDescent="0.15">
      <c r="A1021" s="163" t="s">
        <v>210</v>
      </c>
      <c r="B1021" s="163">
        <v>42304.592301817131</v>
      </c>
      <c r="C1021" s="164" t="s">
        <v>1303</v>
      </c>
      <c r="D1021" s="164" t="s">
        <v>13</v>
      </c>
      <c r="E1021" s="165">
        <v>40</v>
      </c>
      <c r="F1021" s="166">
        <v>0</v>
      </c>
      <c r="G1021" s="227">
        <f>IF($B$2,IF(ROWS(B$6:$B1021) = 1,$B1021-Start_Date,$B1021-$B1020),"")</f>
        <v>1.1888900466146879E-2</v>
      </c>
      <c r="H1021" s="29">
        <f>IF($B$2,IF(ROWS(B$6:$B1021) = 1,IF(COUNTIFS(R_Schedule_Times,"&lt;"&amp;B1021),INDEX(R_Schedule_Amounts,MATCH(B1021,R_Schedule_Times,1)),Starting_Cash),IF(COUNTIFS(R_Schedule_Times,"&gt;"&amp;B1020,R_Schedule_Times,"&lt;"&amp;B1021),INDEX(R_Schedule_Amounts,MATCH(B1021,R_Schedule_Times,1)),K1020)),"")</f>
        <v>5280</v>
      </c>
      <c r="I1021" s="30">
        <f t="shared" si="75"/>
        <v>40</v>
      </c>
      <c r="J1021" s="31">
        <f t="shared" si="76"/>
        <v>0</v>
      </c>
      <c r="K1021" s="29">
        <f t="shared" si="77"/>
        <v>5240</v>
      </c>
      <c r="L1021" s="31" t="str">
        <f t="shared" si="78"/>
        <v/>
      </c>
      <c r="M1021" s="31" t="str">
        <f t="shared" si="79"/>
        <v/>
      </c>
    </row>
    <row r="1022" spans="1:13" x14ac:dyDescent="0.15">
      <c r="A1022" s="163" t="s">
        <v>210</v>
      </c>
      <c r="B1022" s="163">
        <v>42304.595756238428</v>
      </c>
      <c r="C1022" s="164" t="s">
        <v>1304</v>
      </c>
      <c r="D1022" s="164" t="s">
        <v>13</v>
      </c>
      <c r="E1022" s="165">
        <v>80</v>
      </c>
      <c r="F1022" s="166">
        <v>0</v>
      </c>
      <c r="G1022" s="227">
        <f>IF($B$2,IF(ROWS(B$6:$B1022) = 1,$B1022-Start_Date,$B1022-$B1021),"")</f>
        <v>3.454421297647059E-3</v>
      </c>
      <c r="H1022" s="29">
        <f>IF($B$2,IF(ROWS(B$6:$B1022) = 1,IF(COUNTIFS(R_Schedule_Times,"&lt;"&amp;B1022),INDEX(R_Schedule_Amounts,MATCH(B1022,R_Schedule_Times,1)),Starting_Cash),IF(COUNTIFS(R_Schedule_Times,"&gt;"&amp;B1021,R_Schedule_Times,"&lt;"&amp;B1022),INDEX(R_Schedule_Amounts,MATCH(B1022,R_Schedule_Times,1)),K1021)),"")</f>
        <v>5240</v>
      </c>
      <c r="I1022" s="30">
        <f t="shared" si="75"/>
        <v>80</v>
      </c>
      <c r="J1022" s="31">
        <f t="shared" si="76"/>
        <v>0</v>
      </c>
      <c r="K1022" s="29">
        <f t="shared" si="77"/>
        <v>5160</v>
      </c>
      <c r="L1022" s="31" t="str">
        <f t="shared" si="78"/>
        <v/>
      </c>
      <c r="M1022" s="31" t="str">
        <f t="shared" si="79"/>
        <v/>
      </c>
    </row>
    <row r="1023" spans="1:13" x14ac:dyDescent="0.15">
      <c r="A1023" s="163" t="s">
        <v>210</v>
      </c>
      <c r="B1023" s="163">
        <v>42304.603089965276</v>
      </c>
      <c r="C1023" s="164" t="s">
        <v>14</v>
      </c>
      <c r="D1023" s="164" t="s">
        <v>13</v>
      </c>
      <c r="E1023" s="165">
        <v>100</v>
      </c>
      <c r="F1023" s="166">
        <v>3.5</v>
      </c>
      <c r="G1023" s="227">
        <f>IF($B$2,IF(ROWS(B$6:$B1023) = 1,$B1023-Start_Date,$B1023-$B1022),"")</f>
        <v>7.3337268477189355E-3</v>
      </c>
      <c r="H1023" s="29">
        <f>IF($B$2,IF(ROWS(B$6:$B1023) = 1,IF(COUNTIFS(R_Schedule_Times,"&lt;"&amp;B1023),INDEX(R_Schedule_Amounts,MATCH(B1023,R_Schedule_Times,1)),Starting_Cash),IF(COUNTIFS(R_Schedule_Times,"&gt;"&amp;B1022,R_Schedule_Times,"&lt;"&amp;B1023),INDEX(R_Schedule_Amounts,MATCH(B1023,R_Schedule_Times,1)),K1022)),"")</f>
        <v>5160</v>
      </c>
      <c r="I1023" s="30">
        <f t="shared" si="75"/>
        <v>100</v>
      </c>
      <c r="J1023" s="31">
        <f t="shared" si="76"/>
        <v>3.5</v>
      </c>
      <c r="K1023" s="29">
        <f t="shared" si="77"/>
        <v>5060</v>
      </c>
      <c r="L1023" s="31" t="str">
        <f t="shared" si="78"/>
        <v/>
      </c>
      <c r="M1023" s="31" t="str">
        <f t="shared" si="79"/>
        <v/>
      </c>
    </row>
    <row r="1024" spans="1:13" x14ac:dyDescent="0.15">
      <c r="A1024" s="163" t="s">
        <v>210</v>
      </c>
      <c r="B1024" s="163">
        <v>42304.604699282405</v>
      </c>
      <c r="C1024" s="164" t="s">
        <v>1305</v>
      </c>
      <c r="D1024" s="164" t="s">
        <v>13</v>
      </c>
      <c r="E1024" s="165">
        <v>40</v>
      </c>
      <c r="F1024" s="166">
        <v>0</v>
      </c>
      <c r="G1024" s="227">
        <f>IF($B$2,IF(ROWS(B$6:$B1024) = 1,$B1024-Start_Date,$B1024-$B1023),"")</f>
        <v>1.6093171288957819E-3</v>
      </c>
      <c r="H1024" s="29">
        <f>IF($B$2,IF(ROWS(B$6:$B1024) = 1,IF(COUNTIFS(R_Schedule_Times,"&lt;"&amp;B1024),INDEX(R_Schedule_Amounts,MATCH(B1024,R_Schedule_Times,1)),Starting_Cash),IF(COUNTIFS(R_Schedule_Times,"&gt;"&amp;B1023,R_Schedule_Times,"&lt;"&amp;B1024),INDEX(R_Schedule_Amounts,MATCH(B1024,R_Schedule_Times,1)),K1023)),"")</f>
        <v>5060</v>
      </c>
      <c r="I1024" s="30">
        <f t="shared" si="75"/>
        <v>40</v>
      </c>
      <c r="J1024" s="31">
        <f t="shared" si="76"/>
        <v>0</v>
      </c>
      <c r="K1024" s="29">
        <f t="shared" si="77"/>
        <v>5020</v>
      </c>
      <c r="L1024" s="31" t="str">
        <f t="shared" si="78"/>
        <v/>
      </c>
      <c r="M1024" s="31" t="str">
        <f t="shared" si="79"/>
        <v/>
      </c>
    </row>
    <row r="1025" spans="1:13" x14ac:dyDescent="0.15">
      <c r="A1025" s="163" t="s">
        <v>210</v>
      </c>
      <c r="B1025" s="163">
        <v>42304.611852592592</v>
      </c>
      <c r="C1025" s="164" t="s">
        <v>1306</v>
      </c>
      <c r="D1025" s="164" t="s">
        <v>13</v>
      </c>
      <c r="E1025" s="165">
        <v>40</v>
      </c>
      <c r="F1025" s="166">
        <v>0</v>
      </c>
      <c r="G1025" s="227">
        <f>IF($B$2,IF(ROWS(B$6:$B1025) = 1,$B1025-Start_Date,$B1025-$B1024),"")</f>
        <v>7.1533101872773841E-3</v>
      </c>
      <c r="H1025" s="29">
        <f>IF($B$2,IF(ROWS(B$6:$B1025) = 1,IF(COUNTIFS(R_Schedule_Times,"&lt;"&amp;B1025),INDEX(R_Schedule_Amounts,MATCH(B1025,R_Schedule_Times,1)),Starting_Cash),IF(COUNTIFS(R_Schedule_Times,"&gt;"&amp;B1024,R_Schedule_Times,"&lt;"&amp;B1025),INDEX(R_Schedule_Amounts,MATCH(B1025,R_Schedule_Times,1)),K1024)),"")</f>
        <v>5020</v>
      </c>
      <c r="I1025" s="30">
        <f t="shared" si="75"/>
        <v>40</v>
      </c>
      <c r="J1025" s="31">
        <f t="shared" si="76"/>
        <v>0</v>
      </c>
      <c r="K1025" s="29">
        <f t="shared" si="77"/>
        <v>4980</v>
      </c>
      <c r="L1025" s="31" t="str">
        <f t="shared" si="78"/>
        <v/>
      </c>
      <c r="M1025" s="31" t="str">
        <f t="shared" si="79"/>
        <v/>
      </c>
    </row>
    <row r="1026" spans="1:13" x14ac:dyDescent="0.15">
      <c r="A1026" s="163" t="s">
        <v>210</v>
      </c>
      <c r="B1026" s="163">
        <v>42304.63425516204</v>
      </c>
      <c r="C1026" s="164" t="s">
        <v>77</v>
      </c>
      <c r="D1026" s="164" t="s">
        <v>13</v>
      </c>
      <c r="E1026" s="165">
        <v>60</v>
      </c>
      <c r="F1026" s="166">
        <v>0</v>
      </c>
      <c r="G1026" s="227">
        <f>IF($B$2,IF(ROWS(B$6:$B1026) = 1,$B1026-Start_Date,$B1026-$B1025),"")</f>
        <v>2.2402569447876886E-2</v>
      </c>
      <c r="H1026" s="29">
        <f>IF($B$2,IF(ROWS(B$6:$B1026) = 1,IF(COUNTIFS(R_Schedule_Times,"&lt;"&amp;B1026),INDEX(R_Schedule_Amounts,MATCH(B1026,R_Schedule_Times,1)),Starting_Cash),IF(COUNTIFS(R_Schedule_Times,"&gt;"&amp;B1025,R_Schedule_Times,"&lt;"&amp;B1026),INDEX(R_Schedule_Amounts,MATCH(B1026,R_Schedule_Times,1)),K1025)),"")</f>
        <v>4980</v>
      </c>
      <c r="I1026" s="30">
        <f t="shared" si="75"/>
        <v>60</v>
      </c>
      <c r="J1026" s="31">
        <f t="shared" si="76"/>
        <v>0</v>
      </c>
      <c r="K1026" s="29">
        <f t="shared" si="77"/>
        <v>4920</v>
      </c>
      <c r="L1026" s="31" t="str">
        <f t="shared" si="78"/>
        <v/>
      </c>
      <c r="M1026" s="31" t="str">
        <f t="shared" si="79"/>
        <v/>
      </c>
    </row>
    <row r="1027" spans="1:13" x14ac:dyDescent="0.15">
      <c r="A1027" s="163" t="s">
        <v>210</v>
      </c>
      <c r="B1027" s="163">
        <v>42304.639892754632</v>
      </c>
      <c r="C1027" s="164" t="s">
        <v>1307</v>
      </c>
      <c r="D1027" s="164" t="s">
        <v>13</v>
      </c>
      <c r="E1027" s="165">
        <v>200</v>
      </c>
      <c r="F1027" s="166">
        <v>0</v>
      </c>
      <c r="G1027" s="227">
        <f>IF($B$2,IF(ROWS(B$6:$B1027) = 1,$B1027-Start_Date,$B1027-$B1026),"")</f>
        <v>5.6375925923930481E-3</v>
      </c>
      <c r="H1027" s="29">
        <f>IF($B$2,IF(ROWS(B$6:$B1027) = 1,IF(COUNTIFS(R_Schedule_Times,"&lt;"&amp;B1027),INDEX(R_Schedule_Amounts,MATCH(B1027,R_Schedule_Times,1)),Starting_Cash),IF(COUNTIFS(R_Schedule_Times,"&gt;"&amp;B1026,R_Schedule_Times,"&lt;"&amp;B1027),INDEX(R_Schedule_Amounts,MATCH(B1027,R_Schedule_Times,1)),K1026)),"")</f>
        <v>4920</v>
      </c>
      <c r="I1027" s="30">
        <f t="shared" si="75"/>
        <v>200</v>
      </c>
      <c r="J1027" s="31">
        <f t="shared" si="76"/>
        <v>0</v>
      </c>
      <c r="K1027" s="29">
        <f t="shared" si="77"/>
        <v>4720</v>
      </c>
      <c r="L1027" s="31" t="str">
        <f t="shared" si="78"/>
        <v/>
      </c>
      <c r="M1027" s="31" t="str">
        <f t="shared" si="79"/>
        <v/>
      </c>
    </row>
    <row r="1028" spans="1:13" x14ac:dyDescent="0.15">
      <c r="A1028" s="163" t="s">
        <v>210</v>
      </c>
      <c r="B1028" s="163">
        <v>42304.656473726849</v>
      </c>
      <c r="C1028" s="164" t="s">
        <v>1308</v>
      </c>
      <c r="D1028" s="164" t="s">
        <v>13</v>
      </c>
      <c r="E1028" s="165">
        <v>40</v>
      </c>
      <c r="F1028" s="166">
        <v>0</v>
      </c>
      <c r="G1028" s="227">
        <f>IF($B$2,IF(ROWS(B$6:$B1028) = 1,$B1028-Start_Date,$B1028-$B1027),"")</f>
        <v>1.6580972216615919E-2</v>
      </c>
      <c r="H1028" s="29">
        <f>IF($B$2,IF(ROWS(B$6:$B1028) = 1,IF(COUNTIFS(R_Schedule_Times,"&lt;"&amp;B1028),INDEX(R_Schedule_Amounts,MATCH(B1028,R_Schedule_Times,1)),Starting_Cash),IF(COUNTIFS(R_Schedule_Times,"&gt;"&amp;B1027,R_Schedule_Times,"&lt;"&amp;B1028),INDEX(R_Schedule_Amounts,MATCH(B1028,R_Schedule_Times,1)),K1027)),"")</f>
        <v>4720</v>
      </c>
      <c r="I1028" s="30">
        <f t="shared" si="75"/>
        <v>40</v>
      </c>
      <c r="J1028" s="31">
        <f t="shared" si="76"/>
        <v>0</v>
      </c>
      <c r="K1028" s="29">
        <f t="shared" si="77"/>
        <v>4680</v>
      </c>
      <c r="L1028" s="31" t="str">
        <f t="shared" si="78"/>
        <v/>
      </c>
      <c r="M1028" s="31" t="str">
        <f t="shared" si="79"/>
        <v/>
      </c>
    </row>
    <row r="1029" spans="1:13" x14ac:dyDescent="0.15">
      <c r="A1029" s="163" t="s">
        <v>210</v>
      </c>
      <c r="B1029" s="163">
        <v>42304.661466921294</v>
      </c>
      <c r="C1029" s="164" t="s">
        <v>809</v>
      </c>
      <c r="D1029" s="164" t="s">
        <v>13</v>
      </c>
      <c r="E1029" s="165">
        <v>20</v>
      </c>
      <c r="F1029" s="166">
        <v>0</v>
      </c>
      <c r="G1029" s="227">
        <f>IF($B$2,IF(ROWS(B$6:$B1029) = 1,$B1029-Start_Date,$B1029-$B1028),"")</f>
        <v>4.993194444978144E-3</v>
      </c>
      <c r="H1029" s="29">
        <f>IF($B$2,IF(ROWS(B$6:$B1029) = 1,IF(COUNTIFS(R_Schedule_Times,"&lt;"&amp;B1029),INDEX(R_Schedule_Amounts,MATCH(B1029,R_Schedule_Times,1)),Starting_Cash),IF(COUNTIFS(R_Schedule_Times,"&gt;"&amp;B1028,R_Schedule_Times,"&lt;"&amp;B1029),INDEX(R_Schedule_Amounts,MATCH(B1029,R_Schedule_Times,1)),K1028)),"")</f>
        <v>4680</v>
      </c>
      <c r="I1029" s="30">
        <f t="shared" si="75"/>
        <v>20</v>
      </c>
      <c r="J1029" s="31">
        <f t="shared" si="76"/>
        <v>0</v>
      </c>
      <c r="K1029" s="29">
        <f t="shared" si="77"/>
        <v>4660</v>
      </c>
      <c r="L1029" s="31" t="str">
        <f t="shared" si="78"/>
        <v/>
      </c>
      <c r="M1029" s="31" t="str">
        <f t="shared" si="79"/>
        <v/>
      </c>
    </row>
    <row r="1030" spans="1:13" x14ac:dyDescent="0.15">
      <c r="A1030" s="163" t="s">
        <v>210</v>
      </c>
      <c r="B1030" s="163">
        <v>42304.698402685186</v>
      </c>
      <c r="C1030" s="164" t="s">
        <v>1309</v>
      </c>
      <c r="D1030" s="164" t="s">
        <v>13</v>
      </c>
      <c r="E1030" s="165">
        <v>400</v>
      </c>
      <c r="F1030" s="166">
        <v>0</v>
      </c>
      <c r="G1030" s="227">
        <f>IF($B$2,IF(ROWS(B$6:$B1030) = 1,$B1030-Start_Date,$B1030-$B1029),"")</f>
        <v>3.693576389196096E-2</v>
      </c>
      <c r="H1030" s="29">
        <f>IF($B$2,IF(ROWS(B$6:$B1030) = 1,IF(COUNTIFS(R_Schedule_Times,"&lt;"&amp;B1030),INDEX(R_Schedule_Amounts,MATCH(B1030,R_Schedule_Times,1)),Starting_Cash),IF(COUNTIFS(R_Schedule_Times,"&gt;"&amp;B1029,R_Schedule_Times,"&lt;"&amp;B1030),INDEX(R_Schedule_Amounts,MATCH(B1030,R_Schedule_Times,1)),K1029)),"")</f>
        <v>4660</v>
      </c>
      <c r="I1030" s="30">
        <f t="shared" si="75"/>
        <v>400</v>
      </c>
      <c r="J1030" s="31">
        <f t="shared" si="76"/>
        <v>0</v>
      </c>
      <c r="K1030" s="29">
        <f t="shared" si="77"/>
        <v>4260</v>
      </c>
      <c r="L1030" s="31" t="str">
        <f t="shared" si="78"/>
        <v/>
      </c>
      <c r="M1030" s="31" t="str">
        <f t="shared" si="79"/>
        <v/>
      </c>
    </row>
    <row r="1031" spans="1:13" x14ac:dyDescent="0.15">
      <c r="A1031" s="163" t="s">
        <v>210</v>
      </c>
      <c r="B1031" s="163">
        <v>42304.699760254633</v>
      </c>
      <c r="C1031" s="164" t="s">
        <v>1310</v>
      </c>
      <c r="D1031" s="164" t="s">
        <v>13</v>
      </c>
      <c r="E1031" s="165">
        <v>500</v>
      </c>
      <c r="F1031" s="166">
        <v>0</v>
      </c>
      <c r="G1031" s="227">
        <f>IF($B$2,IF(ROWS(B$6:$B1031) = 1,$B1031-Start_Date,$B1031-$B1030),"")</f>
        <v>1.3575694465544075E-3</v>
      </c>
      <c r="H1031" s="29">
        <f>IF($B$2,IF(ROWS(B$6:$B1031) = 1,IF(COUNTIFS(R_Schedule_Times,"&lt;"&amp;B1031),INDEX(R_Schedule_Amounts,MATCH(B1031,R_Schedule_Times,1)),Starting_Cash),IF(COUNTIFS(R_Schedule_Times,"&gt;"&amp;B1030,R_Schedule_Times,"&lt;"&amp;B1031),INDEX(R_Schedule_Amounts,MATCH(B1031,R_Schedule_Times,1)),K1030)),"")</f>
        <v>4260</v>
      </c>
      <c r="I1031" s="30">
        <f t="shared" ref="I1031:I1094" si="80">IF($B$2,IF(H1031&gt;=E1031,E1031,0),"")</f>
        <v>500</v>
      </c>
      <c r="J1031" s="31">
        <f t="shared" ref="J1031:J1094" si="81">IF($B$2,IF(H1031&gt;=E1031,F1031,0),"")</f>
        <v>0</v>
      </c>
      <c r="K1031" s="29">
        <f t="shared" ref="K1031:K1094" si="82">IF($B$2,ABS(I1031-H1031),"")</f>
        <v>3760</v>
      </c>
      <c r="L1031" s="31" t="str">
        <f t="shared" ref="L1031:L1094" si="83">IF($B$2,IF(H1031&lt;E1031,"YES",""),"")</f>
        <v/>
      </c>
      <c r="M1031" s="31" t="str">
        <f t="shared" ref="M1031:M1094" si="84">IF($B$2,IF(L1031="YES",F1031,""),"")</f>
        <v/>
      </c>
    </row>
    <row r="1032" spans="1:13" x14ac:dyDescent="0.15">
      <c r="A1032" s="163" t="s">
        <v>210</v>
      </c>
      <c r="B1032" s="163">
        <v>42304.701595208331</v>
      </c>
      <c r="C1032" s="164" t="s">
        <v>1311</v>
      </c>
      <c r="D1032" s="164" t="s">
        <v>13</v>
      </c>
      <c r="E1032" s="165">
        <v>40</v>
      </c>
      <c r="F1032" s="166">
        <v>0</v>
      </c>
      <c r="G1032" s="227">
        <f>IF($B$2,IF(ROWS(B$6:$B1032) = 1,$B1032-Start_Date,$B1032-$B1031),"")</f>
        <v>1.8349536985624582E-3</v>
      </c>
      <c r="H1032" s="29">
        <f>IF($B$2,IF(ROWS(B$6:$B1032) = 1,IF(COUNTIFS(R_Schedule_Times,"&lt;"&amp;B1032),INDEX(R_Schedule_Amounts,MATCH(B1032,R_Schedule_Times,1)),Starting_Cash),IF(COUNTIFS(R_Schedule_Times,"&gt;"&amp;B1031,R_Schedule_Times,"&lt;"&amp;B1032),INDEX(R_Schedule_Amounts,MATCH(B1032,R_Schedule_Times,1)),K1031)),"")</f>
        <v>3760</v>
      </c>
      <c r="I1032" s="30">
        <f t="shared" si="80"/>
        <v>40</v>
      </c>
      <c r="J1032" s="31">
        <f t="shared" si="81"/>
        <v>0</v>
      </c>
      <c r="K1032" s="29">
        <f t="shared" si="82"/>
        <v>3720</v>
      </c>
      <c r="L1032" s="31" t="str">
        <f t="shared" si="83"/>
        <v/>
      </c>
      <c r="M1032" s="31" t="str">
        <f t="shared" si="84"/>
        <v/>
      </c>
    </row>
    <row r="1033" spans="1:13" x14ac:dyDescent="0.15">
      <c r="A1033" s="163" t="s">
        <v>210</v>
      </c>
      <c r="B1033" s="163">
        <v>42304.719892442132</v>
      </c>
      <c r="C1033" s="164" t="s">
        <v>756</v>
      </c>
      <c r="D1033" s="164" t="s">
        <v>13</v>
      </c>
      <c r="E1033" s="165">
        <v>100</v>
      </c>
      <c r="F1033" s="166">
        <v>0</v>
      </c>
      <c r="G1033" s="227">
        <f>IF($B$2,IF(ROWS(B$6:$B1033) = 1,$B1033-Start_Date,$B1033-$B1032),"")</f>
        <v>1.8297233800694812E-2</v>
      </c>
      <c r="H1033" s="29">
        <f>IF($B$2,IF(ROWS(B$6:$B1033) = 1,IF(COUNTIFS(R_Schedule_Times,"&lt;"&amp;B1033),INDEX(R_Schedule_Amounts,MATCH(B1033,R_Schedule_Times,1)),Starting_Cash),IF(COUNTIFS(R_Schedule_Times,"&gt;"&amp;B1032,R_Schedule_Times,"&lt;"&amp;B1033),INDEX(R_Schedule_Amounts,MATCH(B1033,R_Schedule_Times,1)),K1032)),"")</f>
        <v>3720</v>
      </c>
      <c r="I1033" s="30">
        <f t="shared" si="80"/>
        <v>100</v>
      </c>
      <c r="J1033" s="31">
        <f t="shared" si="81"/>
        <v>0</v>
      </c>
      <c r="K1033" s="29">
        <f t="shared" si="82"/>
        <v>3620</v>
      </c>
      <c r="L1033" s="31" t="str">
        <f t="shared" si="83"/>
        <v/>
      </c>
      <c r="M1033" s="31" t="str">
        <f t="shared" si="84"/>
        <v/>
      </c>
    </row>
    <row r="1034" spans="1:13" x14ac:dyDescent="0.15">
      <c r="A1034" s="163" t="s">
        <v>210</v>
      </c>
      <c r="B1034" s="163">
        <v>42304.720933263889</v>
      </c>
      <c r="C1034" s="164" t="s">
        <v>382</v>
      </c>
      <c r="D1034" s="164" t="s">
        <v>13</v>
      </c>
      <c r="E1034" s="165">
        <v>60</v>
      </c>
      <c r="F1034" s="166">
        <v>0</v>
      </c>
      <c r="G1034" s="227">
        <f>IF($B$2,IF(ROWS(B$6:$B1034) = 1,$B1034-Start_Date,$B1034-$B1033),"")</f>
        <v>1.0408217567601241E-3</v>
      </c>
      <c r="H1034" s="29">
        <f>IF($B$2,IF(ROWS(B$6:$B1034) = 1,IF(COUNTIFS(R_Schedule_Times,"&lt;"&amp;B1034),INDEX(R_Schedule_Amounts,MATCH(B1034,R_Schedule_Times,1)),Starting_Cash),IF(COUNTIFS(R_Schedule_Times,"&gt;"&amp;B1033,R_Schedule_Times,"&lt;"&amp;B1034),INDEX(R_Schedule_Amounts,MATCH(B1034,R_Schedule_Times,1)),K1033)),"")</f>
        <v>3620</v>
      </c>
      <c r="I1034" s="30">
        <f t="shared" si="80"/>
        <v>60</v>
      </c>
      <c r="J1034" s="31">
        <f t="shared" si="81"/>
        <v>0</v>
      </c>
      <c r="K1034" s="29">
        <f t="shared" si="82"/>
        <v>3560</v>
      </c>
      <c r="L1034" s="31" t="str">
        <f t="shared" si="83"/>
        <v/>
      </c>
      <c r="M1034" s="31" t="str">
        <f t="shared" si="84"/>
        <v/>
      </c>
    </row>
    <row r="1035" spans="1:13" x14ac:dyDescent="0.15">
      <c r="A1035" s="163" t="s">
        <v>210</v>
      </c>
      <c r="B1035" s="163">
        <v>42304.727432997686</v>
      </c>
      <c r="C1035" s="164" t="s">
        <v>1193</v>
      </c>
      <c r="D1035" s="164" t="s">
        <v>13</v>
      </c>
      <c r="E1035" s="165">
        <v>40</v>
      </c>
      <c r="F1035" s="166">
        <v>0</v>
      </c>
      <c r="G1035" s="227">
        <f>IF($B$2,IF(ROWS(B$6:$B1035) = 1,$B1035-Start_Date,$B1035-$B1034),"")</f>
        <v>6.4997337976819836E-3</v>
      </c>
      <c r="H1035" s="29">
        <f>IF($B$2,IF(ROWS(B$6:$B1035) = 1,IF(COUNTIFS(R_Schedule_Times,"&lt;"&amp;B1035),INDEX(R_Schedule_Amounts,MATCH(B1035,R_Schedule_Times,1)),Starting_Cash),IF(COUNTIFS(R_Schedule_Times,"&gt;"&amp;B1034,R_Schedule_Times,"&lt;"&amp;B1035),INDEX(R_Schedule_Amounts,MATCH(B1035,R_Schedule_Times,1)),K1034)),"")</f>
        <v>3560</v>
      </c>
      <c r="I1035" s="30">
        <f t="shared" si="80"/>
        <v>40</v>
      </c>
      <c r="J1035" s="31">
        <f t="shared" si="81"/>
        <v>0</v>
      </c>
      <c r="K1035" s="29">
        <f t="shared" si="82"/>
        <v>3520</v>
      </c>
      <c r="L1035" s="31" t="str">
        <f t="shared" si="83"/>
        <v/>
      </c>
      <c r="M1035" s="31" t="str">
        <f t="shared" si="84"/>
        <v/>
      </c>
    </row>
    <row r="1036" spans="1:13" x14ac:dyDescent="0.15">
      <c r="A1036" s="163" t="s">
        <v>210</v>
      </c>
      <c r="B1036" s="163">
        <v>42304.760797361108</v>
      </c>
      <c r="C1036" s="164" t="s">
        <v>293</v>
      </c>
      <c r="D1036" s="164" t="s">
        <v>13</v>
      </c>
      <c r="E1036" s="165">
        <v>200</v>
      </c>
      <c r="F1036" s="166">
        <v>0</v>
      </c>
      <c r="G1036" s="227">
        <f>IF($B$2,IF(ROWS(B$6:$B1036) = 1,$B1036-Start_Date,$B1036-$B1035),"")</f>
        <v>3.3364363422151655E-2</v>
      </c>
      <c r="H1036" s="29">
        <f>IF($B$2,IF(ROWS(B$6:$B1036) = 1,IF(COUNTIFS(R_Schedule_Times,"&lt;"&amp;B1036),INDEX(R_Schedule_Amounts,MATCH(B1036,R_Schedule_Times,1)),Starting_Cash),IF(COUNTIFS(R_Schedule_Times,"&gt;"&amp;B1035,R_Schedule_Times,"&lt;"&amp;B1036),INDEX(R_Schedule_Amounts,MATCH(B1036,R_Schedule_Times,1)),K1035)),"")</f>
        <v>3520</v>
      </c>
      <c r="I1036" s="30">
        <f t="shared" si="80"/>
        <v>200</v>
      </c>
      <c r="J1036" s="31">
        <f t="shared" si="81"/>
        <v>0</v>
      </c>
      <c r="K1036" s="29">
        <f t="shared" si="82"/>
        <v>3320</v>
      </c>
      <c r="L1036" s="31" t="str">
        <f t="shared" si="83"/>
        <v/>
      </c>
      <c r="M1036" s="31" t="str">
        <f t="shared" si="84"/>
        <v/>
      </c>
    </row>
    <row r="1037" spans="1:13" x14ac:dyDescent="0.15">
      <c r="A1037" s="163" t="s">
        <v>210</v>
      </c>
      <c r="B1037" s="163">
        <v>42304.764867280093</v>
      </c>
      <c r="C1037" s="164" t="s">
        <v>1312</v>
      </c>
      <c r="D1037" s="164" t="s">
        <v>13</v>
      </c>
      <c r="E1037" s="165">
        <v>80</v>
      </c>
      <c r="F1037" s="166">
        <v>0</v>
      </c>
      <c r="G1037" s="227">
        <f>IF($B$2,IF(ROWS(B$6:$B1037) = 1,$B1037-Start_Date,$B1037-$B1036),"")</f>
        <v>4.0699189848965034E-3</v>
      </c>
      <c r="H1037" s="29">
        <f>IF($B$2,IF(ROWS(B$6:$B1037) = 1,IF(COUNTIFS(R_Schedule_Times,"&lt;"&amp;B1037),INDEX(R_Schedule_Amounts,MATCH(B1037,R_Schedule_Times,1)),Starting_Cash),IF(COUNTIFS(R_Schedule_Times,"&gt;"&amp;B1036,R_Schedule_Times,"&lt;"&amp;B1037),INDEX(R_Schedule_Amounts,MATCH(B1037,R_Schedule_Times,1)),K1036)),"")</f>
        <v>3320</v>
      </c>
      <c r="I1037" s="30">
        <f t="shared" si="80"/>
        <v>80</v>
      </c>
      <c r="J1037" s="31">
        <f t="shared" si="81"/>
        <v>0</v>
      </c>
      <c r="K1037" s="29">
        <f t="shared" si="82"/>
        <v>3240</v>
      </c>
      <c r="L1037" s="31" t="str">
        <f t="shared" si="83"/>
        <v/>
      </c>
      <c r="M1037" s="31" t="str">
        <f t="shared" si="84"/>
        <v/>
      </c>
    </row>
    <row r="1038" spans="1:13" x14ac:dyDescent="0.15">
      <c r="A1038" s="163" t="s">
        <v>210</v>
      </c>
      <c r="B1038" s="163">
        <v>42304.842920532406</v>
      </c>
      <c r="C1038" s="164" t="s">
        <v>1313</v>
      </c>
      <c r="D1038" s="164" t="s">
        <v>13</v>
      </c>
      <c r="E1038" s="165">
        <v>100</v>
      </c>
      <c r="F1038" s="166">
        <v>0</v>
      </c>
      <c r="G1038" s="227">
        <f>IF($B$2,IF(ROWS(B$6:$B1038) = 1,$B1038-Start_Date,$B1038-$B1037),"")</f>
        <v>7.8053252313111443E-2</v>
      </c>
      <c r="H1038" s="29">
        <f>IF($B$2,IF(ROWS(B$6:$B1038) = 1,IF(COUNTIFS(R_Schedule_Times,"&lt;"&amp;B1038),INDEX(R_Schedule_Amounts,MATCH(B1038,R_Schedule_Times,1)),Starting_Cash),IF(COUNTIFS(R_Schedule_Times,"&gt;"&amp;B1037,R_Schedule_Times,"&lt;"&amp;B1038),INDEX(R_Schedule_Amounts,MATCH(B1038,R_Schedule_Times,1)),K1037)),"")</f>
        <v>3240</v>
      </c>
      <c r="I1038" s="30">
        <f t="shared" si="80"/>
        <v>100</v>
      </c>
      <c r="J1038" s="31">
        <f t="shared" si="81"/>
        <v>0</v>
      </c>
      <c r="K1038" s="29">
        <f t="shared" si="82"/>
        <v>3140</v>
      </c>
      <c r="L1038" s="31" t="str">
        <f t="shared" si="83"/>
        <v/>
      </c>
      <c r="M1038" s="31" t="str">
        <f t="shared" si="84"/>
        <v/>
      </c>
    </row>
    <row r="1039" spans="1:13" x14ac:dyDescent="0.15">
      <c r="A1039" s="163" t="s">
        <v>210</v>
      </c>
      <c r="B1039" s="163">
        <v>42304.945749108796</v>
      </c>
      <c r="C1039" s="164" t="s">
        <v>1314</v>
      </c>
      <c r="D1039" s="164" t="s">
        <v>13</v>
      </c>
      <c r="E1039" s="165">
        <v>100</v>
      </c>
      <c r="F1039" s="166">
        <v>0</v>
      </c>
      <c r="G1039" s="227">
        <f>IF($B$2,IF(ROWS(B$6:$B1039) = 1,$B1039-Start_Date,$B1039-$B1038),"")</f>
        <v>0.10282857638958376</v>
      </c>
      <c r="H1039" s="29">
        <f>IF($B$2,IF(ROWS(B$6:$B1039) = 1,IF(COUNTIFS(R_Schedule_Times,"&lt;"&amp;B1039),INDEX(R_Schedule_Amounts,MATCH(B1039,R_Schedule_Times,1)),Starting_Cash),IF(COUNTIFS(R_Schedule_Times,"&gt;"&amp;B1038,R_Schedule_Times,"&lt;"&amp;B1039),INDEX(R_Schedule_Amounts,MATCH(B1039,R_Schedule_Times,1)),K1038)),"")</f>
        <v>3140</v>
      </c>
      <c r="I1039" s="30">
        <f t="shared" si="80"/>
        <v>100</v>
      </c>
      <c r="J1039" s="31">
        <f t="shared" si="81"/>
        <v>0</v>
      </c>
      <c r="K1039" s="29">
        <f t="shared" si="82"/>
        <v>3040</v>
      </c>
      <c r="L1039" s="31" t="str">
        <f t="shared" si="83"/>
        <v/>
      </c>
      <c r="M1039" s="31" t="str">
        <f t="shared" si="84"/>
        <v/>
      </c>
    </row>
    <row r="1040" spans="1:13" x14ac:dyDescent="0.15">
      <c r="A1040" s="163" t="s">
        <v>210</v>
      </c>
      <c r="B1040" s="163">
        <v>42304.955003275463</v>
      </c>
      <c r="C1040" s="164" t="s">
        <v>1315</v>
      </c>
      <c r="D1040" s="164" t="s">
        <v>13</v>
      </c>
      <c r="E1040" s="165">
        <v>100</v>
      </c>
      <c r="F1040" s="166">
        <v>0</v>
      </c>
      <c r="G1040" s="227">
        <f>IF($B$2,IF(ROWS(B$6:$B1040) = 1,$B1040-Start_Date,$B1040-$B1039),"")</f>
        <v>9.2541666672332212E-3</v>
      </c>
      <c r="H1040" s="29">
        <f>IF($B$2,IF(ROWS(B$6:$B1040) = 1,IF(COUNTIFS(R_Schedule_Times,"&lt;"&amp;B1040),INDEX(R_Schedule_Amounts,MATCH(B1040,R_Schedule_Times,1)),Starting_Cash),IF(COUNTIFS(R_Schedule_Times,"&gt;"&amp;B1039,R_Schedule_Times,"&lt;"&amp;B1040),INDEX(R_Schedule_Amounts,MATCH(B1040,R_Schedule_Times,1)),K1039)),"")</f>
        <v>3040</v>
      </c>
      <c r="I1040" s="30">
        <f t="shared" si="80"/>
        <v>100</v>
      </c>
      <c r="J1040" s="31">
        <f t="shared" si="81"/>
        <v>0</v>
      </c>
      <c r="K1040" s="29">
        <f t="shared" si="82"/>
        <v>2940</v>
      </c>
      <c r="L1040" s="31" t="str">
        <f t="shared" si="83"/>
        <v/>
      </c>
      <c r="M1040" s="31" t="str">
        <f t="shared" si="84"/>
        <v/>
      </c>
    </row>
    <row r="1041" spans="1:13" x14ac:dyDescent="0.15">
      <c r="A1041" s="163" t="s">
        <v>210</v>
      </c>
      <c r="B1041" s="163">
        <v>42304.986303379628</v>
      </c>
      <c r="C1041" s="164" t="s">
        <v>1316</v>
      </c>
      <c r="D1041" s="164" t="s">
        <v>13</v>
      </c>
      <c r="E1041" s="165">
        <v>40</v>
      </c>
      <c r="F1041" s="166">
        <v>0</v>
      </c>
      <c r="G1041" s="227">
        <f>IF($B$2,IF(ROWS(B$6:$B1041) = 1,$B1041-Start_Date,$B1041-$B1040),"")</f>
        <v>3.1300104164984077E-2</v>
      </c>
      <c r="H1041" s="29">
        <f>IF($B$2,IF(ROWS(B$6:$B1041) = 1,IF(COUNTIFS(R_Schedule_Times,"&lt;"&amp;B1041),INDEX(R_Schedule_Amounts,MATCH(B1041,R_Schedule_Times,1)),Starting_Cash),IF(COUNTIFS(R_Schedule_Times,"&gt;"&amp;B1040,R_Schedule_Times,"&lt;"&amp;B1041),INDEX(R_Schedule_Amounts,MATCH(B1041,R_Schedule_Times,1)),K1040)),"")</f>
        <v>2940</v>
      </c>
      <c r="I1041" s="30">
        <f t="shared" si="80"/>
        <v>40</v>
      </c>
      <c r="J1041" s="31">
        <f t="shared" si="81"/>
        <v>0</v>
      </c>
      <c r="K1041" s="29">
        <f t="shared" si="82"/>
        <v>2900</v>
      </c>
      <c r="L1041" s="31" t="str">
        <f t="shared" si="83"/>
        <v/>
      </c>
      <c r="M1041" s="31" t="str">
        <f t="shared" si="84"/>
        <v/>
      </c>
    </row>
    <row r="1042" spans="1:13" x14ac:dyDescent="0.15">
      <c r="A1042" s="163" t="s">
        <v>210</v>
      </c>
      <c r="B1042" s="163">
        <v>42304.999709328702</v>
      </c>
      <c r="C1042" s="164" t="s">
        <v>1317</v>
      </c>
      <c r="D1042" s="164" t="s">
        <v>13</v>
      </c>
      <c r="E1042" s="165">
        <v>100</v>
      </c>
      <c r="F1042" s="166">
        <v>0</v>
      </c>
      <c r="G1042" s="227">
        <f>IF($B$2,IF(ROWS(B$6:$B1042) = 1,$B1042-Start_Date,$B1042-$B1041),"")</f>
        <v>1.340594907378545E-2</v>
      </c>
      <c r="H1042" s="29">
        <f>IF($B$2,IF(ROWS(B$6:$B1042) = 1,IF(COUNTIFS(R_Schedule_Times,"&lt;"&amp;B1042),INDEX(R_Schedule_Amounts,MATCH(B1042,R_Schedule_Times,1)),Starting_Cash),IF(COUNTIFS(R_Schedule_Times,"&gt;"&amp;B1041,R_Schedule_Times,"&lt;"&amp;B1042),INDEX(R_Schedule_Amounts,MATCH(B1042,R_Schedule_Times,1)),K1041)),"")</f>
        <v>2900</v>
      </c>
      <c r="I1042" s="30">
        <f t="shared" si="80"/>
        <v>100</v>
      </c>
      <c r="J1042" s="31">
        <f t="shared" si="81"/>
        <v>0</v>
      </c>
      <c r="K1042" s="29">
        <f t="shared" si="82"/>
        <v>2800</v>
      </c>
      <c r="L1042" s="31" t="str">
        <f t="shared" si="83"/>
        <v/>
      </c>
      <c r="M1042" s="31" t="str">
        <f t="shared" si="84"/>
        <v/>
      </c>
    </row>
    <row r="1043" spans="1:13" x14ac:dyDescent="0.15">
      <c r="A1043" s="163" t="s">
        <v>210</v>
      </c>
      <c r="B1043" s="163">
        <v>42305.069433425924</v>
      </c>
      <c r="C1043" s="164" t="s">
        <v>1318</v>
      </c>
      <c r="D1043" s="164" t="s">
        <v>13</v>
      </c>
      <c r="E1043" s="165">
        <v>60</v>
      </c>
      <c r="F1043" s="166">
        <v>0</v>
      </c>
      <c r="G1043" s="227">
        <f>IF($B$2,IF(ROWS(B$6:$B1043) = 1,$B1043-Start_Date,$B1043-$B1042),"")</f>
        <v>6.9724097222206183E-2</v>
      </c>
      <c r="H1043" s="29">
        <f>IF($B$2,IF(ROWS(B$6:$B1043) = 1,IF(COUNTIFS(R_Schedule_Times,"&lt;"&amp;B1043),INDEX(R_Schedule_Amounts,MATCH(B1043,R_Schedule_Times,1)),Starting_Cash),IF(COUNTIFS(R_Schedule_Times,"&gt;"&amp;B1042,R_Schedule_Times,"&lt;"&amp;B1043),INDEX(R_Schedule_Amounts,MATCH(B1043,R_Schedule_Times,1)),K1042)),"")</f>
        <v>2800</v>
      </c>
      <c r="I1043" s="30">
        <f t="shared" si="80"/>
        <v>60</v>
      </c>
      <c r="J1043" s="31">
        <f t="shared" si="81"/>
        <v>0</v>
      </c>
      <c r="K1043" s="29">
        <f t="shared" si="82"/>
        <v>2740</v>
      </c>
      <c r="L1043" s="31" t="str">
        <f t="shared" si="83"/>
        <v/>
      </c>
      <c r="M1043" s="31" t="str">
        <f t="shared" si="84"/>
        <v/>
      </c>
    </row>
    <row r="1044" spans="1:13" x14ac:dyDescent="0.15">
      <c r="A1044" s="163" t="s">
        <v>210</v>
      </c>
      <c r="B1044" s="163">
        <v>42305.259573298608</v>
      </c>
      <c r="C1044" s="164" t="s">
        <v>1319</v>
      </c>
      <c r="D1044" s="164" t="s">
        <v>13</v>
      </c>
      <c r="E1044" s="165">
        <v>100</v>
      </c>
      <c r="F1044" s="166">
        <v>0</v>
      </c>
      <c r="G1044" s="227">
        <f>IF($B$2,IF(ROWS(B$6:$B1044) = 1,$B1044-Start_Date,$B1044-$B1043),"")</f>
        <v>0.19013987268408528</v>
      </c>
      <c r="H1044" s="29">
        <f>IF($B$2,IF(ROWS(B$6:$B1044) = 1,IF(COUNTIFS(R_Schedule_Times,"&lt;"&amp;B1044),INDEX(R_Schedule_Amounts,MATCH(B1044,R_Schedule_Times,1)),Starting_Cash),IF(COUNTIFS(R_Schedule_Times,"&gt;"&amp;B1043,R_Schedule_Times,"&lt;"&amp;B1044),INDEX(R_Schedule_Amounts,MATCH(B1044,R_Schedule_Times,1)),K1043)),"")</f>
        <v>2740</v>
      </c>
      <c r="I1044" s="30">
        <f t="shared" si="80"/>
        <v>100</v>
      </c>
      <c r="J1044" s="31">
        <f t="shared" si="81"/>
        <v>0</v>
      </c>
      <c r="K1044" s="29">
        <f t="shared" si="82"/>
        <v>2640</v>
      </c>
      <c r="L1044" s="31" t="str">
        <f t="shared" si="83"/>
        <v/>
      </c>
      <c r="M1044" s="31" t="str">
        <f t="shared" si="84"/>
        <v/>
      </c>
    </row>
    <row r="1045" spans="1:13" x14ac:dyDescent="0.15">
      <c r="A1045" s="163" t="s">
        <v>210</v>
      </c>
      <c r="B1045" s="163">
        <v>42305.318304942128</v>
      </c>
      <c r="C1045" s="164" t="s">
        <v>748</v>
      </c>
      <c r="D1045" s="164" t="s">
        <v>13</v>
      </c>
      <c r="E1045" s="165">
        <v>140</v>
      </c>
      <c r="F1045" s="166">
        <v>0</v>
      </c>
      <c r="G1045" s="227">
        <f>IF($B$2,IF(ROWS(B$6:$B1045) = 1,$B1045-Start_Date,$B1045-$B1044),"")</f>
        <v>5.8731643519422505E-2</v>
      </c>
      <c r="H1045" s="29">
        <f>IF($B$2,IF(ROWS(B$6:$B1045) = 1,IF(COUNTIFS(R_Schedule_Times,"&lt;"&amp;B1045),INDEX(R_Schedule_Amounts,MATCH(B1045,R_Schedule_Times,1)),Starting_Cash),IF(COUNTIFS(R_Schedule_Times,"&gt;"&amp;B1044,R_Schedule_Times,"&lt;"&amp;B1045),INDEX(R_Schedule_Amounts,MATCH(B1045,R_Schedule_Times,1)),K1044)),"")</f>
        <v>2640</v>
      </c>
      <c r="I1045" s="30">
        <f t="shared" si="80"/>
        <v>140</v>
      </c>
      <c r="J1045" s="31">
        <f t="shared" si="81"/>
        <v>0</v>
      </c>
      <c r="K1045" s="29">
        <f t="shared" si="82"/>
        <v>2500</v>
      </c>
      <c r="L1045" s="31" t="str">
        <f t="shared" si="83"/>
        <v/>
      </c>
      <c r="M1045" s="31" t="str">
        <f t="shared" si="84"/>
        <v/>
      </c>
    </row>
    <row r="1046" spans="1:13" x14ac:dyDescent="0.15">
      <c r="A1046" s="163" t="s">
        <v>210</v>
      </c>
      <c r="B1046" s="163">
        <v>42305.324314328704</v>
      </c>
      <c r="C1046" s="164" t="s">
        <v>14</v>
      </c>
      <c r="D1046" s="164" t="s">
        <v>13</v>
      </c>
      <c r="E1046" s="165">
        <v>100</v>
      </c>
      <c r="F1046" s="166">
        <v>3.5</v>
      </c>
      <c r="G1046" s="227">
        <f>IF($B$2,IF(ROWS(B$6:$B1046) = 1,$B1046-Start_Date,$B1046-$B1045),"")</f>
        <v>6.0093865758972242E-3</v>
      </c>
      <c r="H1046" s="29">
        <f>IF($B$2,IF(ROWS(B$6:$B1046) = 1,IF(COUNTIFS(R_Schedule_Times,"&lt;"&amp;B1046),INDEX(R_Schedule_Amounts,MATCH(B1046,R_Schedule_Times,1)),Starting_Cash),IF(COUNTIFS(R_Schedule_Times,"&gt;"&amp;B1045,R_Schedule_Times,"&lt;"&amp;B1046),INDEX(R_Schedule_Amounts,MATCH(B1046,R_Schedule_Times,1)),K1045)),"")</f>
        <v>2500</v>
      </c>
      <c r="I1046" s="30">
        <f t="shared" si="80"/>
        <v>100</v>
      </c>
      <c r="J1046" s="31">
        <f t="shared" si="81"/>
        <v>3.5</v>
      </c>
      <c r="K1046" s="29">
        <f t="shared" si="82"/>
        <v>2400</v>
      </c>
      <c r="L1046" s="31" t="str">
        <f t="shared" si="83"/>
        <v/>
      </c>
      <c r="M1046" s="31" t="str">
        <f t="shared" si="84"/>
        <v/>
      </c>
    </row>
    <row r="1047" spans="1:13" x14ac:dyDescent="0.15">
      <c r="A1047" s="163" t="s">
        <v>210</v>
      </c>
      <c r="B1047" s="163">
        <v>42305.333700208335</v>
      </c>
      <c r="C1047" s="164" t="s">
        <v>250</v>
      </c>
      <c r="D1047" s="164" t="s">
        <v>13</v>
      </c>
      <c r="E1047" s="165">
        <v>40</v>
      </c>
      <c r="F1047" s="166">
        <v>0</v>
      </c>
      <c r="G1047" s="227">
        <f>IF($B$2,IF(ROWS(B$6:$B1047) = 1,$B1047-Start_Date,$B1047-$B1046),"")</f>
        <v>9.3858796317363158E-3</v>
      </c>
      <c r="H1047" s="29">
        <f>IF($B$2,IF(ROWS(B$6:$B1047) = 1,IF(COUNTIFS(R_Schedule_Times,"&lt;"&amp;B1047),INDEX(R_Schedule_Amounts,MATCH(B1047,R_Schedule_Times,1)),Starting_Cash),IF(COUNTIFS(R_Schedule_Times,"&gt;"&amp;B1046,R_Schedule_Times,"&lt;"&amp;B1047),INDEX(R_Schedule_Amounts,MATCH(B1047,R_Schedule_Times,1)),K1046)),"")</f>
        <v>2400</v>
      </c>
      <c r="I1047" s="30">
        <f t="shared" si="80"/>
        <v>40</v>
      </c>
      <c r="J1047" s="31">
        <f t="shared" si="81"/>
        <v>0</v>
      </c>
      <c r="K1047" s="29">
        <f t="shared" si="82"/>
        <v>2360</v>
      </c>
      <c r="L1047" s="31" t="str">
        <f t="shared" si="83"/>
        <v/>
      </c>
      <c r="M1047" s="31" t="str">
        <f t="shared" si="84"/>
        <v/>
      </c>
    </row>
    <row r="1048" spans="1:13" x14ac:dyDescent="0.15">
      <c r="A1048" s="163" t="s">
        <v>210</v>
      </c>
      <c r="B1048" s="163">
        <v>42305.363325995371</v>
      </c>
      <c r="C1048" s="164" t="s">
        <v>1320</v>
      </c>
      <c r="D1048" s="164" t="s">
        <v>13</v>
      </c>
      <c r="E1048" s="165">
        <v>100</v>
      </c>
      <c r="F1048" s="166">
        <v>0</v>
      </c>
      <c r="G1048" s="227">
        <f>IF($B$2,IF(ROWS(B$6:$B1048) = 1,$B1048-Start_Date,$B1048-$B1047),"")</f>
        <v>2.9625787035911344E-2</v>
      </c>
      <c r="H1048" s="29">
        <f>IF($B$2,IF(ROWS(B$6:$B1048) = 1,IF(COUNTIFS(R_Schedule_Times,"&lt;"&amp;B1048),INDEX(R_Schedule_Amounts,MATCH(B1048,R_Schedule_Times,1)),Starting_Cash),IF(COUNTIFS(R_Schedule_Times,"&gt;"&amp;B1047,R_Schedule_Times,"&lt;"&amp;B1048),INDEX(R_Schedule_Amounts,MATCH(B1048,R_Schedule_Times,1)),K1047)),"")</f>
        <v>2360</v>
      </c>
      <c r="I1048" s="30">
        <f t="shared" si="80"/>
        <v>100</v>
      </c>
      <c r="J1048" s="31">
        <f t="shared" si="81"/>
        <v>0</v>
      </c>
      <c r="K1048" s="29">
        <f t="shared" si="82"/>
        <v>2260</v>
      </c>
      <c r="L1048" s="31" t="str">
        <f t="shared" si="83"/>
        <v/>
      </c>
      <c r="M1048" s="31" t="str">
        <f t="shared" si="84"/>
        <v/>
      </c>
    </row>
    <row r="1049" spans="1:13" x14ac:dyDescent="0.15">
      <c r="A1049" s="163" t="s">
        <v>210</v>
      </c>
      <c r="B1049" s="163">
        <v>42305.372382094909</v>
      </c>
      <c r="C1049" s="164" t="s">
        <v>1321</v>
      </c>
      <c r="D1049" s="164" t="s">
        <v>13</v>
      </c>
      <c r="E1049" s="165">
        <v>80</v>
      </c>
      <c r="F1049" s="166">
        <v>0</v>
      </c>
      <c r="G1049" s="227">
        <f>IF($B$2,IF(ROWS(B$6:$B1049) = 1,$B1049-Start_Date,$B1049-$B1048),"")</f>
        <v>9.0560995377018116E-3</v>
      </c>
      <c r="H1049" s="29">
        <f>IF($B$2,IF(ROWS(B$6:$B1049) = 1,IF(COUNTIFS(R_Schedule_Times,"&lt;"&amp;B1049),INDEX(R_Schedule_Amounts,MATCH(B1049,R_Schedule_Times,1)),Starting_Cash),IF(COUNTIFS(R_Schedule_Times,"&gt;"&amp;B1048,R_Schedule_Times,"&lt;"&amp;B1049),INDEX(R_Schedule_Amounts,MATCH(B1049,R_Schedule_Times,1)),K1048)),"")</f>
        <v>2260</v>
      </c>
      <c r="I1049" s="30">
        <f t="shared" si="80"/>
        <v>80</v>
      </c>
      <c r="J1049" s="31">
        <f t="shared" si="81"/>
        <v>0</v>
      </c>
      <c r="K1049" s="29">
        <f t="shared" si="82"/>
        <v>2180</v>
      </c>
      <c r="L1049" s="31" t="str">
        <f t="shared" si="83"/>
        <v/>
      </c>
      <c r="M1049" s="31" t="str">
        <f t="shared" si="84"/>
        <v/>
      </c>
    </row>
    <row r="1050" spans="1:13" x14ac:dyDescent="0.15">
      <c r="A1050" s="163" t="s">
        <v>210</v>
      </c>
      <c r="B1050" s="163">
        <v>42305.38017434028</v>
      </c>
      <c r="C1050" s="164" t="s">
        <v>14</v>
      </c>
      <c r="D1050" s="164" t="s">
        <v>15</v>
      </c>
      <c r="E1050" s="165">
        <v>40</v>
      </c>
      <c r="F1050" s="166">
        <v>3.7</v>
      </c>
      <c r="G1050" s="227">
        <f>IF($B$2,IF(ROWS(B$6:$B1050) = 1,$B1050-Start_Date,$B1050-$B1049),"")</f>
        <v>7.7922453710925765E-3</v>
      </c>
      <c r="H1050" s="29">
        <f>IF($B$2,IF(ROWS(B$6:$B1050) = 1,IF(COUNTIFS(R_Schedule_Times,"&lt;"&amp;B1050),INDEX(R_Schedule_Amounts,MATCH(B1050,R_Schedule_Times,1)),Starting_Cash),IF(COUNTIFS(R_Schedule_Times,"&gt;"&amp;B1049,R_Schedule_Times,"&lt;"&amp;B1050),INDEX(R_Schedule_Amounts,MATCH(B1050,R_Schedule_Times,1)),K1049)),"")</f>
        <v>2180</v>
      </c>
      <c r="I1050" s="30">
        <f t="shared" si="80"/>
        <v>40</v>
      </c>
      <c r="J1050" s="31">
        <f t="shared" si="81"/>
        <v>3.7</v>
      </c>
      <c r="K1050" s="29">
        <f t="shared" si="82"/>
        <v>2140</v>
      </c>
      <c r="L1050" s="31" t="str">
        <f t="shared" si="83"/>
        <v/>
      </c>
      <c r="M1050" s="31" t="str">
        <f t="shared" si="84"/>
        <v/>
      </c>
    </row>
    <row r="1051" spans="1:13" x14ac:dyDescent="0.15">
      <c r="A1051" s="163" t="s">
        <v>210</v>
      </c>
      <c r="B1051" s="163">
        <v>42305.381521932868</v>
      </c>
      <c r="C1051" s="164" t="s">
        <v>1322</v>
      </c>
      <c r="D1051" s="164" t="s">
        <v>15</v>
      </c>
      <c r="E1051" s="165">
        <v>100</v>
      </c>
      <c r="F1051" s="166">
        <v>3</v>
      </c>
      <c r="G1051" s="227">
        <f>IF($B$2,IF(ROWS(B$6:$B1051) = 1,$B1051-Start_Date,$B1051-$B1050),"")</f>
        <v>1.3475925879902206E-3</v>
      </c>
      <c r="H1051" s="29">
        <f>IF($B$2,IF(ROWS(B$6:$B1051) = 1,IF(COUNTIFS(R_Schedule_Times,"&lt;"&amp;B1051),INDEX(R_Schedule_Amounts,MATCH(B1051,R_Schedule_Times,1)),Starting_Cash),IF(COUNTIFS(R_Schedule_Times,"&gt;"&amp;B1050,R_Schedule_Times,"&lt;"&amp;B1051),INDEX(R_Schedule_Amounts,MATCH(B1051,R_Schedule_Times,1)),K1050)),"")</f>
        <v>2140</v>
      </c>
      <c r="I1051" s="30">
        <f t="shared" si="80"/>
        <v>100</v>
      </c>
      <c r="J1051" s="31">
        <f t="shared" si="81"/>
        <v>3</v>
      </c>
      <c r="K1051" s="29">
        <f t="shared" si="82"/>
        <v>2040</v>
      </c>
      <c r="L1051" s="31" t="str">
        <f t="shared" si="83"/>
        <v/>
      </c>
      <c r="M1051" s="31" t="str">
        <f t="shared" si="84"/>
        <v/>
      </c>
    </row>
    <row r="1052" spans="1:13" x14ac:dyDescent="0.15">
      <c r="A1052" s="163" t="s">
        <v>210</v>
      </c>
      <c r="B1052" s="163">
        <v>42305.43074920139</v>
      </c>
      <c r="C1052" s="164" t="s">
        <v>383</v>
      </c>
      <c r="D1052" s="164" t="s">
        <v>13</v>
      </c>
      <c r="E1052" s="165">
        <v>60</v>
      </c>
      <c r="F1052" s="166">
        <v>0</v>
      </c>
      <c r="G1052" s="227">
        <f>IF($B$2,IF(ROWS(B$6:$B1052) = 1,$B1052-Start_Date,$B1052-$B1051),"")</f>
        <v>4.9227268522372469E-2</v>
      </c>
      <c r="H1052" s="29">
        <f>IF($B$2,IF(ROWS(B$6:$B1052) = 1,IF(COUNTIFS(R_Schedule_Times,"&lt;"&amp;B1052),INDEX(R_Schedule_Amounts,MATCH(B1052,R_Schedule_Times,1)),Starting_Cash),IF(COUNTIFS(R_Schedule_Times,"&gt;"&amp;B1051,R_Schedule_Times,"&lt;"&amp;B1052),INDEX(R_Schedule_Amounts,MATCH(B1052,R_Schedule_Times,1)),K1051)),"")</f>
        <v>2040</v>
      </c>
      <c r="I1052" s="30">
        <f t="shared" si="80"/>
        <v>60</v>
      </c>
      <c r="J1052" s="31">
        <f t="shared" si="81"/>
        <v>0</v>
      </c>
      <c r="K1052" s="29">
        <f t="shared" si="82"/>
        <v>1980</v>
      </c>
      <c r="L1052" s="31" t="str">
        <f t="shared" si="83"/>
        <v/>
      </c>
      <c r="M1052" s="31" t="str">
        <f t="shared" si="84"/>
        <v/>
      </c>
    </row>
    <row r="1053" spans="1:13" x14ac:dyDescent="0.15">
      <c r="A1053" s="163" t="s">
        <v>210</v>
      </c>
      <c r="B1053" s="163">
        <v>42305.43185158565</v>
      </c>
      <c r="C1053" s="164" t="s">
        <v>384</v>
      </c>
      <c r="D1053" s="164" t="s">
        <v>13</v>
      </c>
      <c r="E1053" s="165">
        <v>80</v>
      </c>
      <c r="F1053" s="166">
        <v>0</v>
      </c>
      <c r="G1053" s="227">
        <f>IF($B$2,IF(ROWS(B$6:$B1053) = 1,$B1053-Start_Date,$B1053-$B1052),"")</f>
        <v>1.1023842598660849E-3</v>
      </c>
      <c r="H1053" s="29">
        <f>IF($B$2,IF(ROWS(B$6:$B1053) = 1,IF(COUNTIFS(R_Schedule_Times,"&lt;"&amp;B1053),INDEX(R_Schedule_Amounts,MATCH(B1053,R_Schedule_Times,1)),Starting_Cash),IF(COUNTIFS(R_Schedule_Times,"&gt;"&amp;B1052,R_Schedule_Times,"&lt;"&amp;B1053),INDEX(R_Schedule_Amounts,MATCH(B1053,R_Schedule_Times,1)),K1052)),"")</f>
        <v>1980</v>
      </c>
      <c r="I1053" s="30">
        <f t="shared" si="80"/>
        <v>80</v>
      </c>
      <c r="J1053" s="31">
        <f t="shared" si="81"/>
        <v>0</v>
      </c>
      <c r="K1053" s="29">
        <f t="shared" si="82"/>
        <v>1900</v>
      </c>
      <c r="L1053" s="31" t="str">
        <f t="shared" si="83"/>
        <v/>
      </c>
      <c r="M1053" s="31" t="str">
        <f t="shared" si="84"/>
        <v/>
      </c>
    </row>
    <row r="1054" spans="1:13" x14ac:dyDescent="0.15">
      <c r="A1054" s="163" t="s">
        <v>210</v>
      </c>
      <c r="B1054" s="163">
        <v>42305.439203391201</v>
      </c>
      <c r="C1054" s="164" t="s">
        <v>1323</v>
      </c>
      <c r="D1054" s="164" t="s">
        <v>13</v>
      </c>
      <c r="E1054" s="165">
        <v>140</v>
      </c>
      <c r="F1054" s="166">
        <v>0</v>
      </c>
      <c r="G1054" s="227">
        <f>IF($B$2,IF(ROWS(B$6:$B1054) = 1,$B1054-Start_Date,$B1054-$B1053),"")</f>
        <v>7.3518055505701341E-3</v>
      </c>
      <c r="H1054" s="29">
        <f>IF($B$2,IF(ROWS(B$6:$B1054) = 1,IF(COUNTIFS(R_Schedule_Times,"&lt;"&amp;B1054),INDEX(R_Schedule_Amounts,MATCH(B1054,R_Schedule_Times,1)),Starting_Cash),IF(COUNTIFS(R_Schedule_Times,"&gt;"&amp;B1053,R_Schedule_Times,"&lt;"&amp;B1054),INDEX(R_Schedule_Amounts,MATCH(B1054,R_Schedule_Times,1)),K1053)),"")</f>
        <v>1900</v>
      </c>
      <c r="I1054" s="30">
        <f t="shared" si="80"/>
        <v>140</v>
      </c>
      <c r="J1054" s="31">
        <f t="shared" si="81"/>
        <v>0</v>
      </c>
      <c r="K1054" s="29">
        <f t="shared" si="82"/>
        <v>1760</v>
      </c>
      <c r="L1054" s="31" t="str">
        <f t="shared" si="83"/>
        <v/>
      </c>
      <c r="M1054" s="31" t="str">
        <f t="shared" si="84"/>
        <v/>
      </c>
    </row>
    <row r="1055" spans="1:13" x14ac:dyDescent="0.15">
      <c r="A1055" s="163" t="s">
        <v>210</v>
      </c>
      <c r="B1055" s="163">
        <v>42305.479937488424</v>
      </c>
      <c r="C1055" s="164" t="s">
        <v>1324</v>
      </c>
      <c r="D1055" s="164" t="s">
        <v>13</v>
      </c>
      <c r="E1055" s="165">
        <v>280</v>
      </c>
      <c r="F1055" s="166">
        <v>0</v>
      </c>
      <c r="G1055" s="227">
        <f>IF($B$2,IF(ROWS(B$6:$B1055) = 1,$B1055-Start_Date,$B1055-$B1054),"")</f>
        <v>4.0734097223321442E-2</v>
      </c>
      <c r="H1055" s="29">
        <f>IF($B$2,IF(ROWS(B$6:$B1055) = 1,IF(COUNTIFS(R_Schedule_Times,"&lt;"&amp;B1055),INDEX(R_Schedule_Amounts,MATCH(B1055,R_Schedule_Times,1)),Starting_Cash),IF(COUNTIFS(R_Schedule_Times,"&gt;"&amp;B1054,R_Schedule_Times,"&lt;"&amp;B1055),INDEX(R_Schedule_Amounts,MATCH(B1055,R_Schedule_Times,1)),K1054)),"")</f>
        <v>1760</v>
      </c>
      <c r="I1055" s="30">
        <f t="shared" si="80"/>
        <v>280</v>
      </c>
      <c r="J1055" s="31">
        <f t="shared" si="81"/>
        <v>0</v>
      </c>
      <c r="K1055" s="29">
        <f t="shared" si="82"/>
        <v>1480</v>
      </c>
      <c r="L1055" s="31" t="str">
        <f t="shared" si="83"/>
        <v/>
      </c>
      <c r="M1055" s="31" t="str">
        <f t="shared" si="84"/>
        <v/>
      </c>
    </row>
    <row r="1056" spans="1:13" x14ac:dyDescent="0.15">
      <c r="A1056" s="163" t="s">
        <v>210</v>
      </c>
      <c r="B1056" s="163">
        <v>42305.499206504632</v>
      </c>
      <c r="C1056" s="164" t="s">
        <v>1325</v>
      </c>
      <c r="D1056" s="164" t="s">
        <v>13</v>
      </c>
      <c r="E1056" s="165">
        <v>300</v>
      </c>
      <c r="F1056" s="166">
        <v>0</v>
      </c>
      <c r="G1056" s="227">
        <f>IF($B$2,IF(ROWS(B$6:$B1056) = 1,$B1056-Start_Date,$B1056-$B1055),"")</f>
        <v>1.9269016207545064E-2</v>
      </c>
      <c r="H1056" s="29">
        <f>IF($B$2,IF(ROWS(B$6:$B1056) = 1,IF(COUNTIFS(R_Schedule_Times,"&lt;"&amp;B1056),INDEX(R_Schedule_Amounts,MATCH(B1056,R_Schedule_Times,1)),Starting_Cash),IF(COUNTIFS(R_Schedule_Times,"&gt;"&amp;B1055,R_Schedule_Times,"&lt;"&amp;B1056),INDEX(R_Schedule_Amounts,MATCH(B1056,R_Schedule_Times,1)),K1055)),"")</f>
        <v>1480</v>
      </c>
      <c r="I1056" s="30">
        <f t="shared" si="80"/>
        <v>300</v>
      </c>
      <c r="J1056" s="31">
        <f t="shared" si="81"/>
        <v>0</v>
      </c>
      <c r="K1056" s="29">
        <f t="shared" si="82"/>
        <v>1180</v>
      </c>
      <c r="L1056" s="31" t="str">
        <f t="shared" si="83"/>
        <v/>
      </c>
      <c r="M1056" s="31" t="str">
        <f t="shared" si="84"/>
        <v/>
      </c>
    </row>
    <row r="1057" spans="1:13" x14ac:dyDescent="0.15">
      <c r="A1057" s="163" t="s">
        <v>210</v>
      </c>
      <c r="B1057" s="163">
        <v>42305.510679699073</v>
      </c>
      <c r="C1057" s="164" t="s">
        <v>1326</v>
      </c>
      <c r="D1057" s="164" t="s">
        <v>13</v>
      </c>
      <c r="E1057" s="165">
        <v>60</v>
      </c>
      <c r="F1057" s="166">
        <v>0</v>
      </c>
      <c r="G1057" s="227">
        <f>IF($B$2,IF(ROWS(B$6:$B1057) = 1,$B1057-Start_Date,$B1057-$B1056),"")</f>
        <v>1.1473194441350643E-2</v>
      </c>
      <c r="H1057" s="29">
        <f>IF($B$2,IF(ROWS(B$6:$B1057) = 1,IF(COUNTIFS(R_Schedule_Times,"&lt;"&amp;B1057),INDEX(R_Schedule_Amounts,MATCH(B1057,R_Schedule_Times,1)),Starting_Cash),IF(COUNTIFS(R_Schedule_Times,"&gt;"&amp;B1056,R_Schedule_Times,"&lt;"&amp;B1057),INDEX(R_Schedule_Amounts,MATCH(B1057,R_Schedule_Times,1)),K1056)),"")</f>
        <v>1180</v>
      </c>
      <c r="I1057" s="30">
        <f t="shared" si="80"/>
        <v>60</v>
      </c>
      <c r="J1057" s="31">
        <f t="shared" si="81"/>
        <v>0</v>
      </c>
      <c r="K1057" s="29">
        <f t="shared" si="82"/>
        <v>1120</v>
      </c>
      <c r="L1057" s="31" t="str">
        <f t="shared" si="83"/>
        <v/>
      </c>
      <c r="M1057" s="31" t="str">
        <f t="shared" si="84"/>
        <v/>
      </c>
    </row>
    <row r="1058" spans="1:13" x14ac:dyDescent="0.15">
      <c r="A1058" s="163" t="s">
        <v>210</v>
      </c>
      <c r="B1058" s="163">
        <v>42305.555776168978</v>
      </c>
      <c r="C1058" s="164" t="s">
        <v>826</v>
      </c>
      <c r="D1058" s="164" t="s">
        <v>13</v>
      </c>
      <c r="E1058" s="165">
        <v>60</v>
      </c>
      <c r="F1058" s="166">
        <v>0</v>
      </c>
      <c r="G1058" s="227">
        <f>IF($B$2,IF(ROWS(B$6:$B1058) = 1,$B1058-Start_Date,$B1058-$B1057),"")</f>
        <v>4.5096469904819969E-2</v>
      </c>
      <c r="H1058" s="29">
        <f>IF($B$2,IF(ROWS(B$6:$B1058) = 1,IF(COUNTIFS(R_Schedule_Times,"&lt;"&amp;B1058),INDEX(R_Schedule_Amounts,MATCH(B1058,R_Schedule_Times,1)),Starting_Cash),IF(COUNTIFS(R_Schedule_Times,"&gt;"&amp;B1057,R_Schedule_Times,"&lt;"&amp;B1058),INDEX(R_Schedule_Amounts,MATCH(B1058,R_Schedule_Times,1)),K1057)),"")</f>
        <v>1120</v>
      </c>
      <c r="I1058" s="30">
        <f t="shared" si="80"/>
        <v>60</v>
      </c>
      <c r="J1058" s="31">
        <f t="shared" si="81"/>
        <v>0</v>
      </c>
      <c r="K1058" s="29">
        <f t="shared" si="82"/>
        <v>1060</v>
      </c>
      <c r="L1058" s="31" t="str">
        <f t="shared" si="83"/>
        <v/>
      </c>
      <c r="M1058" s="31" t="str">
        <f t="shared" si="84"/>
        <v/>
      </c>
    </row>
    <row r="1059" spans="1:13" x14ac:dyDescent="0.15">
      <c r="A1059" s="163" t="s">
        <v>210</v>
      </c>
      <c r="B1059" s="163">
        <v>42305.55996071759</v>
      </c>
      <c r="C1059" s="164" t="s">
        <v>1327</v>
      </c>
      <c r="D1059" s="164" t="s">
        <v>13</v>
      </c>
      <c r="E1059" s="165">
        <v>20</v>
      </c>
      <c r="F1059" s="166">
        <v>0</v>
      </c>
      <c r="G1059" s="227">
        <f>IF($B$2,IF(ROWS(B$6:$B1059) = 1,$B1059-Start_Date,$B1059-$B1058),"")</f>
        <v>4.1845486121019349E-3</v>
      </c>
      <c r="H1059" s="29">
        <f>IF($B$2,IF(ROWS(B$6:$B1059) = 1,IF(COUNTIFS(R_Schedule_Times,"&lt;"&amp;B1059),INDEX(R_Schedule_Amounts,MATCH(B1059,R_Schedule_Times,1)),Starting_Cash),IF(COUNTIFS(R_Schedule_Times,"&gt;"&amp;B1058,R_Schedule_Times,"&lt;"&amp;B1059),INDEX(R_Schedule_Amounts,MATCH(B1059,R_Schedule_Times,1)),K1058)),"")</f>
        <v>1060</v>
      </c>
      <c r="I1059" s="30">
        <f t="shared" si="80"/>
        <v>20</v>
      </c>
      <c r="J1059" s="31">
        <f t="shared" si="81"/>
        <v>0</v>
      </c>
      <c r="K1059" s="29">
        <f t="shared" si="82"/>
        <v>1040</v>
      </c>
      <c r="L1059" s="31" t="str">
        <f t="shared" si="83"/>
        <v/>
      </c>
      <c r="M1059" s="31" t="str">
        <f t="shared" si="84"/>
        <v/>
      </c>
    </row>
    <row r="1060" spans="1:13" x14ac:dyDescent="0.15">
      <c r="A1060" s="163" t="s">
        <v>210</v>
      </c>
      <c r="B1060" s="163">
        <v>42305.576289456018</v>
      </c>
      <c r="C1060" s="164" t="s">
        <v>571</v>
      </c>
      <c r="D1060" s="164" t="s">
        <v>13</v>
      </c>
      <c r="E1060" s="165">
        <v>40</v>
      </c>
      <c r="F1060" s="166">
        <v>0</v>
      </c>
      <c r="G1060" s="227">
        <f>IF($B$2,IF(ROWS(B$6:$B1060) = 1,$B1060-Start_Date,$B1060-$B1059),"")</f>
        <v>1.6328738427546341E-2</v>
      </c>
      <c r="H1060" s="29">
        <f>IF($B$2,IF(ROWS(B$6:$B1060) = 1,IF(COUNTIFS(R_Schedule_Times,"&lt;"&amp;B1060),INDEX(R_Schedule_Amounts,MATCH(B1060,R_Schedule_Times,1)),Starting_Cash),IF(COUNTIFS(R_Schedule_Times,"&gt;"&amp;B1059,R_Schedule_Times,"&lt;"&amp;B1060),INDEX(R_Schedule_Amounts,MATCH(B1060,R_Schedule_Times,1)),K1059)),"")</f>
        <v>1040</v>
      </c>
      <c r="I1060" s="30">
        <f t="shared" si="80"/>
        <v>40</v>
      </c>
      <c r="J1060" s="31">
        <f t="shared" si="81"/>
        <v>0</v>
      </c>
      <c r="K1060" s="29">
        <f t="shared" si="82"/>
        <v>1000</v>
      </c>
      <c r="L1060" s="31" t="str">
        <f t="shared" si="83"/>
        <v/>
      </c>
      <c r="M1060" s="31" t="str">
        <f t="shared" si="84"/>
        <v/>
      </c>
    </row>
    <row r="1061" spans="1:13" x14ac:dyDescent="0.15">
      <c r="A1061" s="163" t="s">
        <v>210</v>
      </c>
      <c r="B1061" s="163">
        <v>42305.600125636571</v>
      </c>
      <c r="C1061" s="164" t="s">
        <v>1328</v>
      </c>
      <c r="D1061" s="164" t="s">
        <v>13</v>
      </c>
      <c r="E1061" s="165">
        <v>20</v>
      </c>
      <c r="F1061" s="166">
        <v>0</v>
      </c>
      <c r="G1061" s="227">
        <f>IF($B$2,IF(ROWS(B$6:$B1061) = 1,$B1061-Start_Date,$B1061-$B1060),"")</f>
        <v>2.3836180553189479E-2</v>
      </c>
      <c r="H1061" s="29">
        <f>IF($B$2,IF(ROWS(B$6:$B1061) = 1,IF(COUNTIFS(R_Schedule_Times,"&lt;"&amp;B1061),INDEX(R_Schedule_Amounts,MATCH(B1061,R_Schedule_Times,1)),Starting_Cash),IF(COUNTIFS(R_Schedule_Times,"&gt;"&amp;B1060,R_Schedule_Times,"&lt;"&amp;B1061),INDEX(R_Schedule_Amounts,MATCH(B1061,R_Schedule_Times,1)),K1060)),"")</f>
        <v>1000</v>
      </c>
      <c r="I1061" s="30">
        <f t="shared" si="80"/>
        <v>20</v>
      </c>
      <c r="J1061" s="31">
        <f t="shared" si="81"/>
        <v>0</v>
      </c>
      <c r="K1061" s="29">
        <f t="shared" si="82"/>
        <v>980</v>
      </c>
      <c r="L1061" s="31" t="str">
        <f t="shared" si="83"/>
        <v/>
      </c>
      <c r="M1061" s="31" t="str">
        <f t="shared" si="84"/>
        <v/>
      </c>
    </row>
    <row r="1062" spans="1:13" x14ac:dyDescent="0.15">
      <c r="A1062" s="163" t="s">
        <v>210</v>
      </c>
      <c r="B1062" s="163">
        <v>42305.611847372682</v>
      </c>
      <c r="C1062" s="164" t="s">
        <v>14</v>
      </c>
      <c r="D1062" s="164" t="s">
        <v>15</v>
      </c>
      <c r="E1062" s="165">
        <v>40</v>
      </c>
      <c r="F1062" s="166">
        <v>3.7</v>
      </c>
      <c r="G1062" s="227">
        <f>IF($B$2,IF(ROWS(B$6:$B1062) = 1,$B1062-Start_Date,$B1062-$B1061),"")</f>
        <v>1.1721736111212522E-2</v>
      </c>
      <c r="H1062" s="29">
        <f>IF($B$2,IF(ROWS(B$6:$B1062) = 1,IF(COUNTIFS(R_Schedule_Times,"&lt;"&amp;B1062),INDEX(R_Schedule_Amounts,MATCH(B1062,R_Schedule_Times,1)),Starting_Cash),IF(COUNTIFS(R_Schedule_Times,"&gt;"&amp;B1061,R_Schedule_Times,"&lt;"&amp;B1062),INDEX(R_Schedule_Amounts,MATCH(B1062,R_Schedule_Times,1)),K1061)),"")</f>
        <v>980</v>
      </c>
      <c r="I1062" s="30">
        <f t="shared" si="80"/>
        <v>40</v>
      </c>
      <c r="J1062" s="31">
        <f t="shared" si="81"/>
        <v>3.7</v>
      </c>
      <c r="K1062" s="29">
        <f t="shared" si="82"/>
        <v>940</v>
      </c>
      <c r="L1062" s="31" t="str">
        <f t="shared" si="83"/>
        <v/>
      </c>
      <c r="M1062" s="31" t="str">
        <f t="shared" si="84"/>
        <v/>
      </c>
    </row>
    <row r="1063" spans="1:13" x14ac:dyDescent="0.15">
      <c r="A1063" s="163" t="s">
        <v>210</v>
      </c>
      <c r="B1063" s="163">
        <v>42305.626664699077</v>
      </c>
      <c r="C1063" s="164" t="s">
        <v>1329</v>
      </c>
      <c r="D1063" s="164" t="s">
        <v>13</v>
      </c>
      <c r="E1063" s="165">
        <v>100</v>
      </c>
      <c r="F1063" s="166">
        <v>0</v>
      </c>
      <c r="G1063" s="227">
        <f>IF($B$2,IF(ROWS(B$6:$B1063) = 1,$B1063-Start_Date,$B1063-$B1062),"")</f>
        <v>1.4817326395132113E-2</v>
      </c>
      <c r="H1063" s="29">
        <f>IF($B$2,IF(ROWS(B$6:$B1063) = 1,IF(COUNTIFS(R_Schedule_Times,"&lt;"&amp;B1063),INDEX(R_Schedule_Amounts,MATCH(B1063,R_Schedule_Times,1)),Starting_Cash),IF(COUNTIFS(R_Schedule_Times,"&gt;"&amp;B1062,R_Schedule_Times,"&lt;"&amp;B1063),INDEX(R_Schedule_Amounts,MATCH(B1063,R_Schedule_Times,1)),K1062)),"")</f>
        <v>940</v>
      </c>
      <c r="I1063" s="30">
        <f t="shared" si="80"/>
        <v>100</v>
      </c>
      <c r="J1063" s="31">
        <f t="shared" si="81"/>
        <v>0</v>
      </c>
      <c r="K1063" s="29">
        <f t="shared" si="82"/>
        <v>840</v>
      </c>
      <c r="L1063" s="31" t="str">
        <f t="shared" si="83"/>
        <v/>
      </c>
      <c r="M1063" s="31" t="str">
        <f t="shared" si="84"/>
        <v/>
      </c>
    </row>
    <row r="1064" spans="1:13" x14ac:dyDescent="0.15">
      <c r="A1064" s="163" t="s">
        <v>210</v>
      </c>
      <c r="B1064" s="163">
        <v>42305.645512268522</v>
      </c>
      <c r="C1064" s="164" t="s">
        <v>1330</v>
      </c>
      <c r="D1064" s="164" t="s">
        <v>13</v>
      </c>
      <c r="E1064" s="165">
        <v>60</v>
      </c>
      <c r="F1064" s="166">
        <v>0</v>
      </c>
      <c r="G1064" s="227">
        <f>IF($B$2,IF(ROWS(B$6:$B1064) = 1,$B1064-Start_Date,$B1064-$B1063),"")</f>
        <v>1.884756944491528E-2</v>
      </c>
      <c r="H1064" s="29">
        <f>IF($B$2,IF(ROWS(B$6:$B1064) = 1,IF(COUNTIFS(R_Schedule_Times,"&lt;"&amp;B1064),INDEX(R_Schedule_Amounts,MATCH(B1064,R_Schedule_Times,1)),Starting_Cash),IF(COUNTIFS(R_Schedule_Times,"&gt;"&amp;B1063,R_Schedule_Times,"&lt;"&amp;B1064),INDEX(R_Schedule_Amounts,MATCH(B1064,R_Schedule_Times,1)),K1063)),"")</f>
        <v>840</v>
      </c>
      <c r="I1064" s="30">
        <f t="shared" si="80"/>
        <v>60</v>
      </c>
      <c r="J1064" s="31">
        <f t="shared" si="81"/>
        <v>0</v>
      </c>
      <c r="K1064" s="29">
        <f t="shared" si="82"/>
        <v>780</v>
      </c>
      <c r="L1064" s="31" t="str">
        <f t="shared" si="83"/>
        <v/>
      </c>
      <c r="M1064" s="31" t="str">
        <f t="shared" si="84"/>
        <v/>
      </c>
    </row>
    <row r="1065" spans="1:13" x14ac:dyDescent="0.15">
      <c r="A1065" s="163" t="s">
        <v>210</v>
      </c>
      <c r="B1065" s="163">
        <v>42305.654373750003</v>
      </c>
      <c r="C1065" s="164" t="s">
        <v>14</v>
      </c>
      <c r="D1065" s="164" t="s">
        <v>13</v>
      </c>
      <c r="E1065" s="165">
        <v>20</v>
      </c>
      <c r="F1065" s="166">
        <v>3.5</v>
      </c>
      <c r="G1065" s="227">
        <f>IF($B$2,IF(ROWS(B$6:$B1065) = 1,$B1065-Start_Date,$B1065-$B1064),"")</f>
        <v>8.8614814812899567E-3</v>
      </c>
      <c r="H1065" s="29">
        <f>IF($B$2,IF(ROWS(B$6:$B1065) = 1,IF(COUNTIFS(R_Schedule_Times,"&lt;"&amp;B1065),INDEX(R_Schedule_Amounts,MATCH(B1065,R_Schedule_Times,1)),Starting_Cash),IF(COUNTIFS(R_Schedule_Times,"&gt;"&amp;B1064,R_Schedule_Times,"&lt;"&amp;B1065),INDEX(R_Schedule_Amounts,MATCH(B1065,R_Schedule_Times,1)),K1064)),"")</f>
        <v>780</v>
      </c>
      <c r="I1065" s="30">
        <f t="shared" si="80"/>
        <v>20</v>
      </c>
      <c r="J1065" s="31">
        <f t="shared" si="81"/>
        <v>3.5</v>
      </c>
      <c r="K1065" s="29">
        <f t="shared" si="82"/>
        <v>760</v>
      </c>
      <c r="L1065" s="31" t="str">
        <f t="shared" si="83"/>
        <v/>
      </c>
      <c r="M1065" s="31" t="str">
        <f t="shared" si="84"/>
        <v/>
      </c>
    </row>
    <row r="1066" spans="1:13" x14ac:dyDescent="0.15">
      <c r="A1066" s="163" t="s">
        <v>210</v>
      </c>
      <c r="B1066" s="163">
        <v>42305.66146865741</v>
      </c>
      <c r="C1066" s="164" t="s">
        <v>1331</v>
      </c>
      <c r="D1066" s="164" t="s">
        <v>13</v>
      </c>
      <c r="E1066" s="165">
        <v>40</v>
      </c>
      <c r="F1066" s="166">
        <v>0</v>
      </c>
      <c r="G1066" s="227">
        <f>IF($B$2,IF(ROWS(B$6:$B1066) = 1,$B1066-Start_Date,$B1066-$B1065),"")</f>
        <v>7.0949074070085771E-3</v>
      </c>
      <c r="H1066" s="29">
        <f>IF($B$2,IF(ROWS(B$6:$B1066) = 1,IF(COUNTIFS(R_Schedule_Times,"&lt;"&amp;B1066),INDEX(R_Schedule_Amounts,MATCH(B1066,R_Schedule_Times,1)),Starting_Cash),IF(COUNTIFS(R_Schedule_Times,"&gt;"&amp;B1065,R_Schedule_Times,"&lt;"&amp;B1066),INDEX(R_Schedule_Amounts,MATCH(B1066,R_Schedule_Times,1)),K1065)),"")</f>
        <v>760</v>
      </c>
      <c r="I1066" s="30">
        <f t="shared" si="80"/>
        <v>40</v>
      </c>
      <c r="J1066" s="31">
        <f t="shared" si="81"/>
        <v>0</v>
      </c>
      <c r="K1066" s="29">
        <f t="shared" si="82"/>
        <v>720</v>
      </c>
      <c r="L1066" s="31" t="str">
        <f t="shared" si="83"/>
        <v/>
      </c>
      <c r="M1066" s="31" t="str">
        <f t="shared" si="84"/>
        <v/>
      </c>
    </row>
    <row r="1067" spans="1:13" x14ac:dyDescent="0.15">
      <c r="A1067" s="163" t="s">
        <v>210</v>
      </c>
      <c r="B1067" s="163">
        <v>42305.742883564817</v>
      </c>
      <c r="C1067" s="164" t="s">
        <v>247</v>
      </c>
      <c r="D1067" s="164" t="s">
        <v>13</v>
      </c>
      <c r="E1067" s="165">
        <v>100</v>
      </c>
      <c r="F1067" s="166">
        <v>0</v>
      </c>
      <c r="G1067" s="227">
        <f>IF($B$2,IF(ROWS(B$6:$B1067) = 1,$B1067-Start_Date,$B1067-$B1066),"")</f>
        <v>8.1414907406724524E-2</v>
      </c>
      <c r="H1067" s="29">
        <f>IF($B$2,IF(ROWS(B$6:$B1067) = 1,IF(COUNTIFS(R_Schedule_Times,"&lt;"&amp;B1067),INDEX(R_Schedule_Amounts,MATCH(B1067,R_Schedule_Times,1)),Starting_Cash),IF(COUNTIFS(R_Schedule_Times,"&gt;"&amp;B1066,R_Schedule_Times,"&lt;"&amp;B1067),INDEX(R_Schedule_Amounts,MATCH(B1067,R_Schedule_Times,1)),K1066)),"")</f>
        <v>20000</v>
      </c>
      <c r="I1067" s="30">
        <f t="shared" si="80"/>
        <v>100</v>
      </c>
      <c r="J1067" s="31">
        <f t="shared" si="81"/>
        <v>0</v>
      </c>
      <c r="K1067" s="29">
        <f t="shared" si="82"/>
        <v>19900</v>
      </c>
      <c r="L1067" s="31" t="str">
        <f t="shared" si="83"/>
        <v/>
      </c>
      <c r="M1067" s="31" t="str">
        <f t="shared" si="84"/>
        <v/>
      </c>
    </row>
    <row r="1068" spans="1:13" x14ac:dyDescent="0.15">
      <c r="A1068" s="163" t="s">
        <v>210</v>
      </c>
      <c r="B1068" s="163">
        <v>42305.751242465281</v>
      </c>
      <c r="C1068" s="164" t="s">
        <v>1332</v>
      </c>
      <c r="D1068" s="164" t="s">
        <v>13</v>
      </c>
      <c r="E1068" s="165">
        <v>40</v>
      </c>
      <c r="F1068" s="166">
        <v>0</v>
      </c>
      <c r="G1068" s="227">
        <f>IF($B$2,IF(ROWS(B$6:$B1068) = 1,$B1068-Start_Date,$B1068-$B1067),"")</f>
        <v>8.3589004643727094E-3</v>
      </c>
      <c r="H1068" s="29">
        <f>IF($B$2,IF(ROWS(B$6:$B1068) = 1,IF(COUNTIFS(R_Schedule_Times,"&lt;"&amp;B1068),INDEX(R_Schedule_Amounts,MATCH(B1068,R_Schedule_Times,1)),Starting_Cash),IF(COUNTIFS(R_Schedule_Times,"&gt;"&amp;B1067,R_Schedule_Times,"&lt;"&amp;B1068),INDEX(R_Schedule_Amounts,MATCH(B1068,R_Schedule_Times,1)),K1067)),"")</f>
        <v>19900</v>
      </c>
      <c r="I1068" s="30">
        <f t="shared" si="80"/>
        <v>40</v>
      </c>
      <c r="J1068" s="31">
        <f t="shared" si="81"/>
        <v>0</v>
      </c>
      <c r="K1068" s="29">
        <f t="shared" si="82"/>
        <v>19860</v>
      </c>
      <c r="L1068" s="31" t="str">
        <f t="shared" si="83"/>
        <v/>
      </c>
      <c r="M1068" s="31" t="str">
        <f t="shared" si="84"/>
        <v/>
      </c>
    </row>
    <row r="1069" spans="1:13" x14ac:dyDescent="0.15">
      <c r="A1069" s="163" t="s">
        <v>210</v>
      </c>
      <c r="B1069" s="163">
        <v>42305.762740092592</v>
      </c>
      <c r="C1069" s="164" t="s">
        <v>1333</v>
      </c>
      <c r="D1069" s="164" t="s">
        <v>13</v>
      </c>
      <c r="E1069" s="165">
        <v>100</v>
      </c>
      <c r="F1069" s="166">
        <v>0</v>
      </c>
      <c r="G1069" s="227">
        <f>IF($B$2,IF(ROWS(B$6:$B1069) = 1,$B1069-Start_Date,$B1069-$B1068),"")</f>
        <v>1.1497627310745884E-2</v>
      </c>
      <c r="H1069" s="29">
        <f>IF($B$2,IF(ROWS(B$6:$B1069) = 1,IF(COUNTIFS(R_Schedule_Times,"&lt;"&amp;B1069),INDEX(R_Schedule_Amounts,MATCH(B1069,R_Schedule_Times,1)),Starting_Cash),IF(COUNTIFS(R_Schedule_Times,"&gt;"&amp;B1068,R_Schedule_Times,"&lt;"&amp;B1069),INDEX(R_Schedule_Amounts,MATCH(B1069,R_Schedule_Times,1)),K1068)),"")</f>
        <v>19860</v>
      </c>
      <c r="I1069" s="30">
        <f t="shared" si="80"/>
        <v>100</v>
      </c>
      <c r="J1069" s="31">
        <f t="shared" si="81"/>
        <v>0</v>
      </c>
      <c r="K1069" s="29">
        <f t="shared" si="82"/>
        <v>19760</v>
      </c>
      <c r="L1069" s="31" t="str">
        <f t="shared" si="83"/>
        <v/>
      </c>
      <c r="M1069" s="31" t="str">
        <f t="shared" si="84"/>
        <v/>
      </c>
    </row>
    <row r="1070" spans="1:13" x14ac:dyDescent="0.15">
      <c r="A1070" s="163" t="s">
        <v>210</v>
      </c>
      <c r="B1070" s="163">
        <v>42305.766307233796</v>
      </c>
      <c r="C1070" s="164" t="s">
        <v>1334</v>
      </c>
      <c r="D1070" s="164" t="s">
        <v>13</v>
      </c>
      <c r="E1070" s="165">
        <v>100</v>
      </c>
      <c r="F1070" s="166">
        <v>0</v>
      </c>
      <c r="G1070" s="227">
        <f>IF($B$2,IF(ROWS(B$6:$B1070) = 1,$B1070-Start_Date,$B1070-$B1069),"")</f>
        <v>3.5671412042574957E-3</v>
      </c>
      <c r="H1070" s="29">
        <f>IF($B$2,IF(ROWS(B$6:$B1070) = 1,IF(COUNTIFS(R_Schedule_Times,"&lt;"&amp;B1070),INDEX(R_Schedule_Amounts,MATCH(B1070,R_Schedule_Times,1)),Starting_Cash),IF(COUNTIFS(R_Schedule_Times,"&gt;"&amp;B1069,R_Schedule_Times,"&lt;"&amp;B1070),INDEX(R_Schedule_Amounts,MATCH(B1070,R_Schedule_Times,1)),K1069)),"")</f>
        <v>19760</v>
      </c>
      <c r="I1070" s="30">
        <f t="shared" si="80"/>
        <v>100</v>
      </c>
      <c r="J1070" s="31">
        <f t="shared" si="81"/>
        <v>0</v>
      </c>
      <c r="K1070" s="29">
        <f t="shared" si="82"/>
        <v>19660</v>
      </c>
      <c r="L1070" s="31" t="str">
        <f t="shared" si="83"/>
        <v/>
      </c>
      <c r="M1070" s="31" t="str">
        <f t="shared" si="84"/>
        <v/>
      </c>
    </row>
    <row r="1071" spans="1:13" x14ac:dyDescent="0.15">
      <c r="A1071" s="163" t="s">
        <v>210</v>
      </c>
      <c r="B1071" s="163">
        <v>42305.789447164352</v>
      </c>
      <c r="C1071" s="164" t="s">
        <v>1335</v>
      </c>
      <c r="D1071" s="164" t="s">
        <v>13</v>
      </c>
      <c r="E1071" s="165">
        <v>60</v>
      </c>
      <c r="F1071" s="166">
        <v>0</v>
      </c>
      <c r="G1071" s="227">
        <f>IF($B$2,IF(ROWS(B$6:$B1071) = 1,$B1071-Start_Date,$B1071-$B1070),"")</f>
        <v>2.3139930555771571E-2</v>
      </c>
      <c r="H1071" s="29">
        <f>IF($B$2,IF(ROWS(B$6:$B1071) = 1,IF(COUNTIFS(R_Schedule_Times,"&lt;"&amp;B1071),INDEX(R_Schedule_Amounts,MATCH(B1071,R_Schedule_Times,1)),Starting_Cash),IF(COUNTIFS(R_Schedule_Times,"&gt;"&amp;B1070,R_Schedule_Times,"&lt;"&amp;B1071),INDEX(R_Schedule_Amounts,MATCH(B1071,R_Schedule_Times,1)),K1070)),"")</f>
        <v>19660</v>
      </c>
      <c r="I1071" s="30">
        <f t="shared" si="80"/>
        <v>60</v>
      </c>
      <c r="J1071" s="31">
        <f t="shared" si="81"/>
        <v>0</v>
      </c>
      <c r="K1071" s="29">
        <f t="shared" si="82"/>
        <v>19600</v>
      </c>
      <c r="L1071" s="31" t="str">
        <f t="shared" si="83"/>
        <v/>
      </c>
      <c r="M1071" s="31" t="str">
        <f t="shared" si="84"/>
        <v/>
      </c>
    </row>
    <row r="1072" spans="1:13" x14ac:dyDescent="0.15">
      <c r="A1072" s="163" t="s">
        <v>210</v>
      </c>
      <c r="B1072" s="163">
        <v>42305.866597175926</v>
      </c>
      <c r="C1072" s="164" t="s">
        <v>1336</v>
      </c>
      <c r="D1072" s="164" t="s">
        <v>13</v>
      </c>
      <c r="E1072" s="165">
        <v>100</v>
      </c>
      <c r="F1072" s="166">
        <v>0</v>
      </c>
      <c r="G1072" s="227">
        <f>IF($B$2,IF(ROWS(B$6:$B1072) = 1,$B1072-Start_Date,$B1072-$B1071),"")</f>
        <v>7.7150011573394295E-2</v>
      </c>
      <c r="H1072" s="29">
        <f>IF($B$2,IF(ROWS(B$6:$B1072) = 1,IF(COUNTIFS(R_Schedule_Times,"&lt;"&amp;B1072),INDEX(R_Schedule_Amounts,MATCH(B1072,R_Schedule_Times,1)),Starting_Cash),IF(COUNTIFS(R_Schedule_Times,"&gt;"&amp;B1071,R_Schedule_Times,"&lt;"&amp;B1072),INDEX(R_Schedule_Amounts,MATCH(B1072,R_Schedule_Times,1)),K1071)),"")</f>
        <v>19600</v>
      </c>
      <c r="I1072" s="30">
        <f t="shared" si="80"/>
        <v>100</v>
      </c>
      <c r="J1072" s="31">
        <f t="shared" si="81"/>
        <v>0</v>
      </c>
      <c r="K1072" s="29">
        <f t="shared" si="82"/>
        <v>19500</v>
      </c>
      <c r="L1072" s="31" t="str">
        <f t="shared" si="83"/>
        <v/>
      </c>
      <c r="M1072" s="31" t="str">
        <f t="shared" si="84"/>
        <v/>
      </c>
    </row>
    <row r="1073" spans="1:13" x14ac:dyDescent="0.15">
      <c r="A1073" s="163" t="s">
        <v>210</v>
      </c>
      <c r="B1073" s="163">
        <v>42306.257053703703</v>
      </c>
      <c r="C1073" s="164" t="s">
        <v>1337</v>
      </c>
      <c r="D1073" s="164" t="s">
        <v>13</v>
      </c>
      <c r="E1073" s="165">
        <v>100</v>
      </c>
      <c r="F1073" s="166">
        <v>0</v>
      </c>
      <c r="G1073" s="227">
        <f>IF($B$2,IF(ROWS(B$6:$B1073) = 1,$B1073-Start_Date,$B1073-$B1072),"")</f>
        <v>0.39045652777713258</v>
      </c>
      <c r="H1073" s="29">
        <f>IF($B$2,IF(ROWS(B$6:$B1073) = 1,IF(COUNTIFS(R_Schedule_Times,"&lt;"&amp;B1073),INDEX(R_Schedule_Amounts,MATCH(B1073,R_Schedule_Times,1)),Starting_Cash),IF(COUNTIFS(R_Schedule_Times,"&gt;"&amp;B1072,R_Schedule_Times,"&lt;"&amp;B1073),INDEX(R_Schedule_Amounts,MATCH(B1073,R_Schedule_Times,1)),K1072)),"")</f>
        <v>19500</v>
      </c>
      <c r="I1073" s="30">
        <f t="shared" si="80"/>
        <v>100</v>
      </c>
      <c r="J1073" s="31">
        <f t="shared" si="81"/>
        <v>0</v>
      </c>
      <c r="K1073" s="29">
        <f t="shared" si="82"/>
        <v>19400</v>
      </c>
      <c r="L1073" s="31" t="str">
        <f t="shared" si="83"/>
        <v/>
      </c>
      <c r="M1073" s="31" t="str">
        <f t="shared" si="84"/>
        <v/>
      </c>
    </row>
    <row r="1074" spans="1:13" x14ac:dyDescent="0.15">
      <c r="A1074" s="163" t="s">
        <v>210</v>
      </c>
      <c r="B1074" s="163">
        <v>42306.268927245372</v>
      </c>
      <c r="C1074" s="164" t="s">
        <v>1338</v>
      </c>
      <c r="D1074" s="164" t="s">
        <v>13</v>
      </c>
      <c r="E1074" s="165">
        <v>100</v>
      </c>
      <c r="F1074" s="166">
        <v>0</v>
      </c>
      <c r="G1074" s="227">
        <f>IF($B$2,IF(ROWS(B$6:$B1074) = 1,$B1074-Start_Date,$B1074-$B1073),"")</f>
        <v>1.1873541669046972E-2</v>
      </c>
      <c r="H1074" s="29">
        <f>IF($B$2,IF(ROWS(B$6:$B1074) = 1,IF(COUNTIFS(R_Schedule_Times,"&lt;"&amp;B1074),INDEX(R_Schedule_Amounts,MATCH(B1074,R_Schedule_Times,1)),Starting_Cash),IF(COUNTIFS(R_Schedule_Times,"&gt;"&amp;B1073,R_Schedule_Times,"&lt;"&amp;B1074),INDEX(R_Schedule_Amounts,MATCH(B1074,R_Schedule_Times,1)),K1073)),"")</f>
        <v>19400</v>
      </c>
      <c r="I1074" s="30">
        <f t="shared" si="80"/>
        <v>100</v>
      </c>
      <c r="J1074" s="31">
        <f t="shared" si="81"/>
        <v>0</v>
      </c>
      <c r="K1074" s="29">
        <f t="shared" si="82"/>
        <v>19300</v>
      </c>
      <c r="L1074" s="31" t="str">
        <f t="shared" si="83"/>
        <v/>
      </c>
      <c r="M1074" s="31" t="str">
        <f t="shared" si="84"/>
        <v/>
      </c>
    </row>
    <row r="1075" spans="1:13" x14ac:dyDescent="0.15">
      <c r="A1075" s="163" t="s">
        <v>210</v>
      </c>
      <c r="B1075" s="163">
        <v>42306.320785914351</v>
      </c>
      <c r="C1075" s="164" t="s">
        <v>1339</v>
      </c>
      <c r="D1075" s="164" t="s">
        <v>13</v>
      </c>
      <c r="E1075" s="165">
        <v>60</v>
      </c>
      <c r="F1075" s="166">
        <v>0</v>
      </c>
      <c r="G1075" s="227">
        <f>IF($B$2,IF(ROWS(B$6:$B1075) = 1,$B1075-Start_Date,$B1075-$B1074),"")</f>
        <v>5.1858668979548384E-2</v>
      </c>
      <c r="H1075" s="29">
        <f>IF($B$2,IF(ROWS(B$6:$B1075) = 1,IF(COUNTIFS(R_Schedule_Times,"&lt;"&amp;B1075),INDEX(R_Schedule_Amounts,MATCH(B1075,R_Schedule_Times,1)),Starting_Cash),IF(COUNTIFS(R_Schedule_Times,"&gt;"&amp;B1074,R_Schedule_Times,"&lt;"&amp;B1075),INDEX(R_Schedule_Amounts,MATCH(B1075,R_Schedule_Times,1)),K1074)),"")</f>
        <v>19300</v>
      </c>
      <c r="I1075" s="30">
        <f t="shared" si="80"/>
        <v>60</v>
      </c>
      <c r="J1075" s="31">
        <f t="shared" si="81"/>
        <v>0</v>
      </c>
      <c r="K1075" s="29">
        <f t="shared" si="82"/>
        <v>19240</v>
      </c>
      <c r="L1075" s="31" t="str">
        <f t="shared" si="83"/>
        <v/>
      </c>
      <c r="M1075" s="31" t="str">
        <f t="shared" si="84"/>
        <v/>
      </c>
    </row>
    <row r="1076" spans="1:13" x14ac:dyDescent="0.15">
      <c r="A1076" s="163" t="s">
        <v>210</v>
      </c>
      <c r="B1076" s="163">
        <v>42306.323873703703</v>
      </c>
      <c r="C1076" s="164" t="s">
        <v>1340</v>
      </c>
      <c r="D1076" s="164" t="s">
        <v>13</v>
      </c>
      <c r="E1076" s="165">
        <v>40</v>
      </c>
      <c r="F1076" s="166">
        <v>0</v>
      </c>
      <c r="G1076" s="227">
        <f>IF($B$2,IF(ROWS(B$6:$B1076) = 1,$B1076-Start_Date,$B1076-$B1075),"")</f>
        <v>3.0877893514116295E-3</v>
      </c>
      <c r="H1076" s="29">
        <f>IF($B$2,IF(ROWS(B$6:$B1076) = 1,IF(COUNTIFS(R_Schedule_Times,"&lt;"&amp;B1076),INDEX(R_Schedule_Amounts,MATCH(B1076,R_Schedule_Times,1)),Starting_Cash),IF(COUNTIFS(R_Schedule_Times,"&gt;"&amp;B1075,R_Schedule_Times,"&lt;"&amp;B1076),INDEX(R_Schedule_Amounts,MATCH(B1076,R_Schedule_Times,1)),K1075)),"")</f>
        <v>19240</v>
      </c>
      <c r="I1076" s="30">
        <f t="shared" si="80"/>
        <v>40</v>
      </c>
      <c r="J1076" s="31">
        <f t="shared" si="81"/>
        <v>0</v>
      </c>
      <c r="K1076" s="29">
        <f t="shared" si="82"/>
        <v>19200</v>
      </c>
      <c r="L1076" s="31" t="str">
        <f t="shared" si="83"/>
        <v/>
      </c>
      <c r="M1076" s="31" t="str">
        <f t="shared" si="84"/>
        <v/>
      </c>
    </row>
    <row r="1077" spans="1:13" x14ac:dyDescent="0.15">
      <c r="A1077" s="163" t="s">
        <v>210</v>
      </c>
      <c r="B1077" s="163">
        <v>42306.328577418979</v>
      </c>
      <c r="C1077" s="164" t="s">
        <v>1341</v>
      </c>
      <c r="D1077" s="164" t="s">
        <v>13</v>
      </c>
      <c r="E1077" s="165">
        <v>40</v>
      </c>
      <c r="F1077" s="166">
        <v>0</v>
      </c>
      <c r="G1077" s="227">
        <f>IF($B$2,IF(ROWS(B$6:$B1077) = 1,$B1077-Start_Date,$B1077-$B1076),"")</f>
        <v>4.7037152762641199E-3</v>
      </c>
      <c r="H1077" s="29">
        <f>IF($B$2,IF(ROWS(B$6:$B1077) = 1,IF(COUNTIFS(R_Schedule_Times,"&lt;"&amp;B1077),INDEX(R_Schedule_Amounts,MATCH(B1077,R_Schedule_Times,1)),Starting_Cash),IF(COUNTIFS(R_Schedule_Times,"&gt;"&amp;B1076,R_Schedule_Times,"&lt;"&amp;B1077),INDEX(R_Schedule_Amounts,MATCH(B1077,R_Schedule_Times,1)),K1076)),"")</f>
        <v>19200</v>
      </c>
      <c r="I1077" s="30">
        <f t="shared" si="80"/>
        <v>40</v>
      </c>
      <c r="J1077" s="31">
        <f t="shared" si="81"/>
        <v>0</v>
      </c>
      <c r="K1077" s="29">
        <f t="shared" si="82"/>
        <v>19160</v>
      </c>
      <c r="L1077" s="31" t="str">
        <f t="shared" si="83"/>
        <v/>
      </c>
      <c r="M1077" s="31" t="str">
        <f t="shared" si="84"/>
        <v/>
      </c>
    </row>
    <row r="1078" spans="1:13" x14ac:dyDescent="0.15">
      <c r="A1078" s="163" t="s">
        <v>210</v>
      </c>
      <c r="B1078" s="163">
        <v>42306.33777283565</v>
      </c>
      <c r="C1078" s="164" t="s">
        <v>1342</v>
      </c>
      <c r="D1078" s="164" t="s">
        <v>13</v>
      </c>
      <c r="E1078" s="165">
        <v>40</v>
      </c>
      <c r="F1078" s="166">
        <v>0</v>
      </c>
      <c r="G1078" s="227">
        <f>IF($B$2,IF(ROWS(B$6:$B1078) = 1,$B1078-Start_Date,$B1078-$B1077),"")</f>
        <v>9.1954166709911078E-3</v>
      </c>
      <c r="H1078" s="29">
        <f>IF($B$2,IF(ROWS(B$6:$B1078) = 1,IF(COUNTIFS(R_Schedule_Times,"&lt;"&amp;B1078),INDEX(R_Schedule_Amounts,MATCH(B1078,R_Schedule_Times,1)),Starting_Cash),IF(COUNTIFS(R_Schedule_Times,"&gt;"&amp;B1077,R_Schedule_Times,"&lt;"&amp;B1078),INDEX(R_Schedule_Amounts,MATCH(B1078,R_Schedule_Times,1)),K1077)),"")</f>
        <v>19160</v>
      </c>
      <c r="I1078" s="30">
        <f t="shared" si="80"/>
        <v>40</v>
      </c>
      <c r="J1078" s="31">
        <f t="shared" si="81"/>
        <v>0</v>
      </c>
      <c r="K1078" s="29">
        <f t="shared" si="82"/>
        <v>19120</v>
      </c>
      <c r="L1078" s="31" t="str">
        <f t="shared" si="83"/>
        <v/>
      </c>
      <c r="M1078" s="31" t="str">
        <f t="shared" si="84"/>
        <v/>
      </c>
    </row>
    <row r="1079" spans="1:13" x14ac:dyDescent="0.15">
      <c r="A1079" s="163" t="s">
        <v>210</v>
      </c>
      <c r="B1079" s="163">
        <v>42306.340134710648</v>
      </c>
      <c r="C1079" s="164" t="s">
        <v>1343</v>
      </c>
      <c r="D1079" s="164" t="s">
        <v>13</v>
      </c>
      <c r="E1079" s="165">
        <v>20</v>
      </c>
      <c r="F1079" s="166">
        <v>0</v>
      </c>
      <c r="G1079" s="227">
        <f>IF($B$2,IF(ROWS(B$6:$B1079) = 1,$B1079-Start_Date,$B1079-$B1078),"")</f>
        <v>2.3618749983143061E-3</v>
      </c>
      <c r="H1079" s="29">
        <f>IF($B$2,IF(ROWS(B$6:$B1079) = 1,IF(COUNTIFS(R_Schedule_Times,"&lt;"&amp;B1079),INDEX(R_Schedule_Amounts,MATCH(B1079,R_Schedule_Times,1)),Starting_Cash),IF(COUNTIFS(R_Schedule_Times,"&gt;"&amp;B1078,R_Schedule_Times,"&lt;"&amp;B1079),INDEX(R_Schedule_Amounts,MATCH(B1079,R_Schedule_Times,1)),K1078)),"")</f>
        <v>19120</v>
      </c>
      <c r="I1079" s="30">
        <f t="shared" si="80"/>
        <v>20</v>
      </c>
      <c r="J1079" s="31">
        <f t="shared" si="81"/>
        <v>0</v>
      </c>
      <c r="K1079" s="29">
        <f t="shared" si="82"/>
        <v>19100</v>
      </c>
      <c r="L1079" s="31" t="str">
        <f t="shared" si="83"/>
        <v/>
      </c>
      <c r="M1079" s="31" t="str">
        <f t="shared" si="84"/>
        <v/>
      </c>
    </row>
    <row r="1080" spans="1:13" x14ac:dyDescent="0.15">
      <c r="A1080" s="163" t="s">
        <v>210</v>
      </c>
      <c r="B1080" s="163">
        <v>42306.347821331015</v>
      </c>
      <c r="C1080" s="164" t="s">
        <v>1344</v>
      </c>
      <c r="D1080" s="164" t="s">
        <v>13</v>
      </c>
      <c r="E1080" s="165">
        <v>60</v>
      </c>
      <c r="F1080" s="166">
        <v>0</v>
      </c>
      <c r="G1080" s="227">
        <f>IF($B$2,IF(ROWS(B$6:$B1080) = 1,$B1080-Start_Date,$B1080-$B1079),"")</f>
        <v>7.6866203671670519E-3</v>
      </c>
      <c r="H1080" s="29">
        <f>IF($B$2,IF(ROWS(B$6:$B1080) = 1,IF(COUNTIFS(R_Schedule_Times,"&lt;"&amp;B1080),INDEX(R_Schedule_Amounts,MATCH(B1080,R_Schedule_Times,1)),Starting_Cash),IF(COUNTIFS(R_Schedule_Times,"&gt;"&amp;B1079,R_Schedule_Times,"&lt;"&amp;B1080),INDEX(R_Schedule_Amounts,MATCH(B1080,R_Schedule_Times,1)),K1079)),"")</f>
        <v>19100</v>
      </c>
      <c r="I1080" s="30">
        <f t="shared" si="80"/>
        <v>60</v>
      </c>
      <c r="J1080" s="31">
        <f t="shared" si="81"/>
        <v>0</v>
      </c>
      <c r="K1080" s="29">
        <f t="shared" si="82"/>
        <v>19040</v>
      </c>
      <c r="L1080" s="31" t="str">
        <f t="shared" si="83"/>
        <v/>
      </c>
      <c r="M1080" s="31" t="str">
        <f t="shared" si="84"/>
        <v/>
      </c>
    </row>
    <row r="1081" spans="1:13" x14ac:dyDescent="0.15">
      <c r="A1081" s="163" t="s">
        <v>210</v>
      </c>
      <c r="B1081" s="163">
        <v>42306.35453960648</v>
      </c>
      <c r="C1081" s="164" t="s">
        <v>1345</v>
      </c>
      <c r="D1081" s="164" t="s">
        <v>13</v>
      </c>
      <c r="E1081" s="165">
        <v>100</v>
      </c>
      <c r="F1081" s="166">
        <v>0</v>
      </c>
      <c r="G1081" s="227">
        <f>IF($B$2,IF(ROWS(B$6:$B1081) = 1,$B1081-Start_Date,$B1081-$B1080),"")</f>
        <v>6.7182754646637477E-3</v>
      </c>
      <c r="H1081" s="29">
        <f>IF($B$2,IF(ROWS(B$6:$B1081) = 1,IF(COUNTIFS(R_Schedule_Times,"&lt;"&amp;B1081),INDEX(R_Schedule_Amounts,MATCH(B1081,R_Schedule_Times,1)),Starting_Cash),IF(COUNTIFS(R_Schedule_Times,"&gt;"&amp;B1080,R_Schedule_Times,"&lt;"&amp;B1081),INDEX(R_Schedule_Amounts,MATCH(B1081,R_Schedule_Times,1)),K1080)),"")</f>
        <v>19040</v>
      </c>
      <c r="I1081" s="30">
        <f t="shared" si="80"/>
        <v>100</v>
      </c>
      <c r="J1081" s="31">
        <f t="shared" si="81"/>
        <v>0</v>
      </c>
      <c r="K1081" s="29">
        <f t="shared" si="82"/>
        <v>18940</v>
      </c>
      <c r="L1081" s="31" t="str">
        <f t="shared" si="83"/>
        <v/>
      </c>
      <c r="M1081" s="31" t="str">
        <f t="shared" si="84"/>
        <v/>
      </c>
    </row>
    <row r="1082" spans="1:13" x14ac:dyDescent="0.15">
      <c r="A1082" s="163" t="s">
        <v>210</v>
      </c>
      <c r="B1082" s="163">
        <v>42306.385788634259</v>
      </c>
      <c r="C1082" s="164" t="s">
        <v>1346</v>
      </c>
      <c r="D1082" s="164" t="s">
        <v>13</v>
      </c>
      <c r="E1082" s="165">
        <v>20</v>
      </c>
      <c r="F1082" s="166">
        <v>0</v>
      </c>
      <c r="G1082" s="227">
        <f>IF($B$2,IF(ROWS(B$6:$B1082) = 1,$B1082-Start_Date,$B1082-$B1081),"")</f>
        <v>3.1249027779267635E-2</v>
      </c>
      <c r="H1082" s="29">
        <f>IF($B$2,IF(ROWS(B$6:$B1082) = 1,IF(COUNTIFS(R_Schedule_Times,"&lt;"&amp;B1082),INDEX(R_Schedule_Amounts,MATCH(B1082,R_Schedule_Times,1)),Starting_Cash),IF(COUNTIFS(R_Schedule_Times,"&gt;"&amp;B1081,R_Schedule_Times,"&lt;"&amp;B1082),INDEX(R_Schedule_Amounts,MATCH(B1082,R_Schedule_Times,1)),K1081)),"")</f>
        <v>18940</v>
      </c>
      <c r="I1082" s="30">
        <f t="shared" si="80"/>
        <v>20</v>
      </c>
      <c r="J1082" s="31">
        <f t="shared" si="81"/>
        <v>0</v>
      </c>
      <c r="K1082" s="29">
        <f t="shared" si="82"/>
        <v>18920</v>
      </c>
      <c r="L1082" s="31" t="str">
        <f t="shared" si="83"/>
        <v/>
      </c>
      <c r="M1082" s="31" t="str">
        <f t="shared" si="84"/>
        <v/>
      </c>
    </row>
    <row r="1083" spans="1:13" x14ac:dyDescent="0.15">
      <c r="A1083" s="163" t="s">
        <v>210</v>
      </c>
      <c r="B1083" s="163">
        <v>42306.394754062501</v>
      </c>
      <c r="C1083" s="164" t="s">
        <v>1347</v>
      </c>
      <c r="D1083" s="164" t="s">
        <v>13</v>
      </c>
      <c r="E1083" s="165">
        <v>40</v>
      </c>
      <c r="F1083" s="166">
        <v>0</v>
      </c>
      <c r="G1083" s="227">
        <f>IF($B$2,IF(ROWS(B$6:$B1083) = 1,$B1083-Start_Date,$B1083-$B1082),"")</f>
        <v>8.9654282419360243E-3</v>
      </c>
      <c r="H1083" s="29">
        <f>IF($B$2,IF(ROWS(B$6:$B1083) = 1,IF(COUNTIFS(R_Schedule_Times,"&lt;"&amp;B1083),INDEX(R_Schedule_Amounts,MATCH(B1083,R_Schedule_Times,1)),Starting_Cash),IF(COUNTIFS(R_Schedule_Times,"&gt;"&amp;B1082,R_Schedule_Times,"&lt;"&amp;B1083),INDEX(R_Schedule_Amounts,MATCH(B1083,R_Schedule_Times,1)),K1082)),"")</f>
        <v>18920</v>
      </c>
      <c r="I1083" s="30">
        <f t="shared" si="80"/>
        <v>40</v>
      </c>
      <c r="J1083" s="31">
        <f t="shared" si="81"/>
        <v>0</v>
      </c>
      <c r="K1083" s="29">
        <f t="shared" si="82"/>
        <v>18880</v>
      </c>
      <c r="L1083" s="31" t="str">
        <f t="shared" si="83"/>
        <v/>
      </c>
      <c r="M1083" s="31" t="str">
        <f t="shared" si="84"/>
        <v/>
      </c>
    </row>
    <row r="1084" spans="1:13" x14ac:dyDescent="0.15">
      <c r="A1084" s="163" t="s">
        <v>210</v>
      </c>
      <c r="B1084" s="163">
        <v>42306.416357905095</v>
      </c>
      <c r="C1084" s="164" t="s">
        <v>1348</v>
      </c>
      <c r="D1084" s="164" t="s">
        <v>13</v>
      </c>
      <c r="E1084" s="165">
        <v>100</v>
      </c>
      <c r="F1084" s="166">
        <v>0</v>
      </c>
      <c r="G1084" s="227">
        <f>IF($B$2,IF(ROWS(B$6:$B1084) = 1,$B1084-Start_Date,$B1084-$B1083),"")</f>
        <v>2.1603842593322042E-2</v>
      </c>
      <c r="H1084" s="29">
        <f>IF($B$2,IF(ROWS(B$6:$B1084) = 1,IF(COUNTIFS(R_Schedule_Times,"&lt;"&amp;B1084),INDEX(R_Schedule_Amounts,MATCH(B1084,R_Schedule_Times,1)),Starting_Cash),IF(COUNTIFS(R_Schedule_Times,"&gt;"&amp;B1083,R_Schedule_Times,"&lt;"&amp;B1084),INDEX(R_Schedule_Amounts,MATCH(B1084,R_Schedule_Times,1)),K1083)),"")</f>
        <v>18880</v>
      </c>
      <c r="I1084" s="30">
        <f t="shared" si="80"/>
        <v>100</v>
      </c>
      <c r="J1084" s="31">
        <f t="shared" si="81"/>
        <v>0</v>
      </c>
      <c r="K1084" s="29">
        <f t="shared" si="82"/>
        <v>18780</v>
      </c>
      <c r="L1084" s="31" t="str">
        <f t="shared" si="83"/>
        <v/>
      </c>
      <c r="M1084" s="31" t="str">
        <f t="shared" si="84"/>
        <v/>
      </c>
    </row>
    <row r="1085" spans="1:13" x14ac:dyDescent="0.15">
      <c r="A1085" s="163" t="s">
        <v>210</v>
      </c>
      <c r="B1085" s="163">
        <v>42306.419869606485</v>
      </c>
      <c r="C1085" s="164" t="s">
        <v>1349</v>
      </c>
      <c r="D1085" s="164" t="s">
        <v>13</v>
      </c>
      <c r="E1085" s="165">
        <v>120</v>
      </c>
      <c r="F1085" s="166">
        <v>0</v>
      </c>
      <c r="G1085" s="227">
        <f>IF($B$2,IF(ROWS(B$6:$B1085) = 1,$B1085-Start_Date,$B1085-$B1084),"")</f>
        <v>3.5117013903800398E-3</v>
      </c>
      <c r="H1085" s="29">
        <f>IF($B$2,IF(ROWS(B$6:$B1085) = 1,IF(COUNTIFS(R_Schedule_Times,"&lt;"&amp;B1085),INDEX(R_Schedule_Amounts,MATCH(B1085,R_Schedule_Times,1)),Starting_Cash),IF(COUNTIFS(R_Schedule_Times,"&gt;"&amp;B1084,R_Schedule_Times,"&lt;"&amp;B1085),INDEX(R_Schedule_Amounts,MATCH(B1085,R_Schedule_Times,1)),K1084)),"")</f>
        <v>18780</v>
      </c>
      <c r="I1085" s="30">
        <f t="shared" si="80"/>
        <v>120</v>
      </c>
      <c r="J1085" s="31">
        <f t="shared" si="81"/>
        <v>0</v>
      </c>
      <c r="K1085" s="29">
        <f t="shared" si="82"/>
        <v>18660</v>
      </c>
      <c r="L1085" s="31" t="str">
        <f t="shared" si="83"/>
        <v/>
      </c>
      <c r="M1085" s="31" t="str">
        <f t="shared" si="84"/>
        <v/>
      </c>
    </row>
    <row r="1086" spans="1:13" x14ac:dyDescent="0.15">
      <c r="A1086" s="163" t="s">
        <v>210</v>
      </c>
      <c r="B1086" s="163">
        <v>42306.420550127317</v>
      </c>
      <c r="C1086" s="164" t="s">
        <v>1350</v>
      </c>
      <c r="D1086" s="164" t="s">
        <v>13</v>
      </c>
      <c r="E1086" s="165">
        <v>120</v>
      </c>
      <c r="F1086" s="166">
        <v>0</v>
      </c>
      <c r="G1086" s="227">
        <f>IF($B$2,IF(ROWS(B$6:$B1086) = 1,$B1086-Start_Date,$B1086-$B1085),"")</f>
        <v>6.8052083224756643E-4</v>
      </c>
      <c r="H1086" s="29">
        <f>IF($B$2,IF(ROWS(B$6:$B1086) = 1,IF(COUNTIFS(R_Schedule_Times,"&lt;"&amp;B1086),INDEX(R_Schedule_Amounts,MATCH(B1086,R_Schedule_Times,1)),Starting_Cash),IF(COUNTIFS(R_Schedule_Times,"&gt;"&amp;B1085,R_Schedule_Times,"&lt;"&amp;B1086),INDEX(R_Schedule_Amounts,MATCH(B1086,R_Schedule_Times,1)),K1085)),"")</f>
        <v>18660</v>
      </c>
      <c r="I1086" s="30">
        <f t="shared" si="80"/>
        <v>120</v>
      </c>
      <c r="J1086" s="31">
        <f t="shared" si="81"/>
        <v>0</v>
      </c>
      <c r="K1086" s="29">
        <f t="shared" si="82"/>
        <v>18540</v>
      </c>
      <c r="L1086" s="31" t="str">
        <f t="shared" si="83"/>
        <v/>
      </c>
      <c r="M1086" s="31" t="str">
        <f t="shared" si="84"/>
        <v/>
      </c>
    </row>
    <row r="1087" spans="1:13" x14ac:dyDescent="0.15">
      <c r="A1087" s="163" t="s">
        <v>210</v>
      </c>
      <c r="B1087" s="163">
        <v>42306.472307025462</v>
      </c>
      <c r="C1087" s="164" t="s">
        <v>14</v>
      </c>
      <c r="D1087" s="164" t="s">
        <v>13</v>
      </c>
      <c r="E1087" s="165">
        <v>60</v>
      </c>
      <c r="F1087" s="166">
        <v>3.5</v>
      </c>
      <c r="G1087" s="227">
        <f>IF($B$2,IF(ROWS(B$6:$B1087) = 1,$B1087-Start_Date,$B1087-$B1086),"")</f>
        <v>5.1756898144958541E-2</v>
      </c>
      <c r="H1087" s="29">
        <f>IF($B$2,IF(ROWS(B$6:$B1087) = 1,IF(COUNTIFS(R_Schedule_Times,"&lt;"&amp;B1087),INDEX(R_Schedule_Amounts,MATCH(B1087,R_Schedule_Times,1)),Starting_Cash),IF(COUNTIFS(R_Schedule_Times,"&gt;"&amp;B1086,R_Schedule_Times,"&lt;"&amp;B1087),INDEX(R_Schedule_Amounts,MATCH(B1087,R_Schedule_Times,1)),K1086)),"")</f>
        <v>18540</v>
      </c>
      <c r="I1087" s="30">
        <f t="shared" si="80"/>
        <v>60</v>
      </c>
      <c r="J1087" s="31">
        <f t="shared" si="81"/>
        <v>3.5</v>
      </c>
      <c r="K1087" s="29">
        <f t="shared" si="82"/>
        <v>18480</v>
      </c>
      <c r="L1087" s="31" t="str">
        <f t="shared" si="83"/>
        <v/>
      </c>
      <c r="M1087" s="31" t="str">
        <f t="shared" si="84"/>
        <v/>
      </c>
    </row>
    <row r="1088" spans="1:13" x14ac:dyDescent="0.15">
      <c r="A1088" s="163" t="s">
        <v>210</v>
      </c>
      <c r="B1088" s="163">
        <v>42306.477628946763</v>
      </c>
      <c r="C1088" s="164" t="s">
        <v>266</v>
      </c>
      <c r="D1088" s="164" t="s">
        <v>13</v>
      </c>
      <c r="E1088" s="165">
        <v>100</v>
      </c>
      <c r="F1088" s="166">
        <v>0</v>
      </c>
      <c r="G1088" s="227">
        <f>IF($B$2,IF(ROWS(B$6:$B1088) = 1,$B1088-Start_Date,$B1088-$B1087),"")</f>
        <v>5.3219213004922494E-3</v>
      </c>
      <c r="H1088" s="29">
        <f>IF($B$2,IF(ROWS(B$6:$B1088) = 1,IF(COUNTIFS(R_Schedule_Times,"&lt;"&amp;B1088),INDEX(R_Schedule_Amounts,MATCH(B1088,R_Schedule_Times,1)),Starting_Cash),IF(COUNTIFS(R_Schedule_Times,"&gt;"&amp;B1087,R_Schedule_Times,"&lt;"&amp;B1088),INDEX(R_Schedule_Amounts,MATCH(B1088,R_Schedule_Times,1)),K1087)),"")</f>
        <v>18480</v>
      </c>
      <c r="I1088" s="30">
        <f t="shared" si="80"/>
        <v>100</v>
      </c>
      <c r="J1088" s="31">
        <f t="shared" si="81"/>
        <v>0</v>
      </c>
      <c r="K1088" s="29">
        <f t="shared" si="82"/>
        <v>18380</v>
      </c>
      <c r="L1088" s="31" t="str">
        <f t="shared" si="83"/>
        <v/>
      </c>
      <c r="M1088" s="31" t="str">
        <f t="shared" si="84"/>
        <v/>
      </c>
    </row>
    <row r="1089" spans="1:13" x14ac:dyDescent="0.15">
      <c r="A1089" s="163" t="s">
        <v>210</v>
      </c>
      <c r="B1089" s="163">
        <v>42306.481989953703</v>
      </c>
      <c r="C1089" s="164" t="s">
        <v>385</v>
      </c>
      <c r="D1089" s="164" t="s">
        <v>13</v>
      </c>
      <c r="E1089" s="165">
        <v>20</v>
      </c>
      <c r="F1089" s="166">
        <v>0</v>
      </c>
      <c r="G1089" s="227">
        <f>IF($B$2,IF(ROWS(B$6:$B1089) = 1,$B1089-Start_Date,$B1089-$B1088),"")</f>
        <v>4.3610069405985996E-3</v>
      </c>
      <c r="H1089" s="29">
        <f>IF($B$2,IF(ROWS(B$6:$B1089) = 1,IF(COUNTIFS(R_Schedule_Times,"&lt;"&amp;B1089),INDEX(R_Schedule_Amounts,MATCH(B1089,R_Schedule_Times,1)),Starting_Cash),IF(COUNTIFS(R_Schedule_Times,"&gt;"&amp;B1088,R_Schedule_Times,"&lt;"&amp;B1089),INDEX(R_Schedule_Amounts,MATCH(B1089,R_Schedule_Times,1)),K1088)),"")</f>
        <v>18380</v>
      </c>
      <c r="I1089" s="30">
        <f t="shared" si="80"/>
        <v>20</v>
      </c>
      <c r="J1089" s="31">
        <f t="shared" si="81"/>
        <v>0</v>
      </c>
      <c r="K1089" s="29">
        <f t="shared" si="82"/>
        <v>18360</v>
      </c>
      <c r="L1089" s="31" t="str">
        <f t="shared" si="83"/>
        <v/>
      </c>
      <c r="M1089" s="31" t="str">
        <f t="shared" si="84"/>
        <v/>
      </c>
    </row>
    <row r="1090" spans="1:13" x14ac:dyDescent="0.15">
      <c r="A1090" s="163" t="s">
        <v>210</v>
      </c>
      <c r="B1090" s="163">
        <v>42306.518679050925</v>
      </c>
      <c r="C1090" s="164" t="s">
        <v>1351</v>
      </c>
      <c r="D1090" s="164" t="s">
        <v>13</v>
      </c>
      <c r="E1090" s="165">
        <v>60</v>
      </c>
      <c r="F1090" s="166">
        <v>0</v>
      </c>
      <c r="G1090" s="227">
        <f>IF($B$2,IF(ROWS(B$6:$B1090) = 1,$B1090-Start_Date,$B1090-$B1089),"")</f>
        <v>3.6689097221824341E-2</v>
      </c>
      <c r="H1090" s="29">
        <f>IF($B$2,IF(ROWS(B$6:$B1090) = 1,IF(COUNTIFS(R_Schedule_Times,"&lt;"&amp;B1090),INDEX(R_Schedule_Amounts,MATCH(B1090,R_Schedule_Times,1)),Starting_Cash),IF(COUNTIFS(R_Schedule_Times,"&gt;"&amp;B1089,R_Schedule_Times,"&lt;"&amp;B1090),INDEX(R_Schedule_Amounts,MATCH(B1090,R_Schedule_Times,1)),K1089)),"")</f>
        <v>18360</v>
      </c>
      <c r="I1090" s="30">
        <f t="shared" si="80"/>
        <v>60</v>
      </c>
      <c r="J1090" s="31">
        <f t="shared" si="81"/>
        <v>0</v>
      </c>
      <c r="K1090" s="29">
        <f t="shared" si="82"/>
        <v>18300</v>
      </c>
      <c r="L1090" s="31" t="str">
        <f t="shared" si="83"/>
        <v/>
      </c>
      <c r="M1090" s="31" t="str">
        <f t="shared" si="84"/>
        <v/>
      </c>
    </row>
    <row r="1091" spans="1:13" x14ac:dyDescent="0.15">
      <c r="A1091" s="163" t="s">
        <v>210</v>
      </c>
      <c r="B1091" s="163">
        <v>42306.52502375</v>
      </c>
      <c r="C1091" s="164" t="s">
        <v>1352</v>
      </c>
      <c r="D1091" s="164" t="s">
        <v>13</v>
      </c>
      <c r="E1091" s="165">
        <v>40</v>
      </c>
      <c r="F1091" s="166">
        <v>0</v>
      </c>
      <c r="G1091" s="227">
        <f>IF($B$2,IF(ROWS(B$6:$B1091) = 1,$B1091-Start_Date,$B1091-$B1090),"")</f>
        <v>6.3446990752709098E-3</v>
      </c>
      <c r="H1091" s="29">
        <f>IF($B$2,IF(ROWS(B$6:$B1091) = 1,IF(COUNTIFS(R_Schedule_Times,"&lt;"&amp;B1091),INDEX(R_Schedule_Amounts,MATCH(B1091,R_Schedule_Times,1)),Starting_Cash),IF(COUNTIFS(R_Schedule_Times,"&gt;"&amp;B1090,R_Schedule_Times,"&lt;"&amp;B1091),INDEX(R_Schedule_Amounts,MATCH(B1091,R_Schedule_Times,1)),K1090)),"")</f>
        <v>18300</v>
      </c>
      <c r="I1091" s="30">
        <f t="shared" si="80"/>
        <v>40</v>
      </c>
      <c r="J1091" s="31">
        <f t="shared" si="81"/>
        <v>0</v>
      </c>
      <c r="K1091" s="29">
        <f t="shared" si="82"/>
        <v>18260</v>
      </c>
      <c r="L1091" s="31" t="str">
        <f t="shared" si="83"/>
        <v/>
      </c>
      <c r="M1091" s="31" t="str">
        <f t="shared" si="84"/>
        <v/>
      </c>
    </row>
    <row r="1092" spans="1:13" x14ac:dyDescent="0.15">
      <c r="A1092" s="163" t="s">
        <v>210</v>
      </c>
      <c r="B1092" s="163">
        <v>42306.535712048608</v>
      </c>
      <c r="C1092" s="164" t="s">
        <v>386</v>
      </c>
      <c r="D1092" s="164" t="s">
        <v>13</v>
      </c>
      <c r="E1092" s="165">
        <v>40</v>
      </c>
      <c r="F1092" s="166">
        <v>0</v>
      </c>
      <c r="G1092" s="227">
        <f>IF($B$2,IF(ROWS(B$6:$B1092) = 1,$B1092-Start_Date,$B1092-$B1091),"")</f>
        <v>1.0688298607419711E-2</v>
      </c>
      <c r="H1092" s="29">
        <f>IF($B$2,IF(ROWS(B$6:$B1092) = 1,IF(COUNTIFS(R_Schedule_Times,"&lt;"&amp;B1092),INDEX(R_Schedule_Amounts,MATCH(B1092,R_Schedule_Times,1)),Starting_Cash),IF(COUNTIFS(R_Schedule_Times,"&gt;"&amp;B1091,R_Schedule_Times,"&lt;"&amp;B1092),INDEX(R_Schedule_Amounts,MATCH(B1092,R_Schedule_Times,1)),K1091)),"")</f>
        <v>18260</v>
      </c>
      <c r="I1092" s="30">
        <f t="shared" si="80"/>
        <v>40</v>
      </c>
      <c r="J1092" s="31">
        <f t="shared" si="81"/>
        <v>0</v>
      </c>
      <c r="K1092" s="29">
        <f t="shared" si="82"/>
        <v>18220</v>
      </c>
      <c r="L1092" s="31" t="str">
        <f t="shared" si="83"/>
        <v/>
      </c>
      <c r="M1092" s="31" t="str">
        <f t="shared" si="84"/>
        <v/>
      </c>
    </row>
    <row r="1093" spans="1:13" x14ac:dyDescent="0.15">
      <c r="A1093" s="163" t="s">
        <v>210</v>
      </c>
      <c r="B1093" s="163">
        <v>42306.54257636574</v>
      </c>
      <c r="C1093" s="164" t="s">
        <v>1353</v>
      </c>
      <c r="D1093" s="164" t="s">
        <v>13</v>
      </c>
      <c r="E1093" s="165">
        <v>160</v>
      </c>
      <c r="F1093" s="166">
        <v>0</v>
      </c>
      <c r="G1093" s="227">
        <f>IF($B$2,IF(ROWS(B$6:$B1093) = 1,$B1093-Start_Date,$B1093-$B1092),"")</f>
        <v>6.8643171325675212E-3</v>
      </c>
      <c r="H1093" s="29">
        <f>IF($B$2,IF(ROWS(B$6:$B1093) = 1,IF(COUNTIFS(R_Schedule_Times,"&lt;"&amp;B1093),INDEX(R_Schedule_Amounts,MATCH(B1093,R_Schedule_Times,1)),Starting_Cash),IF(COUNTIFS(R_Schedule_Times,"&gt;"&amp;B1092,R_Schedule_Times,"&lt;"&amp;B1093),INDEX(R_Schedule_Amounts,MATCH(B1093,R_Schedule_Times,1)),K1092)),"")</f>
        <v>18220</v>
      </c>
      <c r="I1093" s="30">
        <f t="shared" si="80"/>
        <v>160</v>
      </c>
      <c r="J1093" s="31">
        <f t="shared" si="81"/>
        <v>0</v>
      </c>
      <c r="K1093" s="29">
        <f t="shared" si="82"/>
        <v>18060</v>
      </c>
      <c r="L1093" s="31" t="str">
        <f t="shared" si="83"/>
        <v/>
      </c>
      <c r="M1093" s="31" t="str">
        <f t="shared" si="84"/>
        <v/>
      </c>
    </row>
    <row r="1094" spans="1:13" x14ac:dyDescent="0.15">
      <c r="A1094" s="163" t="s">
        <v>210</v>
      </c>
      <c r="B1094" s="163">
        <v>42306.546963067129</v>
      </c>
      <c r="C1094" s="164" t="s">
        <v>1354</v>
      </c>
      <c r="D1094" s="164" t="s">
        <v>13</v>
      </c>
      <c r="E1094" s="165">
        <v>60</v>
      </c>
      <c r="F1094" s="166">
        <v>0</v>
      </c>
      <c r="G1094" s="227">
        <f>IF($B$2,IF(ROWS(B$6:$B1094) = 1,$B1094-Start_Date,$B1094-$B1093),"")</f>
        <v>4.386701388284564E-3</v>
      </c>
      <c r="H1094" s="29">
        <f>IF($B$2,IF(ROWS(B$6:$B1094) = 1,IF(COUNTIFS(R_Schedule_Times,"&lt;"&amp;B1094),INDEX(R_Schedule_Amounts,MATCH(B1094,R_Schedule_Times,1)),Starting_Cash),IF(COUNTIFS(R_Schedule_Times,"&gt;"&amp;B1093,R_Schedule_Times,"&lt;"&amp;B1094),INDEX(R_Schedule_Amounts,MATCH(B1094,R_Schedule_Times,1)),K1093)),"")</f>
        <v>18060</v>
      </c>
      <c r="I1094" s="30">
        <f t="shared" si="80"/>
        <v>60</v>
      </c>
      <c r="J1094" s="31">
        <f t="shared" si="81"/>
        <v>0</v>
      </c>
      <c r="K1094" s="29">
        <f t="shared" si="82"/>
        <v>18000</v>
      </c>
      <c r="L1094" s="31" t="str">
        <f t="shared" si="83"/>
        <v/>
      </c>
      <c r="M1094" s="31" t="str">
        <f t="shared" si="84"/>
        <v/>
      </c>
    </row>
    <row r="1095" spans="1:13" x14ac:dyDescent="0.15">
      <c r="A1095" s="163" t="s">
        <v>210</v>
      </c>
      <c r="B1095" s="163">
        <v>42306.558187743052</v>
      </c>
      <c r="C1095" s="164" t="s">
        <v>387</v>
      </c>
      <c r="D1095" s="164" t="s">
        <v>13</v>
      </c>
      <c r="E1095" s="165">
        <v>500</v>
      </c>
      <c r="F1095" s="166">
        <v>0</v>
      </c>
      <c r="G1095" s="227">
        <f>IF($B$2,IF(ROWS(B$6:$B1095) = 1,$B1095-Start_Date,$B1095-$B1094),"")</f>
        <v>1.1224675923585892E-2</v>
      </c>
      <c r="H1095" s="29">
        <f>IF($B$2,IF(ROWS(B$6:$B1095) = 1,IF(COUNTIFS(R_Schedule_Times,"&lt;"&amp;B1095),INDEX(R_Schedule_Amounts,MATCH(B1095,R_Schedule_Times,1)),Starting_Cash),IF(COUNTIFS(R_Schedule_Times,"&gt;"&amp;B1094,R_Schedule_Times,"&lt;"&amp;B1095),INDEX(R_Schedule_Amounts,MATCH(B1095,R_Schedule_Times,1)),K1094)),"")</f>
        <v>18000</v>
      </c>
      <c r="I1095" s="30">
        <f t="shared" ref="I1095:I1158" si="85">IF($B$2,IF(H1095&gt;=E1095,E1095,0),"")</f>
        <v>500</v>
      </c>
      <c r="J1095" s="31">
        <f t="shared" ref="J1095:J1158" si="86">IF($B$2,IF(H1095&gt;=E1095,F1095,0),"")</f>
        <v>0</v>
      </c>
      <c r="K1095" s="29">
        <f t="shared" ref="K1095:K1158" si="87">IF($B$2,ABS(I1095-H1095),"")</f>
        <v>17500</v>
      </c>
      <c r="L1095" s="31" t="str">
        <f t="shared" ref="L1095:L1158" si="88">IF($B$2,IF(H1095&lt;E1095,"YES",""),"")</f>
        <v/>
      </c>
      <c r="M1095" s="31" t="str">
        <f t="shared" ref="M1095:M1158" si="89">IF($B$2,IF(L1095="YES",F1095,""),"")</f>
        <v/>
      </c>
    </row>
    <row r="1096" spans="1:13" x14ac:dyDescent="0.15">
      <c r="A1096" s="163" t="s">
        <v>210</v>
      </c>
      <c r="B1096" s="163">
        <v>42306.592929189814</v>
      </c>
      <c r="C1096" s="164" t="s">
        <v>343</v>
      </c>
      <c r="D1096" s="164" t="s">
        <v>13</v>
      </c>
      <c r="E1096" s="165">
        <v>100</v>
      </c>
      <c r="F1096" s="166">
        <v>0</v>
      </c>
      <c r="G1096" s="227">
        <f>IF($B$2,IF(ROWS(B$6:$B1096) = 1,$B1096-Start_Date,$B1096-$B1095),"")</f>
        <v>3.4741446761472616E-2</v>
      </c>
      <c r="H1096" s="29">
        <f>IF($B$2,IF(ROWS(B$6:$B1096) = 1,IF(COUNTIFS(R_Schedule_Times,"&lt;"&amp;B1096),INDEX(R_Schedule_Amounts,MATCH(B1096,R_Schedule_Times,1)),Starting_Cash),IF(COUNTIFS(R_Schedule_Times,"&gt;"&amp;B1095,R_Schedule_Times,"&lt;"&amp;B1096),INDEX(R_Schedule_Amounts,MATCH(B1096,R_Schedule_Times,1)),K1095)),"")</f>
        <v>17500</v>
      </c>
      <c r="I1096" s="30">
        <f t="shared" si="85"/>
        <v>100</v>
      </c>
      <c r="J1096" s="31">
        <f t="shared" si="86"/>
        <v>0</v>
      </c>
      <c r="K1096" s="29">
        <f t="shared" si="87"/>
        <v>17400</v>
      </c>
      <c r="L1096" s="31" t="str">
        <f t="shared" si="88"/>
        <v/>
      </c>
      <c r="M1096" s="31" t="str">
        <f t="shared" si="89"/>
        <v/>
      </c>
    </row>
    <row r="1097" spans="1:13" x14ac:dyDescent="0.15">
      <c r="A1097" s="163" t="s">
        <v>210</v>
      </c>
      <c r="B1097" s="163">
        <v>42306.600041296297</v>
      </c>
      <c r="C1097" s="164" t="s">
        <v>1355</v>
      </c>
      <c r="D1097" s="164" t="s">
        <v>13</v>
      </c>
      <c r="E1097" s="165">
        <v>20</v>
      </c>
      <c r="F1097" s="166">
        <v>0</v>
      </c>
      <c r="G1097" s="227">
        <f>IF($B$2,IF(ROWS(B$6:$B1097) = 1,$B1097-Start_Date,$B1097-$B1096),"")</f>
        <v>7.112106482964009E-3</v>
      </c>
      <c r="H1097" s="29">
        <f>IF($B$2,IF(ROWS(B$6:$B1097) = 1,IF(COUNTIFS(R_Schedule_Times,"&lt;"&amp;B1097),INDEX(R_Schedule_Amounts,MATCH(B1097,R_Schedule_Times,1)),Starting_Cash),IF(COUNTIFS(R_Schedule_Times,"&gt;"&amp;B1096,R_Schedule_Times,"&lt;"&amp;B1097),INDEX(R_Schedule_Amounts,MATCH(B1097,R_Schedule_Times,1)),K1096)),"")</f>
        <v>17400</v>
      </c>
      <c r="I1097" s="30">
        <f t="shared" si="85"/>
        <v>20</v>
      </c>
      <c r="J1097" s="31">
        <f t="shared" si="86"/>
        <v>0</v>
      </c>
      <c r="K1097" s="29">
        <f t="shared" si="87"/>
        <v>17380</v>
      </c>
      <c r="L1097" s="31" t="str">
        <f t="shared" si="88"/>
        <v/>
      </c>
      <c r="M1097" s="31" t="str">
        <f t="shared" si="89"/>
        <v/>
      </c>
    </row>
    <row r="1098" spans="1:13" x14ac:dyDescent="0.15">
      <c r="A1098" s="163" t="s">
        <v>210</v>
      </c>
      <c r="B1098" s="163">
        <v>42306.605384918985</v>
      </c>
      <c r="C1098" s="164" t="s">
        <v>1356</v>
      </c>
      <c r="D1098" s="164" t="s">
        <v>13</v>
      </c>
      <c r="E1098" s="165">
        <v>200</v>
      </c>
      <c r="F1098" s="166">
        <v>0</v>
      </c>
      <c r="G1098" s="227">
        <f>IF($B$2,IF(ROWS(B$6:$B1098) = 1,$B1098-Start_Date,$B1098-$B1097),"")</f>
        <v>5.3436226880876347E-3</v>
      </c>
      <c r="H1098" s="29">
        <f>IF($B$2,IF(ROWS(B$6:$B1098) = 1,IF(COUNTIFS(R_Schedule_Times,"&lt;"&amp;B1098),INDEX(R_Schedule_Amounts,MATCH(B1098,R_Schedule_Times,1)),Starting_Cash),IF(COUNTIFS(R_Schedule_Times,"&gt;"&amp;B1097,R_Schedule_Times,"&lt;"&amp;B1098),INDEX(R_Schedule_Amounts,MATCH(B1098,R_Schedule_Times,1)),K1097)),"")</f>
        <v>17380</v>
      </c>
      <c r="I1098" s="30">
        <f t="shared" si="85"/>
        <v>200</v>
      </c>
      <c r="J1098" s="31">
        <f t="shared" si="86"/>
        <v>0</v>
      </c>
      <c r="K1098" s="29">
        <f t="shared" si="87"/>
        <v>17180</v>
      </c>
      <c r="L1098" s="31" t="str">
        <f t="shared" si="88"/>
        <v/>
      </c>
      <c r="M1098" s="31" t="str">
        <f t="shared" si="89"/>
        <v/>
      </c>
    </row>
    <row r="1099" spans="1:13" x14ac:dyDescent="0.15">
      <c r="A1099" s="163" t="s">
        <v>210</v>
      </c>
      <c r="B1099" s="163">
        <v>42306.630243414351</v>
      </c>
      <c r="C1099" s="164" t="s">
        <v>1357</v>
      </c>
      <c r="D1099" s="164" t="s">
        <v>13</v>
      </c>
      <c r="E1099" s="165">
        <v>100</v>
      </c>
      <c r="F1099" s="166">
        <v>0</v>
      </c>
      <c r="G1099" s="227">
        <f>IF($B$2,IF(ROWS(B$6:$B1099) = 1,$B1099-Start_Date,$B1099-$B1098),"")</f>
        <v>2.4858495366061106E-2</v>
      </c>
      <c r="H1099" s="29">
        <f>IF($B$2,IF(ROWS(B$6:$B1099) = 1,IF(COUNTIFS(R_Schedule_Times,"&lt;"&amp;B1099),INDEX(R_Schedule_Amounts,MATCH(B1099,R_Schedule_Times,1)),Starting_Cash),IF(COUNTIFS(R_Schedule_Times,"&gt;"&amp;B1098,R_Schedule_Times,"&lt;"&amp;B1099),INDEX(R_Schedule_Amounts,MATCH(B1099,R_Schedule_Times,1)),K1098)),"")</f>
        <v>17180</v>
      </c>
      <c r="I1099" s="30">
        <f t="shared" si="85"/>
        <v>100</v>
      </c>
      <c r="J1099" s="31">
        <f t="shared" si="86"/>
        <v>0</v>
      </c>
      <c r="K1099" s="29">
        <f t="shared" si="87"/>
        <v>17080</v>
      </c>
      <c r="L1099" s="31" t="str">
        <f t="shared" si="88"/>
        <v/>
      </c>
      <c r="M1099" s="31" t="str">
        <f t="shared" si="89"/>
        <v/>
      </c>
    </row>
    <row r="1100" spans="1:13" x14ac:dyDescent="0.15">
      <c r="A1100" s="163" t="s">
        <v>210</v>
      </c>
      <c r="B1100" s="163">
        <v>42306.6487671875</v>
      </c>
      <c r="C1100" s="164" t="s">
        <v>1358</v>
      </c>
      <c r="D1100" s="164" t="s">
        <v>13</v>
      </c>
      <c r="E1100" s="165">
        <v>100</v>
      </c>
      <c r="F1100" s="166">
        <v>0</v>
      </c>
      <c r="G1100" s="227">
        <f>IF($B$2,IF(ROWS(B$6:$B1100) = 1,$B1100-Start_Date,$B1100-$B1099),"")</f>
        <v>1.8523773149354383E-2</v>
      </c>
      <c r="H1100" s="29">
        <f>IF($B$2,IF(ROWS(B$6:$B1100) = 1,IF(COUNTIFS(R_Schedule_Times,"&lt;"&amp;B1100),INDEX(R_Schedule_Amounts,MATCH(B1100,R_Schedule_Times,1)),Starting_Cash),IF(COUNTIFS(R_Schedule_Times,"&gt;"&amp;B1099,R_Schedule_Times,"&lt;"&amp;B1100),INDEX(R_Schedule_Amounts,MATCH(B1100,R_Schedule_Times,1)),K1099)),"")</f>
        <v>17080</v>
      </c>
      <c r="I1100" s="30">
        <f t="shared" si="85"/>
        <v>100</v>
      </c>
      <c r="J1100" s="31">
        <f t="shared" si="86"/>
        <v>0</v>
      </c>
      <c r="K1100" s="29">
        <f t="shared" si="87"/>
        <v>16980</v>
      </c>
      <c r="L1100" s="31" t="str">
        <f t="shared" si="88"/>
        <v/>
      </c>
      <c r="M1100" s="31" t="str">
        <f t="shared" si="89"/>
        <v/>
      </c>
    </row>
    <row r="1101" spans="1:13" x14ac:dyDescent="0.15">
      <c r="A1101" s="163" t="s">
        <v>210</v>
      </c>
      <c r="B1101" s="163">
        <v>42306.667576238426</v>
      </c>
      <c r="C1101" s="164" t="s">
        <v>14</v>
      </c>
      <c r="D1101" s="164" t="s">
        <v>13</v>
      </c>
      <c r="E1101" s="165">
        <v>200</v>
      </c>
      <c r="F1101" s="166">
        <v>3.5</v>
      </c>
      <c r="G1101" s="227">
        <f>IF($B$2,IF(ROWS(B$6:$B1101) = 1,$B1101-Start_Date,$B1101-$B1100),"")</f>
        <v>1.8809050925483461E-2</v>
      </c>
      <c r="H1101" s="29">
        <f>IF($B$2,IF(ROWS(B$6:$B1101) = 1,IF(COUNTIFS(R_Schedule_Times,"&lt;"&amp;B1101),INDEX(R_Schedule_Amounts,MATCH(B1101,R_Schedule_Times,1)),Starting_Cash),IF(COUNTIFS(R_Schedule_Times,"&gt;"&amp;B1100,R_Schedule_Times,"&lt;"&amp;B1101),INDEX(R_Schedule_Amounts,MATCH(B1101,R_Schedule_Times,1)),K1100)),"")</f>
        <v>16980</v>
      </c>
      <c r="I1101" s="30">
        <f t="shared" si="85"/>
        <v>200</v>
      </c>
      <c r="J1101" s="31">
        <f t="shared" si="86"/>
        <v>3.5</v>
      </c>
      <c r="K1101" s="29">
        <f t="shared" si="87"/>
        <v>16780</v>
      </c>
      <c r="L1101" s="31" t="str">
        <f t="shared" si="88"/>
        <v/>
      </c>
      <c r="M1101" s="31" t="str">
        <f t="shared" si="89"/>
        <v/>
      </c>
    </row>
    <row r="1102" spans="1:13" x14ac:dyDescent="0.15">
      <c r="A1102" s="163" t="s">
        <v>210</v>
      </c>
      <c r="B1102" s="163">
        <v>42306.674007951391</v>
      </c>
      <c r="C1102" s="164" t="s">
        <v>388</v>
      </c>
      <c r="D1102" s="164" t="s">
        <v>13</v>
      </c>
      <c r="E1102" s="165">
        <v>200</v>
      </c>
      <c r="F1102" s="166">
        <v>0</v>
      </c>
      <c r="G1102" s="227">
        <f>IF($B$2,IF(ROWS(B$6:$B1102) = 1,$B1102-Start_Date,$B1102-$B1101),"")</f>
        <v>6.4317129654227756E-3</v>
      </c>
      <c r="H1102" s="29">
        <f>IF($B$2,IF(ROWS(B$6:$B1102) = 1,IF(COUNTIFS(R_Schedule_Times,"&lt;"&amp;B1102),INDEX(R_Schedule_Amounts,MATCH(B1102,R_Schedule_Times,1)),Starting_Cash),IF(COUNTIFS(R_Schedule_Times,"&gt;"&amp;B1101,R_Schedule_Times,"&lt;"&amp;B1102),INDEX(R_Schedule_Amounts,MATCH(B1102,R_Schedule_Times,1)),K1101)),"")</f>
        <v>16780</v>
      </c>
      <c r="I1102" s="30">
        <f t="shared" si="85"/>
        <v>200</v>
      </c>
      <c r="J1102" s="31">
        <f t="shared" si="86"/>
        <v>0</v>
      </c>
      <c r="K1102" s="29">
        <f t="shared" si="87"/>
        <v>16580</v>
      </c>
      <c r="L1102" s="31" t="str">
        <f t="shared" si="88"/>
        <v/>
      </c>
      <c r="M1102" s="31" t="str">
        <f t="shared" si="89"/>
        <v/>
      </c>
    </row>
    <row r="1103" spans="1:13" x14ac:dyDescent="0.15">
      <c r="A1103" s="163" t="s">
        <v>210</v>
      </c>
      <c r="B1103" s="163">
        <v>42306.681106909724</v>
      </c>
      <c r="C1103" s="164" t="s">
        <v>1359</v>
      </c>
      <c r="D1103" s="164" t="s">
        <v>13</v>
      </c>
      <c r="E1103" s="165">
        <v>100</v>
      </c>
      <c r="F1103" s="166">
        <v>0</v>
      </c>
      <c r="G1103" s="227">
        <f>IF($B$2,IF(ROWS(B$6:$B1103) = 1,$B1103-Start_Date,$B1103-$B1102),"")</f>
        <v>7.0989583327900618E-3</v>
      </c>
      <c r="H1103" s="29">
        <f>IF($B$2,IF(ROWS(B$6:$B1103) = 1,IF(COUNTIFS(R_Schedule_Times,"&lt;"&amp;B1103),INDEX(R_Schedule_Amounts,MATCH(B1103,R_Schedule_Times,1)),Starting_Cash),IF(COUNTIFS(R_Schedule_Times,"&gt;"&amp;B1102,R_Schedule_Times,"&lt;"&amp;B1103),INDEX(R_Schedule_Amounts,MATCH(B1103,R_Schedule_Times,1)),K1102)),"")</f>
        <v>16580</v>
      </c>
      <c r="I1103" s="30">
        <f t="shared" si="85"/>
        <v>100</v>
      </c>
      <c r="J1103" s="31">
        <f t="shared" si="86"/>
        <v>0</v>
      </c>
      <c r="K1103" s="29">
        <f t="shared" si="87"/>
        <v>16480</v>
      </c>
      <c r="L1103" s="31" t="str">
        <f t="shared" si="88"/>
        <v/>
      </c>
      <c r="M1103" s="31" t="str">
        <f t="shared" si="89"/>
        <v/>
      </c>
    </row>
    <row r="1104" spans="1:13" x14ac:dyDescent="0.15">
      <c r="A1104" s="163" t="s">
        <v>210</v>
      </c>
      <c r="B1104" s="163">
        <v>42306.705065092596</v>
      </c>
      <c r="C1104" s="164" t="s">
        <v>1360</v>
      </c>
      <c r="D1104" s="164" t="s">
        <v>13</v>
      </c>
      <c r="E1104" s="165">
        <v>80</v>
      </c>
      <c r="F1104" s="166">
        <v>0</v>
      </c>
      <c r="G1104" s="227">
        <f>IF($B$2,IF(ROWS(B$6:$B1104) = 1,$B1104-Start_Date,$B1104-$B1103),"")</f>
        <v>2.3958182871865574E-2</v>
      </c>
      <c r="H1104" s="29">
        <f>IF($B$2,IF(ROWS(B$6:$B1104) = 1,IF(COUNTIFS(R_Schedule_Times,"&lt;"&amp;B1104),INDEX(R_Schedule_Amounts,MATCH(B1104,R_Schedule_Times,1)),Starting_Cash),IF(COUNTIFS(R_Schedule_Times,"&gt;"&amp;B1103,R_Schedule_Times,"&lt;"&amp;B1104),INDEX(R_Schedule_Amounts,MATCH(B1104,R_Schedule_Times,1)),K1103)),"")</f>
        <v>16480</v>
      </c>
      <c r="I1104" s="30">
        <f t="shared" si="85"/>
        <v>80</v>
      </c>
      <c r="J1104" s="31">
        <f t="shared" si="86"/>
        <v>0</v>
      </c>
      <c r="K1104" s="29">
        <f t="shared" si="87"/>
        <v>16400</v>
      </c>
      <c r="L1104" s="31" t="str">
        <f t="shared" si="88"/>
        <v/>
      </c>
      <c r="M1104" s="31" t="str">
        <f t="shared" si="89"/>
        <v/>
      </c>
    </row>
    <row r="1105" spans="1:13" x14ac:dyDescent="0.15">
      <c r="A1105" s="163" t="s">
        <v>210</v>
      </c>
      <c r="B1105" s="163">
        <v>42306.718076064812</v>
      </c>
      <c r="C1105" s="164" t="s">
        <v>1361</v>
      </c>
      <c r="D1105" s="164" t="s">
        <v>13</v>
      </c>
      <c r="E1105" s="165">
        <v>40</v>
      </c>
      <c r="F1105" s="166">
        <v>0</v>
      </c>
      <c r="G1105" s="227">
        <f>IF($B$2,IF(ROWS(B$6:$B1105) = 1,$B1105-Start_Date,$B1105-$B1104),"")</f>
        <v>1.3010972215852235E-2</v>
      </c>
      <c r="H1105" s="29">
        <f>IF($B$2,IF(ROWS(B$6:$B1105) = 1,IF(COUNTIFS(R_Schedule_Times,"&lt;"&amp;B1105),INDEX(R_Schedule_Amounts,MATCH(B1105,R_Schedule_Times,1)),Starting_Cash),IF(COUNTIFS(R_Schedule_Times,"&gt;"&amp;B1104,R_Schedule_Times,"&lt;"&amp;B1105),INDEX(R_Schedule_Amounts,MATCH(B1105,R_Schedule_Times,1)),K1104)),"")</f>
        <v>16400</v>
      </c>
      <c r="I1105" s="30">
        <f t="shared" si="85"/>
        <v>40</v>
      </c>
      <c r="J1105" s="31">
        <f t="shared" si="86"/>
        <v>0</v>
      </c>
      <c r="K1105" s="29">
        <f t="shared" si="87"/>
        <v>16360</v>
      </c>
      <c r="L1105" s="31" t="str">
        <f t="shared" si="88"/>
        <v/>
      </c>
      <c r="M1105" s="31" t="str">
        <f t="shared" si="89"/>
        <v/>
      </c>
    </row>
    <row r="1106" spans="1:13" x14ac:dyDescent="0.15">
      <c r="A1106" s="163" t="s">
        <v>210</v>
      </c>
      <c r="B1106" s="163">
        <v>42306.718836828702</v>
      </c>
      <c r="C1106" s="164" t="s">
        <v>676</v>
      </c>
      <c r="D1106" s="164" t="s">
        <v>13</v>
      </c>
      <c r="E1106" s="165">
        <v>40</v>
      </c>
      <c r="F1106" s="166">
        <v>0</v>
      </c>
      <c r="G1106" s="227">
        <f>IF($B$2,IF(ROWS(B$6:$B1106) = 1,$B1106-Start_Date,$B1106-$B1105),"")</f>
        <v>7.6076389086665586E-4</v>
      </c>
      <c r="H1106" s="29">
        <f>IF($B$2,IF(ROWS(B$6:$B1106) = 1,IF(COUNTIFS(R_Schedule_Times,"&lt;"&amp;B1106),INDEX(R_Schedule_Amounts,MATCH(B1106,R_Schedule_Times,1)),Starting_Cash),IF(COUNTIFS(R_Schedule_Times,"&gt;"&amp;B1105,R_Schedule_Times,"&lt;"&amp;B1106),INDEX(R_Schedule_Amounts,MATCH(B1106,R_Schedule_Times,1)),K1105)),"")</f>
        <v>16360</v>
      </c>
      <c r="I1106" s="30">
        <f t="shared" si="85"/>
        <v>40</v>
      </c>
      <c r="J1106" s="31">
        <f t="shared" si="86"/>
        <v>0</v>
      </c>
      <c r="K1106" s="29">
        <f t="shared" si="87"/>
        <v>16320</v>
      </c>
      <c r="L1106" s="31" t="str">
        <f t="shared" si="88"/>
        <v/>
      </c>
      <c r="M1106" s="31" t="str">
        <f t="shared" si="89"/>
        <v/>
      </c>
    </row>
    <row r="1107" spans="1:13" x14ac:dyDescent="0.15">
      <c r="A1107" s="163" t="s">
        <v>210</v>
      </c>
      <c r="B1107" s="163">
        <v>42306.730075740743</v>
      </c>
      <c r="C1107" s="164" t="s">
        <v>14</v>
      </c>
      <c r="D1107" s="164" t="s">
        <v>13</v>
      </c>
      <c r="E1107" s="165">
        <v>100</v>
      </c>
      <c r="F1107" s="166">
        <v>3.5</v>
      </c>
      <c r="G1107" s="227">
        <f>IF($B$2,IF(ROWS(B$6:$B1107) = 1,$B1107-Start_Date,$B1107-$B1106),"")</f>
        <v>1.123891204042593E-2</v>
      </c>
      <c r="H1107" s="29">
        <f>IF($B$2,IF(ROWS(B$6:$B1107) = 1,IF(COUNTIFS(R_Schedule_Times,"&lt;"&amp;B1107),INDEX(R_Schedule_Amounts,MATCH(B1107,R_Schedule_Times,1)),Starting_Cash),IF(COUNTIFS(R_Schedule_Times,"&gt;"&amp;B1106,R_Schedule_Times,"&lt;"&amp;B1107),INDEX(R_Schedule_Amounts,MATCH(B1107,R_Schedule_Times,1)),K1106)),"")</f>
        <v>16320</v>
      </c>
      <c r="I1107" s="30">
        <f t="shared" si="85"/>
        <v>100</v>
      </c>
      <c r="J1107" s="31">
        <f t="shared" si="86"/>
        <v>3.5</v>
      </c>
      <c r="K1107" s="29">
        <f t="shared" si="87"/>
        <v>16220</v>
      </c>
      <c r="L1107" s="31" t="str">
        <f t="shared" si="88"/>
        <v/>
      </c>
      <c r="M1107" s="31" t="str">
        <f t="shared" si="89"/>
        <v/>
      </c>
    </row>
    <row r="1108" spans="1:13" x14ac:dyDescent="0.15">
      <c r="A1108" s="163" t="s">
        <v>210</v>
      </c>
      <c r="B1108" s="163">
        <v>42306.746217581021</v>
      </c>
      <c r="C1108" s="164" t="s">
        <v>188</v>
      </c>
      <c r="D1108" s="164" t="s">
        <v>13</v>
      </c>
      <c r="E1108" s="165">
        <v>100</v>
      </c>
      <c r="F1108" s="166">
        <v>0</v>
      </c>
      <c r="G1108" s="227">
        <f>IF($B$2,IF(ROWS(B$6:$B1108) = 1,$B1108-Start_Date,$B1108-$B1107),"")</f>
        <v>1.6141840278578456E-2</v>
      </c>
      <c r="H1108" s="29">
        <f>IF($B$2,IF(ROWS(B$6:$B1108) = 1,IF(COUNTIFS(R_Schedule_Times,"&lt;"&amp;B1108),INDEX(R_Schedule_Amounts,MATCH(B1108,R_Schedule_Times,1)),Starting_Cash),IF(COUNTIFS(R_Schedule_Times,"&gt;"&amp;B1107,R_Schedule_Times,"&lt;"&amp;B1108),INDEX(R_Schedule_Amounts,MATCH(B1108,R_Schedule_Times,1)),K1107)),"")</f>
        <v>16220</v>
      </c>
      <c r="I1108" s="30">
        <f t="shared" si="85"/>
        <v>100</v>
      </c>
      <c r="J1108" s="31">
        <f t="shared" si="86"/>
        <v>0</v>
      </c>
      <c r="K1108" s="29">
        <f t="shared" si="87"/>
        <v>16120</v>
      </c>
      <c r="L1108" s="31" t="str">
        <f t="shared" si="88"/>
        <v/>
      </c>
      <c r="M1108" s="31" t="str">
        <f t="shared" si="89"/>
        <v/>
      </c>
    </row>
    <row r="1109" spans="1:13" x14ac:dyDescent="0.15">
      <c r="A1109" s="163" t="s">
        <v>210</v>
      </c>
      <c r="B1109" s="163">
        <v>42306.761902835649</v>
      </c>
      <c r="C1109" s="164" t="s">
        <v>1362</v>
      </c>
      <c r="D1109" s="164" t="s">
        <v>13</v>
      </c>
      <c r="E1109" s="165">
        <v>100</v>
      </c>
      <c r="F1109" s="166">
        <v>0</v>
      </c>
      <c r="G1109" s="227">
        <f>IF($B$2,IF(ROWS(B$6:$B1109) = 1,$B1109-Start_Date,$B1109-$B1108),"")</f>
        <v>1.5685254627896938E-2</v>
      </c>
      <c r="H1109" s="29">
        <f>IF($B$2,IF(ROWS(B$6:$B1109) = 1,IF(COUNTIFS(R_Schedule_Times,"&lt;"&amp;B1109),INDEX(R_Schedule_Amounts,MATCH(B1109,R_Schedule_Times,1)),Starting_Cash),IF(COUNTIFS(R_Schedule_Times,"&gt;"&amp;B1108,R_Schedule_Times,"&lt;"&amp;B1109),INDEX(R_Schedule_Amounts,MATCH(B1109,R_Schedule_Times,1)),K1108)),"")</f>
        <v>16120</v>
      </c>
      <c r="I1109" s="30">
        <f t="shared" si="85"/>
        <v>100</v>
      </c>
      <c r="J1109" s="31">
        <f t="shared" si="86"/>
        <v>0</v>
      </c>
      <c r="K1109" s="29">
        <f t="shared" si="87"/>
        <v>16020</v>
      </c>
      <c r="L1109" s="31" t="str">
        <f t="shared" si="88"/>
        <v/>
      </c>
      <c r="M1109" s="31" t="str">
        <f t="shared" si="89"/>
        <v/>
      </c>
    </row>
    <row r="1110" spans="1:13" x14ac:dyDescent="0.15">
      <c r="A1110" s="163" t="s">
        <v>210</v>
      </c>
      <c r="B1110" s="163">
        <v>42306.789230902781</v>
      </c>
      <c r="C1110" s="164" t="s">
        <v>1363</v>
      </c>
      <c r="D1110" s="164" t="s">
        <v>13</v>
      </c>
      <c r="E1110" s="165">
        <v>100</v>
      </c>
      <c r="F1110" s="166">
        <v>0</v>
      </c>
      <c r="G1110" s="227">
        <f>IF($B$2,IF(ROWS(B$6:$B1110) = 1,$B1110-Start_Date,$B1110-$B1109),"")</f>
        <v>2.7328067131747957E-2</v>
      </c>
      <c r="H1110" s="29">
        <f>IF($B$2,IF(ROWS(B$6:$B1110) = 1,IF(COUNTIFS(R_Schedule_Times,"&lt;"&amp;B1110),INDEX(R_Schedule_Amounts,MATCH(B1110,R_Schedule_Times,1)),Starting_Cash),IF(COUNTIFS(R_Schedule_Times,"&gt;"&amp;B1109,R_Schedule_Times,"&lt;"&amp;B1110),INDEX(R_Schedule_Amounts,MATCH(B1110,R_Schedule_Times,1)),K1109)),"")</f>
        <v>16020</v>
      </c>
      <c r="I1110" s="30">
        <f t="shared" si="85"/>
        <v>100</v>
      </c>
      <c r="J1110" s="31">
        <f t="shared" si="86"/>
        <v>0</v>
      </c>
      <c r="K1110" s="29">
        <f t="shared" si="87"/>
        <v>15920</v>
      </c>
      <c r="L1110" s="31" t="str">
        <f t="shared" si="88"/>
        <v/>
      </c>
      <c r="M1110" s="31" t="str">
        <f t="shared" si="89"/>
        <v/>
      </c>
    </row>
    <row r="1111" spans="1:13" x14ac:dyDescent="0.15">
      <c r="A1111" s="163" t="s">
        <v>210</v>
      </c>
      <c r="B1111" s="163">
        <v>42306.794654432873</v>
      </c>
      <c r="C1111" s="164" t="s">
        <v>1364</v>
      </c>
      <c r="D1111" s="164" t="s">
        <v>13</v>
      </c>
      <c r="E1111" s="165">
        <v>40</v>
      </c>
      <c r="F1111" s="166">
        <v>0</v>
      </c>
      <c r="G1111" s="227">
        <f>IF($B$2,IF(ROWS(B$6:$B1111) = 1,$B1111-Start_Date,$B1111-$B1110),"")</f>
        <v>5.4235300922300667E-3</v>
      </c>
      <c r="H1111" s="29">
        <f>IF($B$2,IF(ROWS(B$6:$B1111) = 1,IF(COUNTIFS(R_Schedule_Times,"&lt;"&amp;B1111),INDEX(R_Schedule_Amounts,MATCH(B1111,R_Schedule_Times,1)),Starting_Cash),IF(COUNTIFS(R_Schedule_Times,"&gt;"&amp;B1110,R_Schedule_Times,"&lt;"&amp;B1111),INDEX(R_Schedule_Amounts,MATCH(B1111,R_Schedule_Times,1)),K1110)),"")</f>
        <v>15920</v>
      </c>
      <c r="I1111" s="30">
        <f t="shared" si="85"/>
        <v>40</v>
      </c>
      <c r="J1111" s="31">
        <f t="shared" si="86"/>
        <v>0</v>
      </c>
      <c r="K1111" s="29">
        <f t="shared" si="87"/>
        <v>15880</v>
      </c>
      <c r="L1111" s="31" t="str">
        <f t="shared" si="88"/>
        <v/>
      </c>
      <c r="M1111" s="31" t="str">
        <f t="shared" si="89"/>
        <v/>
      </c>
    </row>
    <row r="1112" spans="1:13" x14ac:dyDescent="0.15">
      <c r="A1112" s="163" t="s">
        <v>210</v>
      </c>
      <c r="B1112" s="163">
        <v>42306.831386284721</v>
      </c>
      <c r="C1112" s="164" t="s">
        <v>14</v>
      </c>
      <c r="D1112" s="164" t="s">
        <v>15</v>
      </c>
      <c r="E1112" s="165">
        <v>100</v>
      </c>
      <c r="F1112" s="166">
        <v>5.5</v>
      </c>
      <c r="G1112" s="227">
        <f>IF($B$2,IF(ROWS(B$6:$B1112) = 1,$B1112-Start_Date,$B1112-$B1111),"")</f>
        <v>3.6731851847434882E-2</v>
      </c>
      <c r="H1112" s="29">
        <f>IF($B$2,IF(ROWS(B$6:$B1112) = 1,IF(COUNTIFS(R_Schedule_Times,"&lt;"&amp;B1112),INDEX(R_Schedule_Amounts,MATCH(B1112,R_Schedule_Times,1)),Starting_Cash),IF(COUNTIFS(R_Schedule_Times,"&gt;"&amp;B1111,R_Schedule_Times,"&lt;"&amp;B1112),INDEX(R_Schedule_Amounts,MATCH(B1112,R_Schedule_Times,1)),K1111)),"")</f>
        <v>15880</v>
      </c>
      <c r="I1112" s="30">
        <f t="shared" si="85"/>
        <v>100</v>
      </c>
      <c r="J1112" s="31">
        <f t="shared" si="86"/>
        <v>5.5</v>
      </c>
      <c r="K1112" s="29">
        <f t="shared" si="87"/>
        <v>15780</v>
      </c>
      <c r="L1112" s="31" t="str">
        <f t="shared" si="88"/>
        <v/>
      </c>
      <c r="M1112" s="31" t="str">
        <f t="shared" si="89"/>
        <v/>
      </c>
    </row>
    <row r="1113" spans="1:13" x14ac:dyDescent="0.15">
      <c r="A1113" s="163" t="s">
        <v>210</v>
      </c>
      <c r="B1113" s="163">
        <v>42306.845773217596</v>
      </c>
      <c r="C1113" s="164" t="s">
        <v>1365</v>
      </c>
      <c r="D1113" s="164" t="s">
        <v>13</v>
      </c>
      <c r="E1113" s="165">
        <v>300</v>
      </c>
      <c r="F1113" s="166">
        <v>0</v>
      </c>
      <c r="G1113" s="227">
        <f>IF($B$2,IF(ROWS(B$6:$B1113) = 1,$B1113-Start_Date,$B1113-$B1112),"")</f>
        <v>1.4386932874913327E-2</v>
      </c>
      <c r="H1113" s="29">
        <f>IF($B$2,IF(ROWS(B$6:$B1113) = 1,IF(COUNTIFS(R_Schedule_Times,"&lt;"&amp;B1113),INDEX(R_Schedule_Amounts,MATCH(B1113,R_Schedule_Times,1)),Starting_Cash),IF(COUNTIFS(R_Schedule_Times,"&gt;"&amp;B1112,R_Schedule_Times,"&lt;"&amp;B1113),INDEX(R_Schedule_Amounts,MATCH(B1113,R_Schedule_Times,1)),K1112)),"")</f>
        <v>15780</v>
      </c>
      <c r="I1113" s="30">
        <f t="shared" si="85"/>
        <v>300</v>
      </c>
      <c r="J1113" s="31">
        <f t="shared" si="86"/>
        <v>0</v>
      </c>
      <c r="K1113" s="29">
        <f t="shared" si="87"/>
        <v>15480</v>
      </c>
      <c r="L1113" s="31" t="str">
        <f t="shared" si="88"/>
        <v/>
      </c>
      <c r="M1113" s="31" t="str">
        <f t="shared" si="89"/>
        <v/>
      </c>
    </row>
    <row r="1114" spans="1:13" x14ac:dyDescent="0.15">
      <c r="A1114" s="163" t="s">
        <v>210</v>
      </c>
      <c r="B1114" s="163">
        <v>42306.880086458332</v>
      </c>
      <c r="C1114" s="164" t="s">
        <v>14</v>
      </c>
      <c r="D1114" s="164" t="s">
        <v>13</v>
      </c>
      <c r="E1114" s="165">
        <v>100</v>
      </c>
      <c r="F1114" s="166">
        <v>3.5</v>
      </c>
      <c r="G1114" s="227">
        <f>IF($B$2,IF(ROWS(B$6:$B1114) = 1,$B1114-Start_Date,$B1114-$B1113),"")</f>
        <v>3.4313240736082662E-2</v>
      </c>
      <c r="H1114" s="29">
        <f>IF($B$2,IF(ROWS(B$6:$B1114) = 1,IF(COUNTIFS(R_Schedule_Times,"&lt;"&amp;B1114),INDEX(R_Schedule_Amounts,MATCH(B1114,R_Schedule_Times,1)),Starting_Cash),IF(COUNTIFS(R_Schedule_Times,"&gt;"&amp;B1113,R_Schedule_Times,"&lt;"&amp;B1114),INDEX(R_Schedule_Amounts,MATCH(B1114,R_Schedule_Times,1)),K1113)),"")</f>
        <v>15480</v>
      </c>
      <c r="I1114" s="30">
        <f t="shared" si="85"/>
        <v>100</v>
      </c>
      <c r="J1114" s="31">
        <f t="shared" si="86"/>
        <v>3.5</v>
      </c>
      <c r="K1114" s="29">
        <f t="shared" si="87"/>
        <v>15380</v>
      </c>
      <c r="L1114" s="31" t="str">
        <f t="shared" si="88"/>
        <v/>
      </c>
      <c r="M1114" s="31" t="str">
        <f t="shared" si="89"/>
        <v/>
      </c>
    </row>
    <row r="1115" spans="1:13" x14ac:dyDescent="0.15">
      <c r="A1115" s="163" t="s">
        <v>210</v>
      </c>
      <c r="B1115" s="163">
        <v>42306.980439756946</v>
      </c>
      <c r="C1115" s="164" t="s">
        <v>1083</v>
      </c>
      <c r="D1115" s="164" t="s">
        <v>13</v>
      </c>
      <c r="E1115" s="165">
        <v>100</v>
      </c>
      <c r="F1115" s="166">
        <v>0</v>
      </c>
      <c r="G1115" s="227">
        <f>IF($B$2,IF(ROWS(B$6:$B1115) = 1,$B1115-Start_Date,$B1115-$B1114),"")</f>
        <v>0.10035329861420905</v>
      </c>
      <c r="H1115" s="29">
        <f>IF($B$2,IF(ROWS(B$6:$B1115) = 1,IF(COUNTIFS(R_Schedule_Times,"&lt;"&amp;B1115),INDEX(R_Schedule_Amounts,MATCH(B1115,R_Schedule_Times,1)),Starting_Cash),IF(COUNTIFS(R_Schedule_Times,"&gt;"&amp;B1114,R_Schedule_Times,"&lt;"&amp;B1115),INDEX(R_Schedule_Amounts,MATCH(B1115,R_Schedule_Times,1)),K1114)),"")</f>
        <v>15380</v>
      </c>
      <c r="I1115" s="30">
        <f t="shared" si="85"/>
        <v>100</v>
      </c>
      <c r="J1115" s="31">
        <f t="shared" si="86"/>
        <v>0</v>
      </c>
      <c r="K1115" s="29">
        <f t="shared" si="87"/>
        <v>15280</v>
      </c>
      <c r="L1115" s="31" t="str">
        <f t="shared" si="88"/>
        <v/>
      </c>
      <c r="M1115" s="31" t="str">
        <f t="shared" si="89"/>
        <v/>
      </c>
    </row>
    <row r="1116" spans="1:13" x14ac:dyDescent="0.15">
      <c r="A1116" s="163" t="s">
        <v>210</v>
      </c>
      <c r="B1116" s="163">
        <v>42306.983626238427</v>
      </c>
      <c r="C1116" s="164" t="s">
        <v>949</v>
      </c>
      <c r="D1116" s="164" t="s">
        <v>13</v>
      </c>
      <c r="E1116" s="165">
        <v>40</v>
      </c>
      <c r="F1116" s="166">
        <v>0</v>
      </c>
      <c r="G1116" s="227">
        <f>IF($B$2,IF(ROWS(B$6:$B1116) = 1,$B1116-Start_Date,$B1116-$B1115),"")</f>
        <v>3.1864814809523523E-3</v>
      </c>
      <c r="H1116" s="29">
        <f>IF($B$2,IF(ROWS(B$6:$B1116) = 1,IF(COUNTIFS(R_Schedule_Times,"&lt;"&amp;B1116),INDEX(R_Schedule_Amounts,MATCH(B1116,R_Schedule_Times,1)),Starting_Cash),IF(COUNTIFS(R_Schedule_Times,"&gt;"&amp;B1115,R_Schedule_Times,"&lt;"&amp;B1116),INDEX(R_Schedule_Amounts,MATCH(B1116,R_Schedule_Times,1)),K1115)),"")</f>
        <v>15280</v>
      </c>
      <c r="I1116" s="30">
        <f t="shared" si="85"/>
        <v>40</v>
      </c>
      <c r="J1116" s="31">
        <f t="shared" si="86"/>
        <v>0</v>
      </c>
      <c r="K1116" s="29">
        <f t="shared" si="87"/>
        <v>15240</v>
      </c>
      <c r="L1116" s="31" t="str">
        <f t="shared" si="88"/>
        <v/>
      </c>
      <c r="M1116" s="31" t="str">
        <f t="shared" si="89"/>
        <v/>
      </c>
    </row>
    <row r="1117" spans="1:13" x14ac:dyDescent="0.15">
      <c r="A1117" s="163" t="s">
        <v>210</v>
      </c>
      <c r="B1117" s="163">
        <v>42307.312076377311</v>
      </c>
      <c r="C1117" s="164" t="s">
        <v>14</v>
      </c>
      <c r="D1117" s="164" t="s">
        <v>15</v>
      </c>
      <c r="E1117" s="165">
        <v>40</v>
      </c>
      <c r="F1117" s="166">
        <v>3.7</v>
      </c>
      <c r="G1117" s="227">
        <f>IF($B$2,IF(ROWS(B$6:$B1117) = 1,$B1117-Start_Date,$B1117-$B1116),"")</f>
        <v>0.3284501388843637</v>
      </c>
      <c r="H1117" s="29">
        <f>IF($B$2,IF(ROWS(B$6:$B1117) = 1,IF(COUNTIFS(R_Schedule_Times,"&lt;"&amp;B1117),INDEX(R_Schedule_Amounts,MATCH(B1117,R_Schedule_Times,1)),Starting_Cash),IF(COUNTIFS(R_Schedule_Times,"&gt;"&amp;B1116,R_Schedule_Times,"&lt;"&amp;B1117),INDEX(R_Schedule_Amounts,MATCH(B1117,R_Schedule_Times,1)),K1116)),"")</f>
        <v>15240</v>
      </c>
      <c r="I1117" s="30">
        <f t="shared" si="85"/>
        <v>40</v>
      </c>
      <c r="J1117" s="31">
        <f t="shared" si="86"/>
        <v>3.7</v>
      </c>
      <c r="K1117" s="29">
        <f t="shared" si="87"/>
        <v>15200</v>
      </c>
      <c r="L1117" s="31" t="str">
        <f t="shared" si="88"/>
        <v/>
      </c>
      <c r="M1117" s="31" t="str">
        <f t="shared" si="89"/>
        <v/>
      </c>
    </row>
    <row r="1118" spans="1:13" x14ac:dyDescent="0.15">
      <c r="A1118" s="163" t="s">
        <v>210</v>
      </c>
      <c r="B1118" s="163">
        <v>42307.320312638891</v>
      </c>
      <c r="C1118" s="164" t="s">
        <v>389</v>
      </c>
      <c r="D1118" s="164" t="s">
        <v>13</v>
      </c>
      <c r="E1118" s="165">
        <v>120</v>
      </c>
      <c r="F1118" s="166">
        <v>0</v>
      </c>
      <c r="G1118" s="227">
        <f>IF($B$2,IF(ROWS(B$6:$B1118) = 1,$B1118-Start_Date,$B1118-$B1117),"")</f>
        <v>8.2362615794409066E-3</v>
      </c>
      <c r="H1118" s="29">
        <f>IF($B$2,IF(ROWS(B$6:$B1118) = 1,IF(COUNTIFS(R_Schedule_Times,"&lt;"&amp;B1118),INDEX(R_Schedule_Amounts,MATCH(B1118,R_Schedule_Times,1)),Starting_Cash),IF(COUNTIFS(R_Schedule_Times,"&gt;"&amp;B1117,R_Schedule_Times,"&lt;"&amp;B1118),INDEX(R_Schedule_Amounts,MATCH(B1118,R_Schedule_Times,1)),K1117)),"")</f>
        <v>15200</v>
      </c>
      <c r="I1118" s="30">
        <f t="shared" si="85"/>
        <v>120</v>
      </c>
      <c r="J1118" s="31">
        <f t="shared" si="86"/>
        <v>0</v>
      </c>
      <c r="K1118" s="29">
        <f t="shared" si="87"/>
        <v>15080</v>
      </c>
      <c r="L1118" s="31" t="str">
        <f t="shared" si="88"/>
        <v/>
      </c>
      <c r="M1118" s="31" t="str">
        <f t="shared" si="89"/>
        <v/>
      </c>
    </row>
    <row r="1119" spans="1:13" x14ac:dyDescent="0.15">
      <c r="A1119" s="163" t="s">
        <v>210</v>
      </c>
      <c r="B1119" s="163">
        <v>42307.328707939814</v>
      </c>
      <c r="C1119" s="164" t="s">
        <v>14</v>
      </c>
      <c r="D1119" s="164" t="s">
        <v>13</v>
      </c>
      <c r="E1119" s="165">
        <v>80</v>
      </c>
      <c r="F1119" s="166">
        <v>3.5</v>
      </c>
      <c r="G1119" s="227">
        <f>IF($B$2,IF(ROWS(B$6:$B1119) = 1,$B1119-Start_Date,$B1119-$B1118),"")</f>
        <v>8.3953009234392084E-3</v>
      </c>
      <c r="H1119" s="29">
        <f>IF($B$2,IF(ROWS(B$6:$B1119) = 1,IF(COUNTIFS(R_Schedule_Times,"&lt;"&amp;B1119),INDEX(R_Schedule_Amounts,MATCH(B1119,R_Schedule_Times,1)),Starting_Cash),IF(COUNTIFS(R_Schedule_Times,"&gt;"&amp;B1118,R_Schedule_Times,"&lt;"&amp;B1119),INDEX(R_Schedule_Amounts,MATCH(B1119,R_Schedule_Times,1)),K1118)),"")</f>
        <v>15080</v>
      </c>
      <c r="I1119" s="30">
        <f t="shared" si="85"/>
        <v>80</v>
      </c>
      <c r="J1119" s="31">
        <f t="shared" si="86"/>
        <v>3.5</v>
      </c>
      <c r="K1119" s="29">
        <f t="shared" si="87"/>
        <v>15000</v>
      </c>
      <c r="L1119" s="31" t="str">
        <f t="shared" si="88"/>
        <v/>
      </c>
      <c r="M1119" s="31" t="str">
        <f t="shared" si="89"/>
        <v/>
      </c>
    </row>
    <row r="1120" spans="1:13" x14ac:dyDescent="0.15">
      <c r="A1120" s="163" t="s">
        <v>210</v>
      </c>
      <c r="B1120" s="163">
        <v>42307.331992222222</v>
      </c>
      <c r="C1120" s="164" t="s">
        <v>1366</v>
      </c>
      <c r="D1120" s="164" t="s">
        <v>13</v>
      </c>
      <c r="E1120" s="165">
        <v>100</v>
      </c>
      <c r="F1120" s="166">
        <v>0</v>
      </c>
      <c r="G1120" s="227">
        <f>IF($B$2,IF(ROWS(B$6:$B1120) = 1,$B1120-Start_Date,$B1120-$B1119),"")</f>
        <v>3.2842824075487442E-3</v>
      </c>
      <c r="H1120" s="29">
        <f>IF($B$2,IF(ROWS(B$6:$B1120) = 1,IF(COUNTIFS(R_Schedule_Times,"&lt;"&amp;B1120),INDEX(R_Schedule_Amounts,MATCH(B1120,R_Schedule_Times,1)),Starting_Cash),IF(COUNTIFS(R_Schedule_Times,"&gt;"&amp;B1119,R_Schedule_Times,"&lt;"&amp;B1120),INDEX(R_Schedule_Amounts,MATCH(B1120,R_Schedule_Times,1)),K1119)),"")</f>
        <v>15000</v>
      </c>
      <c r="I1120" s="30">
        <f t="shared" si="85"/>
        <v>100</v>
      </c>
      <c r="J1120" s="31">
        <f t="shared" si="86"/>
        <v>0</v>
      </c>
      <c r="K1120" s="29">
        <f t="shared" si="87"/>
        <v>14900</v>
      </c>
      <c r="L1120" s="31" t="str">
        <f t="shared" si="88"/>
        <v/>
      </c>
      <c r="M1120" s="31" t="str">
        <f t="shared" si="89"/>
        <v/>
      </c>
    </row>
    <row r="1121" spans="1:13" x14ac:dyDescent="0.15">
      <c r="A1121" s="163" t="s">
        <v>210</v>
      </c>
      <c r="B1121" s="163">
        <v>42307.374402638889</v>
      </c>
      <c r="C1121" s="164" t="s">
        <v>234</v>
      </c>
      <c r="D1121" s="164" t="s">
        <v>13</v>
      </c>
      <c r="E1121" s="165">
        <v>100</v>
      </c>
      <c r="F1121" s="166">
        <v>0</v>
      </c>
      <c r="G1121" s="227">
        <f>IF($B$2,IF(ROWS(B$6:$B1121) = 1,$B1121-Start_Date,$B1121-$B1120),"")</f>
        <v>4.2410416666825768E-2</v>
      </c>
      <c r="H1121" s="29">
        <f>IF($B$2,IF(ROWS(B$6:$B1121) = 1,IF(COUNTIFS(R_Schedule_Times,"&lt;"&amp;B1121),INDEX(R_Schedule_Amounts,MATCH(B1121,R_Schedule_Times,1)),Starting_Cash),IF(COUNTIFS(R_Schedule_Times,"&gt;"&amp;B1120,R_Schedule_Times,"&lt;"&amp;B1121),INDEX(R_Schedule_Amounts,MATCH(B1121,R_Schedule_Times,1)),K1120)),"")</f>
        <v>14900</v>
      </c>
      <c r="I1121" s="30">
        <f t="shared" si="85"/>
        <v>100</v>
      </c>
      <c r="J1121" s="31">
        <f t="shared" si="86"/>
        <v>0</v>
      </c>
      <c r="K1121" s="29">
        <f t="shared" si="87"/>
        <v>14800</v>
      </c>
      <c r="L1121" s="31" t="str">
        <f t="shared" si="88"/>
        <v/>
      </c>
      <c r="M1121" s="31" t="str">
        <f t="shared" si="89"/>
        <v/>
      </c>
    </row>
    <row r="1122" spans="1:13" x14ac:dyDescent="0.15">
      <c r="A1122" s="163" t="s">
        <v>210</v>
      </c>
      <c r="B1122" s="163">
        <v>42307.382749988428</v>
      </c>
      <c r="C1122" s="164" t="s">
        <v>1367</v>
      </c>
      <c r="D1122" s="164" t="s">
        <v>13</v>
      </c>
      <c r="E1122" s="165">
        <v>500</v>
      </c>
      <c r="F1122" s="166">
        <v>0</v>
      </c>
      <c r="G1122" s="227">
        <f>IF($B$2,IF(ROWS(B$6:$B1122) = 1,$B1122-Start_Date,$B1122-$B1121),"")</f>
        <v>8.3473495396901853E-3</v>
      </c>
      <c r="H1122" s="29">
        <f>IF($B$2,IF(ROWS(B$6:$B1122) = 1,IF(COUNTIFS(R_Schedule_Times,"&lt;"&amp;B1122),INDEX(R_Schedule_Amounts,MATCH(B1122,R_Schedule_Times,1)),Starting_Cash),IF(COUNTIFS(R_Schedule_Times,"&gt;"&amp;B1121,R_Schedule_Times,"&lt;"&amp;B1122),INDEX(R_Schedule_Amounts,MATCH(B1122,R_Schedule_Times,1)),K1121)),"")</f>
        <v>14800</v>
      </c>
      <c r="I1122" s="30">
        <f t="shared" si="85"/>
        <v>500</v>
      </c>
      <c r="J1122" s="31">
        <f t="shared" si="86"/>
        <v>0</v>
      </c>
      <c r="K1122" s="29">
        <f t="shared" si="87"/>
        <v>14300</v>
      </c>
      <c r="L1122" s="31" t="str">
        <f t="shared" si="88"/>
        <v/>
      </c>
      <c r="M1122" s="31" t="str">
        <f t="shared" si="89"/>
        <v/>
      </c>
    </row>
    <row r="1123" spans="1:13" x14ac:dyDescent="0.15">
      <c r="A1123" s="163" t="s">
        <v>210</v>
      </c>
      <c r="B1123" s="163">
        <v>42307.443554317128</v>
      </c>
      <c r="C1123" s="164" t="s">
        <v>14</v>
      </c>
      <c r="D1123" s="164" t="s">
        <v>13</v>
      </c>
      <c r="E1123" s="165">
        <v>100</v>
      </c>
      <c r="F1123" s="166">
        <v>3.5</v>
      </c>
      <c r="G1123" s="227">
        <f>IF($B$2,IF(ROWS(B$6:$B1123) = 1,$B1123-Start_Date,$B1123-$B1122),"")</f>
        <v>6.0804328699305188E-2</v>
      </c>
      <c r="H1123" s="29">
        <f>IF($B$2,IF(ROWS(B$6:$B1123) = 1,IF(COUNTIFS(R_Schedule_Times,"&lt;"&amp;B1123),INDEX(R_Schedule_Amounts,MATCH(B1123,R_Schedule_Times,1)),Starting_Cash),IF(COUNTIFS(R_Schedule_Times,"&gt;"&amp;B1122,R_Schedule_Times,"&lt;"&amp;B1123),INDEX(R_Schedule_Amounts,MATCH(B1123,R_Schedule_Times,1)),K1122)),"")</f>
        <v>14300</v>
      </c>
      <c r="I1123" s="30">
        <f t="shared" si="85"/>
        <v>100</v>
      </c>
      <c r="J1123" s="31">
        <f t="shared" si="86"/>
        <v>3.5</v>
      </c>
      <c r="K1123" s="29">
        <f t="shared" si="87"/>
        <v>14200</v>
      </c>
      <c r="L1123" s="31" t="str">
        <f t="shared" si="88"/>
        <v/>
      </c>
      <c r="M1123" s="31" t="str">
        <f t="shared" si="89"/>
        <v/>
      </c>
    </row>
    <row r="1124" spans="1:13" x14ac:dyDescent="0.15">
      <c r="A1124" s="163" t="s">
        <v>210</v>
      </c>
      <c r="B1124" s="163">
        <v>42307.445959074073</v>
      </c>
      <c r="C1124" s="164" t="s">
        <v>1368</v>
      </c>
      <c r="D1124" s="164" t="s">
        <v>13</v>
      </c>
      <c r="E1124" s="165">
        <v>100</v>
      </c>
      <c r="F1124" s="166">
        <v>0</v>
      </c>
      <c r="G1124" s="227">
        <f>IF($B$2,IF(ROWS(B$6:$B1124) = 1,$B1124-Start_Date,$B1124-$B1123),"")</f>
        <v>2.4047569459071383E-3</v>
      </c>
      <c r="H1124" s="29">
        <f>IF($B$2,IF(ROWS(B$6:$B1124) = 1,IF(COUNTIFS(R_Schedule_Times,"&lt;"&amp;B1124),INDEX(R_Schedule_Amounts,MATCH(B1124,R_Schedule_Times,1)),Starting_Cash),IF(COUNTIFS(R_Schedule_Times,"&gt;"&amp;B1123,R_Schedule_Times,"&lt;"&amp;B1124),INDEX(R_Schedule_Amounts,MATCH(B1124,R_Schedule_Times,1)),K1123)),"")</f>
        <v>14200</v>
      </c>
      <c r="I1124" s="30">
        <f t="shared" si="85"/>
        <v>100</v>
      </c>
      <c r="J1124" s="31">
        <f t="shared" si="86"/>
        <v>0</v>
      </c>
      <c r="K1124" s="29">
        <f t="shared" si="87"/>
        <v>14100</v>
      </c>
      <c r="L1124" s="31" t="str">
        <f t="shared" si="88"/>
        <v/>
      </c>
      <c r="M1124" s="31" t="str">
        <f t="shared" si="89"/>
        <v/>
      </c>
    </row>
    <row r="1125" spans="1:13" x14ac:dyDescent="0.15">
      <c r="A1125" s="163" t="s">
        <v>210</v>
      </c>
      <c r="B1125" s="163">
        <v>42307.447437824077</v>
      </c>
      <c r="C1125" s="164" t="s">
        <v>390</v>
      </c>
      <c r="D1125" s="164" t="s">
        <v>13</v>
      </c>
      <c r="E1125" s="165">
        <v>80</v>
      </c>
      <c r="F1125" s="166">
        <v>0</v>
      </c>
      <c r="G1125" s="227">
        <f>IF($B$2,IF(ROWS(B$6:$B1125) = 1,$B1125-Start_Date,$B1125-$B1124),"")</f>
        <v>1.4787500040256418E-3</v>
      </c>
      <c r="H1125" s="29">
        <f>IF($B$2,IF(ROWS(B$6:$B1125) = 1,IF(COUNTIFS(R_Schedule_Times,"&lt;"&amp;B1125),INDEX(R_Schedule_Amounts,MATCH(B1125,R_Schedule_Times,1)),Starting_Cash),IF(COUNTIFS(R_Schedule_Times,"&gt;"&amp;B1124,R_Schedule_Times,"&lt;"&amp;B1125),INDEX(R_Schedule_Amounts,MATCH(B1125,R_Schedule_Times,1)),K1124)),"")</f>
        <v>14100</v>
      </c>
      <c r="I1125" s="30">
        <f t="shared" si="85"/>
        <v>80</v>
      </c>
      <c r="J1125" s="31">
        <f t="shared" si="86"/>
        <v>0</v>
      </c>
      <c r="K1125" s="29">
        <f t="shared" si="87"/>
        <v>14020</v>
      </c>
      <c r="L1125" s="31" t="str">
        <f t="shared" si="88"/>
        <v/>
      </c>
      <c r="M1125" s="31" t="str">
        <f t="shared" si="89"/>
        <v/>
      </c>
    </row>
    <row r="1126" spans="1:13" x14ac:dyDescent="0.15">
      <c r="A1126" s="163" t="s">
        <v>210</v>
      </c>
      <c r="B1126" s="163">
        <v>42307.451510439816</v>
      </c>
      <c r="C1126" s="164" t="s">
        <v>1369</v>
      </c>
      <c r="D1126" s="164" t="s">
        <v>13</v>
      </c>
      <c r="E1126" s="165">
        <v>40</v>
      </c>
      <c r="F1126" s="166">
        <v>0</v>
      </c>
      <c r="G1126" s="227">
        <f>IF($B$2,IF(ROWS(B$6:$B1126) = 1,$B1126-Start_Date,$B1126-$B1125),"")</f>
        <v>4.0726157385506667E-3</v>
      </c>
      <c r="H1126" s="29">
        <f>IF($B$2,IF(ROWS(B$6:$B1126) = 1,IF(COUNTIFS(R_Schedule_Times,"&lt;"&amp;B1126),INDEX(R_Schedule_Amounts,MATCH(B1126,R_Schedule_Times,1)),Starting_Cash),IF(COUNTIFS(R_Schedule_Times,"&gt;"&amp;B1125,R_Schedule_Times,"&lt;"&amp;B1126),INDEX(R_Schedule_Amounts,MATCH(B1126,R_Schedule_Times,1)),K1125)),"")</f>
        <v>14020</v>
      </c>
      <c r="I1126" s="30">
        <f t="shared" si="85"/>
        <v>40</v>
      </c>
      <c r="J1126" s="31">
        <f t="shared" si="86"/>
        <v>0</v>
      </c>
      <c r="K1126" s="29">
        <f t="shared" si="87"/>
        <v>13980</v>
      </c>
      <c r="L1126" s="31" t="str">
        <f t="shared" si="88"/>
        <v/>
      </c>
      <c r="M1126" s="31" t="str">
        <f t="shared" si="89"/>
        <v/>
      </c>
    </row>
    <row r="1127" spans="1:13" x14ac:dyDescent="0.15">
      <c r="A1127" s="163" t="s">
        <v>210</v>
      </c>
      <c r="B1127" s="163">
        <v>42307.461494976851</v>
      </c>
      <c r="C1127" s="164" t="s">
        <v>1370</v>
      </c>
      <c r="D1127" s="164" t="s">
        <v>13</v>
      </c>
      <c r="E1127" s="165">
        <v>500</v>
      </c>
      <c r="F1127" s="166">
        <v>0</v>
      </c>
      <c r="G1127" s="227">
        <f>IF($B$2,IF(ROWS(B$6:$B1127) = 1,$B1127-Start_Date,$B1127-$B1126),"")</f>
        <v>9.9845370350521989E-3</v>
      </c>
      <c r="H1127" s="29">
        <f>IF($B$2,IF(ROWS(B$6:$B1127) = 1,IF(COUNTIFS(R_Schedule_Times,"&lt;"&amp;B1127),INDEX(R_Schedule_Amounts,MATCH(B1127,R_Schedule_Times,1)),Starting_Cash),IF(COUNTIFS(R_Schedule_Times,"&gt;"&amp;B1126,R_Schedule_Times,"&lt;"&amp;B1127),INDEX(R_Schedule_Amounts,MATCH(B1127,R_Schedule_Times,1)),K1126)),"")</f>
        <v>13980</v>
      </c>
      <c r="I1127" s="30">
        <f t="shared" si="85"/>
        <v>500</v>
      </c>
      <c r="J1127" s="31">
        <f t="shared" si="86"/>
        <v>0</v>
      </c>
      <c r="K1127" s="29">
        <f t="shared" si="87"/>
        <v>13480</v>
      </c>
      <c r="L1127" s="31" t="str">
        <f t="shared" si="88"/>
        <v/>
      </c>
      <c r="M1127" s="31" t="str">
        <f t="shared" si="89"/>
        <v/>
      </c>
    </row>
    <row r="1128" spans="1:13" x14ac:dyDescent="0.15">
      <c r="A1128" s="163" t="s">
        <v>210</v>
      </c>
      <c r="B1128" s="163">
        <v>42307.473450011574</v>
      </c>
      <c r="C1128" s="164" t="s">
        <v>14</v>
      </c>
      <c r="D1128" s="164" t="s">
        <v>13</v>
      </c>
      <c r="E1128" s="165">
        <v>100</v>
      </c>
      <c r="F1128" s="166">
        <v>3.5</v>
      </c>
      <c r="G1128" s="227">
        <f>IF($B$2,IF(ROWS(B$6:$B1128) = 1,$B1128-Start_Date,$B1128-$B1127),"")</f>
        <v>1.1955034722632263E-2</v>
      </c>
      <c r="H1128" s="29">
        <f>IF($B$2,IF(ROWS(B$6:$B1128) = 1,IF(COUNTIFS(R_Schedule_Times,"&lt;"&amp;B1128),INDEX(R_Schedule_Amounts,MATCH(B1128,R_Schedule_Times,1)),Starting_Cash),IF(COUNTIFS(R_Schedule_Times,"&gt;"&amp;B1127,R_Schedule_Times,"&lt;"&amp;B1128),INDEX(R_Schedule_Amounts,MATCH(B1128,R_Schedule_Times,1)),K1127)),"")</f>
        <v>13480</v>
      </c>
      <c r="I1128" s="30">
        <f t="shared" si="85"/>
        <v>100</v>
      </c>
      <c r="J1128" s="31">
        <f t="shared" si="86"/>
        <v>3.5</v>
      </c>
      <c r="K1128" s="29">
        <f t="shared" si="87"/>
        <v>13380</v>
      </c>
      <c r="L1128" s="31" t="str">
        <f t="shared" si="88"/>
        <v/>
      </c>
      <c r="M1128" s="31" t="str">
        <f t="shared" si="89"/>
        <v/>
      </c>
    </row>
    <row r="1129" spans="1:13" x14ac:dyDescent="0.15">
      <c r="A1129" s="163" t="s">
        <v>210</v>
      </c>
      <c r="B1129" s="163">
        <v>42307.476003796299</v>
      </c>
      <c r="C1129" s="164" t="s">
        <v>1371</v>
      </c>
      <c r="D1129" s="164" t="s">
        <v>13</v>
      </c>
      <c r="E1129" s="165">
        <v>100</v>
      </c>
      <c r="F1129" s="166">
        <v>0</v>
      </c>
      <c r="G1129" s="227">
        <f>IF($B$2,IF(ROWS(B$6:$B1129) = 1,$B1129-Start_Date,$B1129-$B1128),"")</f>
        <v>2.5537847250234336E-3</v>
      </c>
      <c r="H1129" s="29">
        <f>IF($B$2,IF(ROWS(B$6:$B1129) = 1,IF(COUNTIFS(R_Schedule_Times,"&lt;"&amp;B1129),INDEX(R_Schedule_Amounts,MATCH(B1129,R_Schedule_Times,1)),Starting_Cash),IF(COUNTIFS(R_Schedule_Times,"&gt;"&amp;B1128,R_Schedule_Times,"&lt;"&amp;B1129),INDEX(R_Schedule_Amounts,MATCH(B1129,R_Schedule_Times,1)),K1128)),"")</f>
        <v>13380</v>
      </c>
      <c r="I1129" s="30">
        <f t="shared" si="85"/>
        <v>100</v>
      </c>
      <c r="J1129" s="31">
        <f t="shared" si="86"/>
        <v>0</v>
      </c>
      <c r="K1129" s="29">
        <f t="shared" si="87"/>
        <v>13280</v>
      </c>
      <c r="L1129" s="31" t="str">
        <f t="shared" si="88"/>
        <v/>
      </c>
      <c r="M1129" s="31" t="str">
        <f t="shared" si="89"/>
        <v/>
      </c>
    </row>
    <row r="1130" spans="1:13" x14ac:dyDescent="0.15">
      <c r="A1130" s="163" t="s">
        <v>210</v>
      </c>
      <c r="B1130" s="163">
        <v>42307.477295509256</v>
      </c>
      <c r="C1130" s="164" t="s">
        <v>1372</v>
      </c>
      <c r="D1130" s="164" t="s">
        <v>13</v>
      </c>
      <c r="E1130" s="165">
        <v>140</v>
      </c>
      <c r="F1130" s="166">
        <v>0</v>
      </c>
      <c r="G1130" s="227">
        <f>IF($B$2,IF(ROWS(B$6:$B1130) = 1,$B1130-Start_Date,$B1130-$B1129),"")</f>
        <v>1.2917129570269026E-3</v>
      </c>
      <c r="H1130" s="29">
        <f>IF($B$2,IF(ROWS(B$6:$B1130) = 1,IF(COUNTIFS(R_Schedule_Times,"&lt;"&amp;B1130),INDEX(R_Schedule_Amounts,MATCH(B1130,R_Schedule_Times,1)),Starting_Cash),IF(COUNTIFS(R_Schedule_Times,"&gt;"&amp;B1129,R_Schedule_Times,"&lt;"&amp;B1130),INDEX(R_Schedule_Amounts,MATCH(B1130,R_Schedule_Times,1)),K1129)),"")</f>
        <v>13280</v>
      </c>
      <c r="I1130" s="30">
        <f t="shared" si="85"/>
        <v>140</v>
      </c>
      <c r="J1130" s="31">
        <f t="shared" si="86"/>
        <v>0</v>
      </c>
      <c r="K1130" s="29">
        <f t="shared" si="87"/>
        <v>13140</v>
      </c>
      <c r="L1130" s="31" t="str">
        <f t="shared" si="88"/>
        <v/>
      </c>
      <c r="M1130" s="31" t="str">
        <f t="shared" si="89"/>
        <v/>
      </c>
    </row>
    <row r="1131" spans="1:13" x14ac:dyDescent="0.15">
      <c r="A1131" s="163" t="s">
        <v>210</v>
      </c>
      <c r="B1131" s="163">
        <v>42307.484865879633</v>
      </c>
      <c r="C1131" s="164" t="s">
        <v>391</v>
      </c>
      <c r="D1131" s="164" t="s">
        <v>13</v>
      </c>
      <c r="E1131" s="165">
        <v>60</v>
      </c>
      <c r="F1131" s="166">
        <v>0</v>
      </c>
      <c r="G1131" s="227">
        <f>IF($B$2,IF(ROWS(B$6:$B1131) = 1,$B1131-Start_Date,$B1131-$B1130),"")</f>
        <v>7.5703703769249842E-3</v>
      </c>
      <c r="H1131" s="29">
        <f>IF($B$2,IF(ROWS(B$6:$B1131) = 1,IF(COUNTIFS(R_Schedule_Times,"&lt;"&amp;B1131),INDEX(R_Schedule_Amounts,MATCH(B1131,R_Schedule_Times,1)),Starting_Cash),IF(COUNTIFS(R_Schedule_Times,"&gt;"&amp;B1130,R_Schedule_Times,"&lt;"&amp;B1131),INDEX(R_Schedule_Amounts,MATCH(B1131,R_Schedule_Times,1)),K1130)),"")</f>
        <v>13140</v>
      </c>
      <c r="I1131" s="30">
        <f t="shared" si="85"/>
        <v>60</v>
      </c>
      <c r="J1131" s="31">
        <f t="shared" si="86"/>
        <v>0</v>
      </c>
      <c r="K1131" s="29">
        <f t="shared" si="87"/>
        <v>13080</v>
      </c>
      <c r="L1131" s="31" t="str">
        <f t="shared" si="88"/>
        <v/>
      </c>
      <c r="M1131" s="31" t="str">
        <f t="shared" si="89"/>
        <v/>
      </c>
    </row>
    <row r="1132" spans="1:13" x14ac:dyDescent="0.15">
      <c r="A1132" s="163" t="s">
        <v>210</v>
      </c>
      <c r="B1132" s="163">
        <v>42307.49745008102</v>
      </c>
      <c r="C1132" s="164" t="s">
        <v>392</v>
      </c>
      <c r="D1132" s="164" t="s">
        <v>13</v>
      </c>
      <c r="E1132" s="165">
        <v>120</v>
      </c>
      <c r="F1132" s="166">
        <v>0</v>
      </c>
      <c r="G1132" s="227">
        <f>IF($B$2,IF(ROWS(B$6:$B1132) = 1,$B1132-Start_Date,$B1132-$B1131),"")</f>
        <v>1.2584201387653593E-2</v>
      </c>
      <c r="H1132" s="29">
        <f>IF($B$2,IF(ROWS(B$6:$B1132) = 1,IF(COUNTIFS(R_Schedule_Times,"&lt;"&amp;B1132),INDEX(R_Schedule_Amounts,MATCH(B1132,R_Schedule_Times,1)),Starting_Cash),IF(COUNTIFS(R_Schedule_Times,"&gt;"&amp;B1131,R_Schedule_Times,"&lt;"&amp;B1132),INDEX(R_Schedule_Amounts,MATCH(B1132,R_Schedule_Times,1)),K1131)),"")</f>
        <v>13080</v>
      </c>
      <c r="I1132" s="30">
        <f t="shared" si="85"/>
        <v>120</v>
      </c>
      <c r="J1132" s="31">
        <f t="shared" si="86"/>
        <v>0</v>
      </c>
      <c r="K1132" s="29">
        <f t="shared" si="87"/>
        <v>12960</v>
      </c>
      <c r="L1132" s="31" t="str">
        <f t="shared" si="88"/>
        <v/>
      </c>
      <c r="M1132" s="31" t="str">
        <f t="shared" si="89"/>
        <v/>
      </c>
    </row>
    <row r="1133" spans="1:13" x14ac:dyDescent="0.15">
      <c r="A1133" s="163" t="s">
        <v>210</v>
      </c>
      <c r="B1133" s="163">
        <v>42307.504558437497</v>
      </c>
      <c r="C1133" s="164" t="s">
        <v>1373</v>
      </c>
      <c r="D1133" s="164" t="s">
        <v>13</v>
      </c>
      <c r="E1133" s="165">
        <v>200</v>
      </c>
      <c r="F1133" s="166">
        <v>0</v>
      </c>
      <c r="G1133" s="227">
        <f>IF($B$2,IF(ROWS(B$6:$B1133) = 1,$B1133-Start_Date,$B1133-$B1132),"")</f>
        <v>7.1083564762375318E-3</v>
      </c>
      <c r="H1133" s="29">
        <f>IF($B$2,IF(ROWS(B$6:$B1133) = 1,IF(COUNTIFS(R_Schedule_Times,"&lt;"&amp;B1133),INDEX(R_Schedule_Amounts,MATCH(B1133,R_Schedule_Times,1)),Starting_Cash),IF(COUNTIFS(R_Schedule_Times,"&gt;"&amp;B1132,R_Schedule_Times,"&lt;"&amp;B1133),INDEX(R_Schedule_Amounts,MATCH(B1133,R_Schedule_Times,1)),K1132)),"")</f>
        <v>12960</v>
      </c>
      <c r="I1133" s="30">
        <f t="shared" si="85"/>
        <v>200</v>
      </c>
      <c r="J1133" s="31">
        <f t="shared" si="86"/>
        <v>0</v>
      </c>
      <c r="K1133" s="29">
        <f t="shared" si="87"/>
        <v>12760</v>
      </c>
      <c r="L1133" s="31" t="str">
        <f t="shared" si="88"/>
        <v/>
      </c>
      <c r="M1133" s="31" t="str">
        <f t="shared" si="89"/>
        <v/>
      </c>
    </row>
    <row r="1134" spans="1:13" x14ac:dyDescent="0.15">
      <c r="A1134" s="163" t="s">
        <v>210</v>
      </c>
      <c r="B1134" s="163">
        <v>42307.505337326387</v>
      </c>
      <c r="C1134" s="164" t="s">
        <v>184</v>
      </c>
      <c r="D1134" s="164" t="s">
        <v>13</v>
      </c>
      <c r="E1134" s="165">
        <v>100</v>
      </c>
      <c r="F1134" s="166">
        <v>0</v>
      </c>
      <c r="G1134" s="227">
        <f>IF($B$2,IF(ROWS(B$6:$B1134) = 1,$B1134-Start_Date,$B1134-$B1133),"")</f>
        <v>7.7888889063615352E-4</v>
      </c>
      <c r="H1134" s="29">
        <f>IF($B$2,IF(ROWS(B$6:$B1134) = 1,IF(COUNTIFS(R_Schedule_Times,"&lt;"&amp;B1134),INDEX(R_Schedule_Amounts,MATCH(B1134,R_Schedule_Times,1)),Starting_Cash),IF(COUNTIFS(R_Schedule_Times,"&gt;"&amp;B1133,R_Schedule_Times,"&lt;"&amp;B1134),INDEX(R_Schedule_Amounts,MATCH(B1134,R_Schedule_Times,1)),K1133)),"")</f>
        <v>12760</v>
      </c>
      <c r="I1134" s="30">
        <f t="shared" si="85"/>
        <v>100</v>
      </c>
      <c r="J1134" s="31">
        <f t="shared" si="86"/>
        <v>0</v>
      </c>
      <c r="K1134" s="29">
        <f t="shared" si="87"/>
        <v>12660</v>
      </c>
      <c r="L1134" s="31" t="str">
        <f t="shared" si="88"/>
        <v/>
      </c>
      <c r="M1134" s="31" t="str">
        <f t="shared" si="89"/>
        <v/>
      </c>
    </row>
    <row r="1135" spans="1:13" x14ac:dyDescent="0.15">
      <c r="A1135" s="163" t="s">
        <v>210</v>
      </c>
      <c r="B1135" s="163">
        <v>42307.514044143521</v>
      </c>
      <c r="C1135" s="164" t="s">
        <v>1077</v>
      </c>
      <c r="D1135" s="164" t="s">
        <v>13</v>
      </c>
      <c r="E1135" s="165">
        <v>500</v>
      </c>
      <c r="F1135" s="166">
        <v>0</v>
      </c>
      <c r="G1135" s="227">
        <f>IF($B$2,IF(ROWS(B$6:$B1135) = 1,$B1135-Start_Date,$B1135-$B1134),"")</f>
        <v>8.7068171342252754E-3</v>
      </c>
      <c r="H1135" s="29">
        <f>IF($B$2,IF(ROWS(B$6:$B1135) = 1,IF(COUNTIFS(R_Schedule_Times,"&lt;"&amp;B1135),INDEX(R_Schedule_Amounts,MATCH(B1135,R_Schedule_Times,1)),Starting_Cash),IF(COUNTIFS(R_Schedule_Times,"&gt;"&amp;B1134,R_Schedule_Times,"&lt;"&amp;B1135),INDEX(R_Schedule_Amounts,MATCH(B1135,R_Schedule_Times,1)),K1134)),"")</f>
        <v>12660</v>
      </c>
      <c r="I1135" s="30">
        <f t="shared" si="85"/>
        <v>500</v>
      </c>
      <c r="J1135" s="31">
        <f t="shared" si="86"/>
        <v>0</v>
      </c>
      <c r="K1135" s="29">
        <f t="shared" si="87"/>
        <v>12160</v>
      </c>
      <c r="L1135" s="31" t="str">
        <f t="shared" si="88"/>
        <v/>
      </c>
      <c r="M1135" s="31" t="str">
        <f t="shared" si="89"/>
        <v/>
      </c>
    </row>
    <row r="1136" spans="1:13" x14ac:dyDescent="0.15">
      <c r="A1136" s="163" t="s">
        <v>210</v>
      </c>
      <c r="B1136" s="163">
        <v>42307.517256145831</v>
      </c>
      <c r="C1136" s="164" t="s">
        <v>1374</v>
      </c>
      <c r="D1136" s="164" t="s">
        <v>13</v>
      </c>
      <c r="E1136" s="165">
        <v>200</v>
      </c>
      <c r="F1136" s="166">
        <v>0</v>
      </c>
      <c r="G1136" s="227">
        <f>IF($B$2,IF(ROWS(B$6:$B1136) = 1,$B1136-Start_Date,$B1136-$B1135),"")</f>
        <v>3.212002309737727E-3</v>
      </c>
      <c r="H1136" s="29">
        <f>IF($B$2,IF(ROWS(B$6:$B1136) = 1,IF(COUNTIFS(R_Schedule_Times,"&lt;"&amp;B1136),INDEX(R_Schedule_Amounts,MATCH(B1136,R_Schedule_Times,1)),Starting_Cash),IF(COUNTIFS(R_Schedule_Times,"&gt;"&amp;B1135,R_Schedule_Times,"&lt;"&amp;B1136),INDEX(R_Schedule_Amounts,MATCH(B1136,R_Schedule_Times,1)),K1135)),"")</f>
        <v>12160</v>
      </c>
      <c r="I1136" s="30">
        <f t="shared" si="85"/>
        <v>200</v>
      </c>
      <c r="J1136" s="31">
        <f t="shared" si="86"/>
        <v>0</v>
      </c>
      <c r="K1136" s="29">
        <f t="shared" si="87"/>
        <v>11960</v>
      </c>
      <c r="L1136" s="31" t="str">
        <f t="shared" si="88"/>
        <v/>
      </c>
      <c r="M1136" s="31" t="str">
        <f t="shared" si="89"/>
        <v/>
      </c>
    </row>
    <row r="1137" spans="1:13" x14ac:dyDescent="0.15">
      <c r="A1137" s="163" t="s">
        <v>210</v>
      </c>
      <c r="B1137" s="163">
        <v>42307.519025775466</v>
      </c>
      <c r="C1137" s="164" t="s">
        <v>1375</v>
      </c>
      <c r="D1137" s="164" t="s">
        <v>13</v>
      </c>
      <c r="E1137" s="165">
        <v>100</v>
      </c>
      <c r="F1137" s="166">
        <v>0</v>
      </c>
      <c r="G1137" s="227">
        <f>IF($B$2,IF(ROWS(B$6:$B1137) = 1,$B1137-Start_Date,$B1137-$B1136),"")</f>
        <v>1.7696296345093288E-3</v>
      </c>
      <c r="H1137" s="29">
        <f>IF($B$2,IF(ROWS(B$6:$B1137) = 1,IF(COUNTIFS(R_Schedule_Times,"&lt;"&amp;B1137),INDEX(R_Schedule_Amounts,MATCH(B1137,R_Schedule_Times,1)),Starting_Cash),IF(COUNTIFS(R_Schedule_Times,"&gt;"&amp;B1136,R_Schedule_Times,"&lt;"&amp;B1137),INDEX(R_Schedule_Amounts,MATCH(B1137,R_Schedule_Times,1)),K1136)),"")</f>
        <v>11960</v>
      </c>
      <c r="I1137" s="30">
        <f t="shared" si="85"/>
        <v>100</v>
      </c>
      <c r="J1137" s="31">
        <f t="shared" si="86"/>
        <v>0</v>
      </c>
      <c r="K1137" s="29">
        <f t="shared" si="87"/>
        <v>11860</v>
      </c>
      <c r="L1137" s="31" t="str">
        <f t="shared" si="88"/>
        <v/>
      </c>
      <c r="M1137" s="31" t="str">
        <f t="shared" si="89"/>
        <v/>
      </c>
    </row>
    <row r="1138" spans="1:13" x14ac:dyDescent="0.15">
      <c r="A1138" s="163" t="s">
        <v>210</v>
      </c>
      <c r="B1138" s="163">
        <v>42307.525870474536</v>
      </c>
      <c r="C1138" s="164" t="s">
        <v>1376</v>
      </c>
      <c r="D1138" s="164" t="s">
        <v>13</v>
      </c>
      <c r="E1138" s="165">
        <v>40</v>
      </c>
      <c r="F1138" s="166">
        <v>0</v>
      </c>
      <c r="G1138" s="227">
        <f>IF($B$2,IF(ROWS(B$6:$B1138) = 1,$B1138-Start_Date,$B1138-$B1137),"")</f>
        <v>6.844699069915805E-3</v>
      </c>
      <c r="H1138" s="29">
        <f>IF($B$2,IF(ROWS(B$6:$B1138) = 1,IF(COUNTIFS(R_Schedule_Times,"&lt;"&amp;B1138),INDEX(R_Schedule_Amounts,MATCH(B1138,R_Schedule_Times,1)),Starting_Cash),IF(COUNTIFS(R_Schedule_Times,"&gt;"&amp;B1137,R_Schedule_Times,"&lt;"&amp;B1138),INDEX(R_Schedule_Amounts,MATCH(B1138,R_Schedule_Times,1)),K1137)),"")</f>
        <v>11860</v>
      </c>
      <c r="I1138" s="30">
        <f t="shared" si="85"/>
        <v>40</v>
      </c>
      <c r="J1138" s="31">
        <f t="shared" si="86"/>
        <v>0</v>
      </c>
      <c r="K1138" s="29">
        <f t="shared" si="87"/>
        <v>11820</v>
      </c>
      <c r="L1138" s="31" t="str">
        <f t="shared" si="88"/>
        <v/>
      </c>
      <c r="M1138" s="31" t="str">
        <f t="shared" si="89"/>
        <v/>
      </c>
    </row>
    <row r="1139" spans="1:13" x14ac:dyDescent="0.15">
      <c r="A1139" s="163" t="s">
        <v>210</v>
      </c>
      <c r="B1139" s="163">
        <v>42307.529265729165</v>
      </c>
      <c r="C1139" s="164" t="s">
        <v>1377</v>
      </c>
      <c r="D1139" s="164" t="s">
        <v>13</v>
      </c>
      <c r="E1139" s="165">
        <v>20</v>
      </c>
      <c r="F1139" s="166">
        <v>0</v>
      </c>
      <c r="G1139" s="227">
        <f>IF($B$2,IF(ROWS(B$6:$B1139) = 1,$B1139-Start_Date,$B1139-$B1138),"")</f>
        <v>3.3952546291402541E-3</v>
      </c>
      <c r="H1139" s="29">
        <f>IF($B$2,IF(ROWS(B$6:$B1139) = 1,IF(COUNTIFS(R_Schedule_Times,"&lt;"&amp;B1139),INDEX(R_Schedule_Amounts,MATCH(B1139,R_Schedule_Times,1)),Starting_Cash),IF(COUNTIFS(R_Schedule_Times,"&gt;"&amp;B1138,R_Schedule_Times,"&lt;"&amp;B1139),INDEX(R_Schedule_Amounts,MATCH(B1139,R_Schedule_Times,1)),K1138)),"")</f>
        <v>11820</v>
      </c>
      <c r="I1139" s="30">
        <f t="shared" si="85"/>
        <v>20</v>
      </c>
      <c r="J1139" s="31">
        <f t="shared" si="86"/>
        <v>0</v>
      </c>
      <c r="K1139" s="29">
        <f t="shared" si="87"/>
        <v>11800</v>
      </c>
      <c r="L1139" s="31" t="str">
        <f t="shared" si="88"/>
        <v/>
      </c>
      <c r="M1139" s="31" t="str">
        <f t="shared" si="89"/>
        <v/>
      </c>
    </row>
    <row r="1140" spans="1:13" x14ac:dyDescent="0.15">
      <c r="A1140" s="163" t="s">
        <v>210</v>
      </c>
      <c r="B1140" s="163">
        <v>42307.534284918984</v>
      </c>
      <c r="C1140" s="164" t="s">
        <v>1378</v>
      </c>
      <c r="D1140" s="164" t="s">
        <v>13</v>
      </c>
      <c r="E1140" s="165">
        <v>20</v>
      </c>
      <c r="F1140" s="166">
        <v>0</v>
      </c>
      <c r="G1140" s="227">
        <f>IF($B$2,IF(ROWS(B$6:$B1140) = 1,$B1140-Start_Date,$B1140-$B1139),"")</f>
        <v>5.0191898189950734E-3</v>
      </c>
      <c r="H1140" s="29">
        <f>IF($B$2,IF(ROWS(B$6:$B1140) = 1,IF(COUNTIFS(R_Schedule_Times,"&lt;"&amp;B1140),INDEX(R_Schedule_Amounts,MATCH(B1140,R_Schedule_Times,1)),Starting_Cash),IF(COUNTIFS(R_Schedule_Times,"&gt;"&amp;B1139,R_Schedule_Times,"&lt;"&amp;B1140),INDEX(R_Schedule_Amounts,MATCH(B1140,R_Schedule_Times,1)),K1139)),"")</f>
        <v>11800</v>
      </c>
      <c r="I1140" s="30">
        <f t="shared" si="85"/>
        <v>20</v>
      </c>
      <c r="J1140" s="31">
        <f t="shared" si="86"/>
        <v>0</v>
      </c>
      <c r="K1140" s="29">
        <f t="shared" si="87"/>
        <v>11780</v>
      </c>
      <c r="L1140" s="31" t="str">
        <f t="shared" si="88"/>
        <v/>
      </c>
      <c r="M1140" s="31" t="str">
        <f t="shared" si="89"/>
        <v/>
      </c>
    </row>
    <row r="1141" spans="1:13" x14ac:dyDescent="0.15">
      <c r="A1141" s="163" t="s">
        <v>210</v>
      </c>
      <c r="B1141" s="163">
        <v>42307.53931172454</v>
      </c>
      <c r="C1141" s="164" t="s">
        <v>1379</v>
      </c>
      <c r="D1141" s="164" t="s">
        <v>13</v>
      </c>
      <c r="E1141" s="165">
        <v>220</v>
      </c>
      <c r="F1141" s="166">
        <v>0</v>
      </c>
      <c r="G1141" s="227">
        <f>IF($B$2,IF(ROWS(B$6:$B1141) = 1,$B1141-Start_Date,$B1141-$B1140),"")</f>
        <v>5.0268055565538816E-3</v>
      </c>
      <c r="H1141" s="29">
        <f>IF($B$2,IF(ROWS(B$6:$B1141) = 1,IF(COUNTIFS(R_Schedule_Times,"&lt;"&amp;B1141),INDEX(R_Schedule_Amounts,MATCH(B1141,R_Schedule_Times,1)),Starting_Cash),IF(COUNTIFS(R_Schedule_Times,"&gt;"&amp;B1140,R_Schedule_Times,"&lt;"&amp;B1141),INDEX(R_Schedule_Amounts,MATCH(B1141,R_Schedule_Times,1)),K1140)),"")</f>
        <v>11780</v>
      </c>
      <c r="I1141" s="30">
        <f t="shared" si="85"/>
        <v>220</v>
      </c>
      <c r="J1141" s="31">
        <f t="shared" si="86"/>
        <v>0</v>
      </c>
      <c r="K1141" s="29">
        <f t="shared" si="87"/>
        <v>11560</v>
      </c>
      <c r="L1141" s="31" t="str">
        <f t="shared" si="88"/>
        <v/>
      </c>
      <c r="M1141" s="31" t="str">
        <f t="shared" si="89"/>
        <v/>
      </c>
    </row>
    <row r="1142" spans="1:13" x14ac:dyDescent="0.15">
      <c r="A1142" s="163" t="s">
        <v>210</v>
      </c>
      <c r="B1142" s="163">
        <v>42307.551051192131</v>
      </c>
      <c r="C1142" s="164" t="s">
        <v>167</v>
      </c>
      <c r="D1142" s="164" t="s">
        <v>13</v>
      </c>
      <c r="E1142" s="165">
        <v>100</v>
      </c>
      <c r="F1142" s="166">
        <v>0</v>
      </c>
      <c r="G1142" s="227">
        <f>IF($B$2,IF(ROWS(B$6:$B1142) = 1,$B1142-Start_Date,$B1142-$B1141),"")</f>
        <v>1.1739467590814456E-2</v>
      </c>
      <c r="H1142" s="29">
        <f>IF($B$2,IF(ROWS(B$6:$B1142) = 1,IF(COUNTIFS(R_Schedule_Times,"&lt;"&amp;B1142),INDEX(R_Schedule_Amounts,MATCH(B1142,R_Schedule_Times,1)),Starting_Cash),IF(COUNTIFS(R_Schedule_Times,"&gt;"&amp;B1141,R_Schedule_Times,"&lt;"&amp;B1142),INDEX(R_Schedule_Amounts,MATCH(B1142,R_Schedule_Times,1)),K1141)),"")</f>
        <v>11560</v>
      </c>
      <c r="I1142" s="30">
        <f t="shared" si="85"/>
        <v>100</v>
      </c>
      <c r="J1142" s="31">
        <f t="shared" si="86"/>
        <v>0</v>
      </c>
      <c r="K1142" s="29">
        <f t="shared" si="87"/>
        <v>11460</v>
      </c>
      <c r="L1142" s="31" t="str">
        <f t="shared" si="88"/>
        <v/>
      </c>
      <c r="M1142" s="31" t="str">
        <f t="shared" si="89"/>
        <v/>
      </c>
    </row>
    <row r="1143" spans="1:13" x14ac:dyDescent="0.15">
      <c r="A1143" s="163" t="s">
        <v>210</v>
      </c>
      <c r="B1143" s="163">
        <v>42307.563062349538</v>
      </c>
      <c r="C1143" s="164" t="s">
        <v>1380</v>
      </c>
      <c r="D1143" s="164" t="s">
        <v>13</v>
      </c>
      <c r="E1143" s="165">
        <v>100</v>
      </c>
      <c r="F1143" s="166">
        <v>0</v>
      </c>
      <c r="G1143" s="227">
        <f>IF($B$2,IF(ROWS(B$6:$B1143) = 1,$B1143-Start_Date,$B1143-$B1142),"")</f>
        <v>1.2011157406959683E-2</v>
      </c>
      <c r="H1143" s="29">
        <f>IF($B$2,IF(ROWS(B$6:$B1143) = 1,IF(COUNTIFS(R_Schedule_Times,"&lt;"&amp;B1143),INDEX(R_Schedule_Amounts,MATCH(B1143,R_Schedule_Times,1)),Starting_Cash),IF(COUNTIFS(R_Schedule_Times,"&gt;"&amp;B1142,R_Schedule_Times,"&lt;"&amp;B1143),INDEX(R_Schedule_Amounts,MATCH(B1143,R_Schedule_Times,1)),K1142)),"")</f>
        <v>11460</v>
      </c>
      <c r="I1143" s="30">
        <f t="shared" si="85"/>
        <v>100</v>
      </c>
      <c r="J1143" s="31">
        <f t="shared" si="86"/>
        <v>0</v>
      </c>
      <c r="K1143" s="29">
        <f t="shared" si="87"/>
        <v>11360</v>
      </c>
      <c r="L1143" s="31" t="str">
        <f t="shared" si="88"/>
        <v/>
      </c>
      <c r="M1143" s="31" t="str">
        <f t="shared" si="89"/>
        <v/>
      </c>
    </row>
    <row r="1144" spans="1:13" x14ac:dyDescent="0.15">
      <c r="A1144" s="163" t="s">
        <v>210</v>
      </c>
      <c r="B1144" s="163">
        <v>42307.569340717593</v>
      </c>
      <c r="C1144" s="164" t="s">
        <v>1381</v>
      </c>
      <c r="D1144" s="164" t="s">
        <v>13</v>
      </c>
      <c r="E1144" s="165">
        <v>100</v>
      </c>
      <c r="F1144" s="166">
        <v>0</v>
      </c>
      <c r="G1144" s="227">
        <f>IF($B$2,IF(ROWS(B$6:$B1144) = 1,$B1144-Start_Date,$B1144-$B1143),"")</f>
        <v>6.2783680550637655E-3</v>
      </c>
      <c r="H1144" s="29">
        <f>IF($B$2,IF(ROWS(B$6:$B1144) = 1,IF(COUNTIFS(R_Schedule_Times,"&lt;"&amp;B1144),INDEX(R_Schedule_Amounts,MATCH(B1144,R_Schedule_Times,1)),Starting_Cash),IF(COUNTIFS(R_Schedule_Times,"&gt;"&amp;B1143,R_Schedule_Times,"&lt;"&amp;B1144),INDEX(R_Schedule_Amounts,MATCH(B1144,R_Schedule_Times,1)),K1143)),"")</f>
        <v>11360</v>
      </c>
      <c r="I1144" s="30">
        <f t="shared" si="85"/>
        <v>100</v>
      </c>
      <c r="J1144" s="31">
        <f t="shared" si="86"/>
        <v>0</v>
      </c>
      <c r="K1144" s="29">
        <f t="shared" si="87"/>
        <v>11260</v>
      </c>
      <c r="L1144" s="31" t="str">
        <f t="shared" si="88"/>
        <v/>
      </c>
      <c r="M1144" s="31" t="str">
        <f t="shared" si="89"/>
        <v/>
      </c>
    </row>
    <row r="1145" spans="1:13" x14ac:dyDescent="0.15">
      <c r="A1145" s="163" t="s">
        <v>210</v>
      </c>
      <c r="B1145" s="163">
        <v>42307.576358888888</v>
      </c>
      <c r="C1145" s="164" t="s">
        <v>14</v>
      </c>
      <c r="D1145" s="164" t="s">
        <v>13</v>
      </c>
      <c r="E1145" s="165">
        <v>500</v>
      </c>
      <c r="F1145" s="166">
        <v>3.5</v>
      </c>
      <c r="G1145" s="227">
        <f>IF($B$2,IF(ROWS(B$6:$B1145) = 1,$B1145-Start_Date,$B1145-$B1144),"")</f>
        <v>7.0181712944759056E-3</v>
      </c>
      <c r="H1145" s="29">
        <f>IF($B$2,IF(ROWS(B$6:$B1145) = 1,IF(COUNTIFS(R_Schedule_Times,"&lt;"&amp;B1145),INDEX(R_Schedule_Amounts,MATCH(B1145,R_Schedule_Times,1)),Starting_Cash),IF(COUNTIFS(R_Schedule_Times,"&gt;"&amp;B1144,R_Schedule_Times,"&lt;"&amp;B1145),INDEX(R_Schedule_Amounts,MATCH(B1145,R_Schedule_Times,1)),K1144)),"")</f>
        <v>11260</v>
      </c>
      <c r="I1145" s="30">
        <f t="shared" si="85"/>
        <v>500</v>
      </c>
      <c r="J1145" s="31">
        <f t="shared" si="86"/>
        <v>3.5</v>
      </c>
      <c r="K1145" s="29">
        <f t="shared" si="87"/>
        <v>10760</v>
      </c>
      <c r="L1145" s="31" t="str">
        <f t="shared" si="88"/>
        <v/>
      </c>
      <c r="M1145" s="31" t="str">
        <f t="shared" si="89"/>
        <v/>
      </c>
    </row>
    <row r="1146" spans="1:13" x14ac:dyDescent="0.15">
      <c r="A1146" s="163" t="s">
        <v>210</v>
      </c>
      <c r="B1146" s="163">
        <v>42307.577431597223</v>
      </c>
      <c r="C1146" s="164" t="s">
        <v>1382</v>
      </c>
      <c r="D1146" s="164" t="s">
        <v>13</v>
      </c>
      <c r="E1146" s="165">
        <v>100</v>
      </c>
      <c r="F1146" s="166">
        <v>0</v>
      </c>
      <c r="G1146" s="227">
        <f>IF($B$2,IF(ROWS(B$6:$B1146) = 1,$B1146-Start_Date,$B1146-$B1145),"")</f>
        <v>1.0727083354140632E-3</v>
      </c>
      <c r="H1146" s="29">
        <f>IF($B$2,IF(ROWS(B$6:$B1146) = 1,IF(COUNTIFS(R_Schedule_Times,"&lt;"&amp;B1146),INDEX(R_Schedule_Amounts,MATCH(B1146,R_Schedule_Times,1)),Starting_Cash),IF(COUNTIFS(R_Schedule_Times,"&gt;"&amp;B1145,R_Schedule_Times,"&lt;"&amp;B1146),INDEX(R_Schedule_Amounts,MATCH(B1146,R_Schedule_Times,1)),K1145)),"")</f>
        <v>10760</v>
      </c>
      <c r="I1146" s="30">
        <f t="shared" si="85"/>
        <v>100</v>
      </c>
      <c r="J1146" s="31">
        <f t="shared" si="86"/>
        <v>0</v>
      </c>
      <c r="K1146" s="29">
        <f t="shared" si="87"/>
        <v>10660</v>
      </c>
      <c r="L1146" s="31" t="str">
        <f t="shared" si="88"/>
        <v/>
      </c>
      <c r="M1146" s="31" t="str">
        <f t="shared" si="89"/>
        <v/>
      </c>
    </row>
    <row r="1147" spans="1:13" x14ac:dyDescent="0.15">
      <c r="A1147" s="163" t="s">
        <v>210</v>
      </c>
      <c r="B1147" s="163">
        <v>42307.59007672454</v>
      </c>
      <c r="C1147" s="164" t="s">
        <v>1383</v>
      </c>
      <c r="D1147" s="164" t="s">
        <v>13</v>
      </c>
      <c r="E1147" s="165">
        <v>160</v>
      </c>
      <c r="F1147" s="166">
        <v>0</v>
      </c>
      <c r="G1147" s="227">
        <f>IF($B$2,IF(ROWS(B$6:$B1147) = 1,$B1147-Start_Date,$B1147-$B1146),"")</f>
        <v>1.2645127317227889E-2</v>
      </c>
      <c r="H1147" s="29">
        <f>IF($B$2,IF(ROWS(B$6:$B1147) = 1,IF(COUNTIFS(R_Schedule_Times,"&lt;"&amp;B1147),INDEX(R_Schedule_Amounts,MATCH(B1147,R_Schedule_Times,1)),Starting_Cash),IF(COUNTIFS(R_Schedule_Times,"&gt;"&amp;B1146,R_Schedule_Times,"&lt;"&amp;B1147),INDEX(R_Schedule_Amounts,MATCH(B1147,R_Schedule_Times,1)),K1146)),"")</f>
        <v>10660</v>
      </c>
      <c r="I1147" s="30">
        <f t="shared" si="85"/>
        <v>160</v>
      </c>
      <c r="J1147" s="31">
        <f t="shared" si="86"/>
        <v>0</v>
      </c>
      <c r="K1147" s="29">
        <f t="shared" si="87"/>
        <v>10500</v>
      </c>
      <c r="L1147" s="31" t="str">
        <f t="shared" si="88"/>
        <v/>
      </c>
      <c r="M1147" s="31" t="str">
        <f t="shared" si="89"/>
        <v/>
      </c>
    </row>
    <row r="1148" spans="1:13" x14ac:dyDescent="0.15">
      <c r="A1148" s="163" t="s">
        <v>210</v>
      </c>
      <c r="B1148" s="163">
        <v>42307.59539141204</v>
      </c>
      <c r="C1148" s="164" t="s">
        <v>1384</v>
      </c>
      <c r="D1148" s="164" t="s">
        <v>13</v>
      </c>
      <c r="E1148" s="165">
        <v>400</v>
      </c>
      <c r="F1148" s="166">
        <v>0</v>
      </c>
      <c r="G1148" s="227">
        <f>IF($B$2,IF(ROWS(B$6:$B1148) = 1,$B1148-Start_Date,$B1148-$B1147),"")</f>
        <v>5.3146874997764826E-3</v>
      </c>
      <c r="H1148" s="29">
        <f>IF($B$2,IF(ROWS(B$6:$B1148) = 1,IF(COUNTIFS(R_Schedule_Times,"&lt;"&amp;B1148),INDEX(R_Schedule_Amounts,MATCH(B1148,R_Schedule_Times,1)),Starting_Cash),IF(COUNTIFS(R_Schedule_Times,"&gt;"&amp;B1147,R_Schedule_Times,"&lt;"&amp;B1148),INDEX(R_Schedule_Amounts,MATCH(B1148,R_Schedule_Times,1)),K1147)),"")</f>
        <v>10500</v>
      </c>
      <c r="I1148" s="30">
        <f t="shared" si="85"/>
        <v>400</v>
      </c>
      <c r="J1148" s="31">
        <f t="shared" si="86"/>
        <v>0</v>
      </c>
      <c r="K1148" s="29">
        <f t="shared" si="87"/>
        <v>10100</v>
      </c>
      <c r="L1148" s="31" t="str">
        <f t="shared" si="88"/>
        <v/>
      </c>
      <c r="M1148" s="31" t="str">
        <f t="shared" si="89"/>
        <v/>
      </c>
    </row>
    <row r="1149" spans="1:13" x14ac:dyDescent="0.15">
      <c r="A1149" s="163" t="s">
        <v>210</v>
      </c>
      <c r="B1149" s="163">
        <v>42307.601044537034</v>
      </c>
      <c r="C1149" s="164" t="s">
        <v>868</v>
      </c>
      <c r="D1149" s="164" t="s">
        <v>13</v>
      </c>
      <c r="E1149" s="165">
        <v>40</v>
      </c>
      <c r="F1149" s="166">
        <v>0</v>
      </c>
      <c r="G1149" s="227">
        <f>IF($B$2,IF(ROWS(B$6:$B1149) = 1,$B1149-Start_Date,$B1149-$B1148),"")</f>
        <v>5.6531249938416295E-3</v>
      </c>
      <c r="H1149" s="29">
        <f>IF($B$2,IF(ROWS(B$6:$B1149) = 1,IF(COUNTIFS(R_Schedule_Times,"&lt;"&amp;B1149),INDEX(R_Schedule_Amounts,MATCH(B1149,R_Schedule_Times,1)),Starting_Cash),IF(COUNTIFS(R_Schedule_Times,"&gt;"&amp;B1148,R_Schedule_Times,"&lt;"&amp;B1149),INDEX(R_Schedule_Amounts,MATCH(B1149,R_Schedule_Times,1)),K1148)),"")</f>
        <v>10100</v>
      </c>
      <c r="I1149" s="30">
        <f t="shared" si="85"/>
        <v>40</v>
      </c>
      <c r="J1149" s="31">
        <f t="shared" si="86"/>
        <v>0</v>
      </c>
      <c r="K1149" s="29">
        <f t="shared" si="87"/>
        <v>10060</v>
      </c>
      <c r="L1149" s="31" t="str">
        <f t="shared" si="88"/>
        <v/>
      </c>
      <c r="M1149" s="31" t="str">
        <f t="shared" si="89"/>
        <v/>
      </c>
    </row>
    <row r="1150" spans="1:13" x14ac:dyDescent="0.15">
      <c r="A1150" s="163" t="s">
        <v>210</v>
      </c>
      <c r="B1150" s="163">
        <v>42307.608062581021</v>
      </c>
      <c r="C1150" s="164" t="s">
        <v>1385</v>
      </c>
      <c r="D1150" s="164" t="s">
        <v>13</v>
      </c>
      <c r="E1150" s="165">
        <v>120</v>
      </c>
      <c r="F1150" s="166">
        <v>0</v>
      </c>
      <c r="G1150" s="227">
        <f>IF($B$2,IF(ROWS(B$6:$B1150) = 1,$B1150-Start_Date,$B1150-$B1149),"")</f>
        <v>7.0180439870455302E-3</v>
      </c>
      <c r="H1150" s="29">
        <f>IF($B$2,IF(ROWS(B$6:$B1150) = 1,IF(COUNTIFS(R_Schedule_Times,"&lt;"&amp;B1150),INDEX(R_Schedule_Amounts,MATCH(B1150,R_Schedule_Times,1)),Starting_Cash),IF(COUNTIFS(R_Schedule_Times,"&gt;"&amp;B1149,R_Schedule_Times,"&lt;"&amp;B1150),INDEX(R_Schedule_Amounts,MATCH(B1150,R_Schedule_Times,1)),K1149)),"")</f>
        <v>10060</v>
      </c>
      <c r="I1150" s="30">
        <f t="shared" si="85"/>
        <v>120</v>
      </c>
      <c r="J1150" s="31">
        <f t="shared" si="86"/>
        <v>0</v>
      </c>
      <c r="K1150" s="29">
        <f t="shared" si="87"/>
        <v>9940</v>
      </c>
      <c r="L1150" s="31" t="str">
        <f t="shared" si="88"/>
        <v/>
      </c>
      <c r="M1150" s="31" t="str">
        <f t="shared" si="89"/>
        <v/>
      </c>
    </row>
    <row r="1151" spans="1:13" x14ac:dyDescent="0.15">
      <c r="A1151" s="163" t="s">
        <v>210</v>
      </c>
      <c r="B1151" s="163">
        <v>42307.612495613423</v>
      </c>
      <c r="C1151" s="164" t="s">
        <v>1386</v>
      </c>
      <c r="D1151" s="164" t="s">
        <v>13</v>
      </c>
      <c r="E1151" s="165">
        <v>40</v>
      </c>
      <c r="F1151" s="166">
        <v>0</v>
      </c>
      <c r="G1151" s="227">
        <f>IF($B$2,IF(ROWS(B$6:$B1151) = 1,$B1151-Start_Date,$B1151-$B1150),"")</f>
        <v>4.4330324017209932E-3</v>
      </c>
      <c r="H1151" s="29">
        <f>IF($B$2,IF(ROWS(B$6:$B1151) = 1,IF(COUNTIFS(R_Schedule_Times,"&lt;"&amp;B1151),INDEX(R_Schedule_Amounts,MATCH(B1151,R_Schedule_Times,1)),Starting_Cash),IF(COUNTIFS(R_Schedule_Times,"&gt;"&amp;B1150,R_Schedule_Times,"&lt;"&amp;B1151),INDEX(R_Schedule_Amounts,MATCH(B1151,R_Schedule_Times,1)),K1150)),"")</f>
        <v>9940</v>
      </c>
      <c r="I1151" s="30">
        <f t="shared" si="85"/>
        <v>40</v>
      </c>
      <c r="J1151" s="31">
        <f t="shared" si="86"/>
        <v>0</v>
      </c>
      <c r="K1151" s="29">
        <f t="shared" si="87"/>
        <v>9900</v>
      </c>
      <c r="L1151" s="31" t="str">
        <f t="shared" si="88"/>
        <v/>
      </c>
      <c r="M1151" s="31" t="str">
        <f t="shared" si="89"/>
        <v/>
      </c>
    </row>
    <row r="1152" spans="1:13" x14ac:dyDescent="0.15">
      <c r="A1152" s="163" t="s">
        <v>210</v>
      </c>
      <c r="B1152" s="163">
        <v>42307.619157314817</v>
      </c>
      <c r="C1152" s="164" t="s">
        <v>917</v>
      </c>
      <c r="D1152" s="164" t="s">
        <v>13</v>
      </c>
      <c r="E1152" s="165">
        <v>40</v>
      </c>
      <c r="F1152" s="166">
        <v>0</v>
      </c>
      <c r="G1152" s="227">
        <f>IF($B$2,IF(ROWS(B$6:$B1152) = 1,$B1152-Start_Date,$B1152-$B1151),"")</f>
        <v>6.6617013944778591E-3</v>
      </c>
      <c r="H1152" s="29">
        <f>IF($B$2,IF(ROWS(B$6:$B1152) = 1,IF(COUNTIFS(R_Schedule_Times,"&lt;"&amp;B1152),INDEX(R_Schedule_Amounts,MATCH(B1152,R_Schedule_Times,1)),Starting_Cash),IF(COUNTIFS(R_Schedule_Times,"&gt;"&amp;B1151,R_Schedule_Times,"&lt;"&amp;B1152),INDEX(R_Schedule_Amounts,MATCH(B1152,R_Schedule_Times,1)),K1151)),"")</f>
        <v>9900</v>
      </c>
      <c r="I1152" s="30">
        <f t="shared" si="85"/>
        <v>40</v>
      </c>
      <c r="J1152" s="31">
        <f t="shared" si="86"/>
        <v>0</v>
      </c>
      <c r="K1152" s="29">
        <f t="shared" si="87"/>
        <v>9860</v>
      </c>
      <c r="L1152" s="31" t="str">
        <f t="shared" si="88"/>
        <v/>
      </c>
      <c r="M1152" s="31" t="str">
        <f t="shared" si="89"/>
        <v/>
      </c>
    </row>
    <row r="1153" spans="1:13" x14ac:dyDescent="0.15">
      <c r="A1153" s="163" t="s">
        <v>210</v>
      </c>
      <c r="B1153" s="163">
        <v>42307.627108379631</v>
      </c>
      <c r="C1153" s="164" t="s">
        <v>1387</v>
      </c>
      <c r="D1153" s="164" t="s">
        <v>13</v>
      </c>
      <c r="E1153" s="165">
        <v>100</v>
      </c>
      <c r="F1153" s="166">
        <v>0</v>
      </c>
      <c r="G1153" s="227">
        <f>IF($B$2,IF(ROWS(B$6:$B1153) = 1,$B1153-Start_Date,$B1153-$B1152),"")</f>
        <v>7.9510648138239048E-3</v>
      </c>
      <c r="H1153" s="29">
        <f>IF($B$2,IF(ROWS(B$6:$B1153) = 1,IF(COUNTIFS(R_Schedule_Times,"&lt;"&amp;B1153),INDEX(R_Schedule_Amounts,MATCH(B1153,R_Schedule_Times,1)),Starting_Cash),IF(COUNTIFS(R_Schedule_Times,"&gt;"&amp;B1152,R_Schedule_Times,"&lt;"&amp;B1153),INDEX(R_Schedule_Amounts,MATCH(B1153,R_Schedule_Times,1)),K1152)),"")</f>
        <v>9860</v>
      </c>
      <c r="I1153" s="30">
        <f t="shared" si="85"/>
        <v>100</v>
      </c>
      <c r="J1153" s="31">
        <f t="shared" si="86"/>
        <v>0</v>
      </c>
      <c r="K1153" s="29">
        <f t="shared" si="87"/>
        <v>9760</v>
      </c>
      <c r="L1153" s="31" t="str">
        <f t="shared" si="88"/>
        <v/>
      </c>
      <c r="M1153" s="31" t="str">
        <f t="shared" si="89"/>
        <v/>
      </c>
    </row>
    <row r="1154" spans="1:13" x14ac:dyDescent="0.15">
      <c r="A1154" s="163" t="s">
        <v>210</v>
      </c>
      <c r="B1154" s="163">
        <v>42307.628724594906</v>
      </c>
      <c r="C1154" s="164" t="s">
        <v>1388</v>
      </c>
      <c r="D1154" s="164" t="s">
        <v>13</v>
      </c>
      <c r="E1154" s="165">
        <v>500</v>
      </c>
      <c r="F1154" s="166">
        <v>0</v>
      </c>
      <c r="G1154" s="227">
        <f>IF($B$2,IF(ROWS(B$6:$B1154) = 1,$B1154-Start_Date,$B1154-$B1153),"")</f>
        <v>1.6162152751348913E-3</v>
      </c>
      <c r="H1154" s="29">
        <f>IF($B$2,IF(ROWS(B$6:$B1154) = 1,IF(COUNTIFS(R_Schedule_Times,"&lt;"&amp;B1154),INDEX(R_Schedule_Amounts,MATCH(B1154,R_Schedule_Times,1)),Starting_Cash),IF(COUNTIFS(R_Schedule_Times,"&gt;"&amp;B1153,R_Schedule_Times,"&lt;"&amp;B1154),INDEX(R_Schedule_Amounts,MATCH(B1154,R_Schedule_Times,1)),K1153)),"")</f>
        <v>9760</v>
      </c>
      <c r="I1154" s="30">
        <f t="shared" si="85"/>
        <v>500</v>
      </c>
      <c r="J1154" s="31">
        <f t="shared" si="86"/>
        <v>0</v>
      </c>
      <c r="K1154" s="29">
        <f t="shared" si="87"/>
        <v>9260</v>
      </c>
      <c r="L1154" s="31" t="str">
        <f t="shared" si="88"/>
        <v/>
      </c>
      <c r="M1154" s="31" t="str">
        <f t="shared" si="89"/>
        <v/>
      </c>
    </row>
    <row r="1155" spans="1:13" x14ac:dyDescent="0.15">
      <c r="A1155" s="163" t="s">
        <v>210</v>
      </c>
      <c r="B1155" s="163">
        <v>42307.643437141203</v>
      </c>
      <c r="C1155" s="164" t="s">
        <v>1389</v>
      </c>
      <c r="D1155" s="164" t="s">
        <v>13</v>
      </c>
      <c r="E1155" s="165">
        <v>80</v>
      </c>
      <c r="F1155" s="166">
        <v>0</v>
      </c>
      <c r="G1155" s="227">
        <f>IF($B$2,IF(ROWS(B$6:$B1155) = 1,$B1155-Start_Date,$B1155-$B1154),"")</f>
        <v>1.471254629723262E-2</v>
      </c>
      <c r="H1155" s="29">
        <f>IF($B$2,IF(ROWS(B$6:$B1155) = 1,IF(COUNTIFS(R_Schedule_Times,"&lt;"&amp;B1155),INDEX(R_Schedule_Amounts,MATCH(B1155,R_Schedule_Times,1)),Starting_Cash),IF(COUNTIFS(R_Schedule_Times,"&gt;"&amp;B1154,R_Schedule_Times,"&lt;"&amp;B1155),INDEX(R_Schedule_Amounts,MATCH(B1155,R_Schedule_Times,1)),K1154)),"")</f>
        <v>9260</v>
      </c>
      <c r="I1155" s="30">
        <f t="shared" si="85"/>
        <v>80</v>
      </c>
      <c r="J1155" s="31">
        <f t="shared" si="86"/>
        <v>0</v>
      </c>
      <c r="K1155" s="29">
        <f t="shared" si="87"/>
        <v>9180</v>
      </c>
      <c r="L1155" s="31" t="str">
        <f t="shared" si="88"/>
        <v/>
      </c>
      <c r="M1155" s="31" t="str">
        <f t="shared" si="89"/>
        <v/>
      </c>
    </row>
    <row r="1156" spans="1:13" x14ac:dyDescent="0.15">
      <c r="A1156" s="163" t="s">
        <v>210</v>
      </c>
      <c r="B1156" s="163">
        <v>42307.648895428239</v>
      </c>
      <c r="C1156" s="164" t="s">
        <v>1390</v>
      </c>
      <c r="D1156" s="164" t="s">
        <v>15</v>
      </c>
      <c r="E1156" s="165">
        <v>20</v>
      </c>
      <c r="F1156" s="166">
        <v>0.6</v>
      </c>
      <c r="G1156" s="227">
        <f>IF($B$2,IF(ROWS(B$6:$B1156) = 1,$B1156-Start_Date,$B1156-$B1155),"")</f>
        <v>5.4582870361628011E-3</v>
      </c>
      <c r="H1156" s="29">
        <f>IF($B$2,IF(ROWS(B$6:$B1156) = 1,IF(COUNTIFS(R_Schedule_Times,"&lt;"&amp;B1156),INDEX(R_Schedule_Amounts,MATCH(B1156,R_Schedule_Times,1)),Starting_Cash),IF(COUNTIFS(R_Schedule_Times,"&gt;"&amp;B1155,R_Schedule_Times,"&lt;"&amp;B1156),INDEX(R_Schedule_Amounts,MATCH(B1156,R_Schedule_Times,1)),K1155)),"")</f>
        <v>9180</v>
      </c>
      <c r="I1156" s="30">
        <f t="shared" si="85"/>
        <v>20</v>
      </c>
      <c r="J1156" s="31">
        <f t="shared" si="86"/>
        <v>0.6</v>
      </c>
      <c r="K1156" s="29">
        <f t="shared" si="87"/>
        <v>9160</v>
      </c>
      <c r="L1156" s="31" t="str">
        <f t="shared" si="88"/>
        <v/>
      </c>
      <c r="M1156" s="31" t="str">
        <f t="shared" si="89"/>
        <v/>
      </c>
    </row>
    <row r="1157" spans="1:13" x14ac:dyDescent="0.15">
      <c r="A1157" s="163" t="s">
        <v>210</v>
      </c>
      <c r="B1157" s="163">
        <v>42307.652467673608</v>
      </c>
      <c r="C1157" s="164" t="s">
        <v>1391</v>
      </c>
      <c r="D1157" s="164" t="s">
        <v>13</v>
      </c>
      <c r="E1157" s="165">
        <v>140</v>
      </c>
      <c r="F1157" s="166">
        <v>0</v>
      </c>
      <c r="G1157" s="227">
        <f>IF($B$2,IF(ROWS(B$6:$B1157) = 1,$B1157-Start_Date,$B1157-$B1156),"")</f>
        <v>3.5722453685593791E-3</v>
      </c>
      <c r="H1157" s="29">
        <f>IF($B$2,IF(ROWS(B$6:$B1157) = 1,IF(COUNTIFS(R_Schedule_Times,"&lt;"&amp;B1157),INDEX(R_Schedule_Amounts,MATCH(B1157,R_Schedule_Times,1)),Starting_Cash),IF(COUNTIFS(R_Schedule_Times,"&gt;"&amp;B1156,R_Schedule_Times,"&lt;"&amp;B1157),INDEX(R_Schedule_Amounts,MATCH(B1157,R_Schedule_Times,1)),K1156)),"")</f>
        <v>9160</v>
      </c>
      <c r="I1157" s="30">
        <f t="shared" si="85"/>
        <v>140</v>
      </c>
      <c r="J1157" s="31">
        <f t="shared" si="86"/>
        <v>0</v>
      </c>
      <c r="K1157" s="29">
        <f t="shared" si="87"/>
        <v>9020</v>
      </c>
      <c r="L1157" s="31" t="str">
        <f t="shared" si="88"/>
        <v/>
      </c>
      <c r="M1157" s="31" t="str">
        <f t="shared" si="89"/>
        <v/>
      </c>
    </row>
    <row r="1158" spans="1:13" x14ac:dyDescent="0.15">
      <c r="A1158" s="163" t="s">
        <v>210</v>
      </c>
      <c r="B1158" s="163">
        <v>42307.65634908565</v>
      </c>
      <c r="C1158" s="164" t="s">
        <v>1392</v>
      </c>
      <c r="D1158" s="164" t="s">
        <v>13</v>
      </c>
      <c r="E1158" s="165">
        <v>20</v>
      </c>
      <c r="F1158" s="166">
        <v>0</v>
      </c>
      <c r="G1158" s="227">
        <f>IF($B$2,IF(ROWS(B$6:$B1158) = 1,$B1158-Start_Date,$B1158-$B1157),"")</f>
        <v>3.8814120416645892E-3</v>
      </c>
      <c r="H1158" s="29">
        <f>IF($B$2,IF(ROWS(B$6:$B1158) = 1,IF(COUNTIFS(R_Schedule_Times,"&lt;"&amp;B1158),INDEX(R_Schedule_Amounts,MATCH(B1158,R_Schedule_Times,1)),Starting_Cash),IF(COUNTIFS(R_Schedule_Times,"&gt;"&amp;B1157,R_Schedule_Times,"&lt;"&amp;B1158),INDEX(R_Schedule_Amounts,MATCH(B1158,R_Schedule_Times,1)),K1157)),"")</f>
        <v>9020</v>
      </c>
      <c r="I1158" s="30">
        <f t="shared" si="85"/>
        <v>20</v>
      </c>
      <c r="J1158" s="31">
        <f t="shared" si="86"/>
        <v>0</v>
      </c>
      <c r="K1158" s="29">
        <f t="shared" si="87"/>
        <v>9000</v>
      </c>
      <c r="L1158" s="31" t="str">
        <f t="shared" si="88"/>
        <v/>
      </c>
      <c r="M1158" s="31" t="str">
        <f t="shared" si="89"/>
        <v/>
      </c>
    </row>
    <row r="1159" spans="1:13" x14ac:dyDescent="0.15">
      <c r="A1159" s="163" t="s">
        <v>210</v>
      </c>
      <c r="B1159" s="163">
        <v>42307.665057847225</v>
      </c>
      <c r="C1159" s="164" t="s">
        <v>1393</v>
      </c>
      <c r="D1159" s="164" t="s">
        <v>13</v>
      </c>
      <c r="E1159" s="165">
        <v>80</v>
      </c>
      <c r="F1159" s="166">
        <v>0</v>
      </c>
      <c r="G1159" s="227">
        <f>IF($B$2,IF(ROWS(B$6:$B1159) = 1,$B1159-Start_Date,$B1159-$B1158),"")</f>
        <v>8.708761575690005E-3</v>
      </c>
      <c r="H1159" s="29">
        <f>IF($B$2,IF(ROWS(B$6:$B1159) = 1,IF(COUNTIFS(R_Schedule_Times,"&lt;"&amp;B1159),INDEX(R_Schedule_Amounts,MATCH(B1159,R_Schedule_Times,1)),Starting_Cash),IF(COUNTIFS(R_Schedule_Times,"&gt;"&amp;B1158,R_Schedule_Times,"&lt;"&amp;B1159),INDEX(R_Schedule_Amounts,MATCH(B1159,R_Schedule_Times,1)),K1158)),"")</f>
        <v>9000</v>
      </c>
      <c r="I1159" s="30">
        <f t="shared" ref="I1159:I1222" si="90">IF($B$2,IF(H1159&gt;=E1159,E1159,0),"")</f>
        <v>80</v>
      </c>
      <c r="J1159" s="31">
        <f t="shared" ref="J1159:J1222" si="91">IF($B$2,IF(H1159&gt;=E1159,F1159,0),"")</f>
        <v>0</v>
      </c>
      <c r="K1159" s="29">
        <f t="shared" ref="K1159:K1222" si="92">IF($B$2,ABS(I1159-H1159),"")</f>
        <v>8920</v>
      </c>
      <c r="L1159" s="31" t="str">
        <f t="shared" ref="L1159:L1222" si="93">IF($B$2,IF(H1159&lt;E1159,"YES",""),"")</f>
        <v/>
      </c>
      <c r="M1159" s="31" t="str">
        <f t="shared" ref="M1159:M1222" si="94">IF($B$2,IF(L1159="YES",F1159,""),"")</f>
        <v/>
      </c>
    </row>
    <row r="1160" spans="1:13" x14ac:dyDescent="0.15">
      <c r="A1160" s="163" t="s">
        <v>210</v>
      </c>
      <c r="B1160" s="163">
        <v>42307.700049016203</v>
      </c>
      <c r="C1160" s="164" t="s">
        <v>14</v>
      </c>
      <c r="D1160" s="164" t="s">
        <v>13</v>
      </c>
      <c r="E1160" s="165">
        <v>100</v>
      </c>
      <c r="F1160" s="166">
        <v>3.5</v>
      </c>
      <c r="G1160" s="227">
        <f>IF($B$2,IF(ROWS(B$6:$B1160) = 1,$B1160-Start_Date,$B1160-$B1159),"")</f>
        <v>3.499116897728527E-2</v>
      </c>
      <c r="H1160" s="29">
        <f>IF($B$2,IF(ROWS(B$6:$B1160) = 1,IF(COUNTIFS(R_Schedule_Times,"&lt;"&amp;B1160),INDEX(R_Schedule_Amounts,MATCH(B1160,R_Schedule_Times,1)),Starting_Cash),IF(COUNTIFS(R_Schedule_Times,"&gt;"&amp;B1159,R_Schedule_Times,"&lt;"&amp;B1160),INDEX(R_Schedule_Amounts,MATCH(B1160,R_Schedule_Times,1)),K1159)),"")</f>
        <v>8920</v>
      </c>
      <c r="I1160" s="30">
        <f t="shared" si="90"/>
        <v>100</v>
      </c>
      <c r="J1160" s="31">
        <f t="shared" si="91"/>
        <v>3.5</v>
      </c>
      <c r="K1160" s="29">
        <f t="shared" si="92"/>
        <v>8820</v>
      </c>
      <c r="L1160" s="31" t="str">
        <f t="shared" si="93"/>
        <v/>
      </c>
      <c r="M1160" s="31" t="str">
        <f t="shared" si="94"/>
        <v/>
      </c>
    </row>
    <row r="1161" spans="1:13" x14ac:dyDescent="0.15">
      <c r="A1161" s="163" t="s">
        <v>210</v>
      </c>
      <c r="B1161" s="163">
        <v>42307.715148807867</v>
      </c>
      <c r="C1161" s="164" t="s">
        <v>1394</v>
      </c>
      <c r="D1161" s="164" t="s">
        <v>13</v>
      </c>
      <c r="E1161" s="165">
        <v>100</v>
      </c>
      <c r="F1161" s="166">
        <v>0</v>
      </c>
      <c r="G1161" s="227">
        <f>IF($B$2,IF(ROWS(B$6:$B1161) = 1,$B1161-Start_Date,$B1161-$B1160),"")</f>
        <v>1.5099791664397344E-2</v>
      </c>
      <c r="H1161" s="29">
        <f>IF($B$2,IF(ROWS(B$6:$B1161) = 1,IF(COUNTIFS(R_Schedule_Times,"&lt;"&amp;B1161),INDEX(R_Schedule_Amounts,MATCH(B1161,R_Schedule_Times,1)),Starting_Cash),IF(COUNTIFS(R_Schedule_Times,"&gt;"&amp;B1160,R_Schedule_Times,"&lt;"&amp;B1161),INDEX(R_Schedule_Amounts,MATCH(B1161,R_Schedule_Times,1)),K1160)),"")</f>
        <v>8820</v>
      </c>
      <c r="I1161" s="30">
        <f t="shared" si="90"/>
        <v>100</v>
      </c>
      <c r="J1161" s="31">
        <f t="shared" si="91"/>
        <v>0</v>
      </c>
      <c r="K1161" s="29">
        <f t="shared" si="92"/>
        <v>8720</v>
      </c>
      <c r="L1161" s="31" t="str">
        <f t="shared" si="93"/>
        <v/>
      </c>
      <c r="M1161" s="31" t="str">
        <f t="shared" si="94"/>
        <v/>
      </c>
    </row>
    <row r="1162" spans="1:13" x14ac:dyDescent="0.15">
      <c r="A1162" s="163" t="s">
        <v>210</v>
      </c>
      <c r="B1162" s="163">
        <v>42307.724252175925</v>
      </c>
      <c r="C1162" s="164" t="s">
        <v>1395</v>
      </c>
      <c r="D1162" s="164" t="s">
        <v>13</v>
      </c>
      <c r="E1162" s="165">
        <v>40</v>
      </c>
      <c r="F1162" s="166">
        <v>0</v>
      </c>
      <c r="G1162" s="227">
        <f>IF($B$2,IF(ROWS(B$6:$B1162) = 1,$B1162-Start_Date,$B1162-$B1161),"")</f>
        <v>9.1033680582768284E-3</v>
      </c>
      <c r="H1162" s="29">
        <f>IF($B$2,IF(ROWS(B$6:$B1162) = 1,IF(COUNTIFS(R_Schedule_Times,"&lt;"&amp;B1162),INDEX(R_Schedule_Amounts,MATCH(B1162,R_Schedule_Times,1)),Starting_Cash),IF(COUNTIFS(R_Schedule_Times,"&gt;"&amp;B1161,R_Schedule_Times,"&lt;"&amp;B1162),INDEX(R_Schedule_Amounts,MATCH(B1162,R_Schedule_Times,1)),K1161)),"")</f>
        <v>8720</v>
      </c>
      <c r="I1162" s="30">
        <f t="shared" si="90"/>
        <v>40</v>
      </c>
      <c r="J1162" s="31">
        <f t="shared" si="91"/>
        <v>0</v>
      </c>
      <c r="K1162" s="29">
        <f t="shared" si="92"/>
        <v>8680</v>
      </c>
      <c r="L1162" s="31" t="str">
        <f t="shared" si="93"/>
        <v/>
      </c>
      <c r="M1162" s="31" t="str">
        <f t="shared" si="94"/>
        <v/>
      </c>
    </row>
    <row r="1163" spans="1:13" x14ac:dyDescent="0.15">
      <c r="A1163" s="163" t="s">
        <v>210</v>
      </c>
      <c r="B1163" s="163">
        <v>42307.7337309375</v>
      </c>
      <c r="C1163" s="164" t="s">
        <v>1396</v>
      </c>
      <c r="D1163" s="164" t="s">
        <v>13</v>
      </c>
      <c r="E1163" s="165">
        <v>80</v>
      </c>
      <c r="F1163" s="166">
        <v>0</v>
      </c>
      <c r="G1163" s="227">
        <f>IF($B$2,IF(ROWS(B$6:$B1163) = 1,$B1163-Start_Date,$B1163-$B1162),"")</f>
        <v>9.4787615744280629E-3</v>
      </c>
      <c r="H1163" s="29">
        <f>IF($B$2,IF(ROWS(B$6:$B1163) = 1,IF(COUNTIFS(R_Schedule_Times,"&lt;"&amp;B1163),INDEX(R_Schedule_Amounts,MATCH(B1163,R_Schedule_Times,1)),Starting_Cash),IF(COUNTIFS(R_Schedule_Times,"&gt;"&amp;B1162,R_Schedule_Times,"&lt;"&amp;B1163),INDEX(R_Schedule_Amounts,MATCH(B1163,R_Schedule_Times,1)),K1162)),"")</f>
        <v>8680</v>
      </c>
      <c r="I1163" s="30">
        <f t="shared" si="90"/>
        <v>80</v>
      </c>
      <c r="J1163" s="31">
        <f t="shared" si="91"/>
        <v>0</v>
      </c>
      <c r="K1163" s="29">
        <f t="shared" si="92"/>
        <v>8600</v>
      </c>
      <c r="L1163" s="31" t="str">
        <f t="shared" si="93"/>
        <v/>
      </c>
      <c r="M1163" s="31" t="str">
        <f t="shared" si="94"/>
        <v/>
      </c>
    </row>
    <row r="1164" spans="1:13" x14ac:dyDescent="0.15">
      <c r="A1164" s="163" t="s">
        <v>210</v>
      </c>
      <c r="B1164" s="163">
        <v>42307.737086747686</v>
      </c>
      <c r="C1164" s="164" t="s">
        <v>393</v>
      </c>
      <c r="D1164" s="164" t="s">
        <v>13</v>
      </c>
      <c r="E1164" s="165">
        <v>80</v>
      </c>
      <c r="F1164" s="166">
        <v>0</v>
      </c>
      <c r="G1164" s="227">
        <f>IF($B$2,IF(ROWS(B$6:$B1164) = 1,$B1164-Start_Date,$B1164-$B1163),"")</f>
        <v>3.3558101858943701E-3</v>
      </c>
      <c r="H1164" s="29">
        <f>IF($B$2,IF(ROWS(B$6:$B1164) = 1,IF(COUNTIFS(R_Schedule_Times,"&lt;"&amp;B1164),INDEX(R_Schedule_Amounts,MATCH(B1164,R_Schedule_Times,1)),Starting_Cash),IF(COUNTIFS(R_Schedule_Times,"&gt;"&amp;B1163,R_Schedule_Times,"&lt;"&amp;B1164),INDEX(R_Schedule_Amounts,MATCH(B1164,R_Schedule_Times,1)),K1163)),"")</f>
        <v>8600</v>
      </c>
      <c r="I1164" s="30">
        <f t="shared" si="90"/>
        <v>80</v>
      </c>
      <c r="J1164" s="31">
        <f t="shared" si="91"/>
        <v>0</v>
      </c>
      <c r="K1164" s="29">
        <f t="shared" si="92"/>
        <v>8520</v>
      </c>
      <c r="L1164" s="31" t="str">
        <f t="shared" si="93"/>
        <v/>
      </c>
      <c r="M1164" s="31" t="str">
        <f t="shared" si="94"/>
        <v/>
      </c>
    </row>
    <row r="1165" spans="1:13" x14ac:dyDescent="0.15">
      <c r="A1165" s="163" t="s">
        <v>210</v>
      </c>
      <c r="B1165" s="163">
        <v>42307.741385092595</v>
      </c>
      <c r="C1165" s="164" t="s">
        <v>1397</v>
      </c>
      <c r="D1165" s="164" t="s">
        <v>15</v>
      </c>
      <c r="E1165" s="165">
        <v>80</v>
      </c>
      <c r="F1165" s="166">
        <v>2.4</v>
      </c>
      <c r="G1165" s="227">
        <f>IF($B$2,IF(ROWS(B$6:$B1165) = 1,$B1165-Start_Date,$B1165-$B1164),"")</f>
        <v>4.2983449093298987E-3</v>
      </c>
      <c r="H1165" s="29">
        <f>IF($B$2,IF(ROWS(B$6:$B1165) = 1,IF(COUNTIFS(R_Schedule_Times,"&lt;"&amp;B1165),INDEX(R_Schedule_Amounts,MATCH(B1165,R_Schedule_Times,1)),Starting_Cash),IF(COUNTIFS(R_Schedule_Times,"&gt;"&amp;B1164,R_Schedule_Times,"&lt;"&amp;B1165),INDEX(R_Schedule_Amounts,MATCH(B1165,R_Schedule_Times,1)),K1164)),"")</f>
        <v>8520</v>
      </c>
      <c r="I1165" s="30">
        <f t="shared" si="90"/>
        <v>80</v>
      </c>
      <c r="J1165" s="31">
        <f t="shared" si="91"/>
        <v>2.4</v>
      </c>
      <c r="K1165" s="29">
        <f t="shared" si="92"/>
        <v>8440</v>
      </c>
      <c r="L1165" s="31" t="str">
        <f t="shared" si="93"/>
        <v/>
      </c>
      <c r="M1165" s="31" t="str">
        <f t="shared" si="94"/>
        <v/>
      </c>
    </row>
    <row r="1166" spans="1:13" x14ac:dyDescent="0.15">
      <c r="A1166" s="163" t="s">
        <v>210</v>
      </c>
      <c r="B1166" s="163">
        <v>42307.752094328702</v>
      </c>
      <c r="C1166" s="164" t="s">
        <v>14</v>
      </c>
      <c r="D1166" s="164" t="s">
        <v>13</v>
      </c>
      <c r="E1166" s="165">
        <v>200</v>
      </c>
      <c r="F1166" s="166">
        <v>3.5</v>
      </c>
      <c r="G1166" s="227">
        <f>IF($B$2,IF(ROWS(B$6:$B1166) = 1,$B1166-Start_Date,$B1166-$B1165),"")</f>
        <v>1.0709236106777098E-2</v>
      </c>
      <c r="H1166" s="29">
        <f>IF($B$2,IF(ROWS(B$6:$B1166) = 1,IF(COUNTIFS(R_Schedule_Times,"&lt;"&amp;B1166),INDEX(R_Schedule_Amounts,MATCH(B1166,R_Schedule_Times,1)),Starting_Cash),IF(COUNTIFS(R_Schedule_Times,"&gt;"&amp;B1165,R_Schedule_Times,"&lt;"&amp;B1166),INDEX(R_Schedule_Amounts,MATCH(B1166,R_Schedule_Times,1)),K1165)),"")</f>
        <v>8440</v>
      </c>
      <c r="I1166" s="30">
        <f t="shared" si="90"/>
        <v>200</v>
      </c>
      <c r="J1166" s="31">
        <f t="shared" si="91"/>
        <v>3.5</v>
      </c>
      <c r="K1166" s="29">
        <f t="shared" si="92"/>
        <v>8240</v>
      </c>
      <c r="L1166" s="31" t="str">
        <f t="shared" si="93"/>
        <v/>
      </c>
      <c r="M1166" s="31" t="str">
        <f t="shared" si="94"/>
        <v/>
      </c>
    </row>
    <row r="1167" spans="1:13" x14ac:dyDescent="0.15">
      <c r="A1167" s="163" t="s">
        <v>210</v>
      </c>
      <c r="B1167" s="163">
        <v>42307.777677268517</v>
      </c>
      <c r="C1167" s="164" t="s">
        <v>1398</v>
      </c>
      <c r="D1167" s="164" t="s">
        <v>13</v>
      </c>
      <c r="E1167" s="165">
        <v>20</v>
      </c>
      <c r="F1167" s="166">
        <v>0</v>
      </c>
      <c r="G1167" s="227">
        <f>IF($B$2,IF(ROWS(B$6:$B1167) = 1,$B1167-Start_Date,$B1167-$B1166),"")</f>
        <v>2.5582939815649297E-2</v>
      </c>
      <c r="H1167" s="29">
        <f>IF($B$2,IF(ROWS(B$6:$B1167) = 1,IF(COUNTIFS(R_Schedule_Times,"&lt;"&amp;B1167),INDEX(R_Schedule_Amounts,MATCH(B1167,R_Schedule_Times,1)),Starting_Cash),IF(COUNTIFS(R_Schedule_Times,"&gt;"&amp;B1166,R_Schedule_Times,"&lt;"&amp;B1167),INDEX(R_Schedule_Amounts,MATCH(B1167,R_Schedule_Times,1)),K1166)),"")</f>
        <v>8240</v>
      </c>
      <c r="I1167" s="30">
        <f t="shared" si="90"/>
        <v>20</v>
      </c>
      <c r="J1167" s="31">
        <f t="shared" si="91"/>
        <v>0</v>
      </c>
      <c r="K1167" s="29">
        <f t="shared" si="92"/>
        <v>8220</v>
      </c>
      <c r="L1167" s="31" t="str">
        <f t="shared" si="93"/>
        <v/>
      </c>
      <c r="M1167" s="31" t="str">
        <f t="shared" si="94"/>
        <v/>
      </c>
    </row>
    <row r="1168" spans="1:13" x14ac:dyDescent="0.15">
      <c r="A1168" s="163" t="s">
        <v>210</v>
      </c>
      <c r="B1168" s="163">
        <v>42307.861120162037</v>
      </c>
      <c r="C1168" s="164" t="s">
        <v>1140</v>
      </c>
      <c r="D1168" s="164" t="s">
        <v>13</v>
      </c>
      <c r="E1168" s="165">
        <v>60</v>
      </c>
      <c r="F1168" s="166">
        <v>0</v>
      </c>
      <c r="G1168" s="227">
        <f>IF($B$2,IF(ROWS(B$6:$B1168) = 1,$B1168-Start_Date,$B1168-$B1167),"")</f>
        <v>8.3442893519531935E-2</v>
      </c>
      <c r="H1168" s="29">
        <f>IF($B$2,IF(ROWS(B$6:$B1168) = 1,IF(COUNTIFS(R_Schedule_Times,"&lt;"&amp;B1168),INDEX(R_Schedule_Amounts,MATCH(B1168,R_Schedule_Times,1)),Starting_Cash),IF(COUNTIFS(R_Schedule_Times,"&gt;"&amp;B1167,R_Schedule_Times,"&lt;"&amp;B1168),INDEX(R_Schedule_Amounts,MATCH(B1168,R_Schedule_Times,1)),K1167)),"")</f>
        <v>8220</v>
      </c>
      <c r="I1168" s="30">
        <f t="shared" si="90"/>
        <v>60</v>
      </c>
      <c r="J1168" s="31">
        <f t="shared" si="91"/>
        <v>0</v>
      </c>
      <c r="K1168" s="29">
        <f t="shared" si="92"/>
        <v>8160</v>
      </c>
      <c r="L1168" s="31" t="str">
        <f t="shared" si="93"/>
        <v/>
      </c>
      <c r="M1168" s="31" t="str">
        <f t="shared" si="94"/>
        <v/>
      </c>
    </row>
    <row r="1169" spans="1:13" x14ac:dyDescent="0.15">
      <c r="A1169" s="163" t="s">
        <v>210</v>
      </c>
      <c r="B1169" s="163">
        <v>42307.862921134256</v>
      </c>
      <c r="C1169" s="164" t="s">
        <v>1399</v>
      </c>
      <c r="D1169" s="164" t="s">
        <v>13</v>
      </c>
      <c r="E1169" s="165">
        <v>100</v>
      </c>
      <c r="F1169" s="166">
        <v>0</v>
      </c>
      <c r="G1169" s="227">
        <f>IF($B$2,IF(ROWS(B$6:$B1169) = 1,$B1169-Start_Date,$B1169-$B1168),"")</f>
        <v>1.8009722189162858E-3</v>
      </c>
      <c r="H1169" s="29">
        <f>IF($B$2,IF(ROWS(B$6:$B1169) = 1,IF(COUNTIFS(R_Schedule_Times,"&lt;"&amp;B1169),INDEX(R_Schedule_Amounts,MATCH(B1169,R_Schedule_Times,1)),Starting_Cash),IF(COUNTIFS(R_Schedule_Times,"&gt;"&amp;B1168,R_Schedule_Times,"&lt;"&amp;B1169),INDEX(R_Schedule_Amounts,MATCH(B1169,R_Schedule_Times,1)),K1168)),"")</f>
        <v>8160</v>
      </c>
      <c r="I1169" s="30">
        <f t="shared" si="90"/>
        <v>100</v>
      </c>
      <c r="J1169" s="31">
        <f t="shared" si="91"/>
        <v>0</v>
      </c>
      <c r="K1169" s="29">
        <f t="shared" si="92"/>
        <v>8060</v>
      </c>
      <c r="L1169" s="31" t="str">
        <f t="shared" si="93"/>
        <v/>
      </c>
      <c r="M1169" s="31" t="str">
        <f t="shared" si="94"/>
        <v/>
      </c>
    </row>
    <row r="1170" spans="1:13" x14ac:dyDescent="0.15">
      <c r="A1170" s="163" t="s">
        <v>210</v>
      </c>
      <c r="B1170" s="163">
        <v>42307.872494710646</v>
      </c>
      <c r="C1170" s="164" t="s">
        <v>14</v>
      </c>
      <c r="D1170" s="164" t="s">
        <v>13</v>
      </c>
      <c r="E1170" s="165">
        <v>40</v>
      </c>
      <c r="F1170" s="166">
        <v>3.5</v>
      </c>
      <c r="G1170" s="227">
        <f>IF($B$2,IF(ROWS(B$6:$B1170) = 1,$B1170-Start_Date,$B1170-$B1169),"")</f>
        <v>9.573576389811933E-3</v>
      </c>
      <c r="H1170" s="29">
        <f>IF($B$2,IF(ROWS(B$6:$B1170) = 1,IF(COUNTIFS(R_Schedule_Times,"&lt;"&amp;B1170),INDEX(R_Schedule_Amounts,MATCH(B1170,R_Schedule_Times,1)),Starting_Cash),IF(COUNTIFS(R_Schedule_Times,"&gt;"&amp;B1169,R_Schedule_Times,"&lt;"&amp;B1170),INDEX(R_Schedule_Amounts,MATCH(B1170,R_Schedule_Times,1)),K1169)),"")</f>
        <v>8060</v>
      </c>
      <c r="I1170" s="30">
        <f t="shared" si="90"/>
        <v>40</v>
      </c>
      <c r="J1170" s="31">
        <f t="shared" si="91"/>
        <v>3.5</v>
      </c>
      <c r="K1170" s="29">
        <f t="shared" si="92"/>
        <v>8020</v>
      </c>
      <c r="L1170" s="31" t="str">
        <f t="shared" si="93"/>
        <v/>
      </c>
      <c r="M1170" s="31" t="str">
        <f t="shared" si="94"/>
        <v/>
      </c>
    </row>
    <row r="1171" spans="1:13" x14ac:dyDescent="0.15">
      <c r="A1171" s="163" t="s">
        <v>210</v>
      </c>
      <c r="B1171" s="163">
        <v>42307.884781990739</v>
      </c>
      <c r="C1171" s="164" t="s">
        <v>1400</v>
      </c>
      <c r="D1171" s="164" t="s">
        <v>13</v>
      </c>
      <c r="E1171" s="165">
        <v>100</v>
      </c>
      <c r="F1171" s="166">
        <v>0</v>
      </c>
      <c r="G1171" s="227">
        <f>IF($B$2,IF(ROWS(B$6:$B1171) = 1,$B1171-Start_Date,$B1171-$B1170),"")</f>
        <v>1.2287280093005393E-2</v>
      </c>
      <c r="H1171" s="29">
        <f>IF($B$2,IF(ROWS(B$6:$B1171) = 1,IF(COUNTIFS(R_Schedule_Times,"&lt;"&amp;B1171),INDEX(R_Schedule_Amounts,MATCH(B1171,R_Schedule_Times,1)),Starting_Cash),IF(COUNTIFS(R_Schedule_Times,"&gt;"&amp;B1170,R_Schedule_Times,"&lt;"&amp;B1171),INDEX(R_Schedule_Amounts,MATCH(B1171,R_Schedule_Times,1)),K1170)),"")</f>
        <v>8020</v>
      </c>
      <c r="I1171" s="30">
        <f t="shared" si="90"/>
        <v>100</v>
      </c>
      <c r="J1171" s="31">
        <f t="shared" si="91"/>
        <v>0</v>
      </c>
      <c r="K1171" s="29">
        <f t="shared" si="92"/>
        <v>7920</v>
      </c>
      <c r="L1171" s="31" t="str">
        <f t="shared" si="93"/>
        <v/>
      </c>
      <c r="M1171" s="31" t="str">
        <f t="shared" si="94"/>
        <v/>
      </c>
    </row>
    <row r="1172" spans="1:13" x14ac:dyDescent="0.15">
      <c r="A1172" s="163" t="s">
        <v>210</v>
      </c>
      <c r="B1172" s="163">
        <v>42307.950277997683</v>
      </c>
      <c r="C1172" s="164" t="s">
        <v>1401</v>
      </c>
      <c r="D1172" s="164" t="s">
        <v>13</v>
      </c>
      <c r="E1172" s="165">
        <v>40</v>
      </c>
      <c r="F1172" s="166">
        <v>0</v>
      </c>
      <c r="G1172" s="227">
        <f>IF($B$2,IF(ROWS(B$6:$B1172) = 1,$B1172-Start_Date,$B1172-$B1171),"")</f>
        <v>6.549600694415858E-2</v>
      </c>
      <c r="H1172" s="29">
        <f>IF($B$2,IF(ROWS(B$6:$B1172) = 1,IF(COUNTIFS(R_Schedule_Times,"&lt;"&amp;B1172),INDEX(R_Schedule_Amounts,MATCH(B1172,R_Schedule_Times,1)),Starting_Cash),IF(COUNTIFS(R_Schedule_Times,"&gt;"&amp;B1171,R_Schedule_Times,"&lt;"&amp;B1172),INDEX(R_Schedule_Amounts,MATCH(B1172,R_Schedule_Times,1)),K1171)),"")</f>
        <v>7920</v>
      </c>
      <c r="I1172" s="30">
        <f t="shared" si="90"/>
        <v>40</v>
      </c>
      <c r="J1172" s="31">
        <f t="shared" si="91"/>
        <v>0</v>
      </c>
      <c r="K1172" s="29">
        <f t="shared" si="92"/>
        <v>7880</v>
      </c>
      <c r="L1172" s="31" t="str">
        <f t="shared" si="93"/>
        <v/>
      </c>
      <c r="M1172" s="31" t="str">
        <f t="shared" si="94"/>
        <v/>
      </c>
    </row>
    <row r="1173" spans="1:13" x14ac:dyDescent="0.15">
      <c r="A1173" s="163" t="s">
        <v>210</v>
      </c>
      <c r="B1173" s="163">
        <v>42307.979639293982</v>
      </c>
      <c r="C1173" s="164" t="s">
        <v>1402</v>
      </c>
      <c r="D1173" s="164" t="s">
        <v>13</v>
      </c>
      <c r="E1173" s="165">
        <v>160</v>
      </c>
      <c r="F1173" s="166">
        <v>0</v>
      </c>
      <c r="G1173" s="227">
        <f>IF($B$2,IF(ROWS(B$6:$B1173) = 1,$B1173-Start_Date,$B1173-$B1172),"")</f>
        <v>2.936129629961215E-2</v>
      </c>
      <c r="H1173" s="29">
        <f>IF($B$2,IF(ROWS(B$6:$B1173) = 1,IF(COUNTIFS(R_Schedule_Times,"&lt;"&amp;B1173),INDEX(R_Schedule_Amounts,MATCH(B1173,R_Schedule_Times,1)),Starting_Cash),IF(COUNTIFS(R_Schedule_Times,"&gt;"&amp;B1172,R_Schedule_Times,"&lt;"&amp;B1173),INDEX(R_Schedule_Amounts,MATCH(B1173,R_Schedule_Times,1)),K1172)),"")</f>
        <v>7880</v>
      </c>
      <c r="I1173" s="30">
        <f t="shared" si="90"/>
        <v>160</v>
      </c>
      <c r="J1173" s="31">
        <f t="shared" si="91"/>
        <v>0</v>
      </c>
      <c r="K1173" s="29">
        <f t="shared" si="92"/>
        <v>7720</v>
      </c>
      <c r="L1173" s="31" t="str">
        <f t="shared" si="93"/>
        <v/>
      </c>
      <c r="M1173" s="31" t="str">
        <f t="shared" si="94"/>
        <v/>
      </c>
    </row>
    <row r="1174" spans="1:13" x14ac:dyDescent="0.15">
      <c r="A1174" s="163" t="s">
        <v>210</v>
      </c>
      <c r="B1174" s="163">
        <v>42308.01278646991</v>
      </c>
      <c r="C1174" s="164" t="s">
        <v>1403</v>
      </c>
      <c r="D1174" s="164" t="s">
        <v>13</v>
      </c>
      <c r="E1174" s="165">
        <v>60</v>
      </c>
      <c r="F1174" s="166">
        <v>0</v>
      </c>
      <c r="G1174" s="227">
        <f>IF($B$2,IF(ROWS(B$6:$B1174) = 1,$B1174-Start_Date,$B1174-$B1173),"")</f>
        <v>3.3147175927297212E-2</v>
      </c>
      <c r="H1174" s="29">
        <f>IF($B$2,IF(ROWS(B$6:$B1174) = 1,IF(COUNTIFS(R_Schedule_Times,"&lt;"&amp;B1174),INDEX(R_Schedule_Amounts,MATCH(B1174,R_Schedule_Times,1)),Starting_Cash),IF(COUNTIFS(R_Schedule_Times,"&gt;"&amp;B1173,R_Schedule_Times,"&lt;"&amp;B1174),INDEX(R_Schedule_Amounts,MATCH(B1174,R_Schedule_Times,1)),K1173)),"")</f>
        <v>7720</v>
      </c>
      <c r="I1174" s="30">
        <f t="shared" si="90"/>
        <v>60</v>
      </c>
      <c r="J1174" s="31">
        <f t="shared" si="91"/>
        <v>0</v>
      </c>
      <c r="K1174" s="29">
        <f t="shared" si="92"/>
        <v>7660</v>
      </c>
      <c r="L1174" s="31" t="str">
        <f t="shared" si="93"/>
        <v/>
      </c>
      <c r="M1174" s="31" t="str">
        <f t="shared" si="94"/>
        <v/>
      </c>
    </row>
    <row r="1175" spans="1:13" x14ac:dyDescent="0.15">
      <c r="A1175" s="163" t="s">
        <v>210</v>
      </c>
      <c r="B1175" s="163">
        <v>42308.231943379629</v>
      </c>
      <c r="C1175" s="164" t="s">
        <v>1404</v>
      </c>
      <c r="D1175" s="164" t="s">
        <v>13</v>
      </c>
      <c r="E1175" s="165">
        <v>60</v>
      </c>
      <c r="F1175" s="166">
        <v>0</v>
      </c>
      <c r="G1175" s="227">
        <f>IF($B$2,IF(ROWS(B$6:$B1175) = 1,$B1175-Start_Date,$B1175-$B1174),"")</f>
        <v>0.21915690971945878</v>
      </c>
      <c r="H1175" s="29">
        <f>IF($B$2,IF(ROWS(B$6:$B1175) = 1,IF(COUNTIFS(R_Schedule_Times,"&lt;"&amp;B1175),INDEX(R_Schedule_Amounts,MATCH(B1175,R_Schedule_Times,1)),Starting_Cash),IF(COUNTIFS(R_Schedule_Times,"&gt;"&amp;B1174,R_Schedule_Times,"&lt;"&amp;B1175),INDEX(R_Schedule_Amounts,MATCH(B1175,R_Schedule_Times,1)),K1174)),"")</f>
        <v>7660</v>
      </c>
      <c r="I1175" s="30">
        <f t="shared" si="90"/>
        <v>60</v>
      </c>
      <c r="J1175" s="31">
        <f t="shared" si="91"/>
        <v>0</v>
      </c>
      <c r="K1175" s="29">
        <f t="shared" si="92"/>
        <v>7600</v>
      </c>
      <c r="L1175" s="31" t="str">
        <f t="shared" si="93"/>
        <v/>
      </c>
      <c r="M1175" s="31" t="str">
        <f t="shared" si="94"/>
        <v/>
      </c>
    </row>
    <row r="1176" spans="1:13" x14ac:dyDescent="0.15">
      <c r="A1176" s="163" t="s">
        <v>210</v>
      </c>
      <c r="B1176" s="163">
        <v>42308.316072534719</v>
      </c>
      <c r="C1176" s="164" t="s">
        <v>1405</v>
      </c>
      <c r="D1176" s="164" t="s">
        <v>13</v>
      </c>
      <c r="E1176" s="165">
        <v>100</v>
      </c>
      <c r="F1176" s="166">
        <v>0</v>
      </c>
      <c r="G1176" s="227">
        <f>IF($B$2,IF(ROWS(B$6:$B1176) = 1,$B1176-Start_Date,$B1176-$B1175),"")</f>
        <v>8.412915508961305E-2</v>
      </c>
      <c r="H1176" s="29">
        <f>IF($B$2,IF(ROWS(B$6:$B1176) = 1,IF(COUNTIFS(R_Schedule_Times,"&lt;"&amp;B1176),INDEX(R_Schedule_Amounts,MATCH(B1176,R_Schedule_Times,1)),Starting_Cash),IF(COUNTIFS(R_Schedule_Times,"&gt;"&amp;B1175,R_Schedule_Times,"&lt;"&amp;B1176),INDEX(R_Schedule_Amounts,MATCH(B1176,R_Schedule_Times,1)),K1175)),"")</f>
        <v>7600</v>
      </c>
      <c r="I1176" s="30">
        <f t="shared" si="90"/>
        <v>100</v>
      </c>
      <c r="J1176" s="31">
        <f t="shared" si="91"/>
        <v>0</v>
      </c>
      <c r="K1176" s="29">
        <f t="shared" si="92"/>
        <v>7500</v>
      </c>
      <c r="L1176" s="31" t="str">
        <f t="shared" si="93"/>
        <v/>
      </c>
      <c r="M1176" s="31" t="str">
        <f t="shared" si="94"/>
        <v/>
      </c>
    </row>
    <row r="1177" spans="1:13" x14ac:dyDescent="0.15">
      <c r="A1177" s="163" t="s">
        <v>210</v>
      </c>
      <c r="B1177" s="163">
        <v>42308.320901805557</v>
      </c>
      <c r="C1177" s="164" t="s">
        <v>1406</v>
      </c>
      <c r="D1177" s="164" t="s">
        <v>13</v>
      </c>
      <c r="E1177" s="165">
        <v>40</v>
      </c>
      <c r="F1177" s="166">
        <v>0</v>
      </c>
      <c r="G1177" s="227">
        <f>IF($B$2,IF(ROWS(B$6:$B1177) = 1,$B1177-Start_Date,$B1177-$B1176),"")</f>
        <v>4.8292708379449323E-3</v>
      </c>
      <c r="H1177" s="29">
        <f>IF($B$2,IF(ROWS(B$6:$B1177) = 1,IF(COUNTIFS(R_Schedule_Times,"&lt;"&amp;B1177),INDEX(R_Schedule_Amounts,MATCH(B1177,R_Schedule_Times,1)),Starting_Cash),IF(COUNTIFS(R_Schedule_Times,"&gt;"&amp;B1176,R_Schedule_Times,"&lt;"&amp;B1177),INDEX(R_Schedule_Amounts,MATCH(B1177,R_Schedule_Times,1)),K1176)),"")</f>
        <v>7500</v>
      </c>
      <c r="I1177" s="30">
        <f t="shared" si="90"/>
        <v>40</v>
      </c>
      <c r="J1177" s="31">
        <f t="shared" si="91"/>
        <v>0</v>
      </c>
      <c r="K1177" s="29">
        <f t="shared" si="92"/>
        <v>7460</v>
      </c>
      <c r="L1177" s="31" t="str">
        <f t="shared" si="93"/>
        <v/>
      </c>
      <c r="M1177" s="31" t="str">
        <f t="shared" si="94"/>
        <v/>
      </c>
    </row>
    <row r="1178" spans="1:13" x14ac:dyDescent="0.15">
      <c r="A1178" s="163" t="s">
        <v>210</v>
      </c>
      <c r="B1178" s="163">
        <v>42308.325861319441</v>
      </c>
      <c r="C1178" s="164" t="s">
        <v>1407</v>
      </c>
      <c r="D1178" s="164" t="s">
        <v>13</v>
      </c>
      <c r="E1178" s="165">
        <v>100</v>
      </c>
      <c r="F1178" s="166">
        <v>0</v>
      </c>
      <c r="G1178" s="227">
        <f>IF($B$2,IF(ROWS(B$6:$B1178) = 1,$B1178-Start_Date,$B1178-$B1177),"")</f>
        <v>4.959513884386979E-3</v>
      </c>
      <c r="H1178" s="29">
        <f>IF($B$2,IF(ROWS(B$6:$B1178) = 1,IF(COUNTIFS(R_Schedule_Times,"&lt;"&amp;B1178),INDEX(R_Schedule_Amounts,MATCH(B1178,R_Schedule_Times,1)),Starting_Cash),IF(COUNTIFS(R_Schedule_Times,"&gt;"&amp;B1177,R_Schedule_Times,"&lt;"&amp;B1178),INDEX(R_Schedule_Amounts,MATCH(B1178,R_Schedule_Times,1)),K1177)),"")</f>
        <v>7460</v>
      </c>
      <c r="I1178" s="30">
        <f t="shared" si="90"/>
        <v>100</v>
      </c>
      <c r="J1178" s="31">
        <f t="shared" si="91"/>
        <v>0</v>
      </c>
      <c r="K1178" s="29">
        <f t="shared" si="92"/>
        <v>7360</v>
      </c>
      <c r="L1178" s="31" t="str">
        <f t="shared" si="93"/>
        <v/>
      </c>
      <c r="M1178" s="31" t="str">
        <f t="shared" si="94"/>
        <v/>
      </c>
    </row>
    <row r="1179" spans="1:13" x14ac:dyDescent="0.15">
      <c r="A1179" s="163" t="s">
        <v>210</v>
      </c>
      <c r="B1179" s="163">
        <v>42308.329753113423</v>
      </c>
      <c r="C1179" s="164" t="s">
        <v>1408</v>
      </c>
      <c r="D1179" s="164" t="s">
        <v>13</v>
      </c>
      <c r="E1179" s="165">
        <v>100</v>
      </c>
      <c r="F1179" s="166">
        <v>0</v>
      </c>
      <c r="G1179" s="227">
        <f>IF($B$2,IF(ROWS(B$6:$B1179) = 1,$B1179-Start_Date,$B1179-$B1178),"")</f>
        <v>3.8917939818929881E-3</v>
      </c>
      <c r="H1179" s="29">
        <f>IF($B$2,IF(ROWS(B$6:$B1179) = 1,IF(COUNTIFS(R_Schedule_Times,"&lt;"&amp;B1179),INDEX(R_Schedule_Amounts,MATCH(B1179,R_Schedule_Times,1)),Starting_Cash),IF(COUNTIFS(R_Schedule_Times,"&gt;"&amp;B1178,R_Schedule_Times,"&lt;"&amp;B1179),INDEX(R_Schedule_Amounts,MATCH(B1179,R_Schedule_Times,1)),K1178)),"")</f>
        <v>7360</v>
      </c>
      <c r="I1179" s="30">
        <f t="shared" si="90"/>
        <v>100</v>
      </c>
      <c r="J1179" s="31">
        <f t="shared" si="91"/>
        <v>0</v>
      </c>
      <c r="K1179" s="29">
        <f t="shared" si="92"/>
        <v>7260</v>
      </c>
      <c r="L1179" s="31" t="str">
        <f t="shared" si="93"/>
        <v/>
      </c>
      <c r="M1179" s="31" t="str">
        <f t="shared" si="94"/>
        <v/>
      </c>
    </row>
    <row r="1180" spans="1:13" x14ac:dyDescent="0.15">
      <c r="A1180" s="163" t="s">
        <v>210</v>
      </c>
      <c r="B1180" s="163">
        <v>42308.363469016207</v>
      </c>
      <c r="C1180" s="164" t="s">
        <v>1309</v>
      </c>
      <c r="D1180" s="164" t="s">
        <v>13</v>
      </c>
      <c r="E1180" s="165">
        <v>140</v>
      </c>
      <c r="F1180" s="166">
        <v>0</v>
      </c>
      <c r="G1180" s="227">
        <f>IF($B$2,IF(ROWS(B$6:$B1180) = 1,$B1180-Start_Date,$B1180-$B1179),"")</f>
        <v>3.3715902784024365E-2</v>
      </c>
      <c r="H1180" s="29">
        <f>IF($B$2,IF(ROWS(B$6:$B1180) = 1,IF(COUNTIFS(R_Schedule_Times,"&lt;"&amp;B1180),INDEX(R_Schedule_Amounts,MATCH(B1180,R_Schedule_Times,1)),Starting_Cash),IF(COUNTIFS(R_Schedule_Times,"&gt;"&amp;B1179,R_Schedule_Times,"&lt;"&amp;B1180),INDEX(R_Schedule_Amounts,MATCH(B1180,R_Schedule_Times,1)),K1179)),"")</f>
        <v>7260</v>
      </c>
      <c r="I1180" s="30">
        <f t="shared" si="90"/>
        <v>140</v>
      </c>
      <c r="J1180" s="31">
        <f t="shared" si="91"/>
        <v>0</v>
      </c>
      <c r="K1180" s="29">
        <f t="shared" si="92"/>
        <v>7120</v>
      </c>
      <c r="L1180" s="31" t="str">
        <f t="shared" si="93"/>
        <v/>
      </c>
      <c r="M1180" s="31" t="str">
        <f t="shared" si="94"/>
        <v/>
      </c>
    </row>
    <row r="1181" spans="1:13" x14ac:dyDescent="0.15">
      <c r="A1181" s="163" t="s">
        <v>210</v>
      </c>
      <c r="B1181" s="163">
        <v>42308.385422349536</v>
      </c>
      <c r="C1181" s="164" t="s">
        <v>14</v>
      </c>
      <c r="D1181" s="164" t="s">
        <v>13</v>
      </c>
      <c r="E1181" s="165">
        <v>100</v>
      </c>
      <c r="F1181" s="166">
        <v>3.5</v>
      </c>
      <c r="G1181" s="227">
        <f>IF($B$2,IF(ROWS(B$6:$B1181) = 1,$B1181-Start_Date,$B1181-$B1180),"")</f>
        <v>2.1953333329292946E-2</v>
      </c>
      <c r="H1181" s="29">
        <f>IF($B$2,IF(ROWS(B$6:$B1181) = 1,IF(COUNTIFS(R_Schedule_Times,"&lt;"&amp;B1181),INDEX(R_Schedule_Amounts,MATCH(B1181,R_Schedule_Times,1)),Starting_Cash),IF(COUNTIFS(R_Schedule_Times,"&gt;"&amp;B1180,R_Schedule_Times,"&lt;"&amp;B1181),INDEX(R_Schedule_Amounts,MATCH(B1181,R_Schedule_Times,1)),K1180)),"")</f>
        <v>7120</v>
      </c>
      <c r="I1181" s="30">
        <f t="shared" si="90"/>
        <v>100</v>
      </c>
      <c r="J1181" s="31">
        <f t="shared" si="91"/>
        <v>3.5</v>
      </c>
      <c r="K1181" s="29">
        <f t="shared" si="92"/>
        <v>7020</v>
      </c>
      <c r="L1181" s="31" t="str">
        <f t="shared" si="93"/>
        <v/>
      </c>
      <c r="M1181" s="31" t="str">
        <f t="shared" si="94"/>
        <v/>
      </c>
    </row>
    <row r="1182" spans="1:13" x14ac:dyDescent="0.15">
      <c r="A1182" s="163" t="s">
        <v>210</v>
      </c>
      <c r="B1182" s="163">
        <v>42308.389141539352</v>
      </c>
      <c r="C1182" s="164" t="s">
        <v>1409</v>
      </c>
      <c r="D1182" s="164" t="s">
        <v>13</v>
      </c>
      <c r="E1182" s="165">
        <v>40</v>
      </c>
      <c r="F1182" s="166">
        <v>0</v>
      </c>
      <c r="G1182" s="227">
        <f>IF($B$2,IF(ROWS(B$6:$B1182) = 1,$B1182-Start_Date,$B1182-$B1181),"")</f>
        <v>3.7191898154560477E-3</v>
      </c>
      <c r="H1182" s="29">
        <f>IF($B$2,IF(ROWS(B$6:$B1182) = 1,IF(COUNTIFS(R_Schedule_Times,"&lt;"&amp;B1182),INDEX(R_Schedule_Amounts,MATCH(B1182,R_Schedule_Times,1)),Starting_Cash),IF(COUNTIFS(R_Schedule_Times,"&gt;"&amp;B1181,R_Schedule_Times,"&lt;"&amp;B1182),INDEX(R_Schedule_Amounts,MATCH(B1182,R_Schedule_Times,1)),K1181)),"")</f>
        <v>7020</v>
      </c>
      <c r="I1182" s="30">
        <f t="shared" si="90"/>
        <v>40</v>
      </c>
      <c r="J1182" s="31">
        <f t="shared" si="91"/>
        <v>0</v>
      </c>
      <c r="K1182" s="29">
        <f t="shared" si="92"/>
        <v>6980</v>
      </c>
      <c r="L1182" s="31" t="str">
        <f t="shared" si="93"/>
        <v/>
      </c>
      <c r="M1182" s="31" t="str">
        <f t="shared" si="94"/>
        <v/>
      </c>
    </row>
    <row r="1183" spans="1:13" x14ac:dyDescent="0.15">
      <c r="A1183" s="163" t="s">
        <v>210</v>
      </c>
      <c r="B1183" s="163">
        <v>42308.399890509259</v>
      </c>
      <c r="C1183" s="164" t="s">
        <v>14</v>
      </c>
      <c r="D1183" s="164" t="s">
        <v>13</v>
      </c>
      <c r="E1183" s="165">
        <v>20</v>
      </c>
      <c r="F1183" s="166">
        <v>3.5</v>
      </c>
      <c r="G1183" s="227">
        <f>IF($B$2,IF(ROWS(B$6:$B1183) = 1,$B1183-Start_Date,$B1183-$B1182),"")</f>
        <v>1.0748969907581341E-2</v>
      </c>
      <c r="H1183" s="29">
        <f>IF($B$2,IF(ROWS(B$6:$B1183) = 1,IF(COUNTIFS(R_Schedule_Times,"&lt;"&amp;B1183),INDEX(R_Schedule_Amounts,MATCH(B1183,R_Schedule_Times,1)),Starting_Cash),IF(COUNTIFS(R_Schedule_Times,"&gt;"&amp;B1182,R_Schedule_Times,"&lt;"&amp;B1183),INDEX(R_Schedule_Amounts,MATCH(B1183,R_Schedule_Times,1)),K1182)),"")</f>
        <v>6980</v>
      </c>
      <c r="I1183" s="30">
        <f t="shared" si="90"/>
        <v>20</v>
      </c>
      <c r="J1183" s="31">
        <f t="shared" si="91"/>
        <v>3.5</v>
      </c>
      <c r="K1183" s="29">
        <f t="shared" si="92"/>
        <v>6960</v>
      </c>
      <c r="L1183" s="31" t="str">
        <f t="shared" si="93"/>
        <v/>
      </c>
      <c r="M1183" s="31" t="str">
        <f t="shared" si="94"/>
        <v/>
      </c>
    </row>
    <row r="1184" spans="1:13" x14ac:dyDescent="0.15">
      <c r="A1184" s="163" t="s">
        <v>210</v>
      </c>
      <c r="B1184" s="163">
        <v>42308.417452615744</v>
      </c>
      <c r="C1184" s="164" t="s">
        <v>1410</v>
      </c>
      <c r="D1184" s="164" t="s">
        <v>13</v>
      </c>
      <c r="E1184" s="165">
        <v>100</v>
      </c>
      <c r="F1184" s="166">
        <v>0</v>
      </c>
      <c r="G1184" s="227">
        <f>IF($B$2,IF(ROWS(B$6:$B1184) = 1,$B1184-Start_Date,$B1184-$B1183),"")</f>
        <v>1.7562106484547257E-2</v>
      </c>
      <c r="H1184" s="29">
        <f>IF($B$2,IF(ROWS(B$6:$B1184) = 1,IF(COUNTIFS(R_Schedule_Times,"&lt;"&amp;B1184),INDEX(R_Schedule_Amounts,MATCH(B1184,R_Schedule_Times,1)),Starting_Cash),IF(COUNTIFS(R_Schedule_Times,"&gt;"&amp;B1183,R_Schedule_Times,"&lt;"&amp;B1184),INDEX(R_Schedule_Amounts,MATCH(B1184,R_Schedule_Times,1)),K1183)),"")</f>
        <v>6960</v>
      </c>
      <c r="I1184" s="30">
        <f t="shared" si="90"/>
        <v>100</v>
      </c>
      <c r="J1184" s="31">
        <f t="shared" si="91"/>
        <v>0</v>
      </c>
      <c r="K1184" s="29">
        <f t="shared" si="92"/>
        <v>6860</v>
      </c>
      <c r="L1184" s="31" t="str">
        <f t="shared" si="93"/>
        <v/>
      </c>
      <c r="M1184" s="31" t="str">
        <f t="shared" si="94"/>
        <v/>
      </c>
    </row>
    <row r="1185" spans="1:13" x14ac:dyDescent="0.15">
      <c r="A1185" s="163" t="s">
        <v>210</v>
      </c>
      <c r="B1185" s="163">
        <v>42308.484215636578</v>
      </c>
      <c r="C1185" s="164" t="s">
        <v>1411</v>
      </c>
      <c r="D1185" s="164" t="s">
        <v>13</v>
      </c>
      <c r="E1185" s="165">
        <v>100</v>
      </c>
      <c r="F1185" s="166">
        <v>0</v>
      </c>
      <c r="G1185" s="227">
        <f>IF($B$2,IF(ROWS(B$6:$B1185) = 1,$B1185-Start_Date,$B1185-$B1184),"")</f>
        <v>6.6763020833604969E-2</v>
      </c>
      <c r="H1185" s="29">
        <f>IF($B$2,IF(ROWS(B$6:$B1185) = 1,IF(COUNTIFS(R_Schedule_Times,"&lt;"&amp;B1185),INDEX(R_Schedule_Amounts,MATCH(B1185,R_Schedule_Times,1)),Starting_Cash),IF(COUNTIFS(R_Schedule_Times,"&gt;"&amp;B1184,R_Schedule_Times,"&lt;"&amp;B1185),INDEX(R_Schedule_Amounts,MATCH(B1185,R_Schedule_Times,1)),K1184)),"")</f>
        <v>6860</v>
      </c>
      <c r="I1185" s="30">
        <f t="shared" si="90"/>
        <v>100</v>
      </c>
      <c r="J1185" s="31">
        <f t="shared" si="91"/>
        <v>0</v>
      </c>
      <c r="K1185" s="29">
        <f t="shared" si="92"/>
        <v>6760</v>
      </c>
      <c r="L1185" s="31" t="str">
        <f t="shared" si="93"/>
        <v/>
      </c>
      <c r="M1185" s="31" t="str">
        <f t="shared" si="94"/>
        <v/>
      </c>
    </row>
    <row r="1186" spans="1:13" x14ac:dyDescent="0.15">
      <c r="A1186" s="163" t="s">
        <v>210</v>
      </c>
      <c r="B1186" s="163">
        <v>42308.501315729169</v>
      </c>
      <c r="C1186" s="164" t="s">
        <v>1412</v>
      </c>
      <c r="D1186" s="164" t="s">
        <v>13</v>
      </c>
      <c r="E1186" s="165">
        <v>60</v>
      </c>
      <c r="F1186" s="166">
        <v>0</v>
      </c>
      <c r="G1186" s="227">
        <f>IF($B$2,IF(ROWS(B$6:$B1186) = 1,$B1186-Start_Date,$B1186-$B1185),"")</f>
        <v>1.7100092591135763E-2</v>
      </c>
      <c r="H1186" s="29">
        <f>IF($B$2,IF(ROWS(B$6:$B1186) = 1,IF(COUNTIFS(R_Schedule_Times,"&lt;"&amp;B1186),INDEX(R_Schedule_Amounts,MATCH(B1186,R_Schedule_Times,1)),Starting_Cash),IF(COUNTIFS(R_Schedule_Times,"&gt;"&amp;B1185,R_Schedule_Times,"&lt;"&amp;B1186),INDEX(R_Schedule_Amounts,MATCH(B1186,R_Schedule_Times,1)),K1185)),"")</f>
        <v>6760</v>
      </c>
      <c r="I1186" s="30">
        <f t="shared" si="90"/>
        <v>60</v>
      </c>
      <c r="J1186" s="31">
        <f t="shared" si="91"/>
        <v>0</v>
      </c>
      <c r="K1186" s="29">
        <f t="shared" si="92"/>
        <v>6700</v>
      </c>
      <c r="L1186" s="31" t="str">
        <f t="shared" si="93"/>
        <v/>
      </c>
      <c r="M1186" s="31" t="str">
        <f t="shared" si="94"/>
        <v/>
      </c>
    </row>
    <row r="1187" spans="1:13" x14ac:dyDescent="0.15">
      <c r="A1187" s="163" t="s">
        <v>210</v>
      </c>
      <c r="B1187" s="163">
        <v>42308.530048483794</v>
      </c>
      <c r="C1187" s="164" t="s">
        <v>394</v>
      </c>
      <c r="D1187" s="164" t="s">
        <v>13</v>
      </c>
      <c r="E1187" s="165">
        <v>200</v>
      </c>
      <c r="F1187" s="166">
        <v>0</v>
      </c>
      <c r="G1187" s="227">
        <f>IF($B$2,IF(ROWS(B$6:$B1187) = 1,$B1187-Start_Date,$B1187-$B1186),"")</f>
        <v>2.8732754624797963E-2</v>
      </c>
      <c r="H1187" s="29">
        <f>IF($B$2,IF(ROWS(B$6:$B1187) = 1,IF(COUNTIFS(R_Schedule_Times,"&lt;"&amp;B1187),INDEX(R_Schedule_Amounts,MATCH(B1187,R_Schedule_Times,1)),Starting_Cash),IF(COUNTIFS(R_Schedule_Times,"&gt;"&amp;B1186,R_Schedule_Times,"&lt;"&amp;B1187),INDEX(R_Schedule_Amounts,MATCH(B1187,R_Schedule_Times,1)),K1186)),"")</f>
        <v>6700</v>
      </c>
      <c r="I1187" s="30">
        <f t="shared" si="90"/>
        <v>200</v>
      </c>
      <c r="J1187" s="31">
        <f t="shared" si="91"/>
        <v>0</v>
      </c>
      <c r="K1187" s="29">
        <f t="shared" si="92"/>
        <v>6500</v>
      </c>
      <c r="L1187" s="31" t="str">
        <f t="shared" si="93"/>
        <v/>
      </c>
      <c r="M1187" s="31" t="str">
        <f t="shared" si="94"/>
        <v/>
      </c>
    </row>
    <row r="1188" spans="1:13" x14ac:dyDescent="0.15">
      <c r="A1188" s="163" t="s">
        <v>210</v>
      </c>
      <c r="B1188" s="163">
        <v>42308.553633668984</v>
      </c>
      <c r="C1188" s="164" t="s">
        <v>1263</v>
      </c>
      <c r="D1188" s="164" t="s">
        <v>13</v>
      </c>
      <c r="E1188" s="165">
        <v>100</v>
      </c>
      <c r="F1188" s="166">
        <v>0</v>
      </c>
      <c r="G1188" s="227">
        <f>IF($B$2,IF(ROWS(B$6:$B1188) = 1,$B1188-Start_Date,$B1188-$B1187),"")</f>
        <v>2.3585185190313496E-2</v>
      </c>
      <c r="H1188" s="29">
        <f>IF($B$2,IF(ROWS(B$6:$B1188) = 1,IF(COUNTIFS(R_Schedule_Times,"&lt;"&amp;B1188),INDEX(R_Schedule_Amounts,MATCH(B1188,R_Schedule_Times,1)),Starting_Cash),IF(COUNTIFS(R_Schedule_Times,"&gt;"&amp;B1187,R_Schedule_Times,"&lt;"&amp;B1188),INDEX(R_Schedule_Amounts,MATCH(B1188,R_Schedule_Times,1)),K1187)),"")</f>
        <v>6500</v>
      </c>
      <c r="I1188" s="30">
        <f t="shared" si="90"/>
        <v>100</v>
      </c>
      <c r="J1188" s="31">
        <f t="shared" si="91"/>
        <v>0</v>
      </c>
      <c r="K1188" s="29">
        <f t="shared" si="92"/>
        <v>6400</v>
      </c>
      <c r="L1188" s="31" t="str">
        <f t="shared" si="93"/>
        <v/>
      </c>
      <c r="M1188" s="31" t="str">
        <f t="shared" si="94"/>
        <v/>
      </c>
    </row>
    <row r="1189" spans="1:13" x14ac:dyDescent="0.15">
      <c r="A1189" s="163" t="s">
        <v>210</v>
      </c>
      <c r="B1189" s="163">
        <v>42308.5661562963</v>
      </c>
      <c r="C1189" s="164" t="s">
        <v>1413</v>
      </c>
      <c r="D1189" s="164" t="s">
        <v>13</v>
      </c>
      <c r="E1189" s="165">
        <v>40</v>
      </c>
      <c r="F1189" s="166">
        <v>0</v>
      </c>
      <c r="G1189" s="227">
        <f>IF($B$2,IF(ROWS(B$6:$B1189) = 1,$B1189-Start_Date,$B1189-$B1188),"")</f>
        <v>1.2522627315775026E-2</v>
      </c>
      <c r="H1189" s="29">
        <f>IF($B$2,IF(ROWS(B$6:$B1189) = 1,IF(COUNTIFS(R_Schedule_Times,"&lt;"&amp;B1189),INDEX(R_Schedule_Amounts,MATCH(B1189,R_Schedule_Times,1)),Starting_Cash),IF(COUNTIFS(R_Schedule_Times,"&gt;"&amp;B1188,R_Schedule_Times,"&lt;"&amp;B1189),INDEX(R_Schedule_Amounts,MATCH(B1189,R_Schedule_Times,1)),K1188)),"")</f>
        <v>6400</v>
      </c>
      <c r="I1189" s="30">
        <f t="shared" si="90"/>
        <v>40</v>
      </c>
      <c r="J1189" s="31">
        <f t="shared" si="91"/>
        <v>0</v>
      </c>
      <c r="K1189" s="29">
        <f t="shared" si="92"/>
        <v>6360</v>
      </c>
      <c r="L1189" s="31" t="str">
        <f t="shared" si="93"/>
        <v/>
      </c>
      <c r="M1189" s="31" t="str">
        <f t="shared" si="94"/>
        <v/>
      </c>
    </row>
    <row r="1190" spans="1:13" x14ac:dyDescent="0.15">
      <c r="A1190" s="163" t="s">
        <v>210</v>
      </c>
      <c r="B1190" s="163">
        <v>42308.571580462965</v>
      </c>
      <c r="C1190" s="164" t="s">
        <v>1414</v>
      </c>
      <c r="D1190" s="164" t="s">
        <v>13</v>
      </c>
      <c r="E1190" s="165">
        <v>100</v>
      </c>
      <c r="F1190" s="166">
        <v>0</v>
      </c>
      <c r="G1190" s="227">
        <f>IF($B$2,IF(ROWS(B$6:$B1190) = 1,$B1190-Start_Date,$B1190-$B1189),"")</f>
        <v>5.4241666657617316E-3</v>
      </c>
      <c r="H1190" s="29">
        <f>IF($B$2,IF(ROWS(B$6:$B1190) = 1,IF(COUNTIFS(R_Schedule_Times,"&lt;"&amp;B1190),INDEX(R_Schedule_Amounts,MATCH(B1190,R_Schedule_Times,1)),Starting_Cash),IF(COUNTIFS(R_Schedule_Times,"&gt;"&amp;B1189,R_Schedule_Times,"&lt;"&amp;B1190),INDEX(R_Schedule_Amounts,MATCH(B1190,R_Schedule_Times,1)),K1189)),"")</f>
        <v>6360</v>
      </c>
      <c r="I1190" s="30">
        <f t="shared" si="90"/>
        <v>100</v>
      </c>
      <c r="J1190" s="31">
        <f t="shared" si="91"/>
        <v>0</v>
      </c>
      <c r="K1190" s="29">
        <f t="shared" si="92"/>
        <v>6260</v>
      </c>
      <c r="L1190" s="31" t="str">
        <f t="shared" si="93"/>
        <v/>
      </c>
      <c r="M1190" s="31" t="str">
        <f t="shared" si="94"/>
        <v/>
      </c>
    </row>
    <row r="1191" spans="1:13" x14ac:dyDescent="0.15">
      <c r="A1191" s="163" t="s">
        <v>210</v>
      </c>
      <c r="B1191" s="163">
        <v>42308.599863067131</v>
      </c>
      <c r="C1191" s="164" t="s">
        <v>1237</v>
      </c>
      <c r="D1191" s="164" t="s">
        <v>13</v>
      </c>
      <c r="E1191" s="165">
        <v>200</v>
      </c>
      <c r="F1191" s="166">
        <v>0</v>
      </c>
      <c r="G1191" s="227">
        <f>IF($B$2,IF(ROWS(B$6:$B1191) = 1,$B1191-Start_Date,$B1191-$B1190),"")</f>
        <v>2.8282604165724479E-2</v>
      </c>
      <c r="H1191" s="29">
        <f>IF($B$2,IF(ROWS(B$6:$B1191) = 1,IF(COUNTIFS(R_Schedule_Times,"&lt;"&amp;B1191),INDEX(R_Schedule_Amounts,MATCH(B1191,R_Schedule_Times,1)),Starting_Cash),IF(COUNTIFS(R_Schedule_Times,"&gt;"&amp;B1190,R_Schedule_Times,"&lt;"&amp;B1191),INDEX(R_Schedule_Amounts,MATCH(B1191,R_Schedule_Times,1)),K1190)),"")</f>
        <v>6260</v>
      </c>
      <c r="I1191" s="30">
        <f t="shared" si="90"/>
        <v>200</v>
      </c>
      <c r="J1191" s="31">
        <f t="shared" si="91"/>
        <v>0</v>
      </c>
      <c r="K1191" s="29">
        <f t="shared" si="92"/>
        <v>6060</v>
      </c>
      <c r="L1191" s="31" t="str">
        <f t="shared" si="93"/>
        <v/>
      </c>
      <c r="M1191" s="31" t="str">
        <f t="shared" si="94"/>
        <v/>
      </c>
    </row>
    <row r="1192" spans="1:13" x14ac:dyDescent="0.15">
      <c r="A1192" s="163" t="s">
        <v>210</v>
      </c>
      <c r="B1192" s="163">
        <v>42308.608214490741</v>
      </c>
      <c r="C1192" s="164" t="s">
        <v>14</v>
      </c>
      <c r="D1192" s="164" t="s">
        <v>13</v>
      </c>
      <c r="E1192" s="165">
        <v>100</v>
      </c>
      <c r="F1192" s="166">
        <v>3.5</v>
      </c>
      <c r="G1192" s="227">
        <f>IF($B$2,IF(ROWS(B$6:$B1192) = 1,$B1192-Start_Date,$B1192-$B1191),"")</f>
        <v>8.3514236102928407E-3</v>
      </c>
      <c r="H1192" s="29">
        <f>IF($B$2,IF(ROWS(B$6:$B1192) = 1,IF(COUNTIFS(R_Schedule_Times,"&lt;"&amp;B1192),INDEX(R_Schedule_Amounts,MATCH(B1192,R_Schedule_Times,1)),Starting_Cash),IF(COUNTIFS(R_Schedule_Times,"&gt;"&amp;B1191,R_Schedule_Times,"&lt;"&amp;B1192),INDEX(R_Schedule_Amounts,MATCH(B1192,R_Schedule_Times,1)),K1191)),"")</f>
        <v>6060</v>
      </c>
      <c r="I1192" s="30">
        <f t="shared" si="90"/>
        <v>100</v>
      </c>
      <c r="J1192" s="31">
        <f t="shared" si="91"/>
        <v>3.5</v>
      </c>
      <c r="K1192" s="29">
        <f t="shared" si="92"/>
        <v>5960</v>
      </c>
      <c r="L1192" s="31" t="str">
        <f t="shared" si="93"/>
        <v/>
      </c>
      <c r="M1192" s="31" t="str">
        <f t="shared" si="94"/>
        <v/>
      </c>
    </row>
    <row r="1193" spans="1:13" x14ac:dyDescent="0.15">
      <c r="A1193" s="163" t="s">
        <v>210</v>
      </c>
      <c r="B1193" s="163">
        <v>42308.610140567129</v>
      </c>
      <c r="C1193" s="164" t="s">
        <v>1415</v>
      </c>
      <c r="D1193" s="164" t="s">
        <v>13</v>
      </c>
      <c r="E1193" s="165">
        <v>100</v>
      </c>
      <c r="F1193" s="166">
        <v>0</v>
      </c>
      <c r="G1193" s="227">
        <f>IF($B$2,IF(ROWS(B$6:$B1193) = 1,$B1193-Start_Date,$B1193-$B1192),"")</f>
        <v>1.9260763874626718E-3</v>
      </c>
      <c r="H1193" s="29">
        <f>IF($B$2,IF(ROWS(B$6:$B1193) = 1,IF(COUNTIFS(R_Schedule_Times,"&lt;"&amp;B1193),INDEX(R_Schedule_Amounts,MATCH(B1193,R_Schedule_Times,1)),Starting_Cash),IF(COUNTIFS(R_Schedule_Times,"&gt;"&amp;B1192,R_Schedule_Times,"&lt;"&amp;B1193),INDEX(R_Schedule_Amounts,MATCH(B1193,R_Schedule_Times,1)),K1192)),"")</f>
        <v>5960</v>
      </c>
      <c r="I1193" s="30">
        <f t="shared" si="90"/>
        <v>100</v>
      </c>
      <c r="J1193" s="31">
        <f t="shared" si="91"/>
        <v>0</v>
      </c>
      <c r="K1193" s="29">
        <f t="shared" si="92"/>
        <v>5860</v>
      </c>
      <c r="L1193" s="31" t="str">
        <f t="shared" si="93"/>
        <v/>
      </c>
      <c r="M1193" s="31" t="str">
        <f t="shared" si="94"/>
        <v/>
      </c>
    </row>
    <row r="1194" spans="1:13" x14ac:dyDescent="0.15">
      <c r="A1194" s="163" t="s">
        <v>210</v>
      </c>
      <c r="B1194" s="163">
        <v>42308.646123020837</v>
      </c>
      <c r="C1194" s="164" t="s">
        <v>1416</v>
      </c>
      <c r="D1194" s="164" t="s">
        <v>13</v>
      </c>
      <c r="E1194" s="165">
        <v>40</v>
      </c>
      <c r="F1194" s="166">
        <v>0</v>
      </c>
      <c r="G1194" s="227">
        <f>IF($B$2,IF(ROWS(B$6:$B1194) = 1,$B1194-Start_Date,$B1194-$B1193),"")</f>
        <v>3.5982453708129469E-2</v>
      </c>
      <c r="H1194" s="29">
        <f>IF($B$2,IF(ROWS(B$6:$B1194) = 1,IF(COUNTIFS(R_Schedule_Times,"&lt;"&amp;B1194),INDEX(R_Schedule_Amounts,MATCH(B1194,R_Schedule_Times,1)),Starting_Cash),IF(COUNTIFS(R_Schedule_Times,"&gt;"&amp;B1193,R_Schedule_Times,"&lt;"&amp;B1194),INDEX(R_Schedule_Amounts,MATCH(B1194,R_Schedule_Times,1)),K1193)),"")</f>
        <v>5860</v>
      </c>
      <c r="I1194" s="30">
        <f t="shared" si="90"/>
        <v>40</v>
      </c>
      <c r="J1194" s="31">
        <f t="shared" si="91"/>
        <v>0</v>
      </c>
      <c r="K1194" s="29">
        <f t="shared" si="92"/>
        <v>5820</v>
      </c>
      <c r="L1194" s="31" t="str">
        <f t="shared" si="93"/>
        <v/>
      </c>
      <c r="M1194" s="31" t="str">
        <f t="shared" si="94"/>
        <v/>
      </c>
    </row>
    <row r="1195" spans="1:13" x14ac:dyDescent="0.15">
      <c r="A1195" s="163" t="s">
        <v>210</v>
      </c>
      <c r="B1195" s="163">
        <v>42308.663279247688</v>
      </c>
      <c r="C1195" s="164" t="s">
        <v>1417</v>
      </c>
      <c r="D1195" s="164" t="s">
        <v>13</v>
      </c>
      <c r="E1195" s="165">
        <v>100</v>
      </c>
      <c r="F1195" s="166">
        <v>0</v>
      </c>
      <c r="G1195" s="227">
        <f>IF($B$2,IF(ROWS(B$6:$B1195) = 1,$B1195-Start_Date,$B1195-$B1194),"")</f>
        <v>1.7156226851511747E-2</v>
      </c>
      <c r="H1195" s="29">
        <f>IF($B$2,IF(ROWS(B$6:$B1195) = 1,IF(COUNTIFS(R_Schedule_Times,"&lt;"&amp;B1195),INDEX(R_Schedule_Amounts,MATCH(B1195,R_Schedule_Times,1)),Starting_Cash),IF(COUNTIFS(R_Schedule_Times,"&gt;"&amp;B1194,R_Schedule_Times,"&lt;"&amp;B1195),INDEX(R_Schedule_Amounts,MATCH(B1195,R_Schedule_Times,1)),K1194)),"")</f>
        <v>5820</v>
      </c>
      <c r="I1195" s="30">
        <f t="shared" si="90"/>
        <v>100</v>
      </c>
      <c r="J1195" s="31">
        <f t="shared" si="91"/>
        <v>0</v>
      </c>
      <c r="K1195" s="29">
        <f t="shared" si="92"/>
        <v>5720</v>
      </c>
      <c r="L1195" s="31" t="str">
        <f t="shared" si="93"/>
        <v/>
      </c>
      <c r="M1195" s="31" t="str">
        <f t="shared" si="94"/>
        <v/>
      </c>
    </row>
    <row r="1196" spans="1:13" x14ac:dyDescent="0.15">
      <c r="A1196" s="163" t="s">
        <v>210</v>
      </c>
      <c r="B1196" s="163">
        <v>42308.663930324074</v>
      </c>
      <c r="C1196" s="164" t="s">
        <v>650</v>
      </c>
      <c r="D1196" s="164" t="s">
        <v>13</v>
      </c>
      <c r="E1196" s="165">
        <v>200</v>
      </c>
      <c r="F1196" s="166">
        <v>0</v>
      </c>
      <c r="G1196" s="227">
        <f>IF($B$2,IF(ROWS(B$6:$B1196) = 1,$B1196-Start_Date,$B1196-$B1195),"")</f>
        <v>6.5107638511108235E-4</v>
      </c>
      <c r="H1196" s="29">
        <f>IF($B$2,IF(ROWS(B$6:$B1196) = 1,IF(COUNTIFS(R_Schedule_Times,"&lt;"&amp;B1196),INDEX(R_Schedule_Amounts,MATCH(B1196,R_Schedule_Times,1)),Starting_Cash),IF(COUNTIFS(R_Schedule_Times,"&gt;"&amp;B1195,R_Schedule_Times,"&lt;"&amp;B1196),INDEX(R_Schedule_Amounts,MATCH(B1196,R_Schedule_Times,1)),K1195)),"")</f>
        <v>5720</v>
      </c>
      <c r="I1196" s="30">
        <f t="shared" si="90"/>
        <v>200</v>
      </c>
      <c r="J1196" s="31">
        <f t="shared" si="91"/>
        <v>0</v>
      </c>
      <c r="K1196" s="29">
        <f t="shared" si="92"/>
        <v>5520</v>
      </c>
      <c r="L1196" s="31" t="str">
        <f t="shared" si="93"/>
        <v/>
      </c>
      <c r="M1196" s="31" t="str">
        <f t="shared" si="94"/>
        <v/>
      </c>
    </row>
    <row r="1197" spans="1:13" x14ac:dyDescent="0.15">
      <c r="A1197" s="163" t="s">
        <v>210</v>
      </c>
      <c r="B1197" s="163">
        <v>42308.694241886573</v>
      </c>
      <c r="C1197" s="164" t="s">
        <v>1418</v>
      </c>
      <c r="D1197" s="164" t="s">
        <v>13</v>
      </c>
      <c r="E1197" s="165">
        <v>60</v>
      </c>
      <c r="F1197" s="166">
        <v>0</v>
      </c>
      <c r="G1197" s="227">
        <f>IF($B$2,IF(ROWS(B$6:$B1197) = 1,$B1197-Start_Date,$B1197-$B1196),"")</f>
        <v>3.0311562499264255E-2</v>
      </c>
      <c r="H1197" s="29">
        <f>IF($B$2,IF(ROWS(B$6:$B1197) = 1,IF(COUNTIFS(R_Schedule_Times,"&lt;"&amp;B1197),INDEX(R_Schedule_Amounts,MATCH(B1197,R_Schedule_Times,1)),Starting_Cash),IF(COUNTIFS(R_Schedule_Times,"&gt;"&amp;B1196,R_Schedule_Times,"&lt;"&amp;B1197),INDEX(R_Schedule_Amounts,MATCH(B1197,R_Schedule_Times,1)),K1196)),"")</f>
        <v>5520</v>
      </c>
      <c r="I1197" s="30">
        <f t="shared" si="90"/>
        <v>60</v>
      </c>
      <c r="J1197" s="31">
        <f t="shared" si="91"/>
        <v>0</v>
      </c>
      <c r="K1197" s="29">
        <f t="shared" si="92"/>
        <v>5460</v>
      </c>
      <c r="L1197" s="31" t="str">
        <f t="shared" si="93"/>
        <v/>
      </c>
      <c r="M1197" s="31" t="str">
        <f t="shared" si="94"/>
        <v/>
      </c>
    </row>
    <row r="1198" spans="1:13" x14ac:dyDescent="0.15">
      <c r="A1198" s="163" t="s">
        <v>210</v>
      </c>
      <c r="B1198" s="163">
        <v>42308.696964270835</v>
      </c>
      <c r="C1198" s="164" t="s">
        <v>1419</v>
      </c>
      <c r="D1198" s="164" t="s">
        <v>13</v>
      </c>
      <c r="E1198" s="165">
        <v>40</v>
      </c>
      <c r="F1198" s="166">
        <v>0</v>
      </c>
      <c r="G1198" s="227">
        <f>IF($B$2,IF(ROWS(B$6:$B1198) = 1,$B1198-Start_Date,$B1198-$B1197),"")</f>
        <v>2.7223842625971884E-3</v>
      </c>
      <c r="H1198" s="29">
        <f>IF($B$2,IF(ROWS(B$6:$B1198) = 1,IF(COUNTIFS(R_Schedule_Times,"&lt;"&amp;B1198),INDEX(R_Schedule_Amounts,MATCH(B1198,R_Schedule_Times,1)),Starting_Cash),IF(COUNTIFS(R_Schedule_Times,"&gt;"&amp;B1197,R_Schedule_Times,"&lt;"&amp;B1198),INDEX(R_Schedule_Amounts,MATCH(B1198,R_Schedule_Times,1)),K1197)),"")</f>
        <v>5460</v>
      </c>
      <c r="I1198" s="30">
        <f t="shared" si="90"/>
        <v>40</v>
      </c>
      <c r="J1198" s="31">
        <f t="shared" si="91"/>
        <v>0</v>
      </c>
      <c r="K1198" s="29">
        <f t="shared" si="92"/>
        <v>5420</v>
      </c>
      <c r="L1198" s="31" t="str">
        <f t="shared" si="93"/>
        <v/>
      </c>
      <c r="M1198" s="31" t="str">
        <f t="shared" si="94"/>
        <v/>
      </c>
    </row>
    <row r="1199" spans="1:13" x14ac:dyDescent="0.15">
      <c r="A1199" s="163" t="s">
        <v>210</v>
      </c>
      <c r="B1199" s="163">
        <v>42308.698556238429</v>
      </c>
      <c r="C1199" s="164" t="s">
        <v>1420</v>
      </c>
      <c r="D1199" s="164" t="s">
        <v>13</v>
      </c>
      <c r="E1199" s="165">
        <v>40</v>
      </c>
      <c r="F1199" s="166">
        <v>0</v>
      </c>
      <c r="G1199" s="227">
        <f>IF($B$2,IF(ROWS(B$6:$B1199) = 1,$B1199-Start_Date,$B1199-$B1198),"")</f>
        <v>1.5919675934128463E-3</v>
      </c>
      <c r="H1199" s="29">
        <f>IF($B$2,IF(ROWS(B$6:$B1199) = 1,IF(COUNTIFS(R_Schedule_Times,"&lt;"&amp;B1199),INDEX(R_Schedule_Amounts,MATCH(B1199,R_Schedule_Times,1)),Starting_Cash),IF(COUNTIFS(R_Schedule_Times,"&gt;"&amp;B1198,R_Schedule_Times,"&lt;"&amp;B1199),INDEX(R_Schedule_Amounts,MATCH(B1199,R_Schedule_Times,1)),K1198)),"")</f>
        <v>5420</v>
      </c>
      <c r="I1199" s="30">
        <f t="shared" si="90"/>
        <v>40</v>
      </c>
      <c r="J1199" s="31">
        <f t="shared" si="91"/>
        <v>0</v>
      </c>
      <c r="K1199" s="29">
        <f t="shared" si="92"/>
        <v>5380</v>
      </c>
      <c r="L1199" s="31" t="str">
        <f t="shared" si="93"/>
        <v/>
      </c>
      <c r="M1199" s="31" t="str">
        <f t="shared" si="94"/>
        <v/>
      </c>
    </row>
    <row r="1200" spans="1:13" x14ac:dyDescent="0.15">
      <c r="A1200" s="163" t="s">
        <v>210</v>
      </c>
      <c r="B1200" s="163">
        <v>42308.705256782407</v>
      </c>
      <c r="C1200" s="164" t="s">
        <v>1421</v>
      </c>
      <c r="D1200" s="164" t="s">
        <v>13</v>
      </c>
      <c r="E1200" s="165">
        <v>20</v>
      </c>
      <c r="F1200" s="166">
        <v>0</v>
      </c>
      <c r="G1200" s="227">
        <f>IF($B$2,IF(ROWS(B$6:$B1200) = 1,$B1200-Start_Date,$B1200-$B1199),"")</f>
        <v>6.7005439777858555E-3</v>
      </c>
      <c r="H1200" s="29">
        <f>IF($B$2,IF(ROWS(B$6:$B1200) = 1,IF(COUNTIFS(R_Schedule_Times,"&lt;"&amp;B1200),INDEX(R_Schedule_Amounts,MATCH(B1200,R_Schedule_Times,1)),Starting_Cash),IF(COUNTIFS(R_Schedule_Times,"&gt;"&amp;B1199,R_Schedule_Times,"&lt;"&amp;B1200),INDEX(R_Schedule_Amounts,MATCH(B1200,R_Schedule_Times,1)),K1199)),"")</f>
        <v>5380</v>
      </c>
      <c r="I1200" s="30">
        <f t="shared" si="90"/>
        <v>20</v>
      </c>
      <c r="J1200" s="31">
        <f t="shared" si="91"/>
        <v>0</v>
      </c>
      <c r="K1200" s="29">
        <f t="shared" si="92"/>
        <v>5360</v>
      </c>
      <c r="L1200" s="31" t="str">
        <f t="shared" si="93"/>
        <v/>
      </c>
      <c r="M1200" s="31" t="str">
        <f t="shared" si="94"/>
        <v/>
      </c>
    </row>
    <row r="1201" spans="1:13" x14ac:dyDescent="0.15">
      <c r="A1201" s="163" t="s">
        <v>210</v>
      </c>
      <c r="B1201" s="163">
        <v>42308.708766076386</v>
      </c>
      <c r="C1201" s="164" t="s">
        <v>1332</v>
      </c>
      <c r="D1201" s="164" t="s">
        <v>13</v>
      </c>
      <c r="E1201" s="165">
        <v>80</v>
      </c>
      <c r="F1201" s="166">
        <v>0</v>
      </c>
      <c r="G1201" s="227">
        <f>IF($B$2,IF(ROWS(B$6:$B1201) = 1,$B1201-Start_Date,$B1201-$B1200),"")</f>
        <v>3.5092939797323197E-3</v>
      </c>
      <c r="H1201" s="29">
        <f>IF($B$2,IF(ROWS(B$6:$B1201) = 1,IF(COUNTIFS(R_Schedule_Times,"&lt;"&amp;B1201),INDEX(R_Schedule_Amounts,MATCH(B1201,R_Schedule_Times,1)),Starting_Cash),IF(COUNTIFS(R_Schedule_Times,"&gt;"&amp;B1200,R_Schedule_Times,"&lt;"&amp;B1201),INDEX(R_Schedule_Amounts,MATCH(B1201,R_Schedule_Times,1)),K1200)),"")</f>
        <v>5360</v>
      </c>
      <c r="I1201" s="30">
        <f t="shared" si="90"/>
        <v>80</v>
      </c>
      <c r="J1201" s="31">
        <f t="shared" si="91"/>
        <v>0</v>
      </c>
      <c r="K1201" s="29">
        <f t="shared" si="92"/>
        <v>5280</v>
      </c>
      <c r="L1201" s="31" t="str">
        <f t="shared" si="93"/>
        <v/>
      </c>
      <c r="M1201" s="31" t="str">
        <f t="shared" si="94"/>
        <v/>
      </c>
    </row>
    <row r="1202" spans="1:13" x14ac:dyDescent="0.15">
      <c r="A1202" s="163" t="s">
        <v>210</v>
      </c>
      <c r="B1202" s="163">
        <v>42308.731404999999</v>
      </c>
      <c r="C1202" s="164" t="s">
        <v>14</v>
      </c>
      <c r="D1202" s="164" t="s">
        <v>15</v>
      </c>
      <c r="E1202" s="165">
        <v>100</v>
      </c>
      <c r="F1202" s="166">
        <v>5.5</v>
      </c>
      <c r="G1202" s="227">
        <f>IF($B$2,IF(ROWS(B$6:$B1202) = 1,$B1202-Start_Date,$B1202-$B1201),"")</f>
        <v>2.2638923612248618E-2</v>
      </c>
      <c r="H1202" s="29">
        <f>IF($B$2,IF(ROWS(B$6:$B1202) = 1,IF(COUNTIFS(R_Schedule_Times,"&lt;"&amp;B1202),INDEX(R_Schedule_Amounts,MATCH(B1202,R_Schedule_Times,1)),Starting_Cash),IF(COUNTIFS(R_Schedule_Times,"&gt;"&amp;B1201,R_Schedule_Times,"&lt;"&amp;B1202),INDEX(R_Schedule_Amounts,MATCH(B1202,R_Schedule_Times,1)),K1201)),"")</f>
        <v>5280</v>
      </c>
      <c r="I1202" s="30">
        <f t="shared" si="90"/>
        <v>100</v>
      </c>
      <c r="J1202" s="31">
        <f t="shared" si="91"/>
        <v>5.5</v>
      </c>
      <c r="K1202" s="29">
        <f t="shared" si="92"/>
        <v>5180</v>
      </c>
      <c r="L1202" s="31" t="str">
        <f t="shared" si="93"/>
        <v/>
      </c>
      <c r="M1202" s="31" t="str">
        <f t="shared" si="94"/>
        <v/>
      </c>
    </row>
    <row r="1203" spans="1:13" x14ac:dyDescent="0.15">
      <c r="A1203" s="163" t="s">
        <v>210</v>
      </c>
      <c r="B1203" s="163">
        <v>42308.733674131945</v>
      </c>
      <c r="C1203" s="164" t="s">
        <v>1422</v>
      </c>
      <c r="D1203" s="164" t="s">
        <v>15</v>
      </c>
      <c r="E1203" s="165">
        <v>20</v>
      </c>
      <c r="F1203" s="166">
        <v>0.6</v>
      </c>
      <c r="G1203" s="227">
        <f>IF($B$2,IF(ROWS(B$6:$B1203) = 1,$B1203-Start_Date,$B1203-$B1202),"")</f>
        <v>2.2691319463774562E-3</v>
      </c>
      <c r="H1203" s="29">
        <f>IF($B$2,IF(ROWS(B$6:$B1203) = 1,IF(COUNTIFS(R_Schedule_Times,"&lt;"&amp;B1203),INDEX(R_Schedule_Amounts,MATCH(B1203,R_Schedule_Times,1)),Starting_Cash),IF(COUNTIFS(R_Schedule_Times,"&gt;"&amp;B1202,R_Schedule_Times,"&lt;"&amp;B1203),INDEX(R_Schedule_Amounts,MATCH(B1203,R_Schedule_Times,1)),K1202)),"")</f>
        <v>5180</v>
      </c>
      <c r="I1203" s="30">
        <f t="shared" si="90"/>
        <v>20</v>
      </c>
      <c r="J1203" s="31">
        <f t="shared" si="91"/>
        <v>0.6</v>
      </c>
      <c r="K1203" s="29">
        <f t="shared" si="92"/>
        <v>5160</v>
      </c>
      <c r="L1203" s="31" t="str">
        <f t="shared" si="93"/>
        <v/>
      </c>
      <c r="M1203" s="31" t="str">
        <f t="shared" si="94"/>
        <v/>
      </c>
    </row>
    <row r="1204" spans="1:13" x14ac:dyDescent="0.15">
      <c r="A1204" s="163" t="s">
        <v>210</v>
      </c>
      <c r="B1204" s="163">
        <v>42308.746993148146</v>
      </c>
      <c r="C1204" s="164" t="s">
        <v>1423</v>
      </c>
      <c r="D1204" s="164" t="s">
        <v>13</v>
      </c>
      <c r="E1204" s="165">
        <v>40</v>
      </c>
      <c r="F1204" s="166">
        <v>0</v>
      </c>
      <c r="G1204" s="227">
        <f>IF($B$2,IF(ROWS(B$6:$B1204) = 1,$B1204-Start_Date,$B1204-$B1203),"")</f>
        <v>1.3319016201421618E-2</v>
      </c>
      <c r="H1204" s="29">
        <f>IF($B$2,IF(ROWS(B$6:$B1204) = 1,IF(COUNTIFS(R_Schedule_Times,"&lt;"&amp;B1204),INDEX(R_Schedule_Amounts,MATCH(B1204,R_Schedule_Times,1)),Starting_Cash),IF(COUNTIFS(R_Schedule_Times,"&gt;"&amp;B1203,R_Schedule_Times,"&lt;"&amp;B1204),INDEX(R_Schedule_Amounts,MATCH(B1204,R_Schedule_Times,1)),K1203)),"")</f>
        <v>5160</v>
      </c>
      <c r="I1204" s="30">
        <f t="shared" si="90"/>
        <v>40</v>
      </c>
      <c r="J1204" s="31">
        <f t="shared" si="91"/>
        <v>0</v>
      </c>
      <c r="K1204" s="29">
        <f t="shared" si="92"/>
        <v>5120</v>
      </c>
      <c r="L1204" s="31" t="str">
        <f t="shared" si="93"/>
        <v/>
      </c>
      <c r="M1204" s="31" t="str">
        <f t="shared" si="94"/>
        <v/>
      </c>
    </row>
    <row r="1205" spans="1:13" x14ac:dyDescent="0.15">
      <c r="A1205" s="163" t="s">
        <v>210</v>
      </c>
      <c r="B1205" s="163">
        <v>42308.747499016201</v>
      </c>
      <c r="C1205" s="164" t="s">
        <v>14</v>
      </c>
      <c r="D1205" s="164" t="s">
        <v>13</v>
      </c>
      <c r="E1205" s="165">
        <v>100</v>
      </c>
      <c r="F1205" s="166">
        <v>3.5</v>
      </c>
      <c r="G1205" s="227">
        <f>IF($B$2,IF(ROWS(B$6:$B1205) = 1,$B1205-Start_Date,$B1205-$B1204),"")</f>
        <v>5.0586805446073413E-4</v>
      </c>
      <c r="H1205" s="29">
        <f>IF($B$2,IF(ROWS(B$6:$B1205) = 1,IF(COUNTIFS(R_Schedule_Times,"&lt;"&amp;B1205),INDEX(R_Schedule_Amounts,MATCH(B1205,R_Schedule_Times,1)),Starting_Cash),IF(COUNTIFS(R_Schedule_Times,"&gt;"&amp;B1204,R_Schedule_Times,"&lt;"&amp;B1205),INDEX(R_Schedule_Amounts,MATCH(B1205,R_Schedule_Times,1)),K1204)),"")</f>
        <v>5120</v>
      </c>
      <c r="I1205" s="30">
        <f t="shared" si="90"/>
        <v>100</v>
      </c>
      <c r="J1205" s="31">
        <f t="shared" si="91"/>
        <v>3.5</v>
      </c>
      <c r="K1205" s="29">
        <f t="shared" si="92"/>
        <v>5020</v>
      </c>
      <c r="L1205" s="31" t="str">
        <f t="shared" si="93"/>
        <v/>
      </c>
      <c r="M1205" s="31" t="str">
        <f t="shared" si="94"/>
        <v/>
      </c>
    </row>
    <row r="1206" spans="1:13" x14ac:dyDescent="0.15">
      <c r="A1206" s="163" t="s">
        <v>210</v>
      </c>
      <c r="B1206" s="163">
        <v>42308.760149479167</v>
      </c>
      <c r="C1206" s="164" t="s">
        <v>14</v>
      </c>
      <c r="D1206" s="164" t="s">
        <v>13</v>
      </c>
      <c r="E1206" s="165">
        <v>200</v>
      </c>
      <c r="F1206" s="166">
        <v>3.5</v>
      </c>
      <c r="G1206" s="227">
        <f>IF($B$2,IF(ROWS(B$6:$B1206) = 1,$B1206-Start_Date,$B1206-$B1205),"")</f>
        <v>1.2650462966121268E-2</v>
      </c>
      <c r="H1206" s="29">
        <f>IF($B$2,IF(ROWS(B$6:$B1206) = 1,IF(COUNTIFS(R_Schedule_Times,"&lt;"&amp;B1206),INDEX(R_Schedule_Amounts,MATCH(B1206,R_Schedule_Times,1)),Starting_Cash),IF(COUNTIFS(R_Schedule_Times,"&gt;"&amp;B1205,R_Schedule_Times,"&lt;"&amp;B1206),INDEX(R_Schedule_Amounts,MATCH(B1206,R_Schedule_Times,1)),K1205)),"")</f>
        <v>5020</v>
      </c>
      <c r="I1206" s="30">
        <f t="shared" si="90"/>
        <v>200</v>
      </c>
      <c r="J1206" s="31">
        <f t="shared" si="91"/>
        <v>3.5</v>
      </c>
      <c r="K1206" s="29">
        <f t="shared" si="92"/>
        <v>4820</v>
      </c>
      <c r="L1206" s="31" t="str">
        <f t="shared" si="93"/>
        <v/>
      </c>
      <c r="M1206" s="31" t="str">
        <f t="shared" si="94"/>
        <v/>
      </c>
    </row>
    <row r="1207" spans="1:13" x14ac:dyDescent="0.15">
      <c r="A1207" s="163" t="s">
        <v>210</v>
      </c>
      <c r="B1207" s="163">
        <v>42308.796178298609</v>
      </c>
      <c r="C1207" s="164" t="s">
        <v>1424</v>
      </c>
      <c r="D1207" s="164" t="s">
        <v>13</v>
      </c>
      <c r="E1207" s="165">
        <v>40</v>
      </c>
      <c r="F1207" s="166">
        <v>0</v>
      </c>
      <c r="G1207" s="227">
        <f>IF($B$2,IF(ROWS(B$6:$B1207) = 1,$B1207-Start_Date,$B1207-$B1206),"")</f>
        <v>3.6028819442435633E-2</v>
      </c>
      <c r="H1207" s="29">
        <f>IF($B$2,IF(ROWS(B$6:$B1207) = 1,IF(COUNTIFS(R_Schedule_Times,"&lt;"&amp;B1207),INDEX(R_Schedule_Amounts,MATCH(B1207,R_Schedule_Times,1)),Starting_Cash),IF(COUNTIFS(R_Schedule_Times,"&gt;"&amp;B1206,R_Schedule_Times,"&lt;"&amp;B1207),INDEX(R_Schedule_Amounts,MATCH(B1207,R_Schedule_Times,1)),K1206)),"")</f>
        <v>4820</v>
      </c>
      <c r="I1207" s="30">
        <f t="shared" si="90"/>
        <v>40</v>
      </c>
      <c r="J1207" s="31">
        <f t="shared" si="91"/>
        <v>0</v>
      </c>
      <c r="K1207" s="29">
        <f t="shared" si="92"/>
        <v>4780</v>
      </c>
      <c r="L1207" s="31" t="str">
        <f t="shared" si="93"/>
        <v/>
      </c>
      <c r="M1207" s="31" t="str">
        <f t="shared" si="94"/>
        <v/>
      </c>
    </row>
    <row r="1208" spans="1:13" x14ac:dyDescent="0.15">
      <c r="A1208" s="163" t="s">
        <v>210</v>
      </c>
      <c r="B1208" s="163">
        <v>42308.813482523146</v>
      </c>
      <c r="C1208" s="164" t="s">
        <v>1425</v>
      </c>
      <c r="D1208" s="164" t="s">
        <v>13</v>
      </c>
      <c r="E1208" s="165">
        <v>100</v>
      </c>
      <c r="F1208" s="166">
        <v>0</v>
      </c>
      <c r="G1208" s="227">
        <f>IF($B$2,IF(ROWS(B$6:$B1208) = 1,$B1208-Start_Date,$B1208-$B1207),"")</f>
        <v>1.7304224536928814E-2</v>
      </c>
      <c r="H1208" s="29">
        <f>IF($B$2,IF(ROWS(B$6:$B1208) = 1,IF(COUNTIFS(R_Schedule_Times,"&lt;"&amp;B1208),INDEX(R_Schedule_Amounts,MATCH(B1208,R_Schedule_Times,1)),Starting_Cash),IF(COUNTIFS(R_Schedule_Times,"&gt;"&amp;B1207,R_Schedule_Times,"&lt;"&amp;B1208),INDEX(R_Schedule_Amounts,MATCH(B1208,R_Schedule_Times,1)),K1207)),"")</f>
        <v>4780</v>
      </c>
      <c r="I1208" s="30">
        <f t="shared" si="90"/>
        <v>100</v>
      </c>
      <c r="J1208" s="31">
        <f t="shared" si="91"/>
        <v>0</v>
      </c>
      <c r="K1208" s="29">
        <f t="shared" si="92"/>
        <v>4680</v>
      </c>
      <c r="L1208" s="31" t="str">
        <f t="shared" si="93"/>
        <v/>
      </c>
      <c r="M1208" s="31" t="str">
        <f t="shared" si="94"/>
        <v/>
      </c>
    </row>
    <row r="1209" spans="1:13" x14ac:dyDescent="0.15">
      <c r="A1209" s="163" t="s">
        <v>210</v>
      </c>
      <c r="B1209" s="163">
        <v>42308.822792743056</v>
      </c>
      <c r="C1209" s="164" t="s">
        <v>14</v>
      </c>
      <c r="D1209" s="164" t="s">
        <v>13</v>
      </c>
      <c r="E1209" s="165">
        <v>100</v>
      </c>
      <c r="F1209" s="166">
        <v>3.5</v>
      </c>
      <c r="G1209" s="227">
        <f>IF($B$2,IF(ROWS(B$6:$B1209) = 1,$B1209-Start_Date,$B1209-$B1208),"")</f>
        <v>9.3102199098211713E-3</v>
      </c>
      <c r="H1209" s="29">
        <f>IF($B$2,IF(ROWS(B$6:$B1209) = 1,IF(COUNTIFS(R_Schedule_Times,"&lt;"&amp;B1209),INDEX(R_Schedule_Amounts,MATCH(B1209,R_Schedule_Times,1)),Starting_Cash),IF(COUNTIFS(R_Schedule_Times,"&gt;"&amp;B1208,R_Schedule_Times,"&lt;"&amp;B1209),INDEX(R_Schedule_Amounts,MATCH(B1209,R_Schedule_Times,1)),K1208)),"")</f>
        <v>4680</v>
      </c>
      <c r="I1209" s="30">
        <f t="shared" si="90"/>
        <v>100</v>
      </c>
      <c r="J1209" s="31">
        <f t="shared" si="91"/>
        <v>3.5</v>
      </c>
      <c r="K1209" s="29">
        <f t="shared" si="92"/>
        <v>4580</v>
      </c>
      <c r="L1209" s="31" t="str">
        <f t="shared" si="93"/>
        <v/>
      </c>
      <c r="M1209" s="31" t="str">
        <f t="shared" si="94"/>
        <v/>
      </c>
    </row>
    <row r="1210" spans="1:13" x14ac:dyDescent="0.15">
      <c r="A1210" s="163" t="s">
        <v>210</v>
      </c>
      <c r="B1210" s="163">
        <v>42308.876256967589</v>
      </c>
      <c r="C1210" s="164" t="s">
        <v>1218</v>
      </c>
      <c r="D1210" s="164" t="s">
        <v>13</v>
      </c>
      <c r="E1210" s="165">
        <v>100</v>
      </c>
      <c r="F1210" s="166">
        <v>0</v>
      </c>
      <c r="G1210" s="227">
        <f>IF($B$2,IF(ROWS(B$6:$B1210) = 1,$B1210-Start_Date,$B1210-$B1209),"")</f>
        <v>5.3464224532945082E-2</v>
      </c>
      <c r="H1210" s="29">
        <f>IF($B$2,IF(ROWS(B$6:$B1210) = 1,IF(COUNTIFS(R_Schedule_Times,"&lt;"&amp;B1210),INDEX(R_Schedule_Amounts,MATCH(B1210,R_Schedule_Times,1)),Starting_Cash),IF(COUNTIFS(R_Schedule_Times,"&gt;"&amp;B1209,R_Schedule_Times,"&lt;"&amp;B1210),INDEX(R_Schedule_Amounts,MATCH(B1210,R_Schedule_Times,1)),K1209)),"")</f>
        <v>4580</v>
      </c>
      <c r="I1210" s="30">
        <f t="shared" si="90"/>
        <v>100</v>
      </c>
      <c r="J1210" s="31">
        <f t="shared" si="91"/>
        <v>0</v>
      </c>
      <c r="K1210" s="29">
        <f t="shared" si="92"/>
        <v>4480</v>
      </c>
      <c r="L1210" s="31" t="str">
        <f t="shared" si="93"/>
        <v/>
      </c>
      <c r="M1210" s="31" t="str">
        <f t="shared" si="94"/>
        <v/>
      </c>
    </row>
    <row r="1211" spans="1:13" x14ac:dyDescent="0.15">
      <c r="A1211" s="163" t="s">
        <v>210</v>
      </c>
      <c r="B1211" s="163">
        <v>42308.889190509261</v>
      </c>
      <c r="C1211" s="164" t="s">
        <v>1375</v>
      </c>
      <c r="D1211" s="164" t="s">
        <v>13</v>
      </c>
      <c r="E1211" s="165">
        <v>40</v>
      </c>
      <c r="F1211" s="166">
        <v>0</v>
      </c>
      <c r="G1211" s="227">
        <f>IF($B$2,IF(ROWS(B$6:$B1211) = 1,$B1211-Start_Date,$B1211-$B1210),"")</f>
        <v>1.293354167137295E-2</v>
      </c>
      <c r="H1211" s="29">
        <f>IF($B$2,IF(ROWS(B$6:$B1211) = 1,IF(COUNTIFS(R_Schedule_Times,"&lt;"&amp;B1211),INDEX(R_Schedule_Amounts,MATCH(B1211,R_Schedule_Times,1)),Starting_Cash),IF(COUNTIFS(R_Schedule_Times,"&gt;"&amp;B1210,R_Schedule_Times,"&lt;"&amp;B1211),INDEX(R_Schedule_Amounts,MATCH(B1211,R_Schedule_Times,1)),K1210)),"")</f>
        <v>4480</v>
      </c>
      <c r="I1211" s="30">
        <f t="shared" si="90"/>
        <v>40</v>
      </c>
      <c r="J1211" s="31">
        <f t="shared" si="91"/>
        <v>0</v>
      </c>
      <c r="K1211" s="29">
        <f t="shared" si="92"/>
        <v>4440</v>
      </c>
      <c r="L1211" s="31" t="str">
        <f t="shared" si="93"/>
        <v/>
      </c>
      <c r="M1211" s="31" t="str">
        <f t="shared" si="94"/>
        <v/>
      </c>
    </row>
    <row r="1212" spans="1:13" x14ac:dyDescent="0.15">
      <c r="A1212" s="163" t="s">
        <v>210</v>
      </c>
      <c r="B1212" s="163">
        <v>42308.923214872688</v>
      </c>
      <c r="C1212" s="164" t="s">
        <v>1426</v>
      </c>
      <c r="D1212" s="164" t="s">
        <v>13</v>
      </c>
      <c r="E1212" s="165">
        <v>320</v>
      </c>
      <c r="F1212" s="166">
        <v>0</v>
      </c>
      <c r="G1212" s="227">
        <f>IF($B$2,IF(ROWS(B$6:$B1212) = 1,$B1212-Start_Date,$B1212-$B1211),"")</f>
        <v>3.4024363427306525E-2</v>
      </c>
      <c r="H1212" s="29">
        <f>IF($B$2,IF(ROWS(B$6:$B1212) = 1,IF(COUNTIFS(R_Schedule_Times,"&lt;"&amp;B1212),INDEX(R_Schedule_Amounts,MATCH(B1212,R_Schedule_Times,1)),Starting_Cash),IF(COUNTIFS(R_Schedule_Times,"&gt;"&amp;B1211,R_Schedule_Times,"&lt;"&amp;B1212),INDEX(R_Schedule_Amounts,MATCH(B1212,R_Schedule_Times,1)),K1211)),"")</f>
        <v>4440</v>
      </c>
      <c r="I1212" s="30">
        <f t="shared" si="90"/>
        <v>320</v>
      </c>
      <c r="J1212" s="31">
        <f t="shared" si="91"/>
        <v>0</v>
      </c>
      <c r="K1212" s="29">
        <f t="shared" si="92"/>
        <v>4120</v>
      </c>
      <c r="L1212" s="31" t="str">
        <f t="shared" si="93"/>
        <v/>
      </c>
      <c r="M1212" s="31" t="str">
        <f t="shared" si="94"/>
        <v/>
      </c>
    </row>
    <row r="1213" spans="1:13" x14ac:dyDescent="0.15">
      <c r="A1213" s="163" t="s">
        <v>210</v>
      </c>
      <c r="B1213" s="163">
        <v>42308.937959791663</v>
      </c>
      <c r="C1213" s="164" t="s">
        <v>1427</v>
      </c>
      <c r="D1213" s="164" t="s">
        <v>13</v>
      </c>
      <c r="E1213" s="165">
        <v>40</v>
      </c>
      <c r="F1213" s="166">
        <v>0</v>
      </c>
      <c r="G1213" s="227">
        <f>IF($B$2,IF(ROWS(B$6:$B1213) = 1,$B1213-Start_Date,$B1213-$B1212),"")</f>
        <v>1.4744918975338805E-2</v>
      </c>
      <c r="H1213" s="29">
        <f>IF($B$2,IF(ROWS(B$6:$B1213) = 1,IF(COUNTIFS(R_Schedule_Times,"&lt;"&amp;B1213),INDEX(R_Schedule_Amounts,MATCH(B1213,R_Schedule_Times,1)),Starting_Cash),IF(COUNTIFS(R_Schedule_Times,"&gt;"&amp;B1212,R_Schedule_Times,"&lt;"&amp;B1213),INDEX(R_Schedule_Amounts,MATCH(B1213,R_Schedule_Times,1)),K1212)),"")</f>
        <v>4120</v>
      </c>
      <c r="I1213" s="30">
        <f t="shared" si="90"/>
        <v>40</v>
      </c>
      <c r="J1213" s="31">
        <f t="shared" si="91"/>
        <v>0</v>
      </c>
      <c r="K1213" s="29">
        <f t="shared" si="92"/>
        <v>4080</v>
      </c>
      <c r="L1213" s="31" t="str">
        <f t="shared" si="93"/>
        <v/>
      </c>
      <c r="M1213" s="31" t="str">
        <f t="shared" si="94"/>
        <v/>
      </c>
    </row>
    <row r="1214" spans="1:13" x14ac:dyDescent="0.15">
      <c r="A1214" s="163" t="s">
        <v>210</v>
      </c>
      <c r="B1214" s="163">
        <v>42309.397056550923</v>
      </c>
      <c r="C1214" s="164" t="s">
        <v>1428</v>
      </c>
      <c r="D1214" s="164" t="s">
        <v>13</v>
      </c>
      <c r="E1214" s="165">
        <v>60</v>
      </c>
      <c r="F1214" s="166">
        <v>0</v>
      </c>
      <c r="G1214" s="227">
        <f>IF($B$2,IF(ROWS(B$6:$B1214) = 1,$B1214-Start_Date,$B1214-$B1213),"")</f>
        <v>0.45909675925940974</v>
      </c>
      <c r="H1214" s="29">
        <f>IF($B$2,IF(ROWS(B$6:$B1214) = 1,IF(COUNTIFS(R_Schedule_Times,"&lt;"&amp;B1214),INDEX(R_Schedule_Amounts,MATCH(B1214,R_Schedule_Times,1)),Starting_Cash),IF(COUNTIFS(R_Schedule_Times,"&gt;"&amp;B1213,R_Schedule_Times,"&lt;"&amp;B1214),INDEX(R_Schedule_Amounts,MATCH(B1214,R_Schedule_Times,1)),K1213)),"")</f>
        <v>4080</v>
      </c>
      <c r="I1214" s="30">
        <f t="shared" si="90"/>
        <v>60</v>
      </c>
      <c r="J1214" s="31">
        <f t="shared" si="91"/>
        <v>0</v>
      </c>
      <c r="K1214" s="29">
        <f t="shared" si="92"/>
        <v>4020</v>
      </c>
      <c r="L1214" s="31" t="str">
        <f t="shared" si="93"/>
        <v/>
      </c>
      <c r="M1214" s="31" t="str">
        <f t="shared" si="94"/>
        <v/>
      </c>
    </row>
    <row r="1215" spans="1:13" x14ac:dyDescent="0.15">
      <c r="A1215" s="163" t="s">
        <v>210</v>
      </c>
      <c r="B1215" s="163">
        <v>42309.421230092594</v>
      </c>
      <c r="C1215" s="164" t="s">
        <v>1429</v>
      </c>
      <c r="D1215" s="164" t="s">
        <v>13</v>
      </c>
      <c r="E1215" s="165">
        <v>40</v>
      </c>
      <c r="F1215" s="166">
        <v>0</v>
      </c>
      <c r="G1215" s="227">
        <f>IF($B$2,IF(ROWS(B$6:$B1215) = 1,$B1215-Start_Date,$B1215-$B1214),"")</f>
        <v>2.4173541671189014E-2</v>
      </c>
      <c r="H1215" s="29">
        <f>IF($B$2,IF(ROWS(B$6:$B1215) = 1,IF(COUNTIFS(R_Schedule_Times,"&lt;"&amp;B1215),INDEX(R_Schedule_Amounts,MATCH(B1215,R_Schedule_Times,1)),Starting_Cash),IF(COUNTIFS(R_Schedule_Times,"&gt;"&amp;B1214,R_Schedule_Times,"&lt;"&amp;B1215),INDEX(R_Schedule_Amounts,MATCH(B1215,R_Schedule_Times,1)),K1214)),"")</f>
        <v>4020</v>
      </c>
      <c r="I1215" s="30">
        <f t="shared" si="90"/>
        <v>40</v>
      </c>
      <c r="J1215" s="31">
        <f t="shared" si="91"/>
        <v>0</v>
      </c>
      <c r="K1215" s="29">
        <f t="shared" si="92"/>
        <v>3980</v>
      </c>
      <c r="L1215" s="31" t="str">
        <f t="shared" si="93"/>
        <v/>
      </c>
      <c r="M1215" s="31" t="str">
        <f t="shared" si="94"/>
        <v/>
      </c>
    </row>
    <row r="1216" spans="1:13" x14ac:dyDescent="0.15">
      <c r="A1216" s="163" t="s">
        <v>210</v>
      </c>
      <c r="B1216" s="163">
        <v>42309.451609675925</v>
      </c>
      <c r="C1216" s="164" t="s">
        <v>395</v>
      </c>
      <c r="D1216" s="164" t="s">
        <v>13</v>
      </c>
      <c r="E1216" s="165">
        <v>100</v>
      </c>
      <c r="F1216" s="166">
        <v>0</v>
      </c>
      <c r="G1216" s="227">
        <f>IF($B$2,IF(ROWS(B$6:$B1216) = 1,$B1216-Start_Date,$B1216-$B1215),"")</f>
        <v>3.0379583331523463E-2</v>
      </c>
      <c r="H1216" s="29">
        <f>IF($B$2,IF(ROWS(B$6:$B1216) = 1,IF(COUNTIFS(R_Schedule_Times,"&lt;"&amp;B1216),INDEX(R_Schedule_Amounts,MATCH(B1216,R_Schedule_Times,1)),Starting_Cash),IF(COUNTIFS(R_Schedule_Times,"&gt;"&amp;B1215,R_Schedule_Times,"&lt;"&amp;B1216),INDEX(R_Schedule_Amounts,MATCH(B1216,R_Schedule_Times,1)),K1215)),"")</f>
        <v>3980</v>
      </c>
      <c r="I1216" s="30">
        <f t="shared" si="90"/>
        <v>100</v>
      </c>
      <c r="J1216" s="31">
        <f t="shared" si="91"/>
        <v>0</v>
      </c>
      <c r="K1216" s="29">
        <f t="shared" si="92"/>
        <v>3880</v>
      </c>
      <c r="L1216" s="31" t="str">
        <f t="shared" si="93"/>
        <v/>
      </c>
      <c r="M1216" s="31" t="str">
        <f t="shared" si="94"/>
        <v/>
      </c>
    </row>
    <row r="1217" spans="1:13" x14ac:dyDescent="0.15">
      <c r="A1217" s="163" t="s">
        <v>210</v>
      </c>
      <c r="B1217" s="163">
        <v>42309.469056678237</v>
      </c>
      <c r="C1217" s="164" t="s">
        <v>1430</v>
      </c>
      <c r="D1217" s="164" t="s">
        <v>13</v>
      </c>
      <c r="E1217" s="165">
        <v>100</v>
      </c>
      <c r="F1217" s="166">
        <v>0</v>
      </c>
      <c r="G1217" s="227">
        <f>IF($B$2,IF(ROWS(B$6:$B1217) = 1,$B1217-Start_Date,$B1217-$B1216),"")</f>
        <v>1.7447002312110271E-2</v>
      </c>
      <c r="H1217" s="29">
        <f>IF($B$2,IF(ROWS(B$6:$B1217) = 1,IF(COUNTIFS(R_Schedule_Times,"&lt;"&amp;B1217),INDEX(R_Schedule_Amounts,MATCH(B1217,R_Schedule_Times,1)),Starting_Cash),IF(COUNTIFS(R_Schedule_Times,"&gt;"&amp;B1216,R_Schedule_Times,"&lt;"&amp;B1217),INDEX(R_Schedule_Amounts,MATCH(B1217,R_Schedule_Times,1)),K1216)),"")</f>
        <v>3880</v>
      </c>
      <c r="I1217" s="30">
        <f t="shared" si="90"/>
        <v>100</v>
      </c>
      <c r="J1217" s="31">
        <f t="shared" si="91"/>
        <v>0</v>
      </c>
      <c r="K1217" s="29">
        <f t="shared" si="92"/>
        <v>3780</v>
      </c>
      <c r="L1217" s="31" t="str">
        <f t="shared" si="93"/>
        <v/>
      </c>
      <c r="M1217" s="31" t="str">
        <f t="shared" si="94"/>
        <v/>
      </c>
    </row>
    <row r="1218" spans="1:13" x14ac:dyDescent="0.15">
      <c r="A1218" s="163" t="s">
        <v>210</v>
      </c>
      <c r="B1218" s="163">
        <v>42309.504895347221</v>
      </c>
      <c r="C1218" s="164" t="s">
        <v>14</v>
      </c>
      <c r="D1218" s="164" t="s">
        <v>13</v>
      </c>
      <c r="E1218" s="165">
        <v>200</v>
      </c>
      <c r="F1218" s="166">
        <v>3.5</v>
      </c>
      <c r="G1218" s="227">
        <f>IF($B$2,IF(ROWS(B$6:$B1218) = 1,$B1218-Start_Date,$B1218-$B1217),"")</f>
        <v>3.5838668984069955E-2</v>
      </c>
      <c r="H1218" s="29">
        <f>IF($B$2,IF(ROWS(B$6:$B1218) = 1,IF(COUNTIFS(R_Schedule_Times,"&lt;"&amp;B1218),INDEX(R_Schedule_Amounts,MATCH(B1218,R_Schedule_Times,1)),Starting_Cash),IF(COUNTIFS(R_Schedule_Times,"&gt;"&amp;B1217,R_Schedule_Times,"&lt;"&amp;B1218),INDEX(R_Schedule_Amounts,MATCH(B1218,R_Schedule_Times,1)),K1217)),"")</f>
        <v>3780</v>
      </c>
      <c r="I1218" s="30">
        <f t="shared" si="90"/>
        <v>200</v>
      </c>
      <c r="J1218" s="31">
        <f t="shared" si="91"/>
        <v>3.5</v>
      </c>
      <c r="K1218" s="29">
        <f t="shared" si="92"/>
        <v>3580</v>
      </c>
      <c r="L1218" s="31" t="str">
        <f t="shared" si="93"/>
        <v/>
      </c>
      <c r="M1218" s="31" t="str">
        <f t="shared" si="94"/>
        <v/>
      </c>
    </row>
    <row r="1219" spans="1:13" x14ac:dyDescent="0.15">
      <c r="A1219" s="163" t="s">
        <v>210</v>
      </c>
      <c r="B1219" s="163">
        <v>42309.532642627317</v>
      </c>
      <c r="C1219" s="164" t="s">
        <v>192</v>
      </c>
      <c r="D1219" s="164" t="s">
        <v>13</v>
      </c>
      <c r="E1219" s="165">
        <v>100</v>
      </c>
      <c r="F1219" s="166">
        <v>0</v>
      </c>
      <c r="G1219" s="227">
        <f>IF($B$2,IF(ROWS(B$6:$B1219) = 1,$B1219-Start_Date,$B1219-$B1218),"")</f>
        <v>2.7747280095354654E-2</v>
      </c>
      <c r="H1219" s="29">
        <f>IF($B$2,IF(ROWS(B$6:$B1219) = 1,IF(COUNTIFS(R_Schedule_Times,"&lt;"&amp;B1219),INDEX(R_Schedule_Amounts,MATCH(B1219,R_Schedule_Times,1)),Starting_Cash),IF(COUNTIFS(R_Schedule_Times,"&gt;"&amp;B1218,R_Schedule_Times,"&lt;"&amp;B1219),INDEX(R_Schedule_Amounts,MATCH(B1219,R_Schedule_Times,1)),K1218)),"")</f>
        <v>3580</v>
      </c>
      <c r="I1219" s="30">
        <f t="shared" si="90"/>
        <v>100</v>
      </c>
      <c r="J1219" s="31">
        <f t="shared" si="91"/>
        <v>0</v>
      </c>
      <c r="K1219" s="29">
        <f t="shared" si="92"/>
        <v>3480</v>
      </c>
      <c r="L1219" s="31" t="str">
        <f t="shared" si="93"/>
        <v/>
      </c>
      <c r="M1219" s="31" t="str">
        <f t="shared" si="94"/>
        <v/>
      </c>
    </row>
    <row r="1220" spans="1:13" x14ac:dyDescent="0.15">
      <c r="A1220" s="163" t="s">
        <v>210</v>
      </c>
      <c r="B1220" s="163">
        <v>42309.541921840275</v>
      </c>
      <c r="C1220" s="164" t="s">
        <v>1431</v>
      </c>
      <c r="D1220" s="164" t="s">
        <v>13</v>
      </c>
      <c r="E1220" s="165">
        <v>40</v>
      </c>
      <c r="F1220" s="166">
        <v>0</v>
      </c>
      <c r="G1220" s="227">
        <f>IF($B$2,IF(ROWS(B$6:$B1220) = 1,$B1220-Start_Date,$B1220-$B1219),"")</f>
        <v>9.279212958062999E-3</v>
      </c>
      <c r="H1220" s="29">
        <f>IF($B$2,IF(ROWS(B$6:$B1220) = 1,IF(COUNTIFS(R_Schedule_Times,"&lt;"&amp;B1220),INDEX(R_Schedule_Amounts,MATCH(B1220,R_Schedule_Times,1)),Starting_Cash),IF(COUNTIFS(R_Schedule_Times,"&gt;"&amp;B1219,R_Schedule_Times,"&lt;"&amp;B1220),INDEX(R_Schedule_Amounts,MATCH(B1220,R_Schedule_Times,1)),K1219)),"")</f>
        <v>3480</v>
      </c>
      <c r="I1220" s="30">
        <f t="shared" si="90"/>
        <v>40</v>
      </c>
      <c r="J1220" s="31">
        <f t="shared" si="91"/>
        <v>0</v>
      </c>
      <c r="K1220" s="29">
        <f t="shared" si="92"/>
        <v>3440</v>
      </c>
      <c r="L1220" s="31" t="str">
        <f t="shared" si="93"/>
        <v/>
      </c>
      <c r="M1220" s="31" t="str">
        <f t="shared" si="94"/>
        <v/>
      </c>
    </row>
    <row r="1221" spans="1:13" x14ac:dyDescent="0.15">
      <c r="A1221" s="163" t="s">
        <v>210</v>
      </c>
      <c r="B1221" s="163">
        <v>42309.543247314818</v>
      </c>
      <c r="C1221" s="164" t="s">
        <v>14</v>
      </c>
      <c r="D1221" s="164" t="s">
        <v>15</v>
      </c>
      <c r="E1221" s="165">
        <v>40</v>
      </c>
      <c r="F1221" s="166">
        <v>3.7</v>
      </c>
      <c r="G1221" s="227">
        <f>IF($B$2,IF(ROWS(B$6:$B1221) = 1,$B1221-Start_Date,$B1221-$B1220),"")</f>
        <v>1.3254745426820591E-3</v>
      </c>
      <c r="H1221" s="29">
        <f>IF($B$2,IF(ROWS(B$6:$B1221) = 1,IF(COUNTIFS(R_Schedule_Times,"&lt;"&amp;B1221),INDEX(R_Schedule_Amounts,MATCH(B1221,R_Schedule_Times,1)),Starting_Cash),IF(COUNTIFS(R_Schedule_Times,"&gt;"&amp;B1220,R_Schedule_Times,"&lt;"&amp;B1221),INDEX(R_Schedule_Amounts,MATCH(B1221,R_Schedule_Times,1)),K1220)),"")</f>
        <v>3440</v>
      </c>
      <c r="I1221" s="30">
        <f t="shared" si="90"/>
        <v>40</v>
      </c>
      <c r="J1221" s="31">
        <f t="shared" si="91"/>
        <v>3.7</v>
      </c>
      <c r="K1221" s="29">
        <f t="shared" si="92"/>
        <v>3400</v>
      </c>
      <c r="L1221" s="31" t="str">
        <f t="shared" si="93"/>
        <v/>
      </c>
      <c r="M1221" s="31" t="str">
        <f t="shared" si="94"/>
        <v/>
      </c>
    </row>
    <row r="1222" spans="1:13" x14ac:dyDescent="0.15">
      <c r="A1222" s="163" t="s">
        <v>210</v>
      </c>
      <c r="B1222" s="163">
        <v>42309.543848379632</v>
      </c>
      <c r="C1222" s="164" t="s">
        <v>14</v>
      </c>
      <c r="D1222" s="164" t="s">
        <v>13</v>
      </c>
      <c r="E1222" s="165">
        <v>100</v>
      </c>
      <c r="F1222" s="166">
        <v>3.5</v>
      </c>
      <c r="G1222" s="227">
        <f>IF($B$2,IF(ROWS(B$6:$B1222) = 1,$B1222-Start_Date,$B1222-$B1221),"")</f>
        <v>6.0106481396360323E-4</v>
      </c>
      <c r="H1222" s="29">
        <f>IF($B$2,IF(ROWS(B$6:$B1222) = 1,IF(COUNTIFS(R_Schedule_Times,"&lt;"&amp;B1222),INDEX(R_Schedule_Amounts,MATCH(B1222,R_Schedule_Times,1)),Starting_Cash),IF(COUNTIFS(R_Schedule_Times,"&gt;"&amp;B1221,R_Schedule_Times,"&lt;"&amp;B1222),INDEX(R_Schedule_Amounts,MATCH(B1222,R_Schedule_Times,1)),K1221)),"")</f>
        <v>3400</v>
      </c>
      <c r="I1222" s="30">
        <f t="shared" si="90"/>
        <v>100</v>
      </c>
      <c r="J1222" s="31">
        <f t="shared" si="91"/>
        <v>3.5</v>
      </c>
      <c r="K1222" s="29">
        <f t="shared" si="92"/>
        <v>3300</v>
      </c>
      <c r="L1222" s="31" t="str">
        <f t="shared" si="93"/>
        <v/>
      </c>
      <c r="M1222" s="31" t="str">
        <f t="shared" si="94"/>
        <v/>
      </c>
    </row>
    <row r="1223" spans="1:13" x14ac:dyDescent="0.15">
      <c r="A1223" s="163" t="s">
        <v>210</v>
      </c>
      <c r="B1223" s="163">
        <v>42309.547651354165</v>
      </c>
      <c r="C1223" s="164" t="s">
        <v>1432</v>
      </c>
      <c r="D1223" s="164" t="s">
        <v>13</v>
      </c>
      <c r="E1223" s="165">
        <v>100</v>
      </c>
      <c r="F1223" s="166">
        <v>0</v>
      </c>
      <c r="G1223" s="227">
        <f>IF($B$2,IF(ROWS(B$6:$B1223) = 1,$B1223-Start_Date,$B1223-$B1222),"")</f>
        <v>3.8029745337553322E-3</v>
      </c>
      <c r="H1223" s="29">
        <f>IF($B$2,IF(ROWS(B$6:$B1223) = 1,IF(COUNTIFS(R_Schedule_Times,"&lt;"&amp;B1223),INDEX(R_Schedule_Amounts,MATCH(B1223,R_Schedule_Times,1)),Starting_Cash),IF(COUNTIFS(R_Schedule_Times,"&gt;"&amp;B1222,R_Schedule_Times,"&lt;"&amp;B1223),INDEX(R_Schedule_Amounts,MATCH(B1223,R_Schedule_Times,1)),K1222)),"")</f>
        <v>3300</v>
      </c>
      <c r="I1223" s="30">
        <f t="shared" ref="I1223:I1286" si="95">IF($B$2,IF(H1223&gt;=E1223,E1223,0),"")</f>
        <v>100</v>
      </c>
      <c r="J1223" s="31">
        <f t="shared" ref="J1223:J1286" si="96">IF($B$2,IF(H1223&gt;=E1223,F1223,0),"")</f>
        <v>0</v>
      </c>
      <c r="K1223" s="29">
        <f t="shared" ref="K1223:K1286" si="97">IF($B$2,ABS(I1223-H1223),"")</f>
        <v>3200</v>
      </c>
      <c r="L1223" s="31" t="str">
        <f t="shared" ref="L1223:L1286" si="98">IF($B$2,IF(H1223&lt;E1223,"YES",""),"")</f>
        <v/>
      </c>
      <c r="M1223" s="31" t="str">
        <f t="shared" ref="M1223:M1286" si="99">IF($B$2,IF(L1223="YES",F1223,""),"")</f>
        <v/>
      </c>
    </row>
    <row r="1224" spans="1:13" x14ac:dyDescent="0.15">
      <c r="A1224" s="163" t="s">
        <v>210</v>
      </c>
      <c r="B1224" s="163">
        <v>42309.552081747686</v>
      </c>
      <c r="C1224" s="164" t="s">
        <v>1101</v>
      </c>
      <c r="D1224" s="164" t="s">
        <v>13</v>
      </c>
      <c r="E1224" s="165">
        <v>140</v>
      </c>
      <c r="F1224" s="166">
        <v>0</v>
      </c>
      <c r="G1224" s="227">
        <f>IF($B$2,IF(ROWS(B$6:$B1224) = 1,$B1224-Start_Date,$B1224-$B1223),"")</f>
        <v>4.4303935210336931E-3</v>
      </c>
      <c r="H1224" s="29">
        <f>IF($B$2,IF(ROWS(B$6:$B1224) = 1,IF(COUNTIFS(R_Schedule_Times,"&lt;"&amp;B1224),INDEX(R_Schedule_Amounts,MATCH(B1224,R_Schedule_Times,1)),Starting_Cash),IF(COUNTIFS(R_Schedule_Times,"&gt;"&amp;B1223,R_Schedule_Times,"&lt;"&amp;B1224),INDEX(R_Schedule_Amounts,MATCH(B1224,R_Schedule_Times,1)),K1223)),"")</f>
        <v>3200</v>
      </c>
      <c r="I1224" s="30">
        <f t="shared" si="95"/>
        <v>140</v>
      </c>
      <c r="J1224" s="31">
        <f t="shared" si="96"/>
        <v>0</v>
      </c>
      <c r="K1224" s="29">
        <f t="shared" si="97"/>
        <v>3060</v>
      </c>
      <c r="L1224" s="31" t="str">
        <f t="shared" si="98"/>
        <v/>
      </c>
      <c r="M1224" s="31" t="str">
        <f t="shared" si="99"/>
        <v/>
      </c>
    </row>
    <row r="1225" spans="1:13" x14ac:dyDescent="0.15">
      <c r="A1225" s="163" t="s">
        <v>210</v>
      </c>
      <c r="B1225" s="163">
        <v>42309.552775810182</v>
      </c>
      <c r="C1225" s="164" t="s">
        <v>14</v>
      </c>
      <c r="D1225" s="164" t="s">
        <v>13</v>
      </c>
      <c r="E1225" s="165">
        <v>100</v>
      </c>
      <c r="F1225" s="166">
        <v>3.5</v>
      </c>
      <c r="G1225" s="227">
        <f>IF($B$2,IF(ROWS(B$6:$B1225) = 1,$B1225-Start_Date,$B1225-$B1224),"")</f>
        <v>6.9406249531311914E-4</v>
      </c>
      <c r="H1225" s="29">
        <f>IF($B$2,IF(ROWS(B$6:$B1225) = 1,IF(COUNTIFS(R_Schedule_Times,"&lt;"&amp;B1225),INDEX(R_Schedule_Amounts,MATCH(B1225,R_Schedule_Times,1)),Starting_Cash),IF(COUNTIFS(R_Schedule_Times,"&gt;"&amp;B1224,R_Schedule_Times,"&lt;"&amp;B1225),INDEX(R_Schedule_Amounts,MATCH(B1225,R_Schedule_Times,1)),K1224)),"")</f>
        <v>3060</v>
      </c>
      <c r="I1225" s="30">
        <f t="shared" si="95"/>
        <v>100</v>
      </c>
      <c r="J1225" s="31">
        <f t="shared" si="96"/>
        <v>3.5</v>
      </c>
      <c r="K1225" s="29">
        <f t="shared" si="97"/>
        <v>2960</v>
      </c>
      <c r="L1225" s="31" t="str">
        <f t="shared" si="98"/>
        <v/>
      </c>
      <c r="M1225" s="31" t="str">
        <f t="shared" si="99"/>
        <v/>
      </c>
    </row>
    <row r="1226" spans="1:13" x14ac:dyDescent="0.15">
      <c r="A1226" s="163" t="s">
        <v>210</v>
      </c>
      <c r="B1226" s="163">
        <v>42309.574824374999</v>
      </c>
      <c r="C1226" s="164" t="s">
        <v>1264</v>
      </c>
      <c r="D1226" s="164" t="s">
        <v>13</v>
      </c>
      <c r="E1226" s="165">
        <v>120</v>
      </c>
      <c r="F1226" s="166">
        <v>0</v>
      </c>
      <c r="G1226" s="227">
        <f>IF($B$2,IF(ROWS(B$6:$B1226) = 1,$B1226-Start_Date,$B1226-$B1225),"")</f>
        <v>2.2048564816941507E-2</v>
      </c>
      <c r="H1226" s="29">
        <f>IF($B$2,IF(ROWS(B$6:$B1226) = 1,IF(COUNTIFS(R_Schedule_Times,"&lt;"&amp;B1226),INDEX(R_Schedule_Amounts,MATCH(B1226,R_Schedule_Times,1)),Starting_Cash),IF(COUNTIFS(R_Schedule_Times,"&gt;"&amp;B1225,R_Schedule_Times,"&lt;"&amp;B1226),INDEX(R_Schedule_Amounts,MATCH(B1226,R_Schedule_Times,1)),K1225)),"")</f>
        <v>2960</v>
      </c>
      <c r="I1226" s="30">
        <f t="shared" si="95"/>
        <v>120</v>
      </c>
      <c r="J1226" s="31">
        <f t="shared" si="96"/>
        <v>0</v>
      </c>
      <c r="K1226" s="29">
        <f t="shared" si="97"/>
        <v>2840</v>
      </c>
      <c r="L1226" s="31" t="str">
        <f t="shared" si="98"/>
        <v/>
      </c>
      <c r="M1226" s="31" t="str">
        <f t="shared" si="99"/>
        <v/>
      </c>
    </row>
    <row r="1227" spans="1:13" x14ac:dyDescent="0.15">
      <c r="A1227" s="163" t="s">
        <v>210</v>
      </c>
      <c r="B1227" s="163">
        <v>42309.579249456016</v>
      </c>
      <c r="C1227" s="164" t="s">
        <v>1433</v>
      </c>
      <c r="D1227" s="164" t="s">
        <v>13</v>
      </c>
      <c r="E1227" s="165">
        <v>100</v>
      </c>
      <c r="F1227" s="166">
        <v>0</v>
      </c>
      <c r="G1227" s="227">
        <f>IF($B$2,IF(ROWS(B$6:$B1227) = 1,$B1227-Start_Date,$B1227-$B1226),"")</f>
        <v>4.4250810169614851E-3</v>
      </c>
      <c r="H1227" s="29">
        <f>IF($B$2,IF(ROWS(B$6:$B1227) = 1,IF(COUNTIFS(R_Schedule_Times,"&lt;"&amp;B1227),INDEX(R_Schedule_Amounts,MATCH(B1227,R_Schedule_Times,1)),Starting_Cash),IF(COUNTIFS(R_Schedule_Times,"&gt;"&amp;B1226,R_Schedule_Times,"&lt;"&amp;B1227),INDEX(R_Schedule_Amounts,MATCH(B1227,R_Schedule_Times,1)),K1226)),"")</f>
        <v>2840</v>
      </c>
      <c r="I1227" s="30">
        <f t="shared" si="95"/>
        <v>100</v>
      </c>
      <c r="J1227" s="31">
        <f t="shared" si="96"/>
        <v>0</v>
      </c>
      <c r="K1227" s="29">
        <f t="shared" si="97"/>
        <v>2740</v>
      </c>
      <c r="L1227" s="31" t="str">
        <f t="shared" si="98"/>
        <v/>
      </c>
      <c r="M1227" s="31" t="str">
        <f t="shared" si="99"/>
        <v/>
      </c>
    </row>
    <row r="1228" spans="1:13" x14ac:dyDescent="0.15">
      <c r="A1228" s="163" t="s">
        <v>210</v>
      </c>
      <c r="B1228" s="163">
        <v>42309.581724606483</v>
      </c>
      <c r="C1228" s="164" t="s">
        <v>1434</v>
      </c>
      <c r="D1228" s="164" t="s">
        <v>13</v>
      </c>
      <c r="E1228" s="165">
        <v>80</v>
      </c>
      <c r="F1228" s="166">
        <v>0</v>
      </c>
      <c r="G1228" s="227">
        <f>IF($B$2,IF(ROWS(B$6:$B1228) = 1,$B1228-Start_Date,$B1228-$B1227),"")</f>
        <v>2.4751504679443315E-3</v>
      </c>
      <c r="H1228" s="29">
        <f>IF($B$2,IF(ROWS(B$6:$B1228) = 1,IF(COUNTIFS(R_Schedule_Times,"&lt;"&amp;B1228),INDEX(R_Schedule_Amounts,MATCH(B1228,R_Schedule_Times,1)),Starting_Cash),IF(COUNTIFS(R_Schedule_Times,"&gt;"&amp;B1227,R_Schedule_Times,"&lt;"&amp;B1228),INDEX(R_Schedule_Amounts,MATCH(B1228,R_Schedule_Times,1)),K1227)),"")</f>
        <v>2740</v>
      </c>
      <c r="I1228" s="30">
        <f t="shared" si="95"/>
        <v>80</v>
      </c>
      <c r="J1228" s="31">
        <f t="shared" si="96"/>
        <v>0</v>
      </c>
      <c r="K1228" s="29">
        <f t="shared" si="97"/>
        <v>2660</v>
      </c>
      <c r="L1228" s="31" t="str">
        <f t="shared" si="98"/>
        <v/>
      </c>
      <c r="M1228" s="31" t="str">
        <f t="shared" si="99"/>
        <v/>
      </c>
    </row>
    <row r="1229" spans="1:13" x14ac:dyDescent="0.15">
      <c r="A1229" s="163" t="s">
        <v>210</v>
      </c>
      <c r="B1229" s="163">
        <v>42309.589275706021</v>
      </c>
      <c r="C1229" s="164" t="s">
        <v>910</v>
      </c>
      <c r="D1229" s="164" t="s">
        <v>13</v>
      </c>
      <c r="E1229" s="165">
        <v>20</v>
      </c>
      <c r="F1229" s="166">
        <v>0</v>
      </c>
      <c r="G1229" s="227">
        <f>IF($B$2,IF(ROWS(B$6:$B1229) = 1,$B1229-Start_Date,$B1229-$B1228),"")</f>
        <v>7.551099537522532E-3</v>
      </c>
      <c r="H1229" s="29">
        <f>IF($B$2,IF(ROWS(B$6:$B1229) = 1,IF(COUNTIFS(R_Schedule_Times,"&lt;"&amp;B1229),INDEX(R_Schedule_Amounts,MATCH(B1229,R_Schedule_Times,1)),Starting_Cash),IF(COUNTIFS(R_Schedule_Times,"&gt;"&amp;B1228,R_Schedule_Times,"&lt;"&amp;B1229),INDEX(R_Schedule_Amounts,MATCH(B1229,R_Schedule_Times,1)),K1228)),"")</f>
        <v>2660</v>
      </c>
      <c r="I1229" s="30">
        <f t="shared" si="95"/>
        <v>20</v>
      </c>
      <c r="J1229" s="31">
        <f t="shared" si="96"/>
        <v>0</v>
      </c>
      <c r="K1229" s="29">
        <f t="shared" si="97"/>
        <v>2640</v>
      </c>
      <c r="L1229" s="31" t="str">
        <f t="shared" si="98"/>
        <v/>
      </c>
      <c r="M1229" s="31" t="str">
        <f t="shared" si="99"/>
        <v/>
      </c>
    </row>
    <row r="1230" spans="1:13" x14ac:dyDescent="0.15">
      <c r="A1230" s="163" t="s">
        <v>210</v>
      </c>
      <c r="B1230" s="163">
        <v>42309.603599872687</v>
      </c>
      <c r="C1230" s="164" t="s">
        <v>1435</v>
      </c>
      <c r="D1230" s="164" t="s">
        <v>13</v>
      </c>
      <c r="E1230" s="165">
        <v>100</v>
      </c>
      <c r="F1230" s="166">
        <v>0</v>
      </c>
      <c r="G1230" s="227">
        <f>IF($B$2,IF(ROWS(B$6:$B1230) = 1,$B1230-Start_Date,$B1230-$B1229),"")</f>
        <v>1.4324166666483507E-2</v>
      </c>
      <c r="H1230" s="29">
        <f>IF($B$2,IF(ROWS(B$6:$B1230) = 1,IF(COUNTIFS(R_Schedule_Times,"&lt;"&amp;B1230),INDEX(R_Schedule_Amounts,MATCH(B1230,R_Schedule_Times,1)),Starting_Cash),IF(COUNTIFS(R_Schedule_Times,"&gt;"&amp;B1229,R_Schedule_Times,"&lt;"&amp;B1230),INDEX(R_Schedule_Amounts,MATCH(B1230,R_Schedule_Times,1)),K1229)),"")</f>
        <v>2640</v>
      </c>
      <c r="I1230" s="30">
        <f t="shared" si="95"/>
        <v>100</v>
      </c>
      <c r="J1230" s="31">
        <f t="shared" si="96"/>
        <v>0</v>
      </c>
      <c r="K1230" s="29">
        <f t="shared" si="97"/>
        <v>2540</v>
      </c>
      <c r="L1230" s="31" t="str">
        <f t="shared" si="98"/>
        <v/>
      </c>
      <c r="M1230" s="31" t="str">
        <f t="shared" si="99"/>
        <v/>
      </c>
    </row>
    <row r="1231" spans="1:13" x14ac:dyDescent="0.15">
      <c r="A1231" s="163" t="s">
        <v>210</v>
      </c>
      <c r="B1231" s="163">
        <v>42309.607131307872</v>
      </c>
      <c r="C1231" s="164" t="s">
        <v>1436</v>
      </c>
      <c r="D1231" s="164" t="s">
        <v>13</v>
      </c>
      <c r="E1231" s="165">
        <v>60</v>
      </c>
      <c r="F1231" s="166">
        <v>0</v>
      </c>
      <c r="G1231" s="227">
        <f>IF($B$2,IF(ROWS(B$6:$B1231) = 1,$B1231-Start_Date,$B1231-$B1230),"")</f>
        <v>3.5314351844135672E-3</v>
      </c>
      <c r="H1231" s="29">
        <f>IF($B$2,IF(ROWS(B$6:$B1231) = 1,IF(COUNTIFS(R_Schedule_Times,"&lt;"&amp;B1231),INDEX(R_Schedule_Amounts,MATCH(B1231,R_Schedule_Times,1)),Starting_Cash),IF(COUNTIFS(R_Schedule_Times,"&gt;"&amp;B1230,R_Schedule_Times,"&lt;"&amp;B1231),INDEX(R_Schedule_Amounts,MATCH(B1231,R_Schedule_Times,1)),K1230)),"")</f>
        <v>2540</v>
      </c>
      <c r="I1231" s="30">
        <f t="shared" si="95"/>
        <v>60</v>
      </c>
      <c r="J1231" s="31">
        <f t="shared" si="96"/>
        <v>0</v>
      </c>
      <c r="K1231" s="29">
        <f t="shared" si="97"/>
        <v>2480</v>
      </c>
      <c r="L1231" s="31" t="str">
        <f t="shared" si="98"/>
        <v/>
      </c>
      <c r="M1231" s="31" t="str">
        <f t="shared" si="99"/>
        <v/>
      </c>
    </row>
    <row r="1232" spans="1:13" x14ac:dyDescent="0.15">
      <c r="A1232" s="163" t="s">
        <v>210</v>
      </c>
      <c r="B1232" s="163">
        <v>42309.635366331022</v>
      </c>
      <c r="C1232" s="164" t="s">
        <v>396</v>
      </c>
      <c r="D1232" s="164" t="s">
        <v>13</v>
      </c>
      <c r="E1232" s="165">
        <v>140</v>
      </c>
      <c r="F1232" s="166">
        <v>0</v>
      </c>
      <c r="G1232" s="227">
        <f>IF($B$2,IF(ROWS(B$6:$B1232) = 1,$B1232-Start_Date,$B1232-$B1231),"")</f>
        <v>2.823502315004589E-2</v>
      </c>
      <c r="H1232" s="29">
        <f>IF($B$2,IF(ROWS(B$6:$B1232) = 1,IF(COUNTIFS(R_Schedule_Times,"&lt;"&amp;B1232),INDEX(R_Schedule_Amounts,MATCH(B1232,R_Schedule_Times,1)),Starting_Cash),IF(COUNTIFS(R_Schedule_Times,"&gt;"&amp;B1231,R_Schedule_Times,"&lt;"&amp;B1232),INDEX(R_Schedule_Amounts,MATCH(B1232,R_Schedule_Times,1)),K1231)),"")</f>
        <v>2480</v>
      </c>
      <c r="I1232" s="30">
        <f t="shared" si="95"/>
        <v>140</v>
      </c>
      <c r="J1232" s="31">
        <f t="shared" si="96"/>
        <v>0</v>
      </c>
      <c r="K1232" s="29">
        <f t="shared" si="97"/>
        <v>2340</v>
      </c>
      <c r="L1232" s="31" t="str">
        <f t="shared" si="98"/>
        <v/>
      </c>
      <c r="M1232" s="31" t="str">
        <f t="shared" si="99"/>
        <v/>
      </c>
    </row>
    <row r="1233" spans="1:13" x14ac:dyDescent="0.15">
      <c r="A1233" s="163" t="s">
        <v>210</v>
      </c>
      <c r="B1233" s="163">
        <v>42309.652691782409</v>
      </c>
      <c r="C1233" s="164" t="s">
        <v>1437</v>
      </c>
      <c r="D1233" s="164" t="s">
        <v>13</v>
      </c>
      <c r="E1233" s="165">
        <v>80</v>
      </c>
      <c r="F1233" s="166">
        <v>0</v>
      </c>
      <c r="G1233" s="227">
        <f>IF($B$2,IF(ROWS(B$6:$B1233) = 1,$B1233-Start_Date,$B1233-$B1232),"")</f>
        <v>1.7325451386568602E-2</v>
      </c>
      <c r="H1233" s="29">
        <f>IF($B$2,IF(ROWS(B$6:$B1233) = 1,IF(COUNTIFS(R_Schedule_Times,"&lt;"&amp;B1233),INDEX(R_Schedule_Amounts,MATCH(B1233,R_Schedule_Times,1)),Starting_Cash),IF(COUNTIFS(R_Schedule_Times,"&gt;"&amp;B1232,R_Schedule_Times,"&lt;"&amp;B1233),INDEX(R_Schedule_Amounts,MATCH(B1233,R_Schedule_Times,1)),K1232)),"")</f>
        <v>2340</v>
      </c>
      <c r="I1233" s="30">
        <f t="shared" si="95"/>
        <v>80</v>
      </c>
      <c r="J1233" s="31">
        <f t="shared" si="96"/>
        <v>0</v>
      </c>
      <c r="K1233" s="29">
        <f t="shared" si="97"/>
        <v>2260</v>
      </c>
      <c r="L1233" s="31" t="str">
        <f t="shared" si="98"/>
        <v/>
      </c>
      <c r="M1233" s="31" t="str">
        <f t="shared" si="99"/>
        <v/>
      </c>
    </row>
    <row r="1234" spans="1:13" x14ac:dyDescent="0.15">
      <c r="A1234" s="163" t="s">
        <v>210</v>
      </c>
      <c r="B1234" s="163">
        <v>42309.66648482639</v>
      </c>
      <c r="C1234" s="164" t="s">
        <v>1438</v>
      </c>
      <c r="D1234" s="164" t="s">
        <v>15</v>
      </c>
      <c r="E1234" s="165">
        <v>300</v>
      </c>
      <c r="F1234" s="166">
        <v>9</v>
      </c>
      <c r="G1234" s="227">
        <f>IF($B$2,IF(ROWS(B$6:$B1234) = 1,$B1234-Start_Date,$B1234-$B1233),"")</f>
        <v>1.379304398142267E-2</v>
      </c>
      <c r="H1234" s="29">
        <f>IF($B$2,IF(ROWS(B$6:$B1234) = 1,IF(COUNTIFS(R_Schedule_Times,"&lt;"&amp;B1234),INDEX(R_Schedule_Amounts,MATCH(B1234,R_Schedule_Times,1)),Starting_Cash),IF(COUNTIFS(R_Schedule_Times,"&gt;"&amp;B1233,R_Schedule_Times,"&lt;"&amp;B1234),INDEX(R_Schedule_Amounts,MATCH(B1234,R_Schedule_Times,1)),K1233)),"")</f>
        <v>2260</v>
      </c>
      <c r="I1234" s="30">
        <f t="shared" si="95"/>
        <v>300</v>
      </c>
      <c r="J1234" s="31">
        <f t="shared" si="96"/>
        <v>9</v>
      </c>
      <c r="K1234" s="29">
        <f t="shared" si="97"/>
        <v>1960</v>
      </c>
      <c r="L1234" s="31" t="str">
        <f t="shared" si="98"/>
        <v/>
      </c>
      <c r="M1234" s="31" t="str">
        <f t="shared" si="99"/>
        <v/>
      </c>
    </row>
    <row r="1235" spans="1:13" x14ac:dyDescent="0.15">
      <c r="A1235" s="163" t="s">
        <v>210</v>
      </c>
      <c r="B1235" s="163">
        <v>42309.695726886574</v>
      </c>
      <c r="C1235" s="164" t="s">
        <v>1439</v>
      </c>
      <c r="D1235" s="164" t="s">
        <v>13</v>
      </c>
      <c r="E1235" s="165">
        <v>100</v>
      </c>
      <c r="F1235" s="166">
        <v>0</v>
      </c>
      <c r="G1235" s="227">
        <f>IF($B$2,IF(ROWS(B$6:$B1235) = 1,$B1235-Start_Date,$B1235-$B1234),"")</f>
        <v>2.9242060183605645E-2</v>
      </c>
      <c r="H1235" s="29">
        <f>IF($B$2,IF(ROWS(B$6:$B1235) = 1,IF(COUNTIFS(R_Schedule_Times,"&lt;"&amp;B1235),INDEX(R_Schedule_Amounts,MATCH(B1235,R_Schedule_Times,1)),Starting_Cash),IF(COUNTIFS(R_Schedule_Times,"&gt;"&amp;B1234,R_Schedule_Times,"&lt;"&amp;B1235),INDEX(R_Schedule_Amounts,MATCH(B1235,R_Schedule_Times,1)),K1234)),"")</f>
        <v>1960</v>
      </c>
      <c r="I1235" s="30">
        <f t="shared" si="95"/>
        <v>100</v>
      </c>
      <c r="J1235" s="31">
        <f t="shared" si="96"/>
        <v>0</v>
      </c>
      <c r="K1235" s="29">
        <f t="shared" si="97"/>
        <v>1860</v>
      </c>
      <c r="L1235" s="31" t="str">
        <f t="shared" si="98"/>
        <v/>
      </c>
      <c r="M1235" s="31" t="str">
        <f t="shared" si="99"/>
        <v/>
      </c>
    </row>
    <row r="1236" spans="1:13" x14ac:dyDescent="0.15">
      <c r="A1236" s="163" t="s">
        <v>210</v>
      </c>
      <c r="B1236" s="163">
        <v>42309.700259178244</v>
      </c>
      <c r="C1236" s="164" t="s">
        <v>1440</v>
      </c>
      <c r="D1236" s="164" t="s">
        <v>13</v>
      </c>
      <c r="E1236" s="165">
        <v>20</v>
      </c>
      <c r="F1236" s="166">
        <v>0</v>
      </c>
      <c r="G1236" s="227">
        <f>IF($B$2,IF(ROWS(B$6:$B1236) = 1,$B1236-Start_Date,$B1236-$B1235),"")</f>
        <v>4.5322916703298688E-3</v>
      </c>
      <c r="H1236" s="29">
        <f>IF($B$2,IF(ROWS(B$6:$B1236) = 1,IF(COUNTIFS(R_Schedule_Times,"&lt;"&amp;B1236),INDEX(R_Schedule_Amounts,MATCH(B1236,R_Schedule_Times,1)),Starting_Cash),IF(COUNTIFS(R_Schedule_Times,"&gt;"&amp;B1235,R_Schedule_Times,"&lt;"&amp;B1236),INDEX(R_Schedule_Amounts,MATCH(B1236,R_Schedule_Times,1)),K1235)),"")</f>
        <v>1860</v>
      </c>
      <c r="I1236" s="30">
        <f t="shared" si="95"/>
        <v>20</v>
      </c>
      <c r="J1236" s="31">
        <f t="shared" si="96"/>
        <v>0</v>
      </c>
      <c r="K1236" s="29">
        <f t="shared" si="97"/>
        <v>1840</v>
      </c>
      <c r="L1236" s="31" t="str">
        <f t="shared" si="98"/>
        <v/>
      </c>
      <c r="M1236" s="31" t="str">
        <f t="shared" si="99"/>
        <v/>
      </c>
    </row>
    <row r="1237" spans="1:13" x14ac:dyDescent="0.15">
      <c r="A1237" s="163" t="s">
        <v>210</v>
      </c>
      <c r="B1237" s="163">
        <v>42309.745679143518</v>
      </c>
      <c r="C1237" s="164" t="s">
        <v>1441</v>
      </c>
      <c r="D1237" s="164" t="s">
        <v>13</v>
      </c>
      <c r="E1237" s="165">
        <v>60</v>
      </c>
      <c r="F1237" s="166">
        <v>0</v>
      </c>
      <c r="G1237" s="227">
        <f>IF($B$2,IF(ROWS(B$6:$B1237) = 1,$B1237-Start_Date,$B1237-$B1236),"")</f>
        <v>4.54199652740499E-2</v>
      </c>
      <c r="H1237" s="29">
        <f>IF($B$2,IF(ROWS(B$6:$B1237) = 1,IF(COUNTIFS(R_Schedule_Times,"&lt;"&amp;B1237),INDEX(R_Schedule_Amounts,MATCH(B1237,R_Schedule_Times,1)),Starting_Cash),IF(COUNTIFS(R_Schedule_Times,"&gt;"&amp;B1236,R_Schedule_Times,"&lt;"&amp;B1237),INDEX(R_Schedule_Amounts,MATCH(B1237,R_Schedule_Times,1)),K1236)),"")</f>
        <v>1840</v>
      </c>
      <c r="I1237" s="30">
        <f t="shared" si="95"/>
        <v>60</v>
      </c>
      <c r="J1237" s="31">
        <f t="shared" si="96"/>
        <v>0</v>
      </c>
      <c r="K1237" s="29">
        <f t="shared" si="97"/>
        <v>1780</v>
      </c>
      <c r="L1237" s="31" t="str">
        <f t="shared" si="98"/>
        <v/>
      </c>
      <c r="M1237" s="31" t="str">
        <f t="shared" si="99"/>
        <v/>
      </c>
    </row>
    <row r="1238" spans="1:13" x14ac:dyDescent="0.15">
      <c r="A1238" s="163" t="s">
        <v>210</v>
      </c>
      <c r="B1238" s="163">
        <v>42309.791403391202</v>
      </c>
      <c r="C1238" s="164" t="s">
        <v>14</v>
      </c>
      <c r="D1238" s="164" t="s">
        <v>13</v>
      </c>
      <c r="E1238" s="165">
        <v>40</v>
      </c>
      <c r="F1238" s="166">
        <v>3.5</v>
      </c>
      <c r="G1238" s="227">
        <f>IF($B$2,IF(ROWS(B$6:$B1238) = 1,$B1238-Start_Date,$B1238-$B1237),"")</f>
        <v>4.5724247684120201E-2</v>
      </c>
      <c r="H1238" s="29">
        <f>IF($B$2,IF(ROWS(B$6:$B1238) = 1,IF(COUNTIFS(R_Schedule_Times,"&lt;"&amp;B1238),INDEX(R_Schedule_Amounts,MATCH(B1238,R_Schedule_Times,1)),Starting_Cash),IF(COUNTIFS(R_Schedule_Times,"&gt;"&amp;B1237,R_Schedule_Times,"&lt;"&amp;B1238),INDEX(R_Schedule_Amounts,MATCH(B1238,R_Schedule_Times,1)),K1237)),"")</f>
        <v>1780</v>
      </c>
      <c r="I1238" s="30">
        <f t="shared" si="95"/>
        <v>40</v>
      </c>
      <c r="J1238" s="31">
        <f t="shared" si="96"/>
        <v>3.5</v>
      </c>
      <c r="K1238" s="29">
        <f t="shared" si="97"/>
        <v>1740</v>
      </c>
      <c r="L1238" s="31" t="str">
        <f t="shared" si="98"/>
        <v/>
      </c>
      <c r="M1238" s="31" t="str">
        <f t="shared" si="99"/>
        <v/>
      </c>
    </row>
    <row r="1239" spans="1:13" x14ac:dyDescent="0.15">
      <c r="A1239" s="163" t="s">
        <v>210</v>
      </c>
      <c r="B1239" s="163">
        <v>42309.865395266206</v>
      </c>
      <c r="C1239" s="164" t="s">
        <v>1042</v>
      </c>
      <c r="D1239" s="164" t="s">
        <v>13</v>
      </c>
      <c r="E1239" s="165">
        <v>100</v>
      </c>
      <c r="F1239" s="166">
        <v>0</v>
      </c>
      <c r="G1239" s="227">
        <f>IF($B$2,IF(ROWS(B$6:$B1239) = 1,$B1239-Start_Date,$B1239-$B1238),"")</f>
        <v>7.3991875004139729E-2</v>
      </c>
      <c r="H1239" s="29">
        <f>IF($B$2,IF(ROWS(B$6:$B1239) = 1,IF(COUNTIFS(R_Schedule_Times,"&lt;"&amp;B1239),INDEX(R_Schedule_Amounts,MATCH(B1239,R_Schedule_Times,1)),Starting_Cash),IF(COUNTIFS(R_Schedule_Times,"&gt;"&amp;B1238,R_Schedule_Times,"&lt;"&amp;B1239),INDEX(R_Schedule_Amounts,MATCH(B1239,R_Schedule_Times,1)),K1238)),"")</f>
        <v>1740</v>
      </c>
      <c r="I1239" s="30">
        <f t="shared" si="95"/>
        <v>100</v>
      </c>
      <c r="J1239" s="31">
        <f t="shared" si="96"/>
        <v>0</v>
      </c>
      <c r="K1239" s="29">
        <f t="shared" si="97"/>
        <v>1640</v>
      </c>
      <c r="L1239" s="31" t="str">
        <f t="shared" si="98"/>
        <v/>
      </c>
      <c r="M1239" s="31" t="str">
        <f t="shared" si="99"/>
        <v/>
      </c>
    </row>
    <row r="1240" spans="1:13" x14ac:dyDescent="0.15">
      <c r="A1240" s="163" t="s">
        <v>210</v>
      </c>
      <c r="B1240" s="163">
        <v>42309.907679074073</v>
      </c>
      <c r="C1240" s="164" t="s">
        <v>1442</v>
      </c>
      <c r="D1240" s="164" t="s">
        <v>13</v>
      </c>
      <c r="E1240" s="165">
        <v>100</v>
      </c>
      <c r="F1240" s="166">
        <v>0</v>
      </c>
      <c r="G1240" s="227">
        <f>IF($B$2,IF(ROWS(B$6:$B1240) = 1,$B1240-Start_Date,$B1240-$B1239),"")</f>
        <v>4.2283807866624556E-2</v>
      </c>
      <c r="H1240" s="29">
        <f>IF($B$2,IF(ROWS(B$6:$B1240) = 1,IF(COUNTIFS(R_Schedule_Times,"&lt;"&amp;B1240),INDEX(R_Schedule_Amounts,MATCH(B1240,R_Schedule_Times,1)),Starting_Cash),IF(COUNTIFS(R_Schedule_Times,"&gt;"&amp;B1239,R_Schedule_Times,"&lt;"&amp;B1240),INDEX(R_Schedule_Amounts,MATCH(B1240,R_Schedule_Times,1)),K1239)),"")</f>
        <v>1640</v>
      </c>
      <c r="I1240" s="30">
        <f t="shared" si="95"/>
        <v>100</v>
      </c>
      <c r="J1240" s="31">
        <f t="shared" si="96"/>
        <v>0</v>
      </c>
      <c r="K1240" s="29">
        <f t="shared" si="97"/>
        <v>1540</v>
      </c>
      <c r="L1240" s="31" t="str">
        <f t="shared" si="98"/>
        <v/>
      </c>
      <c r="M1240" s="31" t="str">
        <f t="shared" si="99"/>
        <v/>
      </c>
    </row>
    <row r="1241" spans="1:13" x14ac:dyDescent="0.15">
      <c r="A1241" s="163" t="s">
        <v>210</v>
      </c>
      <c r="B1241" s="163">
        <v>42310.16778635417</v>
      </c>
      <c r="C1241" s="164" t="s">
        <v>168</v>
      </c>
      <c r="D1241" s="164" t="s">
        <v>13</v>
      </c>
      <c r="E1241" s="165">
        <v>100</v>
      </c>
      <c r="F1241" s="166">
        <v>0</v>
      </c>
      <c r="G1241" s="227">
        <f>IF($B$2,IF(ROWS(B$6:$B1241) = 1,$B1241-Start_Date,$B1241-$B1240),"")</f>
        <v>0.26010728009714512</v>
      </c>
      <c r="H1241" s="29">
        <f>IF($B$2,IF(ROWS(B$6:$B1241) = 1,IF(COUNTIFS(R_Schedule_Times,"&lt;"&amp;B1241),INDEX(R_Schedule_Amounts,MATCH(B1241,R_Schedule_Times,1)),Starting_Cash),IF(COUNTIFS(R_Schedule_Times,"&gt;"&amp;B1240,R_Schedule_Times,"&lt;"&amp;B1241),INDEX(R_Schedule_Amounts,MATCH(B1241,R_Schedule_Times,1)),K1240)),"")</f>
        <v>11000</v>
      </c>
      <c r="I1241" s="30">
        <f t="shared" si="95"/>
        <v>100</v>
      </c>
      <c r="J1241" s="31">
        <f t="shared" si="96"/>
        <v>0</v>
      </c>
      <c r="K1241" s="29">
        <f t="shared" si="97"/>
        <v>10900</v>
      </c>
      <c r="L1241" s="31" t="str">
        <f t="shared" si="98"/>
        <v/>
      </c>
      <c r="M1241" s="31" t="str">
        <f t="shared" si="99"/>
        <v/>
      </c>
    </row>
    <row r="1242" spans="1:13" x14ac:dyDescent="0.15">
      <c r="A1242" s="163" t="s">
        <v>210</v>
      </c>
      <c r="B1242" s="163">
        <v>42310.282732199077</v>
      </c>
      <c r="C1242" s="164" t="s">
        <v>1443</v>
      </c>
      <c r="D1242" s="164" t="s">
        <v>13</v>
      </c>
      <c r="E1242" s="165">
        <v>40</v>
      </c>
      <c r="F1242" s="166">
        <v>0</v>
      </c>
      <c r="G1242" s="227">
        <f>IF($B$2,IF(ROWS(B$6:$B1242) = 1,$B1242-Start_Date,$B1242-$B1241),"")</f>
        <v>0.11494584490719717</v>
      </c>
      <c r="H1242" s="29">
        <f>IF($B$2,IF(ROWS(B$6:$B1242) = 1,IF(COUNTIFS(R_Schedule_Times,"&lt;"&amp;B1242),INDEX(R_Schedule_Amounts,MATCH(B1242,R_Schedule_Times,1)),Starting_Cash),IF(COUNTIFS(R_Schedule_Times,"&gt;"&amp;B1241,R_Schedule_Times,"&lt;"&amp;B1242),INDEX(R_Schedule_Amounts,MATCH(B1242,R_Schedule_Times,1)),K1241)),"")</f>
        <v>10900</v>
      </c>
      <c r="I1242" s="30">
        <f t="shared" si="95"/>
        <v>40</v>
      </c>
      <c r="J1242" s="31">
        <f t="shared" si="96"/>
        <v>0</v>
      </c>
      <c r="K1242" s="29">
        <f t="shared" si="97"/>
        <v>10860</v>
      </c>
      <c r="L1242" s="31" t="str">
        <f t="shared" si="98"/>
        <v/>
      </c>
      <c r="M1242" s="31" t="str">
        <f t="shared" si="99"/>
        <v/>
      </c>
    </row>
    <row r="1243" spans="1:13" x14ac:dyDescent="0.15">
      <c r="A1243" s="163" t="s">
        <v>210</v>
      </c>
      <c r="B1243" s="163">
        <v>42310.303098958335</v>
      </c>
      <c r="C1243" s="164" t="s">
        <v>83</v>
      </c>
      <c r="D1243" s="164" t="s">
        <v>13</v>
      </c>
      <c r="E1243" s="165">
        <v>40</v>
      </c>
      <c r="F1243" s="166">
        <v>0</v>
      </c>
      <c r="G1243" s="227">
        <f>IF($B$2,IF(ROWS(B$6:$B1243) = 1,$B1243-Start_Date,$B1243-$B1242),"")</f>
        <v>2.0366759257740341E-2</v>
      </c>
      <c r="H1243" s="29">
        <f>IF($B$2,IF(ROWS(B$6:$B1243) = 1,IF(COUNTIFS(R_Schedule_Times,"&lt;"&amp;B1243),INDEX(R_Schedule_Amounts,MATCH(B1243,R_Schedule_Times,1)),Starting_Cash),IF(COUNTIFS(R_Schedule_Times,"&gt;"&amp;B1242,R_Schedule_Times,"&lt;"&amp;B1243),INDEX(R_Schedule_Amounts,MATCH(B1243,R_Schedule_Times,1)),K1242)),"")</f>
        <v>10860</v>
      </c>
      <c r="I1243" s="30">
        <f t="shared" si="95"/>
        <v>40</v>
      </c>
      <c r="J1243" s="31">
        <f t="shared" si="96"/>
        <v>0</v>
      </c>
      <c r="K1243" s="29">
        <f t="shared" si="97"/>
        <v>10820</v>
      </c>
      <c r="L1243" s="31" t="str">
        <f t="shared" si="98"/>
        <v/>
      </c>
      <c r="M1243" s="31" t="str">
        <f t="shared" si="99"/>
        <v/>
      </c>
    </row>
    <row r="1244" spans="1:13" x14ac:dyDescent="0.15">
      <c r="A1244" s="163" t="s">
        <v>210</v>
      </c>
      <c r="B1244" s="163">
        <v>42310.321333067128</v>
      </c>
      <c r="C1244" s="164" t="s">
        <v>397</v>
      </c>
      <c r="D1244" s="164" t="s">
        <v>13</v>
      </c>
      <c r="E1244" s="165">
        <v>60</v>
      </c>
      <c r="F1244" s="166">
        <v>0</v>
      </c>
      <c r="G1244" s="227">
        <f>IF($B$2,IF(ROWS(B$6:$B1244) = 1,$B1244-Start_Date,$B1244-$B1243),"")</f>
        <v>1.8234108792967163E-2</v>
      </c>
      <c r="H1244" s="29">
        <f>IF($B$2,IF(ROWS(B$6:$B1244) = 1,IF(COUNTIFS(R_Schedule_Times,"&lt;"&amp;B1244),INDEX(R_Schedule_Amounts,MATCH(B1244,R_Schedule_Times,1)),Starting_Cash),IF(COUNTIFS(R_Schedule_Times,"&gt;"&amp;B1243,R_Schedule_Times,"&lt;"&amp;B1244),INDEX(R_Schedule_Amounts,MATCH(B1244,R_Schedule_Times,1)),K1243)),"")</f>
        <v>10820</v>
      </c>
      <c r="I1244" s="30">
        <f t="shared" si="95"/>
        <v>60</v>
      </c>
      <c r="J1244" s="31">
        <f t="shared" si="96"/>
        <v>0</v>
      </c>
      <c r="K1244" s="29">
        <f t="shared" si="97"/>
        <v>10760</v>
      </c>
      <c r="L1244" s="31" t="str">
        <f t="shared" si="98"/>
        <v/>
      </c>
      <c r="M1244" s="31" t="str">
        <f t="shared" si="99"/>
        <v/>
      </c>
    </row>
    <row r="1245" spans="1:13" x14ac:dyDescent="0.15">
      <c r="A1245" s="163" t="s">
        <v>210</v>
      </c>
      <c r="B1245" s="163">
        <v>42310.354596203702</v>
      </c>
      <c r="C1245" s="164" t="s">
        <v>14</v>
      </c>
      <c r="D1245" s="164" t="s">
        <v>13</v>
      </c>
      <c r="E1245" s="165">
        <v>100</v>
      </c>
      <c r="F1245" s="166">
        <v>3.5</v>
      </c>
      <c r="G1245" s="227">
        <f>IF($B$2,IF(ROWS(B$6:$B1245) = 1,$B1245-Start_Date,$B1245-$B1244),"")</f>
        <v>3.3263136574532837E-2</v>
      </c>
      <c r="H1245" s="29">
        <f>IF($B$2,IF(ROWS(B$6:$B1245) = 1,IF(COUNTIFS(R_Schedule_Times,"&lt;"&amp;B1245),INDEX(R_Schedule_Amounts,MATCH(B1245,R_Schedule_Times,1)),Starting_Cash),IF(COUNTIFS(R_Schedule_Times,"&gt;"&amp;B1244,R_Schedule_Times,"&lt;"&amp;B1245),INDEX(R_Schedule_Amounts,MATCH(B1245,R_Schedule_Times,1)),K1244)),"")</f>
        <v>10760</v>
      </c>
      <c r="I1245" s="30">
        <f t="shared" si="95"/>
        <v>100</v>
      </c>
      <c r="J1245" s="31">
        <f t="shared" si="96"/>
        <v>3.5</v>
      </c>
      <c r="K1245" s="29">
        <f t="shared" si="97"/>
        <v>10660</v>
      </c>
      <c r="L1245" s="31" t="str">
        <f t="shared" si="98"/>
        <v/>
      </c>
      <c r="M1245" s="31" t="str">
        <f t="shared" si="99"/>
        <v/>
      </c>
    </row>
    <row r="1246" spans="1:13" x14ac:dyDescent="0.15">
      <c r="A1246" s="163" t="s">
        <v>210</v>
      </c>
      <c r="B1246" s="163">
        <v>42310.359498784725</v>
      </c>
      <c r="C1246" s="164" t="s">
        <v>1444</v>
      </c>
      <c r="D1246" s="164" t="s">
        <v>13</v>
      </c>
      <c r="E1246" s="165">
        <v>20</v>
      </c>
      <c r="F1246" s="166">
        <v>0</v>
      </c>
      <c r="G1246" s="227">
        <f>IF($B$2,IF(ROWS(B$6:$B1246) = 1,$B1246-Start_Date,$B1246-$B1245),"")</f>
        <v>4.9025810221792199E-3</v>
      </c>
      <c r="H1246" s="29">
        <f>IF($B$2,IF(ROWS(B$6:$B1246) = 1,IF(COUNTIFS(R_Schedule_Times,"&lt;"&amp;B1246),INDEX(R_Schedule_Amounts,MATCH(B1246,R_Schedule_Times,1)),Starting_Cash),IF(COUNTIFS(R_Schedule_Times,"&gt;"&amp;B1245,R_Schedule_Times,"&lt;"&amp;B1246),INDEX(R_Schedule_Amounts,MATCH(B1246,R_Schedule_Times,1)),K1245)),"")</f>
        <v>10660</v>
      </c>
      <c r="I1246" s="30">
        <f t="shared" si="95"/>
        <v>20</v>
      </c>
      <c r="J1246" s="31">
        <f t="shared" si="96"/>
        <v>0</v>
      </c>
      <c r="K1246" s="29">
        <f t="shared" si="97"/>
        <v>10640</v>
      </c>
      <c r="L1246" s="31" t="str">
        <f t="shared" si="98"/>
        <v/>
      </c>
      <c r="M1246" s="31" t="str">
        <f t="shared" si="99"/>
        <v/>
      </c>
    </row>
    <row r="1247" spans="1:13" x14ac:dyDescent="0.15">
      <c r="A1247" s="163" t="s">
        <v>210</v>
      </c>
      <c r="B1247" s="163">
        <v>42310.380227835645</v>
      </c>
      <c r="C1247" s="164" t="s">
        <v>1445</v>
      </c>
      <c r="D1247" s="164" t="s">
        <v>13</v>
      </c>
      <c r="E1247" s="165">
        <v>400</v>
      </c>
      <c r="F1247" s="166">
        <v>0</v>
      </c>
      <c r="G1247" s="227">
        <f>IF($B$2,IF(ROWS(B$6:$B1247) = 1,$B1247-Start_Date,$B1247-$B1246),"")</f>
        <v>2.0729050920635927E-2</v>
      </c>
      <c r="H1247" s="29">
        <f>IF($B$2,IF(ROWS(B$6:$B1247) = 1,IF(COUNTIFS(R_Schedule_Times,"&lt;"&amp;B1247),INDEX(R_Schedule_Amounts,MATCH(B1247,R_Schedule_Times,1)),Starting_Cash),IF(COUNTIFS(R_Schedule_Times,"&gt;"&amp;B1246,R_Schedule_Times,"&lt;"&amp;B1247),INDEX(R_Schedule_Amounts,MATCH(B1247,R_Schedule_Times,1)),K1246)),"")</f>
        <v>10640</v>
      </c>
      <c r="I1247" s="30">
        <f t="shared" si="95"/>
        <v>400</v>
      </c>
      <c r="J1247" s="31">
        <f t="shared" si="96"/>
        <v>0</v>
      </c>
      <c r="K1247" s="29">
        <f t="shared" si="97"/>
        <v>10240</v>
      </c>
      <c r="L1247" s="31" t="str">
        <f t="shared" si="98"/>
        <v/>
      </c>
      <c r="M1247" s="31" t="str">
        <f t="shared" si="99"/>
        <v/>
      </c>
    </row>
    <row r="1248" spans="1:13" x14ac:dyDescent="0.15">
      <c r="A1248" s="163" t="s">
        <v>210</v>
      </c>
      <c r="B1248" s="163">
        <v>42310.380985185184</v>
      </c>
      <c r="C1248" s="164" t="s">
        <v>170</v>
      </c>
      <c r="D1248" s="164" t="s">
        <v>13</v>
      </c>
      <c r="E1248" s="165">
        <v>40</v>
      </c>
      <c r="F1248" s="166">
        <v>0</v>
      </c>
      <c r="G1248" s="227">
        <f>IF($B$2,IF(ROWS(B$6:$B1248) = 1,$B1248-Start_Date,$B1248-$B1247),"")</f>
        <v>7.5734953861683607E-4</v>
      </c>
      <c r="H1248" s="29">
        <f>IF($B$2,IF(ROWS(B$6:$B1248) = 1,IF(COUNTIFS(R_Schedule_Times,"&lt;"&amp;B1248),INDEX(R_Schedule_Amounts,MATCH(B1248,R_Schedule_Times,1)),Starting_Cash),IF(COUNTIFS(R_Schedule_Times,"&gt;"&amp;B1247,R_Schedule_Times,"&lt;"&amp;B1248),INDEX(R_Schedule_Amounts,MATCH(B1248,R_Schedule_Times,1)),K1247)),"")</f>
        <v>10240</v>
      </c>
      <c r="I1248" s="30">
        <f t="shared" si="95"/>
        <v>40</v>
      </c>
      <c r="J1248" s="31">
        <f t="shared" si="96"/>
        <v>0</v>
      </c>
      <c r="K1248" s="29">
        <f t="shared" si="97"/>
        <v>10200</v>
      </c>
      <c r="L1248" s="31" t="str">
        <f t="shared" si="98"/>
        <v/>
      </c>
      <c r="M1248" s="31" t="str">
        <f t="shared" si="99"/>
        <v/>
      </c>
    </row>
    <row r="1249" spans="1:13" x14ac:dyDescent="0.15">
      <c r="A1249" s="163" t="s">
        <v>210</v>
      </c>
      <c r="B1249" s="163">
        <v>42310.382980104165</v>
      </c>
      <c r="C1249" s="164" t="s">
        <v>1446</v>
      </c>
      <c r="D1249" s="164" t="s">
        <v>13</v>
      </c>
      <c r="E1249" s="165">
        <v>100</v>
      </c>
      <c r="F1249" s="166">
        <v>0</v>
      </c>
      <c r="G1249" s="227">
        <f>IF($B$2,IF(ROWS(B$6:$B1249) = 1,$B1249-Start_Date,$B1249-$B1248),"")</f>
        <v>1.9949189809267409E-3</v>
      </c>
      <c r="H1249" s="29">
        <f>IF($B$2,IF(ROWS(B$6:$B1249) = 1,IF(COUNTIFS(R_Schedule_Times,"&lt;"&amp;B1249),INDEX(R_Schedule_Amounts,MATCH(B1249,R_Schedule_Times,1)),Starting_Cash),IF(COUNTIFS(R_Schedule_Times,"&gt;"&amp;B1248,R_Schedule_Times,"&lt;"&amp;B1249),INDEX(R_Schedule_Amounts,MATCH(B1249,R_Schedule_Times,1)),K1248)),"")</f>
        <v>10200</v>
      </c>
      <c r="I1249" s="30">
        <f t="shared" si="95"/>
        <v>100</v>
      </c>
      <c r="J1249" s="31">
        <f t="shared" si="96"/>
        <v>0</v>
      </c>
      <c r="K1249" s="29">
        <f t="shared" si="97"/>
        <v>10100</v>
      </c>
      <c r="L1249" s="31" t="str">
        <f t="shared" si="98"/>
        <v/>
      </c>
      <c r="M1249" s="31" t="str">
        <f t="shared" si="99"/>
        <v/>
      </c>
    </row>
    <row r="1250" spans="1:13" x14ac:dyDescent="0.15">
      <c r="A1250" s="163" t="s">
        <v>210</v>
      </c>
      <c r="B1250" s="163">
        <v>42310.412548043983</v>
      </c>
      <c r="C1250" s="164" t="s">
        <v>398</v>
      </c>
      <c r="D1250" s="164" t="s">
        <v>13</v>
      </c>
      <c r="E1250" s="165">
        <v>100</v>
      </c>
      <c r="F1250" s="166">
        <v>0</v>
      </c>
      <c r="G1250" s="227">
        <f>IF($B$2,IF(ROWS(B$6:$B1250) = 1,$B1250-Start_Date,$B1250-$B1249),"")</f>
        <v>2.9567939818662126E-2</v>
      </c>
      <c r="H1250" s="29">
        <f>IF($B$2,IF(ROWS(B$6:$B1250) = 1,IF(COUNTIFS(R_Schedule_Times,"&lt;"&amp;B1250),INDEX(R_Schedule_Amounts,MATCH(B1250,R_Schedule_Times,1)),Starting_Cash),IF(COUNTIFS(R_Schedule_Times,"&gt;"&amp;B1249,R_Schedule_Times,"&lt;"&amp;B1250),INDEX(R_Schedule_Amounts,MATCH(B1250,R_Schedule_Times,1)),K1249)),"")</f>
        <v>10100</v>
      </c>
      <c r="I1250" s="30">
        <f t="shared" si="95"/>
        <v>100</v>
      </c>
      <c r="J1250" s="31">
        <f t="shared" si="96"/>
        <v>0</v>
      </c>
      <c r="K1250" s="29">
        <f t="shared" si="97"/>
        <v>10000</v>
      </c>
      <c r="L1250" s="31" t="str">
        <f t="shared" si="98"/>
        <v/>
      </c>
      <c r="M1250" s="31" t="str">
        <f t="shared" si="99"/>
        <v/>
      </c>
    </row>
    <row r="1251" spans="1:13" x14ac:dyDescent="0.15">
      <c r="A1251" s="163" t="s">
        <v>210</v>
      </c>
      <c r="B1251" s="163">
        <v>42310.457923796297</v>
      </c>
      <c r="C1251" s="164" t="s">
        <v>1447</v>
      </c>
      <c r="D1251" s="164" t="s">
        <v>15</v>
      </c>
      <c r="E1251" s="165">
        <v>120</v>
      </c>
      <c r="F1251" s="166">
        <v>3.6</v>
      </c>
      <c r="G1251" s="227">
        <f>IF($B$2,IF(ROWS(B$6:$B1251) = 1,$B1251-Start_Date,$B1251-$B1250),"")</f>
        <v>4.5375752313702833E-2</v>
      </c>
      <c r="H1251" s="29">
        <f>IF($B$2,IF(ROWS(B$6:$B1251) = 1,IF(COUNTIFS(R_Schedule_Times,"&lt;"&amp;B1251),INDEX(R_Schedule_Amounts,MATCH(B1251,R_Schedule_Times,1)),Starting_Cash),IF(COUNTIFS(R_Schedule_Times,"&gt;"&amp;B1250,R_Schedule_Times,"&lt;"&amp;B1251),INDEX(R_Schedule_Amounts,MATCH(B1251,R_Schedule_Times,1)),K1250)),"")</f>
        <v>10000</v>
      </c>
      <c r="I1251" s="30">
        <f t="shared" si="95"/>
        <v>120</v>
      </c>
      <c r="J1251" s="31">
        <f t="shared" si="96"/>
        <v>3.6</v>
      </c>
      <c r="K1251" s="29">
        <f t="shared" si="97"/>
        <v>9880</v>
      </c>
      <c r="L1251" s="31" t="str">
        <f t="shared" si="98"/>
        <v/>
      </c>
      <c r="M1251" s="31" t="str">
        <f t="shared" si="99"/>
        <v/>
      </c>
    </row>
    <row r="1252" spans="1:13" x14ac:dyDescent="0.15">
      <c r="A1252" s="163" t="s">
        <v>210</v>
      </c>
      <c r="B1252" s="163">
        <v>42310.463082986113</v>
      </c>
      <c r="C1252" s="164" t="s">
        <v>836</v>
      </c>
      <c r="D1252" s="164" t="s">
        <v>13</v>
      </c>
      <c r="E1252" s="165">
        <v>100</v>
      </c>
      <c r="F1252" s="166">
        <v>0</v>
      </c>
      <c r="G1252" s="227">
        <f>IF($B$2,IF(ROWS(B$6:$B1252) = 1,$B1252-Start_Date,$B1252-$B1251),"")</f>
        <v>5.159189815458376E-3</v>
      </c>
      <c r="H1252" s="29">
        <f>IF($B$2,IF(ROWS(B$6:$B1252) = 1,IF(COUNTIFS(R_Schedule_Times,"&lt;"&amp;B1252),INDEX(R_Schedule_Amounts,MATCH(B1252,R_Schedule_Times,1)),Starting_Cash),IF(COUNTIFS(R_Schedule_Times,"&gt;"&amp;B1251,R_Schedule_Times,"&lt;"&amp;B1252),INDEX(R_Schedule_Amounts,MATCH(B1252,R_Schedule_Times,1)),K1251)),"")</f>
        <v>9880</v>
      </c>
      <c r="I1252" s="30">
        <f t="shared" si="95"/>
        <v>100</v>
      </c>
      <c r="J1252" s="31">
        <f t="shared" si="96"/>
        <v>0</v>
      </c>
      <c r="K1252" s="29">
        <f t="shared" si="97"/>
        <v>9780</v>
      </c>
      <c r="L1252" s="31" t="str">
        <f t="shared" si="98"/>
        <v/>
      </c>
      <c r="M1252" s="31" t="str">
        <f t="shared" si="99"/>
        <v/>
      </c>
    </row>
    <row r="1253" spans="1:13" x14ac:dyDescent="0.15">
      <c r="A1253" s="163" t="s">
        <v>210</v>
      </c>
      <c r="B1253" s="163">
        <v>42310.469717870372</v>
      </c>
      <c r="C1253" s="164" t="s">
        <v>1134</v>
      </c>
      <c r="D1253" s="164" t="s">
        <v>13</v>
      </c>
      <c r="E1253" s="165">
        <v>140</v>
      </c>
      <c r="F1253" s="166">
        <v>0</v>
      </c>
      <c r="G1253" s="227">
        <f>IF($B$2,IF(ROWS(B$6:$B1253) = 1,$B1253-Start_Date,$B1253-$B1252),"")</f>
        <v>6.6348842592560686E-3</v>
      </c>
      <c r="H1253" s="29">
        <f>IF($B$2,IF(ROWS(B$6:$B1253) = 1,IF(COUNTIFS(R_Schedule_Times,"&lt;"&amp;B1253),INDEX(R_Schedule_Amounts,MATCH(B1253,R_Schedule_Times,1)),Starting_Cash),IF(COUNTIFS(R_Schedule_Times,"&gt;"&amp;B1252,R_Schedule_Times,"&lt;"&amp;B1253),INDEX(R_Schedule_Amounts,MATCH(B1253,R_Schedule_Times,1)),K1252)),"")</f>
        <v>9780</v>
      </c>
      <c r="I1253" s="30">
        <f t="shared" si="95"/>
        <v>140</v>
      </c>
      <c r="J1253" s="31">
        <f t="shared" si="96"/>
        <v>0</v>
      </c>
      <c r="K1253" s="29">
        <f t="shared" si="97"/>
        <v>9640</v>
      </c>
      <c r="L1253" s="31" t="str">
        <f t="shared" si="98"/>
        <v/>
      </c>
      <c r="M1253" s="31" t="str">
        <f t="shared" si="99"/>
        <v/>
      </c>
    </row>
    <row r="1254" spans="1:13" x14ac:dyDescent="0.15">
      <c r="A1254" s="163" t="s">
        <v>210</v>
      </c>
      <c r="B1254" s="163">
        <v>42310.475084722224</v>
      </c>
      <c r="C1254" s="164" t="s">
        <v>1448</v>
      </c>
      <c r="D1254" s="164" t="s">
        <v>13</v>
      </c>
      <c r="E1254" s="165">
        <v>80</v>
      </c>
      <c r="F1254" s="166">
        <v>0</v>
      </c>
      <c r="G1254" s="227">
        <f>IF($B$2,IF(ROWS(B$6:$B1254) = 1,$B1254-Start_Date,$B1254-$B1253),"")</f>
        <v>5.3668518521590158E-3</v>
      </c>
      <c r="H1254" s="29">
        <f>IF($B$2,IF(ROWS(B$6:$B1254) = 1,IF(COUNTIFS(R_Schedule_Times,"&lt;"&amp;B1254),INDEX(R_Schedule_Amounts,MATCH(B1254,R_Schedule_Times,1)),Starting_Cash),IF(COUNTIFS(R_Schedule_Times,"&gt;"&amp;B1253,R_Schedule_Times,"&lt;"&amp;B1254),INDEX(R_Schedule_Amounts,MATCH(B1254,R_Schedule_Times,1)),K1253)),"")</f>
        <v>9640</v>
      </c>
      <c r="I1254" s="30">
        <f t="shared" si="95"/>
        <v>80</v>
      </c>
      <c r="J1254" s="31">
        <f t="shared" si="96"/>
        <v>0</v>
      </c>
      <c r="K1254" s="29">
        <f t="shared" si="97"/>
        <v>9560</v>
      </c>
      <c r="L1254" s="31" t="str">
        <f t="shared" si="98"/>
        <v/>
      </c>
      <c r="M1254" s="31" t="str">
        <f t="shared" si="99"/>
        <v/>
      </c>
    </row>
    <row r="1255" spans="1:13" x14ac:dyDescent="0.15">
      <c r="A1255" s="163" t="s">
        <v>210</v>
      </c>
      <c r="B1255" s="163">
        <v>42310.479744895834</v>
      </c>
      <c r="C1255" s="164" t="s">
        <v>1449</v>
      </c>
      <c r="D1255" s="164" t="s">
        <v>15</v>
      </c>
      <c r="E1255" s="165">
        <v>500</v>
      </c>
      <c r="F1255" s="166">
        <v>15</v>
      </c>
      <c r="G1255" s="227">
        <f>IF($B$2,IF(ROWS(B$6:$B1255) = 1,$B1255-Start_Date,$B1255-$B1254),"")</f>
        <v>4.6601736103184521E-3</v>
      </c>
      <c r="H1255" s="29">
        <f>IF($B$2,IF(ROWS(B$6:$B1255) = 1,IF(COUNTIFS(R_Schedule_Times,"&lt;"&amp;B1255),INDEX(R_Schedule_Amounts,MATCH(B1255,R_Schedule_Times,1)),Starting_Cash),IF(COUNTIFS(R_Schedule_Times,"&gt;"&amp;B1254,R_Schedule_Times,"&lt;"&amp;B1255),INDEX(R_Schedule_Amounts,MATCH(B1255,R_Schedule_Times,1)),K1254)),"")</f>
        <v>9560</v>
      </c>
      <c r="I1255" s="30">
        <f t="shared" si="95"/>
        <v>500</v>
      </c>
      <c r="J1255" s="31">
        <f t="shared" si="96"/>
        <v>15</v>
      </c>
      <c r="K1255" s="29">
        <f t="shared" si="97"/>
        <v>9060</v>
      </c>
      <c r="L1255" s="31" t="str">
        <f t="shared" si="98"/>
        <v/>
      </c>
      <c r="M1255" s="31" t="str">
        <f t="shared" si="99"/>
        <v/>
      </c>
    </row>
    <row r="1256" spans="1:13" x14ac:dyDescent="0.15">
      <c r="A1256" s="163" t="s">
        <v>210</v>
      </c>
      <c r="B1256" s="163">
        <v>42310.485717777781</v>
      </c>
      <c r="C1256" s="164" t="s">
        <v>1450</v>
      </c>
      <c r="D1256" s="164" t="s">
        <v>13</v>
      </c>
      <c r="E1256" s="165">
        <v>80</v>
      </c>
      <c r="F1256" s="166">
        <v>0</v>
      </c>
      <c r="G1256" s="227">
        <f>IF($B$2,IF(ROWS(B$6:$B1256) = 1,$B1256-Start_Date,$B1256-$B1255),"")</f>
        <v>5.972881946945563E-3</v>
      </c>
      <c r="H1256" s="29">
        <f>IF($B$2,IF(ROWS(B$6:$B1256) = 1,IF(COUNTIFS(R_Schedule_Times,"&lt;"&amp;B1256),INDEX(R_Schedule_Amounts,MATCH(B1256,R_Schedule_Times,1)),Starting_Cash),IF(COUNTIFS(R_Schedule_Times,"&gt;"&amp;B1255,R_Schedule_Times,"&lt;"&amp;B1256),INDEX(R_Schedule_Amounts,MATCH(B1256,R_Schedule_Times,1)),K1255)),"")</f>
        <v>9060</v>
      </c>
      <c r="I1256" s="30">
        <f t="shared" si="95"/>
        <v>80</v>
      </c>
      <c r="J1256" s="31">
        <f t="shared" si="96"/>
        <v>0</v>
      </c>
      <c r="K1256" s="29">
        <f t="shared" si="97"/>
        <v>8980</v>
      </c>
      <c r="L1256" s="31" t="str">
        <f t="shared" si="98"/>
        <v/>
      </c>
      <c r="M1256" s="31" t="str">
        <f t="shared" si="99"/>
        <v/>
      </c>
    </row>
    <row r="1257" spans="1:13" x14ac:dyDescent="0.15">
      <c r="A1257" s="163" t="s">
        <v>210</v>
      </c>
      <c r="B1257" s="163">
        <v>42310.504081562503</v>
      </c>
      <c r="C1257" s="164" t="s">
        <v>1451</v>
      </c>
      <c r="D1257" s="164" t="s">
        <v>13</v>
      </c>
      <c r="E1257" s="165">
        <v>60</v>
      </c>
      <c r="F1257" s="166">
        <v>0</v>
      </c>
      <c r="G1257" s="227">
        <f>IF($B$2,IF(ROWS(B$6:$B1257) = 1,$B1257-Start_Date,$B1257-$B1256),"")</f>
        <v>1.836378472216893E-2</v>
      </c>
      <c r="H1257" s="29">
        <f>IF($B$2,IF(ROWS(B$6:$B1257) = 1,IF(COUNTIFS(R_Schedule_Times,"&lt;"&amp;B1257),INDEX(R_Schedule_Amounts,MATCH(B1257,R_Schedule_Times,1)),Starting_Cash),IF(COUNTIFS(R_Schedule_Times,"&gt;"&amp;B1256,R_Schedule_Times,"&lt;"&amp;B1257),INDEX(R_Schedule_Amounts,MATCH(B1257,R_Schedule_Times,1)),K1256)),"")</f>
        <v>8980</v>
      </c>
      <c r="I1257" s="30">
        <f t="shared" si="95"/>
        <v>60</v>
      </c>
      <c r="J1257" s="31">
        <f t="shared" si="96"/>
        <v>0</v>
      </c>
      <c r="K1257" s="29">
        <f t="shared" si="97"/>
        <v>8920</v>
      </c>
      <c r="L1257" s="31" t="str">
        <f t="shared" si="98"/>
        <v/>
      </c>
      <c r="M1257" s="31" t="str">
        <f t="shared" si="99"/>
        <v/>
      </c>
    </row>
    <row r="1258" spans="1:13" x14ac:dyDescent="0.15">
      <c r="A1258" s="163" t="s">
        <v>210</v>
      </c>
      <c r="B1258" s="163">
        <v>42310.511811261575</v>
      </c>
      <c r="C1258" s="164" t="s">
        <v>1452</v>
      </c>
      <c r="D1258" s="164" t="s">
        <v>13</v>
      </c>
      <c r="E1258" s="165">
        <v>100</v>
      </c>
      <c r="F1258" s="166">
        <v>0</v>
      </c>
      <c r="G1258" s="227">
        <f>IF($B$2,IF(ROWS(B$6:$B1258) = 1,$B1258-Start_Date,$B1258-$B1257),"")</f>
        <v>7.7296990712056868E-3</v>
      </c>
      <c r="H1258" s="29">
        <f>IF($B$2,IF(ROWS(B$6:$B1258) = 1,IF(COUNTIFS(R_Schedule_Times,"&lt;"&amp;B1258),INDEX(R_Schedule_Amounts,MATCH(B1258,R_Schedule_Times,1)),Starting_Cash),IF(COUNTIFS(R_Schedule_Times,"&gt;"&amp;B1257,R_Schedule_Times,"&lt;"&amp;B1258),INDEX(R_Schedule_Amounts,MATCH(B1258,R_Schedule_Times,1)),K1257)),"")</f>
        <v>8920</v>
      </c>
      <c r="I1258" s="30">
        <f t="shared" si="95"/>
        <v>100</v>
      </c>
      <c r="J1258" s="31">
        <f t="shared" si="96"/>
        <v>0</v>
      </c>
      <c r="K1258" s="29">
        <f t="shared" si="97"/>
        <v>8820</v>
      </c>
      <c r="L1258" s="31" t="str">
        <f t="shared" si="98"/>
        <v/>
      </c>
      <c r="M1258" s="31" t="str">
        <f t="shared" si="99"/>
        <v/>
      </c>
    </row>
    <row r="1259" spans="1:13" x14ac:dyDescent="0.15">
      <c r="A1259" s="163" t="s">
        <v>210</v>
      </c>
      <c r="B1259" s="163">
        <v>42310.513421331016</v>
      </c>
      <c r="C1259" s="164" t="s">
        <v>1453</v>
      </c>
      <c r="D1259" s="164" t="s">
        <v>13</v>
      </c>
      <c r="E1259" s="165">
        <v>60</v>
      </c>
      <c r="F1259" s="166">
        <v>0</v>
      </c>
      <c r="G1259" s="227">
        <f>IF($B$2,IF(ROWS(B$6:$B1259) = 1,$B1259-Start_Date,$B1259-$B1258),"")</f>
        <v>1.6100694410852157E-3</v>
      </c>
      <c r="H1259" s="29">
        <f>IF($B$2,IF(ROWS(B$6:$B1259) = 1,IF(COUNTIFS(R_Schedule_Times,"&lt;"&amp;B1259),INDEX(R_Schedule_Amounts,MATCH(B1259,R_Schedule_Times,1)),Starting_Cash),IF(COUNTIFS(R_Schedule_Times,"&gt;"&amp;B1258,R_Schedule_Times,"&lt;"&amp;B1259),INDEX(R_Schedule_Amounts,MATCH(B1259,R_Schedule_Times,1)),K1258)),"")</f>
        <v>8820</v>
      </c>
      <c r="I1259" s="30">
        <f t="shared" si="95"/>
        <v>60</v>
      </c>
      <c r="J1259" s="31">
        <f t="shared" si="96"/>
        <v>0</v>
      </c>
      <c r="K1259" s="29">
        <f t="shared" si="97"/>
        <v>8760</v>
      </c>
      <c r="L1259" s="31" t="str">
        <f t="shared" si="98"/>
        <v/>
      </c>
      <c r="M1259" s="31" t="str">
        <f t="shared" si="99"/>
        <v/>
      </c>
    </row>
    <row r="1260" spans="1:13" x14ac:dyDescent="0.15">
      <c r="A1260" s="163" t="s">
        <v>210</v>
      </c>
      <c r="B1260" s="163">
        <v>42310.526211122684</v>
      </c>
      <c r="C1260" s="164" t="s">
        <v>1079</v>
      </c>
      <c r="D1260" s="164" t="s">
        <v>13</v>
      </c>
      <c r="E1260" s="165">
        <v>180</v>
      </c>
      <c r="F1260" s="166">
        <v>0</v>
      </c>
      <c r="G1260" s="227">
        <f>IF($B$2,IF(ROWS(B$6:$B1260) = 1,$B1260-Start_Date,$B1260-$B1259),"")</f>
        <v>1.278979166818317E-2</v>
      </c>
      <c r="H1260" s="29">
        <f>IF($B$2,IF(ROWS(B$6:$B1260) = 1,IF(COUNTIFS(R_Schedule_Times,"&lt;"&amp;B1260),INDEX(R_Schedule_Amounts,MATCH(B1260,R_Schedule_Times,1)),Starting_Cash),IF(COUNTIFS(R_Schedule_Times,"&gt;"&amp;B1259,R_Schedule_Times,"&lt;"&amp;B1260),INDEX(R_Schedule_Amounts,MATCH(B1260,R_Schedule_Times,1)),K1259)),"")</f>
        <v>8760</v>
      </c>
      <c r="I1260" s="30">
        <f t="shared" si="95"/>
        <v>180</v>
      </c>
      <c r="J1260" s="31">
        <f t="shared" si="96"/>
        <v>0</v>
      </c>
      <c r="K1260" s="29">
        <f t="shared" si="97"/>
        <v>8580</v>
      </c>
      <c r="L1260" s="31" t="str">
        <f t="shared" si="98"/>
        <v/>
      </c>
      <c r="M1260" s="31" t="str">
        <f t="shared" si="99"/>
        <v/>
      </c>
    </row>
    <row r="1261" spans="1:13" x14ac:dyDescent="0.15">
      <c r="A1261" s="163" t="s">
        <v>210</v>
      </c>
      <c r="B1261" s="163">
        <v>42310.533539456017</v>
      </c>
      <c r="C1261" s="164" t="s">
        <v>399</v>
      </c>
      <c r="D1261" s="164" t="s">
        <v>13</v>
      </c>
      <c r="E1261" s="165">
        <v>40</v>
      </c>
      <c r="F1261" s="166">
        <v>0</v>
      </c>
      <c r="G1261" s="227">
        <f>IF($B$2,IF(ROWS(B$6:$B1261) = 1,$B1261-Start_Date,$B1261-$B1260),"")</f>
        <v>7.3283333331346512E-3</v>
      </c>
      <c r="H1261" s="29">
        <f>IF($B$2,IF(ROWS(B$6:$B1261) = 1,IF(COUNTIFS(R_Schedule_Times,"&lt;"&amp;B1261),INDEX(R_Schedule_Amounts,MATCH(B1261,R_Schedule_Times,1)),Starting_Cash),IF(COUNTIFS(R_Schedule_Times,"&gt;"&amp;B1260,R_Schedule_Times,"&lt;"&amp;B1261),INDEX(R_Schedule_Amounts,MATCH(B1261,R_Schedule_Times,1)),K1260)),"")</f>
        <v>8580</v>
      </c>
      <c r="I1261" s="30">
        <f t="shared" si="95"/>
        <v>40</v>
      </c>
      <c r="J1261" s="31">
        <f t="shared" si="96"/>
        <v>0</v>
      </c>
      <c r="K1261" s="29">
        <f t="shared" si="97"/>
        <v>8540</v>
      </c>
      <c r="L1261" s="31" t="str">
        <f t="shared" si="98"/>
        <v/>
      </c>
      <c r="M1261" s="31" t="str">
        <f t="shared" si="99"/>
        <v/>
      </c>
    </row>
    <row r="1262" spans="1:13" x14ac:dyDescent="0.15">
      <c r="A1262" s="163" t="s">
        <v>210</v>
      </c>
      <c r="B1262" s="163">
        <v>42310.536085729167</v>
      </c>
      <c r="C1262" s="164" t="s">
        <v>1454</v>
      </c>
      <c r="D1262" s="164" t="s">
        <v>13</v>
      </c>
      <c r="E1262" s="165">
        <v>100</v>
      </c>
      <c r="F1262" s="166">
        <v>0</v>
      </c>
      <c r="G1262" s="227">
        <f>IF($B$2,IF(ROWS(B$6:$B1262) = 1,$B1262-Start_Date,$B1262-$B1261),"")</f>
        <v>2.54627315007383E-3</v>
      </c>
      <c r="H1262" s="29">
        <f>IF($B$2,IF(ROWS(B$6:$B1262) = 1,IF(COUNTIFS(R_Schedule_Times,"&lt;"&amp;B1262),INDEX(R_Schedule_Amounts,MATCH(B1262,R_Schedule_Times,1)),Starting_Cash),IF(COUNTIFS(R_Schedule_Times,"&gt;"&amp;B1261,R_Schedule_Times,"&lt;"&amp;B1262),INDEX(R_Schedule_Amounts,MATCH(B1262,R_Schedule_Times,1)),K1261)),"")</f>
        <v>8540</v>
      </c>
      <c r="I1262" s="30">
        <f t="shared" si="95"/>
        <v>100</v>
      </c>
      <c r="J1262" s="31">
        <f t="shared" si="96"/>
        <v>0</v>
      </c>
      <c r="K1262" s="29">
        <f t="shared" si="97"/>
        <v>8440</v>
      </c>
      <c r="L1262" s="31" t="str">
        <f t="shared" si="98"/>
        <v/>
      </c>
      <c r="M1262" s="31" t="str">
        <f t="shared" si="99"/>
        <v/>
      </c>
    </row>
    <row r="1263" spans="1:13" x14ac:dyDescent="0.15">
      <c r="A1263" s="163" t="s">
        <v>210</v>
      </c>
      <c r="B1263" s="163">
        <v>42310.536812048609</v>
      </c>
      <c r="C1263" s="164" t="s">
        <v>1455</v>
      </c>
      <c r="D1263" s="164" t="s">
        <v>13</v>
      </c>
      <c r="E1263" s="165">
        <v>100</v>
      </c>
      <c r="F1263" s="166">
        <v>0</v>
      </c>
      <c r="G1263" s="227">
        <f>IF($B$2,IF(ROWS(B$6:$B1263) = 1,$B1263-Start_Date,$B1263-$B1262),"")</f>
        <v>7.2631944203749299E-4</v>
      </c>
      <c r="H1263" s="29">
        <f>IF($B$2,IF(ROWS(B$6:$B1263) = 1,IF(COUNTIFS(R_Schedule_Times,"&lt;"&amp;B1263),INDEX(R_Schedule_Amounts,MATCH(B1263,R_Schedule_Times,1)),Starting_Cash),IF(COUNTIFS(R_Schedule_Times,"&gt;"&amp;B1262,R_Schedule_Times,"&lt;"&amp;B1263),INDEX(R_Schedule_Amounts,MATCH(B1263,R_Schedule_Times,1)),K1262)),"")</f>
        <v>8440</v>
      </c>
      <c r="I1263" s="30">
        <f t="shared" si="95"/>
        <v>100</v>
      </c>
      <c r="J1263" s="31">
        <f t="shared" si="96"/>
        <v>0</v>
      </c>
      <c r="K1263" s="29">
        <f t="shared" si="97"/>
        <v>8340</v>
      </c>
      <c r="L1263" s="31" t="str">
        <f t="shared" si="98"/>
        <v/>
      </c>
      <c r="M1263" s="31" t="str">
        <f t="shared" si="99"/>
        <v/>
      </c>
    </row>
    <row r="1264" spans="1:13" x14ac:dyDescent="0.15">
      <c r="A1264" s="163" t="s">
        <v>210</v>
      </c>
      <c r="B1264" s="163">
        <v>42310.538677557874</v>
      </c>
      <c r="C1264" s="164" t="s">
        <v>1456</v>
      </c>
      <c r="D1264" s="164" t="s">
        <v>13</v>
      </c>
      <c r="E1264" s="165">
        <v>20</v>
      </c>
      <c r="F1264" s="166">
        <v>0</v>
      </c>
      <c r="G1264" s="227">
        <f>IF($B$2,IF(ROWS(B$6:$B1264) = 1,$B1264-Start_Date,$B1264-$B1263),"")</f>
        <v>1.8655092644621618E-3</v>
      </c>
      <c r="H1264" s="29">
        <f>IF($B$2,IF(ROWS(B$6:$B1264) = 1,IF(COUNTIFS(R_Schedule_Times,"&lt;"&amp;B1264),INDEX(R_Schedule_Amounts,MATCH(B1264,R_Schedule_Times,1)),Starting_Cash),IF(COUNTIFS(R_Schedule_Times,"&gt;"&amp;B1263,R_Schedule_Times,"&lt;"&amp;B1264),INDEX(R_Schedule_Amounts,MATCH(B1264,R_Schedule_Times,1)),K1263)),"")</f>
        <v>8340</v>
      </c>
      <c r="I1264" s="30">
        <f t="shared" si="95"/>
        <v>20</v>
      </c>
      <c r="J1264" s="31">
        <f t="shared" si="96"/>
        <v>0</v>
      </c>
      <c r="K1264" s="29">
        <f t="shared" si="97"/>
        <v>8320</v>
      </c>
      <c r="L1264" s="31" t="str">
        <f t="shared" si="98"/>
        <v/>
      </c>
      <c r="M1264" s="31" t="str">
        <f t="shared" si="99"/>
        <v/>
      </c>
    </row>
    <row r="1265" spans="1:13" x14ac:dyDescent="0.15">
      <c r="A1265" s="163" t="s">
        <v>210</v>
      </c>
      <c r="B1265" s="163">
        <v>42310.547086388891</v>
      </c>
      <c r="C1265" s="164" t="s">
        <v>1457</v>
      </c>
      <c r="D1265" s="164" t="s">
        <v>13</v>
      </c>
      <c r="E1265" s="165">
        <v>200</v>
      </c>
      <c r="F1265" s="166">
        <v>0</v>
      </c>
      <c r="G1265" s="227">
        <f>IF($B$2,IF(ROWS(B$6:$B1265) = 1,$B1265-Start_Date,$B1265-$B1264),"")</f>
        <v>8.4088310177321546E-3</v>
      </c>
      <c r="H1265" s="29">
        <f>IF($B$2,IF(ROWS(B$6:$B1265) = 1,IF(COUNTIFS(R_Schedule_Times,"&lt;"&amp;B1265),INDEX(R_Schedule_Amounts,MATCH(B1265,R_Schedule_Times,1)),Starting_Cash),IF(COUNTIFS(R_Schedule_Times,"&gt;"&amp;B1264,R_Schedule_Times,"&lt;"&amp;B1265),INDEX(R_Schedule_Amounts,MATCH(B1265,R_Schedule_Times,1)),K1264)),"")</f>
        <v>8320</v>
      </c>
      <c r="I1265" s="30">
        <f t="shared" si="95"/>
        <v>200</v>
      </c>
      <c r="J1265" s="31">
        <f t="shared" si="96"/>
        <v>0</v>
      </c>
      <c r="K1265" s="29">
        <f t="shared" si="97"/>
        <v>8120</v>
      </c>
      <c r="L1265" s="31" t="str">
        <f t="shared" si="98"/>
        <v/>
      </c>
      <c r="M1265" s="31" t="str">
        <f t="shared" si="99"/>
        <v/>
      </c>
    </row>
    <row r="1266" spans="1:13" x14ac:dyDescent="0.15">
      <c r="A1266" s="163" t="s">
        <v>210</v>
      </c>
      <c r="B1266" s="163">
        <v>42310.553062002313</v>
      </c>
      <c r="C1266" s="164" t="s">
        <v>14</v>
      </c>
      <c r="D1266" s="164" t="s">
        <v>13</v>
      </c>
      <c r="E1266" s="165">
        <v>200</v>
      </c>
      <c r="F1266" s="166">
        <v>3.5</v>
      </c>
      <c r="G1266" s="227">
        <f>IF($B$2,IF(ROWS(B$6:$B1266) = 1,$B1266-Start_Date,$B1266-$B1265),"")</f>
        <v>5.9756134214694612E-3</v>
      </c>
      <c r="H1266" s="29">
        <f>IF($B$2,IF(ROWS(B$6:$B1266) = 1,IF(COUNTIFS(R_Schedule_Times,"&lt;"&amp;B1266),INDEX(R_Schedule_Amounts,MATCH(B1266,R_Schedule_Times,1)),Starting_Cash),IF(COUNTIFS(R_Schedule_Times,"&gt;"&amp;B1265,R_Schedule_Times,"&lt;"&amp;B1266),INDEX(R_Schedule_Amounts,MATCH(B1266,R_Schedule_Times,1)),K1265)),"")</f>
        <v>8120</v>
      </c>
      <c r="I1266" s="30">
        <f t="shared" si="95"/>
        <v>200</v>
      </c>
      <c r="J1266" s="31">
        <f t="shared" si="96"/>
        <v>3.5</v>
      </c>
      <c r="K1266" s="29">
        <f t="shared" si="97"/>
        <v>7920</v>
      </c>
      <c r="L1266" s="31" t="str">
        <f t="shared" si="98"/>
        <v/>
      </c>
      <c r="M1266" s="31" t="str">
        <f t="shared" si="99"/>
        <v/>
      </c>
    </row>
    <row r="1267" spans="1:13" x14ac:dyDescent="0.15">
      <c r="A1267" s="163" t="s">
        <v>210</v>
      </c>
      <c r="B1267" s="163">
        <v>42310.561144664352</v>
      </c>
      <c r="C1267" s="164" t="s">
        <v>400</v>
      </c>
      <c r="D1267" s="164" t="s">
        <v>13</v>
      </c>
      <c r="E1267" s="165">
        <v>340</v>
      </c>
      <c r="F1267" s="166">
        <v>0</v>
      </c>
      <c r="G1267" s="227">
        <f>IF($B$2,IF(ROWS(B$6:$B1267) = 1,$B1267-Start_Date,$B1267-$B1266),"")</f>
        <v>8.0826620396692306E-3</v>
      </c>
      <c r="H1267" s="29">
        <f>IF($B$2,IF(ROWS(B$6:$B1267) = 1,IF(COUNTIFS(R_Schedule_Times,"&lt;"&amp;B1267),INDEX(R_Schedule_Amounts,MATCH(B1267,R_Schedule_Times,1)),Starting_Cash),IF(COUNTIFS(R_Schedule_Times,"&gt;"&amp;B1266,R_Schedule_Times,"&lt;"&amp;B1267),INDEX(R_Schedule_Amounts,MATCH(B1267,R_Schedule_Times,1)),K1266)),"")</f>
        <v>7920</v>
      </c>
      <c r="I1267" s="30">
        <f t="shared" si="95"/>
        <v>340</v>
      </c>
      <c r="J1267" s="31">
        <f t="shared" si="96"/>
        <v>0</v>
      </c>
      <c r="K1267" s="29">
        <f t="shared" si="97"/>
        <v>7580</v>
      </c>
      <c r="L1267" s="31" t="str">
        <f t="shared" si="98"/>
        <v/>
      </c>
      <c r="M1267" s="31" t="str">
        <f t="shared" si="99"/>
        <v/>
      </c>
    </row>
    <row r="1268" spans="1:13" x14ac:dyDescent="0.15">
      <c r="A1268" s="163" t="s">
        <v>210</v>
      </c>
      <c r="B1268" s="163">
        <v>42310.590542013888</v>
      </c>
      <c r="C1268" s="164" t="s">
        <v>14</v>
      </c>
      <c r="D1268" s="164" t="s">
        <v>13</v>
      </c>
      <c r="E1268" s="165">
        <v>100</v>
      </c>
      <c r="F1268" s="166">
        <v>3.5</v>
      </c>
      <c r="G1268" s="227">
        <f>IF($B$2,IF(ROWS(B$6:$B1268) = 1,$B1268-Start_Date,$B1268-$B1267),"")</f>
        <v>2.9397349535429385E-2</v>
      </c>
      <c r="H1268" s="29">
        <f>IF($B$2,IF(ROWS(B$6:$B1268) = 1,IF(COUNTIFS(R_Schedule_Times,"&lt;"&amp;B1268),INDEX(R_Schedule_Amounts,MATCH(B1268,R_Schedule_Times,1)),Starting_Cash),IF(COUNTIFS(R_Schedule_Times,"&gt;"&amp;B1267,R_Schedule_Times,"&lt;"&amp;B1268),INDEX(R_Schedule_Amounts,MATCH(B1268,R_Schedule_Times,1)),K1267)),"")</f>
        <v>7580</v>
      </c>
      <c r="I1268" s="30">
        <f t="shared" si="95"/>
        <v>100</v>
      </c>
      <c r="J1268" s="31">
        <f t="shared" si="96"/>
        <v>3.5</v>
      </c>
      <c r="K1268" s="29">
        <f t="shared" si="97"/>
        <v>7480</v>
      </c>
      <c r="L1268" s="31" t="str">
        <f t="shared" si="98"/>
        <v/>
      </c>
      <c r="M1268" s="31" t="str">
        <f t="shared" si="99"/>
        <v/>
      </c>
    </row>
    <row r="1269" spans="1:13" x14ac:dyDescent="0.15">
      <c r="A1269" s="163" t="s">
        <v>210</v>
      </c>
      <c r="B1269" s="163">
        <v>42310.591055254627</v>
      </c>
      <c r="C1269" s="164" t="s">
        <v>1458</v>
      </c>
      <c r="D1269" s="164" t="s">
        <v>13</v>
      </c>
      <c r="E1269" s="165">
        <v>100</v>
      </c>
      <c r="F1269" s="166">
        <v>0</v>
      </c>
      <c r="G1269" s="227">
        <f>IF($B$2,IF(ROWS(B$6:$B1269) = 1,$B1269-Start_Date,$B1269-$B1268),"")</f>
        <v>5.1324073865544051E-4</v>
      </c>
      <c r="H1269" s="29">
        <f>IF($B$2,IF(ROWS(B$6:$B1269) = 1,IF(COUNTIFS(R_Schedule_Times,"&lt;"&amp;B1269),INDEX(R_Schedule_Amounts,MATCH(B1269,R_Schedule_Times,1)),Starting_Cash),IF(COUNTIFS(R_Schedule_Times,"&gt;"&amp;B1268,R_Schedule_Times,"&lt;"&amp;B1269),INDEX(R_Schedule_Amounts,MATCH(B1269,R_Schedule_Times,1)),K1268)),"")</f>
        <v>7480</v>
      </c>
      <c r="I1269" s="30">
        <f t="shared" si="95"/>
        <v>100</v>
      </c>
      <c r="J1269" s="31">
        <f t="shared" si="96"/>
        <v>0</v>
      </c>
      <c r="K1269" s="29">
        <f t="shared" si="97"/>
        <v>7380</v>
      </c>
      <c r="L1269" s="31" t="str">
        <f t="shared" si="98"/>
        <v/>
      </c>
      <c r="M1269" s="31" t="str">
        <f t="shared" si="99"/>
        <v/>
      </c>
    </row>
    <row r="1270" spans="1:13" x14ac:dyDescent="0.15">
      <c r="A1270" s="163" t="s">
        <v>210</v>
      </c>
      <c r="B1270" s="163">
        <v>42310.605390925928</v>
      </c>
      <c r="C1270" s="164" t="s">
        <v>1459</v>
      </c>
      <c r="D1270" s="164" t="s">
        <v>13</v>
      </c>
      <c r="E1270" s="165">
        <v>40</v>
      </c>
      <c r="F1270" s="166">
        <v>0</v>
      </c>
      <c r="G1270" s="227">
        <f>IF($B$2,IF(ROWS(B$6:$B1270) = 1,$B1270-Start_Date,$B1270-$B1269),"")</f>
        <v>1.4335671301523689E-2</v>
      </c>
      <c r="H1270" s="29">
        <f>IF($B$2,IF(ROWS(B$6:$B1270) = 1,IF(COUNTIFS(R_Schedule_Times,"&lt;"&amp;B1270),INDEX(R_Schedule_Amounts,MATCH(B1270,R_Schedule_Times,1)),Starting_Cash),IF(COUNTIFS(R_Schedule_Times,"&gt;"&amp;B1269,R_Schedule_Times,"&lt;"&amp;B1270),INDEX(R_Schedule_Amounts,MATCH(B1270,R_Schedule_Times,1)),K1269)),"")</f>
        <v>7380</v>
      </c>
      <c r="I1270" s="30">
        <f t="shared" si="95"/>
        <v>40</v>
      </c>
      <c r="J1270" s="31">
        <f t="shared" si="96"/>
        <v>0</v>
      </c>
      <c r="K1270" s="29">
        <f t="shared" si="97"/>
        <v>7340</v>
      </c>
      <c r="L1270" s="31" t="str">
        <f t="shared" si="98"/>
        <v/>
      </c>
      <c r="M1270" s="31" t="str">
        <f t="shared" si="99"/>
        <v/>
      </c>
    </row>
    <row r="1271" spans="1:13" x14ac:dyDescent="0.15">
      <c r="A1271" s="163" t="s">
        <v>210</v>
      </c>
      <c r="B1271" s="163">
        <v>42310.636389537038</v>
      </c>
      <c r="C1271" s="164" t="s">
        <v>1460</v>
      </c>
      <c r="D1271" s="164" t="s">
        <v>13</v>
      </c>
      <c r="E1271" s="165">
        <v>40</v>
      </c>
      <c r="F1271" s="166">
        <v>0</v>
      </c>
      <c r="G1271" s="227">
        <f>IF($B$2,IF(ROWS(B$6:$B1271) = 1,$B1271-Start_Date,$B1271-$B1270),"")</f>
        <v>3.0998611109680496E-2</v>
      </c>
      <c r="H1271" s="29">
        <f>IF($B$2,IF(ROWS(B$6:$B1271) = 1,IF(COUNTIFS(R_Schedule_Times,"&lt;"&amp;B1271),INDEX(R_Schedule_Amounts,MATCH(B1271,R_Schedule_Times,1)),Starting_Cash),IF(COUNTIFS(R_Schedule_Times,"&gt;"&amp;B1270,R_Schedule_Times,"&lt;"&amp;B1271),INDEX(R_Schedule_Amounts,MATCH(B1271,R_Schedule_Times,1)),K1270)),"")</f>
        <v>7340</v>
      </c>
      <c r="I1271" s="30">
        <f t="shared" si="95"/>
        <v>40</v>
      </c>
      <c r="J1271" s="31">
        <f t="shared" si="96"/>
        <v>0</v>
      </c>
      <c r="K1271" s="29">
        <f t="shared" si="97"/>
        <v>7300</v>
      </c>
      <c r="L1271" s="31" t="str">
        <f t="shared" si="98"/>
        <v/>
      </c>
      <c r="M1271" s="31" t="str">
        <f t="shared" si="99"/>
        <v/>
      </c>
    </row>
    <row r="1272" spans="1:13" x14ac:dyDescent="0.15">
      <c r="A1272" s="163" t="s">
        <v>210</v>
      </c>
      <c r="B1272" s="163">
        <v>42310.652418958336</v>
      </c>
      <c r="C1272" s="164" t="s">
        <v>1461</v>
      </c>
      <c r="D1272" s="164" t="s">
        <v>13</v>
      </c>
      <c r="E1272" s="165">
        <v>20</v>
      </c>
      <c r="F1272" s="166">
        <v>0</v>
      </c>
      <c r="G1272" s="227">
        <f>IF($B$2,IF(ROWS(B$6:$B1272) = 1,$B1272-Start_Date,$B1272-$B1271),"")</f>
        <v>1.6029421298298985E-2</v>
      </c>
      <c r="H1272" s="29">
        <f>IF($B$2,IF(ROWS(B$6:$B1272) = 1,IF(COUNTIFS(R_Schedule_Times,"&lt;"&amp;B1272),INDEX(R_Schedule_Amounts,MATCH(B1272,R_Schedule_Times,1)),Starting_Cash),IF(COUNTIFS(R_Schedule_Times,"&gt;"&amp;B1271,R_Schedule_Times,"&lt;"&amp;B1272),INDEX(R_Schedule_Amounts,MATCH(B1272,R_Schedule_Times,1)),K1271)),"")</f>
        <v>7300</v>
      </c>
      <c r="I1272" s="30">
        <f t="shared" si="95"/>
        <v>20</v>
      </c>
      <c r="J1272" s="31">
        <f t="shared" si="96"/>
        <v>0</v>
      </c>
      <c r="K1272" s="29">
        <f t="shared" si="97"/>
        <v>7280</v>
      </c>
      <c r="L1272" s="31" t="str">
        <f t="shared" si="98"/>
        <v/>
      </c>
      <c r="M1272" s="31" t="str">
        <f t="shared" si="99"/>
        <v/>
      </c>
    </row>
    <row r="1273" spans="1:13" x14ac:dyDescent="0.15">
      <c r="A1273" s="163" t="s">
        <v>210</v>
      </c>
      <c r="B1273" s="163">
        <v>42310.662965509262</v>
      </c>
      <c r="C1273" s="164" t="s">
        <v>1462</v>
      </c>
      <c r="D1273" s="164" t="s">
        <v>13</v>
      </c>
      <c r="E1273" s="165">
        <v>100</v>
      </c>
      <c r="F1273" s="166">
        <v>0</v>
      </c>
      <c r="G1273" s="227">
        <f>IF($B$2,IF(ROWS(B$6:$B1273) = 1,$B1273-Start_Date,$B1273-$B1272),"")</f>
        <v>1.0546550925937481E-2</v>
      </c>
      <c r="H1273" s="29">
        <f>IF($B$2,IF(ROWS(B$6:$B1273) = 1,IF(COUNTIFS(R_Schedule_Times,"&lt;"&amp;B1273),INDEX(R_Schedule_Amounts,MATCH(B1273,R_Schedule_Times,1)),Starting_Cash),IF(COUNTIFS(R_Schedule_Times,"&gt;"&amp;B1272,R_Schedule_Times,"&lt;"&amp;B1273),INDEX(R_Schedule_Amounts,MATCH(B1273,R_Schedule_Times,1)),K1272)),"")</f>
        <v>7280</v>
      </c>
      <c r="I1273" s="30">
        <f t="shared" si="95"/>
        <v>100</v>
      </c>
      <c r="J1273" s="31">
        <f t="shared" si="96"/>
        <v>0</v>
      </c>
      <c r="K1273" s="29">
        <f t="shared" si="97"/>
        <v>7180</v>
      </c>
      <c r="L1273" s="31" t="str">
        <f t="shared" si="98"/>
        <v/>
      </c>
      <c r="M1273" s="31" t="str">
        <f t="shared" si="99"/>
        <v/>
      </c>
    </row>
    <row r="1274" spans="1:13" x14ac:dyDescent="0.15">
      <c r="A1274" s="163" t="s">
        <v>210</v>
      </c>
      <c r="B1274" s="163">
        <v>42310.676569444448</v>
      </c>
      <c r="C1274" s="164" t="s">
        <v>584</v>
      </c>
      <c r="D1274" s="164" t="s">
        <v>13</v>
      </c>
      <c r="E1274" s="165">
        <v>100</v>
      </c>
      <c r="F1274" s="166">
        <v>0</v>
      </c>
      <c r="G1274" s="227">
        <f>IF($B$2,IF(ROWS(B$6:$B1274) = 1,$B1274-Start_Date,$B1274-$B1273),"")</f>
        <v>1.3603935185528826E-2</v>
      </c>
      <c r="H1274" s="29">
        <f>IF($B$2,IF(ROWS(B$6:$B1274) = 1,IF(COUNTIFS(R_Schedule_Times,"&lt;"&amp;B1274),INDEX(R_Schedule_Amounts,MATCH(B1274,R_Schedule_Times,1)),Starting_Cash),IF(COUNTIFS(R_Schedule_Times,"&gt;"&amp;B1273,R_Schedule_Times,"&lt;"&amp;B1274),INDEX(R_Schedule_Amounts,MATCH(B1274,R_Schedule_Times,1)),K1273)),"")</f>
        <v>7180</v>
      </c>
      <c r="I1274" s="30">
        <f t="shared" si="95"/>
        <v>100</v>
      </c>
      <c r="J1274" s="31">
        <f t="shared" si="96"/>
        <v>0</v>
      </c>
      <c r="K1274" s="29">
        <f t="shared" si="97"/>
        <v>7080</v>
      </c>
      <c r="L1274" s="31" t="str">
        <f t="shared" si="98"/>
        <v/>
      </c>
      <c r="M1274" s="31" t="str">
        <f t="shared" si="99"/>
        <v/>
      </c>
    </row>
    <row r="1275" spans="1:13" x14ac:dyDescent="0.15">
      <c r="A1275" s="163" t="s">
        <v>210</v>
      </c>
      <c r="B1275" s="163">
        <v>42310.692265925929</v>
      </c>
      <c r="C1275" s="164" t="s">
        <v>1463</v>
      </c>
      <c r="D1275" s="164" t="s">
        <v>13</v>
      </c>
      <c r="E1275" s="165">
        <v>100</v>
      </c>
      <c r="F1275" s="166">
        <v>0</v>
      </c>
      <c r="G1275" s="227">
        <f>IF($B$2,IF(ROWS(B$6:$B1275) = 1,$B1275-Start_Date,$B1275-$B1274),"")</f>
        <v>1.5696481481427327E-2</v>
      </c>
      <c r="H1275" s="29">
        <f>IF($B$2,IF(ROWS(B$6:$B1275) = 1,IF(COUNTIFS(R_Schedule_Times,"&lt;"&amp;B1275),INDEX(R_Schedule_Amounts,MATCH(B1275,R_Schedule_Times,1)),Starting_Cash),IF(COUNTIFS(R_Schedule_Times,"&gt;"&amp;B1274,R_Schedule_Times,"&lt;"&amp;B1275),INDEX(R_Schedule_Amounts,MATCH(B1275,R_Schedule_Times,1)),K1274)),"")</f>
        <v>7080</v>
      </c>
      <c r="I1275" s="30">
        <f t="shared" si="95"/>
        <v>100</v>
      </c>
      <c r="J1275" s="31">
        <f t="shared" si="96"/>
        <v>0</v>
      </c>
      <c r="K1275" s="29">
        <f t="shared" si="97"/>
        <v>6980</v>
      </c>
      <c r="L1275" s="31" t="str">
        <f t="shared" si="98"/>
        <v/>
      </c>
      <c r="M1275" s="31" t="str">
        <f t="shared" si="99"/>
        <v/>
      </c>
    </row>
    <row r="1276" spans="1:13" x14ac:dyDescent="0.15">
      <c r="A1276" s="163" t="s">
        <v>210</v>
      </c>
      <c r="B1276" s="163">
        <v>42310.711061631948</v>
      </c>
      <c r="C1276" s="164" t="s">
        <v>1464</v>
      </c>
      <c r="D1276" s="164" t="s">
        <v>13</v>
      </c>
      <c r="E1276" s="165">
        <v>40</v>
      </c>
      <c r="F1276" s="166">
        <v>0</v>
      </c>
      <c r="G1276" s="227">
        <f>IF($B$2,IF(ROWS(B$6:$B1276) = 1,$B1276-Start_Date,$B1276-$B1275),"")</f>
        <v>1.8795706018863712E-2</v>
      </c>
      <c r="H1276" s="29">
        <f>IF($B$2,IF(ROWS(B$6:$B1276) = 1,IF(COUNTIFS(R_Schedule_Times,"&lt;"&amp;B1276),INDEX(R_Schedule_Amounts,MATCH(B1276,R_Schedule_Times,1)),Starting_Cash),IF(COUNTIFS(R_Schedule_Times,"&gt;"&amp;B1275,R_Schedule_Times,"&lt;"&amp;B1276),INDEX(R_Schedule_Amounts,MATCH(B1276,R_Schedule_Times,1)),K1275)),"")</f>
        <v>6980</v>
      </c>
      <c r="I1276" s="30">
        <f t="shared" si="95"/>
        <v>40</v>
      </c>
      <c r="J1276" s="31">
        <f t="shared" si="96"/>
        <v>0</v>
      </c>
      <c r="K1276" s="29">
        <f t="shared" si="97"/>
        <v>6940</v>
      </c>
      <c r="L1276" s="31" t="str">
        <f t="shared" si="98"/>
        <v/>
      </c>
      <c r="M1276" s="31" t="str">
        <f t="shared" si="99"/>
        <v/>
      </c>
    </row>
    <row r="1277" spans="1:13" x14ac:dyDescent="0.15">
      <c r="A1277" s="163" t="s">
        <v>210</v>
      </c>
      <c r="B1277" s="163">
        <v>42310.72451216435</v>
      </c>
      <c r="C1277" s="164" t="s">
        <v>1465</v>
      </c>
      <c r="D1277" s="164" t="s">
        <v>13</v>
      </c>
      <c r="E1277" s="165">
        <v>100</v>
      </c>
      <c r="F1277" s="166">
        <v>0</v>
      </c>
      <c r="G1277" s="227">
        <f>IF($B$2,IF(ROWS(B$6:$B1277) = 1,$B1277-Start_Date,$B1277-$B1276),"")</f>
        <v>1.3450532402202953E-2</v>
      </c>
      <c r="H1277" s="29">
        <f>IF($B$2,IF(ROWS(B$6:$B1277) = 1,IF(COUNTIFS(R_Schedule_Times,"&lt;"&amp;B1277),INDEX(R_Schedule_Amounts,MATCH(B1277,R_Schedule_Times,1)),Starting_Cash),IF(COUNTIFS(R_Schedule_Times,"&gt;"&amp;B1276,R_Schedule_Times,"&lt;"&amp;B1277),INDEX(R_Schedule_Amounts,MATCH(B1277,R_Schedule_Times,1)),K1276)),"")</f>
        <v>6940</v>
      </c>
      <c r="I1277" s="30">
        <f t="shared" si="95"/>
        <v>100</v>
      </c>
      <c r="J1277" s="31">
        <f t="shared" si="96"/>
        <v>0</v>
      </c>
      <c r="K1277" s="29">
        <f t="shared" si="97"/>
        <v>6840</v>
      </c>
      <c r="L1277" s="31" t="str">
        <f t="shared" si="98"/>
        <v/>
      </c>
      <c r="M1277" s="31" t="str">
        <f t="shared" si="99"/>
        <v/>
      </c>
    </row>
    <row r="1278" spans="1:13" x14ac:dyDescent="0.15">
      <c r="A1278" s="163" t="s">
        <v>210</v>
      </c>
      <c r="B1278" s="163">
        <v>42310.726877986112</v>
      </c>
      <c r="C1278" s="164" t="s">
        <v>1466</v>
      </c>
      <c r="D1278" s="164" t="s">
        <v>13</v>
      </c>
      <c r="E1278" s="165">
        <v>100</v>
      </c>
      <c r="F1278" s="166">
        <v>0</v>
      </c>
      <c r="G1278" s="227">
        <f>IF($B$2,IF(ROWS(B$6:$B1278) = 1,$B1278-Start_Date,$B1278-$B1277),"")</f>
        <v>2.3658217614865862E-3</v>
      </c>
      <c r="H1278" s="29">
        <f>IF($B$2,IF(ROWS(B$6:$B1278) = 1,IF(COUNTIFS(R_Schedule_Times,"&lt;"&amp;B1278),INDEX(R_Schedule_Amounts,MATCH(B1278,R_Schedule_Times,1)),Starting_Cash),IF(COUNTIFS(R_Schedule_Times,"&gt;"&amp;B1277,R_Schedule_Times,"&lt;"&amp;B1278),INDEX(R_Schedule_Amounts,MATCH(B1278,R_Schedule_Times,1)),K1277)),"")</f>
        <v>6840</v>
      </c>
      <c r="I1278" s="30">
        <f t="shared" si="95"/>
        <v>100</v>
      </c>
      <c r="J1278" s="31">
        <f t="shared" si="96"/>
        <v>0</v>
      </c>
      <c r="K1278" s="29">
        <f t="shared" si="97"/>
        <v>6740</v>
      </c>
      <c r="L1278" s="31" t="str">
        <f t="shared" si="98"/>
        <v/>
      </c>
      <c r="M1278" s="31" t="str">
        <f t="shared" si="99"/>
        <v/>
      </c>
    </row>
    <row r="1279" spans="1:13" x14ac:dyDescent="0.15">
      <c r="A1279" s="163" t="s">
        <v>210</v>
      </c>
      <c r="B1279" s="163">
        <v>42310.728521203702</v>
      </c>
      <c r="C1279" s="164" t="s">
        <v>1467</v>
      </c>
      <c r="D1279" s="164" t="s">
        <v>13</v>
      </c>
      <c r="E1279" s="165">
        <v>60</v>
      </c>
      <c r="F1279" s="166">
        <v>0</v>
      </c>
      <c r="G1279" s="227">
        <f>IF($B$2,IF(ROWS(B$6:$B1279) = 1,$B1279-Start_Date,$B1279-$B1278),"")</f>
        <v>1.6432175907539204E-3</v>
      </c>
      <c r="H1279" s="29">
        <f>IF($B$2,IF(ROWS(B$6:$B1279) = 1,IF(COUNTIFS(R_Schedule_Times,"&lt;"&amp;B1279),INDEX(R_Schedule_Amounts,MATCH(B1279,R_Schedule_Times,1)),Starting_Cash),IF(COUNTIFS(R_Schedule_Times,"&gt;"&amp;B1278,R_Schedule_Times,"&lt;"&amp;B1279),INDEX(R_Schedule_Amounts,MATCH(B1279,R_Schedule_Times,1)),K1278)),"")</f>
        <v>6740</v>
      </c>
      <c r="I1279" s="30">
        <f t="shared" si="95"/>
        <v>60</v>
      </c>
      <c r="J1279" s="31">
        <f t="shared" si="96"/>
        <v>0</v>
      </c>
      <c r="K1279" s="29">
        <f t="shared" si="97"/>
        <v>6680</v>
      </c>
      <c r="L1279" s="31" t="str">
        <f t="shared" si="98"/>
        <v/>
      </c>
      <c r="M1279" s="31" t="str">
        <f t="shared" si="99"/>
        <v/>
      </c>
    </row>
    <row r="1280" spans="1:13" x14ac:dyDescent="0.15">
      <c r="A1280" s="163" t="s">
        <v>210</v>
      </c>
      <c r="B1280" s="163">
        <v>42310.733444016201</v>
      </c>
      <c r="C1280" s="164" t="s">
        <v>1468</v>
      </c>
      <c r="D1280" s="164" t="s">
        <v>13</v>
      </c>
      <c r="E1280" s="165">
        <v>100</v>
      </c>
      <c r="F1280" s="166">
        <v>0</v>
      </c>
      <c r="G1280" s="227">
        <f>IF($B$2,IF(ROWS(B$6:$B1280) = 1,$B1280-Start_Date,$B1280-$B1279),"")</f>
        <v>4.922812498989515E-3</v>
      </c>
      <c r="H1280" s="29">
        <f>IF($B$2,IF(ROWS(B$6:$B1280) = 1,IF(COUNTIFS(R_Schedule_Times,"&lt;"&amp;B1280),INDEX(R_Schedule_Amounts,MATCH(B1280,R_Schedule_Times,1)),Starting_Cash),IF(COUNTIFS(R_Schedule_Times,"&gt;"&amp;B1279,R_Schedule_Times,"&lt;"&amp;B1280),INDEX(R_Schedule_Amounts,MATCH(B1280,R_Schedule_Times,1)),K1279)),"")</f>
        <v>6680</v>
      </c>
      <c r="I1280" s="30">
        <f t="shared" si="95"/>
        <v>100</v>
      </c>
      <c r="J1280" s="31">
        <f t="shared" si="96"/>
        <v>0</v>
      </c>
      <c r="K1280" s="29">
        <f t="shared" si="97"/>
        <v>6580</v>
      </c>
      <c r="L1280" s="31" t="str">
        <f t="shared" si="98"/>
        <v/>
      </c>
      <c r="M1280" s="31" t="str">
        <f t="shared" si="99"/>
        <v/>
      </c>
    </row>
    <row r="1281" spans="1:13" x14ac:dyDescent="0.15">
      <c r="A1281" s="163" t="s">
        <v>210</v>
      </c>
      <c r="B1281" s="163">
        <v>42310.734371319442</v>
      </c>
      <c r="C1281" s="164" t="s">
        <v>1469</v>
      </c>
      <c r="D1281" s="164" t="s">
        <v>13</v>
      </c>
      <c r="E1281" s="165">
        <v>100</v>
      </c>
      <c r="F1281" s="166">
        <v>0</v>
      </c>
      <c r="G1281" s="227">
        <f>IF($B$2,IF(ROWS(B$6:$B1281) = 1,$B1281-Start_Date,$B1281-$B1280),"")</f>
        <v>9.2730324104195461E-4</v>
      </c>
      <c r="H1281" s="29">
        <f>IF($B$2,IF(ROWS(B$6:$B1281) = 1,IF(COUNTIFS(R_Schedule_Times,"&lt;"&amp;B1281),INDEX(R_Schedule_Amounts,MATCH(B1281,R_Schedule_Times,1)),Starting_Cash),IF(COUNTIFS(R_Schedule_Times,"&gt;"&amp;B1280,R_Schedule_Times,"&lt;"&amp;B1281),INDEX(R_Schedule_Amounts,MATCH(B1281,R_Schedule_Times,1)),K1280)),"")</f>
        <v>6580</v>
      </c>
      <c r="I1281" s="30">
        <f t="shared" si="95"/>
        <v>100</v>
      </c>
      <c r="J1281" s="31">
        <f t="shared" si="96"/>
        <v>0</v>
      </c>
      <c r="K1281" s="29">
        <f t="shared" si="97"/>
        <v>6480</v>
      </c>
      <c r="L1281" s="31" t="str">
        <f t="shared" si="98"/>
        <v/>
      </c>
      <c r="M1281" s="31" t="str">
        <f t="shared" si="99"/>
        <v/>
      </c>
    </row>
    <row r="1282" spans="1:13" x14ac:dyDescent="0.15">
      <c r="A1282" s="163" t="s">
        <v>210</v>
      </c>
      <c r="B1282" s="163">
        <v>42310.760926655093</v>
      </c>
      <c r="C1282" s="164" t="s">
        <v>1470</v>
      </c>
      <c r="D1282" s="164" t="s">
        <v>13</v>
      </c>
      <c r="E1282" s="165">
        <v>40</v>
      </c>
      <c r="F1282" s="166">
        <v>0</v>
      </c>
      <c r="G1282" s="227">
        <f>IF($B$2,IF(ROWS(B$6:$B1282) = 1,$B1282-Start_Date,$B1282-$B1281),"")</f>
        <v>2.6555335651210044E-2</v>
      </c>
      <c r="H1282" s="29">
        <f>IF($B$2,IF(ROWS(B$6:$B1282) = 1,IF(COUNTIFS(R_Schedule_Times,"&lt;"&amp;B1282),INDEX(R_Schedule_Amounts,MATCH(B1282,R_Schedule_Times,1)),Starting_Cash),IF(COUNTIFS(R_Schedule_Times,"&gt;"&amp;B1281,R_Schedule_Times,"&lt;"&amp;B1282),INDEX(R_Schedule_Amounts,MATCH(B1282,R_Schedule_Times,1)),K1281)),"")</f>
        <v>6480</v>
      </c>
      <c r="I1282" s="30">
        <f t="shared" si="95"/>
        <v>40</v>
      </c>
      <c r="J1282" s="31">
        <f t="shared" si="96"/>
        <v>0</v>
      </c>
      <c r="K1282" s="29">
        <f t="shared" si="97"/>
        <v>6440</v>
      </c>
      <c r="L1282" s="31" t="str">
        <f t="shared" si="98"/>
        <v/>
      </c>
      <c r="M1282" s="31" t="str">
        <f t="shared" si="99"/>
        <v/>
      </c>
    </row>
    <row r="1283" spans="1:13" x14ac:dyDescent="0.15">
      <c r="A1283" s="163" t="s">
        <v>210</v>
      </c>
      <c r="B1283" s="163">
        <v>42310.762908252313</v>
      </c>
      <c r="C1283" s="164" t="s">
        <v>82</v>
      </c>
      <c r="D1283" s="164" t="s">
        <v>13</v>
      </c>
      <c r="E1283" s="165">
        <v>500</v>
      </c>
      <c r="F1283" s="166">
        <v>0</v>
      </c>
      <c r="G1283" s="227">
        <f>IF($B$2,IF(ROWS(B$6:$B1283) = 1,$B1283-Start_Date,$B1283-$B1282),"")</f>
        <v>1.9815972191281617E-3</v>
      </c>
      <c r="H1283" s="29">
        <f>IF($B$2,IF(ROWS(B$6:$B1283) = 1,IF(COUNTIFS(R_Schedule_Times,"&lt;"&amp;B1283),INDEX(R_Schedule_Amounts,MATCH(B1283,R_Schedule_Times,1)),Starting_Cash),IF(COUNTIFS(R_Schedule_Times,"&gt;"&amp;B1282,R_Schedule_Times,"&lt;"&amp;B1283),INDEX(R_Schedule_Amounts,MATCH(B1283,R_Schedule_Times,1)),K1282)),"")</f>
        <v>6440</v>
      </c>
      <c r="I1283" s="30">
        <f t="shared" si="95"/>
        <v>500</v>
      </c>
      <c r="J1283" s="31">
        <f t="shared" si="96"/>
        <v>0</v>
      </c>
      <c r="K1283" s="29">
        <f t="shared" si="97"/>
        <v>5940</v>
      </c>
      <c r="L1283" s="31" t="str">
        <f t="shared" si="98"/>
        <v/>
      </c>
      <c r="M1283" s="31" t="str">
        <f t="shared" si="99"/>
        <v/>
      </c>
    </row>
    <row r="1284" spans="1:13" x14ac:dyDescent="0.15">
      <c r="A1284" s="163" t="s">
        <v>210</v>
      </c>
      <c r="B1284" s="163">
        <v>42310.76437178241</v>
      </c>
      <c r="C1284" s="164" t="s">
        <v>1471</v>
      </c>
      <c r="D1284" s="164" t="s">
        <v>13</v>
      </c>
      <c r="E1284" s="165">
        <v>80</v>
      </c>
      <c r="F1284" s="166">
        <v>0</v>
      </c>
      <c r="G1284" s="227">
        <f>IF($B$2,IF(ROWS(B$6:$B1284) = 1,$B1284-Start_Date,$B1284-$B1283),"")</f>
        <v>1.463530097680632E-3</v>
      </c>
      <c r="H1284" s="29">
        <f>IF($B$2,IF(ROWS(B$6:$B1284) = 1,IF(COUNTIFS(R_Schedule_Times,"&lt;"&amp;B1284),INDEX(R_Schedule_Amounts,MATCH(B1284,R_Schedule_Times,1)),Starting_Cash),IF(COUNTIFS(R_Schedule_Times,"&gt;"&amp;B1283,R_Schedule_Times,"&lt;"&amp;B1284),INDEX(R_Schedule_Amounts,MATCH(B1284,R_Schedule_Times,1)),K1283)),"")</f>
        <v>5940</v>
      </c>
      <c r="I1284" s="30">
        <f t="shared" si="95"/>
        <v>80</v>
      </c>
      <c r="J1284" s="31">
        <f t="shared" si="96"/>
        <v>0</v>
      </c>
      <c r="K1284" s="29">
        <f t="shared" si="97"/>
        <v>5860</v>
      </c>
      <c r="L1284" s="31" t="str">
        <f t="shared" si="98"/>
        <v/>
      </c>
      <c r="M1284" s="31" t="str">
        <f t="shared" si="99"/>
        <v/>
      </c>
    </row>
    <row r="1285" spans="1:13" x14ac:dyDescent="0.15">
      <c r="A1285" s="163" t="s">
        <v>210</v>
      </c>
      <c r="B1285" s="163">
        <v>42310.76854690972</v>
      </c>
      <c r="C1285" s="164" t="s">
        <v>1472</v>
      </c>
      <c r="D1285" s="164" t="s">
        <v>13</v>
      </c>
      <c r="E1285" s="165">
        <v>40</v>
      </c>
      <c r="F1285" s="166">
        <v>0</v>
      </c>
      <c r="G1285" s="227">
        <f>IF($B$2,IF(ROWS(B$6:$B1285) = 1,$B1285-Start_Date,$B1285-$B1284),"")</f>
        <v>4.175127309281379E-3</v>
      </c>
      <c r="H1285" s="29">
        <f>IF($B$2,IF(ROWS(B$6:$B1285) = 1,IF(COUNTIFS(R_Schedule_Times,"&lt;"&amp;B1285),INDEX(R_Schedule_Amounts,MATCH(B1285,R_Schedule_Times,1)),Starting_Cash),IF(COUNTIFS(R_Schedule_Times,"&gt;"&amp;B1284,R_Schedule_Times,"&lt;"&amp;B1285),INDEX(R_Schedule_Amounts,MATCH(B1285,R_Schedule_Times,1)),K1284)),"")</f>
        <v>5860</v>
      </c>
      <c r="I1285" s="30">
        <f t="shared" si="95"/>
        <v>40</v>
      </c>
      <c r="J1285" s="31">
        <f t="shared" si="96"/>
        <v>0</v>
      </c>
      <c r="K1285" s="29">
        <f t="shared" si="97"/>
        <v>5820</v>
      </c>
      <c r="L1285" s="31" t="str">
        <f t="shared" si="98"/>
        <v/>
      </c>
      <c r="M1285" s="31" t="str">
        <f t="shared" si="99"/>
        <v/>
      </c>
    </row>
    <row r="1286" spans="1:13" x14ac:dyDescent="0.15">
      <c r="A1286" s="163" t="s">
        <v>210</v>
      </c>
      <c r="B1286" s="163">
        <v>42310.771015752318</v>
      </c>
      <c r="C1286" s="164" t="s">
        <v>1473</v>
      </c>
      <c r="D1286" s="164" t="s">
        <v>13</v>
      </c>
      <c r="E1286" s="165">
        <v>80</v>
      </c>
      <c r="F1286" s="166">
        <v>0</v>
      </c>
      <c r="G1286" s="227">
        <f>IF($B$2,IF(ROWS(B$6:$B1286) = 1,$B1286-Start_Date,$B1286-$B1285),"")</f>
        <v>2.468842598318588E-3</v>
      </c>
      <c r="H1286" s="29">
        <f>IF($B$2,IF(ROWS(B$6:$B1286) = 1,IF(COUNTIFS(R_Schedule_Times,"&lt;"&amp;B1286),INDEX(R_Schedule_Amounts,MATCH(B1286,R_Schedule_Times,1)),Starting_Cash),IF(COUNTIFS(R_Schedule_Times,"&gt;"&amp;B1285,R_Schedule_Times,"&lt;"&amp;B1286),INDEX(R_Schedule_Amounts,MATCH(B1286,R_Schedule_Times,1)),K1285)),"")</f>
        <v>5820</v>
      </c>
      <c r="I1286" s="30">
        <f t="shared" si="95"/>
        <v>80</v>
      </c>
      <c r="J1286" s="31">
        <f t="shared" si="96"/>
        <v>0</v>
      </c>
      <c r="K1286" s="29">
        <f t="shared" si="97"/>
        <v>5740</v>
      </c>
      <c r="L1286" s="31" t="str">
        <f t="shared" si="98"/>
        <v/>
      </c>
      <c r="M1286" s="31" t="str">
        <f t="shared" si="99"/>
        <v/>
      </c>
    </row>
    <row r="1287" spans="1:13" x14ac:dyDescent="0.15">
      <c r="A1287" s="163" t="s">
        <v>210</v>
      </c>
      <c r="B1287" s="163">
        <v>42310.779158564816</v>
      </c>
      <c r="C1287" s="164" t="s">
        <v>1474</v>
      </c>
      <c r="D1287" s="164" t="s">
        <v>13</v>
      </c>
      <c r="E1287" s="165">
        <v>200</v>
      </c>
      <c r="F1287" s="166">
        <v>0</v>
      </c>
      <c r="G1287" s="227">
        <f>IF($B$2,IF(ROWS(B$6:$B1287) = 1,$B1287-Start_Date,$B1287-$B1286),"")</f>
        <v>8.1428124976810068E-3</v>
      </c>
      <c r="H1287" s="29">
        <f>IF($B$2,IF(ROWS(B$6:$B1287) = 1,IF(COUNTIFS(R_Schedule_Times,"&lt;"&amp;B1287),INDEX(R_Schedule_Amounts,MATCH(B1287,R_Schedule_Times,1)),Starting_Cash),IF(COUNTIFS(R_Schedule_Times,"&gt;"&amp;B1286,R_Schedule_Times,"&lt;"&amp;B1287),INDEX(R_Schedule_Amounts,MATCH(B1287,R_Schedule_Times,1)),K1286)),"")</f>
        <v>5740</v>
      </c>
      <c r="I1287" s="30">
        <f t="shared" ref="I1287:I1350" si="100">IF($B$2,IF(H1287&gt;=E1287,E1287,0),"")</f>
        <v>200</v>
      </c>
      <c r="J1287" s="31">
        <f t="shared" ref="J1287:J1350" si="101">IF($B$2,IF(H1287&gt;=E1287,F1287,0),"")</f>
        <v>0</v>
      </c>
      <c r="K1287" s="29">
        <f t="shared" ref="K1287:K1350" si="102">IF($B$2,ABS(I1287-H1287),"")</f>
        <v>5540</v>
      </c>
      <c r="L1287" s="31" t="str">
        <f t="shared" ref="L1287:L1350" si="103">IF($B$2,IF(H1287&lt;E1287,"YES",""),"")</f>
        <v/>
      </c>
      <c r="M1287" s="31" t="str">
        <f t="shared" ref="M1287:M1350" si="104">IF($B$2,IF(L1287="YES",F1287,""),"")</f>
        <v/>
      </c>
    </row>
    <row r="1288" spans="1:13" x14ac:dyDescent="0.15">
      <c r="A1288" s="163" t="s">
        <v>210</v>
      </c>
      <c r="B1288" s="163">
        <v>42310.780991840278</v>
      </c>
      <c r="C1288" s="164" t="s">
        <v>617</v>
      </c>
      <c r="D1288" s="164" t="s">
        <v>13</v>
      </c>
      <c r="E1288" s="165">
        <v>80</v>
      </c>
      <c r="F1288" s="166">
        <v>0</v>
      </c>
      <c r="G1288" s="227">
        <f>IF($B$2,IF(ROWS(B$6:$B1288) = 1,$B1288-Start_Date,$B1288-$B1287),"")</f>
        <v>1.8332754625589587E-3</v>
      </c>
      <c r="H1288" s="29">
        <f>IF($B$2,IF(ROWS(B$6:$B1288) = 1,IF(COUNTIFS(R_Schedule_Times,"&lt;"&amp;B1288),INDEX(R_Schedule_Amounts,MATCH(B1288,R_Schedule_Times,1)),Starting_Cash),IF(COUNTIFS(R_Schedule_Times,"&gt;"&amp;B1287,R_Schedule_Times,"&lt;"&amp;B1288),INDEX(R_Schedule_Amounts,MATCH(B1288,R_Schedule_Times,1)),K1287)),"")</f>
        <v>5540</v>
      </c>
      <c r="I1288" s="30">
        <f t="shared" si="100"/>
        <v>80</v>
      </c>
      <c r="J1288" s="31">
        <f t="shared" si="101"/>
        <v>0</v>
      </c>
      <c r="K1288" s="29">
        <f t="shared" si="102"/>
        <v>5460</v>
      </c>
      <c r="L1288" s="31" t="str">
        <f t="shared" si="103"/>
        <v/>
      </c>
      <c r="M1288" s="31" t="str">
        <f t="shared" si="104"/>
        <v/>
      </c>
    </row>
    <row r="1289" spans="1:13" x14ac:dyDescent="0.15">
      <c r="A1289" s="163" t="s">
        <v>210</v>
      </c>
      <c r="B1289" s="163">
        <v>42310.783203611114</v>
      </c>
      <c r="C1289" s="164" t="s">
        <v>1475</v>
      </c>
      <c r="D1289" s="164" t="s">
        <v>13</v>
      </c>
      <c r="E1289" s="165">
        <v>200</v>
      </c>
      <c r="F1289" s="166">
        <v>0</v>
      </c>
      <c r="G1289" s="227">
        <f>IF($B$2,IF(ROWS(B$6:$B1289) = 1,$B1289-Start_Date,$B1289-$B1288),"")</f>
        <v>2.2117708358564414E-3</v>
      </c>
      <c r="H1289" s="29">
        <f>IF($B$2,IF(ROWS(B$6:$B1289) = 1,IF(COUNTIFS(R_Schedule_Times,"&lt;"&amp;B1289),INDEX(R_Schedule_Amounts,MATCH(B1289,R_Schedule_Times,1)),Starting_Cash),IF(COUNTIFS(R_Schedule_Times,"&gt;"&amp;B1288,R_Schedule_Times,"&lt;"&amp;B1289),INDEX(R_Schedule_Amounts,MATCH(B1289,R_Schedule_Times,1)),K1288)),"")</f>
        <v>5460</v>
      </c>
      <c r="I1289" s="30">
        <f t="shared" si="100"/>
        <v>200</v>
      </c>
      <c r="J1289" s="31">
        <f t="shared" si="101"/>
        <v>0</v>
      </c>
      <c r="K1289" s="29">
        <f t="shared" si="102"/>
        <v>5260</v>
      </c>
      <c r="L1289" s="31" t="str">
        <f t="shared" si="103"/>
        <v/>
      </c>
      <c r="M1289" s="31" t="str">
        <f t="shared" si="104"/>
        <v/>
      </c>
    </row>
    <row r="1290" spans="1:13" x14ac:dyDescent="0.15">
      <c r="A1290" s="163" t="s">
        <v>210</v>
      </c>
      <c r="B1290" s="163">
        <v>42311.294313541664</v>
      </c>
      <c r="C1290" s="164" t="s">
        <v>1476</v>
      </c>
      <c r="D1290" s="164" t="s">
        <v>13</v>
      </c>
      <c r="E1290" s="165">
        <v>40</v>
      </c>
      <c r="F1290" s="166">
        <v>0</v>
      </c>
      <c r="G1290" s="227">
        <f>IF($B$2,IF(ROWS(B$6:$B1290) = 1,$B1290-Start_Date,$B1290-$B1289),"")</f>
        <v>0.51110993055044673</v>
      </c>
      <c r="H1290" s="29">
        <f>IF($B$2,IF(ROWS(B$6:$B1290) = 1,IF(COUNTIFS(R_Schedule_Times,"&lt;"&amp;B1290),INDEX(R_Schedule_Amounts,MATCH(B1290,R_Schedule_Times,1)),Starting_Cash),IF(COUNTIFS(R_Schedule_Times,"&gt;"&amp;B1289,R_Schedule_Times,"&lt;"&amp;B1290),INDEX(R_Schedule_Amounts,MATCH(B1290,R_Schedule_Times,1)),K1289)),"")</f>
        <v>5260</v>
      </c>
      <c r="I1290" s="30">
        <f t="shared" si="100"/>
        <v>40</v>
      </c>
      <c r="J1290" s="31">
        <f t="shared" si="101"/>
        <v>0</v>
      </c>
      <c r="K1290" s="29">
        <f t="shared" si="102"/>
        <v>5220</v>
      </c>
      <c r="L1290" s="31" t="str">
        <f t="shared" si="103"/>
        <v/>
      </c>
      <c r="M1290" s="31" t="str">
        <f t="shared" si="104"/>
        <v/>
      </c>
    </row>
    <row r="1291" spans="1:13" x14ac:dyDescent="0.15">
      <c r="A1291" s="163" t="s">
        <v>210</v>
      </c>
      <c r="B1291" s="163">
        <v>42311.305364976855</v>
      </c>
      <c r="C1291" s="164" t="s">
        <v>1477</v>
      </c>
      <c r="D1291" s="164" t="s">
        <v>15</v>
      </c>
      <c r="E1291" s="165">
        <v>100</v>
      </c>
      <c r="F1291" s="166">
        <v>3</v>
      </c>
      <c r="G1291" s="227">
        <f>IF($B$2,IF(ROWS(B$6:$B1291) = 1,$B1291-Start_Date,$B1291-$B1290),"")</f>
        <v>1.1051435190893244E-2</v>
      </c>
      <c r="H1291" s="29">
        <f>IF($B$2,IF(ROWS(B$6:$B1291) = 1,IF(COUNTIFS(R_Schedule_Times,"&lt;"&amp;B1291),INDEX(R_Schedule_Amounts,MATCH(B1291,R_Schedule_Times,1)),Starting_Cash),IF(COUNTIFS(R_Schedule_Times,"&gt;"&amp;B1290,R_Schedule_Times,"&lt;"&amp;B1291),INDEX(R_Schedule_Amounts,MATCH(B1291,R_Schedule_Times,1)),K1290)),"")</f>
        <v>5220</v>
      </c>
      <c r="I1291" s="30">
        <f t="shared" si="100"/>
        <v>100</v>
      </c>
      <c r="J1291" s="31">
        <f t="shared" si="101"/>
        <v>3</v>
      </c>
      <c r="K1291" s="29">
        <f t="shared" si="102"/>
        <v>5120</v>
      </c>
      <c r="L1291" s="31" t="str">
        <f t="shared" si="103"/>
        <v/>
      </c>
      <c r="M1291" s="31" t="str">
        <f t="shared" si="104"/>
        <v/>
      </c>
    </row>
    <row r="1292" spans="1:13" x14ac:dyDescent="0.15">
      <c r="A1292" s="163" t="s">
        <v>210</v>
      </c>
      <c r="B1292" s="163">
        <v>42311.328049224539</v>
      </c>
      <c r="C1292" s="164" t="s">
        <v>927</v>
      </c>
      <c r="D1292" s="164" t="s">
        <v>13</v>
      </c>
      <c r="E1292" s="165">
        <v>140</v>
      </c>
      <c r="F1292" s="166">
        <v>0</v>
      </c>
      <c r="G1292" s="227">
        <f>IF($B$2,IF(ROWS(B$6:$B1292) = 1,$B1292-Start_Date,$B1292-$B1291),"")</f>
        <v>2.2684247684082948E-2</v>
      </c>
      <c r="H1292" s="29">
        <f>IF($B$2,IF(ROWS(B$6:$B1292) = 1,IF(COUNTIFS(R_Schedule_Times,"&lt;"&amp;B1292),INDEX(R_Schedule_Amounts,MATCH(B1292,R_Schedule_Times,1)),Starting_Cash),IF(COUNTIFS(R_Schedule_Times,"&gt;"&amp;B1291,R_Schedule_Times,"&lt;"&amp;B1292),INDEX(R_Schedule_Amounts,MATCH(B1292,R_Schedule_Times,1)),K1291)),"")</f>
        <v>5120</v>
      </c>
      <c r="I1292" s="30">
        <f t="shared" si="100"/>
        <v>140</v>
      </c>
      <c r="J1292" s="31">
        <f t="shared" si="101"/>
        <v>0</v>
      </c>
      <c r="K1292" s="29">
        <f t="shared" si="102"/>
        <v>4980</v>
      </c>
      <c r="L1292" s="31" t="str">
        <f t="shared" si="103"/>
        <v/>
      </c>
      <c r="M1292" s="31" t="str">
        <f t="shared" si="104"/>
        <v/>
      </c>
    </row>
    <row r="1293" spans="1:13" x14ac:dyDescent="0.15">
      <c r="A1293" s="163" t="s">
        <v>210</v>
      </c>
      <c r="B1293" s="163">
        <v>42311.360135381947</v>
      </c>
      <c r="C1293" s="164" t="s">
        <v>1478</v>
      </c>
      <c r="D1293" s="164" t="s">
        <v>13</v>
      </c>
      <c r="E1293" s="165">
        <v>40</v>
      </c>
      <c r="F1293" s="166">
        <v>0</v>
      </c>
      <c r="G1293" s="227">
        <f>IF($B$2,IF(ROWS(B$6:$B1293) = 1,$B1293-Start_Date,$B1293-$B1292),"")</f>
        <v>3.208615740732057E-2</v>
      </c>
      <c r="H1293" s="29">
        <f>IF($B$2,IF(ROWS(B$6:$B1293) = 1,IF(COUNTIFS(R_Schedule_Times,"&lt;"&amp;B1293),INDEX(R_Schedule_Amounts,MATCH(B1293,R_Schedule_Times,1)),Starting_Cash),IF(COUNTIFS(R_Schedule_Times,"&gt;"&amp;B1292,R_Schedule_Times,"&lt;"&amp;B1293),INDEX(R_Schedule_Amounts,MATCH(B1293,R_Schedule_Times,1)),K1292)),"")</f>
        <v>4980</v>
      </c>
      <c r="I1293" s="30">
        <f t="shared" si="100"/>
        <v>40</v>
      </c>
      <c r="J1293" s="31">
        <f t="shared" si="101"/>
        <v>0</v>
      </c>
      <c r="K1293" s="29">
        <f t="shared" si="102"/>
        <v>4940</v>
      </c>
      <c r="L1293" s="31" t="str">
        <f t="shared" si="103"/>
        <v/>
      </c>
      <c r="M1293" s="31" t="str">
        <f t="shared" si="104"/>
        <v/>
      </c>
    </row>
    <row r="1294" spans="1:13" x14ac:dyDescent="0.15">
      <c r="A1294" s="163" t="s">
        <v>210</v>
      </c>
      <c r="B1294" s="163">
        <v>42311.381416493059</v>
      </c>
      <c r="C1294" s="164" t="s">
        <v>1479</v>
      </c>
      <c r="D1294" s="164" t="s">
        <v>13</v>
      </c>
      <c r="E1294" s="165">
        <v>200</v>
      </c>
      <c r="F1294" s="166">
        <v>0</v>
      </c>
      <c r="G1294" s="227">
        <f>IF($B$2,IF(ROWS(B$6:$B1294) = 1,$B1294-Start_Date,$B1294-$B1293),"")</f>
        <v>2.1281111112330109E-2</v>
      </c>
      <c r="H1294" s="29">
        <f>IF($B$2,IF(ROWS(B$6:$B1294) = 1,IF(COUNTIFS(R_Schedule_Times,"&lt;"&amp;B1294),INDEX(R_Schedule_Amounts,MATCH(B1294,R_Schedule_Times,1)),Starting_Cash),IF(COUNTIFS(R_Schedule_Times,"&gt;"&amp;B1293,R_Schedule_Times,"&lt;"&amp;B1294),INDEX(R_Schedule_Amounts,MATCH(B1294,R_Schedule_Times,1)),K1293)),"")</f>
        <v>4940</v>
      </c>
      <c r="I1294" s="30">
        <f t="shared" si="100"/>
        <v>200</v>
      </c>
      <c r="J1294" s="31">
        <f t="shared" si="101"/>
        <v>0</v>
      </c>
      <c r="K1294" s="29">
        <f t="shared" si="102"/>
        <v>4740</v>
      </c>
      <c r="L1294" s="31" t="str">
        <f t="shared" si="103"/>
        <v/>
      </c>
      <c r="M1294" s="31" t="str">
        <f t="shared" si="104"/>
        <v/>
      </c>
    </row>
    <row r="1295" spans="1:13" x14ac:dyDescent="0.15">
      <c r="A1295" s="163" t="s">
        <v>210</v>
      </c>
      <c r="B1295" s="163">
        <v>42311.408835787035</v>
      </c>
      <c r="C1295" s="164" t="s">
        <v>1480</v>
      </c>
      <c r="D1295" s="164" t="s">
        <v>13</v>
      </c>
      <c r="E1295" s="165">
        <v>100</v>
      </c>
      <c r="F1295" s="166">
        <v>0</v>
      </c>
      <c r="G1295" s="227">
        <f>IF($B$2,IF(ROWS(B$6:$B1295) = 1,$B1295-Start_Date,$B1295-$B1294),"")</f>
        <v>2.7419293975981418E-2</v>
      </c>
      <c r="H1295" s="29">
        <f>IF($B$2,IF(ROWS(B$6:$B1295) = 1,IF(COUNTIFS(R_Schedule_Times,"&lt;"&amp;B1295),INDEX(R_Schedule_Amounts,MATCH(B1295,R_Schedule_Times,1)),Starting_Cash),IF(COUNTIFS(R_Schedule_Times,"&gt;"&amp;B1294,R_Schedule_Times,"&lt;"&amp;B1295),INDEX(R_Schedule_Amounts,MATCH(B1295,R_Schedule_Times,1)),K1294)),"")</f>
        <v>4740</v>
      </c>
      <c r="I1295" s="30">
        <f t="shared" si="100"/>
        <v>100</v>
      </c>
      <c r="J1295" s="31">
        <f t="shared" si="101"/>
        <v>0</v>
      </c>
      <c r="K1295" s="29">
        <f t="shared" si="102"/>
        <v>4640</v>
      </c>
      <c r="L1295" s="31" t="str">
        <f t="shared" si="103"/>
        <v/>
      </c>
      <c r="M1295" s="31" t="str">
        <f t="shared" si="104"/>
        <v/>
      </c>
    </row>
    <row r="1296" spans="1:13" x14ac:dyDescent="0.15">
      <c r="A1296" s="163" t="s">
        <v>210</v>
      </c>
      <c r="B1296" s="163">
        <v>42311.482673229169</v>
      </c>
      <c r="C1296" s="164" t="s">
        <v>1481</v>
      </c>
      <c r="D1296" s="164" t="s">
        <v>13</v>
      </c>
      <c r="E1296" s="165">
        <v>140</v>
      </c>
      <c r="F1296" s="166">
        <v>0</v>
      </c>
      <c r="G1296" s="227">
        <f>IF($B$2,IF(ROWS(B$6:$B1296) = 1,$B1296-Start_Date,$B1296-$B1295),"")</f>
        <v>7.3837442134390585E-2</v>
      </c>
      <c r="H1296" s="29">
        <f>IF($B$2,IF(ROWS(B$6:$B1296) = 1,IF(COUNTIFS(R_Schedule_Times,"&lt;"&amp;B1296),INDEX(R_Schedule_Amounts,MATCH(B1296,R_Schedule_Times,1)),Starting_Cash),IF(COUNTIFS(R_Schedule_Times,"&gt;"&amp;B1295,R_Schedule_Times,"&lt;"&amp;B1296),INDEX(R_Schedule_Amounts,MATCH(B1296,R_Schedule_Times,1)),K1295)),"")</f>
        <v>4640</v>
      </c>
      <c r="I1296" s="30">
        <f t="shared" si="100"/>
        <v>140</v>
      </c>
      <c r="J1296" s="31">
        <f t="shared" si="101"/>
        <v>0</v>
      </c>
      <c r="K1296" s="29">
        <f t="shared" si="102"/>
        <v>4500</v>
      </c>
      <c r="L1296" s="31" t="str">
        <f t="shared" si="103"/>
        <v/>
      </c>
      <c r="M1296" s="31" t="str">
        <f t="shared" si="104"/>
        <v/>
      </c>
    </row>
    <row r="1297" spans="1:13" x14ac:dyDescent="0.15">
      <c r="A1297" s="163" t="s">
        <v>210</v>
      </c>
      <c r="B1297" s="163">
        <v>42311.489905983799</v>
      </c>
      <c r="C1297" s="164" t="s">
        <v>1482</v>
      </c>
      <c r="D1297" s="164" t="s">
        <v>13</v>
      </c>
      <c r="E1297" s="165">
        <v>60</v>
      </c>
      <c r="F1297" s="166">
        <v>0</v>
      </c>
      <c r="G1297" s="227">
        <f>IF($B$2,IF(ROWS(B$6:$B1297) = 1,$B1297-Start_Date,$B1297-$B1296),"")</f>
        <v>7.2327546295127831E-3</v>
      </c>
      <c r="H1297" s="29">
        <f>IF($B$2,IF(ROWS(B$6:$B1297) = 1,IF(COUNTIFS(R_Schedule_Times,"&lt;"&amp;B1297),INDEX(R_Schedule_Amounts,MATCH(B1297,R_Schedule_Times,1)),Starting_Cash),IF(COUNTIFS(R_Schedule_Times,"&gt;"&amp;B1296,R_Schedule_Times,"&lt;"&amp;B1297),INDEX(R_Schedule_Amounts,MATCH(B1297,R_Schedule_Times,1)),K1296)),"")</f>
        <v>4500</v>
      </c>
      <c r="I1297" s="30">
        <f t="shared" si="100"/>
        <v>60</v>
      </c>
      <c r="J1297" s="31">
        <f t="shared" si="101"/>
        <v>0</v>
      </c>
      <c r="K1297" s="29">
        <f t="shared" si="102"/>
        <v>4440</v>
      </c>
      <c r="L1297" s="31" t="str">
        <f t="shared" si="103"/>
        <v/>
      </c>
      <c r="M1297" s="31" t="str">
        <f t="shared" si="104"/>
        <v/>
      </c>
    </row>
    <row r="1298" spans="1:13" x14ac:dyDescent="0.15">
      <c r="A1298" s="163" t="s">
        <v>210</v>
      </c>
      <c r="B1298" s="163">
        <v>42311.492871851849</v>
      </c>
      <c r="C1298" s="164" t="s">
        <v>1483</v>
      </c>
      <c r="D1298" s="164" t="s">
        <v>13</v>
      </c>
      <c r="E1298" s="165">
        <v>80</v>
      </c>
      <c r="F1298" s="166">
        <v>0</v>
      </c>
      <c r="G1298" s="227">
        <f>IF($B$2,IF(ROWS(B$6:$B1298) = 1,$B1298-Start_Date,$B1298-$B1297),"")</f>
        <v>2.9658680505235679E-3</v>
      </c>
      <c r="H1298" s="29">
        <f>IF($B$2,IF(ROWS(B$6:$B1298) = 1,IF(COUNTIFS(R_Schedule_Times,"&lt;"&amp;B1298),INDEX(R_Schedule_Amounts,MATCH(B1298,R_Schedule_Times,1)),Starting_Cash),IF(COUNTIFS(R_Schedule_Times,"&gt;"&amp;B1297,R_Schedule_Times,"&lt;"&amp;B1298),INDEX(R_Schedule_Amounts,MATCH(B1298,R_Schedule_Times,1)),K1297)),"")</f>
        <v>4440</v>
      </c>
      <c r="I1298" s="30">
        <f t="shared" si="100"/>
        <v>80</v>
      </c>
      <c r="J1298" s="31">
        <f t="shared" si="101"/>
        <v>0</v>
      </c>
      <c r="K1298" s="29">
        <f t="shared" si="102"/>
        <v>4360</v>
      </c>
      <c r="L1298" s="31" t="str">
        <f t="shared" si="103"/>
        <v/>
      </c>
      <c r="M1298" s="31" t="str">
        <f t="shared" si="104"/>
        <v/>
      </c>
    </row>
    <row r="1299" spans="1:13" x14ac:dyDescent="0.15">
      <c r="A1299" s="163" t="s">
        <v>210</v>
      </c>
      <c r="B1299" s="163">
        <v>42311.501144872687</v>
      </c>
      <c r="C1299" s="164" t="s">
        <v>1484</v>
      </c>
      <c r="D1299" s="164" t="s">
        <v>13</v>
      </c>
      <c r="E1299" s="165">
        <v>40</v>
      </c>
      <c r="F1299" s="166">
        <v>0</v>
      </c>
      <c r="G1299" s="227">
        <f>IF($B$2,IF(ROWS(B$6:$B1299) = 1,$B1299-Start_Date,$B1299-$B1298),"")</f>
        <v>8.2730208378052339E-3</v>
      </c>
      <c r="H1299" s="29">
        <f>IF($B$2,IF(ROWS(B$6:$B1299) = 1,IF(COUNTIFS(R_Schedule_Times,"&lt;"&amp;B1299),INDEX(R_Schedule_Amounts,MATCH(B1299,R_Schedule_Times,1)),Starting_Cash),IF(COUNTIFS(R_Schedule_Times,"&gt;"&amp;B1298,R_Schedule_Times,"&lt;"&amp;B1299),INDEX(R_Schedule_Amounts,MATCH(B1299,R_Schedule_Times,1)),K1298)),"")</f>
        <v>4360</v>
      </c>
      <c r="I1299" s="30">
        <f t="shared" si="100"/>
        <v>40</v>
      </c>
      <c r="J1299" s="31">
        <f t="shared" si="101"/>
        <v>0</v>
      </c>
      <c r="K1299" s="29">
        <f t="shared" si="102"/>
        <v>4320</v>
      </c>
      <c r="L1299" s="31" t="str">
        <f t="shared" si="103"/>
        <v/>
      </c>
      <c r="M1299" s="31" t="str">
        <f t="shared" si="104"/>
        <v/>
      </c>
    </row>
    <row r="1300" spans="1:13" x14ac:dyDescent="0.15">
      <c r="A1300" s="163" t="s">
        <v>210</v>
      </c>
      <c r="B1300" s="163">
        <v>42311.518903344906</v>
      </c>
      <c r="C1300" s="164" t="s">
        <v>1485</v>
      </c>
      <c r="D1300" s="164" t="s">
        <v>13</v>
      </c>
      <c r="E1300" s="165">
        <v>160</v>
      </c>
      <c r="F1300" s="166">
        <v>0</v>
      </c>
      <c r="G1300" s="227">
        <f>IF($B$2,IF(ROWS(B$6:$B1300) = 1,$B1300-Start_Date,$B1300-$B1299),"")</f>
        <v>1.7758472218702082E-2</v>
      </c>
      <c r="H1300" s="29">
        <f>IF($B$2,IF(ROWS(B$6:$B1300) = 1,IF(COUNTIFS(R_Schedule_Times,"&lt;"&amp;B1300),INDEX(R_Schedule_Amounts,MATCH(B1300,R_Schedule_Times,1)),Starting_Cash),IF(COUNTIFS(R_Schedule_Times,"&gt;"&amp;B1299,R_Schedule_Times,"&lt;"&amp;B1300),INDEX(R_Schedule_Amounts,MATCH(B1300,R_Schedule_Times,1)),K1299)),"")</f>
        <v>4320</v>
      </c>
      <c r="I1300" s="30">
        <f t="shared" si="100"/>
        <v>160</v>
      </c>
      <c r="J1300" s="31">
        <f t="shared" si="101"/>
        <v>0</v>
      </c>
      <c r="K1300" s="29">
        <f t="shared" si="102"/>
        <v>4160</v>
      </c>
      <c r="L1300" s="31" t="str">
        <f t="shared" si="103"/>
        <v/>
      </c>
      <c r="M1300" s="31" t="str">
        <f t="shared" si="104"/>
        <v/>
      </c>
    </row>
    <row r="1301" spans="1:13" x14ac:dyDescent="0.15">
      <c r="A1301" s="163" t="s">
        <v>210</v>
      </c>
      <c r="B1301" s="163">
        <v>42311.524212546297</v>
      </c>
      <c r="C1301" s="164" t="s">
        <v>14</v>
      </c>
      <c r="D1301" s="164" t="s">
        <v>13</v>
      </c>
      <c r="E1301" s="165">
        <v>160</v>
      </c>
      <c r="F1301" s="166">
        <v>3.5</v>
      </c>
      <c r="G1301" s="227">
        <f>IF($B$2,IF(ROWS(B$6:$B1301) = 1,$B1301-Start_Date,$B1301-$B1300),"")</f>
        <v>5.3092013913556002E-3</v>
      </c>
      <c r="H1301" s="29">
        <f>IF($B$2,IF(ROWS(B$6:$B1301) = 1,IF(COUNTIFS(R_Schedule_Times,"&lt;"&amp;B1301),INDEX(R_Schedule_Amounts,MATCH(B1301,R_Schedule_Times,1)),Starting_Cash),IF(COUNTIFS(R_Schedule_Times,"&gt;"&amp;B1300,R_Schedule_Times,"&lt;"&amp;B1301),INDEX(R_Schedule_Amounts,MATCH(B1301,R_Schedule_Times,1)),K1300)),"")</f>
        <v>4160</v>
      </c>
      <c r="I1301" s="30">
        <f t="shared" si="100"/>
        <v>160</v>
      </c>
      <c r="J1301" s="31">
        <f t="shared" si="101"/>
        <v>3.5</v>
      </c>
      <c r="K1301" s="29">
        <f t="shared" si="102"/>
        <v>4000</v>
      </c>
      <c r="L1301" s="31" t="str">
        <f t="shared" si="103"/>
        <v/>
      </c>
      <c r="M1301" s="31" t="str">
        <f t="shared" si="104"/>
        <v/>
      </c>
    </row>
    <row r="1302" spans="1:13" x14ac:dyDescent="0.15">
      <c r="A1302" s="163" t="s">
        <v>210</v>
      </c>
      <c r="B1302" s="163">
        <v>42311.528457881941</v>
      </c>
      <c r="C1302" s="164" t="s">
        <v>941</v>
      </c>
      <c r="D1302" s="164" t="s">
        <v>13</v>
      </c>
      <c r="E1302" s="165">
        <v>20</v>
      </c>
      <c r="F1302" s="166">
        <v>0</v>
      </c>
      <c r="G1302" s="227">
        <f>IF($B$2,IF(ROWS(B$6:$B1302) = 1,$B1302-Start_Date,$B1302-$B1301),"")</f>
        <v>4.245335643645376E-3</v>
      </c>
      <c r="H1302" s="29">
        <f>IF($B$2,IF(ROWS(B$6:$B1302) = 1,IF(COUNTIFS(R_Schedule_Times,"&lt;"&amp;B1302),INDEX(R_Schedule_Amounts,MATCH(B1302,R_Schedule_Times,1)),Starting_Cash),IF(COUNTIFS(R_Schedule_Times,"&gt;"&amp;B1301,R_Schedule_Times,"&lt;"&amp;B1302),INDEX(R_Schedule_Amounts,MATCH(B1302,R_Schedule_Times,1)),K1301)),"")</f>
        <v>4000</v>
      </c>
      <c r="I1302" s="30">
        <f t="shared" si="100"/>
        <v>20</v>
      </c>
      <c r="J1302" s="31">
        <f t="shared" si="101"/>
        <v>0</v>
      </c>
      <c r="K1302" s="29">
        <f t="shared" si="102"/>
        <v>3980</v>
      </c>
      <c r="L1302" s="31" t="str">
        <f t="shared" si="103"/>
        <v/>
      </c>
      <c r="M1302" s="31" t="str">
        <f t="shared" si="104"/>
        <v/>
      </c>
    </row>
    <row r="1303" spans="1:13" x14ac:dyDescent="0.15">
      <c r="A1303" s="163" t="s">
        <v>210</v>
      </c>
      <c r="B1303" s="163">
        <v>42311.543983958334</v>
      </c>
      <c r="C1303" s="164" t="s">
        <v>1486</v>
      </c>
      <c r="D1303" s="164" t="s">
        <v>13</v>
      </c>
      <c r="E1303" s="165">
        <v>80</v>
      </c>
      <c r="F1303" s="166">
        <v>0</v>
      </c>
      <c r="G1303" s="227">
        <f>IF($B$2,IF(ROWS(B$6:$B1303) = 1,$B1303-Start_Date,$B1303-$B1302),"")</f>
        <v>1.552607639314374E-2</v>
      </c>
      <c r="H1303" s="29">
        <f>IF($B$2,IF(ROWS(B$6:$B1303) = 1,IF(COUNTIFS(R_Schedule_Times,"&lt;"&amp;B1303),INDEX(R_Schedule_Amounts,MATCH(B1303,R_Schedule_Times,1)),Starting_Cash),IF(COUNTIFS(R_Schedule_Times,"&gt;"&amp;B1302,R_Schedule_Times,"&lt;"&amp;B1303),INDEX(R_Schedule_Amounts,MATCH(B1303,R_Schedule_Times,1)),K1302)),"")</f>
        <v>3980</v>
      </c>
      <c r="I1303" s="30">
        <f t="shared" si="100"/>
        <v>80</v>
      </c>
      <c r="J1303" s="31">
        <f t="shared" si="101"/>
        <v>0</v>
      </c>
      <c r="K1303" s="29">
        <f t="shared" si="102"/>
        <v>3900</v>
      </c>
      <c r="L1303" s="31" t="str">
        <f t="shared" si="103"/>
        <v/>
      </c>
      <c r="M1303" s="31" t="str">
        <f t="shared" si="104"/>
        <v/>
      </c>
    </row>
    <row r="1304" spans="1:13" x14ac:dyDescent="0.15">
      <c r="A1304" s="163" t="s">
        <v>210</v>
      </c>
      <c r="B1304" s="163">
        <v>42311.559372638891</v>
      </c>
      <c r="C1304" s="164" t="s">
        <v>1487</v>
      </c>
      <c r="D1304" s="164" t="s">
        <v>13</v>
      </c>
      <c r="E1304" s="165">
        <v>20</v>
      </c>
      <c r="F1304" s="166">
        <v>0</v>
      </c>
      <c r="G1304" s="227">
        <f>IF($B$2,IF(ROWS(B$6:$B1304) = 1,$B1304-Start_Date,$B1304-$B1303),"")</f>
        <v>1.5388680556498002E-2</v>
      </c>
      <c r="H1304" s="29">
        <f>IF($B$2,IF(ROWS(B$6:$B1304) = 1,IF(COUNTIFS(R_Schedule_Times,"&lt;"&amp;B1304),INDEX(R_Schedule_Amounts,MATCH(B1304,R_Schedule_Times,1)),Starting_Cash),IF(COUNTIFS(R_Schedule_Times,"&gt;"&amp;B1303,R_Schedule_Times,"&lt;"&amp;B1304),INDEX(R_Schedule_Amounts,MATCH(B1304,R_Schedule_Times,1)),K1303)),"")</f>
        <v>3900</v>
      </c>
      <c r="I1304" s="30">
        <f t="shared" si="100"/>
        <v>20</v>
      </c>
      <c r="J1304" s="31">
        <f t="shared" si="101"/>
        <v>0</v>
      </c>
      <c r="K1304" s="29">
        <f t="shared" si="102"/>
        <v>3880</v>
      </c>
      <c r="L1304" s="31" t="str">
        <f t="shared" si="103"/>
        <v/>
      </c>
      <c r="M1304" s="31" t="str">
        <f t="shared" si="104"/>
        <v/>
      </c>
    </row>
    <row r="1305" spans="1:13" x14ac:dyDescent="0.15">
      <c r="A1305" s="163" t="s">
        <v>210</v>
      </c>
      <c r="B1305" s="163">
        <v>42311.561793148147</v>
      </c>
      <c r="C1305" s="164" t="s">
        <v>1488</v>
      </c>
      <c r="D1305" s="164" t="s">
        <v>13</v>
      </c>
      <c r="E1305" s="165">
        <v>20</v>
      </c>
      <c r="F1305" s="166">
        <v>0</v>
      </c>
      <c r="G1305" s="227">
        <f>IF($B$2,IF(ROWS(B$6:$B1305) = 1,$B1305-Start_Date,$B1305-$B1304),"")</f>
        <v>2.4205092558986507E-3</v>
      </c>
      <c r="H1305" s="29">
        <f>IF($B$2,IF(ROWS(B$6:$B1305) = 1,IF(COUNTIFS(R_Schedule_Times,"&lt;"&amp;B1305),INDEX(R_Schedule_Amounts,MATCH(B1305,R_Schedule_Times,1)),Starting_Cash),IF(COUNTIFS(R_Schedule_Times,"&gt;"&amp;B1304,R_Schedule_Times,"&lt;"&amp;B1305),INDEX(R_Schedule_Amounts,MATCH(B1305,R_Schedule_Times,1)),K1304)),"")</f>
        <v>3880</v>
      </c>
      <c r="I1305" s="30">
        <f t="shared" si="100"/>
        <v>20</v>
      </c>
      <c r="J1305" s="31">
        <f t="shared" si="101"/>
        <v>0</v>
      </c>
      <c r="K1305" s="29">
        <f t="shared" si="102"/>
        <v>3860</v>
      </c>
      <c r="L1305" s="31" t="str">
        <f t="shared" si="103"/>
        <v/>
      </c>
      <c r="M1305" s="31" t="str">
        <f t="shared" si="104"/>
        <v/>
      </c>
    </row>
    <row r="1306" spans="1:13" x14ac:dyDescent="0.15">
      <c r="A1306" s="163" t="s">
        <v>210</v>
      </c>
      <c r="B1306" s="163">
        <v>42311.567107789349</v>
      </c>
      <c r="C1306" s="164" t="s">
        <v>1489</v>
      </c>
      <c r="D1306" s="164" t="s">
        <v>15</v>
      </c>
      <c r="E1306" s="165">
        <v>80</v>
      </c>
      <c r="F1306" s="166">
        <v>2.4</v>
      </c>
      <c r="G1306" s="227">
        <f>IF($B$2,IF(ROWS(B$6:$B1306) = 1,$B1306-Start_Date,$B1306-$B1305),"")</f>
        <v>5.3146412028581835E-3</v>
      </c>
      <c r="H1306" s="29">
        <f>IF($B$2,IF(ROWS(B$6:$B1306) = 1,IF(COUNTIFS(R_Schedule_Times,"&lt;"&amp;B1306),INDEX(R_Schedule_Amounts,MATCH(B1306,R_Schedule_Times,1)),Starting_Cash),IF(COUNTIFS(R_Schedule_Times,"&gt;"&amp;B1305,R_Schedule_Times,"&lt;"&amp;B1306),INDEX(R_Schedule_Amounts,MATCH(B1306,R_Schedule_Times,1)),K1305)),"")</f>
        <v>3860</v>
      </c>
      <c r="I1306" s="30">
        <f t="shared" si="100"/>
        <v>80</v>
      </c>
      <c r="J1306" s="31">
        <f t="shared" si="101"/>
        <v>2.4</v>
      </c>
      <c r="K1306" s="29">
        <f t="shared" si="102"/>
        <v>3780</v>
      </c>
      <c r="L1306" s="31" t="str">
        <f t="shared" si="103"/>
        <v/>
      </c>
      <c r="M1306" s="31" t="str">
        <f t="shared" si="104"/>
        <v/>
      </c>
    </row>
    <row r="1307" spans="1:13" x14ac:dyDescent="0.15">
      <c r="A1307" s="163" t="s">
        <v>210</v>
      </c>
      <c r="B1307" s="163">
        <v>42311.588198263889</v>
      </c>
      <c r="C1307" s="164" t="s">
        <v>633</v>
      </c>
      <c r="D1307" s="164" t="s">
        <v>13</v>
      </c>
      <c r="E1307" s="165">
        <v>40</v>
      </c>
      <c r="F1307" s="166">
        <v>0</v>
      </c>
      <c r="G1307" s="227">
        <f>IF($B$2,IF(ROWS(B$6:$B1307) = 1,$B1307-Start_Date,$B1307-$B1306),"")</f>
        <v>2.1090474539960269E-2</v>
      </c>
      <c r="H1307" s="29">
        <f>IF($B$2,IF(ROWS(B$6:$B1307) = 1,IF(COUNTIFS(R_Schedule_Times,"&lt;"&amp;B1307),INDEX(R_Schedule_Amounts,MATCH(B1307,R_Schedule_Times,1)),Starting_Cash),IF(COUNTIFS(R_Schedule_Times,"&gt;"&amp;B1306,R_Schedule_Times,"&lt;"&amp;B1307),INDEX(R_Schedule_Amounts,MATCH(B1307,R_Schedule_Times,1)),K1306)),"")</f>
        <v>3780</v>
      </c>
      <c r="I1307" s="30">
        <f t="shared" si="100"/>
        <v>40</v>
      </c>
      <c r="J1307" s="31">
        <f t="shared" si="101"/>
        <v>0</v>
      </c>
      <c r="K1307" s="29">
        <f t="shared" si="102"/>
        <v>3740</v>
      </c>
      <c r="L1307" s="31" t="str">
        <f t="shared" si="103"/>
        <v/>
      </c>
      <c r="M1307" s="31" t="str">
        <f t="shared" si="104"/>
        <v/>
      </c>
    </row>
    <row r="1308" spans="1:13" x14ac:dyDescent="0.15">
      <c r="A1308" s="163" t="s">
        <v>210</v>
      </c>
      <c r="B1308" s="163">
        <v>42311.601793680558</v>
      </c>
      <c r="C1308" s="164" t="s">
        <v>1490</v>
      </c>
      <c r="D1308" s="164" t="s">
        <v>13</v>
      </c>
      <c r="E1308" s="165">
        <v>40</v>
      </c>
      <c r="F1308" s="166">
        <v>0</v>
      </c>
      <c r="G1308" s="227">
        <f>IF($B$2,IF(ROWS(B$6:$B1308) = 1,$B1308-Start_Date,$B1308-$B1307),"")</f>
        <v>1.3595416668977123E-2</v>
      </c>
      <c r="H1308" s="29">
        <f>IF($B$2,IF(ROWS(B$6:$B1308) = 1,IF(COUNTIFS(R_Schedule_Times,"&lt;"&amp;B1308),INDEX(R_Schedule_Amounts,MATCH(B1308,R_Schedule_Times,1)),Starting_Cash),IF(COUNTIFS(R_Schedule_Times,"&gt;"&amp;B1307,R_Schedule_Times,"&lt;"&amp;B1308),INDEX(R_Schedule_Amounts,MATCH(B1308,R_Schedule_Times,1)),K1307)),"")</f>
        <v>3740</v>
      </c>
      <c r="I1308" s="30">
        <f t="shared" si="100"/>
        <v>40</v>
      </c>
      <c r="J1308" s="31">
        <f t="shared" si="101"/>
        <v>0</v>
      </c>
      <c r="K1308" s="29">
        <f t="shared" si="102"/>
        <v>3700</v>
      </c>
      <c r="L1308" s="31" t="str">
        <f t="shared" si="103"/>
        <v/>
      </c>
      <c r="M1308" s="31" t="str">
        <f t="shared" si="104"/>
        <v/>
      </c>
    </row>
    <row r="1309" spans="1:13" x14ac:dyDescent="0.15">
      <c r="A1309" s="163" t="s">
        <v>210</v>
      </c>
      <c r="B1309" s="163">
        <v>42311.609763078704</v>
      </c>
      <c r="C1309" s="164" t="s">
        <v>1491</v>
      </c>
      <c r="D1309" s="164" t="s">
        <v>13</v>
      </c>
      <c r="E1309" s="165">
        <v>100</v>
      </c>
      <c r="F1309" s="166">
        <v>0</v>
      </c>
      <c r="G1309" s="227">
        <f>IF($B$2,IF(ROWS(B$6:$B1309) = 1,$B1309-Start_Date,$B1309-$B1308),"")</f>
        <v>7.9693981460877694E-3</v>
      </c>
      <c r="H1309" s="29">
        <f>IF($B$2,IF(ROWS(B$6:$B1309) = 1,IF(COUNTIFS(R_Schedule_Times,"&lt;"&amp;B1309),INDEX(R_Schedule_Amounts,MATCH(B1309,R_Schedule_Times,1)),Starting_Cash),IF(COUNTIFS(R_Schedule_Times,"&gt;"&amp;B1308,R_Schedule_Times,"&lt;"&amp;B1309),INDEX(R_Schedule_Amounts,MATCH(B1309,R_Schedule_Times,1)),K1308)),"")</f>
        <v>3700</v>
      </c>
      <c r="I1309" s="30">
        <f t="shared" si="100"/>
        <v>100</v>
      </c>
      <c r="J1309" s="31">
        <f t="shared" si="101"/>
        <v>0</v>
      </c>
      <c r="K1309" s="29">
        <f t="shared" si="102"/>
        <v>3600</v>
      </c>
      <c r="L1309" s="31" t="str">
        <f t="shared" si="103"/>
        <v/>
      </c>
      <c r="M1309" s="31" t="str">
        <f t="shared" si="104"/>
        <v/>
      </c>
    </row>
    <row r="1310" spans="1:13" x14ac:dyDescent="0.15">
      <c r="A1310" s="163" t="s">
        <v>210</v>
      </c>
      <c r="B1310" s="163">
        <v>42311.688710949071</v>
      </c>
      <c r="C1310" s="164" t="s">
        <v>1492</v>
      </c>
      <c r="D1310" s="164" t="s">
        <v>13</v>
      </c>
      <c r="E1310" s="165">
        <v>40</v>
      </c>
      <c r="F1310" s="166">
        <v>0</v>
      </c>
      <c r="G1310" s="227">
        <f>IF($B$2,IF(ROWS(B$6:$B1310) = 1,$B1310-Start_Date,$B1310-$B1309),"")</f>
        <v>7.8947870366391726E-2</v>
      </c>
      <c r="H1310" s="29">
        <f>IF($B$2,IF(ROWS(B$6:$B1310) = 1,IF(COUNTIFS(R_Schedule_Times,"&lt;"&amp;B1310),INDEX(R_Schedule_Amounts,MATCH(B1310,R_Schedule_Times,1)),Starting_Cash),IF(COUNTIFS(R_Schedule_Times,"&gt;"&amp;B1309,R_Schedule_Times,"&lt;"&amp;B1310),INDEX(R_Schedule_Amounts,MATCH(B1310,R_Schedule_Times,1)),K1309)),"")</f>
        <v>3600</v>
      </c>
      <c r="I1310" s="30">
        <f t="shared" si="100"/>
        <v>40</v>
      </c>
      <c r="J1310" s="31">
        <f t="shared" si="101"/>
        <v>0</v>
      </c>
      <c r="K1310" s="29">
        <f t="shared" si="102"/>
        <v>3560</v>
      </c>
      <c r="L1310" s="31" t="str">
        <f t="shared" si="103"/>
        <v/>
      </c>
      <c r="M1310" s="31" t="str">
        <f t="shared" si="104"/>
        <v/>
      </c>
    </row>
    <row r="1311" spans="1:13" x14ac:dyDescent="0.15">
      <c r="A1311" s="163" t="s">
        <v>210</v>
      </c>
      <c r="B1311" s="163">
        <v>42311.706614062503</v>
      </c>
      <c r="C1311" s="164" t="s">
        <v>1493</v>
      </c>
      <c r="D1311" s="164" t="s">
        <v>13</v>
      </c>
      <c r="E1311" s="165">
        <v>40</v>
      </c>
      <c r="F1311" s="166">
        <v>0</v>
      </c>
      <c r="G1311" s="227">
        <f>IF($B$2,IF(ROWS(B$6:$B1311) = 1,$B1311-Start_Date,$B1311-$B1310),"")</f>
        <v>1.790311343211215E-2</v>
      </c>
      <c r="H1311" s="29">
        <f>IF($B$2,IF(ROWS(B$6:$B1311) = 1,IF(COUNTIFS(R_Schedule_Times,"&lt;"&amp;B1311),INDEX(R_Schedule_Amounts,MATCH(B1311,R_Schedule_Times,1)),Starting_Cash),IF(COUNTIFS(R_Schedule_Times,"&gt;"&amp;B1310,R_Schedule_Times,"&lt;"&amp;B1311),INDEX(R_Schedule_Amounts,MATCH(B1311,R_Schedule_Times,1)),K1310)),"")</f>
        <v>3560</v>
      </c>
      <c r="I1311" s="30">
        <f t="shared" si="100"/>
        <v>40</v>
      </c>
      <c r="J1311" s="31">
        <f t="shared" si="101"/>
        <v>0</v>
      </c>
      <c r="K1311" s="29">
        <f t="shared" si="102"/>
        <v>3520</v>
      </c>
      <c r="L1311" s="31" t="str">
        <f t="shared" si="103"/>
        <v/>
      </c>
      <c r="M1311" s="31" t="str">
        <f t="shared" si="104"/>
        <v/>
      </c>
    </row>
    <row r="1312" spans="1:13" x14ac:dyDescent="0.15">
      <c r="A1312" s="163" t="s">
        <v>210</v>
      </c>
      <c r="B1312" s="163">
        <v>42311.722728958332</v>
      </c>
      <c r="C1312" s="164" t="s">
        <v>1494</v>
      </c>
      <c r="D1312" s="164" t="s">
        <v>13</v>
      </c>
      <c r="E1312" s="165">
        <v>100</v>
      </c>
      <c r="F1312" s="166">
        <v>0</v>
      </c>
      <c r="G1312" s="227">
        <f>IF($B$2,IF(ROWS(B$6:$B1312) = 1,$B1312-Start_Date,$B1312-$B1311),"")</f>
        <v>1.6114895828650333E-2</v>
      </c>
      <c r="H1312" s="29">
        <f>IF($B$2,IF(ROWS(B$6:$B1312) = 1,IF(COUNTIFS(R_Schedule_Times,"&lt;"&amp;B1312),INDEX(R_Schedule_Amounts,MATCH(B1312,R_Schedule_Times,1)),Starting_Cash),IF(COUNTIFS(R_Schedule_Times,"&gt;"&amp;B1311,R_Schedule_Times,"&lt;"&amp;B1312),INDEX(R_Schedule_Amounts,MATCH(B1312,R_Schedule_Times,1)),K1311)),"")</f>
        <v>3520</v>
      </c>
      <c r="I1312" s="30">
        <f t="shared" si="100"/>
        <v>100</v>
      </c>
      <c r="J1312" s="31">
        <f t="shared" si="101"/>
        <v>0</v>
      </c>
      <c r="K1312" s="29">
        <f t="shared" si="102"/>
        <v>3420</v>
      </c>
      <c r="L1312" s="31" t="str">
        <f t="shared" si="103"/>
        <v/>
      </c>
      <c r="M1312" s="31" t="str">
        <f t="shared" si="104"/>
        <v/>
      </c>
    </row>
    <row r="1313" spans="1:13" x14ac:dyDescent="0.15">
      <c r="A1313" s="163" t="s">
        <v>210</v>
      </c>
      <c r="B1313" s="163">
        <v>42311.772085902776</v>
      </c>
      <c r="C1313" s="164" t="s">
        <v>1357</v>
      </c>
      <c r="D1313" s="164" t="s">
        <v>13</v>
      </c>
      <c r="E1313" s="165">
        <v>80</v>
      </c>
      <c r="F1313" s="166">
        <v>0</v>
      </c>
      <c r="G1313" s="227">
        <f>IF($B$2,IF(ROWS(B$6:$B1313) = 1,$B1313-Start_Date,$B1313-$B1312),"")</f>
        <v>4.9356944444298279E-2</v>
      </c>
      <c r="H1313" s="29">
        <f>IF($B$2,IF(ROWS(B$6:$B1313) = 1,IF(COUNTIFS(R_Schedule_Times,"&lt;"&amp;B1313),INDEX(R_Schedule_Amounts,MATCH(B1313,R_Schedule_Times,1)),Starting_Cash),IF(COUNTIFS(R_Schedule_Times,"&gt;"&amp;B1312,R_Schedule_Times,"&lt;"&amp;B1313),INDEX(R_Schedule_Amounts,MATCH(B1313,R_Schedule_Times,1)),K1312)),"")</f>
        <v>3420</v>
      </c>
      <c r="I1313" s="30">
        <f t="shared" si="100"/>
        <v>80</v>
      </c>
      <c r="J1313" s="31">
        <f t="shared" si="101"/>
        <v>0</v>
      </c>
      <c r="K1313" s="29">
        <f t="shared" si="102"/>
        <v>3340</v>
      </c>
      <c r="L1313" s="31" t="str">
        <f t="shared" si="103"/>
        <v/>
      </c>
      <c r="M1313" s="31" t="str">
        <f t="shared" si="104"/>
        <v/>
      </c>
    </row>
    <row r="1314" spans="1:13" x14ac:dyDescent="0.15">
      <c r="A1314" s="163" t="s">
        <v>210</v>
      </c>
      <c r="B1314" s="163">
        <v>42311.783822673613</v>
      </c>
      <c r="C1314" s="164" t="s">
        <v>75</v>
      </c>
      <c r="D1314" s="164" t="s">
        <v>13</v>
      </c>
      <c r="E1314" s="165">
        <v>40</v>
      </c>
      <c r="F1314" s="166">
        <v>0</v>
      </c>
      <c r="G1314" s="227">
        <f>IF($B$2,IF(ROWS(B$6:$B1314) = 1,$B1314-Start_Date,$B1314-$B1313),"")</f>
        <v>1.1736770837160293E-2</v>
      </c>
      <c r="H1314" s="29">
        <f>IF($B$2,IF(ROWS(B$6:$B1314) = 1,IF(COUNTIFS(R_Schedule_Times,"&lt;"&amp;B1314),INDEX(R_Schedule_Amounts,MATCH(B1314,R_Schedule_Times,1)),Starting_Cash),IF(COUNTIFS(R_Schedule_Times,"&gt;"&amp;B1313,R_Schedule_Times,"&lt;"&amp;B1314),INDEX(R_Schedule_Amounts,MATCH(B1314,R_Schedule_Times,1)),K1313)),"")</f>
        <v>3340</v>
      </c>
      <c r="I1314" s="30">
        <f t="shared" si="100"/>
        <v>40</v>
      </c>
      <c r="J1314" s="31">
        <f t="shared" si="101"/>
        <v>0</v>
      </c>
      <c r="K1314" s="29">
        <f t="shared" si="102"/>
        <v>3300</v>
      </c>
      <c r="L1314" s="31" t="str">
        <f t="shared" si="103"/>
        <v/>
      </c>
      <c r="M1314" s="31" t="str">
        <f t="shared" si="104"/>
        <v/>
      </c>
    </row>
    <row r="1315" spans="1:13" x14ac:dyDescent="0.15">
      <c r="A1315" s="163" t="s">
        <v>210</v>
      </c>
      <c r="B1315" s="163">
        <v>42311.828913379628</v>
      </c>
      <c r="C1315" s="164" t="s">
        <v>1495</v>
      </c>
      <c r="D1315" s="164" t="s">
        <v>13</v>
      </c>
      <c r="E1315" s="165">
        <v>40</v>
      </c>
      <c r="F1315" s="166">
        <v>0</v>
      </c>
      <c r="G1315" s="227">
        <f>IF($B$2,IF(ROWS(B$6:$B1315) = 1,$B1315-Start_Date,$B1315-$B1314),"")</f>
        <v>4.5090706014889292E-2</v>
      </c>
      <c r="H1315" s="29">
        <f>IF($B$2,IF(ROWS(B$6:$B1315) = 1,IF(COUNTIFS(R_Schedule_Times,"&lt;"&amp;B1315),INDEX(R_Schedule_Amounts,MATCH(B1315,R_Schedule_Times,1)),Starting_Cash),IF(COUNTIFS(R_Schedule_Times,"&gt;"&amp;B1314,R_Schedule_Times,"&lt;"&amp;B1315),INDEX(R_Schedule_Amounts,MATCH(B1315,R_Schedule_Times,1)),K1314)),"")</f>
        <v>3300</v>
      </c>
      <c r="I1315" s="30">
        <f t="shared" si="100"/>
        <v>40</v>
      </c>
      <c r="J1315" s="31">
        <f t="shared" si="101"/>
        <v>0</v>
      </c>
      <c r="K1315" s="29">
        <f t="shared" si="102"/>
        <v>3260</v>
      </c>
      <c r="L1315" s="31" t="str">
        <f t="shared" si="103"/>
        <v/>
      </c>
      <c r="M1315" s="31" t="str">
        <f t="shared" si="104"/>
        <v/>
      </c>
    </row>
    <row r="1316" spans="1:13" x14ac:dyDescent="0.15">
      <c r="A1316" s="163" t="s">
        <v>210</v>
      </c>
      <c r="B1316" s="163">
        <v>42311.910348738427</v>
      </c>
      <c r="C1316" s="164" t="s">
        <v>1496</v>
      </c>
      <c r="D1316" s="164" t="s">
        <v>13</v>
      </c>
      <c r="E1316" s="165">
        <v>20</v>
      </c>
      <c r="F1316" s="166">
        <v>0</v>
      </c>
      <c r="G1316" s="227">
        <f>IF($B$2,IF(ROWS(B$6:$B1316) = 1,$B1316-Start_Date,$B1316-$B1315),"")</f>
        <v>8.1435358799353708E-2</v>
      </c>
      <c r="H1316" s="29">
        <f>IF($B$2,IF(ROWS(B$6:$B1316) = 1,IF(COUNTIFS(R_Schedule_Times,"&lt;"&amp;B1316),INDEX(R_Schedule_Amounts,MATCH(B1316,R_Schedule_Times,1)),Starting_Cash),IF(COUNTIFS(R_Schedule_Times,"&gt;"&amp;B1315,R_Schedule_Times,"&lt;"&amp;B1316),INDEX(R_Schedule_Amounts,MATCH(B1316,R_Schedule_Times,1)),K1315)),"")</f>
        <v>3260</v>
      </c>
      <c r="I1316" s="30">
        <f t="shared" si="100"/>
        <v>20</v>
      </c>
      <c r="J1316" s="31">
        <f t="shared" si="101"/>
        <v>0</v>
      </c>
      <c r="K1316" s="29">
        <f t="shared" si="102"/>
        <v>3240</v>
      </c>
      <c r="L1316" s="31" t="str">
        <f t="shared" si="103"/>
        <v/>
      </c>
      <c r="M1316" s="31" t="str">
        <f t="shared" si="104"/>
        <v/>
      </c>
    </row>
    <row r="1317" spans="1:13" x14ac:dyDescent="0.15">
      <c r="A1317" s="163" t="s">
        <v>210</v>
      </c>
      <c r="B1317" s="163">
        <v>42311.914734050923</v>
      </c>
      <c r="C1317" s="164" t="s">
        <v>1497</v>
      </c>
      <c r="D1317" s="164" t="s">
        <v>13</v>
      </c>
      <c r="E1317" s="165">
        <v>60</v>
      </c>
      <c r="F1317" s="166">
        <v>0</v>
      </c>
      <c r="G1317" s="227">
        <f>IF($B$2,IF(ROWS(B$6:$B1317) = 1,$B1317-Start_Date,$B1317-$B1316),"")</f>
        <v>4.3853124952875078E-3</v>
      </c>
      <c r="H1317" s="29">
        <f>IF($B$2,IF(ROWS(B$6:$B1317) = 1,IF(COUNTIFS(R_Schedule_Times,"&lt;"&amp;B1317),INDEX(R_Schedule_Amounts,MATCH(B1317,R_Schedule_Times,1)),Starting_Cash),IF(COUNTIFS(R_Schedule_Times,"&gt;"&amp;B1316,R_Schedule_Times,"&lt;"&amp;B1317),INDEX(R_Schedule_Amounts,MATCH(B1317,R_Schedule_Times,1)),K1316)),"")</f>
        <v>3240</v>
      </c>
      <c r="I1317" s="30">
        <f t="shared" si="100"/>
        <v>60</v>
      </c>
      <c r="J1317" s="31">
        <f t="shared" si="101"/>
        <v>0</v>
      </c>
      <c r="K1317" s="29">
        <f t="shared" si="102"/>
        <v>3180</v>
      </c>
      <c r="L1317" s="31" t="str">
        <f t="shared" si="103"/>
        <v/>
      </c>
      <c r="M1317" s="31" t="str">
        <f t="shared" si="104"/>
        <v/>
      </c>
    </row>
    <row r="1318" spans="1:13" x14ac:dyDescent="0.15">
      <c r="A1318" s="163" t="s">
        <v>210</v>
      </c>
      <c r="B1318" s="163">
        <v>42312.03466607639</v>
      </c>
      <c r="C1318" s="164" t="s">
        <v>376</v>
      </c>
      <c r="D1318" s="164" t="s">
        <v>13</v>
      </c>
      <c r="E1318" s="165">
        <v>100</v>
      </c>
      <c r="F1318" s="166">
        <v>0</v>
      </c>
      <c r="G1318" s="227">
        <f>IF($B$2,IF(ROWS(B$6:$B1318) = 1,$B1318-Start_Date,$B1318-$B1317),"")</f>
        <v>0.11993202546727844</v>
      </c>
      <c r="H1318" s="29">
        <f>IF($B$2,IF(ROWS(B$6:$B1318) = 1,IF(COUNTIFS(R_Schedule_Times,"&lt;"&amp;B1318),INDEX(R_Schedule_Amounts,MATCH(B1318,R_Schedule_Times,1)),Starting_Cash),IF(COUNTIFS(R_Schedule_Times,"&gt;"&amp;B1317,R_Schedule_Times,"&lt;"&amp;B1318),INDEX(R_Schedule_Amounts,MATCH(B1318,R_Schedule_Times,1)),K1317)),"")</f>
        <v>3180</v>
      </c>
      <c r="I1318" s="30">
        <f t="shared" si="100"/>
        <v>100</v>
      </c>
      <c r="J1318" s="31">
        <f t="shared" si="101"/>
        <v>0</v>
      </c>
      <c r="K1318" s="29">
        <f t="shared" si="102"/>
        <v>3080</v>
      </c>
      <c r="L1318" s="31" t="str">
        <f t="shared" si="103"/>
        <v/>
      </c>
      <c r="M1318" s="31" t="str">
        <f t="shared" si="104"/>
        <v/>
      </c>
    </row>
    <row r="1319" spans="1:13" x14ac:dyDescent="0.15">
      <c r="A1319" s="163" t="s">
        <v>210</v>
      </c>
      <c r="B1319" s="163">
        <v>42312.257140127316</v>
      </c>
      <c r="C1319" s="164" t="s">
        <v>1498</v>
      </c>
      <c r="D1319" s="164" t="s">
        <v>13</v>
      </c>
      <c r="E1319" s="165">
        <v>60</v>
      </c>
      <c r="F1319" s="166">
        <v>0</v>
      </c>
      <c r="G1319" s="227">
        <f>IF($B$2,IF(ROWS(B$6:$B1319) = 1,$B1319-Start_Date,$B1319-$B1318),"")</f>
        <v>0.22247405092639383</v>
      </c>
      <c r="H1319" s="29">
        <f>IF($B$2,IF(ROWS(B$6:$B1319) = 1,IF(COUNTIFS(R_Schedule_Times,"&lt;"&amp;B1319),INDEX(R_Schedule_Amounts,MATCH(B1319,R_Schedule_Times,1)),Starting_Cash),IF(COUNTIFS(R_Schedule_Times,"&gt;"&amp;B1318,R_Schedule_Times,"&lt;"&amp;B1319),INDEX(R_Schedule_Amounts,MATCH(B1319,R_Schedule_Times,1)),K1318)),"")</f>
        <v>3080</v>
      </c>
      <c r="I1319" s="30">
        <f t="shared" si="100"/>
        <v>60</v>
      </c>
      <c r="J1319" s="31">
        <f t="shared" si="101"/>
        <v>0</v>
      </c>
      <c r="K1319" s="29">
        <f t="shared" si="102"/>
        <v>3020</v>
      </c>
      <c r="L1319" s="31" t="str">
        <f t="shared" si="103"/>
        <v/>
      </c>
      <c r="M1319" s="31" t="str">
        <f t="shared" si="104"/>
        <v/>
      </c>
    </row>
    <row r="1320" spans="1:13" x14ac:dyDescent="0.15">
      <c r="A1320" s="163" t="s">
        <v>210</v>
      </c>
      <c r="B1320" s="163">
        <v>42312.293325057872</v>
      </c>
      <c r="C1320" s="164" t="s">
        <v>1499</v>
      </c>
      <c r="D1320" s="164" t="s">
        <v>13</v>
      </c>
      <c r="E1320" s="165">
        <v>60</v>
      </c>
      <c r="F1320" s="166">
        <v>0</v>
      </c>
      <c r="G1320" s="227">
        <f>IF($B$2,IF(ROWS(B$6:$B1320) = 1,$B1320-Start_Date,$B1320-$B1319),"")</f>
        <v>3.6184930555464234E-2</v>
      </c>
      <c r="H1320" s="29">
        <f>IF($B$2,IF(ROWS(B$6:$B1320) = 1,IF(COUNTIFS(R_Schedule_Times,"&lt;"&amp;B1320),INDEX(R_Schedule_Amounts,MATCH(B1320,R_Schedule_Times,1)),Starting_Cash),IF(COUNTIFS(R_Schedule_Times,"&gt;"&amp;B1319,R_Schedule_Times,"&lt;"&amp;B1320),INDEX(R_Schedule_Amounts,MATCH(B1320,R_Schedule_Times,1)),K1319)),"")</f>
        <v>3020</v>
      </c>
      <c r="I1320" s="30">
        <f t="shared" si="100"/>
        <v>60</v>
      </c>
      <c r="J1320" s="31">
        <f t="shared" si="101"/>
        <v>0</v>
      </c>
      <c r="K1320" s="29">
        <f t="shared" si="102"/>
        <v>2960</v>
      </c>
      <c r="L1320" s="31" t="str">
        <f t="shared" si="103"/>
        <v/>
      </c>
      <c r="M1320" s="31" t="str">
        <f t="shared" si="104"/>
        <v/>
      </c>
    </row>
    <row r="1321" spans="1:13" x14ac:dyDescent="0.15">
      <c r="A1321" s="163" t="s">
        <v>210</v>
      </c>
      <c r="B1321" s="163">
        <v>42312.297047314816</v>
      </c>
      <c r="C1321" s="164" t="s">
        <v>1500</v>
      </c>
      <c r="D1321" s="164" t="s">
        <v>13</v>
      </c>
      <c r="E1321" s="165">
        <v>100</v>
      </c>
      <c r="F1321" s="166">
        <v>0</v>
      </c>
      <c r="G1321" s="227">
        <f>IF($B$2,IF(ROWS(B$6:$B1321) = 1,$B1321-Start_Date,$B1321-$B1320),"")</f>
        <v>3.7222569444566034E-3</v>
      </c>
      <c r="H1321" s="29">
        <f>IF($B$2,IF(ROWS(B$6:$B1321) = 1,IF(COUNTIFS(R_Schedule_Times,"&lt;"&amp;B1321),INDEX(R_Schedule_Amounts,MATCH(B1321,R_Schedule_Times,1)),Starting_Cash),IF(COUNTIFS(R_Schedule_Times,"&gt;"&amp;B1320,R_Schedule_Times,"&lt;"&amp;B1321),INDEX(R_Schedule_Amounts,MATCH(B1321,R_Schedule_Times,1)),K1320)),"")</f>
        <v>2960</v>
      </c>
      <c r="I1321" s="30">
        <f t="shared" si="100"/>
        <v>100</v>
      </c>
      <c r="J1321" s="31">
        <f t="shared" si="101"/>
        <v>0</v>
      </c>
      <c r="K1321" s="29">
        <f t="shared" si="102"/>
        <v>2860</v>
      </c>
      <c r="L1321" s="31" t="str">
        <f t="shared" si="103"/>
        <v/>
      </c>
      <c r="M1321" s="31" t="str">
        <f t="shared" si="104"/>
        <v/>
      </c>
    </row>
    <row r="1322" spans="1:13" x14ac:dyDescent="0.15">
      <c r="A1322" s="163" t="s">
        <v>210</v>
      </c>
      <c r="B1322" s="163">
        <v>42312.332664641202</v>
      </c>
      <c r="C1322" s="164" t="s">
        <v>1209</v>
      </c>
      <c r="D1322" s="164" t="s">
        <v>13</v>
      </c>
      <c r="E1322" s="165">
        <v>100</v>
      </c>
      <c r="F1322" s="166">
        <v>0</v>
      </c>
      <c r="G1322" s="227">
        <f>IF($B$2,IF(ROWS(B$6:$B1322) = 1,$B1322-Start_Date,$B1322-$B1321),"")</f>
        <v>3.5617326386272907E-2</v>
      </c>
      <c r="H1322" s="29">
        <f>IF($B$2,IF(ROWS(B$6:$B1322) = 1,IF(COUNTIFS(R_Schedule_Times,"&lt;"&amp;B1322),INDEX(R_Schedule_Amounts,MATCH(B1322,R_Schedule_Times,1)),Starting_Cash),IF(COUNTIFS(R_Schedule_Times,"&gt;"&amp;B1321,R_Schedule_Times,"&lt;"&amp;B1322),INDEX(R_Schedule_Amounts,MATCH(B1322,R_Schedule_Times,1)),K1321)),"")</f>
        <v>2860</v>
      </c>
      <c r="I1322" s="30">
        <f t="shared" si="100"/>
        <v>100</v>
      </c>
      <c r="J1322" s="31">
        <f t="shared" si="101"/>
        <v>0</v>
      </c>
      <c r="K1322" s="29">
        <f t="shared" si="102"/>
        <v>2760</v>
      </c>
      <c r="L1322" s="31" t="str">
        <f t="shared" si="103"/>
        <v/>
      </c>
      <c r="M1322" s="31" t="str">
        <f t="shared" si="104"/>
        <v/>
      </c>
    </row>
    <row r="1323" spans="1:13" x14ac:dyDescent="0.15">
      <c r="A1323" s="163" t="s">
        <v>210</v>
      </c>
      <c r="B1323" s="163">
        <v>42312.364330393517</v>
      </c>
      <c r="C1323" s="164" t="s">
        <v>1501</v>
      </c>
      <c r="D1323" s="164" t="s">
        <v>13</v>
      </c>
      <c r="E1323" s="165">
        <v>20</v>
      </c>
      <c r="F1323" s="166">
        <v>0</v>
      </c>
      <c r="G1323" s="227">
        <f>IF($B$2,IF(ROWS(B$6:$B1323) = 1,$B1323-Start_Date,$B1323-$B1322),"")</f>
        <v>3.1665752314438578E-2</v>
      </c>
      <c r="H1323" s="29">
        <f>IF($B$2,IF(ROWS(B$6:$B1323) = 1,IF(COUNTIFS(R_Schedule_Times,"&lt;"&amp;B1323),INDEX(R_Schedule_Amounts,MATCH(B1323,R_Schedule_Times,1)),Starting_Cash),IF(COUNTIFS(R_Schedule_Times,"&gt;"&amp;B1322,R_Schedule_Times,"&lt;"&amp;B1323),INDEX(R_Schedule_Amounts,MATCH(B1323,R_Schedule_Times,1)),K1322)),"")</f>
        <v>2760</v>
      </c>
      <c r="I1323" s="30">
        <f t="shared" si="100"/>
        <v>20</v>
      </c>
      <c r="J1323" s="31">
        <f t="shared" si="101"/>
        <v>0</v>
      </c>
      <c r="K1323" s="29">
        <f t="shared" si="102"/>
        <v>2740</v>
      </c>
      <c r="L1323" s="31" t="str">
        <f t="shared" si="103"/>
        <v/>
      </c>
      <c r="M1323" s="31" t="str">
        <f t="shared" si="104"/>
        <v/>
      </c>
    </row>
    <row r="1324" spans="1:13" x14ac:dyDescent="0.15">
      <c r="A1324" s="163" t="s">
        <v>210</v>
      </c>
      <c r="B1324" s="163">
        <v>42312.378291134257</v>
      </c>
      <c r="C1324" s="164" t="s">
        <v>14</v>
      </c>
      <c r="D1324" s="164" t="s">
        <v>13</v>
      </c>
      <c r="E1324" s="165">
        <v>40</v>
      </c>
      <c r="F1324" s="166">
        <v>3.5</v>
      </c>
      <c r="G1324" s="227">
        <f>IF($B$2,IF(ROWS(B$6:$B1324) = 1,$B1324-Start_Date,$B1324-$B1323),"")</f>
        <v>1.396074074000353E-2</v>
      </c>
      <c r="H1324" s="29">
        <f>IF($B$2,IF(ROWS(B$6:$B1324) = 1,IF(COUNTIFS(R_Schedule_Times,"&lt;"&amp;B1324),INDEX(R_Schedule_Amounts,MATCH(B1324,R_Schedule_Times,1)),Starting_Cash),IF(COUNTIFS(R_Schedule_Times,"&gt;"&amp;B1323,R_Schedule_Times,"&lt;"&amp;B1324),INDEX(R_Schedule_Amounts,MATCH(B1324,R_Schedule_Times,1)),K1323)),"")</f>
        <v>2740</v>
      </c>
      <c r="I1324" s="30">
        <f t="shared" si="100"/>
        <v>40</v>
      </c>
      <c r="J1324" s="31">
        <f t="shared" si="101"/>
        <v>3.5</v>
      </c>
      <c r="K1324" s="29">
        <f t="shared" si="102"/>
        <v>2700</v>
      </c>
      <c r="L1324" s="31" t="str">
        <f t="shared" si="103"/>
        <v/>
      </c>
      <c r="M1324" s="31" t="str">
        <f t="shared" si="104"/>
        <v/>
      </c>
    </row>
    <row r="1325" spans="1:13" x14ac:dyDescent="0.15">
      <c r="A1325" s="163" t="s">
        <v>210</v>
      </c>
      <c r="B1325" s="163">
        <v>42312.395752476848</v>
      </c>
      <c r="C1325" s="164" t="s">
        <v>1502</v>
      </c>
      <c r="D1325" s="164" t="s">
        <v>13</v>
      </c>
      <c r="E1325" s="165">
        <v>60</v>
      </c>
      <c r="F1325" s="166">
        <v>0</v>
      </c>
      <c r="G1325" s="227">
        <f>IF($B$2,IF(ROWS(B$6:$B1325) = 1,$B1325-Start_Date,$B1325-$B1324),"")</f>
        <v>1.7461342591559514E-2</v>
      </c>
      <c r="H1325" s="29">
        <f>IF($B$2,IF(ROWS(B$6:$B1325) = 1,IF(COUNTIFS(R_Schedule_Times,"&lt;"&amp;B1325),INDEX(R_Schedule_Amounts,MATCH(B1325,R_Schedule_Times,1)),Starting_Cash),IF(COUNTIFS(R_Schedule_Times,"&gt;"&amp;B1324,R_Schedule_Times,"&lt;"&amp;B1325),INDEX(R_Schedule_Amounts,MATCH(B1325,R_Schedule_Times,1)),K1324)),"")</f>
        <v>2700</v>
      </c>
      <c r="I1325" s="30">
        <f t="shared" si="100"/>
        <v>60</v>
      </c>
      <c r="J1325" s="31">
        <f t="shared" si="101"/>
        <v>0</v>
      </c>
      <c r="K1325" s="29">
        <f t="shared" si="102"/>
        <v>2640</v>
      </c>
      <c r="L1325" s="31" t="str">
        <f t="shared" si="103"/>
        <v/>
      </c>
      <c r="M1325" s="31" t="str">
        <f t="shared" si="104"/>
        <v/>
      </c>
    </row>
    <row r="1326" spans="1:13" x14ac:dyDescent="0.15">
      <c r="A1326" s="163" t="s">
        <v>210</v>
      </c>
      <c r="B1326" s="163">
        <v>42312.406517013886</v>
      </c>
      <c r="C1326" s="164" t="s">
        <v>401</v>
      </c>
      <c r="D1326" s="164" t="s">
        <v>13</v>
      </c>
      <c r="E1326" s="165">
        <v>100</v>
      </c>
      <c r="F1326" s="166">
        <v>0</v>
      </c>
      <c r="G1326" s="227">
        <f>IF($B$2,IF(ROWS(B$6:$B1326) = 1,$B1326-Start_Date,$B1326-$B1325),"")</f>
        <v>1.0764537037175614E-2</v>
      </c>
      <c r="H1326" s="29">
        <f>IF($B$2,IF(ROWS(B$6:$B1326) = 1,IF(COUNTIFS(R_Schedule_Times,"&lt;"&amp;B1326),INDEX(R_Schedule_Amounts,MATCH(B1326,R_Schedule_Times,1)),Starting_Cash),IF(COUNTIFS(R_Schedule_Times,"&gt;"&amp;B1325,R_Schedule_Times,"&lt;"&amp;B1326),INDEX(R_Schedule_Amounts,MATCH(B1326,R_Schedule_Times,1)),K1325)),"")</f>
        <v>2640</v>
      </c>
      <c r="I1326" s="30">
        <f t="shared" si="100"/>
        <v>100</v>
      </c>
      <c r="J1326" s="31">
        <f t="shared" si="101"/>
        <v>0</v>
      </c>
      <c r="K1326" s="29">
        <f t="shared" si="102"/>
        <v>2540</v>
      </c>
      <c r="L1326" s="31" t="str">
        <f t="shared" si="103"/>
        <v/>
      </c>
      <c r="M1326" s="31" t="str">
        <f t="shared" si="104"/>
        <v/>
      </c>
    </row>
    <row r="1327" spans="1:13" x14ac:dyDescent="0.15">
      <c r="A1327" s="163" t="s">
        <v>210</v>
      </c>
      <c r="B1327" s="163">
        <v>42312.449211331019</v>
      </c>
      <c r="C1327" s="164" t="s">
        <v>1503</v>
      </c>
      <c r="D1327" s="164" t="s">
        <v>13</v>
      </c>
      <c r="E1327" s="165">
        <v>100</v>
      </c>
      <c r="F1327" s="166">
        <v>0</v>
      </c>
      <c r="G1327" s="227">
        <f>IF($B$2,IF(ROWS(B$6:$B1327) = 1,$B1327-Start_Date,$B1327-$B1326),"")</f>
        <v>4.2694317133282311E-2</v>
      </c>
      <c r="H1327" s="29">
        <f>IF($B$2,IF(ROWS(B$6:$B1327) = 1,IF(COUNTIFS(R_Schedule_Times,"&lt;"&amp;B1327),INDEX(R_Schedule_Amounts,MATCH(B1327,R_Schedule_Times,1)),Starting_Cash),IF(COUNTIFS(R_Schedule_Times,"&gt;"&amp;B1326,R_Schedule_Times,"&lt;"&amp;B1327),INDEX(R_Schedule_Amounts,MATCH(B1327,R_Schedule_Times,1)),K1326)),"")</f>
        <v>2540</v>
      </c>
      <c r="I1327" s="30">
        <f t="shared" si="100"/>
        <v>100</v>
      </c>
      <c r="J1327" s="31">
        <f t="shared" si="101"/>
        <v>0</v>
      </c>
      <c r="K1327" s="29">
        <f t="shared" si="102"/>
        <v>2440</v>
      </c>
      <c r="L1327" s="31" t="str">
        <f t="shared" si="103"/>
        <v/>
      </c>
      <c r="M1327" s="31" t="str">
        <f t="shared" si="104"/>
        <v/>
      </c>
    </row>
    <row r="1328" spans="1:13" x14ac:dyDescent="0.15">
      <c r="A1328" s="163" t="s">
        <v>210</v>
      </c>
      <c r="B1328" s="163">
        <v>42312.450069016202</v>
      </c>
      <c r="C1328" s="164" t="s">
        <v>1504</v>
      </c>
      <c r="D1328" s="164" t="s">
        <v>15</v>
      </c>
      <c r="E1328" s="165">
        <v>100</v>
      </c>
      <c r="F1328" s="166">
        <v>3</v>
      </c>
      <c r="G1328" s="227">
        <f>IF($B$2,IF(ROWS(B$6:$B1328) = 1,$B1328-Start_Date,$B1328-$B1327),"")</f>
        <v>8.5768518329132348E-4</v>
      </c>
      <c r="H1328" s="29">
        <f>IF($B$2,IF(ROWS(B$6:$B1328) = 1,IF(COUNTIFS(R_Schedule_Times,"&lt;"&amp;B1328),INDEX(R_Schedule_Amounts,MATCH(B1328,R_Schedule_Times,1)),Starting_Cash),IF(COUNTIFS(R_Schedule_Times,"&gt;"&amp;B1327,R_Schedule_Times,"&lt;"&amp;B1328),INDEX(R_Schedule_Amounts,MATCH(B1328,R_Schedule_Times,1)),K1327)),"")</f>
        <v>2440</v>
      </c>
      <c r="I1328" s="30">
        <f t="shared" si="100"/>
        <v>100</v>
      </c>
      <c r="J1328" s="31">
        <f t="shared" si="101"/>
        <v>3</v>
      </c>
      <c r="K1328" s="29">
        <f t="shared" si="102"/>
        <v>2340</v>
      </c>
      <c r="L1328" s="31" t="str">
        <f t="shared" si="103"/>
        <v/>
      </c>
      <c r="M1328" s="31" t="str">
        <f t="shared" si="104"/>
        <v/>
      </c>
    </row>
    <row r="1329" spans="1:13" x14ac:dyDescent="0.15">
      <c r="A1329" s="163" t="s">
        <v>210</v>
      </c>
      <c r="B1329" s="163">
        <v>42312.471106608798</v>
      </c>
      <c r="C1329" s="164" t="s">
        <v>1008</v>
      </c>
      <c r="D1329" s="164" t="s">
        <v>13</v>
      </c>
      <c r="E1329" s="165">
        <v>40</v>
      </c>
      <c r="F1329" s="166">
        <v>0</v>
      </c>
      <c r="G1329" s="227">
        <f>IF($B$2,IF(ROWS(B$6:$B1329) = 1,$B1329-Start_Date,$B1329-$B1328),"")</f>
        <v>2.1037592596258037E-2</v>
      </c>
      <c r="H1329" s="29">
        <f>IF($B$2,IF(ROWS(B$6:$B1329) = 1,IF(COUNTIFS(R_Schedule_Times,"&lt;"&amp;B1329),INDEX(R_Schedule_Amounts,MATCH(B1329,R_Schedule_Times,1)),Starting_Cash),IF(COUNTIFS(R_Schedule_Times,"&gt;"&amp;B1328,R_Schedule_Times,"&lt;"&amp;B1329),INDEX(R_Schedule_Amounts,MATCH(B1329,R_Schedule_Times,1)),K1328)),"")</f>
        <v>2340</v>
      </c>
      <c r="I1329" s="30">
        <f t="shared" si="100"/>
        <v>40</v>
      </c>
      <c r="J1329" s="31">
        <f t="shared" si="101"/>
        <v>0</v>
      </c>
      <c r="K1329" s="29">
        <f t="shared" si="102"/>
        <v>2300</v>
      </c>
      <c r="L1329" s="31" t="str">
        <f t="shared" si="103"/>
        <v/>
      </c>
      <c r="M1329" s="31" t="str">
        <f t="shared" si="104"/>
        <v/>
      </c>
    </row>
    <row r="1330" spans="1:13" x14ac:dyDescent="0.15">
      <c r="A1330" s="163" t="s">
        <v>210</v>
      </c>
      <c r="B1330" s="163">
        <v>42312.490114618056</v>
      </c>
      <c r="C1330" s="164" t="s">
        <v>1505</v>
      </c>
      <c r="D1330" s="164" t="s">
        <v>13</v>
      </c>
      <c r="E1330" s="165">
        <v>20</v>
      </c>
      <c r="F1330" s="166">
        <v>0</v>
      </c>
      <c r="G1330" s="227">
        <f>IF($B$2,IF(ROWS(B$6:$B1330) = 1,$B1330-Start_Date,$B1330-$B1329),"")</f>
        <v>1.9008009257959202E-2</v>
      </c>
      <c r="H1330" s="29">
        <f>IF($B$2,IF(ROWS(B$6:$B1330) = 1,IF(COUNTIFS(R_Schedule_Times,"&lt;"&amp;B1330),INDEX(R_Schedule_Amounts,MATCH(B1330,R_Schedule_Times,1)),Starting_Cash),IF(COUNTIFS(R_Schedule_Times,"&gt;"&amp;B1329,R_Schedule_Times,"&lt;"&amp;B1330),INDEX(R_Schedule_Amounts,MATCH(B1330,R_Schedule_Times,1)),K1329)),"")</f>
        <v>2300</v>
      </c>
      <c r="I1330" s="30">
        <f t="shared" si="100"/>
        <v>20</v>
      </c>
      <c r="J1330" s="31">
        <f t="shared" si="101"/>
        <v>0</v>
      </c>
      <c r="K1330" s="29">
        <f t="shared" si="102"/>
        <v>2280</v>
      </c>
      <c r="L1330" s="31" t="str">
        <f t="shared" si="103"/>
        <v/>
      </c>
      <c r="M1330" s="31" t="str">
        <f t="shared" si="104"/>
        <v/>
      </c>
    </row>
    <row r="1331" spans="1:13" x14ac:dyDescent="0.15">
      <c r="A1331" s="163" t="s">
        <v>210</v>
      </c>
      <c r="B1331" s="163">
        <v>42312.495235185183</v>
      </c>
      <c r="C1331" s="164" t="s">
        <v>1506</v>
      </c>
      <c r="D1331" s="164" t="s">
        <v>13</v>
      </c>
      <c r="E1331" s="165">
        <v>100</v>
      </c>
      <c r="F1331" s="166">
        <v>0</v>
      </c>
      <c r="G1331" s="227">
        <f>IF($B$2,IF(ROWS(B$6:$B1331) = 1,$B1331-Start_Date,$B1331-$B1330),"")</f>
        <v>5.1205671261413954E-3</v>
      </c>
      <c r="H1331" s="29">
        <f>IF($B$2,IF(ROWS(B$6:$B1331) = 1,IF(COUNTIFS(R_Schedule_Times,"&lt;"&amp;B1331),INDEX(R_Schedule_Amounts,MATCH(B1331,R_Schedule_Times,1)),Starting_Cash),IF(COUNTIFS(R_Schedule_Times,"&gt;"&amp;B1330,R_Schedule_Times,"&lt;"&amp;B1331),INDEX(R_Schedule_Amounts,MATCH(B1331,R_Schedule_Times,1)),K1330)),"")</f>
        <v>2280</v>
      </c>
      <c r="I1331" s="30">
        <f t="shared" si="100"/>
        <v>100</v>
      </c>
      <c r="J1331" s="31">
        <f t="shared" si="101"/>
        <v>0</v>
      </c>
      <c r="K1331" s="29">
        <f t="shared" si="102"/>
        <v>2180</v>
      </c>
      <c r="L1331" s="31" t="str">
        <f t="shared" si="103"/>
        <v/>
      </c>
      <c r="M1331" s="31" t="str">
        <f t="shared" si="104"/>
        <v/>
      </c>
    </row>
    <row r="1332" spans="1:13" x14ac:dyDescent="0.15">
      <c r="A1332" s="163" t="s">
        <v>210</v>
      </c>
      <c r="B1332" s="163">
        <v>42312.503481099535</v>
      </c>
      <c r="C1332" s="164" t="s">
        <v>1507</v>
      </c>
      <c r="D1332" s="164" t="s">
        <v>13</v>
      </c>
      <c r="E1332" s="165">
        <v>120</v>
      </c>
      <c r="F1332" s="166">
        <v>0</v>
      </c>
      <c r="G1332" s="227">
        <f>IF($B$2,IF(ROWS(B$6:$B1332) = 1,$B1332-Start_Date,$B1332-$B1331),"")</f>
        <v>8.2459143523010425E-3</v>
      </c>
      <c r="H1332" s="29">
        <f>IF($B$2,IF(ROWS(B$6:$B1332) = 1,IF(COUNTIFS(R_Schedule_Times,"&lt;"&amp;B1332),INDEX(R_Schedule_Amounts,MATCH(B1332,R_Schedule_Times,1)),Starting_Cash),IF(COUNTIFS(R_Schedule_Times,"&gt;"&amp;B1331,R_Schedule_Times,"&lt;"&amp;B1332),INDEX(R_Schedule_Amounts,MATCH(B1332,R_Schedule_Times,1)),K1331)),"")</f>
        <v>2180</v>
      </c>
      <c r="I1332" s="30">
        <f t="shared" si="100"/>
        <v>120</v>
      </c>
      <c r="J1332" s="31">
        <f t="shared" si="101"/>
        <v>0</v>
      </c>
      <c r="K1332" s="29">
        <f t="shared" si="102"/>
        <v>2060</v>
      </c>
      <c r="L1332" s="31" t="str">
        <f t="shared" si="103"/>
        <v/>
      </c>
      <c r="M1332" s="31" t="str">
        <f t="shared" si="104"/>
        <v/>
      </c>
    </row>
    <row r="1333" spans="1:13" x14ac:dyDescent="0.15">
      <c r="A1333" s="163" t="s">
        <v>210</v>
      </c>
      <c r="B1333" s="163">
        <v>42312.51211329861</v>
      </c>
      <c r="C1333" s="164" t="s">
        <v>402</v>
      </c>
      <c r="D1333" s="164" t="s">
        <v>13</v>
      </c>
      <c r="E1333" s="165">
        <v>60</v>
      </c>
      <c r="F1333" s="166">
        <v>0</v>
      </c>
      <c r="G1333" s="227">
        <f>IF($B$2,IF(ROWS(B$6:$B1333) = 1,$B1333-Start_Date,$B1333-$B1332),"")</f>
        <v>8.6321990747819655E-3</v>
      </c>
      <c r="H1333" s="29">
        <f>IF($B$2,IF(ROWS(B$6:$B1333) = 1,IF(COUNTIFS(R_Schedule_Times,"&lt;"&amp;B1333),INDEX(R_Schedule_Amounts,MATCH(B1333,R_Schedule_Times,1)),Starting_Cash),IF(COUNTIFS(R_Schedule_Times,"&gt;"&amp;B1332,R_Schedule_Times,"&lt;"&amp;B1333),INDEX(R_Schedule_Amounts,MATCH(B1333,R_Schedule_Times,1)),K1332)),"")</f>
        <v>2060</v>
      </c>
      <c r="I1333" s="30">
        <f t="shared" si="100"/>
        <v>60</v>
      </c>
      <c r="J1333" s="31">
        <f t="shared" si="101"/>
        <v>0</v>
      </c>
      <c r="K1333" s="29">
        <f t="shared" si="102"/>
        <v>2000</v>
      </c>
      <c r="L1333" s="31" t="str">
        <f t="shared" si="103"/>
        <v/>
      </c>
      <c r="M1333" s="31" t="str">
        <f t="shared" si="104"/>
        <v/>
      </c>
    </row>
    <row r="1334" spans="1:13" x14ac:dyDescent="0.15">
      <c r="A1334" s="163" t="s">
        <v>210</v>
      </c>
      <c r="B1334" s="163">
        <v>42312.512744675929</v>
      </c>
      <c r="C1334" s="164" t="s">
        <v>1508</v>
      </c>
      <c r="D1334" s="164" t="s">
        <v>13</v>
      </c>
      <c r="E1334" s="165">
        <v>100</v>
      </c>
      <c r="F1334" s="166">
        <v>0</v>
      </c>
      <c r="G1334" s="227">
        <f>IF($B$2,IF(ROWS(B$6:$B1334) = 1,$B1334-Start_Date,$B1334-$B1333),"")</f>
        <v>6.3137731922324747E-4</v>
      </c>
      <c r="H1334" s="29">
        <f>IF($B$2,IF(ROWS(B$6:$B1334) = 1,IF(COUNTIFS(R_Schedule_Times,"&lt;"&amp;B1334),INDEX(R_Schedule_Amounts,MATCH(B1334,R_Schedule_Times,1)),Starting_Cash),IF(COUNTIFS(R_Schedule_Times,"&gt;"&amp;B1333,R_Schedule_Times,"&lt;"&amp;B1334),INDEX(R_Schedule_Amounts,MATCH(B1334,R_Schedule_Times,1)),K1333)),"")</f>
        <v>2000</v>
      </c>
      <c r="I1334" s="30">
        <f t="shared" si="100"/>
        <v>100</v>
      </c>
      <c r="J1334" s="31">
        <f t="shared" si="101"/>
        <v>0</v>
      </c>
      <c r="K1334" s="29">
        <f t="shared" si="102"/>
        <v>1900</v>
      </c>
      <c r="L1334" s="31" t="str">
        <f t="shared" si="103"/>
        <v/>
      </c>
      <c r="M1334" s="31" t="str">
        <f t="shared" si="104"/>
        <v/>
      </c>
    </row>
    <row r="1335" spans="1:13" x14ac:dyDescent="0.15">
      <c r="A1335" s="163" t="s">
        <v>210</v>
      </c>
      <c r="B1335" s="163">
        <v>42312.51618496528</v>
      </c>
      <c r="C1335" s="164" t="s">
        <v>1509</v>
      </c>
      <c r="D1335" s="164" t="s">
        <v>13</v>
      </c>
      <c r="E1335" s="165">
        <v>300</v>
      </c>
      <c r="F1335" s="166">
        <v>0</v>
      </c>
      <c r="G1335" s="227">
        <f>IF($B$2,IF(ROWS(B$6:$B1335) = 1,$B1335-Start_Date,$B1335-$B1334),"")</f>
        <v>3.4402893506921828E-3</v>
      </c>
      <c r="H1335" s="29">
        <f>IF($B$2,IF(ROWS(B$6:$B1335) = 1,IF(COUNTIFS(R_Schedule_Times,"&lt;"&amp;B1335),INDEX(R_Schedule_Amounts,MATCH(B1335,R_Schedule_Times,1)),Starting_Cash),IF(COUNTIFS(R_Schedule_Times,"&gt;"&amp;B1334,R_Schedule_Times,"&lt;"&amp;B1335),INDEX(R_Schedule_Amounts,MATCH(B1335,R_Schedule_Times,1)),K1334)),"")</f>
        <v>1900</v>
      </c>
      <c r="I1335" s="30">
        <f t="shared" si="100"/>
        <v>300</v>
      </c>
      <c r="J1335" s="31">
        <f t="shared" si="101"/>
        <v>0</v>
      </c>
      <c r="K1335" s="29">
        <f t="shared" si="102"/>
        <v>1600</v>
      </c>
      <c r="L1335" s="31" t="str">
        <f t="shared" si="103"/>
        <v/>
      </c>
      <c r="M1335" s="31" t="str">
        <f t="shared" si="104"/>
        <v/>
      </c>
    </row>
    <row r="1336" spans="1:13" x14ac:dyDescent="0.15">
      <c r="A1336" s="163" t="s">
        <v>210</v>
      </c>
      <c r="B1336" s="163">
        <v>42312.541903993057</v>
      </c>
      <c r="C1336" s="164" t="s">
        <v>1510</v>
      </c>
      <c r="D1336" s="164" t="s">
        <v>13</v>
      </c>
      <c r="E1336" s="165">
        <v>100</v>
      </c>
      <c r="F1336" s="166">
        <v>0</v>
      </c>
      <c r="G1336" s="227">
        <f>IF($B$2,IF(ROWS(B$6:$B1336) = 1,$B1336-Start_Date,$B1336-$B1335),"")</f>
        <v>2.5719027777086012E-2</v>
      </c>
      <c r="H1336" s="29">
        <f>IF($B$2,IF(ROWS(B$6:$B1336) = 1,IF(COUNTIFS(R_Schedule_Times,"&lt;"&amp;B1336),INDEX(R_Schedule_Amounts,MATCH(B1336,R_Schedule_Times,1)),Starting_Cash),IF(COUNTIFS(R_Schedule_Times,"&gt;"&amp;B1335,R_Schedule_Times,"&lt;"&amp;B1336),INDEX(R_Schedule_Amounts,MATCH(B1336,R_Schedule_Times,1)),K1335)),"")</f>
        <v>1600</v>
      </c>
      <c r="I1336" s="30">
        <f t="shared" si="100"/>
        <v>100</v>
      </c>
      <c r="J1336" s="31">
        <f t="shared" si="101"/>
        <v>0</v>
      </c>
      <c r="K1336" s="29">
        <f t="shared" si="102"/>
        <v>1500</v>
      </c>
      <c r="L1336" s="31" t="str">
        <f t="shared" si="103"/>
        <v/>
      </c>
      <c r="M1336" s="31" t="str">
        <f t="shared" si="104"/>
        <v/>
      </c>
    </row>
    <row r="1337" spans="1:13" x14ac:dyDescent="0.15">
      <c r="A1337" s="163" t="s">
        <v>210</v>
      </c>
      <c r="B1337" s="163">
        <v>42312.579609456021</v>
      </c>
      <c r="C1337" s="164" t="s">
        <v>1511</v>
      </c>
      <c r="D1337" s="164" t="s">
        <v>13</v>
      </c>
      <c r="E1337" s="165">
        <v>100</v>
      </c>
      <c r="F1337" s="166">
        <v>0</v>
      </c>
      <c r="G1337" s="227">
        <f>IF($B$2,IF(ROWS(B$6:$B1337) = 1,$B1337-Start_Date,$B1337-$B1336),"")</f>
        <v>3.7705462964368053E-2</v>
      </c>
      <c r="H1337" s="29">
        <f>IF($B$2,IF(ROWS(B$6:$B1337) = 1,IF(COUNTIFS(R_Schedule_Times,"&lt;"&amp;B1337),INDEX(R_Schedule_Amounts,MATCH(B1337,R_Schedule_Times,1)),Starting_Cash),IF(COUNTIFS(R_Schedule_Times,"&gt;"&amp;B1336,R_Schedule_Times,"&lt;"&amp;B1337),INDEX(R_Schedule_Amounts,MATCH(B1337,R_Schedule_Times,1)),K1336)),"")</f>
        <v>1500</v>
      </c>
      <c r="I1337" s="30">
        <f t="shared" si="100"/>
        <v>100</v>
      </c>
      <c r="J1337" s="31">
        <f t="shared" si="101"/>
        <v>0</v>
      </c>
      <c r="K1337" s="29">
        <f t="shared" si="102"/>
        <v>1400</v>
      </c>
      <c r="L1337" s="31" t="str">
        <f t="shared" si="103"/>
        <v/>
      </c>
      <c r="M1337" s="31" t="str">
        <f t="shared" si="104"/>
        <v/>
      </c>
    </row>
    <row r="1338" spans="1:13" x14ac:dyDescent="0.15">
      <c r="A1338" s="163" t="s">
        <v>210</v>
      </c>
      <c r="B1338" s="163">
        <v>42312.588286550927</v>
      </c>
      <c r="C1338" s="164" t="s">
        <v>14</v>
      </c>
      <c r="D1338" s="164" t="s">
        <v>13</v>
      </c>
      <c r="E1338" s="165">
        <v>140</v>
      </c>
      <c r="F1338" s="166">
        <v>3.5</v>
      </c>
      <c r="G1338" s="227">
        <f>IF($B$2,IF(ROWS(B$6:$B1338) = 1,$B1338-Start_Date,$B1338-$B1337),"")</f>
        <v>8.677094905578997E-3</v>
      </c>
      <c r="H1338" s="29">
        <f>IF($B$2,IF(ROWS(B$6:$B1338) = 1,IF(COUNTIFS(R_Schedule_Times,"&lt;"&amp;B1338),INDEX(R_Schedule_Amounts,MATCH(B1338,R_Schedule_Times,1)),Starting_Cash),IF(COUNTIFS(R_Schedule_Times,"&gt;"&amp;B1337,R_Schedule_Times,"&lt;"&amp;B1338),INDEX(R_Schedule_Amounts,MATCH(B1338,R_Schedule_Times,1)),K1337)),"")</f>
        <v>1400</v>
      </c>
      <c r="I1338" s="30">
        <f t="shared" si="100"/>
        <v>140</v>
      </c>
      <c r="J1338" s="31">
        <f t="shared" si="101"/>
        <v>3.5</v>
      </c>
      <c r="K1338" s="29">
        <f t="shared" si="102"/>
        <v>1260</v>
      </c>
      <c r="L1338" s="31" t="str">
        <f t="shared" si="103"/>
        <v/>
      </c>
      <c r="M1338" s="31" t="str">
        <f t="shared" si="104"/>
        <v/>
      </c>
    </row>
    <row r="1339" spans="1:13" x14ac:dyDescent="0.15">
      <c r="A1339" s="163" t="s">
        <v>210</v>
      </c>
      <c r="B1339" s="163">
        <v>42312.605234513889</v>
      </c>
      <c r="C1339" s="164" t="s">
        <v>403</v>
      </c>
      <c r="D1339" s="164" t="s">
        <v>13</v>
      </c>
      <c r="E1339" s="165">
        <v>100</v>
      </c>
      <c r="F1339" s="166">
        <v>0</v>
      </c>
      <c r="G1339" s="227">
        <f>IF($B$2,IF(ROWS(B$6:$B1339) = 1,$B1339-Start_Date,$B1339-$B1338),"")</f>
        <v>1.6947962962149177E-2</v>
      </c>
      <c r="H1339" s="29">
        <f>IF($B$2,IF(ROWS(B$6:$B1339) = 1,IF(COUNTIFS(R_Schedule_Times,"&lt;"&amp;B1339),INDEX(R_Schedule_Amounts,MATCH(B1339,R_Schedule_Times,1)),Starting_Cash),IF(COUNTIFS(R_Schedule_Times,"&gt;"&amp;B1338,R_Schedule_Times,"&lt;"&amp;B1339),INDEX(R_Schedule_Amounts,MATCH(B1339,R_Schedule_Times,1)),K1338)),"")</f>
        <v>1260</v>
      </c>
      <c r="I1339" s="30">
        <f t="shared" si="100"/>
        <v>100</v>
      </c>
      <c r="J1339" s="31">
        <f t="shared" si="101"/>
        <v>0</v>
      </c>
      <c r="K1339" s="29">
        <f t="shared" si="102"/>
        <v>1160</v>
      </c>
      <c r="L1339" s="31" t="str">
        <f t="shared" si="103"/>
        <v/>
      </c>
      <c r="M1339" s="31" t="str">
        <f t="shared" si="104"/>
        <v/>
      </c>
    </row>
    <row r="1340" spans="1:13" x14ac:dyDescent="0.15">
      <c r="A1340" s="163" t="s">
        <v>210</v>
      </c>
      <c r="B1340" s="163">
        <v>42312.620135185185</v>
      </c>
      <c r="C1340" s="164" t="s">
        <v>404</v>
      </c>
      <c r="D1340" s="164" t="s">
        <v>13</v>
      </c>
      <c r="E1340" s="165">
        <v>100</v>
      </c>
      <c r="F1340" s="166">
        <v>0</v>
      </c>
      <c r="G1340" s="227">
        <f>IF($B$2,IF(ROWS(B$6:$B1340) = 1,$B1340-Start_Date,$B1340-$B1339),"")</f>
        <v>1.4900671296345536E-2</v>
      </c>
      <c r="H1340" s="29">
        <f>IF($B$2,IF(ROWS(B$6:$B1340) = 1,IF(COUNTIFS(R_Schedule_Times,"&lt;"&amp;B1340),INDEX(R_Schedule_Amounts,MATCH(B1340,R_Schedule_Times,1)),Starting_Cash),IF(COUNTIFS(R_Schedule_Times,"&gt;"&amp;B1339,R_Schedule_Times,"&lt;"&amp;B1340),INDEX(R_Schedule_Amounts,MATCH(B1340,R_Schedule_Times,1)),K1339)),"")</f>
        <v>1160</v>
      </c>
      <c r="I1340" s="30">
        <f t="shared" si="100"/>
        <v>100</v>
      </c>
      <c r="J1340" s="31">
        <f t="shared" si="101"/>
        <v>0</v>
      </c>
      <c r="K1340" s="29">
        <f t="shared" si="102"/>
        <v>1060</v>
      </c>
      <c r="L1340" s="31" t="str">
        <f t="shared" si="103"/>
        <v/>
      </c>
      <c r="M1340" s="31" t="str">
        <f t="shared" si="104"/>
        <v/>
      </c>
    </row>
    <row r="1341" spans="1:13" x14ac:dyDescent="0.15">
      <c r="A1341" s="163" t="s">
        <v>210</v>
      </c>
      <c r="B1341" s="163">
        <v>42312.630305891202</v>
      </c>
      <c r="C1341" s="164" t="s">
        <v>1512</v>
      </c>
      <c r="D1341" s="164" t="s">
        <v>13</v>
      </c>
      <c r="E1341" s="165">
        <v>100</v>
      </c>
      <c r="F1341" s="166">
        <v>0</v>
      </c>
      <c r="G1341" s="227">
        <f>IF($B$2,IF(ROWS(B$6:$B1341) = 1,$B1341-Start_Date,$B1341-$B1340),"")</f>
        <v>1.017070601665182E-2</v>
      </c>
      <c r="H1341" s="29">
        <f>IF($B$2,IF(ROWS(B$6:$B1341) = 1,IF(COUNTIFS(R_Schedule_Times,"&lt;"&amp;B1341),INDEX(R_Schedule_Amounts,MATCH(B1341,R_Schedule_Times,1)),Starting_Cash),IF(COUNTIFS(R_Schedule_Times,"&gt;"&amp;B1340,R_Schedule_Times,"&lt;"&amp;B1341),INDEX(R_Schedule_Amounts,MATCH(B1341,R_Schedule_Times,1)),K1340)),"")</f>
        <v>1060</v>
      </c>
      <c r="I1341" s="30">
        <f t="shared" si="100"/>
        <v>100</v>
      </c>
      <c r="J1341" s="31">
        <f t="shared" si="101"/>
        <v>0</v>
      </c>
      <c r="K1341" s="29">
        <f t="shared" si="102"/>
        <v>960</v>
      </c>
      <c r="L1341" s="31" t="str">
        <f t="shared" si="103"/>
        <v/>
      </c>
      <c r="M1341" s="31" t="str">
        <f t="shared" si="104"/>
        <v/>
      </c>
    </row>
    <row r="1342" spans="1:13" x14ac:dyDescent="0.15">
      <c r="A1342" s="163" t="s">
        <v>210</v>
      </c>
      <c r="B1342" s="163">
        <v>42312.638377442127</v>
      </c>
      <c r="C1342" s="164" t="s">
        <v>1513</v>
      </c>
      <c r="D1342" s="164" t="s">
        <v>13</v>
      </c>
      <c r="E1342" s="165">
        <v>20</v>
      </c>
      <c r="F1342" s="166">
        <v>0</v>
      </c>
      <c r="G1342" s="227">
        <f>IF($B$2,IF(ROWS(B$6:$B1342) = 1,$B1342-Start_Date,$B1342-$B1341),"")</f>
        <v>8.0715509247966111E-3</v>
      </c>
      <c r="H1342" s="29">
        <f>IF($B$2,IF(ROWS(B$6:$B1342) = 1,IF(COUNTIFS(R_Schedule_Times,"&lt;"&amp;B1342),INDEX(R_Schedule_Amounts,MATCH(B1342,R_Schedule_Times,1)),Starting_Cash),IF(COUNTIFS(R_Schedule_Times,"&gt;"&amp;B1341,R_Schedule_Times,"&lt;"&amp;B1342),INDEX(R_Schedule_Amounts,MATCH(B1342,R_Schedule_Times,1)),K1341)),"")</f>
        <v>960</v>
      </c>
      <c r="I1342" s="30">
        <f t="shared" si="100"/>
        <v>20</v>
      </c>
      <c r="J1342" s="31">
        <f t="shared" si="101"/>
        <v>0</v>
      </c>
      <c r="K1342" s="29">
        <f t="shared" si="102"/>
        <v>940</v>
      </c>
      <c r="L1342" s="31" t="str">
        <f t="shared" si="103"/>
        <v/>
      </c>
      <c r="M1342" s="31" t="str">
        <f t="shared" si="104"/>
        <v/>
      </c>
    </row>
    <row r="1343" spans="1:13" x14ac:dyDescent="0.15">
      <c r="A1343" s="163" t="s">
        <v>210</v>
      </c>
      <c r="B1343" s="163">
        <v>42312.639523321763</v>
      </c>
      <c r="C1343" s="164" t="s">
        <v>1514</v>
      </c>
      <c r="D1343" s="164" t="s">
        <v>13</v>
      </c>
      <c r="E1343" s="165">
        <v>60</v>
      </c>
      <c r="F1343" s="166">
        <v>0</v>
      </c>
      <c r="G1343" s="227">
        <f>IF($B$2,IF(ROWS(B$6:$B1343) = 1,$B1343-Start_Date,$B1343-$B1342),"")</f>
        <v>1.1458796361694112E-3</v>
      </c>
      <c r="H1343" s="29">
        <f>IF($B$2,IF(ROWS(B$6:$B1343) = 1,IF(COUNTIFS(R_Schedule_Times,"&lt;"&amp;B1343),INDEX(R_Schedule_Amounts,MATCH(B1343,R_Schedule_Times,1)),Starting_Cash),IF(COUNTIFS(R_Schedule_Times,"&gt;"&amp;B1342,R_Schedule_Times,"&lt;"&amp;B1343),INDEX(R_Schedule_Amounts,MATCH(B1343,R_Schedule_Times,1)),K1342)),"")</f>
        <v>940</v>
      </c>
      <c r="I1343" s="30">
        <f t="shared" si="100"/>
        <v>60</v>
      </c>
      <c r="J1343" s="31">
        <f t="shared" si="101"/>
        <v>0</v>
      </c>
      <c r="K1343" s="29">
        <f t="shared" si="102"/>
        <v>880</v>
      </c>
      <c r="L1343" s="31" t="str">
        <f t="shared" si="103"/>
        <v/>
      </c>
      <c r="M1343" s="31" t="str">
        <f t="shared" si="104"/>
        <v/>
      </c>
    </row>
    <row r="1344" spans="1:13" x14ac:dyDescent="0.15">
      <c r="A1344" s="163" t="s">
        <v>210</v>
      </c>
      <c r="B1344" s="163">
        <v>42312.642003611109</v>
      </c>
      <c r="C1344" s="164" t="s">
        <v>1515</v>
      </c>
      <c r="D1344" s="164" t="s">
        <v>13</v>
      </c>
      <c r="E1344" s="165">
        <v>20</v>
      </c>
      <c r="F1344" s="166">
        <v>0</v>
      </c>
      <c r="G1344" s="227">
        <f>IF($B$2,IF(ROWS(B$6:$B1344) = 1,$B1344-Start_Date,$B1344-$B1343),"")</f>
        <v>2.4802893458399922E-3</v>
      </c>
      <c r="H1344" s="29">
        <f>IF($B$2,IF(ROWS(B$6:$B1344) = 1,IF(COUNTIFS(R_Schedule_Times,"&lt;"&amp;B1344),INDEX(R_Schedule_Amounts,MATCH(B1344,R_Schedule_Times,1)),Starting_Cash),IF(COUNTIFS(R_Schedule_Times,"&gt;"&amp;B1343,R_Schedule_Times,"&lt;"&amp;B1344),INDEX(R_Schedule_Amounts,MATCH(B1344,R_Schedule_Times,1)),K1343)),"")</f>
        <v>880</v>
      </c>
      <c r="I1344" s="30">
        <f t="shared" si="100"/>
        <v>20</v>
      </c>
      <c r="J1344" s="31">
        <f t="shared" si="101"/>
        <v>0</v>
      </c>
      <c r="K1344" s="29">
        <f t="shared" si="102"/>
        <v>860</v>
      </c>
      <c r="L1344" s="31" t="str">
        <f t="shared" si="103"/>
        <v/>
      </c>
      <c r="M1344" s="31" t="str">
        <f t="shared" si="104"/>
        <v/>
      </c>
    </row>
    <row r="1345" spans="1:13" x14ac:dyDescent="0.15">
      <c r="A1345" s="163" t="s">
        <v>210</v>
      </c>
      <c r="B1345" s="163">
        <v>42312.65341309028</v>
      </c>
      <c r="C1345" s="164" t="s">
        <v>1516</v>
      </c>
      <c r="D1345" s="164" t="s">
        <v>13</v>
      </c>
      <c r="E1345" s="165">
        <v>20</v>
      </c>
      <c r="F1345" s="166">
        <v>0</v>
      </c>
      <c r="G1345" s="227">
        <f>IF($B$2,IF(ROWS(B$6:$B1345) = 1,$B1345-Start_Date,$B1345-$B1344),"")</f>
        <v>1.1409479171561543E-2</v>
      </c>
      <c r="H1345" s="29">
        <f>IF($B$2,IF(ROWS(B$6:$B1345) = 1,IF(COUNTIFS(R_Schedule_Times,"&lt;"&amp;B1345),INDEX(R_Schedule_Amounts,MATCH(B1345,R_Schedule_Times,1)),Starting_Cash),IF(COUNTIFS(R_Schedule_Times,"&gt;"&amp;B1344,R_Schedule_Times,"&lt;"&amp;B1345),INDEX(R_Schedule_Amounts,MATCH(B1345,R_Schedule_Times,1)),K1344)),"")</f>
        <v>860</v>
      </c>
      <c r="I1345" s="30">
        <f t="shared" si="100"/>
        <v>20</v>
      </c>
      <c r="J1345" s="31">
        <f t="shared" si="101"/>
        <v>0</v>
      </c>
      <c r="K1345" s="29">
        <f t="shared" si="102"/>
        <v>840</v>
      </c>
      <c r="L1345" s="31" t="str">
        <f t="shared" si="103"/>
        <v/>
      </c>
      <c r="M1345" s="31" t="str">
        <f t="shared" si="104"/>
        <v/>
      </c>
    </row>
    <row r="1346" spans="1:13" x14ac:dyDescent="0.15">
      <c r="A1346" s="163" t="s">
        <v>210</v>
      </c>
      <c r="B1346" s="163">
        <v>42312.703405196757</v>
      </c>
      <c r="C1346" s="164" t="s">
        <v>1517</v>
      </c>
      <c r="D1346" s="164" t="s">
        <v>13</v>
      </c>
      <c r="E1346" s="165">
        <v>40</v>
      </c>
      <c r="F1346" s="166">
        <v>0</v>
      </c>
      <c r="G1346" s="227">
        <f>IF($B$2,IF(ROWS(B$6:$B1346) = 1,$B1346-Start_Date,$B1346-$B1345),"")</f>
        <v>4.9992106476565823E-2</v>
      </c>
      <c r="H1346" s="29">
        <f>IF($B$2,IF(ROWS(B$6:$B1346) = 1,IF(COUNTIFS(R_Schedule_Times,"&lt;"&amp;B1346),INDEX(R_Schedule_Amounts,MATCH(B1346,R_Schedule_Times,1)),Starting_Cash),IF(COUNTIFS(R_Schedule_Times,"&gt;"&amp;B1345,R_Schedule_Times,"&lt;"&amp;B1346),INDEX(R_Schedule_Amounts,MATCH(B1346,R_Schedule_Times,1)),K1345)),"")</f>
        <v>840</v>
      </c>
      <c r="I1346" s="30">
        <f t="shared" si="100"/>
        <v>40</v>
      </c>
      <c r="J1346" s="31">
        <f t="shared" si="101"/>
        <v>0</v>
      </c>
      <c r="K1346" s="29">
        <f t="shared" si="102"/>
        <v>800</v>
      </c>
      <c r="L1346" s="31" t="str">
        <f t="shared" si="103"/>
        <v/>
      </c>
      <c r="M1346" s="31" t="str">
        <f t="shared" si="104"/>
        <v/>
      </c>
    </row>
    <row r="1347" spans="1:13" x14ac:dyDescent="0.15">
      <c r="A1347" s="163" t="s">
        <v>210</v>
      </c>
      <c r="B1347" s="163">
        <v>42312.707762731479</v>
      </c>
      <c r="C1347" s="164" t="s">
        <v>1165</v>
      </c>
      <c r="D1347" s="164" t="s">
        <v>13</v>
      </c>
      <c r="E1347" s="165">
        <v>40</v>
      </c>
      <c r="F1347" s="166">
        <v>0</v>
      </c>
      <c r="G1347" s="227">
        <f>IF($B$2,IF(ROWS(B$6:$B1347) = 1,$B1347-Start_Date,$B1347-$B1346),"")</f>
        <v>4.3575347226578742E-3</v>
      </c>
      <c r="H1347" s="29">
        <f>IF($B$2,IF(ROWS(B$6:$B1347) = 1,IF(COUNTIFS(R_Schedule_Times,"&lt;"&amp;B1347),INDEX(R_Schedule_Amounts,MATCH(B1347,R_Schedule_Times,1)),Starting_Cash),IF(COUNTIFS(R_Schedule_Times,"&gt;"&amp;B1346,R_Schedule_Times,"&lt;"&amp;B1347),INDEX(R_Schedule_Amounts,MATCH(B1347,R_Schedule_Times,1)),K1346)),"")</f>
        <v>800</v>
      </c>
      <c r="I1347" s="30">
        <f t="shared" si="100"/>
        <v>40</v>
      </c>
      <c r="J1347" s="31">
        <f t="shared" si="101"/>
        <v>0</v>
      </c>
      <c r="K1347" s="29">
        <f t="shared" si="102"/>
        <v>760</v>
      </c>
      <c r="L1347" s="31" t="str">
        <f t="shared" si="103"/>
        <v/>
      </c>
      <c r="M1347" s="31" t="str">
        <f t="shared" si="104"/>
        <v/>
      </c>
    </row>
    <row r="1348" spans="1:13" x14ac:dyDescent="0.15">
      <c r="A1348" s="163" t="s">
        <v>210</v>
      </c>
      <c r="B1348" s="163">
        <v>42312.726382835652</v>
      </c>
      <c r="C1348" s="164" t="s">
        <v>1518</v>
      </c>
      <c r="D1348" s="164" t="s">
        <v>13</v>
      </c>
      <c r="E1348" s="165">
        <v>200</v>
      </c>
      <c r="F1348" s="166">
        <v>0</v>
      </c>
      <c r="G1348" s="227">
        <f>IF($B$2,IF(ROWS(B$6:$B1348) = 1,$B1348-Start_Date,$B1348-$B1347),"")</f>
        <v>1.8620104172441643E-2</v>
      </c>
      <c r="H1348" s="29">
        <f>IF($B$2,IF(ROWS(B$6:$B1348) = 1,IF(COUNTIFS(R_Schedule_Times,"&lt;"&amp;B1348),INDEX(R_Schedule_Amounts,MATCH(B1348,R_Schedule_Times,1)),Starting_Cash),IF(COUNTIFS(R_Schedule_Times,"&gt;"&amp;B1347,R_Schedule_Times,"&lt;"&amp;B1348),INDEX(R_Schedule_Amounts,MATCH(B1348,R_Schedule_Times,1)),K1347)),"")</f>
        <v>20000</v>
      </c>
      <c r="I1348" s="30">
        <f t="shared" si="100"/>
        <v>200</v>
      </c>
      <c r="J1348" s="31">
        <f t="shared" si="101"/>
        <v>0</v>
      </c>
      <c r="K1348" s="29">
        <f t="shared" si="102"/>
        <v>19800</v>
      </c>
      <c r="L1348" s="31" t="str">
        <f t="shared" si="103"/>
        <v/>
      </c>
      <c r="M1348" s="31" t="str">
        <f t="shared" si="104"/>
        <v/>
      </c>
    </row>
    <row r="1349" spans="1:13" x14ac:dyDescent="0.15">
      <c r="A1349" s="163" t="s">
        <v>210</v>
      </c>
      <c r="B1349" s="163">
        <v>42312.732426805553</v>
      </c>
      <c r="C1349" s="164" t="s">
        <v>14</v>
      </c>
      <c r="D1349" s="164" t="s">
        <v>15</v>
      </c>
      <c r="E1349" s="165">
        <v>60</v>
      </c>
      <c r="F1349" s="166">
        <v>4.3</v>
      </c>
      <c r="G1349" s="227">
        <f>IF($B$2,IF(ROWS(B$6:$B1349) = 1,$B1349-Start_Date,$B1349-$B1348),"")</f>
        <v>6.043969900929369E-3</v>
      </c>
      <c r="H1349" s="29">
        <f>IF($B$2,IF(ROWS(B$6:$B1349) = 1,IF(COUNTIFS(R_Schedule_Times,"&lt;"&amp;B1349),INDEX(R_Schedule_Amounts,MATCH(B1349,R_Schedule_Times,1)),Starting_Cash),IF(COUNTIFS(R_Schedule_Times,"&gt;"&amp;B1348,R_Schedule_Times,"&lt;"&amp;B1349),INDEX(R_Schedule_Amounts,MATCH(B1349,R_Schedule_Times,1)),K1348)),"")</f>
        <v>19800</v>
      </c>
      <c r="I1349" s="30">
        <f t="shared" si="100"/>
        <v>60</v>
      </c>
      <c r="J1349" s="31">
        <f t="shared" si="101"/>
        <v>4.3</v>
      </c>
      <c r="K1349" s="29">
        <f t="shared" si="102"/>
        <v>19740</v>
      </c>
      <c r="L1349" s="31" t="str">
        <f t="shared" si="103"/>
        <v/>
      </c>
      <c r="M1349" s="31" t="str">
        <f t="shared" si="104"/>
        <v/>
      </c>
    </row>
    <row r="1350" spans="1:13" x14ac:dyDescent="0.15">
      <c r="A1350" s="163" t="s">
        <v>210</v>
      </c>
      <c r="B1350" s="163">
        <v>42312.733422766207</v>
      </c>
      <c r="C1350" s="164" t="s">
        <v>405</v>
      </c>
      <c r="D1350" s="164" t="s">
        <v>13</v>
      </c>
      <c r="E1350" s="165">
        <v>100</v>
      </c>
      <c r="F1350" s="166">
        <v>0</v>
      </c>
      <c r="G1350" s="227">
        <f>IF($B$2,IF(ROWS(B$6:$B1350) = 1,$B1350-Start_Date,$B1350-$B1349),"")</f>
        <v>9.9596065410878509E-4</v>
      </c>
      <c r="H1350" s="29">
        <f>IF($B$2,IF(ROWS(B$6:$B1350) = 1,IF(COUNTIFS(R_Schedule_Times,"&lt;"&amp;B1350),INDEX(R_Schedule_Amounts,MATCH(B1350,R_Schedule_Times,1)),Starting_Cash),IF(COUNTIFS(R_Schedule_Times,"&gt;"&amp;B1349,R_Schedule_Times,"&lt;"&amp;B1350),INDEX(R_Schedule_Amounts,MATCH(B1350,R_Schedule_Times,1)),K1349)),"")</f>
        <v>19740</v>
      </c>
      <c r="I1350" s="30">
        <f t="shared" si="100"/>
        <v>100</v>
      </c>
      <c r="J1350" s="31">
        <f t="shared" si="101"/>
        <v>0</v>
      </c>
      <c r="K1350" s="29">
        <f t="shared" si="102"/>
        <v>19640</v>
      </c>
      <c r="L1350" s="31" t="str">
        <f t="shared" si="103"/>
        <v/>
      </c>
      <c r="M1350" s="31" t="str">
        <f t="shared" si="104"/>
        <v/>
      </c>
    </row>
    <row r="1351" spans="1:13" x14ac:dyDescent="0.15">
      <c r="A1351" s="163" t="s">
        <v>210</v>
      </c>
      <c r="B1351" s="163">
        <v>42312.746860046296</v>
      </c>
      <c r="C1351" s="164" t="s">
        <v>1519</v>
      </c>
      <c r="D1351" s="164" t="s">
        <v>13</v>
      </c>
      <c r="E1351" s="165">
        <v>180</v>
      </c>
      <c r="F1351" s="166">
        <v>0</v>
      </c>
      <c r="G1351" s="227">
        <f>IF($B$2,IF(ROWS(B$6:$B1351) = 1,$B1351-Start_Date,$B1351-$B1350),"")</f>
        <v>1.3437280089419801E-2</v>
      </c>
      <c r="H1351" s="29">
        <f>IF($B$2,IF(ROWS(B$6:$B1351) = 1,IF(COUNTIFS(R_Schedule_Times,"&lt;"&amp;B1351),INDEX(R_Schedule_Amounts,MATCH(B1351,R_Schedule_Times,1)),Starting_Cash),IF(COUNTIFS(R_Schedule_Times,"&gt;"&amp;B1350,R_Schedule_Times,"&lt;"&amp;B1351),INDEX(R_Schedule_Amounts,MATCH(B1351,R_Schedule_Times,1)),K1350)),"")</f>
        <v>19640</v>
      </c>
      <c r="I1351" s="30">
        <f t="shared" ref="I1351:I1414" si="105">IF($B$2,IF(H1351&gt;=E1351,E1351,0),"")</f>
        <v>180</v>
      </c>
      <c r="J1351" s="31">
        <f t="shared" ref="J1351:J1414" si="106">IF($B$2,IF(H1351&gt;=E1351,F1351,0),"")</f>
        <v>0</v>
      </c>
      <c r="K1351" s="29">
        <f t="shared" ref="K1351:K1414" si="107">IF($B$2,ABS(I1351-H1351),"")</f>
        <v>19460</v>
      </c>
      <c r="L1351" s="31" t="str">
        <f t="shared" ref="L1351:L1414" si="108">IF($B$2,IF(H1351&lt;E1351,"YES",""),"")</f>
        <v/>
      </c>
      <c r="M1351" s="31" t="str">
        <f t="shared" ref="M1351:M1414" si="109">IF($B$2,IF(L1351="YES",F1351,""),"")</f>
        <v/>
      </c>
    </row>
    <row r="1352" spans="1:13" x14ac:dyDescent="0.15">
      <c r="A1352" s="163" t="s">
        <v>210</v>
      </c>
      <c r="B1352" s="163">
        <v>42312.75264337963</v>
      </c>
      <c r="C1352" s="164" t="s">
        <v>1520</v>
      </c>
      <c r="D1352" s="164" t="s">
        <v>13</v>
      </c>
      <c r="E1352" s="165">
        <v>100</v>
      </c>
      <c r="F1352" s="166">
        <v>0</v>
      </c>
      <c r="G1352" s="227">
        <f>IF($B$2,IF(ROWS(B$6:$B1352) = 1,$B1352-Start_Date,$B1352-$B1351),"")</f>
        <v>5.7833333339658566E-3</v>
      </c>
      <c r="H1352" s="29">
        <f>IF($B$2,IF(ROWS(B$6:$B1352) = 1,IF(COUNTIFS(R_Schedule_Times,"&lt;"&amp;B1352),INDEX(R_Schedule_Amounts,MATCH(B1352,R_Schedule_Times,1)),Starting_Cash),IF(COUNTIFS(R_Schedule_Times,"&gt;"&amp;B1351,R_Schedule_Times,"&lt;"&amp;B1352),INDEX(R_Schedule_Amounts,MATCH(B1352,R_Schedule_Times,1)),K1351)),"")</f>
        <v>19460</v>
      </c>
      <c r="I1352" s="30">
        <f t="shared" si="105"/>
        <v>100</v>
      </c>
      <c r="J1352" s="31">
        <f t="shared" si="106"/>
        <v>0</v>
      </c>
      <c r="K1352" s="29">
        <f t="shared" si="107"/>
        <v>19360</v>
      </c>
      <c r="L1352" s="31" t="str">
        <f t="shared" si="108"/>
        <v/>
      </c>
      <c r="M1352" s="31" t="str">
        <f t="shared" si="109"/>
        <v/>
      </c>
    </row>
    <row r="1353" spans="1:13" x14ac:dyDescent="0.15">
      <c r="A1353" s="163" t="s">
        <v>210</v>
      </c>
      <c r="B1353" s="163">
        <v>42312.753474849538</v>
      </c>
      <c r="C1353" s="164" t="s">
        <v>1521</v>
      </c>
      <c r="D1353" s="164" t="s">
        <v>13</v>
      </c>
      <c r="E1353" s="165">
        <v>100</v>
      </c>
      <c r="F1353" s="166">
        <v>0</v>
      </c>
      <c r="G1353" s="227">
        <f>IF($B$2,IF(ROWS(B$6:$B1353) = 1,$B1353-Start_Date,$B1353-$B1352),"")</f>
        <v>8.314699080074206E-4</v>
      </c>
      <c r="H1353" s="29">
        <f>IF($B$2,IF(ROWS(B$6:$B1353) = 1,IF(COUNTIFS(R_Schedule_Times,"&lt;"&amp;B1353),INDEX(R_Schedule_Amounts,MATCH(B1353,R_Schedule_Times,1)),Starting_Cash),IF(COUNTIFS(R_Schedule_Times,"&gt;"&amp;B1352,R_Schedule_Times,"&lt;"&amp;B1353),INDEX(R_Schedule_Amounts,MATCH(B1353,R_Schedule_Times,1)),K1352)),"")</f>
        <v>19360</v>
      </c>
      <c r="I1353" s="30">
        <f t="shared" si="105"/>
        <v>100</v>
      </c>
      <c r="J1353" s="31">
        <f t="shared" si="106"/>
        <v>0</v>
      </c>
      <c r="K1353" s="29">
        <f t="shared" si="107"/>
        <v>19260</v>
      </c>
      <c r="L1353" s="31" t="str">
        <f t="shared" si="108"/>
        <v/>
      </c>
      <c r="M1353" s="31" t="str">
        <f t="shared" si="109"/>
        <v/>
      </c>
    </row>
    <row r="1354" spans="1:13" x14ac:dyDescent="0.15">
      <c r="A1354" s="163" t="s">
        <v>210</v>
      </c>
      <c r="B1354" s="163">
        <v>42312.8600184838</v>
      </c>
      <c r="C1354" s="164" t="s">
        <v>1522</v>
      </c>
      <c r="D1354" s="164" t="s">
        <v>13</v>
      </c>
      <c r="E1354" s="165">
        <v>40</v>
      </c>
      <c r="F1354" s="166">
        <v>0</v>
      </c>
      <c r="G1354" s="227">
        <f>IF($B$2,IF(ROWS(B$6:$B1354) = 1,$B1354-Start_Date,$B1354-$B1353),"")</f>
        <v>0.10654363426147029</v>
      </c>
      <c r="H1354" s="29">
        <f>IF($B$2,IF(ROWS(B$6:$B1354) = 1,IF(COUNTIFS(R_Schedule_Times,"&lt;"&amp;B1354),INDEX(R_Schedule_Amounts,MATCH(B1354,R_Schedule_Times,1)),Starting_Cash),IF(COUNTIFS(R_Schedule_Times,"&gt;"&amp;B1353,R_Schedule_Times,"&lt;"&amp;B1354),INDEX(R_Schedule_Amounts,MATCH(B1354,R_Schedule_Times,1)),K1353)),"")</f>
        <v>19260</v>
      </c>
      <c r="I1354" s="30">
        <f t="shared" si="105"/>
        <v>40</v>
      </c>
      <c r="J1354" s="31">
        <f t="shared" si="106"/>
        <v>0</v>
      </c>
      <c r="K1354" s="29">
        <f t="shared" si="107"/>
        <v>19220</v>
      </c>
      <c r="L1354" s="31" t="str">
        <f t="shared" si="108"/>
        <v/>
      </c>
      <c r="M1354" s="31" t="str">
        <f t="shared" si="109"/>
        <v/>
      </c>
    </row>
    <row r="1355" spans="1:13" x14ac:dyDescent="0.15">
      <c r="A1355" s="163" t="s">
        <v>210</v>
      </c>
      <c r="B1355" s="163">
        <v>42312.896826886572</v>
      </c>
      <c r="C1355" s="164" t="s">
        <v>14</v>
      </c>
      <c r="D1355" s="164" t="s">
        <v>13</v>
      </c>
      <c r="E1355" s="165">
        <v>40</v>
      </c>
      <c r="F1355" s="166">
        <v>3.5</v>
      </c>
      <c r="G1355" s="227">
        <f>IF($B$2,IF(ROWS(B$6:$B1355) = 1,$B1355-Start_Date,$B1355-$B1354),"")</f>
        <v>3.6808402772294357E-2</v>
      </c>
      <c r="H1355" s="29">
        <f>IF($B$2,IF(ROWS(B$6:$B1355) = 1,IF(COUNTIFS(R_Schedule_Times,"&lt;"&amp;B1355),INDEX(R_Schedule_Amounts,MATCH(B1355,R_Schedule_Times,1)),Starting_Cash),IF(COUNTIFS(R_Schedule_Times,"&gt;"&amp;B1354,R_Schedule_Times,"&lt;"&amp;B1355),INDEX(R_Schedule_Amounts,MATCH(B1355,R_Schedule_Times,1)),K1354)),"")</f>
        <v>19220</v>
      </c>
      <c r="I1355" s="30">
        <f t="shared" si="105"/>
        <v>40</v>
      </c>
      <c r="J1355" s="31">
        <f t="shared" si="106"/>
        <v>3.5</v>
      </c>
      <c r="K1355" s="29">
        <f t="shared" si="107"/>
        <v>19180</v>
      </c>
      <c r="L1355" s="31" t="str">
        <f t="shared" si="108"/>
        <v/>
      </c>
      <c r="M1355" s="31" t="str">
        <f t="shared" si="109"/>
        <v/>
      </c>
    </row>
    <row r="1356" spans="1:13" x14ac:dyDescent="0.15">
      <c r="A1356" s="163" t="s">
        <v>210</v>
      </c>
      <c r="B1356" s="163">
        <v>42312.91230009259</v>
      </c>
      <c r="C1356" s="164" t="s">
        <v>1523</v>
      </c>
      <c r="D1356" s="164" t="s">
        <v>13</v>
      </c>
      <c r="E1356" s="165">
        <v>100</v>
      </c>
      <c r="F1356" s="166">
        <v>0</v>
      </c>
      <c r="G1356" s="227">
        <f>IF($B$2,IF(ROWS(B$6:$B1356) = 1,$B1356-Start_Date,$B1356-$B1355),"")</f>
        <v>1.5473206018214114E-2</v>
      </c>
      <c r="H1356" s="29">
        <f>IF($B$2,IF(ROWS(B$6:$B1356) = 1,IF(COUNTIFS(R_Schedule_Times,"&lt;"&amp;B1356),INDEX(R_Schedule_Amounts,MATCH(B1356,R_Schedule_Times,1)),Starting_Cash),IF(COUNTIFS(R_Schedule_Times,"&gt;"&amp;B1355,R_Schedule_Times,"&lt;"&amp;B1356),INDEX(R_Schedule_Amounts,MATCH(B1356,R_Schedule_Times,1)),K1355)),"")</f>
        <v>19180</v>
      </c>
      <c r="I1356" s="30">
        <f t="shared" si="105"/>
        <v>100</v>
      </c>
      <c r="J1356" s="31">
        <f t="shared" si="106"/>
        <v>0</v>
      </c>
      <c r="K1356" s="29">
        <f t="shared" si="107"/>
        <v>19080</v>
      </c>
      <c r="L1356" s="31" t="str">
        <f t="shared" si="108"/>
        <v/>
      </c>
      <c r="M1356" s="31" t="str">
        <f t="shared" si="109"/>
        <v/>
      </c>
    </row>
    <row r="1357" spans="1:13" x14ac:dyDescent="0.15">
      <c r="A1357" s="163" t="s">
        <v>210</v>
      </c>
      <c r="B1357" s="163">
        <v>42313.06610462963</v>
      </c>
      <c r="C1357" s="164" t="s">
        <v>1524</v>
      </c>
      <c r="D1357" s="164" t="s">
        <v>13</v>
      </c>
      <c r="E1357" s="165">
        <v>60</v>
      </c>
      <c r="F1357" s="166">
        <v>0</v>
      </c>
      <c r="G1357" s="227">
        <f>IF($B$2,IF(ROWS(B$6:$B1357) = 1,$B1357-Start_Date,$B1357-$B1356),"")</f>
        <v>0.15380453703983221</v>
      </c>
      <c r="H1357" s="29">
        <f>IF($B$2,IF(ROWS(B$6:$B1357) = 1,IF(COUNTIFS(R_Schedule_Times,"&lt;"&amp;B1357),INDEX(R_Schedule_Amounts,MATCH(B1357,R_Schedule_Times,1)),Starting_Cash),IF(COUNTIFS(R_Schedule_Times,"&gt;"&amp;B1356,R_Schedule_Times,"&lt;"&amp;B1357),INDEX(R_Schedule_Amounts,MATCH(B1357,R_Schedule_Times,1)),K1356)),"")</f>
        <v>19080</v>
      </c>
      <c r="I1357" s="30">
        <f t="shared" si="105"/>
        <v>60</v>
      </c>
      <c r="J1357" s="31">
        <f t="shared" si="106"/>
        <v>0</v>
      </c>
      <c r="K1357" s="29">
        <f t="shared" si="107"/>
        <v>19020</v>
      </c>
      <c r="L1357" s="31" t="str">
        <f t="shared" si="108"/>
        <v/>
      </c>
      <c r="M1357" s="31" t="str">
        <f t="shared" si="109"/>
        <v/>
      </c>
    </row>
    <row r="1358" spans="1:13" x14ac:dyDescent="0.15">
      <c r="A1358" s="163" t="s">
        <v>210</v>
      </c>
      <c r="B1358" s="163">
        <v>42313.291445902774</v>
      </c>
      <c r="C1358" s="164" t="s">
        <v>1525</v>
      </c>
      <c r="D1358" s="164" t="s">
        <v>13</v>
      </c>
      <c r="E1358" s="165">
        <v>240</v>
      </c>
      <c r="F1358" s="166">
        <v>0</v>
      </c>
      <c r="G1358" s="227">
        <f>IF($B$2,IF(ROWS(B$6:$B1358) = 1,$B1358-Start_Date,$B1358-$B1357),"")</f>
        <v>0.22534127314429497</v>
      </c>
      <c r="H1358" s="29">
        <f>IF($B$2,IF(ROWS(B$6:$B1358) = 1,IF(COUNTIFS(R_Schedule_Times,"&lt;"&amp;B1358),INDEX(R_Schedule_Amounts,MATCH(B1358,R_Schedule_Times,1)),Starting_Cash),IF(COUNTIFS(R_Schedule_Times,"&gt;"&amp;B1357,R_Schedule_Times,"&lt;"&amp;B1358),INDEX(R_Schedule_Amounts,MATCH(B1358,R_Schedule_Times,1)),K1357)),"")</f>
        <v>19020</v>
      </c>
      <c r="I1358" s="30">
        <f t="shared" si="105"/>
        <v>240</v>
      </c>
      <c r="J1358" s="31">
        <f t="shared" si="106"/>
        <v>0</v>
      </c>
      <c r="K1358" s="29">
        <f t="shared" si="107"/>
        <v>18780</v>
      </c>
      <c r="L1358" s="31" t="str">
        <f t="shared" si="108"/>
        <v/>
      </c>
      <c r="M1358" s="31" t="str">
        <f t="shared" si="109"/>
        <v/>
      </c>
    </row>
    <row r="1359" spans="1:13" x14ac:dyDescent="0.15">
      <c r="A1359" s="163" t="s">
        <v>210</v>
      </c>
      <c r="B1359" s="163">
        <v>42313.295984803241</v>
      </c>
      <c r="C1359" s="164" t="s">
        <v>1526</v>
      </c>
      <c r="D1359" s="164" t="s">
        <v>13</v>
      </c>
      <c r="E1359" s="165">
        <v>500</v>
      </c>
      <c r="F1359" s="166">
        <v>0</v>
      </c>
      <c r="G1359" s="227">
        <f>IF($B$2,IF(ROWS(B$6:$B1359) = 1,$B1359-Start_Date,$B1359-$B1358),"")</f>
        <v>4.5389004662865773E-3</v>
      </c>
      <c r="H1359" s="29">
        <f>IF($B$2,IF(ROWS(B$6:$B1359) = 1,IF(COUNTIFS(R_Schedule_Times,"&lt;"&amp;B1359),INDEX(R_Schedule_Amounts,MATCH(B1359,R_Schedule_Times,1)),Starting_Cash),IF(COUNTIFS(R_Schedule_Times,"&gt;"&amp;B1358,R_Schedule_Times,"&lt;"&amp;B1359),INDEX(R_Schedule_Amounts,MATCH(B1359,R_Schedule_Times,1)),K1358)),"")</f>
        <v>18780</v>
      </c>
      <c r="I1359" s="30">
        <f t="shared" si="105"/>
        <v>500</v>
      </c>
      <c r="J1359" s="31">
        <f t="shared" si="106"/>
        <v>0</v>
      </c>
      <c r="K1359" s="29">
        <f t="shared" si="107"/>
        <v>18280</v>
      </c>
      <c r="L1359" s="31" t="str">
        <f t="shared" si="108"/>
        <v/>
      </c>
      <c r="M1359" s="31" t="str">
        <f t="shared" si="109"/>
        <v/>
      </c>
    </row>
    <row r="1360" spans="1:13" x14ac:dyDescent="0.15">
      <c r="A1360" s="163" t="s">
        <v>210</v>
      </c>
      <c r="B1360" s="163">
        <v>42313.326092326388</v>
      </c>
      <c r="C1360" s="164" t="s">
        <v>14</v>
      </c>
      <c r="D1360" s="164" t="s">
        <v>13</v>
      </c>
      <c r="E1360" s="165">
        <v>120</v>
      </c>
      <c r="F1360" s="166">
        <v>3.5</v>
      </c>
      <c r="G1360" s="227">
        <f>IF($B$2,IF(ROWS(B$6:$B1360) = 1,$B1360-Start_Date,$B1360-$B1359),"")</f>
        <v>3.0107523147307802E-2</v>
      </c>
      <c r="H1360" s="29">
        <f>IF($B$2,IF(ROWS(B$6:$B1360) = 1,IF(COUNTIFS(R_Schedule_Times,"&lt;"&amp;B1360),INDEX(R_Schedule_Amounts,MATCH(B1360,R_Schedule_Times,1)),Starting_Cash),IF(COUNTIFS(R_Schedule_Times,"&gt;"&amp;B1359,R_Schedule_Times,"&lt;"&amp;B1360),INDEX(R_Schedule_Amounts,MATCH(B1360,R_Schedule_Times,1)),K1359)),"")</f>
        <v>18280</v>
      </c>
      <c r="I1360" s="30">
        <f t="shared" si="105"/>
        <v>120</v>
      </c>
      <c r="J1360" s="31">
        <f t="shared" si="106"/>
        <v>3.5</v>
      </c>
      <c r="K1360" s="29">
        <f t="shared" si="107"/>
        <v>18160</v>
      </c>
      <c r="L1360" s="31" t="str">
        <f t="shared" si="108"/>
        <v/>
      </c>
      <c r="M1360" s="31" t="str">
        <f t="shared" si="109"/>
        <v/>
      </c>
    </row>
    <row r="1361" spans="1:13" x14ac:dyDescent="0.15">
      <c r="A1361" s="163" t="s">
        <v>210</v>
      </c>
      <c r="B1361" s="163">
        <v>42313.33388215278</v>
      </c>
      <c r="C1361" s="164" t="s">
        <v>1527</v>
      </c>
      <c r="D1361" s="164" t="s">
        <v>13</v>
      </c>
      <c r="E1361" s="165">
        <v>80</v>
      </c>
      <c r="F1361" s="166">
        <v>0</v>
      </c>
      <c r="G1361" s="227">
        <f>IF($B$2,IF(ROWS(B$6:$B1361) = 1,$B1361-Start_Date,$B1361-$B1360),"")</f>
        <v>7.7898263916722499E-3</v>
      </c>
      <c r="H1361" s="29">
        <f>IF($B$2,IF(ROWS(B$6:$B1361) = 1,IF(COUNTIFS(R_Schedule_Times,"&lt;"&amp;B1361),INDEX(R_Schedule_Amounts,MATCH(B1361,R_Schedule_Times,1)),Starting_Cash),IF(COUNTIFS(R_Schedule_Times,"&gt;"&amp;B1360,R_Schedule_Times,"&lt;"&amp;B1361),INDEX(R_Schedule_Amounts,MATCH(B1361,R_Schedule_Times,1)),K1360)),"")</f>
        <v>18160</v>
      </c>
      <c r="I1361" s="30">
        <f t="shared" si="105"/>
        <v>80</v>
      </c>
      <c r="J1361" s="31">
        <f t="shared" si="106"/>
        <v>0</v>
      </c>
      <c r="K1361" s="29">
        <f t="shared" si="107"/>
        <v>18080</v>
      </c>
      <c r="L1361" s="31" t="str">
        <f t="shared" si="108"/>
        <v/>
      </c>
      <c r="M1361" s="31" t="str">
        <f t="shared" si="109"/>
        <v/>
      </c>
    </row>
    <row r="1362" spans="1:13" x14ac:dyDescent="0.15">
      <c r="A1362" s="163" t="s">
        <v>210</v>
      </c>
      <c r="B1362" s="163">
        <v>42313.365400949071</v>
      </c>
      <c r="C1362" s="164" t="s">
        <v>1528</v>
      </c>
      <c r="D1362" s="164" t="s">
        <v>13</v>
      </c>
      <c r="E1362" s="165">
        <v>100</v>
      </c>
      <c r="F1362" s="166">
        <v>0</v>
      </c>
      <c r="G1362" s="227">
        <f>IF($B$2,IF(ROWS(B$6:$B1362) = 1,$B1362-Start_Date,$B1362-$B1361),"")</f>
        <v>3.1518796291493345E-2</v>
      </c>
      <c r="H1362" s="29">
        <f>IF($B$2,IF(ROWS(B$6:$B1362) = 1,IF(COUNTIFS(R_Schedule_Times,"&lt;"&amp;B1362),INDEX(R_Schedule_Amounts,MATCH(B1362,R_Schedule_Times,1)),Starting_Cash),IF(COUNTIFS(R_Schedule_Times,"&gt;"&amp;B1361,R_Schedule_Times,"&lt;"&amp;B1362),INDEX(R_Schedule_Amounts,MATCH(B1362,R_Schedule_Times,1)),K1361)),"")</f>
        <v>18080</v>
      </c>
      <c r="I1362" s="30">
        <f t="shared" si="105"/>
        <v>100</v>
      </c>
      <c r="J1362" s="31">
        <f t="shared" si="106"/>
        <v>0</v>
      </c>
      <c r="K1362" s="29">
        <f t="shared" si="107"/>
        <v>17980</v>
      </c>
      <c r="L1362" s="31" t="str">
        <f t="shared" si="108"/>
        <v/>
      </c>
      <c r="M1362" s="31" t="str">
        <f t="shared" si="109"/>
        <v/>
      </c>
    </row>
    <row r="1363" spans="1:13" x14ac:dyDescent="0.15">
      <c r="A1363" s="163" t="s">
        <v>210</v>
      </c>
      <c r="B1363" s="163">
        <v>42313.368105277776</v>
      </c>
      <c r="C1363" s="164" t="s">
        <v>1529</v>
      </c>
      <c r="D1363" s="164" t="s">
        <v>13</v>
      </c>
      <c r="E1363" s="165">
        <v>160</v>
      </c>
      <c r="F1363" s="166">
        <v>0</v>
      </c>
      <c r="G1363" s="227">
        <f>IF($B$2,IF(ROWS(B$6:$B1363) = 1,$B1363-Start_Date,$B1363-$B1362),"")</f>
        <v>2.7043287045671605E-3</v>
      </c>
      <c r="H1363" s="29">
        <f>IF($B$2,IF(ROWS(B$6:$B1363) = 1,IF(COUNTIFS(R_Schedule_Times,"&lt;"&amp;B1363),INDEX(R_Schedule_Amounts,MATCH(B1363,R_Schedule_Times,1)),Starting_Cash),IF(COUNTIFS(R_Schedule_Times,"&gt;"&amp;B1362,R_Schedule_Times,"&lt;"&amp;B1363),INDEX(R_Schedule_Amounts,MATCH(B1363,R_Schedule_Times,1)),K1362)),"")</f>
        <v>17980</v>
      </c>
      <c r="I1363" s="30">
        <f t="shared" si="105"/>
        <v>160</v>
      </c>
      <c r="J1363" s="31">
        <f t="shared" si="106"/>
        <v>0</v>
      </c>
      <c r="K1363" s="29">
        <f t="shared" si="107"/>
        <v>17820</v>
      </c>
      <c r="L1363" s="31" t="str">
        <f t="shared" si="108"/>
        <v/>
      </c>
      <c r="M1363" s="31" t="str">
        <f t="shared" si="109"/>
        <v/>
      </c>
    </row>
    <row r="1364" spans="1:13" x14ac:dyDescent="0.15">
      <c r="A1364" s="163" t="s">
        <v>210</v>
      </c>
      <c r="B1364" s="163">
        <v>42313.392463078701</v>
      </c>
      <c r="C1364" s="164" t="s">
        <v>1530</v>
      </c>
      <c r="D1364" s="164" t="s">
        <v>13</v>
      </c>
      <c r="E1364" s="165">
        <v>60</v>
      </c>
      <c r="F1364" s="166">
        <v>0</v>
      </c>
      <c r="G1364" s="227">
        <f>IF($B$2,IF(ROWS(B$6:$B1364) = 1,$B1364-Start_Date,$B1364-$B1363),"")</f>
        <v>2.4357800924917683E-2</v>
      </c>
      <c r="H1364" s="29">
        <f>IF($B$2,IF(ROWS(B$6:$B1364) = 1,IF(COUNTIFS(R_Schedule_Times,"&lt;"&amp;B1364),INDEX(R_Schedule_Amounts,MATCH(B1364,R_Schedule_Times,1)),Starting_Cash),IF(COUNTIFS(R_Schedule_Times,"&gt;"&amp;B1363,R_Schedule_Times,"&lt;"&amp;B1364),INDEX(R_Schedule_Amounts,MATCH(B1364,R_Schedule_Times,1)),K1363)),"")</f>
        <v>17820</v>
      </c>
      <c r="I1364" s="30">
        <f t="shared" si="105"/>
        <v>60</v>
      </c>
      <c r="J1364" s="31">
        <f t="shared" si="106"/>
        <v>0</v>
      </c>
      <c r="K1364" s="29">
        <f t="shared" si="107"/>
        <v>17760</v>
      </c>
      <c r="L1364" s="31" t="str">
        <f t="shared" si="108"/>
        <v/>
      </c>
      <c r="M1364" s="31" t="str">
        <f t="shared" si="109"/>
        <v/>
      </c>
    </row>
    <row r="1365" spans="1:13" x14ac:dyDescent="0.15">
      <c r="A1365" s="163" t="s">
        <v>210</v>
      </c>
      <c r="B1365" s="163">
        <v>42313.423622685186</v>
      </c>
      <c r="C1365" s="164" t="s">
        <v>1531</v>
      </c>
      <c r="D1365" s="164" t="s">
        <v>13</v>
      </c>
      <c r="E1365" s="165">
        <v>40</v>
      </c>
      <c r="F1365" s="166">
        <v>0</v>
      </c>
      <c r="G1365" s="227">
        <f>IF($B$2,IF(ROWS(B$6:$B1365) = 1,$B1365-Start_Date,$B1365-$B1364),"")</f>
        <v>3.1159606485744007E-2</v>
      </c>
      <c r="H1365" s="29">
        <f>IF($B$2,IF(ROWS(B$6:$B1365) = 1,IF(COUNTIFS(R_Schedule_Times,"&lt;"&amp;B1365),INDEX(R_Schedule_Amounts,MATCH(B1365,R_Schedule_Times,1)),Starting_Cash),IF(COUNTIFS(R_Schedule_Times,"&gt;"&amp;B1364,R_Schedule_Times,"&lt;"&amp;B1365),INDEX(R_Schedule_Amounts,MATCH(B1365,R_Schedule_Times,1)),K1364)),"")</f>
        <v>17760</v>
      </c>
      <c r="I1365" s="30">
        <f t="shared" si="105"/>
        <v>40</v>
      </c>
      <c r="J1365" s="31">
        <f t="shared" si="106"/>
        <v>0</v>
      </c>
      <c r="K1365" s="29">
        <f t="shared" si="107"/>
        <v>17720</v>
      </c>
      <c r="L1365" s="31" t="str">
        <f t="shared" si="108"/>
        <v/>
      </c>
      <c r="M1365" s="31" t="str">
        <f t="shared" si="109"/>
        <v/>
      </c>
    </row>
    <row r="1366" spans="1:13" x14ac:dyDescent="0.15">
      <c r="A1366" s="163" t="s">
        <v>210</v>
      </c>
      <c r="B1366" s="163">
        <v>42313.440515451388</v>
      </c>
      <c r="C1366" s="164" t="s">
        <v>1532</v>
      </c>
      <c r="D1366" s="164" t="s">
        <v>13</v>
      </c>
      <c r="E1366" s="165">
        <v>100</v>
      </c>
      <c r="F1366" s="166">
        <v>0</v>
      </c>
      <c r="G1366" s="227">
        <f>IF($B$2,IF(ROWS(B$6:$B1366) = 1,$B1366-Start_Date,$B1366-$B1365),"")</f>
        <v>1.6892766201635823E-2</v>
      </c>
      <c r="H1366" s="29">
        <f>IF($B$2,IF(ROWS(B$6:$B1366) = 1,IF(COUNTIFS(R_Schedule_Times,"&lt;"&amp;B1366),INDEX(R_Schedule_Amounts,MATCH(B1366,R_Schedule_Times,1)),Starting_Cash),IF(COUNTIFS(R_Schedule_Times,"&gt;"&amp;B1365,R_Schedule_Times,"&lt;"&amp;B1366),INDEX(R_Schedule_Amounts,MATCH(B1366,R_Schedule_Times,1)),K1365)),"")</f>
        <v>17720</v>
      </c>
      <c r="I1366" s="30">
        <f t="shared" si="105"/>
        <v>100</v>
      </c>
      <c r="J1366" s="31">
        <f t="shared" si="106"/>
        <v>0</v>
      </c>
      <c r="K1366" s="29">
        <f t="shared" si="107"/>
        <v>17620</v>
      </c>
      <c r="L1366" s="31" t="str">
        <f t="shared" si="108"/>
        <v/>
      </c>
      <c r="M1366" s="31" t="str">
        <f t="shared" si="109"/>
        <v/>
      </c>
    </row>
    <row r="1367" spans="1:13" x14ac:dyDescent="0.15">
      <c r="A1367" s="163" t="s">
        <v>210</v>
      </c>
      <c r="B1367" s="163">
        <v>42313.456177280095</v>
      </c>
      <c r="C1367" s="164" t="s">
        <v>1533</v>
      </c>
      <c r="D1367" s="164" t="s">
        <v>13</v>
      </c>
      <c r="E1367" s="165">
        <v>60</v>
      </c>
      <c r="F1367" s="166">
        <v>0</v>
      </c>
      <c r="G1367" s="227">
        <f>IF($B$2,IF(ROWS(B$6:$B1367) = 1,$B1367-Start_Date,$B1367-$B1366),"")</f>
        <v>1.5661828707379755E-2</v>
      </c>
      <c r="H1367" s="29">
        <f>IF($B$2,IF(ROWS(B$6:$B1367) = 1,IF(COUNTIFS(R_Schedule_Times,"&lt;"&amp;B1367),INDEX(R_Schedule_Amounts,MATCH(B1367,R_Schedule_Times,1)),Starting_Cash),IF(COUNTIFS(R_Schedule_Times,"&gt;"&amp;B1366,R_Schedule_Times,"&lt;"&amp;B1367),INDEX(R_Schedule_Amounts,MATCH(B1367,R_Schedule_Times,1)),K1366)),"")</f>
        <v>17620</v>
      </c>
      <c r="I1367" s="30">
        <f t="shared" si="105"/>
        <v>60</v>
      </c>
      <c r="J1367" s="31">
        <f t="shared" si="106"/>
        <v>0</v>
      </c>
      <c r="K1367" s="29">
        <f t="shared" si="107"/>
        <v>17560</v>
      </c>
      <c r="L1367" s="31" t="str">
        <f t="shared" si="108"/>
        <v/>
      </c>
      <c r="M1367" s="31" t="str">
        <f t="shared" si="109"/>
        <v/>
      </c>
    </row>
    <row r="1368" spans="1:13" x14ac:dyDescent="0.15">
      <c r="A1368" s="163" t="s">
        <v>210</v>
      </c>
      <c r="B1368" s="163">
        <v>42313.466131111112</v>
      </c>
      <c r="C1368" s="164" t="s">
        <v>634</v>
      </c>
      <c r="D1368" s="164" t="s">
        <v>13</v>
      </c>
      <c r="E1368" s="165">
        <v>200</v>
      </c>
      <c r="F1368" s="166">
        <v>0</v>
      </c>
      <c r="G1368" s="227">
        <f>IF($B$2,IF(ROWS(B$6:$B1368) = 1,$B1368-Start_Date,$B1368-$B1367),"")</f>
        <v>9.9538310169009492E-3</v>
      </c>
      <c r="H1368" s="29">
        <f>IF($B$2,IF(ROWS(B$6:$B1368) = 1,IF(COUNTIFS(R_Schedule_Times,"&lt;"&amp;B1368),INDEX(R_Schedule_Amounts,MATCH(B1368,R_Schedule_Times,1)),Starting_Cash),IF(COUNTIFS(R_Schedule_Times,"&gt;"&amp;B1367,R_Schedule_Times,"&lt;"&amp;B1368),INDEX(R_Schedule_Amounts,MATCH(B1368,R_Schedule_Times,1)),K1367)),"")</f>
        <v>17560</v>
      </c>
      <c r="I1368" s="30">
        <f t="shared" si="105"/>
        <v>200</v>
      </c>
      <c r="J1368" s="31">
        <f t="shared" si="106"/>
        <v>0</v>
      </c>
      <c r="K1368" s="29">
        <f t="shared" si="107"/>
        <v>17360</v>
      </c>
      <c r="L1368" s="31" t="str">
        <f t="shared" si="108"/>
        <v/>
      </c>
      <c r="M1368" s="31" t="str">
        <f t="shared" si="109"/>
        <v/>
      </c>
    </row>
    <row r="1369" spans="1:13" x14ac:dyDescent="0.15">
      <c r="A1369" s="163" t="s">
        <v>210</v>
      </c>
      <c r="B1369" s="163">
        <v>42313.467580358796</v>
      </c>
      <c r="C1369" s="164" t="s">
        <v>406</v>
      </c>
      <c r="D1369" s="164" t="s">
        <v>13</v>
      </c>
      <c r="E1369" s="165">
        <v>100</v>
      </c>
      <c r="F1369" s="166">
        <v>0</v>
      </c>
      <c r="G1369" s="227">
        <f>IF($B$2,IF(ROWS(B$6:$B1369) = 1,$B1369-Start_Date,$B1369-$B1368),"")</f>
        <v>1.4492476839222945E-3</v>
      </c>
      <c r="H1369" s="29">
        <f>IF($B$2,IF(ROWS(B$6:$B1369) = 1,IF(COUNTIFS(R_Schedule_Times,"&lt;"&amp;B1369),INDEX(R_Schedule_Amounts,MATCH(B1369,R_Schedule_Times,1)),Starting_Cash),IF(COUNTIFS(R_Schedule_Times,"&gt;"&amp;B1368,R_Schedule_Times,"&lt;"&amp;B1369),INDEX(R_Schedule_Amounts,MATCH(B1369,R_Schedule_Times,1)),K1368)),"")</f>
        <v>17360</v>
      </c>
      <c r="I1369" s="30">
        <f t="shared" si="105"/>
        <v>100</v>
      </c>
      <c r="J1369" s="31">
        <f t="shared" si="106"/>
        <v>0</v>
      </c>
      <c r="K1369" s="29">
        <f t="shared" si="107"/>
        <v>17260</v>
      </c>
      <c r="L1369" s="31" t="str">
        <f t="shared" si="108"/>
        <v/>
      </c>
      <c r="M1369" s="31" t="str">
        <f t="shared" si="109"/>
        <v/>
      </c>
    </row>
    <row r="1370" spans="1:13" x14ac:dyDescent="0.15">
      <c r="A1370" s="163" t="s">
        <v>210</v>
      </c>
      <c r="B1370" s="163">
        <v>42313.468564745373</v>
      </c>
      <c r="C1370" s="164" t="s">
        <v>194</v>
      </c>
      <c r="D1370" s="164" t="s">
        <v>13</v>
      </c>
      <c r="E1370" s="165">
        <v>40</v>
      </c>
      <c r="F1370" s="166">
        <v>0</v>
      </c>
      <c r="G1370" s="227">
        <f>IF($B$2,IF(ROWS(B$6:$B1370) = 1,$B1370-Start_Date,$B1370-$B1369),"")</f>
        <v>9.8438657732913271E-4</v>
      </c>
      <c r="H1370" s="29">
        <f>IF($B$2,IF(ROWS(B$6:$B1370) = 1,IF(COUNTIFS(R_Schedule_Times,"&lt;"&amp;B1370),INDEX(R_Schedule_Amounts,MATCH(B1370,R_Schedule_Times,1)),Starting_Cash),IF(COUNTIFS(R_Schedule_Times,"&gt;"&amp;B1369,R_Schedule_Times,"&lt;"&amp;B1370),INDEX(R_Schedule_Amounts,MATCH(B1370,R_Schedule_Times,1)),K1369)),"")</f>
        <v>17260</v>
      </c>
      <c r="I1370" s="30">
        <f t="shared" si="105"/>
        <v>40</v>
      </c>
      <c r="J1370" s="31">
        <f t="shared" si="106"/>
        <v>0</v>
      </c>
      <c r="K1370" s="29">
        <f t="shared" si="107"/>
        <v>17220</v>
      </c>
      <c r="L1370" s="31" t="str">
        <f t="shared" si="108"/>
        <v/>
      </c>
      <c r="M1370" s="31" t="str">
        <f t="shared" si="109"/>
        <v/>
      </c>
    </row>
    <row r="1371" spans="1:13" x14ac:dyDescent="0.15">
      <c r="A1371" s="163" t="s">
        <v>210</v>
      </c>
      <c r="B1371" s="163">
        <v>42313.469306284722</v>
      </c>
      <c r="C1371" s="164" t="s">
        <v>1534</v>
      </c>
      <c r="D1371" s="164" t="s">
        <v>13</v>
      </c>
      <c r="E1371" s="165">
        <v>40</v>
      </c>
      <c r="F1371" s="166">
        <v>0</v>
      </c>
      <c r="G1371" s="227">
        <f>IF($B$2,IF(ROWS(B$6:$B1371) = 1,$B1371-Start_Date,$B1371-$B1370),"")</f>
        <v>7.4153934838250279E-4</v>
      </c>
      <c r="H1371" s="29">
        <f>IF($B$2,IF(ROWS(B$6:$B1371) = 1,IF(COUNTIFS(R_Schedule_Times,"&lt;"&amp;B1371),INDEX(R_Schedule_Amounts,MATCH(B1371,R_Schedule_Times,1)),Starting_Cash),IF(COUNTIFS(R_Schedule_Times,"&gt;"&amp;B1370,R_Schedule_Times,"&lt;"&amp;B1371),INDEX(R_Schedule_Amounts,MATCH(B1371,R_Schedule_Times,1)),K1370)),"")</f>
        <v>17220</v>
      </c>
      <c r="I1371" s="30">
        <f t="shared" si="105"/>
        <v>40</v>
      </c>
      <c r="J1371" s="31">
        <f t="shared" si="106"/>
        <v>0</v>
      </c>
      <c r="K1371" s="29">
        <f t="shared" si="107"/>
        <v>17180</v>
      </c>
      <c r="L1371" s="31" t="str">
        <f t="shared" si="108"/>
        <v/>
      </c>
      <c r="M1371" s="31" t="str">
        <f t="shared" si="109"/>
        <v/>
      </c>
    </row>
    <row r="1372" spans="1:13" x14ac:dyDescent="0.15">
      <c r="A1372" s="163" t="s">
        <v>210</v>
      </c>
      <c r="B1372" s="163">
        <v>42313.470875104169</v>
      </c>
      <c r="C1372" s="164" t="s">
        <v>1535</v>
      </c>
      <c r="D1372" s="164" t="s">
        <v>13</v>
      </c>
      <c r="E1372" s="165">
        <v>40</v>
      </c>
      <c r="F1372" s="166">
        <v>0</v>
      </c>
      <c r="G1372" s="227">
        <f>IF($B$2,IF(ROWS(B$6:$B1372) = 1,$B1372-Start_Date,$B1372-$B1371),"")</f>
        <v>1.5688194471294992E-3</v>
      </c>
      <c r="H1372" s="29">
        <f>IF($B$2,IF(ROWS(B$6:$B1372) = 1,IF(COUNTIFS(R_Schedule_Times,"&lt;"&amp;B1372),INDEX(R_Schedule_Amounts,MATCH(B1372,R_Schedule_Times,1)),Starting_Cash),IF(COUNTIFS(R_Schedule_Times,"&gt;"&amp;B1371,R_Schedule_Times,"&lt;"&amp;B1372),INDEX(R_Schedule_Amounts,MATCH(B1372,R_Schedule_Times,1)),K1371)),"")</f>
        <v>17180</v>
      </c>
      <c r="I1372" s="30">
        <f t="shared" si="105"/>
        <v>40</v>
      </c>
      <c r="J1372" s="31">
        <f t="shared" si="106"/>
        <v>0</v>
      </c>
      <c r="K1372" s="29">
        <f t="shared" si="107"/>
        <v>17140</v>
      </c>
      <c r="L1372" s="31" t="str">
        <f t="shared" si="108"/>
        <v/>
      </c>
      <c r="M1372" s="31" t="str">
        <f t="shared" si="109"/>
        <v/>
      </c>
    </row>
    <row r="1373" spans="1:13" x14ac:dyDescent="0.15">
      <c r="A1373" s="163" t="s">
        <v>210</v>
      </c>
      <c r="B1373" s="163">
        <v>42313.489577546294</v>
      </c>
      <c r="C1373" s="164" t="s">
        <v>1536</v>
      </c>
      <c r="D1373" s="164" t="s">
        <v>13</v>
      </c>
      <c r="E1373" s="165">
        <v>100</v>
      </c>
      <c r="F1373" s="166">
        <v>0</v>
      </c>
      <c r="G1373" s="227">
        <f>IF($B$2,IF(ROWS(B$6:$B1373) = 1,$B1373-Start_Date,$B1373-$B1372),"")</f>
        <v>1.8702442124777008E-2</v>
      </c>
      <c r="H1373" s="29">
        <f>IF($B$2,IF(ROWS(B$6:$B1373) = 1,IF(COUNTIFS(R_Schedule_Times,"&lt;"&amp;B1373),INDEX(R_Schedule_Amounts,MATCH(B1373,R_Schedule_Times,1)),Starting_Cash),IF(COUNTIFS(R_Schedule_Times,"&gt;"&amp;B1372,R_Schedule_Times,"&lt;"&amp;B1373),INDEX(R_Schedule_Amounts,MATCH(B1373,R_Schedule_Times,1)),K1372)),"")</f>
        <v>17140</v>
      </c>
      <c r="I1373" s="30">
        <f t="shared" si="105"/>
        <v>100</v>
      </c>
      <c r="J1373" s="31">
        <f t="shared" si="106"/>
        <v>0</v>
      </c>
      <c r="K1373" s="29">
        <f t="shared" si="107"/>
        <v>17040</v>
      </c>
      <c r="L1373" s="31" t="str">
        <f t="shared" si="108"/>
        <v/>
      </c>
      <c r="M1373" s="31" t="str">
        <f t="shared" si="109"/>
        <v/>
      </c>
    </row>
    <row r="1374" spans="1:13" x14ac:dyDescent="0.15">
      <c r="A1374" s="163" t="s">
        <v>210</v>
      </c>
      <c r="B1374" s="163">
        <v>42313.503583530095</v>
      </c>
      <c r="C1374" s="164" t="s">
        <v>1537</v>
      </c>
      <c r="D1374" s="164" t="s">
        <v>13</v>
      </c>
      <c r="E1374" s="165">
        <v>100</v>
      </c>
      <c r="F1374" s="166">
        <v>0</v>
      </c>
      <c r="G1374" s="227">
        <f>IF($B$2,IF(ROWS(B$6:$B1374) = 1,$B1374-Start_Date,$B1374-$B1373),"")</f>
        <v>1.4005983801325783E-2</v>
      </c>
      <c r="H1374" s="29">
        <f>IF($B$2,IF(ROWS(B$6:$B1374) = 1,IF(COUNTIFS(R_Schedule_Times,"&lt;"&amp;B1374),INDEX(R_Schedule_Amounts,MATCH(B1374,R_Schedule_Times,1)),Starting_Cash),IF(COUNTIFS(R_Schedule_Times,"&gt;"&amp;B1373,R_Schedule_Times,"&lt;"&amp;B1374),INDEX(R_Schedule_Amounts,MATCH(B1374,R_Schedule_Times,1)),K1373)),"")</f>
        <v>17040</v>
      </c>
      <c r="I1374" s="30">
        <f t="shared" si="105"/>
        <v>100</v>
      </c>
      <c r="J1374" s="31">
        <f t="shared" si="106"/>
        <v>0</v>
      </c>
      <c r="K1374" s="29">
        <f t="shared" si="107"/>
        <v>16940</v>
      </c>
      <c r="L1374" s="31" t="str">
        <f t="shared" si="108"/>
        <v/>
      </c>
      <c r="M1374" s="31" t="str">
        <f t="shared" si="109"/>
        <v/>
      </c>
    </row>
    <row r="1375" spans="1:13" x14ac:dyDescent="0.15">
      <c r="A1375" s="163" t="s">
        <v>210</v>
      </c>
      <c r="B1375" s="163">
        <v>42313.511640300923</v>
      </c>
      <c r="C1375" s="164" t="s">
        <v>269</v>
      </c>
      <c r="D1375" s="164" t="s">
        <v>13</v>
      </c>
      <c r="E1375" s="165">
        <v>20</v>
      </c>
      <c r="F1375" s="166">
        <v>0</v>
      </c>
      <c r="G1375" s="227">
        <f>IF($B$2,IF(ROWS(B$6:$B1375) = 1,$B1375-Start_Date,$B1375-$B1374),"")</f>
        <v>8.0567708282615058E-3</v>
      </c>
      <c r="H1375" s="29">
        <f>IF($B$2,IF(ROWS(B$6:$B1375) = 1,IF(COUNTIFS(R_Schedule_Times,"&lt;"&amp;B1375),INDEX(R_Schedule_Amounts,MATCH(B1375,R_Schedule_Times,1)),Starting_Cash),IF(COUNTIFS(R_Schedule_Times,"&gt;"&amp;B1374,R_Schedule_Times,"&lt;"&amp;B1375),INDEX(R_Schedule_Amounts,MATCH(B1375,R_Schedule_Times,1)),K1374)),"")</f>
        <v>16940</v>
      </c>
      <c r="I1375" s="30">
        <f t="shared" si="105"/>
        <v>20</v>
      </c>
      <c r="J1375" s="31">
        <f t="shared" si="106"/>
        <v>0</v>
      </c>
      <c r="K1375" s="29">
        <f t="shared" si="107"/>
        <v>16920</v>
      </c>
      <c r="L1375" s="31" t="str">
        <f t="shared" si="108"/>
        <v/>
      </c>
      <c r="M1375" s="31" t="str">
        <f t="shared" si="109"/>
        <v/>
      </c>
    </row>
    <row r="1376" spans="1:13" x14ac:dyDescent="0.15">
      <c r="A1376" s="163" t="s">
        <v>210</v>
      </c>
      <c r="B1376" s="163">
        <v>42313.522562453705</v>
      </c>
      <c r="C1376" s="164" t="s">
        <v>14</v>
      </c>
      <c r="D1376" s="164" t="s">
        <v>13</v>
      </c>
      <c r="E1376" s="165">
        <v>300</v>
      </c>
      <c r="F1376" s="166">
        <v>3.5</v>
      </c>
      <c r="G1376" s="227">
        <f>IF($B$2,IF(ROWS(B$6:$B1376) = 1,$B1376-Start_Date,$B1376-$B1375),"")</f>
        <v>1.092215278185904E-2</v>
      </c>
      <c r="H1376" s="29">
        <f>IF($B$2,IF(ROWS(B$6:$B1376) = 1,IF(COUNTIFS(R_Schedule_Times,"&lt;"&amp;B1376),INDEX(R_Schedule_Amounts,MATCH(B1376,R_Schedule_Times,1)),Starting_Cash),IF(COUNTIFS(R_Schedule_Times,"&gt;"&amp;B1375,R_Schedule_Times,"&lt;"&amp;B1376),INDEX(R_Schedule_Amounts,MATCH(B1376,R_Schedule_Times,1)),K1375)),"")</f>
        <v>16920</v>
      </c>
      <c r="I1376" s="30">
        <f t="shared" si="105"/>
        <v>300</v>
      </c>
      <c r="J1376" s="31">
        <f t="shared" si="106"/>
        <v>3.5</v>
      </c>
      <c r="K1376" s="29">
        <f t="shared" si="107"/>
        <v>16620</v>
      </c>
      <c r="L1376" s="31" t="str">
        <f t="shared" si="108"/>
        <v/>
      </c>
      <c r="M1376" s="31" t="str">
        <f t="shared" si="109"/>
        <v/>
      </c>
    </row>
    <row r="1377" spans="1:13" x14ac:dyDescent="0.15">
      <c r="A1377" s="163" t="s">
        <v>210</v>
      </c>
      <c r="B1377" s="163">
        <v>42313.525089537034</v>
      </c>
      <c r="C1377" s="164" t="s">
        <v>1538</v>
      </c>
      <c r="D1377" s="164" t="s">
        <v>13</v>
      </c>
      <c r="E1377" s="165">
        <v>60</v>
      </c>
      <c r="F1377" s="166">
        <v>0</v>
      </c>
      <c r="G1377" s="227">
        <f>IF($B$2,IF(ROWS(B$6:$B1377) = 1,$B1377-Start_Date,$B1377-$B1376),"")</f>
        <v>2.5270833284594119E-3</v>
      </c>
      <c r="H1377" s="29">
        <f>IF($B$2,IF(ROWS(B$6:$B1377) = 1,IF(COUNTIFS(R_Schedule_Times,"&lt;"&amp;B1377),INDEX(R_Schedule_Amounts,MATCH(B1377,R_Schedule_Times,1)),Starting_Cash),IF(COUNTIFS(R_Schedule_Times,"&gt;"&amp;B1376,R_Schedule_Times,"&lt;"&amp;B1377),INDEX(R_Schedule_Amounts,MATCH(B1377,R_Schedule_Times,1)),K1376)),"")</f>
        <v>16620</v>
      </c>
      <c r="I1377" s="30">
        <f t="shared" si="105"/>
        <v>60</v>
      </c>
      <c r="J1377" s="31">
        <f t="shared" si="106"/>
        <v>0</v>
      </c>
      <c r="K1377" s="29">
        <f t="shared" si="107"/>
        <v>16560</v>
      </c>
      <c r="L1377" s="31" t="str">
        <f t="shared" si="108"/>
        <v/>
      </c>
      <c r="M1377" s="31" t="str">
        <f t="shared" si="109"/>
        <v/>
      </c>
    </row>
    <row r="1378" spans="1:13" x14ac:dyDescent="0.15">
      <c r="A1378" s="163" t="s">
        <v>210</v>
      </c>
      <c r="B1378" s="163">
        <v>42313.525804016201</v>
      </c>
      <c r="C1378" s="164" t="s">
        <v>14</v>
      </c>
      <c r="D1378" s="164" t="s">
        <v>13</v>
      </c>
      <c r="E1378" s="165">
        <v>100</v>
      </c>
      <c r="F1378" s="166">
        <v>3.5</v>
      </c>
      <c r="G1378" s="227">
        <f>IF($B$2,IF(ROWS(B$6:$B1378) = 1,$B1378-Start_Date,$B1378-$B1377),"")</f>
        <v>7.1447916707256809E-4</v>
      </c>
      <c r="H1378" s="29">
        <f>IF($B$2,IF(ROWS(B$6:$B1378) = 1,IF(COUNTIFS(R_Schedule_Times,"&lt;"&amp;B1378),INDEX(R_Schedule_Amounts,MATCH(B1378,R_Schedule_Times,1)),Starting_Cash),IF(COUNTIFS(R_Schedule_Times,"&gt;"&amp;B1377,R_Schedule_Times,"&lt;"&amp;B1378),INDEX(R_Schedule_Amounts,MATCH(B1378,R_Schedule_Times,1)),K1377)),"")</f>
        <v>16560</v>
      </c>
      <c r="I1378" s="30">
        <f t="shared" si="105"/>
        <v>100</v>
      </c>
      <c r="J1378" s="31">
        <f t="shared" si="106"/>
        <v>3.5</v>
      </c>
      <c r="K1378" s="29">
        <f t="shared" si="107"/>
        <v>16460</v>
      </c>
      <c r="L1378" s="31" t="str">
        <f t="shared" si="108"/>
        <v/>
      </c>
      <c r="M1378" s="31" t="str">
        <f t="shared" si="109"/>
        <v/>
      </c>
    </row>
    <row r="1379" spans="1:13" x14ac:dyDescent="0.15">
      <c r="A1379" s="163" t="s">
        <v>210</v>
      </c>
      <c r="B1379" s="163">
        <v>42313.566798831016</v>
      </c>
      <c r="C1379" s="164" t="s">
        <v>1539</v>
      </c>
      <c r="D1379" s="164" t="s">
        <v>13</v>
      </c>
      <c r="E1379" s="165">
        <v>500</v>
      </c>
      <c r="F1379" s="166">
        <v>0</v>
      </c>
      <c r="G1379" s="227">
        <f>IF($B$2,IF(ROWS(B$6:$B1379) = 1,$B1379-Start_Date,$B1379-$B1378),"")</f>
        <v>4.0994814815348946E-2</v>
      </c>
      <c r="H1379" s="29">
        <f>IF($B$2,IF(ROWS(B$6:$B1379) = 1,IF(COUNTIFS(R_Schedule_Times,"&lt;"&amp;B1379),INDEX(R_Schedule_Amounts,MATCH(B1379,R_Schedule_Times,1)),Starting_Cash),IF(COUNTIFS(R_Schedule_Times,"&gt;"&amp;B1378,R_Schedule_Times,"&lt;"&amp;B1379),INDEX(R_Schedule_Amounts,MATCH(B1379,R_Schedule_Times,1)),K1378)),"")</f>
        <v>16460</v>
      </c>
      <c r="I1379" s="30">
        <f t="shared" si="105"/>
        <v>500</v>
      </c>
      <c r="J1379" s="31">
        <f t="shared" si="106"/>
        <v>0</v>
      </c>
      <c r="K1379" s="29">
        <f t="shared" si="107"/>
        <v>15960</v>
      </c>
      <c r="L1379" s="31" t="str">
        <f t="shared" si="108"/>
        <v/>
      </c>
      <c r="M1379" s="31" t="str">
        <f t="shared" si="109"/>
        <v/>
      </c>
    </row>
    <row r="1380" spans="1:13" x14ac:dyDescent="0.15">
      <c r="A1380" s="163" t="s">
        <v>210</v>
      </c>
      <c r="B1380" s="163">
        <v>42313.571074884261</v>
      </c>
      <c r="C1380" s="164" t="s">
        <v>102</v>
      </c>
      <c r="D1380" s="164" t="s">
        <v>13</v>
      </c>
      <c r="E1380" s="165">
        <v>60</v>
      </c>
      <c r="F1380" s="166">
        <v>0</v>
      </c>
      <c r="G1380" s="227">
        <f>IF($B$2,IF(ROWS(B$6:$B1380) = 1,$B1380-Start_Date,$B1380-$B1379),"")</f>
        <v>4.2760532451211475E-3</v>
      </c>
      <c r="H1380" s="29">
        <f>IF($B$2,IF(ROWS(B$6:$B1380) = 1,IF(COUNTIFS(R_Schedule_Times,"&lt;"&amp;B1380),INDEX(R_Schedule_Amounts,MATCH(B1380,R_Schedule_Times,1)),Starting_Cash),IF(COUNTIFS(R_Schedule_Times,"&gt;"&amp;B1379,R_Schedule_Times,"&lt;"&amp;B1380),INDEX(R_Schedule_Amounts,MATCH(B1380,R_Schedule_Times,1)),K1379)),"")</f>
        <v>15960</v>
      </c>
      <c r="I1380" s="30">
        <f t="shared" si="105"/>
        <v>60</v>
      </c>
      <c r="J1380" s="31">
        <f t="shared" si="106"/>
        <v>0</v>
      </c>
      <c r="K1380" s="29">
        <f t="shared" si="107"/>
        <v>15900</v>
      </c>
      <c r="L1380" s="31" t="str">
        <f t="shared" si="108"/>
        <v/>
      </c>
      <c r="M1380" s="31" t="str">
        <f t="shared" si="109"/>
        <v/>
      </c>
    </row>
    <row r="1381" spans="1:13" x14ac:dyDescent="0.15">
      <c r="A1381" s="163" t="s">
        <v>210</v>
      </c>
      <c r="B1381" s="163">
        <v>42313.577330682871</v>
      </c>
      <c r="C1381" s="164" t="s">
        <v>1540</v>
      </c>
      <c r="D1381" s="164" t="s">
        <v>13</v>
      </c>
      <c r="E1381" s="165">
        <v>60</v>
      </c>
      <c r="F1381" s="166">
        <v>0</v>
      </c>
      <c r="G1381" s="227">
        <f>IF($B$2,IF(ROWS(B$6:$B1381) = 1,$B1381-Start_Date,$B1381-$B1380),"")</f>
        <v>6.25579860934522E-3</v>
      </c>
      <c r="H1381" s="29">
        <f>IF($B$2,IF(ROWS(B$6:$B1381) = 1,IF(COUNTIFS(R_Schedule_Times,"&lt;"&amp;B1381),INDEX(R_Schedule_Amounts,MATCH(B1381,R_Schedule_Times,1)),Starting_Cash),IF(COUNTIFS(R_Schedule_Times,"&gt;"&amp;B1380,R_Schedule_Times,"&lt;"&amp;B1381),INDEX(R_Schedule_Amounts,MATCH(B1381,R_Schedule_Times,1)),K1380)),"")</f>
        <v>15900</v>
      </c>
      <c r="I1381" s="30">
        <f t="shared" si="105"/>
        <v>60</v>
      </c>
      <c r="J1381" s="31">
        <f t="shared" si="106"/>
        <v>0</v>
      </c>
      <c r="K1381" s="29">
        <f t="shared" si="107"/>
        <v>15840</v>
      </c>
      <c r="L1381" s="31" t="str">
        <f t="shared" si="108"/>
        <v/>
      </c>
      <c r="M1381" s="31" t="str">
        <f t="shared" si="109"/>
        <v/>
      </c>
    </row>
    <row r="1382" spans="1:13" x14ac:dyDescent="0.15">
      <c r="A1382" s="163" t="s">
        <v>210</v>
      </c>
      <c r="B1382" s="163">
        <v>42313.615387812497</v>
      </c>
      <c r="C1382" s="164" t="s">
        <v>1541</v>
      </c>
      <c r="D1382" s="164" t="s">
        <v>15</v>
      </c>
      <c r="E1382" s="165">
        <v>40</v>
      </c>
      <c r="F1382" s="166">
        <v>1.2</v>
      </c>
      <c r="G1382" s="227">
        <f>IF($B$2,IF(ROWS(B$6:$B1382) = 1,$B1382-Start_Date,$B1382-$B1381),"")</f>
        <v>3.8057129626395181E-2</v>
      </c>
      <c r="H1382" s="29">
        <f>IF($B$2,IF(ROWS(B$6:$B1382) = 1,IF(COUNTIFS(R_Schedule_Times,"&lt;"&amp;B1382),INDEX(R_Schedule_Amounts,MATCH(B1382,R_Schedule_Times,1)),Starting_Cash),IF(COUNTIFS(R_Schedule_Times,"&gt;"&amp;B1381,R_Schedule_Times,"&lt;"&amp;B1382),INDEX(R_Schedule_Amounts,MATCH(B1382,R_Schedule_Times,1)),K1381)),"")</f>
        <v>15840</v>
      </c>
      <c r="I1382" s="30">
        <f t="shared" si="105"/>
        <v>40</v>
      </c>
      <c r="J1382" s="31">
        <f t="shared" si="106"/>
        <v>1.2</v>
      </c>
      <c r="K1382" s="29">
        <f t="shared" si="107"/>
        <v>15800</v>
      </c>
      <c r="L1382" s="31" t="str">
        <f t="shared" si="108"/>
        <v/>
      </c>
      <c r="M1382" s="31" t="str">
        <f t="shared" si="109"/>
        <v/>
      </c>
    </row>
    <row r="1383" spans="1:13" x14ac:dyDescent="0.15">
      <c r="A1383" s="163" t="s">
        <v>210</v>
      </c>
      <c r="B1383" s="163">
        <v>42313.619460462964</v>
      </c>
      <c r="C1383" s="164" t="s">
        <v>1542</v>
      </c>
      <c r="D1383" s="164" t="s">
        <v>13</v>
      </c>
      <c r="E1383" s="165">
        <v>20</v>
      </c>
      <c r="F1383" s="166">
        <v>0</v>
      </c>
      <c r="G1383" s="227">
        <f>IF($B$2,IF(ROWS(B$6:$B1383) = 1,$B1383-Start_Date,$B1383-$B1382),"")</f>
        <v>4.0726504666963592E-3</v>
      </c>
      <c r="H1383" s="29">
        <f>IF($B$2,IF(ROWS(B$6:$B1383) = 1,IF(COUNTIFS(R_Schedule_Times,"&lt;"&amp;B1383),INDEX(R_Schedule_Amounts,MATCH(B1383,R_Schedule_Times,1)),Starting_Cash),IF(COUNTIFS(R_Schedule_Times,"&gt;"&amp;B1382,R_Schedule_Times,"&lt;"&amp;B1383),INDEX(R_Schedule_Amounts,MATCH(B1383,R_Schedule_Times,1)),K1382)),"")</f>
        <v>15800</v>
      </c>
      <c r="I1383" s="30">
        <f t="shared" si="105"/>
        <v>20</v>
      </c>
      <c r="J1383" s="31">
        <f t="shared" si="106"/>
        <v>0</v>
      </c>
      <c r="K1383" s="29">
        <f t="shared" si="107"/>
        <v>15780</v>
      </c>
      <c r="L1383" s="31" t="str">
        <f t="shared" si="108"/>
        <v/>
      </c>
      <c r="M1383" s="31" t="str">
        <f t="shared" si="109"/>
        <v/>
      </c>
    </row>
    <row r="1384" spans="1:13" x14ac:dyDescent="0.15">
      <c r="A1384" s="163" t="s">
        <v>210</v>
      </c>
      <c r="B1384" s="163">
        <v>42313.620578680559</v>
      </c>
      <c r="C1384" s="164" t="s">
        <v>1543</v>
      </c>
      <c r="D1384" s="164" t="s">
        <v>13</v>
      </c>
      <c r="E1384" s="165">
        <v>40</v>
      </c>
      <c r="F1384" s="166">
        <v>0</v>
      </c>
      <c r="G1384" s="227">
        <f>IF($B$2,IF(ROWS(B$6:$B1384) = 1,$B1384-Start_Date,$B1384-$B1383),"")</f>
        <v>1.1182175949215889E-3</v>
      </c>
      <c r="H1384" s="29">
        <f>IF($B$2,IF(ROWS(B$6:$B1384) = 1,IF(COUNTIFS(R_Schedule_Times,"&lt;"&amp;B1384),INDEX(R_Schedule_Amounts,MATCH(B1384,R_Schedule_Times,1)),Starting_Cash),IF(COUNTIFS(R_Schedule_Times,"&gt;"&amp;B1383,R_Schedule_Times,"&lt;"&amp;B1384),INDEX(R_Schedule_Amounts,MATCH(B1384,R_Schedule_Times,1)),K1383)),"")</f>
        <v>15780</v>
      </c>
      <c r="I1384" s="30">
        <f t="shared" si="105"/>
        <v>40</v>
      </c>
      <c r="J1384" s="31">
        <f t="shared" si="106"/>
        <v>0</v>
      </c>
      <c r="K1384" s="29">
        <f t="shared" si="107"/>
        <v>15740</v>
      </c>
      <c r="L1384" s="31" t="str">
        <f t="shared" si="108"/>
        <v/>
      </c>
      <c r="M1384" s="31" t="str">
        <f t="shared" si="109"/>
        <v/>
      </c>
    </row>
    <row r="1385" spans="1:13" x14ac:dyDescent="0.15">
      <c r="A1385" s="163" t="s">
        <v>210</v>
      </c>
      <c r="B1385" s="163">
        <v>42313.621289571762</v>
      </c>
      <c r="C1385" s="164" t="s">
        <v>1544</v>
      </c>
      <c r="D1385" s="164" t="s">
        <v>13</v>
      </c>
      <c r="E1385" s="165">
        <v>100</v>
      </c>
      <c r="F1385" s="166">
        <v>0</v>
      </c>
      <c r="G1385" s="227">
        <f>IF($B$2,IF(ROWS(B$6:$B1385) = 1,$B1385-Start_Date,$B1385-$B1384),"")</f>
        <v>7.1089120319811627E-4</v>
      </c>
      <c r="H1385" s="29">
        <f>IF($B$2,IF(ROWS(B$6:$B1385) = 1,IF(COUNTIFS(R_Schedule_Times,"&lt;"&amp;B1385),INDEX(R_Schedule_Amounts,MATCH(B1385,R_Schedule_Times,1)),Starting_Cash),IF(COUNTIFS(R_Schedule_Times,"&gt;"&amp;B1384,R_Schedule_Times,"&lt;"&amp;B1385),INDEX(R_Schedule_Amounts,MATCH(B1385,R_Schedule_Times,1)),K1384)),"")</f>
        <v>15740</v>
      </c>
      <c r="I1385" s="30">
        <f t="shared" si="105"/>
        <v>100</v>
      </c>
      <c r="J1385" s="31">
        <f t="shared" si="106"/>
        <v>0</v>
      </c>
      <c r="K1385" s="29">
        <f t="shared" si="107"/>
        <v>15640</v>
      </c>
      <c r="L1385" s="31" t="str">
        <f t="shared" si="108"/>
        <v/>
      </c>
      <c r="M1385" s="31" t="str">
        <f t="shared" si="109"/>
        <v/>
      </c>
    </row>
    <row r="1386" spans="1:13" x14ac:dyDescent="0.15">
      <c r="A1386" s="163" t="s">
        <v>210</v>
      </c>
      <c r="B1386" s="163">
        <v>42313.67234232639</v>
      </c>
      <c r="C1386" s="164" t="s">
        <v>1545</v>
      </c>
      <c r="D1386" s="164" t="s">
        <v>13</v>
      </c>
      <c r="E1386" s="165">
        <v>100</v>
      </c>
      <c r="F1386" s="166">
        <v>0</v>
      </c>
      <c r="G1386" s="227">
        <f>IF($B$2,IF(ROWS(B$6:$B1386) = 1,$B1386-Start_Date,$B1386-$B1385),"")</f>
        <v>5.105275462847203E-2</v>
      </c>
      <c r="H1386" s="29">
        <f>IF($B$2,IF(ROWS(B$6:$B1386) = 1,IF(COUNTIFS(R_Schedule_Times,"&lt;"&amp;B1386),INDEX(R_Schedule_Amounts,MATCH(B1386,R_Schedule_Times,1)),Starting_Cash),IF(COUNTIFS(R_Schedule_Times,"&gt;"&amp;B1385,R_Schedule_Times,"&lt;"&amp;B1386),INDEX(R_Schedule_Amounts,MATCH(B1386,R_Schedule_Times,1)),K1385)),"")</f>
        <v>15640</v>
      </c>
      <c r="I1386" s="30">
        <f t="shared" si="105"/>
        <v>100</v>
      </c>
      <c r="J1386" s="31">
        <f t="shared" si="106"/>
        <v>0</v>
      </c>
      <c r="K1386" s="29">
        <f t="shared" si="107"/>
        <v>15540</v>
      </c>
      <c r="L1386" s="31" t="str">
        <f t="shared" si="108"/>
        <v/>
      </c>
      <c r="M1386" s="31" t="str">
        <f t="shared" si="109"/>
        <v/>
      </c>
    </row>
    <row r="1387" spans="1:13" x14ac:dyDescent="0.15">
      <c r="A1387" s="163" t="s">
        <v>210</v>
      </c>
      <c r="B1387" s="163">
        <v>42313.698088263889</v>
      </c>
      <c r="C1387" s="164" t="s">
        <v>1546</v>
      </c>
      <c r="D1387" s="164" t="s">
        <v>13</v>
      </c>
      <c r="E1387" s="165">
        <v>100</v>
      </c>
      <c r="F1387" s="166">
        <v>0</v>
      </c>
      <c r="G1387" s="227">
        <f>IF($B$2,IF(ROWS(B$6:$B1387) = 1,$B1387-Start_Date,$B1387-$B1386),"")</f>
        <v>2.5745937498868443E-2</v>
      </c>
      <c r="H1387" s="29">
        <f>IF($B$2,IF(ROWS(B$6:$B1387) = 1,IF(COUNTIFS(R_Schedule_Times,"&lt;"&amp;B1387),INDEX(R_Schedule_Amounts,MATCH(B1387,R_Schedule_Times,1)),Starting_Cash),IF(COUNTIFS(R_Schedule_Times,"&gt;"&amp;B1386,R_Schedule_Times,"&lt;"&amp;B1387),INDEX(R_Schedule_Amounts,MATCH(B1387,R_Schedule_Times,1)),K1386)),"")</f>
        <v>15540</v>
      </c>
      <c r="I1387" s="30">
        <f t="shared" si="105"/>
        <v>100</v>
      </c>
      <c r="J1387" s="31">
        <f t="shared" si="106"/>
        <v>0</v>
      </c>
      <c r="K1387" s="29">
        <f t="shared" si="107"/>
        <v>15440</v>
      </c>
      <c r="L1387" s="31" t="str">
        <f t="shared" si="108"/>
        <v/>
      </c>
      <c r="M1387" s="31" t="str">
        <f t="shared" si="109"/>
        <v/>
      </c>
    </row>
    <row r="1388" spans="1:13" x14ac:dyDescent="0.15">
      <c r="A1388" s="163" t="s">
        <v>210</v>
      </c>
      <c r="B1388" s="163">
        <v>42313.720859583336</v>
      </c>
      <c r="C1388" s="164" t="s">
        <v>14</v>
      </c>
      <c r="D1388" s="164" t="s">
        <v>15</v>
      </c>
      <c r="E1388" s="165">
        <v>200</v>
      </c>
      <c r="F1388" s="166">
        <v>8.5</v>
      </c>
      <c r="G1388" s="227">
        <f>IF($B$2,IF(ROWS(B$6:$B1388) = 1,$B1388-Start_Date,$B1388-$B1387),"")</f>
        <v>2.2771319447201677E-2</v>
      </c>
      <c r="H1388" s="29">
        <f>IF($B$2,IF(ROWS(B$6:$B1388) = 1,IF(COUNTIFS(R_Schedule_Times,"&lt;"&amp;B1388),INDEX(R_Schedule_Amounts,MATCH(B1388,R_Schedule_Times,1)),Starting_Cash),IF(COUNTIFS(R_Schedule_Times,"&gt;"&amp;B1387,R_Schedule_Times,"&lt;"&amp;B1388),INDEX(R_Schedule_Amounts,MATCH(B1388,R_Schedule_Times,1)),K1387)),"")</f>
        <v>15440</v>
      </c>
      <c r="I1388" s="30">
        <f t="shared" si="105"/>
        <v>200</v>
      </c>
      <c r="J1388" s="31">
        <f t="shared" si="106"/>
        <v>8.5</v>
      </c>
      <c r="K1388" s="29">
        <f t="shared" si="107"/>
        <v>15240</v>
      </c>
      <c r="L1388" s="31" t="str">
        <f t="shared" si="108"/>
        <v/>
      </c>
      <c r="M1388" s="31" t="str">
        <f t="shared" si="109"/>
        <v/>
      </c>
    </row>
    <row r="1389" spans="1:13" x14ac:dyDescent="0.15">
      <c r="A1389" s="163" t="s">
        <v>210</v>
      </c>
      <c r="B1389" s="163">
        <v>42313.724855925924</v>
      </c>
      <c r="C1389" s="164" t="s">
        <v>1547</v>
      </c>
      <c r="D1389" s="164" t="s">
        <v>13</v>
      </c>
      <c r="E1389" s="165">
        <v>20</v>
      </c>
      <c r="F1389" s="166">
        <v>0</v>
      </c>
      <c r="G1389" s="227">
        <f>IF($B$2,IF(ROWS(B$6:$B1389) = 1,$B1389-Start_Date,$B1389-$B1388),"")</f>
        <v>3.9963425879250281E-3</v>
      </c>
      <c r="H1389" s="29">
        <f>IF($B$2,IF(ROWS(B$6:$B1389) = 1,IF(COUNTIFS(R_Schedule_Times,"&lt;"&amp;B1389),INDEX(R_Schedule_Amounts,MATCH(B1389,R_Schedule_Times,1)),Starting_Cash),IF(COUNTIFS(R_Schedule_Times,"&gt;"&amp;B1388,R_Schedule_Times,"&lt;"&amp;B1389),INDEX(R_Schedule_Amounts,MATCH(B1389,R_Schedule_Times,1)),K1388)),"")</f>
        <v>15240</v>
      </c>
      <c r="I1389" s="30">
        <f t="shared" si="105"/>
        <v>20</v>
      </c>
      <c r="J1389" s="31">
        <f t="shared" si="106"/>
        <v>0</v>
      </c>
      <c r="K1389" s="29">
        <f t="shared" si="107"/>
        <v>15220</v>
      </c>
      <c r="L1389" s="31" t="str">
        <f t="shared" si="108"/>
        <v/>
      </c>
      <c r="M1389" s="31" t="str">
        <f t="shared" si="109"/>
        <v/>
      </c>
    </row>
    <row r="1390" spans="1:13" x14ac:dyDescent="0.15">
      <c r="A1390" s="163" t="s">
        <v>210</v>
      </c>
      <c r="B1390" s="163">
        <v>42313.751703159724</v>
      </c>
      <c r="C1390" s="164" t="s">
        <v>1548</v>
      </c>
      <c r="D1390" s="164" t="s">
        <v>13</v>
      </c>
      <c r="E1390" s="165">
        <v>100</v>
      </c>
      <c r="F1390" s="166">
        <v>0</v>
      </c>
      <c r="G1390" s="227">
        <f>IF($B$2,IF(ROWS(B$6:$B1390) = 1,$B1390-Start_Date,$B1390-$B1389),"")</f>
        <v>2.6847233799344394E-2</v>
      </c>
      <c r="H1390" s="29">
        <f>IF($B$2,IF(ROWS(B$6:$B1390) = 1,IF(COUNTIFS(R_Schedule_Times,"&lt;"&amp;B1390),INDEX(R_Schedule_Amounts,MATCH(B1390,R_Schedule_Times,1)),Starting_Cash),IF(COUNTIFS(R_Schedule_Times,"&gt;"&amp;B1389,R_Schedule_Times,"&lt;"&amp;B1390),INDEX(R_Schedule_Amounts,MATCH(B1390,R_Schedule_Times,1)),K1389)),"")</f>
        <v>15220</v>
      </c>
      <c r="I1390" s="30">
        <f t="shared" si="105"/>
        <v>100</v>
      </c>
      <c r="J1390" s="31">
        <f t="shared" si="106"/>
        <v>0</v>
      </c>
      <c r="K1390" s="29">
        <f t="shared" si="107"/>
        <v>15120</v>
      </c>
      <c r="L1390" s="31" t="str">
        <f t="shared" si="108"/>
        <v/>
      </c>
      <c r="M1390" s="31" t="str">
        <f t="shared" si="109"/>
        <v/>
      </c>
    </row>
    <row r="1391" spans="1:13" x14ac:dyDescent="0.15">
      <c r="A1391" s="163" t="s">
        <v>210</v>
      </c>
      <c r="B1391" s="163">
        <v>42313.754594467595</v>
      </c>
      <c r="C1391" s="164" t="s">
        <v>1370</v>
      </c>
      <c r="D1391" s="164" t="s">
        <v>13</v>
      </c>
      <c r="E1391" s="165">
        <v>100</v>
      </c>
      <c r="F1391" s="166">
        <v>0</v>
      </c>
      <c r="G1391" s="227">
        <f>IF($B$2,IF(ROWS(B$6:$B1391) = 1,$B1391-Start_Date,$B1391-$B1390),"")</f>
        <v>2.8913078713230789E-3</v>
      </c>
      <c r="H1391" s="29">
        <f>IF($B$2,IF(ROWS(B$6:$B1391) = 1,IF(COUNTIFS(R_Schedule_Times,"&lt;"&amp;B1391),INDEX(R_Schedule_Amounts,MATCH(B1391,R_Schedule_Times,1)),Starting_Cash),IF(COUNTIFS(R_Schedule_Times,"&gt;"&amp;B1390,R_Schedule_Times,"&lt;"&amp;B1391),INDEX(R_Schedule_Amounts,MATCH(B1391,R_Schedule_Times,1)),K1390)),"")</f>
        <v>15120</v>
      </c>
      <c r="I1391" s="30">
        <f t="shared" si="105"/>
        <v>100</v>
      </c>
      <c r="J1391" s="31">
        <f t="shared" si="106"/>
        <v>0</v>
      </c>
      <c r="K1391" s="29">
        <f t="shared" si="107"/>
        <v>15020</v>
      </c>
      <c r="L1391" s="31" t="str">
        <f t="shared" si="108"/>
        <v/>
      </c>
      <c r="M1391" s="31" t="str">
        <f t="shared" si="109"/>
        <v/>
      </c>
    </row>
    <row r="1392" spans="1:13" x14ac:dyDescent="0.15">
      <c r="A1392" s="163" t="s">
        <v>210</v>
      </c>
      <c r="B1392" s="163">
        <v>42313.769318275467</v>
      </c>
      <c r="C1392" s="164" t="s">
        <v>1549</v>
      </c>
      <c r="D1392" s="164" t="s">
        <v>13</v>
      </c>
      <c r="E1392" s="165">
        <v>100</v>
      </c>
      <c r="F1392" s="166">
        <v>0</v>
      </c>
      <c r="G1392" s="227">
        <f>IF($B$2,IF(ROWS(B$6:$B1392) = 1,$B1392-Start_Date,$B1392-$B1391),"")</f>
        <v>1.4723807871632744E-2</v>
      </c>
      <c r="H1392" s="29">
        <f>IF($B$2,IF(ROWS(B$6:$B1392) = 1,IF(COUNTIFS(R_Schedule_Times,"&lt;"&amp;B1392),INDEX(R_Schedule_Amounts,MATCH(B1392,R_Schedule_Times,1)),Starting_Cash),IF(COUNTIFS(R_Schedule_Times,"&gt;"&amp;B1391,R_Schedule_Times,"&lt;"&amp;B1392),INDEX(R_Schedule_Amounts,MATCH(B1392,R_Schedule_Times,1)),K1391)),"")</f>
        <v>15020</v>
      </c>
      <c r="I1392" s="30">
        <f t="shared" si="105"/>
        <v>100</v>
      </c>
      <c r="J1392" s="31">
        <f t="shared" si="106"/>
        <v>0</v>
      </c>
      <c r="K1392" s="29">
        <f t="shared" si="107"/>
        <v>14920</v>
      </c>
      <c r="L1392" s="31" t="str">
        <f t="shared" si="108"/>
        <v/>
      </c>
      <c r="M1392" s="31" t="str">
        <f t="shared" si="109"/>
        <v/>
      </c>
    </row>
    <row r="1393" spans="1:13" x14ac:dyDescent="0.15">
      <c r="A1393" s="163" t="s">
        <v>210</v>
      </c>
      <c r="B1393" s="163">
        <v>42313.779741446757</v>
      </c>
      <c r="C1393" s="164" t="s">
        <v>1550</v>
      </c>
      <c r="D1393" s="164" t="s">
        <v>13</v>
      </c>
      <c r="E1393" s="165">
        <v>40</v>
      </c>
      <c r="F1393" s="166">
        <v>0</v>
      </c>
      <c r="G1393" s="227">
        <f>IF($B$2,IF(ROWS(B$6:$B1393) = 1,$B1393-Start_Date,$B1393-$B1392),"")</f>
        <v>1.0423171290312894E-2</v>
      </c>
      <c r="H1393" s="29">
        <f>IF($B$2,IF(ROWS(B$6:$B1393) = 1,IF(COUNTIFS(R_Schedule_Times,"&lt;"&amp;B1393),INDEX(R_Schedule_Amounts,MATCH(B1393,R_Schedule_Times,1)),Starting_Cash),IF(COUNTIFS(R_Schedule_Times,"&gt;"&amp;B1392,R_Schedule_Times,"&lt;"&amp;B1393),INDEX(R_Schedule_Amounts,MATCH(B1393,R_Schedule_Times,1)),K1392)),"")</f>
        <v>14920</v>
      </c>
      <c r="I1393" s="30">
        <f t="shared" si="105"/>
        <v>40</v>
      </c>
      <c r="J1393" s="31">
        <f t="shared" si="106"/>
        <v>0</v>
      </c>
      <c r="K1393" s="29">
        <f t="shared" si="107"/>
        <v>14880</v>
      </c>
      <c r="L1393" s="31" t="str">
        <f t="shared" si="108"/>
        <v/>
      </c>
      <c r="M1393" s="31" t="str">
        <f t="shared" si="109"/>
        <v/>
      </c>
    </row>
    <row r="1394" spans="1:13" x14ac:dyDescent="0.15">
      <c r="A1394" s="163" t="s">
        <v>210</v>
      </c>
      <c r="B1394" s="163">
        <v>42313.789857314812</v>
      </c>
      <c r="C1394" s="164" t="s">
        <v>1389</v>
      </c>
      <c r="D1394" s="164" t="s">
        <v>13</v>
      </c>
      <c r="E1394" s="165">
        <v>40</v>
      </c>
      <c r="F1394" s="166">
        <v>0</v>
      </c>
      <c r="G1394" s="227">
        <f>IF($B$2,IF(ROWS(B$6:$B1394) = 1,$B1394-Start_Date,$B1394-$B1393),"")</f>
        <v>1.0115868055436295E-2</v>
      </c>
      <c r="H1394" s="29">
        <f>IF($B$2,IF(ROWS(B$6:$B1394) = 1,IF(COUNTIFS(R_Schedule_Times,"&lt;"&amp;B1394),INDEX(R_Schedule_Amounts,MATCH(B1394,R_Schedule_Times,1)),Starting_Cash),IF(COUNTIFS(R_Schedule_Times,"&gt;"&amp;B1393,R_Schedule_Times,"&lt;"&amp;B1394),INDEX(R_Schedule_Amounts,MATCH(B1394,R_Schedule_Times,1)),K1393)),"")</f>
        <v>14880</v>
      </c>
      <c r="I1394" s="30">
        <f t="shared" si="105"/>
        <v>40</v>
      </c>
      <c r="J1394" s="31">
        <f t="shared" si="106"/>
        <v>0</v>
      </c>
      <c r="K1394" s="29">
        <f t="shared" si="107"/>
        <v>14840</v>
      </c>
      <c r="L1394" s="31" t="str">
        <f t="shared" si="108"/>
        <v/>
      </c>
      <c r="M1394" s="31" t="str">
        <f t="shared" si="109"/>
        <v/>
      </c>
    </row>
    <row r="1395" spans="1:13" x14ac:dyDescent="0.15">
      <c r="A1395" s="163" t="s">
        <v>210</v>
      </c>
      <c r="B1395" s="163">
        <v>42313.819224178238</v>
      </c>
      <c r="C1395" s="164" t="s">
        <v>1551</v>
      </c>
      <c r="D1395" s="164" t="s">
        <v>13</v>
      </c>
      <c r="E1395" s="165">
        <v>80</v>
      </c>
      <c r="F1395" s="166">
        <v>0</v>
      </c>
      <c r="G1395" s="227">
        <f>IF($B$2,IF(ROWS(B$6:$B1395) = 1,$B1395-Start_Date,$B1395-$B1394),"")</f>
        <v>2.9366863425821066E-2</v>
      </c>
      <c r="H1395" s="29">
        <f>IF($B$2,IF(ROWS(B$6:$B1395) = 1,IF(COUNTIFS(R_Schedule_Times,"&lt;"&amp;B1395),INDEX(R_Schedule_Amounts,MATCH(B1395,R_Schedule_Times,1)),Starting_Cash),IF(COUNTIFS(R_Schedule_Times,"&gt;"&amp;B1394,R_Schedule_Times,"&lt;"&amp;B1395),INDEX(R_Schedule_Amounts,MATCH(B1395,R_Schedule_Times,1)),K1394)),"")</f>
        <v>14840</v>
      </c>
      <c r="I1395" s="30">
        <f t="shared" si="105"/>
        <v>80</v>
      </c>
      <c r="J1395" s="31">
        <f t="shared" si="106"/>
        <v>0</v>
      </c>
      <c r="K1395" s="29">
        <f t="shared" si="107"/>
        <v>14760</v>
      </c>
      <c r="L1395" s="31" t="str">
        <f t="shared" si="108"/>
        <v/>
      </c>
      <c r="M1395" s="31" t="str">
        <f t="shared" si="109"/>
        <v/>
      </c>
    </row>
    <row r="1396" spans="1:13" x14ac:dyDescent="0.15">
      <c r="A1396" s="163" t="s">
        <v>210</v>
      </c>
      <c r="B1396" s="163">
        <v>42313.874582094904</v>
      </c>
      <c r="C1396" s="164" t="s">
        <v>1552</v>
      </c>
      <c r="D1396" s="164" t="s">
        <v>13</v>
      </c>
      <c r="E1396" s="165">
        <v>100</v>
      </c>
      <c r="F1396" s="166">
        <v>0</v>
      </c>
      <c r="G1396" s="227">
        <f>IF($B$2,IF(ROWS(B$6:$B1396) = 1,$B1396-Start_Date,$B1396-$B1395),"")</f>
        <v>5.5357916666253004E-2</v>
      </c>
      <c r="H1396" s="29">
        <f>IF($B$2,IF(ROWS(B$6:$B1396) = 1,IF(COUNTIFS(R_Schedule_Times,"&lt;"&amp;B1396),INDEX(R_Schedule_Amounts,MATCH(B1396,R_Schedule_Times,1)),Starting_Cash),IF(COUNTIFS(R_Schedule_Times,"&gt;"&amp;B1395,R_Schedule_Times,"&lt;"&amp;B1396),INDEX(R_Schedule_Amounts,MATCH(B1396,R_Schedule_Times,1)),K1395)),"")</f>
        <v>14760</v>
      </c>
      <c r="I1396" s="30">
        <f t="shared" si="105"/>
        <v>100</v>
      </c>
      <c r="J1396" s="31">
        <f t="shared" si="106"/>
        <v>0</v>
      </c>
      <c r="K1396" s="29">
        <f t="shared" si="107"/>
        <v>14660</v>
      </c>
      <c r="L1396" s="31" t="str">
        <f t="shared" si="108"/>
        <v/>
      </c>
      <c r="M1396" s="31" t="str">
        <f t="shared" si="109"/>
        <v/>
      </c>
    </row>
    <row r="1397" spans="1:13" x14ac:dyDescent="0.15">
      <c r="A1397" s="163" t="s">
        <v>210</v>
      </c>
      <c r="B1397" s="163">
        <v>42313.970818252317</v>
      </c>
      <c r="C1397" s="164" t="s">
        <v>14</v>
      </c>
      <c r="D1397" s="164" t="s">
        <v>13</v>
      </c>
      <c r="E1397" s="165">
        <v>200</v>
      </c>
      <c r="F1397" s="166">
        <v>3.5</v>
      </c>
      <c r="G1397" s="227">
        <f>IF($B$2,IF(ROWS(B$6:$B1397) = 1,$B1397-Start_Date,$B1397-$B1396),"")</f>
        <v>9.6236157412931789E-2</v>
      </c>
      <c r="H1397" s="29">
        <f>IF($B$2,IF(ROWS(B$6:$B1397) = 1,IF(COUNTIFS(R_Schedule_Times,"&lt;"&amp;B1397),INDEX(R_Schedule_Amounts,MATCH(B1397,R_Schedule_Times,1)),Starting_Cash),IF(COUNTIFS(R_Schedule_Times,"&gt;"&amp;B1396,R_Schedule_Times,"&lt;"&amp;B1397),INDEX(R_Schedule_Amounts,MATCH(B1397,R_Schedule_Times,1)),K1396)),"")</f>
        <v>14660</v>
      </c>
      <c r="I1397" s="30">
        <f t="shared" si="105"/>
        <v>200</v>
      </c>
      <c r="J1397" s="31">
        <f t="shared" si="106"/>
        <v>3.5</v>
      </c>
      <c r="K1397" s="29">
        <f t="shared" si="107"/>
        <v>14460</v>
      </c>
      <c r="L1397" s="31" t="str">
        <f t="shared" si="108"/>
        <v/>
      </c>
      <c r="M1397" s="31" t="str">
        <f t="shared" si="109"/>
        <v/>
      </c>
    </row>
    <row r="1398" spans="1:13" x14ac:dyDescent="0.15">
      <c r="A1398" s="163" t="s">
        <v>210</v>
      </c>
      <c r="B1398" s="163">
        <v>42314.020577928241</v>
      </c>
      <c r="C1398" s="164" t="s">
        <v>1553</v>
      </c>
      <c r="D1398" s="164" t="s">
        <v>13</v>
      </c>
      <c r="E1398" s="165">
        <v>100</v>
      </c>
      <c r="F1398" s="166">
        <v>0</v>
      </c>
      <c r="G1398" s="227">
        <f>IF($B$2,IF(ROWS(B$6:$B1398) = 1,$B1398-Start_Date,$B1398-$B1397),"")</f>
        <v>4.9759675923269242E-2</v>
      </c>
      <c r="H1398" s="29">
        <f>IF($B$2,IF(ROWS(B$6:$B1398) = 1,IF(COUNTIFS(R_Schedule_Times,"&lt;"&amp;B1398),INDEX(R_Schedule_Amounts,MATCH(B1398,R_Schedule_Times,1)),Starting_Cash),IF(COUNTIFS(R_Schedule_Times,"&gt;"&amp;B1397,R_Schedule_Times,"&lt;"&amp;B1398),INDEX(R_Schedule_Amounts,MATCH(B1398,R_Schedule_Times,1)),K1397)),"")</f>
        <v>14460</v>
      </c>
      <c r="I1398" s="30">
        <f t="shared" si="105"/>
        <v>100</v>
      </c>
      <c r="J1398" s="31">
        <f t="shared" si="106"/>
        <v>0</v>
      </c>
      <c r="K1398" s="29">
        <f t="shared" si="107"/>
        <v>14360</v>
      </c>
      <c r="L1398" s="31" t="str">
        <f t="shared" si="108"/>
        <v/>
      </c>
      <c r="M1398" s="31" t="str">
        <f t="shared" si="109"/>
        <v/>
      </c>
    </row>
    <row r="1399" spans="1:13" x14ac:dyDescent="0.15">
      <c r="A1399" s="163" t="s">
        <v>210</v>
      </c>
      <c r="B1399" s="163">
        <v>42314.228125671296</v>
      </c>
      <c r="C1399" s="164" t="s">
        <v>1554</v>
      </c>
      <c r="D1399" s="164" t="s">
        <v>13</v>
      </c>
      <c r="E1399" s="165">
        <v>100</v>
      </c>
      <c r="F1399" s="166">
        <v>0</v>
      </c>
      <c r="G1399" s="227">
        <f>IF($B$2,IF(ROWS(B$6:$B1399) = 1,$B1399-Start_Date,$B1399-$B1398),"")</f>
        <v>0.20754774305532919</v>
      </c>
      <c r="H1399" s="29">
        <f>IF($B$2,IF(ROWS(B$6:$B1399) = 1,IF(COUNTIFS(R_Schedule_Times,"&lt;"&amp;B1399),INDEX(R_Schedule_Amounts,MATCH(B1399,R_Schedule_Times,1)),Starting_Cash),IF(COUNTIFS(R_Schedule_Times,"&gt;"&amp;B1398,R_Schedule_Times,"&lt;"&amp;B1399),INDEX(R_Schedule_Amounts,MATCH(B1399,R_Schedule_Times,1)),K1398)),"")</f>
        <v>14360</v>
      </c>
      <c r="I1399" s="30">
        <f t="shared" si="105"/>
        <v>100</v>
      </c>
      <c r="J1399" s="31">
        <f t="shared" si="106"/>
        <v>0</v>
      </c>
      <c r="K1399" s="29">
        <f t="shared" si="107"/>
        <v>14260</v>
      </c>
      <c r="L1399" s="31" t="str">
        <f t="shared" si="108"/>
        <v/>
      </c>
      <c r="M1399" s="31" t="str">
        <f t="shared" si="109"/>
        <v/>
      </c>
    </row>
    <row r="1400" spans="1:13" x14ac:dyDescent="0.15">
      <c r="A1400" s="163" t="s">
        <v>210</v>
      </c>
      <c r="B1400" s="163">
        <v>42314.320691493056</v>
      </c>
      <c r="C1400" s="164" t="s">
        <v>1555</v>
      </c>
      <c r="D1400" s="164" t="s">
        <v>13</v>
      </c>
      <c r="E1400" s="165">
        <v>100</v>
      </c>
      <c r="F1400" s="166">
        <v>0</v>
      </c>
      <c r="G1400" s="227">
        <f>IF($B$2,IF(ROWS(B$6:$B1400) = 1,$B1400-Start_Date,$B1400-$B1399),"")</f>
        <v>9.2565821760217659E-2</v>
      </c>
      <c r="H1400" s="29">
        <f>IF($B$2,IF(ROWS(B$6:$B1400) = 1,IF(COUNTIFS(R_Schedule_Times,"&lt;"&amp;B1400),INDEX(R_Schedule_Amounts,MATCH(B1400,R_Schedule_Times,1)),Starting_Cash),IF(COUNTIFS(R_Schedule_Times,"&gt;"&amp;B1399,R_Schedule_Times,"&lt;"&amp;B1400),INDEX(R_Schedule_Amounts,MATCH(B1400,R_Schedule_Times,1)),K1399)),"")</f>
        <v>14260</v>
      </c>
      <c r="I1400" s="30">
        <f t="shared" si="105"/>
        <v>100</v>
      </c>
      <c r="J1400" s="31">
        <f t="shared" si="106"/>
        <v>0</v>
      </c>
      <c r="K1400" s="29">
        <f t="shared" si="107"/>
        <v>14160</v>
      </c>
      <c r="L1400" s="31" t="str">
        <f t="shared" si="108"/>
        <v/>
      </c>
      <c r="M1400" s="31" t="str">
        <f t="shared" si="109"/>
        <v/>
      </c>
    </row>
    <row r="1401" spans="1:13" x14ac:dyDescent="0.15">
      <c r="A1401" s="163" t="s">
        <v>210</v>
      </c>
      <c r="B1401" s="163">
        <v>42314.325633171298</v>
      </c>
      <c r="C1401" s="164" t="s">
        <v>1556</v>
      </c>
      <c r="D1401" s="164" t="s">
        <v>15</v>
      </c>
      <c r="E1401" s="165">
        <v>100</v>
      </c>
      <c r="F1401" s="166">
        <v>3</v>
      </c>
      <c r="G1401" s="227">
        <f>IF($B$2,IF(ROWS(B$6:$B1401) = 1,$B1401-Start_Date,$B1401-$B1400),"")</f>
        <v>4.9416782421758398E-3</v>
      </c>
      <c r="H1401" s="29">
        <f>IF($B$2,IF(ROWS(B$6:$B1401) = 1,IF(COUNTIFS(R_Schedule_Times,"&lt;"&amp;B1401),INDEX(R_Schedule_Amounts,MATCH(B1401,R_Schedule_Times,1)),Starting_Cash),IF(COUNTIFS(R_Schedule_Times,"&gt;"&amp;B1400,R_Schedule_Times,"&lt;"&amp;B1401),INDEX(R_Schedule_Amounts,MATCH(B1401,R_Schedule_Times,1)),K1400)),"")</f>
        <v>14160</v>
      </c>
      <c r="I1401" s="30">
        <f t="shared" si="105"/>
        <v>100</v>
      </c>
      <c r="J1401" s="31">
        <f t="shared" si="106"/>
        <v>3</v>
      </c>
      <c r="K1401" s="29">
        <f t="shared" si="107"/>
        <v>14060</v>
      </c>
      <c r="L1401" s="31" t="str">
        <f t="shared" si="108"/>
        <v/>
      </c>
      <c r="M1401" s="31" t="str">
        <f t="shared" si="109"/>
        <v/>
      </c>
    </row>
    <row r="1402" spans="1:13" x14ac:dyDescent="0.15">
      <c r="A1402" s="163" t="s">
        <v>210</v>
      </c>
      <c r="B1402" s="163">
        <v>42314.329472187499</v>
      </c>
      <c r="C1402" s="164" t="s">
        <v>839</v>
      </c>
      <c r="D1402" s="164" t="s">
        <v>13</v>
      </c>
      <c r="E1402" s="165">
        <v>100</v>
      </c>
      <c r="F1402" s="166">
        <v>0</v>
      </c>
      <c r="G1402" s="227">
        <f>IF($B$2,IF(ROWS(B$6:$B1402) = 1,$B1402-Start_Date,$B1402-$B1401),"")</f>
        <v>3.8390162007999606E-3</v>
      </c>
      <c r="H1402" s="29">
        <f>IF($B$2,IF(ROWS(B$6:$B1402) = 1,IF(COUNTIFS(R_Schedule_Times,"&lt;"&amp;B1402),INDEX(R_Schedule_Amounts,MATCH(B1402,R_Schedule_Times,1)),Starting_Cash),IF(COUNTIFS(R_Schedule_Times,"&gt;"&amp;B1401,R_Schedule_Times,"&lt;"&amp;B1402),INDEX(R_Schedule_Amounts,MATCH(B1402,R_Schedule_Times,1)),K1401)),"")</f>
        <v>14060</v>
      </c>
      <c r="I1402" s="30">
        <f t="shared" si="105"/>
        <v>100</v>
      </c>
      <c r="J1402" s="31">
        <f t="shared" si="106"/>
        <v>0</v>
      </c>
      <c r="K1402" s="29">
        <f t="shared" si="107"/>
        <v>13960</v>
      </c>
      <c r="L1402" s="31" t="str">
        <f t="shared" si="108"/>
        <v/>
      </c>
      <c r="M1402" s="31" t="str">
        <f t="shared" si="109"/>
        <v/>
      </c>
    </row>
    <row r="1403" spans="1:13" x14ac:dyDescent="0.15">
      <c r="A1403" s="163" t="s">
        <v>210</v>
      </c>
      <c r="B1403" s="163">
        <v>42314.342293773145</v>
      </c>
      <c r="C1403" s="164" t="s">
        <v>1557</v>
      </c>
      <c r="D1403" s="164" t="s">
        <v>13</v>
      </c>
      <c r="E1403" s="165">
        <v>100</v>
      </c>
      <c r="F1403" s="166">
        <v>0</v>
      </c>
      <c r="G1403" s="227">
        <f>IF($B$2,IF(ROWS(B$6:$B1403) = 1,$B1403-Start_Date,$B1403-$B1402),"")</f>
        <v>1.2821585645724554E-2</v>
      </c>
      <c r="H1403" s="29">
        <f>IF($B$2,IF(ROWS(B$6:$B1403) = 1,IF(COUNTIFS(R_Schedule_Times,"&lt;"&amp;B1403),INDEX(R_Schedule_Amounts,MATCH(B1403,R_Schedule_Times,1)),Starting_Cash),IF(COUNTIFS(R_Schedule_Times,"&gt;"&amp;B1402,R_Schedule_Times,"&lt;"&amp;B1403),INDEX(R_Schedule_Amounts,MATCH(B1403,R_Schedule_Times,1)),K1402)),"")</f>
        <v>13960</v>
      </c>
      <c r="I1403" s="30">
        <f t="shared" si="105"/>
        <v>100</v>
      </c>
      <c r="J1403" s="31">
        <f t="shared" si="106"/>
        <v>0</v>
      </c>
      <c r="K1403" s="29">
        <f t="shared" si="107"/>
        <v>13860</v>
      </c>
      <c r="L1403" s="31" t="str">
        <f t="shared" si="108"/>
        <v/>
      </c>
      <c r="M1403" s="31" t="str">
        <f t="shared" si="109"/>
        <v/>
      </c>
    </row>
    <row r="1404" spans="1:13" x14ac:dyDescent="0.15">
      <c r="A1404" s="163" t="s">
        <v>210</v>
      </c>
      <c r="B1404" s="163">
        <v>42314.353053553241</v>
      </c>
      <c r="C1404" s="164" t="s">
        <v>1558</v>
      </c>
      <c r="D1404" s="164" t="s">
        <v>13</v>
      </c>
      <c r="E1404" s="165">
        <v>120</v>
      </c>
      <c r="F1404" s="166">
        <v>0</v>
      </c>
      <c r="G1404" s="227">
        <f>IF($B$2,IF(ROWS(B$6:$B1404) = 1,$B1404-Start_Date,$B1404-$B1403),"")</f>
        <v>1.0759780096122995E-2</v>
      </c>
      <c r="H1404" s="29">
        <f>IF($B$2,IF(ROWS(B$6:$B1404) = 1,IF(COUNTIFS(R_Schedule_Times,"&lt;"&amp;B1404),INDEX(R_Schedule_Amounts,MATCH(B1404,R_Schedule_Times,1)),Starting_Cash),IF(COUNTIFS(R_Schedule_Times,"&gt;"&amp;B1403,R_Schedule_Times,"&lt;"&amp;B1404),INDEX(R_Schedule_Amounts,MATCH(B1404,R_Schedule_Times,1)),K1403)),"")</f>
        <v>13860</v>
      </c>
      <c r="I1404" s="30">
        <f t="shared" si="105"/>
        <v>120</v>
      </c>
      <c r="J1404" s="31">
        <f t="shared" si="106"/>
        <v>0</v>
      </c>
      <c r="K1404" s="29">
        <f t="shared" si="107"/>
        <v>13740</v>
      </c>
      <c r="L1404" s="31" t="str">
        <f t="shared" si="108"/>
        <v/>
      </c>
      <c r="M1404" s="31" t="str">
        <f t="shared" si="109"/>
        <v/>
      </c>
    </row>
    <row r="1405" spans="1:13" x14ac:dyDescent="0.15">
      <c r="A1405" s="163" t="s">
        <v>210</v>
      </c>
      <c r="B1405" s="163">
        <v>42314.367972777778</v>
      </c>
      <c r="C1405" s="164" t="s">
        <v>195</v>
      </c>
      <c r="D1405" s="164" t="s">
        <v>13</v>
      </c>
      <c r="E1405" s="165">
        <v>60</v>
      </c>
      <c r="F1405" s="166">
        <v>0</v>
      </c>
      <c r="G1405" s="227">
        <f>IF($B$2,IF(ROWS(B$6:$B1405) = 1,$B1405-Start_Date,$B1405-$B1404),"")</f>
        <v>1.4919224537152331E-2</v>
      </c>
      <c r="H1405" s="29">
        <f>IF($B$2,IF(ROWS(B$6:$B1405) = 1,IF(COUNTIFS(R_Schedule_Times,"&lt;"&amp;B1405),INDEX(R_Schedule_Amounts,MATCH(B1405,R_Schedule_Times,1)),Starting_Cash),IF(COUNTIFS(R_Schedule_Times,"&gt;"&amp;B1404,R_Schedule_Times,"&lt;"&amp;B1405),INDEX(R_Schedule_Amounts,MATCH(B1405,R_Schedule_Times,1)),K1404)),"")</f>
        <v>13740</v>
      </c>
      <c r="I1405" s="30">
        <f t="shared" si="105"/>
        <v>60</v>
      </c>
      <c r="J1405" s="31">
        <f t="shared" si="106"/>
        <v>0</v>
      </c>
      <c r="K1405" s="29">
        <f t="shared" si="107"/>
        <v>13680</v>
      </c>
      <c r="L1405" s="31" t="str">
        <f t="shared" si="108"/>
        <v/>
      </c>
      <c r="M1405" s="31" t="str">
        <f t="shared" si="109"/>
        <v/>
      </c>
    </row>
    <row r="1406" spans="1:13" x14ac:dyDescent="0.15">
      <c r="A1406" s="163" t="s">
        <v>210</v>
      </c>
      <c r="B1406" s="163">
        <v>42314.373033819444</v>
      </c>
      <c r="C1406" s="164" t="s">
        <v>407</v>
      </c>
      <c r="D1406" s="164" t="s">
        <v>13</v>
      </c>
      <c r="E1406" s="165">
        <v>100</v>
      </c>
      <c r="F1406" s="166">
        <v>0</v>
      </c>
      <c r="G1406" s="227">
        <f>IF($B$2,IF(ROWS(B$6:$B1406) = 1,$B1406-Start_Date,$B1406-$B1405),"")</f>
        <v>5.06104166561272E-3</v>
      </c>
      <c r="H1406" s="29">
        <f>IF($B$2,IF(ROWS(B$6:$B1406) = 1,IF(COUNTIFS(R_Schedule_Times,"&lt;"&amp;B1406),INDEX(R_Schedule_Amounts,MATCH(B1406,R_Schedule_Times,1)),Starting_Cash),IF(COUNTIFS(R_Schedule_Times,"&gt;"&amp;B1405,R_Schedule_Times,"&lt;"&amp;B1406),INDEX(R_Schedule_Amounts,MATCH(B1406,R_Schedule_Times,1)),K1405)),"")</f>
        <v>13680</v>
      </c>
      <c r="I1406" s="30">
        <f t="shared" si="105"/>
        <v>100</v>
      </c>
      <c r="J1406" s="31">
        <f t="shared" si="106"/>
        <v>0</v>
      </c>
      <c r="K1406" s="29">
        <f t="shared" si="107"/>
        <v>13580</v>
      </c>
      <c r="L1406" s="31" t="str">
        <f t="shared" si="108"/>
        <v/>
      </c>
      <c r="M1406" s="31" t="str">
        <f t="shared" si="109"/>
        <v/>
      </c>
    </row>
    <row r="1407" spans="1:13" x14ac:dyDescent="0.15">
      <c r="A1407" s="163" t="s">
        <v>210</v>
      </c>
      <c r="B1407" s="163">
        <v>42314.391704479167</v>
      </c>
      <c r="C1407" s="164" t="s">
        <v>408</v>
      </c>
      <c r="D1407" s="164" t="s">
        <v>13</v>
      </c>
      <c r="E1407" s="165">
        <v>20</v>
      </c>
      <c r="F1407" s="166">
        <v>0</v>
      </c>
      <c r="G1407" s="227">
        <f>IF($B$2,IF(ROWS(B$6:$B1407) = 1,$B1407-Start_Date,$B1407-$B1406),"")</f>
        <v>1.8670659723284189E-2</v>
      </c>
      <c r="H1407" s="29">
        <f>IF($B$2,IF(ROWS(B$6:$B1407) = 1,IF(COUNTIFS(R_Schedule_Times,"&lt;"&amp;B1407),INDEX(R_Schedule_Amounts,MATCH(B1407,R_Schedule_Times,1)),Starting_Cash),IF(COUNTIFS(R_Schedule_Times,"&gt;"&amp;B1406,R_Schedule_Times,"&lt;"&amp;B1407),INDEX(R_Schedule_Amounts,MATCH(B1407,R_Schedule_Times,1)),K1406)),"")</f>
        <v>13580</v>
      </c>
      <c r="I1407" s="30">
        <f t="shared" si="105"/>
        <v>20</v>
      </c>
      <c r="J1407" s="31">
        <f t="shared" si="106"/>
        <v>0</v>
      </c>
      <c r="K1407" s="29">
        <f t="shared" si="107"/>
        <v>13560</v>
      </c>
      <c r="L1407" s="31" t="str">
        <f t="shared" si="108"/>
        <v/>
      </c>
      <c r="M1407" s="31" t="str">
        <f t="shared" si="109"/>
        <v/>
      </c>
    </row>
    <row r="1408" spans="1:13" x14ac:dyDescent="0.15">
      <c r="A1408" s="163" t="s">
        <v>210</v>
      </c>
      <c r="B1408" s="163">
        <v>42314.446665393516</v>
      </c>
      <c r="C1408" s="164" t="s">
        <v>1559</v>
      </c>
      <c r="D1408" s="164" t="s">
        <v>13</v>
      </c>
      <c r="E1408" s="165">
        <v>60</v>
      </c>
      <c r="F1408" s="166">
        <v>0</v>
      </c>
      <c r="G1408" s="227">
        <f>IF($B$2,IF(ROWS(B$6:$B1408) = 1,$B1408-Start_Date,$B1408-$B1407),"")</f>
        <v>5.4960914349067025E-2</v>
      </c>
      <c r="H1408" s="29">
        <f>IF($B$2,IF(ROWS(B$6:$B1408) = 1,IF(COUNTIFS(R_Schedule_Times,"&lt;"&amp;B1408),INDEX(R_Schedule_Amounts,MATCH(B1408,R_Schedule_Times,1)),Starting_Cash),IF(COUNTIFS(R_Schedule_Times,"&gt;"&amp;B1407,R_Schedule_Times,"&lt;"&amp;B1408),INDEX(R_Schedule_Amounts,MATCH(B1408,R_Schedule_Times,1)),K1407)),"")</f>
        <v>13560</v>
      </c>
      <c r="I1408" s="30">
        <f t="shared" si="105"/>
        <v>60</v>
      </c>
      <c r="J1408" s="31">
        <f t="shared" si="106"/>
        <v>0</v>
      </c>
      <c r="K1408" s="29">
        <f t="shared" si="107"/>
        <v>13500</v>
      </c>
      <c r="L1408" s="31" t="str">
        <f t="shared" si="108"/>
        <v/>
      </c>
      <c r="M1408" s="31" t="str">
        <f t="shared" si="109"/>
        <v/>
      </c>
    </row>
    <row r="1409" spans="1:13" x14ac:dyDescent="0.15">
      <c r="A1409" s="163" t="s">
        <v>210</v>
      </c>
      <c r="B1409" s="163">
        <v>42314.451333206016</v>
      </c>
      <c r="C1409" s="164" t="s">
        <v>1560</v>
      </c>
      <c r="D1409" s="164" t="s">
        <v>13</v>
      </c>
      <c r="E1409" s="165">
        <v>40</v>
      </c>
      <c r="F1409" s="166">
        <v>0</v>
      </c>
      <c r="G1409" s="227">
        <f>IF($B$2,IF(ROWS(B$6:$B1409) = 1,$B1409-Start_Date,$B1409-$B1408),"")</f>
        <v>4.6678124999743886E-3</v>
      </c>
      <c r="H1409" s="29">
        <f>IF($B$2,IF(ROWS(B$6:$B1409) = 1,IF(COUNTIFS(R_Schedule_Times,"&lt;"&amp;B1409),INDEX(R_Schedule_Amounts,MATCH(B1409,R_Schedule_Times,1)),Starting_Cash),IF(COUNTIFS(R_Schedule_Times,"&gt;"&amp;B1408,R_Schedule_Times,"&lt;"&amp;B1409),INDEX(R_Schedule_Amounts,MATCH(B1409,R_Schedule_Times,1)),K1408)),"")</f>
        <v>13500</v>
      </c>
      <c r="I1409" s="30">
        <f t="shared" si="105"/>
        <v>40</v>
      </c>
      <c r="J1409" s="31">
        <f t="shared" si="106"/>
        <v>0</v>
      </c>
      <c r="K1409" s="29">
        <f t="shared" si="107"/>
        <v>13460</v>
      </c>
      <c r="L1409" s="31" t="str">
        <f t="shared" si="108"/>
        <v/>
      </c>
      <c r="M1409" s="31" t="str">
        <f t="shared" si="109"/>
        <v/>
      </c>
    </row>
    <row r="1410" spans="1:13" x14ac:dyDescent="0.15">
      <c r="A1410" s="163" t="s">
        <v>210</v>
      </c>
      <c r="B1410" s="163">
        <v>42314.460345752312</v>
      </c>
      <c r="C1410" s="164" t="s">
        <v>1074</v>
      </c>
      <c r="D1410" s="164" t="s">
        <v>13</v>
      </c>
      <c r="E1410" s="165">
        <v>100</v>
      </c>
      <c r="F1410" s="166">
        <v>0</v>
      </c>
      <c r="G1410" s="227">
        <f>IF($B$2,IF(ROWS(B$6:$B1410) = 1,$B1410-Start_Date,$B1410-$B1409),"")</f>
        <v>9.0125462957075797E-3</v>
      </c>
      <c r="H1410" s="29">
        <f>IF($B$2,IF(ROWS(B$6:$B1410) = 1,IF(COUNTIFS(R_Schedule_Times,"&lt;"&amp;B1410),INDEX(R_Schedule_Amounts,MATCH(B1410,R_Schedule_Times,1)),Starting_Cash),IF(COUNTIFS(R_Schedule_Times,"&gt;"&amp;B1409,R_Schedule_Times,"&lt;"&amp;B1410),INDEX(R_Schedule_Amounts,MATCH(B1410,R_Schedule_Times,1)),K1409)),"")</f>
        <v>13460</v>
      </c>
      <c r="I1410" s="30">
        <f t="shared" si="105"/>
        <v>100</v>
      </c>
      <c r="J1410" s="31">
        <f t="shared" si="106"/>
        <v>0</v>
      </c>
      <c r="K1410" s="29">
        <f t="shared" si="107"/>
        <v>13360</v>
      </c>
      <c r="L1410" s="31" t="str">
        <f t="shared" si="108"/>
        <v/>
      </c>
      <c r="M1410" s="31" t="str">
        <f t="shared" si="109"/>
        <v/>
      </c>
    </row>
    <row r="1411" spans="1:13" x14ac:dyDescent="0.15">
      <c r="A1411" s="163" t="s">
        <v>210</v>
      </c>
      <c r="B1411" s="163">
        <v>42314.463410578704</v>
      </c>
      <c r="C1411" s="164" t="s">
        <v>14</v>
      </c>
      <c r="D1411" s="164" t="s">
        <v>13</v>
      </c>
      <c r="E1411" s="165">
        <v>60</v>
      </c>
      <c r="F1411" s="166">
        <v>3.5</v>
      </c>
      <c r="G1411" s="227">
        <f>IF($B$2,IF(ROWS(B$6:$B1411) = 1,$B1411-Start_Date,$B1411-$B1410),"")</f>
        <v>3.0648263928014785E-3</v>
      </c>
      <c r="H1411" s="29">
        <f>IF($B$2,IF(ROWS(B$6:$B1411) = 1,IF(COUNTIFS(R_Schedule_Times,"&lt;"&amp;B1411),INDEX(R_Schedule_Amounts,MATCH(B1411,R_Schedule_Times,1)),Starting_Cash),IF(COUNTIFS(R_Schedule_Times,"&gt;"&amp;B1410,R_Schedule_Times,"&lt;"&amp;B1411),INDEX(R_Schedule_Amounts,MATCH(B1411,R_Schedule_Times,1)),K1410)),"")</f>
        <v>13360</v>
      </c>
      <c r="I1411" s="30">
        <f t="shared" si="105"/>
        <v>60</v>
      </c>
      <c r="J1411" s="31">
        <f t="shared" si="106"/>
        <v>3.5</v>
      </c>
      <c r="K1411" s="29">
        <f t="shared" si="107"/>
        <v>13300</v>
      </c>
      <c r="L1411" s="31" t="str">
        <f t="shared" si="108"/>
        <v/>
      </c>
      <c r="M1411" s="31" t="str">
        <f t="shared" si="109"/>
        <v/>
      </c>
    </row>
    <row r="1412" spans="1:13" x14ac:dyDescent="0.15">
      <c r="A1412" s="163" t="s">
        <v>210</v>
      </c>
      <c r="B1412" s="163">
        <v>42314.465136365739</v>
      </c>
      <c r="C1412" s="164" t="s">
        <v>1561</v>
      </c>
      <c r="D1412" s="164" t="s">
        <v>13</v>
      </c>
      <c r="E1412" s="165">
        <v>200</v>
      </c>
      <c r="F1412" s="166">
        <v>0</v>
      </c>
      <c r="G1412" s="227">
        <f>IF($B$2,IF(ROWS(B$6:$B1412) = 1,$B1412-Start_Date,$B1412-$B1411),"")</f>
        <v>1.7257870349567384E-3</v>
      </c>
      <c r="H1412" s="29">
        <f>IF($B$2,IF(ROWS(B$6:$B1412) = 1,IF(COUNTIFS(R_Schedule_Times,"&lt;"&amp;B1412),INDEX(R_Schedule_Amounts,MATCH(B1412,R_Schedule_Times,1)),Starting_Cash),IF(COUNTIFS(R_Schedule_Times,"&gt;"&amp;B1411,R_Schedule_Times,"&lt;"&amp;B1412),INDEX(R_Schedule_Amounts,MATCH(B1412,R_Schedule_Times,1)),K1411)),"")</f>
        <v>13300</v>
      </c>
      <c r="I1412" s="30">
        <f t="shared" si="105"/>
        <v>200</v>
      </c>
      <c r="J1412" s="31">
        <f t="shared" si="106"/>
        <v>0</v>
      </c>
      <c r="K1412" s="29">
        <f t="shared" si="107"/>
        <v>13100</v>
      </c>
      <c r="L1412" s="31" t="str">
        <f t="shared" si="108"/>
        <v/>
      </c>
      <c r="M1412" s="31" t="str">
        <f t="shared" si="109"/>
        <v/>
      </c>
    </row>
    <row r="1413" spans="1:13" x14ac:dyDescent="0.15">
      <c r="A1413" s="163" t="s">
        <v>210</v>
      </c>
      <c r="B1413" s="163">
        <v>42314.467428703705</v>
      </c>
      <c r="C1413" s="164" t="s">
        <v>1309</v>
      </c>
      <c r="D1413" s="164" t="s">
        <v>13</v>
      </c>
      <c r="E1413" s="165">
        <v>60</v>
      </c>
      <c r="F1413" s="166">
        <v>0</v>
      </c>
      <c r="G1413" s="227">
        <f>IF($B$2,IF(ROWS(B$6:$B1413) = 1,$B1413-Start_Date,$B1413-$B1412),"")</f>
        <v>2.2923379656276666E-3</v>
      </c>
      <c r="H1413" s="29">
        <f>IF($B$2,IF(ROWS(B$6:$B1413) = 1,IF(COUNTIFS(R_Schedule_Times,"&lt;"&amp;B1413),INDEX(R_Schedule_Amounts,MATCH(B1413,R_Schedule_Times,1)),Starting_Cash),IF(COUNTIFS(R_Schedule_Times,"&gt;"&amp;B1412,R_Schedule_Times,"&lt;"&amp;B1413),INDEX(R_Schedule_Amounts,MATCH(B1413,R_Schedule_Times,1)),K1412)),"")</f>
        <v>13100</v>
      </c>
      <c r="I1413" s="30">
        <f t="shared" si="105"/>
        <v>60</v>
      </c>
      <c r="J1413" s="31">
        <f t="shared" si="106"/>
        <v>0</v>
      </c>
      <c r="K1413" s="29">
        <f t="shared" si="107"/>
        <v>13040</v>
      </c>
      <c r="L1413" s="31" t="str">
        <f t="shared" si="108"/>
        <v/>
      </c>
      <c r="M1413" s="31" t="str">
        <f t="shared" si="109"/>
        <v/>
      </c>
    </row>
    <row r="1414" spans="1:13" x14ac:dyDescent="0.15">
      <c r="A1414" s="163" t="s">
        <v>210</v>
      </c>
      <c r="B1414" s="163">
        <v>42314.473341446763</v>
      </c>
      <c r="C1414" s="164" t="s">
        <v>1435</v>
      </c>
      <c r="D1414" s="164" t="s">
        <v>13</v>
      </c>
      <c r="E1414" s="165">
        <v>100</v>
      </c>
      <c r="F1414" s="166">
        <v>0</v>
      </c>
      <c r="G1414" s="227">
        <f>IF($B$2,IF(ROWS(B$6:$B1414) = 1,$B1414-Start_Date,$B1414-$B1413),"")</f>
        <v>5.9127430577063933E-3</v>
      </c>
      <c r="H1414" s="29">
        <f>IF($B$2,IF(ROWS(B$6:$B1414) = 1,IF(COUNTIFS(R_Schedule_Times,"&lt;"&amp;B1414),INDEX(R_Schedule_Amounts,MATCH(B1414,R_Schedule_Times,1)),Starting_Cash),IF(COUNTIFS(R_Schedule_Times,"&gt;"&amp;B1413,R_Schedule_Times,"&lt;"&amp;B1414),INDEX(R_Schedule_Amounts,MATCH(B1414,R_Schedule_Times,1)),K1413)),"")</f>
        <v>13040</v>
      </c>
      <c r="I1414" s="30">
        <f t="shared" si="105"/>
        <v>100</v>
      </c>
      <c r="J1414" s="31">
        <f t="shared" si="106"/>
        <v>0</v>
      </c>
      <c r="K1414" s="29">
        <f t="shared" si="107"/>
        <v>12940</v>
      </c>
      <c r="L1414" s="31" t="str">
        <f t="shared" si="108"/>
        <v/>
      </c>
      <c r="M1414" s="31" t="str">
        <f t="shared" si="109"/>
        <v/>
      </c>
    </row>
    <row r="1415" spans="1:13" x14ac:dyDescent="0.15">
      <c r="A1415" s="163" t="s">
        <v>210</v>
      </c>
      <c r="B1415" s="163">
        <v>42314.475451099534</v>
      </c>
      <c r="C1415" s="164" t="s">
        <v>14</v>
      </c>
      <c r="D1415" s="164" t="s">
        <v>13</v>
      </c>
      <c r="E1415" s="165">
        <v>80</v>
      </c>
      <c r="F1415" s="166">
        <v>3.5</v>
      </c>
      <c r="G1415" s="227">
        <f>IF($B$2,IF(ROWS(B$6:$B1415) = 1,$B1415-Start_Date,$B1415-$B1414),"")</f>
        <v>2.109652770741377E-3</v>
      </c>
      <c r="H1415" s="29">
        <f>IF($B$2,IF(ROWS(B$6:$B1415) = 1,IF(COUNTIFS(R_Schedule_Times,"&lt;"&amp;B1415),INDEX(R_Schedule_Amounts,MATCH(B1415,R_Schedule_Times,1)),Starting_Cash),IF(COUNTIFS(R_Schedule_Times,"&gt;"&amp;B1414,R_Schedule_Times,"&lt;"&amp;B1415),INDEX(R_Schedule_Amounts,MATCH(B1415,R_Schedule_Times,1)),K1414)),"")</f>
        <v>12940</v>
      </c>
      <c r="I1415" s="30">
        <f t="shared" ref="I1415:I1478" si="110">IF($B$2,IF(H1415&gt;=E1415,E1415,0),"")</f>
        <v>80</v>
      </c>
      <c r="J1415" s="31">
        <f t="shared" ref="J1415:J1478" si="111">IF($B$2,IF(H1415&gt;=E1415,F1415,0),"")</f>
        <v>3.5</v>
      </c>
      <c r="K1415" s="29">
        <f t="shared" ref="K1415:K1478" si="112">IF($B$2,ABS(I1415-H1415),"")</f>
        <v>12860</v>
      </c>
      <c r="L1415" s="31" t="str">
        <f t="shared" ref="L1415:L1478" si="113">IF($B$2,IF(H1415&lt;E1415,"YES",""),"")</f>
        <v/>
      </c>
      <c r="M1415" s="31" t="str">
        <f t="shared" ref="M1415:M1478" si="114">IF($B$2,IF(L1415="YES",F1415,""),"")</f>
        <v/>
      </c>
    </row>
    <row r="1416" spans="1:13" x14ac:dyDescent="0.15">
      <c r="A1416" s="163" t="s">
        <v>210</v>
      </c>
      <c r="B1416" s="163">
        <v>42314.477763738425</v>
      </c>
      <c r="C1416" s="164" t="s">
        <v>1562</v>
      </c>
      <c r="D1416" s="164" t="s">
        <v>13</v>
      </c>
      <c r="E1416" s="165">
        <v>60</v>
      </c>
      <c r="F1416" s="166">
        <v>0</v>
      </c>
      <c r="G1416" s="227">
        <f>IF($B$2,IF(ROWS(B$6:$B1416) = 1,$B1416-Start_Date,$B1416-$B1415),"")</f>
        <v>2.3126388914533891E-3</v>
      </c>
      <c r="H1416" s="29">
        <f>IF($B$2,IF(ROWS(B$6:$B1416) = 1,IF(COUNTIFS(R_Schedule_Times,"&lt;"&amp;B1416),INDEX(R_Schedule_Amounts,MATCH(B1416,R_Schedule_Times,1)),Starting_Cash),IF(COUNTIFS(R_Schedule_Times,"&gt;"&amp;B1415,R_Schedule_Times,"&lt;"&amp;B1416),INDEX(R_Schedule_Amounts,MATCH(B1416,R_Schedule_Times,1)),K1415)),"")</f>
        <v>12860</v>
      </c>
      <c r="I1416" s="30">
        <f t="shared" si="110"/>
        <v>60</v>
      </c>
      <c r="J1416" s="31">
        <f t="shared" si="111"/>
        <v>0</v>
      </c>
      <c r="K1416" s="29">
        <f t="shared" si="112"/>
        <v>12800</v>
      </c>
      <c r="L1416" s="31" t="str">
        <f t="shared" si="113"/>
        <v/>
      </c>
      <c r="M1416" s="31" t="str">
        <f t="shared" si="114"/>
        <v/>
      </c>
    </row>
    <row r="1417" spans="1:13" x14ac:dyDescent="0.15">
      <c r="A1417" s="163" t="s">
        <v>210</v>
      </c>
      <c r="B1417" s="163">
        <v>42314.480932094906</v>
      </c>
      <c r="C1417" s="164" t="s">
        <v>1563</v>
      </c>
      <c r="D1417" s="164" t="s">
        <v>13</v>
      </c>
      <c r="E1417" s="165">
        <v>100</v>
      </c>
      <c r="F1417" s="166">
        <v>0</v>
      </c>
      <c r="G1417" s="227">
        <f>IF($B$2,IF(ROWS(B$6:$B1417) = 1,$B1417-Start_Date,$B1417-$B1416),"")</f>
        <v>3.1683564811828546E-3</v>
      </c>
      <c r="H1417" s="29">
        <f>IF($B$2,IF(ROWS(B$6:$B1417) = 1,IF(COUNTIFS(R_Schedule_Times,"&lt;"&amp;B1417),INDEX(R_Schedule_Amounts,MATCH(B1417,R_Schedule_Times,1)),Starting_Cash),IF(COUNTIFS(R_Schedule_Times,"&gt;"&amp;B1416,R_Schedule_Times,"&lt;"&amp;B1417),INDEX(R_Schedule_Amounts,MATCH(B1417,R_Schedule_Times,1)),K1416)),"")</f>
        <v>12800</v>
      </c>
      <c r="I1417" s="30">
        <f t="shared" si="110"/>
        <v>100</v>
      </c>
      <c r="J1417" s="31">
        <f t="shared" si="111"/>
        <v>0</v>
      </c>
      <c r="K1417" s="29">
        <f t="shared" si="112"/>
        <v>12700</v>
      </c>
      <c r="L1417" s="31" t="str">
        <f t="shared" si="113"/>
        <v/>
      </c>
      <c r="M1417" s="31" t="str">
        <f t="shared" si="114"/>
        <v/>
      </c>
    </row>
    <row r="1418" spans="1:13" x14ac:dyDescent="0.15">
      <c r="A1418" s="163" t="s">
        <v>210</v>
      </c>
      <c r="B1418" s="163">
        <v>42314.492232372686</v>
      </c>
      <c r="C1418" s="164" t="s">
        <v>14</v>
      </c>
      <c r="D1418" s="164" t="s">
        <v>13</v>
      </c>
      <c r="E1418" s="165">
        <v>80</v>
      </c>
      <c r="F1418" s="166">
        <v>3.5</v>
      </c>
      <c r="G1418" s="227">
        <f>IF($B$2,IF(ROWS(B$6:$B1418) = 1,$B1418-Start_Date,$B1418-$B1417),"")</f>
        <v>1.1300277779810131E-2</v>
      </c>
      <c r="H1418" s="29">
        <f>IF($B$2,IF(ROWS(B$6:$B1418) = 1,IF(COUNTIFS(R_Schedule_Times,"&lt;"&amp;B1418),INDEX(R_Schedule_Amounts,MATCH(B1418,R_Schedule_Times,1)),Starting_Cash),IF(COUNTIFS(R_Schedule_Times,"&gt;"&amp;B1417,R_Schedule_Times,"&lt;"&amp;B1418),INDEX(R_Schedule_Amounts,MATCH(B1418,R_Schedule_Times,1)),K1417)),"")</f>
        <v>12700</v>
      </c>
      <c r="I1418" s="30">
        <f t="shared" si="110"/>
        <v>80</v>
      </c>
      <c r="J1418" s="31">
        <f t="shared" si="111"/>
        <v>3.5</v>
      </c>
      <c r="K1418" s="29">
        <f t="shared" si="112"/>
        <v>12620</v>
      </c>
      <c r="L1418" s="31" t="str">
        <f t="shared" si="113"/>
        <v/>
      </c>
      <c r="M1418" s="31" t="str">
        <f t="shared" si="114"/>
        <v/>
      </c>
    </row>
    <row r="1419" spans="1:13" x14ac:dyDescent="0.15">
      <c r="A1419" s="163" t="s">
        <v>210</v>
      </c>
      <c r="B1419" s="163">
        <v>42314.498194432868</v>
      </c>
      <c r="C1419" s="164" t="s">
        <v>1564</v>
      </c>
      <c r="D1419" s="164" t="s">
        <v>13</v>
      </c>
      <c r="E1419" s="165">
        <v>100</v>
      </c>
      <c r="F1419" s="166">
        <v>0</v>
      </c>
      <c r="G1419" s="227">
        <f>IF($B$2,IF(ROWS(B$6:$B1419) = 1,$B1419-Start_Date,$B1419-$B1418),"")</f>
        <v>5.9620601823553443E-3</v>
      </c>
      <c r="H1419" s="29">
        <f>IF($B$2,IF(ROWS(B$6:$B1419) = 1,IF(COUNTIFS(R_Schedule_Times,"&lt;"&amp;B1419),INDEX(R_Schedule_Amounts,MATCH(B1419,R_Schedule_Times,1)),Starting_Cash),IF(COUNTIFS(R_Schedule_Times,"&gt;"&amp;B1418,R_Schedule_Times,"&lt;"&amp;B1419),INDEX(R_Schedule_Amounts,MATCH(B1419,R_Schedule_Times,1)),K1418)),"")</f>
        <v>12620</v>
      </c>
      <c r="I1419" s="30">
        <f t="shared" si="110"/>
        <v>100</v>
      </c>
      <c r="J1419" s="31">
        <f t="shared" si="111"/>
        <v>0</v>
      </c>
      <c r="K1419" s="29">
        <f t="shared" si="112"/>
        <v>12520</v>
      </c>
      <c r="L1419" s="31" t="str">
        <f t="shared" si="113"/>
        <v/>
      </c>
      <c r="M1419" s="31" t="str">
        <f t="shared" si="114"/>
        <v/>
      </c>
    </row>
    <row r="1420" spans="1:13" x14ac:dyDescent="0.15">
      <c r="A1420" s="163" t="s">
        <v>210</v>
      </c>
      <c r="B1420" s="163">
        <v>42314.501393946761</v>
      </c>
      <c r="C1420" s="164" t="s">
        <v>1565</v>
      </c>
      <c r="D1420" s="164" t="s">
        <v>13</v>
      </c>
      <c r="E1420" s="165">
        <v>40</v>
      </c>
      <c r="F1420" s="166">
        <v>0</v>
      </c>
      <c r="G1420" s="227">
        <f>IF($B$2,IF(ROWS(B$6:$B1420) = 1,$B1420-Start_Date,$B1420-$B1419),"")</f>
        <v>3.1995138924685307E-3</v>
      </c>
      <c r="H1420" s="29">
        <f>IF($B$2,IF(ROWS(B$6:$B1420) = 1,IF(COUNTIFS(R_Schedule_Times,"&lt;"&amp;B1420),INDEX(R_Schedule_Amounts,MATCH(B1420,R_Schedule_Times,1)),Starting_Cash),IF(COUNTIFS(R_Schedule_Times,"&gt;"&amp;B1419,R_Schedule_Times,"&lt;"&amp;B1420),INDEX(R_Schedule_Amounts,MATCH(B1420,R_Schedule_Times,1)),K1419)),"")</f>
        <v>12520</v>
      </c>
      <c r="I1420" s="30">
        <f t="shared" si="110"/>
        <v>40</v>
      </c>
      <c r="J1420" s="31">
        <f t="shared" si="111"/>
        <v>0</v>
      </c>
      <c r="K1420" s="29">
        <f t="shared" si="112"/>
        <v>12480</v>
      </c>
      <c r="L1420" s="31" t="str">
        <f t="shared" si="113"/>
        <v/>
      </c>
      <c r="M1420" s="31" t="str">
        <f t="shared" si="114"/>
        <v/>
      </c>
    </row>
    <row r="1421" spans="1:13" x14ac:dyDescent="0.15">
      <c r="A1421" s="163" t="s">
        <v>210</v>
      </c>
      <c r="B1421" s="163">
        <v>42314.50672099537</v>
      </c>
      <c r="C1421" s="164" t="s">
        <v>248</v>
      </c>
      <c r="D1421" s="164" t="s">
        <v>13</v>
      </c>
      <c r="E1421" s="165">
        <v>80</v>
      </c>
      <c r="F1421" s="166">
        <v>0</v>
      </c>
      <c r="G1421" s="227">
        <f>IF($B$2,IF(ROWS(B$6:$B1421) = 1,$B1421-Start_Date,$B1421-$B1420),"")</f>
        <v>5.3270486096153036E-3</v>
      </c>
      <c r="H1421" s="29">
        <f>IF($B$2,IF(ROWS(B$6:$B1421) = 1,IF(COUNTIFS(R_Schedule_Times,"&lt;"&amp;B1421),INDEX(R_Schedule_Amounts,MATCH(B1421,R_Schedule_Times,1)),Starting_Cash),IF(COUNTIFS(R_Schedule_Times,"&gt;"&amp;B1420,R_Schedule_Times,"&lt;"&amp;B1421),INDEX(R_Schedule_Amounts,MATCH(B1421,R_Schedule_Times,1)),K1420)),"")</f>
        <v>12480</v>
      </c>
      <c r="I1421" s="30">
        <f t="shared" si="110"/>
        <v>80</v>
      </c>
      <c r="J1421" s="31">
        <f t="shared" si="111"/>
        <v>0</v>
      </c>
      <c r="K1421" s="29">
        <f t="shared" si="112"/>
        <v>12400</v>
      </c>
      <c r="L1421" s="31" t="str">
        <f t="shared" si="113"/>
        <v/>
      </c>
      <c r="M1421" s="31" t="str">
        <f t="shared" si="114"/>
        <v/>
      </c>
    </row>
    <row r="1422" spans="1:13" x14ac:dyDescent="0.15">
      <c r="A1422" s="163" t="s">
        <v>210</v>
      </c>
      <c r="B1422" s="163">
        <v>42314.513837210645</v>
      </c>
      <c r="C1422" s="164" t="s">
        <v>239</v>
      </c>
      <c r="D1422" s="164" t="s">
        <v>13</v>
      </c>
      <c r="E1422" s="165">
        <v>40</v>
      </c>
      <c r="F1422" s="166">
        <v>0</v>
      </c>
      <c r="G1422" s="227">
        <f>IF($B$2,IF(ROWS(B$6:$B1422) = 1,$B1422-Start_Date,$B1422-$B1421),"")</f>
        <v>7.1162152744363993E-3</v>
      </c>
      <c r="H1422" s="29">
        <f>IF($B$2,IF(ROWS(B$6:$B1422) = 1,IF(COUNTIFS(R_Schedule_Times,"&lt;"&amp;B1422),INDEX(R_Schedule_Amounts,MATCH(B1422,R_Schedule_Times,1)),Starting_Cash),IF(COUNTIFS(R_Schedule_Times,"&gt;"&amp;B1421,R_Schedule_Times,"&lt;"&amp;B1422),INDEX(R_Schedule_Amounts,MATCH(B1422,R_Schedule_Times,1)),K1421)),"")</f>
        <v>12400</v>
      </c>
      <c r="I1422" s="30">
        <f t="shared" si="110"/>
        <v>40</v>
      </c>
      <c r="J1422" s="31">
        <f t="shared" si="111"/>
        <v>0</v>
      </c>
      <c r="K1422" s="29">
        <f t="shared" si="112"/>
        <v>12360</v>
      </c>
      <c r="L1422" s="31" t="str">
        <f t="shared" si="113"/>
        <v/>
      </c>
      <c r="M1422" s="31" t="str">
        <f t="shared" si="114"/>
        <v/>
      </c>
    </row>
    <row r="1423" spans="1:13" x14ac:dyDescent="0.15">
      <c r="A1423" s="163" t="s">
        <v>210</v>
      </c>
      <c r="B1423" s="163">
        <v>42314.516813263886</v>
      </c>
      <c r="C1423" s="164" t="s">
        <v>1566</v>
      </c>
      <c r="D1423" s="164" t="s">
        <v>13</v>
      </c>
      <c r="E1423" s="165">
        <v>160</v>
      </c>
      <c r="F1423" s="166">
        <v>0</v>
      </c>
      <c r="G1423" s="227">
        <f>IF($B$2,IF(ROWS(B$6:$B1423) = 1,$B1423-Start_Date,$B1423-$B1422),"")</f>
        <v>2.9760532415821217E-3</v>
      </c>
      <c r="H1423" s="29">
        <f>IF($B$2,IF(ROWS(B$6:$B1423) = 1,IF(COUNTIFS(R_Schedule_Times,"&lt;"&amp;B1423),INDEX(R_Schedule_Amounts,MATCH(B1423,R_Schedule_Times,1)),Starting_Cash),IF(COUNTIFS(R_Schedule_Times,"&gt;"&amp;B1422,R_Schedule_Times,"&lt;"&amp;B1423),INDEX(R_Schedule_Amounts,MATCH(B1423,R_Schedule_Times,1)),K1422)),"")</f>
        <v>12360</v>
      </c>
      <c r="I1423" s="30">
        <f t="shared" si="110"/>
        <v>160</v>
      </c>
      <c r="J1423" s="31">
        <f t="shared" si="111"/>
        <v>0</v>
      </c>
      <c r="K1423" s="29">
        <f t="shared" si="112"/>
        <v>12200</v>
      </c>
      <c r="L1423" s="31" t="str">
        <f t="shared" si="113"/>
        <v/>
      </c>
      <c r="M1423" s="31" t="str">
        <f t="shared" si="114"/>
        <v/>
      </c>
    </row>
    <row r="1424" spans="1:13" x14ac:dyDescent="0.15">
      <c r="A1424" s="163" t="s">
        <v>210</v>
      </c>
      <c r="B1424" s="163">
        <v>42314.520950428239</v>
      </c>
      <c r="C1424" s="164" t="s">
        <v>1567</v>
      </c>
      <c r="D1424" s="164" t="s">
        <v>13</v>
      </c>
      <c r="E1424" s="165">
        <v>100</v>
      </c>
      <c r="F1424" s="166">
        <v>0</v>
      </c>
      <c r="G1424" s="227">
        <f>IF($B$2,IF(ROWS(B$6:$B1424) = 1,$B1424-Start_Date,$B1424-$B1423),"")</f>
        <v>4.1371643528691493E-3</v>
      </c>
      <c r="H1424" s="29">
        <f>IF($B$2,IF(ROWS(B$6:$B1424) = 1,IF(COUNTIFS(R_Schedule_Times,"&lt;"&amp;B1424),INDEX(R_Schedule_Amounts,MATCH(B1424,R_Schedule_Times,1)),Starting_Cash),IF(COUNTIFS(R_Schedule_Times,"&gt;"&amp;B1423,R_Schedule_Times,"&lt;"&amp;B1424),INDEX(R_Schedule_Amounts,MATCH(B1424,R_Schedule_Times,1)),K1423)),"")</f>
        <v>12200</v>
      </c>
      <c r="I1424" s="30">
        <f t="shared" si="110"/>
        <v>100</v>
      </c>
      <c r="J1424" s="31">
        <f t="shared" si="111"/>
        <v>0</v>
      </c>
      <c r="K1424" s="29">
        <f t="shared" si="112"/>
        <v>12100</v>
      </c>
      <c r="L1424" s="31" t="str">
        <f t="shared" si="113"/>
        <v/>
      </c>
      <c r="M1424" s="31" t="str">
        <f t="shared" si="114"/>
        <v/>
      </c>
    </row>
    <row r="1425" spans="1:13" x14ac:dyDescent="0.15">
      <c r="A1425" s="163" t="s">
        <v>210</v>
      </c>
      <c r="B1425" s="163">
        <v>42314.522463703703</v>
      </c>
      <c r="C1425" s="164" t="s">
        <v>1568</v>
      </c>
      <c r="D1425" s="164" t="s">
        <v>13</v>
      </c>
      <c r="E1425" s="165">
        <v>200</v>
      </c>
      <c r="F1425" s="166">
        <v>0</v>
      </c>
      <c r="G1425" s="227">
        <f>IF($B$2,IF(ROWS(B$6:$B1425) = 1,$B1425-Start_Date,$B1425-$B1424),"")</f>
        <v>1.513275463366881E-3</v>
      </c>
      <c r="H1425" s="29">
        <f>IF($B$2,IF(ROWS(B$6:$B1425) = 1,IF(COUNTIFS(R_Schedule_Times,"&lt;"&amp;B1425),INDEX(R_Schedule_Amounts,MATCH(B1425,R_Schedule_Times,1)),Starting_Cash),IF(COUNTIFS(R_Schedule_Times,"&gt;"&amp;B1424,R_Schedule_Times,"&lt;"&amp;B1425),INDEX(R_Schedule_Amounts,MATCH(B1425,R_Schedule_Times,1)),K1424)),"")</f>
        <v>12100</v>
      </c>
      <c r="I1425" s="30">
        <f t="shared" si="110"/>
        <v>200</v>
      </c>
      <c r="J1425" s="31">
        <f t="shared" si="111"/>
        <v>0</v>
      </c>
      <c r="K1425" s="29">
        <f t="shared" si="112"/>
        <v>11900</v>
      </c>
      <c r="L1425" s="31" t="str">
        <f t="shared" si="113"/>
        <v/>
      </c>
      <c r="M1425" s="31" t="str">
        <f t="shared" si="114"/>
        <v/>
      </c>
    </row>
    <row r="1426" spans="1:13" x14ac:dyDescent="0.15">
      <c r="A1426" s="163" t="s">
        <v>210</v>
      </c>
      <c r="B1426" s="163">
        <v>42314.542927233793</v>
      </c>
      <c r="C1426" s="164" t="s">
        <v>14</v>
      </c>
      <c r="D1426" s="164" t="s">
        <v>13</v>
      </c>
      <c r="E1426" s="165">
        <v>80</v>
      </c>
      <c r="F1426" s="166">
        <v>3.5</v>
      </c>
      <c r="G1426" s="227">
        <f>IF($B$2,IF(ROWS(B$6:$B1426) = 1,$B1426-Start_Date,$B1426-$B1425),"")</f>
        <v>2.0463530090637505E-2</v>
      </c>
      <c r="H1426" s="29">
        <f>IF($B$2,IF(ROWS(B$6:$B1426) = 1,IF(COUNTIFS(R_Schedule_Times,"&lt;"&amp;B1426),INDEX(R_Schedule_Amounts,MATCH(B1426,R_Schedule_Times,1)),Starting_Cash),IF(COUNTIFS(R_Schedule_Times,"&gt;"&amp;B1425,R_Schedule_Times,"&lt;"&amp;B1426),INDEX(R_Schedule_Amounts,MATCH(B1426,R_Schedule_Times,1)),K1425)),"")</f>
        <v>11900</v>
      </c>
      <c r="I1426" s="30">
        <f t="shared" si="110"/>
        <v>80</v>
      </c>
      <c r="J1426" s="31">
        <f t="shared" si="111"/>
        <v>3.5</v>
      </c>
      <c r="K1426" s="29">
        <f t="shared" si="112"/>
        <v>11820</v>
      </c>
      <c r="L1426" s="31" t="str">
        <f t="shared" si="113"/>
        <v/>
      </c>
      <c r="M1426" s="31" t="str">
        <f t="shared" si="114"/>
        <v/>
      </c>
    </row>
    <row r="1427" spans="1:13" x14ac:dyDescent="0.15">
      <c r="A1427" s="163" t="s">
        <v>210</v>
      </c>
      <c r="B1427" s="163">
        <v>42314.566632002316</v>
      </c>
      <c r="C1427" s="164" t="s">
        <v>1569</v>
      </c>
      <c r="D1427" s="164" t="s">
        <v>13</v>
      </c>
      <c r="E1427" s="165">
        <v>100</v>
      </c>
      <c r="F1427" s="166">
        <v>0</v>
      </c>
      <c r="G1427" s="227">
        <f>IF($B$2,IF(ROWS(B$6:$B1427) = 1,$B1427-Start_Date,$B1427-$B1426),"")</f>
        <v>2.3704768522293307E-2</v>
      </c>
      <c r="H1427" s="29">
        <f>IF($B$2,IF(ROWS(B$6:$B1427) = 1,IF(COUNTIFS(R_Schedule_Times,"&lt;"&amp;B1427),INDEX(R_Schedule_Amounts,MATCH(B1427,R_Schedule_Times,1)),Starting_Cash),IF(COUNTIFS(R_Schedule_Times,"&gt;"&amp;B1426,R_Schedule_Times,"&lt;"&amp;B1427),INDEX(R_Schedule_Amounts,MATCH(B1427,R_Schedule_Times,1)),K1426)),"")</f>
        <v>11820</v>
      </c>
      <c r="I1427" s="30">
        <f t="shared" si="110"/>
        <v>100</v>
      </c>
      <c r="J1427" s="31">
        <f t="shared" si="111"/>
        <v>0</v>
      </c>
      <c r="K1427" s="29">
        <f t="shared" si="112"/>
        <v>11720</v>
      </c>
      <c r="L1427" s="31" t="str">
        <f t="shared" si="113"/>
        <v/>
      </c>
      <c r="M1427" s="31" t="str">
        <f t="shared" si="114"/>
        <v/>
      </c>
    </row>
    <row r="1428" spans="1:13" x14ac:dyDescent="0.15">
      <c r="A1428" s="163" t="s">
        <v>210</v>
      </c>
      <c r="B1428" s="163">
        <v>42314.602001701387</v>
      </c>
      <c r="C1428" s="164" t="s">
        <v>1092</v>
      </c>
      <c r="D1428" s="164" t="s">
        <v>13</v>
      </c>
      <c r="E1428" s="165">
        <v>100</v>
      </c>
      <c r="F1428" s="166">
        <v>0</v>
      </c>
      <c r="G1428" s="227">
        <f>IF($B$2,IF(ROWS(B$6:$B1428) = 1,$B1428-Start_Date,$B1428-$B1427),"")</f>
        <v>3.5369699071452487E-2</v>
      </c>
      <c r="H1428" s="29">
        <f>IF($B$2,IF(ROWS(B$6:$B1428) = 1,IF(COUNTIFS(R_Schedule_Times,"&lt;"&amp;B1428),INDEX(R_Schedule_Amounts,MATCH(B1428,R_Schedule_Times,1)),Starting_Cash),IF(COUNTIFS(R_Schedule_Times,"&gt;"&amp;B1427,R_Schedule_Times,"&lt;"&amp;B1428),INDEX(R_Schedule_Amounts,MATCH(B1428,R_Schedule_Times,1)),K1427)),"")</f>
        <v>11720</v>
      </c>
      <c r="I1428" s="30">
        <f t="shared" si="110"/>
        <v>100</v>
      </c>
      <c r="J1428" s="31">
        <f t="shared" si="111"/>
        <v>0</v>
      </c>
      <c r="K1428" s="29">
        <f t="shared" si="112"/>
        <v>11620</v>
      </c>
      <c r="L1428" s="31" t="str">
        <f t="shared" si="113"/>
        <v/>
      </c>
      <c r="M1428" s="31" t="str">
        <f t="shared" si="114"/>
        <v/>
      </c>
    </row>
    <row r="1429" spans="1:13" x14ac:dyDescent="0.15">
      <c r="A1429" s="163" t="s">
        <v>210</v>
      </c>
      <c r="B1429" s="163">
        <v>42314.604664444443</v>
      </c>
      <c r="C1429" s="164" t="s">
        <v>1570</v>
      </c>
      <c r="D1429" s="164" t="s">
        <v>15</v>
      </c>
      <c r="E1429" s="165">
        <v>300</v>
      </c>
      <c r="F1429" s="166">
        <v>9</v>
      </c>
      <c r="G1429" s="227">
        <f>IF($B$2,IF(ROWS(B$6:$B1429) = 1,$B1429-Start_Date,$B1429-$B1428),"")</f>
        <v>2.6627430561347865E-3</v>
      </c>
      <c r="H1429" s="29">
        <f>IF($B$2,IF(ROWS(B$6:$B1429) = 1,IF(COUNTIFS(R_Schedule_Times,"&lt;"&amp;B1429),INDEX(R_Schedule_Amounts,MATCH(B1429,R_Schedule_Times,1)),Starting_Cash),IF(COUNTIFS(R_Schedule_Times,"&gt;"&amp;B1428,R_Schedule_Times,"&lt;"&amp;B1429),INDEX(R_Schedule_Amounts,MATCH(B1429,R_Schedule_Times,1)),K1428)),"")</f>
        <v>11620</v>
      </c>
      <c r="I1429" s="30">
        <f t="shared" si="110"/>
        <v>300</v>
      </c>
      <c r="J1429" s="31">
        <f t="shared" si="111"/>
        <v>9</v>
      </c>
      <c r="K1429" s="29">
        <f t="shared" si="112"/>
        <v>11320</v>
      </c>
      <c r="L1429" s="31" t="str">
        <f t="shared" si="113"/>
        <v/>
      </c>
      <c r="M1429" s="31" t="str">
        <f t="shared" si="114"/>
        <v/>
      </c>
    </row>
    <row r="1430" spans="1:13" x14ac:dyDescent="0.15">
      <c r="A1430" s="163" t="s">
        <v>210</v>
      </c>
      <c r="B1430" s="163">
        <v>42314.607232164351</v>
      </c>
      <c r="C1430" s="164" t="s">
        <v>14</v>
      </c>
      <c r="D1430" s="164" t="s">
        <v>13</v>
      </c>
      <c r="E1430" s="165">
        <v>20</v>
      </c>
      <c r="F1430" s="166">
        <v>3.5</v>
      </c>
      <c r="G1430" s="227">
        <f>IF($B$2,IF(ROWS(B$6:$B1430) = 1,$B1430-Start_Date,$B1430-$B1429),"")</f>
        <v>2.5677199082565494E-3</v>
      </c>
      <c r="H1430" s="29">
        <f>IF($B$2,IF(ROWS(B$6:$B1430) = 1,IF(COUNTIFS(R_Schedule_Times,"&lt;"&amp;B1430),INDEX(R_Schedule_Amounts,MATCH(B1430,R_Schedule_Times,1)),Starting_Cash),IF(COUNTIFS(R_Schedule_Times,"&gt;"&amp;B1429,R_Schedule_Times,"&lt;"&amp;B1430),INDEX(R_Schedule_Amounts,MATCH(B1430,R_Schedule_Times,1)),K1429)),"")</f>
        <v>11320</v>
      </c>
      <c r="I1430" s="30">
        <f t="shared" si="110"/>
        <v>20</v>
      </c>
      <c r="J1430" s="31">
        <f t="shared" si="111"/>
        <v>3.5</v>
      </c>
      <c r="K1430" s="29">
        <f t="shared" si="112"/>
        <v>11300</v>
      </c>
      <c r="L1430" s="31" t="str">
        <f t="shared" si="113"/>
        <v/>
      </c>
      <c r="M1430" s="31" t="str">
        <f t="shared" si="114"/>
        <v/>
      </c>
    </row>
    <row r="1431" spans="1:13" x14ac:dyDescent="0.15">
      <c r="A1431" s="163" t="s">
        <v>210</v>
      </c>
      <c r="B1431" s="163">
        <v>42314.609150428238</v>
      </c>
      <c r="C1431" s="164" t="s">
        <v>817</v>
      </c>
      <c r="D1431" s="164" t="s">
        <v>13</v>
      </c>
      <c r="E1431" s="165">
        <v>100</v>
      </c>
      <c r="F1431" s="166">
        <v>0</v>
      </c>
      <c r="G1431" s="227">
        <f>IF($B$2,IF(ROWS(B$6:$B1431) = 1,$B1431-Start_Date,$B1431-$B1430),"")</f>
        <v>1.9182638861821033E-3</v>
      </c>
      <c r="H1431" s="29">
        <f>IF($B$2,IF(ROWS(B$6:$B1431) = 1,IF(COUNTIFS(R_Schedule_Times,"&lt;"&amp;B1431),INDEX(R_Schedule_Amounts,MATCH(B1431,R_Schedule_Times,1)),Starting_Cash),IF(COUNTIFS(R_Schedule_Times,"&gt;"&amp;B1430,R_Schedule_Times,"&lt;"&amp;B1431),INDEX(R_Schedule_Amounts,MATCH(B1431,R_Schedule_Times,1)),K1430)),"")</f>
        <v>11300</v>
      </c>
      <c r="I1431" s="30">
        <f t="shared" si="110"/>
        <v>100</v>
      </c>
      <c r="J1431" s="31">
        <f t="shared" si="111"/>
        <v>0</v>
      </c>
      <c r="K1431" s="29">
        <f t="shared" si="112"/>
        <v>11200</v>
      </c>
      <c r="L1431" s="31" t="str">
        <f t="shared" si="113"/>
        <v/>
      </c>
      <c r="M1431" s="31" t="str">
        <f t="shared" si="114"/>
        <v/>
      </c>
    </row>
    <row r="1432" spans="1:13" x14ac:dyDescent="0.15">
      <c r="A1432" s="163" t="s">
        <v>210</v>
      </c>
      <c r="B1432" s="163">
        <v>42314.611499930557</v>
      </c>
      <c r="C1432" s="164" t="s">
        <v>1571</v>
      </c>
      <c r="D1432" s="164" t="s">
        <v>13</v>
      </c>
      <c r="E1432" s="165">
        <v>500</v>
      </c>
      <c r="F1432" s="166">
        <v>0</v>
      </c>
      <c r="G1432" s="227">
        <f>IF($B$2,IF(ROWS(B$6:$B1432) = 1,$B1432-Start_Date,$B1432-$B1431),"")</f>
        <v>2.3495023197028786E-3</v>
      </c>
      <c r="H1432" s="29">
        <f>IF($B$2,IF(ROWS(B$6:$B1432) = 1,IF(COUNTIFS(R_Schedule_Times,"&lt;"&amp;B1432),INDEX(R_Schedule_Amounts,MATCH(B1432,R_Schedule_Times,1)),Starting_Cash),IF(COUNTIFS(R_Schedule_Times,"&gt;"&amp;B1431,R_Schedule_Times,"&lt;"&amp;B1432),INDEX(R_Schedule_Amounts,MATCH(B1432,R_Schedule_Times,1)),K1431)),"")</f>
        <v>11200</v>
      </c>
      <c r="I1432" s="30">
        <f t="shared" si="110"/>
        <v>500</v>
      </c>
      <c r="J1432" s="31">
        <f t="shared" si="111"/>
        <v>0</v>
      </c>
      <c r="K1432" s="29">
        <f t="shared" si="112"/>
        <v>10700</v>
      </c>
      <c r="L1432" s="31" t="str">
        <f t="shared" si="113"/>
        <v/>
      </c>
      <c r="M1432" s="31" t="str">
        <f t="shared" si="114"/>
        <v/>
      </c>
    </row>
    <row r="1433" spans="1:13" x14ac:dyDescent="0.15">
      <c r="A1433" s="163" t="s">
        <v>210</v>
      </c>
      <c r="B1433" s="163">
        <v>42314.617280740742</v>
      </c>
      <c r="C1433" s="164" t="s">
        <v>1572</v>
      </c>
      <c r="D1433" s="164" t="s">
        <v>13</v>
      </c>
      <c r="E1433" s="165">
        <v>100</v>
      </c>
      <c r="F1433" s="166">
        <v>0</v>
      </c>
      <c r="G1433" s="227">
        <f>IF($B$2,IF(ROWS(B$6:$B1433) = 1,$B1433-Start_Date,$B1433-$B1432),"")</f>
        <v>5.7808101846603677E-3</v>
      </c>
      <c r="H1433" s="29">
        <f>IF($B$2,IF(ROWS(B$6:$B1433) = 1,IF(COUNTIFS(R_Schedule_Times,"&lt;"&amp;B1433),INDEX(R_Schedule_Amounts,MATCH(B1433,R_Schedule_Times,1)),Starting_Cash),IF(COUNTIFS(R_Schedule_Times,"&gt;"&amp;B1432,R_Schedule_Times,"&lt;"&amp;B1433),INDEX(R_Schedule_Amounts,MATCH(B1433,R_Schedule_Times,1)),K1432)),"")</f>
        <v>10700</v>
      </c>
      <c r="I1433" s="30">
        <f t="shared" si="110"/>
        <v>100</v>
      </c>
      <c r="J1433" s="31">
        <f t="shared" si="111"/>
        <v>0</v>
      </c>
      <c r="K1433" s="29">
        <f t="shared" si="112"/>
        <v>10600</v>
      </c>
      <c r="L1433" s="31" t="str">
        <f t="shared" si="113"/>
        <v/>
      </c>
      <c r="M1433" s="31" t="str">
        <f t="shared" si="114"/>
        <v/>
      </c>
    </row>
    <row r="1434" spans="1:13" x14ac:dyDescent="0.15">
      <c r="A1434" s="163" t="s">
        <v>210</v>
      </c>
      <c r="B1434" s="163">
        <v>42314.619646956016</v>
      </c>
      <c r="C1434" s="164" t="s">
        <v>14</v>
      </c>
      <c r="D1434" s="164" t="s">
        <v>15</v>
      </c>
      <c r="E1434" s="165">
        <v>20</v>
      </c>
      <c r="F1434" s="166">
        <v>3.1</v>
      </c>
      <c r="G1434" s="227">
        <f>IF($B$2,IF(ROWS(B$6:$B1434) = 1,$B1434-Start_Date,$B1434-$B1433),"")</f>
        <v>2.3662152743781917E-3</v>
      </c>
      <c r="H1434" s="29">
        <f>IF($B$2,IF(ROWS(B$6:$B1434) = 1,IF(COUNTIFS(R_Schedule_Times,"&lt;"&amp;B1434),INDEX(R_Schedule_Amounts,MATCH(B1434,R_Schedule_Times,1)),Starting_Cash),IF(COUNTIFS(R_Schedule_Times,"&gt;"&amp;B1433,R_Schedule_Times,"&lt;"&amp;B1434),INDEX(R_Schedule_Amounts,MATCH(B1434,R_Schedule_Times,1)),K1433)),"")</f>
        <v>10600</v>
      </c>
      <c r="I1434" s="30">
        <f t="shared" si="110"/>
        <v>20</v>
      </c>
      <c r="J1434" s="31">
        <f t="shared" si="111"/>
        <v>3.1</v>
      </c>
      <c r="K1434" s="29">
        <f t="shared" si="112"/>
        <v>10580</v>
      </c>
      <c r="L1434" s="31" t="str">
        <f t="shared" si="113"/>
        <v/>
      </c>
      <c r="M1434" s="31" t="str">
        <f t="shared" si="114"/>
        <v/>
      </c>
    </row>
    <row r="1435" spans="1:13" x14ac:dyDescent="0.15">
      <c r="A1435" s="163" t="s">
        <v>210</v>
      </c>
      <c r="B1435" s="163">
        <v>42314.635321435184</v>
      </c>
      <c r="C1435" s="164" t="s">
        <v>1573</v>
      </c>
      <c r="D1435" s="164" t="s">
        <v>13</v>
      </c>
      <c r="E1435" s="165">
        <v>180</v>
      </c>
      <c r="F1435" s="166">
        <v>0</v>
      </c>
      <c r="G1435" s="227">
        <f>IF($B$2,IF(ROWS(B$6:$B1435) = 1,$B1435-Start_Date,$B1435-$B1434),"")</f>
        <v>1.5674479167500976E-2</v>
      </c>
      <c r="H1435" s="29">
        <f>IF($B$2,IF(ROWS(B$6:$B1435) = 1,IF(COUNTIFS(R_Schedule_Times,"&lt;"&amp;B1435),INDEX(R_Schedule_Amounts,MATCH(B1435,R_Schedule_Times,1)),Starting_Cash),IF(COUNTIFS(R_Schedule_Times,"&gt;"&amp;B1434,R_Schedule_Times,"&lt;"&amp;B1435),INDEX(R_Schedule_Amounts,MATCH(B1435,R_Schedule_Times,1)),K1434)),"")</f>
        <v>10580</v>
      </c>
      <c r="I1435" s="30">
        <f t="shared" si="110"/>
        <v>180</v>
      </c>
      <c r="J1435" s="31">
        <f t="shared" si="111"/>
        <v>0</v>
      </c>
      <c r="K1435" s="29">
        <f t="shared" si="112"/>
        <v>10400</v>
      </c>
      <c r="L1435" s="31" t="str">
        <f t="shared" si="113"/>
        <v/>
      </c>
      <c r="M1435" s="31" t="str">
        <f t="shared" si="114"/>
        <v/>
      </c>
    </row>
    <row r="1436" spans="1:13" x14ac:dyDescent="0.15">
      <c r="A1436" s="163" t="s">
        <v>210</v>
      </c>
      <c r="B1436" s="163">
        <v>42314.637833541667</v>
      </c>
      <c r="C1436" s="164" t="s">
        <v>1574</v>
      </c>
      <c r="D1436" s="164" t="s">
        <v>13</v>
      </c>
      <c r="E1436" s="165">
        <v>80</v>
      </c>
      <c r="F1436" s="166">
        <v>0</v>
      </c>
      <c r="G1436" s="227">
        <f>IF($B$2,IF(ROWS(B$6:$B1436) = 1,$B1436-Start_Date,$B1436-$B1435),"")</f>
        <v>2.5121064827544615E-3</v>
      </c>
      <c r="H1436" s="29">
        <f>IF($B$2,IF(ROWS(B$6:$B1436) = 1,IF(COUNTIFS(R_Schedule_Times,"&lt;"&amp;B1436),INDEX(R_Schedule_Amounts,MATCH(B1436,R_Schedule_Times,1)),Starting_Cash),IF(COUNTIFS(R_Schedule_Times,"&gt;"&amp;B1435,R_Schedule_Times,"&lt;"&amp;B1436),INDEX(R_Schedule_Amounts,MATCH(B1436,R_Schedule_Times,1)),K1435)),"")</f>
        <v>10400</v>
      </c>
      <c r="I1436" s="30">
        <f t="shared" si="110"/>
        <v>80</v>
      </c>
      <c r="J1436" s="31">
        <f t="shared" si="111"/>
        <v>0</v>
      </c>
      <c r="K1436" s="29">
        <f t="shared" si="112"/>
        <v>10320</v>
      </c>
      <c r="L1436" s="31" t="str">
        <f t="shared" si="113"/>
        <v/>
      </c>
      <c r="M1436" s="31" t="str">
        <f t="shared" si="114"/>
        <v/>
      </c>
    </row>
    <row r="1437" spans="1:13" x14ac:dyDescent="0.15">
      <c r="A1437" s="163" t="s">
        <v>210</v>
      </c>
      <c r="B1437" s="163">
        <v>42314.639263032404</v>
      </c>
      <c r="C1437" s="164" t="s">
        <v>1575</v>
      </c>
      <c r="D1437" s="164" t="s">
        <v>13</v>
      </c>
      <c r="E1437" s="165">
        <v>100</v>
      </c>
      <c r="F1437" s="166">
        <v>0</v>
      </c>
      <c r="G1437" s="227">
        <f>IF($B$2,IF(ROWS(B$6:$B1437) = 1,$B1437-Start_Date,$B1437-$B1436),"")</f>
        <v>1.4294907377916388E-3</v>
      </c>
      <c r="H1437" s="29">
        <f>IF($B$2,IF(ROWS(B$6:$B1437) = 1,IF(COUNTIFS(R_Schedule_Times,"&lt;"&amp;B1437),INDEX(R_Schedule_Amounts,MATCH(B1437,R_Schedule_Times,1)),Starting_Cash),IF(COUNTIFS(R_Schedule_Times,"&gt;"&amp;B1436,R_Schedule_Times,"&lt;"&amp;B1437),INDEX(R_Schedule_Amounts,MATCH(B1437,R_Schedule_Times,1)),K1436)),"")</f>
        <v>10320</v>
      </c>
      <c r="I1437" s="30">
        <f t="shared" si="110"/>
        <v>100</v>
      </c>
      <c r="J1437" s="31">
        <f t="shared" si="111"/>
        <v>0</v>
      </c>
      <c r="K1437" s="29">
        <f t="shared" si="112"/>
        <v>10220</v>
      </c>
      <c r="L1437" s="31" t="str">
        <f t="shared" si="113"/>
        <v/>
      </c>
      <c r="M1437" s="31" t="str">
        <f t="shared" si="114"/>
        <v/>
      </c>
    </row>
    <row r="1438" spans="1:13" x14ac:dyDescent="0.15">
      <c r="A1438" s="163" t="s">
        <v>210</v>
      </c>
      <c r="B1438" s="163">
        <v>42314.671102106484</v>
      </c>
      <c r="C1438" s="164" t="s">
        <v>1576</v>
      </c>
      <c r="D1438" s="164" t="s">
        <v>13</v>
      </c>
      <c r="E1438" s="165">
        <v>100</v>
      </c>
      <c r="F1438" s="166">
        <v>0</v>
      </c>
      <c r="G1438" s="227">
        <f>IF($B$2,IF(ROWS(B$6:$B1438) = 1,$B1438-Start_Date,$B1438-$B1437),"")</f>
        <v>3.1839074079471175E-2</v>
      </c>
      <c r="H1438" s="29">
        <f>IF($B$2,IF(ROWS(B$6:$B1438) = 1,IF(COUNTIFS(R_Schedule_Times,"&lt;"&amp;B1438),INDEX(R_Schedule_Amounts,MATCH(B1438,R_Schedule_Times,1)),Starting_Cash),IF(COUNTIFS(R_Schedule_Times,"&gt;"&amp;B1437,R_Schedule_Times,"&lt;"&amp;B1438),INDEX(R_Schedule_Amounts,MATCH(B1438,R_Schedule_Times,1)),K1437)),"")</f>
        <v>10220</v>
      </c>
      <c r="I1438" s="30">
        <f t="shared" si="110"/>
        <v>100</v>
      </c>
      <c r="J1438" s="31">
        <f t="shared" si="111"/>
        <v>0</v>
      </c>
      <c r="K1438" s="29">
        <f t="shared" si="112"/>
        <v>10120</v>
      </c>
      <c r="L1438" s="31" t="str">
        <f t="shared" si="113"/>
        <v/>
      </c>
      <c r="M1438" s="31" t="str">
        <f t="shared" si="114"/>
        <v/>
      </c>
    </row>
    <row r="1439" spans="1:13" x14ac:dyDescent="0.15">
      <c r="A1439" s="163" t="s">
        <v>210</v>
      </c>
      <c r="B1439" s="163">
        <v>42314.695680462966</v>
      </c>
      <c r="C1439" s="164" t="s">
        <v>1577</v>
      </c>
      <c r="D1439" s="164" t="s">
        <v>13</v>
      </c>
      <c r="E1439" s="165">
        <v>40</v>
      </c>
      <c r="F1439" s="166">
        <v>0</v>
      </c>
      <c r="G1439" s="227">
        <f>IF($B$2,IF(ROWS(B$6:$B1439) = 1,$B1439-Start_Date,$B1439-$B1438),"")</f>
        <v>2.4578356482379604E-2</v>
      </c>
      <c r="H1439" s="29">
        <f>IF($B$2,IF(ROWS(B$6:$B1439) = 1,IF(COUNTIFS(R_Schedule_Times,"&lt;"&amp;B1439),INDEX(R_Schedule_Amounts,MATCH(B1439,R_Schedule_Times,1)),Starting_Cash),IF(COUNTIFS(R_Schedule_Times,"&gt;"&amp;B1438,R_Schedule_Times,"&lt;"&amp;B1439),INDEX(R_Schedule_Amounts,MATCH(B1439,R_Schedule_Times,1)),K1438)),"")</f>
        <v>10120</v>
      </c>
      <c r="I1439" s="30">
        <f t="shared" si="110"/>
        <v>40</v>
      </c>
      <c r="J1439" s="31">
        <f t="shared" si="111"/>
        <v>0</v>
      </c>
      <c r="K1439" s="29">
        <f t="shared" si="112"/>
        <v>10080</v>
      </c>
      <c r="L1439" s="31" t="str">
        <f t="shared" si="113"/>
        <v/>
      </c>
      <c r="M1439" s="31" t="str">
        <f t="shared" si="114"/>
        <v/>
      </c>
    </row>
    <row r="1440" spans="1:13" x14ac:dyDescent="0.15">
      <c r="A1440" s="163" t="s">
        <v>210</v>
      </c>
      <c r="B1440" s="163">
        <v>42314.700473703706</v>
      </c>
      <c r="C1440" s="164" t="s">
        <v>1578</v>
      </c>
      <c r="D1440" s="164" t="s">
        <v>13</v>
      </c>
      <c r="E1440" s="165">
        <v>300</v>
      </c>
      <c r="F1440" s="166">
        <v>0</v>
      </c>
      <c r="G1440" s="227">
        <f>IF($B$2,IF(ROWS(B$6:$B1440) = 1,$B1440-Start_Date,$B1440-$B1439),"")</f>
        <v>4.7932407396729104E-3</v>
      </c>
      <c r="H1440" s="29">
        <f>IF($B$2,IF(ROWS(B$6:$B1440) = 1,IF(COUNTIFS(R_Schedule_Times,"&lt;"&amp;B1440),INDEX(R_Schedule_Amounts,MATCH(B1440,R_Schedule_Times,1)),Starting_Cash),IF(COUNTIFS(R_Schedule_Times,"&gt;"&amp;B1439,R_Schedule_Times,"&lt;"&amp;B1440),INDEX(R_Schedule_Amounts,MATCH(B1440,R_Schedule_Times,1)),K1439)),"")</f>
        <v>10080</v>
      </c>
      <c r="I1440" s="30">
        <f t="shared" si="110"/>
        <v>300</v>
      </c>
      <c r="J1440" s="31">
        <f t="shared" si="111"/>
        <v>0</v>
      </c>
      <c r="K1440" s="29">
        <f t="shared" si="112"/>
        <v>9780</v>
      </c>
      <c r="L1440" s="31" t="str">
        <f t="shared" si="113"/>
        <v/>
      </c>
      <c r="M1440" s="31" t="str">
        <f t="shared" si="114"/>
        <v/>
      </c>
    </row>
    <row r="1441" spans="1:13" x14ac:dyDescent="0.15">
      <c r="A1441" s="163" t="s">
        <v>210</v>
      </c>
      <c r="B1441" s="163">
        <v>42314.722393055556</v>
      </c>
      <c r="C1441" s="164" t="s">
        <v>1579</v>
      </c>
      <c r="D1441" s="164" t="s">
        <v>13</v>
      </c>
      <c r="E1441" s="165">
        <v>100</v>
      </c>
      <c r="F1441" s="166">
        <v>0</v>
      </c>
      <c r="G1441" s="227">
        <f>IF($B$2,IF(ROWS(B$6:$B1441) = 1,$B1441-Start_Date,$B1441-$B1440),"")</f>
        <v>2.1919351849646773E-2</v>
      </c>
      <c r="H1441" s="29">
        <f>IF($B$2,IF(ROWS(B$6:$B1441) = 1,IF(COUNTIFS(R_Schedule_Times,"&lt;"&amp;B1441),INDEX(R_Schedule_Amounts,MATCH(B1441,R_Schedule_Times,1)),Starting_Cash),IF(COUNTIFS(R_Schedule_Times,"&gt;"&amp;B1440,R_Schedule_Times,"&lt;"&amp;B1441),INDEX(R_Schedule_Amounts,MATCH(B1441,R_Schedule_Times,1)),K1440)),"")</f>
        <v>9780</v>
      </c>
      <c r="I1441" s="30">
        <f t="shared" si="110"/>
        <v>100</v>
      </c>
      <c r="J1441" s="31">
        <f t="shared" si="111"/>
        <v>0</v>
      </c>
      <c r="K1441" s="29">
        <f t="shared" si="112"/>
        <v>9680</v>
      </c>
      <c r="L1441" s="31" t="str">
        <f t="shared" si="113"/>
        <v/>
      </c>
      <c r="M1441" s="31" t="str">
        <f t="shared" si="114"/>
        <v/>
      </c>
    </row>
    <row r="1442" spans="1:13" x14ac:dyDescent="0.15">
      <c r="A1442" s="163" t="s">
        <v>210</v>
      </c>
      <c r="B1442" s="163">
        <v>42314.728464409724</v>
      </c>
      <c r="C1442" s="164" t="s">
        <v>1580</v>
      </c>
      <c r="D1442" s="164" t="s">
        <v>13</v>
      </c>
      <c r="E1442" s="165">
        <v>100</v>
      </c>
      <c r="F1442" s="166">
        <v>0</v>
      </c>
      <c r="G1442" s="227">
        <f>IF($B$2,IF(ROWS(B$6:$B1442) = 1,$B1442-Start_Date,$B1442-$B1441),"")</f>
        <v>6.0713541679433547E-3</v>
      </c>
      <c r="H1442" s="29">
        <f>IF($B$2,IF(ROWS(B$6:$B1442) = 1,IF(COUNTIFS(R_Schedule_Times,"&lt;"&amp;B1442),INDEX(R_Schedule_Amounts,MATCH(B1442,R_Schedule_Times,1)),Starting_Cash),IF(COUNTIFS(R_Schedule_Times,"&gt;"&amp;B1441,R_Schedule_Times,"&lt;"&amp;B1442),INDEX(R_Schedule_Amounts,MATCH(B1442,R_Schedule_Times,1)),K1441)),"")</f>
        <v>9680</v>
      </c>
      <c r="I1442" s="30">
        <f t="shared" si="110"/>
        <v>100</v>
      </c>
      <c r="J1442" s="31">
        <f t="shared" si="111"/>
        <v>0</v>
      </c>
      <c r="K1442" s="29">
        <f t="shared" si="112"/>
        <v>9580</v>
      </c>
      <c r="L1442" s="31" t="str">
        <f t="shared" si="113"/>
        <v/>
      </c>
      <c r="M1442" s="31" t="str">
        <f t="shared" si="114"/>
        <v/>
      </c>
    </row>
    <row r="1443" spans="1:13" x14ac:dyDescent="0.15">
      <c r="A1443" s="163" t="s">
        <v>210</v>
      </c>
      <c r="B1443" s="163">
        <v>42314.745776504627</v>
      </c>
      <c r="C1443" s="164" t="s">
        <v>1248</v>
      </c>
      <c r="D1443" s="164" t="s">
        <v>13</v>
      </c>
      <c r="E1443" s="165">
        <v>40</v>
      </c>
      <c r="F1443" s="166">
        <v>0</v>
      </c>
      <c r="G1443" s="227">
        <f>IF($B$2,IF(ROWS(B$6:$B1443) = 1,$B1443-Start_Date,$B1443-$B1442),"")</f>
        <v>1.7312094903900288E-2</v>
      </c>
      <c r="H1443" s="29">
        <f>IF($B$2,IF(ROWS(B$6:$B1443) = 1,IF(COUNTIFS(R_Schedule_Times,"&lt;"&amp;B1443),INDEX(R_Schedule_Amounts,MATCH(B1443,R_Schedule_Times,1)),Starting_Cash),IF(COUNTIFS(R_Schedule_Times,"&gt;"&amp;B1442,R_Schedule_Times,"&lt;"&amp;B1443),INDEX(R_Schedule_Amounts,MATCH(B1443,R_Schedule_Times,1)),K1442)),"")</f>
        <v>9580</v>
      </c>
      <c r="I1443" s="30">
        <f t="shared" si="110"/>
        <v>40</v>
      </c>
      <c r="J1443" s="31">
        <f t="shared" si="111"/>
        <v>0</v>
      </c>
      <c r="K1443" s="29">
        <f t="shared" si="112"/>
        <v>9540</v>
      </c>
      <c r="L1443" s="31" t="str">
        <f t="shared" si="113"/>
        <v/>
      </c>
      <c r="M1443" s="31" t="str">
        <f t="shared" si="114"/>
        <v/>
      </c>
    </row>
    <row r="1444" spans="1:13" x14ac:dyDescent="0.15">
      <c r="A1444" s="163" t="s">
        <v>210</v>
      </c>
      <c r="B1444" s="163">
        <v>42314.761005717592</v>
      </c>
      <c r="C1444" s="164" t="s">
        <v>1581</v>
      </c>
      <c r="D1444" s="164" t="s">
        <v>13</v>
      </c>
      <c r="E1444" s="165">
        <v>100</v>
      </c>
      <c r="F1444" s="166">
        <v>0</v>
      </c>
      <c r="G1444" s="227">
        <f>IF($B$2,IF(ROWS(B$6:$B1444) = 1,$B1444-Start_Date,$B1444-$B1443),"")</f>
        <v>1.5229212964186445E-2</v>
      </c>
      <c r="H1444" s="29">
        <f>IF($B$2,IF(ROWS(B$6:$B1444) = 1,IF(COUNTIFS(R_Schedule_Times,"&lt;"&amp;B1444),INDEX(R_Schedule_Amounts,MATCH(B1444,R_Schedule_Times,1)),Starting_Cash),IF(COUNTIFS(R_Schedule_Times,"&gt;"&amp;B1443,R_Schedule_Times,"&lt;"&amp;B1444),INDEX(R_Schedule_Amounts,MATCH(B1444,R_Schedule_Times,1)),K1443)),"")</f>
        <v>9540</v>
      </c>
      <c r="I1444" s="30">
        <f t="shared" si="110"/>
        <v>100</v>
      </c>
      <c r="J1444" s="31">
        <f t="shared" si="111"/>
        <v>0</v>
      </c>
      <c r="K1444" s="29">
        <f t="shared" si="112"/>
        <v>9440</v>
      </c>
      <c r="L1444" s="31" t="str">
        <f t="shared" si="113"/>
        <v/>
      </c>
      <c r="M1444" s="31" t="str">
        <f t="shared" si="114"/>
        <v/>
      </c>
    </row>
    <row r="1445" spans="1:13" x14ac:dyDescent="0.15">
      <c r="A1445" s="163" t="s">
        <v>210</v>
      </c>
      <c r="B1445" s="163">
        <v>42314.811929537034</v>
      </c>
      <c r="C1445" s="164" t="s">
        <v>1582</v>
      </c>
      <c r="D1445" s="164" t="s">
        <v>13</v>
      </c>
      <c r="E1445" s="165">
        <v>20</v>
      </c>
      <c r="F1445" s="166">
        <v>0</v>
      </c>
      <c r="G1445" s="227">
        <f>IF($B$2,IF(ROWS(B$6:$B1445) = 1,$B1445-Start_Date,$B1445-$B1444),"")</f>
        <v>5.092381944268709E-2</v>
      </c>
      <c r="H1445" s="29">
        <f>IF($B$2,IF(ROWS(B$6:$B1445) = 1,IF(COUNTIFS(R_Schedule_Times,"&lt;"&amp;B1445),INDEX(R_Schedule_Amounts,MATCH(B1445,R_Schedule_Times,1)),Starting_Cash),IF(COUNTIFS(R_Schedule_Times,"&gt;"&amp;B1444,R_Schedule_Times,"&lt;"&amp;B1445),INDEX(R_Schedule_Amounts,MATCH(B1445,R_Schedule_Times,1)),K1444)),"")</f>
        <v>9440</v>
      </c>
      <c r="I1445" s="30">
        <f t="shared" si="110"/>
        <v>20</v>
      </c>
      <c r="J1445" s="31">
        <f t="shared" si="111"/>
        <v>0</v>
      </c>
      <c r="K1445" s="29">
        <f t="shared" si="112"/>
        <v>9420</v>
      </c>
      <c r="L1445" s="31" t="str">
        <f t="shared" si="113"/>
        <v/>
      </c>
      <c r="M1445" s="31" t="str">
        <f t="shared" si="114"/>
        <v/>
      </c>
    </row>
    <row r="1446" spans="1:13" x14ac:dyDescent="0.15">
      <c r="A1446" s="163" t="s">
        <v>210</v>
      </c>
      <c r="B1446" s="163">
        <v>42314.825637905094</v>
      </c>
      <c r="C1446" s="164" t="s">
        <v>1583</v>
      </c>
      <c r="D1446" s="164" t="s">
        <v>13</v>
      </c>
      <c r="E1446" s="165">
        <v>100</v>
      </c>
      <c r="F1446" s="166">
        <v>0</v>
      </c>
      <c r="G1446" s="227">
        <f>IF($B$2,IF(ROWS(B$6:$B1446) = 1,$B1446-Start_Date,$B1446-$B1445),"")</f>
        <v>1.3708368060179055E-2</v>
      </c>
      <c r="H1446" s="29">
        <f>IF($B$2,IF(ROWS(B$6:$B1446) = 1,IF(COUNTIFS(R_Schedule_Times,"&lt;"&amp;B1446),INDEX(R_Schedule_Amounts,MATCH(B1446,R_Schedule_Times,1)),Starting_Cash),IF(COUNTIFS(R_Schedule_Times,"&gt;"&amp;B1445,R_Schedule_Times,"&lt;"&amp;B1446),INDEX(R_Schedule_Amounts,MATCH(B1446,R_Schedule_Times,1)),K1445)),"")</f>
        <v>9420</v>
      </c>
      <c r="I1446" s="30">
        <f t="shared" si="110"/>
        <v>100</v>
      </c>
      <c r="J1446" s="31">
        <f t="shared" si="111"/>
        <v>0</v>
      </c>
      <c r="K1446" s="29">
        <f t="shared" si="112"/>
        <v>9320</v>
      </c>
      <c r="L1446" s="31" t="str">
        <f t="shared" si="113"/>
        <v/>
      </c>
      <c r="M1446" s="31" t="str">
        <f t="shared" si="114"/>
        <v/>
      </c>
    </row>
    <row r="1447" spans="1:13" x14ac:dyDescent="0.15">
      <c r="A1447" s="163" t="s">
        <v>210</v>
      </c>
      <c r="B1447" s="163">
        <v>42314.844256111108</v>
      </c>
      <c r="C1447" s="164" t="s">
        <v>1584</v>
      </c>
      <c r="D1447" s="164" t="s">
        <v>13</v>
      </c>
      <c r="E1447" s="165">
        <v>40</v>
      </c>
      <c r="F1447" s="166">
        <v>0</v>
      </c>
      <c r="G1447" s="227">
        <f>IF($B$2,IF(ROWS(B$6:$B1447) = 1,$B1447-Start_Date,$B1447-$B1446),"")</f>
        <v>1.8618206013343297E-2</v>
      </c>
      <c r="H1447" s="29">
        <f>IF($B$2,IF(ROWS(B$6:$B1447) = 1,IF(COUNTIFS(R_Schedule_Times,"&lt;"&amp;B1447),INDEX(R_Schedule_Amounts,MATCH(B1447,R_Schedule_Times,1)),Starting_Cash),IF(COUNTIFS(R_Schedule_Times,"&gt;"&amp;B1446,R_Schedule_Times,"&lt;"&amp;B1447),INDEX(R_Schedule_Amounts,MATCH(B1447,R_Schedule_Times,1)),K1446)),"")</f>
        <v>9320</v>
      </c>
      <c r="I1447" s="30">
        <f t="shared" si="110"/>
        <v>40</v>
      </c>
      <c r="J1447" s="31">
        <f t="shared" si="111"/>
        <v>0</v>
      </c>
      <c r="K1447" s="29">
        <f t="shared" si="112"/>
        <v>9280</v>
      </c>
      <c r="L1447" s="31" t="str">
        <f t="shared" si="113"/>
        <v/>
      </c>
      <c r="M1447" s="31" t="str">
        <f t="shared" si="114"/>
        <v/>
      </c>
    </row>
    <row r="1448" spans="1:13" x14ac:dyDescent="0.15">
      <c r="A1448" s="163" t="s">
        <v>210</v>
      </c>
      <c r="B1448" s="163">
        <v>42314.922765949072</v>
      </c>
      <c r="C1448" s="164" t="s">
        <v>1585</v>
      </c>
      <c r="D1448" s="164" t="s">
        <v>13</v>
      </c>
      <c r="E1448" s="165">
        <v>40</v>
      </c>
      <c r="F1448" s="166">
        <v>0</v>
      </c>
      <c r="G1448" s="227">
        <f>IF($B$2,IF(ROWS(B$6:$B1448) = 1,$B1448-Start_Date,$B1448-$B1447),"")</f>
        <v>7.8509837963792961E-2</v>
      </c>
      <c r="H1448" s="29">
        <f>IF($B$2,IF(ROWS(B$6:$B1448) = 1,IF(COUNTIFS(R_Schedule_Times,"&lt;"&amp;B1448),INDEX(R_Schedule_Amounts,MATCH(B1448,R_Schedule_Times,1)),Starting_Cash),IF(COUNTIFS(R_Schedule_Times,"&gt;"&amp;B1447,R_Schedule_Times,"&lt;"&amp;B1448),INDEX(R_Schedule_Amounts,MATCH(B1448,R_Schedule_Times,1)),K1447)),"")</f>
        <v>9280</v>
      </c>
      <c r="I1448" s="30">
        <f t="shared" si="110"/>
        <v>40</v>
      </c>
      <c r="J1448" s="31">
        <f t="shared" si="111"/>
        <v>0</v>
      </c>
      <c r="K1448" s="29">
        <f t="shared" si="112"/>
        <v>9240</v>
      </c>
      <c r="L1448" s="31" t="str">
        <f t="shared" si="113"/>
        <v/>
      </c>
      <c r="M1448" s="31" t="str">
        <f t="shared" si="114"/>
        <v/>
      </c>
    </row>
    <row r="1449" spans="1:13" x14ac:dyDescent="0.15">
      <c r="A1449" s="163" t="s">
        <v>210</v>
      </c>
      <c r="B1449" s="163">
        <v>42314.929145856484</v>
      </c>
      <c r="C1449" s="164" t="s">
        <v>182</v>
      </c>
      <c r="D1449" s="164" t="s">
        <v>13</v>
      </c>
      <c r="E1449" s="165">
        <v>240</v>
      </c>
      <c r="F1449" s="166">
        <v>0</v>
      </c>
      <c r="G1449" s="227">
        <f>IF($B$2,IF(ROWS(B$6:$B1449) = 1,$B1449-Start_Date,$B1449-$B1448),"")</f>
        <v>6.3799074123380706E-3</v>
      </c>
      <c r="H1449" s="29">
        <f>IF($B$2,IF(ROWS(B$6:$B1449) = 1,IF(COUNTIFS(R_Schedule_Times,"&lt;"&amp;B1449),INDEX(R_Schedule_Amounts,MATCH(B1449,R_Schedule_Times,1)),Starting_Cash),IF(COUNTIFS(R_Schedule_Times,"&gt;"&amp;B1448,R_Schedule_Times,"&lt;"&amp;B1449),INDEX(R_Schedule_Amounts,MATCH(B1449,R_Schedule_Times,1)),K1448)),"")</f>
        <v>9240</v>
      </c>
      <c r="I1449" s="30">
        <f t="shared" si="110"/>
        <v>240</v>
      </c>
      <c r="J1449" s="31">
        <f t="shared" si="111"/>
        <v>0</v>
      </c>
      <c r="K1449" s="29">
        <f t="shared" si="112"/>
        <v>9000</v>
      </c>
      <c r="L1449" s="31" t="str">
        <f t="shared" si="113"/>
        <v/>
      </c>
      <c r="M1449" s="31" t="str">
        <f t="shared" si="114"/>
        <v/>
      </c>
    </row>
    <row r="1450" spans="1:13" x14ac:dyDescent="0.15">
      <c r="A1450" s="163" t="s">
        <v>210</v>
      </c>
      <c r="B1450" s="163">
        <v>42314.940123125001</v>
      </c>
      <c r="C1450" s="164" t="s">
        <v>1586</v>
      </c>
      <c r="D1450" s="164" t="s">
        <v>13</v>
      </c>
      <c r="E1450" s="165">
        <v>60</v>
      </c>
      <c r="F1450" s="166">
        <v>0</v>
      </c>
      <c r="G1450" s="227">
        <f>IF($B$2,IF(ROWS(B$6:$B1450) = 1,$B1450-Start_Date,$B1450-$B1449),"")</f>
        <v>1.0977268517308403E-2</v>
      </c>
      <c r="H1450" s="29">
        <f>IF($B$2,IF(ROWS(B$6:$B1450) = 1,IF(COUNTIFS(R_Schedule_Times,"&lt;"&amp;B1450),INDEX(R_Schedule_Amounts,MATCH(B1450,R_Schedule_Times,1)),Starting_Cash),IF(COUNTIFS(R_Schedule_Times,"&gt;"&amp;B1449,R_Schedule_Times,"&lt;"&amp;B1450),INDEX(R_Schedule_Amounts,MATCH(B1450,R_Schedule_Times,1)),K1449)),"")</f>
        <v>9000</v>
      </c>
      <c r="I1450" s="30">
        <f t="shared" si="110"/>
        <v>60</v>
      </c>
      <c r="J1450" s="31">
        <f t="shared" si="111"/>
        <v>0</v>
      </c>
      <c r="K1450" s="29">
        <f t="shared" si="112"/>
        <v>8940</v>
      </c>
      <c r="L1450" s="31" t="str">
        <f t="shared" si="113"/>
        <v/>
      </c>
      <c r="M1450" s="31" t="str">
        <f t="shared" si="114"/>
        <v/>
      </c>
    </row>
    <row r="1451" spans="1:13" x14ac:dyDescent="0.15">
      <c r="A1451" s="163" t="s">
        <v>210</v>
      </c>
      <c r="B1451" s="163">
        <v>42314.981285879629</v>
      </c>
      <c r="C1451" s="164" t="s">
        <v>409</v>
      </c>
      <c r="D1451" s="164" t="s">
        <v>13</v>
      </c>
      <c r="E1451" s="165">
        <v>100</v>
      </c>
      <c r="F1451" s="166">
        <v>0</v>
      </c>
      <c r="G1451" s="227">
        <f>IF($B$2,IF(ROWS(B$6:$B1451) = 1,$B1451-Start_Date,$B1451-$B1450),"")</f>
        <v>4.1162754627293907E-2</v>
      </c>
      <c r="H1451" s="29">
        <f>IF($B$2,IF(ROWS(B$6:$B1451) = 1,IF(COUNTIFS(R_Schedule_Times,"&lt;"&amp;B1451),INDEX(R_Schedule_Amounts,MATCH(B1451,R_Schedule_Times,1)),Starting_Cash),IF(COUNTIFS(R_Schedule_Times,"&gt;"&amp;B1450,R_Schedule_Times,"&lt;"&amp;B1451),INDEX(R_Schedule_Amounts,MATCH(B1451,R_Schedule_Times,1)),K1450)),"")</f>
        <v>8940</v>
      </c>
      <c r="I1451" s="30">
        <f t="shared" si="110"/>
        <v>100</v>
      </c>
      <c r="J1451" s="31">
        <f t="shared" si="111"/>
        <v>0</v>
      </c>
      <c r="K1451" s="29">
        <f t="shared" si="112"/>
        <v>8840</v>
      </c>
      <c r="L1451" s="31" t="str">
        <f t="shared" si="113"/>
        <v/>
      </c>
      <c r="M1451" s="31" t="str">
        <f t="shared" si="114"/>
        <v/>
      </c>
    </row>
    <row r="1452" spans="1:13" x14ac:dyDescent="0.15">
      <c r="A1452" s="163" t="s">
        <v>210</v>
      </c>
      <c r="B1452" s="163">
        <v>42315.054632511572</v>
      </c>
      <c r="C1452" s="164" t="s">
        <v>1587</v>
      </c>
      <c r="D1452" s="164" t="s">
        <v>13</v>
      </c>
      <c r="E1452" s="165">
        <v>200</v>
      </c>
      <c r="F1452" s="166">
        <v>0</v>
      </c>
      <c r="G1452" s="227">
        <f>IF($B$2,IF(ROWS(B$6:$B1452) = 1,$B1452-Start_Date,$B1452-$B1451),"")</f>
        <v>7.3346631943422835E-2</v>
      </c>
      <c r="H1452" s="29">
        <f>IF($B$2,IF(ROWS(B$6:$B1452) = 1,IF(COUNTIFS(R_Schedule_Times,"&lt;"&amp;B1452),INDEX(R_Schedule_Amounts,MATCH(B1452,R_Schedule_Times,1)),Starting_Cash),IF(COUNTIFS(R_Schedule_Times,"&gt;"&amp;B1451,R_Schedule_Times,"&lt;"&amp;B1452),INDEX(R_Schedule_Amounts,MATCH(B1452,R_Schedule_Times,1)),K1451)),"")</f>
        <v>8840</v>
      </c>
      <c r="I1452" s="30">
        <f t="shared" si="110"/>
        <v>200</v>
      </c>
      <c r="J1452" s="31">
        <f t="shared" si="111"/>
        <v>0</v>
      </c>
      <c r="K1452" s="29">
        <f t="shared" si="112"/>
        <v>8640</v>
      </c>
      <c r="L1452" s="31" t="str">
        <f t="shared" si="113"/>
        <v/>
      </c>
      <c r="M1452" s="31" t="str">
        <f t="shared" si="114"/>
        <v/>
      </c>
    </row>
    <row r="1453" spans="1:13" x14ac:dyDescent="0.15">
      <c r="A1453" s="163" t="s">
        <v>210</v>
      </c>
      <c r="B1453" s="163">
        <v>42315.294810601852</v>
      </c>
      <c r="C1453" s="164" t="s">
        <v>14</v>
      </c>
      <c r="D1453" s="164" t="s">
        <v>13</v>
      </c>
      <c r="E1453" s="165">
        <v>100</v>
      </c>
      <c r="F1453" s="166">
        <v>3.5</v>
      </c>
      <c r="G1453" s="227">
        <f>IF($B$2,IF(ROWS(B$6:$B1453) = 1,$B1453-Start_Date,$B1453-$B1452),"")</f>
        <v>0.24017809028009651</v>
      </c>
      <c r="H1453" s="29">
        <f>IF($B$2,IF(ROWS(B$6:$B1453) = 1,IF(COUNTIFS(R_Schedule_Times,"&lt;"&amp;B1453),INDEX(R_Schedule_Amounts,MATCH(B1453,R_Schedule_Times,1)),Starting_Cash),IF(COUNTIFS(R_Schedule_Times,"&gt;"&amp;B1452,R_Schedule_Times,"&lt;"&amp;B1453),INDEX(R_Schedule_Amounts,MATCH(B1453,R_Schedule_Times,1)),K1452)),"")</f>
        <v>8640</v>
      </c>
      <c r="I1453" s="30">
        <f t="shared" si="110"/>
        <v>100</v>
      </c>
      <c r="J1453" s="31">
        <f t="shared" si="111"/>
        <v>3.5</v>
      </c>
      <c r="K1453" s="29">
        <f t="shared" si="112"/>
        <v>8540</v>
      </c>
      <c r="L1453" s="31" t="str">
        <f t="shared" si="113"/>
        <v/>
      </c>
      <c r="M1453" s="31" t="str">
        <f t="shared" si="114"/>
        <v/>
      </c>
    </row>
    <row r="1454" spans="1:13" x14ac:dyDescent="0.15">
      <c r="A1454" s="163" t="s">
        <v>210</v>
      </c>
      <c r="B1454" s="163">
        <v>42315.319499097219</v>
      </c>
      <c r="C1454" s="164" t="s">
        <v>1588</v>
      </c>
      <c r="D1454" s="164" t="s">
        <v>13</v>
      </c>
      <c r="E1454" s="165">
        <v>100</v>
      </c>
      <c r="F1454" s="166">
        <v>0</v>
      </c>
      <c r="G1454" s="227">
        <f>IF($B$2,IF(ROWS(B$6:$B1454) = 1,$B1454-Start_Date,$B1454-$B1453),"")</f>
        <v>2.4688495366717689E-2</v>
      </c>
      <c r="H1454" s="29">
        <f>IF($B$2,IF(ROWS(B$6:$B1454) = 1,IF(COUNTIFS(R_Schedule_Times,"&lt;"&amp;B1454),INDEX(R_Schedule_Amounts,MATCH(B1454,R_Schedule_Times,1)),Starting_Cash),IF(COUNTIFS(R_Schedule_Times,"&gt;"&amp;B1453,R_Schedule_Times,"&lt;"&amp;B1454),INDEX(R_Schedule_Amounts,MATCH(B1454,R_Schedule_Times,1)),K1453)),"")</f>
        <v>8540</v>
      </c>
      <c r="I1454" s="30">
        <f t="shared" si="110"/>
        <v>100</v>
      </c>
      <c r="J1454" s="31">
        <f t="shared" si="111"/>
        <v>0</v>
      </c>
      <c r="K1454" s="29">
        <f t="shared" si="112"/>
        <v>8440</v>
      </c>
      <c r="L1454" s="31" t="str">
        <f t="shared" si="113"/>
        <v/>
      </c>
      <c r="M1454" s="31" t="str">
        <f t="shared" si="114"/>
        <v/>
      </c>
    </row>
    <row r="1455" spans="1:13" x14ac:dyDescent="0.15">
      <c r="A1455" s="163" t="s">
        <v>210</v>
      </c>
      <c r="B1455" s="163">
        <v>42315.341819953705</v>
      </c>
      <c r="C1455" s="164" t="s">
        <v>1589</v>
      </c>
      <c r="D1455" s="164" t="s">
        <v>13</v>
      </c>
      <c r="E1455" s="165">
        <v>100</v>
      </c>
      <c r="F1455" s="166">
        <v>0</v>
      </c>
      <c r="G1455" s="227">
        <f>IF($B$2,IF(ROWS(B$6:$B1455) = 1,$B1455-Start_Date,$B1455-$B1454),"")</f>
        <v>2.2320856485748664E-2</v>
      </c>
      <c r="H1455" s="29">
        <f>IF($B$2,IF(ROWS(B$6:$B1455) = 1,IF(COUNTIFS(R_Schedule_Times,"&lt;"&amp;B1455),INDEX(R_Schedule_Amounts,MATCH(B1455,R_Schedule_Times,1)),Starting_Cash),IF(COUNTIFS(R_Schedule_Times,"&gt;"&amp;B1454,R_Schedule_Times,"&lt;"&amp;B1455),INDEX(R_Schedule_Amounts,MATCH(B1455,R_Schedule_Times,1)),K1454)),"")</f>
        <v>8440</v>
      </c>
      <c r="I1455" s="30">
        <f t="shared" si="110"/>
        <v>100</v>
      </c>
      <c r="J1455" s="31">
        <f t="shared" si="111"/>
        <v>0</v>
      </c>
      <c r="K1455" s="29">
        <f t="shared" si="112"/>
        <v>8340</v>
      </c>
      <c r="L1455" s="31" t="str">
        <f t="shared" si="113"/>
        <v/>
      </c>
      <c r="M1455" s="31" t="str">
        <f t="shared" si="114"/>
        <v/>
      </c>
    </row>
    <row r="1456" spans="1:13" x14ac:dyDescent="0.15">
      <c r="A1456" s="163" t="s">
        <v>210</v>
      </c>
      <c r="B1456" s="163">
        <v>42315.34309047454</v>
      </c>
      <c r="C1456" s="164" t="s">
        <v>1590</v>
      </c>
      <c r="D1456" s="164" t="s">
        <v>13</v>
      </c>
      <c r="E1456" s="165">
        <v>40</v>
      </c>
      <c r="F1456" s="166">
        <v>0</v>
      </c>
      <c r="G1456" s="227">
        <f>IF($B$2,IF(ROWS(B$6:$B1456) = 1,$B1456-Start_Date,$B1456-$B1455),"")</f>
        <v>1.2705208355328068E-3</v>
      </c>
      <c r="H1456" s="29">
        <f>IF($B$2,IF(ROWS(B$6:$B1456) = 1,IF(COUNTIFS(R_Schedule_Times,"&lt;"&amp;B1456),INDEX(R_Schedule_Amounts,MATCH(B1456,R_Schedule_Times,1)),Starting_Cash),IF(COUNTIFS(R_Schedule_Times,"&gt;"&amp;B1455,R_Schedule_Times,"&lt;"&amp;B1456),INDEX(R_Schedule_Amounts,MATCH(B1456,R_Schedule_Times,1)),K1455)),"")</f>
        <v>8340</v>
      </c>
      <c r="I1456" s="30">
        <f t="shared" si="110"/>
        <v>40</v>
      </c>
      <c r="J1456" s="31">
        <f t="shared" si="111"/>
        <v>0</v>
      </c>
      <c r="K1456" s="29">
        <f t="shared" si="112"/>
        <v>8300</v>
      </c>
      <c r="L1456" s="31" t="str">
        <f t="shared" si="113"/>
        <v/>
      </c>
      <c r="M1456" s="31" t="str">
        <f t="shared" si="114"/>
        <v/>
      </c>
    </row>
    <row r="1457" spans="1:13" x14ac:dyDescent="0.15">
      <c r="A1457" s="163" t="s">
        <v>210</v>
      </c>
      <c r="B1457" s="163">
        <v>42315.355879305556</v>
      </c>
      <c r="C1457" s="164" t="s">
        <v>586</v>
      </c>
      <c r="D1457" s="164" t="s">
        <v>13</v>
      </c>
      <c r="E1457" s="165">
        <v>200</v>
      </c>
      <c r="F1457" s="166">
        <v>0</v>
      </c>
      <c r="G1457" s="227">
        <f>IF($B$2,IF(ROWS(B$6:$B1457) = 1,$B1457-Start_Date,$B1457-$B1456),"")</f>
        <v>1.2788831016223412E-2</v>
      </c>
      <c r="H1457" s="29">
        <f>IF($B$2,IF(ROWS(B$6:$B1457) = 1,IF(COUNTIFS(R_Schedule_Times,"&lt;"&amp;B1457),INDEX(R_Schedule_Amounts,MATCH(B1457,R_Schedule_Times,1)),Starting_Cash),IF(COUNTIFS(R_Schedule_Times,"&gt;"&amp;B1456,R_Schedule_Times,"&lt;"&amp;B1457),INDEX(R_Schedule_Amounts,MATCH(B1457,R_Schedule_Times,1)),K1456)),"")</f>
        <v>8300</v>
      </c>
      <c r="I1457" s="30">
        <f t="shared" si="110"/>
        <v>200</v>
      </c>
      <c r="J1457" s="31">
        <f t="shared" si="111"/>
        <v>0</v>
      </c>
      <c r="K1457" s="29">
        <f t="shared" si="112"/>
        <v>8100</v>
      </c>
      <c r="L1457" s="31" t="str">
        <f t="shared" si="113"/>
        <v/>
      </c>
      <c r="M1457" s="31" t="str">
        <f t="shared" si="114"/>
        <v/>
      </c>
    </row>
    <row r="1458" spans="1:13" x14ac:dyDescent="0.15">
      <c r="A1458" s="163" t="s">
        <v>210</v>
      </c>
      <c r="B1458" s="163">
        <v>42315.366416689816</v>
      </c>
      <c r="C1458" s="164" t="s">
        <v>1591</v>
      </c>
      <c r="D1458" s="164" t="s">
        <v>13</v>
      </c>
      <c r="E1458" s="165">
        <v>120</v>
      </c>
      <c r="F1458" s="166">
        <v>0</v>
      </c>
      <c r="G1458" s="227">
        <f>IF($B$2,IF(ROWS(B$6:$B1458) = 1,$B1458-Start_Date,$B1458-$B1457),"")</f>
        <v>1.0537384259805549E-2</v>
      </c>
      <c r="H1458" s="29">
        <f>IF($B$2,IF(ROWS(B$6:$B1458) = 1,IF(COUNTIFS(R_Schedule_Times,"&lt;"&amp;B1458),INDEX(R_Schedule_Amounts,MATCH(B1458,R_Schedule_Times,1)),Starting_Cash),IF(COUNTIFS(R_Schedule_Times,"&gt;"&amp;B1457,R_Schedule_Times,"&lt;"&amp;B1458),INDEX(R_Schedule_Amounts,MATCH(B1458,R_Schedule_Times,1)),K1457)),"")</f>
        <v>8100</v>
      </c>
      <c r="I1458" s="30">
        <f t="shared" si="110"/>
        <v>120</v>
      </c>
      <c r="J1458" s="31">
        <f t="shared" si="111"/>
        <v>0</v>
      </c>
      <c r="K1458" s="29">
        <f t="shared" si="112"/>
        <v>7980</v>
      </c>
      <c r="L1458" s="31" t="str">
        <f t="shared" si="113"/>
        <v/>
      </c>
      <c r="M1458" s="31" t="str">
        <f t="shared" si="114"/>
        <v/>
      </c>
    </row>
    <row r="1459" spans="1:13" x14ac:dyDescent="0.15">
      <c r="A1459" s="163" t="s">
        <v>210</v>
      </c>
      <c r="B1459" s="163">
        <v>42315.370067974538</v>
      </c>
      <c r="C1459" s="164" t="s">
        <v>172</v>
      </c>
      <c r="D1459" s="164" t="s">
        <v>13</v>
      </c>
      <c r="E1459" s="165">
        <v>40</v>
      </c>
      <c r="F1459" s="166">
        <v>0</v>
      </c>
      <c r="G1459" s="227">
        <f>IF($B$2,IF(ROWS(B$6:$B1459) = 1,$B1459-Start_Date,$B1459-$B1458),"")</f>
        <v>3.6512847218546085E-3</v>
      </c>
      <c r="H1459" s="29">
        <f>IF($B$2,IF(ROWS(B$6:$B1459) = 1,IF(COUNTIFS(R_Schedule_Times,"&lt;"&amp;B1459),INDEX(R_Schedule_Amounts,MATCH(B1459,R_Schedule_Times,1)),Starting_Cash),IF(COUNTIFS(R_Schedule_Times,"&gt;"&amp;B1458,R_Schedule_Times,"&lt;"&amp;B1459),INDEX(R_Schedule_Amounts,MATCH(B1459,R_Schedule_Times,1)),K1458)),"")</f>
        <v>7980</v>
      </c>
      <c r="I1459" s="30">
        <f t="shared" si="110"/>
        <v>40</v>
      </c>
      <c r="J1459" s="31">
        <f t="shared" si="111"/>
        <v>0</v>
      </c>
      <c r="K1459" s="29">
        <f t="shared" si="112"/>
        <v>7940</v>
      </c>
      <c r="L1459" s="31" t="str">
        <f t="shared" si="113"/>
        <v/>
      </c>
      <c r="M1459" s="31" t="str">
        <f t="shared" si="114"/>
        <v/>
      </c>
    </row>
    <row r="1460" spans="1:13" x14ac:dyDescent="0.15">
      <c r="A1460" s="163" t="s">
        <v>210</v>
      </c>
      <c r="B1460" s="163">
        <v>42315.376473715274</v>
      </c>
      <c r="C1460" s="164" t="s">
        <v>410</v>
      </c>
      <c r="D1460" s="164" t="s">
        <v>13</v>
      </c>
      <c r="E1460" s="165">
        <v>80</v>
      </c>
      <c r="F1460" s="166">
        <v>0</v>
      </c>
      <c r="G1460" s="227">
        <f>IF($B$2,IF(ROWS(B$6:$B1460) = 1,$B1460-Start_Date,$B1460-$B1459),"")</f>
        <v>6.4057407362270169E-3</v>
      </c>
      <c r="H1460" s="29">
        <f>IF($B$2,IF(ROWS(B$6:$B1460) = 1,IF(COUNTIFS(R_Schedule_Times,"&lt;"&amp;B1460),INDEX(R_Schedule_Amounts,MATCH(B1460,R_Schedule_Times,1)),Starting_Cash),IF(COUNTIFS(R_Schedule_Times,"&gt;"&amp;B1459,R_Schedule_Times,"&lt;"&amp;B1460),INDEX(R_Schedule_Amounts,MATCH(B1460,R_Schedule_Times,1)),K1459)),"")</f>
        <v>7940</v>
      </c>
      <c r="I1460" s="30">
        <f t="shared" si="110"/>
        <v>80</v>
      </c>
      <c r="J1460" s="31">
        <f t="shared" si="111"/>
        <v>0</v>
      </c>
      <c r="K1460" s="29">
        <f t="shared" si="112"/>
        <v>7860</v>
      </c>
      <c r="L1460" s="31" t="str">
        <f t="shared" si="113"/>
        <v/>
      </c>
      <c r="M1460" s="31" t="str">
        <f t="shared" si="114"/>
        <v/>
      </c>
    </row>
    <row r="1461" spans="1:13" x14ac:dyDescent="0.15">
      <c r="A1461" s="163" t="s">
        <v>210</v>
      </c>
      <c r="B1461" s="163">
        <v>42315.388914479168</v>
      </c>
      <c r="C1461" s="164" t="s">
        <v>1592</v>
      </c>
      <c r="D1461" s="164" t="s">
        <v>13</v>
      </c>
      <c r="E1461" s="165">
        <v>100</v>
      </c>
      <c r="F1461" s="166">
        <v>0</v>
      </c>
      <c r="G1461" s="227">
        <f>IF($B$2,IF(ROWS(B$6:$B1461) = 1,$B1461-Start_Date,$B1461-$B1460),"")</f>
        <v>1.24407638941193E-2</v>
      </c>
      <c r="H1461" s="29">
        <f>IF($B$2,IF(ROWS(B$6:$B1461) = 1,IF(COUNTIFS(R_Schedule_Times,"&lt;"&amp;B1461),INDEX(R_Schedule_Amounts,MATCH(B1461,R_Schedule_Times,1)),Starting_Cash),IF(COUNTIFS(R_Schedule_Times,"&gt;"&amp;B1460,R_Schedule_Times,"&lt;"&amp;B1461),INDEX(R_Schedule_Amounts,MATCH(B1461,R_Schedule_Times,1)),K1460)),"")</f>
        <v>7860</v>
      </c>
      <c r="I1461" s="30">
        <f t="shared" si="110"/>
        <v>100</v>
      </c>
      <c r="J1461" s="31">
        <f t="shared" si="111"/>
        <v>0</v>
      </c>
      <c r="K1461" s="29">
        <f t="shared" si="112"/>
        <v>7760</v>
      </c>
      <c r="L1461" s="31" t="str">
        <f t="shared" si="113"/>
        <v/>
      </c>
      <c r="M1461" s="31" t="str">
        <f t="shared" si="114"/>
        <v/>
      </c>
    </row>
    <row r="1462" spans="1:13" x14ac:dyDescent="0.15">
      <c r="A1462" s="163" t="s">
        <v>210</v>
      </c>
      <c r="B1462" s="163">
        <v>42315.406234780094</v>
      </c>
      <c r="C1462" s="164" t="s">
        <v>1593</v>
      </c>
      <c r="D1462" s="164" t="s">
        <v>13</v>
      </c>
      <c r="E1462" s="165">
        <v>500</v>
      </c>
      <c r="F1462" s="166">
        <v>0</v>
      </c>
      <c r="G1462" s="227">
        <f>IF($B$2,IF(ROWS(B$6:$B1462) = 1,$B1462-Start_Date,$B1462-$B1461),"")</f>
        <v>1.732030092534842E-2</v>
      </c>
      <c r="H1462" s="29">
        <f>IF($B$2,IF(ROWS(B$6:$B1462) = 1,IF(COUNTIFS(R_Schedule_Times,"&lt;"&amp;B1462),INDEX(R_Schedule_Amounts,MATCH(B1462,R_Schedule_Times,1)),Starting_Cash),IF(COUNTIFS(R_Schedule_Times,"&gt;"&amp;B1461,R_Schedule_Times,"&lt;"&amp;B1462),INDEX(R_Schedule_Amounts,MATCH(B1462,R_Schedule_Times,1)),K1461)),"")</f>
        <v>7760</v>
      </c>
      <c r="I1462" s="30">
        <f t="shared" si="110"/>
        <v>500</v>
      </c>
      <c r="J1462" s="31">
        <f t="shared" si="111"/>
        <v>0</v>
      </c>
      <c r="K1462" s="29">
        <f t="shared" si="112"/>
        <v>7260</v>
      </c>
      <c r="L1462" s="31" t="str">
        <f t="shared" si="113"/>
        <v/>
      </c>
      <c r="M1462" s="31" t="str">
        <f t="shared" si="114"/>
        <v/>
      </c>
    </row>
    <row r="1463" spans="1:13" x14ac:dyDescent="0.15">
      <c r="A1463" s="163" t="s">
        <v>210</v>
      </c>
      <c r="B1463" s="163">
        <v>42315.422864780092</v>
      </c>
      <c r="C1463" s="164" t="s">
        <v>411</v>
      </c>
      <c r="D1463" s="164" t="s">
        <v>13</v>
      </c>
      <c r="E1463" s="165">
        <v>360</v>
      </c>
      <c r="F1463" s="166">
        <v>0</v>
      </c>
      <c r="G1463" s="227">
        <f>IF($B$2,IF(ROWS(B$6:$B1463) = 1,$B1463-Start_Date,$B1463-$B1462),"")</f>
        <v>1.6629999998258427E-2</v>
      </c>
      <c r="H1463" s="29">
        <f>IF($B$2,IF(ROWS(B$6:$B1463) = 1,IF(COUNTIFS(R_Schedule_Times,"&lt;"&amp;B1463),INDEX(R_Schedule_Amounts,MATCH(B1463,R_Schedule_Times,1)),Starting_Cash),IF(COUNTIFS(R_Schedule_Times,"&gt;"&amp;B1462,R_Schedule_Times,"&lt;"&amp;B1463),INDEX(R_Schedule_Amounts,MATCH(B1463,R_Schedule_Times,1)),K1462)),"")</f>
        <v>7260</v>
      </c>
      <c r="I1463" s="30">
        <f t="shared" si="110"/>
        <v>360</v>
      </c>
      <c r="J1463" s="31">
        <f t="shared" si="111"/>
        <v>0</v>
      </c>
      <c r="K1463" s="29">
        <f t="shared" si="112"/>
        <v>6900</v>
      </c>
      <c r="L1463" s="31" t="str">
        <f t="shared" si="113"/>
        <v/>
      </c>
      <c r="M1463" s="31" t="str">
        <f t="shared" si="114"/>
        <v/>
      </c>
    </row>
    <row r="1464" spans="1:13" x14ac:dyDescent="0.15">
      <c r="A1464" s="163" t="s">
        <v>210</v>
      </c>
      <c r="B1464" s="163">
        <v>42315.426538564818</v>
      </c>
      <c r="C1464" s="164" t="s">
        <v>412</v>
      </c>
      <c r="D1464" s="164" t="s">
        <v>13</v>
      </c>
      <c r="E1464" s="165">
        <v>200</v>
      </c>
      <c r="F1464" s="166">
        <v>0</v>
      </c>
      <c r="G1464" s="227">
        <f>IF($B$2,IF(ROWS(B$6:$B1464) = 1,$B1464-Start_Date,$B1464-$B1463),"")</f>
        <v>3.6737847258336842E-3</v>
      </c>
      <c r="H1464" s="29">
        <f>IF($B$2,IF(ROWS(B$6:$B1464) = 1,IF(COUNTIFS(R_Schedule_Times,"&lt;"&amp;B1464),INDEX(R_Schedule_Amounts,MATCH(B1464,R_Schedule_Times,1)),Starting_Cash),IF(COUNTIFS(R_Schedule_Times,"&gt;"&amp;B1463,R_Schedule_Times,"&lt;"&amp;B1464),INDEX(R_Schedule_Amounts,MATCH(B1464,R_Schedule_Times,1)),K1463)),"")</f>
        <v>6900</v>
      </c>
      <c r="I1464" s="30">
        <f t="shared" si="110"/>
        <v>200</v>
      </c>
      <c r="J1464" s="31">
        <f t="shared" si="111"/>
        <v>0</v>
      </c>
      <c r="K1464" s="29">
        <f t="shared" si="112"/>
        <v>6700</v>
      </c>
      <c r="L1464" s="31" t="str">
        <f t="shared" si="113"/>
        <v/>
      </c>
      <c r="M1464" s="31" t="str">
        <f t="shared" si="114"/>
        <v/>
      </c>
    </row>
    <row r="1465" spans="1:13" x14ac:dyDescent="0.15">
      <c r="A1465" s="163" t="s">
        <v>210</v>
      </c>
      <c r="B1465" s="163">
        <v>42315.43684224537</v>
      </c>
      <c r="C1465" s="164" t="s">
        <v>413</v>
      </c>
      <c r="D1465" s="164" t="s">
        <v>13</v>
      </c>
      <c r="E1465" s="165">
        <v>40</v>
      </c>
      <c r="F1465" s="166">
        <v>0</v>
      </c>
      <c r="G1465" s="227">
        <f>IF($B$2,IF(ROWS(B$6:$B1465) = 1,$B1465-Start_Date,$B1465-$B1464),"")</f>
        <v>1.0303680552169681E-2</v>
      </c>
      <c r="H1465" s="29">
        <f>IF($B$2,IF(ROWS(B$6:$B1465) = 1,IF(COUNTIFS(R_Schedule_Times,"&lt;"&amp;B1465),INDEX(R_Schedule_Amounts,MATCH(B1465,R_Schedule_Times,1)),Starting_Cash),IF(COUNTIFS(R_Schedule_Times,"&gt;"&amp;B1464,R_Schedule_Times,"&lt;"&amp;B1465),INDEX(R_Schedule_Amounts,MATCH(B1465,R_Schedule_Times,1)),K1464)),"")</f>
        <v>6700</v>
      </c>
      <c r="I1465" s="30">
        <f t="shared" si="110"/>
        <v>40</v>
      </c>
      <c r="J1465" s="31">
        <f t="shared" si="111"/>
        <v>0</v>
      </c>
      <c r="K1465" s="29">
        <f t="shared" si="112"/>
        <v>6660</v>
      </c>
      <c r="L1465" s="31" t="str">
        <f t="shared" si="113"/>
        <v/>
      </c>
      <c r="M1465" s="31" t="str">
        <f t="shared" si="114"/>
        <v/>
      </c>
    </row>
    <row r="1466" spans="1:13" x14ac:dyDescent="0.15">
      <c r="A1466" s="163" t="s">
        <v>210</v>
      </c>
      <c r="B1466" s="163">
        <v>42315.455671435186</v>
      </c>
      <c r="C1466" s="164" t="s">
        <v>1594</v>
      </c>
      <c r="D1466" s="164" t="s">
        <v>13</v>
      </c>
      <c r="E1466" s="165">
        <v>40</v>
      </c>
      <c r="F1466" s="166">
        <v>0</v>
      </c>
      <c r="G1466" s="227">
        <f>IF($B$2,IF(ROWS(B$6:$B1466) = 1,$B1466-Start_Date,$B1466-$B1465),"")</f>
        <v>1.8829189815733116E-2</v>
      </c>
      <c r="H1466" s="29">
        <f>IF($B$2,IF(ROWS(B$6:$B1466) = 1,IF(COUNTIFS(R_Schedule_Times,"&lt;"&amp;B1466),INDEX(R_Schedule_Amounts,MATCH(B1466,R_Schedule_Times,1)),Starting_Cash),IF(COUNTIFS(R_Schedule_Times,"&gt;"&amp;B1465,R_Schedule_Times,"&lt;"&amp;B1466),INDEX(R_Schedule_Amounts,MATCH(B1466,R_Schedule_Times,1)),K1465)),"")</f>
        <v>6660</v>
      </c>
      <c r="I1466" s="30">
        <f t="shared" si="110"/>
        <v>40</v>
      </c>
      <c r="J1466" s="31">
        <f t="shared" si="111"/>
        <v>0</v>
      </c>
      <c r="K1466" s="29">
        <f t="shared" si="112"/>
        <v>6620</v>
      </c>
      <c r="L1466" s="31" t="str">
        <f t="shared" si="113"/>
        <v/>
      </c>
      <c r="M1466" s="31" t="str">
        <f t="shared" si="114"/>
        <v/>
      </c>
    </row>
    <row r="1467" spans="1:13" x14ac:dyDescent="0.15">
      <c r="A1467" s="163" t="s">
        <v>210</v>
      </c>
      <c r="B1467" s="163">
        <v>42315.46557980324</v>
      </c>
      <c r="C1467" s="164" t="s">
        <v>1595</v>
      </c>
      <c r="D1467" s="164" t="s">
        <v>13</v>
      </c>
      <c r="E1467" s="165">
        <v>40</v>
      </c>
      <c r="F1467" s="166">
        <v>0</v>
      </c>
      <c r="G1467" s="227">
        <f>IF($B$2,IF(ROWS(B$6:$B1467) = 1,$B1467-Start_Date,$B1467-$B1466),"")</f>
        <v>9.9083680543117225E-3</v>
      </c>
      <c r="H1467" s="29">
        <f>IF($B$2,IF(ROWS(B$6:$B1467) = 1,IF(COUNTIFS(R_Schedule_Times,"&lt;"&amp;B1467),INDEX(R_Schedule_Amounts,MATCH(B1467,R_Schedule_Times,1)),Starting_Cash),IF(COUNTIFS(R_Schedule_Times,"&gt;"&amp;B1466,R_Schedule_Times,"&lt;"&amp;B1467),INDEX(R_Schedule_Amounts,MATCH(B1467,R_Schedule_Times,1)),K1466)),"")</f>
        <v>6620</v>
      </c>
      <c r="I1467" s="30">
        <f t="shared" si="110"/>
        <v>40</v>
      </c>
      <c r="J1467" s="31">
        <f t="shared" si="111"/>
        <v>0</v>
      </c>
      <c r="K1467" s="29">
        <f t="shared" si="112"/>
        <v>6580</v>
      </c>
      <c r="L1467" s="31" t="str">
        <f t="shared" si="113"/>
        <v/>
      </c>
      <c r="M1467" s="31" t="str">
        <f t="shared" si="114"/>
        <v/>
      </c>
    </row>
    <row r="1468" spans="1:13" x14ac:dyDescent="0.15">
      <c r="A1468" s="163" t="s">
        <v>210</v>
      </c>
      <c r="B1468" s="163">
        <v>42315.510322337963</v>
      </c>
      <c r="C1468" s="164" t="s">
        <v>1596</v>
      </c>
      <c r="D1468" s="164" t="s">
        <v>13</v>
      </c>
      <c r="E1468" s="165">
        <v>20</v>
      </c>
      <c r="F1468" s="166">
        <v>0</v>
      </c>
      <c r="G1468" s="227">
        <f>IF($B$2,IF(ROWS(B$6:$B1468) = 1,$B1468-Start_Date,$B1468-$B1467),"")</f>
        <v>4.4742534722900018E-2</v>
      </c>
      <c r="H1468" s="29">
        <f>IF($B$2,IF(ROWS(B$6:$B1468) = 1,IF(COUNTIFS(R_Schedule_Times,"&lt;"&amp;B1468),INDEX(R_Schedule_Amounts,MATCH(B1468,R_Schedule_Times,1)),Starting_Cash),IF(COUNTIFS(R_Schedule_Times,"&gt;"&amp;B1467,R_Schedule_Times,"&lt;"&amp;B1468),INDEX(R_Schedule_Amounts,MATCH(B1468,R_Schedule_Times,1)),K1467)),"")</f>
        <v>6580</v>
      </c>
      <c r="I1468" s="30">
        <f t="shared" si="110"/>
        <v>20</v>
      </c>
      <c r="J1468" s="31">
        <f t="shared" si="111"/>
        <v>0</v>
      </c>
      <c r="K1468" s="29">
        <f t="shared" si="112"/>
        <v>6560</v>
      </c>
      <c r="L1468" s="31" t="str">
        <f t="shared" si="113"/>
        <v/>
      </c>
      <c r="M1468" s="31" t="str">
        <f t="shared" si="114"/>
        <v/>
      </c>
    </row>
    <row r="1469" spans="1:13" x14ac:dyDescent="0.15">
      <c r="A1469" s="163" t="s">
        <v>210</v>
      </c>
      <c r="B1469" s="163">
        <v>42315.515388726853</v>
      </c>
      <c r="C1469" s="164" t="s">
        <v>120</v>
      </c>
      <c r="D1469" s="164" t="s">
        <v>13</v>
      </c>
      <c r="E1469" s="165">
        <v>40</v>
      </c>
      <c r="F1469" s="166">
        <v>0</v>
      </c>
      <c r="G1469" s="227">
        <f>IF($B$2,IF(ROWS(B$6:$B1469) = 1,$B1469-Start_Date,$B1469-$B1468),"")</f>
        <v>5.0663888905546628E-3</v>
      </c>
      <c r="H1469" s="29">
        <f>IF($B$2,IF(ROWS(B$6:$B1469) = 1,IF(COUNTIFS(R_Schedule_Times,"&lt;"&amp;B1469),INDEX(R_Schedule_Amounts,MATCH(B1469,R_Schedule_Times,1)),Starting_Cash),IF(COUNTIFS(R_Schedule_Times,"&gt;"&amp;B1468,R_Schedule_Times,"&lt;"&amp;B1469),INDEX(R_Schedule_Amounts,MATCH(B1469,R_Schedule_Times,1)),K1468)),"")</f>
        <v>6560</v>
      </c>
      <c r="I1469" s="30">
        <f t="shared" si="110"/>
        <v>40</v>
      </c>
      <c r="J1469" s="31">
        <f t="shared" si="111"/>
        <v>0</v>
      </c>
      <c r="K1469" s="29">
        <f t="shared" si="112"/>
        <v>6520</v>
      </c>
      <c r="L1469" s="31" t="str">
        <f t="shared" si="113"/>
        <v/>
      </c>
      <c r="M1469" s="31" t="str">
        <f t="shared" si="114"/>
        <v/>
      </c>
    </row>
    <row r="1470" spans="1:13" x14ac:dyDescent="0.15">
      <c r="A1470" s="163" t="s">
        <v>210</v>
      </c>
      <c r="B1470" s="163">
        <v>42315.51896833333</v>
      </c>
      <c r="C1470" s="164" t="s">
        <v>14</v>
      </c>
      <c r="D1470" s="164" t="s">
        <v>13</v>
      </c>
      <c r="E1470" s="165">
        <v>100</v>
      </c>
      <c r="F1470" s="166">
        <v>3.5</v>
      </c>
      <c r="G1470" s="227">
        <f>IF($B$2,IF(ROWS(B$6:$B1470) = 1,$B1470-Start_Date,$B1470-$B1469),"")</f>
        <v>3.5796064767055213E-3</v>
      </c>
      <c r="H1470" s="29">
        <f>IF($B$2,IF(ROWS(B$6:$B1470) = 1,IF(COUNTIFS(R_Schedule_Times,"&lt;"&amp;B1470),INDEX(R_Schedule_Amounts,MATCH(B1470,R_Schedule_Times,1)),Starting_Cash),IF(COUNTIFS(R_Schedule_Times,"&gt;"&amp;B1469,R_Schedule_Times,"&lt;"&amp;B1470),INDEX(R_Schedule_Amounts,MATCH(B1470,R_Schedule_Times,1)),K1469)),"")</f>
        <v>6520</v>
      </c>
      <c r="I1470" s="30">
        <f t="shared" si="110"/>
        <v>100</v>
      </c>
      <c r="J1470" s="31">
        <f t="shared" si="111"/>
        <v>3.5</v>
      </c>
      <c r="K1470" s="29">
        <f t="shared" si="112"/>
        <v>6420</v>
      </c>
      <c r="L1470" s="31" t="str">
        <f t="shared" si="113"/>
        <v/>
      </c>
      <c r="M1470" s="31" t="str">
        <f t="shared" si="114"/>
        <v/>
      </c>
    </row>
    <row r="1471" spans="1:13" x14ac:dyDescent="0.15">
      <c r="A1471" s="163" t="s">
        <v>210</v>
      </c>
      <c r="B1471" s="163">
        <v>42315.609565439816</v>
      </c>
      <c r="C1471" s="164" t="s">
        <v>14</v>
      </c>
      <c r="D1471" s="164" t="s">
        <v>13</v>
      </c>
      <c r="E1471" s="165">
        <v>200</v>
      </c>
      <c r="F1471" s="166">
        <v>3.5</v>
      </c>
      <c r="G1471" s="227">
        <f>IF($B$2,IF(ROWS(B$6:$B1471) = 1,$B1471-Start_Date,$B1471-$B1470),"")</f>
        <v>9.0597106485802215E-2</v>
      </c>
      <c r="H1471" s="29">
        <f>IF($B$2,IF(ROWS(B$6:$B1471) = 1,IF(COUNTIFS(R_Schedule_Times,"&lt;"&amp;B1471),INDEX(R_Schedule_Amounts,MATCH(B1471,R_Schedule_Times,1)),Starting_Cash),IF(COUNTIFS(R_Schedule_Times,"&gt;"&amp;B1470,R_Schedule_Times,"&lt;"&amp;B1471),INDEX(R_Schedule_Amounts,MATCH(B1471,R_Schedule_Times,1)),K1470)),"")</f>
        <v>6420</v>
      </c>
      <c r="I1471" s="30">
        <f t="shared" si="110"/>
        <v>200</v>
      </c>
      <c r="J1471" s="31">
        <f t="shared" si="111"/>
        <v>3.5</v>
      </c>
      <c r="K1471" s="29">
        <f t="shared" si="112"/>
        <v>6220</v>
      </c>
      <c r="L1471" s="31" t="str">
        <f t="shared" si="113"/>
        <v/>
      </c>
      <c r="M1471" s="31" t="str">
        <f t="shared" si="114"/>
        <v/>
      </c>
    </row>
    <row r="1472" spans="1:13" x14ac:dyDescent="0.15">
      <c r="A1472" s="163" t="s">
        <v>210</v>
      </c>
      <c r="B1472" s="163">
        <v>42315.613787685186</v>
      </c>
      <c r="C1472" s="164" t="s">
        <v>14</v>
      </c>
      <c r="D1472" s="164" t="s">
        <v>13</v>
      </c>
      <c r="E1472" s="165">
        <v>80</v>
      </c>
      <c r="F1472" s="166">
        <v>3.5</v>
      </c>
      <c r="G1472" s="227">
        <f>IF($B$2,IF(ROWS(B$6:$B1472) = 1,$B1472-Start_Date,$B1472-$B1471),"")</f>
        <v>4.222245370328892E-3</v>
      </c>
      <c r="H1472" s="29">
        <f>IF($B$2,IF(ROWS(B$6:$B1472) = 1,IF(COUNTIFS(R_Schedule_Times,"&lt;"&amp;B1472),INDEX(R_Schedule_Amounts,MATCH(B1472,R_Schedule_Times,1)),Starting_Cash),IF(COUNTIFS(R_Schedule_Times,"&gt;"&amp;B1471,R_Schedule_Times,"&lt;"&amp;B1472),INDEX(R_Schedule_Amounts,MATCH(B1472,R_Schedule_Times,1)),K1471)),"")</f>
        <v>6220</v>
      </c>
      <c r="I1472" s="30">
        <f t="shared" si="110"/>
        <v>80</v>
      </c>
      <c r="J1472" s="31">
        <f t="shared" si="111"/>
        <v>3.5</v>
      </c>
      <c r="K1472" s="29">
        <f t="shared" si="112"/>
        <v>6140</v>
      </c>
      <c r="L1472" s="31" t="str">
        <f t="shared" si="113"/>
        <v/>
      </c>
      <c r="M1472" s="31" t="str">
        <f t="shared" si="114"/>
        <v/>
      </c>
    </row>
    <row r="1473" spans="1:13" x14ac:dyDescent="0.15">
      <c r="A1473" s="163" t="s">
        <v>210</v>
      </c>
      <c r="B1473" s="163">
        <v>42315.629103333333</v>
      </c>
      <c r="C1473" s="164" t="s">
        <v>1597</v>
      </c>
      <c r="D1473" s="164" t="s">
        <v>13</v>
      </c>
      <c r="E1473" s="165">
        <v>40</v>
      </c>
      <c r="F1473" s="166">
        <v>0</v>
      </c>
      <c r="G1473" s="227">
        <f>IF($B$2,IF(ROWS(B$6:$B1473) = 1,$B1473-Start_Date,$B1473-$B1472),"")</f>
        <v>1.5315648146497551E-2</v>
      </c>
      <c r="H1473" s="29">
        <f>IF($B$2,IF(ROWS(B$6:$B1473) = 1,IF(COUNTIFS(R_Schedule_Times,"&lt;"&amp;B1473),INDEX(R_Schedule_Amounts,MATCH(B1473,R_Schedule_Times,1)),Starting_Cash),IF(COUNTIFS(R_Schedule_Times,"&gt;"&amp;B1472,R_Schedule_Times,"&lt;"&amp;B1473),INDEX(R_Schedule_Amounts,MATCH(B1473,R_Schedule_Times,1)),K1472)),"")</f>
        <v>6140</v>
      </c>
      <c r="I1473" s="30">
        <f t="shared" si="110"/>
        <v>40</v>
      </c>
      <c r="J1473" s="31">
        <f t="shared" si="111"/>
        <v>0</v>
      </c>
      <c r="K1473" s="29">
        <f t="shared" si="112"/>
        <v>6100</v>
      </c>
      <c r="L1473" s="31" t="str">
        <f t="shared" si="113"/>
        <v/>
      </c>
      <c r="M1473" s="31" t="str">
        <f t="shared" si="114"/>
        <v/>
      </c>
    </row>
    <row r="1474" spans="1:13" x14ac:dyDescent="0.15">
      <c r="A1474" s="163" t="s">
        <v>210</v>
      </c>
      <c r="B1474" s="163">
        <v>42315.650509502317</v>
      </c>
      <c r="C1474" s="164" t="s">
        <v>236</v>
      </c>
      <c r="D1474" s="164" t="s">
        <v>13</v>
      </c>
      <c r="E1474" s="165">
        <v>40</v>
      </c>
      <c r="F1474" s="166">
        <v>0</v>
      </c>
      <c r="G1474" s="227">
        <f>IF($B$2,IF(ROWS(B$6:$B1474) = 1,$B1474-Start_Date,$B1474-$B1473),"")</f>
        <v>2.1406168983958196E-2</v>
      </c>
      <c r="H1474" s="29">
        <f>IF($B$2,IF(ROWS(B$6:$B1474) = 1,IF(COUNTIFS(R_Schedule_Times,"&lt;"&amp;B1474),INDEX(R_Schedule_Amounts,MATCH(B1474,R_Schedule_Times,1)),Starting_Cash),IF(COUNTIFS(R_Schedule_Times,"&gt;"&amp;B1473,R_Schedule_Times,"&lt;"&amp;B1474),INDEX(R_Schedule_Amounts,MATCH(B1474,R_Schedule_Times,1)),K1473)),"")</f>
        <v>6100</v>
      </c>
      <c r="I1474" s="30">
        <f t="shared" si="110"/>
        <v>40</v>
      </c>
      <c r="J1474" s="31">
        <f t="shared" si="111"/>
        <v>0</v>
      </c>
      <c r="K1474" s="29">
        <f t="shared" si="112"/>
        <v>6060</v>
      </c>
      <c r="L1474" s="31" t="str">
        <f t="shared" si="113"/>
        <v/>
      </c>
      <c r="M1474" s="31" t="str">
        <f t="shared" si="114"/>
        <v/>
      </c>
    </row>
    <row r="1475" spans="1:13" x14ac:dyDescent="0.15">
      <c r="A1475" s="163" t="s">
        <v>210</v>
      </c>
      <c r="B1475" s="163">
        <v>42315.651714004627</v>
      </c>
      <c r="C1475" s="164" t="s">
        <v>1598</v>
      </c>
      <c r="D1475" s="164" t="s">
        <v>13</v>
      </c>
      <c r="E1475" s="165">
        <v>100</v>
      </c>
      <c r="F1475" s="166">
        <v>0</v>
      </c>
      <c r="G1475" s="227">
        <f>IF($B$2,IF(ROWS(B$6:$B1475) = 1,$B1475-Start_Date,$B1475-$B1474),"")</f>
        <v>1.2045023104292341E-3</v>
      </c>
      <c r="H1475" s="29">
        <f>IF($B$2,IF(ROWS(B$6:$B1475) = 1,IF(COUNTIFS(R_Schedule_Times,"&lt;"&amp;B1475),INDEX(R_Schedule_Amounts,MATCH(B1475,R_Schedule_Times,1)),Starting_Cash),IF(COUNTIFS(R_Schedule_Times,"&gt;"&amp;B1474,R_Schedule_Times,"&lt;"&amp;B1475),INDEX(R_Schedule_Amounts,MATCH(B1475,R_Schedule_Times,1)),K1474)),"")</f>
        <v>6060</v>
      </c>
      <c r="I1475" s="30">
        <f t="shared" si="110"/>
        <v>100</v>
      </c>
      <c r="J1475" s="31">
        <f t="shared" si="111"/>
        <v>0</v>
      </c>
      <c r="K1475" s="29">
        <f t="shared" si="112"/>
        <v>5960</v>
      </c>
      <c r="L1475" s="31" t="str">
        <f t="shared" si="113"/>
        <v/>
      </c>
      <c r="M1475" s="31" t="str">
        <f t="shared" si="114"/>
        <v/>
      </c>
    </row>
    <row r="1476" spans="1:13" x14ac:dyDescent="0.15">
      <c r="A1476" s="163" t="s">
        <v>210</v>
      </c>
      <c r="B1476" s="163">
        <v>42315.657553159719</v>
      </c>
      <c r="C1476" s="164" t="s">
        <v>1599</v>
      </c>
      <c r="D1476" s="164" t="s">
        <v>13</v>
      </c>
      <c r="E1476" s="165">
        <v>100</v>
      </c>
      <c r="F1476" s="166">
        <v>0</v>
      </c>
      <c r="G1476" s="227">
        <f>IF($B$2,IF(ROWS(B$6:$B1476) = 1,$B1476-Start_Date,$B1476-$B1475),"")</f>
        <v>5.8391550919623114E-3</v>
      </c>
      <c r="H1476" s="29">
        <f>IF($B$2,IF(ROWS(B$6:$B1476) = 1,IF(COUNTIFS(R_Schedule_Times,"&lt;"&amp;B1476),INDEX(R_Schedule_Amounts,MATCH(B1476,R_Schedule_Times,1)),Starting_Cash),IF(COUNTIFS(R_Schedule_Times,"&gt;"&amp;B1475,R_Schedule_Times,"&lt;"&amp;B1476),INDEX(R_Schedule_Amounts,MATCH(B1476,R_Schedule_Times,1)),K1475)),"")</f>
        <v>5960</v>
      </c>
      <c r="I1476" s="30">
        <f t="shared" si="110"/>
        <v>100</v>
      </c>
      <c r="J1476" s="31">
        <f t="shared" si="111"/>
        <v>0</v>
      </c>
      <c r="K1476" s="29">
        <f t="shared" si="112"/>
        <v>5860</v>
      </c>
      <c r="L1476" s="31" t="str">
        <f t="shared" si="113"/>
        <v/>
      </c>
      <c r="M1476" s="31" t="str">
        <f t="shared" si="114"/>
        <v/>
      </c>
    </row>
    <row r="1477" spans="1:13" x14ac:dyDescent="0.15">
      <c r="A1477" s="163" t="s">
        <v>210</v>
      </c>
      <c r="B1477" s="163">
        <v>42315.658757152778</v>
      </c>
      <c r="C1477" s="164" t="s">
        <v>14</v>
      </c>
      <c r="D1477" s="164" t="s">
        <v>13</v>
      </c>
      <c r="E1477" s="165">
        <v>20</v>
      </c>
      <c r="F1477" s="166">
        <v>3.5</v>
      </c>
      <c r="G1477" s="227">
        <f>IF($B$2,IF(ROWS(B$6:$B1477) = 1,$B1477-Start_Date,$B1477-$B1476),"")</f>
        <v>1.2039930588798597E-3</v>
      </c>
      <c r="H1477" s="29">
        <f>IF($B$2,IF(ROWS(B$6:$B1477) = 1,IF(COUNTIFS(R_Schedule_Times,"&lt;"&amp;B1477),INDEX(R_Schedule_Amounts,MATCH(B1477,R_Schedule_Times,1)),Starting_Cash),IF(COUNTIFS(R_Schedule_Times,"&gt;"&amp;B1476,R_Schedule_Times,"&lt;"&amp;B1477),INDEX(R_Schedule_Amounts,MATCH(B1477,R_Schedule_Times,1)),K1476)),"")</f>
        <v>5860</v>
      </c>
      <c r="I1477" s="30">
        <f t="shared" si="110"/>
        <v>20</v>
      </c>
      <c r="J1477" s="31">
        <f t="shared" si="111"/>
        <v>3.5</v>
      </c>
      <c r="K1477" s="29">
        <f t="shared" si="112"/>
        <v>5840</v>
      </c>
      <c r="L1477" s="31" t="str">
        <f t="shared" si="113"/>
        <v/>
      </c>
      <c r="M1477" s="31" t="str">
        <f t="shared" si="114"/>
        <v/>
      </c>
    </row>
    <row r="1478" spans="1:13" x14ac:dyDescent="0.15">
      <c r="A1478" s="163" t="s">
        <v>210</v>
      </c>
      <c r="B1478" s="163">
        <v>42315.660210405091</v>
      </c>
      <c r="C1478" s="164" t="s">
        <v>1114</v>
      </c>
      <c r="D1478" s="164" t="s">
        <v>13</v>
      </c>
      <c r="E1478" s="165">
        <v>100</v>
      </c>
      <c r="F1478" s="166">
        <v>0</v>
      </c>
      <c r="G1478" s="227">
        <f>IF($B$2,IF(ROWS(B$6:$B1478) = 1,$B1478-Start_Date,$B1478-$B1477),"")</f>
        <v>1.4532523127854802E-3</v>
      </c>
      <c r="H1478" s="29">
        <f>IF($B$2,IF(ROWS(B$6:$B1478) = 1,IF(COUNTIFS(R_Schedule_Times,"&lt;"&amp;B1478),INDEX(R_Schedule_Amounts,MATCH(B1478,R_Schedule_Times,1)),Starting_Cash),IF(COUNTIFS(R_Schedule_Times,"&gt;"&amp;B1477,R_Schedule_Times,"&lt;"&amp;B1478),INDEX(R_Schedule_Amounts,MATCH(B1478,R_Schedule_Times,1)),K1477)),"")</f>
        <v>5840</v>
      </c>
      <c r="I1478" s="30">
        <f t="shared" si="110"/>
        <v>100</v>
      </c>
      <c r="J1478" s="31">
        <f t="shared" si="111"/>
        <v>0</v>
      </c>
      <c r="K1478" s="29">
        <f t="shared" si="112"/>
        <v>5740</v>
      </c>
      <c r="L1478" s="31" t="str">
        <f t="shared" si="113"/>
        <v/>
      </c>
      <c r="M1478" s="31" t="str">
        <f t="shared" si="114"/>
        <v/>
      </c>
    </row>
    <row r="1479" spans="1:13" x14ac:dyDescent="0.15">
      <c r="A1479" s="163" t="s">
        <v>210</v>
      </c>
      <c r="B1479" s="163">
        <v>42315.672378831019</v>
      </c>
      <c r="C1479" s="164" t="s">
        <v>1600</v>
      </c>
      <c r="D1479" s="164" t="s">
        <v>13</v>
      </c>
      <c r="E1479" s="165">
        <v>100</v>
      </c>
      <c r="F1479" s="166">
        <v>0</v>
      </c>
      <c r="G1479" s="227">
        <f>IF($B$2,IF(ROWS(B$6:$B1479) = 1,$B1479-Start_Date,$B1479-$B1478),"")</f>
        <v>1.2168425928393845E-2</v>
      </c>
      <c r="H1479" s="29">
        <f>IF($B$2,IF(ROWS(B$6:$B1479) = 1,IF(COUNTIFS(R_Schedule_Times,"&lt;"&amp;B1479),INDEX(R_Schedule_Amounts,MATCH(B1479,R_Schedule_Times,1)),Starting_Cash),IF(COUNTIFS(R_Schedule_Times,"&gt;"&amp;B1478,R_Schedule_Times,"&lt;"&amp;B1479),INDEX(R_Schedule_Amounts,MATCH(B1479,R_Schedule_Times,1)),K1478)),"")</f>
        <v>5740</v>
      </c>
      <c r="I1479" s="30">
        <f t="shared" ref="I1479:I1542" si="115">IF($B$2,IF(H1479&gt;=E1479,E1479,0),"")</f>
        <v>100</v>
      </c>
      <c r="J1479" s="31">
        <f t="shared" ref="J1479:J1542" si="116">IF($B$2,IF(H1479&gt;=E1479,F1479,0),"")</f>
        <v>0</v>
      </c>
      <c r="K1479" s="29">
        <f t="shared" ref="K1479:K1542" si="117">IF($B$2,ABS(I1479-H1479),"")</f>
        <v>5640</v>
      </c>
      <c r="L1479" s="31" t="str">
        <f t="shared" ref="L1479:L1542" si="118">IF($B$2,IF(H1479&lt;E1479,"YES",""),"")</f>
        <v/>
      </c>
      <c r="M1479" s="31" t="str">
        <f t="shared" ref="M1479:M1542" si="119">IF($B$2,IF(L1479="YES",F1479,""),"")</f>
        <v/>
      </c>
    </row>
    <row r="1480" spans="1:13" x14ac:dyDescent="0.15">
      <c r="A1480" s="163" t="s">
        <v>210</v>
      </c>
      <c r="B1480" s="163">
        <v>42315.675313854168</v>
      </c>
      <c r="C1480" s="164" t="s">
        <v>1601</v>
      </c>
      <c r="D1480" s="164" t="s">
        <v>13</v>
      </c>
      <c r="E1480" s="165">
        <v>200</v>
      </c>
      <c r="F1480" s="166">
        <v>0</v>
      </c>
      <c r="G1480" s="227">
        <f>IF($B$2,IF(ROWS(B$6:$B1480) = 1,$B1480-Start_Date,$B1480-$B1479),"")</f>
        <v>2.9350231488933787E-3</v>
      </c>
      <c r="H1480" s="29">
        <f>IF($B$2,IF(ROWS(B$6:$B1480) = 1,IF(COUNTIFS(R_Schedule_Times,"&lt;"&amp;B1480),INDEX(R_Schedule_Amounts,MATCH(B1480,R_Schedule_Times,1)),Starting_Cash),IF(COUNTIFS(R_Schedule_Times,"&gt;"&amp;B1479,R_Schedule_Times,"&lt;"&amp;B1480),INDEX(R_Schedule_Amounts,MATCH(B1480,R_Schedule_Times,1)),K1479)),"")</f>
        <v>5640</v>
      </c>
      <c r="I1480" s="30">
        <f t="shared" si="115"/>
        <v>200</v>
      </c>
      <c r="J1480" s="31">
        <f t="shared" si="116"/>
        <v>0</v>
      </c>
      <c r="K1480" s="29">
        <f t="shared" si="117"/>
        <v>5440</v>
      </c>
      <c r="L1480" s="31" t="str">
        <f t="shared" si="118"/>
        <v/>
      </c>
      <c r="M1480" s="31" t="str">
        <f t="shared" si="119"/>
        <v/>
      </c>
    </row>
    <row r="1481" spans="1:13" x14ac:dyDescent="0.15">
      <c r="A1481" s="163" t="s">
        <v>210</v>
      </c>
      <c r="B1481" s="163">
        <v>42315.688816423608</v>
      </c>
      <c r="C1481" s="164" t="s">
        <v>414</v>
      </c>
      <c r="D1481" s="164" t="s">
        <v>13</v>
      </c>
      <c r="E1481" s="165">
        <v>40</v>
      </c>
      <c r="F1481" s="166">
        <v>0</v>
      </c>
      <c r="G1481" s="227">
        <f>IF($B$2,IF(ROWS(B$6:$B1481) = 1,$B1481-Start_Date,$B1481-$B1480),"")</f>
        <v>1.3502569439879153E-2</v>
      </c>
      <c r="H1481" s="29">
        <f>IF($B$2,IF(ROWS(B$6:$B1481) = 1,IF(COUNTIFS(R_Schedule_Times,"&lt;"&amp;B1481),INDEX(R_Schedule_Amounts,MATCH(B1481,R_Schedule_Times,1)),Starting_Cash),IF(COUNTIFS(R_Schedule_Times,"&gt;"&amp;B1480,R_Schedule_Times,"&lt;"&amp;B1481),INDEX(R_Schedule_Amounts,MATCH(B1481,R_Schedule_Times,1)),K1480)),"")</f>
        <v>5440</v>
      </c>
      <c r="I1481" s="30">
        <f t="shared" si="115"/>
        <v>40</v>
      </c>
      <c r="J1481" s="31">
        <f t="shared" si="116"/>
        <v>0</v>
      </c>
      <c r="K1481" s="29">
        <f t="shared" si="117"/>
        <v>5400</v>
      </c>
      <c r="L1481" s="31" t="str">
        <f t="shared" si="118"/>
        <v/>
      </c>
      <c r="M1481" s="31" t="str">
        <f t="shared" si="119"/>
        <v/>
      </c>
    </row>
    <row r="1482" spans="1:13" x14ac:dyDescent="0.15">
      <c r="A1482" s="163" t="s">
        <v>210</v>
      </c>
      <c r="B1482" s="163">
        <v>42315.692784953702</v>
      </c>
      <c r="C1482" s="164" t="s">
        <v>1602</v>
      </c>
      <c r="D1482" s="164" t="s">
        <v>13</v>
      </c>
      <c r="E1482" s="165">
        <v>60</v>
      </c>
      <c r="F1482" s="166">
        <v>0</v>
      </c>
      <c r="G1482" s="227">
        <f>IF($B$2,IF(ROWS(B$6:$B1482) = 1,$B1482-Start_Date,$B1482-$B1481),"")</f>
        <v>3.9685300944256596E-3</v>
      </c>
      <c r="H1482" s="29">
        <f>IF($B$2,IF(ROWS(B$6:$B1482) = 1,IF(COUNTIFS(R_Schedule_Times,"&lt;"&amp;B1482),INDEX(R_Schedule_Amounts,MATCH(B1482,R_Schedule_Times,1)),Starting_Cash),IF(COUNTIFS(R_Schedule_Times,"&gt;"&amp;B1481,R_Schedule_Times,"&lt;"&amp;B1482),INDEX(R_Schedule_Amounts,MATCH(B1482,R_Schedule_Times,1)),K1481)),"")</f>
        <v>5400</v>
      </c>
      <c r="I1482" s="30">
        <f t="shared" si="115"/>
        <v>60</v>
      </c>
      <c r="J1482" s="31">
        <f t="shared" si="116"/>
        <v>0</v>
      </c>
      <c r="K1482" s="29">
        <f t="shared" si="117"/>
        <v>5340</v>
      </c>
      <c r="L1482" s="31" t="str">
        <f t="shared" si="118"/>
        <v/>
      </c>
      <c r="M1482" s="31" t="str">
        <f t="shared" si="119"/>
        <v/>
      </c>
    </row>
    <row r="1483" spans="1:13" x14ac:dyDescent="0.15">
      <c r="A1483" s="163" t="s">
        <v>210</v>
      </c>
      <c r="B1483" s="163">
        <v>42315.698469386574</v>
      </c>
      <c r="C1483" s="164" t="s">
        <v>415</v>
      </c>
      <c r="D1483" s="164" t="s">
        <v>13</v>
      </c>
      <c r="E1483" s="165">
        <v>200</v>
      </c>
      <c r="F1483" s="166">
        <v>0</v>
      </c>
      <c r="G1483" s="227">
        <f>IF($B$2,IF(ROWS(B$6:$B1483) = 1,$B1483-Start_Date,$B1483-$B1482),"")</f>
        <v>5.6844328719307669E-3</v>
      </c>
      <c r="H1483" s="29">
        <f>IF($B$2,IF(ROWS(B$6:$B1483) = 1,IF(COUNTIFS(R_Schedule_Times,"&lt;"&amp;B1483),INDEX(R_Schedule_Amounts,MATCH(B1483,R_Schedule_Times,1)),Starting_Cash),IF(COUNTIFS(R_Schedule_Times,"&gt;"&amp;B1482,R_Schedule_Times,"&lt;"&amp;B1483),INDEX(R_Schedule_Amounts,MATCH(B1483,R_Schedule_Times,1)),K1482)),"")</f>
        <v>5340</v>
      </c>
      <c r="I1483" s="30">
        <f t="shared" si="115"/>
        <v>200</v>
      </c>
      <c r="J1483" s="31">
        <f t="shared" si="116"/>
        <v>0</v>
      </c>
      <c r="K1483" s="29">
        <f t="shared" si="117"/>
        <v>5140</v>
      </c>
      <c r="L1483" s="31" t="str">
        <f t="shared" si="118"/>
        <v/>
      </c>
      <c r="M1483" s="31" t="str">
        <f t="shared" si="119"/>
        <v/>
      </c>
    </row>
    <row r="1484" spans="1:13" x14ac:dyDescent="0.15">
      <c r="A1484" s="163" t="s">
        <v>210</v>
      </c>
      <c r="B1484" s="163">
        <v>42315.703107719906</v>
      </c>
      <c r="C1484" s="164" t="s">
        <v>14</v>
      </c>
      <c r="D1484" s="164" t="s">
        <v>15</v>
      </c>
      <c r="E1484" s="165">
        <v>40</v>
      </c>
      <c r="F1484" s="166">
        <v>3.7</v>
      </c>
      <c r="G1484" s="227">
        <f>IF($B$2,IF(ROWS(B$6:$B1484) = 1,$B1484-Start_Date,$B1484-$B1483),"")</f>
        <v>4.6383333319681697E-3</v>
      </c>
      <c r="H1484" s="29">
        <f>IF($B$2,IF(ROWS(B$6:$B1484) = 1,IF(COUNTIFS(R_Schedule_Times,"&lt;"&amp;B1484),INDEX(R_Schedule_Amounts,MATCH(B1484,R_Schedule_Times,1)),Starting_Cash),IF(COUNTIFS(R_Schedule_Times,"&gt;"&amp;B1483,R_Schedule_Times,"&lt;"&amp;B1484),INDEX(R_Schedule_Amounts,MATCH(B1484,R_Schedule_Times,1)),K1483)),"")</f>
        <v>5140</v>
      </c>
      <c r="I1484" s="30">
        <f t="shared" si="115"/>
        <v>40</v>
      </c>
      <c r="J1484" s="31">
        <f t="shared" si="116"/>
        <v>3.7</v>
      </c>
      <c r="K1484" s="29">
        <f t="shared" si="117"/>
        <v>5100</v>
      </c>
      <c r="L1484" s="31" t="str">
        <f t="shared" si="118"/>
        <v/>
      </c>
      <c r="M1484" s="31" t="str">
        <f t="shared" si="119"/>
        <v/>
      </c>
    </row>
    <row r="1485" spans="1:13" x14ac:dyDescent="0.15">
      <c r="A1485" s="163" t="s">
        <v>210</v>
      </c>
      <c r="B1485" s="163">
        <v>42315.704028206019</v>
      </c>
      <c r="C1485" s="164" t="s">
        <v>183</v>
      </c>
      <c r="D1485" s="164" t="s">
        <v>13</v>
      </c>
      <c r="E1485" s="165">
        <v>20</v>
      </c>
      <c r="F1485" s="166">
        <v>0</v>
      </c>
      <c r="G1485" s="227">
        <f>IF($B$2,IF(ROWS(B$6:$B1485) = 1,$B1485-Start_Date,$B1485-$B1484),"")</f>
        <v>9.204861125908792E-4</v>
      </c>
      <c r="H1485" s="29">
        <f>IF($B$2,IF(ROWS(B$6:$B1485) = 1,IF(COUNTIFS(R_Schedule_Times,"&lt;"&amp;B1485),INDEX(R_Schedule_Amounts,MATCH(B1485,R_Schedule_Times,1)),Starting_Cash),IF(COUNTIFS(R_Schedule_Times,"&gt;"&amp;B1484,R_Schedule_Times,"&lt;"&amp;B1485),INDEX(R_Schedule_Amounts,MATCH(B1485,R_Schedule_Times,1)),K1484)),"")</f>
        <v>5100</v>
      </c>
      <c r="I1485" s="30">
        <f t="shared" si="115"/>
        <v>20</v>
      </c>
      <c r="J1485" s="31">
        <f t="shared" si="116"/>
        <v>0</v>
      </c>
      <c r="K1485" s="29">
        <f t="shared" si="117"/>
        <v>5080</v>
      </c>
      <c r="L1485" s="31" t="str">
        <f t="shared" si="118"/>
        <v/>
      </c>
      <c r="M1485" s="31" t="str">
        <f t="shared" si="119"/>
        <v/>
      </c>
    </row>
    <row r="1486" spans="1:13" x14ac:dyDescent="0.15">
      <c r="A1486" s="163" t="s">
        <v>210</v>
      </c>
      <c r="B1486" s="163">
        <v>42315.707383564812</v>
      </c>
      <c r="C1486" s="164" t="s">
        <v>1603</v>
      </c>
      <c r="D1486" s="164" t="s">
        <v>13</v>
      </c>
      <c r="E1486" s="165">
        <v>40</v>
      </c>
      <c r="F1486" s="166">
        <v>0</v>
      </c>
      <c r="G1486" s="227">
        <f>IF($B$2,IF(ROWS(B$6:$B1486) = 1,$B1486-Start_Date,$B1486-$B1485),"")</f>
        <v>3.3553587927599438E-3</v>
      </c>
      <c r="H1486" s="29">
        <f>IF($B$2,IF(ROWS(B$6:$B1486) = 1,IF(COUNTIFS(R_Schedule_Times,"&lt;"&amp;B1486),INDEX(R_Schedule_Amounts,MATCH(B1486,R_Schedule_Times,1)),Starting_Cash),IF(COUNTIFS(R_Schedule_Times,"&gt;"&amp;B1485,R_Schedule_Times,"&lt;"&amp;B1486),INDEX(R_Schedule_Amounts,MATCH(B1486,R_Schedule_Times,1)),K1485)),"")</f>
        <v>5080</v>
      </c>
      <c r="I1486" s="30">
        <f t="shared" si="115"/>
        <v>40</v>
      </c>
      <c r="J1486" s="31">
        <f t="shared" si="116"/>
        <v>0</v>
      </c>
      <c r="K1486" s="29">
        <f t="shared" si="117"/>
        <v>5040</v>
      </c>
      <c r="L1486" s="31" t="str">
        <f t="shared" si="118"/>
        <v/>
      </c>
      <c r="M1486" s="31" t="str">
        <f t="shared" si="119"/>
        <v/>
      </c>
    </row>
    <row r="1487" spans="1:13" x14ac:dyDescent="0.15">
      <c r="A1487" s="163" t="s">
        <v>210</v>
      </c>
      <c r="B1487" s="163">
        <v>42315.717777175923</v>
      </c>
      <c r="C1487" s="164" t="s">
        <v>232</v>
      </c>
      <c r="D1487" s="164" t="s">
        <v>13</v>
      </c>
      <c r="E1487" s="165">
        <v>20</v>
      </c>
      <c r="F1487" s="166">
        <v>0</v>
      </c>
      <c r="G1487" s="227">
        <f>IF($B$2,IF(ROWS(B$6:$B1487) = 1,$B1487-Start_Date,$B1487-$B1486),"")</f>
        <v>1.0393611111794598E-2</v>
      </c>
      <c r="H1487" s="29">
        <f>IF($B$2,IF(ROWS(B$6:$B1487) = 1,IF(COUNTIFS(R_Schedule_Times,"&lt;"&amp;B1487),INDEX(R_Schedule_Amounts,MATCH(B1487,R_Schedule_Times,1)),Starting_Cash),IF(COUNTIFS(R_Schedule_Times,"&gt;"&amp;B1486,R_Schedule_Times,"&lt;"&amp;B1487),INDEX(R_Schedule_Amounts,MATCH(B1487,R_Schedule_Times,1)),K1486)),"")</f>
        <v>5040</v>
      </c>
      <c r="I1487" s="30">
        <f t="shared" si="115"/>
        <v>20</v>
      </c>
      <c r="J1487" s="31">
        <f t="shared" si="116"/>
        <v>0</v>
      </c>
      <c r="K1487" s="29">
        <f t="shared" si="117"/>
        <v>5020</v>
      </c>
      <c r="L1487" s="31" t="str">
        <f t="shared" si="118"/>
        <v/>
      </c>
      <c r="M1487" s="31" t="str">
        <f t="shared" si="119"/>
        <v/>
      </c>
    </row>
    <row r="1488" spans="1:13" x14ac:dyDescent="0.15">
      <c r="A1488" s="163" t="s">
        <v>210</v>
      </c>
      <c r="B1488" s="163">
        <v>42315.723078437499</v>
      </c>
      <c r="C1488" s="164" t="s">
        <v>1604</v>
      </c>
      <c r="D1488" s="164" t="s">
        <v>13</v>
      </c>
      <c r="E1488" s="165">
        <v>100</v>
      </c>
      <c r="F1488" s="166">
        <v>0</v>
      </c>
      <c r="G1488" s="227">
        <f>IF($B$2,IF(ROWS(B$6:$B1488) = 1,$B1488-Start_Date,$B1488-$B1487),"")</f>
        <v>5.3012615753686987E-3</v>
      </c>
      <c r="H1488" s="29">
        <f>IF($B$2,IF(ROWS(B$6:$B1488) = 1,IF(COUNTIFS(R_Schedule_Times,"&lt;"&amp;B1488),INDEX(R_Schedule_Amounts,MATCH(B1488,R_Schedule_Times,1)),Starting_Cash),IF(COUNTIFS(R_Schedule_Times,"&gt;"&amp;B1487,R_Schedule_Times,"&lt;"&amp;B1488),INDEX(R_Schedule_Amounts,MATCH(B1488,R_Schedule_Times,1)),K1487)),"")</f>
        <v>5020</v>
      </c>
      <c r="I1488" s="30">
        <f t="shared" si="115"/>
        <v>100</v>
      </c>
      <c r="J1488" s="31">
        <f t="shared" si="116"/>
        <v>0</v>
      </c>
      <c r="K1488" s="29">
        <f t="shared" si="117"/>
        <v>4920</v>
      </c>
      <c r="L1488" s="31" t="str">
        <f t="shared" si="118"/>
        <v/>
      </c>
      <c r="M1488" s="31" t="str">
        <f t="shared" si="119"/>
        <v/>
      </c>
    </row>
    <row r="1489" spans="1:13" x14ac:dyDescent="0.15">
      <c r="A1489" s="163" t="s">
        <v>210</v>
      </c>
      <c r="B1489" s="163">
        <v>42315.732241655096</v>
      </c>
      <c r="C1489" s="164" t="s">
        <v>416</v>
      </c>
      <c r="D1489" s="164" t="s">
        <v>13</v>
      </c>
      <c r="E1489" s="165">
        <v>100</v>
      </c>
      <c r="F1489" s="166">
        <v>0</v>
      </c>
      <c r="G1489" s="227">
        <f>IF($B$2,IF(ROWS(B$6:$B1489) = 1,$B1489-Start_Date,$B1489-$B1488),"")</f>
        <v>9.1632175972335972E-3</v>
      </c>
      <c r="H1489" s="29">
        <f>IF($B$2,IF(ROWS(B$6:$B1489) = 1,IF(COUNTIFS(R_Schedule_Times,"&lt;"&amp;B1489),INDEX(R_Schedule_Amounts,MATCH(B1489,R_Schedule_Times,1)),Starting_Cash),IF(COUNTIFS(R_Schedule_Times,"&gt;"&amp;B1488,R_Schedule_Times,"&lt;"&amp;B1489),INDEX(R_Schedule_Amounts,MATCH(B1489,R_Schedule_Times,1)),K1488)),"")</f>
        <v>4920</v>
      </c>
      <c r="I1489" s="30">
        <f t="shared" si="115"/>
        <v>100</v>
      </c>
      <c r="J1489" s="31">
        <f t="shared" si="116"/>
        <v>0</v>
      </c>
      <c r="K1489" s="29">
        <f t="shared" si="117"/>
        <v>4820</v>
      </c>
      <c r="L1489" s="31" t="str">
        <f t="shared" si="118"/>
        <v/>
      </c>
      <c r="M1489" s="31" t="str">
        <f t="shared" si="119"/>
        <v/>
      </c>
    </row>
    <row r="1490" spans="1:13" x14ac:dyDescent="0.15">
      <c r="A1490" s="163" t="s">
        <v>210</v>
      </c>
      <c r="B1490" s="163">
        <v>42315.74099471065</v>
      </c>
      <c r="C1490" s="164" t="s">
        <v>14</v>
      </c>
      <c r="D1490" s="164" t="s">
        <v>13</v>
      </c>
      <c r="E1490" s="165">
        <v>100</v>
      </c>
      <c r="F1490" s="166">
        <v>3.5</v>
      </c>
      <c r="G1490" s="227">
        <f>IF($B$2,IF(ROWS(B$6:$B1490) = 1,$B1490-Start_Date,$B1490-$B1489),"")</f>
        <v>8.7530555538251065E-3</v>
      </c>
      <c r="H1490" s="29">
        <f>IF($B$2,IF(ROWS(B$6:$B1490) = 1,IF(COUNTIFS(R_Schedule_Times,"&lt;"&amp;B1490),INDEX(R_Schedule_Amounts,MATCH(B1490,R_Schedule_Times,1)),Starting_Cash),IF(COUNTIFS(R_Schedule_Times,"&gt;"&amp;B1489,R_Schedule_Times,"&lt;"&amp;B1490),INDEX(R_Schedule_Amounts,MATCH(B1490,R_Schedule_Times,1)),K1489)),"")</f>
        <v>4820</v>
      </c>
      <c r="I1490" s="30">
        <f t="shared" si="115"/>
        <v>100</v>
      </c>
      <c r="J1490" s="31">
        <f t="shared" si="116"/>
        <v>3.5</v>
      </c>
      <c r="K1490" s="29">
        <f t="shared" si="117"/>
        <v>4720</v>
      </c>
      <c r="L1490" s="31" t="str">
        <f t="shared" si="118"/>
        <v/>
      </c>
      <c r="M1490" s="31" t="str">
        <f t="shared" si="119"/>
        <v/>
      </c>
    </row>
    <row r="1491" spans="1:13" x14ac:dyDescent="0.15">
      <c r="A1491" s="163" t="s">
        <v>210</v>
      </c>
      <c r="B1491" s="163">
        <v>42315.744750902777</v>
      </c>
      <c r="C1491" s="164" t="s">
        <v>1605</v>
      </c>
      <c r="D1491" s="164" t="s">
        <v>13</v>
      </c>
      <c r="E1491" s="165">
        <v>300</v>
      </c>
      <c r="F1491" s="166">
        <v>0</v>
      </c>
      <c r="G1491" s="227">
        <f>IF($B$2,IF(ROWS(B$6:$B1491) = 1,$B1491-Start_Date,$B1491-$B1490),"")</f>
        <v>3.7561921271844767E-3</v>
      </c>
      <c r="H1491" s="29">
        <f>IF($B$2,IF(ROWS(B$6:$B1491) = 1,IF(COUNTIFS(R_Schedule_Times,"&lt;"&amp;B1491),INDEX(R_Schedule_Amounts,MATCH(B1491,R_Schedule_Times,1)),Starting_Cash),IF(COUNTIFS(R_Schedule_Times,"&gt;"&amp;B1490,R_Schedule_Times,"&lt;"&amp;B1491),INDEX(R_Schedule_Amounts,MATCH(B1491,R_Schedule_Times,1)),K1490)),"")</f>
        <v>4720</v>
      </c>
      <c r="I1491" s="30">
        <f t="shared" si="115"/>
        <v>300</v>
      </c>
      <c r="J1491" s="31">
        <f t="shared" si="116"/>
        <v>0</v>
      </c>
      <c r="K1491" s="29">
        <f t="shared" si="117"/>
        <v>4420</v>
      </c>
      <c r="L1491" s="31" t="str">
        <f t="shared" si="118"/>
        <v/>
      </c>
      <c r="M1491" s="31" t="str">
        <f t="shared" si="119"/>
        <v/>
      </c>
    </row>
    <row r="1492" spans="1:13" x14ac:dyDescent="0.15">
      <c r="A1492" s="163" t="s">
        <v>210</v>
      </c>
      <c r="B1492" s="163">
        <v>42315.755911400462</v>
      </c>
      <c r="C1492" s="164" t="s">
        <v>417</v>
      </c>
      <c r="D1492" s="164" t="s">
        <v>13</v>
      </c>
      <c r="E1492" s="165">
        <v>180</v>
      </c>
      <c r="F1492" s="166">
        <v>0</v>
      </c>
      <c r="G1492" s="227">
        <f>IF($B$2,IF(ROWS(B$6:$B1492) = 1,$B1492-Start_Date,$B1492-$B1491),"")</f>
        <v>1.1160497684613802E-2</v>
      </c>
      <c r="H1492" s="29">
        <f>IF($B$2,IF(ROWS(B$6:$B1492) = 1,IF(COUNTIFS(R_Schedule_Times,"&lt;"&amp;B1492),INDEX(R_Schedule_Amounts,MATCH(B1492,R_Schedule_Times,1)),Starting_Cash),IF(COUNTIFS(R_Schedule_Times,"&gt;"&amp;B1491,R_Schedule_Times,"&lt;"&amp;B1492),INDEX(R_Schedule_Amounts,MATCH(B1492,R_Schedule_Times,1)),K1491)),"")</f>
        <v>4420</v>
      </c>
      <c r="I1492" s="30">
        <f t="shared" si="115"/>
        <v>180</v>
      </c>
      <c r="J1492" s="31">
        <f t="shared" si="116"/>
        <v>0</v>
      </c>
      <c r="K1492" s="29">
        <f t="shared" si="117"/>
        <v>4240</v>
      </c>
      <c r="L1492" s="31" t="str">
        <f t="shared" si="118"/>
        <v/>
      </c>
      <c r="M1492" s="31" t="str">
        <f t="shared" si="119"/>
        <v/>
      </c>
    </row>
    <row r="1493" spans="1:13" x14ac:dyDescent="0.15">
      <c r="A1493" s="163" t="s">
        <v>210</v>
      </c>
      <c r="B1493" s="163">
        <v>42315.808853414354</v>
      </c>
      <c r="C1493" s="164" t="s">
        <v>1606</v>
      </c>
      <c r="D1493" s="164" t="s">
        <v>13</v>
      </c>
      <c r="E1493" s="165">
        <v>100</v>
      </c>
      <c r="F1493" s="166">
        <v>0</v>
      </c>
      <c r="G1493" s="227">
        <f>IF($B$2,IF(ROWS(B$6:$B1493) = 1,$B1493-Start_Date,$B1493-$B1492),"")</f>
        <v>5.2942013891879469E-2</v>
      </c>
      <c r="H1493" s="29">
        <f>IF($B$2,IF(ROWS(B$6:$B1493) = 1,IF(COUNTIFS(R_Schedule_Times,"&lt;"&amp;B1493),INDEX(R_Schedule_Amounts,MATCH(B1493,R_Schedule_Times,1)),Starting_Cash),IF(COUNTIFS(R_Schedule_Times,"&gt;"&amp;B1492,R_Schedule_Times,"&lt;"&amp;B1493),INDEX(R_Schedule_Amounts,MATCH(B1493,R_Schedule_Times,1)),K1492)),"")</f>
        <v>4240</v>
      </c>
      <c r="I1493" s="30">
        <f t="shared" si="115"/>
        <v>100</v>
      </c>
      <c r="J1493" s="31">
        <f t="shared" si="116"/>
        <v>0</v>
      </c>
      <c r="K1493" s="29">
        <f t="shared" si="117"/>
        <v>4140</v>
      </c>
      <c r="L1493" s="31" t="str">
        <f t="shared" si="118"/>
        <v/>
      </c>
      <c r="M1493" s="31" t="str">
        <f t="shared" si="119"/>
        <v/>
      </c>
    </row>
    <row r="1494" spans="1:13" x14ac:dyDescent="0.15">
      <c r="A1494" s="163" t="s">
        <v>210</v>
      </c>
      <c r="B1494" s="163">
        <v>42315.83759314815</v>
      </c>
      <c r="C1494" s="164" t="s">
        <v>1607</v>
      </c>
      <c r="D1494" s="164" t="s">
        <v>13</v>
      </c>
      <c r="E1494" s="165">
        <v>40</v>
      </c>
      <c r="F1494" s="166">
        <v>0</v>
      </c>
      <c r="G1494" s="227">
        <f>IF($B$2,IF(ROWS(B$6:$B1494) = 1,$B1494-Start_Date,$B1494-$B1493),"")</f>
        <v>2.8739733796101063E-2</v>
      </c>
      <c r="H1494" s="29">
        <f>IF($B$2,IF(ROWS(B$6:$B1494) = 1,IF(COUNTIFS(R_Schedule_Times,"&lt;"&amp;B1494),INDEX(R_Schedule_Amounts,MATCH(B1494,R_Schedule_Times,1)),Starting_Cash),IF(COUNTIFS(R_Schedule_Times,"&gt;"&amp;B1493,R_Schedule_Times,"&lt;"&amp;B1494),INDEX(R_Schedule_Amounts,MATCH(B1494,R_Schedule_Times,1)),K1493)),"")</f>
        <v>4140</v>
      </c>
      <c r="I1494" s="30">
        <f t="shared" si="115"/>
        <v>40</v>
      </c>
      <c r="J1494" s="31">
        <f t="shared" si="116"/>
        <v>0</v>
      </c>
      <c r="K1494" s="29">
        <f t="shared" si="117"/>
        <v>4100</v>
      </c>
      <c r="L1494" s="31" t="str">
        <f t="shared" si="118"/>
        <v/>
      </c>
      <c r="M1494" s="31" t="str">
        <f t="shared" si="119"/>
        <v/>
      </c>
    </row>
    <row r="1495" spans="1:13" x14ac:dyDescent="0.15">
      <c r="A1495" s="163" t="s">
        <v>210</v>
      </c>
      <c r="B1495" s="163">
        <v>42315.848922696758</v>
      </c>
      <c r="C1495" s="164" t="s">
        <v>1608</v>
      </c>
      <c r="D1495" s="164" t="s">
        <v>13</v>
      </c>
      <c r="E1495" s="165">
        <v>100</v>
      </c>
      <c r="F1495" s="166">
        <v>0</v>
      </c>
      <c r="G1495" s="227">
        <f>IF($B$2,IF(ROWS(B$6:$B1495) = 1,$B1495-Start_Date,$B1495-$B1494),"")</f>
        <v>1.1329548608046025E-2</v>
      </c>
      <c r="H1495" s="29">
        <f>IF($B$2,IF(ROWS(B$6:$B1495) = 1,IF(COUNTIFS(R_Schedule_Times,"&lt;"&amp;B1495),INDEX(R_Schedule_Amounts,MATCH(B1495,R_Schedule_Times,1)),Starting_Cash),IF(COUNTIFS(R_Schedule_Times,"&gt;"&amp;B1494,R_Schedule_Times,"&lt;"&amp;B1495),INDEX(R_Schedule_Amounts,MATCH(B1495,R_Schedule_Times,1)),K1494)),"")</f>
        <v>4100</v>
      </c>
      <c r="I1495" s="30">
        <f t="shared" si="115"/>
        <v>100</v>
      </c>
      <c r="J1495" s="31">
        <f t="shared" si="116"/>
        <v>0</v>
      </c>
      <c r="K1495" s="29">
        <f t="shared" si="117"/>
        <v>4000</v>
      </c>
      <c r="L1495" s="31" t="str">
        <f t="shared" si="118"/>
        <v/>
      </c>
      <c r="M1495" s="31" t="str">
        <f t="shared" si="119"/>
        <v/>
      </c>
    </row>
    <row r="1496" spans="1:13" x14ac:dyDescent="0.15">
      <c r="A1496" s="163" t="s">
        <v>210</v>
      </c>
      <c r="B1496" s="163">
        <v>42315.946151666663</v>
      </c>
      <c r="C1496" s="164" t="s">
        <v>14</v>
      </c>
      <c r="D1496" s="164" t="s">
        <v>15</v>
      </c>
      <c r="E1496" s="165">
        <v>100</v>
      </c>
      <c r="F1496" s="166">
        <v>5.5</v>
      </c>
      <c r="G1496" s="227">
        <f>IF($B$2,IF(ROWS(B$6:$B1496) = 1,$B1496-Start_Date,$B1496-$B1495),"")</f>
        <v>9.7228969905700069E-2</v>
      </c>
      <c r="H1496" s="29">
        <f>IF($B$2,IF(ROWS(B$6:$B1496) = 1,IF(COUNTIFS(R_Schedule_Times,"&lt;"&amp;B1496),INDEX(R_Schedule_Amounts,MATCH(B1496,R_Schedule_Times,1)),Starting_Cash),IF(COUNTIFS(R_Schedule_Times,"&gt;"&amp;B1495,R_Schedule_Times,"&lt;"&amp;B1496),INDEX(R_Schedule_Amounts,MATCH(B1496,R_Schedule_Times,1)),K1495)),"")</f>
        <v>4000</v>
      </c>
      <c r="I1496" s="30">
        <f t="shared" si="115"/>
        <v>100</v>
      </c>
      <c r="J1496" s="31">
        <f t="shared" si="116"/>
        <v>5.5</v>
      </c>
      <c r="K1496" s="29">
        <f t="shared" si="117"/>
        <v>3900</v>
      </c>
      <c r="L1496" s="31" t="str">
        <f t="shared" si="118"/>
        <v/>
      </c>
      <c r="M1496" s="31" t="str">
        <f t="shared" si="119"/>
        <v/>
      </c>
    </row>
    <row r="1497" spans="1:13" x14ac:dyDescent="0.15">
      <c r="A1497" s="163" t="s">
        <v>210</v>
      </c>
      <c r="B1497" s="163">
        <v>42315.952715995372</v>
      </c>
      <c r="C1497" s="164" t="s">
        <v>1609</v>
      </c>
      <c r="D1497" s="164" t="s">
        <v>13</v>
      </c>
      <c r="E1497" s="165">
        <v>100</v>
      </c>
      <c r="F1497" s="166">
        <v>0</v>
      </c>
      <c r="G1497" s="227">
        <f>IF($B$2,IF(ROWS(B$6:$B1497) = 1,$B1497-Start_Date,$B1497-$B1496),"")</f>
        <v>6.5643287089187652E-3</v>
      </c>
      <c r="H1497" s="29">
        <f>IF($B$2,IF(ROWS(B$6:$B1497) = 1,IF(COUNTIFS(R_Schedule_Times,"&lt;"&amp;B1497),INDEX(R_Schedule_Amounts,MATCH(B1497,R_Schedule_Times,1)),Starting_Cash),IF(COUNTIFS(R_Schedule_Times,"&gt;"&amp;B1496,R_Schedule_Times,"&lt;"&amp;B1497),INDEX(R_Schedule_Amounts,MATCH(B1497,R_Schedule_Times,1)),K1496)),"")</f>
        <v>3900</v>
      </c>
      <c r="I1497" s="30">
        <f t="shared" si="115"/>
        <v>100</v>
      </c>
      <c r="J1497" s="31">
        <f t="shared" si="116"/>
        <v>0</v>
      </c>
      <c r="K1497" s="29">
        <f t="shared" si="117"/>
        <v>3800</v>
      </c>
      <c r="L1497" s="31" t="str">
        <f t="shared" si="118"/>
        <v/>
      </c>
      <c r="M1497" s="31" t="str">
        <f t="shared" si="119"/>
        <v/>
      </c>
    </row>
    <row r="1498" spans="1:13" x14ac:dyDescent="0.15">
      <c r="A1498" s="163" t="s">
        <v>210</v>
      </c>
      <c r="B1498" s="163">
        <v>42315.975392152781</v>
      </c>
      <c r="C1498" s="164" t="s">
        <v>1610</v>
      </c>
      <c r="D1498" s="164" t="s">
        <v>13</v>
      </c>
      <c r="E1498" s="165">
        <v>100</v>
      </c>
      <c r="F1498" s="166">
        <v>0</v>
      </c>
      <c r="G1498" s="227">
        <f>IF($B$2,IF(ROWS(B$6:$B1498) = 1,$B1498-Start_Date,$B1498-$B1497),"")</f>
        <v>2.2676157408568542E-2</v>
      </c>
      <c r="H1498" s="29">
        <f>IF($B$2,IF(ROWS(B$6:$B1498) = 1,IF(COUNTIFS(R_Schedule_Times,"&lt;"&amp;B1498),INDEX(R_Schedule_Amounts,MATCH(B1498,R_Schedule_Times,1)),Starting_Cash),IF(COUNTIFS(R_Schedule_Times,"&gt;"&amp;B1497,R_Schedule_Times,"&lt;"&amp;B1498),INDEX(R_Schedule_Amounts,MATCH(B1498,R_Schedule_Times,1)),K1497)),"")</f>
        <v>3800</v>
      </c>
      <c r="I1498" s="30">
        <f t="shared" si="115"/>
        <v>100</v>
      </c>
      <c r="J1498" s="31">
        <f t="shared" si="116"/>
        <v>0</v>
      </c>
      <c r="K1498" s="29">
        <f t="shared" si="117"/>
        <v>3700</v>
      </c>
      <c r="L1498" s="31" t="str">
        <f t="shared" si="118"/>
        <v/>
      </c>
      <c r="M1498" s="31" t="str">
        <f t="shared" si="119"/>
        <v/>
      </c>
    </row>
    <row r="1499" spans="1:13" x14ac:dyDescent="0.15">
      <c r="A1499" s="163" t="s">
        <v>210</v>
      </c>
      <c r="B1499" s="163">
        <v>42315.99870773148</v>
      </c>
      <c r="C1499" s="164" t="s">
        <v>1611</v>
      </c>
      <c r="D1499" s="164" t="s">
        <v>13</v>
      </c>
      <c r="E1499" s="165">
        <v>100</v>
      </c>
      <c r="F1499" s="166">
        <v>0</v>
      </c>
      <c r="G1499" s="227">
        <f>IF($B$2,IF(ROWS(B$6:$B1499) = 1,$B1499-Start_Date,$B1499-$B1498),"")</f>
        <v>2.3315578699111938E-2</v>
      </c>
      <c r="H1499" s="29">
        <f>IF($B$2,IF(ROWS(B$6:$B1499) = 1,IF(COUNTIFS(R_Schedule_Times,"&lt;"&amp;B1499),INDEX(R_Schedule_Amounts,MATCH(B1499,R_Schedule_Times,1)),Starting_Cash),IF(COUNTIFS(R_Schedule_Times,"&gt;"&amp;B1498,R_Schedule_Times,"&lt;"&amp;B1499),INDEX(R_Schedule_Amounts,MATCH(B1499,R_Schedule_Times,1)),K1498)),"")</f>
        <v>3700</v>
      </c>
      <c r="I1499" s="30">
        <f t="shared" si="115"/>
        <v>100</v>
      </c>
      <c r="J1499" s="31">
        <f t="shared" si="116"/>
        <v>0</v>
      </c>
      <c r="K1499" s="29">
        <f t="shared" si="117"/>
        <v>3600</v>
      </c>
      <c r="L1499" s="31" t="str">
        <f t="shared" si="118"/>
        <v/>
      </c>
      <c r="M1499" s="31" t="str">
        <f t="shared" si="119"/>
        <v/>
      </c>
    </row>
    <row r="1500" spans="1:13" x14ac:dyDescent="0.15">
      <c r="A1500" s="163" t="s">
        <v>210</v>
      </c>
      <c r="B1500" s="163">
        <v>42316.013726458332</v>
      </c>
      <c r="C1500" s="164" t="s">
        <v>1612</v>
      </c>
      <c r="D1500" s="164" t="s">
        <v>15</v>
      </c>
      <c r="E1500" s="165">
        <v>100</v>
      </c>
      <c r="F1500" s="166">
        <v>3</v>
      </c>
      <c r="G1500" s="227">
        <f>IF($B$2,IF(ROWS(B$6:$B1500) = 1,$B1500-Start_Date,$B1500-$B1499),"")</f>
        <v>1.5018726851849351E-2</v>
      </c>
      <c r="H1500" s="29">
        <f>IF($B$2,IF(ROWS(B$6:$B1500) = 1,IF(COUNTIFS(R_Schedule_Times,"&lt;"&amp;B1500),INDEX(R_Schedule_Amounts,MATCH(B1500,R_Schedule_Times,1)),Starting_Cash),IF(COUNTIFS(R_Schedule_Times,"&gt;"&amp;B1499,R_Schedule_Times,"&lt;"&amp;B1500),INDEX(R_Schedule_Amounts,MATCH(B1500,R_Schedule_Times,1)),K1499)),"")</f>
        <v>3600</v>
      </c>
      <c r="I1500" s="30">
        <f t="shared" si="115"/>
        <v>100</v>
      </c>
      <c r="J1500" s="31">
        <f t="shared" si="116"/>
        <v>3</v>
      </c>
      <c r="K1500" s="29">
        <f t="shared" si="117"/>
        <v>3500</v>
      </c>
      <c r="L1500" s="31" t="str">
        <f t="shared" si="118"/>
        <v/>
      </c>
      <c r="M1500" s="31" t="str">
        <f t="shared" si="119"/>
        <v/>
      </c>
    </row>
    <row r="1501" spans="1:13" x14ac:dyDescent="0.15">
      <c r="A1501" s="163" t="s">
        <v>210</v>
      </c>
      <c r="B1501" s="163">
        <v>42316.018087175929</v>
      </c>
      <c r="C1501" s="164" t="s">
        <v>418</v>
      </c>
      <c r="D1501" s="164" t="s">
        <v>13</v>
      </c>
      <c r="E1501" s="165">
        <v>400</v>
      </c>
      <c r="F1501" s="166">
        <v>0</v>
      </c>
      <c r="G1501" s="227">
        <f>IF($B$2,IF(ROWS(B$6:$B1501) = 1,$B1501-Start_Date,$B1501-$B1500),"")</f>
        <v>4.3607175975921564E-3</v>
      </c>
      <c r="H1501" s="29">
        <f>IF($B$2,IF(ROWS(B$6:$B1501) = 1,IF(COUNTIFS(R_Schedule_Times,"&lt;"&amp;B1501),INDEX(R_Schedule_Amounts,MATCH(B1501,R_Schedule_Times,1)),Starting_Cash),IF(COUNTIFS(R_Schedule_Times,"&gt;"&amp;B1500,R_Schedule_Times,"&lt;"&amp;B1501),INDEX(R_Schedule_Amounts,MATCH(B1501,R_Schedule_Times,1)),K1500)),"")</f>
        <v>3500</v>
      </c>
      <c r="I1501" s="30">
        <f t="shared" si="115"/>
        <v>400</v>
      </c>
      <c r="J1501" s="31">
        <f t="shared" si="116"/>
        <v>0</v>
      </c>
      <c r="K1501" s="29">
        <f t="shared" si="117"/>
        <v>3100</v>
      </c>
      <c r="L1501" s="31" t="str">
        <f t="shared" si="118"/>
        <v/>
      </c>
      <c r="M1501" s="31" t="str">
        <f t="shared" si="119"/>
        <v/>
      </c>
    </row>
    <row r="1502" spans="1:13" x14ac:dyDescent="0.15">
      <c r="A1502" s="163" t="s">
        <v>210</v>
      </c>
      <c r="B1502" s="163">
        <v>42316.074567141201</v>
      </c>
      <c r="C1502" s="164" t="s">
        <v>1613</v>
      </c>
      <c r="D1502" s="164" t="s">
        <v>13</v>
      </c>
      <c r="E1502" s="165">
        <v>40</v>
      </c>
      <c r="F1502" s="166">
        <v>0</v>
      </c>
      <c r="G1502" s="227">
        <f>IF($B$2,IF(ROWS(B$6:$B1502) = 1,$B1502-Start_Date,$B1502-$B1501),"")</f>
        <v>5.6479965271137189E-2</v>
      </c>
      <c r="H1502" s="29">
        <f>IF($B$2,IF(ROWS(B$6:$B1502) = 1,IF(COUNTIFS(R_Schedule_Times,"&lt;"&amp;B1502),INDEX(R_Schedule_Amounts,MATCH(B1502,R_Schedule_Times,1)),Starting_Cash),IF(COUNTIFS(R_Schedule_Times,"&gt;"&amp;B1501,R_Schedule_Times,"&lt;"&amp;B1502),INDEX(R_Schedule_Amounts,MATCH(B1502,R_Schedule_Times,1)),K1501)),"")</f>
        <v>3100</v>
      </c>
      <c r="I1502" s="30">
        <f t="shared" si="115"/>
        <v>40</v>
      </c>
      <c r="J1502" s="31">
        <f t="shared" si="116"/>
        <v>0</v>
      </c>
      <c r="K1502" s="29">
        <f t="shared" si="117"/>
        <v>3060</v>
      </c>
      <c r="L1502" s="31" t="str">
        <f t="shared" si="118"/>
        <v/>
      </c>
      <c r="M1502" s="31" t="str">
        <f t="shared" si="119"/>
        <v/>
      </c>
    </row>
    <row r="1503" spans="1:13" x14ac:dyDescent="0.15">
      <c r="A1503" s="163" t="s">
        <v>210</v>
      </c>
      <c r="B1503" s="163">
        <v>42316.075308240739</v>
      </c>
      <c r="C1503" s="164" t="s">
        <v>1614</v>
      </c>
      <c r="D1503" s="164" t="s">
        <v>13</v>
      </c>
      <c r="E1503" s="165">
        <v>100</v>
      </c>
      <c r="F1503" s="166">
        <v>0</v>
      </c>
      <c r="G1503" s="227">
        <f>IF($B$2,IF(ROWS(B$6:$B1503) = 1,$B1503-Start_Date,$B1503-$B1502),"")</f>
        <v>7.4109953857259825E-4</v>
      </c>
      <c r="H1503" s="29">
        <f>IF($B$2,IF(ROWS(B$6:$B1503) = 1,IF(COUNTIFS(R_Schedule_Times,"&lt;"&amp;B1503),INDEX(R_Schedule_Amounts,MATCH(B1503,R_Schedule_Times,1)),Starting_Cash),IF(COUNTIFS(R_Schedule_Times,"&gt;"&amp;B1502,R_Schedule_Times,"&lt;"&amp;B1503),INDEX(R_Schedule_Amounts,MATCH(B1503,R_Schedule_Times,1)),K1502)),"")</f>
        <v>3060</v>
      </c>
      <c r="I1503" s="30">
        <f t="shared" si="115"/>
        <v>100</v>
      </c>
      <c r="J1503" s="31">
        <f t="shared" si="116"/>
        <v>0</v>
      </c>
      <c r="K1503" s="29">
        <f t="shared" si="117"/>
        <v>2960</v>
      </c>
      <c r="L1503" s="31" t="str">
        <f t="shared" si="118"/>
        <v/>
      </c>
      <c r="M1503" s="31" t="str">
        <f t="shared" si="119"/>
        <v/>
      </c>
    </row>
    <row r="1504" spans="1:13" x14ac:dyDescent="0.15">
      <c r="A1504" s="163" t="s">
        <v>210</v>
      </c>
      <c r="B1504" s="163">
        <v>42316.328701979168</v>
      </c>
      <c r="C1504" s="164" t="s">
        <v>676</v>
      </c>
      <c r="D1504" s="164" t="s">
        <v>13</v>
      </c>
      <c r="E1504" s="165">
        <v>40</v>
      </c>
      <c r="F1504" s="166">
        <v>0</v>
      </c>
      <c r="G1504" s="227">
        <f>IF($B$2,IF(ROWS(B$6:$B1504) = 1,$B1504-Start_Date,$B1504-$B1503),"")</f>
        <v>0.25339373842871282</v>
      </c>
      <c r="H1504" s="29">
        <f>IF($B$2,IF(ROWS(B$6:$B1504) = 1,IF(COUNTIFS(R_Schedule_Times,"&lt;"&amp;B1504),INDEX(R_Schedule_Amounts,MATCH(B1504,R_Schedule_Times,1)),Starting_Cash),IF(COUNTIFS(R_Schedule_Times,"&gt;"&amp;B1503,R_Schedule_Times,"&lt;"&amp;B1504),INDEX(R_Schedule_Amounts,MATCH(B1504,R_Schedule_Times,1)),K1503)),"")</f>
        <v>2960</v>
      </c>
      <c r="I1504" s="30">
        <f t="shared" si="115"/>
        <v>40</v>
      </c>
      <c r="J1504" s="31">
        <f t="shared" si="116"/>
        <v>0</v>
      </c>
      <c r="K1504" s="29">
        <f t="shared" si="117"/>
        <v>2920</v>
      </c>
      <c r="L1504" s="31" t="str">
        <f t="shared" si="118"/>
        <v/>
      </c>
      <c r="M1504" s="31" t="str">
        <f t="shared" si="119"/>
        <v/>
      </c>
    </row>
    <row r="1505" spans="1:13" x14ac:dyDescent="0.15">
      <c r="A1505" s="163" t="s">
        <v>210</v>
      </c>
      <c r="B1505" s="163">
        <v>42316.433127719909</v>
      </c>
      <c r="C1505" s="164" t="s">
        <v>1615</v>
      </c>
      <c r="D1505" s="164" t="s">
        <v>13</v>
      </c>
      <c r="E1505" s="165">
        <v>100</v>
      </c>
      <c r="F1505" s="166">
        <v>0</v>
      </c>
      <c r="G1505" s="227">
        <f>IF($B$2,IF(ROWS(B$6:$B1505) = 1,$B1505-Start_Date,$B1505-$B1504),"")</f>
        <v>0.10442574074113509</v>
      </c>
      <c r="H1505" s="29">
        <f>IF($B$2,IF(ROWS(B$6:$B1505) = 1,IF(COUNTIFS(R_Schedule_Times,"&lt;"&amp;B1505),INDEX(R_Schedule_Amounts,MATCH(B1505,R_Schedule_Times,1)),Starting_Cash),IF(COUNTIFS(R_Schedule_Times,"&gt;"&amp;B1504,R_Schedule_Times,"&lt;"&amp;B1505),INDEX(R_Schedule_Amounts,MATCH(B1505,R_Schedule_Times,1)),K1504)),"")</f>
        <v>2920</v>
      </c>
      <c r="I1505" s="30">
        <f t="shared" si="115"/>
        <v>100</v>
      </c>
      <c r="J1505" s="31">
        <f t="shared" si="116"/>
        <v>0</v>
      </c>
      <c r="K1505" s="29">
        <f t="shared" si="117"/>
        <v>2820</v>
      </c>
      <c r="L1505" s="31" t="str">
        <f t="shared" si="118"/>
        <v/>
      </c>
      <c r="M1505" s="31" t="str">
        <f t="shared" si="119"/>
        <v/>
      </c>
    </row>
    <row r="1506" spans="1:13" x14ac:dyDescent="0.15">
      <c r="A1506" s="163" t="s">
        <v>210</v>
      </c>
      <c r="B1506" s="163">
        <v>42316.443331736111</v>
      </c>
      <c r="C1506" s="164" t="s">
        <v>14</v>
      </c>
      <c r="D1506" s="164" t="s">
        <v>13</v>
      </c>
      <c r="E1506" s="165">
        <v>100</v>
      </c>
      <c r="F1506" s="166">
        <v>3.5</v>
      </c>
      <c r="G1506" s="227">
        <f>IF($B$2,IF(ROWS(B$6:$B1506) = 1,$B1506-Start_Date,$B1506-$B1505),"")</f>
        <v>1.0204016201896593E-2</v>
      </c>
      <c r="H1506" s="29">
        <f>IF($B$2,IF(ROWS(B$6:$B1506) = 1,IF(COUNTIFS(R_Schedule_Times,"&lt;"&amp;B1506),INDEX(R_Schedule_Amounts,MATCH(B1506,R_Schedule_Times,1)),Starting_Cash),IF(COUNTIFS(R_Schedule_Times,"&gt;"&amp;B1505,R_Schedule_Times,"&lt;"&amp;B1506),INDEX(R_Schedule_Amounts,MATCH(B1506,R_Schedule_Times,1)),K1505)),"")</f>
        <v>2820</v>
      </c>
      <c r="I1506" s="30">
        <f t="shared" si="115"/>
        <v>100</v>
      </c>
      <c r="J1506" s="31">
        <f t="shared" si="116"/>
        <v>3.5</v>
      </c>
      <c r="K1506" s="29">
        <f t="shared" si="117"/>
        <v>2720</v>
      </c>
      <c r="L1506" s="31" t="str">
        <f t="shared" si="118"/>
        <v/>
      </c>
      <c r="M1506" s="31" t="str">
        <f t="shared" si="119"/>
        <v/>
      </c>
    </row>
    <row r="1507" spans="1:13" x14ac:dyDescent="0.15">
      <c r="A1507" s="163" t="s">
        <v>210</v>
      </c>
      <c r="B1507" s="163">
        <v>42316.463786168984</v>
      </c>
      <c r="C1507" s="164" t="s">
        <v>419</v>
      </c>
      <c r="D1507" s="164" t="s">
        <v>13</v>
      </c>
      <c r="E1507" s="165">
        <v>100</v>
      </c>
      <c r="F1507" s="166">
        <v>0</v>
      </c>
      <c r="G1507" s="227">
        <f>IF($B$2,IF(ROWS(B$6:$B1507) = 1,$B1507-Start_Date,$B1507-$B1506),"")</f>
        <v>2.0454432873521E-2</v>
      </c>
      <c r="H1507" s="29">
        <f>IF($B$2,IF(ROWS(B$6:$B1507) = 1,IF(COUNTIFS(R_Schedule_Times,"&lt;"&amp;B1507),INDEX(R_Schedule_Amounts,MATCH(B1507,R_Schedule_Times,1)),Starting_Cash),IF(COUNTIFS(R_Schedule_Times,"&gt;"&amp;B1506,R_Schedule_Times,"&lt;"&amp;B1507),INDEX(R_Schedule_Amounts,MATCH(B1507,R_Schedule_Times,1)),K1506)),"")</f>
        <v>2720</v>
      </c>
      <c r="I1507" s="30">
        <f t="shared" si="115"/>
        <v>100</v>
      </c>
      <c r="J1507" s="31">
        <f t="shared" si="116"/>
        <v>0</v>
      </c>
      <c r="K1507" s="29">
        <f t="shared" si="117"/>
        <v>2620</v>
      </c>
      <c r="L1507" s="31" t="str">
        <f t="shared" si="118"/>
        <v/>
      </c>
      <c r="M1507" s="31" t="str">
        <f t="shared" si="119"/>
        <v/>
      </c>
    </row>
    <row r="1508" spans="1:13" x14ac:dyDescent="0.15">
      <c r="A1508" s="163" t="s">
        <v>210</v>
      </c>
      <c r="B1508" s="163">
        <v>42316.473035509262</v>
      </c>
      <c r="C1508" s="164" t="s">
        <v>1182</v>
      </c>
      <c r="D1508" s="164" t="s">
        <v>13</v>
      </c>
      <c r="E1508" s="165">
        <v>120</v>
      </c>
      <c r="F1508" s="166">
        <v>0</v>
      </c>
      <c r="G1508" s="227">
        <f>IF($B$2,IF(ROWS(B$6:$B1508) = 1,$B1508-Start_Date,$B1508-$B1507),"")</f>
        <v>9.2493402771651745E-3</v>
      </c>
      <c r="H1508" s="29">
        <f>IF($B$2,IF(ROWS(B$6:$B1508) = 1,IF(COUNTIFS(R_Schedule_Times,"&lt;"&amp;B1508),INDEX(R_Schedule_Amounts,MATCH(B1508,R_Schedule_Times,1)),Starting_Cash),IF(COUNTIFS(R_Schedule_Times,"&gt;"&amp;B1507,R_Schedule_Times,"&lt;"&amp;B1508),INDEX(R_Schedule_Amounts,MATCH(B1508,R_Schedule_Times,1)),K1507)),"")</f>
        <v>2620</v>
      </c>
      <c r="I1508" s="30">
        <f t="shared" si="115"/>
        <v>120</v>
      </c>
      <c r="J1508" s="31">
        <f t="shared" si="116"/>
        <v>0</v>
      </c>
      <c r="K1508" s="29">
        <f t="shared" si="117"/>
        <v>2500</v>
      </c>
      <c r="L1508" s="31" t="str">
        <f t="shared" si="118"/>
        <v/>
      </c>
      <c r="M1508" s="31" t="str">
        <f t="shared" si="119"/>
        <v/>
      </c>
    </row>
    <row r="1509" spans="1:13" x14ac:dyDescent="0.15">
      <c r="A1509" s="163" t="s">
        <v>210</v>
      </c>
      <c r="B1509" s="163">
        <v>42316.481774432868</v>
      </c>
      <c r="C1509" s="164" t="s">
        <v>1616</v>
      </c>
      <c r="D1509" s="164" t="s">
        <v>13</v>
      </c>
      <c r="E1509" s="165">
        <v>100</v>
      </c>
      <c r="F1509" s="166">
        <v>0</v>
      </c>
      <c r="G1509" s="227">
        <f>IF($B$2,IF(ROWS(B$6:$B1509) = 1,$B1509-Start_Date,$B1509-$B1508),"")</f>
        <v>8.7389236068702303E-3</v>
      </c>
      <c r="H1509" s="29">
        <f>IF($B$2,IF(ROWS(B$6:$B1509) = 1,IF(COUNTIFS(R_Schedule_Times,"&lt;"&amp;B1509),INDEX(R_Schedule_Amounts,MATCH(B1509,R_Schedule_Times,1)),Starting_Cash),IF(COUNTIFS(R_Schedule_Times,"&gt;"&amp;B1508,R_Schedule_Times,"&lt;"&amp;B1509),INDEX(R_Schedule_Amounts,MATCH(B1509,R_Schedule_Times,1)),K1508)),"")</f>
        <v>2500</v>
      </c>
      <c r="I1509" s="30">
        <f t="shared" si="115"/>
        <v>100</v>
      </c>
      <c r="J1509" s="31">
        <f t="shared" si="116"/>
        <v>0</v>
      </c>
      <c r="K1509" s="29">
        <f t="shared" si="117"/>
        <v>2400</v>
      </c>
      <c r="L1509" s="31" t="str">
        <f t="shared" si="118"/>
        <v/>
      </c>
      <c r="M1509" s="31" t="str">
        <f t="shared" si="119"/>
        <v/>
      </c>
    </row>
    <row r="1510" spans="1:13" x14ac:dyDescent="0.15">
      <c r="A1510" s="163" t="s">
        <v>210</v>
      </c>
      <c r="B1510" s="163">
        <v>42316.509657372684</v>
      </c>
      <c r="C1510" s="164" t="s">
        <v>401</v>
      </c>
      <c r="D1510" s="164" t="s">
        <v>13</v>
      </c>
      <c r="E1510" s="165">
        <v>40</v>
      </c>
      <c r="F1510" s="166">
        <v>0</v>
      </c>
      <c r="G1510" s="227">
        <f>IF($B$2,IF(ROWS(B$6:$B1510) = 1,$B1510-Start_Date,$B1510-$B1509),"")</f>
        <v>2.7882939815754071E-2</v>
      </c>
      <c r="H1510" s="29">
        <f>IF($B$2,IF(ROWS(B$6:$B1510) = 1,IF(COUNTIFS(R_Schedule_Times,"&lt;"&amp;B1510),INDEX(R_Schedule_Amounts,MATCH(B1510,R_Schedule_Times,1)),Starting_Cash),IF(COUNTIFS(R_Schedule_Times,"&gt;"&amp;B1509,R_Schedule_Times,"&lt;"&amp;B1510),INDEX(R_Schedule_Amounts,MATCH(B1510,R_Schedule_Times,1)),K1509)),"")</f>
        <v>2400</v>
      </c>
      <c r="I1510" s="30">
        <f t="shared" si="115"/>
        <v>40</v>
      </c>
      <c r="J1510" s="31">
        <f t="shared" si="116"/>
        <v>0</v>
      </c>
      <c r="K1510" s="29">
        <f t="shared" si="117"/>
        <v>2360</v>
      </c>
      <c r="L1510" s="31" t="str">
        <f t="shared" si="118"/>
        <v/>
      </c>
      <c r="M1510" s="31" t="str">
        <f t="shared" si="119"/>
        <v/>
      </c>
    </row>
    <row r="1511" spans="1:13" x14ac:dyDescent="0.15">
      <c r="A1511" s="163" t="s">
        <v>210</v>
      </c>
      <c r="B1511" s="163">
        <v>42316.513732870371</v>
      </c>
      <c r="C1511" s="164" t="s">
        <v>1617</v>
      </c>
      <c r="D1511" s="164" t="s">
        <v>13</v>
      </c>
      <c r="E1511" s="165">
        <v>100</v>
      </c>
      <c r="F1511" s="166">
        <v>0</v>
      </c>
      <c r="G1511" s="227">
        <f>IF($B$2,IF(ROWS(B$6:$B1511) = 1,$B1511-Start_Date,$B1511-$B1510),"")</f>
        <v>4.0754976871539839E-3</v>
      </c>
      <c r="H1511" s="29">
        <f>IF($B$2,IF(ROWS(B$6:$B1511) = 1,IF(COUNTIFS(R_Schedule_Times,"&lt;"&amp;B1511),INDEX(R_Schedule_Amounts,MATCH(B1511,R_Schedule_Times,1)),Starting_Cash),IF(COUNTIFS(R_Schedule_Times,"&gt;"&amp;B1510,R_Schedule_Times,"&lt;"&amp;B1511),INDEX(R_Schedule_Amounts,MATCH(B1511,R_Schedule_Times,1)),K1510)),"")</f>
        <v>2360</v>
      </c>
      <c r="I1511" s="30">
        <f t="shared" si="115"/>
        <v>100</v>
      </c>
      <c r="J1511" s="31">
        <f t="shared" si="116"/>
        <v>0</v>
      </c>
      <c r="K1511" s="29">
        <f t="shared" si="117"/>
        <v>2260</v>
      </c>
      <c r="L1511" s="31" t="str">
        <f t="shared" si="118"/>
        <v/>
      </c>
      <c r="M1511" s="31" t="str">
        <f t="shared" si="119"/>
        <v/>
      </c>
    </row>
    <row r="1512" spans="1:13" x14ac:dyDescent="0.15">
      <c r="A1512" s="163" t="s">
        <v>210</v>
      </c>
      <c r="B1512" s="163">
        <v>42316.516792499999</v>
      </c>
      <c r="C1512" s="164" t="s">
        <v>1618</v>
      </c>
      <c r="D1512" s="164" t="s">
        <v>15</v>
      </c>
      <c r="E1512" s="165">
        <v>140</v>
      </c>
      <c r="F1512" s="166">
        <v>4.2</v>
      </c>
      <c r="G1512" s="227">
        <f>IF($B$2,IF(ROWS(B$6:$B1512) = 1,$B1512-Start_Date,$B1512-$B1511),"")</f>
        <v>3.0596296273870394E-3</v>
      </c>
      <c r="H1512" s="29">
        <f>IF($B$2,IF(ROWS(B$6:$B1512) = 1,IF(COUNTIFS(R_Schedule_Times,"&lt;"&amp;B1512),INDEX(R_Schedule_Amounts,MATCH(B1512,R_Schedule_Times,1)),Starting_Cash),IF(COUNTIFS(R_Schedule_Times,"&gt;"&amp;B1511,R_Schedule_Times,"&lt;"&amp;B1512),INDEX(R_Schedule_Amounts,MATCH(B1512,R_Schedule_Times,1)),K1511)),"")</f>
        <v>2260</v>
      </c>
      <c r="I1512" s="30">
        <f t="shared" si="115"/>
        <v>140</v>
      </c>
      <c r="J1512" s="31">
        <f t="shared" si="116"/>
        <v>4.2</v>
      </c>
      <c r="K1512" s="29">
        <f t="shared" si="117"/>
        <v>2120</v>
      </c>
      <c r="L1512" s="31" t="str">
        <f t="shared" si="118"/>
        <v/>
      </c>
      <c r="M1512" s="31" t="str">
        <f t="shared" si="119"/>
        <v/>
      </c>
    </row>
    <row r="1513" spans="1:13" x14ac:dyDescent="0.15">
      <c r="A1513" s="163" t="s">
        <v>210</v>
      </c>
      <c r="B1513" s="163">
        <v>42316.520400972222</v>
      </c>
      <c r="C1513" s="164" t="s">
        <v>270</v>
      </c>
      <c r="D1513" s="164" t="s">
        <v>13</v>
      </c>
      <c r="E1513" s="165">
        <v>40</v>
      </c>
      <c r="F1513" s="166">
        <v>0</v>
      </c>
      <c r="G1513" s="227">
        <f>IF($B$2,IF(ROWS(B$6:$B1513) = 1,$B1513-Start_Date,$B1513-$B1512),"")</f>
        <v>3.6084722232772037E-3</v>
      </c>
      <c r="H1513" s="29">
        <f>IF($B$2,IF(ROWS(B$6:$B1513) = 1,IF(COUNTIFS(R_Schedule_Times,"&lt;"&amp;B1513),INDEX(R_Schedule_Amounts,MATCH(B1513,R_Schedule_Times,1)),Starting_Cash),IF(COUNTIFS(R_Schedule_Times,"&gt;"&amp;B1512,R_Schedule_Times,"&lt;"&amp;B1513),INDEX(R_Schedule_Amounts,MATCH(B1513,R_Schedule_Times,1)),K1512)),"")</f>
        <v>2120</v>
      </c>
      <c r="I1513" s="30">
        <f t="shared" si="115"/>
        <v>40</v>
      </c>
      <c r="J1513" s="31">
        <f t="shared" si="116"/>
        <v>0</v>
      </c>
      <c r="K1513" s="29">
        <f t="shared" si="117"/>
        <v>2080</v>
      </c>
      <c r="L1513" s="31" t="str">
        <f t="shared" si="118"/>
        <v/>
      </c>
      <c r="M1513" s="31" t="str">
        <f t="shared" si="119"/>
        <v/>
      </c>
    </row>
    <row r="1514" spans="1:13" x14ac:dyDescent="0.15">
      <c r="A1514" s="163" t="s">
        <v>210</v>
      </c>
      <c r="B1514" s="163">
        <v>42316.524899699078</v>
      </c>
      <c r="C1514" s="164" t="s">
        <v>1619</v>
      </c>
      <c r="D1514" s="164" t="s">
        <v>13</v>
      </c>
      <c r="E1514" s="165">
        <v>120</v>
      </c>
      <c r="F1514" s="166">
        <v>0</v>
      </c>
      <c r="G1514" s="227">
        <f>IF($B$2,IF(ROWS(B$6:$B1514) = 1,$B1514-Start_Date,$B1514-$B1513),"")</f>
        <v>4.4987268556724302E-3</v>
      </c>
      <c r="H1514" s="29">
        <f>IF($B$2,IF(ROWS(B$6:$B1514) = 1,IF(COUNTIFS(R_Schedule_Times,"&lt;"&amp;B1514),INDEX(R_Schedule_Amounts,MATCH(B1514,R_Schedule_Times,1)),Starting_Cash),IF(COUNTIFS(R_Schedule_Times,"&gt;"&amp;B1513,R_Schedule_Times,"&lt;"&amp;B1514),INDEX(R_Schedule_Amounts,MATCH(B1514,R_Schedule_Times,1)),K1513)),"")</f>
        <v>2080</v>
      </c>
      <c r="I1514" s="30">
        <f t="shared" si="115"/>
        <v>120</v>
      </c>
      <c r="J1514" s="31">
        <f t="shared" si="116"/>
        <v>0</v>
      </c>
      <c r="K1514" s="29">
        <f t="shared" si="117"/>
        <v>1960</v>
      </c>
      <c r="L1514" s="31" t="str">
        <f t="shared" si="118"/>
        <v/>
      </c>
      <c r="M1514" s="31" t="str">
        <f t="shared" si="119"/>
        <v/>
      </c>
    </row>
    <row r="1515" spans="1:13" x14ac:dyDescent="0.15">
      <c r="A1515" s="163" t="s">
        <v>210</v>
      </c>
      <c r="B1515" s="163">
        <v>42316.542079664352</v>
      </c>
      <c r="C1515" s="164" t="s">
        <v>1620</v>
      </c>
      <c r="D1515" s="164" t="s">
        <v>13</v>
      </c>
      <c r="E1515" s="165">
        <v>200</v>
      </c>
      <c r="F1515" s="166">
        <v>0</v>
      </c>
      <c r="G1515" s="227">
        <f>IF($B$2,IF(ROWS(B$6:$B1515) = 1,$B1515-Start_Date,$B1515-$B1514),"")</f>
        <v>1.717996527440846E-2</v>
      </c>
      <c r="H1515" s="29">
        <f>IF($B$2,IF(ROWS(B$6:$B1515) = 1,IF(COUNTIFS(R_Schedule_Times,"&lt;"&amp;B1515),INDEX(R_Schedule_Amounts,MATCH(B1515,R_Schedule_Times,1)),Starting_Cash),IF(COUNTIFS(R_Schedule_Times,"&gt;"&amp;B1514,R_Schedule_Times,"&lt;"&amp;B1515),INDEX(R_Schedule_Amounts,MATCH(B1515,R_Schedule_Times,1)),K1514)),"")</f>
        <v>1960</v>
      </c>
      <c r="I1515" s="30">
        <f t="shared" si="115"/>
        <v>200</v>
      </c>
      <c r="J1515" s="31">
        <f t="shared" si="116"/>
        <v>0</v>
      </c>
      <c r="K1515" s="29">
        <f t="shared" si="117"/>
        <v>1760</v>
      </c>
      <c r="L1515" s="31" t="str">
        <f t="shared" si="118"/>
        <v/>
      </c>
      <c r="M1515" s="31" t="str">
        <f t="shared" si="119"/>
        <v/>
      </c>
    </row>
    <row r="1516" spans="1:13" x14ac:dyDescent="0.15">
      <c r="A1516" s="163" t="s">
        <v>210</v>
      </c>
      <c r="B1516" s="163">
        <v>42316.551801064816</v>
      </c>
      <c r="C1516" s="164" t="s">
        <v>1621</v>
      </c>
      <c r="D1516" s="164" t="s">
        <v>13</v>
      </c>
      <c r="E1516" s="165">
        <v>40</v>
      </c>
      <c r="F1516" s="166">
        <v>0</v>
      </c>
      <c r="G1516" s="227">
        <f>IF($B$2,IF(ROWS(B$6:$B1516) = 1,$B1516-Start_Date,$B1516-$B1515),"")</f>
        <v>9.7214004636043683E-3</v>
      </c>
      <c r="H1516" s="29">
        <f>IF($B$2,IF(ROWS(B$6:$B1516) = 1,IF(COUNTIFS(R_Schedule_Times,"&lt;"&amp;B1516),INDEX(R_Schedule_Amounts,MATCH(B1516,R_Schedule_Times,1)),Starting_Cash),IF(COUNTIFS(R_Schedule_Times,"&gt;"&amp;B1515,R_Schedule_Times,"&lt;"&amp;B1516),INDEX(R_Schedule_Amounts,MATCH(B1516,R_Schedule_Times,1)),K1515)),"")</f>
        <v>1760</v>
      </c>
      <c r="I1516" s="30">
        <f t="shared" si="115"/>
        <v>40</v>
      </c>
      <c r="J1516" s="31">
        <f t="shared" si="116"/>
        <v>0</v>
      </c>
      <c r="K1516" s="29">
        <f t="shared" si="117"/>
        <v>1720</v>
      </c>
      <c r="L1516" s="31" t="str">
        <f t="shared" si="118"/>
        <v/>
      </c>
      <c r="M1516" s="31" t="str">
        <f t="shared" si="119"/>
        <v/>
      </c>
    </row>
    <row r="1517" spans="1:13" x14ac:dyDescent="0.15">
      <c r="A1517" s="163" t="s">
        <v>210</v>
      </c>
      <c r="B1517" s="163">
        <v>42316.552387361109</v>
      </c>
      <c r="C1517" s="164" t="s">
        <v>14</v>
      </c>
      <c r="D1517" s="164" t="s">
        <v>13</v>
      </c>
      <c r="E1517" s="165">
        <v>40</v>
      </c>
      <c r="F1517" s="166">
        <v>3.5</v>
      </c>
      <c r="G1517" s="227">
        <f>IF($B$2,IF(ROWS(B$6:$B1517) = 1,$B1517-Start_Date,$B1517-$B1516),"")</f>
        <v>5.8629629347706214E-4</v>
      </c>
      <c r="H1517" s="29">
        <f>IF($B$2,IF(ROWS(B$6:$B1517) = 1,IF(COUNTIFS(R_Schedule_Times,"&lt;"&amp;B1517),INDEX(R_Schedule_Amounts,MATCH(B1517,R_Schedule_Times,1)),Starting_Cash),IF(COUNTIFS(R_Schedule_Times,"&gt;"&amp;B1516,R_Schedule_Times,"&lt;"&amp;B1517),INDEX(R_Schedule_Amounts,MATCH(B1517,R_Schedule_Times,1)),K1516)),"")</f>
        <v>1720</v>
      </c>
      <c r="I1517" s="30">
        <f t="shared" si="115"/>
        <v>40</v>
      </c>
      <c r="J1517" s="31">
        <f t="shared" si="116"/>
        <v>3.5</v>
      </c>
      <c r="K1517" s="29">
        <f t="shared" si="117"/>
        <v>1680</v>
      </c>
      <c r="L1517" s="31" t="str">
        <f t="shared" si="118"/>
        <v/>
      </c>
      <c r="M1517" s="31" t="str">
        <f t="shared" si="119"/>
        <v/>
      </c>
    </row>
    <row r="1518" spans="1:13" x14ac:dyDescent="0.15">
      <c r="A1518" s="163" t="s">
        <v>210</v>
      </c>
      <c r="B1518" s="163">
        <v>42316.554330798608</v>
      </c>
      <c r="C1518" s="164" t="s">
        <v>111</v>
      </c>
      <c r="D1518" s="164" t="s">
        <v>13</v>
      </c>
      <c r="E1518" s="165">
        <v>60</v>
      </c>
      <c r="F1518" s="166">
        <v>0</v>
      </c>
      <c r="G1518" s="227">
        <f>IF($B$2,IF(ROWS(B$6:$B1518) = 1,$B1518-Start_Date,$B1518-$B1517),"")</f>
        <v>1.9434374989941716E-3</v>
      </c>
      <c r="H1518" s="29">
        <f>IF($B$2,IF(ROWS(B$6:$B1518) = 1,IF(COUNTIFS(R_Schedule_Times,"&lt;"&amp;B1518),INDEX(R_Schedule_Amounts,MATCH(B1518,R_Schedule_Times,1)),Starting_Cash),IF(COUNTIFS(R_Schedule_Times,"&gt;"&amp;B1517,R_Schedule_Times,"&lt;"&amp;B1518),INDEX(R_Schedule_Amounts,MATCH(B1518,R_Schedule_Times,1)),K1517)),"")</f>
        <v>1680</v>
      </c>
      <c r="I1518" s="30">
        <f t="shared" si="115"/>
        <v>60</v>
      </c>
      <c r="J1518" s="31">
        <f t="shared" si="116"/>
        <v>0</v>
      </c>
      <c r="K1518" s="29">
        <f t="shared" si="117"/>
        <v>1620</v>
      </c>
      <c r="L1518" s="31" t="str">
        <f t="shared" si="118"/>
        <v/>
      </c>
      <c r="M1518" s="31" t="str">
        <f t="shared" si="119"/>
        <v/>
      </c>
    </row>
    <row r="1519" spans="1:13" x14ac:dyDescent="0.15">
      <c r="A1519" s="163" t="s">
        <v>210</v>
      </c>
      <c r="B1519" s="163">
        <v>42316.557135451389</v>
      </c>
      <c r="C1519" s="164" t="s">
        <v>1026</v>
      </c>
      <c r="D1519" s="164" t="s">
        <v>13</v>
      </c>
      <c r="E1519" s="165">
        <v>20</v>
      </c>
      <c r="F1519" s="166">
        <v>0</v>
      </c>
      <c r="G1519" s="227">
        <f>IF($B$2,IF(ROWS(B$6:$B1519) = 1,$B1519-Start_Date,$B1519-$B1518),"")</f>
        <v>2.8046527804690413E-3</v>
      </c>
      <c r="H1519" s="29">
        <f>IF($B$2,IF(ROWS(B$6:$B1519) = 1,IF(COUNTIFS(R_Schedule_Times,"&lt;"&amp;B1519),INDEX(R_Schedule_Amounts,MATCH(B1519,R_Schedule_Times,1)),Starting_Cash),IF(COUNTIFS(R_Schedule_Times,"&gt;"&amp;B1518,R_Schedule_Times,"&lt;"&amp;B1519),INDEX(R_Schedule_Amounts,MATCH(B1519,R_Schedule_Times,1)),K1518)),"")</f>
        <v>1620</v>
      </c>
      <c r="I1519" s="30">
        <f t="shared" si="115"/>
        <v>20</v>
      </c>
      <c r="J1519" s="31">
        <f t="shared" si="116"/>
        <v>0</v>
      </c>
      <c r="K1519" s="29">
        <f t="shared" si="117"/>
        <v>1600</v>
      </c>
      <c r="L1519" s="31" t="str">
        <f t="shared" si="118"/>
        <v/>
      </c>
      <c r="M1519" s="31" t="str">
        <f t="shared" si="119"/>
        <v/>
      </c>
    </row>
    <row r="1520" spans="1:13" x14ac:dyDescent="0.15">
      <c r="A1520" s="163" t="s">
        <v>210</v>
      </c>
      <c r="B1520" s="163">
        <v>42316.559051678239</v>
      </c>
      <c r="C1520" s="164" t="s">
        <v>1622</v>
      </c>
      <c r="D1520" s="164" t="s">
        <v>13</v>
      </c>
      <c r="E1520" s="165">
        <v>20</v>
      </c>
      <c r="F1520" s="166">
        <v>0</v>
      </c>
      <c r="G1520" s="227">
        <f>IF($B$2,IF(ROWS(B$6:$B1520) = 1,$B1520-Start_Date,$B1520-$B1519),"")</f>
        <v>1.9162268508807756E-3</v>
      </c>
      <c r="H1520" s="29">
        <f>IF($B$2,IF(ROWS(B$6:$B1520) = 1,IF(COUNTIFS(R_Schedule_Times,"&lt;"&amp;B1520),INDEX(R_Schedule_Amounts,MATCH(B1520,R_Schedule_Times,1)),Starting_Cash),IF(COUNTIFS(R_Schedule_Times,"&gt;"&amp;B1519,R_Schedule_Times,"&lt;"&amp;B1520),INDEX(R_Schedule_Amounts,MATCH(B1520,R_Schedule_Times,1)),K1519)),"")</f>
        <v>1600</v>
      </c>
      <c r="I1520" s="30">
        <f t="shared" si="115"/>
        <v>20</v>
      </c>
      <c r="J1520" s="31">
        <f t="shared" si="116"/>
        <v>0</v>
      </c>
      <c r="K1520" s="29">
        <f t="shared" si="117"/>
        <v>1580</v>
      </c>
      <c r="L1520" s="31" t="str">
        <f t="shared" si="118"/>
        <v/>
      </c>
      <c r="M1520" s="31" t="str">
        <f t="shared" si="119"/>
        <v/>
      </c>
    </row>
    <row r="1521" spans="1:13" x14ac:dyDescent="0.15">
      <c r="A1521" s="163" t="s">
        <v>210</v>
      </c>
      <c r="B1521" s="163">
        <v>42316.655863749998</v>
      </c>
      <c r="C1521" s="164" t="s">
        <v>1623</v>
      </c>
      <c r="D1521" s="164" t="s">
        <v>13</v>
      </c>
      <c r="E1521" s="165">
        <v>40</v>
      </c>
      <c r="F1521" s="166">
        <v>0</v>
      </c>
      <c r="G1521" s="227">
        <f>IF($B$2,IF(ROWS(B$6:$B1521) = 1,$B1521-Start_Date,$B1521-$B1520),"")</f>
        <v>9.6812071758904494E-2</v>
      </c>
      <c r="H1521" s="29">
        <f>IF($B$2,IF(ROWS(B$6:$B1521) = 1,IF(COUNTIFS(R_Schedule_Times,"&lt;"&amp;B1521),INDEX(R_Schedule_Amounts,MATCH(B1521,R_Schedule_Times,1)),Starting_Cash),IF(COUNTIFS(R_Schedule_Times,"&gt;"&amp;B1520,R_Schedule_Times,"&lt;"&amp;B1521),INDEX(R_Schedule_Amounts,MATCH(B1521,R_Schedule_Times,1)),K1520)),"")</f>
        <v>1580</v>
      </c>
      <c r="I1521" s="30">
        <f t="shared" si="115"/>
        <v>40</v>
      </c>
      <c r="J1521" s="31">
        <f t="shared" si="116"/>
        <v>0</v>
      </c>
      <c r="K1521" s="29">
        <f t="shared" si="117"/>
        <v>1540</v>
      </c>
      <c r="L1521" s="31" t="str">
        <f t="shared" si="118"/>
        <v/>
      </c>
      <c r="M1521" s="31" t="str">
        <f t="shared" si="119"/>
        <v/>
      </c>
    </row>
    <row r="1522" spans="1:13" x14ac:dyDescent="0.15">
      <c r="A1522" s="163" t="s">
        <v>210</v>
      </c>
      <c r="B1522" s="163">
        <v>42316.658079953704</v>
      </c>
      <c r="C1522" s="164" t="s">
        <v>1624</v>
      </c>
      <c r="D1522" s="164" t="s">
        <v>13</v>
      </c>
      <c r="E1522" s="165">
        <v>100</v>
      </c>
      <c r="F1522" s="166">
        <v>0</v>
      </c>
      <c r="G1522" s="227">
        <f>IF($B$2,IF(ROWS(B$6:$B1522) = 1,$B1522-Start_Date,$B1522-$B1521),"")</f>
        <v>2.216203705756925E-3</v>
      </c>
      <c r="H1522" s="29">
        <f>IF($B$2,IF(ROWS(B$6:$B1522) = 1,IF(COUNTIFS(R_Schedule_Times,"&lt;"&amp;B1522),INDEX(R_Schedule_Amounts,MATCH(B1522,R_Schedule_Times,1)),Starting_Cash),IF(COUNTIFS(R_Schedule_Times,"&gt;"&amp;B1521,R_Schedule_Times,"&lt;"&amp;B1522),INDEX(R_Schedule_Amounts,MATCH(B1522,R_Schedule_Times,1)),K1521)),"")</f>
        <v>1540</v>
      </c>
      <c r="I1522" s="30">
        <f t="shared" si="115"/>
        <v>100</v>
      </c>
      <c r="J1522" s="31">
        <f t="shared" si="116"/>
        <v>0</v>
      </c>
      <c r="K1522" s="29">
        <f t="shared" si="117"/>
        <v>1440</v>
      </c>
      <c r="L1522" s="31" t="str">
        <f t="shared" si="118"/>
        <v/>
      </c>
      <c r="M1522" s="31" t="str">
        <f t="shared" si="119"/>
        <v/>
      </c>
    </row>
    <row r="1523" spans="1:13" x14ac:dyDescent="0.15">
      <c r="A1523" s="163" t="s">
        <v>210</v>
      </c>
      <c r="B1523" s="163">
        <v>42316.71861640046</v>
      </c>
      <c r="C1523" s="164" t="s">
        <v>1625</v>
      </c>
      <c r="D1523" s="164" t="s">
        <v>13</v>
      </c>
      <c r="E1523" s="165">
        <v>100</v>
      </c>
      <c r="F1523" s="166">
        <v>0</v>
      </c>
      <c r="G1523" s="227">
        <f>IF($B$2,IF(ROWS(B$6:$B1523) = 1,$B1523-Start_Date,$B1523-$B1522),"")</f>
        <v>6.0536446755577344E-2</v>
      </c>
      <c r="H1523" s="29">
        <f>IF($B$2,IF(ROWS(B$6:$B1523) = 1,IF(COUNTIFS(R_Schedule_Times,"&lt;"&amp;B1523),INDEX(R_Schedule_Amounts,MATCH(B1523,R_Schedule_Times,1)),Starting_Cash),IF(COUNTIFS(R_Schedule_Times,"&gt;"&amp;B1522,R_Schedule_Times,"&lt;"&amp;B1523),INDEX(R_Schedule_Amounts,MATCH(B1523,R_Schedule_Times,1)),K1522)),"")</f>
        <v>1440</v>
      </c>
      <c r="I1523" s="30">
        <f t="shared" si="115"/>
        <v>100</v>
      </c>
      <c r="J1523" s="31">
        <f t="shared" si="116"/>
        <v>0</v>
      </c>
      <c r="K1523" s="29">
        <f t="shared" si="117"/>
        <v>1340</v>
      </c>
      <c r="L1523" s="31" t="str">
        <f t="shared" si="118"/>
        <v/>
      </c>
      <c r="M1523" s="31" t="str">
        <f t="shared" si="119"/>
        <v/>
      </c>
    </row>
    <row r="1524" spans="1:13" x14ac:dyDescent="0.15">
      <c r="A1524" s="163" t="s">
        <v>210</v>
      </c>
      <c r="B1524" s="163">
        <v>42316.745568645834</v>
      </c>
      <c r="C1524" s="164" t="s">
        <v>1626</v>
      </c>
      <c r="D1524" s="164" t="s">
        <v>13</v>
      </c>
      <c r="E1524" s="165">
        <v>500</v>
      </c>
      <c r="F1524" s="166">
        <v>0</v>
      </c>
      <c r="G1524" s="227">
        <f>IF($B$2,IF(ROWS(B$6:$B1524) = 1,$B1524-Start_Date,$B1524-$B1523),"")</f>
        <v>2.6952245374559425E-2</v>
      </c>
      <c r="H1524" s="29">
        <f>IF($B$2,IF(ROWS(B$6:$B1524) = 1,IF(COUNTIFS(R_Schedule_Times,"&lt;"&amp;B1524),INDEX(R_Schedule_Amounts,MATCH(B1524,R_Schedule_Times,1)),Starting_Cash),IF(COUNTIFS(R_Schedule_Times,"&gt;"&amp;B1523,R_Schedule_Times,"&lt;"&amp;B1524),INDEX(R_Schedule_Amounts,MATCH(B1524,R_Schedule_Times,1)),K1523)),"")</f>
        <v>1340</v>
      </c>
      <c r="I1524" s="30">
        <f t="shared" si="115"/>
        <v>500</v>
      </c>
      <c r="J1524" s="31">
        <f t="shared" si="116"/>
        <v>0</v>
      </c>
      <c r="K1524" s="29">
        <f t="shared" si="117"/>
        <v>840</v>
      </c>
      <c r="L1524" s="31" t="str">
        <f t="shared" si="118"/>
        <v/>
      </c>
      <c r="M1524" s="31" t="str">
        <f t="shared" si="119"/>
        <v/>
      </c>
    </row>
    <row r="1525" spans="1:13" x14ac:dyDescent="0.15">
      <c r="A1525" s="163" t="s">
        <v>210</v>
      </c>
      <c r="B1525" s="163">
        <v>42316.754111319446</v>
      </c>
      <c r="C1525" s="164" t="s">
        <v>14</v>
      </c>
      <c r="D1525" s="164" t="s">
        <v>13</v>
      </c>
      <c r="E1525" s="165">
        <v>60</v>
      </c>
      <c r="F1525" s="166">
        <v>3.5</v>
      </c>
      <c r="G1525" s="227">
        <f>IF($B$2,IF(ROWS(B$6:$B1525) = 1,$B1525-Start_Date,$B1525-$B1524),"")</f>
        <v>8.5426736113731749E-3</v>
      </c>
      <c r="H1525" s="29">
        <f>IF($B$2,IF(ROWS(B$6:$B1525) = 1,IF(COUNTIFS(R_Schedule_Times,"&lt;"&amp;B1525),INDEX(R_Schedule_Amounts,MATCH(B1525,R_Schedule_Times,1)),Starting_Cash),IF(COUNTIFS(R_Schedule_Times,"&gt;"&amp;B1524,R_Schedule_Times,"&lt;"&amp;B1525),INDEX(R_Schedule_Amounts,MATCH(B1525,R_Schedule_Times,1)),K1524)),"")</f>
        <v>840</v>
      </c>
      <c r="I1525" s="30">
        <f t="shared" si="115"/>
        <v>60</v>
      </c>
      <c r="J1525" s="31">
        <f t="shared" si="116"/>
        <v>3.5</v>
      </c>
      <c r="K1525" s="29">
        <f t="shared" si="117"/>
        <v>780</v>
      </c>
      <c r="L1525" s="31" t="str">
        <f t="shared" si="118"/>
        <v/>
      </c>
      <c r="M1525" s="31" t="str">
        <f t="shared" si="119"/>
        <v/>
      </c>
    </row>
    <row r="1526" spans="1:13" x14ac:dyDescent="0.15">
      <c r="A1526" s="163" t="s">
        <v>210</v>
      </c>
      <c r="B1526" s="163">
        <v>42316.759477800922</v>
      </c>
      <c r="C1526" s="164" t="s">
        <v>1627</v>
      </c>
      <c r="D1526" s="164" t="s">
        <v>15</v>
      </c>
      <c r="E1526" s="165">
        <v>120</v>
      </c>
      <c r="F1526" s="166">
        <v>3.6</v>
      </c>
      <c r="G1526" s="227">
        <f>IF($B$2,IF(ROWS(B$6:$B1526) = 1,$B1526-Start_Date,$B1526-$B1525),"")</f>
        <v>5.3664814768126234E-3</v>
      </c>
      <c r="H1526" s="29">
        <f>IF($B$2,IF(ROWS(B$6:$B1526) = 1,IF(COUNTIFS(R_Schedule_Times,"&lt;"&amp;B1526),INDEX(R_Schedule_Amounts,MATCH(B1526,R_Schedule_Times,1)),Starting_Cash),IF(COUNTIFS(R_Schedule_Times,"&gt;"&amp;B1525,R_Schedule_Times,"&lt;"&amp;B1526),INDEX(R_Schedule_Amounts,MATCH(B1526,R_Schedule_Times,1)),K1525)),"")</f>
        <v>780</v>
      </c>
      <c r="I1526" s="30">
        <f t="shared" si="115"/>
        <v>120</v>
      </c>
      <c r="J1526" s="31">
        <f t="shared" si="116"/>
        <v>3.6</v>
      </c>
      <c r="K1526" s="29">
        <f t="shared" si="117"/>
        <v>660</v>
      </c>
      <c r="L1526" s="31" t="str">
        <f t="shared" si="118"/>
        <v/>
      </c>
      <c r="M1526" s="31" t="str">
        <f t="shared" si="119"/>
        <v/>
      </c>
    </row>
    <row r="1527" spans="1:13" x14ac:dyDescent="0.15">
      <c r="A1527" s="163" t="s">
        <v>210</v>
      </c>
      <c r="B1527" s="163">
        <v>42316.780306284723</v>
      </c>
      <c r="C1527" s="164" t="s">
        <v>1628</v>
      </c>
      <c r="D1527" s="164" t="s">
        <v>13</v>
      </c>
      <c r="E1527" s="165">
        <v>100</v>
      </c>
      <c r="F1527" s="166">
        <v>0</v>
      </c>
      <c r="G1527" s="227">
        <f>IF($B$2,IF(ROWS(B$6:$B1527) = 1,$B1527-Start_Date,$B1527-$B1526),"")</f>
        <v>2.0828483800869435E-2</v>
      </c>
      <c r="H1527" s="29">
        <f>IF($B$2,IF(ROWS(B$6:$B1527) = 1,IF(COUNTIFS(R_Schedule_Times,"&lt;"&amp;B1527),INDEX(R_Schedule_Amounts,MATCH(B1527,R_Schedule_Times,1)),Starting_Cash),IF(COUNTIFS(R_Schedule_Times,"&gt;"&amp;B1526,R_Schedule_Times,"&lt;"&amp;B1527),INDEX(R_Schedule_Amounts,MATCH(B1527,R_Schedule_Times,1)),K1526)),"")</f>
        <v>660</v>
      </c>
      <c r="I1527" s="30">
        <f t="shared" si="115"/>
        <v>100</v>
      </c>
      <c r="J1527" s="31">
        <f t="shared" si="116"/>
        <v>0</v>
      </c>
      <c r="K1527" s="29">
        <f t="shared" si="117"/>
        <v>560</v>
      </c>
      <c r="L1527" s="31" t="str">
        <f t="shared" si="118"/>
        <v/>
      </c>
      <c r="M1527" s="31" t="str">
        <f t="shared" si="119"/>
        <v/>
      </c>
    </row>
    <row r="1528" spans="1:13" x14ac:dyDescent="0.15">
      <c r="A1528" s="163" t="s">
        <v>210</v>
      </c>
      <c r="B1528" s="163">
        <v>42316.974632233796</v>
      </c>
      <c r="C1528" s="164" t="s">
        <v>1281</v>
      </c>
      <c r="D1528" s="164" t="s">
        <v>13</v>
      </c>
      <c r="E1528" s="165">
        <v>100</v>
      </c>
      <c r="F1528" s="166">
        <v>0</v>
      </c>
      <c r="G1528" s="227">
        <f>IF($B$2,IF(ROWS(B$6:$B1528) = 1,$B1528-Start_Date,$B1528-$B1527),"")</f>
        <v>0.19432594907266321</v>
      </c>
      <c r="H1528" s="29">
        <f>IF($B$2,IF(ROWS(B$6:$B1528) = 1,IF(COUNTIFS(R_Schedule_Times,"&lt;"&amp;B1528),INDEX(R_Schedule_Amounts,MATCH(B1528,R_Schedule_Times,1)),Starting_Cash),IF(COUNTIFS(R_Schedule_Times,"&gt;"&amp;B1527,R_Schedule_Times,"&lt;"&amp;B1528),INDEX(R_Schedule_Amounts,MATCH(B1528,R_Schedule_Times,1)),K1527)),"")</f>
        <v>560</v>
      </c>
      <c r="I1528" s="30">
        <f t="shared" si="115"/>
        <v>100</v>
      </c>
      <c r="J1528" s="31">
        <f t="shared" si="116"/>
        <v>0</v>
      </c>
      <c r="K1528" s="29">
        <f t="shared" si="117"/>
        <v>460</v>
      </c>
      <c r="L1528" s="31" t="str">
        <f t="shared" si="118"/>
        <v/>
      </c>
      <c r="M1528" s="31" t="str">
        <f t="shared" si="119"/>
        <v/>
      </c>
    </row>
    <row r="1529" spans="1:13" x14ac:dyDescent="0.15">
      <c r="A1529" s="163" t="s">
        <v>210</v>
      </c>
      <c r="B1529" s="163">
        <v>42317.212026250003</v>
      </c>
      <c r="C1529" s="164" t="s">
        <v>1629</v>
      </c>
      <c r="D1529" s="164" t="s">
        <v>13</v>
      </c>
      <c r="E1529" s="165">
        <v>100</v>
      </c>
      <c r="F1529" s="166">
        <v>0</v>
      </c>
      <c r="G1529" s="227">
        <f>IF($B$2,IF(ROWS(B$6:$B1529) = 1,$B1529-Start_Date,$B1529-$B1528),"")</f>
        <v>0.23739401620696299</v>
      </c>
      <c r="H1529" s="29">
        <f>IF($B$2,IF(ROWS(B$6:$B1529) = 1,IF(COUNTIFS(R_Schedule_Times,"&lt;"&amp;B1529),INDEX(R_Schedule_Amounts,MATCH(B1529,R_Schedule_Times,1)),Starting_Cash),IF(COUNTIFS(R_Schedule_Times,"&gt;"&amp;B1528,R_Schedule_Times,"&lt;"&amp;B1529),INDEX(R_Schedule_Amounts,MATCH(B1529,R_Schedule_Times,1)),K1528)),"")</f>
        <v>11000</v>
      </c>
      <c r="I1529" s="30">
        <f t="shared" si="115"/>
        <v>100</v>
      </c>
      <c r="J1529" s="31">
        <f t="shared" si="116"/>
        <v>0</v>
      </c>
      <c r="K1529" s="29">
        <f t="shared" si="117"/>
        <v>10900</v>
      </c>
      <c r="L1529" s="31" t="str">
        <f t="shared" si="118"/>
        <v/>
      </c>
      <c r="M1529" s="31" t="str">
        <f t="shared" si="119"/>
        <v/>
      </c>
    </row>
    <row r="1530" spans="1:13" x14ac:dyDescent="0.15">
      <c r="A1530" s="163" t="s">
        <v>210</v>
      </c>
      <c r="B1530" s="163">
        <v>42317.239667349539</v>
      </c>
      <c r="C1530" s="164" t="s">
        <v>1630</v>
      </c>
      <c r="D1530" s="164" t="s">
        <v>13</v>
      </c>
      <c r="E1530" s="165">
        <v>60</v>
      </c>
      <c r="F1530" s="166">
        <v>0</v>
      </c>
      <c r="G1530" s="227">
        <f>IF($B$2,IF(ROWS(B$6:$B1530) = 1,$B1530-Start_Date,$B1530-$B1529),"")</f>
        <v>2.7641099535685498E-2</v>
      </c>
      <c r="H1530" s="29">
        <f>IF($B$2,IF(ROWS(B$6:$B1530) = 1,IF(COUNTIFS(R_Schedule_Times,"&lt;"&amp;B1530),INDEX(R_Schedule_Amounts,MATCH(B1530,R_Schedule_Times,1)),Starting_Cash),IF(COUNTIFS(R_Schedule_Times,"&gt;"&amp;B1529,R_Schedule_Times,"&lt;"&amp;B1530),INDEX(R_Schedule_Amounts,MATCH(B1530,R_Schedule_Times,1)),K1529)),"")</f>
        <v>10900</v>
      </c>
      <c r="I1530" s="30">
        <f t="shared" si="115"/>
        <v>60</v>
      </c>
      <c r="J1530" s="31">
        <f t="shared" si="116"/>
        <v>0</v>
      </c>
      <c r="K1530" s="29">
        <f t="shared" si="117"/>
        <v>10840</v>
      </c>
      <c r="L1530" s="31" t="str">
        <f t="shared" si="118"/>
        <v/>
      </c>
      <c r="M1530" s="31" t="str">
        <f t="shared" si="119"/>
        <v/>
      </c>
    </row>
    <row r="1531" spans="1:13" x14ac:dyDescent="0.15">
      <c r="A1531" s="163" t="s">
        <v>210</v>
      </c>
      <c r="B1531" s="163">
        <v>42317.252783263888</v>
      </c>
      <c r="C1531" s="164" t="s">
        <v>1631</v>
      </c>
      <c r="D1531" s="164" t="s">
        <v>13</v>
      </c>
      <c r="E1531" s="165">
        <v>40</v>
      </c>
      <c r="F1531" s="166">
        <v>0</v>
      </c>
      <c r="G1531" s="227">
        <f>IF($B$2,IF(ROWS(B$6:$B1531) = 1,$B1531-Start_Date,$B1531-$B1530),"")</f>
        <v>1.3115914349327795E-2</v>
      </c>
      <c r="H1531" s="29">
        <f>IF($B$2,IF(ROWS(B$6:$B1531) = 1,IF(COUNTIFS(R_Schedule_Times,"&lt;"&amp;B1531),INDEX(R_Schedule_Amounts,MATCH(B1531,R_Schedule_Times,1)),Starting_Cash),IF(COUNTIFS(R_Schedule_Times,"&gt;"&amp;B1530,R_Schedule_Times,"&lt;"&amp;B1531),INDEX(R_Schedule_Amounts,MATCH(B1531,R_Schedule_Times,1)),K1530)),"")</f>
        <v>10840</v>
      </c>
      <c r="I1531" s="30">
        <f t="shared" si="115"/>
        <v>40</v>
      </c>
      <c r="J1531" s="31">
        <f t="shared" si="116"/>
        <v>0</v>
      </c>
      <c r="K1531" s="29">
        <f t="shared" si="117"/>
        <v>10800</v>
      </c>
      <c r="L1531" s="31" t="str">
        <f t="shared" si="118"/>
        <v/>
      </c>
      <c r="M1531" s="31" t="str">
        <f t="shared" si="119"/>
        <v/>
      </c>
    </row>
    <row r="1532" spans="1:13" x14ac:dyDescent="0.15">
      <c r="A1532" s="163" t="s">
        <v>210</v>
      </c>
      <c r="B1532" s="163">
        <v>42317.316945983795</v>
      </c>
      <c r="C1532" s="164" t="s">
        <v>1632</v>
      </c>
      <c r="D1532" s="164" t="s">
        <v>13</v>
      </c>
      <c r="E1532" s="165">
        <v>20</v>
      </c>
      <c r="F1532" s="166">
        <v>0</v>
      </c>
      <c r="G1532" s="227">
        <f>IF($B$2,IF(ROWS(B$6:$B1532) = 1,$B1532-Start_Date,$B1532-$B1531),"")</f>
        <v>6.416271990747191E-2</v>
      </c>
      <c r="H1532" s="29">
        <f>IF($B$2,IF(ROWS(B$6:$B1532) = 1,IF(COUNTIFS(R_Schedule_Times,"&lt;"&amp;B1532),INDEX(R_Schedule_Amounts,MATCH(B1532,R_Schedule_Times,1)),Starting_Cash),IF(COUNTIFS(R_Schedule_Times,"&gt;"&amp;B1531,R_Schedule_Times,"&lt;"&amp;B1532),INDEX(R_Schedule_Amounts,MATCH(B1532,R_Schedule_Times,1)),K1531)),"")</f>
        <v>10800</v>
      </c>
      <c r="I1532" s="30">
        <f t="shared" si="115"/>
        <v>20</v>
      </c>
      <c r="J1532" s="31">
        <f t="shared" si="116"/>
        <v>0</v>
      </c>
      <c r="K1532" s="29">
        <f t="shared" si="117"/>
        <v>10780</v>
      </c>
      <c r="L1532" s="31" t="str">
        <f t="shared" si="118"/>
        <v/>
      </c>
      <c r="M1532" s="31" t="str">
        <f t="shared" si="119"/>
        <v/>
      </c>
    </row>
    <row r="1533" spans="1:13" x14ac:dyDescent="0.15">
      <c r="A1533" s="163" t="s">
        <v>210</v>
      </c>
      <c r="B1533" s="163">
        <v>42317.361065046294</v>
      </c>
      <c r="C1533" s="164" t="s">
        <v>1633</v>
      </c>
      <c r="D1533" s="164" t="s">
        <v>13</v>
      </c>
      <c r="E1533" s="165">
        <v>40</v>
      </c>
      <c r="F1533" s="166">
        <v>0</v>
      </c>
      <c r="G1533" s="227">
        <f>IF($B$2,IF(ROWS(B$6:$B1533) = 1,$B1533-Start_Date,$B1533-$B1532),"")</f>
        <v>4.4119062498793937E-2</v>
      </c>
      <c r="H1533" s="29">
        <f>IF($B$2,IF(ROWS(B$6:$B1533) = 1,IF(COUNTIFS(R_Schedule_Times,"&lt;"&amp;B1533),INDEX(R_Schedule_Amounts,MATCH(B1533,R_Schedule_Times,1)),Starting_Cash),IF(COUNTIFS(R_Schedule_Times,"&gt;"&amp;B1532,R_Schedule_Times,"&lt;"&amp;B1533),INDEX(R_Schedule_Amounts,MATCH(B1533,R_Schedule_Times,1)),K1532)),"")</f>
        <v>10780</v>
      </c>
      <c r="I1533" s="30">
        <f t="shared" si="115"/>
        <v>40</v>
      </c>
      <c r="J1533" s="31">
        <f t="shared" si="116"/>
        <v>0</v>
      </c>
      <c r="K1533" s="29">
        <f t="shared" si="117"/>
        <v>10740</v>
      </c>
      <c r="L1533" s="31" t="str">
        <f t="shared" si="118"/>
        <v/>
      </c>
      <c r="M1533" s="31" t="str">
        <f t="shared" si="119"/>
        <v/>
      </c>
    </row>
    <row r="1534" spans="1:13" x14ac:dyDescent="0.15">
      <c r="A1534" s="163" t="s">
        <v>210</v>
      </c>
      <c r="B1534" s="163">
        <v>42317.372925509262</v>
      </c>
      <c r="C1534" s="164" t="s">
        <v>1634</v>
      </c>
      <c r="D1534" s="164" t="s">
        <v>13</v>
      </c>
      <c r="E1534" s="165">
        <v>80</v>
      </c>
      <c r="F1534" s="166">
        <v>0</v>
      </c>
      <c r="G1534" s="227">
        <f>IF($B$2,IF(ROWS(B$6:$B1534) = 1,$B1534-Start_Date,$B1534-$B1533),"")</f>
        <v>1.1860462967888452E-2</v>
      </c>
      <c r="H1534" s="29">
        <f>IF($B$2,IF(ROWS(B$6:$B1534) = 1,IF(COUNTIFS(R_Schedule_Times,"&lt;"&amp;B1534),INDEX(R_Schedule_Amounts,MATCH(B1534,R_Schedule_Times,1)),Starting_Cash),IF(COUNTIFS(R_Schedule_Times,"&gt;"&amp;B1533,R_Schedule_Times,"&lt;"&amp;B1534),INDEX(R_Schedule_Amounts,MATCH(B1534,R_Schedule_Times,1)),K1533)),"")</f>
        <v>10740</v>
      </c>
      <c r="I1534" s="30">
        <f t="shared" si="115"/>
        <v>80</v>
      </c>
      <c r="J1534" s="31">
        <f t="shared" si="116"/>
        <v>0</v>
      </c>
      <c r="K1534" s="29">
        <f t="shared" si="117"/>
        <v>10660</v>
      </c>
      <c r="L1534" s="31" t="str">
        <f t="shared" si="118"/>
        <v/>
      </c>
      <c r="M1534" s="31" t="str">
        <f t="shared" si="119"/>
        <v/>
      </c>
    </row>
    <row r="1535" spans="1:13" x14ac:dyDescent="0.15">
      <c r="A1535" s="163" t="s">
        <v>210</v>
      </c>
      <c r="B1535" s="163">
        <v>42317.373529351855</v>
      </c>
      <c r="C1535" s="164" t="s">
        <v>14</v>
      </c>
      <c r="D1535" s="164" t="s">
        <v>13</v>
      </c>
      <c r="E1535" s="165">
        <v>100</v>
      </c>
      <c r="F1535" s="166">
        <v>3.5</v>
      </c>
      <c r="G1535" s="227">
        <f>IF($B$2,IF(ROWS(B$6:$B1535) = 1,$B1535-Start_Date,$B1535-$B1534),"")</f>
        <v>6.0384259268175811E-4</v>
      </c>
      <c r="H1535" s="29">
        <f>IF($B$2,IF(ROWS(B$6:$B1535) = 1,IF(COUNTIFS(R_Schedule_Times,"&lt;"&amp;B1535),INDEX(R_Schedule_Amounts,MATCH(B1535,R_Schedule_Times,1)),Starting_Cash),IF(COUNTIFS(R_Schedule_Times,"&gt;"&amp;B1534,R_Schedule_Times,"&lt;"&amp;B1535),INDEX(R_Schedule_Amounts,MATCH(B1535,R_Schedule_Times,1)),K1534)),"")</f>
        <v>10660</v>
      </c>
      <c r="I1535" s="30">
        <f t="shared" si="115"/>
        <v>100</v>
      </c>
      <c r="J1535" s="31">
        <f t="shared" si="116"/>
        <v>3.5</v>
      </c>
      <c r="K1535" s="29">
        <f t="shared" si="117"/>
        <v>10560</v>
      </c>
      <c r="L1535" s="31" t="str">
        <f t="shared" si="118"/>
        <v/>
      </c>
      <c r="M1535" s="31" t="str">
        <f t="shared" si="119"/>
        <v/>
      </c>
    </row>
    <row r="1536" spans="1:13" x14ac:dyDescent="0.15">
      <c r="A1536" s="163" t="s">
        <v>210</v>
      </c>
      <c r="B1536" s="163">
        <v>42317.387469097222</v>
      </c>
      <c r="C1536" s="164" t="s">
        <v>1635</v>
      </c>
      <c r="D1536" s="164" t="s">
        <v>13</v>
      </c>
      <c r="E1536" s="165">
        <v>40</v>
      </c>
      <c r="F1536" s="166">
        <v>0</v>
      </c>
      <c r="G1536" s="227">
        <f>IF($B$2,IF(ROWS(B$6:$B1536) = 1,$B1536-Start_Date,$B1536-$B1535),"")</f>
        <v>1.3939745367679279E-2</v>
      </c>
      <c r="H1536" s="29">
        <f>IF($B$2,IF(ROWS(B$6:$B1536) = 1,IF(COUNTIFS(R_Schedule_Times,"&lt;"&amp;B1536),INDEX(R_Schedule_Amounts,MATCH(B1536,R_Schedule_Times,1)),Starting_Cash),IF(COUNTIFS(R_Schedule_Times,"&gt;"&amp;B1535,R_Schedule_Times,"&lt;"&amp;B1536),INDEX(R_Schedule_Amounts,MATCH(B1536,R_Schedule_Times,1)),K1535)),"")</f>
        <v>10560</v>
      </c>
      <c r="I1536" s="30">
        <f t="shared" si="115"/>
        <v>40</v>
      </c>
      <c r="J1536" s="31">
        <f t="shared" si="116"/>
        <v>0</v>
      </c>
      <c r="K1536" s="29">
        <f t="shared" si="117"/>
        <v>10520</v>
      </c>
      <c r="L1536" s="31" t="str">
        <f t="shared" si="118"/>
        <v/>
      </c>
      <c r="M1536" s="31" t="str">
        <f t="shared" si="119"/>
        <v/>
      </c>
    </row>
    <row r="1537" spans="1:13" x14ac:dyDescent="0.15">
      <c r="A1537" s="163" t="s">
        <v>210</v>
      </c>
      <c r="B1537" s="163">
        <v>42317.39322583333</v>
      </c>
      <c r="C1537" s="164" t="s">
        <v>1636</v>
      </c>
      <c r="D1537" s="164" t="s">
        <v>13</v>
      </c>
      <c r="E1537" s="165">
        <v>40</v>
      </c>
      <c r="F1537" s="166">
        <v>0</v>
      </c>
      <c r="G1537" s="227">
        <f>IF($B$2,IF(ROWS(B$6:$B1537) = 1,$B1537-Start_Date,$B1537-$B1536),"")</f>
        <v>5.7567361072869971E-3</v>
      </c>
      <c r="H1537" s="29">
        <f>IF($B$2,IF(ROWS(B$6:$B1537) = 1,IF(COUNTIFS(R_Schedule_Times,"&lt;"&amp;B1537),INDEX(R_Schedule_Amounts,MATCH(B1537,R_Schedule_Times,1)),Starting_Cash),IF(COUNTIFS(R_Schedule_Times,"&gt;"&amp;B1536,R_Schedule_Times,"&lt;"&amp;B1537),INDEX(R_Schedule_Amounts,MATCH(B1537,R_Schedule_Times,1)),K1536)),"")</f>
        <v>10520</v>
      </c>
      <c r="I1537" s="30">
        <f t="shared" si="115"/>
        <v>40</v>
      </c>
      <c r="J1537" s="31">
        <f t="shared" si="116"/>
        <v>0</v>
      </c>
      <c r="K1537" s="29">
        <f t="shared" si="117"/>
        <v>10480</v>
      </c>
      <c r="L1537" s="31" t="str">
        <f t="shared" si="118"/>
        <v/>
      </c>
      <c r="M1537" s="31" t="str">
        <f t="shared" si="119"/>
        <v/>
      </c>
    </row>
    <row r="1538" spans="1:13" x14ac:dyDescent="0.15">
      <c r="A1538" s="163" t="s">
        <v>210</v>
      </c>
      <c r="B1538" s="163">
        <v>42317.397922037038</v>
      </c>
      <c r="C1538" s="164" t="s">
        <v>420</v>
      </c>
      <c r="D1538" s="164" t="s">
        <v>13</v>
      </c>
      <c r="E1538" s="165">
        <v>80</v>
      </c>
      <c r="F1538" s="166">
        <v>0</v>
      </c>
      <c r="G1538" s="227">
        <f>IF($B$2,IF(ROWS(B$6:$B1538) = 1,$B1538-Start_Date,$B1538-$B1537),"")</f>
        <v>4.696203708590474E-3</v>
      </c>
      <c r="H1538" s="29">
        <f>IF($B$2,IF(ROWS(B$6:$B1538) = 1,IF(COUNTIFS(R_Schedule_Times,"&lt;"&amp;B1538),INDEX(R_Schedule_Amounts,MATCH(B1538,R_Schedule_Times,1)),Starting_Cash),IF(COUNTIFS(R_Schedule_Times,"&gt;"&amp;B1537,R_Schedule_Times,"&lt;"&amp;B1538),INDEX(R_Schedule_Amounts,MATCH(B1538,R_Schedule_Times,1)),K1537)),"")</f>
        <v>10480</v>
      </c>
      <c r="I1538" s="30">
        <f t="shared" si="115"/>
        <v>80</v>
      </c>
      <c r="J1538" s="31">
        <f t="shared" si="116"/>
        <v>0</v>
      </c>
      <c r="K1538" s="29">
        <f t="shared" si="117"/>
        <v>10400</v>
      </c>
      <c r="L1538" s="31" t="str">
        <f t="shared" si="118"/>
        <v/>
      </c>
      <c r="M1538" s="31" t="str">
        <f t="shared" si="119"/>
        <v/>
      </c>
    </row>
    <row r="1539" spans="1:13" x14ac:dyDescent="0.15">
      <c r="A1539" s="163" t="s">
        <v>210</v>
      </c>
      <c r="B1539" s="163">
        <v>42317.407184456017</v>
      </c>
      <c r="C1539" s="164" t="s">
        <v>1637</v>
      </c>
      <c r="D1539" s="164" t="s">
        <v>13</v>
      </c>
      <c r="E1539" s="165">
        <v>100</v>
      </c>
      <c r="F1539" s="166">
        <v>0</v>
      </c>
      <c r="G1539" s="227">
        <f>IF($B$2,IF(ROWS(B$6:$B1539) = 1,$B1539-Start_Date,$B1539-$B1538),"")</f>
        <v>9.2624189783236943E-3</v>
      </c>
      <c r="H1539" s="29">
        <f>IF($B$2,IF(ROWS(B$6:$B1539) = 1,IF(COUNTIFS(R_Schedule_Times,"&lt;"&amp;B1539),INDEX(R_Schedule_Amounts,MATCH(B1539,R_Schedule_Times,1)),Starting_Cash),IF(COUNTIFS(R_Schedule_Times,"&gt;"&amp;B1538,R_Schedule_Times,"&lt;"&amp;B1539),INDEX(R_Schedule_Amounts,MATCH(B1539,R_Schedule_Times,1)),K1538)),"")</f>
        <v>10400</v>
      </c>
      <c r="I1539" s="30">
        <f t="shared" si="115"/>
        <v>100</v>
      </c>
      <c r="J1539" s="31">
        <f t="shared" si="116"/>
        <v>0</v>
      </c>
      <c r="K1539" s="29">
        <f t="shared" si="117"/>
        <v>10300</v>
      </c>
      <c r="L1539" s="31" t="str">
        <f t="shared" si="118"/>
        <v/>
      </c>
      <c r="M1539" s="31" t="str">
        <f t="shared" si="119"/>
        <v/>
      </c>
    </row>
    <row r="1540" spans="1:13" x14ac:dyDescent="0.15">
      <c r="A1540" s="163" t="s">
        <v>210</v>
      </c>
      <c r="B1540" s="163">
        <v>42317.431922141201</v>
      </c>
      <c r="C1540" s="164" t="s">
        <v>674</v>
      </c>
      <c r="D1540" s="164" t="s">
        <v>13</v>
      </c>
      <c r="E1540" s="165">
        <v>20</v>
      </c>
      <c r="F1540" s="166">
        <v>0</v>
      </c>
      <c r="G1540" s="227">
        <f>IF($B$2,IF(ROWS(B$6:$B1540) = 1,$B1540-Start_Date,$B1540-$B1539),"")</f>
        <v>2.4737685183936264E-2</v>
      </c>
      <c r="H1540" s="29">
        <f>IF($B$2,IF(ROWS(B$6:$B1540) = 1,IF(COUNTIFS(R_Schedule_Times,"&lt;"&amp;B1540),INDEX(R_Schedule_Amounts,MATCH(B1540,R_Schedule_Times,1)),Starting_Cash),IF(COUNTIFS(R_Schedule_Times,"&gt;"&amp;B1539,R_Schedule_Times,"&lt;"&amp;B1540),INDEX(R_Schedule_Amounts,MATCH(B1540,R_Schedule_Times,1)),K1539)),"")</f>
        <v>10300</v>
      </c>
      <c r="I1540" s="30">
        <f t="shared" si="115"/>
        <v>20</v>
      </c>
      <c r="J1540" s="31">
        <f t="shared" si="116"/>
        <v>0</v>
      </c>
      <c r="K1540" s="29">
        <f t="shared" si="117"/>
        <v>10280</v>
      </c>
      <c r="L1540" s="31" t="str">
        <f t="shared" si="118"/>
        <v/>
      </c>
      <c r="M1540" s="31" t="str">
        <f t="shared" si="119"/>
        <v/>
      </c>
    </row>
    <row r="1541" spans="1:13" x14ac:dyDescent="0.15">
      <c r="A1541" s="163" t="s">
        <v>210</v>
      </c>
      <c r="B1541" s="163">
        <v>42317.438024467592</v>
      </c>
      <c r="C1541" s="164" t="s">
        <v>1638</v>
      </c>
      <c r="D1541" s="164" t="s">
        <v>13</v>
      </c>
      <c r="E1541" s="165">
        <v>100</v>
      </c>
      <c r="F1541" s="166">
        <v>0</v>
      </c>
      <c r="G1541" s="227">
        <f>IF($B$2,IF(ROWS(B$6:$B1541) = 1,$B1541-Start_Date,$B1541-$B1540),"")</f>
        <v>6.1023263915558346E-3</v>
      </c>
      <c r="H1541" s="29">
        <f>IF($B$2,IF(ROWS(B$6:$B1541) = 1,IF(COUNTIFS(R_Schedule_Times,"&lt;"&amp;B1541),INDEX(R_Schedule_Amounts,MATCH(B1541,R_Schedule_Times,1)),Starting_Cash),IF(COUNTIFS(R_Schedule_Times,"&gt;"&amp;B1540,R_Schedule_Times,"&lt;"&amp;B1541),INDEX(R_Schedule_Amounts,MATCH(B1541,R_Schedule_Times,1)),K1540)),"")</f>
        <v>10280</v>
      </c>
      <c r="I1541" s="30">
        <f t="shared" si="115"/>
        <v>100</v>
      </c>
      <c r="J1541" s="31">
        <f t="shared" si="116"/>
        <v>0</v>
      </c>
      <c r="K1541" s="29">
        <f t="shared" si="117"/>
        <v>10180</v>
      </c>
      <c r="L1541" s="31" t="str">
        <f t="shared" si="118"/>
        <v/>
      </c>
      <c r="M1541" s="31" t="str">
        <f t="shared" si="119"/>
        <v/>
      </c>
    </row>
    <row r="1542" spans="1:13" x14ac:dyDescent="0.15">
      <c r="A1542" s="163" t="s">
        <v>210</v>
      </c>
      <c r="B1542" s="163">
        <v>42317.464923437503</v>
      </c>
      <c r="C1542" s="164" t="s">
        <v>1480</v>
      </c>
      <c r="D1542" s="164" t="s">
        <v>13</v>
      </c>
      <c r="E1542" s="165">
        <v>120</v>
      </c>
      <c r="F1542" s="166">
        <v>0</v>
      </c>
      <c r="G1542" s="227">
        <f>IF($B$2,IF(ROWS(B$6:$B1542) = 1,$B1542-Start_Date,$B1542-$B1541),"")</f>
        <v>2.689896991068963E-2</v>
      </c>
      <c r="H1542" s="29">
        <f>IF($B$2,IF(ROWS(B$6:$B1542) = 1,IF(COUNTIFS(R_Schedule_Times,"&lt;"&amp;B1542),INDEX(R_Schedule_Amounts,MATCH(B1542,R_Schedule_Times,1)),Starting_Cash),IF(COUNTIFS(R_Schedule_Times,"&gt;"&amp;B1541,R_Schedule_Times,"&lt;"&amp;B1542),INDEX(R_Schedule_Amounts,MATCH(B1542,R_Schedule_Times,1)),K1541)),"")</f>
        <v>10180</v>
      </c>
      <c r="I1542" s="30">
        <f t="shared" si="115"/>
        <v>120</v>
      </c>
      <c r="J1542" s="31">
        <f t="shared" si="116"/>
        <v>0</v>
      </c>
      <c r="K1542" s="29">
        <f t="shared" si="117"/>
        <v>10060</v>
      </c>
      <c r="L1542" s="31" t="str">
        <f t="shared" si="118"/>
        <v/>
      </c>
      <c r="M1542" s="31" t="str">
        <f t="shared" si="119"/>
        <v/>
      </c>
    </row>
    <row r="1543" spans="1:13" x14ac:dyDescent="0.15">
      <c r="A1543" s="163" t="s">
        <v>210</v>
      </c>
      <c r="B1543" s="163">
        <v>42317.487496168978</v>
      </c>
      <c r="C1543" s="164" t="s">
        <v>421</v>
      </c>
      <c r="D1543" s="164" t="s">
        <v>13</v>
      </c>
      <c r="E1543" s="165">
        <v>40</v>
      </c>
      <c r="F1543" s="166">
        <v>0</v>
      </c>
      <c r="G1543" s="227">
        <f>IF($B$2,IF(ROWS(B$6:$B1543) = 1,$B1543-Start_Date,$B1543-$B1542),"")</f>
        <v>2.2572731475520413E-2</v>
      </c>
      <c r="H1543" s="29">
        <f>IF($B$2,IF(ROWS(B$6:$B1543) = 1,IF(COUNTIFS(R_Schedule_Times,"&lt;"&amp;B1543),INDEX(R_Schedule_Amounts,MATCH(B1543,R_Schedule_Times,1)),Starting_Cash),IF(COUNTIFS(R_Schedule_Times,"&gt;"&amp;B1542,R_Schedule_Times,"&lt;"&amp;B1543),INDEX(R_Schedule_Amounts,MATCH(B1543,R_Schedule_Times,1)),K1542)),"")</f>
        <v>10060</v>
      </c>
      <c r="I1543" s="30">
        <f t="shared" ref="I1543:I1606" si="120">IF($B$2,IF(H1543&gt;=E1543,E1543,0),"")</f>
        <v>40</v>
      </c>
      <c r="J1543" s="31">
        <f t="shared" ref="J1543:J1606" si="121">IF($B$2,IF(H1543&gt;=E1543,F1543,0),"")</f>
        <v>0</v>
      </c>
      <c r="K1543" s="29">
        <f t="shared" ref="K1543:K1606" si="122">IF($B$2,ABS(I1543-H1543),"")</f>
        <v>10020</v>
      </c>
      <c r="L1543" s="31" t="str">
        <f t="shared" ref="L1543:L1606" si="123">IF($B$2,IF(H1543&lt;E1543,"YES",""),"")</f>
        <v/>
      </c>
      <c r="M1543" s="31" t="str">
        <f t="shared" ref="M1543:M1606" si="124">IF($B$2,IF(L1543="YES",F1543,""),"")</f>
        <v/>
      </c>
    </row>
    <row r="1544" spans="1:13" x14ac:dyDescent="0.15">
      <c r="A1544" s="163" t="s">
        <v>210</v>
      </c>
      <c r="B1544" s="163">
        <v>42317.491423460648</v>
      </c>
      <c r="C1544" s="164" t="s">
        <v>1639</v>
      </c>
      <c r="D1544" s="164" t="s">
        <v>13</v>
      </c>
      <c r="E1544" s="165">
        <v>100</v>
      </c>
      <c r="F1544" s="166">
        <v>0</v>
      </c>
      <c r="G1544" s="227">
        <f>IF($B$2,IF(ROWS(B$6:$B1544) = 1,$B1544-Start_Date,$B1544-$B1543),"")</f>
        <v>3.9272916692425497E-3</v>
      </c>
      <c r="H1544" s="29">
        <f>IF($B$2,IF(ROWS(B$6:$B1544) = 1,IF(COUNTIFS(R_Schedule_Times,"&lt;"&amp;B1544),INDEX(R_Schedule_Amounts,MATCH(B1544,R_Schedule_Times,1)),Starting_Cash),IF(COUNTIFS(R_Schedule_Times,"&gt;"&amp;B1543,R_Schedule_Times,"&lt;"&amp;B1544),INDEX(R_Schedule_Amounts,MATCH(B1544,R_Schedule_Times,1)),K1543)),"")</f>
        <v>10020</v>
      </c>
      <c r="I1544" s="30">
        <f t="shared" si="120"/>
        <v>100</v>
      </c>
      <c r="J1544" s="31">
        <f t="shared" si="121"/>
        <v>0</v>
      </c>
      <c r="K1544" s="29">
        <f t="shared" si="122"/>
        <v>9920</v>
      </c>
      <c r="L1544" s="31" t="str">
        <f t="shared" si="123"/>
        <v/>
      </c>
      <c r="M1544" s="31" t="str">
        <f t="shared" si="124"/>
        <v/>
      </c>
    </row>
    <row r="1545" spans="1:13" x14ac:dyDescent="0.15">
      <c r="A1545" s="163" t="s">
        <v>210</v>
      </c>
      <c r="B1545" s="163">
        <v>42317.504946122688</v>
      </c>
      <c r="C1545" s="164" t="s">
        <v>1640</v>
      </c>
      <c r="D1545" s="164" t="s">
        <v>13</v>
      </c>
      <c r="E1545" s="165">
        <v>20</v>
      </c>
      <c r="F1545" s="166">
        <v>0</v>
      </c>
      <c r="G1545" s="227">
        <f>IF($B$2,IF(ROWS(B$6:$B1545) = 1,$B1545-Start_Date,$B1545-$B1544),"")</f>
        <v>1.3522662040486466E-2</v>
      </c>
      <c r="H1545" s="29">
        <f>IF($B$2,IF(ROWS(B$6:$B1545) = 1,IF(COUNTIFS(R_Schedule_Times,"&lt;"&amp;B1545),INDEX(R_Schedule_Amounts,MATCH(B1545,R_Schedule_Times,1)),Starting_Cash),IF(COUNTIFS(R_Schedule_Times,"&gt;"&amp;B1544,R_Schedule_Times,"&lt;"&amp;B1545),INDEX(R_Schedule_Amounts,MATCH(B1545,R_Schedule_Times,1)),K1544)),"")</f>
        <v>9920</v>
      </c>
      <c r="I1545" s="30">
        <f t="shared" si="120"/>
        <v>20</v>
      </c>
      <c r="J1545" s="31">
        <f t="shared" si="121"/>
        <v>0</v>
      </c>
      <c r="K1545" s="29">
        <f t="shared" si="122"/>
        <v>9900</v>
      </c>
      <c r="L1545" s="31" t="str">
        <f t="shared" si="123"/>
        <v/>
      </c>
      <c r="M1545" s="31" t="str">
        <f t="shared" si="124"/>
        <v/>
      </c>
    </row>
    <row r="1546" spans="1:13" x14ac:dyDescent="0.15">
      <c r="A1546" s="163" t="s">
        <v>210</v>
      </c>
      <c r="B1546" s="163">
        <v>42317.505759386571</v>
      </c>
      <c r="C1546" s="164" t="s">
        <v>228</v>
      </c>
      <c r="D1546" s="164" t="s">
        <v>13</v>
      </c>
      <c r="E1546" s="165">
        <v>80</v>
      </c>
      <c r="F1546" s="166">
        <v>0</v>
      </c>
      <c r="G1546" s="227">
        <f>IF($B$2,IF(ROWS(B$6:$B1546) = 1,$B1546-Start_Date,$B1546-$B1545),"")</f>
        <v>8.1326388317393139E-4</v>
      </c>
      <c r="H1546" s="29">
        <f>IF($B$2,IF(ROWS(B$6:$B1546) = 1,IF(COUNTIFS(R_Schedule_Times,"&lt;"&amp;B1546),INDEX(R_Schedule_Amounts,MATCH(B1546,R_Schedule_Times,1)),Starting_Cash),IF(COUNTIFS(R_Schedule_Times,"&gt;"&amp;B1545,R_Schedule_Times,"&lt;"&amp;B1546),INDEX(R_Schedule_Amounts,MATCH(B1546,R_Schedule_Times,1)),K1545)),"")</f>
        <v>9900</v>
      </c>
      <c r="I1546" s="30">
        <f t="shared" si="120"/>
        <v>80</v>
      </c>
      <c r="J1546" s="31">
        <f t="shared" si="121"/>
        <v>0</v>
      </c>
      <c r="K1546" s="29">
        <f t="shared" si="122"/>
        <v>9820</v>
      </c>
      <c r="L1546" s="31" t="str">
        <f t="shared" si="123"/>
        <v/>
      </c>
      <c r="M1546" s="31" t="str">
        <f t="shared" si="124"/>
        <v/>
      </c>
    </row>
    <row r="1547" spans="1:13" x14ac:dyDescent="0.15">
      <c r="A1547" s="163" t="s">
        <v>210</v>
      </c>
      <c r="B1547" s="163">
        <v>42317.520170266202</v>
      </c>
      <c r="C1547" s="164" t="s">
        <v>1641</v>
      </c>
      <c r="D1547" s="164" t="s">
        <v>13</v>
      </c>
      <c r="E1547" s="165">
        <v>40</v>
      </c>
      <c r="F1547" s="166">
        <v>0</v>
      </c>
      <c r="G1547" s="227">
        <f>IF($B$2,IF(ROWS(B$6:$B1547) = 1,$B1547-Start_Date,$B1547-$B1546),"")</f>
        <v>1.4410879630304407E-2</v>
      </c>
      <c r="H1547" s="29">
        <f>IF($B$2,IF(ROWS(B$6:$B1547) = 1,IF(COUNTIFS(R_Schedule_Times,"&lt;"&amp;B1547),INDEX(R_Schedule_Amounts,MATCH(B1547,R_Schedule_Times,1)),Starting_Cash),IF(COUNTIFS(R_Schedule_Times,"&gt;"&amp;B1546,R_Schedule_Times,"&lt;"&amp;B1547),INDEX(R_Schedule_Amounts,MATCH(B1547,R_Schedule_Times,1)),K1546)),"")</f>
        <v>9820</v>
      </c>
      <c r="I1547" s="30">
        <f t="shared" si="120"/>
        <v>40</v>
      </c>
      <c r="J1547" s="31">
        <f t="shared" si="121"/>
        <v>0</v>
      </c>
      <c r="K1547" s="29">
        <f t="shared" si="122"/>
        <v>9780</v>
      </c>
      <c r="L1547" s="31" t="str">
        <f t="shared" si="123"/>
        <v/>
      </c>
      <c r="M1547" s="31" t="str">
        <f t="shared" si="124"/>
        <v/>
      </c>
    </row>
    <row r="1548" spans="1:13" x14ac:dyDescent="0.15">
      <c r="A1548" s="163" t="s">
        <v>210</v>
      </c>
      <c r="B1548" s="163">
        <v>42317.537097916669</v>
      </c>
      <c r="C1548" s="164" t="s">
        <v>1153</v>
      </c>
      <c r="D1548" s="164" t="s">
        <v>13</v>
      </c>
      <c r="E1548" s="165">
        <v>40</v>
      </c>
      <c r="F1548" s="166">
        <v>0</v>
      </c>
      <c r="G1548" s="227">
        <f>IF($B$2,IF(ROWS(B$6:$B1548) = 1,$B1548-Start_Date,$B1548-$B1547),"")</f>
        <v>1.6927650467550848E-2</v>
      </c>
      <c r="H1548" s="29">
        <f>IF($B$2,IF(ROWS(B$6:$B1548) = 1,IF(COUNTIFS(R_Schedule_Times,"&lt;"&amp;B1548),INDEX(R_Schedule_Amounts,MATCH(B1548,R_Schedule_Times,1)),Starting_Cash),IF(COUNTIFS(R_Schedule_Times,"&gt;"&amp;B1547,R_Schedule_Times,"&lt;"&amp;B1548),INDEX(R_Schedule_Amounts,MATCH(B1548,R_Schedule_Times,1)),K1547)),"")</f>
        <v>9780</v>
      </c>
      <c r="I1548" s="30">
        <f t="shared" si="120"/>
        <v>40</v>
      </c>
      <c r="J1548" s="31">
        <f t="shared" si="121"/>
        <v>0</v>
      </c>
      <c r="K1548" s="29">
        <f t="shared" si="122"/>
        <v>9740</v>
      </c>
      <c r="L1548" s="31" t="str">
        <f t="shared" si="123"/>
        <v/>
      </c>
      <c r="M1548" s="31" t="str">
        <f t="shared" si="124"/>
        <v/>
      </c>
    </row>
    <row r="1549" spans="1:13" x14ac:dyDescent="0.15">
      <c r="A1549" s="163" t="s">
        <v>210</v>
      </c>
      <c r="B1549" s="163">
        <v>42317.537899537034</v>
      </c>
      <c r="C1549" s="164" t="s">
        <v>1642</v>
      </c>
      <c r="D1549" s="164" t="s">
        <v>13</v>
      </c>
      <c r="E1549" s="165">
        <v>60</v>
      </c>
      <c r="F1549" s="166">
        <v>0</v>
      </c>
      <c r="G1549" s="227">
        <f>IF($B$2,IF(ROWS(B$6:$B1549) = 1,$B1549-Start_Date,$B1549-$B1548),"")</f>
        <v>8.0162036465480924E-4</v>
      </c>
      <c r="H1549" s="29">
        <f>IF($B$2,IF(ROWS(B$6:$B1549) = 1,IF(COUNTIFS(R_Schedule_Times,"&lt;"&amp;B1549),INDEX(R_Schedule_Amounts,MATCH(B1549,R_Schedule_Times,1)),Starting_Cash),IF(COUNTIFS(R_Schedule_Times,"&gt;"&amp;B1548,R_Schedule_Times,"&lt;"&amp;B1549),INDEX(R_Schedule_Amounts,MATCH(B1549,R_Schedule_Times,1)),K1548)),"")</f>
        <v>9740</v>
      </c>
      <c r="I1549" s="30">
        <f t="shared" si="120"/>
        <v>60</v>
      </c>
      <c r="J1549" s="31">
        <f t="shared" si="121"/>
        <v>0</v>
      </c>
      <c r="K1549" s="29">
        <f t="shared" si="122"/>
        <v>9680</v>
      </c>
      <c r="L1549" s="31" t="str">
        <f t="shared" si="123"/>
        <v/>
      </c>
      <c r="M1549" s="31" t="str">
        <f t="shared" si="124"/>
        <v/>
      </c>
    </row>
    <row r="1550" spans="1:13" x14ac:dyDescent="0.15">
      <c r="A1550" s="163" t="s">
        <v>210</v>
      </c>
      <c r="B1550" s="163">
        <v>42317.546637280095</v>
      </c>
      <c r="C1550" s="164" t="s">
        <v>1643</v>
      </c>
      <c r="D1550" s="164" t="s">
        <v>13</v>
      </c>
      <c r="E1550" s="165">
        <v>60</v>
      </c>
      <c r="F1550" s="166">
        <v>0</v>
      </c>
      <c r="G1550" s="227">
        <f>IF($B$2,IF(ROWS(B$6:$B1550) = 1,$B1550-Start_Date,$B1550-$B1549),"")</f>
        <v>8.7377430609194562E-3</v>
      </c>
      <c r="H1550" s="29">
        <f>IF($B$2,IF(ROWS(B$6:$B1550) = 1,IF(COUNTIFS(R_Schedule_Times,"&lt;"&amp;B1550),INDEX(R_Schedule_Amounts,MATCH(B1550,R_Schedule_Times,1)),Starting_Cash),IF(COUNTIFS(R_Schedule_Times,"&gt;"&amp;B1549,R_Schedule_Times,"&lt;"&amp;B1550),INDEX(R_Schedule_Amounts,MATCH(B1550,R_Schedule_Times,1)),K1549)),"")</f>
        <v>9680</v>
      </c>
      <c r="I1550" s="30">
        <f t="shared" si="120"/>
        <v>60</v>
      </c>
      <c r="J1550" s="31">
        <f t="shared" si="121"/>
        <v>0</v>
      </c>
      <c r="K1550" s="29">
        <f t="shared" si="122"/>
        <v>9620</v>
      </c>
      <c r="L1550" s="31" t="str">
        <f t="shared" si="123"/>
        <v/>
      </c>
      <c r="M1550" s="31" t="str">
        <f t="shared" si="124"/>
        <v/>
      </c>
    </row>
    <row r="1551" spans="1:13" x14ac:dyDescent="0.15">
      <c r="A1551" s="163" t="s">
        <v>210</v>
      </c>
      <c r="B1551" s="163">
        <v>42317.562660729163</v>
      </c>
      <c r="C1551" s="164" t="s">
        <v>1555</v>
      </c>
      <c r="D1551" s="164" t="s">
        <v>13</v>
      </c>
      <c r="E1551" s="165">
        <v>40</v>
      </c>
      <c r="F1551" s="166">
        <v>0</v>
      </c>
      <c r="G1551" s="227">
        <f>IF($B$2,IF(ROWS(B$6:$B1551) = 1,$B1551-Start_Date,$B1551-$B1550),"")</f>
        <v>1.6023449068597984E-2</v>
      </c>
      <c r="H1551" s="29">
        <f>IF($B$2,IF(ROWS(B$6:$B1551) = 1,IF(COUNTIFS(R_Schedule_Times,"&lt;"&amp;B1551),INDEX(R_Schedule_Amounts,MATCH(B1551,R_Schedule_Times,1)),Starting_Cash),IF(COUNTIFS(R_Schedule_Times,"&gt;"&amp;B1550,R_Schedule_Times,"&lt;"&amp;B1551),INDEX(R_Schedule_Amounts,MATCH(B1551,R_Schedule_Times,1)),K1550)),"")</f>
        <v>9620</v>
      </c>
      <c r="I1551" s="30">
        <f t="shared" si="120"/>
        <v>40</v>
      </c>
      <c r="J1551" s="31">
        <f t="shared" si="121"/>
        <v>0</v>
      </c>
      <c r="K1551" s="29">
        <f t="shared" si="122"/>
        <v>9580</v>
      </c>
      <c r="L1551" s="31" t="str">
        <f t="shared" si="123"/>
        <v/>
      </c>
      <c r="M1551" s="31" t="str">
        <f t="shared" si="124"/>
        <v/>
      </c>
    </row>
    <row r="1552" spans="1:13" x14ac:dyDescent="0.15">
      <c r="A1552" s="163" t="s">
        <v>210</v>
      </c>
      <c r="B1552" s="163">
        <v>42317.564750555553</v>
      </c>
      <c r="C1552" s="164" t="s">
        <v>1644</v>
      </c>
      <c r="D1552" s="164" t="s">
        <v>13</v>
      </c>
      <c r="E1552" s="165">
        <v>100</v>
      </c>
      <c r="F1552" s="166">
        <v>0</v>
      </c>
      <c r="G1552" s="227">
        <f>IF($B$2,IF(ROWS(B$6:$B1552) = 1,$B1552-Start_Date,$B1552-$B1551),"")</f>
        <v>2.0898263901472092E-3</v>
      </c>
      <c r="H1552" s="29">
        <f>IF($B$2,IF(ROWS(B$6:$B1552) = 1,IF(COUNTIFS(R_Schedule_Times,"&lt;"&amp;B1552),INDEX(R_Schedule_Amounts,MATCH(B1552,R_Schedule_Times,1)),Starting_Cash),IF(COUNTIFS(R_Schedule_Times,"&gt;"&amp;B1551,R_Schedule_Times,"&lt;"&amp;B1552),INDEX(R_Schedule_Amounts,MATCH(B1552,R_Schedule_Times,1)),K1551)),"")</f>
        <v>9580</v>
      </c>
      <c r="I1552" s="30">
        <f t="shared" si="120"/>
        <v>100</v>
      </c>
      <c r="J1552" s="31">
        <f t="shared" si="121"/>
        <v>0</v>
      </c>
      <c r="K1552" s="29">
        <f t="shared" si="122"/>
        <v>9480</v>
      </c>
      <c r="L1552" s="31" t="str">
        <f t="shared" si="123"/>
        <v/>
      </c>
      <c r="M1552" s="31" t="str">
        <f t="shared" si="124"/>
        <v/>
      </c>
    </row>
    <row r="1553" spans="1:13" x14ac:dyDescent="0.15">
      <c r="A1553" s="163" t="s">
        <v>210</v>
      </c>
      <c r="B1553" s="163">
        <v>42317.566004351851</v>
      </c>
      <c r="C1553" s="164" t="s">
        <v>1645</v>
      </c>
      <c r="D1553" s="164" t="s">
        <v>13</v>
      </c>
      <c r="E1553" s="165">
        <v>140</v>
      </c>
      <c r="F1553" s="166">
        <v>0</v>
      </c>
      <c r="G1553" s="227">
        <f>IF($B$2,IF(ROWS(B$6:$B1553) = 1,$B1553-Start_Date,$B1553-$B1552),"")</f>
        <v>1.2537962975329719E-3</v>
      </c>
      <c r="H1553" s="29">
        <f>IF($B$2,IF(ROWS(B$6:$B1553) = 1,IF(COUNTIFS(R_Schedule_Times,"&lt;"&amp;B1553),INDEX(R_Schedule_Amounts,MATCH(B1553,R_Schedule_Times,1)),Starting_Cash),IF(COUNTIFS(R_Schedule_Times,"&gt;"&amp;B1552,R_Schedule_Times,"&lt;"&amp;B1553),INDEX(R_Schedule_Amounts,MATCH(B1553,R_Schedule_Times,1)),K1552)),"")</f>
        <v>9480</v>
      </c>
      <c r="I1553" s="30">
        <f t="shared" si="120"/>
        <v>140</v>
      </c>
      <c r="J1553" s="31">
        <f t="shared" si="121"/>
        <v>0</v>
      </c>
      <c r="K1553" s="29">
        <f t="shared" si="122"/>
        <v>9340</v>
      </c>
      <c r="L1553" s="31" t="str">
        <f t="shared" si="123"/>
        <v/>
      </c>
      <c r="M1553" s="31" t="str">
        <f t="shared" si="124"/>
        <v/>
      </c>
    </row>
    <row r="1554" spans="1:13" x14ac:dyDescent="0.15">
      <c r="A1554" s="163" t="s">
        <v>210</v>
      </c>
      <c r="B1554" s="163">
        <v>42317.568081527781</v>
      </c>
      <c r="C1554" s="164" t="s">
        <v>14</v>
      </c>
      <c r="D1554" s="164" t="s">
        <v>13</v>
      </c>
      <c r="E1554" s="165">
        <v>200</v>
      </c>
      <c r="F1554" s="166">
        <v>3.5</v>
      </c>
      <c r="G1554" s="227">
        <f>IF($B$2,IF(ROWS(B$6:$B1554) = 1,$B1554-Start_Date,$B1554-$B1553),"")</f>
        <v>2.0771759300259873E-3</v>
      </c>
      <c r="H1554" s="29">
        <f>IF($B$2,IF(ROWS(B$6:$B1554) = 1,IF(COUNTIFS(R_Schedule_Times,"&lt;"&amp;B1554),INDEX(R_Schedule_Amounts,MATCH(B1554,R_Schedule_Times,1)),Starting_Cash),IF(COUNTIFS(R_Schedule_Times,"&gt;"&amp;B1553,R_Schedule_Times,"&lt;"&amp;B1554),INDEX(R_Schedule_Amounts,MATCH(B1554,R_Schedule_Times,1)),K1553)),"")</f>
        <v>9340</v>
      </c>
      <c r="I1554" s="30">
        <f t="shared" si="120"/>
        <v>200</v>
      </c>
      <c r="J1554" s="31">
        <f t="shared" si="121"/>
        <v>3.5</v>
      </c>
      <c r="K1554" s="29">
        <f t="shared" si="122"/>
        <v>9140</v>
      </c>
      <c r="L1554" s="31" t="str">
        <f t="shared" si="123"/>
        <v/>
      </c>
      <c r="M1554" s="31" t="str">
        <f t="shared" si="124"/>
        <v/>
      </c>
    </row>
    <row r="1555" spans="1:13" x14ac:dyDescent="0.15">
      <c r="A1555" s="163" t="s">
        <v>210</v>
      </c>
      <c r="B1555" s="163">
        <v>42317.587440972224</v>
      </c>
      <c r="C1555" s="164" t="s">
        <v>1646</v>
      </c>
      <c r="D1555" s="164" t="s">
        <v>13</v>
      </c>
      <c r="E1555" s="165">
        <v>80</v>
      </c>
      <c r="F1555" s="166">
        <v>0</v>
      </c>
      <c r="G1555" s="227">
        <f>IF($B$2,IF(ROWS(B$6:$B1555) = 1,$B1555-Start_Date,$B1555-$B1554),"")</f>
        <v>1.9359444442670792E-2</v>
      </c>
      <c r="H1555" s="29">
        <f>IF($B$2,IF(ROWS(B$6:$B1555) = 1,IF(COUNTIFS(R_Schedule_Times,"&lt;"&amp;B1555),INDEX(R_Schedule_Amounts,MATCH(B1555,R_Schedule_Times,1)),Starting_Cash),IF(COUNTIFS(R_Schedule_Times,"&gt;"&amp;B1554,R_Schedule_Times,"&lt;"&amp;B1555),INDEX(R_Schedule_Amounts,MATCH(B1555,R_Schedule_Times,1)),K1554)),"")</f>
        <v>9140</v>
      </c>
      <c r="I1555" s="30">
        <f t="shared" si="120"/>
        <v>80</v>
      </c>
      <c r="J1555" s="31">
        <f t="shared" si="121"/>
        <v>0</v>
      </c>
      <c r="K1555" s="29">
        <f t="shared" si="122"/>
        <v>9060</v>
      </c>
      <c r="L1555" s="31" t="str">
        <f t="shared" si="123"/>
        <v/>
      </c>
      <c r="M1555" s="31" t="str">
        <f t="shared" si="124"/>
        <v/>
      </c>
    </row>
    <row r="1556" spans="1:13" x14ac:dyDescent="0.15">
      <c r="A1556" s="163" t="s">
        <v>210</v>
      </c>
      <c r="B1556" s="163">
        <v>42317.6085337037</v>
      </c>
      <c r="C1556" s="164" t="s">
        <v>1647</v>
      </c>
      <c r="D1556" s="164" t="s">
        <v>13</v>
      </c>
      <c r="E1556" s="165">
        <v>40</v>
      </c>
      <c r="F1556" s="166">
        <v>0</v>
      </c>
      <c r="G1556" s="227">
        <f>IF($B$2,IF(ROWS(B$6:$B1556) = 1,$B1556-Start_Date,$B1556-$B1555),"")</f>
        <v>2.109273147652857E-2</v>
      </c>
      <c r="H1556" s="29">
        <f>IF($B$2,IF(ROWS(B$6:$B1556) = 1,IF(COUNTIFS(R_Schedule_Times,"&lt;"&amp;B1556),INDEX(R_Schedule_Amounts,MATCH(B1556,R_Schedule_Times,1)),Starting_Cash),IF(COUNTIFS(R_Schedule_Times,"&gt;"&amp;B1555,R_Schedule_Times,"&lt;"&amp;B1556),INDEX(R_Schedule_Amounts,MATCH(B1556,R_Schedule_Times,1)),K1555)),"")</f>
        <v>9060</v>
      </c>
      <c r="I1556" s="30">
        <f t="shared" si="120"/>
        <v>40</v>
      </c>
      <c r="J1556" s="31">
        <f t="shared" si="121"/>
        <v>0</v>
      </c>
      <c r="K1556" s="29">
        <f t="shared" si="122"/>
        <v>9020</v>
      </c>
      <c r="L1556" s="31" t="str">
        <f t="shared" si="123"/>
        <v/>
      </c>
      <c r="M1556" s="31" t="str">
        <f t="shared" si="124"/>
        <v/>
      </c>
    </row>
    <row r="1557" spans="1:13" x14ac:dyDescent="0.15">
      <c r="A1557" s="163" t="s">
        <v>210</v>
      </c>
      <c r="B1557" s="163">
        <v>42317.631834074076</v>
      </c>
      <c r="C1557" s="164" t="s">
        <v>1648</v>
      </c>
      <c r="D1557" s="164" t="s">
        <v>13</v>
      </c>
      <c r="E1557" s="165">
        <v>20</v>
      </c>
      <c r="F1557" s="166">
        <v>0</v>
      </c>
      <c r="G1557" s="227">
        <f>IF($B$2,IF(ROWS(B$6:$B1557) = 1,$B1557-Start_Date,$B1557-$B1556),"")</f>
        <v>2.330037037609145E-2</v>
      </c>
      <c r="H1557" s="29">
        <f>IF($B$2,IF(ROWS(B$6:$B1557) = 1,IF(COUNTIFS(R_Schedule_Times,"&lt;"&amp;B1557),INDEX(R_Schedule_Amounts,MATCH(B1557,R_Schedule_Times,1)),Starting_Cash),IF(COUNTIFS(R_Schedule_Times,"&gt;"&amp;B1556,R_Schedule_Times,"&lt;"&amp;B1557),INDEX(R_Schedule_Amounts,MATCH(B1557,R_Schedule_Times,1)),K1556)),"")</f>
        <v>9020</v>
      </c>
      <c r="I1557" s="30">
        <f t="shared" si="120"/>
        <v>20</v>
      </c>
      <c r="J1557" s="31">
        <f t="shared" si="121"/>
        <v>0</v>
      </c>
      <c r="K1557" s="29">
        <f t="shared" si="122"/>
        <v>9000</v>
      </c>
      <c r="L1557" s="31" t="str">
        <f t="shared" si="123"/>
        <v/>
      </c>
      <c r="M1557" s="31" t="str">
        <f t="shared" si="124"/>
        <v/>
      </c>
    </row>
    <row r="1558" spans="1:13" x14ac:dyDescent="0.15">
      <c r="A1558" s="163" t="s">
        <v>210</v>
      </c>
      <c r="B1558" s="163">
        <v>42317.634155023145</v>
      </c>
      <c r="C1558" s="164" t="s">
        <v>1649</v>
      </c>
      <c r="D1558" s="164" t="s">
        <v>13</v>
      </c>
      <c r="E1558" s="165">
        <v>100</v>
      </c>
      <c r="F1558" s="166">
        <v>0</v>
      </c>
      <c r="G1558" s="227">
        <f>IF($B$2,IF(ROWS(B$6:$B1558) = 1,$B1558-Start_Date,$B1558-$B1557),"")</f>
        <v>2.3209490682347678E-3</v>
      </c>
      <c r="H1558" s="29">
        <f>IF($B$2,IF(ROWS(B$6:$B1558) = 1,IF(COUNTIFS(R_Schedule_Times,"&lt;"&amp;B1558),INDEX(R_Schedule_Amounts,MATCH(B1558,R_Schedule_Times,1)),Starting_Cash),IF(COUNTIFS(R_Schedule_Times,"&gt;"&amp;B1557,R_Schedule_Times,"&lt;"&amp;B1558),INDEX(R_Schedule_Amounts,MATCH(B1558,R_Schedule_Times,1)),K1557)),"")</f>
        <v>9000</v>
      </c>
      <c r="I1558" s="30">
        <f t="shared" si="120"/>
        <v>100</v>
      </c>
      <c r="J1558" s="31">
        <f t="shared" si="121"/>
        <v>0</v>
      </c>
      <c r="K1558" s="29">
        <f t="shared" si="122"/>
        <v>8900</v>
      </c>
      <c r="L1558" s="31" t="str">
        <f t="shared" si="123"/>
        <v/>
      </c>
      <c r="M1558" s="31" t="str">
        <f t="shared" si="124"/>
        <v/>
      </c>
    </row>
    <row r="1559" spans="1:13" x14ac:dyDescent="0.15">
      <c r="A1559" s="163" t="s">
        <v>210</v>
      </c>
      <c r="B1559" s="163">
        <v>42317.637647407406</v>
      </c>
      <c r="C1559" s="164" t="s">
        <v>1650</v>
      </c>
      <c r="D1559" s="164" t="s">
        <v>13</v>
      </c>
      <c r="E1559" s="165">
        <v>100</v>
      </c>
      <c r="F1559" s="166">
        <v>0</v>
      </c>
      <c r="G1559" s="227">
        <f>IF($B$2,IF(ROWS(B$6:$B1559) = 1,$B1559-Start_Date,$B1559-$B1558),"")</f>
        <v>3.4923842613352463E-3</v>
      </c>
      <c r="H1559" s="29">
        <f>IF($B$2,IF(ROWS(B$6:$B1559) = 1,IF(COUNTIFS(R_Schedule_Times,"&lt;"&amp;B1559),INDEX(R_Schedule_Amounts,MATCH(B1559,R_Schedule_Times,1)),Starting_Cash),IF(COUNTIFS(R_Schedule_Times,"&gt;"&amp;B1558,R_Schedule_Times,"&lt;"&amp;B1559),INDEX(R_Schedule_Amounts,MATCH(B1559,R_Schedule_Times,1)),K1558)),"")</f>
        <v>8900</v>
      </c>
      <c r="I1559" s="30">
        <f t="shared" si="120"/>
        <v>100</v>
      </c>
      <c r="J1559" s="31">
        <f t="shared" si="121"/>
        <v>0</v>
      </c>
      <c r="K1559" s="29">
        <f t="shared" si="122"/>
        <v>8800</v>
      </c>
      <c r="L1559" s="31" t="str">
        <f t="shared" si="123"/>
        <v/>
      </c>
      <c r="M1559" s="31" t="str">
        <f t="shared" si="124"/>
        <v/>
      </c>
    </row>
    <row r="1560" spans="1:13" x14ac:dyDescent="0.15">
      <c r="A1560" s="163" t="s">
        <v>210</v>
      </c>
      <c r="B1560" s="163">
        <v>42317.644396608797</v>
      </c>
      <c r="C1560" s="164" t="s">
        <v>271</v>
      </c>
      <c r="D1560" s="164" t="s">
        <v>13</v>
      </c>
      <c r="E1560" s="165">
        <v>100</v>
      </c>
      <c r="F1560" s="166">
        <v>0</v>
      </c>
      <c r="G1560" s="227">
        <f>IF($B$2,IF(ROWS(B$6:$B1560) = 1,$B1560-Start_Date,$B1560-$B1559),"")</f>
        <v>6.7492013913579285E-3</v>
      </c>
      <c r="H1560" s="29">
        <f>IF($B$2,IF(ROWS(B$6:$B1560) = 1,IF(COUNTIFS(R_Schedule_Times,"&lt;"&amp;B1560),INDEX(R_Schedule_Amounts,MATCH(B1560,R_Schedule_Times,1)),Starting_Cash),IF(COUNTIFS(R_Schedule_Times,"&gt;"&amp;B1559,R_Schedule_Times,"&lt;"&amp;B1560),INDEX(R_Schedule_Amounts,MATCH(B1560,R_Schedule_Times,1)),K1559)),"")</f>
        <v>8800</v>
      </c>
      <c r="I1560" s="30">
        <f t="shared" si="120"/>
        <v>100</v>
      </c>
      <c r="J1560" s="31">
        <f t="shared" si="121"/>
        <v>0</v>
      </c>
      <c r="K1560" s="29">
        <f t="shared" si="122"/>
        <v>8700</v>
      </c>
      <c r="L1560" s="31" t="str">
        <f t="shared" si="123"/>
        <v/>
      </c>
      <c r="M1560" s="31" t="str">
        <f t="shared" si="124"/>
        <v/>
      </c>
    </row>
    <row r="1561" spans="1:13" x14ac:dyDescent="0.15">
      <c r="A1561" s="163" t="s">
        <v>210</v>
      </c>
      <c r="B1561" s="163">
        <v>42317.656223541664</v>
      </c>
      <c r="C1561" s="164" t="s">
        <v>1651</v>
      </c>
      <c r="D1561" s="164" t="s">
        <v>13</v>
      </c>
      <c r="E1561" s="165">
        <v>40</v>
      </c>
      <c r="F1561" s="166">
        <v>0</v>
      </c>
      <c r="G1561" s="227">
        <f>IF($B$2,IF(ROWS(B$6:$B1561) = 1,$B1561-Start_Date,$B1561-$B1560),"")</f>
        <v>1.1826932866824791E-2</v>
      </c>
      <c r="H1561" s="29">
        <f>IF($B$2,IF(ROWS(B$6:$B1561) = 1,IF(COUNTIFS(R_Schedule_Times,"&lt;"&amp;B1561),INDEX(R_Schedule_Amounts,MATCH(B1561,R_Schedule_Times,1)),Starting_Cash),IF(COUNTIFS(R_Schedule_Times,"&gt;"&amp;B1560,R_Schedule_Times,"&lt;"&amp;B1561),INDEX(R_Schedule_Amounts,MATCH(B1561,R_Schedule_Times,1)),K1560)),"")</f>
        <v>8700</v>
      </c>
      <c r="I1561" s="30">
        <f t="shared" si="120"/>
        <v>40</v>
      </c>
      <c r="J1561" s="31">
        <f t="shared" si="121"/>
        <v>0</v>
      </c>
      <c r="K1561" s="29">
        <f t="shared" si="122"/>
        <v>8660</v>
      </c>
      <c r="L1561" s="31" t="str">
        <f t="shared" si="123"/>
        <v/>
      </c>
      <c r="M1561" s="31" t="str">
        <f t="shared" si="124"/>
        <v/>
      </c>
    </row>
    <row r="1562" spans="1:13" x14ac:dyDescent="0.15">
      <c r="A1562" s="163" t="s">
        <v>210</v>
      </c>
      <c r="B1562" s="163">
        <v>42317.712491458333</v>
      </c>
      <c r="C1562" s="164" t="s">
        <v>14</v>
      </c>
      <c r="D1562" s="164" t="s">
        <v>13</v>
      </c>
      <c r="E1562" s="165">
        <v>100</v>
      </c>
      <c r="F1562" s="166">
        <v>3.5</v>
      </c>
      <c r="G1562" s="227">
        <f>IF($B$2,IF(ROWS(B$6:$B1562) = 1,$B1562-Start_Date,$B1562-$B1561),"")</f>
        <v>5.6267916668730322E-2</v>
      </c>
      <c r="H1562" s="29">
        <f>IF($B$2,IF(ROWS(B$6:$B1562) = 1,IF(COUNTIFS(R_Schedule_Times,"&lt;"&amp;B1562),INDEX(R_Schedule_Amounts,MATCH(B1562,R_Schedule_Times,1)),Starting_Cash),IF(COUNTIFS(R_Schedule_Times,"&gt;"&amp;B1561,R_Schedule_Times,"&lt;"&amp;B1562),INDEX(R_Schedule_Amounts,MATCH(B1562,R_Schedule_Times,1)),K1561)),"")</f>
        <v>8660</v>
      </c>
      <c r="I1562" s="30">
        <f t="shared" si="120"/>
        <v>100</v>
      </c>
      <c r="J1562" s="31">
        <f t="shared" si="121"/>
        <v>3.5</v>
      </c>
      <c r="K1562" s="29">
        <f t="shared" si="122"/>
        <v>8560</v>
      </c>
      <c r="L1562" s="31" t="str">
        <f t="shared" si="123"/>
        <v/>
      </c>
      <c r="M1562" s="31" t="str">
        <f t="shared" si="124"/>
        <v/>
      </c>
    </row>
    <row r="1563" spans="1:13" x14ac:dyDescent="0.15">
      <c r="A1563" s="163" t="s">
        <v>210</v>
      </c>
      <c r="B1563" s="163">
        <v>42317.736837500001</v>
      </c>
      <c r="C1563" s="164" t="s">
        <v>422</v>
      </c>
      <c r="D1563" s="164" t="s">
        <v>13</v>
      </c>
      <c r="E1563" s="165">
        <v>80</v>
      </c>
      <c r="F1563" s="166">
        <v>0</v>
      </c>
      <c r="G1563" s="227">
        <f>IF($B$2,IF(ROWS(B$6:$B1563) = 1,$B1563-Start_Date,$B1563-$B1562),"")</f>
        <v>2.4346041667740792E-2</v>
      </c>
      <c r="H1563" s="29">
        <f>IF($B$2,IF(ROWS(B$6:$B1563) = 1,IF(COUNTIFS(R_Schedule_Times,"&lt;"&amp;B1563),INDEX(R_Schedule_Amounts,MATCH(B1563,R_Schedule_Times,1)),Starting_Cash),IF(COUNTIFS(R_Schedule_Times,"&gt;"&amp;B1562,R_Schedule_Times,"&lt;"&amp;B1563),INDEX(R_Schedule_Amounts,MATCH(B1563,R_Schedule_Times,1)),K1562)),"")</f>
        <v>8560</v>
      </c>
      <c r="I1563" s="30">
        <f t="shared" si="120"/>
        <v>80</v>
      </c>
      <c r="J1563" s="31">
        <f t="shared" si="121"/>
        <v>0</v>
      </c>
      <c r="K1563" s="29">
        <f t="shared" si="122"/>
        <v>8480</v>
      </c>
      <c r="L1563" s="31" t="str">
        <f t="shared" si="123"/>
        <v/>
      </c>
      <c r="M1563" s="31" t="str">
        <f t="shared" si="124"/>
        <v/>
      </c>
    </row>
    <row r="1564" spans="1:13" x14ac:dyDescent="0.15">
      <c r="A1564" s="163" t="s">
        <v>210</v>
      </c>
      <c r="B1564" s="163">
        <v>42317.740484872687</v>
      </c>
      <c r="C1564" s="164" t="s">
        <v>1652</v>
      </c>
      <c r="D1564" s="164" t="s">
        <v>13</v>
      </c>
      <c r="E1564" s="165">
        <v>60</v>
      </c>
      <c r="F1564" s="166">
        <v>0</v>
      </c>
      <c r="G1564" s="227">
        <f>IF($B$2,IF(ROWS(B$6:$B1564) = 1,$B1564-Start_Date,$B1564-$B1563),"")</f>
        <v>3.647372686828021E-3</v>
      </c>
      <c r="H1564" s="29">
        <f>IF($B$2,IF(ROWS(B$6:$B1564) = 1,IF(COUNTIFS(R_Schedule_Times,"&lt;"&amp;B1564),INDEX(R_Schedule_Amounts,MATCH(B1564,R_Schedule_Times,1)),Starting_Cash),IF(COUNTIFS(R_Schedule_Times,"&gt;"&amp;B1563,R_Schedule_Times,"&lt;"&amp;B1564),INDEX(R_Schedule_Amounts,MATCH(B1564,R_Schedule_Times,1)),K1563)),"")</f>
        <v>8480</v>
      </c>
      <c r="I1564" s="30">
        <f t="shared" si="120"/>
        <v>60</v>
      </c>
      <c r="J1564" s="31">
        <f t="shared" si="121"/>
        <v>0</v>
      </c>
      <c r="K1564" s="29">
        <f t="shared" si="122"/>
        <v>8420</v>
      </c>
      <c r="L1564" s="31" t="str">
        <f t="shared" si="123"/>
        <v/>
      </c>
      <c r="M1564" s="31" t="str">
        <f t="shared" si="124"/>
        <v/>
      </c>
    </row>
    <row r="1565" spans="1:13" x14ac:dyDescent="0.15">
      <c r="A1565" s="163" t="s">
        <v>210</v>
      </c>
      <c r="B1565" s="163">
        <v>42317.745230173612</v>
      </c>
      <c r="C1565" s="164" t="s">
        <v>1653</v>
      </c>
      <c r="D1565" s="164" t="s">
        <v>13</v>
      </c>
      <c r="E1565" s="165">
        <v>100</v>
      </c>
      <c r="F1565" s="166">
        <v>0</v>
      </c>
      <c r="G1565" s="227">
        <f>IF($B$2,IF(ROWS(B$6:$B1565) = 1,$B1565-Start_Date,$B1565-$B1564),"")</f>
        <v>4.7453009246964939E-3</v>
      </c>
      <c r="H1565" s="29">
        <f>IF($B$2,IF(ROWS(B$6:$B1565) = 1,IF(COUNTIFS(R_Schedule_Times,"&lt;"&amp;B1565),INDEX(R_Schedule_Amounts,MATCH(B1565,R_Schedule_Times,1)),Starting_Cash),IF(COUNTIFS(R_Schedule_Times,"&gt;"&amp;B1564,R_Schedule_Times,"&lt;"&amp;B1565),INDEX(R_Schedule_Amounts,MATCH(B1565,R_Schedule_Times,1)),K1564)),"")</f>
        <v>8420</v>
      </c>
      <c r="I1565" s="30">
        <f t="shared" si="120"/>
        <v>100</v>
      </c>
      <c r="J1565" s="31">
        <f t="shared" si="121"/>
        <v>0</v>
      </c>
      <c r="K1565" s="29">
        <f t="shared" si="122"/>
        <v>8320</v>
      </c>
      <c r="L1565" s="31" t="str">
        <f t="shared" si="123"/>
        <v/>
      </c>
      <c r="M1565" s="31" t="str">
        <f t="shared" si="124"/>
        <v/>
      </c>
    </row>
    <row r="1566" spans="1:13" x14ac:dyDescent="0.15">
      <c r="A1566" s="163" t="s">
        <v>210</v>
      </c>
      <c r="B1566" s="163">
        <v>42317.74764021991</v>
      </c>
      <c r="C1566" s="164" t="s">
        <v>126</v>
      </c>
      <c r="D1566" s="164" t="s">
        <v>13</v>
      </c>
      <c r="E1566" s="165">
        <v>40</v>
      </c>
      <c r="F1566" s="166">
        <v>0</v>
      </c>
      <c r="G1566" s="227">
        <f>IF($B$2,IF(ROWS(B$6:$B1566) = 1,$B1566-Start_Date,$B1566-$B1565),"")</f>
        <v>2.4100462978822179E-3</v>
      </c>
      <c r="H1566" s="29">
        <f>IF($B$2,IF(ROWS(B$6:$B1566) = 1,IF(COUNTIFS(R_Schedule_Times,"&lt;"&amp;B1566),INDEX(R_Schedule_Amounts,MATCH(B1566,R_Schedule_Times,1)),Starting_Cash),IF(COUNTIFS(R_Schedule_Times,"&gt;"&amp;B1565,R_Schedule_Times,"&lt;"&amp;B1566),INDEX(R_Schedule_Amounts,MATCH(B1566,R_Schedule_Times,1)),K1565)),"")</f>
        <v>8320</v>
      </c>
      <c r="I1566" s="30">
        <f t="shared" si="120"/>
        <v>40</v>
      </c>
      <c r="J1566" s="31">
        <f t="shared" si="121"/>
        <v>0</v>
      </c>
      <c r="K1566" s="29">
        <f t="shared" si="122"/>
        <v>8280</v>
      </c>
      <c r="L1566" s="31" t="str">
        <f t="shared" si="123"/>
        <v/>
      </c>
      <c r="M1566" s="31" t="str">
        <f t="shared" si="124"/>
        <v/>
      </c>
    </row>
    <row r="1567" spans="1:13" x14ac:dyDescent="0.15">
      <c r="A1567" s="163" t="s">
        <v>210</v>
      </c>
      <c r="B1567" s="163">
        <v>42317.766520474535</v>
      </c>
      <c r="C1567" s="164" t="s">
        <v>1654</v>
      </c>
      <c r="D1567" s="164" t="s">
        <v>13</v>
      </c>
      <c r="E1567" s="165">
        <v>100</v>
      </c>
      <c r="F1567" s="166">
        <v>0</v>
      </c>
      <c r="G1567" s="227">
        <f>IF($B$2,IF(ROWS(B$6:$B1567) = 1,$B1567-Start_Date,$B1567-$B1566),"")</f>
        <v>1.8880254625400994E-2</v>
      </c>
      <c r="H1567" s="29">
        <f>IF($B$2,IF(ROWS(B$6:$B1567) = 1,IF(COUNTIFS(R_Schedule_Times,"&lt;"&amp;B1567),INDEX(R_Schedule_Amounts,MATCH(B1567,R_Schedule_Times,1)),Starting_Cash),IF(COUNTIFS(R_Schedule_Times,"&gt;"&amp;B1566,R_Schedule_Times,"&lt;"&amp;B1567),INDEX(R_Schedule_Amounts,MATCH(B1567,R_Schedule_Times,1)),K1566)),"")</f>
        <v>8280</v>
      </c>
      <c r="I1567" s="30">
        <f t="shared" si="120"/>
        <v>100</v>
      </c>
      <c r="J1567" s="31">
        <f t="shared" si="121"/>
        <v>0</v>
      </c>
      <c r="K1567" s="29">
        <f t="shared" si="122"/>
        <v>8180</v>
      </c>
      <c r="L1567" s="31" t="str">
        <f t="shared" si="123"/>
        <v/>
      </c>
      <c r="M1567" s="31" t="str">
        <f t="shared" si="124"/>
        <v/>
      </c>
    </row>
    <row r="1568" spans="1:13" x14ac:dyDescent="0.15">
      <c r="A1568" s="163" t="s">
        <v>210</v>
      </c>
      <c r="B1568" s="163">
        <v>42317.776252974538</v>
      </c>
      <c r="C1568" s="164" t="s">
        <v>698</v>
      </c>
      <c r="D1568" s="164" t="s">
        <v>13</v>
      </c>
      <c r="E1568" s="165">
        <v>60</v>
      </c>
      <c r="F1568" s="166">
        <v>0</v>
      </c>
      <c r="G1568" s="227">
        <f>IF($B$2,IF(ROWS(B$6:$B1568) = 1,$B1568-Start_Date,$B1568-$B1567),"")</f>
        <v>9.7325000024284236E-3</v>
      </c>
      <c r="H1568" s="29">
        <f>IF($B$2,IF(ROWS(B$6:$B1568) = 1,IF(COUNTIFS(R_Schedule_Times,"&lt;"&amp;B1568),INDEX(R_Schedule_Amounts,MATCH(B1568,R_Schedule_Times,1)),Starting_Cash),IF(COUNTIFS(R_Schedule_Times,"&gt;"&amp;B1567,R_Schedule_Times,"&lt;"&amp;B1568),INDEX(R_Schedule_Amounts,MATCH(B1568,R_Schedule_Times,1)),K1567)),"")</f>
        <v>8180</v>
      </c>
      <c r="I1568" s="30">
        <f t="shared" si="120"/>
        <v>60</v>
      </c>
      <c r="J1568" s="31">
        <f t="shared" si="121"/>
        <v>0</v>
      </c>
      <c r="K1568" s="29">
        <f t="shared" si="122"/>
        <v>8120</v>
      </c>
      <c r="L1568" s="31" t="str">
        <f t="shared" si="123"/>
        <v/>
      </c>
      <c r="M1568" s="31" t="str">
        <f t="shared" si="124"/>
        <v/>
      </c>
    </row>
    <row r="1569" spans="1:13" x14ac:dyDescent="0.15">
      <c r="A1569" s="163" t="s">
        <v>210</v>
      </c>
      <c r="B1569" s="163">
        <v>42317.777239560186</v>
      </c>
      <c r="C1569" s="164" t="s">
        <v>1655</v>
      </c>
      <c r="D1569" s="164" t="s">
        <v>13</v>
      </c>
      <c r="E1569" s="165">
        <v>40</v>
      </c>
      <c r="F1569" s="166">
        <v>0</v>
      </c>
      <c r="G1569" s="227">
        <f>IF($B$2,IF(ROWS(B$6:$B1569) = 1,$B1569-Start_Date,$B1569-$B1568),"")</f>
        <v>9.8658564820652828E-4</v>
      </c>
      <c r="H1569" s="29">
        <f>IF($B$2,IF(ROWS(B$6:$B1569) = 1,IF(COUNTIFS(R_Schedule_Times,"&lt;"&amp;B1569),INDEX(R_Schedule_Amounts,MATCH(B1569,R_Schedule_Times,1)),Starting_Cash),IF(COUNTIFS(R_Schedule_Times,"&gt;"&amp;B1568,R_Schedule_Times,"&lt;"&amp;B1569),INDEX(R_Schedule_Amounts,MATCH(B1569,R_Schedule_Times,1)),K1568)),"")</f>
        <v>8120</v>
      </c>
      <c r="I1569" s="30">
        <f t="shared" si="120"/>
        <v>40</v>
      </c>
      <c r="J1569" s="31">
        <f t="shared" si="121"/>
        <v>0</v>
      </c>
      <c r="K1569" s="29">
        <f t="shared" si="122"/>
        <v>8080</v>
      </c>
      <c r="L1569" s="31" t="str">
        <f t="shared" si="123"/>
        <v/>
      </c>
      <c r="M1569" s="31" t="str">
        <f t="shared" si="124"/>
        <v/>
      </c>
    </row>
    <row r="1570" spans="1:13" x14ac:dyDescent="0.15">
      <c r="A1570" s="163" t="s">
        <v>210</v>
      </c>
      <c r="B1570" s="163">
        <v>42317.783545451392</v>
      </c>
      <c r="C1570" s="164" t="s">
        <v>423</v>
      </c>
      <c r="D1570" s="164" t="s">
        <v>13</v>
      </c>
      <c r="E1570" s="165">
        <v>500</v>
      </c>
      <c r="F1570" s="166">
        <v>0</v>
      </c>
      <c r="G1570" s="227">
        <f>IF($B$2,IF(ROWS(B$6:$B1570) = 1,$B1570-Start_Date,$B1570-$B1569),"")</f>
        <v>6.3058912055566907E-3</v>
      </c>
      <c r="H1570" s="29">
        <f>IF($B$2,IF(ROWS(B$6:$B1570) = 1,IF(COUNTIFS(R_Schedule_Times,"&lt;"&amp;B1570),INDEX(R_Schedule_Amounts,MATCH(B1570,R_Schedule_Times,1)),Starting_Cash),IF(COUNTIFS(R_Schedule_Times,"&gt;"&amp;B1569,R_Schedule_Times,"&lt;"&amp;B1570),INDEX(R_Schedule_Amounts,MATCH(B1570,R_Schedule_Times,1)),K1569)),"")</f>
        <v>8080</v>
      </c>
      <c r="I1570" s="30">
        <f t="shared" si="120"/>
        <v>500</v>
      </c>
      <c r="J1570" s="31">
        <f t="shared" si="121"/>
        <v>0</v>
      </c>
      <c r="K1570" s="29">
        <f t="shared" si="122"/>
        <v>7580</v>
      </c>
      <c r="L1570" s="31" t="str">
        <f t="shared" si="123"/>
        <v/>
      </c>
      <c r="M1570" s="31" t="str">
        <f t="shared" si="124"/>
        <v/>
      </c>
    </row>
    <row r="1571" spans="1:13" x14ac:dyDescent="0.15">
      <c r="A1571" s="163" t="s">
        <v>210</v>
      </c>
      <c r="B1571" s="163">
        <v>42317.785180555555</v>
      </c>
      <c r="C1571" s="164" t="s">
        <v>14</v>
      </c>
      <c r="D1571" s="164" t="s">
        <v>13</v>
      </c>
      <c r="E1571" s="165">
        <v>100</v>
      </c>
      <c r="F1571" s="166">
        <v>3.5</v>
      </c>
      <c r="G1571" s="227">
        <f>IF($B$2,IF(ROWS(B$6:$B1571) = 1,$B1571-Start_Date,$B1571-$B1570),"")</f>
        <v>1.6351041631423868E-3</v>
      </c>
      <c r="H1571" s="29">
        <f>IF($B$2,IF(ROWS(B$6:$B1571) = 1,IF(COUNTIFS(R_Schedule_Times,"&lt;"&amp;B1571),INDEX(R_Schedule_Amounts,MATCH(B1571,R_Schedule_Times,1)),Starting_Cash),IF(COUNTIFS(R_Schedule_Times,"&gt;"&amp;B1570,R_Schedule_Times,"&lt;"&amp;B1571),INDEX(R_Schedule_Amounts,MATCH(B1571,R_Schedule_Times,1)),K1570)),"")</f>
        <v>7580</v>
      </c>
      <c r="I1571" s="30">
        <f t="shared" si="120"/>
        <v>100</v>
      </c>
      <c r="J1571" s="31">
        <f t="shared" si="121"/>
        <v>3.5</v>
      </c>
      <c r="K1571" s="29">
        <f t="shared" si="122"/>
        <v>7480</v>
      </c>
      <c r="L1571" s="31" t="str">
        <f t="shared" si="123"/>
        <v/>
      </c>
      <c r="M1571" s="31" t="str">
        <f t="shared" si="124"/>
        <v/>
      </c>
    </row>
    <row r="1572" spans="1:13" x14ac:dyDescent="0.15">
      <c r="A1572" s="163" t="s">
        <v>210</v>
      </c>
      <c r="B1572" s="163">
        <v>42317.786011041666</v>
      </c>
      <c r="C1572" s="164" t="s">
        <v>1656</v>
      </c>
      <c r="D1572" s="164" t="s">
        <v>13</v>
      </c>
      <c r="E1572" s="165">
        <v>40</v>
      </c>
      <c r="F1572" s="166">
        <v>0</v>
      </c>
      <c r="G1572" s="227">
        <f>IF($B$2,IF(ROWS(B$6:$B1572) = 1,$B1572-Start_Date,$B1572-$B1571),"")</f>
        <v>8.3048611122649163E-4</v>
      </c>
      <c r="H1572" s="29">
        <f>IF($B$2,IF(ROWS(B$6:$B1572) = 1,IF(COUNTIFS(R_Schedule_Times,"&lt;"&amp;B1572),INDEX(R_Schedule_Amounts,MATCH(B1572,R_Schedule_Times,1)),Starting_Cash),IF(COUNTIFS(R_Schedule_Times,"&gt;"&amp;B1571,R_Schedule_Times,"&lt;"&amp;B1572),INDEX(R_Schedule_Amounts,MATCH(B1572,R_Schedule_Times,1)),K1571)),"")</f>
        <v>7480</v>
      </c>
      <c r="I1572" s="30">
        <f t="shared" si="120"/>
        <v>40</v>
      </c>
      <c r="J1572" s="31">
        <f t="shared" si="121"/>
        <v>0</v>
      </c>
      <c r="K1572" s="29">
        <f t="shared" si="122"/>
        <v>7440</v>
      </c>
      <c r="L1572" s="31" t="str">
        <f t="shared" si="123"/>
        <v/>
      </c>
      <c r="M1572" s="31" t="str">
        <f t="shared" si="124"/>
        <v/>
      </c>
    </row>
    <row r="1573" spans="1:13" x14ac:dyDescent="0.15">
      <c r="A1573" s="163" t="s">
        <v>210</v>
      </c>
      <c r="B1573" s="163">
        <v>42317.790324548609</v>
      </c>
      <c r="C1573" s="164" t="s">
        <v>424</v>
      </c>
      <c r="D1573" s="164" t="s">
        <v>13</v>
      </c>
      <c r="E1573" s="165">
        <v>160</v>
      </c>
      <c r="F1573" s="166">
        <v>0</v>
      </c>
      <c r="G1573" s="227">
        <f>IF($B$2,IF(ROWS(B$6:$B1573) = 1,$B1573-Start_Date,$B1573-$B1572),"")</f>
        <v>4.3135069427080452E-3</v>
      </c>
      <c r="H1573" s="29">
        <f>IF($B$2,IF(ROWS(B$6:$B1573) = 1,IF(COUNTIFS(R_Schedule_Times,"&lt;"&amp;B1573),INDEX(R_Schedule_Amounts,MATCH(B1573,R_Schedule_Times,1)),Starting_Cash),IF(COUNTIFS(R_Schedule_Times,"&gt;"&amp;B1572,R_Schedule_Times,"&lt;"&amp;B1573),INDEX(R_Schedule_Amounts,MATCH(B1573,R_Schedule_Times,1)),K1572)),"")</f>
        <v>7440</v>
      </c>
      <c r="I1573" s="30">
        <f t="shared" si="120"/>
        <v>160</v>
      </c>
      <c r="J1573" s="31">
        <f t="shared" si="121"/>
        <v>0</v>
      </c>
      <c r="K1573" s="29">
        <f t="shared" si="122"/>
        <v>7280</v>
      </c>
      <c r="L1573" s="31" t="str">
        <f t="shared" si="123"/>
        <v/>
      </c>
      <c r="M1573" s="31" t="str">
        <f t="shared" si="124"/>
        <v/>
      </c>
    </row>
    <row r="1574" spans="1:13" x14ac:dyDescent="0.15">
      <c r="A1574" s="163" t="s">
        <v>210</v>
      </c>
      <c r="B1574" s="163">
        <v>42317.882176863423</v>
      </c>
      <c r="C1574" s="164" t="s">
        <v>14</v>
      </c>
      <c r="D1574" s="164" t="s">
        <v>13</v>
      </c>
      <c r="E1574" s="165">
        <v>200</v>
      </c>
      <c r="F1574" s="166">
        <v>3.5</v>
      </c>
      <c r="G1574" s="227">
        <f>IF($B$2,IF(ROWS(B$6:$B1574) = 1,$B1574-Start_Date,$B1574-$B1573),"")</f>
        <v>9.1852314813877456E-2</v>
      </c>
      <c r="H1574" s="29">
        <f>IF($B$2,IF(ROWS(B$6:$B1574) = 1,IF(COUNTIFS(R_Schedule_Times,"&lt;"&amp;B1574),INDEX(R_Schedule_Amounts,MATCH(B1574,R_Schedule_Times,1)),Starting_Cash),IF(COUNTIFS(R_Schedule_Times,"&gt;"&amp;B1573,R_Schedule_Times,"&lt;"&amp;B1574),INDEX(R_Schedule_Amounts,MATCH(B1574,R_Schedule_Times,1)),K1573)),"")</f>
        <v>7280</v>
      </c>
      <c r="I1574" s="30">
        <f t="shared" si="120"/>
        <v>200</v>
      </c>
      <c r="J1574" s="31">
        <f t="shared" si="121"/>
        <v>3.5</v>
      </c>
      <c r="K1574" s="29">
        <f t="shared" si="122"/>
        <v>7080</v>
      </c>
      <c r="L1574" s="31" t="str">
        <f t="shared" si="123"/>
        <v/>
      </c>
      <c r="M1574" s="31" t="str">
        <f t="shared" si="124"/>
        <v/>
      </c>
    </row>
    <row r="1575" spans="1:13" x14ac:dyDescent="0.15">
      <c r="A1575" s="163" t="s">
        <v>210</v>
      </c>
      <c r="B1575" s="163">
        <v>42317.9311250463</v>
      </c>
      <c r="C1575" s="164" t="s">
        <v>1657</v>
      </c>
      <c r="D1575" s="164" t="s">
        <v>13</v>
      </c>
      <c r="E1575" s="165">
        <v>40</v>
      </c>
      <c r="F1575" s="166">
        <v>0</v>
      </c>
      <c r="G1575" s="227">
        <f>IF($B$2,IF(ROWS(B$6:$B1575) = 1,$B1575-Start_Date,$B1575-$B1574),"")</f>
        <v>4.8948182877211366E-2</v>
      </c>
      <c r="H1575" s="29">
        <f>IF($B$2,IF(ROWS(B$6:$B1575) = 1,IF(COUNTIFS(R_Schedule_Times,"&lt;"&amp;B1575),INDEX(R_Schedule_Amounts,MATCH(B1575,R_Schedule_Times,1)),Starting_Cash),IF(COUNTIFS(R_Schedule_Times,"&gt;"&amp;B1574,R_Schedule_Times,"&lt;"&amp;B1575),INDEX(R_Schedule_Amounts,MATCH(B1575,R_Schedule_Times,1)),K1574)),"")</f>
        <v>7080</v>
      </c>
      <c r="I1575" s="30">
        <f t="shared" si="120"/>
        <v>40</v>
      </c>
      <c r="J1575" s="31">
        <f t="shared" si="121"/>
        <v>0</v>
      </c>
      <c r="K1575" s="29">
        <f t="shared" si="122"/>
        <v>7040</v>
      </c>
      <c r="L1575" s="31" t="str">
        <f t="shared" si="123"/>
        <v/>
      </c>
      <c r="M1575" s="31" t="str">
        <f t="shared" si="124"/>
        <v/>
      </c>
    </row>
    <row r="1576" spans="1:13" x14ac:dyDescent="0.15">
      <c r="A1576" s="163" t="s">
        <v>210</v>
      </c>
      <c r="B1576" s="163">
        <v>42318.287271076391</v>
      </c>
      <c r="C1576" s="164" t="s">
        <v>1658</v>
      </c>
      <c r="D1576" s="164" t="s">
        <v>13</v>
      </c>
      <c r="E1576" s="165">
        <v>80</v>
      </c>
      <c r="F1576" s="166">
        <v>0</v>
      </c>
      <c r="G1576" s="227">
        <f>IF($B$2,IF(ROWS(B$6:$B1576) = 1,$B1576-Start_Date,$B1576-$B1575),"")</f>
        <v>0.35614603009162238</v>
      </c>
      <c r="H1576" s="29">
        <f>IF($B$2,IF(ROWS(B$6:$B1576) = 1,IF(COUNTIFS(R_Schedule_Times,"&lt;"&amp;B1576),INDEX(R_Schedule_Amounts,MATCH(B1576,R_Schedule_Times,1)),Starting_Cash),IF(COUNTIFS(R_Schedule_Times,"&gt;"&amp;B1575,R_Schedule_Times,"&lt;"&amp;B1576),INDEX(R_Schedule_Amounts,MATCH(B1576,R_Schedule_Times,1)),K1575)),"")</f>
        <v>7040</v>
      </c>
      <c r="I1576" s="30">
        <f t="shared" si="120"/>
        <v>80</v>
      </c>
      <c r="J1576" s="31">
        <f t="shared" si="121"/>
        <v>0</v>
      </c>
      <c r="K1576" s="29">
        <f t="shared" si="122"/>
        <v>6960</v>
      </c>
      <c r="L1576" s="31" t="str">
        <f t="shared" si="123"/>
        <v/>
      </c>
      <c r="M1576" s="31" t="str">
        <f t="shared" si="124"/>
        <v/>
      </c>
    </row>
    <row r="1577" spans="1:13" x14ac:dyDescent="0.15">
      <c r="A1577" s="163" t="s">
        <v>210</v>
      </c>
      <c r="B1577" s="163">
        <v>42318.308122326387</v>
      </c>
      <c r="C1577" s="164" t="s">
        <v>1659</v>
      </c>
      <c r="D1577" s="164" t="s">
        <v>13</v>
      </c>
      <c r="E1577" s="165">
        <v>40</v>
      </c>
      <c r="F1577" s="166">
        <v>0</v>
      </c>
      <c r="G1577" s="227">
        <f>IF($B$2,IF(ROWS(B$6:$B1577) = 1,$B1577-Start_Date,$B1577-$B1576),"")</f>
        <v>2.0851249995757826E-2</v>
      </c>
      <c r="H1577" s="29">
        <f>IF($B$2,IF(ROWS(B$6:$B1577) = 1,IF(COUNTIFS(R_Schedule_Times,"&lt;"&amp;B1577),INDEX(R_Schedule_Amounts,MATCH(B1577,R_Schedule_Times,1)),Starting_Cash),IF(COUNTIFS(R_Schedule_Times,"&gt;"&amp;B1576,R_Schedule_Times,"&lt;"&amp;B1577),INDEX(R_Schedule_Amounts,MATCH(B1577,R_Schedule_Times,1)),K1576)),"")</f>
        <v>6960</v>
      </c>
      <c r="I1577" s="30">
        <f t="shared" si="120"/>
        <v>40</v>
      </c>
      <c r="J1577" s="31">
        <f t="shared" si="121"/>
        <v>0</v>
      </c>
      <c r="K1577" s="29">
        <f t="shared" si="122"/>
        <v>6920</v>
      </c>
      <c r="L1577" s="31" t="str">
        <f t="shared" si="123"/>
        <v/>
      </c>
      <c r="M1577" s="31" t="str">
        <f t="shared" si="124"/>
        <v/>
      </c>
    </row>
    <row r="1578" spans="1:13" x14ac:dyDescent="0.15">
      <c r="A1578" s="163" t="s">
        <v>210</v>
      </c>
      <c r="B1578" s="163">
        <v>42318.345848912038</v>
      </c>
      <c r="C1578" s="164" t="s">
        <v>425</v>
      </c>
      <c r="D1578" s="164" t="s">
        <v>13</v>
      </c>
      <c r="E1578" s="165">
        <v>100</v>
      </c>
      <c r="F1578" s="166">
        <v>0</v>
      </c>
      <c r="G1578" s="227">
        <f>IF($B$2,IF(ROWS(B$6:$B1578) = 1,$B1578-Start_Date,$B1578-$B1577),"")</f>
        <v>3.7726585651398636E-2</v>
      </c>
      <c r="H1578" s="29">
        <f>IF($B$2,IF(ROWS(B$6:$B1578) = 1,IF(COUNTIFS(R_Schedule_Times,"&lt;"&amp;B1578),INDEX(R_Schedule_Amounts,MATCH(B1578,R_Schedule_Times,1)),Starting_Cash),IF(COUNTIFS(R_Schedule_Times,"&gt;"&amp;B1577,R_Schedule_Times,"&lt;"&amp;B1578),INDEX(R_Schedule_Amounts,MATCH(B1578,R_Schedule_Times,1)),K1577)),"")</f>
        <v>6920</v>
      </c>
      <c r="I1578" s="30">
        <f t="shared" si="120"/>
        <v>100</v>
      </c>
      <c r="J1578" s="31">
        <f t="shared" si="121"/>
        <v>0</v>
      </c>
      <c r="K1578" s="29">
        <f t="shared" si="122"/>
        <v>6820</v>
      </c>
      <c r="L1578" s="31" t="str">
        <f t="shared" si="123"/>
        <v/>
      </c>
      <c r="M1578" s="31" t="str">
        <f t="shared" si="124"/>
        <v/>
      </c>
    </row>
    <row r="1579" spans="1:13" x14ac:dyDescent="0.15">
      <c r="A1579" s="163" t="s">
        <v>210</v>
      </c>
      <c r="B1579" s="163">
        <v>42318.355903368058</v>
      </c>
      <c r="C1579" s="164" t="s">
        <v>1660</v>
      </c>
      <c r="D1579" s="164" t="s">
        <v>13</v>
      </c>
      <c r="E1579" s="165">
        <v>40</v>
      </c>
      <c r="F1579" s="166">
        <v>0</v>
      </c>
      <c r="G1579" s="227">
        <f>IF($B$2,IF(ROWS(B$6:$B1579) = 1,$B1579-Start_Date,$B1579-$B1578),"")</f>
        <v>1.0054456019133795E-2</v>
      </c>
      <c r="H1579" s="29">
        <f>IF($B$2,IF(ROWS(B$6:$B1579) = 1,IF(COUNTIFS(R_Schedule_Times,"&lt;"&amp;B1579),INDEX(R_Schedule_Amounts,MATCH(B1579,R_Schedule_Times,1)),Starting_Cash),IF(COUNTIFS(R_Schedule_Times,"&gt;"&amp;B1578,R_Schedule_Times,"&lt;"&amp;B1579),INDEX(R_Schedule_Amounts,MATCH(B1579,R_Schedule_Times,1)),K1578)),"")</f>
        <v>6820</v>
      </c>
      <c r="I1579" s="30">
        <f t="shared" si="120"/>
        <v>40</v>
      </c>
      <c r="J1579" s="31">
        <f t="shared" si="121"/>
        <v>0</v>
      </c>
      <c r="K1579" s="29">
        <f t="shared" si="122"/>
        <v>6780</v>
      </c>
      <c r="L1579" s="31" t="str">
        <f t="shared" si="123"/>
        <v/>
      </c>
      <c r="M1579" s="31" t="str">
        <f t="shared" si="124"/>
        <v/>
      </c>
    </row>
    <row r="1580" spans="1:13" x14ac:dyDescent="0.15">
      <c r="A1580" s="163" t="s">
        <v>210</v>
      </c>
      <c r="B1580" s="163">
        <v>42318.362565833333</v>
      </c>
      <c r="C1580" s="164" t="s">
        <v>14</v>
      </c>
      <c r="D1580" s="164" t="s">
        <v>15</v>
      </c>
      <c r="E1580" s="165">
        <v>20</v>
      </c>
      <c r="F1580" s="166">
        <v>3.1</v>
      </c>
      <c r="G1580" s="227">
        <f>IF($B$2,IF(ROWS(B$6:$B1580) = 1,$B1580-Start_Date,$B1580-$B1579),"")</f>
        <v>6.6624652754398994E-3</v>
      </c>
      <c r="H1580" s="29">
        <f>IF($B$2,IF(ROWS(B$6:$B1580) = 1,IF(COUNTIFS(R_Schedule_Times,"&lt;"&amp;B1580),INDEX(R_Schedule_Amounts,MATCH(B1580,R_Schedule_Times,1)),Starting_Cash),IF(COUNTIFS(R_Schedule_Times,"&gt;"&amp;B1579,R_Schedule_Times,"&lt;"&amp;B1580),INDEX(R_Schedule_Amounts,MATCH(B1580,R_Schedule_Times,1)),K1579)),"")</f>
        <v>6780</v>
      </c>
      <c r="I1580" s="30">
        <f t="shared" si="120"/>
        <v>20</v>
      </c>
      <c r="J1580" s="31">
        <f t="shared" si="121"/>
        <v>3.1</v>
      </c>
      <c r="K1580" s="29">
        <f t="shared" si="122"/>
        <v>6760</v>
      </c>
      <c r="L1580" s="31" t="str">
        <f t="shared" si="123"/>
        <v/>
      </c>
      <c r="M1580" s="31" t="str">
        <f t="shared" si="124"/>
        <v/>
      </c>
    </row>
    <row r="1581" spans="1:13" x14ac:dyDescent="0.15">
      <c r="A1581" s="163" t="s">
        <v>210</v>
      </c>
      <c r="B1581" s="163">
        <v>42318.368325532407</v>
      </c>
      <c r="C1581" s="164" t="s">
        <v>14</v>
      </c>
      <c r="D1581" s="164" t="s">
        <v>13</v>
      </c>
      <c r="E1581" s="165">
        <v>100</v>
      </c>
      <c r="F1581" s="166">
        <v>3.5</v>
      </c>
      <c r="G1581" s="227">
        <f>IF($B$2,IF(ROWS(B$6:$B1581) = 1,$B1581-Start_Date,$B1581-$B1580),"")</f>
        <v>5.7596990736783482E-3</v>
      </c>
      <c r="H1581" s="29">
        <f>IF($B$2,IF(ROWS(B$6:$B1581) = 1,IF(COUNTIFS(R_Schedule_Times,"&lt;"&amp;B1581),INDEX(R_Schedule_Amounts,MATCH(B1581,R_Schedule_Times,1)),Starting_Cash),IF(COUNTIFS(R_Schedule_Times,"&gt;"&amp;B1580,R_Schedule_Times,"&lt;"&amp;B1581),INDEX(R_Schedule_Amounts,MATCH(B1581,R_Schedule_Times,1)),K1580)),"")</f>
        <v>6760</v>
      </c>
      <c r="I1581" s="30">
        <f t="shared" si="120"/>
        <v>100</v>
      </c>
      <c r="J1581" s="31">
        <f t="shared" si="121"/>
        <v>3.5</v>
      </c>
      <c r="K1581" s="29">
        <f t="shared" si="122"/>
        <v>6660</v>
      </c>
      <c r="L1581" s="31" t="str">
        <f t="shared" si="123"/>
        <v/>
      </c>
      <c r="M1581" s="31" t="str">
        <f t="shared" si="124"/>
        <v/>
      </c>
    </row>
    <row r="1582" spans="1:13" x14ac:dyDescent="0.15">
      <c r="A1582" s="163" t="s">
        <v>210</v>
      </c>
      <c r="B1582" s="163">
        <v>42318.393595474539</v>
      </c>
      <c r="C1582" s="164" t="s">
        <v>1432</v>
      </c>
      <c r="D1582" s="164" t="s">
        <v>13</v>
      </c>
      <c r="E1582" s="165">
        <v>60</v>
      </c>
      <c r="F1582" s="166">
        <v>0</v>
      </c>
      <c r="G1582" s="227">
        <f>IF($B$2,IF(ROWS(B$6:$B1582) = 1,$B1582-Start_Date,$B1582-$B1581),"")</f>
        <v>2.5269942132581491E-2</v>
      </c>
      <c r="H1582" s="29">
        <f>IF($B$2,IF(ROWS(B$6:$B1582) = 1,IF(COUNTIFS(R_Schedule_Times,"&lt;"&amp;B1582),INDEX(R_Schedule_Amounts,MATCH(B1582,R_Schedule_Times,1)),Starting_Cash),IF(COUNTIFS(R_Schedule_Times,"&gt;"&amp;B1581,R_Schedule_Times,"&lt;"&amp;B1582),INDEX(R_Schedule_Amounts,MATCH(B1582,R_Schedule_Times,1)),K1581)),"")</f>
        <v>6660</v>
      </c>
      <c r="I1582" s="30">
        <f t="shared" si="120"/>
        <v>60</v>
      </c>
      <c r="J1582" s="31">
        <f t="shared" si="121"/>
        <v>0</v>
      </c>
      <c r="K1582" s="29">
        <f t="shared" si="122"/>
        <v>6600</v>
      </c>
      <c r="L1582" s="31" t="str">
        <f t="shared" si="123"/>
        <v/>
      </c>
      <c r="M1582" s="31" t="str">
        <f t="shared" si="124"/>
        <v/>
      </c>
    </row>
    <row r="1583" spans="1:13" x14ac:dyDescent="0.15">
      <c r="A1583" s="163" t="s">
        <v>210</v>
      </c>
      <c r="B1583" s="163">
        <v>42318.401813275465</v>
      </c>
      <c r="C1583" s="164" t="s">
        <v>1661</v>
      </c>
      <c r="D1583" s="164" t="s">
        <v>13</v>
      </c>
      <c r="E1583" s="165">
        <v>180</v>
      </c>
      <c r="F1583" s="166">
        <v>0</v>
      </c>
      <c r="G1583" s="227">
        <f>IF($B$2,IF(ROWS(B$6:$B1583) = 1,$B1583-Start_Date,$B1583-$B1582),"")</f>
        <v>8.2178009251947515E-3</v>
      </c>
      <c r="H1583" s="29">
        <f>IF($B$2,IF(ROWS(B$6:$B1583) = 1,IF(COUNTIFS(R_Schedule_Times,"&lt;"&amp;B1583),INDEX(R_Schedule_Amounts,MATCH(B1583,R_Schedule_Times,1)),Starting_Cash),IF(COUNTIFS(R_Schedule_Times,"&gt;"&amp;B1582,R_Schedule_Times,"&lt;"&amp;B1583),INDEX(R_Schedule_Amounts,MATCH(B1583,R_Schedule_Times,1)),K1582)),"")</f>
        <v>6600</v>
      </c>
      <c r="I1583" s="30">
        <f t="shared" si="120"/>
        <v>180</v>
      </c>
      <c r="J1583" s="31">
        <f t="shared" si="121"/>
        <v>0</v>
      </c>
      <c r="K1583" s="29">
        <f t="shared" si="122"/>
        <v>6420</v>
      </c>
      <c r="L1583" s="31" t="str">
        <f t="shared" si="123"/>
        <v/>
      </c>
      <c r="M1583" s="31" t="str">
        <f t="shared" si="124"/>
        <v/>
      </c>
    </row>
    <row r="1584" spans="1:13" x14ac:dyDescent="0.15">
      <c r="A1584" s="163" t="s">
        <v>210</v>
      </c>
      <c r="B1584" s="163">
        <v>42318.406756759257</v>
      </c>
      <c r="C1584" s="164" t="s">
        <v>186</v>
      </c>
      <c r="D1584" s="164" t="s">
        <v>13</v>
      </c>
      <c r="E1584" s="165">
        <v>100</v>
      </c>
      <c r="F1584" s="166">
        <v>0</v>
      </c>
      <c r="G1584" s="227">
        <f>IF($B$2,IF(ROWS(B$6:$B1584) = 1,$B1584-Start_Date,$B1584-$B1583),"")</f>
        <v>4.9434837928856723E-3</v>
      </c>
      <c r="H1584" s="29">
        <f>IF($B$2,IF(ROWS(B$6:$B1584) = 1,IF(COUNTIFS(R_Schedule_Times,"&lt;"&amp;B1584),INDEX(R_Schedule_Amounts,MATCH(B1584,R_Schedule_Times,1)),Starting_Cash),IF(COUNTIFS(R_Schedule_Times,"&gt;"&amp;B1583,R_Schedule_Times,"&lt;"&amp;B1584),INDEX(R_Schedule_Amounts,MATCH(B1584,R_Schedule_Times,1)),K1583)),"")</f>
        <v>6420</v>
      </c>
      <c r="I1584" s="30">
        <f t="shared" si="120"/>
        <v>100</v>
      </c>
      <c r="J1584" s="31">
        <f t="shared" si="121"/>
        <v>0</v>
      </c>
      <c r="K1584" s="29">
        <f t="shared" si="122"/>
        <v>6320</v>
      </c>
      <c r="L1584" s="31" t="str">
        <f t="shared" si="123"/>
        <v/>
      </c>
      <c r="M1584" s="31" t="str">
        <f t="shared" si="124"/>
        <v/>
      </c>
    </row>
    <row r="1585" spans="1:13" x14ac:dyDescent="0.15">
      <c r="A1585" s="163" t="s">
        <v>210</v>
      </c>
      <c r="B1585" s="163">
        <v>42318.419604386574</v>
      </c>
      <c r="C1585" s="164" t="s">
        <v>14</v>
      </c>
      <c r="D1585" s="164" t="s">
        <v>13</v>
      </c>
      <c r="E1585" s="165">
        <v>40</v>
      </c>
      <c r="F1585" s="166">
        <v>3.5</v>
      </c>
      <c r="G1585" s="227">
        <f>IF($B$2,IF(ROWS(B$6:$B1585) = 1,$B1585-Start_Date,$B1585-$B1584),"")</f>
        <v>1.2847627316659782E-2</v>
      </c>
      <c r="H1585" s="29">
        <f>IF($B$2,IF(ROWS(B$6:$B1585) = 1,IF(COUNTIFS(R_Schedule_Times,"&lt;"&amp;B1585),INDEX(R_Schedule_Amounts,MATCH(B1585,R_Schedule_Times,1)),Starting_Cash),IF(COUNTIFS(R_Schedule_Times,"&gt;"&amp;B1584,R_Schedule_Times,"&lt;"&amp;B1585),INDEX(R_Schedule_Amounts,MATCH(B1585,R_Schedule_Times,1)),K1584)),"")</f>
        <v>6320</v>
      </c>
      <c r="I1585" s="30">
        <f t="shared" si="120"/>
        <v>40</v>
      </c>
      <c r="J1585" s="31">
        <f t="shared" si="121"/>
        <v>3.5</v>
      </c>
      <c r="K1585" s="29">
        <f t="shared" si="122"/>
        <v>6280</v>
      </c>
      <c r="L1585" s="31" t="str">
        <f t="shared" si="123"/>
        <v/>
      </c>
      <c r="M1585" s="31" t="str">
        <f t="shared" si="124"/>
        <v/>
      </c>
    </row>
    <row r="1586" spans="1:13" x14ac:dyDescent="0.15">
      <c r="A1586" s="163" t="s">
        <v>210</v>
      </c>
      <c r="B1586" s="163">
        <v>42318.426250324075</v>
      </c>
      <c r="C1586" s="164" t="s">
        <v>14</v>
      </c>
      <c r="D1586" s="164" t="s">
        <v>13</v>
      </c>
      <c r="E1586" s="165">
        <v>140</v>
      </c>
      <c r="F1586" s="166">
        <v>3.5</v>
      </c>
      <c r="G1586" s="227">
        <f>IF($B$2,IF(ROWS(B$6:$B1586) = 1,$B1586-Start_Date,$B1586-$B1585),"")</f>
        <v>6.6459375011618249E-3</v>
      </c>
      <c r="H1586" s="29">
        <f>IF($B$2,IF(ROWS(B$6:$B1586) = 1,IF(COUNTIFS(R_Schedule_Times,"&lt;"&amp;B1586),INDEX(R_Schedule_Amounts,MATCH(B1586,R_Schedule_Times,1)),Starting_Cash),IF(COUNTIFS(R_Schedule_Times,"&gt;"&amp;B1585,R_Schedule_Times,"&lt;"&amp;B1586),INDEX(R_Schedule_Amounts,MATCH(B1586,R_Schedule_Times,1)),K1585)),"")</f>
        <v>6280</v>
      </c>
      <c r="I1586" s="30">
        <f t="shared" si="120"/>
        <v>140</v>
      </c>
      <c r="J1586" s="31">
        <f t="shared" si="121"/>
        <v>3.5</v>
      </c>
      <c r="K1586" s="29">
        <f t="shared" si="122"/>
        <v>6140</v>
      </c>
      <c r="L1586" s="31" t="str">
        <f t="shared" si="123"/>
        <v/>
      </c>
      <c r="M1586" s="31" t="str">
        <f t="shared" si="124"/>
        <v/>
      </c>
    </row>
    <row r="1587" spans="1:13" x14ac:dyDescent="0.15">
      <c r="A1587" s="163" t="s">
        <v>210</v>
      </c>
      <c r="B1587" s="163">
        <v>42318.436614085651</v>
      </c>
      <c r="C1587" s="164" t="s">
        <v>1662</v>
      </c>
      <c r="D1587" s="164" t="s">
        <v>13</v>
      </c>
      <c r="E1587" s="165">
        <v>100</v>
      </c>
      <c r="F1587" s="166">
        <v>0</v>
      </c>
      <c r="G1587" s="227">
        <f>IF($B$2,IF(ROWS(B$6:$B1587) = 1,$B1587-Start_Date,$B1587-$B1586),"")</f>
        <v>1.0363761575717945E-2</v>
      </c>
      <c r="H1587" s="29">
        <f>IF($B$2,IF(ROWS(B$6:$B1587) = 1,IF(COUNTIFS(R_Schedule_Times,"&lt;"&amp;B1587),INDEX(R_Schedule_Amounts,MATCH(B1587,R_Schedule_Times,1)),Starting_Cash),IF(COUNTIFS(R_Schedule_Times,"&gt;"&amp;B1586,R_Schedule_Times,"&lt;"&amp;B1587),INDEX(R_Schedule_Amounts,MATCH(B1587,R_Schedule_Times,1)),K1586)),"")</f>
        <v>6140</v>
      </c>
      <c r="I1587" s="30">
        <f t="shared" si="120"/>
        <v>100</v>
      </c>
      <c r="J1587" s="31">
        <f t="shared" si="121"/>
        <v>0</v>
      </c>
      <c r="K1587" s="29">
        <f t="shared" si="122"/>
        <v>6040</v>
      </c>
      <c r="L1587" s="31" t="str">
        <f t="shared" si="123"/>
        <v/>
      </c>
      <c r="M1587" s="31" t="str">
        <f t="shared" si="124"/>
        <v/>
      </c>
    </row>
    <row r="1588" spans="1:13" x14ac:dyDescent="0.15">
      <c r="A1588" s="163" t="s">
        <v>210</v>
      </c>
      <c r="B1588" s="163">
        <v>42318.449803449075</v>
      </c>
      <c r="C1588" s="164" t="s">
        <v>1202</v>
      </c>
      <c r="D1588" s="164" t="s">
        <v>13</v>
      </c>
      <c r="E1588" s="165">
        <v>60</v>
      </c>
      <c r="F1588" s="166">
        <v>0</v>
      </c>
      <c r="G1588" s="227">
        <f>IF($B$2,IF(ROWS(B$6:$B1588) = 1,$B1588-Start_Date,$B1588-$B1587),"")</f>
        <v>1.318936342431698E-2</v>
      </c>
      <c r="H1588" s="29">
        <f>IF($B$2,IF(ROWS(B$6:$B1588) = 1,IF(COUNTIFS(R_Schedule_Times,"&lt;"&amp;B1588),INDEX(R_Schedule_Amounts,MATCH(B1588,R_Schedule_Times,1)),Starting_Cash),IF(COUNTIFS(R_Schedule_Times,"&gt;"&amp;B1587,R_Schedule_Times,"&lt;"&amp;B1588),INDEX(R_Schedule_Amounts,MATCH(B1588,R_Schedule_Times,1)),K1587)),"")</f>
        <v>6040</v>
      </c>
      <c r="I1588" s="30">
        <f t="shared" si="120"/>
        <v>60</v>
      </c>
      <c r="J1588" s="31">
        <f t="shared" si="121"/>
        <v>0</v>
      </c>
      <c r="K1588" s="29">
        <f t="shared" si="122"/>
        <v>5980</v>
      </c>
      <c r="L1588" s="31" t="str">
        <f t="shared" si="123"/>
        <v/>
      </c>
      <c r="M1588" s="31" t="str">
        <f t="shared" si="124"/>
        <v/>
      </c>
    </row>
    <row r="1589" spans="1:13" x14ac:dyDescent="0.15">
      <c r="A1589" s="163" t="s">
        <v>210</v>
      </c>
      <c r="B1589" s="163">
        <v>42318.460927499997</v>
      </c>
      <c r="C1589" s="164" t="s">
        <v>1663</v>
      </c>
      <c r="D1589" s="164" t="s">
        <v>13</v>
      </c>
      <c r="E1589" s="165">
        <v>100</v>
      </c>
      <c r="F1589" s="166">
        <v>0</v>
      </c>
      <c r="G1589" s="227">
        <f>IF($B$2,IF(ROWS(B$6:$B1589) = 1,$B1589-Start_Date,$B1589-$B1588),"")</f>
        <v>1.1124050921353046E-2</v>
      </c>
      <c r="H1589" s="29">
        <f>IF($B$2,IF(ROWS(B$6:$B1589) = 1,IF(COUNTIFS(R_Schedule_Times,"&lt;"&amp;B1589),INDEX(R_Schedule_Amounts,MATCH(B1589,R_Schedule_Times,1)),Starting_Cash),IF(COUNTIFS(R_Schedule_Times,"&gt;"&amp;B1588,R_Schedule_Times,"&lt;"&amp;B1589),INDEX(R_Schedule_Amounts,MATCH(B1589,R_Schedule_Times,1)),K1588)),"")</f>
        <v>5980</v>
      </c>
      <c r="I1589" s="30">
        <f t="shared" si="120"/>
        <v>100</v>
      </c>
      <c r="J1589" s="31">
        <f t="shared" si="121"/>
        <v>0</v>
      </c>
      <c r="K1589" s="29">
        <f t="shared" si="122"/>
        <v>5880</v>
      </c>
      <c r="L1589" s="31" t="str">
        <f t="shared" si="123"/>
        <v/>
      </c>
      <c r="M1589" s="31" t="str">
        <f t="shared" si="124"/>
        <v/>
      </c>
    </row>
    <row r="1590" spans="1:13" x14ac:dyDescent="0.15">
      <c r="A1590" s="163" t="s">
        <v>210</v>
      </c>
      <c r="B1590" s="163">
        <v>42318.466833275466</v>
      </c>
      <c r="C1590" s="164" t="s">
        <v>251</v>
      </c>
      <c r="D1590" s="164" t="s">
        <v>13</v>
      </c>
      <c r="E1590" s="165">
        <v>80</v>
      </c>
      <c r="F1590" s="166">
        <v>0</v>
      </c>
      <c r="G1590" s="227">
        <f>IF($B$2,IF(ROWS(B$6:$B1590) = 1,$B1590-Start_Date,$B1590-$B1589),"")</f>
        <v>5.9057754697278142E-3</v>
      </c>
      <c r="H1590" s="29">
        <f>IF($B$2,IF(ROWS(B$6:$B1590) = 1,IF(COUNTIFS(R_Schedule_Times,"&lt;"&amp;B1590),INDEX(R_Schedule_Amounts,MATCH(B1590,R_Schedule_Times,1)),Starting_Cash),IF(COUNTIFS(R_Schedule_Times,"&gt;"&amp;B1589,R_Schedule_Times,"&lt;"&amp;B1590),INDEX(R_Schedule_Amounts,MATCH(B1590,R_Schedule_Times,1)),K1589)),"")</f>
        <v>5880</v>
      </c>
      <c r="I1590" s="30">
        <f t="shared" si="120"/>
        <v>80</v>
      </c>
      <c r="J1590" s="31">
        <f t="shared" si="121"/>
        <v>0</v>
      </c>
      <c r="K1590" s="29">
        <f t="shared" si="122"/>
        <v>5800</v>
      </c>
      <c r="L1590" s="31" t="str">
        <f t="shared" si="123"/>
        <v/>
      </c>
      <c r="M1590" s="31" t="str">
        <f t="shared" si="124"/>
        <v/>
      </c>
    </row>
    <row r="1591" spans="1:13" x14ac:dyDescent="0.15">
      <c r="A1591" s="163" t="s">
        <v>210</v>
      </c>
      <c r="B1591" s="163">
        <v>42318.472998136574</v>
      </c>
      <c r="C1591" s="164" t="s">
        <v>1664</v>
      </c>
      <c r="D1591" s="164" t="s">
        <v>13</v>
      </c>
      <c r="E1591" s="165">
        <v>40</v>
      </c>
      <c r="F1591" s="166">
        <v>0</v>
      </c>
      <c r="G1591" s="227">
        <f>IF($B$2,IF(ROWS(B$6:$B1591) = 1,$B1591-Start_Date,$B1591-$B1590),"")</f>
        <v>6.1648611081182025E-3</v>
      </c>
      <c r="H1591" s="29">
        <f>IF($B$2,IF(ROWS(B$6:$B1591) = 1,IF(COUNTIFS(R_Schedule_Times,"&lt;"&amp;B1591),INDEX(R_Schedule_Amounts,MATCH(B1591,R_Schedule_Times,1)),Starting_Cash),IF(COUNTIFS(R_Schedule_Times,"&gt;"&amp;B1590,R_Schedule_Times,"&lt;"&amp;B1591),INDEX(R_Schedule_Amounts,MATCH(B1591,R_Schedule_Times,1)),K1590)),"")</f>
        <v>5800</v>
      </c>
      <c r="I1591" s="30">
        <f t="shared" si="120"/>
        <v>40</v>
      </c>
      <c r="J1591" s="31">
        <f t="shared" si="121"/>
        <v>0</v>
      </c>
      <c r="K1591" s="29">
        <f t="shared" si="122"/>
        <v>5760</v>
      </c>
      <c r="L1591" s="31" t="str">
        <f t="shared" si="123"/>
        <v/>
      </c>
      <c r="M1591" s="31" t="str">
        <f t="shared" si="124"/>
        <v/>
      </c>
    </row>
    <row r="1592" spans="1:13" x14ac:dyDescent="0.15">
      <c r="A1592" s="163" t="s">
        <v>210</v>
      </c>
      <c r="B1592" s="163">
        <v>42318.477009270835</v>
      </c>
      <c r="C1592" s="164" t="s">
        <v>273</v>
      </c>
      <c r="D1592" s="164" t="s">
        <v>13</v>
      </c>
      <c r="E1592" s="165">
        <v>100</v>
      </c>
      <c r="F1592" s="166">
        <v>0</v>
      </c>
      <c r="G1592" s="227">
        <f>IF($B$2,IF(ROWS(B$6:$B1592) = 1,$B1592-Start_Date,$B1592-$B1591),"")</f>
        <v>4.0111342605086975E-3</v>
      </c>
      <c r="H1592" s="29">
        <f>IF($B$2,IF(ROWS(B$6:$B1592) = 1,IF(COUNTIFS(R_Schedule_Times,"&lt;"&amp;B1592),INDEX(R_Schedule_Amounts,MATCH(B1592,R_Schedule_Times,1)),Starting_Cash),IF(COUNTIFS(R_Schedule_Times,"&gt;"&amp;B1591,R_Schedule_Times,"&lt;"&amp;B1592),INDEX(R_Schedule_Amounts,MATCH(B1592,R_Schedule_Times,1)),K1591)),"")</f>
        <v>5760</v>
      </c>
      <c r="I1592" s="30">
        <f t="shared" si="120"/>
        <v>100</v>
      </c>
      <c r="J1592" s="31">
        <f t="shared" si="121"/>
        <v>0</v>
      </c>
      <c r="K1592" s="29">
        <f t="shared" si="122"/>
        <v>5660</v>
      </c>
      <c r="L1592" s="31" t="str">
        <f t="shared" si="123"/>
        <v/>
      </c>
      <c r="M1592" s="31" t="str">
        <f t="shared" si="124"/>
        <v/>
      </c>
    </row>
    <row r="1593" spans="1:13" x14ac:dyDescent="0.15">
      <c r="A1593" s="163" t="s">
        <v>210</v>
      </c>
      <c r="B1593" s="163">
        <v>42318.483858078704</v>
      </c>
      <c r="C1593" s="164" t="s">
        <v>320</v>
      </c>
      <c r="D1593" s="164" t="s">
        <v>13</v>
      </c>
      <c r="E1593" s="165">
        <v>40</v>
      </c>
      <c r="F1593" s="166">
        <v>0</v>
      </c>
      <c r="G1593" s="227">
        <f>IF($B$2,IF(ROWS(B$6:$B1593) = 1,$B1593-Start_Date,$B1593-$B1592),"")</f>
        <v>6.8488078686641529E-3</v>
      </c>
      <c r="H1593" s="29">
        <f>IF($B$2,IF(ROWS(B$6:$B1593) = 1,IF(COUNTIFS(R_Schedule_Times,"&lt;"&amp;B1593),INDEX(R_Schedule_Amounts,MATCH(B1593,R_Schedule_Times,1)),Starting_Cash),IF(COUNTIFS(R_Schedule_Times,"&gt;"&amp;B1592,R_Schedule_Times,"&lt;"&amp;B1593),INDEX(R_Schedule_Amounts,MATCH(B1593,R_Schedule_Times,1)),K1592)),"")</f>
        <v>5660</v>
      </c>
      <c r="I1593" s="30">
        <f t="shared" si="120"/>
        <v>40</v>
      </c>
      <c r="J1593" s="31">
        <f t="shared" si="121"/>
        <v>0</v>
      </c>
      <c r="K1593" s="29">
        <f t="shared" si="122"/>
        <v>5620</v>
      </c>
      <c r="L1593" s="31" t="str">
        <f t="shared" si="123"/>
        <v/>
      </c>
      <c r="M1593" s="31" t="str">
        <f t="shared" si="124"/>
        <v/>
      </c>
    </row>
    <row r="1594" spans="1:13" x14ac:dyDescent="0.15">
      <c r="A1594" s="163" t="s">
        <v>210</v>
      </c>
      <c r="B1594" s="163">
        <v>42318.486729687502</v>
      </c>
      <c r="C1594" s="164" t="s">
        <v>1665</v>
      </c>
      <c r="D1594" s="164" t="s">
        <v>13</v>
      </c>
      <c r="E1594" s="165">
        <v>140</v>
      </c>
      <c r="F1594" s="166">
        <v>0</v>
      </c>
      <c r="G1594" s="227">
        <f>IF($B$2,IF(ROWS(B$6:$B1594) = 1,$B1594-Start_Date,$B1594-$B1593),"")</f>
        <v>2.8716087981592864E-3</v>
      </c>
      <c r="H1594" s="29">
        <f>IF($B$2,IF(ROWS(B$6:$B1594) = 1,IF(COUNTIFS(R_Schedule_Times,"&lt;"&amp;B1594),INDEX(R_Schedule_Amounts,MATCH(B1594,R_Schedule_Times,1)),Starting_Cash),IF(COUNTIFS(R_Schedule_Times,"&gt;"&amp;B1593,R_Schedule_Times,"&lt;"&amp;B1594),INDEX(R_Schedule_Amounts,MATCH(B1594,R_Schedule_Times,1)),K1593)),"")</f>
        <v>5620</v>
      </c>
      <c r="I1594" s="30">
        <f t="shared" si="120"/>
        <v>140</v>
      </c>
      <c r="J1594" s="31">
        <f t="shared" si="121"/>
        <v>0</v>
      </c>
      <c r="K1594" s="29">
        <f t="shared" si="122"/>
        <v>5480</v>
      </c>
      <c r="L1594" s="31" t="str">
        <f t="shared" si="123"/>
        <v/>
      </c>
      <c r="M1594" s="31" t="str">
        <f t="shared" si="124"/>
        <v/>
      </c>
    </row>
    <row r="1595" spans="1:13" x14ac:dyDescent="0.15">
      <c r="A1595" s="163" t="s">
        <v>210</v>
      </c>
      <c r="B1595" s="163">
        <v>42318.487474502312</v>
      </c>
      <c r="C1595" s="164" t="s">
        <v>1666</v>
      </c>
      <c r="D1595" s="164" t="s">
        <v>13</v>
      </c>
      <c r="E1595" s="165">
        <v>200</v>
      </c>
      <c r="F1595" s="166">
        <v>0</v>
      </c>
      <c r="G1595" s="227">
        <f>IF($B$2,IF(ROWS(B$6:$B1595) = 1,$B1595-Start_Date,$B1595-$B1594),"")</f>
        <v>7.4481480987742543E-4</v>
      </c>
      <c r="H1595" s="29">
        <f>IF($B$2,IF(ROWS(B$6:$B1595) = 1,IF(COUNTIFS(R_Schedule_Times,"&lt;"&amp;B1595),INDEX(R_Schedule_Amounts,MATCH(B1595,R_Schedule_Times,1)),Starting_Cash),IF(COUNTIFS(R_Schedule_Times,"&gt;"&amp;B1594,R_Schedule_Times,"&lt;"&amp;B1595),INDEX(R_Schedule_Amounts,MATCH(B1595,R_Schedule_Times,1)),K1594)),"")</f>
        <v>5480</v>
      </c>
      <c r="I1595" s="30">
        <f t="shared" si="120"/>
        <v>200</v>
      </c>
      <c r="J1595" s="31">
        <f t="shared" si="121"/>
        <v>0</v>
      </c>
      <c r="K1595" s="29">
        <f t="shared" si="122"/>
        <v>5280</v>
      </c>
      <c r="L1595" s="31" t="str">
        <f t="shared" si="123"/>
        <v/>
      </c>
      <c r="M1595" s="31" t="str">
        <f t="shared" si="124"/>
        <v/>
      </c>
    </row>
    <row r="1596" spans="1:13" x14ac:dyDescent="0.15">
      <c r="A1596" s="163" t="s">
        <v>210</v>
      </c>
      <c r="B1596" s="163">
        <v>42318.493507789353</v>
      </c>
      <c r="C1596" s="164" t="s">
        <v>1667</v>
      </c>
      <c r="D1596" s="164" t="s">
        <v>13</v>
      </c>
      <c r="E1596" s="165">
        <v>100</v>
      </c>
      <c r="F1596" s="166">
        <v>0</v>
      </c>
      <c r="G1596" s="227">
        <f>IF($B$2,IF(ROWS(B$6:$B1596) = 1,$B1596-Start_Date,$B1596-$B1595),"")</f>
        <v>6.0332870416459627E-3</v>
      </c>
      <c r="H1596" s="29">
        <f>IF($B$2,IF(ROWS(B$6:$B1596) = 1,IF(COUNTIFS(R_Schedule_Times,"&lt;"&amp;B1596),INDEX(R_Schedule_Amounts,MATCH(B1596,R_Schedule_Times,1)),Starting_Cash),IF(COUNTIFS(R_Schedule_Times,"&gt;"&amp;B1595,R_Schedule_Times,"&lt;"&amp;B1596),INDEX(R_Schedule_Amounts,MATCH(B1596,R_Schedule_Times,1)),K1595)),"")</f>
        <v>5280</v>
      </c>
      <c r="I1596" s="30">
        <f t="shared" si="120"/>
        <v>100</v>
      </c>
      <c r="J1596" s="31">
        <f t="shared" si="121"/>
        <v>0</v>
      </c>
      <c r="K1596" s="29">
        <f t="shared" si="122"/>
        <v>5180</v>
      </c>
      <c r="L1596" s="31" t="str">
        <f t="shared" si="123"/>
        <v/>
      </c>
      <c r="M1596" s="31" t="str">
        <f t="shared" si="124"/>
        <v/>
      </c>
    </row>
    <row r="1597" spans="1:13" x14ac:dyDescent="0.15">
      <c r="A1597" s="163" t="s">
        <v>210</v>
      </c>
      <c r="B1597" s="163">
        <v>42318.505342129632</v>
      </c>
      <c r="C1597" s="164" t="s">
        <v>1518</v>
      </c>
      <c r="D1597" s="164" t="s">
        <v>13</v>
      </c>
      <c r="E1597" s="165">
        <v>100</v>
      </c>
      <c r="F1597" s="166">
        <v>0</v>
      </c>
      <c r="G1597" s="227">
        <f>IF($B$2,IF(ROWS(B$6:$B1597) = 1,$B1597-Start_Date,$B1597-$B1596),"")</f>
        <v>1.183434027916519E-2</v>
      </c>
      <c r="H1597" s="29">
        <f>IF($B$2,IF(ROWS(B$6:$B1597) = 1,IF(COUNTIFS(R_Schedule_Times,"&lt;"&amp;B1597),INDEX(R_Schedule_Amounts,MATCH(B1597,R_Schedule_Times,1)),Starting_Cash),IF(COUNTIFS(R_Schedule_Times,"&gt;"&amp;B1596,R_Schedule_Times,"&lt;"&amp;B1597),INDEX(R_Schedule_Amounts,MATCH(B1597,R_Schedule_Times,1)),K1596)),"")</f>
        <v>5180</v>
      </c>
      <c r="I1597" s="30">
        <f t="shared" si="120"/>
        <v>100</v>
      </c>
      <c r="J1597" s="31">
        <f t="shared" si="121"/>
        <v>0</v>
      </c>
      <c r="K1597" s="29">
        <f t="shared" si="122"/>
        <v>5080</v>
      </c>
      <c r="L1597" s="31" t="str">
        <f t="shared" si="123"/>
        <v/>
      </c>
      <c r="M1597" s="31" t="str">
        <f t="shared" si="124"/>
        <v/>
      </c>
    </row>
    <row r="1598" spans="1:13" x14ac:dyDescent="0.15">
      <c r="A1598" s="163" t="s">
        <v>210</v>
      </c>
      <c r="B1598" s="163">
        <v>42318.509532557873</v>
      </c>
      <c r="C1598" s="164" t="s">
        <v>426</v>
      </c>
      <c r="D1598" s="164" t="s">
        <v>13</v>
      </c>
      <c r="E1598" s="165">
        <v>60</v>
      </c>
      <c r="F1598" s="166">
        <v>0</v>
      </c>
      <c r="G1598" s="227">
        <f>IF($B$2,IF(ROWS(B$6:$B1598) = 1,$B1598-Start_Date,$B1598-$B1597),"")</f>
        <v>4.1904282406903803E-3</v>
      </c>
      <c r="H1598" s="29">
        <f>IF($B$2,IF(ROWS(B$6:$B1598) = 1,IF(COUNTIFS(R_Schedule_Times,"&lt;"&amp;B1598),INDEX(R_Schedule_Amounts,MATCH(B1598,R_Schedule_Times,1)),Starting_Cash),IF(COUNTIFS(R_Schedule_Times,"&gt;"&amp;B1597,R_Schedule_Times,"&lt;"&amp;B1598),INDEX(R_Schedule_Amounts,MATCH(B1598,R_Schedule_Times,1)),K1597)),"")</f>
        <v>5080</v>
      </c>
      <c r="I1598" s="30">
        <f t="shared" si="120"/>
        <v>60</v>
      </c>
      <c r="J1598" s="31">
        <f t="shared" si="121"/>
        <v>0</v>
      </c>
      <c r="K1598" s="29">
        <f t="shared" si="122"/>
        <v>5020</v>
      </c>
      <c r="L1598" s="31" t="str">
        <f t="shared" si="123"/>
        <v/>
      </c>
      <c r="M1598" s="31" t="str">
        <f t="shared" si="124"/>
        <v/>
      </c>
    </row>
    <row r="1599" spans="1:13" x14ac:dyDescent="0.15">
      <c r="A1599" s="163" t="s">
        <v>210</v>
      </c>
      <c r="B1599" s="163">
        <v>42318.547951851855</v>
      </c>
      <c r="C1599" s="164" t="s">
        <v>14</v>
      </c>
      <c r="D1599" s="164" t="s">
        <v>13</v>
      </c>
      <c r="E1599" s="165">
        <v>60</v>
      </c>
      <c r="F1599" s="166">
        <v>3.5</v>
      </c>
      <c r="G1599" s="227">
        <f>IF($B$2,IF(ROWS(B$6:$B1599) = 1,$B1599-Start_Date,$B1599-$B1598),"")</f>
        <v>3.8419293981860392E-2</v>
      </c>
      <c r="H1599" s="29">
        <f>IF($B$2,IF(ROWS(B$6:$B1599) = 1,IF(COUNTIFS(R_Schedule_Times,"&lt;"&amp;B1599),INDEX(R_Schedule_Amounts,MATCH(B1599,R_Schedule_Times,1)),Starting_Cash),IF(COUNTIFS(R_Schedule_Times,"&gt;"&amp;B1598,R_Schedule_Times,"&lt;"&amp;B1599),INDEX(R_Schedule_Amounts,MATCH(B1599,R_Schedule_Times,1)),K1598)),"")</f>
        <v>5020</v>
      </c>
      <c r="I1599" s="30">
        <f t="shared" si="120"/>
        <v>60</v>
      </c>
      <c r="J1599" s="31">
        <f t="shared" si="121"/>
        <v>3.5</v>
      </c>
      <c r="K1599" s="29">
        <f t="shared" si="122"/>
        <v>4960</v>
      </c>
      <c r="L1599" s="31" t="str">
        <f t="shared" si="123"/>
        <v/>
      </c>
      <c r="M1599" s="31" t="str">
        <f t="shared" si="124"/>
        <v/>
      </c>
    </row>
    <row r="1600" spans="1:13" x14ac:dyDescent="0.15">
      <c r="A1600" s="163" t="s">
        <v>210</v>
      </c>
      <c r="B1600" s="163">
        <v>42318.560027164349</v>
      </c>
      <c r="C1600" s="164" t="s">
        <v>427</v>
      </c>
      <c r="D1600" s="164" t="s">
        <v>13</v>
      </c>
      <c r="E1600" s="165">
        <v>100</v>
      </c>
      <c r="F1600" s="166">
        <v>0</v>
      </c>
      <c r="G1600" s="227">
        <f>IF($B$2,IF(ROWS(B$6:$B1600) = 1,$B1600-Start_Date,$B1600-$B1599),"")</f>
        <v>1.2075312493834645E-2</v>
      </c>
      <c r="H1600" s="29">
        <f>IF($B$2,IF(ROWS(B$6:$B1600) = 1,IF(COUNTIFS(R_Schedule_Times,"&lt;"&amp;B1600),INDEX(R_Schedule_Amounts,MATCH(B1600,R_Schedule_Times,1)),Starting_Cash),IF(COUNTIFS(R_Schedule_Times,"&gt;"&amp;B1599,R_Schedule_Times,"&lt;"&amp;B1600),INDEX(R_Schedule_Amounts,MATCH(B1600,R_Schedule_Times,1)),K1599)),"")</f>
        <v>4960</v>
      </c>
      <c r="I1600" s="30">
        <f t="shared" si="120"/>
        <v>100</v>
      </c>
      <c r="J1600" s="31">
        <f t="shared" si="121"/>
        <v>0</v>
      </c>
      <c r="K1600" s="29">
        <f t="shared" si="122"/>
        <v>4860</v>
      </c>
      <c r="L1600" s="31" t="str">
        <f t="shared" si="123"/>
        <v/>
      </c>
      <c r="M1600" s="31" t="str">
        <f t="shared" si="124"/>
        <v/>
      </c>
    </row>
    <row r="1601" spans="1:13" x14ac:dyDescent="0.15">
      <c r="A1601" s="163" t="s">
        <v>210</v>
      </c>
      <c r="B1601" s="163">
        <v>42318.565802951387</v>
      </c>
      <c r="C1601" s="164" t="s">
        <v>913</v>
      </c>
      <c r="D1601" s="164" t="s">
        <v>13</v>
      </c>
      <c r="E1601" s="165">
        <v>500</v>
      </c>
      <c r="F1601" s="166">
        <v>0</v>
      </c>
      <c r="G1601" s="227">
        <f>IF($B$2,IF(ROWS(B$6:$B1601) = 1,$B1601-Start_Date,$B1601-$B1600),"")</f>
        <v>5.7757870381465182E-3</v>
      </c>
      <c r="H1601" s="29">
        <f>IF($B$2,IF(ROWS(B$6:$B1601) = 1,IF(COUNTIFS(R_Schedule_Times,"&lt;"&amp;B1601),INDEX(R_Schedule_Amounts,MATCH(B1601,R_Schedule_Times,1)),Starting_Cash),IF(COUNTIFS(R_Schedule_Times,"&gt;"&amp;B1600,R_Schedule_Times,"&lt;"&amp;B1601),INDEX(R_Schedule_Amounts,MATCH(B1601,R_Schedule_Times,1)),K1600)),"")</f>
        <v>4860</v>
      </c>
      <c r="I1601" s="30">
        <f t="shared" si="120"/>
        <v>500</v>
      </c>
      <c r="J1601" s="31">
        <f t="shared" si="121"/>
        <v>0</v>
      </c>
      <c r="K1601" s="29">
        <f t="shared" si="122"/>
        <v>4360</v>
      </c>
      <c r="L1601" s="31" t="str">
        <f t="shared" si="123"/>
        <v/>
      </c>
      <c r="M1601" s="31" t="str">
        <f t="shared" si="124"/>
        <v/>
      </c>
    </row>
    <row r="1602" spans="1:13" x14ac:dyDescent="0.15">
      <c r="A1602" s="163" t="s">
        <v>210</v>
      </c>
      <c r="B1602" s="163">
        <v>42318.570141909724</v>
      </c>
      <c r="C1602" s="164" t="s">
        <v>1668</v>
      </c>
      <c r="D1602" s="164" t="s">
        <v>13</v>
      </c>
      <c r="E1602" s="165">
        <v>60</v>
      </c>
      <c r="F1602" s="166">
        <v>0</v>
      </c>
      <c r="G1602" s="227">
        <f>IF($B$2,IF(ROWS(B$6:$B1602) = 1,$B1602-Start_Date,$B1602-$B1601),"")</f>
        <v>4.3389583370299079E-3</v>
      </c>
      <c r="H1602" s="29">
        <f>IF($B$2,IF(ROWS(B$6:$B1602) = 1,IF(COUNTIFS(R_Schedule_Times,"&lt;"&amp;B1602),INDEX(R_Schedule_Amounts,MATCH(B1602,R_Schedule_Times,1)),Starting_Cash),IF(COUNTIFS(R_Schedule_Times,"&gt;"&amp;B1601,R_Schedule_Times,"&lt;"&amp;B1602),INDEX(R_Schedule_Amounts,MATCH(B1602,R_Schedule_Times,1)),K1601)),"")</f>
        <v>4360</v>
      </c>
      <c r="I1602" s="30">
        <f t="shared" si="120"/>
        <v>60</v>
      </c>
      <c r="J1602" s="31">
        <f t="shared" si="121"/>
        <v>0</v>
      </c>
      <c r="K1602" s="29">
        <f t="shared" si="122"/>
        <v>4300</v>
      </c>
      <c r="L1602" s="31" t="str">
        <f t="shared" si="123"/>
        <v/>
      </c>
      <c r="M1602" s="31" t="str">
        <f t="shared" si="124"/>
        <v/>
      </c>
    </row>
    <row r="1603" spans="1:13" x14ac:dyDescent="0.15">
      <c r="A1603" s="163" t="s">
        <v>210</v>
      </c>
      <c r="B1603" s="163">
        <v>42318.579803055552</v>
      </c>
      <c r="C1603" s="164" t="s">
        <v>14</v>
      </c>
      <c r="D1603" s="164" t="s">
        <v>13</v>
      </c>
      <c r="E1603" s="165">
        <v>60</v>
      </c>
      <c r="F1603" s="166">
        <v>3.5</v>
      </c>
      <c r="G1603" s="227">
        <f>IF($B$2,IF(ROWS(B$6:$B1603) = 1,$B1603-Start_Date,$B1603-$B1602),"")</f>
        <v>9.6611458284314722E-3</v>
      </c>
      <c r="H1603" s="29">
        <f>IF($B$2,IF(ROWS(B$6:$B1603) = 1,IF(COUNTIFS(R_Schedule_Times,"&lt;"&amp;B1603),INDEX(R_Schedule_Amounts,MATCH(B1603,R_Schedule_Times,1)),Starting_Cash),IF(COUNTIFS(R_Schedule_Times,"&gt;"&amp;B1602,R_Schedule_Times,"&lt;"&amp;B1603),INDEX(R_Schedule_Amounts,MATCH(B1603,R_Schedule_Times,1)),K1602)),"")</f>
        <v>4300</v>
      </c>
      <c r="I1603" s="30">
        <f t="shared" si="120"/>
        <v>60</v>
      </c>
      <c r="J1603" s="31">
        <f t="shared" si="121"/>
        <v>3.5</v>
      </c>
      <c r="K1603" s="29">
        <f t="shared" si="122"/>
        <v>4240</v>
      </c>
      <c r="L1603" s="31" t="str">
        <f t="shared" si="123"/>
        <v/>
      </c>
      <c r="M1603" s="31" t="str">
        <f t="shared" si="124"/>
        <v/>
      </c>
    </row>
    <row r="1604" spans="1:13" x14ac:dyDescent="0.15">
      <c r="A1604" s="163" t="s">
        <v>210</v>
      </c>
      <c r="B1604" s="163">
        <v>42318.58220261574</v>
      </c>
      <c r="C1604" s="164" t="s">
        <v>1669</v>
      </c>
      <c r="D1604" s="164" t="s">
        <v>13</v>
      </c>
      <c r="E1604" s="165">
        <v>200</v>
      </c>
      <c r="F1604" s="166">
        <v>0</v>
      </c>
      <c r="G1604" s="227">
        <f>IF($B$2,IF(ROWS(B$6:$B1604) = 1,$B1604-Start_Date,$B1604-$B1603),"")</f>
        <v>2.3995601877686568E-3</v>
      </c>
      <c r="H1604" s="29">
        <f>IF($B$2,IF(ROWS(B$6:$B1604) = 1,IF(COUNTIFS(R_Schedule_Times,"&lt;"&amp;B1604),INDEX(R_Schedule_Amounts,MATCH(B1604,R_Schedule_Times,1)),Starting_Cash),IF(COUNTIFS(R_Schedule_Times,"&gt;"&amp;B1603,R_Schedule_Times,"&lt;"&amp;B1604),INDEX(R_Schedule_Amounts,MATCH(B1604,R_Schedule_Times,1)),K1603)),"")</f>
        <v>4240</v>
      </c>
      <c r="I1604" s="30">
        <f t="shared" si="120"/>
        <v>200</v>
      </c>
      <c r="J1604" s="31">
        <f t="shared" si="121"/>
        <v>0</v>
      </c>
      <c r="K1604" s="29">
        <f t="shared" si="122"/>
        <v>4040</v>
      </c>
      <c r="L1604" s="31" t="str">
        <f t="shared" si="123"/>
        <v/>
      </c>
      <c r="M1604" s="31" t="str">
        <f t="shared" si="124"/>
        <v/>
      </c>
    </row>
    <row r="1605" spans="1:13" x14ac:dyDescent="0.15">
      <c r="A1605" s="163" t="s">
        <v>210</v>
      </c>
      <c r="B1605" s="163">
        <v>42318.583800393521</v>
      </c>
      <c r="C1605" s="164" t="s">
        <v>14</v>
      </c>
      <c r="D1605" s="164" t="s">
        <v>13</v>
      </c>
      <c r="E1605" s="165">
        <v>40</v>
      </c>
      <c r="F1605" s="166">
        <v>3.5</v>
      </c>
      <c r="G1605" s="227">
        <f>IF($B$2,IF(ROWS(B$6:$B1605) = 1,$B1605-Start_Date,$B1605-$B1604),"")</f>
        <v>1.597777780261822E-3</v>
      </c>
      <c r="H1605" s="29">
        <f>IF($B$2,IF(ROWS(B$6:$B1605) = 1,IF(COUNTIFS(R_Schedule_Times,"&lt;"&amp;B1605),INDEX(R_Schedule_Amounts,MATCH(B1605,R_Schedule_Times,1)),Starting_Cash),IF(COUNTIFS(R_Schedule_Times,"&gt;"&amp;B1604,R_Schedule_Times,"&lt;"&amp;B1605),INDEX(R_Schedule_Amounts,MATCH(B1605,R_Schedule_Times,1)),K1604)),"")</f>
        <v>4040</v>
      </c>
      <c r="I1605" s="30">
        <f t="shared" si="120"/>
        <v>40</v>
      </c>
      <c r="J1605" s="31">
        <f t="shared" si="121"/>
        <v>3.5</v>
      </c>
      <c r="K1605" s="29">
        <f t="shared" si="122"/>
        <v>4000</v>
      </c>
      <c r="L1605" s="31" t="str">
        <f t="shared" si="123"/>
        <v/>
      </c>
      <c r="M1605" s="31" t="str">
        <f t="shared" si="124"/>
        <v/>
      </c>
    </row>
    <row r="1606" spans="1:13" x14ac:dyDescent="0.15">
      <c r="A1606" s="163" t="s">
        <v>210</v>
      </c>
      <c r="B1606" s="163">
        <v>42318.600324085652</v>
      </c>
      <c r="C1606" s="164" t="s">
        <v>1670</v>
      </c>
      <c r="D1606" s="164" t="s">
        <v>13</v>
      </c>
      <c r="E1606" s="165">
        <v>60</v>
      </c>
      <c r="F1606" s="166">
        <v>0</v>
      </c>
      <c r="G1606" s="227">
        <f>IF($B$2,IF(ROWS(B$6:$B1606) = 1,$B1606-Start_Date,$B1606-$B1605),"")</f>
        <v>1.6523692131158896E-2</v>
      </c>
      <c r="H1606" s="29">
        <f>IF($B$2,IF(ROWS(B$6:$B1606) = 1,IF(COUNTIFS(R_Schedule_Times,"&lt;"&amp;B1606),INDEX(R_Schedule_Amounts,MATCH(B1606,R_Schedule_Times,1)),Starting_Cash),IF(COUNTIFS(R_Schedule_Times,"&gt;"&amp;B1605,R_Schedule_Times,"&lt;"&amp;B1606),INDEX(R_Schedule_Amounts,MATCH(B1606,R_Schedule_Times,1)),K1605)),"")</f>
        <v>4000</v>
      </c>
      <c r="I1606" s="30">
        <f t="shared" si="120"/>
        <v>60</v>
      </c>
      <c r="J1606" s="31">
        <f t="shared" si="121"/>
        <v>0</v>
      </c>
      <c r="K1606" s="29">
        <f t="shared" si="122"/>
        <v>3940</v>
      </c>
      <c r="L1606" s="31" t="str">
        <f t="shared" si="123"/>
        <v/>
      </c>
      <c r="M1606" s="31" t="str">
        <f t="shared" si="124"/>
        <v/>
      </c>
    </row>
    <row r="1607" spans="1:13" x14ac:dyDescent="0.15">
      <c r="A1607" s="163" t="s">
        <v>210</v>
      </c>
      <c r="B1607" s="163">
        <v>42318.653055821756</v>
      </c>
      <c r="C1607" s="164" t="s">
        <v>1671</v>
      </c>
      <c r="D1607" s="164" t="s">
        <v>13</v>
      </c>
      <c r="E1607" s="165">
        <v>40</v>
      </c>
      <c r="F1607" s="166">
        <v>0</v>
      </c>
      <c r="G1607" s="227">
        <f>IF($B$2,IF(ROWS(B$6:$B1607) = 1,$B1607-Start_Date,$B1607-$B1606),"")</f>
        <v>5.2731736104760785E-2</v>
      </c>
      <c r="H1607" s="29">
        <f>IF($B$2,IF(ROWS(B$6:$B1607) = 1,IF(COUNTIFS(R_Schedule_Times,"&lt;"&amp;B1607),INDEX(R_Schedule_Amounts,MATCH(B1607,R_Schedule_Times,1)),Starting_Cash),IF(COUNTIFS(R_Schedule_Times,"&gt;"&amp;B1606,R_Schedule_Times,"&lt;"&amp;B1607),INDEX(R_Schedule_Amounts,MATCH(B1607,R_Schedule_Times,1)),K1606)),"")</f>
        <v>3940</v>
      </c>
      <c r="I1607" s="30">
        <f t="shared" ref="I1607:I1670" si="125">IF($B$2,IF(H1607&gt;=E1607,E1607,0),"")</f>
        <v>40</v>
      </c>
      <c r="J1607" s="31">
        <f t="shared" ref="J1607:J1670" si="126">IF($B$2,IF(H1607&gt;=E1607,F1607,0),"")</f>
        <v>0</v>
      </c>
      <c r="K1607" s="29">
        <f t="shared" ref="K1607:K1670" si="127">IF($B$2,ABS(I1607-H1607),"")</f>
        <v>3900</v>
      </c>
      <c r="L1607" s="31" t="str">
        <f t="shared" ref="L1607:L1670" si="128">IF($B$2,IF(H1607&lt;E1607,"YES",""),"")</f>
        <v/>
      </c>
      <c r="M1607" s="31" t="str">
        <f t="shared" ref="M1607:M1670" si="129">IF($B$2,IF(L1607="YES",F1607,""),"")</f>
        <v/>
      </c>
    </row>
    <row r="1608" spans="1:13" x14ac:dyDescent="0.15">
      <c r="A1608" s="163" t="s">
        <v>210</v>
      </c>
      <c r="B1608" s="163">
        <v>42318.672436053239</v>
      </c>
      <c r="C1608" s="164" t="s">
        <v>1672</v>
      </c>
      <c r="D1608" s="164" t="s">
        <v>15</v>
      </c>
      <c r="E1608" s="165">
        <v>40</v>
      </c>
      <c r="F1608" s="166">
        <v>1.2</v>
      </c>
      <c r="G1608" s="227">
        <f>IF($B$2,IF(ROWS(B$6:$B1608) = 1,$B1608-Start_Date,$B1608-$B1607),"")</f>
        <v>1.9380231482500676E-2</v>
      </c>
      <c r="H1608" s="29">
        <f>IF($B$2,IF(ROWS(B$6:$B1608) = 1,IF(COUNTIFS(R_Schedule_Times,"&lt;"&amp;B1608),INDEX(R_Schedule_Amounts,MATCH(B1608,R_Schedule_Times,1)),Starting_Cash),IF(COUNTIFS(R_Schedule_Times,"&gt;"&amp;B1607,R_Schedule_Times,"&lt;"&amp;B1608),INDEX(R_Schedule_Amounts,MATCH(B1608,R_Schedule_Times,1)),K1607)),"")</f>
        <v>3900</v>
      </c>
      <c r="I1608" s="30">
        <f t="shared" si="125"/>
        <v>40</v>
      </c>
      <c r="J1608" s="31">
        <f t="shared" si="126"/>
        <v>1.2</v>
      </c>
      <c r="K1608" s="29">
        <f t="shared" si="127"/>
        <v>3860</v>
      </c>
      <c r="L1608" s="31" t="str">
        <f t="shared" si="128"/>
        <v/>
      </c>
      <c r="M1608" s="31" t="str">
        <f t="shared" si="129"/>
        <v/>
      </c>
    </row>
    <row r="1609" spans="1:13" x14ac:dyDescent="0.15">
      <c r="A1609" s="163" t="s">
        <v>210</v>
      </c>
      <c r="B1609" s="163">
        <v>42318.677348958336</v>
      </c>
      <c r="C1609" s="164" t="s">
        <v>1673</v>
      </c>
      <c r="D1609" s="164" t="s">
        <v>13</v>
      </c>
      <c r="E1609" s="165">
        <v>100</v>
      </c>
      <c r="F1609" s="166">
        <v>0</v>
      </c>
      <c r="G1609" s="227">
        <f>IF($B$2,IF(ROWS(B$6:$B1609) = 1,$B1609-Start_Date,$B1609-$B1608),"")</f>
        <v>4.9129050967167132E-3</v>
      </c>
      <c r="H1609" s="29">
        <f>IF($B$2,IF(ROWS(B$6:$B1609) = 1,IF(COUNTIFS(R_Schedule_Times,"&lt;"&amp;B1609),INDEX(R_Schedule_Amounts,MATCH(B1609,R_Schedule_Times,1)),Starting_Cash),IF(COUNTIFS(R_Schedule_Times,"&gt;"&amp;B1608,R_Schedule_Times,"&lt;"&amp;B1609),INDEX(R_Schedule_Amounts,MATCH(B1609,R_Schedule_Times,1)),K1608)),"")</f>
        <v>3860</v>
      </c>
      <c r="I1609" s="30">
        <f t="shared" si="125"/>
        <v>100</v>
      </c>
      <c r="J1609" s="31">
        <f t="shared" si="126"/>
        <v>0</v>
      </c>
      <c r="K1609" s="29">
        <f t="shared" si="127"/>
        <v>3760</v>
      </c>
      <c r="L1609" s="31" t="str">
        <f t="shared" si="128"/>
        <v/>
      </c>
      <c r="M1609" s="31" t="str">
        <f t="shared" si="129"/>
        <v/>
      </c>
    </row>
    <row r="1610" spans="1:13" x14ac:dyDescent="0.15">
      <c r="A1610" s="163" t="s">
        <v>210</v>
      </c>
      <c r="B1610" s="163">
        <v>42318.678059155092</v>
      </c>
      <c r="C1610" s="164" t="s">
        <v>1674</v>
      </c>
      <c r="D1610" s="164" t="s">
        <v>15</v>
      </c>
      <c r="E1610" s="165">
        <v>40</v>
      </c>
      <c r="F1610" s="166">
        <v>1.2</v>
      </c>
      <c r="G1610" s="227">
        <f>IF($B$2,IF(ROWS(B$6:$B1610) = 1,$B1610-Start_Date,$B1610-$B1609),"")</f>
        <v>7.1019675669958815E-4</v>
      </c>
      <c r="H1610" s="29">
        <f>IF($B$2,IF(ROWS(B$6:$B1610) = 1,IF(COUNTIFS(R_Schedule_Times,"&lt;"&amp;B1610),INDEX(R_Schedule_Amounts,MATCH(B1610,R_Schedule_Times,1)),Starting_Cash),IF(COUNTIFS(R_Schedule_Times,"&gt;"&amp;B1609,R_Schedule_Times,"&lt;"&amp;B1610),INDEX(R_Schedule_Amounts,MATCH(B1610,R_Schedule_Times,1)),K1609)),"")</f>
        <v>3760</v>
      </c>
      <c r="I1610" s="30">
        <f t="shared" si="125"/>
        <v>40</v>
      </c>
      <c r="J1610" s="31">
        <f t="shared" si="126"/>
        <v>1.2</v>
      </c>
      <c r="K1610" s="29">
        <f t="shared" si="127"/>
        <v>3720</v>
      </c>
      <c r="L1610" s="31" t="str">
        <f t="shared" si="128"/>
        <v/>
      </c>
      <c r="M1610" s="31" t="str">
        <f t="shared" si="129"/>
        <v/>
      </c>
    </row>
    <row r="1611" spans="1:13" x14ac:dyDescent="0.15">
      <c r="A1611" s="163" t="s">
        <v>210</v>
      </c>
      <c r="B1611" s="163">
        <v>42318.678897245372</v>
      </c>
      <c r="C1611" s="164" t="s">
        <v>1675</v>
      </c>
      <c r="D1611" s="164" t="s">
        <v>13</v>
      </c>
      <c r="E1611" s="165">
        <v>40</v>
      </c>
      <c r="F1611" s="166">
        <v>0</v>
      </c>
      <c r="G1611" s="227">
        <f>IF($B$2,IF(ROWS(B$6:$B1611) = 1,$B1611-Start_Date,$B1611-$B1610),"")</f>
        <v>8.3809028001269326E-4</v>
      </c>
      <c r="H1611" s="29">
        <f>IF($B$2,IF(ROWS(B$6:$B1611) = 1,IF(COUNTIFS(R_Schedule_Times,"&lt;"&amp;B1611),INDEX(R_Schedule_Amounts,MATCH(B1611,R_Schedule_Times,1)),Starting_Cash),IF(COUNTIFS(R_Schedule_Times,"&gt;"&amp;B1610,R_Schedule_Times,"&lt;"&amp;B1611),INDEX(R_Schedule_Amounts,MATCH(B1611,R_Schedule_Times,1)),K1610)),"")</f>
        <v>3720</v>
      </c>
      <c r="I1611" s="30">
        <f t="shared" si="125"/>
        <v>40</v>
      </c>
      <c r="J1611" s="31">
        <f t="shared" si="126"/>
        <v>0</v>
      </c>
      <c r="K1611" s="29">
        <f t="shared" si="127"/>
        <v>3680</v>
      </c>
      <c r="L1611" s="31" t="str">
        <f t="shared" si="128"/>
        <v/>
      </c>
      <c r="M1611" s="31" t="str">
        <f t="shared" si="129"/>
        <v/>
      </c>
    </row>
    <row r="1612" spans="1:13" x14ac:dyDescent="0.15">
      <c r="A1612" s="163" t="s">
        <v>210</v>
      </c>
      <c r="B1612" s="163">
        <v>42318.679685567127</v>
      </c>
      <c r="C1612" s="164" t="s">
        <v>1676</v>
      </c>
      <c r="D1612" s="164" t="s">
        <v>13</v>
      </c>
      <c r="E1612" s="165">
        <v>160</v>
      </c>
      <c r="F1612" s="166">
        <v>0</v>
      </c>
      <c r="G1612" s="227">
        <f>IF($B$2,IF(ROWS(B$6:$B1612) = 1,$B1612-Start_Date,$B1612-$B1611),"")</f>
        <v>7.8832175495335832E-4</v>
      </c>
      <c r="H1612" s="29">
        <f>IF($B$2,IF(ROWS(B$6:$B1612) = 1,IF(COUNTIFS(R_Schedule_Times,"&lt;"&amp;B1612),INDEX(R_Schedule_Amounts,MATCH(B1612,R_Schedule_Times,1)),Starting_Cash),IF(COUNTIFS(R_Schedule_Times,"&gt;"&amp;B1611,R_Schedule_Times,"&lt;"&amp;B1612),INDEX(R_Schedule_Amounts,MATCH(B1612,R_Schedule_Times,1)),K1611)),"")</f>
        <v>3680</v>
      </c>
      <c r="I1612" s="30">
        <f t="shared" si="125"/>
        <v>160</v>
      </c>
      <c r="J1612" s="31">
        <f t="shared" si="126"/>
        <v>0</v>
      </c>
      <c r="K1612" s="29">
        <f t="shared" si="127"/>
        <v>3520</v>
      </c>
      <c r="L1612" s="31" t="str">
        <f t="shared" si="128"/>
        <v/>
      </c>
      <c r="M1612" s="31" t="str">
        <f t="shared" si="129"/>
        <v/>
      </c>
    </row>
    <row r="1613" spans="1:13" x14ac:dyDescent="0.15">
      <c r="A1613" s="163" t="s">
        <v>210</v>
      </c>
      <c r="B1613" s="163">
        <v>42318.707678333332</v>
      </c>
      <c r="C1613" s="164" t="s">
        <v>1677</v>
      </c>
      <c r="D1613" s="164" t="s">
        <v>13</v>
      </c>
      <c r="E1613" s="165">
        <v>40</v>
      </c>
      <c r="F1613" s="166">
        <v>0</v>
      </c>
      <c r="G1613" s="227">
        <f>IF($B$2,IF(ROWS(B$6:$B1613) = 1,$B1613-Start_Date,$B1613-$B1612),"")</f>
        <v>2.7992766204988584E-2</v>
      </c>
      <c r="H1613" s="29">
        <f>IF($B$2,IF(ROWS(B$6:$B1613) = 1,IF(COUNTIFS(R_Schedule_Times,"&lt;"&amp;B1613),INDEX(R_Schedule_Amounts,MATCH(B1613,R_Schedule_Times,1)),Starting_Cash),IF(COUNTIFS(R_Schedule_Times,"&gt;"&amp;B1612,R_Schedule_Times,"&lt;"&amp;B1613),INDEX(R_Schedule_Amounts,MATCH(B1613,R_Schedule_Times,1)),K1612)),"")</f>
        <v>3520</v>
      </c>
      <c r="I1613" s="30">
        <f t="shared" si="125"/>
        <v>40</v>
      </c>
      <c r="J1613" s="31">
        <f t="shared" si="126"/>
        <v>0</v>
      </c>
      <c r="K1613" s="29">
        <f t="shared" si="127"/>
        <v>3480</v>
      </c>
      <c r="L1613" s="31" t="str">
        <f t="shared" si="128"/>
        <v/>
      </c>
      <c r="M1613" s="31" t="str">
        <f t="shared" si="129"/>
        <v/>
      </c>
    </row>
    <row r="1614" spans="1:13" x14ac:dyDescent="0.15">
      <c r="A1614" s="163" t="s">
        <v>210</v>
      </c>
      <c r="B1614" s="163">
        <v>42318.720737719908</v>
      </c>
      <c r="C1614" s="164" t="s">
        <v>1678</v>
      </c>
      <c r="D1614" s="164" t="s">
        <v>13</v>
      </c>
      <c r="E1614" s="165">
        <v>100</v>
      </c>
      <c r="F1614" s="166">
        <v>0</v>
      </c>
      <c r="G1614" s="227">
        <f>IF($B$2,IF(ROWS(B$6:$B1614) = 1,$B1614-Start_Date,$B1614-$B1613),"")</f>
        <v>1.3059386576060206E-2</v>
      </c>
      <c r="H1614" s="29">
        <f>IF($B$2,IF(ROWS(B$6:$B1614) = 1,IF(COUNTIFS(R_Schedule_Times,"&lt;"&amp;B1614),INDEX(R_Schedule_Amounts,MATCH(B1614,R_Schedule_Times,1)),Starting_Cash),IF(COUNTIFS(R_Schedule_Times,"&gt;"&amp;B1613,R_Schedule_Times,"&lt;"&amp;B1614),INDEX(R_Schedule_Amounts,MATCH(B1614,R_Schedule_Times,1)),K1613)),"")</f>
        <v>3480</v>
      </c>
      <c r="I1614" s="30">
        <f t="shared" si="125"/>
        <v>100</v>
      </c>
      <c r="J1614" s="31">
        <f t="shared" si="126"/>
        <v>0</v>
      </c>
      <c r="K1614" s="29">
        <f t="shared" si="127"/>
        <v>3380</v>
      </c>
      <c r="L1614" s="31" t="str">
        <f t="shared" si="128"/>
        <v/>
      </c>
      <c r="M1614" s="31" t="str">
        <f t="shared" si="129"/>
        <v/>
      </c>
    </row>
    <row r="1615" spans="1:13" x14ac:dyDescent="0.15">
      <c r="A1615" s="163" t="s">
        <v>210</v>
      </c>
      <c r="B1615" s="163">
        <v>42318.729048796296</v>
      </c>
      <c r="C1615" s="164" t="s">
        <v>1679</v>
      </c>
      <c r="D1615" s="164" t="s">
        <v>13</v>
      </c>
      <c r="E1615" s="165">
        <v>100</v>
      </c>
      <c r="F1615" s="166">
        <v>0</v>
      </c>
      <c r="G1615" s="227">
        <f>IF($B$2,IF(ROWS(B$6:$B1615) = 1,$B1615-Start_Date,$B1615-$B1614),"")</f>
        <v>8.3110763880540617E-3</v>
      </c>
      <c r="H1615" s="29">
        <f>IF($B$2,IF(ROWS(B$6:$B1615) = 1,IF(COUNTIFS(R_Schedule_Times,"&lt;"&amp;B1615),INDEX(R_Schedule_Amounts,MATCH(B1615,R_Schedule_Times,1)),Starting_Cash),IF(COUNTIFS(R_Schedule_Times,"&gt;"&amp;B1614,R_Schedule_Times,"&lt;"&amp;B1615),INDEX(R_Schedule_Amounts,MATCH(B1615,R_Schedule_Times,1)),K1614)),"")</f>
        <v>3380</v>
      </c>
      <c r="I1615" s="30">
        <f t="shared" si="125"/>
        <v>100</v>
      </c>
      <c r="J1615" s="31">
        <f t="shared" si="126"/>
        <v>0</v>
      </c>
      <c r="K1615" s="29">
        <f t="shared" si="127"/>
        <v>3280</v>
      </c>
      <c r="L1615" s="31" t="str">
        <f t="shared" si="128"/>
        <v/>
      </c>
      <c r="M1615" s="31" t="str">
        <f t="shared" si="129"/>
        <v/>
      </c>
    </row>
    <row r="1616" spans="1:13" x14ac:dyDescent="0.15">
      <c r="A1616" s="163" t="s">
        <v>210</v>
      </c>
      <c r="B1616" s="163">
        <v>42318.748510798614</v>
      </c>
      <c r="C1616" s="164" t="s">
        <v>428</v>
      </c>
      <c r="D1616" s="164" t="s">
        <v>13</v>
      </c>
      <c r="E1616" s="165">
        <v>120</v>
      </c>
      <c r="F1616" s="166">
        <v>0</v>
      </c>
      <c r="G1616" s="227">
        <f>IF($B$2,IF(ROWS(B$6:$B1616) = 1,$B1616-Start_Date,$B1616-$B1615),"")</f>
        <v>1.9462002317595761E-2</v>
      </c>
      <c r="H1616" s="29">
        <f>IF($B$2,IF(ROWS(B$6:$B1616) = 1,IF(COUNTIFS(R_Schedule_Times,"&lt;"&amp;B1616),INDEX(R_Schedule_Amounts,MATCH(B1616,R_Schedule_Times,1)),Starting_Cash),IF(COUNTIFS(R_Schedule_Times,"&gt;"&amp;B1615,R_Schedule_Times,"&lt;"&amp;B1616),INDEX(R_Schedule_Amounts,MATCH(B1616,R_Schedule_Times,1)),K1615)),"")</f>
        <v>3280</v>
      </c>
      <c r="I1616" s="30">
        <f t="shared" si="125"/>
        <v>120</v>
      </c>
      <c r="J1616" s="31">
        <f t="shared" si="126"/>
        <v>0</v>
      </c>
      <c r="K1616" s="29">
        <f t="shared" si="127"/>
        <v>3160</v>
      </c>
      <c r="L1616" s="31" t="str">
        <f t="shared" si="128"/>
        <v/>
      </c>
      <c r="M1616" s="31" t="str">
        <f t="shared" si="129"/>
        <v/>
      </c>
    </row>
    <row r="1617" spans="1:13" x14ac:dyDescent="0.15">
      <c r="A1617" s="163" t="s">
        <v>210</v>
      </c>
      <c r="B1617" s="163">
        <v>42318.749331817133</v>
      </c>
      <c r="C1617" s="164" t="s">
        <v>1680</v>
      </c>
      <c r="D1617" s="164" t="s">
        <v>13</v>
      </c>
      <c r="E1617" s="165">
        <v>80</v>
      </c>
      <c r="F1617" s="166">
        <v>0</v>
      </c>
      <c r="G1617" s="227">
        <f>IF($B$2,IF(ROWS(B$6:$B1617) = 1,$B1617-Start_Date,$B1617-$B1616),"")</f>
        <v>8.2101851876359433E-4</v>
      </c>
      <c r="H1617" s="29">
        <f>IF($B$2,IF(ROWS(B$6:$B1617) = 1,IF(COUNTIFS(R_Schedule_Times,"&lt;"&amp;B1617),INDEX(R_Schedule_Amounts,MATCH(B1617,R_Schedule_Times,1)),Starting_Cash),IF(COUNTIFS(R_Schedule_Times,"&gt;"&amp;B1616,R_Schedule_Times,"&lt;"&amp;B1617),INDEX(R_Schedule_Amounts,MATCH(B1617,R_Schedule_Times,1)),K1616)),"")</f>
        <v>3160</v>
      </c>
      <c r="I1617" s="30">
        <f t="shared" si="125"/>
        <v>80</v>
      </c>
      <c r="J1617" s="31">
        <f t="shared" si="126"/>
        <v>0</v>
      </c>
      <c r="K1617" s="29">
        <f t="shared" si="127"/>
        <v>3080</v>
      </c>
      <c r="L1617" s="31" t="str">
        <f t="shared" si="128"/>
        <v/>
      </c>
      <c r="M1617" s="31" t="str">
        <f t="shared" si="129"/>
        <v/>
      </c>
    </row>
    <row r="1618" spans="1:13" x14ac:dyDescent="0.15">
      <c r="A1618" s="163" t="s">
        <v>210</v>
      </c>
      <c r="B1618" s="163">
        <v>42318.768210624999</v>
      </c>
      <c r="C1618" s="164" t="s">
        <v>1681</v>
      </c>
      <c r="D1618" s="164" t="s">
        <v>13</v>
      </c>
      <c r="E1618" s="165">
        <v>40</v>
      </c>
      <c r="F1618" s="166">
        <v>0</v>
      </c>
      <c r="G1618" s="227">
        <f>IF($B$2,IF(ROWS(B$6:$B1618) = 1,$B1618-Start_Date,$B1618-$B1617),"")</f>
        <v>1.8878807866713032E-2</v>
      </c>
      <c r="H1618" s="29">
        <f>IF($B$2,IF(ROWS(B$6:$B1618) = 1,IF(COUNTIFS(R_Schedule_Times,"&lt;"&amp;B1618),INDEX(R_Schedule_Amounts,MATCH(B1618,R_Schedule_Times,1)),Starting_Cash),IF(COUNTIFS(R_Schedule_Times,"&gt;"&amp;B1617,R_Schedule_Times,"&lt;"&amp;B1618),INDEX(R_Schedule_Amounts,MATCH(B1618,R_Schedule_Times,1)),K1617)),"")</f>
        <v>3080</v>
      </c>
      <c r="I1618" s="30">
        <f t="shared" si="125"/>
        <v>40</v>
      </c>
      <c r="J1618" s="31">
        <f t="shared" si="126"/>
        <v>0</v>
      </c>
      <c r="K1618" s="29">
        <f t="shared" si="127"/>
        <v>3040</v>
      </c>
      <c r="L1618" s="31" t="str">
        <f t="shared" si="128"/>
        <v/>
      </c>
      <c r="M1618" s="31" t="str">
        <f t="shared" si="129"/>
        <v/>
      </c>
    </row>
    <row r="1619" spans="1:13" x14ac:dyDescent="0.15">
      <c r="A1619" s="163" t="s">
        <v>210</v>
      </c>
      <c r="B1619" s="163">
        <v>42318.786169884261</v>
      </c>
      <c r="C1619" s="164" t="s">
        <v>1682</v>
      </c>
      <c r="D1619" s="164" t="s">
        <v>13</v>
      </c>
      <c r="E1619" s="165">
        <v>80</v>
      </c>
      <c r="F1619" s="166">
        <v>0</v>
      </c>
      <c r="G1619" s="227">
        <f>IF($B$2,IF(ROWS(B$6:$B1619) = 1,$B1619-Start_Date,$B1619-$B1618),"")</f>
        <v>1.795925926126074E-2</v>
      </c>
      <c r="H1619" s="29">
        <f>IF($B$2,IF(ROWS(B$6:$B1619) = 1,IF(COUNTIFS(R_Schedule_Times,"&lt;"&amp;B1619),INDEX(R_Schedule_Amounts,MATCH(B1619,R_Schedule_Times,1)),Starting_Cash),IF(COUNTIFS(R_Schedule_Times,"&gt;"&amp;B1618,R_Schedule_Times,"&lt;"&amp;B1619),INDEX(R_Schedule_Amounts,MATCH(B1619,R_Schedule_Times,1)),K1618)),"")</f>
        <v>3040</v>
      </c>
      <c r="I1619" s="30">
        <f t="shared" si="125"/>
        <v>80</v>
      </c>
      <c r="J1619" s="31">
        <f t="shared" si="126"/>
        <v>0</v>
      </c>
      <c r="K1619" s="29">
        <f t="shared" si="127"/>
        <v>2960</v>
      </c>
      <c r="L1619" s="31" t="str">
        <f t="shared" si="128"/>
        <v/>
      </c>
      <c r="M1619" s="31" t="str">
        <f t="shared" si="129"/>
        <v/>
      </c>
    </row>
    <row r="1620" spans="1:13" x14ac:dyDescent="0.15">
      <c r="A1620" s="163" t="s">
        <v>210</v>
      </c>
      <c r="B1620" s="163">
        <v>42318.877596956016</v>
      </c>
      <c r="C1620" s="164" t="s">
        <v>1683</v>
      </c>
      <c r="D1620" s="164" t="s">
        <v>13</v>
      </c>
      <c r="E1620" s="165">
        <v>20</v>
      </c>
      <c r="F1620" s="166">
        <v>0</v>
      </c>
      <c r="G1620" s="227">
        <f>IF($B$2,IF(ROWS(B$6:$B1620) = 1,$B1620-Start_Date,$B1620-$B1619),"")</f>
        <v>9.1427071754878853E-2</v>
      </c>
      <c r="H1620" s="29">
        <f>IF($B$2,IF(ROWS(B$6:$B1620) = 1,IF(COUNTIFS(R_Schedule_Times,"&lt;"&amp;B1620),INDEX(R_Schedule_Amounts,MATCH(B1620,R_Schedule_Times,1)),Starting_Cash),IF(COUNTIFS(R_Schedule_Times,"&gt;"&amp;B1619,R_Schedule_Times,"&lt;"&amp;B1620),INDEX(R_Schedule_Amounts,MATCH(B1620,R_Schedule_Times,1)),K1619)),"")</f>
        <v>2960</v>
      </c>
      <c r="I1620" s="30">
        <f t="shared" si="125"/>
        <v>20</v>
      </c>
      <c r="J1620" s="31">
        <f t="shared" si="126"/>
        <v>0</v>
      </c>
      <c r="K1620" s="29">
        <f t="shared" si="127"/>
        <v>2940</v>
      </c>
      <c r="L1620" s="31" t="str">
        <f t="shared" si="128"/>
        <v/>
      </c>
      <c r="M1620" s="31" t="str">
        <f t="shared" si="129"/>
        <v/>
      </c>
    </row>
    <row r="1621" spans="1:13" x14ac:dyDescent="0.15">
      <c r="A1621" s="163" t="s">
        <v>210</v>
      </c>
      <c r="B1621" s="163">
        <v>42319.003430821758</v>
      </c>
      <c r="C1621" s="164" t="s">
        <v>429</v>
      </c>
      <c r="D1621" s="164" t="s">
        <v>13</v>
      </c>
      <c r="E1621" s="165">
        <v>500</v>
      </c>
      <c r="F1621" s="166">
        <v>0</v>
      </c>
      <c r="G1621" s="227">
        <f>IF($B$2,IF(ROWS(B$6:$B1621) = 1,$B1621-Start_Date,$B1621-$B1620),"")</f>
        <v>0.12583386574260658</v>
      </c>
      <c r="H1621" s="29">
        <f>IF($B$2,IF(ROWS(B$6:$B1621) = 1,IF(COUNTIFS(R_Schedule_Times,"&lt;"&amp;B1621),INDEX(R_Schedule_Amounts,MATCH(B1621,R_Schedule_Times,1)),Starting_Cash),IF(COUNTIFS(R_Schedule_Times,"&gt;"&amp;B1620,R_Schedule_Times,"&lt;"&amp;B1621),INDEX(R_Schedule_Amounts,MATCH(B1621,R_Schedule_Times,1)),K1620)),"")</f>
        <v>2940</v>
      </c>
      <c r="I1621" s="30">
        <f t="shared" si="125"/>
        <v>500</v>
      </c>
      <c r="J1621" s="31">
        <f t="shared" si="126"/>
        <v>0</v>
      </c>
      <c r="K1621" s="29">
        <f t="shared" si="127"/>
        <v>2440</v>
      </c>
      <c r="L1621" s="31" t="str">
        <f t="shared" si="128"/>
        <v/>
      </c>
      <c r="M1621" s="31" t="str">
        <f t="shared" si="129"/>
        <v/>
      </c>
    </row>
    <row r="1622" spans="1:13" x14ac:dyDescent="0.15">
      <c r="A1622" s="163" t="s">
        <v>210</v>
      </c>
      <c r="B1622" s="163">
        <v>42319.29237422454</v>
      </c>
      <c r="C1622" s="164" t="s">
        <v>1684</v>
      </c>
      <c r="D1622" s="164" t="s">
        <v>13</v>
      </c>
      <c r="E1622" s="165">
        <v>60</v>
      </c>
      <c r="F1622" s="166">
        <v>0</v>
      </c>
      <c r="G1622" s="227">
        <f>IF($B$2,IF(ROWS(B$6:$B1622) = 1,$B1622-Start_Date,$B1622-$B1621),"")</f>
        <v>0.28894340278202435</v>
      </c>
      <c r="H1622" s="29">
        <f>IF($B$2,IF(ROWS(B$6:$B1622) = 1,IF(COUNTIFS(R_Schedule_Times,"&lt;"&amp;B1622),INDEX(R_Schedule_Amounts,MATCH(B1622,R_Schedule_Times,1)),Starting_Cash),IF(COUNTIFS(R_Schedule_Times,"&gt;"&amp;B1621,R_Schedule_Times,"&lt;"&amp;B1622),INDEX(R_Schedule_Amounts,MATCH(B1622,R_Schedule_Times,1)),K1621)),"")</f>
        <v>2440</v>
      </c>
      <c r="I1622" s="30">
        <f t="shared" si="125"/>
        <v>60</v>
      </c>
      <c r="J1622" s="31">
        <f t="shared" si="126"/>
        <v>0</v>
      </c>
      <c r="K1622" s="29">
        <f t="shared" si="127"/>
        <v>2380</v>
      </c>
      <c r="L1622" s="31" t="str">
        <f t="shared" si="128"/>
        <v/>
      </c>
      <c r="M1622" s="31" t="str">
        <f t="shared" si="129"/>
        <v/>
      </c>
    </row>
    <row r="1623" spans="1:13" x14ac:dyDescent="0.15">
      <c r="A1623" s="163" t="s">
        <v>210</v>
      </c>
      <c r="B1623" s="163">
        <v>42319.309043159723</v>
      </c>
      <c r="C1623" s="164" t="s">
        <v>1685</v>
      </c>
      <c r="D1623" s="164" t="s">
        <v>13</v>
      </c>
      <c r="E1623" s="165">
        <v>200</v>
      </c>
      <c r="F1623" s="166">
        <v>0</v>
      </c>
      <c r="G1623" s="227">
        <f>IF($B$2,IF(ROWS(B$6:$B1623) = 1,$B1623-Start_Date,$B1623-$B1622),"")</f>
        <v>1.6668935182678979E-2</v>
      </c>
      <c r="H1623" s="29">
        <f>IF($B$2,IF(ROWS(B$6:$B1623) = 1,IF(COUNTIFS(R_Schedule_Times,"&lt;"&amp;B1623),INDEX(R_Schedule_Amounts,MATCH(B1623,R_Schedule_Times,1)),Starting_Cash),IF(COUNTIFS(R_Schedule_Times,"&gt;"&amp;B1622,R_Schedule_Times,"&lt;"&amp;B1623),INDEX(R_Schedule_Amounts,MATCH(B1623,R_Schedule_Times,1)),K1622)),"")</f>
        <v>2380</v>
      </c>
      <c r="I1623" s="30">
        <f t="shared" si="125"/>
        <v>200</v>
      </c>
      <c r="J1623" s="31">
        <f t="shared" si="126"/>
        <v>0</v>
      </c>
      <c r="K1623" s="29">
        <f t="shared" si="127"/>
        <v>2180</v>
      </c>
      <c r="L1623" s="31" t="str">
        <f t="shared" si="128"/>
        <v/>
      </c>
      <c r="M1623" s="31" t="str">
        <f t="shared" si="129"/>
        <v/>
      </c>
    </row>
    <row r="1624" spans="1:13" x14ac:dyDescent="0.15">
      <c r="A1624" s="163" t="s">
        <v>210</v>
      </c>
      <c r="B1624" s="163">
        <v>42319.325135335646</v>
      </c>
      <c r="C1624" s="164" t="s">
        <v>1686</v>
      </c>
      <c r="D1624" s="164" t="s">
        <v>13</v>
      </c>
      <c r="E1624" s="165">
        <v>20</v>
      </c>
      <c r="F1624" s="166">
        <v>0</v>
      </c>
      <c r="G1624" s="227">
        <f>IF($B$2,IF(ROWS(B$6:$B1624) = 1,$B1624-Start_Date,$B1624-$B1623),"")</f>
        <v>1.6092175923404284E-2</v>
      </c>
      <c r="H1624" s="29">
        <f>IF($B$2,IF(ROWS(B$6:$B1624) = 1,IF(COUNTIFS(R_Schedule_Times,"&lt;"&amp;B1624),INDEX(R_Schedule_Amounts,MATCH(B1624,R_Schedule_Times,1)),Starting_Cash),IF(COUNTIFS(R_Schedule_Times,"&gt;"&amp;B1623,R_Schedule_Times,"&lt;"&amp;B1624),INDEX(R_Schedule_Amounts,MATCH(B1624,R_Schedule_Times,1)),K1623)),"")</f>
        <v>2180</v>
      </c>
      <c r="I1624" s="30">
        <f t="shared" si="125"/>
        <v>20</v>
      </c>
      <c r="J1624" s="31">
        <f t="shared" si="126"/>
        <v>0</v>
      </c>
      <c r="K1624" s="29">
        <f t="shared" si="127"/>
        <v>2160</v>
      </c>
      <c r="L1624" s="31" t="str">
        <f t="shared" si="128"/>
        <v/>
      </c>
      <c r="M1624" s="31" t="str">
        <f t="shared" si="129"/>
        <v/>
      </c>
    </row>
    <row r="1625" spans="1:13" x14ac:dyDescent="0.15">
      <c r="A1625" s="163" t="s">
        <v>210</v>
      </c>
      <c r="B1625" s="163">
        <v>42319.328210590276</v>
      </c>
      <c r="C1625" s="164" t="s">
        <v>1687</v>
      </c>
      <c r="D1625" s="164" t="s">
        <v>13</v>
      </c>
      <c r="E1625" s="165">
        <v>100</v>
      </c>
      <c r="F1625" s="166">
        <v>0</v>
      </c>
      <c r="G1625" s="227">
        <f>IF($B$2,IF(ROWS(B$6:$B1625) = 1,$B1625-Start_Date,$B1625-$B1624),"")</f>
        <v>3.0752546299481764E-3</v>
      </c>
      <c r="H1625" s="29">
        <f>IF($B$2,IF(ROWS(B$6:$B1625) = 1,IF(COUNTIFS(R_Schedule_Times,"&lt;"&amp;B1625),INDEX(R_Schedule_Amounts,MATCH(B1625,R_Schedule_Times,1)),Starting_Cash),IF(COUNTIFS(R_Schedule_Times,"&gt;"&amp;B1624,R_Schedule_Times,"&lt;"&amp;B1625),INDEX(R_Schedule_Amounts,MATCH(B1625,R_Schedule_Times,1)),K1624)),"")</f>
        <v>2160</v>
      </c>
      <c r="I1625" s="30">
        <f t="shared" si="125"/>
        <v>100</v>
      </c>
      <c r="J1625" s="31">
        <f t="shared" si="126"/>
        <v>0</v>
      </c>
      <c r="K1625" s="29">
        <f t="shared" si="127"/>
        <v>2060</v>
      </c>
      <c r="L1625" s="31" t="str">
        <f t="shared" si="128"/>
        <v/>
      </c>
      <c r="M1625" s="31" t="str">
        <f t="shared" si="129"/>
        <v/>
      </c>
    </row>
    <row r="1626" spans="1:13" x14ac:dyDescent="0.15">
      <c r="A1626" s="163" t="s">
        <v>210</v>
      </c>
      <c r="B1626" s="163">
        <v>42319.335291863426</v>
      </c>
      <c r="C1626" s="164" t="s">
        <v>1688</v>
      </c>
      <c r="D1626" s="164" t="s">
        <v>13</v>
      </c>
      <c r="E1626" s="165">
        <v>100</v>
      </c>
      <c r="F1626" s="166">
        <v>0</v>
      </c>
      <c r="G1626" s="227">
        <f>IF($B$2,IF(ROWS(B$6:$B1626) = 1,$B1626-Start_Date,$B1626-$B1625),"")</f>
        <v>7.0812731501064263E-3</v>
      </c>
      <c r="H1626" s="29">
        <f>IF($B$2,IF(ROWS(B$6:$B1626) = 1,IF(COUNTIFS(R_Schedule_Times,"&lt;"&amp;B1626),INDEX(R_Schedule_Amounts,MATCH(B1626,R_Schedule_Times,1)),Starting_Cash),IF(COUNTIFS(R_Schedule_Times,"&gt;"&amp;B1625,R_Schedule_Times,"&lt;"&amp;B1626),INDEX(R_Schedule_Amounts,MATCH(B1626,R_Schedule_Times,1)),K1625)),"")</f>
        <v>2060</v>
      </c>
      <c r="I1626" s="30">
        <f t="shared" si="125"/>
        <v>100</v>
      </c>
      <c r="J1626" s="31">
        <f t="shared" si="126"/>
        <v>0</v>
      </c>
      <c r="K1626" s="29">
        <f t="shared" si="127"/>
        <v>1960</v>
      </c>
      <c r="L1626" s="31" t="str">
        <f t="shared" si="128"/>
        <v/>
      </c>
      <c r="M1626" s="31" t="str">
        <f t="shared" si="129"/>
        <v/>
      </c>
    </row>
    <row r="1627" spans="1:13" x14ac:dyDescent="0.15">
      <c r="A1627" s="163" t="s">
        <v>210</v>
      </c>
      <c r="B1627" s="163">
        <v>42319.338488263886</v>
      </c>
      <c r="C1627" s="164" t="s">
        <v>14</v>
      </c>
      <c r="D1627" s="164" t="s">
        <v>13</v>
      </c>
      <c r="E1627" s="165">
        <v>100</v>
      </c>
      <c r="F1627" s="166">
        <v>3.5</v>
      </c>
      <c r="G1627" s="227">
        <f>IF($B$2,IF(ROWS(B$6:$B1627) = 1,$B1627-Start_Date,$B1627-$B1626),"")</f>
        <v>3.1964004592737183E-3</v>
      </c>
      <c r="H1627" s="29">
        <f>IF($B$2,IF(ROWS(B$6:$B1627) = 1,IF(COUNTIFS(R_Schedule_Times,"&lt;"&amp;B1627),INDEX(R_Schedule_Amounts,MATCH(B1627,R_Schedule_Times,1)),Starting_Cash),IF(COUNTIFS(R_Schedule_Times,"&gt;"&amp;B1626,R_Schedule_Times,"&lt;"&amp;B1627),INDEX(R_Schedule_Amounts,MATCH(B1627,R_Schedule_Times,1)),K1626)),"")</f>
        <v>1960</v>
      </c>
      <c r="I1627" s="30">
        <f t="shared" si="125"/>
        <v>100</v>
      </c>
      <c r="J1627" s="31">
        <f t="shared" si="126"/>
        <v>3.5</v>
      </c>
      <c r="K1627" s="29">
        <f t="shared" si="127"/>
        <v>1860</v>
      </c>
      <c r="L1627" s="31" t="str">
        <f t="shared" si="128"/>
        <v/>
      </c>
      <c r="M1627" s="31" t="str">
        <f t="shared" si="129"/>
        <v/>
      </c>
    </row>
    <row r="1628" spans="1:13" x14ac:dyDescent="0.15">
      <c r="A1628" s="163" t="s">
        <v>210</v>
      </c>
      <c r="B1628" s="163">
        <v>42319.353330590275</v>
      </c>
      <c r="C1628" s="164" t="s">
        <v>1689</v>
      </c>
      <c r="D1628" s="164" t="s">
        <v>13</v>
      </c>
      <c r="E1628" s="165">
        <v>60</v>
      </c>
      <c r="F1628" s="166">
        <v>0</v>
      </c>
      <c r="G1628" s="227">
        <f>IF($B$2,IF(ROWS(B$6:$B1628) = 1,$B1628-Start_Date,$B1628-$B1627),"")</f>
        <v>1.4842326389043592E-2</v>
      </c>
      <c r="H1628" s="29">
        <f>IF($B$2,IF(ROWS(B$6:$B1628) = 1,IF(COUNTIFS(R_Schedule_Times,"&lt;"&amp;B1628),INDEX(R_Schedule_Amounts,MATCH(B1628,R_Schedule_Times,1)),Starting_Cash),IF(COUNTIFS(R_Schedule_Times,"&gt;"&amp;B1627,R_Schedule_Times,"&lt;"&amp;B1628),INDEX(R_Schedule_Amounts,MATCH(B1628,R_Schedule_Times,1)),K1627)),"")</f>
        <v>1860</v>
      </c>
      <c r="I1628" s="30">
        <f t="shared" si="125"/>
        <v>60</v>
      </c>
      <c r="J1628" s="31">
        <f t="shared" si="126"/>
        <v>0</v>
      </c>
      <c r="K1628" s="29">
        <f t="shared" si="127"/>
        <v>1800</v>
      </c>
      <c r="L1628" s="31" t="str">
        <f t="shared" si="128"/>
        <v/>
      </c>
      <c r="M1628" s="31" t="str">
        <f t="shared" si="129"/>
        <v/>
      </c>
    </row>
    <row r="1629" spans="1:13" x14ac:dyDescent="0.15">
      <c r="A1629" s="163" t="s">
        <v>210</v>
      </c>
      <c r="B1629" s="163">
        <v>42319.404322916664</v>
      </c>
      <c r="C1629" s="164" t="s">
        <v>741</v>
      </c>
      <c r="D1629" s="164" t="s">
        <v>13</v>
      </c>
      <c r="E1629" s="165">
        <v>40</v>
      </c>
      <c r="F1629" s="166">
        <v>0</v>
      </c>
      <c r="G1629" s="227">
        <f>IF($B$2,IF(ROWS(B$6:$B1629) = 1,$B1629-Start_Date,$B1629-$B1628),"")</f>
        <v>5.099232638895046E-2</v>
      </c>
      <c r="H1629" s="29">
        <f>IF($B$2,IF(ROWS(B$6:$B1629) = 1,IF(COUNTIFS(R_Schedule_Times,"&lt;"&amp;B1629),INDEX(R_Schedule_Amounts,MATCH(B1629,R_Schedule_Times,1)),Starting_Cash),IF(COUNTIFS(R_Schedule_Times,"&gt;"&amp;B1628,R_Schedule_Times,"&lt;"&amp;B1629),INDEX(R_Schedule_Amounts,MATCH(B1629,R_Schedule_Times,1)),K1628)),"")</f>
        <v>1800</v>
      </c>
      <c r="I1629" s="30">
        <f t="shared" si="125"/>
        <v>40</v>
      </c>
      <c r="J1629" s="31">
        <f t="shared" si="126"/>
        <v>0</v>
      </c>
      <c r="K1629" s="29">
        <f t="shared" si="127"/>
        <v>1760</v>
      </c>
      <c r="L1629" s="31" t="str">
        <f t="shared" si="128"/>
        <v/>
      </c>
      <c r="M1629" s="31" t="str">
        <f t="shared" si="129"/>
        <v/>
      </c>
    </row>
    <row r="1630" spans="1:13" x14ac:dyDescent="0.15">
      <c r="A1630" s="163" t="s">
        <v>210</v>
      </c>
      <c r="B1630" s="163">
        <v>42319.434826319448</v>
      </c>
      <c r="C1630" s="164" t="s">
        <v>1690</v>
      </c>
      <c r="D1630" s="164" t="s">
        <v>13</v>
      </c>
      <c r="E1630" s="165">
        <v>20</v>
      </c>
      <c r="F1630" s="166">
        <v>0</v>
      </c>
      <c r="G1630" s="227">
        <f>IF($B$2,IF(ROWS(B$6:$B1630) = 1,$B1630-Start_Date,$B1630-$B1629),"")</f>
        <v>3.0503402784233913E-2</v>
      </c>
      <c r="H1630" s="29">
        <f>IF($B$2,IF(ROWS(B$6:$B1630) = 1,IF(COUNTIFS(R_Schedule_Times,"&lt;"&amp;B1630),INDEX(R_Schedule_Amounts,MATCH(B1630,R_Schedule_Times,1)),Starting_Cash),IF(COUNTIFS(R_Schedule_Times,"&gt;"&amp;B1629,R_Schedule_Times,"&lt;"&amp;B1630),INDEX(R_Schedule_Amounts,MATCH(B1630,R_Schedule_Times,1)),K1629)),"")</f>
        <v>1760</v>
      </c>
      <c r="I1630" s="30">
        <f t="shared" si="125"/>
        <v>20</v>
      </c>
      <c r="J1630" s="31">
        <f t="shared" si="126"/>
        <v>0</v>
      </c>
      <c r="K1630" s="29">
        <f t="shared" si="127"/>
        <v>1740</v>
      </c>
      <c r="L1630" s="31" t="str">
        <f t="shared" si="128"/>
        <v/>
      </c>
      <c r="M1630" s="31" t="str">
        <f t="shared" si="129"/>
        <v/>
      </c>
    </row>
    <row r="1631" spans="1:13" x14ac:dyDescent="0.15">
      <c r="A1631" s="163" t="s">
        <v>210</v>
      </c>
      <c r="B1631" s="163">
        <v>42319.451859490742</v>
      </c>
      <c r="C1631" s="164" t="s">
        <v>1691</v>
      </c>
      <c r="D1631" s="164" t="s">
        <v>13</v>
      </c>
      <c r="E1631" s="165">
        <v>200</v>
      </c>
      <c r="F1631" s="166">
        <v>0</v>
      </c>
      <c r="G1631" s="227">
        <f>IF($B$2,IF(ROWS(B$6:$B1631) = 1,$B1631-Start_Date,$B1631-$B1630),"")</f>
        <v>1.7033171294315252E-2</v>
      </c>
      <c r="H1631" s="29">
        <f>IF($B$2,IF(ROWS(B$6:$B1631) = 1,IF(COUNTIFS(R_Schedule_Times,"&lt;"&amp;B1631),INDEX(R_Schedule_Amounts,MATCH(B1631,R_Schedule_Times,1)),Starting_Cash),IF(COUNTIFS(R_Schedule_Times,"&gt;"&amp;B1630,R_Schedule_Times,"&lt;"&amp;B1631),INDEX(R_Schedule_Amounts,MATCH(B1631,R_Schedule_Times,1)),K1630)),"")</f>
        <v>1740</v>
      </c>
      <c r="I1631" s="30">
        <f t="shared" si="125"/>
        <v>200</v>
      </c>
      <c r="J1631" s="31">
        <f t="shared" si="126"/>
        <v>0</v>
      </c>
      <c r="K1631" s="29">
        <f t="shared" si="127"/>
        <v>1540</v>
      </c>
      <c r="L1631" s="31" t="str">
        <f t="shared" si="128"/>
        <v/>
      </c>
      <c r="M1631" s="31" t="str">
        <f t="shared" si="129"/>
        <v/>
      </c>
    </row>
    <row r="1632" spans="1:13" x14ac:dyDescent="0.15">
      <c r="A1632" s="163" t="s">
        <v>210</v>
      </c>
      <c r="B1632" s="163">
        <v>42319.466093402778</v>
      </c>
      <c r="C1632" s="164" t="s">
        <v>14</v>
      </c>
      <c r="D1632" s="164" t="s">
        <v>13</v>
      </c>
      <c r="E1632" s="165">
        <v>100</v>
      </c>
      <c r="F1632" s="166">
        <v>3.5</v>
      </c>
      <c r="G1632" s="227">
        <f>IF($B$2,IF(ROWS(B$6:$B1632) = 1,$B1632-Start_Date,$B1632-$B1631),"")</f>
        <v>1.4233912035706453E-2</v>
      </c>
      <c r="H1632" s="29">
        <f>IF($B$2,IF(ROWS(B$6:$B1632) = 1,IF(COUNTIFS(R_Schedule_Times,"&lt;"&amp;B1632),INDEX(R_Schedule_Amounts,MATCH(B1632,R_Schedule_Times,1)),Starting_Cash),IF(COUNTIFS(R_Schedule_Times,"&gt;"&amp;B1631,R_Schedule_Times,"&lt;"&amp;B1632),INDEX(R_Schedule_Amounts,MATCH(B1632,R_Schedule_Times,1)),K1631)),"")</f>
        <v>1540</v>
      </c>
      <c r="I1632" s="30">
        <f t="shared" si="125"/>
        <v>100</v>
      </c>
      <c r="J1632" s="31">
        <f t="shared" si="126"/>
        <v>3.5</v>
      </c>
      <c r="K1632" s="29">
        <f t="shared" si="127"/>
        <v>1440</v>
      </c>
      <c r="L1632" s="31" t="str">
        <f t="shared" si="128"/>
        <v/>
      </c>
      <c r="M1632" s="31" t="str">
        <f t="shared" si="129"/>
        <v/>
      </c>
    </row>
    <row r="1633" spans="1:13" x14ac:dyDescent="0.15">
      <c r="A1633" s="163" t="s">
        <v>210</v>
      </c>
      <c r="B1633" s="163">
        <v>42319.477918576391</v>
      </c>
      <c r="C1633" s="164" t="s">
        <v>14</v>
      </c>
      <c r="D1633" s="164" t="s">
        <v>13</v>
      </c>
      <c r="E1633" s="165">
        <v>100</v>
      </c>
      <c r="F1633" s="166">
        <v>3.5</v>
      </c>
      <c r="G1633" s="227">
        <f>IF($B$2,IF(ROWS(B$6:$B1633) = 1,$B1633-Start_Date,$B1633-$B1632),"")</f>
        <v>1.1825173613033257E-2</v>
      </c>
      <c r="H1633" s="29">
        <f>IF($B$2,IF(ROWS(B$6:$B1633) = 1,IF(COUNTIFS(R_Schedule_Times,"&lt;"&amp;B1633),INDEX(R_Schedule_Amounts,MATCH(B1633,R_Schedule_Times,1)),Starting_Cash),IF(COUNTIFS(R_Schedule_Times,"&gt;"&amp;B1632,R_Schedule_Times,"&lt;"&amp;B1633),INDEX(R_Schedule_Amounts,MATCH(B1633,R_Schedule_Times,1)),K1632)),"")</f>
        <v>1440</v>
      </c>
      <c r="I1633" s="30">
        <f t="shared" si="125"/>
        <v>100</v>
      </c>
      <c r="J1633" s="31">
        <f t="shared" si="126"/>
        <v>3.5</v>
      </c>
      <c r="K1633" s="29">
        <f t="shared" si="127"/>
        <v>1340</v>
      </c>
      <c r="L1633" s="31" t="str">
        <f t="shared" si="128"/>
        <v/>
      </c>
      <c r="M1633" s="31" t="str">
        <f t="shared" si="129"/>
        <v/>
      </c>
    </row>
    <row r="1634" spans="1:13" x14ac:dyDescent="0.15">
      <c r="A1634" s="163" t="s">
        <v>210</v>
      </c>
      <c r="B1634" s="163">
        <v>42319.484631226849</v>
      </c>
      <c r="C1634" s="164" t="s">
        <v>1692</v>
      </c>
      <c r="D1634" s="164" t="s">
        <v>13</v>
      </c>
      <c r="E1634" s="165">
        <v>500</v>
      </c>
      <c r="F1634" s="166">
        <v>0</v>
      </c>
      <c r="G1634" s="227">
        <f>IF($B$2,IF(ROWS(B$6:$B1634) = 1,$B1634-Start_Date,$B1634-$B1633),"")</f>
        <v>6.7126504582120106E-3</v>
      </c>
      <c r="H1634" s="29">
        <f>IF($B$2,IF(ROWS(B$6:$B1634) = 1,IF(COUNTIFS(R_Schedule_Times,"&lt;"&amp;B1634),INDEX(R_Schedule_Amounts,MATCH(B1634,R_Schedule_Times,1)),Starting_Cash),IF(COUNTIFS(R_Schedule_Times,"&gt;"&amp;B1633,R_Schedule_Times,"&lt;"&amp;B1634),INDEX(R_Schedule_Amounts,MATCH(B1634,R_Schedule_Times,1)),K1633)),"")</f>
        <v>1340</v>
      </c>
      <c r="I1634" s="30">
        <f t="shared" si="125"/>
        <v>500</v>
      </c>
      <c r="J1634" s="31">
        <f t="shared" si="126"/>
        <v>0</v>
      </c>
      <c r="K1634" s="29">
        <f t="shared" si="127"/>
        <v>840</v>
      </c>
      <c r="L1634" s="31" t="str">
        <f t="shared" si="128"/>
        <v/>
      </c>
      <c r="M1634" s="31" t="str">
        <f t="shared" si="129"/>
        <v/>
      </c>
    </row>
    <row r="1635" spans="1:13" x14ac:dyDescent="0.15">
      <c r="A1635" s="163" t="s">
        <v>210</v>
      </c>
      <c r="B1635" s="163">
        <v>42319.508266018522</v>
      </c>
      <c r="C1635" s="164" t="s">
        <v>430</v>
      </c>
      <c r="D1635" s="164" t="s">
        <v>13</v>
      </c>
      <c r="E1635" s="165">
        <v>40</v>
      </c>
      <c r="F1635" s="166">
        <v>0</v>
      </c>
      <c r="G1635" s="227">
        <f>IF($B$2,IF(ROWS(B$6:$B1635) = 1,$B1635-Start_Date,$B1635-$B1634),"")</f>
        <v>2.3634791672520805E-2</v>
      </c>
      <c r="H1635" s="29">
        <f>IF($B$2,IF(ROWS(B$6:$B1635) = 1,IF(COUNTIFS(R_Schedule_Times,"&lt;"&amp;B1635),INDEX(R_Schedule_Amounts,MATCH(B1635,R_Schedule_Times,1)),Starting_Cash),IF(COUNTIFS(R_Schedule_Times,"&gt;"&amp;B1634,R_Schedule_Times,"&lt;"&amp;B1635),INDEX(R_Schedule_Amounts,MATCH(B1635,R_Schedule_Times,1)),K1634)),"")</f>
        <v>840</v>
      </c>
      <c r="I1635" s="30">
        <f t="shared" si="125"/>
        <v>40</v>
      </c>
      <c r="J1635" s="31">
        <f t="shared" si="126"/>
        <v>0</v>
      </c>
      <c r="K1635" s="29">
        <f t="shared" si="127"/>
        <v>800</v>
      </c>
      <c r="L1635" s="31" t="str">
        <f t="shared" si="128"/>
        <v/>
      </c>
      <c r="M1635" s="31" t="str">
        <f t="shared" si="129"/>
        <v/>
      </c>
    </row>
    <row r="1636" spans="1:13" x14ac:dyDescent="0.15">
      <c r="A1636" s="163" t="s">
        <v>210</v>
      </c>
      <c r="B1636" s="163">
        <v>42319.518662488423</v>
      </c>
      <c r="C1636" s="164" t="s">
        <v>305</v>
      </c>
      <c r="D1636" s="164" t="s">
        <v>13</v>
      </c>
      <c r="E1636" s="165">
        <v>200</v>
      </c>
      <c r="F1636" s="166">
        <v>0</v>
      </c>
      <c r="G1636" s="227">
        <f>IF($B$2,IF(ROWS(B$6:$B1636) = 1,$B1636-Start_Date,$B1636-$B1635),"")</f>
        <v>1.039646990102483E-2</v>
      </c>
      <c r="H1636" s="29">
        <f>IF($B$2,IF(ROWS(B$6:$B1636) = 1,IF(COUNTIFS(R_Schedule_Times,"&lt;"&amp;B1636),INDEX(R_Schedule_Amounts,MATCH(B1636,R_Schedule_Times,1)),Starting_Cash),IF(COUNTIFS(R_Schedule_Times,"&gt;"&amp;B1635,R_Schedule_Times,"&lt;"&amp;B1636),INDEX(R_Schedule_Amounts,MATCH(B1636,R_Schedule_Times,1)),K1635)),"")</f>
        <v>800</v>
      </c>
      <c r="I1636" s="30">
        <f t="shared" si="125"/>
        <v>200</v>
      </c>
      <c r="J1636" s="31">
        <f t="shared" si="126"/>
        <v>0</v>
      </c>
      <c r="K1636" s="29">
        <f t="shared" si="127"/>
        <v>600</v>
      </c>
      <c r="L1636" s="31" t="str">
        <f t="shared" si="128"/>
        <v/>
      </c>
      <c r="M1636" s="31" t="str">
        <f t="shared" si="129"/>
        <v/>
      </c>
    </row>
    <row r="1637" spans="1:13" x14ac:dyDescent="0.15">
      <c r="A1637" s="163" t="s">
        <v>210</v>
      </c>
      <c r="B1637" s="163">
        <v>42319.522380092596</v>
      </c>
      <c r="C1637" s="164" t="s">
        <v>1693</v>
      </c>
      <c r="D1637" s="164" t="s">
        <v>13</v>
      </c>
      <c r="E1637" s="165">
        <v>100</v>
      </c>
      <c r="F1637" s="166">
        <v>0</v>
      </c>
      <c r="G1637" s="227">
        <f>IF($B$2,IF(ROWS(B$6:$B1637) = 1,$B1637-Start_Date,$B1637-$B1636),"")</f>
        <v>3.7176041732891463E-3</v>
      </c>
      <c r="H1637" s="29">
        <f>IF($B$2,IF(ROWS(B$6:$B1637) = 1,IF(COUNTIFS(R_Schedule_Times,"&lt;"&amp;B1637),INDEX(R_Schedule_Amounts,MATCH(B1637,R_Schedule_Times,1)),Starting_Cash),IF(COUNTIFS(R_Schedule_Times,"&gt;"&amp;B1636,R_Schedule_Times,"&lt;"&amp;B1637),INDEX(R_Schedule_Amounts,MATCH(B1637,R_Schedule_Times,1)),K1636)),"")</f>
        <v>600</v>
      </c>
      <c r="I1637" s="30">
        <f t="shared" si="125"/>
        <v>100</v>
      </c>
      <c r="J1637" s="31">
        <f t="shared" si="126"/>
        <v>0</v>
      </c>
      <c r="K1637" s="29">
        <f t="shared" si="127"/>
        <v>500</v>
      </c>
      <c r="L1637" s="31" t="str">
        <f t="shared" si="128"/>
        <v/>
      </c>
      <c r="M1637" s="31" t="str">
        <f t="shared" si="129"/>
        <v/>
      </c>
    </row>
    <row r="1638" spans="1:13" x14ac:dyDescent="0.15">
      <c r="A1638" s="163" t="s">
        <v>210</v>
      </c>
      <c r="B1638" s="163">
        <v>42319.53702210648</v>
      </c>
      <c r="C1638" s="164" t="s">
        <v>1694</v>
      </c>
      <c r="D1638" s="164" t="s">
        <v>13</v>
      </c>
      <c r="E1638" s="165">
        <v>20</v>
      </c>
      <c r="F1638" s="166">
        <v>0</v>
      </c>
      <c r="G1638" s="227">
        <f>IF($B$2,IF(ROWS(B$6:$B1638) = 1,$B1638-Start_Date,$B1638-$B1637),"")</f>
        <v>1.464201388444053E-2</v>
      </c>
      <c r="H1638" s="29">
        <f>IF($B$2,IF(ROWS(B$6:$B1638) = 1,IF(COUNTIFS(R_Schedule_Times,"&lt;"&amp;B1638),INDEX(R_Schedule_Amounts,MATCH(B1638,R_Schedule_Times,1)),Starting_Cash),IF(COUNTIFS(R_Schedule_Times,"&gt;"&amp;B1637,R_Schedule_Times,"&lt;"&amp;B1638),INDEX(R_Schedule_Amounts,MATCH(B1638,R_Schedule_Times,1)),K1637)),"")</f>
        <v>500</v>
      </c>
      <c r="I1638" s="30">
        <f t="shared" si="125"/>
        <v>20</v>
      </c>
      <c r="J1638" s="31">
        <f t="shared" si="126"/>
        <v>0</v>
      </c>
      <c r="K1638" s="29">
        <f t="shared" si="127"/>
        <v>480</v>
      </c>
      <c r="L1638" s="31" t="str">
        <f t="shared" si="128"/>
        <v/>
      </c>
      <c r="M1638" s="31" t="str">
        <f t="shared" si="129"/>
        <v/>
      </c>
    </row>
    <row r="1639" spans="1:13" x14ac:dyDescent="0.15">
      <c r="A1639" s="163" t="s">
        <v>210</v>
      </c>
      <c r="B1639" s="163">
        <v>42319.543687361111</v>
      </c>
      <c r="C1639" s="164" t="s">
        <v>177</v>
      </c>
      <c r="D1639" s="164" t="s">
        <v>13</v>
      </c>
      <c r="E1639" s="165">
        <v>20</v>
      </c>
      <c r="F1639" s="166">
        <v>0</v>
      </c>
      <c r="G1639" s="227">
        <f>IF($B$2,IF(ROWS(B$6:$B1639) = 1,$B1639-Start_Date,$B1639-$B1638),"")</f>
        <v>6.6652546302066185E-3</v>
      </c>
      <c r="H1639" s="29">
        <f>IF($B$2,IF(ROWS(B$6:$B1639) = 1,IF(COUNTIFS(R_Schedule_Times,"&lt;"&amp;B1639),INDEX(R_Schedule_Amounts,MATCH(B1639,R_Schedule_Times,1)),Starting_Cash),IF(COUNTIFS(R_Schedule_Times,"&gt;"&amp;B1638,R_Schedule_Times,"&lt;"&amp;B1639),INDEX(R_Schedule_Amounts,MATCH(B1639,R_Schedule_Times,1)),K1638)),"")</f>
        <v>480</v>
      </c>
      <c r="I1639" s="30">
        <f t="shared" si="125"/>
        <v>20</v>
      </c>
      <c r="J1639" s="31">
        <f t="shared" si="126"/>
        <v>0</v>
      </c>
      <c r="K1639" s="29">
        <f t="shared" si="127"/>
        <v>460</v>
      </c>
      <c r="L1639" s="31" t="str">
        <f t="shared" si="128"/>
        <v/>
      </c>
      <c r="M1639" s="31" t="str">
        <f t="shared" si="129"/>
        <v/>
      </c>
    </row>
    <row r="1640" spans="1:13" x14ac:dyDescent="0.15">
      <c r="A1640" s="163" t="s">
        <v>210</v>
      </c>
      <c r="B1640" s="163">
        <v>42319.550605092591</v>
      </c>
      <c r="C1640" s="164" t="s">
        <v>1695</v>
      </c>
      <c r="D1640" s="164" t="s">
        <v>13</v>
      </c>
      <c r="E1640" s="165">
        <v>100</v>
      </c>
      <c r="F1640" s="166">
        <v>0</v>
      </c>
      <c r="G1640" s="227">
        <f>IF($B$2,IF(ROWS(B$6:$B1640) = 1,$B1640-Start_Date,$B1640-$B1639),"")</f>
        <v>6.9177314799162559E-3</v>
      </c>
      <c r="H1640" s="29">
        <f>IF($B$2,IF(ROWS(B$6:$B1640) = 1,IF(COUNTIFS(R_Schedule_Times,"&lt;"&amp;B1640),INDEX(R_Schedule_Amounts,MATCH(B1640,R_Schedule_Times,1)),Starting_Cash),IF(COUNTIFS(R_Schedule_Times,"&gt;"&amp;B1639,R_Schedule_Times,"&lt;"&amp;B1640),INDEX(R_Schedule_Amounts,MATCH(B1640,R_Schedule_Times,1)),K1639)),"")</f>
        <v>460</v>
      </c>
      <c r="I1640" s="30">
        <f t="shared" si="125"/>
        <v>100</v>
      </c>
      <c r="J1640" s="31">
        <f t="shared" si="126"/>
        <v>0</v>
      </c>
      <c r="K1640" s="29">
        <f t="shared" si="127"/>
        <v>360</v>
      </c>
      <c r="L1640" s="31" t="str">
        <f t="shared" si="128"/>
        <v/>
      </c>
      <c r="M1640" s="31" t="str">
        <f t="shared" si="129"/>
        <v/>
      </c>
    </row>
    <row r="1641" spans="1:13" x14ac:dyDescent="0.15">
      <c r="A1641" s="163" t="s">
        <v>210</v>
      </c>
      <c r="B1641" s="163">
        <v>42319.554095081017</v>
      </c>
      <c r="C1641" s="164" t="s">
        <v>1696</v>
      </c>
      <c r="D1641" s="164" t="s">
        <v>13</v>
      </c>
      <c r="E1641" s="165">
        <v>60</v>
      </c>
      <c r="F1641" s="166">
        <v>0</v>
      </c>
      <c r="G1641" s="227">
        <f>IF($B$2,IF(ROWS(B$6:$B1641) = 1,$B1641-Start_Date,$B1641-$B1640),"")</f>
        <v>3.4899884267360903E-3</v>
      </c>
      <c r="H1641" s="29">
        <f>IF($B$2,IF(ROWS(B$6:$B1641) = 1,IF(COUNTIFS(R_Schedule_Times,"&lt;"&amp;B1641),INDEX(R_Schedule_Amounts,MATCH(B1641,R_Schedule_Times,1)),Starting_Cash),IF(COUNTIFS(R_Schedule_Times,"&gt;"&amp;B1640,R_Schedule_Times,"&lt;"&amp;B1641),INDEX(R_Schedule_Amounts,MATCH(B1641,R_Schedule_Times,1)),K1640)),"")</f>
        <v>360</v>
      </c>
      <c r="I1641" s="30">
        <f t="shared" si="125"/>
        <v>60</v>
      </c>
      <c r="J1641" s="31">
        <f t="shared" si="126"/>
        <v>0</v>
      </c>
      <c r="K1641" s="29">
        <f t="shared" si="127"/>
        <v>300</v>
      </c>
      <c r="L1641" s="31" t="str">
        <f t="shared" si="128"/>
        <v/>
      </c>
      <c r="M1641" s="31" t="str">
        <f t="shared" si="129"/>
        <v/>
      </c>
    </row>
    <row r="1642" spans="1:13" x14ac:dyDescent="0.15">
      <c r="A1642" s="163" t="s">
        <v>210</v>
      </c>
      <c r="B1642" s="163">
        <v>42319.561675462966</v>
      </c>
      <c r="C1642" s="164" t="s">
        <v>1697</v>
      </c>
      <c r="D1642" s="164" t="s">
        <v>13</v>
      </c>
      <c r="E1642" s="165">
        <v>100</v>
      </c>
      <c r="F1642" s="166">
        <v>0</v>
      </c>
      <c r="G1642" s="227">
        <f>IF($B$2,IF(ROWS(B$6:$B1642) = 1,$B1642-Start_Date,$B1642-$B1641),"")</f>
        <v>7.5803819490829483E-3</v>
      </c>
      <c r="H1642" s="29">
        <f>IF($B$2,IF(ROWS(B$6:$B1642) = 1,IF(COUNTIFS(R_Schedule_Times,"&lt;"&amp;B1642),INDEX(R_Schedule_Amounts,MATCH(B1642,R_Schedule_Times,1)),Starting_Cash),IF(COUNTIFS(R_Schedule_Times,"&gt;"&amp;B1641,R_Schedule_Times,"&lt;"&amp;B1642),INDEX(R_Schedule_Amounts,MATCH(B1642,R_Schedule_Times,1)),K1641)),"")</f>
        <v>300</v>
      </c>
      <c r="I1642" s="30">
        <f t="shared" si="125"/>
        <v>100</v>
      </c>
      <c r="J1642" s="31">
        <f t="shared" si="126"/>
        <v>0</v>
      </c>
      <c r="K1642" s="29">
        <f t="shared" si="127"/>
        <v>200</v>
      </c>
      <c r="L1642" s="31" t="str">
        <f t="shared" si="128"/>
        <v/>
      </c>
      <c r="M1642" s="31" t="str">
        <f t="shared" si="129"/>
        <v/>
      </c>
    </row>
    <row r="1643" spans="1:13" x14ac:dyDescent="0.15">
      <c r="A1643" s="163" t="s">
        <v>210</v>
      </c>
      <c r="B1643" s="163">
        <v>42319.588595266207</v>
      </c>
      <c r="C1643" s="164" t="s">
        <v>974</v>
      </c>
      <c r="D1643" s="164" t="s">
        <v>13</v>
      </c>
      <c r="E1643" s="165">
        <v>400</v>
      </c>
      <c r="F1643" s="166">
        <v>0</v>
      </c>
      <c r="G1643" s="227">
        <f>IF($B$2,IF(ROWS(B$6:$B1643) = 1,$B1643-Start_Date,$B1643-$B1642),"")</f>
        <v>2.6919803240161855E-2</v>
      </c>
      <c r="H1643" s="29">
        <f>IF($B$2,IF(ROWS(B$6:$B1643) = 1,IF(COUNTIFS(R_Schedule_Times,"&lt;"&amp;B1643),INDEX(R_Schedule_Amounts,MATCH(B1643,R_Schedule_Times,1)),Starting_Cash),IF(COUNTIFS(R_Schedule_Times,"&gt;"&amp;B1642,R_Schedule_Times,"&lt;"&amp;B1643),INDEX(R_Schedule_Amounts,MATCH(B1643,R_Schedule_Times,1)),K1642)),"")</f>
        <v>200</v>
      </c>
      <c r="I1643" s="30">
        <f t="shared" si="125"/>
        <v>0</v>
      </c>
      <c r="J1643" s="31">
        <f t="shared" si="126"/>
        <v>0</v>
      </c>
      <c r="K1643" s="29">
        <f t="shared" si="127"/>
        <v>200</v>
      </c>
      <c r="L1643" s="31" t="str">
        <f t="shared" si="128"/>
        <v>YES</v>
      </c>
      <c r="M1643" s="31">
        <f t="shared" si="129"/>
        <v>0</v>
      </c>
    </row>
    <row r="1644" spans="1:13" x14ac:dyDescent="0.15">
      <c r="A1644" s="163" t="s">
        <v>210</v>
      </c>
      <c r="B1644" s="163">
        <v>42319.590768275462</v>
      </c>
      <c r="C1644" s="164" t="s">
        <v>1698</v>
      </c>
      <c r="D1644" s="164" t="s">
        <v>13</v>
      </c>
      <c r="E1644" s="165">
        <v>120</v>
      </c>
      <c r="F1644" s="166">
        <v>0</v>
      </c>
      <c r="G1644" s="227">
        <f>IF($B$2,IF(ROWS(B$6:$B1644) = 1,$B1644-Start_Date,$B1644-$B1643),"")</f>
        <v>2.1730092557845637E-3</v>
      </c>
      <c r="H1644" s="29">
        <f>IF($B$2,IF(ROWS(B$6:$B1644) = 1,IF(COUNTIFS(R_Schedule_Times,"&lt;"&amp;B1644),INDEX(R_Schedule_Amounts,MATCH(B1644,R_Schedule_Times,1)),Starting_Cash),IF(COUNTIFS(R_Schedule_Times,"&gt;"&amp;B1643,R_Schedule_Times,"&lt;"&amp;B1644),INDEX(R_Schedule_Amounts,MATCH(B1644,R_Schedule_Times,1)),K1643)),"")</f>
        <v>200</v>
      </c>
      <c r="I1644" s="30">
        <f t="shared" si="125"/>
        <v>120</v>
      </c>
      <c r="J1644" s="31">
        <f t="shared" si="126"/>
        <v>0</v>
      </c>
      <c r="K1644" s="29">
        <f t="shared" si="127"/>
        <v>80</v>
      </c>
      <c r="L1644" s="31" t="str">
        <f t="shared" si="128"/>
        <v/>
      </c>
      <c r="M1644" s="31" t="str">
        <f t="shared" si="129"/>
        <v/>
      </c>
    </row>
    <row r="1645" spans="1:13" x14ac:dyDescent="0.15">
      <c r="A1645" s="163" t="s">
        <v>210</v>
      </c>
      <c r="B1645" s="163">
        <v>42319.593394085648</v>
      </c>
      <c r="C1645" s="164" t="s">
        <v>431</v>
      </c>
      <c r="D1645" s="164" t="s">
        <v>13</v>
      </c>
      <c r="E1645" s="165">
        <v>100</v>
      </c>
      <c r="F1645" s="166">
        <v>0</v>
      </c>
      <c r="G1645" s="227">
        <f>IF($B$2,IF(ROWS(B$6:$B1645) = 1,$B1645-Start_Date,$B1645-$B1644),"")</f>
        <v>2.6258101861458272E-3</v>
      </c>
      <c r="H1645" s="29">
        <f>IF($B$2,IF(ROWS(B$6:$B1645) = 1,IF(COUNTIFS(R_Schedule_Times,"&lt;"&amp;B1645),INDEX(R_Schedule_Amounts,MATCH(B1645,R_Schedule_Times,1)),Starting_Cash),IF(COUNTIFS(R_Schedule_Times,"&gt;"&amp;B1644,R_Schedule_Times,"&lt;"&amp;B1645),INDEX(R_Schedule_Amounts,MATCH(B1645,R_Schedule_Times,1)),K1644)),"")</f>
        <v>80</v>
      </c>
      <c r="I1645" s="30">
        <f t="shared" si="125"/>
        <v>0</v>
      </c>
      <c r="J1645" s="31">
        <f t="shared" si="126"/>
        <v>0</v>
      </c>
      <c r="K1645" s="29">
        <f t="shared" si="127"/>
        <v>80</v>
      </c>
      <c r="L1645" s="31" t="str">
        <f t="shared" si="128"/>
        <v>YES</v>
      </c>
      <c r="M1645" s="31">
        <f t="shared" si="129"/>
        <v>0</v>
      </c>
    </row>
    <row r="1646" spans="1:13" x14ac:dyDescent="0.15">
      <c r="A1646" s="163" t="s">
        <v>210</v>
      </c>
      <c r="B1646" s="163">
        <v>42319.614971319446</v>
      </c>
      <c r="C1646" s="164" t="s">
        <v>1699</v>
      </c>
      <c r="D1646" s="164" t="s">
        <v>13</v>
      </c>
      <c r="E1646" s="165">
        <v>100</v>
      </c>
      <c r="F1646" s="166">
        <v>0</v>
      </c>
      <c r="G1646" s="227">
        <f>IF($B$2,IF(ROWS(B$6:$B1646) = 1,$B1646-Start_Date,$B1646-$B1645),"")</f>
        <v>2.1577233797870576E-2</v>
      </c>
      <c r="H1646" s="29">
        <f>IF($B$2,IF(ROWS(B$6:$B1646) = 1,IF(COUNTIFS(R_Schedule_Times,"&lt;"&amp;B1646),INDEX(R_Schedule_Amounts,MATCH(B1646,R_Schedule_Times,1)),Starting_Cash),IF(COUNTIFS(R_Schedule_Times,"&gt;"&amp;B1645,R_Schedule_Times,"&lt;"&amp;B1646),INDEX(R_Schedule_Amounts,MATCH(B1646,R_Schedule_Times,1)),K1645)),"")</f>
        <v>80</v>
      </c>
      <c r="I1646" s="30">
        <f t="shared" si="125"/>
        <v>0</v>
      </c>
      <c r="J1646" s="31">
        <f t="shared" si="126"/>
        <v>0</v>
      </c>
      <c r="K1646" s="29">
        <f t="shared" si="127"/>
        <v>80</v>
      </c>
      <c r="L1646" s="31" t="str">
        <f t="shared" si="128"/>
        <v>YES</v>
      </c>
      <c r="M1646" s="31">
        <f t="shared" si="129"/>
        <v>0</v>
      </c>
    </row>
    <row r="1647" spans="1:13" x14ac:dyDescent="0.15">
      <c r="A1647" s="163" t="s">
        <v>210</v>
      </c>
      <c r="B1647" s="163">
        <v>42319.617304652777</v>
      </c>
      <c r="C1647" s="164" t="s">
        <v>1700</v>
      </c>
      <c r="D1647" s="164" t="s">
        <v>13</v>
      </c>
      <c r="E1647" s="165">
        <v>60</v>
      </c>
      <c r="F1647" s="166">
        <v>0</v>
      </c>
      <c r="G1647" s="227">
        <f>IF($B$2,IF(ROWS(B$6:$B1647) = 1,$B1647-Start_Date,$B1647-$B1646),"")</f>
        <v>2.3333333301707171E-3</v>
      </c>
      <c r="H1647" s="29">
        <f>IF($B$2,IF(ROWS(B$6:$B1647) = 1,IF(COUNTIFS(R_Schedule_Times,"&lt;"&amp;B1647),INDEX(R_Schedule_Amounts,MATCH(B1647,R_Schedule_Times,1)),Starting_Cash),IF(COUNTIFS(R_Schedule_Times,"&gt;"&amp;B1646,R_Schedule_Times,"&lt;"&amp;B1647),INDEX(R_Schedule_Amounts,MATCH(B1647,R_Schedule_Times,1)),K1646)),"")</f>
        <v>80</v>
      </c>
      <c r="I1647" s="30">
        <f t="shared" si="125"/>
        <v>60</v>
      </c>
      <c r="J1647" s="31">
        <f t="shared" si="126"/>
        <v>0</v>
      </c>
      <c r="K1647" s="29">
        <f t="shared" si="127"/>
        <v>20</v>
      </c>
      <c r="L1647" s="31" t="str">
        <f t="shared" si="128"/>
        <v/>
      </c>
      <c r="M1647" s="31" t="str">
        <f t="shared" si="129"/>
        <v/>
      </c>
    </row>
    <row r="1648" spans="1:13" x14ac:dyDescent="0.15">
      <c r="A1648" s="163" t="s">
        <v>210</v>
      </c>
      <c r="B1648" s="163">
        <v>42319.627895659723</v>
      </c>
      <c r="C1648" s="164" t="s">
        <v>14</v>
      </c>
      <c r="D1648" s="164" t="s">
        <v>13</v>
      </c>
      <c r="E1648" s="165">
        <v>120</v>
      </c>
      <c r="F1648" s="166">
        <v>3.5</v>
      </c>
      <c r="G1648" s="227">
        <f>IF($B$2,IF(ROWS(B$6:$B1648) = 1,$B1648-Start_Date,$B1648-$B1647),"")</f>
        <v>1.0591006946924608E-2</v>
      </c>
      <c r="H1648" s="29">
        <f>IF($B$2,IF(ROWS(B$6:$B1648) = 1,IF(COUNTIFS(R_Schedule_Times,"&lt;"&amp;B1648),INDEX(R_Schedule_Amounts,MATCH(B1648,R_Schedule_Times,1)),Starting_Cash),IF(COUNTIFS(R_Schedule_Times,"&gt;"&amp;B1647,R_Schedule_Times,"&lt;"&amp;B1648),INDEX(R_Schedule_Amounts,MATCH(B1648,R_Schedule_Times,1)),K1647)),"")</f>
        <v>20</v>
      </c>
      <c r="I1648" s="30">
        <f t="shared" si="125"/>
        <v>0</v>
      </c>
      <c r="J1648" s="31">
        <f t="shared" si="126"/>
        <v>0</v>
      </c>
      <c r="K1648" s="29">
        <f t="shared" si="127"/>
        <v>20</v>
      </c>
      <c r="L1648" s="31" t="str">
        <f t="shared" si="128"/>
        <v>YES</v>
      </c>
      <c r="M1648" s="31">
        <f t="shared" si="129"/>
        <v>3.5</v>
      </c>
    </row>
    <row r="1649" spans="1:13" x14ac:dyDescent="0.15">
      <c r="A1649" s="163" t="s">
        <v>210</v>
      </c>
      <c r="B1649" s="163">
        <v>42319.64127724537</v>
      </c>
      <c r="C1649" s="164" t="s">
        <v>1701</v>
      </c>
      <c r="D1649" s="164" t="s">
        <v>13</v>
      </c>
      <c r="E1649" s="165">
        <v>160</v>
      </c>
      <c r="F1649" s="166">
        <v>0</v>
      </c>
      <c r="G1649" s="227">
        <f>IF($B$2,IF(ROWS(B$6:$B1649) = 1,$B1649-Start_Date,$B1649-$B1648),"")</f>
        <v>1.3381585646129679E-2</v>
      </c>
      <c r="H1649" s="29">
        <f>IF($B$2,IF(ROWS(B$6:$B1649) = 1,IF(COUNTIFS(R_Schedule_Times,"&lt;"&amp;B1649),INDEX(R_Schedule_Amounts,MATCH(B1649,R_Schedule_Times,1)),Starting_Cash),IF(COUNTIFS(R_Schedule_Times,"&gt;"&amp;B1648,R_Schedule_Times,"&lt;"&amp;B1649),INDEX(R_Schedule_Amounts,MATCH(B1649,R_Schedule_Times,1)),K1648)),"")</f>
        <v>20</v>
      </c>
      <c r="I1649" s="30">
        <f t="shared" si="125"/>
        <v>0</v>
      </c>
      <c r="J1649" s="31">
        <f t="shared" si="126"/>
        <v>0</v>
      </c>
      <c r="K1649" s="29">
        <f t="shared" si="127"/>
        <v>20</v>
      </c>
      <c r="L1649" s="31" t="str">
        <f t="shared" si="128"/>
        <v>YES</v>
      </c>
      <c r="M1649" s="31">
        <f t="shared" si="129"/>
        <v>0</v>
      </c>
    </row>
    <row r="1650" spans="1:13" x14ac:dyDescent="0.15">
      <c r="A1650" s="163" t="s">
        <v>210</v>
      </c>
      <c r="B1650" s="163">
        <v>42319.654788576387</v>
      </c>
      <c r="C1650" s="164" t="s">
        <v>432</v>
      </c>
      <c r="D1650" s="164" t="s">
        <v>13</v>
      </c>
      <c r="E1650" s="165">
        <v>80</v>
      </c>
      <c r="F1650" s="166">
        <v>0</v>
      </c>
      <c r="G1650" s="227">
        <f>IF($B$2,IF(ROWS(B$6:$B1650) = 1,$B1650-Start_Date,$B1650-$B1649),"")</f>
        <v>1.3511331017070916E-2</v>
      </c>
      <c r="H1650" s="29">
        <f>IF($B$2,IF(ROWS(B$6:$B1650) = 1,IF(COUNTIFS(R_Schedule_Times,"&lt;"&amp;B1650),INDEX(R_Schedule_Amounts,MATCH(B1650,R_Schedule_Times,1)),Starting_Cash),IF(COUNTIFS(R_Schedule_Times,"&gt;"&amp;B1649,R_Schedule_Times,"&lt;"&amp;B1650),INDEX(R_Schedule_Amounts,MATCH(B1650,R_Schedule_Times,1)),K1649)),"")</f>
        <v>20</v>
      </c>
      <c r="I1650" s="30">
        <f t="shared" si="125"/>
        <v>0</v>
      </c>
      <c r="J1650" s="31">
        <f t="shared" si="126"/>
        <v>0</v>
      </c>
      <c r="K1650" s="29">
        <f t="shared" si="127"/>
        <v>20</v>
      </c>
      <c r="L1650" s="31" t="str">
        <f t="shared" si="128"/>
        <v>YES</v>
      </c>
      <c r="M1650" s="31">
        <f t="shared" si="129"/>
        <v>0</v>
      </c>
    </row>
    <row r="1651" spans="1:13" x14ac:dyDescent="0.15">
      <c r="A1651" s="163" t="s">
        <v>210</v>
      </c>
      <c r="B1651" s="163">
        <v>42319.67416101852</v>
      </c>
      <c r="C1651" s="164" t="s">
        <v>1702</v>
      </c>
      <c r="D1651" s="164" t="s">
        <v>13</v>
      </c>
      <c r="E1651" s="165">
        <v>100</v>
      </c>
      <c r="F1651" s="166">
        <v>0</v>
      </c>
      <c r="G1651" s="227">
        <f>IF($B$2,IF(ROWS(B$6:$B1651) = 1,$B1651-Start_Date,$B1651-$B1650),"")</f>
        <v>1.9372442133317236E-2</v>
      </c>
      <c r="H1651" s="29">
        <f>IF($B$2,IF(ROWS(B$6:$B1651) = 1,IF(COUNTIFS(R_Schedule_Times,"&lt;"&amp;B1651),INDEX(R_Schedule_Amounts,MATCH(B1651,R_Schedule_Times,1)),Starting_Cash),IF(COUNTIFS(R_Schedule_Times,"&gt;"&amp;B1650,R_Schedule_Times,"&lt;"&amp;B1651),INDEX(R_Schedule_Amounts,MATCH(B1651,R_Schedule_Times,1)),K1650)),"")</f>
        <v>20</v>
      </c>
      <c r="I1651" s="30">
        <f t="shared" si="125"/>
        <v>0</v>
      </c>
      <c r="J1651" s="31">
        <f t="shared" si="126"/>
        <v>0</v>
      </c>
      <c r="K1651" s="29">
        <f t="shared" si="127"/>
        <v>20</v>
      </c>
      <c r="L1651" s="31" t="str">
        <f t="shared" si="128"/>
        <v>YES</v>
      </c>
      <c r="M1651" s="31">
        <f t="shared" si="129"/>
        <v>0</v>
      </c>
    </row>
    <row r="1652" spans="1:13" x14ac:dyDescent="0.15">
      <c r="A1652" s="163" t="s">
        <v>210</v>
      </c>
      <c r="B1652" s="163">
        <v>42319.678248692129</v>
      </c>
      <c r="C1652" s="164" t="s">
        <v>1703</v>
      </c>
      <c r="D1652" s="164" t="s">
        <v>13</v>
      </c>
      <c r="E1652" s="165">
        <v>160</v>
      </c>
      <c r="F1652" s="166">
        <v>0</v>
      </c>
      <c r="G1652" s="227">
        <f>IF($B$2,IF(ROWS(B$6:$B1652) = 1,$B1652-Start_Date,$B1652-$B1651),"")</f>
        <v>4.0876736093196087E-3</v>
      </c>
      <c r="H1652" s="29">
        <f>IF($B$2,IF(ROWS(B$6:$B1652) = 1,IF(COUNTIFS(R_Schedule_Times,"&lt;"&amp;B1652),INDEX(R_Schedule_Amounts,MATCH(B1652,R_Schedule_Times,1)),Starting_Cash),IF(COUNTIFS(R_Schedule_Times,"&gt;"&amp;B1651,R_Schedule_Times,"&lt;"&amp;B1652),INDEX(R_Schedule_Amounts,MATCH(B1652,R_Schedule_Times,1)),K1651)),"")</f>
        <v>20</v>
      </c>
      <c r="I1652" s="30">
        <f t="shared" si="125"/>
        <v>0</v>
      </c>
      <c r="J1652" s="31">
        <f t="shared" si="126"/>
        <v>0</v>
      </c>
      <c r="K1652" s="29">
        <f t="shared" si="127"/>
        <v>20</v>
      </c>
      <c r="L1652" s="31" t="str">
        <f t="shared" si="128"/>
        <v>YES</v>
      </c>
      <c r="M1652" s="31">
        <f t="shared" si="129"/>
        <v>0</v>
      </c>
    </row>
    <row r="1653" spans="1:13" x14ac:dyDescent="0.15">
      <c r="A1653" s="163" t="s">
        <v>210</v>
      </c>
      <c r="B1653" s="163">
        <v>42319.679698043983</v>
      </c>
      <c r="C1653" s="164" t="s">
        <v>1704</v>
      </c>
      <c r="D1653" s="164" t="s">
        <v>13</v>
      </c>
      <c r="E1653" s="165">
        <v>100</v>
      </c>
      <c r="F1653" s="166">
        <v>0</v>
      </c>
      <c r="G1653" s="227">
        <f>IF($B$2,IF(ROWS(B$6:$B1653) = 1,$B1653-Start_Date,$B1653-$B1652),"")</f>
        <v>1.4493518538074568E-3</v>
      </c>
      <c r="H1653" s="29">
        <f>IF($B$2,IF(ROWS(B$6:$B1653) = 1,IF(COUNTIFS(R_Schedule_Times,"&lt;"&amp;B1653),INDEX(R_Schedule_Amounts,MATCH(B1653,R_Schedule_Times,1)),Starting_Cash),IF(COUNTIFS(R_Schedule_Times,"&gt;"&amp;B1652,R_Schedule_Times,"&lt;"&amp;B1653),INDEX(R_Schedule_Amounts,MATCH(B1653,R_Schedule_Times,1)),K1652)),"")</f>
        <v>20</v>
      </c>
      <c r="I1653" s="30">
        <f t="shared" si="125"/>
        <v>0</v>
      </c>
      <c r="J1653" s="31">
        <f t="shared" si="126"/>
        <v>0</v>
      </c>
      <c r="K1653" s="29">
        <f t="shared" si="127"/>
        <v>20</v>
      </c>
      <c r="L1653" s="31" t="str">
        <f t="shared" si="128"/>
        <v>YES</v>
      </c>
      <c r="M1653" s="31">
        <f t="shared" si="129"/>
        <v>0</v>
      </c>
    </row>
    <row r="1654" spans="1:13" x14ac:dyDescent="0.15">
      <c r="A1654" s="163" t="s">
        <v>210</v>
      </c>
      <c r="B1654" s="163">
        <v>42319.699478981478</v>
      </c>
      <c r="C1654" s="164" t="s">
        <v>1705</v>
      </c>
      <c r="D1654" s="164" t="s">
        <v>13</v>
      </c>
      <c r="E1654" s="165">
        <v>100</v>
      </c>
      <c r="F1654" s="166">
        <v>0</v>
      </c>
      <c r="G1654" s="227">
        <f>IF($B$2,IF(ROWS(B$6:$B1654) = 1,$B1654-Start_Date,$B1654-$B1653),"")</f>
        <v>1.9780937494942918E-2</v>
      </c>
      <c r="H1654" s="29">
        <f>IF($B$2,IF(ROWS(B$6:$B1654) = 1,IF(COUNTIFS(R_Schedule_Times,"&lt;"&amp;B1654),INDEX(R_Schedule_Amounts,MATCH(B1654,R_Schedule_Times,1)),Starting_Cash),IF(COUNTIFS(R_Schedule_Times,"&gt;"&amp;B1653,R_Schedule_Times,"&lt;"&amp;B1654),INDEX(R_Schedule_Amounts,MATCH(B1654,R_Schedule_Times,1)),K1653)),"")</f>
        <v>20</v>
      </c>
      <c r="I1654" s="30">
        <f t="shared" si="125"/>
        <v>0</v>
      </c>
      <c r="J1654" s="31">
        <f t="shared" si="126"/>
        <v>0</v>
      </c>
      <c r="K1654" s="29">
        <f t="shared" si="127"/>
        <v>20</v>
      </c>
      <c r="L1654" s="31" t="str">
        <f t="shared" si="128"/>
        <v>YES</v>
      </c>
      <c r="M1654" s="31">
        <f t="shared" si="129"/>
        <v>0</v>
      </c>
    </row>
    <row r="1655" spans="1:13" x14ac:dyDescent="0.15">
      <c r="A1655" s="163" t="s">
        <v>210</v>
      </c>
      <c r="B1655" s="163">
        <v>42319.700051446758</v>
      </c>
      <c r="C1655" s="164" t="s">
        <v>1706</v>
      </c>
      <c r="D1655" s="164" t="s">
        <v>13</v>
      </c>
      <c r="E1655" s="165">
        <v>40</v>
      </c>
      <c r="F1655" s="166">
        <v>0</v>
      </c>
      <c r="G1655" s="227">
        <f>IF($B$2,IF(ROWS(B$6:$B1655) = 1,$B1655-Start_Date,$B1655-$B1654),"")</f>
        <v>5.7246528012910858E-4</v>
      </c>
      <c r="H1655" s="29">
        <f>IF($B$2,IF(ROWS(B$6:$B1655) = 1,IF(COUNTIFS(R_Schedule_Times,"&lt;"&amp;B1655),INDEX(R_Schedule_Amounts,MATCH(B1655,R_Schedule_Times,1)),Starting_Cash),IF(COUNTIFS(R_Schedule_Times,"&gt;"&amp;B1654,R_Schedule_Times,"&lt;"&amp;B1655),INDEX(R_Schedule_Amounts,MATCH(B1655,R_Schedule_Times,1)),K1654)),"")</f>
        <v>20</v>
      </c>
      <c r="I1655" s="30">
        <f t="shared" si="125"/>
        <v>0</v>
      </c>
      <c r="J1655" s="31">
        <f t="shared" si="126"/>
        <v>0</v>
      </c>
      <c r="K1655" s="29">
        <f t="shared" si="127"/>
        <v>20</v>
      </c>
      <c r="L1655" s="31" t="str">
        <f t="shared" si="128"/>
        <v>YES</v>
      </c>
      <c r="M1655" s="31">
        <f t="shared" si="129"/>
        <v>0</v>
      </c>
    </row>
    <row r="1656" spans="1:13" x14ac:dyDescent="0.15">
      <c r="A1656" s="163" t="s">
        <v>210</v>
      </c>
      <c r="B1656" s="163">
        <v>42319.709846412035</v>
      </c>
      <c r="C1656" s="164" t="s">
        <v>1488</v>
      </c>
      <c r="D1656" s="164" t="s">
        <v>13</v>
      </c>
      <c r="E1656" s="165">
        <v>100</v>
      </c>
      <c r="F1656" s="166">
        <v>0</v>
      </c>
      <c r="G1656" s="227">
        <f>IF($B$2,IF(ROWS(B$6:$B1656) = 1,$B1656-Start_Date,$B1656-$B1655),"")</f>
        <v>9.7949652772513218E-3</v>
      </c>
      <c r="H1656" s="29">
        <f>IF($B$2,IF(ROWS(B$6:$B1656) = 1,IF(COUNTIFS(R_Schedule_Times,"&lt;"&amp;B1656),INDEX(R_Schedule_Amounts,MATCH(B1656,R_Schedule_Times,1)),Starting_Cash),IF(COUNTIFS(R_Schedule_Times,"&gt;"&amp;B1655,R_Schedule_Times,"&lt;"&amp;B1656),INDEX(R_Schedule_Amounts,MATCH(B1656,R_Schedule_Times,1)),K1655)),"")</f>
        <v>20000</v>
      </c>
      <c r="I1656" s="30">
        <f t="shared" si="125"/>
        <v>100</v>
      </c>
      <c r="J1656" s="31">
        <f t="shared" si="126"/>
        <v>0</v>
      </c>
      <c r="K1656" s="29">
        <f t="shared" si="127"/>
        <v>19900</v>
      </c>
      <c r="L1656" s="31" t="str">
        <f t="shared" si="128"/>
        <v/>
      </c>
      <c r="M1656" s="31" t="str">
        <f t="shared" si="129"/>
        <v/>
      </c>
    </row>
    <row r="1657" spans="1:13" x14ac:dyDescent="0.15">
      <c r="A1657" s="163" t="s">
        <v>210</v>
      </c>
      <c r="B1657" s="163">
        <v>42319.750912488424</v>
      </c>
      <c r="C1657" s="164" t="s">
        <v>1259</v>
      </c>
      <c r="D1657" s="164" t="s">
        <v>13</v>
      </c>
      <c r="E1657" s="165">
        <v>100</v>
      </c>
      <c r="F1657" s="166">
        <v>0</v>
      </c>
      <c r="G1657" s="227">
        <f>IF($B$2,IF(ROWS(B$6:$B1657) = 1,$B1657-Start_Date,$B1657-$B1656),"")</f>
        <v>4.1066076388233341E-2</v>
      </c>
      <c r="H1657" s="29">
        <f>IF($B$2,IF(ROWS(B$6:$B1657) = 1,IF(COUNTIFS(R_Schedule_Times,"&lt;"&amp;B1657),INDEX(R_Schedule_Amounts,MATCH(B1657,R_Schedule_Times,1)),Starting_Cash),IF(COUNTIFS(R_Schedule_Times,"&gt;"&amp;B1656,R_Schedule_Times,"&lt;"&amp;B1657),INDEX(R_Schedule_Amounts,MATCH(B1657,R_Schedule_Times,1)),K1656)),"")</f>
        <v>19900</v>
      </c>
      <c r="I1657" s="30">
        <f t="shared" si="125"/>
        <v>100</v>
      </c>
      <c r="J1657" s="31">
        <f t="shared" si="126"/>
        <v>0</v>
      </c>
      <c r="K1657" s="29">
        <f t="shared" si="127"/>
        <v>19800</v>
      </c>
      <c r="L1657" s="31" t="str">
        <f t="shared" si="128"/>
        <v/>
      </c>
      <c r="M1657" s="31" t="str">
        <f t="shared" si="129"/>
        <v/>
      </c>
    </row>
    <row r="1658" spans="1:13" x14ac:dyDescent="0.15">
      <c r="A1658" s="163" t="s">
        <v>210</v>
      </c>
      <c r="B1658" s="163">
        <v>42319.800122685185</v>
      </c>
      <c r="C1658" s="164" t="s">
        <v>1707</v>
      </c>
      <c r="D1658" s="164" t="s">
        <v>13</v>
      </c>
      <c r="E1658" s="165">
        <v>80</v>
      </c>
      <c r="F1658" s="166">
        <v>0</v>
      </c>
      <c r="G1658" s="227">
        <f>IF($B$2,IF(ROWS(B$6:$B1658) = 1,$B1658-Start_Date,$B1658-$B1657),"")</f>
        <v>4.921019676112337E-2</v>
      </c>
      <c r="H1658" s="29">
        <f>IF($B$2,IF(ROWS(B$6:$B1658) = 1,IF(COUNTIFS(R_Schedule_Times,"&lt;"&amp;B1658),INDEX(R_Schedule_Amounts,MATCH(B1658,R_Schedule_Times,1)),Starting_Cash),IF(COUNTIFS(R_Schedule_Times,"&gt;"&amp;B1657,R_Schedule_Times,"&lt;"&amp;B1658),INDEX(R_Schedule_Amounts,MATCH(B1658,R_Schedule_Times,1)),K1657)),"")</f>
        <v>19800</v>
      </c>
      <c r="I1658" s="30">
        <f t="shared" si="125"/>
        <v>80</v>
      </c>
      <c r="J1658" s="31">
        <f t="shared" si="126"/>
        <v>0</v>
      </c>
      <c r="K1658" s="29">
        <f t="shared" si="127"/>
        <v>19720</v>
      </c>
      <c r="L1658" s="31" t="str">
        <f t="shared" si="128"/>
        <v/>
      </c>
      <c r="M1658" s="31" t="str">
        <f t="shared" si="129"/>
        <v/>
      </c>
    </row>
    <row r="1659" spans="1:13" x14ac:dyDescent="0.15">
      <c r="A1659" s="163" t="s">
        <v>210</v>
      </c>
      <c r="B1659" s="163">
        <v>42319.868294641201</v>
      </c>
      <c r="C1659" s="164" t="s">
        <v>1708</v>
      </c>
      <c r="D1659" s="164" t="s">
        <v>13</v>
      </c>
      <c r="E1659" s="165">
        <v>100</v>
      </c>
      <c r="F1659" s="166">
        <v>0</v>
      </c>
      <c r="G1659" s="227">
        <f>IF($B$2,IF(ROWS(B$6:$B1659) = 1,$B1659-Start_Date,$B1659-$B1658),"")</f>
        <v>6.8171956016158219E-2</v>
      </c>
      <c r="H1659" s="29">
        <f>IF($B$2,IF(ROWS(B$6:$B1659) = 1,IF(COUNTIFS(R_Schedule_Times,"&lt;"&amp;B1659),INDEX(R_Schedule_Amounts,MATCH(B1659,R_Schedule_Times,1)),Starting_Cash),IF(COUNTIFS(R_Schedule_Times,"&gt;"&amp;B1658,R_Schedule_Times,"&lt;"&amp;B1659),INDEX(R_Schedule_Amounts,MATCH(B1659,R_Schedule_Times,1)),K1658)),"")</f>
        <v>19720</v>
      </c>
      <c r="I1659" s="30">
        <f t="shared" si="125"/>
        <v>100</v>
      </c>
      <c r="J1659" s="31">
        <f t="shared" si="126"/>
        <v>0</v>
      </c>
      <c r="K1659" s="29">
        <f t="shared" si="127"/>
        <v>19620</v>
      </c>
      <c r="L1659" s="31" t="str">
        <f t="shared" si="128"/>
        <v/>
      </c>
      <c r="M1659" s="31" t="str">
        <f t="shared" si="129"/>
        <v/>
      </c>
    </row>
    <row r="1660" spans="1:13" x14ac:dyDescent="0.15">
      <c r="A1660" s="163" t="s">
        <v>210</v>
      </c>
      <c r="B1660" s="163">
        <v>42319.892488888887</v>
      </c>
      <c r="C1660" s="164" t="s">
        <v>14</v>
      </c>
      <c r="D1660" s="164" t="s">
        <v>13</v>
      </c>
      <c r="E1660" s="165">
        <v>100</v>
      </c>
      <c r="F1660" s="166">
        <v>3.5</v>
      </c>
      <c r="G1660" s="227">
        <f>IF($B$2,IF(ROWS(B$6:$B1660) = 1,$B1660-Start_Date,$B1660-$B1659),"")</f>
        <v>2.4194247685954906E-2</v>
      </c>
      <c r="H1660" s="29">
        <f>IF($B$2,IF(ROWS(B$6:$B1660) = 1,IF(COUNTIFS(R_Schedule_Times,"&lt;"&amp;B1660),INDEX(R_Schedule_Amounts,MATCH(B1660,R_Schedule_Times,1)),Starting_Cash),IF(COUNTIFS(R_Schedule_Times,"&gt;"&amp;B1659,R_Schedule_Times,"&lt;"&amp;B1660),INDEX(R_Schedule_Amounts,MATCH(B1660,R_Schedule_Times,1)),K1659)),"")</f>
        <v>19620</v>
      </c>
      <c r="I1660" s="30">
        <f t="shared" si="125"/>
        <v>100</v>
      </c>
      <c r="J1660" s="31">
        <f t="shared" si="126"/>
        <v>3.5</v>
      </c>
      <c r="K1660" s="29">
        <f t="shared" si="127"/>
        <v>19520</v>
      </c>
      <c r="L1660" s="31" t="str">
        <f t="shared" si="128"/>
        <v/>
      </c>
      <c r="M1660" s="31" t="str">
        <f t="shared" si="129"/>
        <v/>
      </c>
    </row>
    <row r="1661" spans="1:13" x14ac:dyDescent="0.15">
      <c r="A1661" s="163" t="s">
        <v>210</v>
      </c>
      <c r="B1661" s="163">
        <v>42319.91479166667</v>
      </c>
      <c r="C1661" s="164" t="s">
        <v>14</v>
      </c>
      <c r="D1661" s="164" t="s">
        <v>13</v>
      </c>
      <c r="E1661" s="165">
        <v>180</v>
      </c>
      <c r="F1661" s="166">
        <v>3.5</v>
      </c>
      <c r="G1661" s="227">
        <f>IF($B$2,IF(ROWS(B$6:$B1661) = 1,$B1661-Start_Date,$B1661-$B1660),"")</f>
        <v>2.2302777782897465E-2</v>
      </c>
      <c r="H1661" s="29">
        <f>IF($B$2,IF(ROWS(B$6:$B1661) = 1,IF(COUNTIFS(R_Schedule_Times,"&lt;"&amp;B1661),INDEX(R_Schedule_Amounts,MATCH(B1661,R_Schedule_Times,1)),Starting_Cash),IF(COUNTIFS(R_Schedule_Times,"&gt;"&amp;B1660,R_Schedule_Times,"&lt;"&amp;B1661),INDEX(R_Schedule_Amounts,MATCH(B1661,R_Schedule_Times,1)),K1660)),"")</f>
        <v>19520</v>
      </c>
      <c r="I1661" s="30">
        <f t="shared" si="125"/>
        <v>180</v>
      </c>
      <c r="J1661" s="31">
        <f t="shared" si="126"/>
        <v>3.5</v>
      </c>
      <c r="K1661" s="29">
        <f t="shared" si="127"/>
        <v>19340</v>
      </c>
      <c r="L1661" s="31" t="str">
        <f t="shared" si="128"/>
        <v/>
      </c>
      <c r="M1661" s="31" t="str">
        <f t="shared" si="129"/>
        <v/>
      </c>
    </row>
    <row r="1662" spans="1:13" x14ac:dyDescent="0.15">
      <c r="A1662" s="163" t="s">
        <v>210</v>
      </c>
      <c r="B1662" s="163">
        <v>42319.918282314815</v>
      </c>
      <c r="C1662" s="164" t="s">
        <v>948</v>
      </c>
      <c r="D1662" s="164" t="s">
        <v>13</v>
      </c>
      <c r="E1662" s="165">
        <v>20</v>
      </c>
      <c r="F1662" s="166">
        <v>0</v>
      </c>
      <c r="G1662" s="227">
        <f>IF($B$2,IF(ROWS(B$6:$B1662) = 1,$B1662-Start_Date,$B1662-$B1661),"")</f>
        <v>3.490648145088926E-3</v>
      </c>
      <c r="H1662" s="29">
        <f>IF($B$2,IF(ROWS(B$6:$B1662) = 1,IF(COUNTIFS(R_Schedule_Times,"&lt;"&amp;B1662),INDEX(R_Schedule_Amounts,MATCH(B1662,R_Schedule_Times,1)),Starting_Cash),IF(COUNTIFS(R_Schedule_Times,"&gt;"&amp;B1661,R_Schedule_Times,"&lt;"&amp;B1662),INDEX(R_Schedule_Amounts,MATCH(B1662,R_Schedule_Times,1)),K1661)),"")</f>
        <v>19340</v>
      </c>
      <c r="I1662" s="30">
        <f t="shared" si="125"/>
        <v>20</v>
      </c>
      <c r="J1662" s="31">
        <f t="shared" si="126"/>
        <v>0</v>
      </c>
      <c r="K1662" s="29">
        <f t="shared" si="127"/>
        <v>19320</v>
      </c>
      <c r="L1662" s="31" t="str">
        <f t="shared" si="128"/>
        <v/>
      </c>
      <c r="M1662" s="31" t="str">
        <f t="shared" si="129"/>
        <v/>
      </c>
    </row>
    <row r="1663" spans="1:13" x14ac:dyDescent="0.15">
      <c r="A1663" s="163" t="s">
        <v>210</v>
      </c>
      <c r="B1663" s="163">
        <v>42320.133937118058</v>
      </c>
      <c r="C1663" s="164" t="s">
        <v>1709</v>
      </c>
      <c r="D1663" s="164" t="s">
        <v>13</v>
      </c>
      <c r="E1663" s="165">
        <v>100</v>
      </c>
      <c r="F1663" s="166">
        <v>0</v>
      </c>
      <c r="G1663" s="227">
        <f>IF($B$2,IF(ROWS(B$6:$B1663) = 1,$B1663-Start_Date,$B1663-$B1662),"")</f>
        <v>0.21565480324352393</v>
      </c>
      <c r="H1663" s="29">
        <f>IF($B$2,IF(ROWS(B$6:$B1663) = 1,IF(COUNTIFS(R_Schedule_Times,"&lt;"&amp;B1663),INDEX(R_Schedule_Amounts,MATCH(B1663,R_Schedule_Times,1)),Starting_Cash),IF(COUNTIFS(R_Schedule_Times,"&gt;"&amp;B1662,R_Schedule_Times,"&lt;"&amp;B1663),INDEX(R_Schedule_Amounts,MATCH(B1663,R_Schedule_Times,1)),K1662)),"")</f>
        <v>19320</v>
      </c>
      <c r="I1663" s="30">
        <f t="shared" si="125"/>
        <v>100</v>
      </c>
      <c r="J1663" s="31">
        <f t="shared" si="126"/>
        <v>0</v>
      </c>
      <c r="K1663" s="29">
        <f t="shared" si="127"/>
        <v>19220</v>
      </c>
      <c r="L1663" s="31" t="str">
        <f t="shared" si="128"/>
        <v/>
      </c>
      <c r="M1663" s="31" t="str">
        <f t="shared" si="129"/>
        <v/>
      </c>
    </row>
    <row r="1664" spans="1:13" x14ac:dyDescent="0.15">
      <c r="A1664" s="163" t="s">
        <v>210</v>
      </c>
      <c r="B1664" s="163">
        <v>42320.277284097225</v>
      </c>
      <c r="C1664" s="164" t="s">
        <v>1710</v>
      </c>
      <c r="D1664" s="164" t="s">
        <v>13</v>
      </c>
      <c r="E1664" s="165">
        <v>500</v>
      </c>
      <c r="F1664" s="166">
        <v>0</v>
      </c>
      <c r="G1664" s="227">
        <f>IF($B$2,IF(ROWS(B$6:$B1664) = 1,$B1664-Start_Date,$B1664-$B1663),"")</f>
        <v>0.14334697916638106</v>
      </c>
      <c r="H1664" s="29">
        <f>IF($B$2,IF(ROWS(B$6:$B1664) = 1,IF(COUNTIFS(R_Schedule_Times,"&lt;"&amp;B1664),INDEX(R_Schedule_Amounts,MATCH(B1664,R_Schedule_Times,1)),Starting_Cash),IF(COUNTIFS(R_Schedule_Times,"&gt;"&amp;B1663,R_Schedule_Times,"&lt;"&amp;B1664),INDEX(R_Schedule_Amounts,MATCH(B1664,R_Schedule_Times,1)),K1663)),"")</f>
        <v>19220</v>
      </c>
      <c r="I1664" s="30">
        <f t="shared" si="125"/>
        <v>500</v>
      </c>
      <c r="J1664" s="31">
        <f t="shared" si="126"/>
        <v>0</v>
      </c>
      <c r="K1664" s="29">
        <f t="shared" si="127"/>
        <v>18720</v>
      </c>
      <c r="L1664" s="31" t="str">
        <f t="shared" si="128"/>
        <v/>
      </c>
      <c r="M1664" s="31" t="str">
        <f t="shared" si="129"/>
        <v/>
      </c>
    </row>
    <row r="1665" spans="1:13" x14ac:dyDescent="0.15">
      <c r="A1665" s="163" t="s">
        <v>210</v>
      </c>
      <c r="B1665" s="163">
        <v>42320.288668171299</v>
      </c>
      <c r="C1665" s="164" t="s">
        <v>1711</v>
      </c>
      <c r="D1665" s="164" t="s">
        <v>13</v>
      </c>
      <c r="E1665" s="165">
        <v>200</v>
      </c>
      <c r="F1665" s="166">
        <v>0</v>
      </c>
      <c r="G1665" s="227">
        <f>IF($B$2,IF(ROWS(B$6:$B1665) = 1,$B1665-Start_Date,$B1665-$B1664),"")</f>
        <v>1.1384074074157979E-2</v>
      </c>
      <c r="H1665" s="29">
        <f>IF($B$2,IF(ROWS(B$6:$B1665) = 1,IF(COUNTIFS(R_Schedule_Times,"&lt;"&amp;B1665),INDEX(R_Schedule_Amounts,MATCH(B1665,R_Schedule_Times,1)),Starting_Cash),IF(COUNTIFS(R_Schedule_Times,"&gt;"&amp;B1664,R_Schedule_Times,"&lt;"&amp;B1665),INDEX(R_Schedule_Amounts,MATCH(B1665,R_Schedule_Times,1)),K1664)),"")</f>
        <v>18720</v>
      </c>
      <c r="I1665" s="30">
        <f t="shared" si="125"/>
        <v>200</v>
      </c>
      <c r="J1665" s="31">
        <f t="shared" si="126"/>
        <v>0</v>
      </c>
      <c r="K1665" s="29">
        <f t="shared" si="127"/>
        <v>18520</v>
      </c>
      <c r="L1665" s="31" t="str">
        <f t="shared" si="128"/>
        <v/>
      </c>
      <c r="M1665" s="31" t="str">
        <f t="shared" si="129"/>
        <v/>
      </c>
    </row>
    <row r="1666" spans="1:13" x14ac:dyDescent="0.15">
      <c r="A1666" s="163" t="s">
        <v>210</v>
      </c>
      <c r="B1666" s="163">
        <v>42320.301516099535</v>
      </c>
      <c r="C1666" s="164" t="s">
        <v>1712</v>
      </c>
      <c r="D1666" s="164" t="s">
        <v>13</v>
      </c>
      <c r="E1666" s="165">
        <v>60</v>
      </c>
      <c r="F1666" s="166">
        <v>0</v>
      </c>
      <c r="G1666" s="227">
        <f>IF($B$2,IF(ROWS(B$6:$B1666) = 1,$B1666-Start_Date,$B1666-$B1665),"")</f>
        <v>1.2847928235714789E-2</v>
      </c>
      <c r="H1666" s="29">
        <f>IF($B$2,IF(ROWS(B$6:$B1666) = 1,IF(COUNTIFS(R_Schedule_Times,"&lt;"&amp;B1666),INDEX(R_Schedule_Amounts,MATCH(B1666,R_Schedule_Times,1)),Starting_Cash),IF(COUNTIFS(R_Schedule_Times,"&gt;"&amp;B1665,R_Schedule_Times,"&lt;"&amp;B1666),INDEX(R_Schedule_Amounts,MATCH(B1666,R_Schedule_Times,1)),K1665)),"")</f>
        <v>18520</v>
      </c>
      <c r="I1666" s="30">
        <f t="shared" si="125"/>
        <v>60</v>
      </c>
      <c r="J1666" s="31">
        <f t="shared" si="126"/>
        <v>0</v>
      </c>
      <c r="K1666" s="29">
        <f t="shared" si="127"/>
        <v>18460</v>
      </c>
      <c r="L1666" s="31" t="str">
        <f t="shared" si="128"/>
        <v/>
      </c>
      <c r="M1666" s="31" t="str">
        <f t="shared" si="129"/>
        <v/>
      </c>
    </row>
    <row r="1667" spans="1:13" x14ac:dyDescent="0.15">
      <c r="A1667" s="163" t="s">
        <v>210</v>
      </c>
      <c r="B1667" s="163">
        <v>42320.307982928243</v>
      </c>
      <c r="C1667" s="164" t="s">
        <v>1532</v>
      </c>
      <c r="D1667" s="164" t="s">
        <v>13</v>
      </c>
      <c r="E1667" s="165">
        <v>120</v>
      </c>
      <c r="F1667" s="166">
        <v>0</v>
      </c>
      <c r="G1667" s="227">
        <f>IF($B$2,IF(ROWS(B$6:$B1667) = 1,$B1667-Start_Date,$B1667-$B1666),"")</f>
        <v>6.4668287086533383E-3</v>
      </c>
      <c r="H1667" s="29">
        <f>IF($B$2,IF(ROWS(B$6:$B1667) = 1,IF(COUNTIFS(R_Schedule_Times,"&lt;"&amp;B1667),INDEX(R_Schedule_Amounts,MATCH(B1667,R_Schedule_Times,1)),Starting_Cash),IF(COUNTIFS(R_Schedule_Times,"&gt;"&amp;B1666,R_Schedule_Times,"&lt;"&amp;B1667),INDEX(R_Schedule_Amounts,MATCH(B1667,R_Schedule_Times,1)),K1666)),"")</f>
        <v>18460</v>
      </c>
      <c r="I1667" s="30">
        <f t="shared" si="125"/>
        <v>120</v>
      </c>
      <c r="J1667" s="31">
        <f t="shared" si="126"/>
        <v>0</v>
      </c>
      <c r="K1667" s="29">
        <f t="shared" si="127"/>
        <v>18340</v>
      </c>
      <c r="L1667" s="31" t="str">
        <f t="shared" si="128"/>
        <v/>
      </c>
      <c r="M1667" s="31" t="str">
        <f t="shared" si="129"/>
        <v/>
      </c>
    </row>
    <row r="1668" spans="1:13" x14ac:dyDescent="0.15">
      <c r="A1668" s="163" t="s">
        <v>210</v>
      </c>
      <c r="B1668" s="163">
        <v>42320.337656006945</v>
      </c>
      <c r="C1668" s="164" t="s">
        <v>1713</v>
      </c>
      <c r="D1668" s="164" t="s">
        <v>13</v>
      </c>
      <c r="E1668" s="165">
        <v>100</v>
      </c>
      <c r="F1668" s="166">
        <v>0</v>
      </c>
      <c r="G1668" s="227">
        <f>IF($B$2,IF(ROWS(B$6:$B1668) = 1,$B1668-Start_Date,$B1668-$B1667),"")</f>
        <v>2.9673078701307531E-2</v>
      </c>
      <c r="H1668" s="29">
        <f>IF($B$2,IF(ROWS(B$6:$B1668) = 1,IF(COUNTIFS(R_Schedule_Times,"&lt;"&amp;B1668),INDEX(R_Schedule_Amounts,MATCH(B1668,R_Schedule_Times,1)),Starting_Cash),IF(COUNTIFS(R_Schedule_Times,"&gt;"&amp;B1667,R_Schedule_Times,"&lt;"&amp;B1668),INDEX(R_Schedule_Amounts,MATCH(B1668,R_Schedule_Times,1)),K1667)),"")</f>
        <v>18340</v>
      </c>
      <c r="I1668" s="30">
        <f t="shared" si="125"/>
        <v>100</v>
      </c>
      <c r="J1668" s="31">
        <f t="shared" si="126"/>
        <v>0</v>
      </c>
      <c r="K1668" s="29">
        <f t="shared" si="127"/>
        <v>18240</v>
      </c>
      <c r="L1668" s="31" t="str">
        <f t="shared" si="128"/>
        <v/>
      </c>
      <c r="M1668" s="31" t="str">
        <f t="shared" si="129"/>
        <v/>
      </c>
    </row>
    <row r="1669" spans="1:13" x14ac:dyDescent="0.15">
      <c r="A1669" s="163" t="s">
        <v>210</v>
      </c>
      <c r="B1669" s="163">
        <v>42320.343506226855</v>
      </c>
      <c r="C1669" s="164" t="s">
        <v>1714</v>
      </c>
      <c r="D1669" s="164" t="s">
        <v>13</v>
      </c>
      <c r="E1669" s="165">
        <v>80</v>
      </c>
      <c r="F1669" s="166">
        <v>0</v>
      </c>
      <c r="G1669" s="227">
        <f>IF($B$2,IF(ROWS(B$6:$B1669) = 1,$B1669-Start_Date,$B1669-$B1668),"")</f>
        <v>5.8502199099166319E-3</v>
      </c>
      <c r="H1669" s="29">
        <f>IF($B$2,IF(ROWS(B$6:$B1669) = 1,IF(COUNTIFS(R_Schedule_Times,"&lt;"&amp;B1669),INDEX(R_Schedule_Amounts,MATCH(B1669,R_Schedule_Times,1)),Starting_Cash),IF(COUNTIFS(R_Schedule_Times,"&gt;"&amp;B1668,R_Schedule_Times,"&lt;"&amp;B1669),INDEX(R_Schedule_Amounts,MATCH(B1669,R_Schedule_Times,1)),K1668)),"")</f>
        <v>18240</v>
      </c>
      <c r="I1669" s="30">
        <f t="shared" si="125"/>
        <v>80</v>
      </c>
      <c r="J1669" s="31">
        <f t="shared" si="126"/>
        <v>0</v>
      </c>
      <c r="K1669" s="29">
        <f t="shared" si="127"/>
        <v>18160</v>
      </c>
      <c r="L1669" s="31" t="str">
        <f t="shared" si="128"/>
        <v/>
      </c>
      <c r="M1669" s="31" t="str">
        <f t="shared" si="129"/>
        <v/>
      </c>
    </row>
    <row r="1670" spans="1:13" x14ac:dyDescent="0.15">
      <c r="A1670" s="163" t="s">
        <v>210</v>
      </c>
      <c r="B1670" s="163">
        <v>42320.348398668983</v>
      </c>
      <c r="C1670" s="164" t="s">
        <v>1715</v>
      </c>
      <c r="D1670" s="164" t="s">
        <v>13</v>
      </c>
      <c r="E1670" s="165">
        <v>80</v>
      </c>
      <c r="F1670" s="166">
        <v>0</v>
      </c>
      <c r="G1670" s="227">
        <f>IF($B$2,IF(ROWS(B$6:$B1670) = 1,$B1670-Start_Date,$B1670-$B1669),"")</f>
        <v>4.8924421280389652E-3</v>
      </c>
      <c r="H1670" s="29">
        <f>IF($B$2,IF(ROWS(B$6:$B1670) = 1,IF(COUNTIFS(R_Schedule_Times,"&lt;"&amp;B1670),INDEX(R_Schedule_Amounts,MATCH(B1670,R_Schedule_Times,1)),Starting_Cash),IF(COUNTIFS(R_Schedule_Times,"&gt;"&amp;B1669,R_Schedule_Times,"&lt;"&amp;B1670),INDEX(R_Schedule_Amounts,MATCH(B1670,R_Schedule_Times,1)),K1669)),"")</f>
        <v>18160</v>
      </c>
      <c r="I1670" s="30">
        <f t="shared" si="125"/>
        <v>80</v>
      </c>
      <c r="J1670" s="31">
        <f t="shared" si="126"/>
        <v>0</v>
      </c>
      <c r="K1670" s="29">
        <f t="shared" si="127"/>
        <v>18080</v>
      </c>
      <c r="L1670" s="31" t="str">
        <f t="shared" si="128"/>
        <v/>
      </c>
      <c r="M1670" s="31" t="str">
        <f t="shared" si="129"/>
        <v/>
      </c>
    </row>
    <row r="1671" spans="1:13" x14ac:dyDescent="0.15">
      <c r="A1671" s="163" t="s">
        <v>210</v>
      </c>
      <c r="B1671" s="163">
        <v>42320.393385787036</v>
      </c>
      <c r="C1671" s="164" t="s">
        <v>1716</v>
      </c>
      <c r="D1671" s="164" t="s">
        <v>13</v>
      </c>
      <c r="E1671" s="165">
        <v>40</v>
      </c>
      <c r="F1671" s="166">
        <v>0</v>
      </c>
      <c r="G1671" s="227">
        <f>IF($B$2,IF(ROWS(B$6:$B1671) = 1,$B1671-Start_Date,$B1671-$B1670),"")</f>
        <v>4.4987118053541053E-2</v>
      </c>
      <c r="H1671" s="29">
        <f>IF($B$2,IF(ROWS(B$6:$B1671) = 1,IF(COUNTIFS(R_Schedule_Times,"&lt;"&amp;B1671),INDEX(R_Schedule_Amounts,MATCH(B1671,R_Schedule_Times,1)),Starting_Cash),IF(COUNTIFS(R_Schedule_Times,"&gt;"&amp;B1670,R_Schedule_Times,"&lt;"&amp;B1671),INDEX(R_Schedule_Amounts,MATCH(B1671,R_Schedule_Times,1)),K1670)),"")</f>
        <v>18080</v>
      </c>
      <c r="I1671" s="30">
        <f t="shared" ref="I1671:I1734" si="130">IF($B$2,IF(H1671&gt;=E1671,E1671,0),"")</f>
        <v>40</v>
      </c>
      <c r="J1671" s="31">
        <f t="shared" ref="J1671:J1734" si="131">IF($B$2,IF(H1671&gt;=E1671,F1671,0),"")</f>
        <v>0</v>
      </c>
      <c r="K1671" s="29">
        <f t="shared" ref="K1671:K1734" si="132">IF($B$2,ABS(I1671-H1671),"")</f>
        <v>18040</v>
      </c>
      <c r="L1671" s="31" t="str">
        <f t="shared" ref="L1671:L1734" si="133">IF($B$2,IF(H1671&lt;E1671,"YES",""),"")</f>
        <v/>
      </c>
      <c r="M1671" s="31" t="str">
        <f t="shared" ref="M1671:M1734" si="134">IF($B$2,IF(L1671="YES",F1671,""),"")</f>
        <v/>
      </c>
    </row>
    <row r="1672" spans="1:13" x14ac:dyDescent="0.15">
      <c r="A1672" s="163" t="s">
        <v>210</v>
      </c>
      <c r="B1672" s="163">
        <v>42320.400346435184</v>
      </c>
      <c r="C1672" s="164" t="s">
        <v>1717</v>
      </c>
      <c r="D1672" s="164" t="s">
        <v>13</v>
      </c>
      <c r="E1672" s="165">
        <v>40</v>
      </c>
      <c r="F1672" s="166">
        <v>0</v>
      </c>
      <c r="G1672" s="227">
        <f>IF($B$2,IF(ROWS(B$6:$B1672) = 1,$B1672-Start_Date,$B1672-$B1671),"")</f>
        <v>6.960648148378823E-3</v>
      </c>
      <c r="H1672" s="29">
        <f>IF($B$2,IF(ROWS(B$6:$B1672) = 1,IF(COUNTIFS(R_Schedule_Times,"&lt;"&amp;B1672),INDEX(R_Schedule_Amounts,MATCH(B1672,R_Schedule_Times,1)),Starting_Cash),IF(COUNTIFS(R_Schedule_Times,"&gt;"&amp;B1671,R_Schedule_Times,"&lt;"&amp;B1672),INDEX(R_Schedule_Amounts,MATCH(B1672,R_Schedule_Times,1)),K1671)),"")</f>
        <v>18040</v>
      </c>
      <c r="I1672" s="30">
        <f t="shared" si="130"/>
        <v>40</v>
      </c>
      <c r="J1672" s="31">
        <f t="shared" si="131"/>
        <v>0</v>
      </c>
      <c r="K1672" s="29">
        <f t="shared" si="132"/>
        <v>18000</v>
      </c>
      <c r="L1672" s="31" t="str">
        <f t="shared" si="133"/>
        <v/>
      </c>
      <c r="M1672" s="31" t="str">
        <f t="shared" si="134"/>
        <v/>
      </c>
    </row>
    <row r="1673" spans="1:13" x14ac:dyDescent="0.15">
      <c r="A1673" s="163" t="s">
        <v>210</v>
      </c>
      <c r="B1673" s="163">
        <v>42320.445940266203</v>
      </c>
      <c r="C1673" s="164" t="s">
        <v>1718</v>
      </c>
      <c r="D1673" s="164" t="s">
        <v>13</v>
      </c>
      <c r="E1673" s="165">
        <v>40</v>
      </c>
      <c r="F1673" s="166">
        <v>0</v>
      </c>
      <c r="G1673" s="227">
        <f>IF($B$2,IF(ROWS(B$6:$B1673) = 1,$B1673-Start_Date,$B1673-$B1672),"")</f>
        <v>4.5593831018777564E-2</v>
      </c>
      <c r="H1673" s="29">
        <f>IF($B$2,IF(ROWS(B$6:$B1673) = 1,IF(COUNTIFS(R_Schedule_Times,"&lt;"&amp;B1673),INDEX(R_Schedule_Amounts,MATCH(B1673,R_Schedule_Times,1)),Starting_Cash),IF(COUNTIFS(R_Schedule_Times,"&gt;"&amp;B1672,R_Schedule_Times,"&lt;"&amp;B1673),INDEX(R_Schedule_Amounts,MATCH(B1673,R_Schedule_Times,1)),K1672)),"")</f>
        <v>18000</v>
      </c>
      <c r="I1673" s="30">
        <f t="shared" si="130"/>
        <v>40</v>
      </c>
      <c r="J1673" s="31">
        <f t="shared" si="131"/>
        <v>0</v>
      </c>
      <c r="K1673" s="29">
        <f t="shared" si="132"/>
        <v>17960</v>
      </c>
      <c r="L1673" s="31" t="str">
        <f t="shared" si="133"/>
        <v/>
      </c>
      <c r="M1673" s="31" t="str">
        <f t="shared" si="134"/>
        <v/>
      </c>
    </row>
    <row r="1674" spans="1:13" x14ac:dyDescent="0.15">
      <c r="A1674" s="163" t="s">
        <v>210</v>
      </c>
      <c r="B1674" s="163">
        <v>42320.448490173614</v>
      </c>
      <c r="C1674" s="164" t="s">
        <v>1719</v>
      </c>
      <c r="D1674" s="164" t="s">
        <v>13</v>
      </c>
      <c r="E1674" s="165">
        <v>100</v>
      </c>
      <c r="F1674" s="166">
        <v>0</v>
      </c>
      <c r="G1674" s="227">
        <f>IF($B$2,IF(ROWS(B$6:$B1674) = 1,$B1674-Start_Date,$B1674-$B1673),"")</f>
        <v>2.5499074108665809E-3</v>
      </c>
      <c r="H1674" s="29">
        <f>IF($B$2,IF(ROWS(B$6:$B1674) = 1,IF(COUNTIFS(R_Schedule_Times,"&lt;"&amp;B1674),INDEX(R_Schedule_Amounts,MATCH(B1674,R_Schedule_Times,1)),Starting_Cash),IF(COUNTIFS(R_Schedule_Times,"&gt;"&amp;B1673,R_Schedule_Times,"&lt;"&amp;B1674),INDEX(R_Schedule_Amounts,MATCH(B1674,R_Schedule_Times,1)),K1673)),"")</f>
        <v>17960</v>
      </c>
      <c r="I1674" s="30">
        <f t="shared" si="130"/>
        <v>100</v>
      </c>
      <c r="J1674" s="31">
        <f t="shared" si="131"/>
        <v>0</v>
      </c>
      <c r="K1674" s="29">
        <f t="shared" si="132"/>
        <v>17860</v>
      </c>
      <c r="L1674" s="31" t="str">
        <f t="shared" si="133"/>
        <v/>
      </c>
      <c r="M1674" s="31" t="str">
        <f t="shared" si="134"/>
        <v/>
      </c>
    </row>
    <row r="1675" spans="1:13" x14ac:dyDescent="0.15">
      <c r="A1675" s="163" t="s">
        <v>210</v>
      </c>
      <c r="B1675" s="163">
        <v>42320.46391309028</v>
      </c>
      <c r="C1675" s="164" t="s">
        <v>1720</v>
      </c>
      <c r="D1675" s="164" t="s">
        <v>13</v>
      </c>
      <c r="E1675" s="165">
        <v>200</v>
      </c>
      <c r="F1675" s="166">
        <v>0</v>
      </c>
      <c r="G1675" s="227">
        <f>IF($B$2,IF(ROWS(B$6:$B1675) = 1,$B1675-Start_Date,$B1675-$B1674),"")</f>
        <v>1.5422916665556841E-2</v>
      </c>
      <c r="H1675" s="29">
        <f>IF($B$2,IF(ROWS(B$6:$B1675) = 1,IF(COUNTIFS(R_Schedule_Times,"&lt;"&amp;B1675),INDEX(R_Schedule_Amounts,MATCH(B1675,R_Schedule_Times,1)),Starting_Cash),IF(COUNTIFS(R_Schedule_Times,"&gt;"&amp;B1674,R_Schedule_Times,"&lt;"&amp;B1675),INDEX(R_Schedule_Amounts,MATCH(B1675,R_Schedule_Times,1)),K1674)),"")</f>
        <v>17860</v>
      </c>
      <c r="I1675" s="30">
        <f t="shared" si="130"/>
        <v>200</v>
      </c>
      <c r="J1675" s="31">
        <f t="shared" si="131"/>
        <v>0</v>
      </c>
      <c r="K1675" s="29">
        <f t="shared" si="132"/>
        <v>17660</v>
      </c>
      <c r="L1675" s="31" t="str">
        <f t="shared" si="133"/>
        <v/>
      </c>
      <c r="M1675" s="31" t="str">
        <f t="shared" si="134"/>
        <v/>
      </c>
    </row>
    <row r="1676" spans="1:13" x14ac:dyDescent="0.15">
      <c r="A1676" s="163" t="s">
        <v>210</v>
      </c>
      <c r="B1676" s="163">
        <v>42320.479072141206</v>
      </c>
      <c r="C1676" s="164" t="s">
        <v>1715</v>
      </c>
      <c r="D1676" s="164" t="s">
        <v>13</v>
      </c>
      <c r="E1676" s="165">
        <v>40</v>
      </c>
      <c r="F1676" s="166">
        <v>0</v>
      </c>
      <c r="G1676" s="227">
        <f>IF($B$2,IF(ROWS(B$6:$B1676) = 1,$B1676-Start_Date,$B1676-$B1675),"")</f>
        <v>1.5159050926740747E-2</v>
      </c>
      <c r="H1676" s="29">
        <f>IF($B$2,IF(ROWS(B$6:$B1676) = 1,IF(COUNTIFS(R_Schedule_Times,"&lt;"&amp;B1676),INDEX(R_Schedule_Amounts,MATCH(B1676,R_Schedule_Times,1)),Starting_Cash),IF(COUNTIFS(R_Schedule_Times,"&gt;"&amp;B1675,R_Schedule_Times,"&lt;"&amp;B1676),INDEX(R_Schedule_Amounts,MATCH(B1676,R_Schedule_Times,1)),K1675)),"")</f>
        <v>17660</v>
      </c>
      <c r="I1676" s="30">
        <f t="shared" si="130"/>
        <v>40</v>
      </c>
      <c r="J1676" s="31">
        <f t="shared" si="131"/>
        <v>0</v>
      </c>
      <c r="K1676" s="29">
        <f t="shared" si="132"/>
        <v>17620</v>
      </c>
      <c r="L1676" s="31" t="str">
        <f t="shared" si="133"/>
        <v/>
      </c>
      <c r="M1676" s="31" t="str">
        <f t="shared" si="134"/>
        <v/>
      </c>
    </row>
    <row r="1677" spans="1:13" x14ac:dyDescent="0.15">
      <c r="A1677" s="163" t="s">
        <v>210</v>
      </c>
      <c r="B1677" s="163">
        <v>42320.481071076392</v>
      </c>
      <c r="C1677" s="164" t="s">
        <v>1721</v>
      </c>
      <c r="D1677" s="164" t="s">
        <v>13</v>
      </c>
      <c r="E1677" s="165">
        <v>60</v>
      </c>
      <c r="F1677" s="166">
        <v>0</v>
      </c>
      <c r="G1677" s="227">
        <f>IF($B$2,IF(ROWS(B$6:$B1677) = 1,$B1677-Start_Date,$B1677-$B1676),"")</f>
        <v>1.9989351858384907E-3</v>
      </c>
      <c r="H1677" s="29">
        <f>IF($B$2,IF(ROWS(B$6:$B1677) = 1,IF(COUNTIFS(R_Schedule_Times,"&lt;"&amp;B1677),INDEX(R_Schedule_Amounts,MATCH(B1677,R_Schedule_Times,1)),Starting_Cash),IF(COUNTIFS(R_Schedule_Times,"&gt;"&amp;B1676,R_Schedule_Times,"&lt;"&amp;B1677),INDEX(R_Schedule_Amounts,MATCH(B1677,R_Schedule_Times,1)),K1676)),"")</f>
        <v>17620</v>
      </c>
      <c r="I1677" s="30">
        <f t="shared" si="130"/>
        <v>60</v>
      </c>
      <c r="J1677" s="31">
        <f t="shared" si="131"/>
        <v>0</v>
      </c>
      <c r="K1677" s="29">
        <f t="shared" si="132"/>
        <v>17560</v>
      </c>
      <c r="L1677" s="31" t="str">
        <f t="shared" si="133"/>
        <v/>
      </c>
      <c r="M1677" s="31" t="str">
        <f t="shared" si="134"/>
        <v/>
      </c>
    </row>
    <row r="1678" spans="1:13" x14ac:dyDescent="0.15">
      <c r="A1678" s="163" t="s">
        <v>210</v>
      </c>
      <c r="B1678" s="163">
        <v>42320.481656099539</v>
      </c>
      <c r="C1678" s="164" t="s">
        <v>1722</v>
      </c>
      <c r="D1678" s="164" t="s">
        <v>13</v>
      </c>
      <c r="E1678" s="165">
        <v>20</v>
      </c>
      <c r="F1678" s="166">
        <v>0</v>
      </c>
      <c r="G1678" s="227">
        <f>IF($B$2,IF(ROWS(B$6:$B1678) = 1,$B1678-Start_Date,$B1678-$B1677),"")</f>
        <v>5.8502314641373232E-4</v>
      </c>
      <c r="H1678" s="29">
        <f>IF($B$2,IF(ROWS(B$6:$B1678) = 1,IF(COUNTIFS(R_Schedule_Times,"&lt;"&amp;B1678),INDEX(R_Schedule_Amounts,MATCH(B1678,R_Schedule_Times,1)),Starting_Cash),IF(COUNTIFS(R_Schedule_Times,"&gt;"&amp;B1677,R_Schedule_Times,"&lt;"&amp;B1678),INDEX(R_Schedule_Amounts,MATCH(B1678,R_Schedule_Times,1)),K1677)),"")</f>
        <v>17560</v>
      </c>
      <c r="I1678" s="30">
        <f t="shared" si="130"/>
        <v>20</v>
      </c>
      <c r="J1678" s="31">
        <f t="shared" si="131"/>
        <v>0</v>
      </c>
      <c r="K1678" s="29">
        <f t="shared" si="132"/>
        <v>17540</v>
      </c>
      <c r="L1678" s="31" t="str">
        <f t="shared" si="133"/>
        <v/>
      </c>
      <c r="M1678" s="31" t="str">
        <f t="shared" si="134"/>
        <v/>
      </c>
    </row>
    <row r="1679" spans="1:13" x14ac:dyDescent="0.15">
      <c r="A1679" s="163" t="s">
        <v>210</v>
      </c>
      <c r="B1679" s="163">
        <v>42320.482367476849</v>
      </c>
      <c r="C1679" s="164" t="s">
        <v>1723</v>
      </c>
      <c r="D1679" s="164" t="s">
        <v>13</v>
      </c>
      <c r="E1679" s="165">
        <v>40</v>
      </c>
      <c r="F1679" s="166">
        <v>0</v>
      </c>
      <c r="G1679" s="227">
        <f>IF($B$2,IF(ROWS(B$6:$B1679) = 1,$B1679-Start_Date,$B1679-$B1678),"")</f>
        <v>7.1137730992631987E-4</v>
      </c>
      <c r="H1679" s="29">
        <f>IF($B$2,IF(ROWS(B$6:$B1679) = 1,IF(COUNTIFS(R_Schedule_Times,"&lt;"&amp;B1679),INDEX(R_Schedule_Amounts,MATCH(B1679,R_Schedule_Times,1)),Starting_Cash),IF(COUNTIFS(R_Schedule_Times,"&gt;"&amp;B1678,R_Schedule_Times,"&lt;"&amp;B1679),INDEX(R_Schedule_Amounts,MATCH(B1679,R_Schedule_Times,1)),K1678)),"")</f>
        <v>17540</v>
      </c>
      <c r="I1679" s="30">
        <f t="shared" si="130"/>
        <v>40</v>
      </c>
      <c r="J1679" s="31">
        <f t="shared" si="131"/>
        <v>0</v>
      </c>
      <c r="K1679" s="29">
        <f t="shared" si="132"/>
        <v>17500</v>
      </c>
      <c r="L1679" s="31" t="str">
        <f t="shared" si="133"/>
        <v/>
      </c>
      <c r="M1679" s="31" t="str">
        <f t="shared" si="134"/>
        <v/>
      </c>
    </row>
    <row r="1680" spans="1:13" x14ac:dyDescent="0.15">
      <c r="A1680" s="163" t="s">
        <v>210</v>
      </c>
      <c r="B1680" s="163">
        <v>42320.512371643519</v>
      </c>
      <c r="C1680" s="164" t="s">
        <v>14</v>
      </c>
      <c r="D1680" s="164" t="s">
        <v>13</v>
      </c>
      <c r="E1680" s="165">
        <v>40</v>
      </c>
      <c r="F1680" s="166">
        <v>3.5</v>
      </c>
      <c r="G1680" s="227">
        <f>IF($B$2,IF(ROWS(B$6:$B1680) = 1,$B1680-Start_Date,$B1680-$B1679),"")</f>
        <v>3.0004166670551058E-2</v>
      </c>
      <c r="H1680" s="29">
        <f>IF($B$2,IF(ROWS(B$6:$B1680) = 1,IF(COUNTIFS(R_Schedule_Times,"&lt;"&amp;B1680),INDEX(R_Schedule_Amounts,MATCH(B1680,R_Schedule_Times,1)),Starting_Cash),IF(COUNTIFS(R_Schedule_Times,"&gt;"&amp;B1679,R_Schedule_Times,"&lt;"&amp;B1680),INDEX(R_Schedule_Amounts,MATCH(B1680,R_Schedule_Times,1)),K1679)),"")</f>
        <v>17500</v>
      </c>
      <c r="I1680" s="30">
        <f t="shared" si="130"/>
        <v>40</v>
      </c>
      <c r="J1680" s="31">
        <f t="shared" si="131"/>
        <v>3.5</v>
      </c>
      <c r="K1680" s="29">
        <f t="shared" si="132"/>
        <v>17460</v>
      </c>
      <c r="L1680" s="31" t="str">
        <f t="shared" si="133"/>
        <v/>
      </c>
      <c r="M1680" s="31" t="str">
        <f t="shared" si="134"/>
        <v/>
      </c>
    </row>
    <row r="1681" spans="1:13" x14ac:dyDescent="0.15">
      <c r="A1681" s="163" t="s">
        <v>210</v>
      </c>
      <c r="B1681" s="163">
        <v>42320.517193726853</v>
      </c>
      <c r="C1681" s="164" t="s">
        <v>1724</v>
      </c>
      <c r="D1681" s="164" t="s">
        <v>13</v>
      </c>
      <c r="E1681" s="165">
        <v>80</v>
      </c>
      <c r="F1681" s="166">
        <v>0</v>
      </c>
      <c r="G1681" s="227">
        <f>IF($B$2,IF(ROWS(B$6:$B1681) = 1,$B1681-Start_Date,$B1681-$B1680),"")</f>
        <v>4.8220833341474645E-3</v>
      </c>
      <c r="H1681" s="29">
        <f>IF($B$2,IF(ROWS(B$6:$B1681) = 1,IF(COUNTIFS(R_Schedule_Times,"&lt;"&amp;B1681),INDEX(R_Schedule_Amounts,MATCH(B1681,R_Schedule_Times,1)),Starting_Cash),IF(COUNTIFS(R_Schedule_Times,"&gt;"&amp;B1680,R_Schedule_Times,"&lt;"&amp;B1681),INDEX(R_Schedule_Amounts,MATCH(B1681,R_Schedule_Times,1)),K1680)),"")</f>
        <v>17460</v>
      </c>
      <c r="I1681" s="30">
        <f t="shared" si="130"/>
        <v>80</v>
      </c>
      <c r="J1681" s="31">
        <f t="shared" si="131"/>
        <v>0</v>
      </c>
      <c r="K1681" s="29">
        <f t="shared" si="132"/>
        <v>17380</v>
      </c>
      <c r="L1681" s="31" t="str">
        <f t="shared" si="133"/>
        <v/>
      </c>
      <c r="M1681" s="31" t="str">
        <f t="shared" si="134"/>
        <v/>
      </c>
    </row>
    <row r="1682" spans="1:13" x14ac:dyDescent="0.15">
      <c r="A1682" s="163" t="s">
        <v>210</v>
      </c>
      <c r="B1682" s="163">
        <v>42320.520827430555</v>
      </c>
      <c r="C1682" s="164" t="s">
        <v>1725</v>
      </c>
      <c r="D1682" s="164" t="s">
        <v>13</v>
      </c>
      <c r="E1682" s="165">
        <v>40</v>
      </c>
      <c r="F1682" s="166">
        <v>0</v>
      </c>
      <c r="G1682" s="227">
        <f>IF($B$2,IF(ROWS(B$6:$B1682) = 1,$B1682-Start_Date,$B1682-$B1681),"")</f>
        <v>3.6337037017801777E-3</v>
      </c>
      <c r="H1682" s="29">
        <f>IF($B$2,IF(ROWS(B$6:$B1682) = 1,IF(COUNTIFS(R_Schedule_Times,"&lt;"&amp;B1682),INDEX(R_Schedule_Amounts,MATCH(B1682,R_Schedule_Times,1)),Starting_Cash),IF(COUNTIFS(R_Schedule_Times,"&gt;"&amp;B1681,R_Schedule_Times,"&lt;"&amp;B1682),INDEX(R_Schedule_Amounts,MATCH(B1682,R_Schedule_Times,1)),K1681)),"")</f>
        <v>17380</v>
      </c>
      <c r="I1682" s="30">
        <f t="shared" si="130"/>
        <v>40</v>
      </c>
      <c r="J1682" s="31">
        <f t="shared" si="131"/>
        <v>0</v>
      </c>
      <c r="K1682" s="29">
        <f t="shared" si="132"/>
        <v>17340</v>
      </c>
      <c r="L1682" s="31" t="str">
        <f t="shared" si="133"/>
        <v/>
      </c>
      <c r="M1682" s="31" t="str">
        <f t="shared" si="134"/>
        <v/>
      </c>
    </row>
    <row r="1683" spans="1:13" x14ac:dyDescent="0.15">
      <c r="A1683" s="163" t="s">
        <v>210</v>
      </c>
      <c r="B1683" s="163">
        <v>42320.528781134257</v>
      </c>
      <c r="C1683" s="164" t="s">
        <v>1726</v>
      </c>
      <c r="D1683" s="164" t="s">
        <v>13</v>
      </c>
      <c r="E1683" s="165">
        <v>40</v>
      </c>
      <c r="F1683" s="166">
        <v>0</v>
      </c>
      <c r="G1683" s="227">
        <f>IF($B$2,IF(ROWS(B$6:$B1683) = 1,$B1683-Start_Date,$B1683-$B1682),"")</f>
        <v>7.9537037017871626E-3</v>
      </c>
      <c r="H1683" s="29">
        <f>IF($B$2,IF(ROWS(B$6:$B1683) = 1,IF(COUNTIFS(R_Schedule_Times,"&lt;"&amp;B1683),INDEX(R_Schedule_Amounts,MATCH(B1683,R_Schedule_Times,1)),Starting_Cash),IF(COUNTIFS(R_Schedule_Times,"&gt;"&amp;B1682,R_Schedule_Times,"&lt;"&amp;B1683),INDEX(R_Schedule_Amounts,MATCH(B1683,R_Schedule_Times,1)),K1682)),"")</f>
        <v>17340</v>
      </c>
      <c r="I1683" s="30">
        <f t="shared" si="130"/>
        <v>40</v>
      </c>
      <c r="J1683" s="31">
        <f t="shared" si="131"/>
        <v>0</v>
      </c>
      <c r="K1683" s="29">
        <f t="shared" si="132"/>
        <v>17300</v>
      </c>
      <c r="L1683" s="31" t="str">
        <f t="shared" si="133"/>
        <v/>
      </c>
      <c r="M1683" s="31" t="str">
        <f t="shared" si="134"/>
        <v/>
      </c>
    </row>
    <row r="1684" spans="1:13" x14ac:dyDescent="0.15">
      <c r="A1684" s="163" t="s">
        <v>210</v>
      </c>
      <c r="B1684" s="163">
        <v>42320.52989510417</v>
      </c>
      <c r="C1684" s="164" t="s">
        <v>1727</v>
      </c>
      <c r="D1684" s="164" t="s">
        <v>13</v>
      </c>
      <c r="E1684" s="165">
        <v>220</v>
      </c>
      <c r="F1684" s="166">
        <v>0</v>
      </c>
      <c r="G1684" s="227">
        <f>IF($B$2,IF(ROWS(B$6:$B1684) = 1,$B1684-Start_Date,$B1684-$B1683),"")</f>
        <v>1.1139699126943015E-3</v>
      </c>
      <c r="H1684" s="29">
        <f>IF($B$2,IF(ROWS(B$6:$B1684) = 1,IF(COUNTIFS(R_Schedule_Times,"&lt;"&amp;B1684),INDEX(R_Schedule_Amounts,MATCH(B1684,R_Schedule_Times,1)),Starting_Cash),IF(COUNTIFS(R_Schedule_Times,"&gt;"&amp;B1683,R_Schedule_Times,"&lt;"&amp;B1684),INDEX(R_Schedule_Amounts,MATCH(B1684,R_Schedule_Times,1)),K1683)),"")</f>
        <v>17300</v>
      </c>
      <c r="I1684" s="30">
        <f t="shared" si="130"/>
        <v>220</v>
      </c>
      <c r="J1684" s="31">
        <f t="shared" si="131"/>
        <v>0</v>
      </c>
      <c r="K1684" s="29">
        <f t="shared" si="132"/>
        <v>17080</v>
      </c>
      <c r="L1684" s="31" t="str">
        <f t="shared" si="133"/>
        <v/>
      </c>
      <c r="M1684" s="31" t="str">
        <f t="shared" si="134"/>
        <v/>
      </c>
    </row>
    <row r="1685" spans="1:13" x14ac:dyDescent="0.15">
      <c r="A1685" s="163" t="s">
        <v>210</v>
      </c>
      <c r="B1685" s="163">
        <v>42320.559579224537</v>
      </c>
      <c r="C1685" s="164" t="s">
        <v>1728</v>
      </c>
      <c r="D1685" s="164" t="s">
        <v>13</v>
      </c>
      <c r="E1685" s="165">
        <v>60</v>
      </c>
      <c r="F1685" s="166">
        <v>0</v>
      </c>
      <c r="G1685" s="227">
        <f>IF($B$2,IF(ROWS(B$6:$B1685) = 1,$B1685-Start_Date,$B1685-$B1684),"")</f>
        <v>2.9684120367164724E-2</v>
      </c>
      <c r="H1685" s="29">
        <f>IF($B$2,IF(ROWS(B$6:$B1685) = 1,IF(COUNTIFS(R_Schedule_Times,"&lt;"&amp;B1685),INDEX(R_Schedule_Amounts,MATCH(B1685,R_Schedule_Times,1)),Starting_Cash),IF(COUNTIFS(R_Schedule_Times,"&gt;"&amp;B1684,R_Schedule_Times,"&lt;"&amp;B1685),INDEX(R_Schedule_Amounts,MATCH(B1685,R_Schedule_Times,1)),K1684)),"")</f>
        <v>17080</v>
      </c>
      <c r="I1685" s="30">
        <f t="shared" si="130"/>
        <v>60</v>
      </c>
      <c r="J1685" s="31">
        <f t="shared" si="131"/>
        <v>0</v>
      </c>
      <c r="K1685" s="29">
        <f t="shared" si="132"/>
        <v>17020</v>
      </c>
      <c r="L1685" s="31" t="str">
        <f t="shared" si="133"/>
        <v/>
      </c>
      <c r="M1685" s="31" t="str">
        <f t="shared" si="134"/>
        <v/>
      </c>
    </row>
    <row r="1686" spans="1:13" x14ac:dyDescent="0.15">
      <c r="A1686" s="163" t="s">
        <v>210</v>
      </c>
      <c r="B1686" s="163">
        <v>42320.577374004628</v>
      </c>
      <c r="C1686" s="164" t="s">
        <v>1729</v>
      </c>
      <c r="D1686" s="164" t="s">
        <v>13</v>
      </c>
      <c r="E1686" s="165">
        <v>100</v>
      </c>
      <c r="F1686" s="166">
        <v>0</v>
      </c>
      <c r="G1686" s="227">
        <f>IF($B$2,IF(ROWS(B$6:$B1686) = 1,$B1686-Start_Date,$B1686-$B1685),"")</f>
        <v>1.779478009120794E-2</v>
      </c>
      <c r="H1686" s="29">
        <f>IF($B$2,IF(ROWS(B$6:$B1686) = 1,IF(COUNTIFS(R_Schedule_Times,"&lt;"&amp;B1686),INDEX(R_Schedule_Amounts,MATCH(B1686,R_Schedule_Times,1)),Starting_Cash),IF(COUNTIFS(R_Schedule_Times,"&gt;"&amp;B1685,R_Schedule_Times,"&lt;"&amp;B1686),INDEX(R_Schedule_Amounts,MATCH(B1686,R_Schedule_Times,1)),K1685)),"")</f>
        <v>17020</v>
      </c>
      <c r="I1686" s="30">
        <f t="shared" si="130"/>
        <v>100</v>
      </c>
      <c r="J1686" s="31">
        <f t="shared" si="131"/>
        <v>0</v>
      </c>
      <c r="K1686" s="29">
        <f t="shared" si="132"/>
        <v>16920</v>
      </c>
      <c r="L1686" s="31" t="str">
        <f t="shared" si="133"/>
        <v/>
      </c>
      <c r="M1686" s="31" t="str">
        <f t="shared" si="134"/>
        <v/>
      </c>
    </row>
    <row r="1687" spans="1:13" x14ac:dyDescent="0.15">
      <c r="A1687" s="163" t="s">
        <v>210</v>
      </c>
      <c r="B1687" s="163">
        <v>42320.630891377317</v>
      </c>
      <c r="C1687" s="164" t="s">
        <v>1730</v>
      </c>
      <c r="D1687" s="164" t="s">
        <v>13</v>
      </c>
      <c r="E1687" s="165">
        <v>40</v>
      </c>
      <c r="F1687" s="166">
        <v>0</v>
      </c>
      <c r="G1687" s="227">
        <f>IF($B$2,IF(ROWS(B$6:$B1687) = 1,$B1687-Start_Date,$B1687-$B1686),"")</f>
        <v>5.3517372689384501E-2</v>
      </c>
      <c r="H1687" s="29">
        <f>IF($B$2,IF(ROWS(B$6:$B1687) = 1,IF(COUNTIFS(R_Schedule_Times,"&lt;"&amp;B1687),INDEX(R_Schedule_Amounts,MATCH(B1687,R_Schedule_Times,1)),Starting_Cash),IF(COUNTIFS(R_Schedule_Times,"&gt;"&amp;B1686,R_Schedule_Times,"&lt;"&amp;B1687),INDEX(R_Schedule_Amounts,MATCH(B1687,R_Schedule_Times,1)),K1686)),"")</f>
        <v>16920</v>
      </c>
      <c r="I1687" s="30">
        <f t="shared" si="130"/>
        <v>40</v>
      </c>
      <c r="J1687" s="31">
        <f t="shared" si="131"/>
        <v>0</v>
      </c>
      <c r="K1687" s="29">
        <f t="shared" si="132"/>
        <v>16880</v>
      </c>
      <c r="L1687" s="31" t="str">
        <f t="shared" si="133"/>
        <v/>
      </c>
      <c r="M1687" s="31" t="str">
        <f t="shared" si="134"/>
        <v/>
      </c>
    </row>
    <row r="1688" spans="1:13" x14ac:dyDescent="0.15">
      <c r="A1688" s="163" t="s">
        <v>210</v>
      </c>
      <c r="B1688" s="163">
        <v>42320.63638491898</v>
      </c>
      <c r="C1688" s="164" t="s">
        <v>14</v>
      </c>
      <c r="D1688" s="164" t="s">
        <v>15</v>
      </c>
      <c r="E1688" s="165">
        <v>60</v>
      </c>
      <c r="F1688" s="166">
        <v>4.3</v>
      </c>
      <c r="G1688" s="227">
        <f>IF($B$2,IF(ROWS(B$6:$B1688) = 1,$B1688-Start_Date,$B1688-$B1687),"")</f>
        <v>5.4935416628723033E-3</v>
      </c>
      <c r="H1688" s="29">
        <f>IF($B$2,IF(ROWS(B$6:$B1688) = 1,IF(COUNTIFS(R_Schedule_Times,"&lt;"&amp;B1688),INDEX(R_Schedule_Amounts,MATCH(B1688,R_Schedule_Times,1)),Starting_Cash),IF(COUNTIFS(R_Schedule_Times,"&gt;"&amp;B1687,R_Schedule_Times,"&lt;"&amp;B1688),INDEX(R_Schedule_Amounts,MATCH(B1688,R_Schedule_Times,1)),K1687)),"")</f>
        <v>16880</v>
      </c>
      <c r="I1688" s="30">
        <f t="shared" si="130"/>
        <v>60</v>
      </c>
      <c r="J1688" s="31">
        <f t="shared" si="131"/>
        <v>4.3</v>
      </c>
      <c r="K1688" s="29">
        <f t="shared" si="132"/>
        <v>16820</v>
      </c>
      <c r="L1688" s="31" t="str">
        <f t="shared" si="133"/>
        <v/>
      </c>
      <c r="M1688" s="31" t="str">
        <f t="shared" si="134"/>
        <v/>
      </c>
    </row>
    <row r="1689" spans="1:13" x14ac:dyDescent="0.15">
      <c r="A1689" s="163" t="s">
        <v>210</v>
      </c>
      <c r="B1689" s="163">
        <v>42320.637806979168</v>
      </c>
      <c r="C1689" s="164" t="s">
        <v>1731</v>
      </c>
      <c r="D1689" s="164" t="s">
        <v>13</v>
      </c>
      <c r="E1689" s="165">
        <v>100</v>
      </c>
      <c r="F1689" s="166">
        <v>0</v>
      </c>
      <c r="G1689" s="227">
        <f>IF($B$2,IF(ROWS(B$6:$B1689) = 1,$B1689-Start_Date,$B1689-$B1688),"")</f>
        <v>1.4220601879060268E-3</v>
      </c>
      <c r="H1689" s="29">
        <f>IF($B$2,IF(ROWS(B$6:$B1689) = 1,IF(COUNTIFS(R_Schedule_Times,"&lt;"&amp;B1689),INDEX(R_Schedule_Amounts,MATCH(B1689,R_Schedule_Times,1)),Starting_Cash),IF(COUNTIFS(R_Schedule_Times,"&gt;"&amp;B1688,R_Schedule_Times,"&lt;"&amp;B1689),INDEX(R_Schedule_Amounts,MATCH(B1689,R_Schedule_Times,1)),K1688)),"")</f>
        <v>16820</v>
      </c>
      <c r="I1689" s="30">
        <f t="shared" si="130"/>
        <v>100</v>
      </c>
      <c r="J1689" s="31">
        <f t="shared" si="131"/>
        <v>0</v>
      </c>
      <c r="K1689" s="29">
        <f t="shared" si="132"/>
        <v>16720</v>
      </c>
      <c r="L1689" s="31" t="str">
        <f t="shared" si="133"/>
        <v/>
      </c>
      <c r="M1689" s="31" t="str">
        <f t="shared" si="134"/>
        <v/>
      </c>
    </row>
    <row r="1690" spans="1:13" x14ac:dyDescent="0.15">
      <c r="A1690" s="163" t="s">
        <v>210</v>
      </c>
      <c r="B1690" s="163">
        <v>42320.64086068287</v>
      </c>
      <c r="C1690" s="164" t="s">
        <v>1732</v>
      </c>
      <c r="D1690" s="164" t="s">
        <v>13</v>
      </c>
      <c r="E1690" s="165">
        <v>100</v>
      </c>
      <c r="F1690" s="166">
        <v>0</v>
      </c>
      <c r="G1690" s="227">
        <f>IF($B$2,IF(ROWS(B$6:$B1690) = 1,$B1690-Start_Date,$B1690-$B1689),"")</f>
        <v>3.0537037018802948E-3</v>
      </c>
      <c r="H1690" s="29">
        <f>IF($B$2,IF(ROWS(B$6:$B1690) = 1,IF(COUNTIFS(R_Schedule_Times,"&lt;"&amp;B1690),INDEX(R_Schedule_Amounts,MATCH(B1690,R_Schedule_Times,1)),Starting_Cash),IF(COUNTIFS(R_Schedule_Times,"&gt;"&amp;B1689,R_Schedule_Times,"&lt;"&amp;B1690),INDEX(R_Schedule_Amounts,MATCH(B1690,R_Schedule_Times,1)),K1689)),"")</f>
        <v>16720</v>
      </c>
      <c r="I1690" s="30">
        <f t="shared" si="130"/>
        <v>100</v>
      </c>
      <c r="J1690" s="31">
        <f t="shared" si="131"/>
        <v>0</v>
      </c>
      <c r="K1690" s="29">
        <f t="shared" si="132"/>
        <v>16620</v>
      </c>
      <c r="L1690" s="31" t="str">
        <f t="shared" si="133"/>
        <v/>
      </c>
      <c r="M1690" s="31" t="str">
        <f t="shared" si="134"/>
        <v/>
      </c>
    </row>
    <row r="1691" spans="1:13" x14ac:dyDescent="0.15">
      <c r="A1691" s="163" t="s">
        <v>210</v>
      </c>
      <c r="B1691" s="163">
        <v>42320.649294756942</v>
      </c>
      <c r="C1691" s="164" t="s">
        <v>14</v>
      </c>
      <c r="D1691" s="164" t="s">
        <v>13</v>
      </c>
      <c r="E1691" s="165">
        <v>80</v>
      </c>
      <c r="F1691" s="166">
        <v>3.5</v>
      </c>
      <c r="G1691" s="227">
        <f>IF($B$2,IF(ROWS(B$6:$B1691) = 1,$B1691-Start_Date,$B1691-$B1690),"")</f>
        <v>8.4340740722836927E-3</v>
      </c>
      <c r="H1691" s="29">
        <f>IF($B$2,IF(ROWS(B$6:$B1691) = 1,IF(COUNTIFS(R_Schedule_Times,"&lt;"&amp;B1691),INDEX(R_Schedule_Amounts,MATCH(B1691,R_Schedule_Times,1)),Starting_Cash),IF(COUNTIFS(R_Schedule_Times,"&gt;"&amp;B1690,R_Schedule_Times,"&lt;"&amp;B1691),INDEX(R_Schedule_Amounts,MATCH(B1691,R_Schedule_Times,1)),K1690)),"")</f>
        <v>16620</v>
      </c>
      <c r="I1691" s="30">
        <f t="shared" si="130"/>
        <v>80</v>
      </c>
      <c r="J1691" s="31">
        <f t="shared" si="131"/>
        <v>3.5</v>
      </c>
      <c r="K1691" s="29">
        <f t="shared" si="132"/>
        <v>16540</v>
      </c>
      <c r="L1691" s="31" t="str">
        <f t="shared" si="133"/>
        <v/>
      </c>
      <c r="M1691" s="31" t="str">
        <f t="shared" si="134"/>
        <v/>
      </c>
    </row>
    <row r="1692" spans="1:13" x14ac:dyDescent="0.15">
      <c r="A1692" s="163" t="s">
        <v>210</v>
      </c>
      <c r="B1692" s="163">
        <v>42320.667350810189</v>
      </c>
      <c r="C1692" s="164" t="s">
        <v>14</v>
      </c>
      <c r="D1692" s="164" t="s">
        <v>13</v>
      </c>
      <c r="E1692" s="165">
        <v>100</v>
      </c>
      <c r="F1692" s="166">
        <v>3.5</v>
      </c>
      <c r="G1692" s="227">
        <f>IF($B$2,IF(ROWS(B$6:$B1692) = 1,$B1692-Start_Date,$B1692-$B1691),"")</f>
        <v>1.8056053246255033E-2</v>
      </c>
      <c r="H1692" s="29">
        <f>IF($B$2,IF(ROWS(B$6:$B1692) = 1,IF(COUNTIFS(R_Schedule_Times,"&lt;"&amp;B1692),INDEX(R_Schedule_Amounts,MATCH(B1692,R_Schedule_Times,1)),Starting_Cash),IF(COUNTIFS(R_Schedule_Times,"&gt;"&amp;B1691,R_Schedule_Times,"&lt;"&amp;B1692),INDEX(R_Schedule_Amounts,MATCH(B1692,R_Schedule_Times,1)),K1691)),"")</f>
        <v>16540</v>
      </c>
      <c r="I1692" s="30">
        <f t="shared" si="130"/>
        <v>100</v>
      </c>
      <c r="J1692" s="31">
        <f t="shared" si="131"/>
        <v>3.5</v>
      </c>
      <c r="K1692" s="29">
        <f t="shared" si="132"/>
        <v>16440</v>
      </c>
      <c r="L1692" s="31" t="str">
        <f t="shared" si="133"/>
        <v/>
      </c>
      <c r="M1692" s="31" t="str">
        <f t="shared" si="134"/>
        <v/>
      </c>
    </row>
    <row r="1693" spans="1:13" x14ac:dyDescent="0.15">
      <c r="A1693" s="163" t="s">
        <v>210</v>
      </c>
      <c r="B1693" s="163">
        <v>42320.6851202662</v>
      </c>
      <c r="C1693" s="164" t="s">
        <v>433</v>
      </c>
      <c r="D1693" s="164" t="s">
        <v>13</v>
      </c>
      <c r="E1693" s="165">
        <v>60</v>
      </c>
      <c r="F1693" s="166">
        <v>0</v>
      </c>
      <c r="G1693" s="227">
        <f>IF($B$2,IF(ROWS(B$6:$B1693) = 1,$B1693-Start_Date,$B1693-$B1692),"")</f>
        <v>1.7769456011592411E-2</v>
      </c>
      <c r="H1693" s="29">
        <f>IF($B$2,IF(ROWS(B$6:$B1693) = 1,IF(COUNTIFS(R_Schedule_Times,"&lt;"&amp;B1693),INDEX(R_Schedule_Amounts,MATCH(B1693,R_Schedule_Times,1)),Starting_Cash),IF(COUNTIFS(R_Schedule_Times,"&gt;"&amp;B1692,R_Schedule_Times,"&lt;"&amp;B1693),INDEX(R_Schedule_Amounts,MATCH(B1693,R_Schedule_Times,1)),K1692)),"")</f>
        <v>16440</v>
      </c>
      <c r="I1693" s="30">
        <f t="shared" si="130"/>
        <v>60</v>
      </c>
      <c r="J1693" s="31">
        <f t="shared" si="131"/>
        <v>0</v>
      </c>
      <c r="K1693" s="29">
        <f t="shared" si="132"/>
        <v>16380</v>
      </c>
      <c r="L1693" s="31" t="str">
        <f t="shared" si="133"/>
        <v/>
      </c>
      <c r="M1693" s="31" t="str">
        <f t="shared" si="134"/>
        <v/>
      </c>
    </row>
    <row r="1694" spans="1:13" x14ac:dyDescent="0.15">
      <c r="A1694" s="163" t="s">
        <v>210</v>
      </c>
      <c r="B1694" s="163">
        <v>42320.687230462965</v>
      </c>
      <c r="C1694" s="164" t="s">
        <v>117</v>
      </c>
      <c r="D1694" s="164" t="s">
        <v>13</v>
      </c>
      <c r="E1694" s="165">
        <v>100</v>
      </c>
      <c r="F1694" s="166">
        <v>0</v>
      </c>
      <c r="G1694" s="227">
        <f>IF($B$2,IF(ROWS(B$6:$B1694) = 1,$B1694-Start_Date,$B1694-$B1693),"")</f>
        <v>2.1101967649883591E-3</v>
      </c>
      <c r="H1694" s="29">
        <f>IF($B$2,IF(ROWS(B$6:$B1694) = 1,IF(COUNTIFS(R_Schedule_Times,"&lt;"&amp;B1694),INDEX(R_Schedule_Amounts,MATCH(B1694,R_Schedule_Times,1)),Starting_Cash),IF(COUNTIFS(R_Schedule_Times,"&gt;"&amp;B1693,R_Schedule_Times,"&lt;"&amp;B1694),INDEX(R_Schedule_Amounts,MATCH(B1694,R_Schedule_Times,1)),K1693)),"")</f>
        <v>16380</v>
      </c>
      <c r="I1694" s="30">
        <f t="shared" si="130"/>
        <v>100</v>
      </c>
      <c r="J1694" s="31">
        <f t="shared" si="131"/>
        <v>0</v>
      </c>
      <c r="K1694" s="29">
        <f t="shared" si="132"/>
        <v>16280</v>
      </c>
      <c r="L1694" s="31" t="str">
        <f t="shared" si="133"/>
        <v/>
      </c>
      <c r="M1694" s="31" t="str">
        <f t="shared" si="134"/>
        <v/>
      </c>
    </row>
    <row r="1695" spans="1:13" x14ac:dyDescent="0.15">
      <c r="A1695" s="163" t="s">
        <v>210</v>
      </c>
      <c r="B1695" s="163">
        <v>42320.693704513891</v>
      </c>
      <c r="C1695" s="164" t="s">
        <v>1733</v>
      </c>
      <c r="D1695" s="164" t="s">
        <v>13</v>
      </c>
      <c r="E1695" s="165">
        <v>120</v>
      </c>
      <c r="F1695" s="166">
        <v>0</v>
      </c>
      <c r="G1695" s="227">
        <f>IF($B$2,IF(ROWS(B$6:$B1695) = 1,$B1695-Start_Date,$B1695-$B1694),"")</f>
        <v>6.4740509260445833E-3</v>
      </c>
      <c r="H1695" s="29">
        <f>IF($B$2,IF(ROWS(B$6:$B1695) = 1,IF(COUNTIFS(R_Schedule_Times,"&lt;"&amp;B1695),INDEX(R_Schedule_Amounts,MATCH(B1695,R_Schedule_Times,1)),Starting_Cash),IF(COUNTIFS(R_Schedule_Times,"&gt;"&amp;B1694,R_Schedule_Times,"&lt;"&amp;B1695),INDEX(R_Schedule_Amounts,MATCH(B1695,R_Schedule_Times,1)),K1694)),"")</f>
        <v>16280</v>
      </c>
      <c r="I1695" s="30">
        <f t="shared" si="130"/>
        <v>120</v>
      </c>
      <c r="J1695" s="31">
        <f t="shared" si="131"/>
        <v>0</v>
      </c>
      <c r="K1695" s="29">
        <f t="shared" si="132"/>
        <v>16160</v>
      </c>
      <c r="L1695" s="31" t="str">
        <f t="shared" si="133"/>
        <v/>
      </c>
      <c r="M1695" s="31" t="str">
        <f t="shared" si="134"/>
        <v/>
      </c>
    </row>
    <row r="1696" spans="1:13" x14ac:dyDescent="0.15">
      <c r="A1696" s="163" t="s">
        <v>210</v>
      </c>
      <c r="B1696" s="163">
        <v>42320.697030682873</v>
      </c>
      <c r="C1696" s="164" t="s">
        <v>434</v>
      </c>
      <c r="D1696" s="164" t="s">
        <v>13</v>
      </c>
      <c r="E1696" s="165">
        <v>60</v>
      </c>
      <c r="F1696" s="166">
        <v>0</v>
      </c>
      <c r="G1696" s="227">
        <f>IF($B$2,IF(ROWS(B$6:$B1696) = 1,$B1696-Start_Date,$B1696-$B1695),"")</f>
        <v>3.3261689823120832E-3</v>
      </c>
      <c r="H1696" s="29">
        <f>IF($B$2,IF(ROWS(B$6:$B1696) = 1,IF(COUNTIFS(R_Schedule_Times,"&lt;"&amp;B1696),INDEX(R_Schedule_Amounts,MATCH(B1696,R_Schedule_Times,1)),Starting_Cash),IF(COUNTIFS(R_Schedule_Times,"&gt;"&amp;B1695,R_Schedule_Times,"&lt;"&amp;B1696),INDEX(R_Schedule_Amounts,MATCH(B1696,R_Schedule_Times,1)),K1695)),"")</f>
        <v>16160</v>
      </c>
      <c r="I1696" s="30">
        <f t="shared" si="130"/>
        <v>60</v>
      </c>
      <c r="J1696" s="31">
        <f t="shared" si="131"/>
        <v>0</v>
      </c>
      <c r="K1696" s="29">
        <f t="shared" si="132"/>
        <v>16100</v>
      </c>
      <c r="L1696" s="31" t="str">
        <f t="shared" si="133"/>
        <v/>
      </c>
      <c r="M1696" s="31" t="str">
        <f t="shared" si="134"/>
        <v/>
      </c>
    </row>
    <row r="1697" spans="1:13" x14ac:dyDescent="0.15">
      <c r="A1697" s="163" t="s">
        <v>210</v>
      </c>
      <c r="B1697" s="163">
        <v>42320.700949930557</v>
      </c>
      <c r="C1697" s="164" t="s">
        <v>1734</v>
      </c>
      <c r="D1697" s="164" t="s">
        <v>13</v>
      </c>
      <c r="E1697" s="165">
        <v>100</v>
      </c>
      <c r="F1697" s="166">
        <v>0</v>
      </c>
      <c r="G1697" s="227">
        <f>IF($B$2,IF(ROWS(B$6:$B1697) = 1,$B1697-Start_Date,$B1697-$B1696),"")</f>
        <v>3.9192476833704859E-3</v>
      </c>
      <c r="H1697" s="29">
        <f>IF($B$2,IF(ROWS(B$6:$B1697) = 1,IF(COUNTIFS(R_Schedule_Times,"&lt;"&amp;B1697),INDEX(R_Schedule_Amounts,MATCH(B1697,R_Schedule_Times,1)),Starting_Cash),IF(COUNTIFS(R_Schedule_Times,"&gt;"&amp;B1696,R_Schedule_Times,"&lt;"&amp;B1697),INDEX(R_Schedule_Amounts,MATCH(B1697,R_Schedule_Times,1)),K1696)),"")</f>
        <v>16100</v>
      </c>
      <c r="I1697" s="30">
        <f t="shared" si="130"/>
        <v>100</v>
      </c>
      <c r="J1697" s="31">
        <f t="shared" si="131"/>
        <v>0</v>
      </c>
      <c r="K1697" s="29">
        <f t="shared" si="132"/>
        <v>16000</v>
      </c>
      <c r="L1697" s="31" t="str">
        <f t="shared" si="133"/>
        <v/>
      </c>
      <c r="M1697" s="31" t="str">
        <f t="shared" si="134"/>
        <v/>
      </c>
    </row>
    <row r="1698" spans="1:13" x14ac:dyDescent="0.15">
      <c r="A1698" s="163" t="s">
        <v>210</v>
      </c>
      <c r="B1698" s="163">
        <v>42320.706442662035</v>
      </c>
      <c r="C1698" s="164" t="s">
        <v>1735</v>
      </c>
      <c r="D1698" s="164" t="s">
        <v>13</v>
      </c>
      <c r="E1698" s="165">
        <v>200</v>
      </c>
      <c r="F1698" s="166">
        <v>0</v>
      </c>
      <c r="G1698" s="227">
        <f>IF($B$2,IF(ROWS(B$6:$B1698) = 1,$B1698-Start_Date,$B1698-$B1697),"")</f>
        <v>5.4927314777160063E-3</v>
      </c>
      <c r="H1698" s="29">
        <f>IF($B$2,IF(ROWS(B$6:$B1698) = 1,IF(COUNTIFS(R_Schedule_Times,"&lt;"&amp;B1698),INDEX(R_Schedule_Amounts,MATCH(B1698,R_Schedule_Times,1)),Starting_Cash),IF(COUNTIFS(R_Schedule_Times,"&gt;"&amp;B1697,R_Schedule_Times,"&lt;"&amp;B1698),INDEX(R_Schedule_Amounts,MATCH(B1698,R_Schedule_Times,1)),K1697)),"")</f>
        <v>16000</v>
      </c>
      <c r="I1698" s="30">
        <f t="shared" si="130"/>
        <v>200</v>
      </c>
      <c r="J1698" s="31">
        <f t="shared" si="131"/>
        <v>0</v>
      </c>
      <c r="K1698" s="29">
        <f t="shared" si="132"/>
        <v>15800</v>
      </c>
      <c r="L1698" s="31" t="str">
        <f t="shared" si="133"/>
        <v/>
      </c>
      <c r="M1698" s="31" t="str">
        <f t="shared" si="134"/>
        <v/>
      </c>
    </row>
    <row r="1699" spans="1:13" x14ac:dyDescent="0.15">
      <c r="A1699" s="163" t="s">
        <v>210</v>
      </c>
      <c r="B1699" s="163">
        <v>42320.710395162037</v>
      </c>
      <c r="C1699" s="164" t="s">
        <v>1736</v>
      </c>
      <c r="D1699" s="164" t="s">
        <v>13</v>
      </c>
      <c r="E1699" s="165">
        <v>440</v>
      </c>
      <c r="F1699" s="166">
        <v>0</v>
      </c>
      <c r="G1699" s="227">
        <f>IF($B$2,IF(ROWS(B$6:$B1699) = 1,$B1699-Start_Date,$B1699-$B1698),"")</f>
        <v>3.9525000029243529E-3</v>
      </c>
      <c r="H1699" s="29">
        <f>IF($B$2,IF(ROWS(B$6:$B1699) = 1,IF(COUNTIFS(R_Schedule_Times,"&lt;"&amp;B1699),INDEX(R_Schedule_Amounts,MATCH(B1699,R_Schedule_Times,1)),Starting_Cash),IF(COUNTIFS(R_Schedule_Times,"&gt;"&amp;B1698,R_Schedule_Times,"&lt;"&amp;B1699),INDEX(R_Schedule_Amounts,MATCH(B1699,R_Schedule_Times,1)),K1698)),"")</f>
        <v>15800</v>
      </c>
      <c r="I1699" s="30">
        <f t="shared" si="130"/>
        <v>440</v>
      </c>
      <c r="J1699" s="31">
        <f t="shared" si="131"/>
        <v>0</v>
      </c>
      <c r="K1699" s="29">
        <f t="shared" si="132"/>
        <v>15360</v>
      </c>
      <c r="L1699" s="31" t="str">
        <f t="shared" si="133"/>
        <v/>
      </c>
      <c r="M1699" s="31" t="str">
        <f t="shared" si="134"/>
        <v/>
      </c>
    </row>
    <row r="1700" spans="1:13" x14ac:dyDescent="0.15">
      <c r="A1700" s="163" t="s">
        <v>210</v>
      </c>
      <c r="B1700" s="163">
        <v>42320.751060057868</v>
      </c>
      <c r="C1700" s="164" t="s">
        <v>1737</v>
      </c>
      <c r="D1700" s="164" t="s">
        <v>13</v>
      </c>
      <c r="E1700" s="165">
        <v>100</v>
      </c>
      <c r="F1700" s="166">
        <v>0</v>
      </c>
      <c r="G1700" s="227">
        <f>IF($B$2,IF(ROWS(B$6:$B1700) = 1,$B1700-Start_Date,$B1700-$B1699),"")</f>
        <v>4.0664895830559544E-2</v>
      </c>
      <c r="H1700" s="29">
        <f>IF($B$2,IF(ROWS(B$6:$B1700) = 1,IF(COUNTIFS(R_Schedule_Times,"&lt;"&amp;B1700),INDEX(R_Schedule_Amounts,MATCH(B1700,R_Schedule_Times,1)),Starting_Cash),IF(COUNTIFS(R_Schedule_Times,"&gt;"&amp;B1699,R_Schedule_Times,"&lt;"&amp;B1700),INDEX(R_Schedule_Amounts,MATCH(B1700,R_Schedule_Times,1)),K1699)),"")</f>
        <v>15360</v>
      </c>
      <c r="I1700" s="30">
        <f t="shared" si="130"/>
        <v>100</v>
      </c>
      <c r="J1700" s="31">
        <f t="shared" si="131"/>
        <v>0</v>
      </c>
      <c r="K1700" s="29">
        <f t="shared" si="132"/>
        <v>15260</v>
      </c>
      <c r="L1700" s="31" t="str">
        <f t="shared" si="133"/>
        <v/>
      </c>
      <c r="M1700" s="31" t="str">
        <f t="shared" si="134"/>
        <v/>
      </c>
    </row>
    <row r="1701" spans="1:13" x14ac:dyDescent="0.15">
      <c r="A1701" s="163" t="s">
        <v>210</v>
      </c>
      <c r="B1701" s="163">
        <v>42320.763760578702</v>
      </c>
      <c r="C1701" s="164" t="s">
        <v>1738</v>
      </c>
      <c r="D1701" s="164" t="s">
        <v>13</v>
      </c>
      <c r="E1701" s="165">
        <v>100</v>
      </c>
      <c r="F1701" s="166">
        <v>0</v>
      </c>
      <c r="G1701" s="227">
        <f>IF($B$2,IF(ROWS(B$6:$B1701) = 1,$B1701-Start_Date,$B1701-$B1700),"")</f>
        <v>1.2700520834187046E-2</v>
      </c>
      <c r="H1701" s="29">
        <f>IF($B$2,IF(ROWS(B$6:$B1701) = 1,IF(COUNTIFS(R_Schedule_Times,"&lt;"&amp;B1701),INDEX(R_Schedule_Amounts,MATCH(B1701,R_Schedule_Times,1)),Starting_Cash),IF(COUNTIFS(R_Schedule_Times,"&gt;"&amp;B1700,R_Schedule_Times,"&lt;"&amp;B1701),INDEX(R_Schedule_Amounts,MATCH(B1701,R_Schedule_Times,1)),K1700)),"")</f>
        <v>15260</v>
      </c>
      <c r="I1701" s="30">
        <f t="shared" si="130"/>
        <v>100</v>
      </c>
      <c r="J1701" s="31">
        <f t="shared" si="131"/>
        <v>0</v>
      </c>
      <c r="K1701" s="29">
        <f t="shared" si="132"/>
        <v>15160</v>
      </c>
      <c r="L1701" s="31" t="str">
        <f t="shared" si="133"/>
        <v/>
      </c>
      <c r="M1701" s="31" t="str">
        <f t="shared" si="134"/>
        <v/>
      </c>
    </row>
    <row r="1702" spans="1:13" x14ac:dyDescent="0.15">
      <c r="A1702" s="163" t="s">
        <v>210</v>
      </c>
      <c r="B1702" s="163">
        <v>42320.765567962961</v>
      </c>
      <c r="C1702" s="164" t="s">
        <v>14</v>
      </c>
      <c r="D1702" s="164" t="s">
        <v>13</v>
      </c>
      <c r="E1702" s="165">
        <v>20</v>
      </c>
      <c r="F1702" s="166">
        <v>3.5</v>
      </c>
      <c r="G1702" s="227">
        <f>IF($B$2,IF(ROWS(B$6:$B1702) = 1,$B1702-Start_Date,$B1702-$B1701),"")</f>
        <v>1.8073842584271915E-3</v>
      </c>
      <c r="H1702" s="29">
        <f>IF($B$2,IF(ROWS(B$6:$B1702) = 1,IF(COUNTIFS(R_Schedule_Times,"&lt;"&amp;B1702),INDEX(R_Schedule_Amounts,MATCH(B1702,R_Schedule_Times,1)),Starting_Cash),IF(COUNTIFS(R_Schedule_Times,"&gt;"&amp;B1701,R_Schedule_Times,"&lt;"&amp;B1702),INDEX(R_Schedule_Amounts,MATCH(B1702,R_Schedule_Times,1)),K1701)),"")</f>
        <v>15160</v>
      </c>
      <c r="I1702" s="30">
        <f t="shared" si="130"/>
        <v>20</v>
      </c>
      <c r="J1702" s="31">
        <f t="shared" si="131"/>
        <v>3.5</v>
      </c>
      <c r="K1702" s="29">
        <f t="shared" si="132"/>
        <v>15140</v>
      </c>
      <c r="L1702" s="31" t="str">
        <f t="shared" si="133"/>
        <v/>
      </c>
      <c r="M1702" s="31" t="str">
        <f t="shared" si="134"/>
        <v/>
      </c>
    </row>
    <row r="1703" spans="1:13" x14ac:dyDescent="0.15">
      <c r="A1703" s="163" t="s">
        <v>210</v>
      </c>
      <c r="B1703" s="163">
        <v>42320.786074699077</v>
      </c>
      <c r="C1703" s="164" t="s">
        <v>1739</v>
      </c>
      <c r="D1703" s="164" t="s">
        <v>13</v>
      </c>
      <c r="E1703" s="165">
        <v>200</v>
      </c>
      <c r="F1703" s="166">
        <v>0</v>
      </c>
      <c r="G1703" s="227">
        <f>IF($B$2,IF(ROWS(B$6:$B1703) = 1,$B1703-Start_Date,$B1703-$B1702),"")</f>
        <v>2.0506736116658431E-2</v>
      </c>
      <c r="H1703" s="29">
        <f>IF($B$2,IF(ROWS(B$6:$B1703) = 1,IF(COUNTIFS(R_Schedule_Times,"&lt;"&amp;B1703),INDEX(R_Schedule_Amounts,MATCH(B1703,R_Schedule_Times,1)),Starting_Cash),IF(COUNTIFS(R_Schedule_Times,"&gt;"&amp;B1702,R_Schedule_Times,"&lt;"&amp;B1703),INDEX(R_Schedule_Amounts,MATCH(B1703,R_Schedule_Times,1)),K1702)),"")</f>
        <v>15140</v>
      </c>
      <c r="I1703" s="30">
        <f t="shared" si="130"/>
        <v>200</v>
      </c>
      <c r="J1703" s="31">
        <f t="shared" si="131"/>
        <v>0</v>
      </c>
      <c r="K1703" s="29">
        <f t="shared" si="132"/>
        <v>14940</v>
      </c>
      <c r="L1703" s="31" t="str">
        <f t="shared" si="133"/>
        <v/>
      </c>
      <c r="M1703" s="31" t="str">
        <f t="shared" si="134"/>
        <v/>
      </c>
    </row>
    <row r="1704" spans="1:13" x14ac:dyDescent="0.15">
      <c r="A1704" s="163" t="s">
        <v>210</v>
      </c>
      <c r="B1704" s="163">
        <v>42320.786712777779</v>
      </c>
      <c r="C1704" s="164" t="s">
        <v>14</v>
      </c>
      <c r="D1704" s="164" t="s">
        <v>15</v>
      </c>
      <c r="E1704" s="165">
        <v>20</v>
      </c>
      <c r="F1704" s="166">
        <v>3.1</v>
      </c>
      <c r="G1704" s="227">
        <f>IF($B$2,IF(ROWS(B$6:$B1704) = 1,$B1704-Start_Date,$B1704-$B1703),"")</f>
        <v>6.3807870174059644E-4</v>
      </c>
      <c r="H1704" s="29">
        <f>IF($B$2,IF(ROWS(B$6:$B1704) = 1,IF(COUNTIFS(R_Schedule_Times,"&lt;"&amp;B1704),INDEX(R_Schedule_Amounts,MATCH(B1704,R_Schedule_Times,1)),Starting_Cash),IF(COUNTIFS(R_Schedule_Times,"&gt;"&amp;B1703,R_Schedule_Times,"&lt;"&amp;B1704),INDEX(R_Schedule_Amounts,MATCH(B1704,R_Schedule_Times,1)),K1703)),"")</f>
        <v>14940</v>
      </c>
      <c r="I1704" s="30">
        <f t="shared" si="130"/>
        <v>20</v>
      </c>
      <c r="J1704" s="31">
        <f t="shared" si="131"/>
        <v>3.1</v>
      </c>
      <c r="K1704" s="29">
        <f t="shared" si="132"/>
        <v>14920</v>
      </c>
      <c r="L1704" s="31" t="str">
        <f t="shared" si="133"/>
        <v/>
      </c>
      <c r="M1704" s="31" t="str">
        <f t="shared" si="134"/>
        <v/>
      </c>
    </row>
    <row r="1705" spans="1:13" x14ac:dyDescent="0.15">
      <c r="A1705" s="163" t="s">
        <v>210</v>
      </c>
      <c r="B1705" s="163">
        <v>42320.788898506944</v>
      </c>
      <c r="C1705" s="164" t="s">
        <v>1740</v>
      </c>
      <c r="D1705" s="164" t="s">
        <v>13</v>
      </c>
      <c r="E1705" s="165">
        <v>60</v>
      </c>
      <c r="F1705" s="166">
        <v>0</v>
      </c>
      <c r="G1705" s="227">
        <f>IF($B$2,IF(ROWS(B$6:$B1705) = 1,$B1705-Start_Date,$B1705-$B1704),"")</f>
        <v>2.1857291649212129E-3</v>
      </c>
      <c r="H1705" s="29">
        <f>IF($B$2,IF(ROWS(B$6:$B1705) = 1,IF(COUNTIFS(R_Schedule_Times,"&lt;"&amp;B1705),INDEX(R_Schedule_Amounts,MATCH(B1705,R_Schedule_Times,1)),Starting_Cash),IF(COUNTIFS(R_Schedule_Times,"&gt;"&amp;B1704,R_Schedule_Times,"&lt;"&amp;B1705),INDEX(R_Schedule_Amounts,MATCH(B1705,R_Schedule_Times,1)),K1704)),"")</f>
        <v>14920</v>
      </c>
      <c r="I1705" s="30">
        <f t="shared" si="130"/>
        <v>60</v>
      </c>
      <c r="J1705" s="31">
        <f t="shared" si="131"/>
        <v>0</v>
      </c>
      <c r="K1705" s="29">
        <f t="shared" si="132"/>
        <v>14860</v>
      </c>
      <c r="L1705" s="31" t="str">
        <f t="shared" si="133"/>
        <v/>
      </c>
      <c r="M1705" s="31" t="str">
        <f t="shared" si="134"/>
        <v/>
      </c>
    </row>
    <row r="1706" spans="1:13" x14ac:dyDescent="0.15">
      <c r="A1706" s="163" t="s">
        <v>210</v>
      </c>
      <c r="B1706" s="163">
        <v>42320.800171180555</v>
      </c>
      <c r="C1706" s="164" t="s">
        <v>1741</v>
      </c>
      <c r="D1706" s="164" t="s">
        <v>13</v>
      </c>
      <c r="E1706" s="165">
        <v>100</v>
      </c>
      <c r="F1706" s="166">
        <v>0</v>
      </c>
      <c r="G1706" s="227">
        <f>IF($B$2,IF(ROWS(B$6:$B1706) = 1,$B1706-Start_Date,$B1706-$B1705),"")</f>
        <v>1.1272673611529171E-2</v>
      </c>
      <c r="H1706" s="29">
        <f>IF($B$2,IF(ROWS(B$6:$B1706) = 1,IF(COUNTIFS(R_Schedule_Times,"&lt;"&amp;B1706),INDEX(R_Schedule_Amounts,MATCH(B1706,R_Schedule_Times,1)),Starting_Cash),IF(COUNTIFS(R_Schedule_Times,"&gt;"&amp;B1705,R_Schedule_Times,"&lt;"&amp;B1706),INDEX(R_Schedule_Amounts,MATCH(B1706,R_Schedule_Times,1)),K1705)),"")</f>
        <v>14860</v>
      </c>
      <c r="I1706" s="30">
        <f t="shared" si="130"/>
        <v>100</v>
      </c>
      <c r="J1706" s="31">
        <f t="shared" si="131"/>
        <v>0</v>
      </c>
      <c r="K1706" s="29">
        <f t="shared" si="132"/>
        <v>14760</v>
      </c>
      <c r="L1706" s="31" t="str">
        <f t="shared" si="133"/>
        <v/>
      </c>
      <c r="M1706" s="31" t="str">
        <f t="shared" si="134"/>
        <v/>
      </c>
    </row>
    <row r="1707" spans="1:13" x14ac:dyDescent="0.15">
      <c r="A1707" s="163" t="s">
        <v>210</v>
      </c>
      <c r="B1707" s="163">
        <v>42320.834752372684</v>
      </c>
      <c r="C1707" s="164" t="s">
        <v>1742</v>
      </c>
      <c r="D1707" s="164" t="s">
        <v>13</v>
      </c>
      <c r="E1707" s="165">
        <v>100</v>
      </c>
      <c r="F1707" s="166">
        <v>0</v>
      </c>
      <c r="G1707" s="227">
        <f>IF($B$2,IF(ROWS(B$6:$B1707) = 1,$B1707-Start_Date,$B1707-$B1706),"")</f>
        <v>3.4581192128825933E-2</v>
      </c>
      <c r="H1707" s="29">
        <f>IF($B$2,IF(ROWS(B$6:$B1707) = 1,IF(COUNTIFS(R_Schedule_Times,"&lt;"&amp;B1707),INDEX(R_Schedule_Amounts,MATCH(B1707,R_Schedule_Times,1)),Starting_Cash),IF(COUNTIFS(R_Schedule_Times,"&gt;"&amp;B1706,R_Schedule_Times,"&lt;"&amp;B1707),INDEX(R_Schedule_Amounts,MATCH(B1707,R_Schedule_Times,1)),K1706)),"")</f>
        <v>14760</v>
      </c>
      <c r="I1707" s="30">
        <f t="shared" si="130"/>
        <v>100</v>
      </c>
      <c r="J1707" s="31">
        <f t="shared" si="131"/>
        <v>0</v>
      </c>
      <c r="K1707" s="29">
        <f t="shared" si="132"/>
        <v>14660</v>
      </c>
      <c r="L1707" s="31" t="str">
        <f t="shared" si="133"/>
        <v/>
      </c>
      <c r="M1707" s="31" t="str">
        <f t="shared" si="134"/>
        <v/>
      </c>
    </row>
    <row r="1708" spans="1:13" x14ac:dyDescent="0.15">
      <c r="A1708" s="163" t="s">
        <v>210</v>
      </c>
      <c r="B1708" s="163">
        <v>42320.836984872687</v>
      </c>
      <c r="C1708" s="164" t="s">
        <v>1743</v>
      </c>
      <c r="D1708" s="164" t="s">
        <v>13</v>
      </c>
      <c r="E1708" s="165">
        <v>100</v>
      </c>
      <c r="F1708" s="166">
        <v>0</v>
      </c>
      <c r="G1708" s="227">
        <f>IF($B$2,IF(ROWS(B$6:$B1708) = 1,$B1708-Start_Date,$B1708-$B1707),"")</f>
        <v>2.2325000027194619E-3</v>
      </c>
      <c r="H1708" s="29">
        <f>IF($B$2,IF(ROWS(B$6:$B1708) = 1,IF(COUNTIFS(R_Schedule_Times,"&lt;"&amp;B1708),INDEX(R_Schedule_Amounts,MATCH(B1708,R_Schedule_Times,1)),Starting_Cash),IF(COUNTIFS(R_Schedule_Times,"&gt;"&amp;B1707,R_Schedule_Times,"&lt;"&amp;B1708),INDEX(R_Schedule_Amounts,MATCH(B1708,R_Schedule_Times,1)),K1707)),"")</f>
        <v>14660</v>
      </c>
      <c r="I1708" s="30">
        <f t="shared" si="130"/>
        <v>100</v>
      </c>
      <c r="J1708" s="31">
        <f t="shared" si="131"/>
        <v>0</v>
      </c>
      <c r="K1708" s="29">
        <f t="shared" si="132"/>
        <v>14560</v>
      </c>
      <c r="L1708" s="31" t="str">
        <f t="shared" si="133"/>
        <v/>
      </c>
      <c r="M1708" s="31" t="str">
        <f t="shared" si="134"/>
        <v/>
      </c>
    </row>
    <row r="1709" spans="1:13" x14ac:dyDescent="0.15">
      <c r="A1709" s="163" t="s">
        <v>210</v>
      </c>
      <c r="B1709" s="163">
        <v>42320.853492083334</v>
      </c>
      <c r="C1709" s="164" t="s">
        <v>1744</v>
      </c>
      <c r="D1709" s="164" t="s">
        <v>13</v>
      </c>
      <c r="E1709" s="165">
        <v>120</v>
      </c>
      <c r="F1709" s="166">
        <v>0</v>
      </c>
      <c r="G1709" s="227">
        <f>IF($B$2,IF(ROWS(B$6:$B1709) = 1,$B1709-Start_Date,$B1709-$B1708),"")</f>
        <v>1.6507210646523163E-2</v>
      </c>
      <c r="H1709" s="29">
        <f>IF($B$2,IF(ROWS(B$6:$B1709) = 1,IF(COUNTIFS(R_Schedule_Times,"&lt;"&amp;B1709),INDEX(R_Schedule_Amounts,MATCH(B1709,R_Schedule_Times,1)),Starting_Cash),IF(COUNTIFS(R_Schedule_Times,"&gt;"&amp;B1708,R_Schedule_Times,"&lt;"&amp;B1709),INDEX(R_Schedule_Amounts,MATCH(B1709,R_Schedule_Times,1)),K1708)),"")</f>
        <v>14560</v>
      </c>
      <c r="I1709" s="30">
        <f t="shared" si="130"/>
        <v>120</v>
      </c>
      <c r="J1709" s="31">
        <f t="shared" si="131"/>
        <v>0</v>
      </c>
      <c r="K1709" s="29">
        <f t="shared" si="132"/>
        <v>14440</v>
      </c>
      <c r="L1709" s="31" t="str">
        <f t="shared" si="133"/>
        <v/>
      </c>
      <c r="M1709" s="31" t="str">
        <f t="shared" si="134"/>
        <v/>
      </c>
    </row>
    <row r="1710" spans="1:13" x14ac:dyDescent="0.15">
      <c r="A1710" s="163" t="s">
        <v>210</v>
      </c>
      <c r="B1710" s="163">
        <v>42320.854577500002</v>
      </c>
      <c r="C1710" s="164" t="s">
        <v>1592</v>
      </c>
      <c r="D1710" s="164" t="s">
        <v>13</v>
      </c>
      <c r="E1710" s="165">
        <v>80</v>
      </c>
      <c r="F1710" s="166">
        <v>0</v>
      </c>
      <c r="G1710" s="227">
        <f>IF($B$2,IF(ROWS(B$6:$B1710) = 1,$B1710-Start_Date,$B1710-$B1709),"")</f>
        <v>1.0854166685021482E-3</v>
      </c>
      <c r="H1710" s="29">
        <f>IF($B$2,IF(ROWS(B$6:$B1710) = 1,IF(COUNTIFS(R_Schedule_Times,"&lt;"&amp;B1710),INDEX(R_Schedule_Amounts,MATCH(B1710,R_Schedule_Times,1)),Starting_Cash),IF(COUNTIFS(R_Schedule_Times,"&gt;"&amp;B1709,R_Schedule_Times,"&lt;"&amp;B1710),INDEX(R_Schedule_Amounts,MATCH(B1710,R_Schedule_Times,1)),K1709)),"")</f>
        <v>14440</v>
      </c>
      <c r="I1710" s="30">
        <f t="shared" si="130"/>
        <v>80</v>
      </c>
      <c r="J1710" s="31">
        <f t="shared" si="131"/>
        <v>0</v>
      </c>
      <c r="K1710" s="29">
        <f t="shared" si="132"/>
        <v>14360</v>
      </c>
      <c r="L1710" s="31" t="str">
        <f t="shared" si="133"/>
        <v/>
      </c>
      <c r="M1710" s="31" t="str">
        <f t="shared" si="134"/>
        <v/>
      </c>
    </row>
    <row r="1711" spans="1:13" x14ac:dyDescent="0.15">
      <c r="A1711" s="163" t="s">
        <v>210</v>
      </c>
      <c r="B1711" s="163">
        <v>42320.918020914352</v>
      </c>
      <c r="C1711" s="164" t="s">
        <v>1745</v>
      </c>
      <c r="D1711" s="164" t="s">
        <v>13</v>
      </c>
      <c r="E1711" s="165">
        <v>80</v>
      </c>
      <c r="F1711" s="166">
        <v>0</v>
      </c>
      <c r="G1711" s="227">
        <f>IF($B$2,IF(ROWS(B$6:$B1711) = 1,$B1711-Start_Date,$B1711-$B1710),"")</f>
        <v>6.3443414350331295E-2</v>
      </c>
      <c r="H1711" s="29">
        <f>IF($B$2,IF(ROWS(B$6:$B1711) = 1,IF(COUNTIFS(R_Schedule_Times,"&lt;"&amp;B1711),INDEX(R_Schedule_Amounts,MATCH(B1711,R_Schedule_Times,1)),Starting_Cash),IF(COUNTIFS(R_Schedule_Times,"&gt;"&amp;B1710,R_Schedule_Times,"&lt;"&amp;B1711),INDEX(R_Schedule_Amounts,MATCH(B1711,R_Schedule_Times,1)),K1710)),"")</f>
        <v>14360</v>
      </c>
      <c r="I1711" s="30">
        <f t="shared" si="130"/>
        <v>80</v>
      </c>
      <c r="J1711" s="31">
        <f t="shared" si="131"/>
        <v>0</v>
      </c>
      <c r="K1711" s="29">
        <f t="shared" si="132"/>
        <v>14280</v>
      </c>
      <c r="L1711" s="31" t="str">
        <f t="shared" si="133"/>
        <v/>
      </c>
      <c r="M1711" s="31" t="str">
        <f t="shared" si="134"/>
        <v/>
      </c>
    </row>
    <row r="1712" spans="1:13" x14ac:dyDescent="0.15">
      <c r="A1712" s="163" t="s">
        <v>210</v>
      </c>
      <c r="B1712" s="163">
        <v>42320.920521701388</v>
      </c>
      <c r="C1712" s="164" t="s">
        <v>198</v>
      </c>
      <c r="D1712" s="164" t="s">
        <v>13</v>
      </c>
      <c r="E1712" s="165">
        <v>60</v>
      </c>
      <c r="F1712" s="166">
        <v>0</v>
      </c>
      <c r="G1712" s="227">
        <f>IF($B$2,IF(ROWS(B$6:$B1712) = 1,$B1712-Start_Date,$B1712-$B1711),"")</f>
        <v>2.500787035387475E-3</v>
      </c>
      <c r="H1712" s="29">
        <f>IF($B$2,IF(ROWS(B$6:$B1712) = 1,IF(COUNTIFS(R_Schedule_Times,"&lt;"&amp;B1712),INDEX(R_Schedule_Amounts,MATCH(B1712,R_Schedule_Times,1)),Starting_Cash),IF(COUNTIFS(R_Schedule_Times,"&gt;"&amp;B1711,R_Schedule_Times,"&lt;"&amp;B1712),INDEX(R_Schedule_Amounts,MATCH(B1712,R_Schedule_Times,1)),K1711)),"")</f>
        <v>14280</v>
      </c>
      <c r="I1712" s="30">
        <f t="shared" si="130"/>
        <v>60</v>
      </c>
      <c r="J1712" s="31">
        <f t="shared" si="131"/>
        <v>0</v>
      </c>
      <c r="K1712" s="29">
        <f t="shared" si="132"/>
        <v>14220</v>
      </c>
      <c r="L1712" s="31" t="str">
        <f t="shared" si="133"/>
        <v/>
      </c>
      <c r="M1712" s="31" t="str">
        <f t="shared" si="134"/>
        <v/>
      </c>
    </row>
    <row r="1713" spans="1:13" x14ac:dyDescent="0.15">
      <c r="A1713" s="163" t="s">
        <v>210</v>
      </c>
      <c r="B1713" s="163">
        <v>42320.940404988425</v>
      </c>
      <c r="C1713" s="164" t="s">
        <v>1746</v>
      </c>
      <c r="D1713" s="164" t="s">
        <v>13</v>
      </c>
      <c r="E1713" s="165">
        <v>200</v>
      </c>
      <c r="F1713" s="166">
        <v>0</v>
      </c>
      <c r="G1713" s="227">
        <f>IF($B$2,IF(ROWS(B$6:$B1713) = 1,$B1713-Start_Date,$B1713-$B1712),"")</f>
        <v>1.988328703737352E-2</v>
      </c>
      <c r="H1713" s="29">
        <f>IF($B$2,IF(ROWS(B$6:$B1713) = 1,IF(COUNTIFS(R_Schedule_Times,"&lt;"&amp;B1713),INDEX(R_Schedule_Amounts,MATCH(B1713,R_Schedule_Times,1)),Starting_Cash),IF(COUNTIFS(R_Schedule_Times,"&gt;"&amp;B1712,R_Schedule_Times,"&lt;"&amp;B1713),INDEX(R_Schedule_Amounts,MATCH(B1713,R_Schedule_Times,1)),K1712)),"")</f>
        <v>14220</v>
      </c>
      <c r="I1713" s="30">
        <f t="shared" si="130"/>
        <v>200</v>
      </c>
      <c r="J1713" s="31">
        <f t="shared" si="131"/>
        <v>0</v>
      </c>
      <c r="K1713" s="29">
        <f t="shared" si="132"/>
        <v>14020</v>
      </c>
      <c r="L1713" s="31" t="str">
        <f t="shared" si="133"/>
        <v/>
      </c>
      <c r="M1713" s="31" t="str">
        <f t="shared" si="134"/>
        <v/>
      </c>
    </row>
    <row r="1714" spans="1:13" x14ac:dyDescent="0.15">
      <c r="A1714" s="163" t="s">
        <v>210</v>
      </c>
      <c r="B1714" s="163">
        <v>42320.960937094904</v>
      </c>
      <c r="C1714" s="164" t="s">
        <v>633</v>
      </c>
      <c r="D1714" s="164" t="s">
        <v>13</v>
      </c>
      <c r="E1714" s="165">
        <v>60</v>
      </c>
      <c r="F1714" s="166">
        <v>0</v>
      </c>
      <c r="G1714" s="227">
        <f>IF($B$2,IF(ROWS(B$6:$B1714) = 1,$B1714-Start_Date,$B1714-$B1713),"")</f>
        <v>2.0532106478640344E-2</v>
      </c>
      <c r="H1714" s="29">
        <f>IF($B$2,IF(ROWS(B$6:$B1714) = 1,IF(COUNTIFS(R_Schedule_Times,"&lt;"&amp;B1714),INDEX(R_Schedule_Amounts,MATCH(B1714,R_Schedule_Times,1)),Starting_Cash),IF(COUNTIFS(R_Schedule_Times,"&gt;"&amp;B1713,R_Schedule_Times,"&lt;"&amp;B1714),INDEX(R_Schedule_Amounts,MATCH(B1714,R_Schedule_Times,1)),K1713)),"")</f>
        <v>14020</v>
      </c>
      <c r="I1714" s="30">
        <f t="shared" si="130"/>
        <v>60</v>
      </c>
      <c r="J1714" s="31">
        <f t="shared" si="131"/>
        <v>0</v>
      </c>
      <c r="K1714" s="29">
        <f t="shared" si="132"/>
        <v>13960</v>
      </c>
      <c r="L1714" s="31" t="str">
        <f t="shared" si="133"/>
        <v/>
      </c>
      <c r="M1714" s="31" t="str">
        <f t="shared" si="134"/>
        <v/>
      </c>
    </row>
    <row r="1715" spans="1:13" x14ac:dyDescent="0.15">
      <c r="A1715" s="163" t="s">
        <v>210</v>
      </c>
      <c r="B1715" s="163">
        <v>42321.271560150461</v>
      </c>
      <c r="C1715" s="164" t="s">
        <v>1747</v>
      </c>
      <c r="D1715" s="164" t="s">
        <v>13</v>
      </c>
      <c r="E1715" s="165">
        <v>20</v>
      </c>
      <c r="F1715" s="166">
        <v>0</v>
      </c>
      <c r="G1715" s="227">
        <f>IF($B$2,IF(ROWS(B$6:$B1715) = 1,$B1715-Start_Date,$B1715-$B1714),"")</f>
        <v>0.31062305555678904</v>
      </c>
      <c r="H1715" s="29">
        <f>IF($B$2,IF(ROWS(B$6:$B1715) = 1,IF(COUNTIFS(R_Schedule_Times,"&lt;"&amp;B1715),INDEX(R_Schedule_Amounts,MATCH(B1715,R_Schedule_Times,1)),Starting_Cash),IF(COUNTIFS(R_Schedule_Times,"&gt;"&amp;B1714,R_Schedule_Times,"&lt;"&amp;B1715),INDEX(R_Schedule_Amounts,MATCH(B1715,R_Schedule_Times,1)),K1714)),"")</f>
        <v>13960</v>
      </c>
      <c r="I1715" s="30">
        <f t="shared" si="130"/>
        <v>20</v>
      </c>
      <c r="J1715" s="31">
        <f t="shared" si="131"/>
        <v>0</v>
      </c>
      <c r="K1715" s="29">
        <f t="shared" si="132"/>
        <v>13940</v>
      </c>
      <c r="L1715" s="31" t="str">
        <f t="shared" si="133"/>
        <v/>
      </c>
      <c r="M1715" s="31" t="str">
        <f t="shared" si="134"/>
        <v/>
      </c>
    </row>
    <row r="1716" spans="1:13" x14ac:dyDescent="0.15">
      <c r="A1716" s="163" t="s">
        <v>210</v>
      </c>
      <c r="B1716" s="163">
        <v>42321.313022847222</v>
      </c>
      <c r="C1716" s="164" t="s">
        <v>14</v>
      </c>
      <c r="D1716" s="164" t="s">
        <v>15</v>
      </c>
      <c r="E1716" s="165">
        <v>100</v>
      </c>
      <c r="F1716" s="166">
        <v>5.5</v>
      </c>
      <c r="G1716" s="227">
        <f>IF($B$2,IF(ROWS(B$6:$B1716) = 1,$B1716-Start_Date,$B1716-$B1715),"")</f>
        <v>4.1462696761300322E-2</v>
      </c>
      <c r="H1716" s="29">
        <f>IF($B$2,IF(ROWS(B$6:$B1716) = 1,IF(COUNTIFS(R_Schedule_Times,"&lt;"&amp;B1716),INDEX(R_Schedule_Amounts,MATCH(B1716,R_Schedule_Times,1)),Starting_Cash),IF(COUNTIFS(R_Schedule_Times,"&gt;"&amp;B1715,R_Schedule_Times,"&lt;"&amp;B1716),INDEX(R_Schedule_Amounts,MATCH(B1716,R_Schedule_Times,1)),K1715)),"")</f>
        <v>13940</v>
      </c>
      <c r="I1716" s="30">
        <f t="shared" si="130"/>
        <v>100</v>
      </c>
      <c r="J1716" s="31">
        <f t="shared" si="131"/>
        <v>5.5</v>
      </c>
      <c r="K1716" s="29">
        <f t="shared" si="132"/>
        <v>13840</v>
      </c>
      <c r="L1716" s="31" t="str">
        <f t="shared" si="133"/>
        <v/>
      </c>
      <c r="M1716" s="31" t="str">
        <f t="shared" si="134"/>
        <v/>
      </c>
    </row>
    <row r="1717" spans="1:13" x14ac:dyDescent="0.15">
      <c r="A1717" s="163" t="s">
        <v>210</v>
      </c>
      <c r="B1717" s="163">
        <v>42321.324675011572</v>
      </c>
      <c r="C1717" s="164" t="s">
        <v>14</v>
      </c>
      <c r="D1717" s="164" t="s">
        <v>13</v>
      </c>
      <c r="E1717" s="165">
        <v>100</v>
      </c>
      <c r="F1717" s="166">
        <v>3.5</v>
      </c>
      <c r="G1717" s="227">
        <f>IF($B$2,IF(ROWS(B$6:$B1717) = 1,$B1717-Start_Date,$B1717-$B1716),"")</f>
        <v>1.165216435038019E-2</v>
      </c>
      <c r="H1717" s="29">
        <f>IF($B$2,IF(ROWS(B$6:$B1717) = 1,IF(COUNTIFS(R_Schedule_Times,"&lt;"&amp;B1717),INDEX(R_Schedule_Amounts,MATCH(B1717,R_Schedule_Times,1)),Starting_Cash),IF(COUNTIFS(R_Schedule_Times,"&gt;"&amp;B1716,R_Schedule_Times,"&lt;"&amp;B1717),INDEX(R_Schedule_Amounts,MATCH(B1717,R_Schedule_Times,1)),K1716)),"")</f>
        <v>13840</v>
      </c>
      <c r="I1717" s="30">
        <f t="shared" si="130"/>
        <v>100</v>
      </c>
      <c r="J1717" s="31">
        <f t="shared" si="131"/>
        <v>3.5</v>
      </c>
      <c r="K1717" s="29">
        <f t="shared" si="132"/>
        <v>13740</v>
      </c>
      <c r="L1717" s="31" t="str">
        <f t="shared" si="133"/>
        <v/>
      </c>
      <c r="M1717" s="31" t="str">
        <f t="shared" si="134"/>
        <v/>
      </c>
    </row>
    <row r="1718" spans="1:13" x14ac:dyDescent="0.15">
      <c r="A1718" s="163" t="s">
        <v>210</v>
      </c>
      <c r="B1718" s="163">
        <v>42321.32721239583</v>
      </c>
      <c r="C1718" s="164" t="s">
        <v>1748</v>
      </c>
      <c r="D1718" s="164" t="s">
        <v>13</v>
      </c>
      <c r="E1718" s="165">
        <v>80</v>
      </c>
      <c r="F1718" s="166">
        <v>0</v>
      </c>
      <c r="G1718" s="227">
        <f>IF($B$2,IF(ROWS(B$6:$B1718) = 1,$B1718-Start_Date,$B1718-$B1717),"")</f>
        <v>2.5373842581757344E-3</v>
      </c>
      <c r="H1718" s="29">
        <f>IF($B$2,IF(ROWS(B$6:$B1718) = 1,IF(COUNTIFS(R_Schedule_Times,"&lt;"&amp;B1718),INDEX(R_Schedule_Amounts,MATCH(B1718,R_Schedule_Times,1)),Starting_Cash),IF(COUNTIFS(R_Schedule_Times,"&gt;"&amp;B1717,R_Schedule_Times,"&lt;"&amp;B1718),INDEX(R_Schedule_Amounts,MATCH(B1718,R_Schedule_Times,1)),K1717)),"")</f>
        <v>13740</v>
      </c>
      <c r="I1718" s="30">
        <f t="shared" si="130"/>
        <v>80</v>
      </c>
      <c r="J1718" s="31">
        <f t="shared" si="131"/>
        <v>0</v>
      </c>
      <c r="K1718" s="29">
        <f t="shared" si="132"/>
        <v>13660</v>
      </c>
      <c r="L1718" s="31" t="str">
        <f t="shared" si="133"/>
        <v/>
      </c>
      <c r="M1718" s="31" t="str">
        <f t="shared" si="134"/>
        <v/>
      </c>
    </row>
    <row r="1719" spans="1:13" x14ac:dyDescent="0.15">
      <c r="A1719" s="163" t="s">
        <v>210</v>
      </c>
      <c r="B1719" s="163">
        <v>42321.336359629633</v>
      </c>
      <c r="C1719" s="164" t="s">
        <v>1749</v>
      </c>
      <c r="D1719" s="164" t="s">
        <v>13</v>
      </c>
      <c r="E1719" s="165">
        <v>60</v>
      </c>
      <c r="F1719" s="166">
        <v>0</v>
      </c>
      <c r="G1719" s="227">
        <f>IF($B$2,IF(ROWS(B$6:$B1719) = 1,$B1719-Start_Date,$B1719-$B1718),"")</f>
        <v>9.1472338026505895E-3</v>
      </c>
      <c r="H1719" s="29">
        <f>IF($B$2,IF(ROWS(B$6:$B1719) = 1,IF(COUNTIFS(R_Schedule_Times,"&lt;"&amp;B1719),INDEX(R_Schedule_Amounts,MATCH(B1719,R_Schedule_Times,1)),Starting_Cash),IF(COUNTIFS(R_Schedule_Times,"&gt;"&amp;B1718,R_Schedule_Times,"&lt;"&amp;B1719),INDEX(R_Schedule_Amounts,MATCH(B1719,R_Schedule_Times,1)),K1718)),"")</f>
        <v>13660</v>
      </c>
      <c r="I1719" s="30">
        <f t="shared" si="130"/>
        <v>60</v>
      </c>
      <c r="J1719" s="31">
        <f t="shared" si="131"/>
        <v>0</v>
      </c>
      <c r="K1719" s="29">
        <f t="shared" si="132"/>
        <v>13600</v>
      </c>
      <c r="L1719" s="31" t="str">
        <f t="shared" si="133"/>
        <v/>
      </c>
      <c r="M1719" s="31" t="str">
        <f t="shared" si="134"/>
        <v/>
      </c>
    </row>
    <row r="1720" spans="1:13" x14ac:dyDescent="0.15">
      <c r="A1720" s="163" t="s">
        <v>210</v>
      </c>
      <c r="B1720" s="163">
        <v>42321.340203761574</v>
      </c>
      <c r="C1720" s="164" t="s">
        <v>1750</v>
      </c>
      <c r="D1720" s="164" t="s">
        <v>13</v>
      </c>
      <c r="E1720" s="165">
        <v>60</v>
      </c>
      <c r="F1720" s="166">
        <v>0</v>
      </c>
      <c r="G1720" s="227">
        <f>IF($B$2,IF(ROWS(B$6:$B1720) = 1,$B1720-Start_Date,$B1720-$B1719),"")</f>
        <v>3.8441319411504082E-3</v>
      </c>
      <c r="H1720" s="29">
        <f>IF($B$2,IF(ROWS(B$6:$B1720) = 1,IF(COUNTIFS(R_Schedule_Times,"&lt;"&amp;B1720),INDEX(R_Schedule_Amounts,MATCH(B1720,R_Schedule_Times,1)),Starting_Cash),IF(COUNTIFS(R_Schedule_Times,"&gt;"&amp;B1719,R_Schedule_Times,"&lt;"&amp;B1720),INDEX(R_Schedule_Amounts,MATCH(B1720,R_Schedule_Times,1)),K1719)),"")</f>
        <v>13600</v>
      </c>
      <c r="I1720" s="30">
        <f t="shared" si="130"/>
        <v>60</v>
      </c>
      <c r="J1720" s="31">
        <f t="shared" si="131"/>
        <v>0</v>
      </c>
      <c r="K1720" s="29">
        <f t="shared" si="132"/>
        <v>13540</v>
      </c>
      <c r="L1720" s="31" t="str">
        <f t="shared" si="133"/>
        <v/>
      </c>
      <c r="M1720" s="31" t="str">
        <f t="shared" si="134"/>
        <v/>
      </c>
    </row>
    <row r="1721" spans="1:13" x14ac:dyDescent="0.15">
      <c r="A1721" s="163" t="s">
        <v>210</v>
      </c>
      <c r="B1721" s="163">
        <v>42321.347098298611</v>
      </c>
      <c r="C1721" s="164" t="s">
        <v>1751</v>
      </c>
      <c r="D1721" s="164" t="s">
        <v>13</v>
      </c>
      <c r="E1721" s="165">
        <v>120</v>
      </c>
      <c r="F1721" s="166">
        <v>0</v>
      </c>
      <c r="G1721" s="227">
        <f>IF($B$2,IF(ROWS(B$6:$B1721) = 1,$B1721-Start_Date,$B1721-$B1720),"")</f>
        <v>6.8945370367146097E-3</v>
      </c>
      <c r="H1721" s="29">
        <f>IF($B$2,IF(ROWS(B$6:$B1721) = 1,IF(COUNTIFS(R_Schedule_Times,"&lt;"&amp;B1721),INDEX(R_Schedule_Amounts,MATCH(B1721,R_Schedule_Times,1)),Starting_Cash),IF(COUNTIFS(R_Schedule_Times,"&gt;"&amp;B1720,R_Schedule_Times,"&lt;"&amp;B1721),INDEX(R_Schedule_Amounts,MATCH(B1721,R_Schedule_Times,1)),K1720)),"")</f>
        <v>13540</v>
      </c>
      <c r="I1721" s="30">
        <f t="shared" si="130"/>
        <v>120</v>
      </c>
      <c r="J1721" s="31">
        <f t="shared" si="131"/>
        <v>0</v>
      </c>
      <c r="K1721" s="29">
        <f t="shared" si="132"/>
        <v>13420</v>
      </c>
      <c r="L1721" s="31" t="str">
        <f t="shared" si="133"/>
        <v/>
      </c>
      <c r="M1721" s="31" t="str">
        <f t="shared" si="134"/>
        <v/>
      </c>
    </row>
    <row r="1722" spans="1:13" x14ac:dyDescent="0.15">
      <c r="A1722" s="163" t="s">
        <v>210</v>
      </c>
      <c r="B1722" s="163">
        <v>42321.361350219908</v>
      </c>
      <c r="C1722" s="164" t="s">
        <v>1752</v>
      </c>
      <c r="D1722" s="164" t="s">
        <v>13</v>
      </c>
      <c r="E1722" s="165">
        <v>140</v>
      </c>
      <c r="F1722" s="166">
        <v>0</v>
      </c>
      <c r="G1722" s="227">
        <f>IF($B$2,IF(ROWS(B$6:$B1722) = 1,$B1722-Start_Date,$B1722-$B1721),"")</f>
        <v>1.4251921296818182E-2</v>
      </c>
      <c r="H1722" s="29">
        <f>IF($B$2,IF(ROWS(B$6:$B1722) = 1,IF(COUNTIFS(R_Schedule_Times,"&lt;"&amp;B1722),INDEX(R_Schedule_Amounts,MATCH(B1722,R_Schedule_Times,1)),Starting_Cash),IF(COUNTIFS(R_Schedule_Times,"&gt;"&amp;B1721,R_Schedule_Times,"&lt;"&amp;B1722),INDEX(R_Schedule_Amounts,MATCH(B1722,R_Schedule_Times,1)),K1721)),"")</f>
        <v>13420</v>
      </c>
      <c r="I1722" s="30">
        <f t="shared" si="130"/>
        <v>140</v>
      </c>
      <c r="J1722" s="31">
        <f t="shared" si="131"/>
        <v>0</v>
      </c>
      <c r="K1722" s="29">
        <f t="shared" si="132"/>
        <v>13280</v>
      </c>
      <c r="L1722" s="31" t="str">
        <f t="shared" si="133"/>
        <v/>
      </c>
      <c r="M1722" s="31" t="str">
        <f t="shared" si="134"/>
        <v/>
      </c>
    </row>
    <row r="1723" spans="1:13" x14ac:dyDescent="0.15">
      <c r="A1723" s="163" t="s">
        <v>210</v>
      </c>
      <c r="B1723" s="163">
        <v>42321.370274687499</v>
      </c>
      <c r="C1723" s="164" t="s">
        <v>163</v>
      </c>
      <c r="D1723" s="164" t="s">
        <v>13</v>
      </c>
      <c r="E1723" s="165">
        <v>20</v>
      </c>
      <c r="F1723" s="166">
        <v>0</v>
      </c>
      <c r="G1723" s="227">
        <f>IF($B$2,IF(ROWS(B$6:$B1723) = 1,$B1723-Start_Date,$B1723-$B1722),"")</f>
        <v>8.924467590986751E-3</v>
      </c>
      <c r="H1723" s="29">
        <f>IF($B$2,IF(ROWS(B$6:$B1723) = 1,IF(COUNTIFS(R_Schedule_Times,"&lt;"&amp;B1723),INDEX(R_Schedule_Amounts,MATCH(B1723,R_Schedule_Times,1)),Starting_Cash),IF(COUNTIFS(R_Schedule_Times,"&gt;"&amp;B1722,R_Schedule_Times,"&lt;"&amp;B1723),INDEX(R_Schedule_Amounts,MATCH(B1723,R_Schedule_Times,1)),K1722)),"")</f>
        <v>13280</v>
      </c>
      <c r="I1723" s="30">
        <f t="shared" si="130"/>
        <v>20</v>
      </c>
      <c r="J1723" s="31">
        <f t="shared" si="131"/>
        <v>0</v>
      </c>
      <c r="K1723" s="29">
        <f t="shared" si="132"/>
        <v>13260</v>
      </c>
      <c r="L1723" s="31" t="str">
        <f t="shared" si="133"/>
        <v/>
      </c>
      <c r="M1723" s="31" t="str">
        <f t="shared" si="134"/>
        <v/>
      </c>
    </row>
    <row r="1724" spans="1:13" x14ac:dyDescent="0.15">
      <c r="A1724" s="163" t="s">
        <v>210</v>
      </c>
      <c r="B1724" s="163">
        <v>42321.385124583336</v>
      </c>
      <c r="C1724" s="164" t="s">
        <v>1753</v>
      </c>
      <c r="D1724" s="164" t="s">
        <v>13</v>
      </c>
      <c r="E1724" s="165">
        <v>200</v>
      </c>
      <c r="F1724" s="166">
        <v>0</v>
      </c>
      <c r="G1724" s="227">
        <f>IF($B$2,IF(ROWS(B$6:$B1724) = 1,$B1724-Start_Date,$B1724-$B1723),"")</f>
        <v>1.4849895836960059E-2</v>
      </c>
      <c r="H1724" s="29">
        <f>IF($B$2,IF(ROWS(B$6:$B1724) = 1,IF(COUNTIFS(R_Schedule_Times,"&lt;"&amp;B1724),INDEX(R_Schedule_Amounts,MATCH(B1724,R_Schedule_Times,1)),Starting_Cash),IF(COUNTIFS(R_Schedule_Times,"&gt;"&amp;B1723,R_Schedule_Times,"&lt;"&amp;B1724),INDEX(R_Schedule_Amounts,MATCH(B1724,R_Schedule_Times,1)),K1723)),"")</f>
        <v>13260</v>
      </c>
      <c r="I1724" s="30">
        <f t="shared" si="130"/>
        <v>200</v>
      </c>
      <c r="J1724" s="31">
        <f t="shared" si="131"/>
        <v>0</v>
      </c>
      <c r="K1724" s="29">
        <f t="shared" si="132"/>
        <v>13060</v>
      </c>
      <c r="L1724" s="31" t="str">
        <f t="shared" si="133"/>
        <v/>
      </c>
      <c r="M1724" s="31" t="str">
        <f t="shared" si="134"/>
        <v/>
      </c>
    </row>
    <row r="1725" spans="1:13" x14ac:dyDescent="0.15">
      <c r="A1725" s="163" t="s">
        <v>210</v>
      </c>
      <c r="B1725" s="163">
        <v>42321.405537592589</v>
      </c>
      <c r="C1725" s="164" t="s">
        <v>14</v>
      </c>
      <c r="D1725" s="164" t="s">
        <v>13</v>
      </c>
      <c r="E1725" s="165">
        <v>100</v>
      </c>
      <c r="F1725" s="166">
        <v>3.5</v>
      </c>
      <c r="G1725" s="227">
        <f>IF($B$2,IF(ROWS(B$6:$B1725) = 1,$B1725-Start_Date,$B1725-$B1724),"")</f>
        <v>2.0413009253388736E-2</v>
      </c>
      <c r="H1725" s="29">
        <f>IF($B$2,IF(ROWS(B$6:$B1725) = 1,IF(COUNTIFS(R_Schedule_Times,"&lt;"&amp;B1725),INDEX(R_Schedule_Amounts,MATCH(B1725,R_Schedule_Times,1)),Starting_Cash),IF(COUNTIFS(R_Schedule_Times,"&gt;"&amp;B1724,R_Schedule_Times,"&lt;"&amp;B1725),INDEX(R_Schedule_Amounts,MATCH(B1725,R_Schedule_Times,1)),K1724)),"")</f>
        <v>13060</v>
      </c>
      <c r="I1725" s="30">
        <f t="shared" si="130"/>
        <v>100</v>
      </c>
      <c r="J1725" s="31">
        <f t="shared" si="131"/>
        <v>3.5</v>
      </c>
      <c r="K1725" s="29">
        <f t="shared" si="132"/>
        <v>12960</v>
      </c>
      <c r="L1725" s="31" t="str">
        <f t="shared" si="133"/>
        <v/>
      </c>
      <c r="M1725" s="31" t="str">
        <f t="shared" si="134"/>
        <v/>
      </c>
    </row>
    <row r="1726" spans="1:13" x14ac:dyDescent="0.15">
      <c r="A1726" s="163" t="s">
        <v>210</v>
      </c>
      <c r="B1726" s="163">
        <v>42321.407977222225</v>
      </c>
      <c r="C1726" s="164" t="s">
        <v>435</v>
      </c>
      <c r="D1726" s="164" t="s">
        <v>13</v>
      </c>
      <c r="E1726" s="165">
        <v>40</v>
      </c>
      <c r="F1726" s="166">
        <v>0</v>
      </c>
      <c r="G1726" s="227">
        <f>IF($B$2,IF(ROWS(B$6:$B1726) = 1,$B1726-Start_Date,$B1726-$B1725),"")</f>
        <v>2.4396296357735991E-3</v>
      </c>
      <c r="H1726" s="29">
        <f>IF($B$2,IF(ROWS(B$6:$B1726) = 1,IF(COUNTIFS(R_Schedule_Times,"&lt;"&amp;B1726),INDEX(R_Schedule_Amounts,MATCH(B1726,R_Schedule_Times,1)),Starting_Cash),IF(COUNTIFS(R_Schedule_Times,"&gt;"&amp;B1725,R_Schedule_Times,"&lt;"&amp;B1726),INDEX(R_Schedule_Amounts,MATCH(B1726,R_Schedule_Times,1)),K1725)),"")</f>
        <v>12960</v>
      </c>
      <c r="I1726" s="30">
        <f t="shared" si="130"/>
        <v>40</v>
      </c>
      <c r="J1726" s="31">
        <f t="shared" si="131"/>
        <v>0</v>
      </c>
      <c r="K1726" s="29">
        <f t="shared" si="132"/>
        <v>12920</v>
      </c>
      <c r="L1726" s="31" t="str">
        <f t="shared" si="133"/>
        <v/>
      </c>
      <c r="M1726" s="31" t="str">
        <f t="shared" si="134"/>
        <v/>
      </c>
    </row>
    <row r="1727" spans="1:13" x14ac:dyDescent="0.15">
      <c r="A1727" s="163" t="s">
        <v>210</v>
      </c>
      <c r="B1727" s="163">
        <v>42321.416219259256</v>
      </c>
      <c r="C1727" s="164" t="s">
        <v>1754</v>
      </c>
      <c r="D1727" s="164" t="s">
        <v>13</v>
      </c>
      <c r="E1727" s="165">
        <v>40</v>
      </c>
      <c r="F1727" s="166">
        <v>0</v>
      </c>
      <c r="G1727" s="227">
        <f>IF($B$2,IF(ROWS(B$6:$B1727) = 1,$B1727-Start_Date,$B1727-$B1726),"")</f>
        <v>8.2420370308682323E-3</v>
      </c>
      <c r="H1727" s="29">
        <f>IF($B$2,IF(ROWS(B$6:$B1727) = 1,IF(COUNTIFS(R_Schedule_Times,"&lt;"&amp;B1727),INDEX(R_Schedule_Amounts,MATCH(B1727,R_Schedule_Times,1)),Starting_Cash),IF(COUNTIFS(R_Schedule_Times,"&gt;"&amp;B1726,R_Schedule_Times,"&lt;"&amp;B1727),INDEX(R_Schedule_Amounts,MATCH(B1727,R_Schedule_Times,1)),K1726)),"")</f>
        <v>12920</v>
      </c>
      <c r="I1727" s="30">
        <f t="shared" si="130"/>
        <v>40</v>
      </c>
      <c r="J1727" s="31">
        <f t="shared" si="131"/>
        <v>0</v>
      </c>
      <c r="K1727" s="29">
        <f t="shared" si="132"/>
        <v>12880</v>
      </c>
      <c r="L1727" s="31" t="str">
        <f t="shared" si="133"/>
        <v/>
      </c>
      <c r="M1727" s="31" t="str">
        <f t="shared" si="134"/>
        <v/>
      </c>
    </row>
    <row r="1728" spans="1:13" x14ac:dyDescent="0.15">
      <c r="A1728" s="163" t="s">
        <v>210</v>
      </c>
      <c r="B1728" s="163">
        <v>42321.426645324071</v>
      </c>
      <c r="C1728" s="164" t="s">
        <v>14</v>
      </c>
      <c r="D1728" s="164" t="s">
        <v>13</v>
      </c>
      <c r="E1728" s="165">
        <v>400</v>
      </c>
      <c r="F1728" s="166">
        <v>3.5</v>
      </c>
      <c r="G1728" s="227">
        <f>IF($B$2,IF(ROWS(B$6:$B1728) = 1,$B1728-Start_Date,$B1728-$B1727),"")</f>
        <v>1.0426064814964775E-2</v>
      </c>
      <c r="H1728" s="29">
        <f>IF($B$2,IF(ROWS(B$6:$B1728) = 1,IF(COUNTIFS(R_Schedule_Times,"&lt;"&amp;B1728),INDEX(R_Schedule_Amounts,MATCH(B1728,R_Schedule_Times,1)),Starting_Cash),IF(COUNTIFS(R_Schedule_Times,"&gt;"&amp;B1727,R_Schedule_Times,"&lt;"&amp;B1728),INDEX(R_Schedule_Amounts,MATCH(B1728,R_Schedule_Times,1)),K1727)),"")</f>
        <v>12880</v>
      </c>
      <c r="I1728" s="30">
        <f t="shared" si="130"/>
        <v>400</v>
      </c>
      <c r="J1728" s="31">
        <f t="shared" si="131"/>
        <v>3.5</v>
      </c>
      <c r="K1728" s="29">
        <f t="shared" si="132"/>
        <v>12480</v>
      </c>
      <c r="L1728" s="31" t="str">
        <f t="shared" si="133"/>
        <v/>
      </c>
      <c r="M1728" s="31" t="str">
        <f t="shared" si="134"/>
        <v/>
      </c>
    </row>
    <row r="1729" spans="1:13" x14ac:dyDescent="0.15">
      <c r="A1729" s="163" t="s">
        <v>210</v>
      </c>
      <c r="B1729" s="163">
        <v>42321.437147314813</v>
      </c>
      <c r="C1729" s="164" t="s">
        <v>1755</v>
      </c>
      <c r="D1729" s="164" t="s">
        <v>13</v>
      </c>
      <c r="E1729" s="165">
        <v>20</v>
      </c>
      <c r="F1729" s="166">
        <v>0</v>
      </c>
      <c r="G1729" s="227">
        <f>IF($B$2,IF(ROWS(B$6:$B1729) = 1,$B1729-Start_Date,$B1729-$B1728),"")</f>
        <v>1.050199074234115E-2</v>
      </c>
      <c r="H1729" s="29">
        <f>IF($B$2,IF(ROWS(B$6:$B1729) = 1,IF(COUNTIFS(R_Schedule_Times,"&lt;"&amp;B1729),INDEX(R_Schedule_Amounts,MATCH(B1729,R_Schedule_Times,1)),Starting_Cash),IF(COUNTIFS(R_Schedule_Times,"&gt;"&amp;B1728,R_Schedule_Times,"&lt;"&amp;B1729),INDEX(R_Schedule_Amounts,MATCH(B1729,R_Schedule_Times,1)),K1728)),"")</f>
        <v>12480</v>
      </c>
      <c r="I1729" s="30">
        <f t="shared" si="130"/>
        <v>20</v>
      </c>
      <c r="J1729" s="31">
        <f t="shared" si="131"/>
        <v>0</v>
      </c>
      <c r="K1729" s="29">
        <f t="shared" si="132"/>
        <v>12460</v>
      </c>
      <c r="L1729" s="31" t="str">
        <f t="shared" si="133"/>
        <v/>
      </c>
      <c r="M1729" s="31" t="str">
        <f t="shared" si="134"/>
        <v/>
      </c>
    </row>
    <row r="1730" spans="1:13" x14ac:dyDescent="0.15">
      <c r="A1730" s="163" t="s">
        <v>210</v>
      </c>
      <c r="B1730" s="163">
        <v>42321.438809976855</v>
      </c>
      <c r="C1730" s="164" t="s">
        <v>1756</v>
      </c>
      <c r="D1730" s="164" t="s">
        <v>13</v>
      </c>
      <c r="E1730" s="165">
        <v>40</v>
      </c>
      <c r="F1730" s="166">
        <v>0</v>
      </c>
      <c r="G1730" s="227">
        <f>IF($B$2,IF(ROWS(B$6:$B1730) = 1,$B1730-Start_Date,$B1730-$B1729),"")</f>
        <v>1.6626620417810045E-3</v>
      </c>
      <c r="H1730" s="29">
        <f>IF($B$2,IF(ROWS(B$6:$B1730) = 1,IF(COUNTIFS(R_Schedule_Times,"&lt;"&amp;B1730),INDEX(R_Schedule_Amounts,MATCH(B1730,R_Schedule_Times,1)),Starting_Cash),IF(COUNTIFS(R_Schedule_Times,"&gt;"&amp;B1729,R_Schedule_Times,"&lt;"&amp;B1730),INDEX(R_Schedule_Amounts,MATCH(B1730,R_Schedule_Times,1)),K1729)),"")</f>
        <v>12460</v>
      </c>
      <c r="I1730" s="30">
        <f t="shared" si="130"/>
        <v>40</v>
      </c>
      <c r="J1730" s="31">
        <f t="shared" si="131"/>
        <v>0</v>
      </c>
      <c r="K1730" s="29">
        <f t="shared" si="132"/>
        <v>12420</v>
      </c>
      <c r="L1730" s="31" t="str">
        <f t="shared" si="133"/>
        <v/>
      </c>
      <c r="M1730" s="31" t="str">
        <f t="shared" si="134"/>
        <v/>
      </c>
    </row>
    <row r="1731" spans="1:13" x14ac:dyDescent="0.15">
      <c r="A1731" s="163" t="s">
        <v>210</v>
      </c>
      <c r="B1731" s="163">
        <v>42321.441747233795</v>
      </c>
      <c r="C1731" s="164" t="s">
        <v>1757</v>
      </c>
      <c r="D1731" s="164" t="s">
        <v>13</v>
      </c>
      <c r="E1731" s="165">
        <v>100</v>
      </c>
      <c r="F1731" s="166">
        <v>0</v>
      </c>
      <c r="G1731" s="227">
        <f>IF($B$2,IF(ROWS(B$6:$B1731) = 1,$B1731-Start_Date,$B1731-$B1730),"")</f>
        <v>2.9372569406405091E-3</v>
      </c>
      <c r="H1731" s="29">
        <f>IF($B$2,IF(ROWS(B$6:$B1731) = 1,IF(COUNTIFS(R_Schedule_Times,"&lt;"&amp;B1731),INDEX(R_Schedule_Amounts,MATCH(B1731,R_Schedule_Times,1)),Starting_Cash),IF(COUNTIFS(R_Schedule_Times,"&gt;"&amp;B1730,R_Schedule_Times,"&lt;"&amp;B1731),INDEX(R_Schedule_Amounts,MATCH(B1731,R_Schedule_Times,1)),K1730)),"")</f>
        <v>12420</v>
      </c>
      <c r="I1731" s="30">
        <f t="shared" si="130"/>
        <v>100</v>
      </c>
      <c r="J1731" s="31">
        <f t="shared" si="131"/>
        <v>0</v>
      </c>
      <c r="K1731" s="29">
        <f t="shared" si="132"/>
        <v>12320</v>
      </c>
      <c r="L1731" s="31" t="str">
        <f t="shared" si="133"/>
        <v/>
      </c>
      <c r="M1731" s="31" t="str">
        <f t="shared" si="134"/>
        <v/>
      </c>
    </row>
    <row r="1732" spans="1:13" x14ac:dyDescent="0.15">
      <c r="A1732" s="163" t="s">
        <v>210</v>
      </c>
      <c r="B1732" s="163">
        <v>42321.453505011574</v>
      </c>
      <c r="C1732" s="164" t="s">
        <v>436</v>
      </c>
      <c r="D1732" s="164" t="s">
        <v>13</v>
      </c>
      <c r="E1732" s="165">
        <v>200</v>
      </c>
      <c r="F1732" s="166">
        <v>0</v>
      </c>
      <c r="G1732" s="227">
        <f>IF($B$2,IF(ROWS(B$6:$B1732) = 1,$B1732-Start_Date,$B1732-$B1731),"")</f>
        <v>1.175777777825715E-2</v>
      </c>
      <c r="H1732" s="29">
        <f>IF($B$2,IF(ROWS(B$6:$B1732) = 1,IF(COUNTIFS(R_Schedule_Times,"&lt;"&amp;B1732),INDEX(R_Schedule_Amounts,MATCH(B1732,R_Schedule_Times,1)),Starting_Cash),IF(COUNTIFS(R_Schedule_Times,"&gt;"&amp;B1731,R_Schedule_Times,"&lt;"&amp;B1732),INDEX(R_Schedule_Amounts,MATCH(B1732,R_Schedule_Times,1)),K1731)),"")</f>
        <v>12320</v>
      </c>
      <c r="I1732" s="30">
        <f t="shared" si="130"/>
        <v>200</v>
      </c>
      <c r="J1732" s="31">
        <f t="shared" si="131"/>
        <v>0</v>
      </c>
      <c r="K1732" s="29">
        <f t="shared" si="132"/>
        <v>12120</v>
      </c>
      <c r="L1732" s="31" t="str">
        <f t="shared" si="133"/>
        <v/>
      </c>
      <c r="M1732" s="31" t="str">
        <f t="shared" si="134"/>
        <v/>
      </c>
    </row>
    <row r="1733" spans="1:13" x14ac:dyDescent="0.15">
      <c r="A1733" s="163" t="s">
        <v>210</v>
      </c>
      <c r="B1733" s="163">
        <v>42321.462721446762</v>
      </c>
      <c r="C1733" s="164" t="s">
        <v>1758</v>
      </c>
      <c r="D1733" s="164" t="s">
        <v>13</v>
      </c>
      <c r="E1733" s="165">
        <v>80</v>
      </c>
      <c r="F1733" s="166">
        <v>0</v>
      </c>
      <c r="G1733" s="227">
        <f>IF($B$2,IF(ROWS(B$6:$B1733) = 1,$B1733-Start_Date,$B1733-$B1732),"")</f>
        <v>9.2164351881365292E-3</v>
      </c>
      <c r="H1733" s="29">
        <f>IF($B$2,IF(ROWS(B$6:$B1733) = 1,IF(COUNTIFS(R_Schedule_Times,"&lt;"&amp;B1733),INDEX(R_Schedule_Amounts,MATCH(B1733,R_Schedule_Times,1)),Starting_Cash),IF(COUNTIFS(R_Schedule_Times,"&gt;"&amp;B1732,R_Schedule_Times,"&lt;"&amp;B1733),INDEX(R_Schedule_Amounts,MATCH(B1733,R_Schedule_Times,1)),K1732)),"")</f>
        <v>12120</v>
      </c>
      <c r="I1733" s="30">
        <f t="shared" si="130"/>
        <v>80</v>
      </c>
      <c r="J1733" s="31">
        <f t="shared" si="131"/>
        <v>0</v>
      </c>
      <c r="K1733" s="29">
        <f t="shared" si="132"/>
        <v>12040</v>
      </c>
      <c r="L1733" s="31" t="str">
        <f t="shared" si="133"/>
        <v/>
      </c>
      <c r="M1733" s="31" t="str">
        <f t="shared" si="134"/>
        <v/>
      </c>
    </row>
    <row r="1734" spans="1:13" x14ac:dyDescent="0.15">
      <c r="A1734" s="163" t="s">
        <v>210</v>
      </c>
      <c r="B1734" s="163">
        <v>42321.465857118055</v>
      </c>
      <c r="C1734" s="164" t="s">
        <v>1759</v>
      </c>
      <c r="D1734" s="164" t="s">
        <v>13</v>
      </c>
      <c r="E1734" s="165">
        <v>100</v>
      </c>
      <c r="F1734" s="166">
        <v>0</v>
      </c>
      <c r="G1734" s="227">
        <f>IF($B$2,IF(ROWS(B$6:$B1734) = 1,$B1734-Start_Date,$B1734-$B1733),"")</f>
        <v>3.1356712934211828E-3</v>
      </c>
      <c r="H1734" s="29">
        <f>IF($B$2,IF(ROWS(B$6:$B1734) = 1,IF(COUNTIFS(R_Schedule_Times,"&lt;"&amp;B1734),INDEX(R_Schedule_Amounts,MATCH(B1734,R_Schedule_Times,1)),Starting_Cash),IF(COUNTIFS(R_Schedule_Times,"&gt;"&amp;B1733,R_Schedule_Times,"&lt;"&amp;B1734),INDEX(R_Schedule_Amounts,MATCH(B1734,R_Schedule_Times,1)),K1733)),"")</f>
        <v>12040</v>
      </c>
      <c r="I1734" s="30">
        <f t="shared" si="130"/>
        <v>100</v>
      </c>
      <c r="J1734" s="31">
        <f t="shared" si="131"/>
        <v>0</v>
      </c>
      <c r="K1734" s="29">
        <f t="shared" si="132"/>
        <v>11940</v>
      </c>
      <c r="L1734" s="31" t="str">
        <f t="shared" si="133"/>
        <v/>
      </c>
      <c r="M1734" s="31" t="str">
        <f t="shared" si="134"/>
        <v/>
      </c>
    </row>
    <row r="1735" spans="1:13" x14ac:dyDescent="0.15">
      <c r="A1735" s="163" t="s">
        <v>210</v>
      </c>
      <c r="B1735" s="163">
        <v>42321.471223217595</v>
      </c>
      <c r="C1735" s="164" t="s">
        <v>437</v>
      </c>
      <c r="D1735" s="164" t="s">
        <v>13</v>
      </c>
      <c r="E1735" s="165">
        <v>200</v>
      </c>
      <c r="F1735" s="166">
        <v>0</v>
      </c>
      <c r="G1735" s="227">
        <f>IF($B$2,IF(ROWS(B$6:$B1735) = 1,$B1735-Start_Date,$B1735-$B1734),"")</f>
        <v>5.3660995399695821E-3</v>
      </c>
      <c r="H1735" s="29">
        <f>IF($B$2,IF(ROWS(B$6:$B1735) = 1,IF(COUNTIFS(R_Schedule_Times,"&lt;"&amp;B1735),INDEX(R_Schedule_Amounts,MATCH(B1735,R_Schedule_Times,1)),Starting_Cash),IF(COUNTIFS(R_Schedule_Times,"&gt;"&amp;B1734,R_Schedule_Times,"&lt;"&amp;B1735),INDEX(R_Schedule_Amounts,MATCH(B1735,R_Schedule_Times,1)),K1734)),"")</f>
        <v>11940</v>
      </c>
      <c r="I1735" s="30">
        <f t="shared" ref="I1735:I1798" si="135">IF($B$2,IF(H1735&gt;=E1735,E1735,0),"")</f>
        <v>200</v>
      </c>
      <c r="J1735" s="31">
        <f t="shared" ref="J1735:J1798" si="136">IF($B$2,IF(H1735&gt;=E1735,F1735,0),"")</f>
        <v>0</v>
      </c>
      <c r="K1735" s="29">
        <f t="shared" ref="K1735:K1798" si="137">IF($B$2,ABS(I1735-H1735),"")</f>
        <v>11740</v>
      </c>
      <c r="L1735" s="31" t="str">
        <f t="shared" ref="L1735:L1798" si="138">IF($B$2,IF(H1735&lt;E1735,"YES",""),"")</f>
        <v/>
      </c>
      <c r="M1735" s="31" t="str">
        <f t="shared" ref="M1735:M1798" si="139">IF($B$2,IF(L1735="YES",F1735,""),"")</f>
        <v/>
      </c>
    </row>
    <row r="1736" spans="1:13" x14ac:dyDescent="0.15">
      <c r="A1736" s="163" t="s">
        <v>210</v>
      </c>
      <c r="B1736" s="163">
        <v>42321.484663009258</v>
      </c>
      <c r="C1736" s="164" t="s">
        <v>1760</v>
      </c>
      <c r="D1736" s="164" t="s">
        <v>13</v>
      </c>
      <c r="E1736" s="165">
        <v>100</v>
      </c>
      <c r="F1736" s="166">
        <v>0</v>
      </c>
      <c r="G1736" s="227">
        <f>IF($B$2,IF(ROWS(B$6:$B1736) = 1,$B1736-Start_Date,$B1736-$B1735),"")</f>
        <v>1.3439791662676726E-2</v>
      </c>
      <c r="H1736" s="29">
        <f>IF($B$2,IF(ROWS(B$6:$B1736) = 1,IF(COUNTIFS(R_Schedule_Times,"&lt;"&amp;B1736),INDEX(R_Schedule_Amounts,MATCH(B1736,R_Schedule_Times,1)),Starting_Cash),IF(COUNTIFS(R_Schedule_Times,"&gt;"&amp;B1735,R_Schedule_Times,"&lt;"&amp;B1736),INDEX(R_Schedule_Amounts,MATCH(B1736,R_Schedule_Times,1)),K1735)),"")</f>
        <v>11740</v>
      </c>
      <c r="I1736" s="30">
        <f t="shared" si="135"/>
        <v>100</v>
      </c>
      <c r="J1736" s="31">
        <f t="shared" si="136"/>
        <v>0</v>
      </c>
      <c r="K1736" s="29">
        <f t="shared" si="137"/>
        <v>11640</v>
      </c>
      <c r="L1736" s="31" t="str">
        <f t="shared" si="138"/>
        <v/>
      </c>
      <c r="M1736" s="31" t="str">
        <f t="shared" si="139"/>
        <v/>
      </c>
    </row>
    <row r="1737" spans="1:13" x14ac:dyDescent="0.15">
      <c r="A1737" s="163" t="s">
        <v>210</v>
      </c>
      <c r="B1737" s="163">
        <v>42321.488052291665</v>
      </c>
      <c r="C1737" s="164" t="s">
        <v>1761</v>
      </c>
      <c r="D1737" s="164" t="s">
        <v>13</v>
      </c>
      <c r="E1737" s="165">
        <v>500</v>
      </c>
      <c r="F1737" s="166">
        <v>0</v>
      </c>
      <c r="G1737" s="227">
        <f>IF($B$2,IF(ROWS(B$6:$B1737) = 1,$B1737-Start_Date,$B1737-$B1736),"")</f>
        <v>3.3892824067152105E-3</v>
      </c>
      <c r="H1737" s="29">
        <f>IF($B$2,IF(ROWS(B$6:$B1737) = 1,IF(COUNTIFS(R_Schedule_Times,"&lt;"&amp;B1737),INDEX(R_Schedule_Amounts,MATCH(B1737,R_Schedule_Times,1)),Starting_Cash),IF(COUNTIFS(R_Schedule_Times,"&gt;"&amp;B1736,R_Schedule_Times,"&lt;"&amp;B1737),INDEX(R_Schedule_Amounts,MATCH(B1737,R_Schedule_Times,1)),K1736)),"")</f>
        <v>11640</v>
      </c>
      <c r="I1737" s="30">
        <f t="shared" si="135"/>
        <v>500</v>
      </c>
      <c r="J1737" s="31">
        <f t="shared" si="136"/>
        <v>0</v>
      </c>
      <c r="K1737" s="29">
        <f t="shared" si="137"/>
        <v>11140</v>
      </c>
      <c r="L1737" s="31" t="str">
        <f t="shared" si="138"/>
        <v/>
      </c>
      <c r="M1737" s="31" t="str">
        <f t="shared" si="139"/>
        <v/>
      </c>
    </row>
    <row r="1738" spans="1:13" x14ac:dyDescent="0.15">
      <c r="A1738" s="163" t="s">
        <v>210</v>
      </c>
      <c r="B1738" s="163">
        <v>42321.493074942133</v>
      </c>
      <c r="C1738" s="164" t="s">
        <v>1762</v>
      </c>
      <c r="D1738" s="164" t="s">
        <v>13</v>
      </c>
      <c r="E1738" s="165">
        <v>100</v>
      </c>
      <c r="F1738" s="166">
        <v>0</v>
      </c>
      <c r="G1738" s="227">
        <f>IF($B$2,IF(ROWS(B$6:$B1738) = 1,$B1738-Start_Date,$B1738-$B1737),"")</f>
        <v>5.0226504681631923E-3</v>
      </c>
      <c r="H1738" s="29">
        <f>IF($B$2,IF(ROWS(B$6:$B1738) = 1,IF(COUNTIFS(R_Schedule_Times,"&lt;"&amp;B1738),INDEX(R_Schedule_Amounts,MATCH(B1738,R_Schedule_Times,1)),Starting_Cash),IF(COUNTIFS(R_Schedule_Times,"&gt;"&amp;B1737,R_Schedule_Times,"&lt;"&amp;B1738),INDEX(R_Schedule_Amounts,MATCH(B1738,R_Schedule_Times,1)),K1737)),"")</f>
        <v>11140</v>
      </c>
      <c r="I1738" s="30">
        <f t="shared" si="135"/>
        <v>100</v>
      </c>
      <c r="J1738" s="31">
        <f t="shared" si="136"/>
        <v>0</v>
      </c>
      <c r="K1738" s="29">
        <f t="shared" si="137"/>
        <v>11040</v>
      </c>
      <c r="L1738" s="31" t="str">
        <f t="shared" si="138"/>
        <v/>
      </c>
      <c r="M1738" s="31" t="str">
        <f t="shared" si="139"/>
        <v/>
      </c>
    </row>
    <row r="1739" spans="1:13" x14ac:dyDescent="0.15">
      <c r="A1739" s="163" t="s">
        <v>210</v>
      </c>
      <c r="B1739" s="163">
        <v>42321.498201273149</v>
      </c>
      <c r="C1739" s="164" t="s">
        <v>1763</v>
      </c>
      <c r="D1739" s="164" t="s">
        <v>13</v>
      </c>
      <c r="E1739" s="165">
        <v>200</v>
      </c>
      <c r="F1739" s="166">
        <v>0</v>
      </c>
      <c r="G1739" s="227">
        <f>IF($B$2,IF(ROWS(B$6:$B1739) = 1,$B1739-Start_Date,$B1739-$B1738),"")</f>
        <v>5.1263310160720721E-3</v>
      </c>
      <c r="H1739" s="29">
        <f>IF($B$2,IF(ROWS(B$6:$B1739) = 1,IF(COUNTIFS(R_Schedule_Times,"&lt;"&amp;B1739),INDEX(R_Schedule_Amounts,MATCH(B1739,R_Schedule_Times,1)),Starting_Cash),IF(COUNTIFS(R_Schedule_Times,"&gt;"&amp;B1738,R_Schedule_Times,"&lt;"&amp;B1739),INDEX(R_Schedule_Amounts,MATCH(B1739,R_Schedule_Times,1)),K1738)),"")</f>
        <v>11040</v>
      </c>
      <c r="I1739" s="30">
        <f t="shared" si="135"/>
        <v>200</v>
      </c>
      <c r="J1739" s="31">
        <f t="shared" si="136"/>
        <v>0</v>
      </c>
      <c r="K1739" s="29">
        <f t="shared" si="137"/>
        <v>10840</v>
      </c>
      <c r="L1739" s="31" t="str">
        <f t="shared" si="138"/>
        <v/>
      </c>
      <c r="M1739" s="31" t="str">
        <f t="shared" si="139"/>
        <v/>
      </c>
    </row>
    <row r="1740" spans="1:13" x14ac:dyDescent="0.15">
      <c r="A1740" s="163" t="s">
        <v>210</v>
      </c>
      <c r="B1740" s="163">
        <v>42321.499251400463</v>
      </c>
      <c r="C1740" s="164" t="s">
        <v>1764</v>
      </c>
      <c r="D1740" s="164" t="s">
        <v>13</v>
      </c>
      <c r="E1740" s="165">
        <v>200</v>
      </c>
      <c r="F1740" s="166">
        <v>0</v>
      </c>
      <c r="G1740" s="227">
        <f>IF($B$2,IF(ROWS(B$6:$B1740) = 1,$B1740-Start_Date,$B1740-$B1739),"")</f>
        <v>1.0501273136469536E-3</v>
      </c>
      <c r="H1740" s="29">
        <f>IF($B$2,IF(ROWS(B$6:$B1740) = 1,IF(COUNTIFS(R_Schedule_Times,"&lt;"&amp;B1740),INDEX(R_Schedule_Amounts,MATCH(B1740,R_Schedule_Times,1)),Starting_Cash),IF(COUNTIFS(R_Schedule_Times,"&gt;"&amp;B1739,R_Schedule_Times,"&lt;"&amp;B1740),INDEX(R_Schedule_Amounts,MATCH(B1740,R_Schedule_Times,1)),K1739)),"")</f>
        <v>10840</v>
      </c>
      <c r="I1740" s="30">
        <f t="shared" si="135"/>
        <v>200</v>
      </c>
      <c r="J1740" s="31">
        <f t="shared" si="136"/>
        <v>0</v>
      </c>
      <c r="K1740" s="29">
        <f t="shared" si="137"/>
        <v>10640</v>
      </c>
      <c r="L1740" s="31" t="str">
        <f t="shared" si="138"/>
        <v/>
      </c>
      <c r="M1740" s="31" t="str">
        <f t="shared" si="139"/>
        <v/>
      </c>
    </row>
    <row r="1741" spans="1:13" x14ac:dyDescent="0.15">
      <c r="A1741" s="163" t="s">
        <v>210</v>
      </c>
      <c r="B1741" s="163">
        <v>42321.500401666664</v>
      </c>
      <c r="C1741" s="164" t="s">
        <v>1765</v>
      </c>
      <c r="D1741" s="164" t="s">
        <v>13</v>
      </c>
      <c r="E1741" s="165">
        <v>100</v>
      </c>
      <c r="F1741" s="166">
        <v>0</v>
      </c>
      <c r="G1741" s="227">
        <f>IF($B$2,IF(ROWS(B$6:$B1741) = 1,$B1741-Start_Date,$B1741-$B1740),"")</f>
        <v>1.1502662018756382E-3</v>
      </c>
      <c r="H1741" s="29">
        <f>IF($B$2,IF(ROWS(B$6:$B1741) = 1,IF(COUNTIFS(R_Schedule_Times,"&lt;"&amp;B1741),INDEX(R_Schedule_Amounts,MATCH(B1741,R_Schedule_Times,1)),Starting_Cash),IF(COUNTIFS(R_Schedule_Times,"&gt;"&amp;B1740,R_Schedule_Times,"&lt;"&amp;B1741),INDEX(R_Schedule_Amounts,MATCH(B1741,R_Schedule_Times,1)),K1740)),"")</f>
        <v>10640</v>
      </c>
      <c r="I1741" s="30">
        <f t="shared" si="135"/>
        <v>100</v>
      </c>
      <c r="J1741" s="31">
        <f t="shared" si="136"/>
        <v>0</v>
      </c>
      <c r="K1741" s="29">
        <f t="shared" si="137"/>
        <v>10540</v>
      </c>
      <c r="L1741" s="31" t="str">
        <f t="shared" si="138"/>
        <v/>
      </c>
      <c r="M1741" s="31" t="str">
        <f t="shared" si="139"/>
        <v/>
      </c>
    </row>
    <row r="1742" spans="1:13" x14ac:dyDescent="0.15">
      <c r="A1742" s="163" t="s">
        <v>210</v>
      </c>
      <c r="B1742" s="163">
        <v>42321.503244594911</v>
      </c>
      <c r="C1742" s="164" t="s">
        <v>1624</v>
      </c>
      <c r="D1742" s="164" t="s">
        <v>13</v>
      </c>
      <c r="E1742" s="165">
        <v>60</v>
      </c>
      <c r="F1742" s="166">
        <v>0</v>
      </c>
      <c r="G1742" s="227">
        <f>IF($B$2,IF(ROWS(B$6:$B1742) = 1,$B1742-Start_Date,$B1742-$B1741),"")</f>
        <v>2.8429282465367578E-3</v>
      </c>
      <c r="H1742" s="29">
        <f>IF($B$2,IF(ROWS(B$6:$B1742) = 1,IF(COUNTIFS(R_Schedule_Times,"&lt;"&amp;B1742),INDEX(R_Schedule_Amounts,MATCH(B1742,R_Schedule_Times,1)),Starting_Cash),IF(COUNTIFS(R_Schedule_Times,"&gt;"&amp;B1741,R_Schedule_Times,"&lt;"&amp;B1742),INDEX(R_Schedule_Amounts,MATCH(B1742,R_Schedule_Times,1)),K1741)),"")</f>
        <v>10540</v>
      </c>
      <c r="I1742" s="30">
        <f t="shared" si="135"/>
        <v>60</v>
      </c>
      <c r="J1742" s="31">
        <f t="shared" si="136"/>
        <v>0</v>
      </c>
      <c r="K1742" s="29">
        <f t="shared" si="137"/>
        <v>10480</v>
      </c>
      <c r="L1742" s="31" t="str">
        <f t="shared" si="138"/>
        <v/>
      </c>
      <c r="M1742" s="31" t="str">
        <f t="shared" si="139"/>
        <v/>
      </c>
    </row>
    <row r="1743" spans="1:13" x14ac:dyDescent="0.15">
      <c r="A1743" s="163" t="s">
        <v>210</v>
      </c>
      <c r="B1743" s="163">
        <v>42321.532277048609</v>
      </c>
      <c r="C1743" s="164" t="s">
        <v>1766</v>
      </c>
      <c r="D1743" s="164" t="s">
        <v>13</v>
      </c>
      <c r="E1743" s="165">
        <v>100</v>
      </c>
      <c r="F1743" s="166">
        <v>0</v>
      </c>
      <c r="G1743" s="227">
        <f>IF($B$2,IF(ROWS(B$6:$B1743) = 1,$B1743-Start_Date,$B1743-$B1742),"")</f>
        <v>2.9032453698164318E-2</v>
      </c>
      <c r="H1743" s="29">
        <f>IF($B$2,IF(ROWS(B$6:$B1743) = 1,IF(COUNTIFS(R_Schedule_Times,"&lt;"&amp;B1743),INDEX(R_Schedule_Amounts,MATCH(B1743,R_Schedule_Times,1)),Starting_Cash),IF(COUNTIFS(R_Schedule_Times,"&gt;"&amp;B1742,R_Schedule_Times,"&lt;"&amp;B1743),INDEX(R_Schedule_Amounts,MATCH(B1743,R_Schedule_Times,1)),K1742)),"")</f>
        <v>10480</v>
      </c>
      <c r="I1743" s="30">
        <f t="shared" si="135"/>
        <v>100</v>
      </c>
      <c r="J1743" s="31">
        <f t="shared" si="136"/>
        <v>0</v>
      </c>
      <c r="K1743" s="29">
        <f t="shared" si="137"/>
        <v>10380</v>
      </c>
      <c r="L1743" s="31" t="str">
        <f t="shared" si="138"/>
        <v/>
      </c>
      <c r="M1743" s="31" t="str">
        <f t="shared" si="139"/>
        <v/>
      </c>
    </row>
    <row r="1744" spans="1:13" x14ac:dyDescent="0.15">
      <c r="A1744" s="163" t="s">
        <v>210</v>
      </c>
      <c r="B1744" s="163">
        <v>42321.553452812499</v>
      </c>
      <c r="C1744" s="164" t="s">
        <v>1767</v>
      </c>
      <c r="D1744" s="164" t="s">
        <v>13</v>
      </c>
      <c r="E1744" s="165">
        <v>40</v>
      </c>
      <c r="F1744" s="166">
        <v>0</v>
      </c>
      <c r="G1744" s="227">
        <f>IF($B$2,IF(ROWS(B$6:$B1744) = 1,$B1744-Start_Date,$B1744-$B1743),"")</f>
        <v>2.1175763889914379E-2</v>
      </c>
      <c r="H1744" s="29">
        <f>IF($B$2,IF(ROWS(B$6:$B1744) = 1,IF(COUNTIFS(R_Schedule_Times,"&lt;"&amp;B1744),INDEX(R_Schedule_Amounts,MATCH(B1744,R_Schedule_Times,1)),Starting_Cash),IF(COUNTIFS(R_Schedule_Times,"&gt;"&amp;B1743,R_Schedule_Times,"&lt;"&amp;B1744),INDEX(R_Schedule_Amounts,MATCH(B1744,R_Schedule_Times,1)),K1743)),"")</f>
        <v>10380</v>
      </c>
      <c r="I1744" s="30">
        <f t="shared" si="135"/>
        <v>40</v>
      </c>
      <c r="J1744" s="31">
        <f t="shared" si="136"/>
        <v>0</v>
      </c>
      <c r="K1744" s="29">
        <f t="shared" si="137"/>
        <v>10340</v>
      </c>
      <c r="L1744" s="31" t="str">
        <f t="shared" si="138"/>
        <v/>
      </c>
      <c r="M1744" s="31" t="str">
        <f t="shared" si="139"/>
        <v/>
      </c>
    </row>
    <row r="1745" spans="1:13" x14ac:dyDescent="0.15">
      <c r="A1745" s="163" t="s">
        <v>210</v>
      </c>
      <c r="B1745" s="163">
        <v>42321.556842199076</v>
      </c>
      <c r="C1745" s="164" t="s">
        <v>1768</v>
      </c>
      <c r="D1745" s="164" t="s">
        <v>13</v>
      </c>
      <c r="E1745" s="165">
        <v>100</v>
      </c>
      <c r="F1745" s="166">
        <v>0</v>
      </c>
      <c r="G1745" s="227">
        <f>IF($B$2,IF(ROWS(B$6:$B1745) = 1,$B1745-Start_Date,$B1745-$B1744),"")</f>
        <v>3.3893865766003728E-3</v>
      </c>
      <c r="H1745" s="29">
        <f>IF($B$2,IF(ROWS(B$6:$B1745) = 1,IF(COUNTIFS(R_Schedule_Times,"&lt;"&amp;B1745),INDEX(R_Schedule_Amounts,MATCH(B1745,R_Schedule_Times,1)),Starting_Cash),IF(COUNTIFS(R_Schedule_Times,"&gt;"&amp;B1744,R_Schedule_Times,"&lt;"&amp;B1745),INDEX(R_Schedule_Amounts,MATCH(B1745,R_Schedule_Times,1)),K1744)),"")</f>
        <v>10340</v>
      </c>
      <c r="I1745" s="30">
        <f t="shared" si="135"/>
        <v>100</v>
      </c>
      <c r="J1745" s="31">
        <f t="shared" si="136"/>
        <v>0</v>
      </c>
      <c r="K1745" s="29">
        <f t="shared" si="137"/>
        <v>10240</v>
      </c>
      <c r="L1745" s="31" t="str">
        <f t="shared" si="138"/>
        <v/>
      </c>
      <c r="M1745" s="31" t="str">
        <f t="shared" si="139"/>
        <v/>
      </c>
    </row>
    <row r="1746" spans="1:13" x14ac:dyDescent="0.15">
      <c r="A1746" s="163" t="s">
        <v>210</v>
      </c>
      <c r="B1746" s="163">
        <v>42321.579162407405</v>
      </c>
      <c r="C1746" s="164" t="s">
        <v>1769</v>
      </c>
      <c r="D1746" s="164" t="s">
        <v>13</v>
      </c>
      <c r="E1746" s="165">
        <v>100</v>
      </c>
      <c r="F1746" s="166">
        <v>0</v>
      </c>
      <c r="G1746" s="227">
        <f>IF($B$2,IF(ROWS(B$6:$B1746) = 1,$B1746-Start_Date,$B1746-$B1745),"")</f>
        <v>2.2320208328892477E-2</v>
      </c>
      <c r="H1746" s="29">
        <f>IF($B$2,IF(ROWS(B$6:$B1746) = 1,IF(COUNTIFS(R_Schedule_Times,"&lt;"&amp;B1746),INDEX(R_Schedule_Amounts,MATCH(B1746,R_Schedule_Times,1)),Starting_Cash),IF(COUNTIFS(R_Schedule_Times,"&gt;"&amp;B1745,R_Schedule_Times,"&lt;"&amp;B1746),INDEX(R_Schedule_Amounts,MATCH(B1746,R_Schedule_Times,1)),K1745)),"")</f>
        <v>10240</v>
      </c>
      <c r="I1746" s="30">
        <f t="shared" si="135"/>
        <v>100</v>
      </c>
      <c r="J1746" s="31">
        <f t="shared" si="136"/>
        <v>0</v>
      </c>
      <c r="K1746" s="29">
        <f t="shared" si="137"/>
        <v>10140</v>
      </c>
      <c r="L1746" s="31" t="str">
        <f t="shared" si="138"/>
        <v/>
      </c>
      <c r="M1746" s="31" t="str">
        <f t="shared" si="139"/>
        <v/>
      </c>
    </row>
    <row r="1747" spans="1:13" x14ac:dyDescent="0.15">
      <c r="A1747" s="163" t="s">
        <v>210</v>
      </c>
      <c r="B1747" s="163">
        <v>42321.595747210646</v>
      </c>
      <c r="C1747" s="164" t="s">
        <v>1770</v>
      </c>
      <c r="D1747" s="164" t="s">
        <v>13</v>
      </c>
      <c r="E1747" s="165">
        <v>60</v>
      </c>
      <c r="F1747" s="166">
        <v>0</v>
      </c>
      <c r="G1747" s="227">
        <f>IF($B$2,IF(ROWS(B$6:$B1747) = 1,$B1747-Start_Date,$B1747-$B1746),"")</f>
        <v>1.658480324113043E-2</v>
      </c>
      <c r="H1747" s="29">
        <f>IF($B$2,IF(ROWS(B$6:$B1747) = 1,IF(COUNTIFS(R_Schedule_Times,"&lt;"&amp;B1747),INDEX(R_Schedule_Amounts,MATCH(B1747,R_Schedule_Times,1)),Starting_Cash),IF(COUNTIFS(R_Schedule_Times,"&gt;"&amp;B1746,R_Schedule_Times,"&lt;"&amp;B1747),INDEX(R_Schedule_Amounts,MATCH(B1747,R_Schedule_Times,1)),K1746)),"")</f>
        <v>10140</v>
      </c>
      <c r="I1747" s="30">
        <f t="shared" si="135"/>
        <v>60</v>
      </c>
      <c r="J1747" s="31">
        <f t="shared" si="136"/>
        <v>0</v>
      </c>
      <c r="K1747" s="29">
        <f t="shared" si="137"/>
        <v>10080</v>
      </c>
      <c r="L1747" s="31" t="str">
        <f t="shared" si="138"/>
        <v/>
      </c>
      <c r="M1747" s="31" t="str">
        <f t="shared" si="139"/>
        <v/>
      </c>
    </row>
    <row r="1748" spans="1:13" x14ac:dyDescent="0.15">
      <c r="A1748" s="163" t="s">
        <v>210</v>
      </c>
      <c r="B1748" s="163">
        <v>42321.598157106484</v>
      </c>
      <c r="C1748" s="164" t="s">
        <v>14</v>
      </c>
      <c r="D1748" s="164" t="s">
        <v>13</v>
      </c>
      <c r="E1748" s="165">
        <v>180</v>
      </c>
      <c r="F1748" s="166">
        <v>3.5</v>
      </c>
      <c r="G1748" s="227">
        <f>IF($B$2,IF(ROWS(B$6:$B1748) = 1,$B1748-Start_Date,$B1748-$B1747),"")</f>
        <v>2.4098958383547142E-3</v>
      </c>
      <c r="H1748" s="29">
        <f>IF($B$2,IF(ROWS(B$6:$B1748) = 1,IF(COUNTIFS(R_Schedule_Times,"&lt;"&amp;B1748),INDEX(R_Schedule_Amounts,MATCH(B1748,R_Schedule_Times,1)),Starting_Cash),IF(COUNTIFS(R_Schedule_Times,"&gt;"&amp;B1747,R_Schedule_Times,"&lt;"&amp;B1748),INDEX(R_Schedule_Amounts,MATCH(B1748,R_Schedule_Times,1)),K1747)),"")</f>
        <v>10080</v>
      </c>
      <c r="I1748" s="30">
        <f t="shared" si="135"/>
        <v>180</v>
      </c>
      <c r="J1748" s="31">
        <f t="shared" si="136"/>
        <v>3.5</v>
      </c>
      <c r="K1748" s="29">
        <f t="shared" si="137"/>
        <v>9900</v>
      </c>
      <c r="L1748" s="31" t="str">
        <f t="shared" si="138"/>
        <v/>
      </c>
      <c r="M1748" s="31" t="str">
        <f t="shared" si="139"/>
        <v/>
      </c>
    </row>
    <row r="1749" spans="1:13" x14ac:dyDescent="0.15">
      <c r="A1749" s="163" t="s">
        <v>210</v>
      </c>
      <c r="B1749" s="163">
        <v>42321.606289560186</v>
      </c>
      <c r="C1749" s="164" t="s">
        <v>1771</v>
      </c>
      <c r="D1749" s="164" t="s">
        <v>13</v>
      </c>
      <c r="E1749" s="165">
        <v>20</v>
      </c>
      <c r="F1749" s="166">
        <v>0</v>
      </c>
      <c r="G1749" s="227">
        <f>IF($B$2,IF(ROWS(B$6:$B1749) = 1,$B1749-Start_Date,$B1749-$B1748),"")</f>
        <v>8.1324537022737786E-3</v>
      </c>
      <c r="H1749" s="29">
        <f>IF($B$2,IF(ROWS(B$6:$B1749) = 1,IF(COUNTIFS(R_Schedule_Times,"&lt;"&amp;B1749),INDEX(R_Schedule_Amounts,MATCH(B1749,R_Schedule_Times,1)),Starting_Cash),IF(COUNTIFS(R_Schedule_Times,"&gt;"&amp;B1748,R_Schedule_Times,"&lt;"&amp;B1749),INDEX(R_Schedule_Amounts,MATCH(B1749,R_Schedule_Times,1)),K1748)),"")</f>
        <v>9900</v>
      </c>
      <c r="I1749" s="30">
        <f t="shared" si="135"/>
        <v>20</v>
      </c>
      <c r="J1749" s="31">
        <f t="shared" si="136"/>
        <v>0</v>
      </c>
      <c r="K1749" s="29">
        <f t="shared" si="137"/>
        <v>9880</v>
      </c>
      <c r="L1749" s="31" t="str">
        <f t="shared" si="138"/>
        <v/>
      </c>
      <c r="M1749" s="31" t="str">
        <f t="shared" si="139"/>
        <v/>
      </c>
    </row>
    <row r="1750" spans="1:13" x14ac:dyDescent="0.15">
      <c r="A1750" s="163" t="s">
        <v>210</v>
      </c>
      <c r="B1750" s="163">
        <v>42321.652859965281</v>
      </c>
      <c r="C1750" s="164" t="s">
        <v>1772</v>
      </c>
      <c r="D1750" s="164" t="s">
        <v>13</v>
      </c>
      <c r="E1750" s="165">
        <v>60</v>
      </c>
      <c r="F1750" s="166">
        <v>0</v>
      </c>
      <c r="G1750" s="227">
        <f>IF($B$2,IF(ROWS(B$6:$B1750) = 1,$B1750-Start_Date,$B1750-$B1749),"")</f>
        <v>4.6570405094826128E-2</v>
      </c>
      <c r="H1750" s="29">
        <f>IF($B$2,IF(ROWS(B$6:$B1750) = 1,IF(COUNTIFS(R_Schedule_Times,"&lt;"&amp;B1750),INDEX(R_Schedule_Amounts,MATCH(B1750,R_Schedule_Times,1)),Starting_Cash),IF(COUNTIFS(R_Schedule_Times,"&gt;"&amp;B1749,R_Schedule_Times,"&lt;"&amp;B1750),INDEX(R_Schedule_Amounts,MATCH(B1750,R_Schedule_Times,1)),K1749)),"")</f>
        <v>9880</v>
      </c>
      <c r="I1750" s="30">
        <f t="shared" si="135"/>
        <v>60</v>
      </c>
      <c r="J1750" s="31">
        <f t="shared" si="136"/>
        <v>0</v>
      </c>
      <c r="K1750" s="29">
        <f t="shared" si="137"/>
        <v>9820</v>
      </c>
      <c r="L1750" s="31" t="str">
        <f t="shared" si="138"/>
        <v/>
      </c>
      <c r="M1750" s="31" t="str">
        <f t="shared" si="139"/>
        <v/>
      </c>
    </row>
    <row r="1751" spans="1:13" x14ac:dyDescent="0.15">
      <c r="A1751" s="163" t="s">
        <v>210</v>
      </c>
      <c r="B1751" s="163">
        <v>42321.65697059028</v>
      </c>
      <c r="C1751" s="164" t="s">
        <v>1773</v>
      </c>
      <c r="D1751" s="164" t="s">
        <v>13</v>
      </c>
      <c r="E1751" s="165">
        <v>120</v>
      </c>
      <c r="F1751" s="166">
        <v>0</v>
      </c>
      <c r="G1751" s="227">
        <f>IF($B$2,IF(ROWS(B$6:$B1751) = 1,$B1751-Start_Date,$B1751-$B1750),"")</f>
        <v>4.1106249991571531E-3</v>
      </c>
      <c r="H1751" s="29">
        <f>IF($B$2,IF(ROWS(B$6:$B1751) = 1,IF(COUNTIFS(R_Schedule_Times,"&lt;"&amp;B1751),INDEX(R_Schedule_Amounts,MATCH(B1751,R_Schedule_Times,1)),Starting_Cash),IF(COUNTIFS(R_Schedule_Times,"&gt;"&amp;B1750,R_Schedule_Times,"&lt;"&amp;B1751),INDEX(R_Schedule_Amounts,MATCH(B1751,R_Schedule_Times,1)),K1750)),"")</f>
        <v>9820</v>
      </c>
      <c r="I1751" s="30">
        <f t="shared" si="135"/>
        <v>120</v>
      </c>
      <c r="J1751" s="31">
        <f t="shared" si="136"/>
        <v>0</v>
      </c>
      <c r="K1751" s="29">
        <f t="shared" si="137"/>
        <v>9700</v>
      </c>
      <c r="L1751" s="31" t="str">
        <f t="shared" si="138"/>
        <v/>
      </c>
      <c r="M1751" s="31" t="str">
        <f t="shared" si="139"/>
        <v/>
      </c>
    </row>
    <row r="1752" spans="1:13" x14ac:dyDescent="0.15">
      <c r="A1752" s="163" t="s">
        <v>210</v>
      </c>
      <c r="B1752" s="163">
        <v>42321.662876909722</v>
      </c>
      <c r="C1752" s="164" t="s">
        <v>438</v>
      </c>
      <c r="D1752" s="164" t="s">
        <v>13</v>
      </c>
      <c r="E1752" s="165">
        <v>60</v>
      </c>
      <c r="F1752" s="166">
        <v>0</v>
      </c>
      <c r="G1752" s="227">
        <f>IF($B$2,IF(ROWS(B$6:$B1752) = 1,$B1752-Start_Date,$B1752-$B1751),"")</f>
        <v>5.9063194421469234E-3</v>
      </c>
      <c r="H1752" s="29">
        <f>IF($B$2,IF(ROWS(B$6:$B1752) = 1,IF(COUNTIFS(R_Schedule_Times,"&lt;"&amp;B1752),INDEX(R_Schedule_Amounts,MATCH(B1752,R_Schedule_Times,1)),Starting_Cash),IF(COUNTIFS(R_Schedule_Times,"&gt;"&amp;B1751,R_Schedule_Times,"&lt;"&amp;B1752),INDEX(R_Schedule_Amounts,MATCH(B1752,R_Schedule_Times,1)),K1751)),"")</f>
        <v>9700</v>
      </c>
      <c r="I1752" s="30">
        <f t="shared" si="135"/>
        <v>60</v>
      </c>
      <c r="J1752" s="31">
        <f t="shared" si="136"/>
        <v>0</v>
      </c>
      <c r="K1752" s="29">
        <f t="shared" si="137"/>
        <v>9640</v>
      </c>
      <c r="L1752" s="31" t="str">
        <f t="shared" si="138"/>
        <v/>
      </c>
      <c r="M1752" s="31" t="str">
        <f t="shared" si="139"/>
        <v/>
      </c>
    </row>
    <row r="1753" spans="1:13" x14ac:dyDescent="0.15">
      <c r="A1753" s="163" t="s">
        <v>210</v>
      </c>
      <c r="B1753" s="163">
        <v>42321.668286585649</v>
      </c>
      <c r="C1753" s="164" t="s">
        <v>14</v>
      </c>
      <c r="D1753" s="164" t="s">
        <v>13</v>
      </c>
      <c r="E1753" s="165">
        <v>100</v>
      </c>
      <c r="F1753" s="166">
        <v>3.5</v>
      </c>
      <c r="G1753" s="227">
        <f>IF($B$2,IF(ROWS(B$6:$B1753) = 1,$B1753-Start_Date,$B1753-$B1752),"")</f>
        <v>5.4096759267849848E-3</v>
      </c>
      <c r="H1753" s="29">
        <f>IF($B$2,IF(ROWS(B$6:$B1753) = 1,IF(COUNTIFS(R_Schedule_Times,"&lt;"&amp;B1753),INDEX(R_Schedule_Amounts,MATCH(B1753,R_Schedule_Times,1)),Starting_Cash),IF(COUNTIFS(R_Schedule_Times,"&gt;"&amp;B1752,R_Schedule_Times,"&lt;"&amp;B1753),INDEX(R_Schedule_Amounts,MATCH(B1753,R_Schedule_Times,1)),K1752)),"")</f>
        <v>9640</v>
      </c>
      <c r="I1753" s="30">
        <f t="shared" si="135"/>
        <v>100</v>
      </c>
      <c r="J1753" s="31">
        <f t="shared" si="136"/>
        <v>3.5</v>
      </c>
      <c r="K1753" s="29">
        <f t="shared" si="137"/>
        <v>9540</v>
      </c>
      <c r="L1753" s="31" t="str">
        <f t="shared" si="138"/>
        <v/>
      </c>
      <c r="M1753" s="31" t="str">
        <f t="shared" si="139"/>
        <v/>
      </c>
    </row>
    <row r="1754" spans="1:13" x14ac:dyDescent="0.15">
      <c r="A1754" s="163" t="s">
        <v>210</v>
      </c>
      <c r="B1754" s="163">
        <v>42321.678173333334</v>
      </c>
      <c r="C1754" s="164" t="s">
        <v>1774</v>
      </c>
      <c r="D1754" s="164" t="s">
        <v>13</v>
      </c>
      <c r="E1754" s="165">
        <v>60</v>
      </c>
      <c r="F1754" s="166">
        <v>0</v>
      </c>
      <c r="G1754" s="227">
        <f>IF($B$2,IF(ROWS(B$6:$B1754) = 1,$B1754-Start_Date,$B1754-$B1753),"")</f>
        <v>9.8867476845043711E-3</v>
      </c>
      <c r="H1754" s="29">
        <f>IF($B$2,IF(ROWS(B$6:$B1754) = 1,IF(COUNTIFS(R_Schedule_Times,"&lt;"&amp;B1754),INDEX(R_Schedule_Amounts,MATCH(B1754,R_Schedule_Times,1)),Starting_Cash),IF(COUNTIFS(R_Schedule_Times,"&gt;"&amp;B1753,R_Schedule_Times,"&lt;"&amp;B1754),INDEX(R_Schedule_Amounts,MATCH(B1754,R_Schedule_Times,1)),K1753)),"")</f>
        <v>9540</v>
      </c>
      <c r="I1754" s="30">
        <f t="shared" si="135"/>
        <v>60</v>
      </c>
      <c r="J1754" s="31">
        <f t="shared" si="136"/>
        <v>0</v>
      </c>
      <c r="K1754" s="29">
        <f t="shared" si="137"/>
        <v>9480</v>
      </c>
      <c r="L1754" s="31" t="str">
        <f t="shared" si="138"/>
        <v/>
      </c>
      <c r="M1754" s="31" t="str">
        <f t="shared" si="139"/>
        <v/>
      </c>
    </row>
    <row r="1755" spans="1:13" x14ac:dyDescent="0.15">
      <c r="A1755" s="163" t="s">
        <v>210</v>
      </c>
      <c r="B1755" s="163">
        <v>42321.693320509257</v>
      </c>
      <c r="C1755" s="164" t="s">
        <v>1775</v>
      </c>
      <c r="D1755" s="164" t="s">
        <v>13</v>
      </c>
      <c r="E1755" s="165">
        <v>140</v>
      </c>
      <c r="F1755" s="166">
        <v>0</v>
      </c>
      <c r="G1755" s="227">
        <f>IF($B$2,IF(ROWS(B$6:$B1755) = 1,$B1755-Start_Date,$B1755-$B1754),"")</f>
        <v>1.514717592363013E-2</v>
      </c>
      <c r="H1755" s="29">
        <f>IF($B$2,IF(ROWS(B$6:$B1755) = 1,IF(COUNTIFS(R_Schedule_Times,"&lt;"&amp;B1755),INDEX(R_Schedule_Amounts,MATCH(B1755,R_Schedule_Times,1)),Starting_Cash),IF(COUNTIFS(R_Schedule_Times,"&gt;"&amp;B1754,R_Schedule_Times,"&lt;"&amp;B1755),INDEX(R_Schedule_Amounts,MATCH(B1755,R_Schedule_Times,1)),K1754)),"")</f>
        <v>9480</v>
      </c>
      <c r="I1755" s="30">
        <f t="shared" si="135"/>
        <v>140</v>
      </c>
      <c r="J1755" s="31">
        <f t="shared" si="136"/>
        <v>0</v>
      </c>
      <c r="K1755" s="29">
        <f t="shared" si="137"/>
        <v>9340</v>
      </c>
      <c r="L1755" s="31" t="str">
        <f t="shared" si="138"/>
        <v/>
      </c>
      <c r="M1755" s="31" t="str">
        <f t="shared" si="139"/>
        <v/>
      </c>
    </row>
    <row r="1756" spans="1:13" x14ac:dyDescent="0.15">
      <c r="A1756" s="163" t="s">
        <v>210</v>
      </c>
      <c r="B1756" s="163">
        <v>42321.703826412035</v>
      </c>
      <c r="C1756" s="164" t="s">
        <v>1776</v>
      </c>
      <c r="D1756" s="164" t="s">
        <v>13</v>
      </c>
      <c r="E1756" s="165">
        <v>20</v>
      </c>
      <c r="F1756" s="166">
        <v>0</v>
      </c>
      <c r="G1756" s="227">
        <f>IF($B$2,IF(ROWS(B$6:$B1756) = 1,$B1756-Start_Date,$B1756-$B1755),"")</f>
        <v>1.0505902777367737E-2</v>
      </c>
      <c r="H1756" s="29">
        <f>IF($B$2,IF(ROWS(B$6:$B1756) = 1,IF(COUNTIFS(R_Schedule_Times,"&lt;"&amp;B1756),INDEX(R_Schedule_Amounts,MATCH(B1756,R_Schedule_Times,1)),Starting_Cash),IF(COUNTIFS(R_Schedule_Times,"&gt;"&amp;B1755,R_Schedule_Times,"&lt;"&amp;B1756),INDEX(R_Schedule_Amounts,MATCH(B1756,R_Schedule_Times,1)),K1755)),"")</f>
        <v>9340</v>
      </c>
      <c r="I1756" s="30">
        <f t="shared" si="135"/>
        <v>20</v>
      </c>
      <c r="J1756" s="31">
        <f t="shared" si="136"/>
        <v>0</v>
      </c>
      <c r="K1756" s="29">
        <f t="shared" si="137"/>
        <v>9320</v>
      </c>
      <c r="L1756" s="31" t="str">
        <f t="shared" si="138"/>
        <v/>
      </c>
      <c r="M1756" s="31" t="str">
        <f t="shared" si="139"/>
        <v/>
      </c>
    </row>
    <row r="1757" spans="1:13" x14ac:dyDescent="0.15">
      <c r="A1757" s="163" t="s">
        <v>210</v>
      </c>
      <c r="B1757" s="163">
        <v>42321.719660277777</v>
      </c>
      <c r="C1757" s="164" t="s">
        <v>1777</v>
      </c>
      <c r="D1757" s="164" t="s">
        <v>13</v>
      </c>
      <c r="E1757" s="165">
        <v>40</v>
      </c>
      <c r="F1757" s="166">
        <v>0</v>
      </c>
      <c r="G1757" s="227">
        <f>IF($B$2,IF(ROWS(B$6:$B1757) = 1,$B1757-Start_Date,$B1757-$B1756),"")</f>
        <v>1.58338657420245E-2</v>
      </c>
      <c r="H1757" s="29">
        <f>IF($B$2,IF(ROWS(B$6:$B1757) = 1,IF(COUNTIFS(R_Schedule_Times,"&lt;"&amp;B1757),INDEX(R_Schedule_Amounts,MATCH(B1757,R_Schedule_Times,1)),Starting_Cash),IF(COUNTIFS(R_Schedule_Times,"&gt;"&amp;B1756,R_Schedule_Times,"&lt;"&amp;B1757),INDEX(R_Schedule_Amounts,MATCH(B1757,R_Schedule_Times,1)),K1756)),"")</f>
        <v>9320</v>
      </c>
      <c r="I1757" s="30">
        <f t="shared" si="135"/>
        <v>40</v>
      </c>
      <c r="J1757" s="31">
        <f t="shared" si="136"/>
        <v>0</v>
      </c>
      <c r="K1757" s="29">
        <f t="shared" si="137"/>
        <v>9280</v>
      </c>
      <c r="L1757" s="31" t="str">
        <f t="shared" si="138"/>
        <v/>
      </c>
      <c r="M1757" s="31" t="str">
        <f t="shared" si="139"/>
        <v/>
      </c>
    </row>
    <row r="1758" spans="1:13" x14ac:dyDescent="0.15">
      <c r="A1758" s="163" t="s">
        <v>210</v>
      </c>
      <c r="B1758" s="163">
        <v>42321.720999756944</v>
      </c>
      <c r="C1758" s="164" t="s">
        <v>229</v>
      </c>
      <c r="D1758" s="164" t="s">
        <v>13</v>
      </c>
      <c r="E1758" s="165">
        <v>100</v>
      </c>
      <c r="F1758" s="166">
        <v>0</v>
      </c>
      <c r="G1758" s="227">
        <f>IF($B$2,IF(ROWS(B$6:$B1758) = 1,$B1758-Start_Date,$B1758-$B1757),"")</f>
        <v>1.3394791676546447E-3</v>
      </c>
      <c r="H1758" s="29">
        <f>IF($B$2,IF(ROWS(B$6:$B1758) = 1,IF(COUNTIFS(R_Schedule_Times,"&lt;"&amp;B1758),INDEX(R_Schedule_Amounts,MATCH(B1758,R_Schedule_Times,1)),Starting_Cash),IF(COUNTIFS(R_Schedule_Times,"&gt;"&amp;B1757,R_Schedule_Times,"&lt;"&amp;B1758),INDEX(R_Schedule_Amounts,MATCH(B1758,R_Schedule_Times,1)),K1757)),"")</f>
        <v>9280</v>
      </c>
      <c r="I1758" s="30">
        <f t="shared" si="135"/>
        <v>100</v>
      </c>
      <c r="J1758" s="31">
        <f t="shared" si="136"/>
        <v>0</v>
      </c>
      <c r="K1758" s="29">
        <f t="shared" si="137"/>
        <v>9180</v>
      </c>
      <c r="L1758" s="31" t="str">
        <f t="shared" si="138"/>
        <v/>
      </c>
      <c r="M1758" s="31" t="str">
        <f t="shared" si="139"/>
        <v/>
      </c>
    </row>
    <row r="1759" spans="1:13" x14ac:dyDescent="0.15">
      <c r="A1759" s="163" t="s">
        <v>210</v>
      </c>
      <c r="B1759" s="163">
        <v>42321.723679814815</v>
      </c>
      <c r="C1759" s="164" t="s">
        <v>572</v>
      </c>
      <c r="D1759" s="164" t="s">
        <v>13</v>
      </c>
      <c r="E1759" s="165">
        <v>100</v>
      </c>
      <c r="F1759" s="166">
        <v>0</v>
      </c>
      <c r="G1759" s="227">
        <f>IF($B$2,IF(ROWS(B$6:$B1759) = 1,$B1759-Start_Date,$B1759-$B1758),"")</f>
        <v>2.6800578707479872E-3</v>
      </c>
      <c r="H1759" s="29">
        <f>IF($B$2,IF(ROWS(B$6:$B1759) = 1,IF(COUNTIFS(R_Schedule_Times,"&lt;"&amp;B1759),INDEX(R_Schedule_Amounts,MATCH(B1759,R_Schedule_Times,1)),Starting_Cash),IF(COUNTIFS(R_Schedule_Times,"&gt;"&amp;B1758,R_Schedule_Times,"&lt;"&amp;B1759),INDEX(R_Schedule_Amounts,MATCH(B1759,R_Schedule_Times,1)),K1758)),"")</f>
        <v>9180</v>
      </c>
      <c r="I1759" s="30">
        <f t="shared" si="135"/>
        <v>100</v>
      </c>
      <c r="J1759" s="31">
        <f t="shared" si="136"/>
        <v>0</v>
      </c>
      <c r="K1759" s="29">
        <f t="shared" si="137"/>
        <v>9080</v>
      </c>
      <c r="L1759" s="31" t="str">
        <f t="shared" si="138"/>
        <v/>
      </c>
      <c r="M1759" s="31" t="str">
        <f t="shared" si="139"/>
        <v/>
      </c>
    </row>
    <row r="1760" spans="1:13" x14ac:dyDescent="0.15">
      <c r="A1760" s="163" t="s">
        <v>210</v>
      </c>
      <c r="B1760" s="163">
        <v>42321.72640388889</v>
      </c>
      <c r="C1760" s="164" t="s">
        <v>1778</v>
      </c>
      <c r="D1760" s="164" t="s">
        <v>13</v>
      </c>
      <c r="E1760" s="165">
        <v>60</v>
      </c>
      <c r="F1760" s="166">
        <v>0</v>
      </c>
      <c r="G1760" s="227">
        <f>IF($B$2,IF(ROWS(B$6:$B1760) = 1,$B1760-Start_Date,$B1760-$B1759),"")</f>
        <v>2.724074074649252E-3</v>
      </c>
      <c r="H1760" s="29">
        <f>IF($B$2,IF(ROWS(B$6:$B1760) = 1,IF(COUNTIFS(R_Schedule_Times,"&lt;"&amp;B1760),INDEX(R_Schedule_Amounts,MATCH(B1760,R_Schedule_Times,1)),Starting_Cash),IF(COUNTIFS(R_Schedule_Times,"&gt;"&amp;B1759,R_Schedule_Times,"&lt;"&amp;B1760),INDEX(R_Schedule_Amounts,MATCH(B1760,R_Schedule_Times,1)),K1759)),"")</f>
        <v>9080</v>
      </c>
      <c r="I1760" s="30">
        <f t="shared" si="135"/>
        <v>60</v>
      </c>
      <c r="J1760" s="31">
        <f t="shared" si="136"/>
        <v>0</v>
      </c>
      <c r="K1760" s="29">
        <f t="shared" si="137"/>
        <v>9020</v>
      </c>
      <c r="L1760" s="31" t="str">
        <f t="shared" si="138"/>
        <v/>
      </c>
      <c r="M1760" s="31" t="str">
        <f t="shared" si="139"/>
        <v/>
      </c>
    </row>
    <row r="1761" spans="1:13" x14ac:dyDescent="0.15">
      <c r="A1761" s="163" t="s">
        <v>210</v>
      </c>
      <c r="B1761" s="163">
        <v>42321.771016226849</v>
      </c>
      <c r="C1761" s="164" t="s">
        <v>1779</v>
      </c>
      <c r="D1761" s="164" t="s">
        <v>13</v>
      </c>
      <c r="E1761" s="165">
        <v>40</v>
      </c>
      <c r="F1761" s="166">
        <v>0</v>
      </c>
      <c r="G1761" s="227">
        <f>IF($B$2,IF(ROWS(B$6:$B1761) = 1,$B1761-Start_Date,$B1761-$B1760),"")</f>
        <v>4.4612337958824355E-2</v>
      </c>
      <c r="H1761" s="29">
        <f>IF($B$2,IF(ROWS(B$6:$B1761) = 1,IF(COUNTIFS(R_Schedule_Times,"&lt;"&amp;B1761),INDEX(R_Schedule_Amounts,MATCH(B1761,R_Schedule_Times,1)),Starting_Cash),IF(COUNTIFS(R_Schedule_Times,"&gt;"&amp;B1760,R_Schedule_Times,"&lt;"&amp;B1761),INDEX(R_Schedule_Amounts,MATCH(B1761,R_Schedule_Times,1)),K1760)),"")</f>
        <v>9020</v>
      </c>
      <c r="I1761" s="30">
        <f t="shared" si="135"/>
        <v>40</v>
      </c>
      <c r="J1761" s="31">
        <f t="shared" si="136"/>
        <v>0</v>
      </c>
      <c r="K1761" s="29">
        <f t="shared" si="137"/>
        <v>8980</v>
      </c>
      <c r="L1761" s="31" t="str">
        <f t="shared" si="138"/>
        <v/>
      </c>
      <c r="M1761" s="31" t="str">
        <f t="shared" si="139"/>
        <v/>
      </c>
    </row>
    <row r="1762" spans="1:13" x14ac:dyDescent="0.15">
      <c r="A1762" s="163" t="s">
        <v>210</v>
      </c>
      <c r="B1762" s="163">
        <v>42321.783919224537</v>
      </c>
      <c r="C1762" s="164" t="s">
        <v>14</v>
      </c>
      <c r="D1762" s="164" t="s">
        <v>13</v>
      </c>
      <c r="E1762" s="165">
        <v>40</v>
      </c>
      <c r="F1762" s="166">
        <v>3.5</v>
      </c>
      <c r="G1762" s="227">
        <f>IF($B$2,IF(ROWS(B$6:$B1762) = 1,$B1762-Start_Date,$B1762-$B1761),"")</f>
        <v>1.2902997688797768E-2</v>
      </c>
      <c r="H1762" s="29">
        <f>IF($B$2,IF(ROWS(B$6:$B1762) = 1,IF(COUNTIFS(R_Schedule_Times,"&lt;"&amp;B1762),INDEX(R_Schedule_Amounts,MATCH(B1762,R_Schedule_Times,1)),Starting_Cash),IF(COUNTIFS(R_Schedule_Times,"&gt;"&amp;B1761,R_Schedule_Times,"&lt;"&amp;B1762),INDEX(R_Schedule_Amounts,MATCH(B1762,R_Schedule_Times,1)),K1761)),"")</f>
        <v>8980</v>
      </c>
      <c r="I1762" s="30">
        <f t="shared" si="135"/>
        <v>40</v>
      </c>
      <c r="J1762" s="31">
        <f t="shared" si="136"/>
        <v>3.5</v>
      </c>
      <c r="K1762" s="29">
        <f t="shared" si="137"/>
        <v>8940</v>
      </c>
      <c r="L1762" s="31" t="str">
        <f t="shared" si="138"/>
        <v/>
      </c>
      <c r="M1762" s="31" t="str">
        <f t="shared" si="139"/>
        <v/>
      </c>
    </row>
    <row r="1763" spans="1:13" x14ac:dyDescent="0.15">
      <c r="A1763" s="163" t="s">
        <v>210</v>
      </c>
      <c r="B1763" s="163">
        <v>42321.845383171298</v>
      </c>
      <c r="C1763" s="164" t="s">
        <v>1780</v>
      </c>
      <c r="D1763" s="164" t="s">
        <v>13</v>
      </c>
      <c r="E1763" s="165">
        <v>100</v>
      </c>
      <c r="F1763" s="166">
        <v>0</v>
      </c>
      <c r="G1763" s="227">
        <f>IF($B$2,IF(ROWS(B$6:$B1763) = 1,$B1763-Start_Date,$B1763-$B1762),"")</f>
        <v>6.1463946760341059E-2</v>
      </c>
      <c r="H1763" s="29">
        <f>IF($B$2,IF(ROWS(B$6:$B1763) = 1,IF(COUNTIFS(R_Schedule_Times,"&lt;"&amp;B1763),INDEX(R_Schedule_Amounts,MATCH(B1763,R_Schedule_Times,1)),Starting_Cash),IF(COUNTIFS(R_Schedule_Times,"&gt;"&amp;B1762,R_Schedule_Times,"&lt;"&amp;B1763),INDEX(R_Schedule_Amounts,MATCH(B1763,R_Schedule_Times,1)),K1762)),"")</f>
        <v>8940</v>
      </c>
      <c r="I1763" s="30">
        <f t="shared" si="135"/>
        <v>100</v>
      </c>
      <c r="J1763" s="31">
        <f t="shared" si="136"/>
        <v>0</v>
      </c>
      <c r="K1763" s="29">
        <f t="shared" si="137"/>
        <v>8840</v>
      </c>
      <c r="L1763" s="31" t="str">
        <f t="shared" si="138"/>
        <v/>
      </c>
      <c r="M1763" s="31" t="str">
        <f t="shared" si="139"/>
        <v/>
      </c>
    </row>
    <row r="1764" spans="1:13" x14ac:dyDescent="0.15">
      <c r="A1764" s="163" t="s">
        <v>210</v>
      </c>
      <c r="B1764" s="163">
        <v>42321.853682210647</v>
      </c>
      <c r="C1764" s="164" t="s">
        <v>1781</v>
      </c>
      <c r="D1764" s="164" t="s">
        <v>13</v>
      </c>
      <c r="E1764" s="165">
        <v>100</v>
      </c>
      <c r="F1764" s="166">
        <v>0</v>
      </c>
      <c r="G1764" s="227">
        <f>IF($B$2,IF(ROWS(B$6:$B1764) = 1,$B1764-Start_Date,$B1764-$B1763),"")</f>
        <v>8.2990393493673764E-3</v>
      </c>
      <c r="H1764" s="29">
        <f>IF($B$2,IF(ROWS(B$6:$B1764) = 1,IF(COUNTIFS(R_Schedule_Times,"&lt;"&amp;B1764),INDEX(R_Schedule_Amounts,MATCH(B1764,R_Schedule_Times,1)),Starting_Cash),IF(COUNTIFS(R_Schedule_Times,"&gt;"&amp;B1763,R_Schedule_Times,"&lt;"&amp;B1764),INDEX(R_Schedule_Amounts,MATCH(B1764,R_Schedule_Times,1)),K1763)),"")</f>
        <v>8840</v>
      </c>
      <c r="I1764" s="30">
        <f t="shared" si="135"/>
        <v>100</v>
      </c>
      <c r="J1764" s="31">
        <f t="shared" si="136"/>
        <v>0</v>
      </c>
      <c r="K1764" s="29">
        <f t="shared" si="137"/>
        <v>8740</v>
      </c>
      <c r="L1764" s="31" t="str">
        <f t="shared" si="138"/>
        <v/>
      </c>
      <c r="M1764" s="31" t="str">
        <f t="shared" si="139"/>
        <v/>
      </c>
    </row>
    <row r="1765" spans="1:13" x14ac:dyDescent="0.15">
      <c r="A1765" s="163" t="s">
        <v>210</v>
      </c>
      <c r="B1765" s="163">
        <v>42321.98213798611</v>
      </c>
      <c r="C1765" s="164" t="s">
        <v>14</v>
      </c>
      <c r="D1765" s="164" t="s">
        <v>13</v>
      </c>
      <c r="E1765" s="165">
        <v>140</v>
      </c>
      <c r="F1765" s="166">
        <v>3.5</v>
      </c>
      <c r="G1765" s="227">
        <f>IF($B$2,IF(ROWS(B$6:$B1765) = 1,$B1765-Start_Date,$B1765-$B1764),"")</f>
        <v>0.12845577546249842</v>
      </c>
      <c r="H1765" s="29">
        <f>IF($B$2,IF(ROWS(B$6:$B1765) = 1,IF(COUNTIFS(R_Schedule_Times,"&lt;"&amp;B1765),INDEX(R_Schedule_Amounts,MATCH(B1765,R_Schedule_Times,1)),Starting_Cash),IF(COUNTIFS(R_Schedule_Times,"&gt;"&amp;B1764,R_Schedule_Times,"&lt;"&amp;B1765),INDEX(R_Schedule_Amounts,MATCH(B1765,R_Schedule_Times,1)),K1764)),"")</f>
        <v>8740</v>
      </c>
      <c r="I1765" s="30">
        <f t="shared" si="135"/>
        <v>140</v>
      </c>
      <c r="J1765" s="31">
        <f t="shared" si="136"/>
        <v>3.5</v>
      </c>
      <c r="K1765" s="29">
        <f t="shared" si="137"/>
        <v>8600</v>
      </c>
      <c r="L1765" s="31" t="str">
        <f t="shared" si="138"/>
        <v/>
      </c>
      <c r="M1765" s="31" t="str">
        <f t="shared" si="139"/>
        <v/>
      </c>
    </row>
    <row r="1766" spans="1:13" x14ac:dyDescent="0.15">
      <c r="A1766" s="163" t="s">
        <v>210</v>
      </c>
      <c r="B1766" s="163">
        <v>42322.194387847223</v>
      </c>
      <c r="C1766" s="164" t="s">
        <v>1782</v>
      </c>
      <c r="D1766" s="164" t="s">
        <v>13</v>
      </c>
      <c r="E1766" s="165">
        <v>500</v>
      </c>
      <c r="F1766" s="166">
        <v>0</v>
      </c>
      <c r="G1766" s="227">
        <f>IF($B$2,IF(ROWS(B$6:$B1766) = 1,$B1766-Start_Date,$B1766-$B1765),"")</f>
        <v>0.21224986111337785</v>
      </c>
      <c r="H1766" s="29">
        <f>IF($B$2,IF(ROWS(B$6:$B1766) = 1,IF(COUNTIFS(R_Schedule_Times,"&lt;"&amp;B1766),INDEX(R_Schedule_Amounts,MATCH(B1766,R_Schedule_Times,1)),Starting_Cash),IF(COUNTIFS(R_Schedule_Times,"&gt;"&amp;B1765,R_Schedule_Times,"&lt;"&amp;B1766),INDEX(R_Schedule_Amounts,MATCH(B1766,R_Schedule_Times,1)),K1765)),"")</f>
        <v>8600</v>
      </c>
      <c r="I1766" s="30">
        <f t="shared" si="135"/>
        <v>500</v>
      </c>
      <c r="J1766" s="31">
        <f t="shared" si="136"/>
        <v>0</v>
      </c>
      <c r="K1766" s="29">
        <f t="shared" si="137"/>
        <v>8100</v>
      </c>
      <c r="L1766" s="31" t="str">
        <f t="shared" si="138"/>
        <v/>
      </c>
      <c r="M1766" s="31" t="str">
        <f t="shared" si="139"/>
        <v/>
      </c>
    </row>
    <row r="1767" spans="1:13" x14ac:dyDescent="0.15">
      <c r="A1767" s="163" t="s">
        <v>210</v>
      </c>
      <c r="B1767" s="163">
        <v>42322.237789305553</v>
      </c>
      <c r="C1767" s="164" t="s">
        <v>1783</v>
      </c>
      <c r="D1767" s="164" t="s">
        <v>13</v>
      </c>
      <c r="E1767" s="165">
        <v>20</v>
      </c>
      <c r="F1767" s="166">
        <v>0</v>
      </c>
      <c r="G1767" s="227">
        <f>IF($B$2,IF(ROWS(B$6:$B1767) = 1,$B1767-Start_Date,$B1767-$B1766),"")</f>
        <v>4.340145832975395E-2</v>
      </c>
      <c r="H1767" s="29">
        <f>IF($B$2,IF(ROWS(B$6:$B1767) = 1,IF(COUNTIFS(R_Schedule_Times,"&lt;"&amp;B1767),INDEX(R_Schedule_Amounts,MATCH(B1767,R_Schedule_Times,1)),Starting_Cash),IF(COUNTIFS(R_Schedule_Times,"&gt;"&amp;B1766,R_Schedule_Times,"&lt;"&amp;B1767),INDEX(R_Schedule_Amounts,MATCH(B1767,R_Schedule_Times,1)),K1766)),"")</f>
        <v>8100</v>
      </c>
      <c r="I1767" s="30">
        <f t="shared" si="135"/>
        <v>20</v>
      </c>
      <c r="J1767" s="31">
        <f t="shared" si="136"/>
        <v>0</v>
      </c>
      <c r="K1767" s="29">
        <f t="shared" si="137"/>
        <v>8080</v>
      </c>
      <c r="L1767" s="31" t="str">
        <f t="shared" si="138"/>
        <v/>
      </c>
      <c r="M1767" s="31" t="str">
        <f t="shared" si="139"/>
        <v/>
      </c>
    </row>
    <row r="1768" spans="1:13" x14ac:dyDescent="0.15">
      <c r="A1768" s="163" t="s">
        <v>210</v>
      </c>
      <c r="B1768" s="163">
        <v>42322.339644618056</v>
      </c>
      <c r="C1768" s="164" t="s">
        <v>14</v>
      </c>
      <c r="D1768" s="164" t="s">
        <v>13</v>
      </c>
      <c r="E1768" s="165">
        <v>100</v>
      </c>
      <c r="F1768" s="166">
        <v>3.5</v>
      </c>
      <c r="G1768" s="227">
        <f>IF($B$2,IF(ROWS(B$6:$B1768) = 1,$B1768-Start_Date,$B1768-$B1767),"")</f>
        <v>0.10185531250317581</v>
      </c>
      <c r="H1768" s="29">
        <f>IF($B$2,IF(ROWS(B$6:$B1768) = 1,IF(COUNTIFS(R_Schedule_Times,"&lt;"&amp;B1768),INDEX(R_Schedule_Amounts,MATCH(B1768,R_Schedule_Times,1)),Starting_Cash),IF(COUNTIFS(R_Schedule_Times,"&gt;"&amp;B1767,R_Schedule_Times,"&lt;"&amp;B1768),INDEX(R_Schedule_Amounts,MATCH(B1768,R_Schedule_Times,1)),K1767)),"")</f>
        <v>8080</v>
      </c>
      <c r="I1768" s="30">
        <f t="shared" si="135"/>
        <v>100</v>
      </c>
      <c r="J1768" s="31">
        <f t="shared" si="136"/>
        <v>3.5</v>
      </c>
      <c r="K1768" s="29">
        <f t="shared" si="137"/>
        <v>7980</v>
      </c>
      <c r="L1768" s="31" t="str">
        <f t="shared" si="138"/>
        <v/>
      </c>
      <c r="M1768" s="31" t="str">
        <f t="shared" si="139"/>
        <v/>
      </c>
    </row>
    <row r="1769" spans="1:13" x14ac:dyDescent="0.15">
      <c r="A1769" s="163" t="s">
        <v>210</v>
      </c>
      <c r="B1769" s="163">
        <v>42322.391098067128</v>
      </c>
      <c r="C1769" s="164" t="s">
        <v>1784</v>
      </c>
      <c r="D1769" s="164" t="s">
        <v>13</v>
      </c>
      <c r="E1769" s="165">
        <v>200</v>
      </c>
      <c r="F1769" s="166">
        <v>0</v>
      </c>
      <c r="G1769" s="227">
        <f>IF($B$2,IF(ROWS(B$6:$B1769) = 1,$B1769-Start_Date,$B1769-$B1768),"")</f>
        <v>5.1453449072141666E-2</v>
      </c>
      <c r="H1769" s="29">
        <f>IF($B$2,IF(ROWS(B$6:$B1769) = 1,IF(COUNTIFS(R_Schedule_Times,"&lt;"&amp;B1769),INDEX(R_Schedule_Amounts,MATCH(B1769,R_Schedule_Times,1)),Starting_Cash),IF(COUNTIFS(R_Schedule_Times,"&gt;"&amp;B1768,R_Schedule_Times,"&lt;"&amp;B1769),INDEX(R_Schedule_Amounts,MATCH(B1769,R_Schedule_Times,1)),K1768)),"")</f>
        <v>7980</v>
      </c>
      <c r="I1769" s="30">
        <f t="shared" si="135"/>
        <v>200</v>
      </c>
      <c r="J1769" s="31">
        <f t="shared" si="136"/>
        <v>0</v>
      </c>
      <c r="K1769" s="29">
        <f t="shared" si="137"/>
        <v>7780</v>
      </c>
      <c r="L1769" s="31" t="str">
        <f t="shared" si="138"/>
        <v/>
      </c>
      <c r="M1769" s="31" t="str">
        <f t="shared" si="139"/>
        <v/>
      </c>
    </row>
    <row r="1770" spans="1:13" x14ac:dyDescent="0.15">
      <c r="A1770" s="163" t="s">
        <v>210</v>
      </c>
      <c r="B1770" s="163">
        <v>42322.395361030096</v>
      </c>
      <c r="C1770" s="164" t="s">
        <v>1785</v>
      </c>
      <c r="D1770" s="164" t="s">
        <v>13</v>
      </c>
      <c r="E1770" s="165">
        <v>40</v>
      </c>
      <c r="F1770" s="166">
        <v>0</v>
      </c>
      <c r="G1770" s="227">
        <f>IF($B$2,IF(ROWS(B$6:$B1770) = 1,$B1770-Start_Date,$B1770-$B1769),"")</f>
        <v>4.2629629679140635E-3</v>
      </c>
      <c r="H1770" s="29">
        <f>IF($B$2,IF(ROWS(B$6:$B1770) = 1,IF(COUNTIFS(R_Schedule_Times,"&lt;"&amp;B1770),INDEX(R_Schedule_Amounts,MATCH(B1770,R_Schedule_Times,1)),Starting_Cash),IF(COUNTIFS(R_Schedule_Times,"&gt;"&amp;B1769,R_Schedule_Times,"&lt;"&amp;B1770),INDEX(R_Schedule_Amounts,MATCH(B1770,R_Schedule_Times,1)),K1769)),"")</f>
        <v>7780</v>
      </c>
      <c r="I1770" s="30">
        <f t="shared" si="135"/>
        <v>40</v>
      </c>
      <c r="J1770" s="31">
        <f t="shared" si="136"/>
        <v>0</v>
      </c>
      <c r="K1770" s="29">
        <f t="shared" si="137"/>
        <v>7740</v>
      </c>
      <c r="L1770" s="31" t="str">
        <f t="shared" si="138"/>
        <v/>
      </c>
      <c r="M1770" s="31" t="str">
        <f t="shared" si="139"/>
        <v/>
      </c>
    </row>
    <row r="1771" spans="1:13" x14ac:dyDescent="0.15">
      <c r="A1771" s="163" t="s">
        <v>210</v>
      </c>
      <c r="B1771" s="163">
        <v>42322.430823090275</v>
      </c>
      <c r="C1771" s="164" t="s">
        <v>1786</v>
      </c>
      <c r="D1771" s="164" t="s">
        <v>13</v>
      </c>
      <c r="E1771" s="165">
        <v>200</v>
      </c>
      <c r="F1771" s="166">
        <v>0</v>
      </c>
      <c r="G1771" s="227">
        <f>IF($B$2,IF(ROWS(B$6:$B1771) = 1,$B1771-Start_Date,$B1771-$B1770),"")</f>
        <v>3.5462060179270338E-2</v>
      </c>
      <c r="H1771" s="29">
        <f>IF($B$2,IF(ROWS(B$6:$B1771) = 1,IF(COUNTIFS(R_Schedule_Times,"&lt;"&amp;B1771),INDEX(R_Schedule_Amounts,MATCH(B1771,R_Schedule_Times,1)),Starting_Cash),IF(COUNTIFS(R_Schedule_Times,"&gt;"&amp;B1770,R_Schedule_Times,"&lt;"&amp;B1771),INDEX(R_Schedule_Amounts,MATCH(B1771,R_Schedule_Times,1)),K1770)),"")</f>
        <v>7740</v>
      </c>
      <c r="I1771" s="30">
        <f t="shared" si="135"/>
        <v>200</v>
      </c>
      <c r="J1771" s="31">
        <f t="shared" si="136"/>
        <v>0</v>
      </c>
      <c r="K1771" s="29">
        <f t="shared" si="137"/>
        <v>7540</v>
      </c>
      <c r="L1771" s="31" t="str">
        <f t="shared" si="138"/>
        <v/>
      </c>
      <c r="M1771" s="31" t="str">
        <f t="shared" si="139"/>
        <v/>
      </c>
    </row>
    <row r="1772" spans="1:13" x14ac:dyDescent="0.15">
      <c r="A1772" s="163" t="s">
        <v>210</v>
      </c>
      <c r="B1772" s="163">
        <v>42322.440561388888</v>
      </c>
      <c r="C1772" s="164" t="s">
        <v>1787</v>
      </c>
      <c r="D1772" s="164" t="s">
        <v>13</v>
      </c>
      <c r="E1772" s="165">
        <v>20</v>
      </c>
      <c r="F1772" s="166">
        <v>0</v>
      </c>
      <c r="G1772" s="227">
        <f>IF($B$2,IF(ROWS(B$6:$B1772) = 1,$B1772-Start_Date,$B1772-$B1771),"")</f>
        <v>9.7382986132288352E-3</v>
      </c>
      <c r="H1772" s="29">
        <f>IF($B$2,IF(ROWS(B$6:$B1772) = 1,IF(COUNTIFS(R_Schedule_Times,"&lt;"&amp;B1772),INDEX(R_Schedule_Amounts,MATCH(B1772,R_Schedule_Times,1)),Starting_Cash),IF(COUNTIFS(R_Schedule_Times,"&gt;"&amp;B1771,R_Schedule_Times,"&lt;"&amp;B1772),INDEX(R_Schedule_Amounts,MATCH(B1772,R_Schedule_Times,1)),K1771)),"")</f>
        <v>7540</v>
      </c>
      <c r="I1772" s="30">
        <f t="shared" si="135"/>
        <v>20</v>
      </c>
      <c r="J1772" s="31">
        <f t="shared" si="136"/>
        <v>0</v>
      </c>
      <c r="K1772" s="29">
        <f t="shared" si="137"/>
        <v>7520</v>
      </c>
      <c r="L1772" s="31" t="str">
        <f t="shared" si="138"/>
        <v/>
      </c>
      <c r="M1772" s="31" t="str">
        <f t="shared" si="139"/>
        <v/>
      </c>
    </row>
    <row r="1773" spans="1:13" x14ac:dyDescent="0.15">
      <c r="A1773" s="163" t="s">
        <v>210</v>
      </c>
      <c r="B1773" s="163">
        <v>42322.449191597225</v>
      </c>
      <c r="C1773" s="164" t="s">
        <v>14</v>
      </c>
      <c r="D1773" s="164" t="s">
        <v>13</v>
      </c>
      <c r="E1773" s="165">
        <v>40</v>
      </c>
      <c r="F1773" s="166">
        <v>3.5</v>
      </c>
      <c r="G1773" s="227">
        <f>IF($B$2,IF(ROWS(B$6:$B1773) = 1,$B1773-Start_Date,$B1773-$B1772),"")</f>
        <v>8.6302083363989368E-3</v>
      </c>
      <c r="H1773" s="29">
        <f>IF($B$2,IF(ROWS(B$6:$B1773) = 1,IF(COUNTIFS(R_Schedule_Times,"&lt;"&amp;B1773),INDEX(R_Schedule_Amounts,MATCH(B1773,R_Schedule_Times,1)),Starting_Cash),IF(COUNTIFS(R_Schedule_Times,"&gt;"&amp;B1772,R_Schedule_Times,"&lt;"&amp;B1773),INDEX(R_Schedule_Amounts,MATCH(B1773,R_Schedule_Times,1)),K1772)),"")</f>
        <v>7520</v>
      </c>
      <c r="I1773" s="30">
        <f t="shared" si="135"/>
        <v>40</v>
      </c>
      <c r="J1773" s="31">
        <f t="shared" si="136"/>
        <v>3.5</v>
      </c>
      <c r="K1773" s="29">
        <f t="shared" si="137"/>
        <v>7480</v>
      </c>
      <c r="L1773" s="31" t="str">
        <f t="shared" si="138"/>
        <v/>
      </c>
      <c r="M1773" s="31" t="str">
        <f t="shared" si="139"/>
        <v/>
      </c>
    </row>
    <row r="1774" spans="1:13" x14ac:dyDescent="0.15">
      <c r="A1774" s="163" t="s">
        <v>210</v>
      </c>
      <c r="B1774" s="163">
        <v>42322.471658032409</v>
      </c>
      <c r="C1774" s="164" t="s">
        <v>1788</v>
      </c>
      <c r="D1774" s="164" t="s">
        <v>13</v>
      </c>
      <c r="E1774" s="165">
        <v>160</v>
      </c>
      <c r="F1774" s="166">
        <v>0</v>
      </c>
      <c r="G1774" s="227">
        <f>IF($B$2,IF(ROWS(B$6:$B1774) = 1,$B1774-Start_Date,$B1774-$B1773),"")</f>
        <v>2.2466435184469447E-2</v>
      </c>
      <c r="H1774" s="29">
        <f>IF($B$2,IF(ROWS(B$6:$B1774) = 1,IF(COUNTIFS(R_Schedule_Times,"&lt;"&amp;B1774),INDEX(R_Schedule_Amounts,MATCH(B1774,R_Schedule_Times,1)),Starting_Cash),IF(COUNTIFS(R_Schedule_Times,"&gt;"&amp;B1773,R_Schedule_Times,"&lt;"&amp;B1774),INDEX(R_Schedule_Amounts,MATCH(B1774,R_Schedule_Times,1)),K1773)),"")</f>
        <v>7480</v>
      </c>
      <c r="I1774" s="30">
        <f t="shared" si="135"/>
        <v>160</v>
      </c>
      <c r="J1774" s="31">
        <f t="shared" si="136"/>
        <v>0</v>
      </c>
      <c r="K1774" s="29">
        <f t="shared" si="137"/>
        <v>7320</v>
      </c>
      <c r="L1774" s="31" t="str">
        <f t="shared" si="138"/>
        <v/>
      </c>
      <c r="M1774" s="31" t="str">
        <f t="shared" si="139"/>
        <v/>
      </c>
    </row>
    <row r="1775" spans="1:13" x14ac:dyDescent="0.15">
      <c r="A1775" s="163" t="s">
        <v>210</v>
      </c>
      <c r="B1775" s="163">
        <v>42322.484972986109</v>
      </c>
      <c r="C1775" s="164" t="s">
        <v>1789</v>
      </c>
      <c r="D1775" s="164" t="s">
        <v>13</v>
      </c>
      <c r="E1775" s="165">
        <v>40</v>
      </c>
      <c r="F1775" s="166">
        <v>0</v>
      </c>
      <c r="G1775" s="227">
        <f>IF($B$2,IF(ROWS(B$6:$B1775) = 1,$B1775-Start_Date,$B1775-$B1774),"")</f>
        <v>1.331495369959157E-2</v>
      </c>
      <c r="H1775" s="29">
        <f>IF($B$2,IF(ROWS(B$6:$B1775) = 1,IF(COUNTIFS(R_Schedule_Times,"&lt;"&amp;B1775),INDEX(R_Schedule_Amounts,MATCH(B1775,R_Schedule_Times,1)),Starting_Cash),IF(COUNTIFS(R_Schedule_Times,"&gt;"&amp;B1774,R_Schedule_Times,"&lt;"&amp;B1775),INDEX(R_Schedule_Amounts,MATCH(B1775,R_Schedule_Times,1)),K1774)),"")</f>
        <v>7320</v>
      </c>
      <c r="I1775" s="30">
        <f t="shared" si="135"/>
        <v>40</v>
      </c>
      <c r="J1775" s="31">
        <f t="shared" si="136"/>
        <v>0</v>
      </c>
      <c r="K1775" s="29">
        <f t="shared" si="137"/>
        <v>7280</v>
      </c>
      <c r="L1775" s="31" t="str">
        <f t="shared" si="138"/>
        <v/>
      </c>
      <c r="M1775" s="31" t="str">
        <f t="shared" si="139"/>
        <v/>
      </c>
    </row>
    <row r="1776" spans="1:13" x14ac:dyDescent="0.15">
      <c r="A1776" s="163" t="s">
        <v>210</v>
      </c>
      <c r="B1776" s="163">
        <v>42322.498925312502</v>
      </c>
      <c r="C1776" s="164" t="s">
        <v>1790</v>
      </c>
      <c r="D1776" s="164" t="s">
        <v>13</v>
      </c>
      <c r="E1776" s="165">
        <v>20</v>
      </c>
      <c r="F1776" s="166">
        <v>0</v>
      </c>
      <c r="G1776" s="227">
        <f>IF($B$2,IF(ROWS(B$6:$B1776) = 1,$B1776-Start_Date,$B1776-$B1775),"")</f>
        <v>1.3952326393336989E-2</v>
      </c>
      <c r="H1776" s="29">
        <f>IF($B$2,IF(ROWS(B$6:$B1776) = 1,IF(COUNTIFS(R_Schedule_Times,"&lt;"&amp;B1776),INDEX(R_Schedule_Amounts,MATCH(B1776,R_Schedule_Times,1)),Starting_Cash),IF(COUNTIFS(R_Schedule_Times,"&gt;"&amp;B1775,R_Schedule_Times,"&lt;"&amp;B1776),INDEX(R_Schedule_Amounts,MATCH(B1776,R_Schedule_Times,1)),K1775)),"")</f>
        <v>7280</v>
      </c>
      <c r="I1776" s="30">
        <f t="shared" si="135"/>
        <v>20</v>
      </c>
      <c r="J1776" s="31">
        <f t="shared" si="136"/>
        <v>0</v>
      </c>
      <c r="K1776" s="29">
        <f t="shared" si="137"/>
        <v>7260</v>
      </c>
      <c r="L1776" s="31" t="str">
        <f t="shared" si="138"/>
        <v/>
      </c>
      <c r="M1776" s="31" t="str">
        <f t="shared" si="139"/>
        <v/>
      </c>
    </row>
    <row r="1777" spans="1:13" x14ac:dyDescent="0.15">
      <c r="A1777" s="163" t="s">
        <v>210</v>
      </c>
      <c r="B1777" s="163">
        <v>42322.532541817127</v>
      </c>
      <c r="C1777" s="164" t="s">
        <v>1791</v>
      </c>
      <c r="D1777" s="164" t="s">
        <v>13</v>
      </c>
      <c r="E1777" s="165">
        <v>20</v>
      </c>
      <c r="F1777" s="166">
        <v>0</v>
      </c>
      <c r="G1777" s="227">
        <f>IF($B$2,IF(ROWS(B$6:$B1777) = 1,$B1777-Start_Date,$B1777-$B1776),"")</f>
        <v>3.3616504624660593E-2</v>
      </c>
      <c r="H1777" s="29">
        <f>IF($B$2,IF(ROWS(B$6:$B1777) = 1,IF(COUNTIFS(R_Schedule_Times,"&lt;"&amp;B1777),INDEX(R_Schedule_Amounts,MATCH(B1777,R_Schedule_Times,1)),Starting_Cash),IF(COUNTIFS(R_Schedule_Times,"&gt;"&amp;B1776,R_Schedule_Times,"&lt;"&amp;B1777),INDEX(R_Schedule_Amounts,MATCH(B1777,R_Schedule_Times,1)),K1776)),"")</f>
        <v>7260</v>
      </c>
      <c r="I1777" s="30">
        <f t="shared" si="135"/>
        <v>20</v>
      </c>
      <c r="J1777" s="31">
        <f t="shared" si="136"/>
        <v>0</v>
      </c>
      <c r="K1777" s="29">
        <f t="shared" si="137"/>
        <v>7240</v>
      </c>
      <c r="L1777" s="31" t="str">
        <f t="shared" si="138"/>
        <v/>
      </c>
      <c r="M1777" s="31" t="str">
        <f t="shared" si="139"/>
        <v/>
      </c>
    </row>
    <row r="1778" spans="1:13" x14ac:dyDescent="0.15">
      <c r="A1778" s="163" t="s">
        <v>210</v>
      </c>
      <c r="B1778" s="163">
        <v>42322.542392048614</v>
      </c>
      <c r="C1778" s="164" t="s">
        <v>903</v>
      </c>
      <c r="D1778" s="164" t="s">
        <v>13</v>
      </c>
      <c r="E1778" s="165">
        <v>500</v>
      </c>
      <c r="F1778" s="166">
        <v>0</v>
      </c>
      <c r="G1778" s="227">
        <f>IF($B$2,IF(ROWS(B$6:$B1778) = 1,$B1778-Start_Date,$B1778-$B1777),"")</f>
        <v>9.8502314867801033E-3</v>
      </c>
      <c r="H1778" s="29">
        <f>IF($B$2,IF(ROWS(B$6:$B1778) = 1,IF(COUNTIFS(R_Schedule_Times,"&lt;"&amp;B1778),INDEX(R_Schedule_Amounts,MATCH(B1778,R_Schedule_Times,1)),Starting_Cash),IF(COUNTIFS(R_Schedule_Times,"&gt;"&amp;B1777,R_Schedule_Times,"&lt;"&amp;B1778),INDEX(R_Schedule_Amounts,MATCH(B1778,R_Schedule_Times,1)),K1777)),"")</f>
        <v>7240</v>
      </c>
      <c r="I1778" s="30">
        <f t="shared" si="135"/>
        <v>500</v>
      </c>
      <c r="J1778" s="31">
        <f t="shared" si="136"/>
        <v>0</v>
      </c>
      <c r="K1778" s="29">
        <f t="shared" si="137"/>
        <v>6740</v>
      </c>
      <c r="L1778" s="31" t="str">
        <f t="shared" si="138"/>
        <v/>
      </c>
      <c r="M1778" s="31" t="str">
        <f t="shared" si="139"/>
        <v/>
      </c>
    </row>
    <row r="1779" spans="1:13" x14ac:dyDescent="0.15">
      <c r="A1779" s="163" t="s">
        <v>210</v>
      </c>
      <c r="B1779" s="163">
        <v>42322.557585717594</v>
      </c>
      <c r="C1779" s="164" t="s">
        <v>14</v>
      </c>
      <c r="D1779" s="164" t="s">
        <v>15</v>
      </c>
      <c r="E1779" s="165">
        <v>80</v>
      </c>
      <c r="F1779" s="166">
        <v>4.9000000000000004</v>
      </c>
      <c r="G1779" s="227">
        <f>IF($B$2,IF(ROWS(B$6:$B1779) = 1,$B1779-Start_Date,$B1779-$B1778),"")</f>
        <v>1.5193668979918584E-2</v>
      </c>
      <c r="H1779" s="29">
        <f>IF($B$2,IF(ROWS(B$6:$B1779) = 1,IF(COUNTIFS(R_Schedule_Times,"&lt;"&amp;B1779),INDEX(R_Schedule_Amounts,MATCH(B1779,R_Schedule_Times,1)),Starting_Cash),IF(COUNTIFS(R_Schedule_Times,"&gt;"&amp;B1778,R_Schedule_Times,"&lt;"&amp;B1779),INDEX(R_Schedule_Amounts,MATCH(B1779,R_Schedule_Times,1)),K1778)),"")</f>
        <v>6740</v>
      </c>
      <c r="I1779" s="30">
        <f t="shared" si="135"/>
        <v>80</v>
      </c>
      <c r="J1779" s="31">
        <f t="shared" si="136"/>
        <v>4.9000000000000004</v>
      </c>
      <c r="K1779" s="29">
        <f t="shared" si="137"/>
        <v>6660</v>
      </c>
      <c r="L1779" s="31" t="str">
        <f t="shared" si="138"/>
        <v/>
      </c>
      <c r="M1779" s="31" t="str">
        <f t="shared" si="139"/>
        <v/>
      </c>
    </row>
    <row r="1780" spans="1:13" x14ac:dyDescent="0.15">
      <c r="A1780" s="163" t="s">
        <v>210</v>
      </c>
      <c r="B1780" s="163">
        <v>42322.566837199076</v>
      </c>
      <c r="C1780" s="164" t="s">
        <v>169</v>
      </c>
      <c r="D1780" s="164" t="s">
        <v>13</v>
      </c>
      <c r="E1780" s="165">
        <v>120</v>
      </c>
      <c r="F1780" s="166">
        <v>0</v>
      </c>
      <c r="G1780" s="227">
        <f>IF($B$2,IF(ROWS(B$6:$B1780) = 1,$B1780-Start_Date,$B1780-$B1779),"")</f>
        <v>9.2514814823516645E-3</v>
      </c>
      <c r="H1780" s="29">
        <f>IF($B$2,IF(ROWS(B$6:$B1780) = 1,IF(COUNTIFS(R_Schedule_Times,"&lt;"&amp;B1780),INDEX(R_Schedule_Amounts,MATCH(B1780,R_Schedule_Times,1)),Starting_Cash),IF(COUNTIFS(R_Schedule_Times,"&gt;"&amp;B1779,R_Schedule_Times,"&lt;"&amp;B1780),INDEX(R_Schedule_Amounts,MATCH(B1780,R_Schedule_Times,1)),K1779)),"")</f>
        <v>6660</v>
      </c>
      <c r="I1780" s="30">
        <f t="shared" si="135"/>
        <v>120</v>
      </c>
      <c r="J1780" s="31">
        <f t="shared" si="136"/>
        <v>0</v>
      </c>
      <c r="K1780" s="29">
        <f t="shared" si="137"/>
        <v>6540</v>
      </c>
      <c r="L1780" s="31" t="str">
        <f t="shared" si="138"/>
        <v/>
      </c>
      <c r="M1780" s="31" t="str">
        <f t="shared" si="139"/>
        <v/>
      </c>
    </row>
    <row r="1781" spans="1:13" x14ac:dyDescent="0.15">
      <c r="A1781" s="163" t="s">
        <v>210</v>
      </c>
      <c r="B1781" s="163">
        <v>42322.572295104168</v>
      </c>
      <c r="C1781" s="164" t="s">
        <v>1642</v>
      </c>
      <c r="D1781" s="164" t="s">
        <v>13</v>
      </c>
      <c r="E1781" s="165">
        <v>20</v>
      </c>
      <c r="F1781" s="166">
        <v>0</v>
      </c>
      <c r="G1781" s="227">
        <f>IF($B$2,IF(ROWS(B$6:$B1781) = 1,$B1781-Start_Date,$B1781-$B1780),"")</f>
        <v>5.4579050920438021E-3</v>
      </c>
      <c r="H1781" s="29">
        <f>IF($B$2,IF(ROWS(B$6:$B1781) = 1,IF(COUNTIFS(R_Schedule_Times,"&lt;"&amp;B1781),INDEX(R_Schedule_Amounts,MATCH(B1781,R_Schedule_Times,1)),Starting_Cash),IF(COUNTIFS(R_Schedule_Times,"&gt;"&amp;B1780,R_Schedule_Times,"&lt;"&amp;B1781),INDEX(R_Schedule_Amounts,MATCH(B1781,R_Schedule_Times,1)),K1780)),"")</f>
        <v>6540</v>
      </c>
      <c r="I1781" s="30">
        <f t="shared" si="135"/>
        <v>20</v>
      </c>
      <c r="J1781" s="31">
        <f t="shared" si="136"/>
        <v>0</v>
      </c>
      <c r="K1781" s="29">
        <f t="shared" si="137"/>
        <v>6520</v>
      </c>
      <c r="L1781" s="31" t="str">
        <f t="shared" si="138"/>
        <v/>
      </c>
      <c r="M1781" s="31" t="str">
        <f t="shared" si="139"/>
        <v/>
      </c>
    </row>
    <row r="1782" spans="1:13" x14ac:dyDescent="0.15">
      <c r="A1782" s="163" t="s">
        <v>210</v>
      </c>
      <c r="B1782" s="163">
        <v>42322.573321284719</v>
      </c>
      <c r="C1782" s="164" t="s">
        <v>1792</v>
      </c>
      <c r="D1782" s="164" t="s">
        <v>13</v>
      </c>
      <c r="E1782" s="165">
        <v>100</v>
      </c>
      <c r="F1782" s="166">
        <v>0</v>
      </c>
      <c r="G1782" s="227">
        <f>IF($B$2,IF(ROWS(B$6:$B1782) = 1,$B1782-Start_Date,$B1782-$B1781),"")</f>
        <v>1.026180550979916E-3</v>
      </c>
      <c r="H1782" s="29">
        <f>IF($B$2,IF(ROWS(B$6:$B1782) = 1,IF(COUNTIFS(R_Schedule_Times,"&lt;"&amp;B1782),INDEX(R_Schedule_Amounts,MATCH(B1782,R_Schedule_Times,1)),Starting_Cash),IF(COUNTIFS(R_Schedule_Times,"&gt;"&amp;B1781,R_Schedule_Times,"&lt;"&amp;B1782),INDEX(R_Schedule_Amounts,MATCH(B1782,R_Schedule_Times,1)),K1781)),"")</f>
        <v>6520</v>
      </c>
      <c r="I1782" s="30">
        <f t="shared" si="135"/>
        <v>100</v>
      </c>
      <c r="J1782" s="31">
        <f t="shared" si="136"/>
        <v>0</v>
      </c>
      <c r="K1782" s="29">
        <f t="shared" si="137"/>
        <v>6420</v>
      </c>
      <c r="L1782" s="31" t="str">
        <f t="shared" si="138"/>
        <v/>
      </c>
      <c r="M1782" s="31" t="str">
        <f t="shared" si="139"/>
        <v/>
      </c>
    </row>
    <row r="1783" spans="1:13" x14ac:dyDescent="0.15">
      <c r="A1783" s="163" t="s">
        <v>210</v>
      </c>
      <c r="B1783" s="163">
        <v>42322.592977986111</v>
      </c>
      <c r="C1783" s="164" t="s">
        <v>1793</v>
      </c>
      <c r="D1783" s="164" t="s">
        <v>13</v>
      </c>
      <c r="E1783" s="165">
        <v>100</v>
      </c>
      <c r="F1783" s="166">
        <v>0</v>
      </c>
      <c r="G1783" s="227">
        <f>IF($B$2,IF(ROWS(B$6:$B1783) = 1,$B1783-Start_Date,$B1783-$B1782),"")</f>
        <v>1.965670139179565E-2</v>
      </c>
      <c r="H1783" s="29">
        <f>IF($B$2,IF(ROWS(B$6:$B1783) = 1,IF(COUNTIFS(R_Schedule_Times,"&lt;"&amp;B1783),INDEX(R_Schedule_Amounts,MATCH(B1783,R_Schedule_Times,1)),Starting_Cash),IF(COUNTIFS(R_Schedule_Times,"&gt;"&amp;B1782,R_Schedule_Times,"&lt;"&amp;B1783),INDEX(R_Schedule_Amounts,MATCH(B1783,R_Schedule_Times,1)),K1782)),"")</f>
        <v>6420</v>
      </c>
      <c r="I1783" s="30">
        <f t="shared" si="135"/>
        <v>100</v>
      </c>
      <c r="J1783" s="31">
        <f t="shared" si="136"/>
        <v>0</v>
      </c>
      <c r="K1783" s="29">
        <f t="shared" si="137"/>
        <v>6320</v>
      </c>
      <c r="L1783" s="31" t="str">
        <f t="shared" si="138"/>
        <v/>
      </c>
      <c r="M1783" s="31" t="str">
        <f t="shared" si="139"/>
        <v/>
      </c>
    </row>
    <row r="1784" spans="1:13" x14ac:dyDescent="0.15">
      <c r="A1784" s="163" t="s">
        <v>210</v>
      </c>
      <c r="B1784" s="163">
        <v>42322.594248171299</v>
      </c>
      <c r="C1784" s="164" t="s">
        <v>1794</v>
      </c>
      <c r="D1784" s="164" t="s">
        <v>13</v>
      </c>
      <c r="E1784" s="165">
        <v>60</v>
      </c>
      <c r="F1784" s="166">
        <v>0</v>
      </c>
      <c r="G1784" s="227">
        <f>IF($B$2,IF(ROWS(B$6:$B1784) = 1,$B1784-Start_Date,$B1784-$B1783),"")</f>
        <v>1.2701851883321069E-3</v>
      </c>
      <c r="H1784" s="29">
        <f>IF($B$2,IF(ROWS(B$6:$B1784) = 1,IF(COUNTIFS(R_Schedule_Times,"&lt;"&amp;B1784),INDEX(R_Schedule_Amounts,MATCH(B1784,R_Schedule_Times,1)),Starting_Cash),IF(COUNTIFS(R_Schedule_Times,"&gt;"&amp;B1783,R_Schedule_Times,"&lt;"&amp;B1784),INDEX(R_Schedule_Amounts,MATCH(B1784,R_Schedule_Times,1)),K1783)),"")</f>
        <v>6320</v>
      </c>
      <c r="I1784" s="30">
        <f t="shared" si="135"/>
        <v>60</v>
      </c>
      <c r="J1784" s="31">
        <f t="shared" si="136"/>
        <v>0</v>
      </c>
      <c r="K1784" s="29">
        <f t="shared" si="137"/>
        <v>6260</v>
      </c>
      <c r="L1784" s="31" t="str">
        <f t="shared" si="138"/>
        <v/>
      </c>
      <c r="M1784" s="31" t="str">
        <f t="shared" si="139"/>
        <v/>
      </c>
    </row>
    <row r="1785" spans="1:13" x14ac:dyDescent="0.15">
      <c r="A1785" s="163" t="s">
        <v>210</v>
      </c>
      <c r="B1785" s="163">
        <v>42322.649448518518</v>
      </c>
      <c r="C1785" s="164" t="s">
        <v>1795</v>
      </c>
      <c r="D1785" s="164" t="s">
        <v>13</v>
      </c>
      <c r="E1785" s="165">
        <v>20</v>
      </c>
      <c r="F1785" s="166">
        <v>0</v>
      </c>
      <c r="G1785" s="227">
        <f>IF($B$2,IF(ROWS(B$6:$B1785) = 1,$B1785-Start_Date,$B1785-$B1784),"")</f>
        <v>5.5200347218487877E-2</v>
      </c>
      <c r="H1785" s="29">
        <f>IF($B$2,IF(ROWS(B$6:$B1785) = 1,IF(COUNTIFS(R_Schedule_Times,"&lt;"&amp;B1785),INDEX(R_Schedule_Amounts,MATCH(B1785,R_Schedule_Times,1)),Starting_Cash),IF(COUNTIFS(R_Schedule_Times,"&gt;"&amp;B1784,R_Schedule_Times,"&lt;"&amp;B1785),INDEX(R_Schedule_Amounts,MATCH(B1785,R_Schedule_Times,1)),K1784)),"")</f>
        <v>6260</v>
      </c>
      <c r="I1785" s="30">
        <f t="shared" si="135"/>
        <v>20</v>
      </c>
      <c r="J1785" s="31">
        <f t="shared" si="136"/>
        <v>0</v>
      </c>
      <c r="K1785" s="29">
        <f t="shared" si="137"/>
        <v>6240</v>
      </c>
      <c r="L1785" s="31" t="str">
        <f t="shared" si="138"/>
        <v/>
      </c>
      <c r="M1785" s="31" t="str">
        <f t="shared" si="139"/>
        <v/>
      </c>
    </row>
    <row r="1786" spans="1:13" x14ac:dyDescent="0.15">
      <c r="A1786" s="163" t="s">
        <v>210</v>
      </c>
      <c r="B1786" s="163">
        <v>42322.654933622682</v>
      </c>
      <c r="C1786" s="164" t="s">
        <v>1796</v>
      </c>
      <c r="D1786" s="164" t="s">
        <v>13</v>
      </c>
      <c r="E1786" s="165">
        <v>100</v>
      </c>
      <c r="F1786" s="166">
        <v>0</v>
      </c>
      <c r="G1786" s="227">
        <f>IF($B$2,IF(ROWS(B$6:$B1786) = 1,$B1786-Start_Date,$B1786-$B1785),"")</f>
        <v>5.485104164108634E-3</v>
      </c>
      <c r="H1786" s="29">
        <f>IF($B$2,IF(ROWS(B$6:$B1786) = 1,IF(COUNTIFS(R_Schedule_Times,"&lt;"&amp;B1786),INDEX(R_Schedule_Amounts,MATCH(B1786,R_Schedule_Times,1)),Starting_Cash),IF(COUNTIFS(R_Schedule_Times,"&gt;"&amp;B1785,R_Schedule_Times,"&lt;"&amp;B1786),INDEX(R_Schedule_Amounts,MATCH(B1786,R_Schedule_Times,1)),K1785)),"")</f>
        <v>6240</v>
      </c>
      <c r="I1786" s="30">
        <f t="shared" si="135"/>
        <v>100</v>
      </c>
      <c r="J1786" s="31">
        <f t="shared" si="136"/>
        <v>0</v>
      </c>
      <c r="K1786" s="29">
        <f t="shared" si="137"/>
        <v>6140</v>
      </c>
      <c r="L1786" s="31" t="str">
        <f t="shared" si="138"/>
        <v/>
      </c>
      <c r="M1786" s="31" t="str">
        <f t="shared" si="139"/>
        <v/>
      </c>
    </row>
    <row r="1787" spans="1:13" x14ac:dyDescent="0.15">
      <c r="A1787" s="163" t="s">
        <v>210</v>
      </c>
      <c r="B1787" s="163">
        <v>42322.670191724537</v>
      </c>
      <c r="C1787" s="164" t="s">
        <v>1797</v>
      </c>
      <c r="D1787" s="164" t="s">
        <v>13</v>
      </c>
      <c r="E1787" s="165">
        <v>400</v>
      </c>
      <c r="F1787" s="166">
        <v>0</v>
      </c>
      <c r="G1787" s="227">
        <f>IF($B$2,IF(ROWS(B$6:$B1787) = 1,$B1787-Start_Date,$B1787-$B1786),"")</f>
        <v>1.5258101855579298E-2</v>
      </c>
      <c r="H1787" s="29">
        <f>IF($B$2,IF(ROWS(B$6:$B1787) = 1,IF(COUNTIFS(R_Schedule_Times,"&lt;"&amp;B1787),INDEX(R_Schedule_Amounts,MATCH(B1787,R_Schedule_Times,1)),Starting_Cash),IF(COUNTIFS(R_Schedule_Times,"&gt;"&amp;B1786,R_Schedule_Times,"&lt;"&amp;B1787),INDEX(R_Schedule_Amounts,MATCH(B1787,R_Schedule_Times,1)),K1786)),"")</f>
        <v>6140</v>
      </c>
      <c r="I1787" s="30">
        <f t="shared" si="135"/>
        <v>400</v>
      </c>
      <c r="J1787" s="31">
        <f t="shared" si="136"/>
        <v>0</v>
      </c>
      <c r="K1787" s="29">
        <f t="shared" si="137"/>
        <v>5740</v>
      </c>
      <c r="L1787" s="31" t="str">
        <f t="shared" si="138"/>
        <v/>
      </c>
      <c r="M1787" s="31" t="str">
        <f t="shared" si="139"/>
        <v/>
      </c>
    </row>
    <row r="1788" spans="1:13" x14ac:dyDescent="0.15">
      <c r="A1788" s="163" t="s">
        <v>210</v>
      </c>
      <c r="B1788" s="163">
        <v>42322.679003576392</v>
      </c>
      <c r="C1788" s="164" t="s">
        <v>1798</v>
      </c>
      <c r="D1788" s="164" t="s">
        <v>13</v>
      </c>
      <c r="E1788" s="165">
        <v>100</v>
      </c>
      <c r="F1788" s="166">
        <v>0</v>
      </c>
      <c r="G1788" s="227">
        <f>IF($B$2,IF(ROWS(B$6:$B1788) = 1,$B1788-Start_Date,$B1788-$B1787),"")</f>
        <v>8.8118518542614765E-3</v>
      </c>
      <c r="H1788" s="29">
        <f>IF($B$2,IF(ROWS(B$6:$B1788) = 1,IF(COUNTIFS(R_Schedule_Times,"&lt;"&amp;B1788),INDEX(R_Schedule_Amounts,MATCH(B1788,R_Schedule_Times,1)),Starting_Cash),IF(COUNTIFS(R_Schedule_Times,"&gt;"&amp;B1787,R_Schedule_Times,"&lt;"&amp;B1788),INDEX(R_Schedule_Amounts,MATCH(B1788,R_Schedule_Times,1)),K1787)),"")</f>
        <v>5740</v>
      </c>
      <c r="I1788" s="30">
        <f t="shared" si="135"/>
        <v>100</v>
      </c>
      <c r="J1788" s="31">
        <f t="shared" si="136"/>
        <v>0</v>
      </c>
      <c r="K1788" s="29">
        <f t="shared" si="137"/>
        <v>5640</v>
      </c>
      <c r="L1788" s="31" t="str">
        <f t="shared" si="138"/>
        <v/>
      </c>
      <c r="M1788" s="31" t="str">
        <f t="shared" si="139"/>
        <v/>
      </c>
    </row>
    <row r="1789" spans="1:13" x14ac:dyDescent="0.15">
      <c r="A1789" s="163" t="s">
        <v>210</v>
      </c>
      <c r="B1789" s="163">
        <v>42322.682265833333</v>
      </c>
      <c r="C1789" s="164" t="s">
        <v>1799</v>
      </c>
      <c r="D1789" s="164" t="s">
        <v>13</v>
      </c>
      <c r="E1789" s="165">
        <v>20</v>
      </c>
      <c r="F1789" s="166">
        <v>0</v>
      </c>
      <c r="G1789" s="227">
        <f>IF($B$2,IF(ROWS(B$6:$B1789) = 1,$B1789-Start_Date,$B1789-$B1788),"")</f>
        <v>3.2622569415252656E-3</v>
      </c>
      <c r="H1789" s="29">
        <f>IF($B$2,IF(ROWS(B$6:$B1789) = 1,IF(COUNTIFS(R_Schedule_Times,"&lt;"&amp;B1789),INDEX(R_Schedule_Amounts,MATCH(B1789,R_Schedule_Times,1)),Starting_Cash),IF(COUNTIFS(R_Schedule_Times,"&gt;"&amp;B1788,R_Schedule_Times,"&lt;"&amp;B1789),INDEX(R_Schedule_Amounts,MATCH(B1789,R_Schedule_Times,1)),K1788)),"")</f>
        <v>5640</v>
      </c>
      <c r="I1789" s="30">
        <f t="shared" si="135"/>
        <v>20</v>
      </c>
      <c r="J1789" s="31">
        <f t="shared" si="136"/>
        <v>0</v>
      </c>
      <c r="K1789" s="29">
        <f t="shared" si="137"/>
        <v>5620</v>
      </c>
      <c r="L1789" s="31" t="str">
        <f t="shared" si="138"/>
        <v/>
      </c>
      <c r="M1789" s="31" t="str">
        <f t="shared" si="139"/>
        <v/>
      </c>
    </row>
    <row r="1790" spans="1:13" x14ac:dyDescent="0.15">
      <c r="A1790" s="163" t="s">
        <v>210</v>
      </c>
      <c r="B1790" s="163">
        <v>42322.692488252316</v>
      </c>
      <c r="C1790" s="164" t="s">
        <v>1800</v>
      </c>
      <c r="D1790" s="164" t="s">
        <v>13</v>
      </c>
      <c r="E1790" s="165">
        <v>40</v>
      </c>
      <c r="F1790" s="166">
        <v>0</v>
      </c>
      <c r="G1790" s="227">
        <f>IF($B$2,IF(ROWS(B$6:$B1790) = 1,$B1790-Start_Date,$B1790-$B1789),"")</f>
        <v>1.0222418983175885E-2</v>
      </c>
      <c r="H1790" s="29">
        <f>IF($B$2,IF(ROWS(B$6:$B1790) = 1,IF(COUNTIFS(R_Schedule_Times,"&lt;"&amp;B1790),INDEX(R_Schedule_Amounts,MATCH(B1790,R_Schedule_Times,1)),Starting_Cash),IF(COUNTIFS(R_Schedule_Times,"&gt;"&amp;B1789,R_Schedule_Times,"&lt;"&amp;B1790),INDEX(R_Schedule_Amounts,MATCH(B1790,R_Schedule_Times,1)),K1789)),"")</f>
        <v>5620</v>
      </c>
      <c r="I1790" s="30">
        <f t="shared" si="135"/>
        <v>40</v>
      </c>
      <c r="J1790" s="31">
        <f t="shared" si="136"/>
        <v>0</v>
      </c>
      <c r="K1790" s="29">
        <f t="shared" si="137"/>
        <v>5580</v>
      </c>
      <c r="L1790" s="31" t="str">
        <f t="shared" si="138"/>
        <v/>
      </c>
      <c r="M1790" s="31" t="str">
        <f t="shared" si="139"/>
        <v/>
      </c>
    </row>
    <row r="1791" spans="1:13" x14ac:dyDescent="0.15">
      <c r="A1791" s="163" t="s">
        <v>210</v>
      </c>
      <c r="B1791" s="163">
        <v>42322.70033363426</v>
      </c>
      <c r="C1791" s="164" t="s">
        <v>439</v>
      </c>
      <c r="D1791" s="164" t="s">
        <v>13</v>
      </c>
      <c r="E1791" s="165">
        <v>40</v>
      </c>
      <c r="F1791" s="166">
        <v>0</v>
      </c>
      <c r="G1791" s="227">
        <f>IF($B$2,IF(ROWS(B$6:$B1791) = 1,$B1791-Start_Date,$B1791-$B1790),"")</f>
        <v>7.8453819442074746E-3</v>
      </c>
      <c r="H1791" s="29">
        <f>IF($B$2,IF(ROWS(B$6:$B1791) = 1,IF(COUNTIFS(R_Schedule_Times,"&lt;"&amp;B1791),INDEX(R_Schedule_Amounts,MATCH(B1791,R_Schedule_Times,1)),Starting_Cash),IF(COUNTIFS(R_Schedule_Times,"&gt;"&amp;B1790,R_Schedule_Times,"&lt;"&amp;B1791),INDEX(R_Schedule_Amounts,MATCH(B1791,R_Schedule_Times,1)),K1790)),"")</f>
        <v>5580</v>
      </c>
      <c r="I1791" s="30">
        <f t="shared" si="135"/>
        <v>40</v>
      </c>
      <c r="J1791" s="31">
        <f t="shared" si="136"/>
        <v>0</v>
      </c>
      <c r="K1791" s="29">
        <f t="shared" si="137"/>
        <v>5540</v>
      </c>
      <c r="L1791" s="31" t="str">
        <f t="shared" si="138"/>
        <v/>
      </c>
      <c r="M1791" s="31" t="str">
        <f t="shared" si="139"/>
        <v/>
      </c>
    </row>
    <row r="1792" spans="1:13" x14ac:dyDescent="0.15">
      <c r="A1792" s="163" t="s">
        <v>210</v>
      </c>
      <c r="B1792" s="163">
        <v>42322.724517407405</v>
      </c>
      <c r="C1792" s="164" t="s">
        <v>1801</v>
      </c>
      <c r="D1792" s="164" t="s">
        <v>13</v>
      </c>
      <c r="E1792" s="165">
        <v>200</v>
      </c>
      <c r="F1792" s="166">
        <v>0</v>
      </c>
      <c r="G1792" s="227">
        <f>IF($B$2,IF(ROWS(B$6:$B1792) = 1,$B1792-Start_Date,$B1792-$B1791),"")</f>
        <v>2.4183773144613951E-2</v>
      </c>
      <c r="H1792" s="29">
        <f>IF($B$2,IF(ROWS(B$6:$B1792) = 1,IF(COUNTIFS(R_Schedule_Times,"&lt;"&amp;B1792),INDEX(R_Schedule_Amounts,MATCH(B1792,R_Schedule_Times,1)),Starting_Cash),IF(COUNTIFS(R_Schedule_Times,"&gt;"&amp;B1791,R_Schedule_Times,"&lt;"&amp;B1792),INDEX(R_Schedule_Amounts,MATCH(B1792,R_Schedule_Times,1)),K1791)),"")</f>
        <v>5540</v>
      </c>
      <c r="I1792" s="30">
        <f t="shared" si="135"/>
        <v>200</v>
      </c>
      <c r="J1792" s="31">
        <f t="shared" si="136"/>
        <v>0</v>
      </c>
      <c r="K1792" s="29">
        <f t="shared" si="137"/>
        <v>5340</v>
      </c>
      <c r="L1792" s="31" t="str">
        <f t="shared" si="138"/>
        <v/>
      </c>
      <c r="M1792" s="31" t="str">
        <f t="shared" si="139"/>
        <v/>
      </c>
    </row>
    <row r="1793" spans="1:13" x14ac:dyDescent="0.15">
      <c r="A1793" s="163" t="s">
        <v>210</v>
      </c>
      <c r="B1793" s="163">
        <v>42322.743357511572</v>
      </c>
      <c r="C1793" s="164" t="s">
        <v>1802</v>
      </c>
      <c r="D1793" s="164" t="s">
        <v>13</v>
      </c>
      <c r="E1793" s="165">
        <v>60</v>
      </c>
      <c r="F1793" s="166">
        <v>0</v>
      </c>
      <c r="G1793" s="227">
        <f>IF($B$2,IF(ROWS(B$6:$B1793) = 1,$B1793-Start_Date,$B1793-$B1792),"")</f>
        <v>1.8840104166883975E-2</v>
      </c>
      <c r="H1793" s="29">
        <f>IF($B$2,IF(ROWS(B$6:$B1793) = 1,IF(COUNTIFS(R_Schedule_Times,"&lt;"&amp;B1793),INDEX(R_Schedule_Amounts,MATCH(B1793,R_Schedule_Times,1)),Starting_Cash),IF(COUNTIFS(R_Schedule_Times,"&gt;"&amp;B1792,R_Schedule_Times,"&lt;"&amp;B1793),INDEX(R_Schedule_Amounts,MATCH(B1793,R_Schedule_Times,1)),K1792)),"")</f>
        <v>5340</v>
      </c>
      <c r="I1793" s="30">
        <f t="shared" si="135"/>
        <v>60</v>
      </c>
      <c r="J1793" s="31">
        <f t="shared" si="136"/>
        <v>0</v>
      </c>
      <c r="K1793" s="29">
        <f t="shared" si="137"/>
        <v>5280</v>
      </c>
      <c r="L1793" s="31" t="str">
        <f t="shared" si="138"/>
        <v/>
      </c>
      <c r="M1793" s="31" t="str">
        <f t="shared" si="139"/>
        <v/>
      </c>
    </row>
    <row r="1794" spans="1:13" x14ac:dyDescent="0.15">
      <c r="A1794" s="163" t="s">
        <v>210</v>
      </c>
      <c r="B1794" s="163">
        <v>42322.751259317127</v>
      </c>
      <c r="C1794" s="164" t="s">
        <v>1803</v>
      </c>
      <c r="D1794" s="164" t="s">
        <v>13</v>
      </c>
      <c r="E1794" s="165">
        <v>80</v>
      </c>
      <c r="F1794" s="166">
        <v>0</v>
      </c>
      <c r="G1794" s="227">
        <f>IF($B$2,IF(ROWS(B$6:$B1794) = 1,$B1794-Start_Date,$B1794-$B1793),"")</f>
        <v>7.9018055548658594E-3</v>
      </c>
      <c r="H1794" s="29">
        <f>IF($B$2,IF(ROWS(B$6:$B1794) = 1,IF(COUNTIFS(R_Schedule_Times,"&lt;"&amp;B1794),INDEX(R_Schedule_Amounts,MATCH(B1794,R_Schedule_Times,1)),Starting_Cash),IF(COUNTIFS(R_Schedule_Times,"&gt;"&amp;B1793,R_Schedule_Times,"&lt;"&amp;B1794),INDEX(R_Schedule_Amounts,MATCH(B1794,R_Schedule_Times,1)),K1793)),"")</f>
        <v>5280</v>
      </c>
      <c r="I1794" s="30">
        <f t="shared" si="135"/>
        <v>80</v>
      </c>
      <c r="J1794" s="31">
        <f t="shared" si="136"/>
        <v>0</v>
      </c>
      <c r="K1794" s="29">
        <f t="shared" si="137"/>
        <v>5200</v>
      </c>
      <c r="L1794" s="31" t="str">
        <f t="shared" si="138"/>
        <v/>
      </c>
      <c r="M1794" s="31" t="str">
        <f t="shared" si="139"/>
        <v/>
      </c>
    </row>
    <row r="1795" spans="1:13" x14ac:dyDescent="0.15">
      <c r="A1795" s="163" t="s">
        <v>210</v>
      </c>
      <c r="B1795" s="163">
        <v>42322.751820868056</v>
      </c>
      <c r="C1795" s="164" t="s">
        <v>1804</v>
      </c>
      <c r="D1795" s="164" t="s">
        <v>13</v>
      </c>
      <c r="E1795" s="165">
        <v>40</v>
      </c>
      <c r="F1795" s="166">
        <v>0</v>
      </c>
      <c r="G1795" s="227">
        <f>IF($B$2,IF(ROWS(B$6:$B1795) = 1,$B1795-Start_Date,$B1795-$B1794),"")</f>
        <v>5.6155092897824943E-4</v>
      </c>
      <c r="H1795" s="29">
        <f>IF($B$2,IF(ROWS(B$6:$B1795) = 1,IF(COUNTIFS(R_Schedule_Times,"&lt;"&amp;B1795),INDEX(R_Schedule_Amounts,MATCH(B1795,R_Schedule_Times,1)),Starting_Cash),IF(COUNTIFS(R_Schedule_Times,"&gt;"&amp;B1794,R_Schedule_Times,"&lt;"&amp;B1795),INDEX(R_Schedule_Amounts,MATCH(B1795,R_Schedule_Times,1)),K1794)),"")</f>
        <v>5200</v>
      </c>
      <c r="I1795" s="30">
        <f t="shared" si="135"/>
        <v>40</v>
      </c>
      <c r="J1795" s="31">
        <f t="shared" si="136"/>
        <v>0</v>
      </c>
      <c r="K1795" s="29">
        <f t="shared" si="137"/>
        <v>5160</v>
      </c>
      <c r="L1795" s="31" t="str">
        <f t="shared" si="138"/>
        <v/>
      </c>
      <c r="M1795" s="31" t="str">
        <f t="shared" si="139"/>
        <v/>
      </c>
    </row>
    <row r="1796" spans="1:13" x14ac:dyDescent="0.15">
      <c r="A1796" s="163" t="s">
        <v>210</v>
      </c>
      <c r="B1796" s="163">
        <v>42322.754260266207</v>
      </c>
      <c r="C1796" s="164" t="s">
        <v>14</v>
      </c>
      <c r="D1796" s="164" t="s">
        <v>13</v>
      </c>
      <c r="E1796" s="165">
        <v>40</v>
      </c>
      <c r="F1796" s="166">
        <v>3.5</v>
      </c>
      <c r="G1796" s="227">
        <f>IF($B$2,IF(ROWS(B$6:$B1796) = 1,$B1796-Start_Date,$B1796-$B1795),"")</f>
        <v>2.4393981511821039E-3</v>
      </c>
      <c r="H1796" s="29">
        <f>IF($B$2,IF(ROWS(B$6:$B1796) = 1,IF(COUNTIFS(R_Schedule_Times,"&lt;"&amp;B1796),INDEX(R_Schedule_Amounts,MATCH(B1796,R_Schedule_Times,1)),Starting_Cash),IF(COUNTIFS(R_Schedule_Times,"&gt;"&amp;B1795,R_Schedule_Times,"&lt;"&amp;B1796),INDEX(R_Schedule_Amounts,MATCH(B1796,R_Schedule_Times,1)),K1795)),"")</f>
        <v>5160</v>
      </c>
      <c r="I1796" s="30">
        <f t="shared" si="135"/>
        <v>40</v>
      </c>
      <c r="J1796" s="31">
        <f t="shared" si="136"/>
        <v>3.5</v>
      </c>
      <c r="K1796" s="29">
        <f t="shared" si="137"/>
        <v>5120</v>
      </c>
      <c r="L1796" s="31" t="str">
        <f t="shared" si="138"/>
        <v/>
      </c>
      <c r="M1796" s="31" t="str">
        <f t="shared" si="139"/>
        <v/>
      </c>
    </row>
    <row r="1797" spans="1:13" x14ac:dyDescent="0.15">
      <c r="A1797" s="163" t="s">
        <v>210</v>
      </c>
      <c r="B1797" s="163">
        <v>42322.757912685185</v>
      </c>
      <c r="C1797" s="164" t="s">
        <v>440</v>
      </c>
      <c r="D1797" s="164" t="s">
        <v>13</v>
      </c>
      <c r="E1797" s="165">
        <v>40</v>
      </c>
      <c r="F1797" s="166">
        <v>0</v>
      </c>
      <c r="G1797" s="227">
        <f>IF($B$2,IF(ROWS(B$6:$B1797) = 1,$B1797-Start_Date,$B1797-$B1796),"")</f>
        <v>3.6524189781630412E-3</v>
      </c>
      <c r="H1797" s="29">
        <f>IF($B$2,IF(ROWS(B$6:$B1797) = 1,IF(COUNTIFS(R_Schedule_Times,"&lt;"&amp;B1797),INDEX(R_Schedule_Amounts,MATCH(B1797,R_Schedule_Times,1)),Starting_Cash),IF(COUNTIFS(R_Schedule_Times,"&gt;"&amp;B1796,R_Schedule_Times,"&lt;"&amp;B1797),INDEX(R_Schedule_Amounts,MATCH(B1797,R_Schedule_Times,1)),K1796)),"")</f>
        <v>5120</v>
      </c>
      <c r="I1797" s="30">
        <f t="shared" si="135"/>
        <v>40</v>
      </c>
      <c r="J1797" s="31">
        <f t="shared" si="136"/>
        <v>0</v>
      </c>
      <c r="K1797" s="29">
        <f t="shared" si="137"/>
        <v>5080</v>
      </c>
      <c r="L1797" s="31" t="str">
        <f t="shared" si="138"/>
        <v/>
      </c>
      <c r="M1797" s="31" t="str">
        <f t="shared" si="139"/>
        <v/>
      </c>
    </row>
    <row r="1798" spans="1:13" x14ac:dyDescent="0.15">
      <c r="A1798" s="163" t="s">
        <v>210</v>
      </c>
      <c r="B1798" s="163">
        <v>42322.77864016204</v>
      </c>
      <c r="C1798" s="164" t="s">
        <v>1805</v>
      </c>
      <c r="D1798" s="164" t="s">
        <v>13</v>
      </c>
      <c r="E1798" s="165">
        <v>100</v>
      </c>
      <c r="F1798" s="166">
        <v>0</v>
      </c>
      <c r="G1798" s="227">
        <f>IF($B$2,IF(ROWS(B$6:$B1798) = 1,$B1798-Start_Date,$B1798-$B1797),"")</f>
        <v>2.072747685451759E-2</v>
      </c>
      <c r="H1798" s="29">
        <f>IF($B$2,IF(ROWS(B$6:$B1798) = 1,IF(COUNTIFS(R_Schedule_Times,"&lt;"&amp;B1798),INDEX(R_Schedule_Amounts,MATCH(B1798,R_Schedule_Times,1)),Starting_Cash),IF(COUNTIFS(R_Schedule_Times,"&gt;"&amp;B1797,R_Schedule_Times,"&lt;"&amp;B1798),INDEX(R_Schedule_Amounts,MATCH(B1798,R_Schedule_Times,1)),K1797)),"")</f>
        <v>5080</v>
      </c>
      <c r="I1798" s="30">
        <f t="shared" si="135"/>
        <v>100</v>
      </c>
      <c r="J1798" s="31">
        <f t="shared" si="136"/>
        <v>0</v>
      </c>
      <c r="K1798" s="29">
        <f t="shared" si="137"/>
        <v>4980</v>
      </c>
      <c r="L1798" s="31" t="str">
        <f t="shared" si="138"/>
        <v/>
      </c>
      <c r="M1798" s="31" t="str">
        <f t="shared" si="139"/>
        <v/>
      </c>
    </row>
    <row r="1799" spans="1:13" x14ac:dyDescent="0.15">
      <c r="A1799" s="163" t="s">
        <v>210</v>
      </c>
      <c r="B1799" s="163">
        <v>42322.819444386572</v>
      </c>
      <c r="C1799" s="164" t="s">
        <v>1806</v>
      </c>
      <c r="D1799" s="164" t="s">
        <v>13</v>
      </c>
      <c r="E1799" s="165">
        <v>100</v>
      </c>
      <c r="F1799" s="166">
        <v>0</v>
      </c>
      <c r="G1799" s="227">
        <f>IF($B$2,IF(ROWS(B$6:$B1799) = 1,$B1799-Start_Date,$B1799-$B1798),"")</f>
        <v>4.0804224532621447E-2</v>
      </c>
      <c r="H1799" s="29">
        <f>IF($B$2,IF(ROWS(B$6:$B1799) = 1,IF(COUNTIFS(R_Schedule_Times,"&lt;"&amp;B1799),INDEX(R_Schedule_Amounts,MATCH(B1799,R_Schedule_Times,1)),Starting_Cash),IF(COUNTIFS(R_Schedule_Times,"&gt;"&amp;B1798,R_Schedule_Times,"&lt;"&amp;B1799),INDEX(R_Schedule_Amounts,MATCH(B1799,R_Schedule_Times,1)),K1798)),"")</f>
        <v>4980</v>
      </c>
      <c r="I1799" s="30">
        <f t="shared" ref="I1799:I1862" si="140">IF($B$2,IF(H1799&gt;=E1799,E1799,0),"")</f>
        <v>100</v>
      </c>
      <c r="J1799" s="31">
        <f t="shared" ref="J1799:J1862" si="141">IF($B$2,IF(H1799&gt;=E1799,F1799,0),"")</f>
        <v>0</v>
      </c>
      <c r="K1799" s="29">
        <f t="shared" ref="K1799:K1862" si="142">IF($B$2,ABS(I1799-H1799),"")</f>
        <v>4880</v>
      </c>
      <c r="L1799" s="31" t="str">
        <f t="shared" ref="L1799:L1862" si="143">IF($B$2,IF(H1799&lt;E1799,"YES",""),"")</f>
        <v/>
      </c>
      <c r="M1799" s="31" t="str">
        <f t="shared" ref="M1799:M1862" si="144">IF($B$2,IF(L1799="YES",F1799,""),"")</f>
        <v/>
      </c>
    </row>
    <row r="1800" spans="1:13" x14ac:dyDescent="0.15">
      <c r="A1800" s="163" t="s">
        <v>210</v>
      </c>
      <c r="B1800" s="163">
        <v>42322.859046018515</v>
      </c>
      <c r="C1800" s="164" t="s">
        <v>1807</v>
      </c>
      <c r="D1800" s="164" t="s">
        <v>13</v>
      </c>
      <c r="E1800" s="165">
        <v>100</v>
      </c>
      <c r="F1800" s="166">
        <v>0</v>
      </c>
      <c r="G1800" s="227">
        <f>IF($B$2,IF(ROWS(B$6:$B1800) = 1,$B1800-Start_Date,$B1800-$B1799),"")</f>
        <v>3.9601631942787208E-2</v>
      </c>
      <c r="H1800" s="29">
        <f>IF($B$2,IF(ROWS(B$6:$B1800) = 1,IF(COUNTIFS(R_Schedule_Times,"&lt;"&amp;B1800),INDEX(R_Schedule_Amounts,MATCH(B1800,R_Schedule_Times,1)),Starting_Cash),IF(COUNTIFS(R_Schedule_Times,"&gt;"&amp;B1799,R_Schedule_Times,"&lt;"&amp;B1800),INDEX(R_Schedule_Amounts,MATCH(B1800,R_Schedule_Times,1)),K1799)),"")</f>
        <v>4880</v>
      </c>
      <c r="I1800" s="30">
        <f t="shared" si="140"/>
        <v>100</v>
      </c>
      <c r="J1800" s="31">
        <f t="shared" si="141"/>
        <v>0</v>
      </c>
      <c r="K1800" s="29">
        <f t="shared" si="142"/>
        <v>4780</v>
      </c>
      <c r="L1800" s="31" t="str">
        <f t="shared" si="143"/>
        <v/>
      </c>
      <c r="M1800" s="31" t="str">
        <f t="shared" si="144"/>
        <v/>
      </c>
    </row>
    <row r="1801" spans="1:13" x14ac:dyDescent="0.15">
      <c r="A1801" s="163" t="s">
        <v>210</v>
      </c>
      <c r="B1801" s="163">
        <v>42322.910883101853</v>
      </c>
      <c r="C1801" s="164" t="s">
        <v>1808</v>
      </c>
      <c r="D1801" s="164" t="s">
        <v>13</v>
      </c>
      <c r="E1801" s="165">
        <v>40</v>
      </c>
      <c r="F1801" s="166">
        <v>0</v>
      </c>
      <c r="G1801" s="227">
        <f>IF($B$2,IF(ROWS(B$6:$B1801) = 1,$B1801-Start_Date,$B1801-$B1800),"")</f>
        <v>5.1837083337886725E-2</v>
      </c>
      <c r="H1801" s="29">
        <f>IF($B$2,IF(ROWS(B$6:$B1801) = 1,IF(COUNTIFS(R_Schedule_Times,"&lt;"&amp;B1801),INDEX(R_Schedule_Amounts,MATCH(B1801,R_Schedule_Times,1)),Starting_Cash),IF(COUNTIFS(R_Schedule_Times,"&gt;"&amp;B1800,R_Schedule_Times,"&lt;"&amp;B1801),INDEX(R_Schedule_Amounts,MATCH(B1801,R_Schedule_Times,1)),K1800)),"")</f>
        <v>4780</v>
      </c>
      <c r="I1801" s="30">
        <f t="shared" si="140"/>
        <v>40</v>
      </c>
      <c r="J1801" s="31">
        <f t="shared" si="141"/>
        <v>0</v>
      </c>
      <c r="K1801" s="29">
        <f t="shared" si="142"/>
        <v>4740</v>
      </c>
      <c r="L1801" s="31" t="str">
        <f t="shared" si="143"/>
        <v/>
      </c>
      <c r="M1801" s="31" t="str">
        <f t="shared" si="144"/>
        <v/>
      </c>
    </row>
    <row r="1802" spans="1:13" x14ac:dyDescent="0.15">
      <c r="A1802" s="163" t="s">
        <v>210</v>
      </c>
      <c r="B1802" s="163">
        <v>42322.912051250001</v>
      </c>
      <c r="C1802" s="164" t="s">
        <v>1809</v>
      </c>
      <c r="D1802" s="164" t="s">
        <v>13</v>
      </c>
      <c r="E1802" s="165">
        <v>100</v>
      </c>
      <c r="F1802" s="166">
        <v>0</v>
      </c>
      <c r="G1802" s="227">
        <f>IF($B$2,IF(ROWS(B$6:$B1802) = 1,$B1802-Start_Date,$B1802-$B1801),"")</f>
        <v>1.1681481482810341E-3</v>
      </c>
      <c r="H1802" s="29">
        <f>IF($B$2,IF(ROWS(B$6:$B1802) = 1,IF(COUNTIFS(R_Schedule_Times,"&lt;"&amp;B1802),INDEX(R_Schedule_Amounts,MATCH(B1802,R_Schedule_Times,1)),Starting_Cash),IF(COUNTIFS(R_Schedule_Times,"&gt;"&amp;B1801,R_Schedule_Times,"&lt;"&amp;B1802),INDEX(R_Schedule_Amounts,MATCH(B1802,R_Schedule_Times,1)),K1801)),"")</f>
        <v>4740</v>
      </c>
      <c r="I1802" s="30">
        <f t="shared" si="140"/>
        <v>100</v>
      </c>
      <c r="J1802" s="31">
        <f t="shared" si="141"/>
        <v>0</v>
      </c>
      <c r="K1802" s="29">
        <f t="shared" si="142"/>
        <v>4640</v>
      </c>
      <c r="L1802" s="31" t="str">
        <f t="shared" si="143"/>
        <v/>
      </c>
      <c r="M1802" s="31" t="str">
        <f t="shared" si="144"/>
        <v/>
      </c>
    </row>
    <row r="1803" spans="1:13" x14ac:dyDescent="0.15">
      <c r="A1803" s="163" t="s">
        <v>210</v>
      </c>
      <c r="B1803" s="163">
        <v>42322.925257615738</v>
      </c>
      <c r="C1803" s="164" t="s">
        <v>14</v>
      </c>
      <c r="D1803" s="164" t="s">
        <v>13</v>
      </c>
      <c r="E1803" s="165">
        <v>20</v>
      </c>
      <c r="F1803" s="166">
        <v>3.5</v>
      </c>
      <c r="G1803" s="227">
        <f>IF($B$2,IF(ROWS(B$6:$B1803) = 1,$B1803-Start_Date,$B1803-$B1802),"")</f>
        <v>1.3206365736550651E-2</v>
      </c>
      <c r="H1803" s="29">
        <f>IF($B$2,IF(ROWS(B$6:$B1803) = 1,IF(COUNTIFS(R_Schedule_Times,"&lt;"&amp;B1803),INDEX(R_Schedule_Amounts,MATCH(B1803,R_Schedule_Times,1)),Starting_Cash),IF(COUNTIFS(R_Schedule_Times,"&gt;"&amp;B1802,R_Schedule_Times,"&lt;"&amp;B1803),INDEX(R_Schedule_Amounts,MATCH(B1803,R_Schedule_Times,1)),K1802)),"")</f>
        <v>4640</v>
      </c>
      <c r="I1803" s="30">
        <f t="shared" si="140"/>
        <v>20</v>
      </c>
      <c r="J1803" s="31">
        <f t="shared" si="141"/>
        <v>3.5</v>
      </c>
      <c r="K1803" s="29">
        <f t="shared" si="142"/>
        <v>4620</v>
      </c>
      <c r="L1803" s="31" t="str">
        <f t="shared" si="143"/>
        <v/>
      </c>
      <c r="M1803" s="31" t="str">
        <f t="shared" si="144"/>
        <v/>
      </c>
    </row>
    <row r="1804" spans="1:13" x14ac:dyDescent="0.15">
      <c r="A1804" s="163" t="s">
        <v>210</v>
      </c>
      <c r="B1804" s="163">
        <v>42322.947199849536</v>
      </c>
      <c r="C1804" s="164" t="s">
        <v>1810</v>
      </c>
      <c r="D1804" s="164" t="s">
        <v>13</v>
      </c>
      <c r="E1804" s="165">
        <v>100</v>
      </c>
      <c r="F1804" s="166">
        <v>0</v>
      </c>
      <c r="G1804" s="227">
        <f>IF($B$2,IF(ROWS(B$6:$B1804) = 1,$B1804-Start_Date,$B1804-$B1803),"")</f>
        <v>2.1942233797744848E-2</v>
      </c>
      <c r="H1804" s="29">
        <f>IF($B$2,IF(ROWS(B$6:$B1804) = 1,IF(COUNTIFS(R_Schedule_Times,"&lt;"&amp;B1804),INDEX(R_Schedule_Amounts,MATCH(B1804,R_Schedule_Times,1)),Starting_Cash),IF(COUNTIFS(R_Schedule_Times,"&gt;"&amp;B1803,R_Schedule_Times,"&lt;"&amp;B1804),INDEX(R_Schedule_Amounts,MATCH(B1804,R_Schedule_Times,1)),K1803)),"")</f>
        <v>4620</v>
      </c>
      <c r="I1804" s="30">
        <f t="shared" si="140"/>
        <v>100</v>
      </c>
      <c r="J1804" s="31">
        <f t="shared" si="141"/>
        <v>0</v>
      </c>
      <c r="K1804" s="29">
        <f t="shared" si="142"/>
        <v>4520</v>
      </c>
      <c r="L1804" s="31" t="str">
        <f t="shared" si="143"/>
        <v/>
      </c>
      <c r="M1804" s="31" t="str">
        <f t="shared" si="144"/>
        <v/>
      </c>
    </row>
    <row r="1805" spans="1:13" x14ac:dyDescent="0.15">
      <c r="A1805" s="163" t="s">
        <v>210</v>
      </c>
      <c r="B1805" s="163">
        <v>42322.956052349538</v>
      </c>
      <c r="C1805" s="164" t="s">
        <v>441</v>
      </c>
      <c r="D1805" s="164" t="s">
        <v>13</v>
      </c>
      <c r="E1805" s="165">
        <v>80</v>
      </c>
      <c r="F1805" s="166">
        <v>0</v>
      </c>
      <c r="G1805" s="227">
        <f>IF($B$2,IF(ROWS(B$6:$B1805) = 1,$B1805-Start_Date,$B1805-$B1804),"")</f>
        <v>8.8525000028312206E-3</v>
      </c>
      <c r="H1805" s="29">
        <f>IF($B$2,IF(ROWS(B$6:$B1805) = 1,IF(COUNTIFS(R_Schedule_Times,"&lt;"&amp;B1805),INDEX(R_Schedule_Amounts,MATCH(B1805,R_Schedule_Times,1)),Starting_Cash),IF(COUNTIFS(R_Schedule_Times,"&gt;"&amp;B1804,R_Schedule_Times,"&lt;"&amp;B1805),INDEX(R_Schedule_Amounts,MATCH(B1805,R_Schedule_Times,1)),K1804)),"")</f>
        <v>4520</v>
      </c>
      <c r="I1805" s="30">
        <f t="shared" si="140"/>
        <v>80</v>
      </c>
      <c r="J1805" s="31">
        <f t="shared" si="141"/>
        <v>0</v>
      </c>
      <c r="K1805" s="29">
        <f t="shared" si="142"/>
        <v>4440</v>
      </c>
      <c r="L1805" s="31" t="str">
        <f t="shared" si="143"/>
        <v/>
      </c>
      <c r="M1805" s="31" t="str">
        <f t="shared" si="144"/>
        <v/>
      </c>
    </row>
    <row r="1806" spans="1:13" x14ac:dyDescent="0.15">
      <c r="A1806" s="163" t="s">
        <v>210</v>
      </c>
      <c r="B1806" s="163">
        <v>42323.00962060185</v>
      </c>
      <c r="C1806" s="164" t="s">
        <v>14</v>
      </c>
      <c r="D1806" s="164" t="s">
        <v>13</v>
      </c>
      <c r="E1806" s="165">
        <v>100</v>
      </c>
      <c r="F1806" s="166">
        <v>3.5</v>
      </c>
      <c r="G1806" s="227">
        <f>IF($B$2,IF(ROWS(B$6:$B1806) = 1,$B1806-Start_Date,$B1806-$B1805),"")</f>
        <v>5.3568252311379183E-2</v>
      </c>
      <c r="H1806" s="29">
        <f>IF($B$2,IF(ROWS(B$6:$B1806) = 1,IF(COUNTIFS(R_Schedule_Times,"&lt;"&amp;B1806),INDEX(R_Schedule_Amounts,MATCH(B1806,R_Schedule_Times,1)),Starting_Cash),IF(COUNTIFS(R_Schedule_Times,"&gt;"&amp;B1805,R_Schedule_Times,"&lt;"&amp;B1806),INDEX(R_Schedule_Amounts,MATCH(B1806,R_Schedule_Times,1)),K1805)),"")</f>
        <v>4440</v>
      </c>
      <c r="I1806" s="30">
        <f t="shared" si="140"/>
        <v>100</v>
      </c>
      <c r="J1806" s="31">
        <f t="shared" si="141"/>
        <v>3.5</v>
      </c>
      <c r="K1806" s="29">
        <f t="shared" si="142"/>
        <v>4340</v>
      </c>
      <c r="L1806" s="31" t="str">
        <f t="shared" si="143"/>
        <v/>
      </c>
      <c r="M1806" s="31" t="str">
        <f t="shared" si="144"/>
        <v/>
      </c>
    </row>
    <row r="1807" spans="1:13" x14ac:dyDescent="0.15">
      <c r="A1807" s="163" t="s">
        <v>210</v>
      </c>
      <c r="B1807" s="163">
        <v>42323.022060266201</v>
      </c>
      <c r="C1807" s="164" t="s">
        <v>1811</v>
      </c>
      <c r="D1807" s="164" t="s">
        <v>13</v>
      </c>
      <c r="E1807" s="165">
        <v>40</v>
      </c>
      <c r="F1807" s="166">
        <v>0</v>
      </c>
      <c r="G1807" s="227">
        <f>IF($B$2,IF(ROWS(B$6:$B1807) = 1,$B1807-Start_Date,$B1807-$B1806),"")</f>
        <v>1.2439664351404645E-2</v>
      </c>
      <c r="H1807" s="29">
        <f>IF($B$2,IF(ROWS(B$6:$B1807) = 1,IF(COUNTIFS(R_Schedule_Times,"&lt;"&amp;B1807),INDEX(R_Schedule_Amounts,MATCH(B1807,R_Schedule_Times,1)),Starting_Cash),IF(COUNTIFS(R_Schedule_Times,"&gt;"&amp;B1806,R_Schedule_Times,"&lt;"&amp;B1807),INDEX(R_Schedule_Amounts,MATCH(B1807,R_Schedule_Times,1)),K1806)),"")</f>
        <v>4340</v>
      </c>
      <c r="I1807" s="30">
        <f t="shared" si="140"/>
        <v>40</v>
      </c>
      <c r="J1807" s="31">
        <f t="shared" si="141"/>
        <v>0</v>
      </c>
      <c r="K1807" s="29">
        <f t="shared" si="142"/>
        <v>4300</v>
      </c>
      <c r="L1807" s="31" t="str">
        <f t="shared" si="143"/>
        <v/>
      </c>
      <c r="M1807" s="31" t="str">
        <f t="shared" si="144"/>
        <v/>
      </c>
    </row>
    <row r="1808" spans="1:13" x14ac:dyDescent="0.15">
      <c r="A1808" s="163" t="s">
        <v>210</v>
      </c>
      <c r="B1808" s="163">
        <v>42323.422093773152</v>
      </c>
      <c r="C1808" s="164" t="s">
        <v>185</v>
      </c>
      <c r="D1808" s="164" t="s">
        <v>13</v>
      </c>
      <c r="E1808" s="165">
        <v>20</v>
      </c>
      <c r="F1808" s="166">
        <v>0</v>
      </c>
      <c r="G1808" s="227">
        <f>IF($B$2,IF(ROWS(B$6:$B1808) = 1,$B1808-Start_Date,$B1808-$B1807),"")</f>
        <v>0.40003350695042172</v>
      </c>
      <c r="H1808" s="29">
        <f>IF($B$2,IF(ROWS(B$6:$B1808) = 1,IF(COUNTIFS(R_Schedule_Times,"&lt;"&amp;B1808),INDEX(R_Schedule_Amounts,MATCH(B1808,R_Schedule_Times,1)),Starting_Cash),IF(COUNTIFS(R_Schedule_Times,"&gt;"&amp;B1807,R_Schedule_Times,"&lt;"&amp;B1808),INDEX(R_Schedule_Amounts,MATCH(B1808,R_Schedule_Times,1)),K1807)),"")</f>
        <v>4300</v>
      </c>
      <c r="I1808" s="30">
        <f t="shared" si="140"/>
        <v>20</v>
      </c>
      <c r="J1808" s="31">
        <f t="shared" si="141"/>
        <v>0</v>
      </c>
      <c r="K1808" s="29">
        <f t="shared" si="142"/>
        <v>4280</v>
      </c>
      <c r="L1808" s="31" t="str">
        <f t="shared" si="143"/>
        <v/>
      </c>
      <c r="M1808" s="31" t="str">
        <f t="shared" si="144"/>
        <v/>
      </c>
    </row>
    <row r="1809" spans="1:13" x14ac:dyDescent="0.15">
      <c r="A1809" s="163" t="s">
        <v>210</v>
      </c>
      <c r="B1809" s="163">
        <v>42323.425560752316</v>
      </c>
      <c r="C1809" s="164" t="s">
        <v>1812</v>
      </c>
      <c r="D1809" s="164" t="s">
        <v>13</v>
      </c>
      <c r="E1809" s="165">
        <v>180</v>
      </c>
      <c r="F1809" s="166">
        <v>0</v>
      </c>
      <c r="G1809" s="227">
        <f>IF($B$2,IF(ROWS(B$6:$B1809) = 1,$B1809-Start_Date,$B1809-$B1808),"")</f>
        <v>3.4669791639316827E-3</v>
      </c>
      <c r="H1809" s="29">
        <f>IF($B$2,IF(ROWS(B$6:$B1809) = 1,IF(COUNTIFS(R_Schedule_Times,"&lt;"&amp;B1809),INDEX(R_Schedule_Amounts,MATCH(B1809,R_Schedule_Times,1)),Starting_Cash),IF(COUNTIFS(R_Schedule_Times,"&gt;"&amp;B1808,R_Schedule_Times,"&lt;"&amp;B1809),INDEX(R_Schedule_Amounts,MATCH(B1809,R_Schedule_Times,1)),K1808)),"")</f>
        <v>4280</v>
      </c>
      <c r="I1809" s="30">
        <f t="shared" si="140"/>
        <v>180</v>
      </c>
      <c r="J1809" s="31">
        <f t="shared" si="141"/>
        <v>0</v>
      </c>
      <c r="K1809" s="29">
        <f t="shared" si="142"/>
        <v>4100</v>
      </c>
      <c r="L1809" s="31" t="str">
        <f t="shared" si="143"/>
        <v/>
      </c>
      <c r="M1809" s="31" t="str">
        <f t="shared" si="144"/>
        <v/>
      </c>
    </row>
    <row r="1810" spans="1:13" x14ac:dyDescent="0.15">
      <c r="A1810" s="163" t="s">
        <v>210</v>
      </c>
      <c r="B1810" s="163">
        <v>42323.465915636574</v>
      </c>
      <c r="C1810" s="164" t="s">
        <v>1813</v>
      </c>
      <c r="D1810" s="164" t="s">
        <v>13</v>
      </c>
      <c r="E1810" s="165">
        <v>200</v>
      </c>
      <c r="F1810" s="166">
        <v>0</v>
      </c>
      <c r="G1810" s="227">
        <f>IF($B$2,IF(ROWS(B$6:$B1810) = 1,$B1810-Start_Date,$B1810-$B1809),"")</f>
        <v>4.035488425870426E-2</v>
      </c>
      <c r="H1810" s="29">
        <f>IF($B$2,IF(ROWS(B$6:$B1810) = 1,IF(COUNTIFS(R_Schedule_Times,"&lt;"&amp;B1810),INDEX(R_Schedule_Amounts,MATCH(B1810,R_Schedule_Times,1)),Starting_Cash),IF(COUNTIFS(R_Schedule_Times,"&gt;"&amp;B1809,R_Schedule_Times,"&lt;"&amp;B1810),INDEX(R_Schedule_Amounts,MATCH(B1810,R_Schedule_Times,1)),K1809)),"")</f>
        <v>4100</v>
      </c>
      <c r="I1810" s="30">
        <f t="shared" si="140"/>
        <v>200</v>
      </c>
      <c r="J1810" s="31">
        <f t="shared" si="141"/>
        <v>0</v>
      </c>
      <c r="K1810" s="29">
        <f t="shared" si="142"/>
        <v>3900</v>
      </c>
      <c r="L1810" s="31" t="str">
        <f t="shared" si="143"/>
        <v/>
      </c>
      <c r="M1810" s="31" t="str">
        <f t="shared" si="144"/>
        <v/>
      </c>
    </row>
    <row r="1811" spans="1:13" x14ac:dyDescent="0.15">
      <c r="A1811" s="163" t="s">
        <v>210</v>
      </c>
      <c r="B1811" s="163">
        <v>42323.499875208334</v>
      </c>
      <c r="C1811" s="164" t="s">
        <v>1814</v>
      </c>
      <c r="D1811" s="164" t="s">
        <v>13</v>
      </c>
      <c r="E1811" s="165">
        <v>40</v>
      </c>
      <c r="F1811" s="166">
        <v>0</v>
      </c>
      <c r="G1811" s="227">
        <f>IF($B$2,IF(ROWS(B$6:$B1811) = 1,$B1811-Start_Date,$B1811-$B1810),"")</f>
        <v>3.3959571759623941E-2</v>
      </c>
      <c r="H1811" s="29">
        <f>IF($B$2,IF(ROWS(B$6:$B1811) = 1,IF(COUNTIFS(R_Schedule_Times,"&lt;"&amp;B1811),INDEX(R_Schedule_Amounts,MATCH(B1811,R_Schedule_Times,1)),Starting_Cash),IF(COUNTIFS(R_Schedule_Times,"&gt;"&amp;B1810,R_Schedule_Times,"&lt;"&amp;B1811),INDEX(R_Schedule_Amounts,MATCH(B1811,R_Schedule_Times,1)),K1810)),"")</f>
        <v>3900</v>
      </c>
      <c r="I1811" s="30">
        <f t="shared" si="140"/>
        <v>40</v>
      </c>
      <c r="J1811" s="31">
        <f t="shared" si="141"/>
        <v>0</v>
      </c>
      <c r="K1811" s="29">
        <f t="shared" si="142"/>
        <v>3860</v>
      </c>
      <c r="L1811" s="31" t="str">
        <f t="shared" si="143"/>
        <v/>
      </c>
      <c r="M1811" s="31" t="str">
        <f t="shared" si="144"/>
        <v/>
      </c>
    </row>
    <row r="1812" spans="1:13" x14ac:dyDescent="0.15">
      <c r="A1812" s="163" t="s">
        <v>210</v>
      </c>
      <c r="B1812" s="163">
        <v>42323.511048888889</v>
      </c>
      <c r="C1812" s="164" t="s">
        <v>1815</v>
      </c>
      <c r="D1812" s="164" t="s">
        <v>13</v>
      </c>
      <c r="E1812" s="165">
        <v>140</v>
      </c>
      <c r="F1812" s="166">
        <v>0</v>
      </c>
      <c r="G1812" s="227">
        <f>IF($B$2,IF(ROWS(B$6:$B1812) = 1,$B1812-Start_Date,$B1812-$B1811),"")</f>
        <v>1.1173680555657484E-2</v>
      </c>
      <c r="H1812" s="29">
        <f>IF($B$2,IF(ROWS(B$6:$B1812) = 1,IF(COUNTIFS(R_Schedule_Times,"&lt;"&amp;B1812),INDEX(R_Schedule_Amounts,MATCH(B1812,R_Schedule_Times,1)),Starting_Cash),IF(COUNTIFS(R_Schedule_Times,"&gt;"&amp;B1811,R_Schedule_Times,"&lt;"&amp;B1812),INDEX(R_Schedule_Amounts,MATCH(B1812,R_Schedule_Times,1)),K1811)),"")</f>
        <v>3860</v>
      </c>
      <c r="I1812" s="30">
        <f t="shared" si="140"/>
        <v>140</v>
      </c>
      <c r="J1812" s="31">
        <f t="shared" si="141"/>
        <v>0</v>
      </c>
      <c r="K1812" s="29">
        <f t="shared" si="142"/>
        <v>3720</v>
      </c>
      <c r="L1812" s="31" t="str">
        <f t="shared" si="143"/>
        <v/>
      </c>
      <c r="M1812" s="31" t="str">
        <f t="shared" si="144"/>
        <v/>
      </c>
    </row>
    <row r="1813" spans="1:13" x14ac:dyDescent="0.15">
      <c r="A1813" s="163" t="s">
        <v>210</v>
      </c>
      <c r="B1813" s="163">
        <v>42323.543989120371</v>
      </c>
      <c r="C1813" s="164" t="s">
        <v>741</v>
      </c>
      <c r="D1813" s="164" t="s">
        <v>13</v>
      </c>
      <c r="E1813" s="165">
        <v>80</v>
      </c>
      <c r="F1813" s="166">
        <v>0</v>
      </c>
      <c r="G1813" s="227">
        <f>IF($B$2,IF(ROWS(B$6:$B1813) = 1,$B1813-Start_Date,$B1813-$B1812),"")</f>
        <v>3.2940231481916271E-2</v>
      </c>
      <c r="H1813" s="29">
        <f>IF($B$2,IF(ROWS(B$6:$B1813) = 1,IF(COUNTIFS(R_Schedule_Times,"&lt;"&amp;B1813),INDEX(R_Schedule_Amounts,MATCH(B1813,R_Schedule_Times,1)),Starting_Cash),IF(COUNTIFS(R_Schedule_Times,"&gt;"&amp;B1812,R_Schedule_Times,"&lt;"&amp;B1813),INDEX(R_Schedule_Amounts,MATCH(B1813,R_Schedule_Times,1)),K1812)),"")</f>
        <v>3720</v>
      </c>
      <c r="I1813" s="30">
        <f t="shared" si="140"/>
        <v>80</v>
      </c>
      <c r="J1813" s="31">
        <f t="shared" si="141"/>
        <v>0</v>
      </c>
      <c r="K1813" s="29">
        <f t="shared" si="142"/>
        <v>3640</v>
      </c>
      <c r="L1813" s="31" t="str">
        <f t="shared" si="143"/>
        <v/>
      </c>
      <c r="M1813" s="31" t="str">
        <f t="shared" si="144"/>
        <v/>
      </c>
    </row>
    <row r="1814" spans="1:13" x14ac:dyDescent="0.15">
      <c r="A1814" s="163" t="s">
        <v>210</v>
      </c>
      <c r="B1814" s="163">
        <v>42323.551427858794</v>
      </c>
      <c r="C1814" s="164" t="s">
        <v>1816</v>
      </c>
      <c r="D1814" s="164" t="s">
        <v>13</v>
      </c>
      <c r="E1814" s="165">
        <v>100</v>
      </c>
      <c r="F1814" s="166">
        <v>0</v>
      </c>
      <c r="G1814" s="227">
        <f>IF($B$2,IF(ROWS(B$6:$B1814) = 1,$B1814-Start_Date,$B1814-$B1813),"")</f>
        <v>7.4387384229339659E-3</v>
      </c>
      <c r="H1814" s="29">
        <f>IF($B$2,IF(ROWS(B$6:$B1814) = 1,IF(COUNTIFS(R_Schedule_Times,"&lt;"&amp;B1814),INDEX(R_Schedule_Amounts,MATCH(B1814,R_Schedule_Times,1)),Starting_Cash),IF(COUNTIFS(R_Schedule_Times,"&gt;"&amp;B1813,R_Schedule_Times,"&lt;"&amp;B1814),INDEX(R_Schedule_Amounts,MATCH(B1814,R_Schedule_Times,1)),K1813)),"")</f>
        <v>3640</v>
      </c>
      <c r="I1814" s="30">
        <f t="shared" si="140"/>
        <v>100</v>
      </c>
      <c r="J1814" s="31">
        <f t="shared" si="141"/>
        <v>0</v>
      </c>
      <c r="K1814" s="29">
        <f t="shared" si="142"/>
        <v>3540</v>
      </c>
      <c r="L1814" s="31" t="str">
        <f t="shared" si="143"/>
        <v/>
      </c>
      <c r="M1814" s="31" t="str">
        <f t="shared" si="144"/>
        <v/>
      </c>
    </row>
    <row r="1815" spans="1:13" x14ac:dyDescent="0.15">
      <c r="A1815" s="163" t="s">
        <v>210</v>
      </c>
      <c r="B1815" s="163">
        <v>42323.589419641205</v>
      </c>
      <c r="C1815" s="164" t="s">
        <v>382</v>
      </c>
      <c r="D1815" s="164" t="s">
        <v>13</v>
      </c>
      <c r="E1815" s="165">
        <v>100</v>
      </c>
      <c r="F1815" s="166">
        <v>0</v>
      </c>
      <c r="G1815" s="227">
        <f>IF($B$2,IF(ROWS(B$6:$B1815) = 1,$B1815-Start_Date,$B1815-$B1814),"")</f>
        <v>3.7991782410244923E-2</v>
      </c>
      <c r="H1815" s="29">
        <f>IF($B$2,IF(ROWS(B$6:$B1815) = 1,IF(COUNTIFS(R_Schedule_Times,"&lt;"&amp;B1815),INDEX(R_Schedule_Amounts,MATCH(B1815,R_Schedule_Times,1)),Starting_Cash),IF(COUNTIFS(R_Schedule_Times,"&gt;"&amp;B1814,R_Schedule_Times,"&lt;"&amp;B1815),INDEX(R_Schedule_Amounts,MATCH(B1815,R_Schedule_Times,1)),K1814)),"")</f>
        <v>3540</v>
      </c>
      <c r="I1815" s="30">
        <f t="shared" si="140"/>
        <v>100</v>
      </c>
      <c r="J1815" s="31">
        <f t="shared" si="141"/>
        <v>0</v>
      </c>
      <c r="K1815" s="29">
        <f t="shared" si="142"/>
        <v>3440</v>
      </c>
      <c r="L1815" s="31" t="str">
        <f t="shared" si="143"/>
        <v/>
      </c>
      <c r="M1815" s="31" t="str">
        <f t="shared" si="144"/>
        <v/>
      </c>
    </row>
    <row r="1816" spans="1:13" x14ac:dyDescent="0.15">
      <c r="A1816" s="163" t="s">
        <v>210</v>
      </c>
      <c r="B1816" s="163">
        <v>42323.591802511575</v>
      </c>
      <c r="C1816" s="164" t="s">
        <v>165</v>
      </c>
      <c r="D1816" s="164" t="s">
        <v>13</v>
      </c>
      <c r="E1816" s="165">
        <v>100</v>
      </c>
      <c r="F1816" s="166">
        <v>0</v>
      </c>
      <c r="G1816" s="227">
        <f>IF($B$2,IF(ROWS(B$6:$B1816) = 1,$B1816-Start_Date,$B1816-$B1815),"")</f>
        <v>2.3828703706385568E-3</v>
      </c>
      <c r="H1816" s="29">
        <f>IF($B$2,IF(ROWS(B$6:$B1816) = 1,IF(COUNTIFS(R_Schedule_Times,"&lt;"&amp;B1816),INDEX(R_Schedule_Amounts,MATCH(B1816,R_Schedule_Times,1)),Starting_Cash),IF(COUNTIFS(R_Schedule_Times,"&gt;"&amp;B1815,R_Schedule_Times,"&lt;"&amp;B1816),INDEX(R_Schedule_Amounts,MATCH(B1816,R_Schedule_Times,1)),K1815)),"")</f>
        <v>3440</v>
      </c>
      <c r="I1816" s="30">
        <f t="shared" si="140"/>
        <v>100</v>
      </c>
      <c r="J1816" s="31">
        <f t="shared" si="141"/>
        <v>0</v>
      </c>
      <c r="K1816" s="29">
        <f t="shared" si="142"/>
        <v>3340</v>
      </c>
      <c r="L1816" s="31" t="str">
        <f t="shared" si="143"/>
        <v/>
      </c>
      <c r="M1816" s="31" t="str">
        <f t="shared" si="144"/>
        <v/>
      </c>
    </row>
    <row r="1817" spans="1:13" x14ac:dyDescent="0.15">
      <c r="A1817" s="163" t="s">
        <v>210</v>
      </c>
      <c r="B1817" s="163">
        <v>42323.599658136576</v>
      </c>
      <c r="C1817" s="164" t="s">
        <v>1817</v>
      </c>
      <c r="D1817" s="164" t="s">
        <v>13</v>
      </c>
      <c r="E1817" s="165">
        <v>40</v>
      </c>
      <c r="F1817" s="166">
        <v>0</v>
      </c>
      <c r="G1817" s="227">
        <f>IF($B$2,IF(ROWS(B$6:$B1817) = 1,$B1817-Start_Date,$B1817-$B1816),"")</f>
        <v>7.8556250009569339E-3</v>
      </c>
      <c r="H1817" s="29">
        <f>IF($B$2,IF(ROWS(B$6:$B1817) = 1,IF(COUNTIFS(R_Schedule_Times,"&lt;"&amp;B1817),INDEX(R_Schedule_Amounts,MATCH(B1817,R_Schedule_Times,1)),Starting_Cash),IF(COUNTIFS(R_Schedule_Times,"&gt;"&amp;B1816,R_Schedule_Times,"&lt;"&amp;B1817),INDEX(R_Schedule_Amounts,MATCH(B1817,R_Schedule_Times,1)),K1816)),"")</f>
        <v>3340</v>
      </c>
      <c r="I1817" s="30">
        <f t="shared" si="140"/>
        <v>40</v>
      </c>
      <c r="J1817" s="31">
        <f t="shared" si="141"/>
        <v>0</v>
      </c>
      <c r="K1817" s="29">
        <f t="shared" si="142"/>
        <v>3300</v>
      </c>
      <c r="L1817" s="31" t="str">
        <f t="shared" si="143"/>
        <v/>
      </c>
      <c r="M1817" s="31" t="str">
        <f t="shared" si="144"/>
        <v/>
      </c>
    </row>
    <row r="1818" spans="1:13" x14ac:dyDescent="0.15">
      <c r="A1818" s="163" t="s">
        <v>210</v>
      </c>
      <c r="B1818" s="163">
        <v>42323.600372280096</v>
      </c>
      <c r="C1818" s="164" t="s">
        <v>14</v>
      </c>
      <c r="D1818" s="164" t="s">
        <v>15</v>
      </c>
      <c r="E1818" s="165">
        <v>20</v>
      </c>
      <c r="F1818" s="166">
        <v>3.1</v>
      </c>
      <c r="G1818" s="227">
        <f>IF($B$2,IF(ROWS(B$6:$B1818) = 1,$B1818-Start_Date,$B1818-$B1817),"")</f>
        <v>7.1414351987186819E-4</v>
      </c>
      <c r="H1818" s="29">
        <f>IF($B$2,IF(ROWS(B$6:$B1818) = 1,IF(COUNTIFS(R_Schedule_Times,"&lt;"&amp;B1818),INDEX(R_Schedule_Amounts,MATCH(B1818,R_Schedule_Times,1)),Starting_Cash),IF(COUNTIFS(R_Schedule_Times,"&gt;"&amp;B1817,R_Schedule_Times,"&lt;"&amp;B1818),INDEX(R_Schedule_Amounts,MATCH(B1818,R_Schedule_Times,1)),K1817)),"")</f>
        <v>3300</v>
      </c>
      <c r="I1818" s="30">
        <f t="shared" si="140"/>
        <v>20</v>
      </c>
      <c r="J1818" s="31">
        <f t="shared" si="141"/>
        <v>3.1</v>
      </c>
      <c r="K1818" s="29">
        <f t="shared" si="142"/>
        <v>3280</v>
      </c>
      <c r="L1818" s="31" t="str">
        <f t="shared" si="143"/>
        <v/>
      </c>
      <c r="M1818" s="31" t="str">
        <f t="shared" si="144"/>
        <v/>
      </c>
    </row>
    <row r="1819" spans="1:13" x14ac:dyDescent="0.15">
      <c r="A1819" s="163" t="s">
        <v>210</v>
      </c>
      <c r="B1819" s="163">
        <v>42323.615307488428</v>
      </c>
      <c r="C1819" s="164" t="s">
        <v>442</v>
      </c>
      <c r="D1819" s="164" t="s">
        <v>13</v>
      </c>
      <c r="E1819" s="165">
        <v>20</v>
      </c>
      <c r="F1819" s="166">
        <v>0</v>
      </c>
      <c r="G1819" s="227">
        <f>IF($B$2,IF(ROWS(B$6:$B1819) = 1,$B1819-Start_Date,$B1819-$B1818),"")</f>
        <v>1.4935208331735339E-2</v>
      </c>
      <c r="H1819" s="29">
        <f>IF($B$2,IF(ROWS(B$6:$B1819) = 1,IF(COUNTIFS(R_Schedule_Times,"&lt;"&amp;B1819),INDEX(R_Schedule_Amounts,MATCH(B1819,R_Schedule_Times,1)),Starting_Cash),IF(COUNTIFS(R_Schedule_Times,"&gt;"&amp;B1818,R_Schedule_Times,"&lt;"&amp;B1819),INDEX(R_Schedule_Amounts,MATCH(B1819,R_Schedule_Times,1)),K1818)),"")</f>
        <v>3280</v>
      </c>
      <c r="I1819" s="30">
        <f t="shared" si="140"/>
        <v>20</v>
      </c>
      <c r="J1819" s="31">
        <f t="shared" si="141"/>
        <v>0</v>
      </c>
      <c r="K1819" s="29">
        <f t="shared" si="142"/>
        <v>3260</v>
      </c>
      <c r="L1819" s="31" t="str">
        <f t="shared" si="143"/>
        <v/>
      </c>
      <c r="M1819" s="31" t="str">
        <f t="shared" si="144"/>
        <v/>
      </c>
    </row>
    <row r="1820" spans="1:13" x14ac:dyDescent="0.15">
      <c r="A1820" s="163" t="s">
        <v>210</v>
      </c>
      <c r="B1820" s="163">
        <v>42323.629932488424</v>
      </c>
      <c r="C1820" s="164" t="s">
        <v>1818</v>
      </c>
      <c r="D1820" s="164" t="s">
        <v>13</v>
      </c>
      <c r="E1820" s="165">
        <v>60</v>
      </c>
      <c r="F1820" s="166">
        <v>0</v>
      </c>
      <c r="G1820" s="227">
        <f>IF($B$2,IF(ROWS(B$6:$B1820) = 1,$B1820-Start_Date,$B1820-$B1819),"")</f>
        <v>1.4624999996158294E-2</v>
      </c>
      <c r="H1820" s="29">
        <f>IF($B$2,IF(ROWS(B$6:$B1820) = 1,IF(COUNTIFS(R_Schedule_Times,"&lt;"&amp;B1820),INDEX(R_Schedule_Amounts,MATCH(B1820,R_Schedule_Times,1)),Starting_Cash),IF(COUNTIFS(R_Schedule_Times,"&gt;"&amp;B1819,R_Schedule_Times,"&lt;"&amp;B1820),INDEX(R_Schedule_Amounts,MATCH(B1820,R_Schedule_Times,1)),K1819)),"")</f>
        <v>3260</v>
      </c>
      <c r="I1820" s="30">
        <f t="shared" si="140"/>
        <v>60</v>
      </c>
      <c r="J1820" s="31">
        <f t="shared" si="141"/>
        <v>0</v>
      </c>
      <c r="K1820" s="29">
        <f t="shared" si="142"/>
        <v>3200</v>
      </c>
      <c r="L1820" s="31" t="str">
        <f t="shared" si="143"/>
        <v/>
      </c>
      <c r="M1820" s="31" t="str">
        <f t="shared" si="144"/>
        <v/>
      </c>
    </row>
    <row r="1821" spans="1:13" x14ac:dyDescent="0.15">
      <c r="A1821" s="163" t="s">
        <v>210</v>
      </c>
      <c r="B1821" s="163">
        <v>42323.64404806713</v>
      </c>
      <c r="C1821" s="164" t="s">
        <v>14</v>
      </c>
      <c r="D1821" s="164" t="s">
        <v>13</v>
      </c>
      <c r="E1821" s="165">
        <v>100</v>
      </c>
      <c r="F1821" s="166">
        <v>3.5</v>
      </c>
      <c r="G1821" s="227">
        <f>IF($B$2,IF(ROWS(B$6:$B1821) = 1,$B1821-Start_Date,$B1821-$B1820),"")</f>
        <v>1.4115578705968801E-2</v>
      </c>
      <c r="H1821" s="29">
        <f>IF($B$2,IF(ROWS(B$6:$B1821) = 1,IF(COUNTIFS(R_Schedule_Times,"&lt;"&amp;B1821),INDEX(R_Schedule_Amounts,MATCH(B1821,R_Schedule_Times,1)),Starting_Cash),IF(COUNTIFS(R_Schedule_Times,"&gt;"&amp;B1820,R_Schedule_Times,"&lt;"&amp;B1821),INDEX(R_Schedule_Amounts,MATCH(B1821,R_Schedule_Times,1)),K1820)),"")</f>
        <v>3200</v>
      </c>
      <c r="I1821" s="30">
        <f t="shared" si="140"/>
        <v>100</v>
      </c>
      <c r="J1821" s="31">
        <f t="shared" si="141"/>
        <v>3.5</v>
      </c>
      <c r="K1821" s="29">
        <f t="shared" si="142"/>
        <v>3100</v>
      </c>
      <c r="L1821" s="31" t="str">
        <f t="shared" si="143"/>
        <v/>
      </c>
      <c r="M1821" s="31" t="str">
        <f t="shared" si="144"/>
        <v/>
      </c>
    </row>
    <row r="1822" spans="1:13" x14ac:dyDescent="0.15">
      <c r="A1822" s="163" t="s">
        <v>210</v>
      </c>
      <c r="B1822" s="163">
        <v>42323.644742534721</v>
      </c>
      <c r="C1822" s="164" t="s">
        <v>834</v>
      </c>
      <c r="D1822" s="164" t="s">
        <v>13</v>
      </c>
      <c r="E1822" s="165">
        <v>100</v>
      </c>
      <c r="F1822" s="166">
        <v>0</v>
      </c>
      <c r="G1822" s="227">
        <f>IF($B$2,IF(ROWS(B$6:$B1822) = 1,$B1822-Start_Date,$B1822-$B1821),"")</f>
        <v>6.9446759152924642E-4</v>
      </c>
      <c r="H1822" s="29">
        <f>IF($B$2,IF(ROWS(B$6:$B1822) = 1,IF(COUNTIFS(R_Schedule_Times,"&lt;"&amp;B1822),INDEX(R_Schedule_Amounts,MATCH(B1822,R_Schedule_Times,1)),Starting_Cash),IF(COUNTIFS(R_Schedule_Times,"&gt;"&amp;B1821,R_Schedule_Times,"&lt;"&amp;B1822),INDEX(R_Schedule_Amounts,MATCH(B1822,R_Schedule_Times,1)),K1821)),"")</f>
        <v>3100</v>
      </c>
      <c r="I1822" s="30">
        <f t="shared" si="140"/>
        <v>100</v>
      </c>
      <c r="J1822" s="31">
        <f t="shared" si="141"/>
        <v>0</v>
      </c>
      <c r="K1822" s="29">
        <f t="shared" si="142"/>
        <v>3000</v>
      </c>
      <c r="L1822" s="31" t="str">
        <f t="shared" si="143"/>
        <v/>
      </c>
      <c r="M1822" s="31" t="str">
        <f t="shared" si="144"/>
        <v/>
      </c>
    </row>
    <row r="1823" spans="1:13" x14ac:dyDescent="0.15">
      <c r="A1823" s="163" t="s">
        <v>210</v>
      </c>
      <c r="B1823" s="163">
        <v>42323.656294722219</v>
      </c>
      <c r="C1823" s="164" t="s">
        <v>1819</v>
      </c>
      <c r="D1823" s="164" t="s">
        <v>13</v>
      </c>
      <c r="E1823" s="165">
        <v>100</v>
      </c>
      <c r="F1823" s="166">
        <v>0</v>
      </c>
      <c r="G1823" s="227">
        <f>IF($B$2,IF(ROWS(B$6:$B1823) = 1,$B1823-Start_Date,$B1823-$B1822),"")</f>
        <v>1.1552187497727573E-2</v>
      </c>
      <c r="H1823" s="29">
        <f>IF($B$2,IF(ROWS(B$6:$B1823) = 1,IF(COUNTIFS(R_Schedule_Times,"&lt;"&amp;B1823),INDEX(R_Schedule_Amounts,MATCH(B1823,R_Schedule_Times,1)),Starting_Cash),IF(COUNTIFS(R_Schedule_Times,"&gt;"&amp;B1822,R_Schedule_Times,"&lt;"&amp;B1823),INDEX(R_Schedule_Amounts,MATCH(B1823,R_Schedule_Times,1)),K1822)),"")</f>
        <v>3000</v>
      </c>
      <c r="I1823" s="30">
        <f t="shared" si="140"/>
        <v>100</v>
      </c>
      <c r="J1823" s="31">
        <f t="shared" si="141"/>
        <v>0</v>
      </c>
      <c r="K1823" s="29">
        <f t="shared" si="142"/>
        <v>2900</v>
      </c>
      <c r="L1823" s="31" t="str">
        <f t="shared" si="143"/>
        <v/>
      </c>
      <c r="M1823" s="31" t="str">
        <f t="shared" si="144"/>
        <v/>
      </c>
    </row>
    <row r="1824" spans="1:13" x14ac:dyDescent="0.15">
      <c r="A1824" s="163" t="s">
        <v>210</v>
      </c>
      <c r="B1824" s="163">
        <v>42323.663557731481</v>
      </c>
      <c r="C1824" s="164" t="s">
        <v>14</v>
      </c>
      <c r="D1824" s="164" t="s">
        <v>13</v>
      </c>
      <c r="E1824" s="165">
        <v>200</v>
      </c>
      <c r="F1824" s="166">
        <v>3.5</v>
      </c>
      <c r="G1824" s="227">
        <f>IF($B$2,IF(ROWS(B$6:$B1824) = 1,$B1824-Start_Date,$B1824-$B1823),"")</f>
        <v>7.2630092618055642E-3</v>
      </c>
      <c r="H1824" s="29">
        <f>IF($B$2,IF(ROWS(B$6:$B1824) = 1,IF(COUNTIFS(R_Schedule_Times,"&lt;"&amp;B1824),INDEX(R_Schedule_Amounts,MATCH(B1824,R_Schedule_Times,1)),Starting_Cash),IF(COUNTIFS(R_Schedule_Times,"&gt;"&amp;B1823,R_Schedule_Times,"&lt;"&amp;B1824),INDEX(R_Schedule_Amounts,MATCH(B1824,R_Schedule_Times,1)),K1823)),"")</f>
        <v>2900</v>
      </c>
      <c r="I1824" s="30">
        <f t="shared" si="140"/>
        <v>200</v>
      </c>
      <c r="J1824" s="31">
        <f t="shared" si="141"/>
        <v>3.5</v>
      </c>
      <c r="K1824" s="29">
        <f t="shared" si="142"/>
        <v>2700</v>
      </c>
      <c r="L1824" s="31" t="str">
        <f t="shared" si="143"/>
        <v/>
      </c>
      <c r="M1824" s="31" t="str">
        <f t="shared" si="144"/>
        <v/>
      </c>
    </row>
    <row r="1825" spans="1:13" x14ac:dyDescent="0.15">
      <c r="A1825" s="163" t="s">
        <v>210</v>
      </c>
      <c r="B1825" s="163">
        <v>42323.669932476849</v>
      </c>
      <c r="C1825" s="164" t="s">
        <v>14</v>
      </c>
      <c r="D1825" s="164" t="s">
        <v>13</v>
      </c>
      <c r="E1825" s="165">
        <v>100</v>
      </c>
      <c r="F1825" s="166">
        <v>3.5</v>
      </c>
      <c r="G1825" s="227">
        <f>IF($B$2,IF(ROWS(B$6:$B1825) = 1,$B1825-Start_Date,$B1825-$B1824),"")</f>
        <v>6.3747453677933663E-3</v>
      </c>
      <c r="H1825" s="29">
        <f>IF($B$2,IF(ROWS(B$6:$B1825) = 1,IF(COUNTIFS(R_Schedule_Times,"&lt;"&amp;B1825),INDEX(R_Schedule_Amounts,MATCH(B1825,R_Schedule_Times,1)),Starting_Cash),IF(COUNTIFS(R_Schedule_Times,"&gt;"&amp;B1824,R_Schedule_Times,"&lt;"&amp;B1825),INDEX(R_Schedule_Amounts,MATCH(B1825,R_Schedule_Times,1)),K1824)),"")</f>
        <v>2700</v>
      </c>
      <c r="I1825" s="30">
        <f t="shared" si="140"/>
        <v>100</v>
      </c>
      <c r="J1825" s="31">
        <f t="shared" si="141"/>
        <v>3.5</v>
      </c>
      <c r="K1825" s="29">
        <f t="shared" si="142"/>
        <v>2600</v>
      </c>
      <c r="L1825" s="31" t="str">
        <f t="shared" si="143"/>
        <v/>
      </c>
      <c r="M1825" s="31" t="str">
        <f t="shared" si="144"/>
        <v/>
      </c>
    </row>
    <row r="1826" spans="1:13" x14ac:dyDescent="0.15">
      <c r="A1826" s="163" t="s">
        <v>210</v>
      </c>
      <c r="B1826" s="163">
        <v>42323.675913796294</v>
      </c>
      <c r="C1826" s="164" t="s">
        <v>1820</v>
      </c>
      <c r="D1826" s="164" t="s">
        <v>13</v>
      </c>
      <c r="E1826" s="165">
        <v>100</v>
      </c>
      <c r="F1826" s="166">
        <v>0</v>
      </c>
      <c r="G1826" s="227">
        <f>IF($B$2,IF(ROWS(B$6:$B1826) = 1,$B1826-Start_Date,$B1826-$B1825),"")</f>
        <v>5.9813194457092322E-3</v>
      </c>
      <c r="H1826" s="29">
        <f>IF($B$2,IF(ROWS(B$6:$B1826) = 1,IF(COUNTIFS(R_Schedule_Times,"&lt;"&amp;B1826),INDEX(R_Schedule_Amounts,MATCH(B1826,R_Schedule_Times,1)),Starting_Cash),IF(COUNTIFS(R_Schedule_Times,"&gt;"&amp;B1825,R_Schedule_Times,"&lt;"&amp;B1826),INDEX(R_Schedule_Amounts,MATCH(B1826,R_Schedule_Times,1)),K1825)),"")</f>
        <v>2600</v>
      </c>
      <c r="I1826" s="30">
        <f t="shared" si="140"/>
        <v>100</v>
      </c>
      <c r="J1826" s="31">
        <f t="shared" si="141"/>
        <v>0</v>
      </c>
      <c r="K1826" s="29">
        <f t="shared" si="142"/>
        <v>2500</v>
      </c>
      <c r="L1826" s="31" t="str">
        <f t="shared" si="143"/>
        <v/>
      </c>
      <c r="M1826" s="31" t="str">
        <f t="shared" si="144"/>
        <v/>
      </c>
    </row>
    <row r="1827" spans="1:13" x14ac:dyDescent="0.15">
      <c r="A1827" s="163" t="s">
        <v>210</v>
      </c>
      <c r="B1827" s="163">
        <v>42323.679220868056</v>
      </c>
      <c r="C1827" s="164" t="s">
        <v>1821</v>
      </c>
      <c r="D1827" s="164" t="s">
        <v>13</v>
      </c>
      <c r="E1827" s="165">
        <v>100</v>
      </c>
      <c r="F1827" s="166">
        <v>0</v>
      </c>
      <c r="G1827" s="227">
        <f>IF($B$2,IF(ROWS(B$6:$B1827) = 1,$B1827-Start_Date,$B1827-$B1826),"")</f>
        <v>3.3070717618102208E-3</v>
      </c>
      <c r="H1827" s="29">
        <f>IF($B$2,IF(ROWS(B$6:$B1827) = 1,IF(COUNTIFS(R_Schedule_Times,"&lt;"&amp;B1827),INDEX(R_Schedule_Amounts,MATCH(B1827,R_Schedule_Times,1)),Starting_Cash),IF(COUNTIFS(R_Schedule_Times,"&gt;"&amp;B1826,R_Schedule_Times,"&lt;"&amp;B1827),INDEX(R_Schedule_Amounts,MATCH(B1827,R_Schedule_Times,1)),K1826)),"")</f>
        <v>2500</v>
      </c>
      <c r="I1827" s="30">
        <f t="shared" si="140"/>
        <v>100</v>
      </c>
      <c r="J1827" s="31">
        <f t="shared" si="141"/>
        <v>0</v>
      </c>
      <c r="K1827" s="29">
        <f t="shared" si="142"/>
        <v>2400</v>
      </c>
      <c r="L1827" s="31" t="str">
        <f t="shared" si="143"/>
        <v/>
      </c>
      <c r="M1827" s="31" t="str">
        <f t="shared" si="144"/>
        <v/>
      </c>
    </row>
    <row r="1828" spans="1:13" x14ac:dyDescent="0.15">
      <c r="A1828" s="163" t="s">
        <v>210</v>
      </c>
      <c r="B1828" s="163">
        <v>42323.681626412035</v>
      </c>
      <c r="C1828" s="164" t="s">
        <v>1822</v>
      </c>
      <c r="D1828" s="164" t="s">
        <v>13</v>
      </c>
      <c r="E1828" s="165">
        <v>60</v>
      </c>
      <c r="F1828" s="166">
        <v>0</v>
      </c>
      <c r="G1828" s="227">
        <f>IF($B$2,IF(ROWS(B$6:$B1828) = 1,$B1828-Start_Date,$B1828-$B1827),"")</f>
        <v>2.4055439789663069E-3</v>
      </c>
      <c r="H1828" s="29">
        <f>IF($B$2,IF(ROWS(B$6:$B1828) = 1,IF(COUNTIFS(R_Schedule_Times,"&lt;"&amp;B1828),INDEX(R_Schedule_Amounts,MATCH(B1828,R_Schedule_Times,1)),Starting_Cash),IF(COUNTIFS(R_Schedule_Times,"&gt;"&amp;B1827,R_Schedule_Times,"&lt;"&amp;B1828),INDEX(R_Schedule_Amounts,MATCH(B1828,R_Schedule_Times,1)),K1827)),"")</f>
        <v>2400</v>
      </c>
      <c r="I1828" s="30">
        <f t="shared" si="140"/>
        <v>60</v>
      </c>
      <c r="J1828" s="31">
        <f t="shared" si="141"/>
        <v>0</v>
      </c>
      <c r="K1828" s="29">
        <f t="shared" si="142"/>
        <v>2340</v>
      </c>
      <c r="L1828" s="31" t="str">
        <f t="shared" si="143"/>
        <v/>
      </c>
      <c r="M1828" s="31" t="str">
        <f t="shared" si="144"/>
        <v/>
      </c>
    </row>
    <row r="1829" spans="1:13" x14ac:dyDescent="0.15">
      <c r="A1829" s="163" t="s">
        <v>210</v>
      </c>
      <c r="B1829" s="163">
        <v>42323.69239059028</v>
      </c>
      <c r="C1829" s="164" t="s">
        <v>1823</v>
      </c>
      <c r="D1829" s="164" t="s">
        <v>13</v>
      </c>
      <c r="E1829" s="165">
        <v>80</v>
      </c>
      <c r="F1829" s="166">
        <v>0</v>
      </c>
      <c r="G1829" s="227">
        <f>IF($B$2,IF(ROWS(B$6:$B1829) = 1,$B1829-Start_Date,$B1829-$B1828),"")</f>
        <v>1.0764178245153744E-2</v>
      </c>
      <c r="H1829" s="29">
        <f>IF($B$2,IF(ROWS(B$6:$B1829) = 1,IF(COUNTIFS(R_Schedule_Times,"&lt;"&amp;B1829),INDEX(R_Schedule_Amounts,MATCH(B1829,R_Schedule_Times,1)),Starting_Cash),IF(COUNTIFS(R_Schedule_Times,"&gt;"&amp;B1828,R_Schedule_Times,"&lt;"&amp;B1829),INDEX(R_Schedule_Amounts,MATCH(B1829,R_Schedule_Times,1)),K1828)),"")</f>
        <v>2340</v>
      </c>
      <c r="I1829" s="30">
        <f t="shared" si="140"/>
        <v>80</v>
      </c>
      <c r="J1829" s="31">
        <f t="shared" si="141"/>
        <v>0</v>
      </c>
      <c r="K1829" s="29">
        <f t="shared" si="142"/>
        <v>2260</v>
      </c>
      <c r="L1829" s="31" t="str">
        <f t="shared" si="143"/>
        <v/>
      </c>
      <c r="M1829" s="31" t="str">
        <f t="shared" si="144"/>
        <v/>
      </c>
    </row>
    <row r="1830" spans="1:13" x14ac:dyDescent="0.15">
      <c r="A1830" s="163" t="s">
        <v>210</v>
      </c>
      <c r="B1830" s="163">
        <v>42323.710248784722</v>
      </c>
      <c r="C1830" s="164" t="s">
        <v>1824</v>
      </c>
      <c r="D1830" s="164" t="s">
        <v>13</v>
      </c>
      <c r="E1830" s="165">
        <v>100</v>
      </c>
      <c r="F1830" s="166">
        <v>0</v>
      </c>
      <c r="G1830" s="227">
        <f>IF($B$2,IF(ROWS(B$6:$B1830) = 1,$B1830-Start_Date,$B1830-$B1829),"")</f>
        <v>1.7858194441942032E-2</v>
      </c>
      <c r="H1830" s="29">
        <f>IF($B$2,IF(ROWS(B$6:$B1830) = 1,IF(COUNTIFS(R_Schedule_Times,"&lt;"&amp;B1830),INDEX(R_Schedule_Amounts,MATCH(B1830,R_Schedule_Times,1)),Starting_Cash),IF(COUNTIFS(R_Schedule_Times,"&gt;"&amp;B1829,R_Schedule_Times,"&lt;"&amp;B1830),INDEX(R_Schedule_Amounts,MATCH(B1830,R_Schedule_Times,1)),K1829)),"")</f>
        <v>2260</v>
      </c>
      <c r="I1830" s="30">
        <f t="shared" si="140"/>
        <v>100</v>
      </c>
      <c r="J1830" s="31">
        <f t="shared" si="141"/>
        <v>0</v>
      </c>
      <c r="K1830" s="29">
        <f t="shared" si="142"/>
        <v>2160</v>
      </c>
      <c r="L1830" s="31" t="str">
        <f t="shared" si="143"/>
        <v/>
      </c>
      <c r="M1830" s="31" t="str">
        <f t="shared" si="144"/>
        <v/>
      </c>
    </row>
    <row r="1831" spans="1:13" x14ac:dyDescent="0.15">
      <c r="A1831" s="163" t="s">
        <v>210</v>
      </c>
      <c r="B1831" s="163">
        <v>42323.741897349537</v>
      </c>
      <c r="C1831" s="164" t="s">
        <v>1825</v>
      </c>
      <c r="D1831" s="164" t="s">
        <v>13</v>
      </c>
      <c r="E1831" s="165">
        <v>60</v>
      </c>
      <c r="F1831" s="166">
        <v>0</v>
      </c>
      <c r="G1831" s="227">
        <f>IF($B$2,IF(ROWS(B$6:$B1831) = 1,$B1831-Start_Date,$B1831-$B1830),"")</f>
        <v>3.164856481453171E-2</v>
      </c>
      <c r="H1831" s="29">
        <f>IF($B$2,IF(ROWS(B$6:$B1831) = 1,IF(COUNTIFS(R_Schedule_Times,"&lt;"&amp;B1831),INDEX(R_Schedule_Amounts,MATCH(B1831,R_Schedule_Times,1)),Starting_Cash),IF(COUNTIFS(R_Schedule_Times,"&gt;"&amp;B1830,R_Schedule_Times,"&lt;"&amp;B1831),INDEX(R_Schedule_Amounts,MATCH(B1831,R_Schedule_Times,1)),K1830)),"")</f>
        <v>2160</v>
      </c>
      <c r="I1831" s="30">
        <f t="shared" si="140"/>
        <v>60</v>
      </c>
      <c r="J1831" s="31">
        <f t="shared" si="141"/>
        <v>0</v>
      </c>
      <c r="K1831" s="29">
        <f t="shared" si="142"/>
        <v>2100</v>
      </c>
      <c r="L1831" s="31" t="str">
        <f t="shared" si="143"/>
        <v/>
      </c>
      <c r="M1831" s="31" t="str">
        <f t="shared" si="144"/>
        <v/>
      </c>
    </row>
    <row r="1832" spans="1:13" x14ac:dyDescent="0.15">
      <c r="A1832" s="163" t="s">
        <v>210</v>
      </c>
      <c r="B1832" s="163">
        <v>42323.743915300925</v>
      </c>
      <c r="C1832" s="164" t="s">
        <v>1826</v>
      </c>
      <c r="D1832" s="164" t="s">
        <v>13</v>
      </c>
      <c r="E1832" s="165">
        <v>60</v>
      </c>
      <c r="F1832" s="166">
        <v>0</v>
      </c>
      <c r="G1832" s="227">
        <f>IF($B$2,IF(ROWS(B$6:$B1832) = 1,$B1832-Start_Date,$B1832-$B1831),"")</f>
        <v>2.0179513885523193E-3</v>
      </c>
      <c r="H1832" s="29">
        <f>IF($B$2,IF(ROWS(B$6:$B1832) = 1,IF(COUNTIFS(R_Schedule_Times,"&lt;"&amp;B1832),INDEX(R_Schedule_Amounts,MATCH(B1832,R_Schedule_Times,1)),Starting_Cash),IF(COUNTIFS(R_Schedule_Times,"&gt;"&amp;B1831,R_Schedule_Times,"&lt;"&amp;B1832),INDEX(R_Schedule_Amounts,MATCH(B1832,R_Schedule_Times,1)),K1831)),"")</f>
        <v>2100</v>
      </c>
      <c r="I1832" s="30">
        <f t="shared" si="140"/>
        <v>60</v>
      </c>
      <c r="J1832" s="31">
        <f t="shared" si="141"/>
        <v>0</v>
      </c>
      <c r="K1832" s="29">
        <f t="shared" si="142"/>
        <v>2040</v>
      </c>
      <c r="L1832" s="31" t="str">
        <f t="shared" si="143"/>
        <v/>
      </c>
      <c r="M1832" s="31" t="str">
        <f t="shared" si="144"/>
        <v/>
      </c>
    </row>
    <row r="1833" spans="1:13" x14ac:dyDescent="0.15">
      <c r="A1833" s="163" t="s">
        <v>210</v>
      </c>
      <c r="B1833" s="163">
        <v>42323.749612569445</v>
      </c>
      <c r="C1833" s="164" t="s">
        <v>1827</v>
      </c>
      <c r="D1833" s="164" t="s">
        <v>13</v>
      </c>
      <c r="E1833" s="165">
        <v>40</v>
      </c>
      <c r="F1833" s="166">
        <v>0</v>
      </c>
      <c r="G1833" s="227">
        <f>IF($B$2,IF(ROWS(B$6:$B1833) = 1,$B1833-Start_Date,$B1833-$B1832),"")</f>
        <v>5.6972685197251849E-3</v>
      </c>
      <c r="H1833" s="29">
        <f>IF($B$2,IF(ROWS(B$6:$B1833) = 1,IF(COUNTIFS(R_Schedule_Times,"&lt;"&amp;B1833),INDEX(R_Schedule_Amounts,MATCH(B1833,R_Schedule_Times,1)),Starting_Cash),IF(COUNTIFS(R_Schedule_Times,"&gt;"&amp;B1832,R_Schedule_Times,"&lt;"&amp;B1833),INDEX(R_Schedule_Amounts,MATCH(B1833,R_Schedule_Times,1)),K1832)),"")</f>
        <v>2040</v>
      </c>
      <c r="I1833" s="30">
        <f t="shared" si="140"/>
        <v>40</v>
      </c>
      <c r="J1833" s="31">
        <f t="shared" si="141"/>
        <v>0</v>
      </c>
      <c r="K1833" s="29">
        <f t="shared" si="142"/>
        <v>2000</v>
      </c>
      <c r="L1833" s="31" t="str">
        <f t="shared" si="143"/>
        <v/>
      </c>
      <c r="M1833" s="31" t="str">
        <f t="shared" si="144"/>
        <v/>
      </c>
    </row>
    <row r="1834" spans="1:13" x14ac:dyDescent="0.15">
      <c r="A1834" s="163" t="s">
        <v>210</v>
      </c>
      <c r="B1834" s="163">
        <v>42323.767643796295</v>
      </c>
      <c r="C1834" s="164" t="s">
        <v>1828</v>
      </c>
      <c r="D1834" s="164" t="s">
        <v>13</v>
      </c>
      <c r="E1834" s="165">
        <v>60</v>
      </c>
      <c r="F1834" s="166">
        <v>0</v>
      </c>
      <c r="G1834" s="227">
        <f>IF($B$2,IF(ROWS(B$6:$B1834) = 1,$B1834-Start_Date,$B1834-$B1833),"")</f>
        <v>1.8031226849416271E-2</v>
      </c>
      <c r="H1834" s="29">
        <f>IF($B$2,IF(ROWS(B$6:$B1834) = 1,IF(COUNTIFS(R_Schedule_Times,"&lt;"&amp;B1834),INDEX(R_Schedule_Amounts,MATCH(B1834,R_Schedule_Times,1)),Starting_Cash),IF(COUNTIFS(R_Schedule_Times,"&gt;"&amp;B1833,R_Schedule_Times,"&lt;"&amp;B1834),INDEX(R_Schedule_Amounts,MATCH(B1834,R_Schedule_Times,1)),K1833)),"")</f>
        <v>2000</v>
      </c>
      <c r="I1834" s="30">
        <f t="shared" si="140"/>
        <v>60</v>
      </c>
      <c r="J1834" s="31">
        <f t="shared" si="141"/>
        <v>0</v>
      </c>
      <c r="K1834" s="29">
        <f t="shared" si="142"/>
        <v>1940</v>
      </c>
      <c r="L1834" s="31" t="str">
        <f t="shared" si="143"/>
        <v/>
      </c>
      <c r="M1834" s="31" t="str">
        <f t="shared" si="144"/>
        <v/>
      </c>
    </row>
    <row r="1835" spans="1:13" x14ac:dyDescent="0.15">
      <c r="A1835" s="163" t="s">
        <v>210</v>
      </c>
      <c r="B1835" s="163">
        <v>42324.003041956021</v>
      </c>
      <c r="C1835" s="164" t="s">
        <v>1049</v>
      </c>
      <c r="D1835" s="164" t="s">
        <v>13</v>
      </c>
      <c r="E1835" s="165">
        <v>60</v>
      </c>
      <c r="F1835" s="166">
        <v>0</v>
      </c>
      <c r="G1835" s="227">
        <f>IF($B$2,IF(ROWS(B$6:$B1835) = 1,$B1835-Start_Date,$B1835-$B1834),"")</f>
        <v>0.23539815972617362</v>
      </c>
      <c r="H1835" s="29">
        <f>IF($B$2,IF(ROWS(B$6:$B1835) = 1,IF(COUNTIFS(R_Schedule_Times,"&lt;"&amp;B1835),INDEX(R_Schedule_Amounts,MATCH(B1835,R_Schedule_Times,1)),Starting_Cash),IF(COUNTIFS(R_Schedule_Times,"&gt;"&amp;B1834,R_Schedule_Times,"&lt;"&amp;B1835),INDEX(R_Schedule_Amounts,MATCH(B1835,R_Schedule_Times,1)),K1834)),"")</f>
        <v>1940</v>
      </c>
      <c r="I1835" s="30">
        <f t="shared" si="140"/>
        <v>60</v>
      </c>
      <c r="J1835" s="31">
        <f t="shared" si="141"/>
        <v>0</v>
      </c>
      <c r="K1835" s="29">
        <f t="shared" si="142"/>
        <v>1880</v>
      </c>
      <c r="L1835" s="31" t="str">
        <f t="shared" si="143"/>
        <v/>
      </c>
      <c r="M1835" s="31" t="str">
        <f t="shared" si="144"/>
        <v/>
      </c>
    </row>
    <row r="1836" spans="1:13" x14ac:dyDescent="0.15">
      <c r="A1836" s="163" t="s">
        <v>210</v>
      </c>
      <c r="B1836" s="163">
        <v>42324.033997627317</v>
      </c>
      <c r="C1836" s="164" t="s">
        <v>1521</v>
      </c>
      <c r="D1836" s="164" t="s">
        <v>13</v>
      </c>
      <c r="E1836" s="165">
        <v>60</v>
      </c>
      <c r="F1836" s="166">
        <v>0</v>
      </c>
      <c r="G1836" s="227">
        <f>IF($B$2,IF(ROWS(B$6:$B1836) = 1,$B1836-Start_Date,$B1836-$B1835),"")</f>
        <v>3.0955671296396758E-2</v>
      </c>
      <c r="H1836" s="29">
        <f>IF($B$2,IF(ROWS(B$6:$B1836) = 1,IF(COUNTIFS(R_Schedule_Times,"&lt;"&amp;B1836),INDEX(R_Schedule_Amounts,MATCH(B1836,R_Schedule_Times,1)),Starting_Cash),IF(COUNTIFS(R_Schedule_Times,"&gt;"&amp;B1835,R_Schedule_Times,"&lt;"&amp;B1836),INDEX(R_Schedule_Amounts,MATCH(B1836,R_Schedule_Times,1)),K1835)),"")</f>
        <v>1880</v>
      </c>
      <c r="I1836" s="30">
        <f t="shared" si="140"/>
        <v>60</v>
      </c>
      <c r="J1836" s="31">
        <f t="shared" si="141"/>
        <v>0</v>
      </c>
      <c r="K1836" s="29">
        <f t="shared" si="142"/>
        <v>1820</v>
      </c>
      <c r="L1836" s="31" t="str">
        <f t="shared" si="143"/>
        <v/>
      </c>
      <c r="M1836" s="31" t="str">
        <f t="shared" si="144"/>
        <v/>
      </c>
    </row>
    <row r="1837" spans="1:13" x14ac:dyDescent="0.15">
      <c r="A1837" s="163" t="s">
        <v>210</v>
      </c>
      <c r="B1837" s="163">
        <v>42324.306945914352</v>
      </c>
      <c r="C1837" s="164" t="s">
        <v>164</v>
      </c>
      <c r="D1837" s="164" t="s">
        <v>13</v>
      </c>
      <c r="E1837" s="165">
        <v>100</v>
      </c>
      <c r="F1837" s="166">
        <v>0</v>
      </c>
      <c r="G1837" s="227">
        <f>IF($B$2,IF(ROWS(B$6:$B1837) = 1,$B1837-Start_Date,$B1837-$B1836),"")</f>
        <v>0.27294828703452367</v>
      </c>
      <c r="H1837" s="29">
        <f>IF($B$2,IF(ROWS(B$6:$B1837) = 1,IF(COUNTIFS(R_Schedule_Times,"&lt;"&amp;B1837),INDEX(R_Schedule_Amounts,MATCH(B1837,R_Schedule_Times,1)),Starting_Cash),IF(COUNTIFS(R_Schedule_Times,"&gt;"&amp;B1836,R_Schedule_Times,"&lt;"&amp;B1837),INDEX(R_Schedule_Amounts,MATCH(B1837,R_Schedule_Times,1)),K1836)),"")</f>
        <v>11000</v>
      </c>
      <c r="I1837" s="30">
        <f t="shared" si="140"/>
        <v>100</v>
      </c>
      <c r="J1837" s="31">
        <f t="shared" si="141"/>
        <v>0</v>
      </c>
      <c r="K1837" s="29">
        <f t="shared" si="142"/>
        <v>10900</v>
      </c>
      <c r="L1837" s="31" t="str">
        <f t="shared" si="143"/>
        <v/>
      </c>
      <c r="M1837" s="31" t="str">
        <f t="shared" si="144"/>
        <v/>
      </c>
    </row>
    <row r="1838" spans="1:13" x14ac:dyDescent="0.15">
      <c r="A1838" s="163" t="s">
        <v>210</v>
      </c>
      <c r="B1838" s="163">
        <v>42324.311602141206</v>
      </c>
      <c r="C1838" s="164" t="s">
        <v>1678</v>
      </c>
      <c r="D1838" s="164" t="s">
        <v>13</v>
      </c>
      <c r="E1838" s="165">
        <v>40</v>
      </c>
      <c r="F1838" s="166">
        <v>0</v>
      </c>
      <c r="G1838" s="227">
        <f>IF($B$2,IF(ROWS(B$6:$B1838) = 1,$B1838-Start_Date,$B1838-$B1837),"")</f>
        <v>4.6562268544221297E-3</v>
      </c>
      <c r="H1838" s="29">
        <f>IF($B$2,IF(ROWS(B$6:$B1838) = 1,IF(COUNTIFS(R_Schedule_Times,"&lt;"&amp;B1838),INDEX(R_Schedule_Amounts,MATCH(B1838,R_Schedule_Times,1)),Starting_Cash),IF(COUNTIFS(R_Schedule_Times,"&gt;"&amp;B1837,R_Schedule_Times,"&lt;"&amp;B1838),INDEX(R_Schedule_Amounts,MATCH(B1838,R_Schedule_Times,1)),K1837)),"")</f>
        <v>10900</v>
      </c>
      <c r="I1838" s="30">
        <f t="shared" si="140"/>
        <v>40</v>
      </c>
      <c r="J1838" s="31">
        <f t="shared" si="141"/>
        <v>0</v>
      </c>
      <c r="K1838" s="29">
        <f t="shared" si="142"/>
        <v>10860</v>
      </c>
      <c r="L1838" s="31" t="str">
        <f t="shared" si="143"/>
        <v/>
      </c>
      <c r="M1838" s="31" t="str">
        <f t="shared" si="144"/>
        <v/>
      </c>
    </row>
    <row r="1839" spans="1:13" x14ac:dyDescent="0.15">
      <c r="A1839" s="163" t="s">
        <v>210</v>
      </c>
      <c r="B1839" s="163">
        <v>42324.314839907405</v>
      </c>
      <c r="C1839" s="164" t="s">
        <v>1829</v>
      </c>
      <c r="D1839" s="164" t="s">
        <v>13</v>
      </c>
      <c r="E1839" s="165">
        <v>100</v>
      </c>
      <c r="F1839" s="166">
        <v>0</v>
      </c>
      <c r="G1839" s="227">
        <f>IF($B$2,IF(ROWS(B$6:$B1839) = 1,$B1839-Start_Date,$B1839-$B1838),"")</f>
        <v>3.2377661991631612E-3</v>
      </c>
      <c r="H1839" s="29">
        <f>IF($B$2,IF(ROWS(B$6:$B1839) = 1,IF(COUNTIFS(R_Schedule_Times,"&lt;"&amp;B1839),INDEX(R_Schedule_Amounts,MATCH(B1839,R_Schedule_Times,1)),Starting_Cash),IF(COUNTIFS(R_Schedule_Times,"&gt;"&amp;B1838,R_Schedule_Times,"&lt;"&amp;B1839),INDEX(R_Schedule_Amounts,MATCH(B1839,R_Schedule_Times,1)),K1838)),"")</f>
        <v>10860</v>
      </c>
      <c r="I1839" s="30">
        <f t="shared" si="140"/>
        <v>100</v>
      </c>
      <c r="J1839" s="31">
        <f t="shared" si="141"/>
        <v>0</v>
      </c>
      <c r="K1839" s="29">
        <f t="shared" si="142"/>
        <v>10760</v>
      </c>
      <c r="L1839" s="31" t="str">
        <f t="shared" si="143"/>
        <v/>
      </c>
      <c r="M1839" s="31" t="str">
        <f t="shared" si="144"/>
        <v/>
      </c>
    </row>
    <row r="1840" spans="1:13" x14ac:dyDescent="0.15">
      <c r="A1840" s="163" t="s">
        <v>210</v>
      </c>
      <c r="B1840" s="163">
        <v>42324.337157337963</v>
      </c>
      <c r="C1840" s="164" t="s">
        <v>1830</v>
      </c>
      <c r="D1840" s="164" t="s">
        <v>13</v>
      </c>
      <c r="E1840" s="165">
        <v>500</v>
      </c>
      <c r="F1840" s="166">
        <v>0</v>
      </c>
      <c r="G1840" s="227">
        <f>IF($B$2,IF(ROWS(B$6:$B1840) = 1,$B1840-Start_Date,$B1840-$B1839),"")</f>
        <v>2.231743055745028E-2</v>
      </c>
      <c r="H1840" s="29">
        <f>IF($B$2,IF(ROWS(B$6:$B1840) = 1,IF(COUNTIFS(R_Schedule_Times,"&lt;"&amp;B1840),INDEX(R_Schedule_Amounts,MATCH(B1840,R_Schedule_Times,1)),Starting_Cash),IF(COUNTIFS(R_Schedule_Times,"&gt;"&amp;B1839,R_Schedule_Times,"&lt;"&amp;B1840),INDEX(R_Schedule_Amounts,MATCH(B1840,R_Schedule_Times,1)),K1839)),"")</f>
        <v>10760</v>
      </c>
      <c r="I1840" s="30">
        <f t="shared" si="140"/>
        <v>500</v>
      </c>
      <c r="J1840" s="31">
        <f t="shared" si="141"/>
        <v>0</v>
      </c>
      <c r="K1840" s="29">
        <f t="shared" si="142"/>
        <v>10260</v>
      </c>
      <c r="L1840" s="31" t="str">
        <f t="shared" si="143"/>
        <v/>
      </c>
      <c r="M1840" s="31" t="str">
        <f t="shared" si="144"/>
        <v/>
      </c>
    </row>
    <row r="1841" spans="1:13" x14ac:dyDescent="0.15">
      <c r="A1841" s="163" t="s">
        <v>210</v>
      </c>
      <c r="B1841" s="163">
        <v>42324.350645034719</v>
      </c>
      <c r="C1841" s="164" t="s">
        <v>1831</v>
      </c>
      <c r="D1841" s="164" t="s">
        <v>13</v>
      </c>
      <c r="E1841" s="165">
        <v>20</v>
      </c>
      <c r="F1841" s="166">
        <v>0</v>
      </c>
      <c r="G1841" s="227">
        <f>IF($B$2,IF(ROWS(B$6:$B1841) = 1,$B1841-Start_Date,$B1841-$B1840),"")</f>
        <v>1.3487696756783407E-2</v>
      </c>
      <c r="H1841" s="29">
        <f>IF($B$2,IF(ROWS(B$6:$B1841) = 1,IF(COUNTIFS(R_Schedule_Times,"&lt;"&amp;B1841),INDEX(R_Schedule_Amounts,MATCH(B1841,R_Schedule_Times,1)),Starting_Cash),IF(COUNTIFS(R_Schedule_Times,"&gt;"&amp;B1840,R_Schedule_Times,"&lt;"&amp;B1841),INDEX(R_Schedule_Amounts,MATCH(B1841,R_Schedule_Times,1)),K1840)),"")</f>
        <v>10260</v>
      </c>
      <c r="I1841" s="30">
        <f t="shared" si="140"/>
        <v>20</v>
      </c>
      <c r="J1841" s="31">
        <f t="shared" si="141"/>
        <v>0</v>
      </c>
      <c r="K1841" s="29">
        <f t="shared" si="142"/>
        <v>10240</v>
      </c>
      <c r="L1841" s="31" t="str">
        <f t="shared" si="143"/>
        <v/>
      </c>
      <c r="M1841" s="31" t="str">
        <f t="shared" si="144"/>
        <v/>
      </c>
    </row>
    <row r="1842" spans="1:13" x14ac:dyDescent="0.15">
      <c r="A1842" s="163" t="s">
        <v>210</v>
      </c>
      <c r="B1842" s="163">
        <v>42324.358633773147</v>
      </c>
      <c r="C1842" s="164" t="s">
        <v>1156</v>
      </c>
      <c r="D1842" s="164" t="s">
        <v>13</v>
      </c>
      <c r="E1842" s="165">
        <v>80</v>
      </c>
      <c r="F1842" s="166">
        <v>0</v>
      </c>
      <c r="G1842" s="227">
        <f>IF($B$2,IF(ROWS(B$6:$B1842) = 1,$B1842-Start_Date,$B1842-$B1841),"")</f>
        <v>7.9887384272296913E-3</v>
      </c>
      <c r="H1842" s="29">
        <f>IF($B$2,IF(ROWS(B$6:$B1842) = 1,IF(COUNTIFS(R_Schedule_Times,"&lt;"&amp;B1842),INDEX(R_Schedule_Amounts,MATCH(B1842,R_Schedule_Times,1)),Starting_Cash),IF(COUNTIFS(R_Schedule_Times,"&gt;"&amp;B1841,R_Schedule_Times,"&lt;"&amp;B1842),INDEX(R_Schedule_Amounts,MATCH(B1842,R_Schedule_Times,1)),K1841)),"")</f>
        <v>10240</v>
      </c>
      <c r="I1842" s="30">
        <f t="shared" si="140"/>
        <v>80</v>
      </c>
      <c r="J1842" s="31">
        <f t="shared" si="141"/>
        <v>0</v>
      </c>
      <c r="K1842" s="29">
        <f t="shared" si="142"/>
        <v>10160</v>
      </c>
      <c r="L1842" s="31" t="str">
        <f t="shared" si="143"/>
        <v/>
      </c>
      <c r="M1842" s="31" t="str">
        <f t="shared" si="144"/>
        <v/>
      </c>
    </row>
    <row r="1843" spans="1:13" x14ac:dyDescent="0.15">
      <c r="A1843" s="163" t="s">
        <v>210</v>
      </c>
      <c r="B1843" s="163">
        <v>42324.395376030094</v>
      </c>
      <c r="C1843" s="164" t="s">
        <v>1832</v>
      </c>
      <c r="D1843" s="164" t="s">
        <v>13</v>
      </c>
      <c r="E1843" s="165">
        <v>200</v>
      </c>
      <c r="F1843" s="166">
        <v>0</v>
      </c>
      <c r="G1843" s="227">
        <f>IF($B$2,IF(ROWS(B$6:$B1843) = 1,$B1843-Start_Date,$B1843-$B1842),"")</f>
        <v>3.6742256947036367E-2</v>
      </c>
      <c r="H1843" s="29">
        <f>IF($B$2,IF(ROWS(B$6:$B1843) = 1,IF(COUNTIFS(R_Schedule_Times,"&lt;"&amp;B1843),INDEX(R_Schedule_Amounts,MATCH(B1843,R_Schedule_Times,1)),Starting_Cash),IF(COUNTIFS(R_Schedule_Times,"&gt;"&amp;B1842,R_Schedule_Times,"&lt;"&amp;B1843),INDEX(R_Schedule_Amounts,MATCH(B1843,R_Schedule_Times,1)),K1842)),"")</f>
        <v>10160</v>
      </c>
      <c r="I1843" s="30">
        <f t="shared" si="140"/>
        <v>200</v>
      </c>
      <c r="J1843" s="31">
        <f t="shared" si="141"/>
        <v>0</v>
      </c>
      <c r="K1843" s="29">
        <f t="shared" si="142"/>
        <v>9960</v>
      </c>
      <c r="L1843" s="31" t="str">
        <f t="shared" si="143"/>
        <v/>
      </c>
      <c r="M1843" s="31" t="str">
        <f t="shared" si="144"/>
        <v/>
      </c>
    </row>
    <row r="1844" spans="1:13" x14ac:dyDescent="0.15">
      <c r="A1844" s="163" t="s">
        <v>210</v>
      </c>
      <c r="B1844" s="163">
        <v>42324.410244861108</v>
      </c>
      <c r="C1844" s="164" t="s">
        <v>443</v>
      </c>
      <c r="D1844" s="164" t="s">
        <v>13</v>
      </c>
      <c r="E1844" s="165">
        <v>60</v>
      </c>
      <c r="F1844" s="166">
        <v>0</v>
      </c>
      <c r="G1844" s="227">
        <f>IF($B$2,IF(ROWS(B$6:$B1844) = 1,$B1844-Start_Date,$B1844-$B1843),"")</f>
        <v>1.4868831014609896E-2</v>
      </c>
      <c r="H1844" s="29">
        <f>IF($B$2,IF(ROWS(B$6:$B1844) = 1,IF(COUNTIFS(R_Schedule_Times,"&lt;"&amp;B1844),INDEX(R_Schedule_Amounts,MATCH(B1844,R_Schedule_Times,1)),Starting_Cash),IF(COUNTIFS(R_Schedule_Times,"&gt;"&amp;B1843,R_Schedule_Times,"&lt;"&amp;B1844),INDEX(R_Schedule_Amounts,MATCH(B1844,R_Schedule_Times,1)),K1843)),"")</f>
        <v>9960</v>
      </c>
      <c r="I1844" s="30">
        <f t="shared" si="140"/>
        <v>60</v>
      </c>
      <c r="J1844" s="31">
        <f t="shared" si="141"/>
        <v>0</v>
      </c>
      <c r="K1844" s="29">
        <f t="shared" si="142"/>
        <v>9900</v>
      </c>
      <c r="L1844" s="31" t="str">
        <f t="shared" si="143"/>
        <v/>
      </c>
      <c r="M1844" s="31" t="str">
        <f t="shared" si="144"/>
        <v/>
      </c>
    </row>
    <row r="1845" spans="1:13" x14ac:dyDescent="0.15">
      <c r="A1845" s="163" t="s">
        <v>210</v>
      </c>
      <c r="B1845" s="163">
        <v>42324.457083136571</v>
      </c>
      <c r="C1845" s="164" t="s">
        <v>1654</v>
      </c>
      <c r="D1845" s="164" t="s">
        <v>13</v>
      </c>
      <c r="E1845" s="165">
        <v>20</v>
      </c>
      <c r="F1845" s="166">
        <v>0</v>
      </c>
      <c r="G1845" s="227">
        <f>IF($B$2,IF(ROWS(B$6:$B1845) = 1,$B1845-Start_Date,$B1845-$B1844),"")</f>
        <v>4.6838275462505408E-2</v>
      </c>
      <c r="H1845" s="29">
        <f>IF($B$2,IF(ROWS(B$6:$B1845) = 1,IF(COUNTIFS(R_Schedule_Times,"&lt;"&amp;B1845),INDEX(R_Schedule_Amounts,MATCH(B1845,R_Schedule_Times,1)),Starting_Cash),IF(COUNTIFS(R_Schedule_Times,"&gt;"&amp;B1844,R_Schedule_Times,"&lt;"&amp;B1845),INDEX(R_Schedule_Amounts,MATCH(B1845,R_Schedule_Times,1)),K1844)),"")</f>
        <v>9900</v>
      </c>
      <c r="I1845" s="30">
        <f t="shared" si="140"/>
        <v>20</v>
      </c>
      <c r="J1845" s="31">
        <f t="shared" si="141"/>
        <v>0</v>
      </c>
      <c r="K1845" s="29">
        <f t="shared" si="142"/>
        <v>9880</v>
      </c>
      <c r="L1845" s="31" t="str">
        <f t="shared" si="143"/>
        <v/>
      </c>
      <c r="M1845" s="31" t="str">
        <f t="shared" si="144"/>
        <v/>
      </c>
    </row>
    <row r="1846" spans="1:13" x14ac:dyDescent="0.15">
      <c r="A1846" s="163" t="s">
        <v>210</v>
      </c>
      <c r="B1846" s="163">
        <v>42324.459415879632</v>
      </c>
      <c r="C1846" s="164" t="s">
        <v>669</v>
      </c>
      <c r="D1846" s="164" t="s">
        <v>13</v>
      </c>
      <c r="E1846" s="165">
        <v>60</v>
      </c>
      <c r="F1846" s="166">
        <v>0</v>
      </c>
      <c r="G1846" s="227">
        <f>IF($B$2,IF(ROWS(B$6:$B1846) = 1,$B1846-Start_Date,$B1846-$B1845),"")</f>
        <v>2.3327430608333088E-3</v>
      </c>
      <c r="H1846" s="29">
        <f>IF($B$2,IF(ROWS(B$6:$B1846) = 1,IF(COUNTIFS(R_Schedule_Times,"&lt;"&amp;B1846),INDEX(R_Schedule_Amounts,MATCH(B1846,R_Schedule_Times,1)),Starting_Cash),IF(COUNTIFS(R_Schedule_Times,"&gt;"&amp;B1845,R_Schedule_Times,"&lt;"&amp;B1846),INDEX(R_Schedule_Amounts,MATCH(B1846,R_Schedule_Times,1)),K1845)),"")</f>
        <v>9880</v>
      </c>
      <c r="I1846" s="30">
        <f t="shared" si="140"/>
        <v>60</v>
      </c>
      <c r="J1846" s="31">
        <f t="shared" si="141"/>
        <v>0</v>
      </c>
      <c r="K1846" s="29">
        <f t="shared" si="142"/>
        <v>9820</v>
      </c>
      <c r="L1846" s="31" t="str">
        <f t="shared" si="143"/>
        <v/>
      </c>
      <c r="M1846" s="31" t="str">
        <f t="shared" si="144"/>
        <v/>
      </c>
    </row>
    <row r="1847" spans="1:13" x14ac:dyDescent="0.15">
      <c r="A1847" s="163" t="s">
        <v>210</v>
      </c>
      <c r="B1847" s="163">
        <v>42324.460567650465</v>
      </c>
      <c r="C1847" s="164" t="s">
        <v>444</v>
      </c>
      <c r="D1847" s="164" t="s">
        <v>13</v>
      </c>
      <c r="E1847" s="165">
        <v>200</v>
      </c>
      <c r="F1847" s="166">
        <v>0</v>
      </c>
      <c r="G1847" s="227">
        <f>IF($B$2,IF(ROWS(B$6:$B1847) = 1,$B1847-Start_Date,$B1847-$B1846),"")</f>
        <v>1.1517708335304633E-3</v>
      </c>
      <c r="H1847" s="29">
        <f>IF($B$2,IF(ROWS(B$6:$B1847) = 1,IF(COUNTIFS(R_Schedule_Times,"&lt;"&amp;B1847),INDEX(R_Schedule_Amounts,MATCH(B1847,R_Schedule_Times,1)),Starting_Cash),IF(COUNTIFS(R_Schedule_Times,"&gt;"&amp;B1846,R_Schedule_Times,"&lt;"&amp;B1847),INDEX(R_Schedule_Amounts,MATCH(B1847,R_Schedule_Times,1)),K1846)),"")</f>
        <v>9820</v>
      </c>
      <c r="I1847" s="30">
        <f t="shared" si="140"/>
        <v>200</v>
      </c>
      <c r="J1847" s="31">
        <f t="shared" si="141"/>
        <v>0</v>
      </c>
      <c r="K1847" s="29">
        <f t="shared" si="142"/>
        <v>9620</v>
      </c>
      <c r="L1847" s="31" t="str">
        <f t="shared" si="143"/>
        <v/>
      </c>
      <c r="M1847" s="31" t="str">
        <f t="shared" si="144"/>
        <v/>
      </c>
    </row>
    <row r="1848" spans="1:13" x14ac:dyDescent="0.15">
      <c r="A1848" s="163" t="s">
        <v>210</v>
      </c>
      <c r="B1848" s="163">
        <v>42324.487337280094</v>
      </c>
      <c r="C1848" s="164" t="s">
        <v>1833</v>
      </c>
      <c r="D1848" s="164" t="s">
        <v>13</v>
      </c>
      <c r="E1848" s="165">
        <v>40</v>
      </c>
      <c r="F1848" s="166">
        <v>0</v>
      </c>
      <c r="G1848" s="227">
        <f>IF($B$2,IF(ROWS(B$6:$B1848) = 1,$B1848-Start_Date,$B1848-$B1847),"")</f>
        <v>2.6769629628688563E-2</v>
      </c>
      <c r="H1848" s="29">
        <f>IF($B$2,IF(ROWS(B$6:$B1848) = 1,IF(COUNTIFS(R_Schedule_Times,"&lt;"&amp;B1848),INDEX(R_Schedule_Amounts,MATCH(B1848,R_Schedule_Times,1)),Starting_Cash),IF(COUNTIFS(R_Schedule_Times,"&gt;"&amp;B1847,R_Schedule_Times,"&lt;"&amp;B1848),INDEX(R_Schedule_Amounts,MATCH(B1848,R_Schedule_Times,1)),K1847)),"")</f>
        <v>9620</v>
      </c>
      <c r="I1848" s="30">
        <f t="shared" si="140"/>
        <v>40</v>
      </c>
      <c r="J1848" s="31">
        <f t="shared" si="141"/>
        <v>0</v>
      </c>
      <c r="K1848" s="29">
        <f t="shared" si="142"/>
        <v>9580</v>
      </c>
      <c r="L1848" s="31" t="str">
        <f t="shared" si="143"/>
        <v/>
      </c>
      <c r="M1848" s="31" t="str">
        <f t="shared" si="144"/>
        <v/>
      </c>
    </row>
    <row r="1849" spans="1:13" x14ac:dyDescent="0.15">
      <c r="A1849" s="163" t="s">
        <v>210</v>
      </c>
      <c r="B1849" s="163">
        <v>42324.511746562501</v>
      </c>
      <c r="C1849" s="164" t="s">
        <v>1834</v>
      </c>
      <c r="D1849" s="164" t="s">
        <v>13</v>
      </c>
      <c r="E1849" s="165">
        <v>120</v>
      </c>
      <c r="F1849" s="166">
        <v>0</v>
      </c>
      <c r="G1849" s="227">
        <f>IF($B$2,IF(ROWS(B$6:$B1849) = 1,$B1849-Start_Date,$B1849-$B1848),"")</f>
        <v>2.4409282406850252E-2</v>
      </c>
      <c r="H1849" s="29">
        <f>IF($B$2,IF(ROWS(B$6:$B1849) = 1,IF(COUNTIFS(R_Schedule_Times,"&lt;"&amp;B1849),INDEX(R_Schedule_Amounts,MATCH(B1849,R_Schedule_Times,1)),Starting_Cash),IF(COUNTIFS(R_Schedule_Times,"&gt;"&amp;B1848,R_Schedule_Times,"&lt;"&amp;B1849),INDEX(R_Schedule_Amounts,MATCH(B1849,R_Schedule_Times,1)),K1848)),"")</f>
        <v>9580</v>
      </c>
      <c r="I1849" s="30">
        <f t="shared" si="140"/>
        <v>120</v>
      </c>
      <c r="J1849" s="31">
        <f t="shared" si="141"/>
        <v>0</v>
      </c>
      <c r="K1849" s="29">
        <f t="shared" si="142"/>
        <v>9460</v>
      </c>
      <c r="L1849" s="31" t="str">
        <f t="shared" si="143"/>
        <v/>
      </c>
      <c r="M1849" s="31" t="str">
        <f t="shared" si="144"/>
        <v/>
      </c>
    </row>
    <row r="1850" spans="1:13" x14ac:dyDescent="0.15">
      <c r="A1850" s="163" t="s">
        <v>210</v>
      </c>
      <c r="B1850" s="163">
        <v>42324.525895069448</v>
      </c>
      <c r="C1850" s="164" t="s">
        <v>1835</v>
      </c>
      <c r="D1850" s="164" t="s">
        <v>13</v>
      </c>
      <c r="E1850" s="165">
        <v>100</v>
      </c>
      <c r="F1850" s="166">
        <v>0</v>
      </c>
      <c r="G1850" s="227">
        <f>IF($B$2,IF(ROWS(B$6:$B1850) = 1,$B1850-Start_Date,$B1850-$B1849),"")</f>
        <v>1.4148506947094575E-2</v>
      </c>
      <c r="H1850" s="29">
        <f>IF($B$2,IF(ROWS(B$6:$B1850) = 1,IF(COUNTIFS(R_Schedule_Times,"&lt;"&amp;B1850),INDEX(R_Schedule_Amounts,MATCH(B1850,R_Schedule_Times,1)),Starting_Cash),IF(COUNTIFS(R_Schedule_Times,"&gt;"&amp;B1849,R_Schedule_Times,"&lt;"&amp;B1850),INDEX(R_Schedule_Amounts,MATCH(B1850,R_Schedule_Times,1)),K1849)),"")</f>
        <v>9460</v>
      </c>
      <c r="I1850" s="30">
        <f t="shared" si="140"/>
        <v>100</v>
      </c>
      <c r="J1850" s="31">
        <f t="shared" si="141"/>
        <v>0</v>
      </c>
      <c r="K1850" s="29">
        <f t="shared" si="142"/>
        <v>9360</v>
      </c>
      <c r="L1850" s="31" t="str">
        <f t="shared" si="143"/>
        <v/>
      </c>
      <c r="M1850" s="31" t="str">
        <f t="shared" si="144"/>
        <v/>
      </c>
    </row>
    <row r="1851" spans="1:13" x14ac:dyDescent="0.15">
      <c r="A1851" s="163" t="s">
        <v>210</v>
      </c>
      <c r="B1851" s="163">
        <v>42324.53785414352</v>
      </c>
      <c r="C1851" s="164" t="s">
        <v>14</v>
      </c>
      <c r="D1851" s="164" t="s">
        <v>13</v>
      </c>
      <c r="E1851" s="165">
        <v>40</v>
      </c>
      <c r="F1851" s="166">
        <v>3.5</v>
      </c>
      <c r="G1851" s="227">
        <f>IF($B$2,IF(ROWS(B$6:$B1851) = 1,$B1851-Start_Date,$B1851-$B1850),"")</f>
        <v>1.1959074072365183E-2</v>
      </c>
      <c r="H1851" s="29">
        <f>IF($B$2,IF(ROWS(B$6:$B1851) = 1,IF(COUNTIFS(R_Schedule_Times,"&lt;"&amp;B1851),INDEX(R_Schedule_Amounts,MATCH(B1851,R_Schedule_Times,1)),Starting_Cash),IF(COUNTIFS(R_Schedule_Times,"&gt;"&amp;B1850,R_Schedule_Times,"&lt;"&amp;B1851),INDEX(R_Schedule_Amounts,MATCH(B1851,R_Schedule_Times,1)),K1850)),"")</f>
        <v>9360</v>
      </c>
      <c r="I1851" s="30">
        <f t="shared" si="140"/>
        <v>40</v>
      </c>
      <c r="J1851" s="31">
        <f t="shared" si="141"/>
        <v>3.5</v>
      </c>
      <c r="K1851" s="29">
        <f t="shared" si="142"/>
        <v>9320</v>
      </c>
      <c r="L1851" s="31" t="str">
        <f t="shared" si="143"/>
        <v/>
      </c>
      <c r="M1851" s="31" t="str">
        <f t="shared" si="144"/>
        <v/>
      </c>
    </row>
    <row r="1852" spans="1:13" x14ac:dyDescent="0.15">
      <c r="A1852" s="163" t="s">
        <v>210</v>
      </c>
      <c r="B1852" s="163">
        <v>42324.553345844906</v>
      </c>
      <c r="C1852" s="164" t="s">
        <v>1836</v>
      </c>
      <c r="D1852" s="164" t="s">
        <v>13</v>
      </c>
      <c r="E1852" s="165">
        <v>40</v>
      </c>
      <c r="F1852" s="166">
        <v>0</v>
      </c>
      <c r="G1852" s="227">
        <f>IF($B$2,IF(ROWS(B$6:$B1852) = 1,$B1852-Start_Date,$B1852-$B1851),"")</f>
        <v>1.5491701386054046E-2</v>
      </c>
      <c r="H1852" s="29">
        <f>IF($B$2,IF(ROWS(B$6:$B1852) = 1,IF(COUNTIFS(R_Schedule_Times,"&lt;"&amp;B1852),INDEX(R_Schedule_Amounts,MATCH(B1852,R_Schedule_Times,1)),Starting_Cash),IF(COUNTIFS(R_Schedule_Times,"&gt;"&amp;B1851,R_Schedule_Times,"&lt;"&amp;B1852),INDEX(R_Schedule_Amounts,MATCH(B1852,R_Schedule_Times,1)),K1851)),"")</f>
        <v>9320</v>
      </c>
      <c r="I1852" s="30">
        <f t="shared" si="140"/>
        <v>40</v>
      </c>
      <c r="J1852" s="31">
        <f t="shared" si="141"/>
        <v>0</v>
      </c>
      <c r="K1852" s="29">
        <f t="shared" si="142"/>
        <v>9280</v>
      </c>
      <c r="L1852" s="31" t="str">
        <f t="shared" si="143"/>
        <v/>
      </c>
      <c r="M1852" s="31" t="str">
        <f t="shared" si="144"/>
        <v/>
      </c>
    </row>
    <row r="1853" spans="1:13" x14ac:dyDescent="0.15">
      <c r="A1853" s="163" t="s">
        <v>210</v>
      </c>
      <c r="B1853" s="163">
        <v>42324.559604513888</v>
      </c>
      <c r="C1853" s="164" t="s">
        <v>1837</v>
      </c>
      <c r="D1853" s="164" t="s">
        <v>13</v>
      </c>
      <c r="E1853" s="165">
        <v>20</v>
      </c>
      <c r="F1853" s="166">
        <v>0</v>
      </c>
      <c r="G1853" s="227">
        <f>IF($B$2,IF(ROWS(B$6:$B1853) = 1,$B1853-Start_Date,$B1853-$B1852),"")</f>
        <v>6.258668981899973E-3</v>
      </c>
      <c r="H1853" s="29">
        <f>IF($B$2,IF(ROWS(B$6:$B1853) = 1,IF(COUNTIFS(R_Schedule_Times,"&lt;"&amp;B1853),INDEX(R_Schedule_Amounts,MATCH(B1853,R_Schedule_Times,1)),Starting_Cash),IF(COUNTIFS(R_Schedule_Times,"&gt;"&amp;B1852,R_Schedule_Times,"&lt;"&amp;B1853),INDEX(R_Schedule_Amounts,MATCH(B1853,R_Schedule_Times,1)),K1852)),"")</f>
        <v>9280</v>
      </c>
      <c r="I1853" s="30">
        <f t="shared" si="140"/>
        <v>20</v>
      </c>
      <c r="J1853" s="31">
        <f t="shared" si="141"/>
        <v>0</v>
      </c>
      <c r="K1853" s="29">
        <f t="shared" si="142"/>
        <v>9260</v>
      </c>
      <c r="L1853" s="31" t="str">
        <f t="shared" si="143"/>
        <v/>
      </c>
      <c r="M1853" s="31" t="str">
        <f t="shared" si="144"/>
        <v/>
      </c>
    </row>
    <row r="1854" spans="1:13" x14ac:dyDescent="0.15">
      <c r="A1854" s="163" t="s">
        <v>210</v>
      </c>
      <c r="B1854" s="163">
        <v>42324.573700925925</v>
      </c>
      <c r="C1854" s="164" t="s">
        <v>1823</v>
      </c>
      <c r="D1854" s="164" t="s">
        <v>13</v>
      </c>
      <c r="E1854" s="165">
        <v>20</v>
      </c>
      <c r="F1854" s="166">
        <v>0</v>
      </c>
      <c r="G1854" s="227">
        <f>IF($B$2,IF(ROWS(B$6:$B1854) = 1,$B1854-Start_Date,$B1854-$B1853),"")</f>
        <v>1.4096412036451511E-2</v>
      </c>
      <c r="H1854" s="29">
        <f>IF($B$2,IF(ROWS(B$6:$B1854) = 1,IF(COUNTIFS(R_Schedule_Times,"&lt;"&amp;B1854),INDEX(R_Schedule_Amounts,MATCH(B1854,R_Schedule_Times,1)),Starting_Cash),IF(COUNTIFS(R_Schedule_Times,"&gt;"&amp;B1853,R_Schedule_Times,"&lt;"&amp;B1854),INDEX(R_Schedule_Amounts,MATCH(B1854,R_Schedule_Times,1)),K1853)),"")</f>
        <v>9260</v>
      </c>
      <c r="I1854" s="30">
        <f t="shared" si="140"/>
        <v>20</v>
      </c>
      <c r="J1854" s="31">
        <f t="shared" si="141"/>
        <v>0</v>
      </c>
      <c r="K1854" s="29">
        <f t="shared" si="142"/>
        <v>9240</v>
      </c>
      <c r="L1854" s="31" t="str">
        <f t="shared" si="143"/>
        <v/>
      </c>
      <c r="M1854" s="31" t="str">
        <f t="shared" si="144"/>
        <v/>
      </c>
    </row>
    <row r="1855" spans="1:13" x14ac:dyDescent="0.15">
      <c r="A1855" s="163" t="s">
        <v>210</v>
      </c>
      <c r="B1855" s="163">
        <v>42324.586345011572</v>
      </c>
      <c r="C1855" s="164" t="s">
        <v>14</v>
      </c>
      <c r="D1855" s="164" t="s">
        <v>13</v>
      </c>
      <c r="E1855" s="165">
        <v>80</v>
      </c>
      <c r="F1855" s="166">
        <v>3.5</v>
      </c>
      <c r="G1855" s="227">
        <f>IF($B$2,IF(ROWS(B$6:$B1855) = 1,$B1855-Start_Date,$B1855-$B1854),"")</f>
        <v>1.2644085647480097E-2</v>
      </c>
      <c r="H1855" s="29">
        <f>IF($B$2,IF(ROWS(B$6:$B1855) = 1,IF(COUNTIFS(R_Schedule_Times,"&lt;"&amp;B1855),INDEX(R_Schedule_Amounts,MATCH(B1855,R_Schedule_Times,1)),Starting_Cash),IF(COUNTIFS(R_Schedule_Times,"&gt;"&amp;B1854,R_Schedule_Times,"&lt;"&amp;B1855),INDEX(R_Schedule_Amounts,MATCH(B1855,R_Schedule_Times,1)),K1854)),"")</f>
        <v>9240</v>
      </c>
      <c r="I1855" s="30">
        <f t="shared" si="140"/>
        <v>80</v>
      </c>
      <c r="J1855" s="31">
        <f t="shared" si="141"/>
        <v>3.5</v>
      </c>
      <c r="K1855" s="29">
        <f t="shared" si="142"/>
        <v>9160</v>
      </c>
      <c r="L1855" s="31" t="str">
        <f t="shared" si="143"/>
        <v/>
      </c>
      <c r="M1855" s="31" t="str">
        <f t="shared" si="144"/>
        <v/>
      </c>
    </row>
    <row r="1856" spans="1:13" x14ac:dyDescent="0.15">
      <c r="A1856" s="163" t="s">
        <v>210</v>
      </c>
      <c r="B1856" s="163">
        <v>42324.595916168983</v>
      </c>
      <c r="C1856" s="164" t="s">
        <v>1838</v>
      </c>
      <c r="D1856" s="164" t="s">
        <v>15</v>
      </c>
      <c r="E1856" s="165">
        <v>20</v>
      </c>
      <c r="F1856" s="166">
        <v>0.6</v>
      </c>
      <c r="G1856" s="227">
        <f>IF($B$2,IF(ROWS(B$6:$B1856) = 1,$B1856-Start_Date,$B1856-$B1855),"")</f>
        <v>9.5711574103916064E-3</v>
      </c>
      <c r="H1856" s="29">
        <f>IF($B$2,IF(ROWS(B$6:$B1856) = 1,IF(COUNTIFS(R_Schedule_Times,"&lt;"&amp;B1856),INDEX(R_Schedule_Amounts,MATCH(B1856,R_Schedule_Times,1)),Starting_Cash),IF(COUNTIFS(R_Schedule_Times,"&gt;"&amp;B1855,R_Schedule_Times,"&lt;"&amp;B1856),INDEX(R_Schedule_Amounts,MATCH(B1856,R_Schedule_Times,1)),K1855)),"")</f>
        <v>9160</v>
      </c>
      <c r="I1856" s="30">
        <f t="shared" si="140"/>
        <v>20</v>
      </c>
      <c r="J1856" s="31">
        <f t="shared" si="141"/>
        <v>0.6</v>
      </c>
      <c r="K1856" s="29">
        <f t="shared" si="142"/>
        <v>9140</v>
      </c>
      <c r="L1856" s="31" t="str">
        <f t="shared" si="143"/>
        <v/>
      </c>
      <c r="M1856" s="31" t="str">
        <f t="shared" si="144"/>
        <v/>
      </c>
    </row>
    <row r="1857" spans="1:13" x14ac:dyDescent="0.15">
      <c r="A1857" s="163" t="s">
        <v>210</v>
      </c>
      <c r="B1857" s="163">
        <v>42324.615256851852</v>
      </c>
      <c r="C1857" s="164" t="s">
        <v>1839</v>
      </c>
      <c r="D1857" s="164" t="s">
        <v>13</v>
      </c>
      <c r="E1857" s="165">
        <v>100</v>
      </c>
      <c r="F1857" s="166">
        <v>0</v>
      </c>
      <c r="G1857" s="227">
        <f>IF($B$2,IF(ROWS(B$6:$B1857) = 1,$B1857-Start_Date,$B1857-$B1856),"")</f>
        <v>1.934068286936963E-2</v>
      </c>
      <c r="H1857" s="29">
        <f>IF($B$2,IF(ROWS(B$6:$B1857) = 1,IF(COUNTIFS(R_Schedule_Times,"&lt;"&amp;B1857),INDEX(R_Schedule_Amounts,MATCH(B1857,R_Schedule_Times,1)),Starting_Cash),IF(COUNTIFS(R_Schedule_Times,"&gt;"&amp;B1856,R_Schedule_Times,"&lt;"&amp;B1857),INDEX(R_Schedule_Amounts,MATCH(B1857,R_Schedule_Times,1)),K1856)),"")</f>
        <v>9140</v>
      </c>
      <c r="I1857" s="30">
        <f t="shared" si="140"/>
        <v>100</v>
      </c>
      <c r="J1857" s="31">
        <f t="shared" si="141"/>
        <v>0</v>
      </c>
      <c r="K1857" s="29">
        <f t="shared" si="142"/>
        <v>9040</v>
      </c>
      <c r="L1857" s="31" t="str">
        <f t="shared" si="143"/>
        <v/>
      </c>
      <c r="M1857" s="31" t="str">
        <f t="shared" si="144"/>
        <v/>
      </c>
    </row>
    <row r="1858" spans="1:13" x14ac:dyDescent="0.15">
      <c r="A1858" s="163" t="s">
        <v>210</v>
      </c>
      <c r="B1858" s="163">
        <v>42324.619580578707</v>
      </c>
      <c r="C1858" s="164" t="s">
        <v>1840</v>
      </c>
      <c r="D1858" s="164" t="s">
        <v>13</v>
      </c>
      <c r="E1858" s="165">
        <v>100</v>
      </c>
      <c r="F1858" s="166">
        <v>0</v>
      </c>
      <c r="G1858" s="227">
        <f>IF($B$2,IF(ROWS(B$6:$B1858) = 1,$B1858-Start_Date,$B1858-$B1857),"")</f>
        <v>4.3237268546363339E-3</v>
      </c>
      <c r="H1858" s="29">
        <f>IF($B$2,IF(ROWS(B$6:$B1858) = 1,IF(COUNTIFS(R_Schedule_Times,"&lt;"&amp;B1858),INDEX(R_Schedule_Amounts,MATCH(B1858,R_Schedule_Times,1)),Starting_Cash),IF(COUNTIFS(R_Schedule_Times,"&gt;"&amp;B1857,R_Schedule_Times,"&lt;"&amp;B1858),INDEX(R_Schedule_Amounts,MATCH(B1858,R_Schedule_Times,1)),K1857)),"")</f>
        <v>9040</v>
      </c>
      <c r="I1858" s="30">
        <f t="shared" si="140"/>
        <v>100</v>
      </c>
      <c r="J1858" s="31">
        <f t="shared" si="141"/>
        <v>0</v>
      </c>
      <c r="K1858" s="29">
        <f t="shared" si="142"/>
        <v>8940</v>
      </c>
      <c r="L1858" s="31" t="str">
        <f t="shared" si="143"/>
        <v/>
      </c>
      <c r="M1858" s="31" t="str">
        <f t="shared" si="144"/>
        <v/>
      </c>
    </row>
    <row r="1859" spans="1:13" x14ac:dyDescent="0.15">
      <c r="A1859" s="163" t="s">
        <v>210</v>
      </c>
      <c r="B1859" s="163">
        <v>42324.639355057872</v>
      </c>
      <c r="C1859" s="164" t="s">
        <v>260</v>
      </c>
      <c r="D1859" s="164" t="s">
        <v>13</v>
      </c>
      <c r="E1859" s="165">
        <v>20</v>
      </c>
      <c r="F1859" s="166">
        <v>0</v>
      </c>
      <c r="G1859" s="227">
        <f>IF($B$2,IF(ROWS(B$6:$B1859) = 1,$B1859-Start_Date,$B1859-$B1858),"")</f>
        <v>1.9774479165789671E-2</v>
      </c>
      <c r="H1859" s="29">
        <f>IF($B$2,IF(ROWS(B$6:$B1859) = 1,IF(COUNTIFS(R_Schedule_Times,"&lt;"&amp;B1859),INDEX(R_Schedule_Amounts,MATCH(B1859,R_Schedule_Times,1)),Starting_Cash),IF(COUNTIFS(R_Schedule_Times,"&gt;"&amp;B1858,R_Schedule_Times,"&lt;"&amp;B1859),INDEX(R_Schedule_Amounts,MATCH(B1859,R_Schedule_Times,1)),K1858)),"")</f>
        <v>8940</v>
      </c>
      <c r="I1859" s="30">
        <f t="shared" si="140"/>
        <v>20</v>
      </c>
      <c r="J1859" s="31">
        <f t="shared" si="141"/>
        <v>0</v>
      </c>
      <c r="K1859" s="29">
        <f t="shared" si="142"/>
        <v>8920</v>
      </c>
      <c r="L1859" s="31" t="str">
        <f t="shared" si="143"/>
        <v/>
      </c>
      <c r="M1859" s="31" t="str">
        <f t="shared" si="144"/>
        <v/>
      </c>
    </row>
    <row r="1860" spans="1:13" x14ac:dyDescent="0.15">
      <c r="A1860" s="163" t="s">
        <v>210</v>
      </c>
      <c r="B1860" s="163">
        <v>42324.643953437502</v>
      </c>
      <c r="C1860" s="164" t="s">
        <v>1841</v>
      </c>
      <c r="D1860" s="164" t="s">
        <v>13</v>
      </c>
      <c r="E1860" s="165">
        <v>180</v>
      </c>
      <c r="F1860" s="166">
        <v>0</v>
      </c>
      <c r="G1860" s="227">
        <f>IF($B$2,IF(ROWS(B$6:$B1860) = 1,$B1860-Start_Date,$B1860-$B1859),"")</f>
        <v>4.5983796298969537E-3</v>
      </c>
      <c r="H1860" s="29">
        <f>IF($B$2,IF(ROWS(B$6:$B1860) = 1,IF(COUNTIFS(R_Schedule_Times,"&lt;"&amp;B1860),INDEX(R_Schedule_Amounts,MATCH(B1860,R_Schedule_Times,1)),Starting_Cash),IF(COUNTIFS(R_Schedule_Times,"&gt;"&amp;B1859,R_Schedule_Times,"&lt;"&amp;B1860),INDEX(R_Schedule_Amounts,MATCH(B1860,R_Schedule_Times,1)),K1859)),"")</f>
        <v>8920</v>
      </c>
      <c r="I1860" s="30">
        <f t="shared" si="140"/>
        <v>180</v>
      </c>
      <c r="J1860" s="31">
        <f t="shared" si="141"/>
        <v>0</v>
      </c>
      <c r="K1860" s="29">
        <f t="shared" si="142"/>
        <v>8740</v>
      </c>
      <c r="L1860" s="31" t="str">
        <f t="shared" si="143"/>
        <v/>
      </c>
      <c r="M1860" s="31" t="str">
        <f t="shared" si="144"/>
        <v/>
      </c>
    </row>
    <row r="1861" spans="1:13" x14ac:dyDescent="0.15">
      <c r="A1861" s="163" t="s">
        <v>210</v>
      </c>
      <c r="B1861" s="163">
        <v>42324.644668379631</v>
      </c>
      <c r="C1861" s="164" t="s">
        <v>1842</v>
      </c>
      <c r="D1861" s="164" t="s">
        <v>13</v>
      </c>
      <c r="E1861" s="165">
        <v>400</v>
      </c>
      <c r="F1861" s="166">
        <v>0</v>
      </c>
      <c r="G1861" s="227">
        <f>IF($B$2,IF(ROWS(B$6:$B1861) = 1,$B1861-Start_Date,$B1861-$B1860),"")</f>
        <v>7.1494212897960097E-4</v>
      </c>
      <c r="H1861" s="29">
        <f>IF($B$2,IF(ROWS(B$6:$B1861) = 1,IF(COUNTIFS(R_Schedule_Times,"&lt;"&amp;B1861),INDEX(R_Schedule_Amounts,MATCH(B1861,R_Schedule_Times,1)),Starting_Cash),IF(COUNTIFS(R_Schedule_Times,"&gt;"&amp;B1860,R_Schedule_Times,"&lt;"&amp;B1861),INDEX(R_Schedule_Amounts,MATCH(B1861,R_Schedule_Times,1)),K1860)),"")</f>
        <v>8740</v>
      </c>
      <c r="I1861" s="30">
        <f t="shared" si="140"/>
        <v>400</v>
      </c>
      <c r="J1861" s="31">
        <f t="shared" si="141"/>
        <v>0</v>
      </c>
      <c r="K1861" s="29">
        <f t="shared" si="142"/>
        <v>8340</v>
      </c>
      <c r="L1861" s="31" t="str">
        <f t="shared" si="143"/>
        <v/>
      </c>
      <c r="M1861" s="31" t="str">
        <f t="shared" si="144"/>
        <v/>
      </c>
    </row>
    <row r="1862" spans="1:13" x14ac:dyDescent="0.15">
      <c r="A1862" s="163" t="s">
        <v>210</v>
      </c>
      <c r="B1862" s="163">
        <v>42324.645238449077</v>
      </c>
      <c r="C1862" s="164" t="s">
        <v>1149</v>
      </c>
      <c r="D1862" s="164" t="s">
        <v>13</v>
      </c>
      <c r="E1862" s="165">
        <v>40</v>
      </c>
      <c r="F1862" s="166">
        <v>0</v>
      </c>
      <c r="G1862" s="227">
        <f>IF($B$2,IF(ROWS(B$6:$B1862) = 1,$B1862-Start_Date,$B1862-$B1861),"")</f>
        <v>5.7006944552995265E-4</v>
      </c>
      <c r="H1862" s="29">
        <f>IF($B$2,IF(ROWS(B$6:$B1862) = 1,IF(COUNTIFS(R_Schedule_Times,"&lt;"&amp;B1862),INDEX(R_Schedule_Amounts,MATCH(B1862,R_Schedule_Times,1)),Starting_Cash),IF(COUNTIFS(R_Schedule_Times,"&gt;"&amp;B1861,R_Schedule_Times,"&lt;"&amp;B1862),INDEX(R_Schedule_Amounts,MATCH(B1862,R_Schedule_Times,1)),K1861)),"")</f>
        <v>8340</v>
      </c>
      <c r="I1862" s="30">
        <f t="shared" si="140"/>
        <v>40</v>
      </c>
      <c r="J1862" s="31">
        <f t="shared" si="141"/>
        <v>0</v>
      </c>
      <c r="K1862" s="29">
        <f t="shared" si="142"/>
        <v>8300</v>
      </c>
      <c r="L1862" s="31" t="str">
        <f t="shared" si="143"/>
        <v/>
      </c>
      <c r="M1862" s="31" t="str">
        <f t="shared" si="144"/>
        <v/>
      </c>
    </row>
    <row r="1863" spans="1:13" x14ac:dyDescent="0.15">
      <c r="A1863" s="163" t="s">
        <v>210</v>
      </c>
      <c r="B1863" s="163">
        <v>42324.661609502313</v>
      </c>
      <c r="C1863" s="164" t="s">
        <v>753</v>
      </c>
      <c r="D1863" s="164" t="s">
        <v>13</v>
      </c>
      <c r="E1863" s="165">
        <v>200</v>
      </c>
      <c r="F1863" s="166">
        <v>0</v>
      </c>
      <c r="G1863" s="227">
        <f>IF($B$2,IF(ROWS(B$6:$B1863) = 1,$B1863-Start_Date,$B1863-$B1862),"")</f>
        <v>1.637105323607102E-2</v>
      </c>
      <c r="H1863" s="29">
        <f>IF($B$2,IF(ROWS(B$6:$B1863) = 1,IF(COUNTIFS(R_Schedule_Times,"&lt;"&amp;B1863),INDEX(R_Schedule_Amounts,MATCH(B1863,R_Schedule_Times,1)),Starting_Cash),IF(COUNTIFS(R_Schedule_Times,"&gt;"&amp;B1862,R_Schedule_Times,"&lt;"&amp;B1863),INDEX(R_Schedule_Amounts,MATCH(B1863,R_Schedule_Times,1)),K1862)),"")</f>
        <v>8300</v>
      </c>
      <c r="I1863" s="30">
        <f t="shared" ref="I1863:I1926" si="145">IF($B$2,IF(H1863&gt;=E1863,E1863,0),"")</f>
        <v>200</v>
      </c>
      <c r="J1863" s="31">
        <f t="shared" ref="J1863:J1926" si="146">IF($B$2,IF(H1863&gt;=E1863,F1863,0),"")</f>
        <v>0</v>
      </c>
      <c r="K1863" s="29">
        <f t="shared" ref="K1863:K1926" si="147">IF($B$2,ABS(I1863-H1863),"")</f>
        <v>8100</v>
      </c>
      <c r="L1863" s="31" t="str">
        <f t="shared" ref="L1863:L1926" si="148">IF($B$2,IF(H1863&lt;E1863,"YES",""),"")</f>
        <v/>
      </c>
      <c r="M1863" s="31" t="str">
        <f t="shared" ref="M1863:M1926" si="149">IF($B$2,IF(L1863="YES",F1863,""),"")</f>
        <v/>
      </c>
    </row>
    <row r="1864" spans="1:13" x14ac:dyDescent="0.15">
      <c r="A1864" s="163" t="s">
        <v>210</v>
      </c>
      <c r="B1864" s="163">
        <v>42324.674616585646</v>
      </c>
      <c r="C1864" s="164" t="s">
        <v>1843</v>
      </c>
      <c r="D1864" s="164" t="s">
        <v>13</v>
      </c>
      <c r="E1864" s="165">
        <v>100</v>
      </c>
      <c r="F1864" s="166">
        <v>0</v>
      </c>
      <c r="G1864" s="227">
        <f>IF($B$2,IF(ROWS(B$6:$B1864) = 1,$B1864-Start_Date,$B1864-$B1863),"")</f>
        <v>1.3007083332922775E-2</v>
      </c>
      <c r="H1864" s="29">
        <f>IF($B$2,IF(ROWS(B$6:$B1864) = 1,IF(COUNTIFS(R_Schedule_Times,"&lt;"&amp;B1864),INDEX(R_Schedule_Amounts,MATCH(B1864,R_Schedule_Times,1)),Starting_Cash),IF(COUNTIFS(R_Schedule_Times,"&gt;"&amp;B1863,R_Schedule_Times,"&lt;"&amp;B1864),INDEX(R_Schedule_Amounts,MATCH(B1864,R_Schedule_Times,1)),K1863)),"")</f>
        <v>8100</v>
      </c>
      <c r="I1864" s="30">
        <f t="shared" si="145"/>
        <v>100</v>
      </c>
      <c r="J1864" s="31">
        <f t="shared" si="146"/>
        <v>0</v>
      </c>
      <c r="K1864" s="29">
        <f t="shared" si="147"/>
        <v>8000</v>
      </c>
      <c r="L1864" s="31" t="str">
        <f t="shared" si="148"/>
        <v/>
      </c>
      <c r="M1864" s="31" t="str">
        <f t="shared" si="149"/>
        <v/>
      </c>
    </row>
    <row r="1865" spans="1:13" x14ac:dyDescent="0.15">
      <c r="A1865" s="163" t="s">
        <v>210</v>
      </c>
      <c r="B1865" s="163">
        <v>42324.700545277781</v>
      </c>
      <c r="C1865" s="164" t="s">
        <v>1844</v>
      </c>
      <c r="D1865" s="164" t="s">
        <v>13</v>
      </c>
      <c r="E1865" s="165">
        <v>100</v>
      </c>
      <c r="F1865" s="166">
        <v>0</v>
      </c>
      <c r="G1865" s="227">
        <f>IF($B$2,IF(ROWS(B$6:$B1865) = 1,$B1865-Start_Date,$B1865-$B1864),"")</f>
        <v>2.5928692135494202E-2</v>
      </c>
      <c r="H1865" s="29">
        <f>IF($B$2,IF(ROWS(B$6:$B1865) = 1,IF(COUNTIFS(R_Schedule_Times,"&lt;"&amp;B1865),INDEX(R_Schedule_Amounts,MATCH(B1865,R_Schedule_Times,1)),Starting_Cash),IF(COUNTIFS(R_Schedule_Times,"&gt;"&amp;B1864,R_Schedule_Times,"&lt;"&amp;B1865),INDEX(R_Schedule_Amounts,MATCH(B1865,R_Schedule_Times,1)),K1864)),"")</f>
        <v>8000</v>
      </c>
      <c r="I1865" s="30">
        <f t="shared" si="145"/>
        <v>100</v>
      </c>
      <c r="J1865" s="31">
        <f t="shared" si="146"/>
        <v>0</v>
      </c>
      <c r="K1865" s="29">
        <f t="shared" si="147"/>
        <v>7900</v>
      </c>
      <c r="L1865" s="31" t="str">
        <f t="shared" si="148"/>
        <v/>
      </c>
      <c r="M1865" s="31" t="str">
        <f t="shared" si="149"/>
        <v/>
      </c>
    </row>
    <row r="1866" spans="1:13" x14ac:dyDescent="0.15">
      <c r="A1866" s="163" t="s">
        <v>210</v>
      </c>
      <c r="B1866" s="163">
        <v>42324.722085972222</v>
      </c>
      <c r="C1866" s="164" t="s">
        <v>1845</v>
      </c>
      <c r="D1866" s="164" t="s">
        <v>13</v>
      </c>
      <c r="E1866" s="165">
        <v>120</v>
      </c>
      <c r="F1866" s="166">
        <v>0</v>
      </c>
      <c r="G1866" s="227">
        <f>IF($B$2,IF(ROWS(B$6:$B1866) = 1,$B1866-Start_Date,$B1866-$B1865),"")</f>
        <v>2.1540694440773223E-2</v>
      </c>
      <c r="H1866" s="29">
        <f>IF($B$2,IF(ROWS(B$6:$B1866) = 1,IF(COUNTIFS(R_Schedule_Times,"&lt;"&amp;B1866),INDEX(R_Schedule_Amounts,MATCH(B1866,R_Schedule_Times,1)),Starting_Cash),IF(COUNTIFS(R_Schedule_Times,"&gt;"&amp;B1865,R_Schedule_Times,"&lt;"&amp;B1866),INDEX(R_Schedule_Amounts,MATCH(B1866,R_Schedule_Times,1)),K1865)),"")</f>
        <v>7900</v>
      </c>
      <c r="I1866" s="30">
        <f t="shared" si="145"/>
        <v>120</v>
      </c>
      <c r="J1866" s="31">
        <f t="shared" si="146"/>
        <v>0</v>
      </c>
      <c r="K1866" s="29">
        <f t="shared" si="147"/>
        <v>7780</v>
      </c>
      <c r="L1866" s="31" t="str">
        <f t="shared" si="148"/>
        <v/>
      </c>
      <c r="M1866" s="31" t="str">
        <f t="shared" si="149"/>
        <v/>
      </c>
    </row>
    <row r="1867" spans="1:13" x14ac:dyDescent="0.15">
      <c r="A1867" s="163" t="s">
        <v>210</v>
      </c>
      <c r="B1867" s="163">
        <v>42324.731061493054</v>
      </c>
      <c r="C1867" s="164" t="s">
        <v>1846</v>
      </c>
      <c r="D1867" s="164" t="s">
        <v>13</v>
      </c>
      <c r="E1867" s="165">
        <v>60</v>
      </c>
      <c r="F1867" s="166">
        <v>0</v>
      </c>
      <c r="G1867" s="227">
        <f>IF($B$2,IF(ROWS(B$6:$B1867) = 1,$B1867-Start_Date,$B1867-$B1866),"")</f>
        <v>8.9755208318820223E-3</v>
      </c>
      <c r="H1867" s="29">
        <f>IF($B$2,IF(ROWS(B$6:$B1867) = 1,IF(COUNTIFS(R_Schedule_Times,"&lt;"&amp;B1867),INDEX(R_Schedule_Amounts,MATCH(B1867,R_Schedule_Times,1)),Starting_Cash),IF(COUNTIFS(R_Schedule_Times,"&gt;"&amp;B1866,R_Schedule_Times,"&lt;"&amp;B1867),INDEX(R_Schedule_Amounts,MATCH(B1867,R_Schedule_Times,1)),K1866)),"")</f>
        <v>7780</v>
      </c>
      <c r="I1867" s="30">
        <f t="shared" si="145"/>
        <v>60</v>
      </c>
      <c r="J1867" s="31">
        <f t="shared" si="146"/>
        <v>0</v>
      </c>
      <c r="K1867" s="29">
        <f t="shared" si="147"/>
        <v>7720</v>
      </c>
      <c r="L1867" s="31" t="str">
        <f t="shared" si="148"/>
        <v/>
      </c>
      <c r="M1867" s="31" t="str">
        <f t="shared" si="149"/>
        <v/>
      </c>
    </row>
    <row r="1868" spans="1:13" x14ac:dyDescent="0.15">
      <c r="A1868" s="163" t="s">
        <v>210</v>
      </c>
      <c r="B1868" s="163">
        <v>42324.734217708334</v>
      </c>
      <c r="C1868" s="164" t="s">
        <v>1847</v>
      </c>
      <c r="D1868" s="164" t="s">
        <v>13</v>
      </c>
      <c r="E1868" s="165">
        <v>100</v>
      </c>
      <c r="F1868" s="166">
        <v>0</v>
      </c>
      <c r="G1868" s="227">
        <f>IF($B$2,IF(ROWS(B$6:$B1868) = 1,$B1868-Start_Date,$B1868-$B1867),"")</f>
        <v>3.1562152798869647E-3</v>
      </c>
      <c r="H1868" s="29">
        <f>IF($B$2,IF(ROWS(B$6:$B1868) = 1,IF(COUNTIFS(R_Schedule_Times,"&lt;"&amp;B1868),INDEX(R_Schedule_Amounts,MATCH(B1868,R_Schedule_Times,1)),Starting_Cash),IF(COUNTIFS(R_Schedule_Times,"&gt;"&amp;B1867,R_Schedule_Times,"&lt;"&amp;B1868),INDEX(R_Schedule_Amounts,MATCH(B1868,R_Schedule_Times,1)),K1867)),"")</f>
        <v>7720</v>
      </c>
      <c r="I1868" s="30">
        <f t="shared" si="145"/>
        <v>100</v>
      </c>
      <c r="J1868" s="31">
        <f t="shared" si="146"/>
        <v>0</v>
      </c>
      <c r="K1868" s="29">
        <f t="shared" si="147"/>
        <v>7620</v>
      </c>
      <c r="L1868" s="31" t="str">
        <f t="shared" si="148"/>
        <v/>
      </c>
      <c r="M1868" s="31" t="str">
        <f t="shared" si="149"/>
        <v/>
      </c>
    </row>
    <row r="1869" spans="1:13" x14ac:dyDescent="0.15">
      <c r="A1869" s="163" t="s">
        <v>210</v>
      </c>
      <c r="B1869" s="163">
        <v>42324.756902314817</v>
      </c>
      <c r="C1869" s="164" t="s">
        <v>1848</v>
      </c>
      <c r="D1869" s="164" t="s">
        <v>15</v>
      </c>
      <c r="E1869" s="165">
        <v>100</v>
      </c>
      <c r="F1869" s="166">
        <v>3</v>
      </c>
      <c r="G1869" s="227">
        <f>IF($B$2,IF(ROWS(B$6:$B1869) = 1,$B1869-Start_Date,$B1869-$B1868),"")</f>
        <v>2.2684606483380776E-2</v>
      </c>
      <c r="H1869" s="29">
        <f>IF($B$2,IF(ROWS(B$6:$B1869) = 1,IF(COUNTIFS(R_Schedule_Times,"&lt;"&amp;B1869),INDEX(R_Schedule_Amounts,MATCH(B1869,R_Schedule_Times,1)),Starting_Cash),IF(COUNTIFS(R_Schedule_Times,"&gt;"&amp;B1868,R_Schedule_Times,"&lt;"&amp;B1869),INDEX(R_Schedule_Amounts,MATCH(B1869,R_Schedule_Times,1)),K1868)),"")</f>
        <v>7620</v>
      </c>
      <c r="I1869" s="30">
        <f t="shared" si="145"/>
        <v>100</v>
      </c>
      <c r="J1869" s="31">
        <f t="shared" si="146"/>
        <v>3</v>
      </c>
      <c r="K1869" s="29">
        <f t="shared" si="147"/>
        <v>7520</v>
      </c>
      <c r="L1869" s="31" t="str">
        <f t="shared" si="148"/>
        <v/>
      </c>
      <c r="M1869" s="31" t="str">
        <f t="shared" si="149"/>
        <v/>
      </c>
    </row>
    <row r="1870" spans="1:13" x14ac:dyDescent="0.15">
      <c r="A1870" s="163" t="s">
        <v>210</v>
      </c>
      <c r="B1870" s="163">
        <v>42324.763837708335</v>
      </c>
      <c r="C1870" s="164" t="s">
        <v>441</v>
      </c>
      <c r="D1870" s="164" t="s">
        <v>13</v>
      </c>
      <c r="E1870" s="165">
        <v>100</v>
      </c>
      <c r="F1870" s="166">
        <v>0</v>
      </c>
      <c r="G1870" s="227">
        <f>IF($B$2,IF(ROWS(B$6:$B1870) = 1,$B1870-Start_Date,$B1870-$B1869),"")</f>
        <v>6.9353935177787207E-3</v>
      </c>
      <c r="H1870" s="29">
        <f>IF($B$2,IF(ROWS(B$6:$B1870) = 1,IF(COUNTIFS(R_Schedule_Times,"&lt;"&amp;B1870),INDEX(R_Schedule_Amounts,MATCH(B1870,R_Schedule_Times,1)),Starting_Cash),IF(COUNTIFS(R_Schedule_Times,"&gt;"&amp;B1869,R_Schedule_Times,"&lt;"&amp;B1870),INDEX(R_Schedule_Amounts,MATCH(B1870,R_Schedule_Times,1)),K1869)),"")</f>
        <v>7520</v>
      </c>
      <c r="I1870" s="30">
        <f t="shared" si="145"/>
        <v>100</v>
      </c>
      <c r="J1870" s="31">
        <f t="shared" si="146"/>
        <v>0</v>
      </c>
      <c r="K1870" s="29">
        <f t="shared" si="147"/>
        <v>7420</v>
      </c>
      <c r="L1870" s="31" t="str">
        <f t="shared" si="148"/>
        <v/>
      </c>
      <c r="M1870" s="31" t="str">
        <f t="shared" si="149"/>
        <v/>
      </c>
    </row>
    <row r="1871" spans="1:13" x14ac:dyDescent="0.15">
      <c r="A1871" s="163" t="s">
        <v>210</v>
      </c>
      <c r="B1871" s="163">
        <v>42324.799375879629</v>
      </c>
      <c r="C1871" s="164" t="s">
        <v>14</v>
      </c>
      <c r="D1871" s="164" t="s">
        <v>13</v>
      </c>
      <c r="E1871" s="165">
        <v>80</v>
      </c>
      <c r="F1871" s="166">
        <v>3.5</v>
      </c>
      <c r="G1871" s="227">
        <f>IF($B$2,IF(ROWS(B$6:$B1871) = 1,$B1871-Start_Date,$B1871-$B1870),"")</f>
        <v>3.5538171294319909E-2</v>
      </c>
      <c r="H1871" s="29">
        <f>IF($B$2,IF(ROWS(B$6:$B1871) = 1,IF(COUNTIFS(R_Schedule_Times,"&lt;"&amp;B1871),INDEX(R_Schedule_Amounts,MATCH(B1871,R_Schedule_Times,1)),Starting_Cash),IF(COUNTIFS(R_Schedule_Times,"&gt;"&amp;B1870,R_Schedule_Times,"&lt;"&amp;B1871),INDEX(R_Schedule_Amounts,MATCH(B1871,R_Schedule_Times,1)),K1870)),"")</f>
        <v>7420</v>
      </c>
      <c r="I1871" s="30">
        <f t="shared" si="145"/>
        <v>80</v>
      </c>
      <c r="J1871" s="31">
        <f t="shared" si="146"/>
        <v>3.5</v>
      </c>
      <c r="K1871" s="29">
        <f t="shared" si="147"/>
        <v>7340</v>
      </c>
      <c r="L1871" s="31" t="str">
        <f t="shared" si="148"/>
        <v/>
      </c>
      <c r="M1871" s="31" t="str">
        <f t="shared" si="149"/>
        <v/>
      </c>
    </row>
    <row r="1872" spans="1:13" x14ac:dyDescent="0.15">
      <c r="A1872" s="163" t="s">
        <v>210</v>
      </c>
      <c r="B1872" s="163">
        <v>42325.054327928243</v>
      </c>
      <c r="C1872" s="164" t="s">
        <v>14</v>
      </c>
      <c r="D1872" s="164" t="s">
        <v>13</v>
      </c>
      <c r="E1872" s="165">
        <v>140</v>
      </c>
      <c r="F1872" s="166">
        <v>3.5</v>
      </c>
      <c r="G1872" s="227">
        <f>IF($B$2,IF(ROWS(B$6:$B1872) = 1,$B1872-Start_Date,$B1872-$B1871),"")</f>
        <v>0.25495204861363163</v>
      </c>
      <c r="H1872" s="29">
        <f>IF($B$2,IF(ROWS(B$6:$B1872) = 1,IF(COUNTIFS(R_Schedule_Times,"&lt;"&amp;B1872),INDEX(R_Schedule_Amounts,MATCH(B1872,R_Schedule_Times,1)),Starting_Cash),IF(COUNTIFS(R_Schedule_Times,"&gt;"&amp;B1871,R_Schedule_Times,"&lt;"&amp;B1872),INDEX(R_Schedule_Amounts,MATCH(B1872,R_Schedule_Times,1)),K1871)),"")</f>
        <v>7340</v>
      </c>
      <c r="I1872" s="30">
        <f t="shared" si="145"/>
        <v>140</v>
      </c>
      <c r="J1872" s="31">
        <f t="shared" si="146"/>
        <v>3.5</v>
      </c>
      <c r="K1872" s="29">
        <f t="shared" si="147"/>
        <v>7200</v>
      </c>
      <c r="L1872" s="31" t="str">
        <f t="shared" si="148"/>
        <v/>
      </c>
      <c r="M1872" s="31" t="str">
        <f t="shared" si="149"/>
        <v/>
      </c>
    </row>
    <row r="1873" spans="1:13" x14ac:dyDescent="0.15">
      <c r="A1873" s="163" t="s">
        <v>210</v>
      </c>
      <c r="B1873" s="163">
        <v>42325.21152636574</v>
      </c>
      <c r="C1873" s="164" t="s">
        <v>1849</v>
      </c>
      <c r="D1873" s="164" t="s">
        <v>13</v>
      </c>
      <c r="E1873" s="165">
        <v>80</v>
      </c>
      <c r="F1873" s="166">
        <v>0</v>
      </c>
      <c r="G1873" s="227">
        <f>IF($B$2,IF(ROWS(B$6:$B1873) = 1,$B1873-Start_Date,$B1873-$B1872),"")</f>
        <v>0.15719843749684514</v>
      </c>
      <c r="H1873" s="29">
        <f>IF($B$2,IF(ROWS(B$6:$B1873) = 1,IF(COUNTIFS(R_Schedule_Times,"&lt;"&amp;B1873),INDEX(R_Schedule_Amounts,MATCH(B1873,R_Schedule_Times,1)),Starting_Cash),IF(COUNTIFS(R_Schedule_Times,"&gt;"&amp;B1872,R_Schedule_Times,"&lt;"&amp;B1873),INDEX(R_Schedule_Amounts,MATCH(B1873,R_Schedule_Times,1)),K1872)),"")</f>
        <v>7200</v>
      </c>
      <c r="I1873" s="30">
        <f t="shared" si="145"/>
        <v>80</v>
      </c>
      <c r="J1873" s="31">
        <f t="shared" si="146"/>
        <v>0</v>
      </c>
      <c r="K1873" s="29">
        <f t="shared" si="147"/>
        <v>7120</v>
      </c>
      <c r="L1873" s="31" t="str">
        <f t="shared" si="148"/>
        <v/>
      </c>
      <c r="M1873" s="31" t="str">
        <f t="shared" si="149"/>
        <v/>
      </c>
    </row>
    <row r="1874" spans="1:13" x14ac:dyDescent="0.15">
      <c r="A1874" s="163" t="s">
        <v>210</v>
      </c>
      <c r="B1874" s="163">
        <v>42325.29476070602</v>
      </c>
      <c r="C1874" s="164" t="s">
        <v>1850</v>
      </c>
      <c r="D1874" s="164" t="s">
        <v>13</v>
      </c>
      <c r="E1874" s="165">
        <v>100</v>
      </c>
      <c r="F1874" s="166">
        <v>0</v>
      </c>
      <c r="G1874" s="227">
        <f>IF($B$2,IF(ROWS(B$6:$B1874) = 1,$B1874-Start_Date,$B1874-$B1873),"")</f>
        <v>8.3234340279886965E-2</v>
      </c>
      <c r="H1874" s="29">
        <f>IF($B$2,IF(ROWS(B$6:$B1874) = 1,IF(COUNTIFS(R_Schedule_Times,"&lt;"&amp;B1874),INDEX(R_Schedule_Amounts,MATCH(B1874,R_Schedule_Times,1)),Starting_Cash),IF(COUNTIFS(R_Schedule_Times,"&gt;"&amp;B1873,R_Schedule_Times,"&lt;"&amp;B1874),INDEX(R_Schedule_Amounts,MATCH(B1874,R_Schedule_Times,1)),K1873)),"")</f>
        <v>7120</v>
      </c>
      <c r="I1874" s="30">
        <f t="shared" si="145"/>
        <v>100</v>
      </c>
      <c r="J1874" s="31">
        <f t="shared" si="146"/>
        <v>0</v>
      </c>
      <c r="K1874" s="29">
        <f t="shared" si="147"/>
        <v>7020</v>
      </c>
      <c r="L1874" s="31" t="str">
        <f t="shared" si="148"/>
        <v/>
      </c>
      <c r="M1874" s="31" t="str">
        <f t="shared" si="149"/>
        <v/>
      </c>
    </row>
    <row r="1875" spans="1:13" x14ac:dyDescent="0.15">
      <c r="A1875" s="163" t="s">
        <v>210</v>
      </c>
      <c r="B1875" s="163">
        <v>42325.309507280093</v>
      </c>
      <c r="C1875" s="164" t="s">
        <v>165</v>
      </c>
      <c r="D1875" s="164" t="s">
        <v>13</v>
      </c>
      <c r="E1875" s="165">
        <v>100</v>
      </c>
      <c r="F1875" s="166">
        <v>0</v>
      </c>
      <c r="G1875" s="227">
        <f>IF($B$2,IF(ROWS(B$6:$B1875) = 1,$B1875-Start_Date,$B1875-$B1874),"")</f>
        <v>1.4746574073797092E-2</v>
      </c>
      <c r="H1875" s="29">
        <f>IF($B$2,IF(ROWS(B$6:$B1875) = 1,IF(COUNTIFS(R_Schedule_Times,"&lt;"&amp;B1875),INDEX(R_Schedule_Amounts,MATCH(B1875,R_Schedule_Times,1)),Starting_Cash),IF(COUNTIFS(R_Schedule_Times,"&gt;"&amp;B1874,R_Schedule_Times,"&lt;"&amp;B1875),INDEX(R_Schedule_Amounts,MATCH(B1875,R_Schedule_Times,1)),K1874)),"")</f>
        <v>7020</v>
      </c>
      <c r="I1875" s="30">
        <f t="shared" si="145"/>
        <v>100</v>
      </c>
      <c r="J1875" s="31">
        <f t="shared" si="146"/>
        <v>0</v>
      </c>
      <c r="K1875" s="29">
        <f t="shared" si="147"/>
        <v>6920</v>
      </c>
      <c r="L1875" s="31" t="str">
        <f t="shared" si="148"/>
        <v/>
      </c>
      <c r="M1875" s="31" t="str">
        <f t="shared" si="149"/>
        <v/>
      </c>
    </row>
    <row r="1876" spans="1:13" x14ac:dyDescent="0.15">
      <c r="A1876" s="163" t="s">
        <v>210</v>
      </c>
      <c r="B1876" s="163">
        <v>42325.310342152778</v>
      </c>
      <c r="C1876" s="164" t="s">
        <v>1851</v>
      </c>
      <c r="D1876" s="164" t="s">
        <v>13</v>
      </c>
      <c r="E1876" s="165">
        <v>100</v>
      </c>
      <c r="F1876" s="166">
        <v>0</v>
      </c>
      <c r="G1876" s="227">
        <f>IF($B$2,IF(ROWS(B$6:$B1876) = 1,$B1876-Start_Date,$B1876-$B1875),"")</f>
        <v>8.3487268420867622E-4</v>
      </c>
      <c r="H1876" s="29">
        <f>IF($B$2,IF(ROWS(B$6:$B1876) = 1,IF(COUNTIFS(R_Schedule_Times,"&lt;"&amp;B1876),INDEX(R_Schedule_Amounts,MATCH(B1876,R_Schedule_Times,1)),Starting_Cash),IF(COUNTIFS(R_Schedule_Times,"&gt;"&amp;B1875,R_Schedule_Times,"&lt;"&amp;B1876),INDEX(R_Schedule_Amounts,MATCH(B1876,R_Schedule_Times,1)),K1875)),"")</f>
        <v>6920</v>
      </c>
      <c r="I1876" s="30">
        <f t="shared" si="145"/>
        <v>100</v>
      </c>
      <c r="J1876" s="31">
        <f t="shared" si="146"/>
        <v>0</v>
      </c>
      <c r="K1876" s="29">
        <f t="shared" si="147"/>
        <v>6820</v>
      </c>
      <c r="L1876" s="31" t="str">
        <f t="shared" si="148"/>
        <v/>
      </c>
      <c r="M1876" s="31" t="str">
        <f t="shared" si="149"/>
        <v/>
      </c>
    </row>
    <row r="1877" spans="1:13" x14ac:dyDescent="0.15">
      <c r="A1877" s="163" t="s">
        <v>210</v>
      </c>
      <c r="B1877" s="163">
        <v>42325.318849895833</v>
      </c>
      <c r="C1877" s="164" t="s">
        <v>1184</v>
      </c>
      <c r="D1877" s="164" t="s">
        <v>13</v>
      </c>
      <c r="E1877" s="165">
        <v>40</v>
      </c>
      <c r="F1877" s="166">
        <v>0</v>
      </c>
      <c r="G1877" s="227">
        <f>IF($B$2,IF(ROWS(B$6:$B1877) = 1,$B1877-Start_Date,$B1877-$B1876),"")</f>
        <v>8.5077430558158085E-3</v>
      </c>
      <c r="H1877" s="29">
        <f>IF($B$2,IF(ROWS(B$6:$B1877) = 1,IF(COUNTIFS(R_Schedule_Times,"&lt;"&amp;B1877),INDEX(R_Schedule_Amounts,MATCH(B1877,R_Schedule_Times,1)),Starting_Cash),IF(COUNTIFS(R_Schedule_Times,"&gt;"&amp;B1876,R_Schedule_Times,"&lt;"&amp;B1877),INDEX(R_Schedule_Amounts,MATCH(B1877,R_Schedule_Times,1)),K1876)),"")</f>
        <v>6820</v>
      </c>
      <c r="I1877" s="30">
        <f t="shared" si="145"/>
        <v>40</v>
      </c>
      <c r="J1877" s="31">
        <f t="shared" si="146"/>
        <v>0</v>
      </c>
      <c r="K1877" s="29">
        <f t="shared" si="147"/>
        <v>6780</v>
      </c>
      <c r="L1877" s="31" t="str">
        <f t="shared" si="148"/>
        <v/>
      </c>
      <c r="M1877" s="31" t="str">
        <f t="shared" si="149"/>
        <v/>
      </c>
    </row>
    <row r="1878" spans="1:13" x14ac:dyDescent="0.15">
      <c r="A1878" s="163" t="s">
        <v>210</v>
      </c>
      <c r="B1878" s="163">
        <v>42325.320431319444</v>
      </c>
      <c r="C1878" s="164" t="s">
        <v>1852</v>
      </c>
      <c r="D1878" s="164" t="s">
        <v>13</v>
      </c>
      <c r="E1878" s="165">
        <v>120</v>
      </c>
      <c r="F1878" s="166">
        <v>0</v>
      </c>
      <c r="G1878" s="227">
        <f>IF($B$2,IF(ROWS(B$6:$B1878) = 1,$B1878-Start_Date,$B1878-$B1877),"")</f>
        <v>1.581423610332422E-3</v>
      </c>
      <c r="H1878" s="29">
        <f>IF($B$2,IF(ROWS(B$6:$B1878) = 1,IF(COUNTIFS(R_Schedule_Times,"&lt;"&amp;B1878),INDEX(R_Schedule_Amounts,MATCH(B1878,R_Schedule_Times,1)),Starting_Cash),IF(COUNTIFS(R_Schedule_Times,"&gt;"&amp;B1877,R_Schedule_Times,"&lt;"&amp;B1878),INDEX(R_Schedule_Amounts,MATCH(B1878,R_Schedule_Times,1)),K1877)),"")</f>
        <v>6780</v>
      </c>
      <c r="I1878" s="30">
        <f t="shared" si="145"/>
        <v>120</v>
      </c>
      <c r="J1878" s="31">
        <f t="shared" si="146"/>
        <v>0</v>
      </c>
      <c r="K1878" s="29">
        <f t="shared" si="147"/>
        <v>6660</v>
      </c>
      <c r="L1878" s="31" t="str">
        <f t="shared" si="148"/>
        <v/>
      </c>
      <c r="M1878" s="31" t="str">
        <f t="shared" si="149"/>
        <v/>
      </c>
    </row>
    <row r="1879" spans="1:13" x14ac:dyDescent="0.15">
      <c r="A1879" s="163" t="s">
        <v>210</v>
      </c>
      <c r="B1879" s="163">
        <v>42325.323677488428</v>
      </c>
      <c r="C1879" s="164" t="s">
        <v>14</v>
      </c>
      <c r="D1879" s="164" t="s">
        <v>13</v>
      </c>
      <c r="E1879" s="165">
        <v>100</v>
      </c>
      <c r="F1879" s="166">
        <v>3.5</v>
      </c>
      <c r="G1879" s="227">
        <f>IF($B$2,IF(ROWS(B$6:$B1879) = 1,$B1879-Start_Date,$B1879-$B1878),"")</f>
        <v>3.2461689843330532E-3</v>
      </c>
      <c r="H1879" s="29">
        <f>IF($B$2,IF(ROWS(B$6:$B1879) = 1,IF(COUNTIFS(R_Schedule_Times,"&lt;"&amp;B1879),INDEX(R_Schedule_Amounts,MATCH(B1879,R_Schedule_Times,1)),Starting_Cash),IF(COUNTIFS(R_Schedule_Times,"&gt;"&amp;B1878,R_Schedule_Times,"&lt;"&amp;B1879),INDEX(R_Schedule_Amounts,MATCH(B1879,R_Schedule_Times,1)),K1878)),"")</f>
        <v>6660</v>
      </c>
      <c r="I1879" s="30">
        <f t="shared" si="145"/>
        <v>100</v>
      </c>
      <c r="J1879" s="31">
        <f t="shared" si="146"/>
        <v>3.5</v>
      </c>
      <c r="K1879" s="29">
        <f t="shared" si="147"/>
        <v>6560</v>
      </c>
      <c r="L1879" s="31" t="str">
        <f t="shared" si="148"/>
        <v/>
      </c>
      <c r="M1879" s="31" t="str">
        <f t="shared" si="149"/>
        <v/>
      </c>
    </row>
    <row r="1880" spans="1:13" x14ac:dyDescent="0.15">
      <c r="A1880" s="163" t="s">
        <v>210</v>
      </c>
      <c r="B1880" s="163">
        <v>42325.337300324078</v>
      </c>
      <c r="C1880" s="164" t="s">
        <v>1853</v>
      </c>
      <c r="D1880" s="164" t="s">
        <v>13</v>
      </c>
      <c r="E1880" s="165">
        <v>60</v>
      </c>
      <c r="F1880" s="166">
        <v>0</v>
      </c>
      <c r="G1880" s="227">
        <f>IF($B$2,IF(ROWS(B$6:$B1880) = 1,$B1880-Start_Date,$B1880-$B1879),"")</f>
        <v>1.3622835649584886E-2</v>
      </c>
      <c r="H1880" s="29">
        <f>IF($B$2,IF(ROWS(B$6:$B1880) = 1,IF(COUNTIFS(R_Schedule_Times,"&lt;"&amp;B1880),INDEX(R_Schedule_Amounts,MATCH(B1880,R_Schedule_Times,1)),Starting_Cash),IF(COUNTIFS(R_Schedule_Times,"&gt;"&amp;B1879,R_Schedule_Times,"&lt;"&amp;B1880),INDEX(R_Schedule_Amounts,MATCH(B1880,R_Schedule_Times,1)),K1879)),"")</f>
        <v>6560</v>
      </c>
      <c r="I1880" s="30">
        <f t="shared" si="145"/>
        <v>60</v>
      </c>
      <c r="J1880" s="31">
        <f t="shared" si="146"/>
        <v>0</v>
      </c>
      <c r="K1880" s="29">
        <f t="shared" si="147"/>
        <v>6500</v>
      </c>
      <c r="L1880" s="31" t="str">
        <f t="shared" si="148"/>
        <v/>
      </c>
      <c r="M1880" s="31" t="str">
        <f t="shared" si="149"/>
        <v/>
      </c>
    </row>
    <row r="1881" spans="1:13" x14ac:dyDescent="0.15">
      <c r="A1881" s="163" t="s">
        <v>210</v>
      </c>
      <c r="B1881" s="163">
        <v>42325.348031979163</v>
      </c>
      <c r="C1881" s="164" t="s">
        <v>1854</v>
      </c>
      <c r="D1881" s="164" t="s">
        <v>13</v>
      </c>
      <c r="E1881" s="165">
        <v>20</v>
      </c>
      <c r="F1881" s="166">
        <v>0</v>
      </c>
      <c r="G1881" s="227">
        <f>IF($B$2,IF(ROWS(B$6:$B1881) = 1,$B1881-Start_Date,$B1881-$B1880),"")</f>
        <v>1.0731655085692182E-2</v>
      </c>
      <c r="H1881" s="29">
        <f>IF($B$2,IF(ROWS(B$6:$B1881) = 1,IF(COUNTIFS(R_Schedule_Times,"&lt;"&amp;B1881),INDEX(R_Schedule_Amounts,MATCH(B1881,R_Schedule_Times,1)),Starting_Cash),IF(COUNTIFS(R_Schedule_Times,"&gt;"&amp;B1880,R_Schedule_Times,"&lt;"&amp;B1881),INDEX(R_Schedule_Amounts,MATCH(B1881,R_Schedule_Times,1)),K1880)),"")</f>
        <v>6500</v>
      </c>
      <c r="I1881" s="30">
        <f t="shared" si="145"/>
        <v>20</v>
      </c>
      <c r="J1881" s="31">
        <f t="shared" si="146"/>
        <v>0</v>
      </c>
      <c r="K1881" s="29">
        <f t="shared" si="147"/>
        <v>6480</v>
      </c>
      <c r="L1881" s="31" t="str">
        <f t="shared" si="148"/>
        <v/>
      </c>
      <c r="M1881" s="31" t="str">
        <f t="shared" si="149"/>
        <v/>
      </c>
    </row>
    <row r="1882" spans="1:13" x14ac:dyDescent="0.15">
      <c r="A1882" s="163" t="s">
        <v>210</v>
      </c>
      <c r="B1882" s="163">
        <v>42325.355825185186</v>
      </c>
      <c r="C1882" s="164" t="s">
        <v>1855</v>
      </c>
      <c r="D1882" s="164" t="s">
        <v>13</v>
      </c>
      <c r="E1882" s="165">
        <v>100</v>
      </c>
      <c r="F1882" s="166">
        <v>0</v>
      </c>
      <c r="G1882" s="227">
        <f>IF($B$2,IF(ROWS(B$6:$B1882) = 1,$B1882-Start_Date,$B1882-$B1881),"")</f>
        <v>7.7932060230523348E-3</v>
      </c>
      <c r="H1882" s="29">
        <f>IF($B$2,IF(ROWS(B$6:$B1882) = 1,IF(COUNTIFS(R_Schedule_Times,"&lt;"&amp;B1882),INDEX(R_Schedule_Amounts,MATCH(B1882,R_Schedule_Times,1)),Starting_Cash),IF(COUNTIFS(R_Schedule_Times,"&gt;"&amp;B1881,R_Schedule_Times,"&lt;"&amp;B1882),INDEX(R_Schedule_Amounts,MATCH(B1882,R_Schedule_Times,1)),K1881)),"")</f>
        <v>6480</v>
      </c>
      <c r="I1882" s="30">
        <f t="shared" si="145"/>
        <v>100</v>
      </c>
      <c r="J1882" s="31">
        <f t="shared" si="146"/>
        <v>0</v>
      </c>
      <c r="K1882" s="29">
        <f t="shared" si="147"/>
        <v>6380</v>
      </c>
      <c r="L1882" s="31" t="str">
        <f t="shared" si="148"/>
        <v/>
      </c>
      <c r="M1882" s="31" t="str">
        <f t="shared" si="149"/>
        <v/>
      </c>
    </row>
    <row r="1883" spans="1:13" x14ac:dyDescent="0.15">
      <c r="A1883" s="163" t="s">
        <v>210</v>
      </c>
      <c r="B1883" s="163">
        <v>42325.372362106478</v>
      </c>
      <c r="C1883" s="164" t="s">
        <v>1856</v>
      </c>
      <c r="D1883" s="164" t="s">
        <v>13</v>
      </c>
      <c r="E1883" s="165">
        <v>40</v>
      </c>
      <c r="F1883" s="166">
        <v>0</v>
      </c>
      <c r="G1883" s="227">
        <f>IF($B$2,IF(ROWS(B$6:$B1883) = 1,$B1883-Start_Date,$B1883-$B1882),"")</f>
        <v>1.6536921291844919E-2</v>
      </c>
      <c r="H1883" s="29">
        <f>IF($B$2,IF(ROWS(B$6:$B1883) = 1,IF(COUNTIFS(R_Schedule_Times,"&lt;"&amp;B1883),INDEX(R_Schedule_Amounts,MATCH(B1883,R_Schedule_Times,1)),Starting_Cash),IF(COUNTIFS(R_Schedule_Times,"&gt;"&amp;B1882,R_Schedule_Times,"&lt;"&amp;B1883),INDEX(R_Schedule_Amounts,MATCH(B1883,R_Schedule_Times,1)),K1882)),"")</f>
        <v>6380</v>
      </c>
      <c r="I1883" s="30">
        <f t="shared" si="145"/>
        <v>40</v>
      </c>
      <c r="J1883" s="31">
        <f t="shared" si="146"/>
        <v>0</v>
      </c>
      <c r="K1883" s="29">
        <f t="shared" si="147"/>
        <v>6340</v>
      </c>
      <c r="L1883" s="31" t="str">
        <f t="shared" si="148"/>
        <v/>
      </c>
      <c r="M1883" s="31" t="str">
        <f t="shared" si="149"/>
        <v/>
      </c>
    </row>
    <row r="1884" spans="1:13" x14ac:dyDescent="0.15">
      <c r="A1884" s="163" t="s">
        <v>210</v>
      </c>
      <c r="B1884" s="163">
        <v>42325.373801979164</v>
      </c>
      <c r="C1884" s="164" t="s">
        <v>862</v>
      </c>
      <c r="D1884" s="164" t="s">
        <v>13</v>
      </c>
      <c r="E1884" s="165">
        <v>100</v>
      </c>
      <c r="F1884" s="166">
        <v>0</v>
      </c>
      <c r="G1884" s="227">
        <f>IF($B$2,IF(ROWS(B$6:$B1884) = 1,$B1884-Start_Date,$B1884-$B1883),"")</f>
        <v>1.4398726852959953E-3</v>
      </c>
      <c r="H1884" s="29">
        <f>IF($B$2,IF(ROWS(B$6:$B1884) = 1,IF(COUNTIFS(R_Schedule_Times,"&lt;"&amp;B1884),INDEX(R_Schedule_Amounts,MATCH(B1884,R_Schedule_Times,1)),Starting_Cash),IF(COUNTIFS(R_Schedule_Times,"&gt;"&amp;B1883,R_Schedule_Times,"&lt;"&amp;B1884),INDEX(R_Schedule_Amounts,MATCH(B1884,R_Schedule_Times,1)),K1883)),"")</f>
        <v>6340</v>
      </c>
      <c r="I1884" s="30">
        <f t="shared" si="145"/>
        <v>100</v>
      </c>
      <c r="J1884" s="31">
        <f t="shared" si="146"/>
        <v>0</v>
      </c>
      <c r="K1884" s="29">
        <f t="shared" si="147"/>
        <v>6240</v>
      </c>
      <c r="L1884" s="31" t="str">
        <f t="shared" si="148"/>
        <v/>
      </c>
      <c r="M1884" s="31" t="str">
        <f t="shared" si="149"/>
        <v/>
      </c>
    </row>
    <row r="1885" spans="1:13" x14ac:dyDescent="0.15">
      <c r="A1885" s="163" t="s">
        <v>210</v>
      </c>
      <c r="B1885" s="163">
        <v>42325.390905208333</v>
      </c>
      <c r="C1885" s="164" t="s">
        <v>1857</v>
      </c>
      <c r="D1885" s="164" t="s">
        <v>13</v>
      </c>
      <c r="E1885" s="165">
        <v>100</v>
      </c>
      <c r="F1885" s="166">
        <v>0</v>
      </c>
      <c r="G1885" s="227">
        <f>IF($B$2,IF(ROWS(B$6:$B1885) = 1,$B1885-Start_Date,$B1885-$B1884),"")</f>
        <v>1.7103229169151746E-2</v>
      </c>
      <c r="H1885" s="29">
        <f>IF($B$2,IF(ROWS(B$6:$B1885) = 1,IF(COUNTIFS(R_Schedule_Times,"&lt;"&amp;B1885),INDEX(R_Schedule_Amounts,MATCH(B1885,R_Schedule_Times,1)),Starting_Cash),IF(COUNTIFS(R_Schedule_Times,"&gt;"&amp;B1884,R_Schedule_Times,"&lt;"&amp;B1885),INDEX(R_Schedule_Amounts,MATCH(B1885,R_Schedule_Times,1)),K1884)),"")</f>
        <v>6240</v>
      </c>
      <c r="I1885" s="30">
        <f t="shared" si="145"/>
        <v>100</v>
      </c>
      <c r="J1885" s="31">
        <f t="shared" si="146"/>
        <v>0</v>
      </c>
      <c r="K1885" s="29">
        <f t="shared" si="147"/>
        <v>6140</v>
      </c>
      <c r="L1885" s="31" t="str">
        <f t="shared" si="148"/>
        <v/>
      </c>
      <c r="M1885" s="31" t="str">
        <f t="shared" si="149"/>
        <v/>
      </c>
    </row>
    <row r="1886" spans="1:13" x14ac:dyDescent="0.15">
      <c r="A1886" s="163" t="s">
        <v>210</v>
      </c>
      <c r="B1886" s="163">
        <v>42325.404131296295</v>
      </c>
      <c r="C1886" s="164" t="s">
        <v>1858</v>
      </c>
      <c r="D1886" s="164" t="s">
        <v>13</v>
      </c>
      <c r="E1886" s="165">
        <v>100</v>
      </c>
      <c r="F1886" s="166">
        <v>0</v>
      </c>
      <c r="G1886" s="227">
        <f>IF($B$2,IF(ROWS(B$6:$B1886) = 1,$B1886-Start_Date,$B1886-$B1885),"")</f>
        <v>1.3226087961811572E-2</v>
      </c>
      <c r="H1886" s="29">
        <f>IF($B$2,IF(ROWS(B$6:$B1886) = 1,IF(COUNTIFS(R_Schedule_Times,"&lt;"&amp;B1886),INDEX(R_Schedule_Amounts,MATCH(B1886,R_Schedule_Times,1)),Starting_Cash),IF(COUNTIFS(R_Schedule_Times,"&gt;"&amp;B1885,R_Schedule_Times,"&lt;"&amp;B1886),INDEX(R_Schedule_Amounts,MATCH(B1886,R_Schedule_Times,1)),K1885)),"")</f>
        <v>6140</v>
      </c>
      <c r="I1886" s="30">
        <f t="shared" si="145"/>
        <v>100</v>
      </c>
      <c r="J1886" s="31">
        <f t="shared" si="146"/>
        <v>0</v>
      </c>
      <c r="K1886" s="29">
        <f t="shared" si="147"/>
        <v>6040</v>
      </c>
      <c r="L1886" s="31" t="str">
        <f t="shared" si="148"/>
        <v/>
      </c>
      <c r="M1886" s="31" t="str">
        <f t="shared" si="149"/>
        <v/>
      </c>
    </row>
    <row r="1887" spans="1:13" x14ac:dyDescent="0.15">
      <c r="A1887" s="163" t="s">
        <v>210</v>
      </c>
      <c r="B1887" s="163">
        <v>42325.417683240739</v>
      </c>
      <c r="C1887" s="164" t="s">
        <v>1859</v>
      </c>
      <c r="D1887" s="164" t="s">
        <v>13</v>
      </c>
      <c r="E1887" s="165">
        <v>60</v>
      </c>
      <c r="F1887" s="166">
        <v>0</v>
      </c>
      <c r="G1887" s="227">
        <f>IF($B$2,IF(ROWS(B$6:$B1887) = 1,$B1887-Start_Date,$B1887-$B1886),"")</f>
        <v>1.3551944444770925E-2</v>
      </c>
      <c r="H1887" s="29">
        <f>IF($B$2,IF(ROWS(B$6:$B1887) = 1,IF(COUNTIFS(R_Schedule_Times,"&lt;"&amp;B1887),INDEX(R_Schedule_Amounts,MATCH(B1887,R_Schedule_Times,1)),Starting_Cash),IF(COUNTIFS(R_Schedule_Times,"&gt;"&amp;B1886,R_Schedule_Times,"&lt;"&amp;B1887),INDEX(R_Schedule_Amounts,MATCH(B1887,R_Schedule_Times,1)),K1886)),"")</f>
        <v>6040</v>
      </c>
      <c r="I1887" s="30">
        <f t="shared" si="145"/>
        <v>60</v>
      </c>
      <c r="J1887" s="31">
        <f t="shared" si="146"/>
        <v>0</v>
      </c>
      <c r="K1887" s="29">
        <f t="shared" si="147"/>
        <v>5980</v>
      </c>
      <c r="L1887" s="31" t="str">
        <f t="shared" si="148"/>
        <v/>
      </c>
      <c r="M1887" s="31" t="str">
        <f t="shared" si="149"/>
        <v/>
      </c>
    </row>
    <row r="1888" spans="1:13" x14ac:dyDescent="0.15">
      <c r="A1888" s="163" t="s">
        <v>210</v>
      </c>
      <c r="B1888" s="163">
        <v>42325.427085439813</v>
      </c>
      <c r="C1888" s="164" t="s">
        <v>1860</v>
      </c>
      <c r="D1888" s="164" t="s">
        <v>13</v>
      </c>
      <c r="E1888" s="165">
        <v>40</v>
      </c>
      <c r="F1888" s="166">
        <v>0</v>
      </c>
      <c r="G1888" s="227">
        <f>IF($B$2,IF(ROWS(B$6:$B1888) = 1,$B1888-Start_Date,$B1888-$B1887),"")</f>
        <v>9.4021990735200234E-3</v>
      </c>
      <c r="H1888" s="29">
        <f>IF($B$2,IF(ROWS(B$6:$B1888) = 1,IF(COUNTIFS(R_Schedule_Times,"&lt;"&amp;B1888),INDEX(R_Schedule_Amounts,MATCH(B1888,R_Schedule_Times,1)),Starting_Cash),IF(COUNTIFS(R_Schedule_Times,"&gt;"&amp;B1887,R_Schedule_Times,"&lt;"&amp;B1888),INDEX(R_Schedule_Amounts,MATCH(B1888,R_Schedule_Times,1)),K1887)),"")</f>
        <v>5980</v>
      </c>
      <c r="I1888" s="30">
        <f t="shared" si="145"/>
        <v>40</v>
      </c>
      <c r="J1888" s="31">
        <f t="shared" si="146"/>
        <v>0</v>
      </c>
      <c r="K1888" s="29">
        <f t="shared" si="147"/>
        <v>5940</v>
      </c>
      <c r="L1888" s="31" t="str">
        <f t="shared" si="148"/>
        <v/>
      </c>
      <c r="M1888" s="31" t="str">
        <f t="shared" si="149"/>
        <v/>
      </c>
    </row>
    <row r="1889" spans="1:13" x14ac:dyDescent="0.15">
      <c r="A1889" s="163" t="s">
        <v>210</v>
      </c>
      <c r="B1889" s="163">
        <v>42325.440192430557</v>
      </c>
      <c r="C1889" s="164" t="s">
        <v>1861</v>
      </c>
      <c r="D1889" s="164" t="s">
        <v>13</v>
      </c>
      <c r="E1889" s="165">
        <v>200</v>
      </c>
      <c r="F1889" s="166">
        <v>0</v>
      </c>
      <c r="G1889" s="227">
        <f>IF($B$2,IF(ROWS(B$6:$B1889) = 1,$B1889-Start_Date,$B1889-$B1888),"")</f>
        <v>1.3106990743835922E-2</v>
      </c>
      <c r="H1889" s="29">
        <f>IF($B$2,IF(ROWS(B$6:$B1889) = 1,IF(COUNTIFS(R_Schedule_Times,"&lt;"&amp;B1889),INDEX(R_Schedule_Amounts,MATCH(B1889,R_Schedule_Times,1)),Starting_Cash),IF(COUNTIFS(R_Schedule_Times,"&gt;"&amp;B1888,R_Schedule_Times,"&lt;"&amp;B1889),INDEX(R_Schedule_Amounts,MATCH(B1889,R_Schedule_Times,1)),K1888)),"")</f>
        <v>5940</v>
      </c>
      <c r="I1889" s="30">
        <f t="shared" si="145"/>
        <v>200</v>
      </c>
      <c r="J1889" s="31">
        <f t="shared" si="146"/>
        <v>0</v>
      </c>
      <c r="K1889" s="29">
        <f t="shared" si="147"/>
        <v>5740</v>
      </c>
      <c r="L1889" s="31" t="str">
        <f t="shared" si="148"/>
        <v/>
      </c>
      <c r="M1889" s="31" t="str">
        <f t="shared" si="149"/>
        <v/>
      </c>
    </row>
    <row r="1890" spans="1:13" x14ac:dyDescent="0.15">
      <c r="A1890" s="163" t="s">
        <v>210</v>
      </c>
      <c r="B1890" s="163">
        <v>42325.464166087964</v>
      </c>
      <c r="C1890" s="164" t="s">
        <v>90</v>
      </c>
      <c r="D1890" s="164" t="s">
        <v>13</v>
      </c>
      <c r="E1890" s="165">
        <v>40</v>
      </c>
      <c r="F1890" s="166">
        <v>0</v>
      </c>
      <c r="G1890" s="227">
        <f>IF($B$2,IF(ROWS(B$6:$B1890) = 1,$B1890-Start_Date,$B1890-$B1889),"")</f>
        <v>2.397365740762325E-2</v>
      </c>
      <c r="H1890" s="29">
        <f>IF($B$2,IF(ROWS(B$6:$B1890) = 1,IF(COUNTIFS(R_Schedule_Times,"&lt;"&amp;B1890),INDEX(R_Schedule_Amounts,MATCH(B1890,R_Schedule_Times,1)),Starting_Cash),IF(COUNTIFS(R_Schedule_Times,"&gt;"&amp;B1889,R_Schedule_Times,"&lt;"&amp;B1890),INDEX(R_Schedule_Amounts,MATCH(B1890,R_Schedule_Times,1)),K1889)),"")</f>
        <v>5740</v>
      </c>
      <c r="I1890" s="30">
        <f t="shared" si="145"/>
        <v>40</v>
      </c>
      <c r="J1890" s="31">
        <f t="shared" si="146"/>
        <v>0</v>
      </c>
      <c r="K1890" s="29">
        <f t="shared" si="147"/>
        <v>5700</v>
      </c>
      <c r="L1890" s="31" t="str">
        <f t="shared" si="148"/>
        <v/>
      </c>
      <c r="M1890" s="31" t="str">
        <f t="shared" si="149"/>
        <v/>
      </c>
    </row>
    <row r="1891" spans="1:13" x14ac:dyDescent="0.15">
      <c r="A1891" s="163" t="s">
        <v>210</v>
      </c>
      <c r="B1891" s="163">
        <v>42325.470210439817</v>
      </c>
      <c r="C1891" s="164" t="s">
        <v>14</v>
      </c>
      <c r="D1891" s="164" t="s">
        <v>13</v>
      </c>
      <c r="E1891" s="165">
        <v>40</v>
      </c>
      <c r="F1891" s="166">
        <v>3.5</v>
      </c>
      <c r="G1891" s="227">
        <f>IF($B$2,IF(ROWS(B$6:$B1891) = 1,$B1891-Start_Date,$B1891-$B1890),"")</f>
        <v>6.0443518523243256E-3</v>
      </c>
      <c r="H1891" s="29">
        <f>IF($B$2,IF(ROWS(B$6:$B1891) = 1,IF(COUNTIFS(R_Schedule_Times,"&lt;"&amp;B1891),INDEX(R_Schedule_Amounts,MATCH(B1891,R_Schedule_Times,1)),Starting_Cash),IF(COUNTIFS(R_Schedule_Times,"&gt;"&amp;B1890,R_Schedule_Times,"&lt;"&amp;B1891),INDEX(R_Schedule_Amounts,MATCH(B1891,R_Schedule_Times,1)),K1890)),"")</f>
        <v>5700</v>
      </c>
      <c r="I1891" s="30">
        <f t="shared" si="145"/>
        <v>40</v>
      </c>
      <c r="J1891" s="31">
        <f t="shared" si="146"/>
        <v>3.5</v>
      </c>
      <c r="K1891" s="29">
        <f t="shared" si="147"/>
        <v>5660</v>
      </c>
      <c r="L1891" s="31" t="str">
        <f t="shared" si="148"/>
        <v/>
      </c>
      <c r="M1891" s="31" t="str">
        <f t="shared" si="149"/>
        <v/>
      </c>
    </row>
    <row r="1892" spans="1:13" x14ac:dyDescent="0.15">
      <c r="A1892" s="163" t="s">
        <v>210</v>
      </c>
      <c r="B1892" s="163">
        <v>42325.474456307871</v>
      </c>
      <c r="C1892" s="164" t="s">
        <v>1862</v>
      </c>
      <c r="D1892" s="164" t="s">
        <v>13</v>
      </c>
      <c r="E1892" s="165">
        <v>140</v>
      </c>
      <c r="F1892" s="166">
        <v>0</v>
      </c>
      <c r="G1892" s="227">
        <f>IF($B$2,IF(ROWS(B$6:$B1892) = 1,$B1892-Start_Date,$B1892-$B1891),"")</f>
        <v>4.2458680545678362E-3</v>
      </c>
      <c r="H1892" s="29">
        <f>IF($B$2,IF(ROWS(B$6:$B1892) = 1,IF(COUNTIFS(R_Schedule_Times,"&lt;"&amp;B1892),INDEX(R_Schedule_Amounts,MATCH(B1892,R_Schedule_Times,1)),Starting_Cash),IF(COUNTIFS(R_Schedule_Times,"&gt;"&amp;B1891,R_Schedule_Times,"&lt;"&amp;B1892),INDEX(R_Schedule_Amounts,MATCH(B1892,R_Schedule_Times,1)),K1891)),"")</f>
        <v>5660</v>
      </c>
      <c r="I1892" s="30">
        <f t="shared" si="145"/>
        <v>140</v>
      </c>
      <c r="J1892" s="31">
        <f t="shared" si="146"/>
        <v>0</v>
      </c>
      <c r="K1892" s="29">
        <f t="shared" si="147"/>
        <v>5520</v>
      </c>
      <c r="L1892" s="31" t="str">
        <f t="shared" si="148"/>
        <v/>
      </c>
      <c r="M1892" s="31" t="str">
        <f t="shared" si="149"/>
        <v/>
      </c>
    </row>
    <row r="1893" spans="1:13" x14ac:dyDescent="0.15">
      <c r="A1893" s="163" t="s">
        <v>210</v>
      </c>
      <c r="B1893" s="163">
        <v>42325.48706550926</v>
      </c>
      <c r="C1893" s="164" t="s">
        <v>445</v>
      </c>
      <c r="D1893" s="164" t="s">
        <v>13</v>
      </c>
      <c r="E1893" s="165">
        <v>40</v>
      </c>
      <c r="F1893" s="166">
        <v>0</v>
      </c>
      <c r="G1893" s="227">
        <f>IF($B$2,IF(ROWS(B$6:$B1893) = 1,$B1893-Start_Date,$B1893-$B1892),"")</f>
        <v>1.2609201388841029E-2</v>
      </c>
      <c r="H1893" s="29">
        <f>IF($B$2,IF(ROWS(B$6:$B1893) = 1,IF(COUNTIFS(R_Schedule_Times,"&lt;"&amp;B1893),INDEX(R_Schedule_Amounts,MATCH(B1893,R_Schedule_Times,1)),Starting_Cash),IF(COUNTIFS(R_Schedule_Times,"&gt;"&amp;B1892,R_Schedule_Times,"&lt;"&amp;B1893),INDEX(R_Schedule_Amounts,MATCH(B1893,R_Schedule_Times,1)),K1892)),"")</f>
        <v>5520</v>
      </c>
      <c r="I1893" s="30">
        <f t="shared" si="145"/>
        <v>40</v>
      </c>
      <c r="J1893" s="31">
        <f t="shared" si="146"/>
        <v>0</v>
      </c>
      <c r="K1893" s="29">
        <f t="shared" si="147"/>
        <v>5480</v>
      </c>
      <c r="L1893" s="31" t="str">
        <f t="shared" si="148"/>
        <v/>
      </c>
      <c r="M1893" s="31" t="str">
        <f t="shared" si="149"/>
        <v/>
      </c>
    </row>
    <row r="1894" spans="1:13" x14ac:dyDescent="0.15">
      <c r="A1894" s="163" t="s">
        <v>210</v>
      </c>
      <c r="B1894" s="163">
        <v>42325.508537939815</v>
      </c>
      <c r="C1894" s="164" t="s">
        <v>1662</v>
      </c>
      <c r="D1894" s="164" t="s">
        <v>13</v>
      </c>
      <c r="E1894" s="165">
        <v>20</v>
      </c>
      <c r="F1894" s="166">
        <v>0</v>
      </c>
      <c r="G1894" s="227">
        <f>IF($B$2,IF(ROWS(B$6:$B1894) = 1,$B1894-Start_Date,$B1894-$B1893),"")</f>
        <v>2.1472430555149913E-2</v>
      </c>
      <c r="H1894" s="29">
        <f>IF($B$2,IF(ROWS(B$6:$B1894) = 1,IF(COUNTIFS(R_Schedule_Times,"&lt;"&amp;B1894),INDEX(R_Schedule_Amounts,MATCH(B1894,R_Schedule_Times,1)),Starting_Cash),IF(COUNTIFS(R_Schedule_Times,"&gt;"&amp;B1893,R_Schedule_Times,"&lt;"&amp;B1894),INDEX(R_Schedule_Amounts,MATCH(B1894,R_Schedule_Times,1)),K1893)),"")</f>
        <v>5480</v>
      </c>
      <c r="I1894" s="30">
        <f t="shared" si="145"/>
        <v>20</v>
      </c>
      <c r="J1894" s="31">
        <f t="shared" si="146"/>
        <v>0</v>
      </c>
      <c r="K1894" s="29">
        <f t="shared" si="147"/>
        <v>5460</v>
      </c>
      <c r="L1894" s="31" t="str">
        <f t="shared" si="148"/>
        <v/>
      </c>
      <c r="M1894" s="31" t="str">
        <f t="shared" si="149"/>
        <v/>
      </c>
    </row>
    <row r="1895" spans="1:13" x14ac:dyDescent="0.15">
      <c r="A1895" s="163" t="s">
        <v>210</v>
      </c>
      <c r="B1895" s="163">
        <v>42325.509036736112</v>
      </c>
      <c r="C1895" s="164" t="s">
        <v>1863</v>
      </c>
      <c r="D1895" s="164" t="s">
        <v>13</v>
      </c>
      <c r="E1895" s="165">
        <v>100</v>
      </c>
      <c r="F1895" s="166">
        <v>0</v>
      </c>
      <c r="G1895" s="227">
        <f>IF($B$2,IF(ROWS(B$6:$B1895) = 1,$B1895-Start_Date,$B1895-$B1894),"")</f>
        <v>4.9879629659699276E-4</v>
      </c>
      <c r="H1895" s="29">
        <f>IF($B$2,IF(ROWS(B$6:$B1895) = 1,IF(COUNTIFS(R_Schedule_Times,"&lt;"&amp;B1895),INDEX(R_Schedule_Amounts,MATCH(B1895,R_Schedule_Times,1)),Starting_Cash),IF(COUNTIFS(R_Schedule_Times,"&gt;"&amp;B1894,R_Schedule_Times,"&lt;"&amp;B1895),INDEX(R_Schedule_Amounts,MATCH(B1895,R_Schedule_Times,1)),K1894)),"")</f>
        <v>5460</v>
      </c>
      <c r="I1895" s="30">
        <f t="shared" si="145"/>
        <v>100</v>
      </c>
      <c r="J1895" s="31">
        <f t="shared" si="146"/>
        <v>0</v>
      </c>
      <c r="K1895" s="29">
        <f t="shared" si="147"/>
        <v>5360</v>
      </c>
      <c r="L1895" s="31" t="str">
        <f t="shared" si="148"/>
        <v/>
      </c>
      <c r="M1895" s="31" t="str">
        <f t="shared" si="149"/>
        <v/>
      </c>
    </row>
    <row r="1896" spans="1:13" x14ac:dyDescent="0.15">
      <c r="A1896" s="163" t="s">
        <v>210</v>
      </c>
      <c r="B1896" s="163">
        <v>42325.524538124999</v>
      </c>
      <c r="C1896" s="164" t="s">
        <v>1864</v>
      </c>
      <c r="D1896" s="164" t="s">
        <v>13</v>
      </c>
      <c r="E1896" s="165">
        <v>100</v>
      </c>
      <c r="F1896" s="166">
        <v>0</v>
      </c>
      <c r="G1896" s="227">
        <f>IF($B$2,IF(ROWS(B$6:$B1896) = 1,$B1896-Start_Date,$B1896-$B1895),"")</f>
        <v>1.5501388887059875E-2</v>
      </c>
      <c r="H1896" s="29">
        <f>IF($B$2,IF(ROWS(B$6:$B1896) = 1,IF(COUNTIFS(R_Schedule_Times,"&lt;"&amp;B1896),INDEX(R_Schedule_Amounts,MATCH(B1896,R_Schedule_Times,1)),Starting_Cash),IF(COUNTIFS(R_Schedule_Times,"&gt;"&amp;B1895,R_Schedule_Times,"&lt;"&amp;B1896),INDEX(R_Schedule_Amounts,MATCH(B1896,R_Schedule_Times,1)),K1895)),"")</f>
        <v>5360</v>
      </c>
      <c r="I1896" s="30">
        <f t="shared" si="145"/>
        <v>100</v>
      </c>
      <c r="J1896" s="31">
        <f t="shared" si="146"/>
        <v>0</v>
      </c>
      <c r="K1896" s="29">
        <f t="shared" si="147"/>
        <v>5260</v>
      </c>
      <c r="L1896" s="31" t="str">
        <f t="shared" si="148"/>
        <v/>
      </c>
      <c r="M1896" s="31" t="str">
        <f t="shared" si="149"/>
        <v/>
      </c>
    </row>
    <row r="1897" spans="1:13" x14ac:dyDescent="0.15">
      <c r="A1897" s="163" t="s">
        <v>210</v>
      </c>
      <c r="B1897" s="163">
        <v>42325.525265254626</v>
      </c>
      <c r="C1897" s="164" t="s">
        <v>1865</v>
      </c>
      <c r="D1897" s="164" t="s">
        <v>13</v>
      </c>
      <c r="E1897" s="165">
        <v>20</v>
      </c>
      <c r="F1897" s="166">
        <v>0</v>
      </c>
      <c r="G1897" s="227">
        <f>IF($B$2,IF(ROWS(B$6:$B1897) = 1,$B1897-Start_Date,$B1897-$B1896),"")</f>
        <v>7.2712962719378993E-4</v>
      </c>
      <c r="H1897" s="29">
        <f>IF($B$2,IF(ROWS(B$6:$B1897) = 1,IF(COUNTIFS(R_Schedule_Times,"&lt;"&amp;B1897),INDEX(R_Schedule_Amounts,MATCH(B1897,R_Schedule_Times,1)),Starting_Cash),IF(COUNTIFS(R_Schedule_Times,"&gt;"&amp;B1896,R_Schedule_Times,"&lt;"&amp;B1897),INDEX(R_Schedule_Amounts,MATCH(B1897,R_Schedule_Times,1)),K1896)),"")</f>
        <v>5260</v>
      </c>
      <c r="I1897" s="30">
        <f t="shared" si="145"/>
        <v>20</v>
      </c>
      <c r="J1897" s="31">
        <f t="shared" si="146"/>
        <v>0</v>
      </c>
      <c r="K1897" s="29">
        <f t="shared" si="147"/>
        <v>5240</v>
      </c>
      <c r="L1897" s="31" t="str">
        <f t="shared" si="148"/>
        <v/>
      </c>
      <c r="M1897" s="31" t="str">
        <f t="shared" si="149"/>
        <v/>
      </c>
    </row>
    <row r="1898" spans="1:13" x14ac:dyDescent="0.15">
      <c r="A1898" s="163" t="s">
        <v>210</v>
      </c>
      <c r="B1898" s="163">
        <v>42325.539539641206</v>
      </c>
      <c r="C1898" s="164" t="s">
        <v>815</v>
      </c>
      <c r="D1898" s="164" t="s">
        <v>13</v>
      </c>
      <c r="E1898" s="165">
        <v>40</v>
      </c>
      <c r="F1898" s="166">
        <v>0</v>
      </c>
      <c r="G1898" s="227">
        <f>IF($B$2,IF(ROWS(B$6:$B1898) = 1,$B1898-Start_Date,$B1898-$B1897),"")</f>
        <v>1.4274386579927523E-2</v>
      </c>
      <c r="H1898" s="29">
        <f>IF($B$2,IF(ROWS(B$6:$B1898) = 1,IF(COUNTIFS(R_Schedule_Times,"&lt;"&amp;B1898),INDEX(R_Schedule_Amounts,MATCH(B1898,R_Schedule_Times,1)),Starting_Cash),IF(COUNTIFS(R_Schedule_Times,"&gt;"&amp;B1897,R_Schedule_Times,"&lt;"&amp;B1898),INDEX(R_Schedule_Amounts,MATCH(B1898,R_Schedule_Times,1)),K1897)),"")</f>
        <v>5240</v>
      </c>
      <c r="I1898" s="30">
        <f t="shared" si="145"/>
        <v>40</v>
      </c>
      <c r="J1898" s="31">
        <f t="shared" si="146"/>
        <v>0</v>
      </c>
      <c r="K1898" s="29">
        <f t="shared" si="147"/>
        <v>5200</v>
      </c>
      <c r="L1898" s="31" t="str">
        <f t="shared" si="148"/>
        <v/>
      </c>
      <c r="M1898" s="31" t="str">
        <f t="shared" si="149"/>
        <v/>
      </c>
    </row>
    <row r="1899" spans="1:13" x14ac:dyDescent="0.15">
      <c r="A1899" s="163" t="s">
        <v>210</v>
      </c>
      <c r="B1899" s="163">
        <v>42325.54633164352</v>
      </c>
      <c r="C1899" s="164" t="s">
        <v>1866</v>
      </c>
      <c r="D1899" s="164" t="s">
        <v>13</v>
      </c>
      <c r="E1899" s="165">
        <v>100</v>
      </c>
      <c r="F1899" s="166">
        <v>0</v>
      </c>
      <c r="G1899" s="227">
        <f>IF($B$2,IF(ROWS(B$6:$B1899) = 1,$B1899-Start_Date,$B1899-$B1898),"")</f>
        <v>6.7920023138867691E-3</v>
      </c>
      <c r="H1899" s="29">
        <f>IF($B$2,IF(ROWS(B$6:$B1899) = 1,IF(COUNTIFS(R_Schedule_Times,"&lt;"&amp;B1899),INDEX(R_Schedule_Amounts,MATCH(B1899,R_Schedule_Times,1)),Starting_Cash),IF(COUNTIFS(R_Schedule_Times,"&gt;"&amp;B1898,R_Schedule_Times,"&lt;"&amp;B1899),INDEX(R_Schedule_Amounts,MATCH(B1899,R_Schedule_Times,1)),K1898)),"")</f>
        <v>5200</v>
      </c>
      <c r="I1899" s="30">
        <f t="shared" si="145"/>
        <v>100</v>
      </c>
      <c r="J1899" s="31">
        <f t="shared" si="146"/>
        <v>0</v>
      </c>
      <c r="K1899" s="29">
        <f t="shared" si="147"/>
        <v>5100</v>
      </c>
      <c r="L1899" s="31" t="str">
        <f t="shared" si="148"/>
        <v/>
      </c>
      <c r="M1899" s="31" t="str">
        <f t="shared" si="149"/>
        <v/>
      </c>
    </row>
    <row r="1900" spans="1:13" x14ac:dyDescent="0.15">
      <c r="A1900" s="163" t="s">
        <v>210</v>
      </c>
      <c r="B1900" s="163">
        <v>42325.552190046299</v>
      </c>
      <c r="C1900" s="164" t="s">
        <v>446</v>
      </c>
      <c r="D1900" s="164" t="s">
        <v>13</v>
      </c>
      <c r="E1900" s="165">
        <v>100</v>
      </c>
      <c r="F1900" s="166">
        <v>0</v>
      </c>
      <c r="G1900" s="227">
        <f>IF($B$2,IF(ROWS(B$6:$B1900) = 1,$B1900-Start_Date,$B1900-$B1899),"")</f>
        <v>5.8584027792676352E-3</v>
      </c>
      <c r="H1900" s="29">
        <f>IF($B$2,IF(ROWS(B$6:$B1900) = 1,IF(COUNTIFS(R_Schedule_Times,"&lt;"&amp;B1900),INDEX(R_Schedule_Amounts,MATCH(B1900,R_Schedule_Times,1)),Starting_Cash),IF(COUNTIFS(R_Schedule_Times,"&gt;"&amp;B1899,R_Schedule_Times,"&lt;"&amp;B1900),INDEX(R_Schedule_Amounts,MATCH(B1900,R_Schedule_Times,1)),K1899)),"")</f>
        <v>5100</v>
      </c>
      <c r="I1900" s="30">
        <f t="shared" si="145"/>
        <v>100</v>
      </c>
      <c r="J1900" s="31">
        <f t="shared" si="146"/>
        <v>0</v>
      </c>
      <c r="K1900" s="29">
        <f t="shared" si="147"/>
        <v>5000</v>
      </c>
      <c r="L1900" s="31" t="str">
        <f t="shared" si="148"/>
        <v/>
      </c>
      <c r="M1900" s="31" t="str">
        <f t="shared" si="149"/>
        <v/>
      </c>
    </row>
    <row r="1901" spans="1:13" x14ac:dyDescent="0.15">
      <c r="A1901" s="163" t="s">
        <v>210</v>
      </c>
      <c r="B1901" s="163">
        <v>42325.566367534724</v>
      </c>
      <c r="C1901" s="164" t="s">
        <v>966</v>
      </c>
      <c r="D1901" s="164" t="s">
        <v>13</v>
      </c>
      <c r="E1901" s="165">
        <v>100</v>
      </c>
      <c r="F1901" s="166">
        <v>0</v>
      </c>
      <c r="G1901" s="227">
        <f>IF($B$2,IF(ROWS(B$6:$B1901) = 1,$B1901-Start_Date,$B1901-$B1900),"")</f>
        <v>1.4177488425048068E-2</v>
      </c>
      <c r="H1901" s="29">
        <f>IF($B$2,IF(ROWS(B$6:$B1901) = 1,IF(COUNTIFS(R_Schedule_Times,"&lt;"&amp;B1901),INDEX(R_Schedule_Amounts,MATCH(B1901,R_Schedule_Times,1)),Starting_Cash),IF(COUNTIFS(R_Schedule_Times,"&gt;"&amp;B1900,R_Schedule_Times,"&lt;"&amp;B1901),INDEX(R_Schedule_Amounts,MATCH(B1901,R_Schedule_Times,1)),K1900)),"")</f>
        <v>5000</v>
      </c>
      <c r="I1901" s="30">
        <f t="shared" si="145"/>
        <v>100</v>
      </c>
      <c r="J1901" s="31">
        <f t="shared" si="146"/>
        <v>0</v>
      </c>
      <c r="K1901" s="29">
        <f t="shared" si="147"/>
        <v>4900</v>
      </c>
      <c r="L1901" s="31" t="str">
        <f t="shared" si="148"/>
        <v/>
      </c>
      <c r="M1901" s="31" t="str">
        <f t="shared" si="149"/>
        <v/>
      </c>
    </row>
    <row r="1902" spans="1:13" x14ac:dyDescent="0.15">
      <c r="A1902" s="163" t="s">
        <v>210</v>
      </c>
      <c r="B1902" s="163">
        <v>42325.605380937501</v>
      </c>
      <c r="C1902" s="164" t="s">
        <v>1263</v>
      </c>
      <c r="D1902" s="164" t="s">
        <v>13</v>
      </c>
      <c r="E1902" s="165">
        <v>40</v>
      </c>
      <c r="F1902" s="166">
        <v>0</v>
      </c>
      <c r="G1902" s="227">
        <f>IF($B$2,IF(ROWS(B$6:$B1902) = 1,$B1902-Start_Date,$B1902-$B1901),"")</f>
        <v>3.9013402776618022E-2</v>
      </c>
      <c r="H1902" s="29">
        <f>IF($B$2,IF(ROWS(B$6:$B1902) = 1,IF(COUNTIFS(R_Schedule_Times,"&lt;"&amp;B1902),INDEX(R_Schedule_Amounts,MATCH(B1902,R_Schedule_Times,1)),Starting_Cash),IF(COUNTIFS(R_Schedule_Times,"&gt;"&amp;B1901,R_Schedule_Times,"&lt;"&amp;B1902),INDEX(R_Schedule_Amounts,MATCH(B1902,R_Schedule_Times,1)),K1901)),"")</f>
        <v>4900</v>
      </c>
      <c r="I1902" s="30">
        <f t="shared" si="145"/>
        <v>40</v>
      </c>
      <c r="J1902" s="31">
        <f t="shared" si="146"/>
        <v>0</v>
      </c>
      <c r="K1902" s="29">
        <f t="shared" si="147"/>
        <v>4860</v>
      </c>
      <c r="L1902" s="31" t="str">
        <f t="shared" si="148"/>
        <v/>
      </c>
      <c r="M1902" s="31" t="str">
        <f t="shared" si="149"/>
        <v/>
      </c>
    </row>
    <row r="1903" spans="1:13" x14ac:dyDescent="0.15">
      <c r="A1903" s="163" t="s">
        <v>210</v>
      </c>
      <c r="B1903" s="163">
        <v>42325.622394120372</v>
      </c>
      <c r="C1903" s="164" t="s">
        <v>903</v>
      </c>
      <c r="D1903" s="164" t="s">
        <v>13</v>
      </c>
      <c r="E1903" s="165">
        <v>100</v>
      </c>
      <c r="F1903" s="166">
        <v>0</v>
      </c>
      <c r="G1903" s="227">
        <f>IF($B$2,IF(ROWS(B$6:$B1903) = 1,$B1903-Start_Date,$B1903-$B1902),"")</f>
        <v>1.7013182870869059E-2</v>
      </c>
      <c r="H1903" s="29">
        <f>IF($B$2,IF(ROWS(B$6:$B1903) = 1,IF(COUNTIFS(R_Schedule_Times,"&lt;"&amp;B1903),INDEX(R_Schedule_Amounts,MATCH(B1903,R_Schedule_Times,1)),Starting_Cash),IF(COUNTIFS(R_Schedule_Times,"&gt;"&amp;B1902,R_Schedule_Times,"&lt;"&amp;B1903),INDEX(R_Schedule_Amounts,MATCH(B1903,R_Schedule_Times,1)),K1902)),"")</f>
        <v>4860</v>
      </c>
      <c r="I1903" s="30">
        <f t="shared" si="145"/>
        <v>100</v>
      </c>
      <c r="J1903" s="31">
        <f t="shared" si="146"/>
        <v>0</v>
      </c>
      <c r="K1903" s="29">
        <f t="shared" si="147"/>
        <v>4760</v>
      </c>
      <c r="L1903" s="31" t="str">
        <f t="shared" si="148"/>
        <v/>
      </c>
      <c r="M1903" s="31" t="str">
        <f t="shared" si="149"/>
        <v/>
      </c>
    </row>
    <row r="1904" spans="1:13" x14ac:dyDescent="0.15">
      <c r="A1904" s="163" t="s">
        <v>210</v>
      </c>
      <c r="B1904" s="163">
        <v>42325.643897013892</v>
      </c>
      <c r="C1904" s="164" t="s">
        <v>346</v>
      </c>
      <c r="D1904" s="164" t="s">
        <v>13</v>
      </c>
      <c r="E1904" s="165">
        <v>80</v>
      </c>
      <c r="F1904" s="166">
        <v>0</v>
      </c>
      <c r="G1904" s="227">
        <f>IF($B$2,IF(ROWS(B$6:$B1904) = 1,$B1904-Start_Date,$B1904-$B1903),"")</f>
        <v>2.1502893519937061E-2</v>
      </c>
      <c r="H1904" s="29">
        <f>IF($B$2,IF(ROWS(B$6:$B1904) = 1,IF(COUNTIFS(R_Schedule_Times,"&lt;"&amp;B1904),INDEX(R_Schedule_Amounts,MATCH(B1904,R_Schedule_Times,1)),Starting_Cash),IF(COUNTIFS(R_Schedule_Times,"&gt;"&amp;B1903,R_Schedule_Times,"&lt;"&amp;B1904),INDEX(R_Schedule_Amounts,MATCH(B1904,R_Schedule_Times,1)),K1903)),"")</f>
        <v>4760</v>
      </c>
      <c r="I1904" s="30">
        <f t="shared" si="145"/>
        <v>80</v>
      </c>
      <c r="J1904" s="31">
        <f t="shared" si="146"/>
        <v>0</v>
      </c>
      <c r="K1904" s="29">
        <f t="shared" si="147"/>
        <v>4680</v>
      </c>
      <c r="L1904" s="31" t="str">
        <f t="shared" si="148"/>
        <v/>
      </c>
      <c r="M1904" s="31" t="str">
        <f t="shared" si="149"/>
        <v/>
      </c>
    </row>
    <row r="1905" spans="1:13" x14ac:dyDescent="0.15">
      <c r="A1905" s="163" t="s">
        <v>210</v>
      </c>
      <c r="B1905" s="163">
        <v>42325.656911342594</v>
      </c>
      <c r="C1905" s="164" t="s">
        <v>1867</v>
      </c>
      <c r="D1905" s="164" t="s">
        <v>13</v>
      </c>
      <c r="E1905" s="165">
        <v>100</v>
      </c>
      <c r="F1905" s="166">
        <v>0</v>
      </c>
      <c r="G1905" s="227">
        <f>IF($B$2,IF(ROWS(B$6:$B1905) = 1,$B1905-Start_Date,$B1905-$B1904),"")</f>
        <v>1.3014328702411149E-2</v>
      </c>
      <c r="H1905" s="29">
        <f>IF($B$2,IF(ROWS(B$6:$B1905) = 1,IF(COUNTIFS(R_Schedule_Times,"&lt;"&amp;B1905),INDEX(R_Schedule_Amounts,MATCH(B1905,R_Schedule_Times,1)),Starting_Cash),IF(COUNTIFS(R_Schedule_Times,"&gt;"&amp;B1904,R_Schedule_Times,"&lt;"&amp;B1905),INDEX(R_Schedule_Amounts,MATCH(B1905,R_Schedule_Times,1)),K1904)),"")</f>
        <v>4680</v>
      </c>
      <c r="I1905" s="30">
        <f t="shared" si="145"/>
        <v>100</v>
      </c>
      <c r="J1905" s="31">
        <f t="shared" si="146"/>
        <v>0</v>
      </c>
      <c r="K1905" s="29">
        <f t="shared" si="147"/>
        <v>4580</v>
      </c>
      <c r="L1905" s="31" t="str">
        <f t="shared" si="148"/>
        <v/>
      </c>
      <c r="M1905" s="31" t="str">
        <f t="shared" si="149"/>
        <v/>
      </c>
    </row>
    <row r="1906" spans="1:13" x14ac:dyDescent="0.15">
      <c r="A1906" s="163" t="s">
        <v>210</v>
      </c>
      <c r="B1906" s="163">
        <v>42325.675011053238</v>
      </c>
      <c r="C1906" s="164" t="s">
        <v>1868</v>
      </c>
      <c r="D1906" s="164" t="s">
        <v>13</v>
      </c>
      <c r="E1906" s="165">
        <v>200</v>
      </c>
      <c r="F1906" s="166">
        <v>0</v>
      </c>
      <c r="G1906" s="227">
        <f>IF($B$2,IF(ROWS(B$6:$B1906) = 1,$B1906-Start_Date,$B1906-$B1905),"")</f>
        <v>1.8099710643582512E-2</v>
      </c>
      <c r="H1906" s="29">
        <f>IF($B$2,IF(ROWS(B$6:$B1906) = 1,IF(COUNTIFS(R_Schedule_Times,"&lt;"&amp;B1906),INDEX(R_Schedule_Amounts,MATCH(B1906,R_Schedule_Times,1)),Starting_Cash),IF(COUNTIFS(R_Schedule_Times,"&gt;"&amp;B1905,R_Schedule_Times,"&lt;"&amp;B1906),INDEX(R_Schedule_Amounts,MATCH(B1906,R_Schedule_Times,1)),K1905)),"")</f>
        <v>4580</v>
      </c>
      <c r="I1906" s="30">
        <f t="shared" si="145"/>
        <v>200</v>
      </c>
      <c r="J1906" s="31">
        <f t="shared" si="146"/>
        <v>0</v>
      </c>
      <c r="K1906" s="29">
        <f t="shared" si="147"/>
        <v>4380</v>
      </c>
      <c r="L1906" s="31" t="str">
        <f t="shared" si="148"/>
        <v/>
      </c>
      <c r="M1906" s="31" t="str">
        <f t="shared" si="149"/>
        <v/>
      </c>
    </row>
    <row r="1907" spans="1:13" x14ac:dyDescent="0.15">
      <c r="A1907" s="163" t="s">
        <v>210</v>
      </c>
      <c r="B1907" s="163">
        <v>42325.676950000001</v>
      </c>
      <c r="C1907" s="164" t="s">
        <v>14</v>
      </c>
      <c r="D1907" s="164" t="s">
        <v>13</v>
      </c>
      <c r="E1907" s="165">
        <v>40</v>
      </c>
      <c r="F1907" s="166">
        <v>3.5</v>
      </c>
      <c r="G1907" s="227">
        <f>IF($B$2,IF(ROWS(B$6:$B1907) = 1,$B1907-Start_Date,$B1907-$B1906),"")</f>
        <v>1.9389467634027824E-3</v>
      </c>
      <c r="H1907" s="29">
        <f>IF($B$2,IF(ROWS(B$6:$B1907) = 1,IF(COUNTIFS(R_Schedule_Times,"&lt;"&amp;B1907),INDEX(R_Schedule_Amounts,MATCH(B1907,R_Schedule_Times,1)),Starting_Cash),IF(COUNTIFS(R_Schedule_Times,"&gt;"&amp;B1906,R_Schedule_Times,"&lt;"&amp;B1907),INDEX(R_Schedule_Amounts,MATCH(B1907,R_Schedule_Times,1)),K1906)),"")</f>
        <v>4380</v>
      </c>
      <c r="I1907" s="30">
        <f t="shared" si="145"/>
        <v>40</v>
      </c>
      <c r="J1907" s="31">
        <f t="shared" si="146"/>
        <v>3.5</v>
      </c>
      <c r="K1907" s="29">
        <f t="shared" si="147"/>
        <v>4340</v>
      </c>
      <c r="L1907" s="31" t="str">
        <f t="shared" si="148"/>
        <v/>
      </c>
      <c r="M1907" s="31" t="str">
        <f t="shared" si="149"/>
        <v/>
      </c>
    </row>
    <row r="1908" spans="1:13" x14ac:dyDescent="0.15">
      <c r="A1908" s="163" t="s">
        <v>210</v>
      </c>
      <c r="B1908" s="163">
        <v>42325.681296990741</v>
      </c>
      <c r="C1908" s="164" t="s">
        <v>1869</v>
      </c>
      <c r="D1908" s="164" t="s">
        <v>13</v>
      </c>
      <c r="E1908" s="165">
        <v>40</v>
      </c>
      <c r="F1908" s="166">
        <v>0</v>
      </c>
      <c r="G1908" s="227">
        <f>IF($B$2,IF(ROWS(B$6:$B1908) = 1,$B1908-Start_Date,$B1908-$B1907),"")</f>
        <v>4.3469907395774499E-3</v>
      </c>
      <c r="H1908" s="29">
        <f>IF($B$2,IF(ROWS(B$6:$B1908) = 1,IF(COUNTIFS(R_Schedule_Times,"&lt;"&amp;B1908),INDEX(R_Schedule_Amounts,MATCH(B1908,R_Schedule_Times,1)),Starting_Cash),IF(COUNTIFS(R_Schedule_Times,"&gt;"&amp;B1907,R_Schedule_Times,"&lt;"&amp;B1908),INDEX(R_Schedule_Amounts,MATCH(B1908,R_Schedule_Times,1)),K1907)),"")</f>
        <v>4340</v>
      </c>
      <c r="I1908" s="30">
        <f t="shared" si="145"/>
        <v>40</v>
      </c>
      <c r="J1908" s="31">
        <f t="shared" si="146"/>
        <v>0</v>
      </c>
      <c r="K1908" s="29">
        <f t="shared" si="147"/>
        <v>4300</v>
      </c>
      <c r="L1908" s="31" t="str">
        <f t="shared" si="148"/>
        <v/>
      </c>
      <c r="M1908" s="31" t="str">
        <f t="shared" si="149"/>
        <v/>
      </c>
    </row>
    <row r="1909" spans="1:13" x14ac:dyDescent="0.15">
      <c r="A1909" s="163" t="s">
        <v>210</v>
      </c>
      <c r="B1909" s="163">
        <v>42325.683580868055</v>
      </c>
      <c r="C1909" s="164" t="s">
        <v>122</v>
      </c>
      <c r="D1909" s="164" t="s">
        <v>13</v>
      </c>
      <c r="E1909" s="165">
        <v>40</v>
      </c>
      <c r="F1909" s="166">
        <v>0</v>
      </c>
      <c r="G1909" s="227">
        <f>IF($B$2,IF(ROWS(B$6:$B1909) = 1,$B1909-Start_Date,$B1909-$B1908),"")</f>
        <v>2.2838773147668689E-3</v>
      </c>
      <c r="H1909" s="29">
        <f>IF($B$2,IF(ROWS(B$6:$B1909) = 1,IF(COUNTIFS(R_Schedule_Times,"&lt;"&amp;B1909),INDEX(R_Schedule_Amounts,MATCH(B1909,R_Schedule_Times,1)),Starting_Cash),IF(COUNTIFS(R_Schedule_Times,"&gt;"&amp;B1908,R_Schedule_Times,"&lt;"&amp;B1909),INDEX(R_Schedule_Amounts,MATCH(B1909,R_Schedule_Times,1)),K1908)),"")</f>
        <v>4300</v>
      </c>
      <c r="I1909" s="30">
        <f t="shared" si="145"/>
        <v>40</v>
      </c>
      <c r="J1909" s="31">
        <f t="shared" si="146"/>
        <v>0</v>
      </c>
      <c r="K1909" s="29">
        <f t="shared" si="147"/>
        <v>4260</v>
      </c>
      <c r="L1909" s="31" t="str">
        <f t="shared" si="148"/>
        <v/>
      </c>
      <c r="M1909" s="31" t="str">
        <f t="shared" si="149"/>
        <v/>
      </c>
    </row>
    <row r="1910" spans="1:13" x14ac:dyDescent="0.15">
      <c r="A1910" s="163" t="s">
        <v>210</v>
      </c>
      <c r="B1910" s="163">
        <v>42325.691080046294</v>
      </c>
      <c r="C1910" s="164" t="s">
        <v>1870</v>
      </c>
      <c r="D1910" s="164" t="s">
        <v>13</v>
      </c>
      <c r="E1910" s="165">
        <v>100</v>
      </c>
      <c r="F1910" s="166">
        <v>0</v>
      </c>
      <c r="G1910" s="227">
        <f>IF($B$2,IF(ROWS(B$6:$B1910) = 1,$B1910-Start_Date,$B1910-$B1909),"")</f>
        <v>7.4991782385041006E-3</v>
      </c>
      <c r="H1910" s="29">
        <f>IF($B$2,IF(ROWS(B$6:$B1910) = 1,IF(COUNTIFS(R_Schedule_Times,"&lt;"&amp;B1910),INDEX(R_Schedule_Amounts,MATCH(B1910,R_Schedule_Times,1)),Starting_Cash),IF(COUNTIFS(R_Schedule_Times,"&gt;"&amp;B1909,R_Schedule_Times,"&lt;"&amp;B1910),INDEX(R_Schedule_Amounts,MATCH(B1910,R_Schedule_Times,1)),K1909)),"")</f>
        <v>4260</v>
      </c>
      <c r="I1910" s="30">
        <f t="shared" si="145"/>
        <v>100</v>
      </c>
      <c r="J1910" s="31">
        <f t="shared" si="146"/>
        <v>0</v>
      </c>
      <c r="K1910" s="29">
        <f t="shared" si="147"/>
        <v>4160</v>
      </c>
      <c r="L1910" s="31" t="str">
        <f t="shared" si="148"/>
        <v/>
      </c>
      <c r="M1910" s="31" t="str">
        <f t="shared" si="149"/>
        <v/>
      </c>
    </row>
    <row r="1911" spans="1:13" x14ac:dyDescent="0.15">
      <c r="A1911" s="163" t="s">
        <v>210</v>
      </c>
      <c r="B1911" s="163">
        <v>42325.698996041669</v>
      </c>
      <c r="C1911" s="164" t="s">
        <v>447</v>
      </c>
      <c r="D1911" s="164" t="s">
        <v>13</v>
      </c>
      <c r="E1911" s="165">
        <v>120</v>
      </c>
      <c r="F1911" s="166">
        <v>0</v>
      </c>
      <c r="G1911" s="227">
        <f>IF($B$2,IF(ROWS(B$6:$B1911) = 1,$B1911-Start_Date,$B1911-$B1910),"")</f>
        <v>7.9159953747875988E-3</v>
      </c>
      <c r="H1911" s="29">
        <f>IF($B$2,IF(ROWS(B$6:$B1911) = 1,IF(COUNTIFS(R_Schedule_Times,"&lt;"&amp;B1911),INDEX(R_Schedule_Amounts,MATCH(B1911,R_Schedule_Times,1)),Starting_Cash),IF(COUNTIFS(R_Schedule_Times,"&gt;"&amp;B1910,R_Schedule_Times,"&lt;"&amp;B1911),INDEX(R_Schedule_Amounts,MATCH(B1911,R_Schedule_Times,1)),K1910)),"")</f>
        <v>4160</v>
      </c>
      <c r="I1911" s="30">
        <f t="shared" si="145"/>
        <v>120</v>
      </c>
      <c r="J1911" s="31">
        <f t="shared" si="146"/>
        <v>0</v>
      </c>
      <c r="K1911" s="29">
        <f t="shared" si="147"/>
        <v>4040</v>
      </c>
      <c r="L1911" s="31" t="str">
        <f t="shared" si="148"/>
        <v/>
      </c>
      <c r="M1911" s="31" t="str">
        <f t="shared" si="149"/>
        <v/>
      </c>
    </row>
    <row r="1912" spans="1:13" x14ac:dyDescent="0.15">
      <c r="A1912" s="163" t="s">
        <v>210</v>
      </c>
      <c r="B1912" s="163">
        <v>42325.719144675924</v>
      </c>
      <c r="C1912" s="164" t="s">
        <v>448</v>
      </c>
      <c r="D1912" s="164" t="s">
        <v>13</v>
      </c>
      <c r="E1912" s="165">
        <v>40</v>
      </c>
      <c r="F1912" s="166">
        <v>0</v>
      </c>
      <c r="G1912" s="227">
        <f>IF($B$2,IF(ROWS(B$6:$B1912) = 1,$B1912-Start_Date,$B1912-$B1911),"")</f>
        <v>2.0148634255747311E-2</v>
      </c>
      <c r="H1912" s="29">
        <f>IF($B$2,IF(ROWS(B$6:$B1912) = 1,IF(COUNTIFS(R_Schedule_Times,"&lt;"&amp;B1912),INDEX(R_Schedule_Amounts,MATCH(B1912,R_Schedule_Times,1)),Starting_Cash),IF(COUNTIFS(R_Schedule_Times,"&gt;"&amp;B1911,R_Schedule_Times,"&lt;"&amp;B1912),INDEX(R_Schedule_Amounts,MATCH(B1912,R_Schedule_Times,1)),K1911)),"")</f>
        <v>4040</v>
      </c>
      <c r="I1912" s="30">
        <f t="shared" si="145"/>
        <v>40</v>
      </c>
      <c r="J1912" s="31">
        <f t="shared" si="146"/>
        <v>0</v>
      </c>
      <c r="K1912" s="29">
        <f t="shared" si="147"/>
        <v>4000</v>
      </c>
      <c r="L1912" s="31" t="str">
        <f t="shared" si="148"/>
        <v/>
      </c>
      <c r="M1912" s="31" t="str">
        <f t="shared" si="149"/>
        <v/>
      </c>
    </row>
    <row r="1913" spans="1:13" x14ac:dyDescent="0.15">
      <c r="A1913" s="163" t="s">
        <v>210</v>
      </c>
      <c r="B1913" s="163">
        <v>42325.768544675928</v>
      </c>
      <c r="C1913" s="164" t="s">
        <v>123</v>
      </c>
      <c r="D1913" s="164" t="s">
        <v>13</v>
      </c>
      <c r="E1913" s="165">
        <v>40</v>
      </c>
      <c r="F1913" s="166">
        <v>0</v>
      </c>
      <c r="G1913" s="227">
        <f>IF($B$2,IF(ROWS(B$6:$B1913) = 1,$B1913-Start_Date,$B1913-$B1912),"")</f>
        <v>4.9400000003515743E-2</v>
      </c>
      <c r="H1913" s="29">
        <f>IF($B$2,IF(ROWS(B$6:$B1913) = 1,IF(COUNTIFS(R_Schedule_Times,"&lt;"&amp;B1913),INDEX(R_Schedule_Amounts,MATCH(B1913,R_Schedule_Times,1)),Starting_Cash),IF(COUNTIFS(R_Schedule_Times,"&gt;"&amp;B1912,R_Schedule_Times,"&lt;"&amp;B1913),INDEX(R_Schedule_Amounts,MATCH(B1913,R_Schedule_Times,1)),K1912)),"")</f>
        <v>4000</v>
      </c>
      <c r="I1913" s="30">
        <f t="shared" si="145"/>
        <v>40</v>
      </c>
      <c r="J1913" s="31">
        <f t="shared" si="146"/>
        <v>0</v>
      </c>
      <c r="K1913" s="29">
        <f t="shared" si="147"/>
        <v>3960</v>
      </c>
      <c r="L1913" s="31" t="str">
        <f t="shared" si="148"/>
        <v/>
      </c>
      <c r="M1913" s="31" t="str">
        <f t="shared" si="149"/>
        <v/>
      </c>
    </row>
    <row r="1914" spans="1:13" x14ac:dyDescent="0.15">
      <c r="A1914" s="163" t="s">
        <v>210</v>
      </c>
      <c r="B1914" s="163">
        <v>42325.874322766205</v>
      </c>
      <c r="C1914" s="164" t="s">
        <v>449</v>
      </c>
      <c r="D1914" s="164" t="s">
        <v>13</v>
      </c>
      <c r="E1914" s="165">
        <v>500</v>
      </c>
      <c r="F1914" s="166">
        <v>0</v>
      </c>
      <c r="G1914" s="227">
        <f>IF($B$2,IF(ROWS(B$6:$B1914) = 1,$B1914-Start_Date,$B1914-$B1913),"")</f>
        <v>0.10577809027745388</v>
      </c>
      <c r="H1914" s="29">
        <f>IF($B$2,IF(ROWS(B$6:$B1914) = 1,IF(COUNTIFS(R_Schedule_Times,"&lt;"&amp;B1914),INDEX(R_Schedule_Amounts,MATCH(B1914,R_Schedule_Times,1)),Starting_Cash),IF(COUNTIFS(R_Schedule_Times,"&gt;"&amp;B1913,R_Schedule_Times,"&lt;"&amp;B1914),INDEX(R_Schedule_Amounts,MATCH(B1914,R_Schedule_Times,1)),K1913)),"")</f>
        <v>3960</v>
      </c>
      <c r="I1914" s="30">
        <f t="shared" si="145"/>
        <v>500</v>
      </c>
      <c r="J1914" s="31">
        <f t="shared" si="146"/>
        <v>0</v>
      </c>
      <c r="K1914" s="29">
        <f t="shared" si="147"/>
        <v>3460</v>
      </c>
      <c r="L1914" s="31" t="str">
        <f t="shared" si="148"/>
        <v/>
      </c>
      <c r="M1914" s="31" t="str">
        <f t="shared" si="149"/>
        <v/>
      </c>
    </row>
    <row r="1915" spans="1:13" x14ac:dyDescent="0.15">
      <c r="A1915" s="163" t="s">
        <v>210</v>
      </c>
      <c r="B1915" s="163">
        <v>42325.999572696761</v>
      </c>
      <c r="C1915" s="164" t="s">
        <v>1871</v>
      </c>
      <c r="D1915" s="164" t="s">
        <v>13</v>
      </c>
      <c r="E1915" s="165">
        <v>60</v>
      </c>
      <c r="F1915" s="166">
        <v>0</v>
      </c>
      <c r="G1915" s="227">
        <f>IF($B$2,IF(ROWS(B$6:$B1915) = 1,$B1915-Start_Date,$B1915-$B1914),"")</f>
        <v>0.12524993055558298</v>
      </c>
      <c r="H1915" s="29">
        <f>IF($B$2,IF(ROWS(B$6:$B1915) = 1,IF(COUNTIFS(R_Schedule_Times,"&lt;"&amp;B1915),INDEX(R_Schedule_Amounts,MATCH(B1915,R_Schedule_Times,1)),Starting_Cash),IF(COUNTIFS(R_Schedule_Times,"&gt;"&amp;B1914,R_Schedule_Times,"&lt;"&amp;B1915),INDEX(R_Schedule_Amounts,MATCH(B1915,R_Schedule_Times,1)),K1914)),"")</f>
        <v>3460</v>
      </c>
      <c r="I1915" s="30">
        <f t="shared" si="145"/>
        <v>60</v>
      </c>
      <c r="J1915" s="31">
        <f t="shared" si="146"/>
        <v>0</v>
      </c>
      <c r="K1915" s="29">
        <f t="shared" si="147"/>
        <v>3400</v>
      </c>
      <c r="L1915" s="31" t="str">
        <f t="shared" si="148"/>
        <v/>
      </c>
      <c r="M1915" s="31" t="str">
        <f t="shared" si="149"/>
        <v/>
      </c>
    </row>
    <row r="1916" spans="1:13" x14ac:dyDescent="0.15">
      <c r="A1916" s="163" t="s">
        <v>210</v>
      </c>
      <c r="B1916" s="163">
        <v>42326.262251400462</v>
      </c>
      <c r="C1916" s="164" t="s">
        <v>1872</v>
      </c>
      <c r="D1916" s="164" t="s">
        <v>13</v>
      </c>
      <c r="E1916" s="165">
        <v>100</v>
      </c>
      <c r="F1916" s="166">
        <v>0</v>
      </c>
      <c r="G1916" s="227">
        <f>IF($B$2,IF(ROWS(B$6:$B1916) = 1,$B1916-Start_Date,$B1916-$B1915),"")</f>
        <v>0.26267870370065793</v>
      </c>
      <c r="H1916" s="29">
        <f>IF($B$2,IF(ROWS(B$6:$B1916) = 1,IF(COUNTIFS(R_Schedule_Times,"&lt;"&amp;B1916),INDEX(R_Schedule_Amounts,MATCH(B1916,R_Schedule_Times,1)),Starting_Cash),IF(COUNTIFS(R_Schedule_Times,"&gt;"&amp;B1915,R_Schedule_Times,"&lt;"&amp;B1916),INDEX(R_Schedule_Amounts,MATCH(B1916,R_Schedule_Times,1)),K1915)),"")</f>
        <v>3400</v>
      </c>
      <c r="I1916" s="30">
        <f t="shared" si="145"/>
        <v>100</v>
      </c>
      <c r="J1916" s="31">
        <f t="shared" si="146"/>
        <v>0</v>
      </c>
      <c r="K1916" s="29">
        <f t="shared" si="147"/>
        <v>3300</v>
      </c>
      <c r="L1916" s="31" t="str">
        <f t="shared" si="148"/>
        <v/>
      </c>
      <c r="M1916" s="31" t="str">
        <f t="shared" si="149"/>
        <v/>
      </c>
    </row>
    <row r="1917" spans="1:13" x14ac:dyDescent="0.15">
      <c r="A1917" s="163" t="s">
        <v>210</v>
      </c>
      <c r="B1917" s="163">
        <v>42326.297547187503</v>
      </c>
      <c r="C1917" s="164" t="s">
        <v>1873</v>
      </c>
      <c r="D1917" s="164" t="s">
        <v>13</v>
      </c>
      <c r="E1917" s="165">
        <v>60</v>
      </c>
      <c r="F1917" s="166">
        <v>0</v>
      </c>
      <c r="G1917" s="227">
        <f>IF($B$2,IF(ROWS(B$6:$B1917) = 1,$B1917-Start_Date,$B1917-$B1916),"")</f>
        <v>3.5295787041832227E-2</v>
      </c>
      <c r="H1917" s="29">
        <f>IF($B$2,IF(ROWS(B$6:$B1917) = 1,IF(COUNTIFS(R_Schedule_Times,"&lt;"&amp;B1917),INDEX(R_Schedule_Amounts,MATCH(B1917,R_Schedule_Times,1)),Starting_Cash),IF(COUNTIFS(R_Schedule_Times,"&gt;"&amp;B1916,R_Schedule_Times,"&lt;"&amp;B1917),INDEX(R_Schedule_Amounts,MATCH(B1917,R_Schedule_Times,1)),K1916)),"")</f>
        <v>3300</v>
      </c>
      <c r="I1917" s="30">
        <f t="shared" si="145"/>
        <v>60</v>
      </c>
      <c r="J1917" s="31">
        <f t="shared" si="146"/>
        <v>0</v>
      </c>
      <c r="K1917" s="29">
        <f t="shared" si="147"/>
        <v>3240</v>
      </c>
      <c r="L1917" s="31" t="str">
        <f t="shared" si="148"/>
        <v/>
      </c>
      <c r="M1917" s="31" t="str">
        <f t="shared" si="149"/>
        <v/>
      </c>
    </row>
    <row r="1918" spans="1:13" x14ac:dyDescent="0.15">
      <c r="A1918" s="163" t="s">
        <v>210</v>
      </c>
      <c r="B1918" s="163">
        <v>42326.312798703701</v>
      </c>
      <c r="C1918" s="164" t="s">
        <v>313</v>
      </c>
      <c r="D1918" s="164" t="s">
        <v>13</v>
      </c>
      <c r="E1918" s="165">
        <v>200</v>
      </c>
      <c r="F1918" s="166">
        <v>0</v>
      </c>
      <c r="G1918" s="227">
        <f>IF($B$2,IF(ROWS(B$6:$B1918) = 1,$B1918-Start_Date,$B1918-$B1917),"")</f>
        <v>1.5251516197167803E-2</v>
      </c>
      <c r="H1918" s="29">
        <f>IF($B$2,IF(ROWS(B$6:$B1918) = 1,IF(COUNTIFS(R_Schedule_Times,"&lt;"&amp;B1918),INDEX(R_Schedule_Amounts,MATCH(B1918,R_Schedule_Times,1)),Starting_Cash),IF(COUNTIFS(R_Schedule_Times,"&gt;"&amp;B1917,R_Schedule_Times,"&lt;"&amp;B1918),INDEX(R_Schedule_Amounts,MATCH(B1918,R_Schedule_Times,1)),K1917)),"")</f>
        <v>3240</v>
      </c>
      <c r="I1918" s="30">
        <f t="shared" si="145"/>
        <v>200</v>
      </c>
      <c r="J1918" s="31">
        <f t="shared" si="146"/>
        <v>0</v>
      </c>
      <c r="K1918" s="29">
        <f t="shared" si="147"/>
        <v>3040</v>
      </c>
      <c r="L1918" s="31" t="str">
        <f t="shared" si="148"/>
        <v/>
      </c>
      <c r="M1918" s="31" t="str">
        <f t="shared" si="149"/>
        <v/>
      </c>
    </row>
    <row r="1919" spans="1:13" x14ac:dyDescent="0.15">
      <c r="A1919" s="163" t="s">
        <v>210</v>
      </c>
      <c r="B1919" s="163">
        <v>42326.326586516203</v>
      </c>
      <c r="C1919" s="164" t="s">
        <v>1874</v>
      </c>
      <c r="D1919" s="164" t="s">
        <v>13</v>
      </c>
      <c r="E1919" s="165">
        <v>100</v>
      </c>
      <c r="F1919" s="166">
        <v>0</v>
      </c>
      <c r="G1919" s="227">
        <f>IF($B$2,IF(ROWS(B$6:$B1919) = 1,$B1919-Start_Date,$B1919-$B1918),"")</f>
        <v>1.3787812502414454E-2</v>
      </c>
      <c r="H1919" s="29">
        <f>IF($B$2,IF(ROWS(B$6:$B1919) = 1,IF(COUNTIFS(R_Schedule_Times,"&lt;"&amp;B1919),INDEX(R_Schedule_Amounts,MATCH(B1919,R_Schedule_Times,1)),Starting_Cash),IF(COUNTIFS(R_Schedule_Times,"&gt;"&amp;B1918,R_Schedule_Times,"&lt;"&amp;B1919),INDEX(R_Schedule_Amounts,MATCH(B1919,R_Schedule_Times,1)),K1918)),"")</f>
        <v>3040</v>
      </c>
      <c r="I1919" s="30">
        <f t="shared" si="145"/>
        <v>100</v>
      </c>
      <c r="J1919" s="31">
        <f t="shared" si="146"/>
        <v>0</v>
      </c>
      <c r="K1919" s="29">
        <f t="shared" si="147"/>
        <v>2940</v>
      </c>
      <c r="L1919" s="31" t="str">
        <f t="shared" si="148"/>
        <v/>
      </c>
      <c r="M1919" s="31" t="str">
        <f t="shared" si="149"/>
        <v/>
      </c>
    </row>
    <row r="1920" spans="1:13" x14ac:dyDescent="0.15">
      <c r="A1920" s="163" t="s">
        <v>210</v>
      </c>
      <c r="B1920" s="163">
        <v>42326.331498831016</v>
      </c>
      <c r="C1920" s="164" t="s">
        <v>450</v>
      </c>
      <c r="D1920" s="164" t="s">
        <v>13</v>
      </c>
      <c r="E1920" s="165">
        <v>200</v>
      </c>
      <c r="F1920" s="166">
        <v>0</v>
      </c>
      <c r="G1920" s="227">
        <f>IF($B$2,IF(ROWS(B$6:$B1920) = 1,$B1920-Start_Date,$B1920-$B1919),"")</f>
        <v>4.9123148128273897E-3</v>
      </c>
      <c r="H1920" s="29">
        <f>IF($B$2,IF(ROWS(B$6:$B1920) = 1,IF(COUNTIFS(R_Schedule_Times,"&lt;"&amp;B1920),INDEX(R_Schedule_Amounts,MATCH(B1920,R_Schedule_Times,1)),Starting_Cash),IF(COUNTIFS(R_Schedule_Times,"&gt;"&amp;B1919,R_Schedule_Times,"&lt;"&amp;B1920),INDEX(R_Schedule_Amounts,MATCH(B1920,R_Schedule_Times,1)),K1919)),"")</f>
        <v>2940</v>
      </c>
      <c r="I1920" s="30">
        <f t="shared" si="145"/>
        <v>200</v>
      </c>
      <c r="J1920" s="31">
        <f t="shared" si="146"/>
        <v>0</v>
      </c>
      <c r="K1920" s="29">
        <f t="shared" si="147"/>
        <v>2740</v>
      </c>
      <c r="L1920" s="31" t="str">
        <f t="shared" si="148"/>
        <v/>
      </c>
      <c r="M1920" s="31" t="str">
        <f t="shared" si="149"/>
        <v/>
      </c>
    </row>
    <row r="1921" spans="1:13" x14ac:dyDescent="0.15">
      <c r="A1921" s="163" t="s">
        <v>210</v>
      </c>
      <c r="B1921" s="163">
        <v>42326.348467557873</v>
      </c>
      <c r="C1921" s="164" t="s">
        <v>14</v>
      </c>
      <c r="D1921" s="164" t="s">
        <v>13</v>
      </c>
      <c r="E1921" s="165">
        <v>20</v>
      </c>
      <c r="F1921" s="166">
        <v>3.5</v>
      </c>
      <c r="G1921" s="227">
        <f>IF($B$2,IF(ROWS(B$6:$B1921) = 1,$B1921-Start_Date,$B1921-$B1920),"")</f>
        <v>1.696872685715789E-2</v>
      </c>
      <c r="H1921" s="29">
        <f>IF($B$2,IF(ROWS(B$6:$B1921) = 1,IF(COUNTIFS(R_Schedule_Times,"&lt;"&amp;B1921),INDEX(R_Schedule_Amounts,MATCH(B1921,R_Schedule_Times,1)),Starting_Cash),IF(COUNTIFS(R_Schedule_Times,"&gt;"&amp;B1920,R_Schedule_Times,"&lt;"&amp;B1921),INDEX(R_Schedule_Amounts,MATCH(B1921,R_Schedule_Times,1)),K1920)),"")</f>
        <v>2740</v>
      </c>
      <c r="I1921" s="30">
        <f t="shared" si="145"/>
        <v>20</v>
      </c>
      <c r="J1921" s="31">
        <f t="shared" si="146"/>
        <v>3.5</v>
      </c>
      <c r="K1921" s="29">
        <f t="shared" si="147"/>
        <v>2720</v>
      </c>
      <c r="L1921" s="31" t="str">
        <f t="shared" si="148"/>
        <v/>
      </c>
      <c r="M1921" s="31" t="str">
        <f t="shared" si="149"/>
        <v/>
      </c>
    </row>
    <row r="1922" spans="1:13" x14ac:dyDescent="0.15">
      <c r="A1922" s="163" t="s">
        <v>210</v>
      </c>
      <c r="B1922" s="163">
        <v>42326.362925833331</v>
      </c>
      <c r="C1922" s="164" t="s">
        <v>1875</v>
      </c>
      <c r="D1922" s="164" t="s">
        <v>13</v>
      </c>
      <c r="E1922" s="165">
        <v>40</v>
      </c>
      <c r="F1922" s="166">
        <v>0</v>
      </c>
      <c r="G1922" s="227">
        <f>IF($B$2,IF(ROWS(B$6:$B1922) = 1,$B1922-Start_Date,$B1922-$B1921),"")</f>
        <v>1.4458275458309799E-2</v>
      </c>
      <c r="H1922" s="29">
        <f>IF($B$2,IF(ROWS(B$6:$B1922) = 1,IF(COUNTIFS(R_Schedule_Times,"&lt;"&amp;B1922),INDEX(R_Schedule_Amounts,MATCH(B1922,R_Schedule_Times,1)),Starting_Cash),IF(COUNTIFS(R_Schedule_Times,"&gt;"&amp;B1921,R_Schedule_Times,"&lt;"&amp;B1922),INDEX(R_Schedule_Amounts,MATCH(B1922,R_Schedule_Times,1)),K1921)),"")</f>
        <v>2720</v>
      </c>
      <c r="I1922" s="30">
        <f t="shared" si="145"/>
        <v>40</v>
      </c>
      <c r="J1922" s="31">
        <f t="shared" si="146"/>
        <v>0</v>
      </c>
      <c r="K1922" s="29">
        <f t="shared" si="147"/>
        <v>2680</v>
      </c>
      <c r="L1922" s="31" t="str">
        <f t="shared" si="148"/>
        <v/>
      </c>
      <c r="M1922" s="31" t="str">
        <f t="shared" si="149"/>
        <v/>
      </c>
    </row>
    <row r="1923" spans="1:13" x14ac:dyDescent="0.15">
      <c r="A1923" s="163" t="s">
        <v>210</v>
      </c>
      <c r="B1923" s="163">
        <v>42326.374984965281</v>
      </c>
      <c r="C1923" s="164" t="s">
        <v>1876</v>
      </c>
      <c r="D1923" s="164" t="s">
        <v>13</v>
      </c>
      <c r="E1923" s="165">
        <v>140</v>
      </c>
      <c r="F1923" s="166">
        <v>0</v>
      </c>
      <c r="G1923" s="227">
        <f>IF($B$2,IF(ROWS(B$6:$B1923) = 1,$B1923-Start_Date,$B1923-$B1922),"")</f>
        <v>1.2059131950081792E-2</v>
      </c>
      <c r="H1923" s="29">
        <f>IF($B$2,IF(ROWS(B$6:$B1923) = 1,IF(COUNTIFS(R_Schedule_Times,"&lt;"&amp;B1923),INDEX(R_Schedule_Amounts,MATCH(B1923,R_Schedule_Times,1)),Starting_Cash),IF(COUNTIFS(R_Schedule_Times,"&gt;"&amp;B1922,R_Schedule_Times,"&lt;"&amp;B1923),INDEX(R_Schedule_Amounts,MATCH(B1923,R_Schedule_Times,1)),K1922)),"")</f>
        <v>2680</v>
      </c>
      <c r="I1923" s="30">
        <f t="shared" si="145"/>
        <v>140</v>
      </c>
      <c r="J1923" s="31">
        <f t="shared" si="146"/>
        <v>0</v>
      </c>
      <c r="K1923" s="29">
        <f t="shared" si="147"/>
        <v>2540</v>
      </c>
      <c r="L1923" s="31" t="str">
        <f t="shared" si="148"/>
        <v/>
      </c>
      <c r="M1923" s="31" t="str">
        <f t="shared" si="149"/>
        <v/>
      </c>
    </row>
    <row r="1924" spans="1:13" x14ac:dyDescent="0.15">
      <c r="A1924" s="163" t="s">
        <v>210</v>
      </c>
      <c r="B1924" s="163">
        <v>42326.379236886576</v>
      </c>
      <c r="C1924" s="164" t="s">
        <v>451</v>
      </c>
      <c r="D1924" s="164" t="s">
        <v>13</v>
      </c>
      <c r="E1924" s="165">
        <v>40</v>
      </c>
      <c r="F1924" s="166">
        <v>0</v>
      </c>
      <c r="G1924" s="227">
        <f>IF($B$2,IF(ROWS(B$6:$B1924) = 1,$B1924-Start_Date,$B1924-$B1923),"")</f>
        <v>4.2519212947809137E-3</v>
      </c>
      <c r="H1924" s="29">
        <f>IF($B$2,IF(ROWS(B$6:$B1924) = 1,IF(COUNTIFS(R_Schedule_Times,"&lt;"&amp;B1924),INDEX(R_Schedule_Amounts,MATCH(B1924,R_Schedule_Times,1)),Starting_Cash),IF(COUNTIFS(R_Schedule_Times,"&gt;"&amp;B1923,R_Schedule_Times,"&lt;"&amp;B1924),INDEX(R_Schedule_Amounts,MATCH(B1924,R_Schedule_Times,1)),K1923)),"")</f>
        <v>2540</v>
      </c>
      <c r="I1924" s="30">
        <f t="shared" si="145"/>
        <v>40</v>
      </c>
      <c r="J1924" s="31">
        <f t="shared" si="146"/>
        <v>0</v>
      </c>
      <c r="K1924" s="29">
        <f t="shared" si="147"/>
        <v>2500</v>
      </c>
      <c r="L1924" s="31" t="str">
        <f t="shared" si="148"/>
        <v/>
      </c>
      <c r="M1924" s="31" t="str">
        <f t="shared" si="149"/>
        <v/>
      </c>
    </row>
    <row r="1925" spans="1:13" x14ac:dyDescent="0.15">
      <c r="A1925" s="163" t="s">
        <v>210</v>
      </c>
      <c r="B1925" s="163">
        <v>42326.383934328704</v>
      </c>
      <c r="C1925" s="164" t="s">
        <v>1877</v>
      </c>
      <c r="D1925" s="164" t="s">
        <v>13</v>
      </c>
      <c r="E1925" s="165">
        <v>60</v>
      </c>
      <c r="F1925" s="166">
        <v>0</v>
      </c>
      <c r="G1925" s="227">
        <f>IF($B$2,IF(ROWS(B$6:$B1925) = 1,$B1925-Start_Date,$B1925-$B1924),"")</f>
        <v>4.6974421275081113E-3</v>
      </c>
      <c r="H1925" s="29">
        <f>IF($B$2,IF(ROWS(B$6:$B1925) = 1,IF(COUNTIFS(R_Schedule_Times,"&lt;"&amp;B1925),INDEX(R_Schedule_Amounts,MATCH(B1925,R_Schedule_Times,1)),Starting_Cash),IF(COUNTIFS(R_Schedule_Times,"&gt;"&amp;B1924,R_Schedule_Times,"&lt;"&amp;B1925),INDEX(R_Schedule_Amounts,MATCH(B1925,R_Schedule_Times,1)),K1924)),"")</f>
        <v>2500</v>
      </c>
      <c r="I1925" s="30">
        <f t="shared" si="145"/>
        <v>60</v>
      </c>
      <c r="J1925" s="31">
        <f t="shared" si="146"/>
        <v>0</v>
      </c>
      <c r="K1925" s="29">
        <f t="shared" si="147"/>
        <v>2440</v>
      </c>
      <c r="L1925" s="31" t="str">
        <f t="shared" si="148"/>
        <v/>
      </c>
      <c r="M1925" s="31" t="str">
        <f t="shared" si="149"/>
        <v/>
      </c>
    </row>
    <row r="1926" spans="1:13" x14ac:dyDescent="0.15">
      <c r="A1926" s="163" t="s">
        <v>210</v>
      </c>
      <c r="B1926" s="163">
        <v>42326.425835532405</v>
      </c>
      <c r="C1926" s="164" t="s">
        <v>14</v>
      </c>
      <c r="D1926" s="164" t="s">
        <v>13</v>
      </c>
      <c r="E1926" s="165">
        <v>60</v>
      </c>
      <c r="F1926" s="166">
        <v>3.5</v>
      </c>
      <c r="G1926" s="227">
        <f>IF($B$2,IF(ROWS(B$6:$B1926) = 1,$B1926-Start_Date,$B1926-$B1925),"")</f>
        <v>4.1901203701854683E-2</v>
      </c>
      <c r="H1926" s="29">
        <f>IF($B$2,IF(ROWS(B$6:$B1926) = 1,IF(COUNTIFS(R_Schedule_Times,"&lt;"&amp;B1926),INDEX(R_Schedule_Amounts,MATCH(B1926,R_Schedule_Times,1)),Starting_Cash),IF(COUNTIFS(R_Schedule_Times,"&gt;"&amp;B1925,R_Schedule_Times,"&lt;"&amp;B1926),INDEX(R_Schedule_Amounts,MATCH(B1926,R_Schedule_Times,1)),K1925)),"")</f>
        <v>2440</v>
      </c>
      <c r="I1926" s="30">
        <f t="shared" si="145"/>
        <v>60</v>
      </c>
      <c r="J1926" s="31">
        <f t="shared" si="146"/>
        <v>3.5</v>
      </c>
      <c r="K1926" s="29">
        <f t="shared" si="147"/>
        <v>2380</v>
      </c>
      <c r="L1926" s="31" t="str">
        <f t="shared" si="148"/>
        <v/>
      </c>
      <c r="M1926" s="31" t="str">
        <f t="shared" si="149"/>
        <v/>
      </c>
    </row>
    <row r="1927" spans="1:13" x14ac:dyDescent="0.15">
      <c r="A1927" s="163" t="s">
        <v>210</v>
      </c>
      <c r="B1927" s="163">
        <v>42326.474979004626</v>
      </c>
      <c r="C1927" s="164" t="s">
        <v>1878</v>
      </c>
      <c r="D1927" s="164" t="s">
        <v>13</v>
      </c>
      <c r="E1927" s="165">
        <v>100</v>
      </c>
      <c r="F1927" s="166">
        <v>0</v>
      </c>
      <c r="G1927" s="227">
        <f>IF($B$2,IF(ROWS(B$6:$B1927) = 1,$B1927-Start_Date,$B1927-$B1926),"")</f>
        <v>4.9143472220748663E-2</v>
      </c>
      <c r="H1927" s="29">
        <f>IF($B$2,IF(ROWS(B$6:$B1927) = 1,IF(COUNTIFS(R_Schedule_Times,"&lt;"&amp;B1927),INDEX(R_Schedule_Amounts,MATCH(B1927,R_Schedule_Times,1)),Starting_Cash),IF(COUNTIFS(R_Schedule_Times,"&gt;"&amp;B1926,R_Schedule_Times,"&lt;"&amp;B1927),INDEX(R_Schedule_Amounts,MATCH(B1927,R_Schedule_Times,1)),K1926)),"")</f>
        <v>2380</v>
      </c>
      <c r="I1927" s="30">
        <f t="shared" ref="I1927:I1990" si="150">IF($B$2,IF(H1927&gt;=E1927,E1927,0),"")</f>
        <v>100</v>
      </c>
      <c r="J1927" s="31">
        <f t="shared" ref="J1927:J1990" si="151">IF($B$2,IF(H1927&gt;=E1927,F1927,0),"")</f>
        <v>0</v>
      </c>
      <c r="K1927" s="29">
        <f t="shared" ref="K1927:K1990" si="152">IF($B$2,ABS(I1927-H1927),"")</f>
        <v>2280</v>
      </c>
      <c r="L1927" s="31" t="str">
        <f t="shared" ref="L1927:L1990" si="153">IF($B$2,IF(H1927&lt;E1927,"YES",""),"")</f>
        <v/>
      </c>
      <c r="M1927" s="31" t="str">
        <f t="shared" ref="M1927:M1990" si="154">IF($B$2,IF(L1927="YES",F1927,""),"")</f>
        <v/>
      </c>
    </row>
    <row r="1928" spans="1:13" x14ac:dyDescent="0.15">
      <c r="A1928" s="163" t="s">
        <v>210</v>
      </c>
      <c r="B1928" s="163">
        <v>42326.47893099537</v>
      </c>
      <c r="C1928" s="164" t="s">
        <v>1879</v>
      </c>
      <c r="D1928" s="164" t="s">
        <v>13</v>
      </c>
      <c r="E1928" s="165">
        <v>100</v>
      </c>
      <c r="F1928" s="166">
        <v>0</v>
      </c>
      <c r="G1928" s="227">
        <f>IF($B$2,IF(ROWS(B$6:$B1928) = 1,$B1928-Start_Date,$B1928-$B1927),"")</f>
        <v>3.951990744099021E-3</v>
      </c>
      <c r="H1928" s="29">
        <f>IF($B$2,IF(ROWS(B$6:$B1928) = 1,IF(COUNTIFS(R_Schedule_Times,"&lt;"&amp;B1928),INDEX(R_Schedule_Amounts,MATCH(B1928,R_Schedule_Times,1)),Starting_Cash),IF(COUNTIFS(R_Schedule_Times,"&gt;"&amp;B1927,R_Schedule_Times,"&lt;"&amp;B1928),INDEX(R_Schedule_Amounts,MATCH(B1928,R_Schedule_Times,1)),K1927)),"")</f>
        <v>2280</v>
      </c>
      <c r="I1928" s="30">
        <f t="shared" si="150"/>
        <v>100</v>
      </c>
      <c r="J1928" s="31">
        <f t="shared" si="151"/>
        <v>0</v>
      </c>
      <c r="K1928" s="29">
        <f t="shared" si="152"/>
        <v>2180</v>
      </c>
      <c r="L1928" s="31" t="str">
        <f t="shared" si="153"/>
        <v/>
      </c>
      <c r="M1928" s="31" t="str">
        <f t="shared" si="154"/>
        <v/>
      </c>
    </row>
    <row r="1929" spans="1:13" x14ac:dyDescent="0.15">
      <c r="A1929" s="163" t="s">
        <v>210</v>
      </c>
      <c r="B1929" s="163">
        <v>42326.48468869213</v>
      </c>
      <c r="C1929" s="164" t="s">
        <v>1880</v>
      </c>
      <c r="D1929" s="164" t="s">
        <v>13</v>
      </c>
      <c r="E1929" s="165">
        <v>100</v>
      </c>
      <c r="F1929" s="166">
        <v>0</v>
      </c>
      <c r="G1929" s="227">
        <f>IF($B$2,IF(ROWS(B$6:$B1929) = 1,$B1929-Start_Date,$B1929-$B1928),"")</f>
        <v>5.7576967592467554E-3</v>
      </c>
      <c r="H1929" s="29">
        <f>IF($B$2,IF(ROWS(B$6:$B1929) = 1,IF(COUNTIFS(R_Schedule_Times,"&lt;"&amp;B1929),INDEX(R_Schedule_Amounts,MATCH(B1929,R_Schedule_Times,1)),Starting_Cash),IF(COUNTIFS(R_Schedule_Times,"&gt;"&amp;B1928,R_Schedule_Times,"&lt;"&amp;B1929),INDEX(R_Schedule_Amounts,MATCH(B1929,R_Schedule_Times,1)),K1928)),"")</f>
        <v>2180</v>
      </c>
      <c r="I1929" s="30">
        <f t="shared" si="150"/>
        <v>100</v>
      </c>
      <c r="J1929" s="31">
        <f t="shared" si="151"/>
        <v>0</v>
      </c>
      <c r="K1929" s="29">
        <f t="shared" si="152"/>
        <v>2080</v>
      </c>
      <c r="L1929" s="31" t="str">
        <f t="shared" si="153"/>
        <v/>
      </c>
      <c r="M1929" s="31" t="str">
        <f t="shared" si="154"/>
        <v/>
      </c>
    </row>
    <row r="1930" spans="1:13" x14ac:dyDescent="0.15">
      <c r="A1930" s="163" t="s">
        <v>210</v>
      </c>
      <c r="B1930" s="163">
        <v>42326.525048275464</v>
      </c>
      <c r="C1930" s="164" t="s">
        <v>1881</v>
      </c>
      <c r="D1930" s="164" t="s">
        <v>13</v>
      </c>
      <c r="E1930" s="165">
        <v>60</v>
      </c>
      <c r="F1930" s="166">
        <v>0</v>
      </c>
      <c r="G1930" s="227">
        <f>IF($B$2,IF(ROWS(B$6:$B1930) = 1,$B1930-Start_Date,$B1930-$B1929),"")</f>
        <v>4.0359583334065974E-2</v>
      </c>
      <c r="H1930" s="29">
        <f>IF($B$2,IF(ROWS(B$6:$B1930) = 1,IF(COUNTIFS(R_Schedule_Times,"&lt;"&amp;B1930),INDEX(R_Schedule_Amounts,MATCH(B1930,R_Schedule_Times,1)),Starting_Cash),IF(COUNTIFS(R_Schedule_Times,"&gt;"&amp;B1929,R_Schedule_Times,"&lt;"&amp;B1930),INDEX(R_Schedule_Amounts,MATCH(B1930,R_Schedule_Times,1)),K1929)),"")</f>
        <v>2080</v>
      </c>
      <c r="I1930" s="30">
        <f t="shared" si="150"/>
        <v>60</v>
      </c>
      <c r="J1930" s="31">
        <f t="shared" si="151"/>
        <v>0</v>
      </c>
      <c r="K1930" s="29">
        <f t="shared" si="152"/>
        <v>2020</v>
      </c>
      <c r="L1930" s="31" t="str">
        <f t="shared" si="153"/>
        <v/>
      </c>
      <c r="M1930" s="31" t="str">
        <f t="shared" si="154"/>
        <v/>
      </c>
    </row>
    <row r="1931" spans="1:13" x14ac:dyDescent="0.15">
      <c r="A1931" s="163" t="s">
        <v>210</v>
      </c>
      <c r="B1931" s="163">
        <v>42326.592776226855</v>
      </c>
      <c r="C1931" s="164" t="s">
        <v>1386</v>
      </c>
      <c r="D1931" s="164" t="s">
        <v>13</v>
      </c>
      <c r="E1931" s="165">
        <v>100</v>
      </c>
      <c r="F1931" s="166">
        <v>0</v>
      </c>
      <c r="G1931" s="227">
        <f>IF($B$2,IF(ROWS(B$6:$B1931) = 1,$B1931-Start_Date,$B1931-$B1930),"")</f>
        <v>6.7727951391134411E-2</v>
      </c>
      <c r="H1931" s="29">
        <f>IF($B$2,IF(ROWS(B$6:$B1931) = 1,IF(COUNTIFS(R_Schedule_Times,"&lt;"&amp;B1931),INDEX(R_Schedule_Amounts,MATCH(B1931,R_Schedule_Times,1)),Starting_Cash),IF(COUNTIFS(R_Schedule_Times,"&gt;"&amp;B1930,R_Schedule_Times,"&lt;"&amp;B1931),INDEX(R_Schedule_Amounts,MATCH(B1931,R_Schedule_Times,1)),K1930)),"")</f>
        <v>2020</v>
      </c>
      <c r="I1931" s="30">
        <f t="shared" si="150"/>
        <v>100</v>
      </c>
      <c r="J1931" s="31">
        <f t="shared" si="151"/>
        <v>0</v>
      </c>
      <c r="K1931" s="29">
        <f t="shared" si="152"/>
        <v>1920</v>
      </c>
      <c r="L1931" s="31" t="str">
        <f t="shared" si="153"/>
        <v/>
      </c>
      <c r="M1931" s="31" t="str">
        <f t="shared" si="154"/>
        <v/>
      </c>
    </row>
    <row r="1932" spans="1:13" x14ac:dyDescent="0.15">
      <c r="A1932" s="163" t="s">
        <v>210</v>
      </c>
      <c r="B1932" s="163">
        <v>42326.618236678238</v>
      </c>
      <c r="C1932" s="164" t="s">
        <v>14</v>
      </c>
      <c r="D1932" s="164" t="s">
        <v>15</v>
      </c>
      <c r="E1932" s="165">
        <v>80</v>
      </c>
      <c r="F1932" s="166">
        <v>4.9000000000000004</v>
      </c>
      <c r="G1932" s="227">
        <f>IF($B$2,IF(ROWS(B$6:$B1932) = 1,$B1932-Start_Date,$B1932-$B1931),"")</f>
        <v>2.546045138296904E-2</v>
      </c>
      <c r="H1932" s="29">
        <f>IF($B$2,IF(ROWS(B$6:$B1932) = 1,IF(COUNTIFS(R_Schedule_Times,"&lt;"&amp;B1932),INDEX(R_Schedule_Amounts,MATCH(B1932,R_Schedule_Times,1)),Starting_Cash),IF(COUNTIFS(R_Schedule_Times,"&gt;"&amp;B1931,R_Schedule_Times,"&lt;"&amp;B1932),INDEX(R_Schedule_Amounts,MATCH(B1932,R_Schedule_Times,1)),K1931)),"")</f>
        <v>1920</v>
      </c>
      <c r="I1932" s="30">
        <f t="shared" si="150"/>
        <v>80</v>
      </c>
      <c r="J1932" s="31">
        <f t="shared" si="151"/>
        <v>4.9000000000000004</v>
      </c>
      <c r="K1932" s="29">
        <f t="shared" si="152"/>
        <v>1840</v>
      </c>
      <c r="L1932" s="31" t="str">
        <f t="shared" si="153"/>
        <v/>
      </c>
      <c r="M1932" s="31" t="str">
        <f t="shared" si="154"/>
        <v/>
      </c>
    </row>
    <row r="1933" spans="1:13" x14ac:dyDescent="0.15">
      <c r="A1933" s="163" t="s">
        <v>210</v>
      </c>
      <c r="B1933" s="163">
        <v>42326.631577685184</v>
      </c>
      <c r="C1933" s="164" t="s">
        <v>1882</v>
      </c>
      <c r="D1933" s="164" t="s">
        <v>13</v>
      </c>
      <c r="E1933" s="165">
        <v>40</v>
      </c>
      <c r="F1933" s="166">
        <v>0</v>
      </c>
      <c r="G1933" s="227">
        <f>IF($B$2,IF(ROWS(B$6:$B1933) = 1,$B1933-Start_Date,$B1933-$B1932),"")</f>
        <v>1.3341006946575362E-2</v>
      </c>
      <c r="H1933" s="29">
        <f>IF($B$2,IF(ROWS(B$6:$B1933) = 1,IF(COUNTIFS(R_Schedule_Times,"&lt;"&amp;B1933),INDEX(R_Schedule_Amounts,MATCH(B1933,R_Schedule_Times,1)),Starting_Cash),IF(COUNTIFS(R_Schedule_Times,"&gt;"&amp;B1932,R_Schedule_Times,"&lt;"&amp;B1933),INDEX(R_Schedule_Amounts,MATCH(B1933,R_Schedule_Times,1)),K1932)),"")</f>
        <v>1840</v>
      </c>
      <c r="I1933" s="30">
        <f t="shared" si="150"/>
        <v>40</v>
      </c>
      <c r="J1933" s="31">
        <f t="shared" si="151"/>
        <v>0</v>
      </c>
      <c r="K1933" s="29">
        <f t="shared" si="152"/>
        <v>1800</v>
      </c>
      <c r="L1933" s="31" t="str">
        <f t="shared" si="153"/>
        <v/>
      </c>
      <c r="M1933" s="31" t="str">
        <f t="shared" si="154"/>
        <v/>
      </c>
    </row>
    <row r="1934" spans="1:13" x14ac:dyDescent="0.15">
      <c r="A1934" s="163" t="s">
        <v>210</v>
      </c>
      <c r="B1934" s="163">
        <v>42326.656413668985</v>
      </c>
      <c r="C1934" s="164" t="s">
        <v>1016</v>
      </c>
      <c r="D1934" s="164" t="s">
        <v>13</v>
      </c>
      <c r="E1934" s="165">
        <v>200</v>
      </c>
      <c r="F1934" s="166">
        <v>0</v>
      </c>
      <c r="G1934" s="227">
        <f>IF($B$2,IF(ROWS(B$6:$B1934) = 1,$B1934-Start_Date,$B1934-$B1933),"")</f>
        <v>2.4835983800585382E-2</v>
      </c>
      <c r="H1934" s="29">
        <f>IF($B$2,IF(ROWS(B$6:$B1934) = 1,IF(COUNTIFS(R_Schedule_Times,"&lt;"&amp;B1934),INDEX(R_Schedule_Amounts,MATCH(B1934,R_Schedule_Times,1)),Starting_Cash),IF(COUNTIFS(R_Schedule_Times,"&gt;"&amp;B1933,R_Schedule_Times,"&lt;"&amp;B1934),INDEX(R_Schedule_Amounts,MATCH(B1934,R_Schedule_Times,1)),K1933)),"")</f>
        <v>1800</v>
      </c>
      <c r="I1934" s="30">
        <f t="shared" si="150"/>
        <v>200</v>
      </c>
      <c r="J1934" s="31">
        <f t="shared" si="151"/>
        <v>0</v>
      </c>
      <c r="K1934" s="29">
        <f t="shared" si="152"/>
        <v>1600</v>
      </c>
      <c r="L1934" s="31" t="str">
        <f t="shared" si="153"/>
        <v/>
      </c>
      <c r="M1934" s="31" t="str">
        <f t="shared" si="154"/>
        <v/>
      </c>
    </row>
    <row r="1935" spans="1:13" x14ac:dyDescent="0.15">
      <c r="A1935" s="163" t="s">
        <v>210</v>
      </c>
      <c r="B1935" s="163">
        <v>42326.662785069442</v>
      </c>
      <c r="C1935" s="164" t="s">
        <v>859</v>
      </c>
      <c r="D1935" s="164" t="s">
        <v>13</v>
      </c>
      <c r="E1935" s="165">
        <v>200</v>
      </c>
      <c r="F1935" s="166">
        <v>0</v>
      </c>
      <c r="G1935" s="227">
        <f>IF($B$2,IF(ROWS(B$6:$B1935) = 1,$B1935-Start_Date,$B1935-$B1934),"")</f>
        <v>6.3714004572830163E-3</v>
      </c>
      <c r="H1935" s="29">
        <f>IF($B$2,IF(ROWS(B$6:$B1935) = 1,IF(COUNTIFS(R_Schedule_Times,"&lt;"&amp;B1935),INDEX(R_Schedule_Amounts,MATCH(B1935,R_Schedule_Times,1)),Starting_Cash),IF(COUNTIFS(R_Schedule_Times,"&gt;"&amp;B1934,R_Schedule_Times,"&lt;"&amp;B1935),INDEX(R_Schedule_Amounts,MATCH(B1935,R_Schedule_Times,1)),K1934)),"")</f>
        <v>1600</v>
      </c>
      <c r="I1935" s="30">
        <f t="shared" si="150"/>
        <v>200</v>
      </c>
      <c r="J1935" s="31">
        <f t="shared" si="151"/>
        <v>0</v>
      </c>
      <c r="K1935" s="29">
        <f t="shared" si="152"/>
        <v>1400</v>
      </c>
      <c r="L1935" s="31" t="str">
        <f t="shared" si="153"/>
        <v/>
      </c>
      <c r="M1935" s="31" t="str">
        <f t="shared" si="154"/>
        <v/>
      </c>
    </row>
    <row r="1936" spans="1:13" x14ac:dyDescent="0.15">
      <c r="A1936" s="163" t="s">
        <v>210</v>
      </c>
      <c r="B1936" s="163">
        <v>42326.677163194443</v>
      </c>
      <c r="C1936" s="164" t="s">
        <v>14</v>
      </c>
      <c r="D1936" s="164" t="s">
        <v>13</v>
      </c>
      <c r="E1936" s="165">
        <v>60</v>
      </c>
      <c r="F1936" s="166">
        <v>3.5</v>
      </c>
      <c r="G1936" s="227">
        <f>IF($B$2,IF(ROWS(B$6:$B1936) = 1,$B1936-Start_Date,$B1936-$B1935),"")</f>
        <v>1.4378125000803266E-2</v>
      </c>
      <c r="H1936" s="29">
        <f>IF($B$2,IF(ROWS(B$6:$B1936) = 1,IF(COUNTIFS(R_Schedule_Times,"&lt;"&amp;B1936),INDEX(R_Schedule_Amounts,MATCH(B1936,R_Schedule_Times,1)),Starting_Cash),IF(COUNTIFS(R_Schedule_Times,"&gt;"&amp;B1935,R_Schedule_Times,"&lt;"&amp;B1936),INDEX(R_Schedule_Amounts,MATCH(B1936,R_Schedule_Times,1)),K1935)),"")</f>
        <v>1400</v>
      </c>
      <c r="I1936" s="30">
        <f t="shared" si="150"/>
        <v>60</v>
      </c>
      <c r="J1936" s="31">
        <f t="shared" si="151"/>
        <v>3.5</v>
      </c>
      <c r="K1936" s="29">
        <f t="shared" si="152"/>
        <v>1340</v>
      </c>
      <c r="L1936" s="31" t="str">
        <f t="shared" si="153"/>
        <v/>
      </c>
      <c r="M1936" s="31" t="str">
        <f t="shared" si="154"/>
        <v/>
      </c>
    </row>
    <row r="1937" spans="1:13" x14ac:dyDescent="0.15">
      <c r="A1937" s="163" t="s">
        <v>210</v>
      </c>
      <c r="B1937" s="163">
        <v>42326.68212755787</v>
      </c>
      <c r="C1937" s="164" t="s">
        <v>1883</v>
      </c>
      <c r="D1937" s="164" t="s">
        <v>13</v>
      </c>
      <c r="E1937" s="165">
        <v>80</v>
      </c>
      <c r="F1937" s="166">
        <v>0</v>
      </c>
      <c r="G1937" s="227">
        <f>IF($B$2,IF(ROWS(B$6:$B1937) = 1,$B1937-Start_Date,$B1937-$B1936),"")</f>
        <v>4.9643634265521541E-3</v>
      </c>
      <c r="H1937" s="29">
        <f>IF($B$2,IF(ROWS(B$6:$B1937) = 1,IF(COUNTIFS(R_Schedule_Times,"&lt;"&amp;B1937),INDEX(R_Schedule_Amounts,MATCH(B1937,R_Schedule_Times,1)),Starting_Cash),IF(COUNTIFS(R_Schedule_Times,"&gt;"&amp;B1936,R_Schedule_Times,"&lt;"&amp;B1937),INDEX(R_Schedule_Amounts,MATCH(B1937,R_Schedule_Times,1)),K1936)),"")</f>
        <v>1340</v>
      </c>
      <c r="I1937" s="30">
        <f t="shared" si="150"/>
        <v>80</v>
      </c>
      <c r="J1937" s="31">
        <f t="shared" si="151"/>
        <v>0</v>
      </c>
      <c r="K1937" s="29">
        <f t="shared" si="152"/>
        <v>1260</v>
      </c>
      <c r="L1937" s="31" t="str">
        <f t="shared" si="153"/>
        <v/>
      </c>
      <c r="M1937" s="31" t="str">
        <f t="shared" si="154"/>
        <v/>
      </c>
    </row>
    <row r="1938" spans="1:13" x14ac:dyDescent="0.15">
      <c r="A1938" s="163" t="s">
        <v>210</v>
      </c>
      <c r="B1938" s="163">
        <v>42326.714449155093</v>
      </c>
      <c r="C1938" s="164" t="s">
        <v>1884</v>
      </c>
      <c r="D1938" s="164" t="s">
        <v>13</v>
      </c>
      <c r="E1938" s="165">
        <v>60</v>
      </c>
      <c r="F1938" s="166">
        <v>0</v>
      </c>
      <c r="G1938" s="227">
        <f>IF($B$2,IF(ROWS(B$6:$B1938) = 1,$B1938-Start_Date,$B1938-$B1937),"")</f>
        <v>3.2321597223926801E-2</v>
      </c>
      <c r="H1938" s="29">
        <f>IF($B$2,IF(ROWS(B$6:$B1938) = 1,IF(COUNTIFS(R_Schedule_Times,"&lt;"&amp;B1938),INDEX(R_Schedule_Amounts,MATCH(B1938,R_Schedule_Times,1)),Starting_Cash),IF(COUNTIFS(R_Schedule_Times,"&gt;"&amp;B1937,R_Schedule_Times,"&lt;"&amp;B1938),INDEX(R_Schedule_Amounts,MATCH(B1938,R_Schedule_Times,1)),K1937)),"")</f>
        <v>20000</v>
      </c>
      <c r="I1938" s="30">
        <f t="shared" si="150"/>
        <v>60</v>
      </c>
      <c r="J1938" s="31">
        <f t="shared" si="151"/>
        <v>0</v>
      </c>
      <c r="K1938" s="29">
        <f t="shared" si="152"/>
        <v>19940</v>
      </c>
      <c r="L1938" s="31" t="str">
        <f t="shared" si="153"/>
        <v/>
      </c>
      <c r="M1938" s="31" t="str">
        <f t="shared" si="154"/>
        <v/>
      </c>
    </row>
    <row r="1939" spans="1:13" x14ac:dyDescent="0.15">
      <c r="A1939" s="163" t="s">
        <v>210</v>
      </c>
      <c r="B1939" s="163">
        <v>42326.715563113423</v>
      </c>
      <c r="C1939" s="164" t="s">
        <v>1827</v>
      </c>
      <c r="D1939" s="164" t="s">
        <v>13</v>
      </c>
      <c r="E1939" s="165">
        <v>140</v>
      </c>
      <c r="F1939" s="166">
        <v>0</v>
      </c>
      <c r="G1939" s="227">
        <f>IF($B$2,IF(ROWS(B$6:$B1939) = 1,$B1939-Start_Date,$B1939-$B1938),"")</f>
        <v>1.1139583293697797E-3</v>
      </c>
      <c r="H1939" s="29">
        <f>IF($B$2,IF(ROWS(B$6:$B1939) = 1,IF(COUNTIFS(R_Schedule_Times,"&lt;"&amp;B1939),INDEX(R_Schedule_Amounts,MATCH(B1939,R_Schedule_Times,1)),Starting_Cash),IF(COUNTIFS(R_Schedule_Times,"&gt;"&amp;B1938,R_Schedule_Times,"&lt;"&amp;B1939),INDEX(R_Schedule_Amounts,MATCH(B1939,R_Schedule_Times,1)),K1938)),"")</f>
        <v>19940</v>
      </c>
      <c r="I1939" s="30">
        <f t="shared" si="150"/>
        <v>140</v>
      </c>
      <c r="J1939" s="31">
        <f t="shared" si="151"/>
        <v>0</v>
      </c>
      <c r="K1939" s="29">
        <f t="shared" si="152"/>
        <v>19800</v>
      </c>
      <c r="L1939" s="31" t="str">
        <f t="shared" si="153"/>
        <v/>
      </c>
      <c r="M1939" s="31" t="str">
        <f t="shared" si="154"/>
        <v/>
      </c>
    </row>
    <row r="1940" spans="1:13" x14ac:dyDescent="0.15">
      <c r="A1940" s="163" t="s">
        <v>210</v>
      </c>
      <c r="B1940" s="163">
        <v>42326.7473374537</v>
      </c>
      <c r="C1940" s="164" t="s">
        <v>1885</v>
      </c>
      <c r="D1940" s="164" t="s">
        <v>13</v>
      </c>
      <c r="E1940" s="165">
        <v>200</v>
      </c>
      <c r="F1940" s="166">
        <v>0</v>
      </c>
      <c r="G1940" s="227">
        <f>IF($B$2,IF(ROWS(B$6:$B1940) = 1,$B1940-Start_Date,$B1940-$B1939),"")</f>
        <v>3.1774340277479496E-2</v>
      </c>
      <c r="H1940" s="29">
        <f>IF($B$2,IF(ROWS(B$6:$B1940) = 1,IF(COUNTIFS(R_Schedule_Times,"&lt;"&amp;B1940),INDEX(R_Schedule_Amounts,MATCH(B1940,R_Schedule_Times,1)),Starting_Cash),IF(COUNTIFS(R_Schedule_Times,"&gt;"&amp;B1939,R_Schedule_Times,"&lt;"&amp;B1940),INDEX(R_Schedule_Amounts,MATCH(B1940,R_Schedule_Times,1)),K1939)),"")</f>
        <v>19800</v>
      </c>
      <c r="I1940" s="30">
        <f t="shared" si="150"/>
        <v>200</v>
      </c>
      <c r="J1940" s="31">
        <f t="shared" si="151"/>
        <v>0</v>
      </c>
      <c r="K1940" s="29">
        <f t="shared" si="152"/>
        <v>19600</v>
      </c>
      <c r="L1940" s="31" t="str">
        <f t="shared" si="153"/>
        <v/>
      </c>
      <c r="M1940" s="31" t="str">
        <f t="shared" si="154"/>
        <v/>
      </c>
    </row>
    <row r="1941" spans="1:13" x14ac:dyDescent="0.15">
      <c r="A1941" s="163" t="s">
        <v>210</v>
      </c>
      <c r="B1941" s="163">
        <v>42326.756161446756</v>
      </c>
      <c r="C1941" s="164" t="s">
        <v>1886</v>
      </c>
      <c r="D1941" s="164" t="s">
        <v>13</v>
      </c>
      <c r="E1941" s="165">
        <v>40</v>
      </c>
      <c r="F1941" s="166">
        <v>0</v>
      </c>
      <c r="G1941" s="227">
        <f>IF($B$2,IF(ROWS(B$6:$B1941) = 1,$B1941-Start_Date,$B1941-$B1940),"")</f>
        <v>8.8239930555573665E-3</v>
      </c>
      <c r="H1941" s="29">
        <f>IF($B$2,IF(ROWS(B$6:$B1941) = 1,IF(COUNTIFS(R_Schedule_Times,"&lt;"&amp;B1941),INDEX(R_Schedule_Amounts,MATCH(B1941,R_Schedule_Times,1)),Starting_Cash),IF(COUNTIFS(R_Schedule_Times,"&gt;"&amp;B1940,R_Schedule_Times,"&lt;"&amp;B1941),INDEX(R_Schedule_Amounts,MATCH(B1941,R_Schedule_Times,1)),K1940)),"")</f>
        <v>19600</v>
      </c>
      <c r="I1941" s="30">
        <f t="shared" si="150"/>
        <v>40</v>
      </c>
      <c r="J1941" s="31">
        <f t="shared" si="151"/>
        <v>0</v>
      </c>
      <c r="K1941" s="29">
        <f t="shared" si="152"/>
        <v>19560</v>
      </c>
      <c r="L1941" s="31" t="str">
        <f t="shared" si="153"/>
        <v/>
      </c>
      <c r="M1941" s="31" t="str">
        <f t="shared" si="154"/>
        <v/>
      </c>
    </row>
    <row r="1942" spans="1:13" x14ac:dyDescent="0.15">
      <c r="A1942" s="163" t="s">
        <v>210</v>
      </c>
      <c r="B1942" s="163">
        <v>42326.763958298608</v>
      </c>
      <c r="C1942" s="164" t="s">
        <v>1887</v>
      </c>
      <c r="D1942" s="164" t="s">
        <v>13</v>
      </c>
      <c r="E1942" s="165">
        <v>60</v>
      </c>
      <c r="F1942" s="166">
        <v>0</v>
      </c>
      <c r="G1942" s="227">
        <f>IF($B$2,IF(ROWS(B$6:$B1942) = 1,$B1942-Start_Date,$B1942-$B1941),"")</f>
        <v>7.7968518526176922E-3</v>
      </c>
      <c r="H1942" s="29">
        <f>IF($B$2,IF(ROWS(B$6:$B1942) = 1,IF(COUNTIFS(R_Schedule_Times,"&lt;"&amp;B1942),INDEX(R_Schedule_Amounts,MATCH(B1942,R_Schedule_Times,1)),Starting_Cash),IF(COUNTIFS(R_Schedule_Times,"&gt;"&amp;B1941,R_Schedule_Times,"&lt;"&amp;B1942),INDEX(R_Schedule_Amounts,MATCH(B1942,R_Schedule_Times,1)),K1941)),"")</f>
        <v>19560</v>
      </c>
      <c r="I1942" s="30">
        <f t="shared" si="150"/>
        <v>60</v>
      </c>
      <c r="J1942" s="31">
        <f t="shared" si="151"/>
        <v>0</v>
      </c>
      <c r="K1942" s="29">
        <f t="shared" si="152"/>
        <v>19500</v>
      </c>
      <c r="L1942" s="31" t="str">
        <f t="shared" si="153"/>
        <v/>
      </c>
      <c r="M1942" s="31" t="str">
        <f t="shared" si="154"/>
        <v/>
      </c>
    </row>
    <row r="1943" spans="1:13" x14ac:dyDescent="0.15">
      <c r="A1943" s="163" t="s">
        <v>210</v>
      </c>
      <c r="B1943" s="163">
        <v>42326.778639490738</v>
      </c>
      <c r="C1943" s="164" t="s">
        <v>1888</v>
      </c>
      <c r="D1943" s="164" t="s">
        <v>13</v>
      </c>
      <c r="E1943" s="165">
        <v>100</v>
      </c>
      <c r="F1943" s="166">
        <v>0</v>
      </c>
      <c r="G1943" s="227">
        <f>IF($B$2,IF(ROWS(B$6:$B1943) = 1,$B1943-Start_Date,$B1943-$B1942),"")</f>
        <v>1.4681192129501142E-2</v>
      </c>
      <c r="H1943" s="29">
        <f>IF($B$2,IF(ROWS(B$6:$B1943) = 1,IF(COUNTIFS(R_Schedule_Times,"&lt;"&amp;B1943),INDEX(R_Schedule_Amounts,MATCH(B1943,R_Schedule_Times,1)),Starting_Cash),IF(COUNTIFS(R_Schedule_Times,"&gt;"&amp;B1942,R_Schedule_Times,"&lt;"&amp;B1943),INDEX(R_Schedule_Amounts,MATCH(B1943,R_Schedule_Times,1)),K1942)),"")</f>
        <v>19500</v>
      </c>
      <c r="I1943" s="30">
        <f t="shared" si="150"/>
        <v>100</v>
      </c>
      <c r="J1943" s="31">
        <f t="shared" si="151"/>
        <v>0</v>
      </c>
      <c r="K1943" s="29">
        <f t="shared" si="152"/>
        <v>19400</v>
      </c>
      <c r="L1943" s="31" t="str">
        <f t="shared" si="153"/>
        <v/>
      </c>
      <c r="M1943" s="31" t="str">
        <f t="shared" si="154"/>
        <v/>
      </c>
    </row>
    <row r="1944" spans="1:13" x14ac:dyDescent="0.15">
      <c r="A1944" s="163" t="s">
        <v>210</v>
      </c>
      <c r="B1944" s="163">
        <v>42326.783854803238</v>
      </c>
      <c r="C1944" s="164" t="s">
        <v>1889</v>
      </c>
      <c r="D1944" s="164" t="s">
        <v>13</v>
      </c>
      <c r="E1944" s="165">
        <v>200</v>
      </c>
      <c r="F1944" s="166">
        <v>0</v>
      </c>
      <c r="G1944" s="227">
        <f>IF($B$2,IF(ROWS(B$6:$B1944) = 1,$B1944-Start_Date,$B1944-$B1943),"")</f>
        <v>5.2153124997857958E-3</v>
      </c>
      <c r="H1944" s="29">
        <f>IF($B$2,IF(ROWS(B$6:$B1944) = 1,IF(COUNTIFS(R_Schedule_Times,"&lt;"&amp;B1944),INDEX(R_Schedule_Amounts,MATCH(B1944,R_Schedule_Times,1)),Starting_Cash),IF(COUNTIFS(R_Schedule_Times,"&gt;"&amp;B1943,R_Schedule_Times,"&lt;"&amp;B1944),INDEX(R_Schedule_Amounts,MATCH(B1944,R_Schedule_Times,1)),K1943)),"")</f>
        <v>19400</v>
      </c>
      <c r="I1944" s="30">
        <f t="shared" si="150"/>
        <v>200</v>
      </c>
      <c r="J1944" s="31">
        <f t="shared" si="151"/>
        <v>0</v>
      </c>
      <c r="K1944" s="29">
        <f t="shared" si="152"/>
        <v>19200</v>
      </c>
      <c r="L1944" s="31" t="str">
        <f t="shared" si="153"/>
        <v/>
      </c>
      <c r="M1944" s="31" t="str">
        <f t="shared" si="154"/>
        <v/>
      </c>
    </row>
    <row r="1945" spans="1:13" x14ac:dyDescent="0.15">
      <c r="A1945" s="163" t="s">
        <v>210</v>
      </c>
      <c r="B1945" s="163">
        <v>42326.900785555554</v>
      </c>
      <c r="C1945" s="164" t="s">
        <v>1890</v>
      </c>
      <c r="D1945" s="164" t="s">
        <v>13</v>
      </c>
      <c r="E1945" s="165">
        <v>200</v>
      </c>
      <c r="F1945" s="166">
        <v>0</v>
      </c>
      <c r="G1945" s="227">
        <f>IF($B$2,IF(ROWS(B$6:$B1945) = 1,$B1945-Start_Date,$B1945-$B1944),"")</f>
        <v>0.11693075231596595</v>
      </c>
      <c r="H1945" s="29">
        <f>IF($B$2,IF(ROWS(B$6:$B1945) = 1,IF(COUNTIFS(R_Schedule_Times,"&lt;"&amp;B1945),INDEX(R_Schedule_Amounts,MATCH(B1945,R_Schedule_Times,1)),Starting_Cash),IF(COUNTIFS(R_Schedule_Times,"&gt;"&amp;B1944,R_Schedule_Times,"&lt;"&amp;B1945),INDEX(R_Schedule_Amounts,MATCH(B1945,R_Schedule_Times,1)),K1944)),"")</f>
        <v>19200</v>
      </c>
      <c r="I1945" s="30">
        <f t="shared" si="150"/>
        <v>200</v>
      </c>
      <c r="J1945" s="31">
        <f t="shared" si="151"/>
        <v>0</v>
      </c>
      <c r="K1945" s="29">
        <f t="shared" si="152"/>
        <v>19000</v>
      </c>
      <c r="L1945" s="31" t="str">
        <f t="shared" si="153"/>
        <v/>
      </c>
      <c r="M1945" s="31" t="str">
        <f t="shared" si="154"/>
        <v/>
      </c>
    </row>
    <row r="1946" spans="1:13" x14ac:dyDescent="0.15">
      <c r="A1946" s="163" t="s">
        <v>210</v>
      </c>
      <c r="B1946" s="163">
        <v>42327.297359108794</v>
      </c>
      <c r="C1946" s="164" t="s">
        <v>1891</v>
      </c>
      <c r="D1946" s="164" t="s">
        <v>13</v>
      </c>
      <c r="E1946" s="165">
        <v>60</v>
      </c>
      <c r="F1946" s="166">
        <v>0</v>
      </c>
      <c r="G1946" s="227">
        <f>IF($B$2,IF(ROWS(B$6:$B1946) = 1,$B1946-Start_Date,$B1946-$B1945),"")</f>
        <v>0.39657355324015953</v>
      </c>
      <c r="H1946" s="29">
        <f>IF($B$2,IF(ROWS(B$6:$B1946) = 1,IF(COUNTIFS(R_Schedule_Times,"&lt;"&amp;B1946),INDEX(R_Schedule_Amounts,MATCH(B1946,R_Schedule_Times,1)),Starting_Cash),IF(COUNTIFS(R_Schedule_Times,"&gt;"&amp;B1945,R_Schedule_Times,"&lt;"&amp;B1946),INDEX(R_Schedule_Amounts,MATCH(B1946,R_Schedule_Times,1)),K1945)),"")</f>
        <v>19000</v>
      </c>
      <c r="I1946" s="30">
        <f t="shared" si="150"/>
        <v>60</v>
      </c>
      <c r="J1946" s="31">
        <f t="shared" si="151"/>
        <v>0</v>
      </c>
      <c r="K1946" s="29">
        <f t="shared" si="152"/>
        <v>18940</v>
      </c>
      <c r="L1946" s="31" t="str">
        <f t="shared" si="153"/>
        <v/>
      </c>
      <c r="M1946" s="31" t="str">
        <f t="shared" si="154"/>
        <v/>
      </c>
    </row>
    <row r="1947" spans="1:13" x14ac:dyDescent="0.15">
      <c r="A1947" s="163" t="s">
        <v>210</v>
      </c>
      <c r="B1947" s="163">
        <v>42327.316601539351</v>
      </c>
      <c r="C1947" s="164" t="s">
        <v>91</v>
      </c>
      <c r="D1947" s="164" t="s">
        <v>13</v>
      </c>
      <c r="E1947" s="165">
        <v>40</v>
      </c>
      <c r="F1947" s="166">
        <v>0</v>
      </c>
      <c r="G1947" s="227">
        <f>IF($B$2,IF(ROWS(B$6:$B1947) = 1,$B1947-Start_Date,$B1947-$B1946),"")</f>
        <v>1.9242430556914769E-2</v>
      </c>
      <c r="H1947" s="29">
        <f>IF($B$2,IF(ROWS(B$6:$B1947) = 1,IF(COUNTIFS(R_Schedule_Times,"&lt;"&amp;B1947),INDEX(R_Schedule_Amounts,MATCH(B1947,R_Schedule_Times,1)),Starting_Cash),IF(COUNTIFS(R_Schedule_Times,"&gt;"&amp;B1946,R_Schedule_Times,"&lt;"&amp;B1947),INDEX(R_Schedule_Amounts,MATCH(B1947,R_Schedule_Times,1)),K1946)),"")</f>
        <v>18940</v>
      </c>
      <c r="I1947" s="30">
        <f t="shared" si="150"/>
        <v>40</v>
      </c>
      <c r="J1947" s="31">
        <f t="shared" si="151"/>
        <v>0</v>
      </c>
      <c r="K1947" s="29">
        <f t="shared" si="152"/>
        <v>18900</v>
      </c>
      <c r="L1947" s="31" t="str">
        <f t="shared" si="153"/>
        <v/>
      </c>
      <c r="M1947" s="31" t="str">
        <f t="shared" si="154"/>
        <v/>
      </c>
    </row>
    <row r="1948" spans="1:13" x14ac:dyDescent="0.15">
      <c r="A1948" s="163" t="s">
        <v>210</v>
      </c>
      <c r="B1948" s="163">
        <v>42327.334402604167</v>
      </c>
      <c r="C1948" s="164" t="s">
        <v>1486</v>
      </c>
      <c r="D1948" s="164" t="s">
        <v>13</v>
      </c>
      <c r="E1948" s="165">
        <v>40</v>
      </c>
      <c r="F1948" s="166">
        <v>0</v>
      </c>
      <c r="G1948" s="227">
        <f>IF($B$2,IF(ROWS(B$6:$B1948) = 1,$B1948-Start_Date,$B1948-$B1947),"")</f>
        <v>1.7801064816012513E-2</v>
      </c>
      <c r="H1948" s="29">
        <f>IF($B$2,IF(ROWS(B$6:$B1948) = 1,IF(COUNTIFS(R_Schedule_Times,"&lt;"&amp;B1948),INDEX(R_Schedule_Amounts,MATCH(B1948,R_Schedule_Times,1)),Starting_Cash),IF(COUNTIFS(R_Schedule_Times,"&gt;"&amp;B1947,R_Schedule_Times,"&lt;"&amp;B1948),INDEX(R_Schedule_Amounts,MATCH(B1948,R_Schedule_Times,1)),K1947)),"")</f>
        <v>18900</v>
      </c>
      <c r="I1948" s="30">
        <f t="shared" si="150"/>
        <v>40</v>
      </c>
      <c r="J1948" s="31">
        <f t="shared" si="151"/>
        <v>0</v>
      </c>
      <c r="K1948" s="29">
        <f t="shared" si="152"/>
        <v>18860</v>
      </c>
      <c r="L1948" s="31" t="str">
        <f t="shared" si="153"/>
        <v/>
      </c>
      <c r="M1948" s="31" t="str">
        <f t="shared" si="154"/>
        <v/>
      </c>
    </row>
    <row r="1949" spans="1:13" x14ac:dyDescent="0.15">
      <c r="A1949" s="163" t="s">
        <v>210</v>
      </c>
      <c r="B1949" s="163">
        <v>42327.336838553238</v>
      </c>
      <c r="C1949" s="164" t="s">
        <v>14</v>
      </c>
      <c r="D1949" s="164" t="s">
        <v>13</v>
      </c>
      <c r="E1949" s="165">
        <v>20</v>
      </c>
      <c r="F1949" s="166">
        <v>3.5</v>
      </c>
      <c r="G1949" s="227">
        <f>IF($B$2,IF(ROWS(B$6:$B1949) = 1,$B1949-Start_Date,$B1949-$B1948),"")</f>
        <v>2.4359490707865916E-3</v>
      </c>
      <c r="H1949" s="29">
        <f>IF($B$2,IF(ROWS(B$6:$B1949) = 1,IF(COUNTIFS(R_Schedule_Times,"&lt;"&amp;B1949),INDEX(R_Schedule_Amounts,MATCH(B1949,R_Schedule_Times,1)),Starting_Cash),IF(COUNTIFS(R_Schedule_Times,"&gt;"&amp;B1948,R_Schedule_Times,"&lt;"&amp;B1949),INDEX(R_Schedule_Amounts,MATCH(B1949,R_Schedule_Times,1)),K1948)),"")</f>
        <v>18860</v>
      </c>
      <c r="I1949" s="30">
        <f t="shared" si="150"/>
        <v>20</v>
      </c>
      <c r="J1949" s="31">
        <f t="shared" si="151"/>
        <v>3.5</v>
      </c>
      <c r="K1949" s="29">
        <f t="shared" si="152"/>
        <v>18840</v>
      </c>
      <c r="L1949" s="31" t="str">
        <f t="shared" si="153"/>
        <v/>
      </c>
      <c r="M1949" s="31" t="str">
        <f t="shared" si="154"/>
        <v/>
      </c>
    </row>
    <row r="1950" spans="1:13" x14ac:dyDescent="0.15">
      <c r="A1950" s="163" t="s">
        <v>210</v>
      </c>
      <c r="B1950" s="163">
        <v>42327.36796826389</v>
      </c>
      <c r="C1950" s="164" t="s">
        <v>1892</v>
      </c>
      <c r="D1950" s="164" t="s">
        <v>13</v>
      </c>
      <c r="E1950" s="165">
        <v>100</v>
      </c>
      <c r="F1950" s="166">
        <v>0</v>
      </c>
      <c r="G1950" s="227">
        <f>IF($B$2,IF(ROWS(B$6:$B1950) = 1,$B1950-Start_Date,$B1950-$B1949),"")</f>
        <v>3.1129710652749054E-2</v>
      </c>
      <c r="H1950" s="29">
        <f>IF($B$2,IF(ROWS(B$6:$B1950) = 1,IF(COUNTIFS(R_Schedule_Times,"&lt;"&amp;B1950),INDEX(R_Schedule_Amounts,MATCH(B1950,R_Schedule_Times,1)),Starting_Cash),IF(COUNTIFS(R_Schedule_Times,"&gt;"&amp;B1949,R_Schedule_Times,"&lt;"&amp;B1950),INDEX(R_Schedule_Amounts,MATCH(B1950,R_Schedule_Times,1)),K1949)),"")</f>
        <v>18840</v>
      </c>
      <c r="I1950" s="30">
        <f t="shared" si="150"/>
        <v>100</v>
      </c>
      <c r="J1950" s="31">
        <f t="shared" si="151"/>
        <v>0</v>
      </c>
      <c r="K1950" s="29">
        <f t="shared" si="152"/>
        <v>18740</v>
      </c>
      <c r="L1950" s="31" t="str">
        <f t="shared" si="153"/>
        <v/>
      </c>
      <c r="M1950" s="31" t="str">
        <f t="shared" si="154"/>
        <v/>
      </c>
    </row>
    <row r="1951" spans="1:13" x14ac:dyDescent="0.15">
      <c r="A1951" s="163" t="s">
        <v>210</v>
      </c>
      <c r="B1951" s="163">
        <v>42327.384578541663</v>
      </c>
      <c r="C1951" s="164" t="s">
        <v>1893</v>
      </c>
      <c r="D1951" s="164" t="s">
        <v>13</v>
      </c>
      <c r="E1951" s="165">
        <v>60</v>
      </c>
      <c r="F1951" s="166">
        <v>0</v>
      </c>
      <c r="G1951" s="227">
        <f>IF($B$2,IF(ROWS(B$6:$B1951) = 1,$B1951-Start_Date,$B1951-$B1950),"")</f>
        <v>1.6610277772997506E-2</v>
      </c>
      <c r="H1951" s="29">
        <f>IF($B$2,IF(ROWS(B$6:$B1951) = 1,IF(COUNTIFS(R_Schedule_Times,"&lt;"&amp;B1951),INDEX(R_Schedule_Amounts,MATCH(B1951,R_Schedule_Times,1)),Starting_Cash),IF(COUNTIFS(R_Schedule_Times,"&gt;"&amp;B1950,R_Schedule_Times,"&lt;"&amp;B1951),INDEX(R_Schedule_Amounts,MATCH(B1951,R_Schedule_Times,1)),K1950)),"")</f>
        <v>18740</v>
      </c>
      <c r="I1951" s="30">
        <f t="shared" si="150"/>
        <v>60</v>
      </c>
      <c r="J1951" s="31">
        <f t="shared" si="151"/>
        <v>0</v>
      </c>
      <c r="K1951" s="29">
        <f t="shared" si="152"/>
        <v>18680</v>
      </c>
      <c r="L1951" s="31" t="str">
        <f t="shared" si="153"/>
        <v/>
      </c>
      <c r="M1951" s="31" t="str">
        <f t="shared" si="154"/>
        <v/>
      </c>
    </row>
    <row r="1952" spans="1:13" x14ac:dyDescent="0.15">
      <c r="A1952" s="163" t="s">
        <v>210</v>
      </c>
      <c r="B1952" s="163">
        <v>42327.396091840281</v>
      </c>
      <c r="C1952" s="164" t="s">
        <v>1600</v>
      </c>
      <c r="D1952" s="164" t="s">
        <v>13</v>
      </c>
      <c r="E1952" s="165">
        <v>200</v>
      </c>
      <c r="F1952" s="166">
        <v>0</v>
      </c>
      <c r="G1952" s="227">
        <f>IF($B$2,IF(ROWS(B$6:$B1952) = 1,$B1952-Start_Date,$B1952-$B1951),"")</f>
        <v>1.1513298617501277E-2</v>
      </c>
      <c r="H1952" s="29">
        <f>IF($B$2,IF(ROWS(B$6:$B1952) = 1,IF(COUNTIFS(R_Schedule_Times,"&lt;"&amp;B1952),INDEX(R_Schedule_Amounts,MATCH(B1952,R_Schedule_Times,1)),Starting_Cash),IF(COUNTIFS(R_Schedule_Times,"&gt;"&amp;B1951,R_Schedule_Times,"&lt;"&amp;B1952),INDEX(R_Schedule_Amounts,MATCH(B1952,R_Schedule_Times,1)),K1951)),"")</f>
        <v>18680</v>
      </c>
      <c r="I1952" s="30">
        <f t="shared" si="150"/>
        <v>200</v>
      </c>
      <c r="J1952" s="31">
        <f t="shared" si="151"/>
        <v>0</v>
      </c>
      <c r="K1952" s="29">
        <f t="shared" si="152"/>
        <v>18480</v>
      </c>
      <c r="L1952" s="31" t="str">
        <f t="shared" si="153"/>
        <v/>
      </c>
      <c r="M1952" s="31" t="str">
        <f t="shared" si="154"/>
        <v/>
      </c>
    </row>
    <row r="1953" spans="1:13" x14ac:dyDescent="0.15">
      <c r="A1953" s="163" t="s">
        <v>210</v>
      </c>
      <c r="B1953" s="163">
        <v>42327.406482384256</v>
      </c>
      <c r="C1953" s="164" t="s">
        <v>1894</v>
      </c>
      <c r="D1953" s="164" t="s">
        <v>13</v>
      </c>
      <c r="E1953" s="165">
        <v>180</v>
      </c>
      <c r="F1953" s="166">
        <v>0</v>
      </c>
      <c r="G1953" s="227">
        <f>IF($B$2,IF(ROWS(B$6:$B1953) = 1,$B1953-Start_Date,$B1953-$B1952),"")</f>
        <v>1.0390543975518085E-2</v>
      </c>
      <c r="H1953" s="29">
        <f>IF($B$2,IF(ROWS(B$6:$B1953) = 1,IF(COUNTIFS(R_Schedule_Times,"&lt;"&amp;B1953),INDEX(R_Schedule_Amounts,MATCH(B1953,R_Schedule_Times,1)),Starting_Cash),IF(COUNTIFS(R_Schedule_Times,"&gt;"&amp;B1952,R_Schedule_Times,"&lt;"&amp;B1953),INDEX(R_Schedule_Amounts,MATCH(B1953,R_Schedule_Times,1)),K1952)),"")</f>
        <v>18480</v>
      </c>
      <c r="I1953" s="30">
        <f t="shared" si="150"/>
        <v>180</v>
      </c>
      <c r="J1953" s="31">
        <f t="shared" si="151"/>
        <v>0</v>
      </c>
      <c r="K1953" s="29">
        <f t="shared" si="152"/>
        <v>18300</v>
      </c>
      <c r="L1953" s="31" t="str">
        <f t="shared" si="153"/>
        <v/>
      </c>
      <c r="M1953" s="31" t="str">
        <f t="shared" si="154"/>
        <v/>
      </c>
    </row>
    <row r="1954" spans="1:13" x14ac:dyDescent="0.15">
      <c r="A1954" s="163" t="s">
        <v>210</v>
      </c>
      <c r="B1954" s="163">
        <v>42327.43482292824</v>
      </c>
      <c r="C1954" s="164" t="s">
        <v>1895</v>
      </c>
      <c r="D1954" s="164" t="s">
        <v>13</v>
      </c>
      <c r="E1954" s="165">
        <v>200</v>
      </c>
      <c r="F1954" s="166">
        <v>0</v>
      </c>
      <c r="G1954" s="227">
        <f>IF($B$2,IF(ROWS(B$6:$B1954) = 1,$B1954-Start_Date,$B1954-$B1953),"")</f>
        <v>2.8340543984086253E-2</v>
      </c>
      <c r="H1954" s="29">
        <f>IF($B$2,IF(ROWS(B$6:$B1954) = 1,IF(COUNTIFS(R_Schedule_Times,"&lt;"&amp;B1954),INDEX(R_Schedule_Amounts,MATCH(B1954,R_Schedule_Times,1)),Starting_Cash),IF(COUNTIFS(R_Schedule_Times,"&gt;"&amp;B1953,R_Schedule_Times,"&lt;"&amp;B1954),INDEX(R_Schedule_Amounts,MATCH(B1954,R_Schedule_Times,1)),K1953)),"")</f>
        <v>18300</v>
      </c>
      <c r="I1954" s="30">
        <f t="shared" si="150"/>
        <v>200</v>
      </c>
      <c r="J1954" s="31">
        <f t="shared" si="151"/>
        <v>0</v>
      </c>
      <c r="K1954" s="29">
        <f t="shared" si="152"/>
        <v>18100</v>
      </c>
      <c r="L1954" s="31" t="str">
        <f t="shared" si="153"/>
        <v/>
      </c>
      <c r="M1954" s="31" t="str">
        <f t="shared" si="154"/>
        <v/>
      </c>
    </row>
    <row r="1955" spans="1:13" x14ac:dyDescent="0.15">
      <c r="A1955" s="163" t="s">
        <v>210</v>
      </c>
      <c r="B1955" s="163">
        <v>42327.44682824074</v>
      </c>
      <c r="C1955" s="164" t="s">
        <v>993</v>
      </c>
      <c r="D1955" s="164" t="s">
        <v>13</v>
      </c>
      <c r="E1955" s="165">
        <v>100</v>
      </c>
      <c r="F1955" s="166">
        <v>0</v>
      </c>
      <c r="G1955" s="227">
        <f>IF($B$2,IF(ROWS(B$6:$B1955) = 1,$B1955-Start_Date,$B1955-$B1954),"")</f>
        <v>1.2005312499240972E-2</v>
      </c>
      <c r="H1955" s="29">
        <f>IF($B$2,IF(ROWS(B$6:$B1955) = 1,IF(COUNTIFS(R_Schedule_Times,"&lt;"&amp;B1955),INDEX(R_Schedule_Amounts,MATCH(B1955,R_Schedule_Times,1)),Starting_Cash),IF(COUNTIFS(R_Schedule_Times,"&gt;"&amp;B1954,R_Schedule_Times,"&lt;"&amp;B1955),INDEX(R_Schedule_Amounts,MATCH(B1955,R_Schedule_Times,1)),K1954)),"")</f>
        <v>18100</v>
      </c>
      <c r="I1955" s="30">
        <f t="shared" si="150"/>
        <v>100</v>
      </c>
      <c r="J1955" s="31">
        <f t="shared" si="151"/>
        <v>0</v>
      </c>
      <c r="K1955" s="29">
        <f t="shared" si="152"/>
        <v>18000</v>
      </c>
      <c r="L1955" s="31" t="str">
        <f t="shared" si="153"/>
        <v/>
      </c>
      <c r="M1955" s="31" t="str">
        <f t="shared" si="154"/>
        <v/>
      </c>
    </row>
    <row r="1956" spans="1:13" x14ac:dyDescent="0.15">
      <c r="A1956" s="163" t="s">
        <v>210</v>
      </c>
      <c r="B1956" s="163">
        <v>42327.450198472223</v>
      </c>
      <c r="C1956" s="164" t="s">
        <v>1896</v>
      </c>
      <c r="D1956" s="164" t="s">
        <v>13</v>
      </c>
      <c r="E1956" s="165">
        <v>100</v>
      </c>
      <c r="F1956" s="166">
        <v>0</v>
      </c>
      <c r="G1956" s="227">
        <f>IF($B$2,IF(ROWS(B$6:$B1956) = 1,$B1956-Start_Date,$B1956-$B1955),"")</f>
        <v>3.3702314831316471E-3</v>
      </c>
      <c r="H1956" s="29">
        <f>IF($B$2,IF(ROWS(B$6:$B1956) = 1,IF(COUNTIFS(R_Schedule_Times,"&lt;"&amp;B1956),INDEX(R_Schedule_Amounts,MATCH(B1956,R_Schedule_Times,1)),Starting_Cash),IF(COUNTIFS(R_Schedule_Times,"&gt;"&amp;B1955,R_Schedule_Times,"&lt;"&amp;B1956),INDEX(R_Schedule_Amounts,MATCH(B1956,R_Schedule_Times,1)),K1955)),"")</f>
        <v>18000</v>
      </c>
      <c r="I1956" s="30">
        <f t="shared" si="150"/>
        <v>100</v>
      </c>
      <c r="J1956" s="31">
        <f t="shared" si="151"/>
        <v>0</v>
      </c>
      <c r="K1956" s="29">
        <f t="shared" si="152"/>
        <v>17900</v>
      </c>
      <c r="L1956" s="31" t="str">
        <f t="shared" si="153"/>
        <v/>
      </c>
      <c r="M1956" s="31" t="str">
        <f t="shared" si="154"/>
        <v/>
      </c>
    </row>
    <row r="1957" spans="1:13" x14ac:dyDescent="0.15">
      <c r="A1957" s="163" t="s">
        <v>210</v>
      </c>
      <c r="B1957" s="163">
        <v>42327.469849502311</v>
      </c>
      <c r="C1957" s="164" t="s">
        <v>1897</v>
      </c>
      <c r="D1957" s="164" t="s">
        <v>13</v>
      </c>
      <c r="E1957" s="165">
        <v>100</v>
      </c>
      <c r="F1957" s="166">
        <v>0</v>
      </c>
      <c r="G1957" s="227">
        <f>IF($B$2,IF(ROWS(B$6:$B1957) = 1,$B1957-Start_Date,$B1957-$B1956),"")</f>
        <v>1.9651030088425614E-2</v>
      </c>
      <c r="H1957" s="29">
        <f>IF($B$2,IF(ROWS(B$6:$B1957) = 1,IF(COUNTIFS(R_Schedule_Times,"&lt;"&amp;B1957),INDEX(R_Schedule_Amounts,MATCH(B1957,R_Schedule_Times,1)),Starting_Cash),IF(COUNTIFS(R_Schedule_Times,"&gt;"&amp;B1956,R_Schedule_Times,"&lt;"&amp;B1957),INDEX(R_Schedule_Amounts,MATCH(B1957,R_Schedule_Times,1)),K1956)),"")</f>
        <v>17900</v>
      </c>
      <c r="I1957" s="30">
        <f t="shared" si="150"/>
        <v>100</v>
      </c>
      <c r="J1957" s="31">
        <f t="shared" si="151"/>
        <v>0</v>
      </c>
      <c r="K1957" s="29">
        <f t="shared" si="152"/>
        <v>17800</v>
      </c>
      <c r="L1957" s="31" t="str">
        <f t="shared" si="153"/>
        <v/>
      </c>
      <c r="M1957" s="31" t="str">
        <f t="shared" si="154"/>
        <v/>
      </c>
    </row>
    <row r="1958" spans="1:13" x14ac:dyDescent="0.15">
      <c r="A1958" s="163" t="s">
        <v>210</v>
      </c>
      <c r="B1958" s="163">
        <v>42327.472775810187</v>
      </c>
      <c r="C1958" s="164" t="s">
        <v>452</v>
      </c>
      <c r="D1958" s="164" t="s">
        <v>13</v>
      </c>
      <c r="E1958" s="165">
        <v>120</v>
      </c>
      <c r="F1958" s="166">
        <v>0</v>
      </c>
      <c r="G1958" s="227">
        <f>IF($B$2,IF(ROWS(B$6:$B1958) = 1,$B1958-Start_Date,$B1958-$B1957),"")</f>
        <v>2.9263078758958727E-3</v>
      </c>
      <c r="H1958" s="29">
        <f>IF($B$2,IF(ROWS(B$6:$B1958) = 1,IF(COUNTIFS(R_Schedule_Times,"&lt;"&amp;B1958),INDEX(R_Schedule_Amounts,MATCH(B1958,R_Schedule_Times,1)),Starting_Cash),IF(COUNTIFS(R_Schedule_Times,"&gt;"&amp;B1957,R_Schedule_Times,"&lt;"&amp;B1958),INDEX(R_Schedule_Amounts,MATCH(B1958,R_Schedule_Times,1)),K1957)),"")</f>
        <v>17800</v>
      </c>
      <c r="I1958" s="30">
        <f t="shared" si="150"/>
        <v>120</v>
      </c>
      <c r="J1958" s="31">
        <f t="shared" si="151"/>
        <v>0</v>
      </c>
      <c r="K1958" s="29">
        <f t="shared" si="152"/>
        <v>17680</v>
      </c>
      <c r="L1958" s="31" t="str">
        <f t="shared" si="153"/>
        <v/>
      </c>
      <c r="M1958" s="31" t="str">
        <f t="shared" si="154"/>
        <v/>
      </c>
    </row>
    <row r="1959" spans="1:13" x14ac:dyDescent="0.15">
      <c r="A1959" s="163" t="s">
        <v>210</v>
      </c>
      <c r="B1959" s="163">
        <v>42327.499667256947</v>
      </c>
      <c r="C1959" s="164" t="s">
        <v>762</v>
      </c>
      <c r="D1959" s="164" t="s">
        <v>13</v>
      </c>
      <c r="E1959" s="165">
        <v>100</v>
      </c>
      <c r="F1959" s="166">
        <v>0</v>
      </c>
      <c r="G1959" s="227">
        <f>IF($B$2,IF(ROWS(B$6:$B1959) = 1,$B1959-Start_Date,$B1959-$B1958),"")</f>
        <v>2.6891446759691462E-2</v>
      </c>
      <c r="H1959" s="29">
        <f>IF($B$2,IF(ROWS(B$6:$B1959) = 1,IF(COUNTIFS(R_Schedule_Times,"&lt;"&amp;B1959),INDEX(R_Schedule_Amounts,MATCH(B1959,R_Schedule_Times,1)),Starting_Cash),IF(COUNTIFS(R_Schedule_Times,"&gt;"&amp;B1958,R_Schedule_Times,"&lt;"&amp;B1959),INDEX(R_Schedule_Amounts,MATCH(B1959,R_Schedule_Times,1)),K1958)),"")</f>
        <v>17680</v>
      </c>
      <c r="I1959" s="30">
        <f t="shared" si="150"/>
        <v>100</v>
      </c>
      <c r="J1959" s="31">
        <f t="shared" si="151"/>
        <v>0</v>
      </c>
      <c r="K1959" s="29">
        <f t="shared" si="152"/>
        <v>17580</v>
      </c>
      <c r="L1959" s="31" t="str">
        <f t="shared" si="153"/>
        <v/>
      </c>
      <c r="M1959" s="31" t="str">
        <f t="shared" si="154"/>
        <v/>
      </c>
    </row>
    <row r="1960" spans="1:13" x14ac:dyDescent="0.15">
      <c r="A1960" s="163" t="s">
        <v>210</v>
      </c>
      <c r="B1960" s="163">
        <v>42327.510625960647</v>
      </c>
      <c r="C1960" s="164" t="s">
        <v>14</v>
      </c>
      <c r="D1960" s="164" t="s">
        <v>13</v>
      </c>
      <c r="E1960" s="165">
        <v>200</v>
      </c>
      <c r="F1960" s="166">
        <v>3.5</v>
      </c>
      <c r="G1960" s="227">
        <f>IF($B$2,IF(ROWS(B$6:$B1960) = 1,$B1960-Start_Date,$B1960-$B1959),"")</f>
        <v>1.0958703700453043E-2</v>
      </c>
      <c r="H1960" s="29">
        <f>IF($B$2,IF(ROWS(B$6:$B1960) = 1,IF(COUNTIFS(R_Schedule_Times,"&lt;"&amp;B1960),INDEX(R_Schedule_Amounts,MATCH(B1960,R_Schedule_Times,1)),Starting_Cash),IF(COUNTIFS(R_Schedule_Times,"&gt;"&amp;B1959,R_Schedule_Times,"&lt;"&amp;B1960),INDEX(R_Schedule_Amounts,MATCH(B1960,R_Schedule_Times,1)),K1959)),"")</f>
        <v>17580</v>
      </c>
      <c r="I1960" s="30">
        <f t="shared" si="150"/>
        <v>200</v>
      </c>
      <c r="J1960" s="31">
        <f t="shared" si="151"/>
        <v>3.5</v>
      </c>
      <c r="K1960" s="29">
        <f t="shared" si="152"/>
        <v>17380</v>
      </c>
      <c r="L1960" s="31" t="str">
        <f t="shared" si="153"/>
        <v/>
      </c>
      <c r="M1960" s="31" t="str">
        <f t="shared" si="154"/>
        <v/>
      </c>
    </row>
    <row r="1961" spans="1:13" x14ac:dyDescent="0.15">
      <c r="A1961" s="163" t="s">
        <v>210</v>
      </c>
      <c r="B1961" s="163">
        <v>42327.511478831017</v>
      </c>
      <c r="C1961" s="164" t="s">
        <v>1898</v>
      </c>
      <c r="D1961" s="164" t="s">
        <v>13</v>
      </c>
      <c r="E1961" s="165">
        <v>80</v>
      </c>
      <c r="F1961" s="166">
        <v>0</v>
      </c>
      <c r="G1961" s="227">
        <f>IF($B$2,IF(ROWS(B$6:$B1961) = 1,$B1961-Start_Date,$B1961-$B1960),"")</f>
        <v>8.528703692718409E-4</v>
      </c>
      <c r="H1961" s="29">
        <f>IF($B$2,IF(ROWS(B$6:$B1961) = 1,IF(COUNTIFS(R_Schedule_Times,"&lt;"&amp;B1961),INDEX(R_Schedule_Amounts,MATCH(B1961,R_Schedule_Times,1)),Starting_Cash),IF(COUNTIFS(R_Schedule_Times,"&gt;"&amp;B1960,R_Schedule_Times,"&lt;"&amp;B1961),INDEX(R_Schedule_Amounts,MATCH(B1961,R_Schedule_Times,1)),K1960)),"")</f>
        <v>17380</v>
      </c>
      <c r="I1961" s="30">
        <f t="shared" si="150"/>
        <v>80</v>
      </c>
      <c r="J1961" s="31">
        <f t="shared" si="151"/>
        <v>0</v>
      </c>
      <c r="K1961" s="29">
        <f t="shared" si="152"/>
        <v>17300</v>
      </c>
      <c r="L1961" s="31" t="str">
        <f t="shared" si="153"/>
        <v/>
      </c>
      <c r="M1961" s="31" t="str">
        <f t="shared" si="154"/>
        <v/>
      </c>
    </row>
    <row r="1962" spans="1:13" x14ac:dyDescent="0.15">
      <c r="A1962" s="163" t="s">
        <v>210</v>
      </c>
      <c r="B1962" s="163">
        <v>42327.518743067129</v>
      </c>
      <c r="C1962" s="164" t="s">
        <v>1899</v>
      </c>
      <c r="D1962" s="164" t="s">
        <v>15</v>
      </c>
      <c r="E1962" s="165">
        <v>60</v>
      </c>
      <c r="F1962" s="166">
        <v>1.8</v>
      </c>
      <c r="G1962" s="227">
        <f>IF($B$2,IF(ROWS(B$6:$B1962) = 1,$B1962-Start_Date,$B1962-$B1961),"")</f>
        <v>7.2642361119505949E-3</v>
      </c>
      <c r="H1962" s="29">
        <f>IF($B$2,IF(ROWS(B$6:$B1962) = 1,IF(COUNTIFS(R_Schedule_Times,"&lt;"&amp;B1962),INDEX(R_Schedule_Amounts,MATCH(B1962,R_Schedule_Times,1)),Starting_Cash),IF(COUNTIFS(R_Schedule_Times,"&gt;"&amp;B1961,R_Schedule_Times,"&lt;"&amp;B1962),INDEX(R_Schedule_Amounts,MATCH(B1962,R_Schedule_Times,1)),K1961)),"")</f>
        <v>17300</v>
      </c>
      <c r="I1962" s="30">
        <f t="shared" si="150"/>
        <v>60</v>
      </c>
      <c r="J1962" s="31">
        <f t="shared" si="151"/>
        <v>1.8</v>
      </c>
      <c r="K1962" s="29">
        <f t="shared" si="152"/>
        <v>17240</v>
      </c>
      <c r="L1962" s="31" t="str">
        <f t="shared" si="153"/>
        <v/>
      </c>
      <c r="M1962" s="31" t="str">
        <f t="shared" si="154"/>
        <v/>
      </c>
    </row>
    <row r="1963" spans="1:13" x14ac:dyDescent="0.15">
      <c r="A1963" s="163" t="s">
        <v>210</v>
      </c>
      <c r="B1963" s="163">
        <v>42327.521770208332</v>
      </c>
      <c r="C1963" s="164" t="s">
        <v>704</v>
      </c>
      <c r="D1963" s="164" t="s">
        <v>13</v>
      </c>
      <c r="E1963" s="165">
        <v>100</v>
      </c>
      <c r="F1963" s="166">
        <v>0</v>
      </c>
      <c r="G1963" s="227">
        <f>IF($B$2,IF(ROWS(B$6:$B1963) = 1,$B1963-Start_Date,$B1963-$B1962),"")</f>
        <v>3.0271412033471279E-3</v>
      </c>
      <c r="H1963" s="29">
        <f>IF($B$2,IF(ROWS(B$6:$B1963) = 1,IF(COUNTIFS(R_Schedule_Times,"&lt;"&amp;B1963),INDEX(R_Schedule_Amounts,MATCH(B1963,R_Schedule_Times,1)),Starting_Cash),IF(COUNTIFS(R_Schedule_Times,"&gt;"&amp;B1962,R_Schedule_Times,"&lt;"&amp;B1963),INDEX(R_Schedule_Amounts,MATCH(B1963,R_Schedule_Times,1)),K1962)),"")</f>
        <v>17240</v>
      </c>
      <c r="I1963" s="30">
        <f t="shared" si="150"/>
        <v>100</v>
      </c>
      <c r="J1963" s="31">
        <f t="shared" si="151"/>
        <v>0</v>
      </c>
      <c r="K1963" s="29">
        <f t="shared" si="152"/>
        <v>17140</v>
      </c>
      <c r="L1963" s="31" t="str">
        <f t="shared" si="153"/>
        <v/>
      </c>
      <c r="M1963" s="31" t="str">
        <f t="shared" si="154"/>
        <v/>
      </c>
    </row>
    <row r="1964" spans="1:13" x14ac:dyDescent="0.15">
      <c r="A1964" s="163" t="s">
        <v>210</v>
      </c>
      <c r="B1964" s="163">
        <v>42327.523281828704</v>
      </c>
      <c r="C1964" s="164" t="s">
        <v>1900</v>
      </c>
      <c r="D1964" s="164" t="s">
        <v>13</v>
      </c>
      <c r="E1964" s="165">
        <v>80</v>
      </c>
      <c r="F1964" s="166">
        <v>0</v>
      </c>
      <c r="G1964" s="227">
        <f>IF($B$2,IF(ROWS(B$6:$B1964) = 1,$B1964-Start_Date,$B1964-$B1963),"")</f>
        <v>1.5116203721845523E-3</v>
      </c>
      <c r="H1964" s="29">
        <f>IF($B$2,IF(ROWS(B$6:$B1964) = 1,IF(COUNTIFS(R_Schedule_Times,"&lt;"&amp;B1964),INDEX(R_Schedule_Amounts,MATCH(B1964,R_Schedule_Times,1)),Starting_Cash),IF(COUNTIFS(R_Schedule_Times,"&gt;"&amp;B1963,R_Schedule_Times,"&lt;"&amp;B1964),INDEX(R_Schedule_Amounts,MATCH(B1964,R_Schedule_Times,1)),K1963)),"")</f>
        <v>17140</v>
      </c>
      <c r="I1964" s="30">
        <f t="shared" si="150"/>
        <v>80</v>
      </c>
      <c r="J1964" s="31">
        <f t="shared" si="151"/>
        <v>0</v>
      </c>
      <c r="K1964" s="29">
        <f t="shared" si="152"/>
        <v>17060</v>
      </c>
      <c r="L1964" s="31" t="str">
        <f t="shared" si="153"/>
        <v/>
      </c>
      <c r="M1964" s="31" t="str">
        <f t="shared" si="154"/>
        <v/>
      </c>
    </row>
    <row r="1965" spans="1:13" x14ac:dyDescent="0.15">
      <c r="A1965" s="163" t="s">
        <v>210</v>
      </c>
      <c r="B1965" s="163">
        <v>42327.526433067127</v>
      </c>
      <c r="C1965" s="164" t="s">
        <v>1901</v>
      </c>
      <c r="D1965" s="164" t="s">
        <v>13</v>
      </c>
      <c r="E1965" s="165">
        <v>100</v>
      </c>
      <c r="F1965" s="166">
        <v>0</v>
      </c>
      <c r="G1965" s="227">
        <f>IF($B$2,IF(ROWS(B$6:$B1965) = 1,$B1965-Start_Date,$B1965-$B1964),"")</f>
        <v>3.1512384230154566E-3</v>
      </c>
      <c r="H1965" s="29">
        <f>IF($B$2,IF(ROWS(B$6:$B1965) = 1,IF(COUNTIFS(R_Schedule_Times,"&lt;"&amp;B1965),INDEX(R_Schedule_Amounts,MATCH(B1965,R_Schedule_Times,1)),Starting_Cash),IF(COUNTIFS(R_Schedule_Times,"&gt;"&amp;B1964,R_Schedule_Times,"&lt;"&amp;B1965),INDEX(R_Schedule_Amounts,MATCH(B1965,R_Schedule_Times,1)),K1964)),"")</f>
        <v>17060</v>
      </c>
      <c r="I1965" s="30">
        <f t="shared" si="150"/>
        <v>100</v>
      </c>
      <c r="J1965" s="31">
        <f t="shared" si="151"/>
        <v>0</v>
      </c>
      <c r="K1965" s="29">
        <f t="shared" si="152"/>
        <v>16960</v>
      </c>
      <c r="L1965" s="31" t="str">
        <f t="shared" si="153"/>
        <v/>
      </c>
      <c r="M1965" s="31" t="str">
        <f t="shared" si="154"/>
        <v/>
      </c>
    </row>
    <row r="1966" spans="1:13" x14ac:dyDescent="0.15">
      <c r="A1966" s="163" t="s">
        <v>210</v>
      </c>
      <c r="B1966" s="163">
        <v>42327.527396423611</v>
      </c>
      <c r="C1966" s="164" t="s">
        <v>14</v>
      </c>
      <c r="D1966" s="164" t="s">
        <v>13</v>
      </c>
      <c r="E1966" s="165">
        <v>100</v>
      </c>
      <c r="F1966" s="166">
        <v>3.5</v>
      </c>
      <c r="G1966" s="227">
        <f>IF($B$2,IF(ROWS(B$6:$B1966) = 1,$B1966-Start_Date,$B1966-$B1965),"")</f>
        <v>9.6335648413514718E-4</v>
      </c>
      <c r="H1966" s="29">
        <f>IF($B$2,IF(ROWS(B$6:$B1966) = 1,IF(COUNTIFS(R_Schedule_Times,"&lt;"&amp;B1966),INDEX(R_Schedule_Amounts,MATCH(B1966,R_Schedule_Times,1)),Starting_Cash),IF(COUNTIFS(R_Schedule_Times,"&gt;"&amp;B1965,R_Schedule_Times,"&lt;"&amp;B1966),INDEX(R_Schedule_Amounts,MATCH(B1966,R_Schedule_Times,1)),K1965)),"")</f>
        <v>16960</v>
      </c>
      <c r="I1966" s="30">
        <f t="shared" si="150"/>
        <v>100</v>
      </c>
      <c r="J1966" s="31">
        <f t="shared" si="151"/>
        <v>3.5</v>
      </c>
      <c r="K1966" s="29">
        <f t="shared" si="152"/>
        <v>16860</v>
      </c>
      <c r="L1966" s="31" t="str">
        <f t="shared" si="153"/>
        <v/>
      </c>
      <c r="M1966" s="31" t="str">
        <f t="shared" si="154"/>
        <v/>
      </c>
    </row>
    <row r="1967" spans="1:13" x14ac:dyDescent="0.15">
      <c r="A1967" s="163" t="s">
        <v>210</v>
      </c>
      <c r="B1967" s="163">
        <v>42327.530954768517</v>
      </c>
      <c r="C1967" s="164" t="s">
        <v>1902</v>
      </c>
      <c r="D1967" s="164" t="s">
        <v>13</v>
      </c>
      <c r="E1967" s="165">
        <v>120</v>
      </c>
      <c r="F1967" s="166">
        <v>0</v>
      </c>
      <c r="G1967" s="227">
        <f>IF($B$2,IF(ROWS(B$6:$B1967) = 1,$B1967-Start_Date,$B1967-$B1966),"")</f>
        <v>3.5583449061959982E-3</v>
      </c>
      <c r="H1967" s="29">
        <f>IF($B$2,IF(ROWS(B$6:$B1967) = 1,IF(COUNTIFS(R_Schedule_Times,"&lt;"&amp;B1967),INDEX(R_Schedule_Amounts,MATCH(B1967,R_Schedule_Times,1)),Starting_Cash),IF(COUNTIFS(R_Schedule_Times,"&gt;"&amp;B1966,R_Schedule_Times,"&lt;"&amp;B1967),INDEX(R_Schedule_Amounts,MATCH(B1967,R_Schedule_Times,1)),K1966)),"")</f>
        <v>16860</v>
      </c>
      <c r="I1967" s="30">
        <f t="shared" si="150"/>
        <v>120</v>
      </c>
      <c r="J1967" s="31">
        <f t="shared" si="151"/>
        <v>0</v>
      </c>
      <c r="K1967" s="29">
        <f t="shared" si="152"/>
        <v>16740</v>
      </c>
      <c r="L1967" s="31" t="str">
        <f t="shared" si="153"/>
        <v/>
      </c>
      <c r="M1967" s="31" t="str">
        <f t="shared" si="154"/>
        <v/>
      </c>
    </row>
    <row r="1968" spans="1:13" x14ac:dyDescent="0.15">
      <c r="A1968" s="163" t="s">
        <v>210</v>
      </c>
      <c r="B1968" s="163">
        <v>42327.540919907406</v>
      </c>
      <c r="C1968" s="164" t="s">
        <v>453</v>
      </c>
      <c r="D1968" s="164" t="s">
        <v>13</v>
      </c>
      <c r="E1968" s="165">
        <v>200</v>
      </c>
      <c r="F1968" s="166">
        <v>0</v>
      </c>
      <c r="G1968" s="227">
        <f>IF($B$2,IF(ROWS(B$6:$B1968) = 1,$B1968-Start_Date,$B1968-$B1967),"")</f>
        <v>9.9651388882193714E-3</v>
      </c>
      <c r="H1968" s="29">
        <f>IF($B$2,IF(ROWS(B$6:$B1968) = 1,IF(COUNTIFS(R_Schedule_Times,"&lt;"&amp;B1968),INDEX(R_Schedule_Amounts,MATCH(B1968,R_Schedule_Times,1)),Starting_Cash),IF(COUNTIFS(R_Schedule_Times,"&gt;"&amp;B1967,R_Schedule_Times,"&lt;"&amp;B1968),INDEX(R_Schedule_Amounts,MATCH(B1968,R_Schedule_Times,1)),K1967)),"")</f>
        <v>16740</v>
      </c>
      <c r="I1968" s="30">
        <f t="shared" si="150"/>
        <v>200</v>
      </c>
      <c r="J1968" s="31">
        <f t="shared" si="151"/>
        <v>0</v>
      </c>
      <c r="K1968" s="29">
        <f t="shared" si="152"/>
        <v>16540</v>
      </c>
      <c r="L1968" s="31" t="str">
        <f t="shared" si="153"/>
        <v/>
      </c>
      <c r="M1968" s="31" t="str">
        <f t="shared" si="154"/>
        <v/>
      </c>
    </row>
    <row r="1969" spans="1:13" x14ac:dyDescent="0.15">
      <c r="A1969" s="163" t="s">
        <v>210</v>
      </c>
      <c r="B1969" s="163">
        <v>42327.544350439814</v>
      </c>
      <c r="C1969" s="164" t="s">
        <v>652</v>
      </c>
      <c r="D1969" s="164" t="s">
        <v>13</v>
      </c>
      <c r="E1969" s="165">
        <v>40</v>
      </c>
      <c r="F1969" s="166">
        <v>0</v>
      </c>
      <c r="G1969" s="227">
        <f>IF($B$2,IF(ROWS(B$6:$B1969) = 1,$B1969-Start_Date,$B1969-$B1968),"")</f>
        <v>3.4305324079468846E-3</v>
      </c>
      <c r="H1969" s="29">
        <f>IF($B$2,IF(ROWS(B$6:$B1969) = 1,IF(COUNTIFS(R_Schedule_Times,"&lt;"&amp;B1969),INDEX(R_Schedule_Amounts,MATCH(B1969,R_Schedule_Times,1)),Starting_Cash),IF(COUNTIFS(R_Schedule_Times,"&gt;"&amp;B1968,R_Schedule_Times,"&lt;"&amp;B1969),INDEX(R_Schedule_Amounts,MATCH(B1969,R_Schedule_Times,1)),K1968)),"")</f>
        <v>16540</v>
      </c>
      <c r="I1969" s="30">
        <f t="shared" si="150"/>
        <v>40</v>
      </c>
      <c r="J1969" s="31">
        <f t="shared" si="151"/>
        <v>0</v>
      </c>
      <c r="K1969" s="29">
        <f t="shared" si="152"/>
        <v>16500</v>
      </c>
      <c r="L1969" s="31" t="str">
        <f t="shared" si="153"/>
        <v/>
      </c>
      <c r="M1969" s="31" t="str">
        <f t="shared" si="154"/>
        <v/>
      </c>
    </row>
    <row r="1970" spans="1:13" x14ac:dyDescent="0.15">
      <c r="A1970" s="163" t="s">
        <v>210</v>
      </c>
      <c r="B1970" s="163">
        <v>42327.562959953706</v>
      </c>
      <c r="C1970" s="164" t="s">
        <v>454</v>
      </c>
      <c r="D1970" s="164" t="s">
        <v>13</v>
      </c>
      <c r="E1970" s="165">
        <v>300</v>
      </c>
      <c r="F1970" s="166">
        <v>0</v>
      </c>
      <c r="G1970" s="227">
        <f>IF($B$2,IF(ROWS(B$6:$B1970) = 1,$B1970-Start_Date,$B1970-$B1969),"")</f>
        <v>1.8609513892442919E-2</v>
      </c>
      <c r="H1970" s="29">
        <f>IF($B$2,IF(ROWS(B$6:$B1970) = 1,IF(COUNTIFS(R_Schedule_Times,"&lt;"&amp;B1970),INDEX(R_Schedule_Amounts,MATCH(B1970,R_Schedule_Times,1)),Starting_Cash),IF(COUNTIFS(R_Schedule_Times,"&gt;"&amp;B1969,R_Schedule_Times,"&lt;"&amp;B1970),INDEX(R_Schedule_Amounts,MATCH(B1970,R_Schedule_Times,1)),K1969)),"")</f>
        <v>16500</v>
      </c>
      <c r="I1970" s="30">
        <f t="shared" si="150"/>
        <v>300</v>
      </c>
      <c r="J1970" s="31">
        <f t="shared" si="151"/>
        <v>0</v>
      </c>
      <c r="K1970" s="29">
        <f t="shared" si="152"/>
        <v>16200</v>
      </c>
      <c r="L1970" s="31" t="str">
        <f t="shared" si="153"/>
        <v/>
      </c>
      <c r="M1970" s="31" t="str">
        <f t="shared" si="154"/>
        <v/>
      </c>
    </row>
    <row r="1971" spans="1:13" x14ac:dyDescent="0.15">
      <c r="A1971" s="163" t="s">
        <v>210</v>
      </c>
      <c r="B1971" s="163">
        <v>42327.602710312502</v>
      </c>
      <c r="C1971" s="164" t="s">
        <v>1903</v>
      </c>
      <c r="D1971" s="164" t="s">
        <v>13</v>
      </c>
      <c r="E1971" s="165">
        <v>100</v>
      </c>
      <c r="F1971" s="166">
        <v>0</v>
      </c>
      <c r="G1971" s="227">
        <f>IF($B$2,IF(ROWS(B$6:$B1971) = 1,$B1971-Start_Date,$B1971-$B1970),"")</f>
        <v>3.9750358795572538E-2</v>
      </c>
      <c r="H1971" s="29">
        <f>IF($B$2,IF(ROWS(B$6:$B1971) = 1,IF(COUNTIFS(R_Schedule_Times,"&lt;"&amp;B1971),INDEX(R_Schedule_Amounts,MATCH(B1971,R_Schedule_Times,1)),Starting_Cash),IF(COUNTIFS(R_Schedule_Times,"&gt;"&amp;B1970,R_Schedule_Times,"&lt;"&amp;B1971),INDEX(R_Schedule_Amounts,MATCH(B1971,R_Schedule_Times,1)),K1970)),"")</f>
        <v>16200</v>
      </c>
      <c r="I1971" s="30">
        <f t="shared" si="150"/>
        <v>100</v>
      </c>
      <c r="J1971" s="31">
        <f t="shared" si="151"/>
        <v>0</v>
      </c>
      <c r="K1971" s="29">
        <f t="shared" si="152"/>
        <v>16100</v>
      </c>
      <c r="L1971" s="31" t="str">
        <f t="shared" si="153"/>
        <v/>
      </c>
      <c r="M1971" s="31" t="str">
        <f t="shared" si="154"/>
        <v/>
      </c>
    </row>
    <row r="1972" spans="1:13" x14ac:dyDescent="0.15">
      <c r="A1972" s="163" t="s">
        <v>210</v>
      </c>
      <c r="B1972" s="163">
        <v>42327.605776828706</v>
      </c>
      <c r="C1972" s="164" t="s">
        <v>76</v>
      </c>
      <c r="D1972" s="164" t="s">
        <v>13</v>
      </c>
      <c r="E1972" s="165">
        <v>60</v>
      </c>
      <c r="F1972" s="166">
        <v>0</v>
      </c>
      <c r="G1972" s="227">
        <f>IF($B$2,IF(ROWS(B$6:$B1972) = 1,$B1972-Start_Date,$B1972-$B1971),"")</f>
        <v>3.0665162048535421E-3</v>
      </c>
      <c r="H1972" s="29">
        <f>IF($B$2,IF(ROWS(B$6:$B1972) = 1,IF(COUNTIFS(R_Schedule_Times,"&lt;"&amp;B1972),INDEX(R_Schedule_Amounts,MATCH(B1972,R_Schedule_Times,1)),Starting_Cash),IF(COUNTIFS(R_Schedule_Times,"&gt;"&amp;B1971,R_Schedule_Times,"&lt;"&amp;B1972),INDEX(R_Schedule_Amounts,MATCH(B1972,R_Schedule_Times,1)),K1971)),"")</f>
        <v>16100</v>
      </c>
      <c r="I1972" s="30">
        <f t="shared" si="150"/>
        <v>60</v>
      </c>
      <c r="J1972" s="31">
        <f t="shared" si="151"/>
        <v>0</v>
      </c>
      <c r="K1972" s="29">
        <f t="shared" si="152"/>
        <v>16040</v>
      </c>
      <c r="L1972" s="31" t="str">
        <f t="shared" si="153"/>
        <v/>
      </c>
      <c r="M1972" s="31" t="str">
        <f t="shared" si="154"/>
        <v/>
      </c>
    </row>
    <row r="1973" spans="1:13" x14ac:dyDescent="0.15">
      <c r="A1973" s="163" t="s">
        <v>210</v>
      </c>
      <c r="B1973" s="163">
        <v>42327.608134282411</v>
      </c>
      <c r="C1973" s="164" t="s">
        <v>1292</v>
      </c>
      <c r="D1973" s="164" t="s">
        <v>13</v>
      </c>
      <c r="E1973" s="165">
        <v>200</v>
      </c>
      <c r="F1973" s="166">
        <v>0</v>
      </c>
      <c r="G1973" s="227">
        <f>IF($B$2,IF(ROWS(B$6:$B1973) = 1,$B1973-Start_Date,$B1973-$B1972),"")</f>
        <v>2.3574537044623867E-3</v>
      </c>
      <c r="H1973" s="29">
        <f>IF($B$2,IF(ROWS(B$6:$B1973) = 1,IF(COUNTIFS(R_Schedule_Times,"&lt;"&amp;B1973),INDEX(R_Schedule_Amounts,MATCH(B1973,R_Schedule_Times,1)),Starting_Cash),IF(COUNTIFS(R_Schedule_Times,"&gt;"&amp;B1972,R_Schedule_Times,"&lt;"&amp;B1973),INDEX(R_Schedule_Amounts,MATCH(B1973,R_Schedule_Times,1)),K1972)),"")</f>
        <v>16040</v>
      </c>
      <c r="I1973" s="30">
        <f t="shared" si="150"/>
        <v>200</v>
      </c>
      <c r="J1973" s="31">
        <f t="shared" si="151"/>
        <v>0</v>
      </c>
      <c r="K1973" s="29">
        <f t="shared" si="152"/>
        <v>15840</v>
      </c>
      <c r="L1973" s="31" t="str">
        <f t="shared" si="153"/>
        <v/>
      </c>
      <c r="M1973" s="31" t="str">
        <f t="shared" si="154"/>
        <v/>
      </c>
    </row>
    <row r="1974" spans="1:13" x14ac:dyDescent="0.15">
      <c r="A1974" s="163" t="s">
        <v>210</v>
      </c>
      <c r="B1974" s="163">
        <v>42327.621933518516</v>
      </c>
      <c r="C1974" s="164" t="s">
        <v>1904</v>
      </c>
      <c r="D1974" s="164" t="s">
        <v>13</v>
      </c>
      <c r="E1974" s="165">
        <v>100</v>
      </c>
      <c r="F1974" s="166">
        <v>0</v>
      </c>
      <c r="G1974" s="227">
        <f>IF($B$2,IF(ROWS(B$6:$B1974) = 1,$B1974-Start_Date,$B1974-$B1973),"")</f>
        <v>1.3799236105114687E-2</v>
      </c>
      <c r="H1974" s="29">
        <f>IF($B$2,IF(ROWS(B$6:$B1974) = 1,IF(COUNTIFS(R_Schedule_Times,"&lt;"&amp;B1974),INDEX(R_Schedule_Amounts,MATCH(B1974,R_Schedule_Times,1)),Starting_Cash),IF(COUNTIFS(R_Schedule_Times,"&gt;"&amp;B1973,R_Schedule_Times,"&lt;"&amp;B1974),INDEX(R_Schedule_Amounts,MATCH(B1974,R_Schedule_Times,1)),K1973)),"")</f>
        <v>15840</v>
      </c>
      <c r="I1974" s="30">
        <f t="shared" si="150"/>
        <v>100</v>
      </c>
      <c r="J1974" s="31">
        <f t="shared" si="151"/>
        <v>0</v>
      </c>
      <c r="K1974" s="29">
        <f t="shared" si="152"/>
        <v>15740</v>
      </c>
      <c r="L1974" s="31" t="str">
        <f t="shared" si="153"/>
        <v/>
      </c>
      <c r="M1974" s="31" t="str">
        <f t="shared" si="154"/>
        <v/>
      </c>
    </row>
    <row r="1975" spans="1:13" x14ac:dyDescent="0.15">
      <c r="A1975" s="163" t="s">
        <v>210</v>
      </c>
      <c r="B1975" s="163">
        <v>42327.640041030092</v>
      </c>
      <c r="C1975" s="164" t="s">
        <v>1905</v>
      </c>
      <c r="D1975" s="164" t="s">
        <v>13</v>
      </c>
      <c r="E1975" s="165">
        <v>100</v>
      </c>
      <c r="F1975" s="166">
        <v>0</v>
      </c>
      <c r="G1975" s="227">
        <f>IF($B$2,IF(ROWS(B$6:$B1975) = 1,$B1975-Start_Date,$B1975-$B1974),"")</f>
        <v>1.8107511576090474E-2</v>
      </c>
      <c r="H1975" s="29">
        <f>IF($B$2,IF(ROWS(B$6:$B1975) = 1,IF(COUNTIFS(R_Schedule_Times,"&lt;"&amp;B1975),INDEX(R_Schedule_Amounts,MATCH(B1975,R_Schedule_Times,1)),Starting_Cash),IF(COUNTIFS(R_Schedule_Times,"&gt;"&amp;B1974,R_Schedule_Times,"&lt;"&amp;B1975),INDEX(R_Schedule_Amounts,MATCH(B1975,R_Schedule_Times,1)),K1974)),"")</f>
        <v>15740</v>
      </c>
      <c r="I1975" s="30">
        <f t="shared" si="150"/>
        <v>100</v>
      </c>
      <c r="J1975" s="31">
        <f t="shared" si="151"/>
        <v>0</v>
      </c>
      <c r="K1975" s="29">
        <f t="shared" si="152"/>
        <v>15640</v>
      </c>
      <c r="L1975" s="31" t="str">
        <f t="shared" si="153"/>
        <v/>
      </c>
      <c r="M1975" s="31" t="str">
        <f t="shared" si="154"/>
        <v/>
      </c>
    </row>
    <row r="1976" spans="1:13" x14ac:dyDescent="0.15">
      <c r="A1976" s="163" t="s">
        <v>210</v>
      </c>
      <c r="B1976" s="163">
        <v>42327.682251446757</v>
      </c>
      <c r="C1976" s="164" t="s">
        <v>1906</v>
      </c>
      <c r="D1976" s="164" t="s">
        <v>13</v>
      </c>
      <c r="E1976" s="165">
        <v>100</v>
      </c>
      <c r="F1976" s="166">
        <v>0</v>
      </c>
      <c r="G1976" s="227">
        <f>IF($B$2,IF(ROWS(B$6:$B1976) = 1,$B1976-Start_Date,$B1976-$B1975),"")</f>
        <v>4.2210416664602235E-2</v>
      </c>
      <c r="H1976" s="29">
        <f>IF($B$2,IF(ROWS(B$6:$B1976) = 1,IF(COUNTIFS(R_Schedule_Times,"&lt;"&amp;B1976),INDEX(R_Schedule_Amounts,MATCH(B1976,R_Schedule_Times,1)),Starting_Cash),IF(COUNTIFS(R_Schedule_Times,"&gt;"&amp;B1975,R_Schedule_Times,"&lt;"&amp;B1976),INDEX(R_Schedule_Amounts,MATCH(B1976,R_Schedule_Times,1)),K1975)),"")</f>
        <v>15640</v>
      </c>
      <c r="I1976" s="30">
        <f t="shared" si="150"/>
        <v>100</v>
      </c>
      <c r="J1976" s="31">
        <f t="shared" si="151"/>
        <v>0</v>
      </c>
      <c r="K1976" s="29">
        <f t="shared" si="152"/>
        <v>15540</v>
      </c>
      <c r="L1976" s="31" t="str">
        <f t="shared" si="153"/>
        <v/>
      </c>
      <c r="M1976" s="31" t="str">
        <f t="shared" si="154"/>
        <v/>
      </c>
    </row>
    <row r="1977" spans="1:13" x14ac:dyDescent="0.15">
      <c r="A1977" s="163" t="s">
        <v>210</v>
      </c>
      <c r="B1977" s="163">
        <v>42327.687377002316</v>
      </c>
      <c r="C1977" s="164" t="s">
        <v>1907</v>
      </c>
      <c r="D1977" s="164" t="s">
        <v>13</v>
      </c>
      <c r="E1977" s="165">
        <v>40</v>
      </c>
      <c r="F1977" s="166">
        <v>0</v>
      </c>
      <c r="G1977" s="227">
        <f>IF($B$2,IF(ROWS(B$6:$B1977) = 1,$B1977-Start_Date,$B1977-$B1976),"")</f>
        <v>5.1255555590614676E-3</v>
      </c>
      <c r="H1977" s="29">
        <f>IF($B$2,IF(ROWS(B$6:$B1977) = 1,IF(COUNTIFS(R_Schedule_Times,"&lt;"&amp;B1977),INDEX(R_Schedule_Amounts,MATCH(B1977,R_Schedule_Times,1)),Starting_Cash),IF(COUNTIFS(R_Schedule_Times,"&gt;"&amp;B1976,R_Schedule_Times,"&lt;"&amp;B1977),INDEX(R_Schedule_Amounts,MATCH(B1977,R_Schedule_Times,1)),K1976)),"")</f>
        <v>15540</v>
      </c>
      <c r="I1977" s="30">
        <f t="shared" si="150"/>
        <v>40</v>
      </c>
      <c r="J1977" s="31">
        <f t="shared" si="151"/>
        <v>0</v>
      </c>
      <c r="K1977" s="29">
        <f t="shared" si="152"/>
        <v>15500</v>
      </c>
      <c r="L1977" s="31" t="str">
        <f t="shared" si="153"/>
        <v/>
      </c>
      <c r="M1977" s="31" t="str">
        <f t="shared" si="154"/>
        <v/>
      </c>
    </row>
    <row r="1978" spans="1:13" x14ac:dyDescent="0.15">
      <c r="A1978" s="163" t="s">
        <v>210</v>
      </c>
      <c r="B1978" s="163">
        <v>42327.700569675922</v>
      </c>
      <c r="C1978" s="164" t="s">
        <v>1908</v>
      </c>
      <c r="D1978" s="164" t="s">
        <v>13</v>
      </c>
      <c r="E1978" s="165">
        <v>40</v>
      </c>
      <c r="F1978" s="166">
        <v>0</v>
      </c>
      <c r="G1978" s="227">
        <f>IF($B$2,IF(ROWS(B$6:$B1978) = 1,$B1978-Start_Date,$B1978-$B1977),"")</f>
        <v>1.3192673606681637E-2</v>
      </c>
      <c r="H1978" s="29">
        <f>IF($B$2,IF(ROWS(B$6:$B1978) = 1,IF(COUNTIFS(R_Schedule_Times,"&lt;"&amp;B1978),INDEX(R_Schedule_Amounts,MATCH(B1978,R_Schedule_Times,1)),Starting_Cash),IF(COUNTIFS(R_Schedule_Times,"&gt;"&amp;B1977,R_Schedule_Times,"&lt;"&amp;B1978),INDEX(R_Schedule_Amounts,MATCH(B1978,R_Schedule_Times,1)),K1977)),"")</f>
        <v>15500</v>
      </c>
      <c r="I1978" s="30">
        <f t="shared" si="150"/>
        <v>40</v>
      </c>
      <c r="J1978" s="31">
        <f t="shared" si="151"/>
        <v>0</v>
      </c>
      <c r="K1978" s="29">
        <f t="shared" si="152"/>
        <v>15460</v>
      </c>
      <c r="L1978" s="31" t="str">
        <f t="shared" si="153"/>
        <v/>
      </c>
      <c r="M1978" s="31" t="str">
        <f t="shared" si="154"/>
        <v/>
      </c>
    </row>
    <row r="1979" spans="1:13" x14ac:dyDescent="0.15">
      <c r="A1979" s="163" t="s">
        <v>210</v>
      </c>
      <c r="B1979" s="163">
        <v>42327.7184653125</v>
      </c>
      <c r="C1979" s="164" t="s">
        <v>177</v>
      </c>
      <c r="D1979" s="164" t="s">
        <v>13</v>
      </c>
      <c r="E1979" s="165">
        <v>40</v>
      </c>
      <c r="F1979" s="166">
        <v>0</v>
      </c>
      <c r="G1979" s="227">
        <f>IF($B$2,IF(ROWS(B$6:$B1979) = 1,$B1979-Start_Date,$B1979-$B1978),"")</f>
        <v>1.7895636578032281E-2</v>
      </c>
      <c r="H1979" s="29">
        <f>IF($B$2,IF(ROWS(B$6:$B1979) = 1,IF(COUNTIFS(R_Schedule_Times,"&lt;"&amp;B1979),INDEX(R_Schedule_Amounts,MATCH(B1979,R_Schedule_Times,1)),Starting_Cash),IF(COUNTIFS(R_Schedule_Times,"&gt;"&amp;B1978,R_Schedule_Times,"&lt;"&amp;B1979),INDEX(R_Schedule_Amounts,MATCH(B1979,R_Schedule_Times,1)),K1978)),"")</f>
        <v>15460</v>
      </c>
      <c r="I1979" s="30">
        <f t="shared" si="150"/>
        <v>40</v>
      </c>
      <c r="J1979" s="31">
        <f t="shared" si="151"/>
        <v>0</v>
      </c>
      <c r="K1979" s="29">
        <f t="shared" si="152"/>
        <v>15420</v>
      </c>
      <c r="L1979" s="31" t="str">
        <f t="shared" si="153"/>
        <v/>
      </c>
      <c r="M1979" s="31" t="str">
        <f t="shared" si="154"/>
        <v/>
      </c>
    </row>
    <row r="1980" spans="1:13" x14ac:dyDescent="0.15">
      <c r="A1980" s="163" t="s">
        <v>210</v>
      </c>
      <c r="B1980" s="163">
        <v>42327.733112708331</v>
      </c>
      <c r="C1980" s="164" t="s">
        <v>1909</v>
      </c>
      <c r="D1980" s="164" t="s">
        <v>13</v>
      </c>
      <c r="E1980" s="165">
        <v>100</v>
      </c>
      <c r="F1980" s="166">
        <v>0</v>
      </c>
      <c r="G1980" s="227">
        <f>IF($B$2,IF(ROWS(B$6:$B1980) = 1,$B1980-Start_Date,$B1980-$B1979),"")</f>
        <v>1.4647395830252208E-2</v>
      </c>
      <c r="H1980" s="29">
        <f>IF($B$2,IF(ROWS(B$6:$B1980) = 1,IF(COUNTIFS(R_Schedule_Times,"&lt;"&amp;B1980),INDEX(R_Schedule_Amounts,MATCH(B1980,R_Schedule_Times,1)),Starting_Cash),IF(COUNTIFS(R_Schedule_Times,"&gt;"&amp;B1979,R_Schedule_Times,"&lt;"&amp;B1980),INDEX(R_Schedule_Amounts,MATCH(B1980,R_Schedule_Times,1)),K1979)),"")</f>
        <v>15420</v>
      </c>
      <c r="I1980" s="30">
        <f t="shared" si="150"/>
        <v>100</v>
      </c>
      <c r="J1980" s="31">
        <f t="shared" si="151"/>
        <v>0</v>
      </c>
      <c r="K1980" s="29">
        <f t="shared" si="152"/>
        <v>15320</v>
      </c>
      <c r="L1980" s="31" t="str">
        <f t="shared" si="153"/>
        <v/>
      </c>
      <c r="M1980" s="31" t="str">
        <f t="shared" si="154"/>
        <v/>
      </c>
    </row>
    <row r="1981" spans="1:13" x14ac:dyDescent="0.15">
      <c r="A1981" s="163" t="s">
        <v>210</v>
      </c>
      <c r="B1981" s="163">
        <v>42327.733781030096</v>
      </c>
      <c r="C1981" s="164" t="s">
        <v>1287</v>
      </c>
      <c r="D1981" s="164" t="s">
        <v>13</v>
      </c>
      <c r="E1981" s="165">
        <v>20</v>
      </c>
      <c r="F1981" s="166">
        <v>0</v>
      </c>
      <c r="G1981" s="227">
        <f>IF($B$2,IF(ROWS(B$6:$B1981) = 1,$B1981-Start_Date,$B1981-$B1980),"")</f>
        <v>6.6832176526077092E-4</v>
      </c>
      <c r="H1981" s="29">
        <f>IF($B$2,IF(ROWS(B$6:$B1981) = 1,IF(COUNTIFS(R_Schedule_Times,"&lt;"&amp;B1981),INDEX(R_Schedule_Amounts,MATCH(B1981,R_Schedule_Times,1)),Starting_Cash),IF(COUNTIFS(R_Schedule_Times,"&gt;"&amp;B1980,R_Schedule_Times,"&lt;"&amp;B1981),INDEX(R_Schedule_Amounts,MATCH(B1981,R_Schedule_Times,1)),K1980)),"")</f>
        <v>15320</v>
      </c>
      <c r="I1981" s="30">
        <f t="shared" si="150"/>
        <v>20</v>
      </c>
      <c r="J1981" s="31">
        <f t="shared" si="151"/>
        <v>0</v>
      </c>
      <c r="K1981" s="29">
        <f t="shared" si="152"/>
        <v>15300</v>
      </c>
      <c r="L1981" s="31" t="str">
        <f t="shared" si="153"/>
        <v/>
      </c>
      <c r="M1981" s="31" t="str">
        <f t="shared" si="154"/>
        <v/>
      </c>
    </row>
    <row r="1982" spans="1:13" x14ac:dyDescent="0.15">
      <c r="A1982" s="163" t="s">
        <v>210</v>
      </c>
      <c r="B1982" s="163">
        <v>42327.752747523147</v>
      </c>
      <c r="C1982" s="164" t="s">
        <v>1910</v>
      </c>
      <c r="D1982" s="164" t="s">
        <v>13</v>
      </c>
      <c r="E1982" s="165">
        <v>80</v>
      </c>
      <c r="F1982" s="166">
        <v>0</v>
      </c>
      <c r="G1982" s="227">
        <f>IF($B$2,IF(ROWS(B$6:$B1982) = 1,$B1982-Start_Date,$B1982-$B1981),"")</f>
        <v>1.8966493051266298E-2</v>
      </c>
      <c r="H1982" s="29">
        <f>IF($B$2,IF(ROWS(B$6:$B1982) = 1,IF(COUNTIFS(R_Schedule_Times,"&lt;"&amp;B1982),INDEX(R_Schedule_Amounts,MATCH(B1982,R_Schedule_Times,1)),Starting_Cash),IF(COUNTIFS(R_Schedule_Times,"&gt;"&amp;B1981,R_Schedule_Times,"&lt;"&amp;B1982),INDEX(R_Schedule_Amounts,MATCH(B1982,R_Schedule_Times,1)),K1981)),"")</f>
        <v>15300</v>
      </c>
      <c r="I1982" s="30">
        <f t="shared" si="150"/>
        <v>80</v>
      </c>
      <c r="J1982" s="31">
        <f t="shared" si="151"/>
        <v>0</v>
      </c>
      <c r="K1982" s="29">
        <f t="shared" si="152"/>
        <v>15220</v>
      </c>
      <c r="L1982" s="31" t="str">
        <f t="shared" si="153"/>
        <v/>
      </c>
      <c r="M1982" s="31" t="str">
        <f t="shared" si="154"/>
        <v/>
      </c>
    </row>
    <row r="1983" spans="1:13" x14ac:dyDescent="0.15">
      <c r="A1983" s="163" t="s">
        <v>210</v>
      </c>
      <c r="B1983" s="163">
        <v>42327.757469710647</v>
      </c>
      <c r="C1983" s="164" t="s">
        <v>455</v>
      </c>
      <c r="D1983" s="164" t="s">
        <v>13</v>
      </c>
      <c r="E1983" s="165">
        <v>20</v>
      </c>
      <c r="F1983" s="166">
        <v>0</v>
      </c>
      <c r="G1983" s="227">
        <f>IF($B$2,IF(ROWS(B$6:$B1983) = 1,$B1983-Start_Date,$B1983-$B1982),"")</f>
        <v>4.7221874992828816E-3</v>
      </c>
      <c r="H1983" s="29">
        <f>IF($B$2,IF(ROWS(B$6:$B1983) = 1,IF(COUNTIFS(R_Schedule_Times,"&lt;"&amp;B1983),INDEX(R_Schedule_Amounts,MATCH(B1983,R_Schedule_Times,1)),Starting_Cash),IF(COUNTIFS(R_Schedule_Times,"&gt;"&amp;B1982,R_Schedule_Times,"&lt;"&amp;B1983),INDEX(R_Schedule_Amounts,MATCH(B1983,R_Schedule_Times,1)),K1982)),"")</f>
        <v>15220</v>
      </c>
      <c r="I1983" s="30">
        <f t="shared" si="150"/>
        <v>20</v>
      </c>
      <c r="J1983" s="31">
        <f t="shared" si="151"/>
        <v>0</v>
      </c>
      <c r="K1983" s="29">
        <f t="shared" si="152"/>
        <v>15200</v>
      </c>
      <c r="L1983" s="31" t="str">
        <f t="shared" si="153"/>
        <v/>
      </c>
      <c r="M1983" s="31" t="str">
        <f t="shared" si="154"/>
        <v/>
      </c>
    </row>
    <row r="1984" spans="1:13" x14ac:dyDescent="0.15">
      <c r="A1984" s="163" t="s">
        <v>210</v>
      </c>
      <c r="B1984" s="163">
        <v>42327.76235488426</v>
      </c>
      <c r="C1984" s="164" t="s">
        <v>1911</v>
      </c>
      <c r="D1984" s="164" t="s">
        <v>13</v>
      </c>
      <c r="E1984" s="165">
        <v>20</v>
      </c>
      <c r="F1984" s="166">
        <v>0</v>
      </c>
      <c r="G1984" s="227">
        <f>IF($B$2,IF(ROWS(B$6:$B1984) = 1,$B1984-Start_Date,$B1984-$B1983),"")</f>
        <v>4.885173613729421E-3</v>
      </c>
      <c r="H1984" s="29">
        <f>IF($B$2,IF(ROWS(B$6:$B1984) = 1,IF(COUNTIFS(R_Schedule_Times,"&lt;"&amp;B1984),INDEX(R_Schedule_Amounts,MATCH(B1984,R_Schedule_Times,1)),Starting_Cash),IF(COUNTIFS(R_Schedule_Times,"&gt;"&amp;B1983,R_Schedule_Times,"&lt;"&amp;B1984),INDEX(R_Schedule_Amounts,MATCH(B1984,R_Schedule_Times,1)),K1983)),"")</f>
        <v>15200</v>
      </c>
      <c r="I1984" s="30">
        <f t="shared" si="150"/>
        <v>20</v>
      </c>
      <c r="J1984" s="31">
        <f t="shared" si="151"/>
        <v>0</v>
      </c>
      <c r="K1984" s="29">
        <f t="shared" si="152"/>
        <v>15180</v>
      </c>
      <c r="L1984" s="31" t="str">
        <f t="shared" si="153"/>
        <v/>
      </c>
      <c r="M1984" s="31" t="str">
        <f t="shared" si="154"/>
        <v/>
      </c>
    </row>
    <row r="1985" spans="1:13" x14ac:dyDescent="0.15">
      <c r="A1985" s="163" t="s">
        <v>210</v>
      </c>
      <c r="B1985" s="163">
        <v>42327.767157430557</v>
      </c>
      <c r="C1985" s="164" t="s">
        <v>14</v>
      </c>
      <c r="D1985" s="164" t="s">
        <v>13</v>
      </c>
      <c r="E1985" s="165">
        <v>20</v>
      </c>
      <c r="F1985" s="166">
        <v>3.5</v>
      </c>
      <c r="G1985" s="227">
        <f>IF($B$2,IF(ROWS(B$6:$B1985) = 1,$B1985-Start_Date,$B1985-$B1984),"")</f>
        <v>4.8025462965597399E-3</v>
      </c>
      <c r="H1985" s="29">
        <f>IF($B$2,IF(ROWS(B$6:$B1985) = 1,IF(COUNTIFS(R_Schedule_Times,"&lt;"&amp;B1985),INDEX(R_Schedule_Amounts,MATCH(B1985,R_Schedule_Times,1)),Starting_Cash),IF(COUNTIFS(R_Schedule_Times,"&gt;"&amp;B1984,R_Schedule_Times,"&lt;"&amp;B1985),INDEX(R_Schedule_Amounts,MATCH(B1985,R_Schedule_Times,1)),K1984)),"")</f>
        <v>15180</v>
      </c>
      <c r="I1985" s="30">
        <f t="shared" si="150"/>
        <v>20</v>
      </c>
      <c r="J1985" s="31">
        <f t="shared" si="151"/>
        <v>3.5</v>
      </c>
      <c r="K1985" s="29">
        <f t="shared" si="152"/>
        <v>15160</v>
      </c>
      <c r="L1985" s="31" t="str">
        <f t="shared" si="153"/>
        <v/>
      </c>
      <c r="M1985" s="31" t="str">
        <f t="shared" si="154"/>
        <v/>
      </c>
    </row>
    <row r="1986" spans="1:13" x14ac:dyDescent="0.15">
      <c r="A1986" s="163" t="s">
        <v>210</v>
      </c>
      <c r="B1986" s="163">
        <v>42327.782015405093</v>
      </c>
      <c r="C1986" s="164" t="s">
        <v>1912</v>
      </c>
      <c r="D1986" s="164" t="s">
        <v>13</v>
      </c>
      <c r="E1986" s="165">
        <v>20</v>
      </c>
      <c r="F1986" s="166">
        <v>0</v>
      </c>
      <c r="G1986" s="227">
        <f>IF($B$2,IF(ROWS(B$6:$B1986) = 1,$B1986-Start_Date,$B1986-$B1985),"")</f>
        <v>1.48579745364259E-2</v>
      </c>
      <c r="H1986" s="29">
        <f>IF($B$2,IF(ROWS(B$6:$B1986) = 1,IF(COUNTIFS(R_Schedule_Times,"&lt;"&amp;B1986),INDEX(R_Schedule_Amounts,MATCH(B1986,R_Schedule_Times,1)),Starting_Cash),IF(COUNTIFS(R_Schedule_Times,"&gt;"&amp;B1985,R_Schedule_Times,"&lt;"&amp;B1986),INDEX(R_Schedule_Amounts,MATCH(B1986,R_Schedule_Times,1)),K1985)),"")</f>
        <v>15160</v>
      </c>
      <c r="I1986" s="30">
        <f t="shared" si="150"/>
        <v>20</v>
      </c>
      <c r="J1986" s="31">
        <f t="shared" si="151"/>
        <v>0</v>
      </c>
      <c r="K1986" s="29">
        <f t="shared" si="152"/>
        <v>15140</v>
      </c>
      <c r="L1986" s="31" t="str">
        <f t="shared" si="153"/>
        <v/>
      </c>
      <c r="M1986" s="31" t="str">
        <f t="shared" si="154"/>
        <v/>
      </c>
    </row>
    <row r="1987" spans="1:13" x14ac:dyDescent="0.15">
      <c r="A1987" s="163" t="s">
        <v>210</v>
      </c>
      <c r="B1987" s="163">
        <v>42327.813923402777</v>
      </c>
      <c r="C1987" s="164" t="s">
        <v>1913</v>
      </c>
      <c r="D1987" s="164" t="s">
        <v>13</v>
      </c>
      <c r="E1987" s="165">
        <v>100</v>
      </c>
      <c r="F1987" s="166">
        <v>0</v>
      </c>
      <c r="G1987" s="227">
        <f>IF($B$2,IF(ROWS(B$6:$B1987) = 1,$B1987-Start_Date,$B1987-$B1986),"")</f>
        <v>3.190799768344732E-2</v>
      </c>
      <c r="H1987" s="29">
        <f>IF($B$2,IF(ROWS(B$6:$B1987) = 1,IF(COUNTIFS(R_Schedule_Times,"&lt;"&amp;B1987),INDEX(R_Schedule_Amounts,MATCH(B1987,R_Schedule_Times,1)),Starting_Cash),IF(COUNTIFS(R_Schedule_Times,"&gt;"&amp;B1986,R_Schedule_Times,"&lt;"&amp;B1987),INDEX(R_Schedule_Amounts,MATCH(B1987,R_Schedule_Times,1)),K1986)),"")</f>
        <v>15140</v>
      </c>
      <c r="I1987" s="30">
        <f t="shared" si="150"/>
        <v>100</v>
      </c>
      <c r="J1987" s="31">
        <f t="shared" si="151"/>
        <v>0</v>
      </c>
      <c r="K1987" s="29">
        <f t="shared" si="152"/>
        <v>15040</v>
      </c>
      <c r="L1987" s="31" t="str">
        <f t="shared" si="153"/>
        <v/>
      </c>
      <c r="M1987" s="31" t="str">
        <f t="shared" si="154"/>
        <v/>
      </c>
    </row>
    <row r="1988" spans="1:13" x14ac:dyDescent="0.15">
      <c r="A1988" s="163" t="s">
        <v>210</v>
      </c>
      <c r="B1988" s="163">
        <v>42327.849915023151</v>
      </c>
      <c r="C1988" s="164" t="s">
        <v>14</v>
      </c>
      <c r="D1988" s="164" t="s">
        <v>13</v>
      </c>
      <c r="E1988" s="165">
        <v>100</v>
      </c>
      <c r="F1988" s="166">
        <v>3.5</v>
      </c>
      <c r="G1988" s="227">
        <f>IF($B$2,IF(ROWS(B$6:$B1988) = 1,$B1988-Start_Date,$B1988-$B1987),"")</f>
        <v>3.5991620374261402E-2</v>
      </c>
      <c r="H1988" s="29">
        <f>IF($B$2,IF(ROWS(B$6:$B1988) = 1,IF(COUNTIFS(R_Schedule_Times,"&lt;"&amp;B1988),INDEX(R_Schedule_Amounts,MATCH(B1988,R_Schedule_Times,1)),Starting_Cash),IF(COUNTIFS(R_Schedule_Times,"&gt;"&amp;B1987,R_Schedule_Times,"&lt;"&amp;B1988),INDEX(R_Schedule_Amounts,MATCH(B1988,R_Schedule_Times,1)),K1987)),"")</f>
        <v>15040</v>
      </c>
      <c r="I1988" s="30">
        <f t="shared" si="150"/>
        <v>100</v>
      </c>
      <c r="J1988" s="31">
        <f t="shared" si="151"/>
        <v>3.5</v>
      </c>
      <c r="K1988" s="29">
        <f t="shared" si="152"/>
        <v>14940</v>
      </c>
      <c r="L1988" s="31" t="str">
        <f t="shared" si="153"/>
        <v/>
      </c>
      <c r="M1988" s="31" t="str">
        <f t="shared" si="154"/>
        <v/>
      </c>
    </row>
    <row r="1989" spans="1:13" x14ac:dyDescent="0.15">
      <c r="A1989" s="163" t="s">
        <v>210</v>
      </c>
      <c r="B1989" s="163">
        <v>42327.914042060183</v>
      </c>
      <c r="C1989" s="164" t="s">
        <v>1604</v>
      </c>
      <c r="D1989" s="164" t="s">
        <v>13</v>
      </c>
      <c r="E1989" s="165">
        <v>60</v>
      </c>
      <c r="F1989" s="166">
        <v>0</v>
      </c>
      <c r="G1989" s="227">
        <f>IF($B$2,IF(ROWS(B$6:$B1989) = 1,$B1989-Start_Date,$B1989-$B1988),"")</f>
        <v>6.4127037032449152E-2</v>
      </c>
      <c r="H1989" s="29">
        <f>IF($B$2,IF(ROWS(B$6:$B1989) = 1,IF(COUNTIFS(R_Schedule_Times,"&lt;"&amp;B1989),INDEX(R_Schedule_Amounts,MATCH(B1989,R_Schedule_Times,1)),Starting_Cash),IF(COUNTIFS(R_Schedule_Times,"&gt;"&amp;B1988,R_Schedule_Times,"&lt;"&amp;B1989),INDEX(R_Schedule_Amounts,MATCH(B1989,R_Schedule_Times,1)),K1988)),"")</f>
        <v>14940</v>
      </c>
      <c r="I1989" s="30">
        <f t="shared" si="150"/>
        <v>60</v>
      </c>
      <c r="J1989" s="31">
        <f t="shared" si="151"/>
        <v>0</v>
      </c>
      <c r="K1989" s="29">
        <f t="shared" si="152"/>
        <v>14880</v>
      </c>
      <c r="L1989" s="31" t="str">
        <f t="shared" si="153"/>
        <v/>
      </c>
      <c r="M1989" s="31" t="str">
        <f t="shared" si="154"/>
        <v/>
      </c>
    </row>
    <row r="1990" spans="1:13" x14ac:dyDescent="0.15">
      <c r="A1990" s="163" t="s">
        <v>210</v>
      </c>
      <c r="B1990" s="163">
        <v>42327.936280185182</v>
      </c>
      <c r="C1990" s="164" t="s">
        <v>804</v>
      </c>
      <c r="D1990" s="164" t="s">
        <v>13</v>
      </c>
      <c r="E1990" s="165">
        <v>20</v>
      </c>
      <c r="F1990" s="166">
        <v>0</v>
      </c>
      <c r="G1990" s="227">
        <f>IF($B$2,IF(ROWS(B$6:$B1990) = 1,$B1990-Start_Date,$B1990-$B1989),"")</f>
        <v>2.223812499869382E-2</v>
      </c>
      <c r="H1990" s="29">
        <f>IF($B$2,IF(ROWS(B$6:$B1990) = 1,IF(COUNTIFS(R_Schedule_Times,"&lt;"&amp;B1990),INDEX(R_Schedule_Amounts,MATCH(B1990,R_Schedule_Times,1)),Starting_Cash),IF(COUNTIFS(R_Schedule_Times,"&gt;"&amp;B1989,R_Schedule_Times,"&lt;"&amp;B1990),INDEX(R_Schedule_Amounts,MATCH(B1990,R_Schedule_Times,1)),K1989)),"")</f>
        <v>14880</v>
      </c>
      <c r="I1990" s="30">
        <f t="shared" si="150"/>
        <v>20</v>
      </c>
      <c r="J1990" s="31">
        <f t="shared" si="151"/>
        <v>0</v>
      </c>
      <c r="K1990" s="29">
        <f t="shared" si="152"/>
        <v>14860</v>
      </c>
      <c r="L1990" s="31" t="str">
        <f t="shared" si="153"/>
        <v/>
      </c>
      <c r="M1990" s="31" t="str">
        <f t="shared" si="154"/>
        <v/>
      </c>
    </row>
    <row r="1991" spans="1:13" x14ac:dyDescent="0.15">
      <c r="A1991" s="163" t="s">
        <v>210</v>
      </c>
      <c r="B1991" s="163">
        <v>42327.960253425925</v>
      </c>
      <c r="C1991" s="164" t="s">
        <v>456</v>
      </c>
      <c r="D1991" s="164" t="s">
        <v>13</v>
      </c>
      <c r="E1991" s="165">
        <v>100</v>
      </c>
      <c r="F1991" s="166">
        <v>0</v>
      </c>
      <c r="G1991" s="227">
        <f>IF($B$2,IF(ROWS(B$6:$B1991) = 1,$B1991-Start_Date,$B1991-$B1990),"")</f>
        <v>2.3973240742634516E-2</v>
      </c>
      <c r="H1991" s="29">
        <f>IF($B$2,IF(ROWS(B$6:$B1991) = 1,IF(COUNTIFS(R_Schedule_Times,"&lt;"&amp;B1991),INDEX(R_Schedule_Amounts,MATCH(B1991,R_Schedule_Times,1)),Starting_Cash),IF(COUNTIFS(R_Schedule_Times,"&gt;"&amp;B1990,R_Schedule_Times,"&lt;"&amp;B1991),INDEX(R_Schedule_Amounts,MATCH(B1991,R_Schedule_Times,1)),K1990)),"")</f>
        <v>14860</v>
      </c>
      <c r="I1991" s="30">
        <f t="shared" ref="I1991:I2054" si="155">IF($B$2,IF(H1991&gt;=E1991,E1991,0),"")</f>
        <v>100</v>
      </c>
      <c r="J1991" s="31">
        <f t="shared" ref="J1991:J2054" si="156">IF($B$2,IF(H1991&gt;=E1991,F1991,0),"")</f>
        <v>0</v>
      </c>
      <c r="K1991" s="29">
        <f t="shared" ref="K1991:K2054" si="157">IF($B$2,ABS(I1991-H1991),"")</f>
        <v>14760</v>
      </c>
      <c r="L1991" s="31" t="str">
        <f t="shared" ref="L1991:L2054" si="158">IF($B$2,IF(H1991&lt;E1991,"YES",""),"")</f>
        <v/>
      </c>
      <c r="M1991" s="31" t="str">
        <f t="shared" ref="M1991:M2054" si="159">IF($B$2,IF(L1991="YES",F1991,""),"")</f>
        <v/>
      </c>
    </row>
    <row r="1992" spans="1:13" x14ac:dyDescent="0.15">
      <c r="A1992" s="163" t="s">
        <v>210</v>
      </c>
      <c r="B1992" s="163">
        <v>42328.219620578704</v>
      </c>
      <c r="C1992" s="164" t="s">
        <v>1533</v>
      </c>
      <c r="D1992" s="164" t="s">
        <v>13</v>
      </c>
      <c r="E1992" s="165">
        <v>80</v>
      </c>
      <c r="F1992" s="166">
        <v>0</v>
      </c>
      <c r="G1992" s="227">
        <f>IF($B$2,IF(ROWS(B$6:$B1992) = 1,$B1992-Start_Date,$B1992-$B1991),"")</f>
        <v>0.25936715277930489</v>
      </c>
      <c r="H1992" s="29">
        <f>IF($B$2,IF(ROWS(B$6:$B1992) = 1,IF(COUNTIFS(R_Schedule_Times,"&lt;"&amp;B1992),INDEX(R_Schedule_Amounts,MATCH(B1992,R_Schedule_Times,1)),Starting_Cash),IF(COUNTIFS(R_Schedule_Times,"&gt;"&amp;B1991,R_Schedule_Times,"&lt;"&amp;B1992),INDEX(R_Schedule_Amounts,MATCH(B1992,R_Schedule_Times,1)),K1991)),"")</f>
        <v>14760</v>
      </c>
      <c r="I1992" s="30">
        <f t="shared" si="155"/>
        <v>80</v>
      </c>
      <c r="J1992" s="31">
        <f t="shared" si="156"/>
        <v>0</v>
      </c>
      <c r="K1992" s="29">
        <f t="shared" si="157"/>
        <v>14680</v>
      </c>
      <c r="L1992" s="31" t="str">
        <f t="shared" si="158"/>
        <v/>
      </c>
      <c r="M1992" s="31" t="str">
        <f t="shared" si="159"/>
        <v/>
      </c>
    </row>
    <row r="1993" spans="1:13" x14ac:dyDescent="0.15">
      <c r="A1993" s="163" t="s">
        <v>210</v>
      </c>
      <c r="B1993" s="163">
        <v>42328.230128993055</v>
      </c>
      <c r="C1993" s="164" t="s">
        <v>14</v>
      </c>
      <c r="D1993" s="164" t="s">
        <v>13</v>
      </c>
      <c r="E1993" s="165">
        <v>100</v>
      </c>
      <c r="F1993" s="166">
        <v>3.5</v>
      </c>
      <c r="G1993" s="227">
        <f>IF($B$2,IF(ROWS(B$6:$B1993) = 1,$B1993-Start_Date,$B1993-$B1992),"")</f>
        <v>1.0508414350624662E-2</v>
      </c>
      <c r="H1993" s="29">
        <f>IF($B$2,IF(ROWS(B$6:$B1993) = 1,IF(COUNTIFS(R_Schedule_Times,"&lt;"&amp;B1993),INDEX(R_Schedule_Amounts,MATCH(B1993,R_Schedule_Times,1)),Starting_Cash),IF(COUNTIFS(R_Schedule_Times,"&gt;"&amp;B1992,R_Schedule_Times,"&lt;"&amp;B1993),INDEX(R_Schedule_Amounts,MATCH(B1993,R_Schedule_Times,1)),K1992)),"")</f>
        <v>14680</v>
      </c>
      <c r="I1993" s="30">
        <f t="shared" si="155"/>
        <v>100</v>
      </c>
      <c r="J1993" s="31">
        <f t="shared" si="156"/>
        <v>3.5</v>
      </c>
      <c r="K1993" s="29">
        <f t="shared" si="157"/>
        <v>14580</v>
      </c>
      <c r="L1993" s="31" t="str">
        <f t="shared" si="158"/>
        <v/>
      </c>
      <c r="M1993" s="31" t="str">
        <f t="shared" si="159"/>
        <v/>
      </c>
    </row>
    <row r="1994" spans="1:13" x14ac:dyDescent="0.15">
      <c r="A1994" s="163" t="s">
        <v>210</v>
      </c>
      <c r="B1994" s="163">
        <v>42328.257640011572</v>
      </c>
      <c r="C1994" s="164" t="s">
        <v>432</v>
      </c>
      <c r="D1994" s="164" t="s">
        <v>13</v>
      </c>
      <c r="E1994" s="165">
        <v>100</v>
      </c>
      <c r="F1994" s="166">
        <v>0</v>
      </c>
      <c r="G1994" s="227">
        <f>IF($B$2,IF(ROWS(B$6:$B1994) = 1,$B1994-Start_Date,$B1994-$B1993),"")</f>
        <v>2.7511018517543562E-2</v>
      </c>
      <c r="H1994" s="29">
        <f>IF($B$2,IF(ROWS(B$6:$B1994) = 1,IF(COUNTIFS(R_Schedule_Times,"&lt;"&amp;B1994),INDEX(R_Schedule_Amounts,MATCH(B1994,R_Schedule_Times,1)),Starting_Cash),IF(COUNTIFS(R_Schedule_Times,"&gt;"&amp;B1993,R_Schedule_Times,"&lt;"&amp;B1994),INDEX(R_Schedule_Amounts,MATCH(B1994,R_Schedule_Times,1)),K1993)),"")</f>
        <v>14580</v>
      </c>
      <c r="I1994" s="30">
        <f t="shared" si="155"/>
        <v>100</v>
      </c>
      <c r="J1994" s="31">
        <f t="shared" si="156"/>
        <v>0</v>
      </c>
      <c r="K1994" s="29">
        <f t="shared" si="157"/>
        <v>14480</v>
      </c>
      <c r="L1994" s="31" t="str">
        <f t="shared" si="158"/>
        <v/>
      </c>
      <c r="M1994" s="31" t="str">
        <f t="shared" si="159"/>
        <v/>
      </c>
    </row>
    <row r="1995" spans="1:13" x14ac:dyDescent="0.15">
      <c r="A1995" s="163" t="s">
        <v>210</v>
      </c>
      <c r="B1995" s="163">
        <v>42328.284456527777</v>
      </c>
      <c r="C1995" s="164" t="s">
        <v>1914</v>
      </c>
      <c r="D1995" s="164" t="s">
        <v>13</v>
      </c>
      <c r="E1995" s="165">
        <v>60</v>
      </c>
      <c r="F1995" s="166">
        <v>0</v>
      </c>
      <c r="G1995" s="227">
        <f>IF($B$2,IF(ROWS(B$6:$B1995) = 1,$B1995-Start_Date,$B1995-$B1994),"")</f>
        <v>2.681651620514458E-2</v>
      </c>
      <c r="H1995" s="29">
        <f>IF($B$2,IF(ROWS(B$6:$B1995) = 1,IF(COUNTIFS(R_Schedule_Times,"&lt;"&amp;B1995),INDEX(R_Schedule_Amounts,MATCH(B1995,R_Schedule_Times,1)),Starting_Cash),IF(COUNTIFS(R_Schedule_Times,"&gt;"&amp;B1994,R_Schedule_Times,"&lt;"&amp;B1995),INDEX(R_Schedule_Amounts,MATCH(B1995,R_Schedule_Times,1)),K1994)),"")</f>
        <v>14480</v>
      </c>
      <c r="I1995" s="30">
        <f t="shared" si="155"/>
        <v>60</v>
      </c>
      <c r="J1995" s="31">
        <f t="shared" si="156"/>
        <v>0</v>
      </c>
      <c r="K1995" s="29">
        <f t="shared" si="157"/>
        <v>14420</v>
      </c>
      <c r="L1995" s="31" t="str">
        <f t="shared" si="158"/>
        <v/>
      </c>
      <c r="M1995" s="31" t="str">
        <f t="shared" si="159"/>
        <v/>
      </c>
    </row>
    <row r="1996" spans="1:13" x14ac:dyDescent="0.15">
      <c r="A1996" s="163" t="s">
        <v>210</v>
      </c>
      <c r="B1996" s="163">
        <v>42328.293502175926</v>
      </c>
      <c r="C1996" s="164" t="s">
        <v>1915</v>
      </c>
      <c r="D1996" s="164" t="s">
        <v>13</v>
      </c>
      <c r="E1996" s="165">
        <v>20</v>
      </c>
      <c r="F1996" s="166">
        <v>0</v>
      </c>
      <c r="G1996" s="227">
        <f>IF($B$2,IF(ROWS(B$6:$B1996) = 1,$B1996-Start_Date,$B1996-$B1995),"")</f>
        <v>9.0456481484579854E-3</v>
      </c>
      <c r="H1996" s="29">
        <f>IF($B$2,IF(ROWS(B$6:$B1996) = 1,IF(COUNTIFS(R_Schedule_Times,"&lt;"&amp;B1996),INDEX(R_Schedule_Amounts,MATCH(B1996,R_Schedule_Times,1)),Starting_Cash),IF(COUNTIFS(R_Schedule_Times,"&gt;"&amp;B1995,R_Schedule_Times,"&lt;"&amp;B1996),INDEX(R_Schedule_Amounts,MATCH(B1996,R_Schedule_Times,1)),K1995)),"")</f>
        <v>14420</v>
      </c>
      <c r="I1996" s="30">
        <f t="shared" si="155"/>
        <v>20</v>
      </c>
      <c r="J1996" s="31">
        <f t="shared" si="156"/>
        <v>0</v>
      </c>
      <c r="K1996" s="29">
        <f t="shared" si="157"/>
        <v>14400</v>
      </c>
      <c r="L1996" s="31" t="str">
        <f t="shared" si="158"/>
        <v/>
      </c>
      <c r="M1996" s="31" t="str">
        <f t="shared" si="159"/>
        <v/>
      </c>
    </row>
    <row r="1997" spans="1:13" x14ac:dyDescent="0.15">
      <c r="A1997" s="163" t="s">
        <v>210</v>
      </c>
      <c r="B1997" s="163">
        <v>42328.294462766207</v>
      </c>
      <c r="C1997" s="164" t="s">
        <v>1916</v>
      </c>
      <c r="D1997" s="164" t="s">
        <v>13</v>
      </c>
      <c r="E1997" s="165">
        <v>20</v>
      </c>
      <c r="F1997" s="166">
        <v>0</v>
      </c>
      <c r="G1997" s="227">
        <f>IF($B$2,IF(ROWS(B$6:$B1997) = 1,$B1997-Start_Date,$B1997-$B1996),"")</f>
        <v>9.6059028146555647E-4</v>
      </c>
      <c r="H1997" s="29">
        <f>IF($B$2,IF(ROWS(B$6:$B1997) = 1,IF(COUNTIFS(R_Schedule_Times,"&lt;"&amp;B1997),INDEX(R_Schedule_Amounts,MATCH(B1997,R_Schedule_Times,1)),Starting_Cash),IF(COUNTIFS(R_Schedule_Times,"&gt;"&amp;B1996,R_Schedule_Times,"&lt;"&amp;B1997),INDEX(R_Schedule_Amounts,MATCH(B1997,R_Schedule_Times,1)),K1996)),"")</f>
        <v>14400</v>
      </c>
      <c r="I1997" s="30">
        <f t="shared" si="155"/>
        <v>20</v>
      </c>
      <c r="J1997" s="31">
        <f t="shared" si="156"/>
        <v>0</v>
      </c>
      <c r="K1997" s="29">
        <f t="shared" si="157"/>
        <v>14380</v>
      </c>
      <c r="L1997" s="31" t="str">
        <f t="shared" si="158"/>
        <v/>
      </c>
      <c r="M1997" s="31" t="str">
        <f t="shared" si="159"/>
        <v/>
      </c>
    </row>
    <row r="1998" spans="1:13" x14ac:dyDescent="0.15">
      <c r="A1998" s="163" t="s">
        <v>210</v>
      </c>
      <c r="B1998" s="163">
        <v>42328.306321365744</v>
      </c>
      <c r="C1998" s="164" t="s">
        <v>1917</v>
      </c>
      <c r="D1998" s="164" t="s">
        <v>13</v>
      </c>
      <c r="E1998" s="165">
        <v>100</v>
      </c>
      <c r="F1998" s="166">
        <v>0</v>
      </c>
      <c r="G1998" s="227">
        <f>IF($B$2,IF(ROWS(B$6:$B1998) = 1,$B1998-Start_Date,$B1998-$B1997),"")</f>
        <v>1.1858599536935799E-2</v>
      </c>
      <c r="H1998" s="29">
        <f>IF($B$2,IF(ROWS(B$6:$B1998) = 1,IF(COUNTIFS(R_Schedule_Times,"&lt;"&amp;B1998),INDEX(R_Schedule_Amounts,MATCH(B1998,R_Schedule_Times,1)),Starting_Cash),IF(COUNTIFS(R_Schedule_Times,"&gt;"&amp;B1997,R_Schedule_Times,"&lt;"&amp;B1998),INDEX(R_Schedule_Amounts,MATCH(B1998,R_Schedule_Times,1)),K1997)),"")</f>
        <v>14380</v>
      </c>
      <c r="I1998" s="30">
        <f t="shared" si="155"/>
        <v>100</v>
      </c>
      <c r="J1998" s="31">
        <f t="shared" si="156"/>
        <v>0</v>
      </c>
      <c r="K1998" s="29">
        <f t="shared" si="157"/>
        <v>14280</v>
      </c>
      <c r="L1998" s="31" t="str">
        <f t="shared" si="158"/>
        <v/>
      </c>
      <c r="M1998" s="31" t="str">
        <f t="shared" si="159"/>
        <v/>
      </c>
    </row>
    <row r="1999" spans="1:13" x14ac:dyDescent="0.15">
      <c r="A1999" s="163" t="s">
        <v>210</v>
      </c>
      <c r="B1999" s="163">
        <v>42328.323753784724</v>
      </c>
      <c r="C1999" s="164" t="s">
        <v>1918</v>
      </c>
      <c r="D1999" s="164" t="s">
        <v>13</v>
      </c>
      <c r="E1999" s="165">
        <v>40</v>
      </c>
      <c r="F1999" s="166">
        <v>0</v>
      </c>
      <c r="G1999" s="227">
        <f>IF($B$2,IF(ROWS(B$6:$B1999) = 1,$B1999-Start_Date,$B1999-$B1998),"")</f>
        <v>1.7432418979296926E-2</v>
      </c>
      <c r="H1999" s="29">
        <f>IF($B$2,IF(ROWS(B$6:$B1999) = 1,IF(COUNTIFS(R_Schedule_Times,"&lt;"&amp;B1999),INDEX(R_Schedule_Amounts,MATCH(B1999,R_Schedule_Times,1)),Starting_Cash),IF(COUNTIFS(R_Schedule_Times,"&gt;"&amp;B1998,R_Schedule_Times,"&lt;"&amp;B1999),INDEX(R_Schedule_Amounts,MATCH(B1999,R_Schedule_Times,1)),K1998)),"")</f>
        <v>14280</v>
      </c>
      <c r="I1999" s="30">
        <f t="shared" si="155"/>
        <v>40</v>
      </c>
      <c r="J1999" s="31">
        <f t="shared" si="156"/>
        <v>0</v>
      </c>
      <c r="K1999" s="29">
        <f t="shared" si="157"/>
        <v>14240</v>
      </c>
      <c r="L1999" s="31" t="str">
        <f t="shared" si="158"/>
        <v/>
      </c>
      <c r="M1999" s="31" t="str">
        <f t="shared" si="159"/>
        <v/>
      </c>
    </row>
    <row r="2000" spans="1:13" x14ac:dyDescent="0.15">
      <c r="A2000" s="163" t="s">
        <v>210</v>
      </c>
      <c r="B2000" s="163">
        <v>42328.330972997683</v>
      </c>
      <c r="C2000" s="164" t="s">
        <v>1919</v>
      </c>
      <c r="D2000" s="164" t="s">
        <v>13</v>
      </c>
      <c r="E2000" s="165">
        <v>40</v>
      </c>
      <c r="F2000" s="166">
        <v>0</v>
      </c>
      <c r="G2000" s="227">
        <f>IF($B$2,IF(ROWS(B$6:$B2000) = 1,$B2000-Start_Date,$B2000-$B1999),"")</f>
        <v>7.2192129591712728E-3</v>
      </c>
      <c r="H2000" s="29">
        <f>IF($B$2,IF(ROWS(B$6:$B2000) = 1,IF(COUNTIFS(R_Schedule_Times,"&lt;"&amp;B2000),INDEX(R_Schedule_Amounts,MATCH(B2000,R_Schedule_Times,1)),Starting_Cash),IF(COUNTIFS(R_Schedule_Times,"&gt;"&amp;B1999,R_Schedule_Times,"&lt;"&amp;B2000),INDEX(R_Schedule_Amounts,MATCH(B2000,R_Schedule_Times,1)),K1999)),"")</f>
        <v>14240</v>
      </c>
      <c r="I2000" s="30">
        <f t="shared" si="155"/>
        <v>40</v>
      </c>
      <c r="J2000" s="31">
        <f t="shared" si="156"/>
        <v>0</v>
      </c>
      <c r="K2000" s="29">
        <f t="shared" si="157"/>
        <v>14200</v>
      </c>
      <c r="L2000" s="31" t="str">
        <f t="shared" si="158"/>
        <v/>
      </c>
      <c r="M2000" s="31" t="str">
        <f t="shared" si="159"/>
        <v/>
      </c>
    </row>
    <row r="2001" spans="1:13" x14ac:dyDescent="0.15">
      <c r="A2001" s="163" t="s">
        <v>210</v>
      </c>
      <c r="B2001" s="163">
        <v>42328.338870763888</v>
      </c>
      <c r="C2001" s="164" t="s">
        <v>603</v>
      </c>
      <c r="D2001" s="164" t="s">
        <v>13</v>
      </c>
      <c r="E2001" s="165">
        <v>500</v>
      </c>
      <c r="F2001" s="166">
        <v>0</v>
      </c>
      <c r="G2001" s="227">
        <f>IF($B$2,IF(ROWS(B$6:$B2001) = 1,$B2001-Start_Date,$B2001-$B2000),"")</f>
        <v>7.8977662051329389E-3</v>
      </c>
      <c r="H2001" s="29">
        <f>IF($B$2,IF(ROWS(B$6:$B2001) = 1,IF(COUNTIFS(R_Schedule_Times,"&lt;"&amp;B2001),INDEX(R_Schedule_Amounts,MATCH(B2001,R_Schedule_Times,1)),Starting_Cash),IF(COUNTIFS(R_Schedule_Times,"&gt;"&amp;B2000,R_Schedule_Times,"&lt;"&amp;B2001),INDEX(R_Schedule_Amounts,MATCH(B2001,R_Schedule_Times,1)),K2000)),"")</f>
        <v>14200</v>
      </c>
      <c r="I2001" s="30">
        <f t="shared" si="155"/>
        <v>500</v>
      </c>
      <c r="J2001" s="31">
        <f t="shared" si="156"/>
        <v>0</v>
      </c>
      <c r="K2001" s="29">
        <f t="shared" si="157"/>
        <v>13700</v>
      </c>
      <c r="L2001" s="31" t="str">
        <f t="shared" si="158"/>
        <v/>
      </c>
      <c r="M2001" s="31" t="str">
        <f t="shared" si="159"/>
        <v/>
      </c>
    </row>
    <row r="2002" spans="1:13" x14ac:dyDescent="0.15">
      <c r="A2002" s="163" t="s">
        <v>210</v>
      </c>
      <c r="B2002" s="163">
        <v>42328.343979212965</v>
      </c>
      <c r="C2002" s="164" t="s">
        <v>14</v>
      </c>
      <c r="D2002" s="164" t="s">
        <v>13</v>
      </c>
      <c r="E2002" s="165">
        <v>100</v>
      </c>
      <c r="F2002" s="166">
        <v>3.5</v>
      </c>
      <c r="G2002" s="227">
        <f>IF($B$2,IF(ROWS(B$6:$B2002) = 1,$B2002-Start_Date,$B2002-$B2001),"")</f>
        <v>5.1084490769426338E-3</v>
      </c>
      <c r="H2002" s="29">
        <f>IF($B$2,IF(ROWS(B$6:$B2002) = 1,IF(COUNTIFS(R_Schedule_Times,"&lt;"&amp;B2002),INDEX(R_Schedule_Amounts,MATCH(B2002,R_Schedule_Times,1)),Starting_Cash),IF(COUNTIFS(R_Schedule_Times,"&gt;"&amp;B2001,R_Schedule_Times,"&lt;"&amp;B2002),INDEX(R_Schedule_Amounts,MATCH(B2002,R_Schedule_Times,1)),K2001)),"")</f>
        <v>13700</v>
      </c>
      <c r="I2002" s="30">
        <f t="shared" si="155"/>
        <v>100</v>
      </c>
      <c r="J2002" s="31">
        <f t="shared" si="156"/>
        <v>3.5</v>
      </c>
      <c r="K2002" s="29">
        <f t="shared" si="157"/>
        <v>13600</v>
      </c>
      <c r="L2002" s="31" t="str">
        <f t="shared" si="158"/>
        <v/>
      </c>
      <c r="M2002" s="31" t="str">
        <f t="shared" si="159"/>
        <v/>
      </c>
    </row>
    <row r="2003" spans="1:13" x14ac:dyDescent="0.15">
      <c r="A2003" s="163" t="s">
        <v>210</v>
      </c>
      <c r="B2003" s="163">
        <v>42328.349916597224</v>
      </c>
      <c r="C2003" s="164" t="s">
        <v>1920</v>
      </c>
      <c r="D2003" s="164" t="s">
        <v>13</v>
      </c>
      <c r="E2003" s="165">
        <v>20</v>
      </c>
      <c r="F2003" s="166">
        <v>0</v>
      </c>
      <c r="G2003" s="227">
        <f>IF($B$2,IF(ROWS(B$6:$B2003) = 1,$B2003-Start_Date,$B2003-$B2002),"")</f>
        <v>5.9373842595960014E-3</v>
      </c>
      <c r="H2003" s="29">
        <f>IF($B$2,IF(ROWS(B$6:$B2003) = 1,IF(COUNTIFS(R_Schedule_Times,"&lt;"&amp;B2003),INDEX(R_Schedule_Amounts,MATCH(B2003,R_Schedule_Times,1)),Starting_Cash),IF(COUNTIFS(R_Schedule_Times,"&gt;"&amp;B2002,R_Schedule_Times,"&lt;"&amp;B2003),INDEX(R_Schedule_Amounts,MATCH(B2003,R_Schedule_Times,1)),K2002)),"")</f>
        <v>13600</v>
      </c>
      <c r="I2003" s="30">
        <f t="shared" si="155"/>
        <v>20</v>
      </c>
      <c r="J2003" s="31">
        <f t="shared" si="156"/>
        <v>0</v>
      </c>
      <c r="K2003" s="29">
        <f t="shared" si="157"/>
        <v>13580</v>
      </c>
      <c r="L2003" s="31" t="str">
        <f t="shared" si="158"/>
        <v/>
      </c>
      <c r="M2003" s="31" t="str">
        <f t="shared" si="159"/>
        <v/>
      </c>
    </row>
    <row r="2004" spans="1:13" x14ac:dyDescent="0.15">
      <c r="A2004" s="163" t="s">
        <v>210</v>
      </c>
      <c r="B2004" s="163">
        <v>42328.355636574073</v>
      </c>
      <c r="C2004" s="164" t="s">
        <v>1921</v>
      </c>
      <c r="D2004" s="164" t="s">
        <v>13</v>
      </c>
      <c r="E2004" s="165">
        <v>60</v>
      </c>
      <c r="F2004" s="166">
        <v>0</v>
      </c>
      <c r="G2004" s="227">
        <f>IF($B$2,IF(ROWS(B$6:$B2004) = 1,$B2004-Start_Date,$B2004-$B2003),"")</f>
        <v>5.7199768489226699E-3</v>
      </c>
      <c r="H2004" s="29">
        <f>IF($B$2,IF(ROWS(B$6:$B2004) = 1,IF(COUNTIFS(R_Schedule_Times,"&lt;"&amp;B2004),INDEX(R_Schedule_Amounts,MATCH(B2004,R_Schedule_Times,1)),Starting_Cash),IF(COUNTIFS(R_Schedule_Times,"&gt;"&amp;B2003,R_Schedule_Times,"&lt;"&amp;B2004),INDEX(R_Schedule_Amounts,MATCH(B2004,R_Schedule_Times,1)),K2003)),"")</f>
        <v>13580</v>
      </c>
      <c r="I2004" s="30">
        <f t="shared" si="155"/>
        <v>60</v>
      </c>
      <c r="J2004" s="31">
        <f t="shared" si="156"/>
        <v>0</v>
      </c>
      <c r="K2004" s="29">
        <f t="shared" si="157"/>
        <v>13520</v>
      </c>
      <c r="L2004" s="31" t="str">
        <f t="shared" si="158"/>
        <v/>
      </c>
      <c r="M2004" s="31" t="str">
        <f t="shared" si="159"/>
        <v/>
      </c>
    </row>
    <row r="2005" spans="1:13" x14ac:dyDescent="0.15">
      <c r="A2005" s="163" t="s">
        <v>210</v>
      </c>
      <c r="B2005" s="163">
        <v>42328.382116018518</v>
      </c>
      <c r="C2005" s="164" t="s">
        <v>1059</v>
      </c>
      <c r="D2005" s="164" t="s">
        <v>13</v>
      </c>
      <c r="E2005" s="165">
        <v>40</v>
      </c>
      <c r="F2005" s="166">
        <v>0</v>
      </c>
      <c r="G2005" s="227">
        <f>IF($B$2,IF(ROWS(B$6:$B2005) = 1,$B2005-Start_Date,$B2005-$B2004),"")</f>
        <v>2.6479444444703404E-2</v>
      </c>
      <c r="H2005" s="29">
        <f>IF($B$2,IF(ROWS(B$6:$B2005) = 1,IF(COUNTIFS(R_Schedule_Times,"&lt;"&amp;B2005),INDEX(R_Schedule_Amounts,MATCH(B2005,R_Schedule_Times,1)),Starting_Cash),IF(COUNTIFS(R_Schedule_Times,"&gt;"&amp;B2004,R_Schedule_Times,"&lt;"&amp;B2005),INDEX(R_Schedule_Amounts,MATCH(B2005,R_Schedule_Times,1)),K2004)),"")</f>
        <v>13520</v>
      </c>
      <c r="I2005" s="30">
        <f t="shared" si="155"/>
        <v>40</v>
      </c>
      <c r="J2005" s="31">
        <f t="shared" si="156"/>
        <v>0</v>
      </c>
      <c r="K2005" s="29">
        <f t="shared" si="157"/>
        <v>13480</v>
      </c>
      <c r="L2005" s="31" t="str">
        <f t="shared" si="158"/>
        <v/>
      </c>
      <c r="M2005" s="31" t="str">
        <f t="shared" si="159"/>
        <v/>
      </c>
    </row>
    <row r="2006" spans="1:13" x14ac:dyDescent="0.15">
      <c r="A2006" s="163" t="s">
        <v>210</v>
      </c>
      <c r="B2006" s="163">
        <v>42328.384090254629</v>
      </c>
      <c r="C2006" s="164" t="s">
        <v>1657</v>
      </c>
      <c r="D2006" s="164" t="s">
        <v>13</v>
      </c>
      <c r="E2006" s="165">
        <v>60</v>
      </c>
      <c r="F2006" s="166">
        <v>0</v>
      </c>
      <c r="G2006" s="227">
        <f>IF($B$2,IF(ROWS(B$6:$B2006) = 1,$B2006-Start_Date,$B2006-$B2005),"")</f>
        <v>1.9742361109820195E-3</v>
      </c>
      <c r="H2006" s="29">
        <f>IF($B$2,IF(ROWS(B$6:$B2006) = 1,IF(COUNTIFS(R_Schedule_Times,"&lt;"&amp;B2006),INDEX(R_Schedule_Amounts,MATCH(B2006,R_Schedule_Times,1)),Starting_Cash),IF(COUNTIFS(R_Schedule_Times,"&gt;"&amp;B2005,R_Schedule_Times,"&lt;"&amp;B2006),INDEX(R_Schedule_Amounts,MATCH(B2006,R_Schedule_Times,1)),K2005)),"")</f>
        <v>13480</v>
      </c>
      <c r="I2006" s="30">
        <f t="shared" si="155"/>
        <v>60</v>
      </c>
      <c r="J2006" s="31">
        <f t="shared" si="156"/>
        <v>0</v>
      </c>
      <c r="K2006" s="29">
        <f t="shared" si="157"/>
        <v>13420</v>
      </c>
      <c r="L2006" s="31" t="str">
        <f t="shared" si="158"/>
        <v/>
      </c>
      <c r="M2006" s="31" t="str">
        <f t="shared" si="159"/>
        <v/>
      </c>
    </row>
    <row r="2007" spans="1:13" x14ac:dyDescent="0.15">
      <c r="A2007" s="163" t="s">
        <v>210</v>
      </c>
      <c r="B2007" s="163">
        <v>42328.393262187499</v>
      </c>
      <c r="C2007" s="164" t="s">
        <v>397</v>
      </c>
      <c r="D2007" s="164" t="s">
        <v>13</v>
      </c>
      <c r="E2007" s="165">
        <v>40</v>
      </c>
      <c r="F2007" s="166">
        <v>0</v>
      </c>
      <c r="G2007" s="227">
        <f>IF($B$2,IF(ROWS(B$6:$B2007) = 1,$B2007-Start_Date,$B2007-$B2006),"")</f>
        <v>9.1719328702311032E-3</v>
      </c>
      <c r="H2007" s="29">
        <f>IF($B$2,IF(ROWS(B$6:$B2007) = 1,IF(COUNTIFS(R_Schedule_Times,"&lt;"&amp;B2007),INDEX(R_Schedule_Amounts,MATCH(B2007,R_Schedule_Times,1)),Starting_Cash),IF(COUNTIFS(R_Schedule_Times,"&gt;"&amp;B2006,R_Schedule_Times,"&lt;"&amp;B2007),INDEX(R_Schedule_Amounts,MATCH(B2007,R_Schedule_Times,1)),K2006)),"")</f>
        <v>13420</v>
      </c>
      <c r="I2007" s="30">
        <f t="shared" si="155"/>
        <v>40</v>
      </c>
      <c r="J2007" s="31">
        <f t="shared" si="156"/>
        <v>0</v>
      </c>
      <c r="K2007" s="29">
        <f t="shared" si="157"/>
        <v>13380</v>
      </c>
      <c r="L2007" s="31" t="str">
        <f t="shared" si="158"/>
        <v/>
      </c>
      <c r="M2007" s="31" t="str">
        <f t="shared" si="159"/>
        <v/>
      </c>
    </row>
    <row r="2008" spans="1:13" x14ac:dyDescent="0.15">
      <c r="A2008" s="163" t="s">
        <v>210</v>
      </c>
      <c r="B2008" s="163">
        <v>42328.4261434375</v>
      </c>
      <c r="C2008" s="164" t="s">
        <v>1922</v>
      </c>
      <c r="D2008" s="164" t="s">
        <v>13</v>
      </c>
      <c r="E2008" s="165">
        <v>100</v>
      </c>
      <c r="F2008" s="166">
        <v>0</v>
      </c>
      <c r="G2008" s="227">
        <f>IF($B$2,IF(ROWS(B$6:$B2008) = 1,$B2008-Start_Date,$B2008-$B2007),"")</f>
        <v>3.2881250001082662E-2</v>
      </c>
      <c r="H2008" s="29">
        <f>IF($B$2,IF(ROWS(B$6:$B2008) = 1,IF(COUNTIFS(R_Schedule_Times,"&lt;"&amp;B2008),INDEX(R_Schedule_Amounts,MATCH(B2008,R_Schedule_Times,1)),Starting_Cash),IF(COUNTIFS(R_Schedule_Times,"&gt;"&amp;B2007,R_Schedule_Times,"&lt;"&amp;B2008),INDEX(R_Schedule_Amounts,MATCH(B2008,R_Schedule_Times,1)),K2007)),"")</f>
        <v>13380</v>
      </c>
      <c r="I2008" s="30">
        <f t="shared" si="155"/>
        <v>100</v>
      </c>
      <c r="J2008" s="31">
        <f t="shared" si="156"/>
        <v>0</v>
      </c>
      <c r="K2008" s="29">
        <f t="shared" si="157"/>
        <v>13280</v>
      </c>
      <c r="L2008" s="31" t="str">
        <f t="shared" si="158"/>
        <v/>
      </c>
      <c r="M2008" s="31" t="str">
        <f t="shared" si="159"/>
        <v/>
      </c>
    </row>
    <row r="2009" spans="1:13" x14ac:dyDescent="0.15">
      <c r="A2009" s="163" t="s">
        <v>210</v>
      </c>
      <c r="B2009" s="163">
        <v>42328.4377646875</v>
      </c>
      <c r="C2009" s="164" t="s">
        <v>457</v>
      </c>
      <c r="D2009" s="164" t="s">
        <v>13</v>
      </c>
      <c r="E2009" s="165">
        <v>40</v>
      </c>
      <c r="F2009" s="166">
        <v>0</v>
      </c>
      <c r="G2009" s="227">
        <f>IF($B$2,IF(ROWS(B$6:$B2009) = 1,$B2009-Start_Date,$B2009-$B2008),"")</f>
        <v>1.1621249999734573E-2</v>
      </c>
      <c r="H2009" s="29">
        <f>IF($B$2,IF(ROWS(B$6:$B2009) = 1,IF(COUNTIFS(R_Schedule_Times,"&lt;"&amp;B2009),INDEX(R_Schedule_Amounts,MATCH(B2009,R_Schedule_Times,1)),Starting_Cash),IF(COUNTIFS(R_Schedule_Times,"&gt;"&amp;B2008,R_Schedule_Times,"&lt;"&amp;B2009),INDEX(R_Schedule_Amounts,MATCH(B2009,R_Schedule_Times,1)),K2008)),"")</f>
        <v>13280</v>
      </c>
      <c r="I2009" s="30">
        <f t="shared" si="155"/>
        <v>40</v>
      </c>
      <c r="J2009" s="31">
        <f t="shared" si="156"/>
        <v>0</v>
      </c>
      <c r="K2009" s="29">
        <f t="shared" si="157"/>
        <v>13240</v>
      </c>
      <c r="L2009" s="31" t="str">
        <f t="shared" si="158"/>
        <v/>
      </c>
      <c r="M2009" s="31" t="str">
        <f t="shared" si="159"/>
        <v/>
      </c>
    </row>
    <row r="2010" spans="1:13" x14ac:dyDescent="0.15">
      <c r="A2010" s="163" t="s">
        <v>210</v>
      </c>
      <c r="B2010" s="163">
        <v>42328.456479363427</v>
      </c>
      <c r="C2010" s="164" t="s">
        <v>788</v>
      </c>
      <c r="D2010" s="164" t="s">
        <v>13</v>
      </c>
      <c r="E2010" s="165">
        <v>100</v>
      </c>
      <c r="F2010" s="166">
        <v>0</v>
      </c>
      <c r="G2010" s="227">
        <f>IF($B$2,IF(ROWS(B$6:$B2010) = 1,$B2010-Start_Date,$B2010-$B2009),"")</f>
        <v>1.8714675927185453E-2</v>
      </c>
      <c r="H2010" s="29">
        <f>IF($B$2,IF(ROWS(B$6:$B2010) = 1,IF(COUNTIFS(R_Schedule_Times,"&lt;"&amp;B2010),INDEX(R_Schedule_Amounts,MATCH(B2010,R_Schedule_Times,1)),Starting_Cash),IF(COUNTIFS(R_Schedule_Times,"&gt;"&amp;B2009,R_Schedule_Times,"&lt;"&amp;B2010),INDEX(R_Schedule_Amounts,MATCH(B2010,R_Schedule_Times,1)),K2009)),"")</f>
        <v>13240</v>
      </c>
      <c r="I2010" s="30">
        <f t="shared" si="155"/>
        <v>100</v>
      </c>
      <c r="J2010" s="31">
        <f t="shared" si="156"/>
        <v>0</v>
      </c>
      <c r="K2010" s="29">
        <f t="shared" si="157"/>
        <v>13140</v>
      </c>
      <c r="L2010" s="31" t="str">
        <f t="shared" si="158"/>
        <v/>
      </c>
      <c r="M2010" s="31" t="str">
        <f t="shared" si="159"/>
        <v/>
      </c>
    </row>
    <row r="2011" spans="1:13" x14ac:dyDescent="0.15">
      <c r="A2011" s="163" t="s">
        <v>210</v>
      </c>
      <c r="B2011" s="163">
        <v>42328.461448819442</v>
      </c>
      <c r="C2011" s="164" t="s">
        <v>458</v>
      </c>
      <c r="D2011" s="164" t="s">
        <v>13</v>
      </c>
      <c r="E2011" s="165">
        <v>60</v>
      </c>
      <c r="F2011" s="166">
        <v>0</v>
      </c>
      <c r="G2011" s="227">
        <f>IF($B$2,IF(ROWS(B$6:$B2011) = 1,$B2011-Start_Date,$B2011-$B2010),"")</f>
        <v>4.9694560148054734E-3</v>
      </c>
      <c r="H2011" s="29">
        <f>IF($B$2,IF(ROWS(B$6:$B2011) = 1,IF(COUNTIFS(R_Schedule_Times,"&lt;"&amp;B2011),INDEX(R_Schedule_Amounts,MATCH(B2011,R_Schedule_Times,1)),Starting_Cash),IF(COUNTIFS(R_Schedule_Times,"&gt;"&amp;B2010,R_Schedule_Times,"&lt;"&amp;B2011),INDEX(R_Schedule_Amounts,MATCH(B2011,R_Schedule_Times,1)),K2010)),"")</f>
        <v>13140</v>
      </c>
      <c r="I2011" s="30">
        <f t="shared" si="155"/>
        <v>60</v>
      </c>
      <c r="J2011" s="31">
        <f t="shared" si="156"/>
        <v>0</v>
      </c>
      <c r="K2011" s="29">
        <f t="shared" si="157"/>
        <v>13080</v>
      </c>
      <c r="L2011" s="31" t="str">
        <f t="shared" si="158"/>
        <v/>
      </c>
      <c r="M2011" s="31" t="str">
        <f t="shared" si="159"/>
        <v/>
      </c>
    </row>
    <row r="2012" spans="1:13" x14ac:dyDescent="0.15">
      <c r="A2012" s="163" t="s">
        <v>210</v>
      </c>
      <c r="B2012" s="163">
        <v>42328.466843159724</v>
      </c>
      <c r="C2012" s="164" t="s">
        <v>1923</v>
      </c>
      <c r="D2012" s="164" t="s">
        <v>13</v>
      </c>
      <c r="E2012" s="165">
        <v>40</v>
      </c>
      <c r="F2012" s="166">
        <v>0</v>
      </c>
      <c r="G2012" s="227">
        <f>IF($B$2,IF(ROWS(B$6:$B2012) = 1,$B2012-Start_Date,$B2012-$B2011),"")</f>
        <v>5.3943402817822061E-3</v>
      </c>
      <c r="H2012" s="29">
        <f>IF($B$2,IF(ROWS(B$6:$B2012) = 1,IF(COUNTIFS(R_Schedule_Times,"&lt;"&amp;B2012),INDEX(R_Schedule_Amounts,MATCH(B2012,R_Schedule_Times,1)),Starting_Cash),IF(COUNTIFS(R_Schedule_Times,"&gt;"&amp;B2011,R_Schedule_Times,"&lt;"&amp;B2012),INDEX(R_Schedule_Amounts,MATCH(B2012,R_Schedule_Times,1)),K2011)),"")</f>
        <v>13080</v>
      </c>
      <c r="I2012" s="30">
        <f t="shared" si="155"/>
        <v>40</v>
      </c>
      <c r="J2012" s="31">
        <f t="shared" si="156"/>
        <v>0</v>
      </c>
      <c r="K2012" s="29">
        <f t="shared" si="157"/>
        <v>13040</v>
      </c>
      <c r="L2012" s="31" t="str">
        <f t="shared" si="158"/>
        <v/>
      </c>
      <c r="M2012" s="31" t="str">
        <f t="shared" si="159"/>
        <v/>
      </c>
    </row>
    <row r="2013" spans="1:13" x14ac:dyDescent="0.15">
      <c r="A2013" s="163" t="s">
        <v>210</v>
      </c>
      <c r="B2013" s="163">
        <v>42328.470221249998</v>
      </c>
      <c r="C2013" s="164" t="s">
        <v>1924</v>
      </c>
      <c r="D2013" s="164" t="s">
        <v>15</v>
      </c>
      <c r="E2013" s="165">
        <v>100</v>
      </c>
      <c r="F2013" s="166">
        <v>3</v>
      </c>
      <c r="G2013" s="227">
        <f>IF($B$2,IF(ROWS(B$6:$B2013) = 1,$B2013-Start_Date,$B2013-$B2012),"")</f>
        <v>3.3780902740545571E-3</v>
      </c>
      <c r="H2013" s="29">
        <f>IF($B$2,IF(ROWS(B$6:$B2013) = 1,IF(COUNTIFS(R_Schedule_Times,"&lt;"&amp;B2013),INDEX(R_Schedule_Amounts,MATCH(B2013,R_Schedule_Times,1)),Starting_Cash),IF(COUNTIFS(R_Schedule_Times,"&gt;"&amp;B2012,R_Schedule_Times,"&lt;"&amp;B2013),INDEX(R_Schedule_Amounts,MATCH(B2013,R_Schedule_Times,1)),K2012)),"")</f>
        <v>13040</v>
      </c>
      <c r="I2013" s="30">
        <f t="shared" si="155"/>
        <v>100</v>
      </c>
      <c r="J2013" s="31">
        <f t="shared" si="156"/>
        <v>3</v>
      </c>
      <c r="K2013" s="29">
        <f t="shared" si="157"/>
        <v>12940</v>
      </c>
      <c r="L2013" s="31" t="str">
        <f t="shared" si="158"/>
        <v/>
      </c>
      <c r="M2013" s="31" t="str">
        <f t="shared" si="159"/>
        <v/>
      </c>
    </row>
    <row r="2014" spans="1:13" x14ac:dyDescent="0.15">
      <c r="A2014" s="163" t="s">
        <v>210</v>
      </c>
      <c r="B2014" s="163">
        <v>42328.484723761576</v>
      </c>
      <c r="C2014" s="164" t="s">
        <v>568</v>
      </c>
      <c r="D2014" s="164" t="s">
        <v>13</v>
      </c>
      <c r="E2014" s="165">
        <v>100</v>
      </c>
      <c r="F2014" s="166">
        <v>0</v>
      </c>
      <c r="G2014" s="227">
        <f>IF($B$2,IF(ROWS(B$6:$B2014) = 1,$B2014-Start_Date,$B2014-$B2013),"")</f>
        <v>1.4502511578029953E-2</v>
      </c>
      <c r="H2014" s="29">
        <f>IF($B$2,IF(ROWS(B$6:$B2014) = 1,IF(COUNTIFS(R_Schedule_Times,"&lt;"&amp;B2014),INDEX(R_Schedule_Amounts,MATCH(B2014,R_Schedule_Times,1)),Starting_Cash),IF(COUNTIFS(R_Schedule_Times,"&gt;"&amp;B2013,R_Schedule_Times,"&lt;"&amp;B2014),INDEX(R_Schedule_Amounts,MATCH(B2014,R_Schedule_Times,1)),K2013)),"")</f>
        <v>12940</v>
      </c>
      <c r="I2014" s="30">
        <f t="shared" si="155"/>
        <v>100</v>
      </c>
      <c r="J2014" s="31">
        <f t="shared" si="156"/>
        <v>0</v>
      </c>
      <c r="K2014" s="29">
        <f t="shared" si="157"/>
        <v>12840</v>
      </c>
      <c r="L2014" s="31" t="str">
        <f t="shared" si="158"/>
        <v/>
      </c>
      <c r="M2014" s="31" t="str">
        <f t="shared" si="159"/>
        <v/>
      </c>
    </row>
    <row r="2015" spans="1:13" x14ac:dyDescent="0.15">
      <c r="A2015" s="163" t="s">
        <v>210</v>
      </c>
      <c r="B2015" s="163">
        <v>42328.490495983795</v>
      </c>
      <c r="C2015" s="164" t="s">
        <v>1925</v>
      </c>
      <c r="D2015" s="164" t="s">
        <v>13</v>
      </c>
      <c r="E2015" s="165">
        <v>80</v>
      </c>
      <c r="F2015" s="166">
        <v>0</v>
      </c>
      <c r="G2015" s="227">
        <f>IF($B$2,IF(ROWS(B$6:$B2015) = 1,$B2015-Start_Date,$B2015-$B2014),"")</f>
        <v>5.7722222190932371E-3</v>
      </c>
      <c r="H2015" s="29">
        <f>IF($B$2,IF(ROWS(B$6:$B2015) = 1,IF(COUNTIFS(R_Schedule_Times,"&lt;"&amp;B2015),INDEX(R_Schedule_Amounts,MATCH(B2015,R_Schedule_Times,1)),Starting_Cash),IF(COUNTIFS(R_Schedule_Times,"&gt;"&amp;B2014,R_Schedule_Times,"&lt;"&amp;B2015),INDEX(R_Schedule_Amounts,MATCH(B2015,R_Schedule_Times,1)),K2014)),"")</f>
        <v>12840</v>
      </c>
      <c r="I2015" s="30">
        <f t="shared" si="155"/>
        <v>80</v>
      </c>
      <c r="J2015" s="31">
        <f t="shared" si="156"/>
        <v>0</v>
      </c>
      <c r="K2015" s="29">
        <f t="shared" si="157"/>
        <v>12760</v>
      </c>
      <c r="L2015" s="31" t="str">
        <f t="shared" si="158"/>
        <v/>
      </c>
      <c r="M2015" s="31" t="str">
        <f t="shared" si="159"/>
        <v/>
      </c>
    </row>
    <row r="2016" spans="1:13" x14ac:dyDescent="0.15">
      <c r="A2016" s="163" t="s">
        <v>210</v>
      </c>
      <c r="B2016" s="163">
        <v>42328.504790810184</v>
      </c>
      <c r="C2016" s="164" t="s">
        <v>1926</v>
      </c>
      <c r="D2016" s="164" t="s">
        <v>13</v>
      </c>
      <c r="E2016" s="165">
        <v>40</v>
      </c>
      <c r="F2016" s="166">
        <v>0</v>
      </c>
      <c r="G2016" s="227">
        <f>IF($B$2,IF(ROWS(B$6:$B2016) = 1,$B2016-Start_Date,$B2016-$B2015),"")</f>
        <v>1.4294826389232185E-2</v>
      </c>
      <c r="H2016" s="29">
        <f>IF($B$2,IF(ROWS(B$6:$B2016) = 1,IF(COUNTIFS(R_Schedule_Times,"&lt;"&amp;B2016),INDEX(R_Schedule_Amounts,MATCH(B2016,R_Schedule_Times,1)),Starting_Cash),IF(COUNTIFS(R_Schedule_Times,"&gt;"&amp;B2015,R_Schedule_Times,"&lt;"&amp;B2016),INDEX(R_Schedule_Amounts,MATCH(B2016,R_Schedule_Times,1)),K2015)),"")</f>
        <v>12760</v>
      </c>
      <c r="I2016" s="30">
        <f t="shared" si="155"/>
        <v>40</v>
      </c>
      <c r="J2016" s="31">
        <f t="shared" si="156"/>
        <v>0</v>
      </c>
      <c r="K2016" s="29">
        <f t="shared" si="157"/>
        <v>12720</v>
      </c>
      <c r="L2016" s="31" t="str">
        <f t="shared" si="158"/>
        <v/>
      </c>
      <c r="M2016" s="31" t="str">
        <f t="shared" si="159"/>
        <v/>
      </c>
    </row>
    <row r="2017" spans="1:13" x14ac:dyDescent="0.15">
      <c r="A2017" s="163" t="s">
        <v>210</v>
      </c>
      <c r="B2017" s="163">
        <v>42328.508803402779</v>
      </c>
      <c r="C2017" s="164" t="s">
        <v>1927</v>
      </c>
      <c r="D2017" s="164" t="s">
        <v>13</v>
      </c>
      <c r="E2017" s="165">
        <v>500</v>
      </c>
      <c r="F2017" s="166">
        <v>0</v>
      </c>
      <c r="G2017" s="227">
        <f>IF($B$2,IF(ROWS(B$6:$B2017) = 1,$B2017-Start_Date,$B2017-$B2016),"")</f>
        <v>4.0125925952452235E-3</v>
      </c>
      <c r="H2017" s="29">
        <f>IF($B$2,IF(ROWS(B$6:$B2017) = 1,IF(COUNTIFS(R_Schedule_Times,"&lt;"&amp;B2017),INDEX(R_Schedule_Amounts,MATCH(B2017,R_Schedule_Times,1)),Starting_Cash),IF(COUNTIFS(R_Schedule_Times,"&gt;"&amp;B2016,R_Schedule_Times,"&lt;"&amp;B2017),INDEX(R_Schedule_Amounts,MATCH(B2017,R_Schedule_Times,1)),K2016)),"")</f>
        <v>12720</v>
      </c>
      <c r="I2017" s="30">
        <f t="shared" si="155"/>
        <v>500</v>
      </c>
      <c r="J2017" s="31">
        <f t="shared" si="156"/>
        <v>0</v>
      </c>
      <c r="K2017" s="29">
        <f t="shared" si="157"/>
        <v>12220</v>
      </c>
      <c r="L2017" s="31" t="str">
        <f t="shared" si="158"/>
        <v/>
      </c>
      <c r="M2017" s="31" t="str">
        <f t="shared" si="159"/>
        <v/>
      </c>
    </row>
    <row r="2018" spans="1:13" x14ac:dyDescent="0.15">
      <c r="A2018" s="163" t="s">
        <v>210</v>
      </c>
      <c r="B2018" s="163">
        <v>42328.51121394676</v>
      </c>
      <c r="C2018" s="164" t="s">
        <v>1928</v>
      </c>
      <c r="D2018" s="164" t="s">
        <v>13</v>
      </c>
      <c r="E2018" s="165">
        <v>40</v>
      </c>
      <c r="F2018" s="166">
        <v>0</v>
      </c>
      <c r="G2018" s="227">
        <f>IF($B$2,IF(ROWS(B$6:$B2018) = 1,$B2018-Start_Date,$B2018-$B2017),"")</f>
        <v>2.4105439806589857E-3</v>
      </c>
      <c r="H2018" s="29">
        <f>IF($B$2,IF(ROWS(B$6:$B2018) = 1,IF(COUNTIFS(R_Schedule_Times,"&lt;"&amp;B2018),INDEX(R_Schedule_Amounts,MATCH(B2018,R_Schedule_Times,1)),Starting_Cash),IF(COUNTIFS(R_Schedule_Times,"&gt;"&amp;B2017,R_Schedule_Times,"&lt;"&amp;B2018),INDEX(R_Schedule_Amounts,MATCH(B2018,R_Schedule_Times,1)),K2017)),"")</f>
        <v>12220</v>
      </c>
      <c r="I2018" s="30">
        <f t="shared" si="155"/>
        <v>40</v>
      </c>
      <c r="J2018" s="31">
        <f t="shared" si="156"/>
        <v>0</v>
      </c>
      <c r="K2018" s="29">
        <f t="shared" si="157"/>
        <v>12180</v>
      </c>
      <c r="L2018" s="31" t="str">
        <f t="shared" si="158"/>
        <v/>
      </c>
      <c r="M2018" s="31" t="str">
        <f t="shared" si="159"/>
        <v/>
      </c>
    </row>
    <row r="2019" spans="1:13" x14ac:dyDescent="0.15">
      <c r="A2019" s="163" t="s">
        <v>210</v>
      </c>
      <c r="B2019" s="163">
        <v>42328.520523796295</v>
      </c>
      <c r="C2019" s="164" t="s">
        <v>1929</v>
      </c>
      <c r="D2019" s="164" t="s">
        <v>13</v>
      </c>
      <c r="E2019" s="165">
        <v>100</v>
      </c>
      <c r="F2019" s="166">
        <v>0</v>
      </c>
      <c r="G2019" s="227">
        <f>IF($B$2,IF(ROWS(B$6:$B2019) = 1,$B2019-Start_Date,$B2019-$B2018),"")</f>
        <v>9.3098495344747789E-3</v>
      </c>
      <c r="H2019" s="29">
        <f>IF($B$2,IF(ROWS(B$6:$B2019) = 1,IF(COUNTIFS(R_Schedule_Times,"&lt;"&amp;B2019),INDEX(R_Schedule_Amounts,MATCH(B2019,R_Schedule_Times,1)),Starting_Cash),IF(COUNTIFS(R_Schedule_Times,"&gt;"&amp;B2018,R_Schedule_Times,"&lt;"&amp;B2019),INDEX(R_Schedule_Amounts,MATCH(B2019,R_Schedule_Times,1)),K2018)),"")</f>
        <v>12180</v>
      </c>
      <c r="I2019" s="30">
        <f t="shared" si="155"/>
        <v>100</v>
      </c>
      <c r="J2019" s="31">
        <f t="shared" si="156"/>
        <v>0</v>
      </c>
      <c r="K2019" s="29">
        <f t="shared" si="157"/>
        <v>12080</v>
      </c>
      <c r="L2019" s="31" t="str">
        <f t="shared" si="158"/>
        <v/>
      </c>
      <c r="M2019" s="31" t="str">
        <f t="shared" si="159"/>
        <v/>
      </c>
    </row>
    <row r="2020" spans="1:13" x14ac:dyDescent="0.15">
      <c r="A2020" s="163" t="s">
        <v>210</v>
      </c>
      <c r="B2020" s="163">
        <v>42328.526130752318</v>
      </c>
      <c r="C2020" s="164" t="s">
        <v>14</v>
      </c>
      <c r="D2020" s="164" t="s">
        <v>13</v>
      </c>
      <c r="E2020" s="165">
        <v>40</v>
      </c>
      <c r="F2020" s="166">
        <v>3.5</v>
      </c>
      <c r="G2020" s="227">
        <f>IF($B$2,IF(ROWS(B$6:$B2020) = 1,$B2020-Start_Date,$B2020-$B2019),"")</f>
        <v>5.6069560232572258E-3</v>
      </c>
      <c r="H2020" s="29">
        <f>IF($B$2,IF(ROWS(B$6:$B2020) = 1,IF(COUNTIFS(R_Schedule_Times,"&lt;"&amp;B2020),INDEX(R_Schedule_Amounts,MATCH(B2020,R_Schedule_Times,1)),Starting_Cash),IF(COUNTIFS(R_Schedule_Times,"&gt;"&amp;B2019,R_Schedule_Times,"&lt;"&amp;B2020),INDEX(R_Schedule_Amounts,MATCH(B2020,R_Schedule_Times,1)),K2019)),"")</f>
        <v>12080</v>
      </c>
      <c r="I2020" s="30">
        <f t="shared" si="155"/>
        <v>40</v>
      </c>
      <c r="J2020" s="31">
        <f t="shared" si="156"/>
        <v>3.5</v>
      </c>
      <c r="K2020" s="29">
        <f t="shared" si="157"/>
        <v>12040</v>
      </c>
      <c r="L2020" s="31" t="str">
        <f t="shared" si="158"/>
        <v/>
      </c>
      <c r="M2020" s="31" t="str">
        <f t="shared" si="159"/>
        <v/>
      </c>
    </row>
    <row r="2021" spans="1:13" x14ac:dyDescent="0.15">
      <c r="A2021" s="163" t="s">
        <v>210</v>
      </c>
      <c r="B2021" s="163">
        <v>42328.527191053239</v>
      </c>
      <c r="C2021" s="164" t="s">
        <v>1930</v>
      </c>
      <c r="D2021" s="164" t="s">
        <v>13</v>
      </c>
      <c r="E2021" s="165">
        <v>100</v>
      </c>
      <c r="F2021" s="166">
        <v>0</v>
      </c>
      <c r="G2021" s="227">
        <f>IF($B$2,IF(ROWS(B$6:$B2021) = 1,$B2021-Start_Date,$B2021-$B2020),"")</f>
        <v>1.0603009213809855E-3</v>
      </c>
      <c r="H2021" s="29">
        <f>IF($B$2,IF(ROWS(B$6:$B2021) = 1,IF(COUNTIFS(R_Schedule_Times,"&lt;"&amp;B2021),INDEX(R_Schedule_Amounts,MATCH(B2021,R_Schedule_Times,1)),Starting_Cash),IF(COUNTIFS(R_Schedule_Times,"&gt;"&amp;B2020,R_Schedule_Times,"&lt;"&amp;B2021),INDEX(R_Schedule_Amounts,MATCH(B2021,R_Schedule_Times,1)),K2020)),"")</f>
        <v>12040</v>
      </c>
      <c r="I2021" s="30">
        <f t="shared" si="155"/>
        <v>100</v>
      </c>
      <c r="J2021" s="31">
        <f t="shared" si="156"/>
        <v>0</v>
      </c>
      <c r="K2021" s="29">
        <f t="shared" si="157"/>
        <v>11940</v>
      </c>
      <c r="L2021" s="31" t="str">
        <f t="shared" si="158"/>
        <v/>
      </c>
      <c r="M2021" s="31" t="str">
        <f t="shared" si="159"/>
        <v/>
      </c>
    </row>
    <row r="2022" spans="1:13" x14ac:dyDescent="0.15">
      <c r="A2022" s="163" t="s">
        <v>210</v>
      </c>
      <c r="B2022" s="163">
        <v>42328.535900833333</v>
      </c>
      <c r="C2022" s="164" t="s">
        <v>1931</v>
      </c>
      <c r="D2022" s="164" t="s">
        <v>13</v>
      </c>
      <c r="E2022" s="165">
        <v>100</v>
      </c>
      <c r="F2022" s="166">
        <v>0</v>
      </c>
      <c r="G2022" s="227">
        <f>IF($B$2,IF(ROWS(B$6:$B2022) = 1,$B2022-Start_Date,$B2022-$B2021),"")</f>
        <v>8.7097800933406688E-3</v>
      </c>
      <c r="H2022" s="29">
        <f>IF($B$2,IF(ROWS(B$6:$B2022) = 1,IF(COUNTIFS(R_Schedule_Times,"&lt;"&amp;B2022),INDEX(R_Schedule_Amounts,MATCH(B2022,R_Schedule_Times,1)),Starting_Cash),IF(COUNTIFS(R_Schedule_Times,"&gt;"&amp;B2021,R_Schedule_Times,"&lt;"&amp;B2022),INDEX(R_Schedule_Amounts,MATCH(B2022,R_Schedule_Times,1)),K2021)),"")</f>
        <v>11940</v>
      </c>
      <c r="I2022" s="30">
        <f t="shared" si="155"/>
        <v>100</v>
      </c>
      <c r="J2022" s="31">
        <f t="shared" si="156"/>
        <v>0</v>
      </c>
      <c r="K2022" s="29">
        <f t="shared" si="157"/>
        <v>11840</v>
      </c>
      <c r="L2022" s="31" t="str">
        <f t="shared" si="158"/>
        <v/>
      </c>
      <c r="M2022" s="31" t="str">
        <f t="shared" si="159"/>
        <v/>
      </c>
    </row>
    <row r="2023" spans="1:13" x14ac:dyDescent="0.15">
      <c r="A2023" s="163" t="s">
        <v>210</v>
      </c>
      <c r="B2023" s="163">
        <v>42328.536554756945</v>
      </c>
      <c r="C2023" s="164" t="s">
        <v>103</v>
      </c>
      <c r="D2023" s="164" t="s">
        <v>13</v>
      </c>
      <c r="E2023" s="165">
        <v>40</v>
      </c>
      <c r="F2023" s="166">
        <v>0</v>
      </c>
      <c r="G2023" s="227">
        <f>IF($B$2,IF(ROWS(B$6:$B2023) = 1,$B2023-Start_Date,$B2023-$B2022),"")</f>
        <v>6.539236128446646E-4</v>
      </c>
      <c r="H2023" s="29">
        <f>IF($B$2,IF(ROWS(B$6:$B2023) = 1,IF(COUNTIFS(R_Schedule_Times,"&lt;"&amp;B2023),INDEX(R_Schedule_Amounts,MATCH(B2023,R_Schedule_Times,1)),Starting_Cash),IF(COUNTIFS(R_Schedule_Times,"&gt;"&amp;B2022,R_Schedule_Times,"&lt;"&amp;B2023),INDEX(R_Schedule_Amounts,MATCH(B2023,R_Schedule_Times,1)),K2022)),"")</f>
        <v>11840</v>
      </c>
      <c r="I2023" s="30">
        <f t="shared" si="155"/>
        <v>40</v>
      </c>
      <c r="J2023" s="31">
        <f t="shared" si="156"/>
        <v>0</v>
      </c>
      <c r="K2023" s="29">
        <f t="shared" si="157"/>
        <v>11800</v>
      </c>
      <c r="L2023" s="31" t="str">
        <f t="shared" si="158"/>
        <v/>
      </c>
      <c r="M2023" s="31" t="str">
        <f t="shared" si="159"/>
        <v/>
      </c>
    </row>
    <row r="2024" spans="1:13" x14ac:dyDescent="0.15">
      <c r="A2024" s="163" t="s">
        <v>210</v>
      </c>
      <c r="B2024" s="163">
        <v>42328.54794084491</v>
      </c>
      <c r="C2024" s="164" t="s">
        <v>1932</v>
      </c>
      <c r="D2024" s="164" t="s">
        <v>13</v>
      </c>
      <c r="E2024" s="165">
        <v>100</v>
      </c>
      <c r="F2024" s="166">
        <v>0</v>
      </c>
      <c r="G2024" s="227">
        <f>IF($B$2,IF(ROWS(B$6:$B2024) = 1,$B2024-Start_Date,$B2024-$B2023),"")</f>
        <v>1.1386087964638136E-2</v>
      </c>
      <c r="H2024" s="29">
        <f>IF($B$2,IF(ROWS(B$6:$B2024) = 1,IF(COUNTIFS(R_Schedule_Times,"&lt;"&amp;B2024),INDEX(R_Schedule_Amounts,MATCH(B2024,R_Schedule_Times,1)),Starting_Cash),IF(COUNTIFS(R_Schedule_Times,"&gt;"&amp;B2023,R_Schedule_Times,"&lt;"&amp;B2024),INDEX(R_Schedule_Amounts,MATCH(B2024,R_Schedule_Times,1)),K2023)),"")</f>
        <v>11800</v>
      </c>
      <c r="I2024" s="30">
        <f t="shared" si="155"/>
        <v>100</v>
      </c>
      <c r="J2024" s="31">
        <f t="shared" si="156"/>
        <v>0</v>
      </c>
      <c r="K2024" s="29">
        <f t="shared" si="157"/>
        <v>11700</v>
      </c>
      <c r="L2024" s="31" t="str">
        <f t="shared" si="158"/>
        <v/>
      </c>
      <c r="M2024" s="31" t="str">
        <f t="shared" si="159"/>
        <v/>
      </c>
    </row>
    <row r="2025" spans="1:13" x14ac:dyDescent="0.15">
      <c r="A2025" s="163" t="s">
        <v>210</v>
      </c>
      <c r="B2025" s="163">
        <v>42328.56012199074</v>
      </c>
      <c r="C2025" s="164" t="s">
        <v>459</v>
      </c>
      <c r="D2025" s="164" t="s">
        <v>13</v>
      </c>
      <c r="E2025" s="165">
        <v>100</v>
      </c>
      <c r="F2025" s="166">
        <v>0</v>
      </c>
      <c r="G2025" s="227">
        <f>IF($B$2,IF(ROWS(B$6:$B2025) = 1,$B2025-Start_Date,$B2025-$B2024),"")</f>
        <v>1.2181145830254536E-2</v>
      </c>
      <c r="H2025" s="29">
        <f>IF($B$2,IF(ROWS(B$6:$B2025) = 1,IF(COUNTIFS(R_Schedule_Times,"&lt;"&amp;B2025),INDEX(R_Schedule_Amounts,MATCH(B2025,R_Schedule_Times,1)),Starting_Cash),IF(COUNTIFS(R_Schedule_Times,"&gt;"&amp;B2024,R_Schedule_Times,"&lt;"&amp;B2025),INDEX(R_Schedule_Amounts,MATCH(B2025,R_Schedule_Times,1)),K2024)),"")</f>
        <v>11700</v>
      </c>
      <c r="I2025" s="30">
        <f t="shared" si="155"/>
        <v>100</v>
      </c>
      <c r="J2025" s="31">
        <f t="shared" si="156"/>
        <v>0</v>
      </c>
      <c r="K2025" s="29">
        <f t="shared" si="157"/>
        <v>11600</v>
      </c>
      <c r="L2025" s="31" t="str">
        <f t="shared" si="158"/>
        <v/>
      </c>
      <c r="M2025" s="31" t="str">
        <f t="shared" si="159"/>
        <v/>
      </c>
    </row>
    <row r="2026" spans="1:13" x14ac:dyDescent="0.15">
      <c r="A2026" s="163" t="s">
        <v>210</v>
      </c>
      <c r="B2026" s="163">
        <v>42328.576483541663</v>
      </c>
      <c r="C2026" s="164" t="s">
        <v>1271</v>
      </c>
      <c r="D2026" s="164" t="s">
        <v>13</v>
      </c>
      <c r="E2026" s="165">
        <v>40</v>
      </c>
      <c r="F2026" s="166">
        <v>0</v>
      </c>
      <c r="G2026" s="227">
        <f>IF($B$2,IF(ROWS(B$6:$B2026) = 1,$B2026-Start_Date,$B2026-$B2025),"")</f>
        <v>1.6361550922738388E-2</v>
      </c>
      <c r="H2026" s="29">
        <f>IF($B$2,IF(ROWS(B$6:$B2026) = 1,IF(COUNTIFS(R_Schedule_Times,"&lt;"&amp;B2026),INDEX(R_Schedule_Amounts,MATCH(B2026,R_Schedule_Times,1)),Starting_Cash),IF(COUNTIFS(R_Schedule_Times,"&gt;"&amp;B2025,R_Schedule_Times,"&lt;"&amp;B2026),INDEX(R_Schedule_Amounts,MATCH(B2026,R_Schedule_Times,1)),K2025)),"")</f>
        <v>11600</v>
      </c>
      <c r="I2026" s="30">
        <f t="shared" si="155"/>
        <v>40</v>
      </c>
      <c r="J2026" s="31">
        <f t="shared" si="156"/>
        <v>0</v>
      </c>
      <c r="K2026" s="29">
        <f t="shared" si="157"/>
        <v>11560</v>
      </c>
      <c r="L2026" s="31" t="str">
        <f t="shared" si="158"/>
        <v/>
      </c>
      <c r="M2026" s="31" t="str">
        <f t="shared" si="159"/>
        <v/>
      </c>
    </row>
    <row r="2027" spans="1:13" x14ac:dyDescent="0.15">
      <c r="A2027" s="163" t="s">
        <v>210</v>
      </c>
      <c r="B2027" s="163">
        <v>42328.580319328707</v>
      </c>
      <c r="C2027" s="164" t="s">
        <v>245</v>
      </c>
      <c r="D2027" s="164" t="s">
        <v>13</v>
      </c>
      <c r="E2027" s="165">
        <v>40</v>
      </c>
      <c r="F2027" s="166">
        <v>0</v>
      </c>
      <c r="G2027" s="227">
        <f>IF($B$2,IF(ROWS(B$6:$B2027) = 1,$B2027-Start_Date,$B2027-$B2026),"")</f>
        <v>3.8357870434992947E-3</v>
      </c>
      <c r="H2027" s="29">
        <f>IF($B$2,IF(ROWS(B$6:$B2027) = 1,IF(COUNTIFS(R_Schedule_Times,"&lt;"&amp;B2027),INDEX(R_Schedule_Amounts,MATCH(B2027,R_Schedule_Times,1)),Starting_Cash),IF(COUNTIFS(R_Schedule_Times,"&gt;"&amp;B2026,R_Schedule_Times,"&lt;"&amp;B2027),INDEX(R_Schedule_Amounts,MATCH(B2027,R_Schedule_Times,1)),K2026)),"")</f>
        <v>11560</v>
      </c>
      <c r="I2027" s="30">
        <f t="shared" si="155"/>
        <v>40</v>
      </c>
      <c r="J2027" s="31">
        <f t="shared" si="156"/>
        <v>0</v>
      </c>
      <c r="K2027" s="29">
        <f t="shared" si="157"/>
        <v>11520</v>
      </c>
      <c r="L2027" s="31" t="str">
        <f t="shared" si="158"/>
        <v/>
      </c>
      <c r="M2027" s="31" t="str">
        <f t="shared" si="159"/>
        <v/>
      </c>
    </row>
    <row r="2028" spans="1:13" x14ac:dyDescent="0.15">
      <c r="A2028" s="163" t="s">
        <v>210</v>
      </c>
      <c r="B2028" s="163">
        <v>42328.585805185183</v>
      </c>
      <c r="C2028" s="164" t="s">
        <v>1933</v>
      </c>
      <c r="D2028" s="164" t="s">
        <v>13</v>
      </c>
      <c r="E2028" s="165">
        <v>100</v>
      </c>
      <c r="F2028" s="166">
        <v>0</v>
      </c>
      <c r="G2028" s="227">
        <f>IF($B$2,IF(ROWS(B$6:$B2028) = 1,$B2028-Start_Date,$B2028-$B2027),"")</f>
        <v>5.4858564762980677E-3</v>
      </c>
      <c r="H2028" s="29">
        <f>IF($B$2,IF(ROWS(B$6:$B2028) = 1,IF(COUNTIFS(R_Schedule_Times,"&lt;"&amp;B2028),INDEX(R_Schedule_Amounts,MATCH(B2028,R_Schedule_Times,1)),Starting_Cash),IF(COUNTIFS(R_Schedule_Times,"&gt;"&amp;B2027,R_Schedule_Times,"&lt;"&amp;B2028),INDEX(R_Schedule_Amounts,MATCH(B2028,R_Schedule_Times,1)),K2027)),"")</f>
        <v>11520</v>
      </c>
      <c r="I2028" s="30">
        <f t="shared" si="155"/>
        <v>100</v>
      </c>
      <c r="J2028" s="31">
        <f t="shared" si="156"/>
        <v>0</v>
      </c>
      <c r="K2028" s="29">
        <f t="shared" si="157"/>
        <v>11420</v>
      </c>
      <c r="L2028" s="31" t="str">
        <f t="shared" si="158"/>
        <v/>
      </c>
      <c r="M2028" s="31" t="str">
        <f t="shared" si="159"/>
        <v/>
      </c>
    </row>
    <row r="2029" spans="1:13" x14ac:dyDescent="0.15">
      <c r="A2029" s="163" t="s">
        <v>210</v>
      </c>
      <c r="B2029" s="163">
        <v>42328.61827204861</v>
      </c>
      <c r="C2029" s="164" t="s">
        <v>1934</v>
      </c>
      <c r="D2029" s="164" t="s">
        <v>13</v>
      </c>
      <c r="E2029" s="165">
        <v>200</v>
      </c>
      <c r="F2029" s="166">
        <v>0</v>
      </c>
      <c r="G2029" s="227">
        <f>IF($B$2,IF(ROWS(B$6:$B2029) = 1,$B2029-Start_Date,$B2029-$B2028),"")</f>
        <v>3.2466863427544013E-2</v>
      </c>
      <c r="H2029" s="29">
        <f>IF($B$2,IF(ROWS(B$6:$B2029) = 1,IF(COUNTIFS(R_Schedule_Times,"&lt;"&amp;B2029),INDEX(R_Schedule_Amounts,MATCH(B2029,R_Schedule_Times,1)),Starting_Cash),IF(COUNTIFS(R_Schedule_Times,"&gt;"&amp;B2028,R_Schedule_Times,"&lt;"&amp;B2029),INDEX(R_Schedule_Amounts,MATCH(B2029,R_Schedule_Times,1)),K2028)),"")</f>
        <v>11420</v>
      </c>
      <c r="I2029" s="30">
        <f t="shared" si="155"/>
        <v>200</v>
      </c>
      <c r="J2029" s="31">
        <f t="shared" si="156"/>
        <v>0</v>
      </c>
      <c r="K2029" s="29">
        <f t="shared" si="157"/>
        <v>11220</v>
      </c>
      <c r="L2029" s="31" t="str">
        <f t="shared" si="158"/>
        <v/>
      </c>
      <c r="M2029" s="31" t="str">
        <f t="shared" si="159"/>
        <v/>
      </c>
    </row>
    <row r="2030" spans="1:13" x14ac:dyDescent="0.15">
      <c r="A2030" s="163" t="s">
        <v>210</v>
      </c>
      <c r="B2030" s="163">
        <v>42328.649834780095</v>
      </c>
      <c r="C2030" s="164" t="s">
        <v>1935</v>
      </c>
      <c r="D2030" s="164" t="s">
        <v>13</v>
      </c>
      <c r="E2030" s="165">
        <v>40</v>
      </c>
      <c r="F2030" s="166">
        <v>0</v>
      </c>
      <c r="G2030" s="227">
        <f>IF($B$2,IF(ROWS(B$6:$B2030) = 1,$B2030-Start_Date,$B2030-$B2029),"")</f>
        <v>3.1562731484882534E-2</v>
      </c>
      <c r="H2030" s="29">
        <f>IF($B$2,IF(ROWS(B$6:$B2030) = 1,IF(COUNTIFS(R_Schedule_Times,"&lt;"&amp;B2030),INDEX(R_Schedule_Amounts,MATCH(B2030,R_Schedule_Times,1)),Starting_Cash),IF(COUNTIFS(R_Schedule_Times,"&gt;"&amp;B2029,R_Schedule_Times,"&lt;"&amp;B2030),INDEX(R_Schedule_Amounts,MATCH(B2030,R_Schedule_Times,1)),K2029)),"")</f>
        <v>11220</v>
      </c>
      <c r="I2030" s="30">
        <f t="shared" si="155"/>
        <v>40</v>
      </c>
      <c r="J2030" s="31">
        <f t="shared" si="156"/>
        <v>0</v>
      </c>
      <c r="K2030" s="29">
        <f t="shared" si="157"/>
        <v>11180</v>
      </c>
      <c r="L2030" s="31" t="str">
        <f t="shared" si="158"/>
        <v/>
      </c>
      <c r="M2030" s="31" t="str">
        <f t="shared" si="159"/>
        <v/>
      </c>
    </row>
    <row r="2031" spans="1:13" x14ac:dyDescent="0.15">
      <c r="A2031" s="163" t="s">
        <v>210</v>
      </c>
      <c r="B2031" s="163">
        <v>42328.663335752317</v>
      </c>
      <c r="C2031" s="164" t="s">
        <v>1936</v>
      </c>
      <c r="D2031" s="164" t="s">
        <v>13</v>
      </c>
      <c r="E2031" s="165">
        <v>140</v>
      </c>
      <c r="F2031" s="166">
        <v>0</v>
      </c>
      <c r="G2031" s="227">
        <f>IF($B$2,IF(ROWS(B$6:$B2031) = 1,$B2031-Start_Date,$B2031-$B2030),"")</f>
        <v>1.3500972221663687E-2</v>
      </c>
      <c r="H2031" s="29">
        <f>IF($B$2,IF(ROWS(B$6:$B2031) = 1,IF(COUNTIFS(R_Schedule_Times,"&lt;"&amp;B2031),INDEX(R_Schedule_Amounts,MATCH(B2031,R_Schedule_Times,1)),Starting_Cash),IF(COUNTIFS(R_Schedule_Times,"&gt;"&amp;B2030,R_Schedule_Times,"&lt;"&amp;B2031),INDEX(R_Schedule_Amounts,MATCH(B2031,R_Schedule_Times,1)),K2030)),"")</f>
        <v>11180</v>
      </c>
      <c r="I2031" s="30">
        <f t="shared" si="155"/>
        <v>140</v>
      </c>
      <c r="J2031" s="31">
        <f t="shared" si="156"/>
        <v>0</v>
      </c>
      <c r="K2031" s="29">
        <f t="shared" si="157"/>
        <v>11040</v>
      </c>
      <c r="L2031" s="31" t="str">
        <f t="shared" si="158"/>
        <v/>
      </c>
      <c r="M2031" s="31" t="str">
        <f t="shared" si="159"/>
        <v/>
      </c>
    </row>
    <row r="2032" spans="1:13" x14ac:dyDescent="0.15">
      <c r="A2032" s="163" t="s">
        <v>210</v>
      </c>
      <c r="B2032" s="163">
        <v>42328.70419329861</v>
      </c>
      <c r="C2032" s="164" t="s">
        <v>1937</v>
      </c>
      <c r="D2032" s="164" t="s">
        <v>13</v>
      </c>
      <c r="E2032" s="165">
        <v>60</v>
      </c>
      <c r="F2032" s="166">
        <v>0</v>
      </c>
      <c r="G2032" s="227">
        <f>IF($B$2,IF(ROWS(B$6:$B2032) = 1,$B2032-Start_Date,$B2032-$B2031),"")</f>
        <v>4.0857546293409541E-2</v>
      </c>
      <c r="H2032" s="29">
        <f>IF($B$2,IF(ROWS(B$6:$B2032) = 1,IF(COUNTIFS(R_Schedule_Times,"&lt;"&amp;B2032),INDEX(R_Schedule_Amounts,MATCH(B2032,R_Schedule_Times,1)),Starting_Cash),IF(COUNTIFS(R_Schedule_Times,"&gt;"&amp;B2031,R_Schedule_Times,"&lt;"&amp;B2032),INDEX(R_Schedule_Amounts,MATCH(B2032,R_Schedule_Times,1)),K2031)),"")</f>
        <v>11040</v>
      </c>
      <c r="I2032" s="30">
        <f t="shared" si="155"/>
        <v>60</v>
      </c>
      <c r="J2032" s="31">
        <f t="shared" si="156"/>
        <v>0</v>
      </c>
      <c r="K2032" s="29">
        <f t="shared" si="157"/>
        <v>10980</v>
      </c>
      <c r="L2032" s="31" t="str">
        <f t="shared" si="158"/>
        <v/>
      </c>
      <c r="M2032" s="31" t="str">
        <f t="shared" si="159"/>
        <v/>
      </c>
    </row>
    <row r="2033" spans="1:13" x14ac:dyDescent="0.15">
      <c r="A2033" s="163" t="s">
        <v>210</v>
      </c>
      <c r="B2033" s="163">
        <v>42328.712421909724</v>
      </c>
      <c r="C2033" s="164" t="s">
        <v>1255</v>
      </c>
      <c r="D2033" s="164" t="s">
        <v>13</v>
      </c>
      <c r="E2033" s="165">
        <v>60</v>
      </c>
      <c r="F2033" s="166">
        <v>0</v>
      </c>
      <c r="G2033" s="227">
        <f>IF($B$2,IF(ROWS(B$6:$B2033) = 1,$B2033-Start_Date,$B2033-$B2032),"")</f>
        <v>8.228611113736406E-3</v>
      </c>
      <c r="H2033" s="29">
        <f>IF($B$2,IF(ROWS(B$6:$B2033) = 1,IF(COUNTIFS(R_Schedule_Times,"&lt;"&amp;B2033),INDEX(R_Schedule_Amounts,MATCH(B2033,R_Schedule_Times,1)),Starting_Cash),IF(COUNTIFS(R_Schedule_Times,"&gt;"&amp;B2032,R_Schedule_Times,"&lt;"&amp;B2033),INDEX(R_Schedule_Amounts,MATCH(B2033,R_Schedule_Times,1)),K2032)),"")</f>
        <v>10980</v>
      </c>
      <c r="I2033" s="30">
        <f t="shared" si="155"/>
        <v>60</v>
      </c>
      <c r="J2033" s="31">
        <f t="shared" si="156"/>
        <v>0</v>
      </c>
      <c r="K2033" s="29">
        <f t="shared" si="157"/>
        <v>10920</v>
      </c>
      <c r="L2033" s="31" t="str">
        <f t="shared" si="158"/>
        <v/>
      </c>
      <c r="M2033" s="31" t="str">
        <f t="shared" si="159"/>
        <v/>
      </c>
    </row>
    <row r="2034" spans="1:13" x14ac:dyDescent="0.15">
      <c r="A2034" s="163" t="s">
        <v>210</v>
      </c>
      <c r="B2034" s="163">
        <v>42328.731759872688</v>
      </c>
      <c r="C2034" s="164" t="s">
        <v>268</v>
      </c>
      <c r="D2034" s="164" t="s">
        <v>13</v>
      </c>
      <c r="E2034" s="165">
        <v>100</v>
      </c>
      <c r="F2034" s="166">
        <v>0</v>
      </c>
      <c r="G2034" s="227">
        <f>IF($B$2,IF(ROWS(B$6:$B2034) = 1,$B2034-Start_Date,$B2034-$B2033),"")</f>
        <v>1.9337962963618338E-2</v>
      </c>
      <c r="H2034" s="29">
        <f>IF($B$2,IF(ROWS(B$6:$B2034) = 1,IF(COUNTIFS(R_Schedule_Times,"&lt;"&amp;B2034),INDEX(R_Schedule_Amounts,MATCH(B2034,R_Schedule_Times,1)),Starting_Cash),IF(COUNTIFS(R_Schedule_Times,"&gt;"&amp;B2033,R_Schedule_Times,"&lt;"&amp;B2034),INDEX(R_Schedule_Amounts,MATCH(B2034,R_Schedule_Times,1)),K2033)),"")</f>
        <v>10920</v>
      </c>
      <c r="I2034" s="30">
        <f t="shared" si="155"/>
        <v>100</v>
      </c>
      <c r="J2034" s="31">
        <f t="shared" si="156"/>
        <v>0</v>
      </c>
      <c r="K2034" s="29">
        <f t="shared" si="157"/>
        <v>10820</v>
      </c>
      <c r="L2034" s="31" t="str">
        <f t="shared" si="158"/>
        <v/>
      </c>
      <c r="M2034" s="31" t="str">
        <f t="shared" si="159"/>
        <v/>
      </c>
    </row>
    <row r="2035" spans="1:13" x14ac:dyDescent="0.15">
      <c r="A2035" s="163" t="s">
        <v>210</v>
      </c>
      <c r="B2035" s="163">
        <v>42328.744445925928</v>
      </c>
      <c r="C2035" s="164" t="s">
        <v>1938</v>
      </c>
      <c r="D2035" s="164" t="s">
        <v>13</v>
      </c>
      <c r="E2035" s="165">
        <v>60</v>
      </c>
      <c r="F2035" s="166">
        <v>0</v>
      </c>
      <c r="G2035" s="227">
        <f>IF($B$2,IF(ROWS(B$6:$B2035) = 1,$B2035-Start_Date,$B2035-$B2034),"")</f>
        <v>1.268605324003147E-2</v>
      </c>
      <c r="H2035" s="29">
        <f>IF($B$2,IF(ROWS(B$6:$B2035) = 1,IF(COUNTIFS(R_Schedule_Times,"&lt;"&amp;B2035),INDEX(R_Schedule_Amounts,MATCH(B2035,R_Schedule_Times,1)),Starting_Cash),IF(COUNTIFS(R_Schedule_Times,"&gt;"&amp;B2034,R_Schedule_Times,"&lt;"&amp;B2035),INDEX(R_Schedule_Amounts,MATCH(B2035,R_Schedule_Times,1)),K2034)),"")</f>
        <v>10820</v>
      </c>
      <c r="I2035" s="30">
        <f t="shared" si="155"/>
        <v>60</v>
      </c>
      <c r="J2035" s="31">
        <f t="shared" si="156"/>
        <v>0</v>
      </c>
      <c r="K2035" s="29">
        <f t="shared" si="157"/>
        <v>10760</v>
      </c>
      <c r="L2035" s="31" t="str">
        <f t="shared" si="158"/>
        <v/>
      </c>
      <c r="M2035" s="31" t="str">
        <f t="shared" si="159"/>
        <v/>
      </c>
    </row>
    <row r="2036" spans="1:13" x14ac:dyDescent="0.15">
      <c r="A2036" s="163" t="s">
        <v>210</v>
      </c>
      <c r="B2036" s="163">
        <v>42328.749507430555</v>
      </c>
      <c r="C2036" s="164" t="s">
        <v>1939</v>
      </c>
      <c r="D2036" s="164" t="s">
        <v>13</v>
      </c>
      <c r="E2036" s="165">
        <v>500</v>
      </c>
      <c r="F2036" s="166">
        <v>0</v>
      </c>
      <c r="G2036" s="227">
        <f>IF($B$2,IF(ROWS(B$6:$B2036) = 1,$B2036-Start_Date,$B2036-$B2035),"")</f>
        <v>5.0615046275197528E-3</v>
      </c>
      <c r="H2036" s="29">
        <f>IF($B$2,IF(ROWS(B$6:$B2036) = 1,IF(COUNTIFS(R_Schedule_Times,"&lt;"&amp;B2036),INDEX(R_Schedule_Amounts,MATCH(B2036,R_Schedule_Times,1)),Starting_Cash),IF(COUNTIFS(R_Schedule_Times,"&gt;"&amp;B2035,R_Schedule_Times,"&lt;"&amp;B2036),INDEX(R_Schedule_Amounts,MATCH(B2036,R_Schedule_Times,1)),K2035)),"")</f>
        <v>10760</v>
      </c>
      <c r="I2036" s="30">
        <f t="shared" si="155"/>
        <v>500</v>
      </c>
      <c r="J2036" s="31">
        <f t="shared" si="156"/>
        <v>0</v>
      </c>
      <c r="K2036" s="29">
        <f t="shared" si="157"/>
        <v>10260</v>
      </c>
      <c r="L2036" s="31" t="str">
        <f t="shared" si="158"/>
        <v/>
      </c>
      <c r="M2036" s="31" t="str">
        <f t="shared" si="159"/>
        <v/>
      </c>
    </row>
    <row r="2037" spans="1:13" x14ac:dyDescent="0.15">
      <c r="A2037" s="163" t="s">
        <v>210</v>
      </c>
      <c r="B2037" s="163">
        <v>42328.750865787035</v>
      </c>
      <c r="C2037" s="164" t="s">
        <v>1940</v>
      </c>
      <c r="D2037" s="164" t="s">
        <v>13</v>
      </c>
      <c r="E2037" s="165">
        <v>100</v>
      </c>
      <c r="F2037" s="166">
        <v>0</v>
      </c>
      <c r="G2037" s="227">
        <f>IF($B$2,IF(ROWS(B$6:$B2037) = 1,$B2037-Start_Date,$B2037-$B2036),"")</f>
        <v>1.3583564796135761E-3</v>
      </c>
      <c r="H2037" s="29">
        <f>IF($B$2,IF(ROWS(B$6:$B2037) = 1,IF(COUNTIFS(R_Schedule_Times,"&lt;"&amp;B2037),INDEX(R_Schedule_Amounts,MATCH(B2037,R_Schedule_Times,1)),Starting_Cash),IF(COUNTIFS(R_Schedule_Times,"&gt;"&amp;B2036,R_Schedule_Times,"&lt;"&amp;B2037),INDEX(R_Schedule_Amounts,MATCH(B2037,R_Schedule_Times,1)),K2036)),"")</f>
        <v>10260</v>
      </c>
      <c r="I2037" s="30">
        <f t="shared" si="155"/>
        <v>100</v>
      </c>
      <c r="J2037" s="31">
        <f t="shared" si="156"/>
        <v>0</v>
      </c>
      <c r="K2037" s="29">
        <f t="shared" si="157"/>
        <v>10160</v>
      </c>
      <c r="L2037" s="31" t="str">
        <f t="shared" si="158"/>
        <v/>
      </c>
      <c r="M2037" s="31" t="str">
        <f t="shared" si="159"/>
        <v/>
      </c>
    </row>
    <row r="2038" spans="1:13" x14ac:dyDescent="0.15">
      <c r="A2038" s="163" t="s">
        <v>210</v>
      </c>
      <c r="B2038" s="163">
        <v>42328.786364814812</v>
      </c>
      <c r="C2038" s="164" t="s">
        <v>1941</v>
      </c>
      <c r="D2038" s="164" t="s">
        <v>15</v>
      </c>
      <c r="E2038" s="165">
        <v>120</v>
      </c>
      <c r="F2038" s="166">
        <v>3.6</v>
      </c>
      <c r="G2038" s="227">
        <f>IF($B$2,IF(ROWS(B$6:$B2038) = 1,$B2038-Start_Date,$B2038-$B2037),"")</f>
        <v>3.549902777740499E-2</v>
      </c>
      <c r="H2038" s="29">
        <f>IF($B$2,IF(ROWS(B$6:$B2038) = 1,IF(COUNTIFS(R_Schedule_Times,"&lt;"&amp;B2038),INDEX(R_Schedule_Amounts,MATCH(B2038,R_Schedule_Times,1)),Starting_Cash),IF(COUNTIFS(R_Schedule_Times,"&gt;"&amp;B2037,R_Schedule_Times,"&lt;"&amp;B2038),INDEX(R_Schedule_Amounts,MATCH(B2038,R_Schedule_Times,1)),K2037)),"")</f>
        <v>10160</v>
      </c>
      <c r="I2038" s="30">
        <f t="shared" si="155"/>
        <v>120</v>
      </c>
      <c r="J2038" s="31">
        <f t="shared" si="156"/>
        <v>3.6</v>
      </c>
      <c r="K2038" s="29">
        <f t="shared" si="157"/>
        <v>10040</v>
      </c>
      <c r="L2038" s="31" t="str">
        <f t="shared" si="158"/>
        <v/>
      </c>
      <c r="M2038" s="31" t="str">
        <f t="shared" si="159"/>
        <v/>
      </c>
    </row>
    <row r="2039" spans="1:13" x14ac:dyDescent="0.15">
      <c r="A2039" s="163" t="s">
        <v>210</v>
      </c>
      <c r="B2039" s="163">
        <v>42328.858318182873</v>
      </c>
      <c r="C2039" s="164" t="s">
        <v>1878</v>
      </c>
      <c r="D2039" s="164" t="s">
        <v>13</v>
      </c>
      <c r="E2039" s="165">
        <v>100</v>
      </c>
      <c r="F2039" s="166">
        <v>0</v>
      </c>
      <c r="G2039" s="227">
        <f>IF($B$2,IF(ROWS(B$6:$B2039) = 1,$B2039-Start_Date,$B2039-$B2038),"")</f>
        <v>7.1953368060349021E-2</v>
      </c>
      <c r="H2039" s="29">
        <f>IF($B$2,IF(ROWS(B$6:$B2039) = 1,IF(COUNTIFS(R_Schedule_Times,"&lt;"&amp;B2039),INDEX(R_Schedule_Amounts,MATCH(B2039,R_Schedule_Times,1)),Starting_Cash),IF(COUNTIFS(R_Schedule_Times,"&gt;"&amp;B2038,R_Schedule_Times,"&lt;"&amp;B2039),INDEX(R_Schedule_Amounts,MATCH(B2039,R_Schedule_Times,1)),K2038)),"")</f>
        <v>10040</v>
      </c>
      <c r="I2039" s="30">
        <f t="shared" si="155"/>
        <v>100</v>
      </c>
      <c r="J2039" s="31">
        <f t="shared" si="156"/>
        <v>0</v>
      </c>
      <c r="K2039" s="29">
        <f t="shared" si="157"/>
        <v>9940</v>
      </c>
      <c r="L2039" s="31" t="str">
        <f t="shared" si="158"/>
        <v/>
      </c>
      <c r="M2039" s="31" t="str">
        <f t="shared" si="159"/>
        <v/>
      </c>
    </row>
    <row r="2040" spans="1:13" x14ac:dyDescent="0.15">
      <c r="A2040" s="163" t="s">
        <v>210</v>
      </c>
      <c r="B2040" s="163">
        <v>42328.860623032408</v>
      </c>
      <c r="C2040" s="164" t="s">
        <v>1942</v>
      </c>
      <c r="D2040" s="164" t="s">
        <v>13</v>
      </c>
      <c r="E2040" s="165">
        <v>80</v>
      </c>
      <c r="F2040" s="166">
        <v>0</v>
      </c>
      <c r="G2040" s="227">
        <f>IF($B$2,IF(ROWS(B$6:$B2040) = 1,$B2040-Start_Date,$B2040-$B2039),"")</f>
        <v>2.3048495349939913E-3</v>
      </c>
      <c r="H2040" s="29">
        <f>IF($B$2,IF(ROWS(B$6:$B2040) = 1,IF(COUNTIFS(R_Schedule_Times,"&lt;"&amp;B2040),INDEX(R_Schedule_Amounts,MATCH(B2040,R_Schedule_Times,1)),Starting_Cash),IF(COUNTIFS(R_Schedule_Times,"&gt;"&amp;B2039,R_Schedule_Times,"&lt;"&amp;B2040),INDEX(R_Schedule_Amounts,MATCH(B2040,R_Schedule_Times,1)),K2039)),"")</f>
        <v>9940</v>
      </c>
      <c r="I2040" s="30">
        <f t="shared" si="155"/>
        <v>80</v>
      </c>
      <c r="J2040" s="31">
        <f t="shared" si="156"/>
        <v>0</v>
      </c>
      <c r="K2040" s="29">
        <f t="shared" si="157"/>
        <v>9860</v>
      </c>
      <c r="L2040" s="31" t="str">
        <f t="shared" si="158"/>
        <v/>
      </c>
      <c r="M2040" s="31" t="str">
        <f t="shared" si="159"/>
        <v/>
      </c>
    </row>
    <row r="2041" spans="1:13" x14ac:dyDescent="0.15">
      <c r="A2041" s="163" t="s">
        <v>210</v>
      </c>
      <c r="B2041" s="163">
        <v>42328.935464745373</v>
      </c>
      <c r="C2041" s="164" t="s">
        <v>1943</v>
      </c>
      <c r="D2041" s="164" t="s">
        <v>13</v>
      </c>
      <c r="E2041" s="165">
        <v>40</v>
      </c>
      <c r="F2041" s="166">
        <v>0</v>
      </c>
      <c r="G2041" s="227">
        <f>IF($B$2,IF(ROWS(B$6:$B2041) = 1,$B2041-Start_Date,$B2041-$B2040),"")</f>
        <v>7.4841712965280749E-2</v>
      </c>
      <c r="H2041" s="29">
        <f>IF($B$2,IF(ROWS(B$6:$B2041) = 1,IF(COUNTIFS(R_Schedule_Times,"&lt;"&amp;B2041),INDEX(R_Schedule_Amounts,MATCH(B2041,R_Schedule_Times,1)),Starting_Cash),IF(COUNTIFS(R_Schedule_Times,"&gt;"&amp;B2040,R_Schedule_Times,"&lt;"&amp;B2041),INDEX(R_Schedule_Amounts,MATCH(B2041,R_Schedule_Times,1)),K2040)),"")</f>
        <v>9860</v>
      </c>
      <c r="I2041" s="30">
        <f t="shared" si="155"/>
        <v>40</v>
      </c>
      <c r="J2041" s="31">
        <f t="shared" si="156"/>
        <v>0</v>
      </c>
      <c r="K2041" s="29">
        <f t="shared" si="157"/>
        <v>9820</v>
      </c>
      <c r="L2041" s="31" t="str">
        <f t="shared" si="158"/>
        <v/>
      </c>
      <c r="M2041" s="31" t="str">
        <f t="shared" si="159"/>
        <v/>
      </c>
    </row>
    <row r="2042" spans="1:13" x14ac:dyDescent="0.15">
      <c r="A2042" s="163" t="s">
        <v>210</v>
      </c>
      <c r="B2042" s="163">
        <v>42328.939264664354</v>
      </c>
      <c r="C2042" s="164" t="s">
        <v>1944</v>
      </c>
      <c r="D2042" s="164" t="s">
        <v>13</v>
      </c>
      <c r="E2042" s="165">
        <v>80</v>
      </c>
      <c r="F2042" s="166">
        <v>0</v>
      </c>
      <c r="G2042" s="227">
        <f>IF($B$2,IF(ROWS(B$6:$B2042) = 1,$B2042-Start_Date,$B2042-$B2041),"")</f>
        <v>3.7999189808033407E-3</v>
      </c>
      <c r="H2042" s="29">
        <f>IF($B$2,IF(ROWS(B$6:$B2042) = 1,IF(COUNTIFS(R_Schedule_Times,"&lt;"&amp;B2042),INDEX(R_Schedule_Amounts,MATCH(B2042,R_Schedule_Times,1)),Starting_Cash),IF(COUNTIFS(R_Schedule_Times,"&gt;"&amp;B2041,R_Schedule_Times,"&lt;"&amp;B2042),INDEX(R_Schedule_Amounts,MATCH(B2042,R_Schedule_Times,1)),K2041)),"")</f>
        <v>9820</v>
      </c>
      <c r="I2042" s="30">
        <f t="shared" si="155"/>
        <v>80</v>
      </c>
      <c r="J2042" s="31">
        <f t="shared" si="156"/>
        <v>0</v>
      </c>
      <c r="K2042" s="29">
        <f t="shared" si="157"/>
        <v>9740</v>
      </c>
      <c r="L2042" s="31" t="str">
        <f t="shared" si="158"/>
        <v/>
      </c>
      <c r="M2042" s="31" t="str">
        <f t="shared" si="159"/>
        <v/>
      </c>
    </row>
    <row r="2043" spans="1:13" x14ac:dyDescent="0.15">
      <c r="A2043" s="163" t="s">
        <v>210</v>
      </c>
      <c r="B2043" s="163">
        <v>42329.220551979168</v>
      </c>
      <c r="C2043" s="164" t="s">
        <v>1460</v>
      </c>
      <c r="D2043" s="164" t="s">
        <v>13</v>
      </c>
      <c r="E2043" s="165">
        <v>140</v>
      </c>
      <c r="F2043" s="166">
        <v>0</v>
      </c>
      <c r="G2043" s="227">
        <f>IF($B$2,IF(ROWS(B$6:$B2043) = 1,$B2043-Start_Date,$B2043-$B2042),"")</f>
        <v>0.28128731481410796</v>
      </c>
      <c r="H2043" s="29">
        <f>IF($B$2,IF(ROWS(B$6:$B2043) = 1,IF(COUNTIFS(R_Schedule_Times,"&lt;"&amp;B2043),INDEX(R_Schedule_Amounts,MATCH(B2043,R_Schedule_Times,1)),Starting_Cash),IF(COUNTIFS(R_Schedule_Times,"&gt;"&amp;B2042,R_Schedule_Times,"&lt;"&amp;B2043),INDEX(R_Schedule_Amounts,MATCH(B2043,R_Schedule_Times,1)),K2042)),"")</f>
        <v>9740</v>
      </c>
      <c r="I2043" s="30">
        <f t="shared" si="155"/>
        <v>140</v>
      </c>
      <c r="J2043" s="31">
        <f t="shared" si="156"/>
        <v>0</v>
      </c>
      <c r="K2043" s="29">
        <f t="shared" si="157"/>
        <v>9600</v>
      </c>
      <c r="L2043" s="31" t="str">
        <f t="shared" si="158"/>
        <v/>
      </c>
      <c r="M2043" s="31" t="str">
        <f t="shared" si="159"/>
        <v/>
      </c>
    </row>
    <row r="2044" spans="1:13" x14ac:dyDescent="0.15">
      <c r="A2044" s="163" t="s">
        <v>210</v>
      </c>
      <c r="B2044" s="163">
        <v>42329.267578819446</v>
      </c>
      <c r="C2044" s="164" t="s">
        <v>1945</v>
      </c>
      <c r="D2044" s="164" t="s">
        <v>13</v>
      </c>
      <c r="E2044" s="165">
        <v>80</v>
      </c>
      <c r="F2044" s="166">
        <v>0</v>
      </c>
      <c r="G2044" s="227">
        <f>IF($B$2,IF(ROWS(B$6:$B2044) = 1,$B2044-Start_Date,$B2044-$B2043),"")</f>
        <v>4.7026840278704185E-2</v>
      </c>
      <c r="H2044" s="29">
        <f>IF($B$2,IF(ROWS(B$6:$B2044) = 1,IF(COUNTIFS(R_Schedule_Times,"&lt;"&amp;B2044),INDEX(R_Schedule_Amounts,MATCH(B2044,R_Schedule_Times,1)),Starting_Cash),IF(COUNTIFS(R_Schedule_Times,"&gt;"&amp;B2043,R_Schedule_Times,"&lt;"&amp;B2044),INDEX(R_Schedule_Amounts,MATCH(B2044,R_Schedule_Times,1)),K2043)),"")</f>
        <v>9600</v>
      </c>
      <c r="I2044" s="30">
        <f t="shared" si="155"/>
        <v>80</v>
      </c>
      <c r="J2044" s="31">
        <f t="shared" si="156"/>
        <v>0</v>
      </c>
      <c r="K2044" s="29">
        <f t="shared" si="157"/>
        <v>9520</v>
      </c>
      <c r="L2044" s="31" t="str">
        <f t="shared" si="158"/>
        <v/>
      </c>
      <c r="M2044" s="31" t="str">
        <f t="shared" si="159"/>
        <v/>
      </c>
    </row>
    <row r="2045" spans="1:13" x14ac:dyDescent="0.15">
      <c r="A2045" s="163" t="s">
        <v>210</v>
      </c>
      <c r="B2045" s="163">
        <v>42329.320977986114</v>
      </c>
      <c r="C2045" s="164" t="s">
        <v>1632</v>
      </c>
      <c r="D2045" s="164" t="s">
        <v>13</v>
      </c>
      <c r="E2045" s="165">
        <v>100</v>
      </c>
      <c r="F2045" s="166">
        <v>0</v>
      </c>
      <c r="G2045" s="227">
        <f>IF($B$2,IF(ROWS(B$6:$B2045) = 1,$B2045-Start_Date,$B2045-$B2044),"")</f>
        <v>5.3399166667077225E-2</v>
      </c>
      <c r="H2045" s="29">
        <f>IF($B$2,IF(ROWS(B$6:$B2045) = 1,IF(COUNTIFS(R_Schedule_Times,"&lt;"&amp;B2045),INDEX(R_Schedule_Amounts,MATCH(B2045,R_Schedule_Times,1)),Starting_Cash),IF(COUNTIFS(R_Schedule_Times,"&gt;"&amp;B2044,R_Schedule_Times,"&lt;"&amp;B2045),INDEX(R_Schedule_Amounts,MATCH(B2045,R_Schedule_Times,1)),K2044)),"")</f>
        <v>9520</v>
      </c>
      <c r="I2045" s="30">
        <f t="shared" si="155"/>
        <v>100</v>
      </c>
      <c r="J2045" s="31">
        <f t="shared" si="156"/>
        <v>0</v>
      </c>
      <c r="K2045" s="29">
        <f t="shared" si="157"/>
        <v>9420</v>
      </c>
      <c r="L2045" s="31" t="str">
        <f t="shared" si="158"/>
        <v/>
      </c>
      <c r="M2045" s="31" t="str">
        <f t="shared" si="159"/>
        <v/>
      </c>
    </row>
    <row r="2046" spans="1:13" x14ac:dyDescent="0.15">
      <c r="A2046" s="163" t="s">
        <v>210</v>
      </c>
      <c r="B2046" s="163">
        <v>42329.322312071759</v>
      </c>
      <c r="C2046" s="164" t="s">
        <v>14</v>
      </c>
      <c r="D2046" s="164" t="s">
        <v>13</v>
      </c>
      <c r="E2046" s="165">
        <v>20</v>
      </c>
      <c r="F2046" s="166">
        <v>3.5</v>
      </c>
      <c r="G2046" s="227">
        <f>IF($B$2,IF(ROWS(B$6:$B2046) = 1,$B2046-Start_Date,$B2046-$B2045),"")</f>
        <v>1.3340856457944028E-3</v>
      </c>
      <c r="H2046" s="29">
        <f>IF($B$2,IF(ROWS(B$6:$B2046) = 1,IF(COUNTIFS(R_Schedule_Times,"&lt;"&amp;B2046),INDEX(R_Schedule_Amounts,MATCH(B2046,R_Schedule_Times,1)),Starting_Cash),IF(COUNTIFS(R_Schedule_Times,"&gt;"&amp;B2045,R_Schedule_Times,"&lt;"&amp;B2046),INDEX(R_Schedule_Amounts,MATCH(B2046,R_Schedule_Times,1)),K2045)),"")</f>
        <v>9420</v>
      </c>
      <c r="I2046" s="30">
        <f t="shared" si="155"/>
        <v>20</v>
      </c>
      <c r="J2046" s="31">
        <f t="shared" si="156"/>
        <v>3.5</v>
      </c>
      <c r="K2046" s="29">
        <f t="shared" si="157"/>
        <v>9400</v>
      </c>
      <c r="L2046" s="31" t="str">
        <f t="shared" si="158"/>
        <v/>
      </c>
      <c r="M2046" s="31" t="str">
        <f t="shared" si="159"/>
        <v/>
      </c>
    </row>
    <row r="2047" spans="1:13" x14ac:dyDescent="0.15">
      <c r="A2047" s="163" t="s">
        <v>210</v>
      </c>
      <c r="B2047" s="163">
        <v>42329.344788449074</v>
      </c>
      <c r="C2047" s="164" t="s">
        <v>1946</v>
      </c>
      <c r="D2047" s="164" t="s">
        <v>13</v>
      </c>
      <c r="E2047" s="165">
        <v>20</v>
      </c>
      <c r="F2047" s="166">
        <v>0</v>
      </c>
      <c r="G2047" s="227">
        <f>IF($B$2,IF(ROWS(B$6:$B2047) = 1,$B2047-Start_Date,$B2047-$B2046),"")</f>
        <v>2.2476377314887941E-2</v>
      </c>
      <c r="H2047" s="29">
        <f>IF($B$2,IF(ROWS(B$6:$B2047) = 1,IF(COUNTIFS(R_Schedule_Times,"&lt;"&amp;B2047),INDEX(R_Schedule_Amounts,MATCH(B2047,R_Schedule_Times,1)),Starting_Cash),IF(COUNTIFS(R_Schedule_Times,"&gt;"&amp;B2046,R_Schedule_Times,"&lt;"&amp;B2047),INDEX(R_Schedule_Amounts,MATCH(B2047,R_Schedule_Times,1)),K2046)),"")</f>
        <v>9400</v>
      </c>
      <c r="I2047" s="30">
        <f t="shared" si="155"/>
        <v>20</v>
      </c>
      <c r="J2047" s="31">
        <f t="shared" si="156"/>
        <v>0</v>
      </c>
      <c r="K2047" s="29">
        <f t="shared" si="157"/>
        <v>9380</v>
      </c>
      <c r="L2047" s="31" t="str">
        <f t="shared" si="158"/>
        <v/>
      </c>
      <c r="M2047" s="31" t="str">
        <f t="shared" si="159"/>
        <v/>
      </c>
    </row>
    <row r="2048" spans="1:13" x14ac:dyDescent="0.15">
      <c r="A2048" s="163" t="s">
        <v>210</v>
      </c>
      <c r="B2048" s="163">
        <v>42329.355383229165</v>
      </c>
      <c r="C2048" s="164" t="s">
        <v>1947</v>
      </c>
      <c r="D2048" s="164" t="s">
        <v>13</v>
      </c>
      <c r="E2048" s="165">
        <v>40</v>
      </c>
      <c r="F2048" s="166">
        <v>0</v>
      </c>
      <c r="G2048" s="227">
        <f>IF($B$2,IF(ROWS(B$6:$B2048) = 1,$B2048-Start_Date,$B2048-$B2047),"")</f>
        <v>1.0594780091196299E-2</v>
      </c>
      <c r="H2048" s="29">
        <f>IF($B$2,IF(ROWS(B$6:$B2048) = 1,IF(COUNTIFS(R_Schedule_Times,"&lt;"&amp;B2048),INDEX(R_Schedule_Amounts,MATCH(B2048,R_Schedule_Times,1)),Starting_Cash),IF(COUNTIFS(R_Schedule_Times,"&gt;"&amp;B2047,R_Schedule_Times,"&lt;"&amp;B2048),INDEX(R_Schedule_Amounts,MATCH(B2048,R_Schedule_Times,1)),K2047)),"")</f>
        <v>9380</v>
      </c>
      <c r="I2048" s="30">
        <f t="shared" si="155"/>
        <v>40</v>
      </c>
      <c r="J2048" s="31">
        <f t="shared" si="156"/>
        <v>0</v>
      </c>
      <c r="K2048" s="29">
        <f t="shared" si="157"/>
        <v>9340</v>
      </c>
      <c r="L2048" s="31" t="str">
        <f t="shared" si="158"/>
        <v/>
      </c>
      <c r="M2048" s="31" t="str">
        <f t="shared" si="159"/>
        <v/>
      </c>
    </row>
    <row r="2049" spans="1:13" x14ac:dyDescent="0.15">
      <c r="A2049" s="163" t="s">
        <v>210</v>
      </c>
      <c r="B2049" s="163">
        <v>42329.396249375</v>
      </c>
      <c r="C2049" s="164" t="s">
        <v>1948</v>
      </c>
      <c r="D2049" s="164" t="s">
        <v>13</v>
      </c>
      <c r="E2049" s="165">
        <v>80</v>
      </c>
      <c r="F2049" s="166">
        <v>0</v>
      </c>
      <c r="G2049" s="227">
        <f>IF($B$2,IF(ROWS(B$6:$B2049) = 1,$B2049-Start_Date,$B2049-$B2048),"")</f>
        <v>4.0866145835025236E-2</v>
      </c>
      <c r="H2049" s="29">
        <f>IF($B$2,IF(ROWS(B$6:$B2049) = 1,IF(COUNTIFS(R_Schedule_Times,"&lt;"&amp;B2049),INDEX(R_Schedule_Amounts,MATCH(B2049,R_Schedule_Times,1)),Starting_Cash),IF(COUNTIFS(R_Schedule_Times,"&gt;"&amp;B2048,R_Schedule_Times,"&lt;"&amp;B2049),INDEX(R_Schedule_Amounts,MATCH(B2049,R_Schedule_Times,1)),K2048)),"")</f>
        <v>9340</v>
      </c>
      <c r="I2049" s="30">
        <f t="shared" si="155"/>
        <v>80</v>
      </c>
      <c r="J2049" s="31">
        <f t="shared" si="156"/>
        <v>0</v>
      </c>
      <c r="K2049" s="29">
        <f t="shared" si="157"/>
        <v>9260</v>
      </c>
      <c r="L2049" s="31" t="str">
        <f t="shared" si="158"/>
        <v/>
      </c>
      <c r="M2049" s="31" t="str">
        <f t="shared" si="159"/>
        <v/>
      </c>
    </row>
    <row r="2050" spans="1:13" x14ac:dyDescent="0.15">
      <c r="A2050" s="163" t="s">
        <v>210</v>
      </c>
      <c r="B2050" s="163">
        <v>42329.40382028935</v>
      </c>
      <c r="C2050" s="164" t="s">
        <v>1605</v>
      </c>
      <c r="D2050" s="164" t="s">
        <v>13</v>
      </c>
      <c r="E2050" s="165">
        <v>100</v>
      </c>
      <c r="F2050" s="166">
        <v>0</v>
      </c>
      <c r="G2050" s="227">
        <f>IF($B$2,IF(ROWS(B$6:$B2050) = 1,$B2050-Start_Date,$B2050-$B2049),"")</f>
        <v>7.5709143493440934E-3</v>
      </c>
      <c r="H2050" s="29">
        <f>IF($B$2,IF(ROWS(B$6:$B2050) = 1,IF(COUNTIFS(R_Schedule_Times,"&lt;"&amp;B2050),INDEX(R_Schedule_Amounts,MATCH(B2050,R_Schedule_Times,1)),Starting_Cash),IF(COUNTIFS(R_Schedule_Times,"&gt;"&amp;B2049,R_Schedule_Times,"&lt;"&amp;B2050),INDEX(R_Schedule_Amounts,MATCH(B2050,R_Schedule_Times,1)),K2049)),"")</f>
        <v>9260</v>
      </c>
      <c r="I2050" s="30">
        <f t="shared" si="155"/>
        <v>100</v>
      </c>
      <c r="J2050" s="31">
        <f t="shared" si="156"/>
        <v>0</v>
      </c>
      <c r="K2050" s="29">
        <f t="shared" si="157"/>
        <v>9160</v>
      </c>
      <c r="L2050" s="31" t="str">
        <f t="shared" si="158"/>
        <v/>
      </c>
      <c r="M2050" s="31" t="str">
        <f t="shared" si="159"/>
        <v/>
      </c>
    </row>
    <row r="2051" spans="1:13" x14ac:dyDescent="0.15">
      <c r="A2051" s="163" t="s">
        <v>210</v>
      </c>
      <c r="B2051" s="163">
        <v>42329.415845115742</v>
      </c>
      <c r="C2051" s="164" t="s">
        <v>1949</v>
      </c>
      <c r="D2051" s="164" t="s">
        <v>13</v>
      </c>
      <c r="E2051" s="165">
        <v>100</v>
      </c>
      <c r="F2051" s="166">
        <v>0</v>
      </c>
      <c r="G2051" s="227">
        <f>IF($B$2,IF(ROWS(B$6:$B2051) = 1,$B2051-Start_Date,$B2051-$B2050),"")</f>
        <v>1.2024826392007526E-2</v>
      </c>
      <c r="H2051" s="29">
        <f>IF($B$2,IF(ROWS(B$6:$B2051) = 1,IF(COUNTIFS(R_Schedule_Times,"&lt;"&amp;B2051),INDEX(R_Schedule_Amounts,MATCH(B2051,R_Schedule_Times,1)),Starting_Cash),IF(COUNTIFS(R_Schedule_Times,"&gt;"&amp;B2050,R_Schedule_Times,"&lt;"&amp;B2051),INDEX(R_Schedule_Amounts,MATCH(B2051,R_Schedule_Times,1)),K2050)),"")</f>
        <v>9160</v>
      </c>
      <c r="I2051" s="30">
        <f t="shared" si="155"/>
        <v>100</v>
      </c>
      <c r="J2051" s="31">
        <f t="shared" si="156"/>
        <v>0</v>
      </c>
      <c r="K2051" s="29">
        <f t="shared" si="157"/>
        <v>9060</v>
      </c>
      <c r="L2051" s="31" t="str">
        <f t="shared" si="158"/>
        <v/>
      </c>
      <c r="M2051" s="31" t="str">
        <f t="shared" si="159"/>
        <v/>
      </c>
    </row>
    <row r="2052" spans="1:13" x14ac:dyDescent="0.15">
      <c r="A2052" s="163" t="s">
        <v>210</v>
      </c>
      <c r="B2052" s="163">
        <v>42329.422708078702</v>
      </c>
      <c r="C2052" s="164" t="s">
        <v>1950</v>
      </c>
      <c r="D2052" s="164" t="s">
        <v>13</v>
      </c>
      <c r="E2052" s="165">
        <v>500</v>
      </c>
      <c r="F2052" s="166">
        <v>0</v>
      </c>
      <c r="G2052" s="227">
        <f>IF($B$2,IF(ROWS(B$6:$B2052) = 1,$B2052-Start_Date,$B2052-$B2051),"")</f>
        <v>6.8629629604401998E-3</v>
      </c>
      <c r="H2052" s="29">
        <f>IF($B$2,IF(ROWS(B$6:$B2052) = 1,IF(COUNTIFS(R_Schedule_Times,"&lt;"&amp;B2052),INDEX(R_Schedule_Amounts,MATCH(B2052,R_Schedule_Times,1)),Starting_Cash),IF(COUNTIFS(R_Schedule_Times,"&gt;"&amp;B2051,R_Schedule_Times,"&lt;"&amp;B2052),INDEX(R_Schedule_Amounts,MATCH(B2052,R_Schedule_Times,1)),K2051)),"")</f>
        <v>9060</v>
      </c>
      <c r="I2052" s="30">
        <f t="shared" si="155"/>
        <v>500</v>
      </c>
      <c r="J2052" s="31">
        <f t="shared" si="156"/>
        <v>0</v>
      </c>
      <c r="K2052" s="29">
        <f t="shared" si="157"/>
        <v>8560</v>
      </c>
      <c r="L2052" s="31" t="str">
        <f t="shared" si="158"/>
        <v/>
      </c>
      <c r="M2052" s="31" t="str">
        <f t="shared" si="159"/>
        <v/>
      </c>
    </row>
    <row r="2053" spans="1:13" x14ac:dyDescent="0.15">
      <c r="A2053" s="163" t="s">
        <v>210</v>
      </c>
      <c r="B2053" s="163">
        <v>42329.423534733796</v>
      </c>
      <c r="C2053" s="164" t="s">
        <v>1951</v>
      </c>
      <c r="D2053" s="164" t="s">
        <v>13</v>
      </c>
      <c r="E2053" s="165">
        <v>200</v>
      </c>
      <c r="F2053" s="166">
        <v>0</v>
      </c>
      <c r="G2053" s="227">
        <f>IF($B$2,IF(ROWS(B$6:$B2053) = 1,$B2053-Start_Date,$B2053-$B2052),"")</f>
        <v>8.2665509398793802E-4</v>
      </c>
      <c r="H2053" s="29">
        <f>IF($B$2,IF(ROWS(B$6:$B2053) = 1,IF(COUNTIFS(R_Schedule_Times,"&lt;"&amp;B2053),INDEX(R_Schedule_Amounts,MATCH(B2053,R_Schedule_Times,1)),Starting_Cash),IF(COUNTIFS(R_Schedule_Times,"&gt;"&amp;B2052,R_Schedule_Times,"&lt;"&amp;B2053),INDEX(R_Schedule_Amounts,MATCH(B2053,R_Schedule_Times,1)),K2052)),"")</f>
        <v>8560</v>
      </c>
      <c r="I2053" s="30">
        <f t="shared" si="155"/>
        <v>200</v>
      </c>
      <c r="J2053" s="31">
        <f t="shared" si="156"/>
        <v>0</v>
      </c>
      <c r="K2053" s="29">
        <f t="shared" si="157"/>
        <v>8360</v>
      </c>
      <c r="L2053" s="31" t="str">
        <f t="shared" si="158"/>
        <v/>
      </c>
      <c r="M2053" s="31" t="str">
        <f t="shared" si="159"/>
        <v/>
      </c>
    </row>
    <row r="2054" spans="1:13" x14ac:dyDescent="0.15">
      <c r="A2054" s="163" t="s">
        <v>210</v>
      </c>
      <c r="B2054" s="163">
        <v>42329.441011041665</v>
      </c>
      <c r="C2054" s="164" t="s">
        <v>1952</v>
      </c>
      <c r="D2054" s="164" t="s">
        <v>13</v>
      </c>
      <c r="E2054" s="165">
        <v>40</v>
      </c>
      <c r="F2054" s="166">
        <v>0</v>
      </c>
      <c r="G2054" s="227">
        <f>IF($B$2,IF(ROWS(B$6:$B2054) = 1,$B2054-Start_Date,$B2054-$B2053),"")</f>
        <v>1.7476307868491858E-2</v>
      </c>
      <c r="H2054" s="29">
        <f>IF($B$2,IF(ROWS(B$6:$B2054) = 1,IF(COUNTIFS(R_Schedule_Times,"&lt;"&amp;B2054),INDEX(R_Schedule_Amounts,MATCH(B2054,R_Schedule_Times,1)),Starting_Cash),IF(COUNTIFS(R_Schedule_Times,"&gt;"&amp;B2053,R_Schedule_Times,"&lt;"&amp;B2054),INDEX(R_Schedule_Amounts,MATCH(B2054,R_Schedule_Times,1)),K2053)),"")</f>
        <v>8360</v>
      </c>
      <c r="I2054" s="30">
        <f t="shared" si="155"/>
        <v>40</v>
      </c>
      <c r="J2054" s="31">
        <f t="shared" si="156"/>
        <v>0</v>
      </c>
      <c r="K2054" s="29">
        <f t="shared" si="157"/>
        <v>8320</v>
      </c>
      <c r="L2054" s="31" t="str">
        <f t="shared" si="158"/>
        <v/>
      </c>
      <c r="M2054" s="31" t="str">
        <f t="shared" si="159"/>
        <v/>
      </c>
    </row>
    <row r="2055" spans="1:13" x14ac:dyDescent="0.15">
      <c r="A2055" s="163" t="s">
        <v>210</v>
      </c>
      <c r="B2055" s="163">
        <v>42329.451709687499</v>
      </c>
      <c r="C2055" s="164" t="s">
        <v>1953</v>
      </c>
      <c r="D2055" s="164" t="s">
        <v>13</v>
      </c>
      <c r="E2055" s="165">
        <v>40</v>
      </c>
      <c r="F2055" s="166">
        <v>0</v>
      </c>
      <c r="G2055" s="227">
        <f>IF($B$2,IF(ROWS(B$6:$B2055) = 1,$B2055-Start_Date,$B2055-$B2054),"")</f>
        <v>1.0698645834054332E-2</v>
      </c>
      <c r="H2055" s="29">
        <f>IF($B$2,IF(ROWS(B$6:$B2055) = 1,IF(COUNTIFS(R_Schedule_Times,"&lt;"&amp;B2055),INDEX(R_Schedule_Amounts,MATCH(B2055,R_Schedule_Times,1)),Starting_Cash),IF(COUNTIFS(R_Schedule_Times,"&gt;"&amp;B2054,R_Schedule_Times,"&lt;"&amp;B2055),INDEX(R_Schedule_Amounts,MATCH(B2055,R_Schedule_Times,1)),K2054)),"")</f>
        <v>8320</v>
      </c>
      <c r="I2055" s="30">
        <f t="shared" ref="I2055:I2118" si="160">IF($B$2,IF(H2055&gt;=E2055,E2055,0),"")</f>
        <v>40</v>
      </c>
      <c r="J2055" s="31">
        <f t="shared" ref="J2055:J2118" si="161">IF($B$2,IF(H2055&gt;=E2055,F2055,0),"")</f>
        <v>0</v>
      </c>
      <c r="K2055" s="29">
        <f t="shared" ref="K2055:K2118" si="162">IF($B$2,ABS(I2055-H2055),"")</f>
        <v>8280</v>
      </c>
      <c r="L2055" s="31" t="str">
        <f t="shared" ref="L2055:L2118" si="163">IF($B$2,IF(H2055&lt;E2055,"YES",""),"")</f>
        <v/>
      </c>
      <c r="M2055" s="31" t="str">
        <f t="shared" ref="M2055:M2118" si="164">IF($B$2,IF(L2055="YES",F2055,""),"")</f>
        <v/>
      </c>
    </row>
    <row r="2056" spans="1:13" x14ac:dyDescent="0.15">
      <c r="A2056" s="163" t="s">
        <v>210</v>
      </c>
      <c r="B2056" s="163">
        <v>42329.455583009258</v>
      </c>
      <c r="C2056" s="164" t="s">
        <v>1482</v>
      </c>
      <c r="D2056" s="164" t="s">
        <v>13</v>
      </c>
      <c r="E2056" s="165">
        <v>360</v>
      </c>
      <c r="F2056" s="166">
        <v>0</v>
      </c>
      <c r="G2056" s="227">
        <f>IF($B$2,IF(ROWS(B$6:$B2056) = 1,$B2056-Start_Date,$B2056-$B2055),"")</f>
        <v>3.8733217588742264E-3</v>
      </c>
      <c r="H2056" s="29">
        <f>IF($B$2,IF(ROWS(B$6:$B2056) = 1,IF(COUNTIFS(R_Schedule_Times,"&lt;"&amp;B2056),INDEX(R_Schedule_Amounts,MATCH(B2056,R_Schedule_Times,1)),Starting_Cash),IF(COUNTIFS(R_Schedule_Times,"&gt;"&amp;B2055,R_Schedule_Times,"&lt;"&amp;B2056),INDEX(R_Schedule_Amounts,MATCH(B2056,R_Schedule_Times,1)),K2055)),"")</f>
        <v>8280</v>
      </c>
      <c r="I2056" s="30">
        <f t="shared" si="160"/>
        <v>360</v>
      </c>
      <c r="J2056" s="31">
        <f t="shared" si="161"/>
        <v>0</v>
      </c>
      <c r="K2056" s="29">
        <f t="shared" si="162"/>
        <v>7920</v>
      </c>
      <c r="L2056" s="31" t="str">
        <f t="shared" si="163"/>
        <v/>
      </c>
      <c r="M2056" s="31" t="str">
        <f t="shared" si="164"/>
        <v/>
      </c>
    </row>
    <row r="2057" spans="1:13" x14ac:dyDescent="0.15">
      <c r="A2057" s="163" t="s">
        <v>210</v>
      </c>
      <c r="B2057" s="163">
        <v>42329.467839513891</v>
      </c>
      <c r="C2057" s="164" t="s">
        <v>171</v>
      </c>
      <c r="D2057" s="164" t="s">
        <v>13</v>
      </c>
      <c r="E2057" s="165">
        <v>40</v>
      </c>
      <c r="F2057" s="166">
        <v>0</v>
      </c>
      <c r="G2057" s="227">
        <f>IF($B$2,IF(ROWS(B$6:$B2057) = 1,$B2057-Start_Date,$B2057-$B2056),"")</f>
        <v>1.2256504633114673E-2</v>
      </c>
      <c r="H2057" s="29">
        <f>IF($B$2,IF(ROWS(B$6:$B2057) = 1,IF(COUNTIFS(R_Schedule_Times,"&lt;"&amp;B2057),INDEX(R_Schedule_Amounts,MATCH(B2057,R_Schedule_Times,1)),Starting_Cash),IF(COUNTIFS(R_Schedule_Times,"&gt;"&amp;B2056,R_Schedule_Times,"&lt;"&amp;B2057),INDEX(R_Schedule_Amounts,MATCH(B2057,R_Schedule_Times,1)),K2056)),"")</f>
        <v>7920</v>
      </c>
      <c r="I2057" s="30">
        <f t="shared" si="160"/>
        <v>40</v>
      </c>
      <c r="J2057" s="31">
        <f t="shared" si="161"/>
        <v>0</v>
      </c>
      <c r="K2057" s="29">
        <f t="shared" si="162"/>
        <v>7880</v>
      </c>
      <c r="L2057" s="31" t="str">
        <f t="shared" si="163"/>
        <v/>
      </c>
      <c r="M2057" s="31" t="str">
        <f t="shared" si="164"/>
        <v/>
      </c>
    </row>
    <row r="2058" spans="1:13" x14ac:dyDescent="0.15">
      <c r="A2058" s="163" t="s">
        <v>210</v>
      </c>
      <c r="B2058" s="163">
        <v>42329.472228495368</v>
      </c>
      <c r="C2058" s="164" t="s">
        <v>658</v>
      </c>
      <c r="D2058" s="164" t="s">
        <v>13</v>
      </c>
      <c r="E2058" s="165">
        <v>80</v>
      </c>
      <c r="F2058" s="166">
        <v>0</v>
      </c>
      <c r="G2058" s="227">
        <f>IF($B$2,IF(ROWS(B$6:$B2058) = 1,$B2058-Start_Date,$B2058-$B2057),"")</f>
        <v>4.3889814769499935E-3</v>
      </c>
      <c r="H2058" s="29">
        <f>IF($B$2,IF(ROWS(B$6:$B2058) = 1,IF(COUNTIFS(R_Schedule_Times,"&lt;"&amp;B2058),INDEX(R_Schedule_Amounts,MATCH(B2058,R_Schedule_Times,1)),Starting_Cash),IF(COUNTIFS(R_Schedule_Times,"&gt;"&amp;B2057,R_Schedule_Times,"&lt;"&amp;B2058),INDEX(R_Schedule_Amounts,MATCH(B2058,R_Schedule_Times,1)),K2057)),"")</f>
        <v>7880</v>
      </c>
      <c r="I2058" s="30">
        <f t="shared" si="160"/>
        <v>80</v>
      </c>
      <c r="J2058" s="31">
        <f t="shared" si="161"/>
        <v>0</v>
      </c>
      <c r="K2058" s="29">
        <f t="shared" si="162"/>
        <v>7800</v>
      </c>
      <c r="L2058" s="31" t="str">
        <f t="shared" si="163"/>
        <v/>
      </c>
      <c r="M2058" s="31" t="str">
        <f t="shared" si="164"/>
        <v/>
      </c>
    </row>
    <row r="2059" spans="1:13" x14ac:dyDescent="0.15">
      <c r="A2059" s="163" t="s">
        <v>210</v>
      </c>
      <c r="B2059" s="163">
        <v>42329.48498898148</v>
      </c>
      <c r="C2059" s="164" t="s">
        <v>295</v>
      </c>
      <c r="D2059" s="164" t="s">
        <v>13</v>
      </c>
      <c r="E2059" s="165">
        <v>40</v>
      </c>
      <c r="F2059" s="166">
        <v>0</v>
      </c>
      <c r="G2059" s="227">
        <f>IF($B$2,IF(ROWS(B$6:$B2059) = 1,$B2059-Start_Date,$B2059-$B2058),"")</f>
        <v>1.2760486111801583E-2</v>
      </c>
      <c r="H2059" s="29">
        <f>IF($B$2,IF(ROWS(B$6:$B2059) = 1,IF(COUNTIFS(R_Schedule_Times,"&lt;"&amp;B2059),INDEX(R_Schedule_Amounts,MATCH(B2059,R_Schedule_Times,1)),Starting_Cash),IF(COUNTIFS(R_Schedule_Times,"&gt;"&amp;B2058,R_Schedule_Times,"&lt;"&amp;B2059),INDEX(R_Schedule_Amounts,MATCH(B2059,R_Schedule_Times,1)),K2058)),"")</f>
        <v>7800</v>
      </c>
      <c r="I2059" s="30">
        <f t="shared" si="160"/>
        <v>40</v>
      </c>
      <c r="J2059" s="31">
        <f t="shared" si="161"/>
        <v>0</v>
      </c>
      <c r="K2059" s="29">
        <f t="shared" si="162"/>
        <v>7760</v>
      </c>
      <c r="L2059" s="31" t="str">
        <f t="shared" si="163"/>
        <v/>
      </c>
      <c r="M2059" s="31" t="str">
        <f t="shared" si="164"/>
        <v/>
      </c>
    </row>
    <row r="2060" spans="1:13" x14ac:dyDescent="0.15">
      <c r="A2060" s="163" t="s">
        <v>210</v>
      </c>
      <c r="B2060" s="163">
        <v>42329.499717962964</v>
      </c>
      <c r="C2060" s="164" t="s">
        <v>1114</v>
      </c>
      <c r="D2060" s="164" t="s">
        <v>13</v>
      </c>
      <c r="E2060" s="165">
        <v>100</v>
      </c>
      <c r="F2060" s="166">
        <v>0</v>
      </c>
      <c r="G2060" s="227">
        <f>IF($B$2,IF(ROWS(B$6:$B2060) = 1,$B2060-Start_Date,$B2060-$B2059),"")</f>
        <v>1.4728981484950054E-2</v>
      </c>
      <c r="H2060" s="29">
        <f>IF($B$2,IF(ROWS(B$6:$B2060) = 1,IF(COUNTIFS(R_Schedule_Times,"&lt;"&amp;B2060),INDEX(R_Schedule_Amounts,MATCH(B2060,R_Schedule_Times,1)),Starting_Cash),IF(COUNTIFS(R_Schedule_Times,"&gt;"&amp;B2059,R_Schedule_Times,"&lt;"&amp;B2060),INDEX(R_Schedule_Amounts,MATCH(B2060,R_Schedule_Times,1)),K2059)),"")</f>
        <v>7760</v>
      </c>
      <c r="I2060" s="30">
        <f t="shared" si="160"/>
        <v>100</v>
      </c>
      <c r="J2060" s="31">
        <f t="shared" si="161"/>
        <v>0</v>
      </c>
      <c r="K2060" s="29">
        <f t="shared" si="162"/>
        <v>7660</v>
      </c>
      <c r="L2060" s="31" t="str">
        <f t="shared" si="163"/>
        <v/>
      </c>
      <c r="M2060" s="31" t="str">
        <f t="shared" si="164"/>
        <v/>
      </c>
    </row>
    <row r="2061" spans="1:13" x14ac:dyDescent="0.15">
      <c r="A2061" s="163" t="s">
        <v>210</v>
      </c>
      <c r="B2061" s="163">
        <v>42329.522623923614</v>
      </c>
      <c r="C2061" s="164" t="s">
        <v>1618</v>
      </c>
      <c r="D2061" s="164" t="s">
        <v>15</v>
      </c>
      <c r="E2061" s="165">
        <v>200</v>
      </c>
      <c r="F2061" s="166">
        <v>6</v>
      </c>
      <c r="G2061" s="227">
        <f>IF($B$2,IF(ROWS(B$6:$B2061) = 1,$B2061-Start_Date,$B2061-$B2060),"")</f>
        <v>2.290596064995043E-2</v>
      </c>
      <c r="H2061" s="29">
        <f>IF($B$2,IF(ROWS(B$6:$B2061) = 1,IF(COUNTIFS(R_Schedule_Times,"&lt;"&amp;B2061),INDEX(R_Schedule_Amounts,MATCH(B2061,R_Schedule_Times,1)),Starting_Cash),IF(COUNTIFS(R_Schedule_Times,"&gt;"&amp;B2060,R_Schedule_Times,"&lt;"&amp;B2061),INDEX(R_Schedule_Amounts,MATCH(B2061,R_Schedule_Times,1)),K2060)),"")</f>
        <v>7660</v>
      </c>
      <c r="I2061" s="30">
        <f t="shared" si="160"/>
        <v>200</v>
      </c>
      <c r="J2061" s="31">
        <f t="shared" si="161"/>
        <v>6</v>
      </c>
      <c r="K2061" s="29">
        <f t="shared" si="162"/>
        <v>7460</v>
      </c>
      <c r="L2061" s="31" t="str">
        <f t="shared" si="163"/>
        <v/>
      </c>
      <c r="M2061" s="31" t="str">
        <f t="shared" si="164"/>
        <v/>
      </c>
    </row>
    <row r="2062" spans="1:13" x14ac:dyDescent="0.15">
      <c r="A2062" s="163" t="s">
        <v>210</v>
      </c>
      <c r="B2062" s="163">
        <v>42329.539085682867</v>
      </c>
      <c r="C2062" s="164" t="s">
        <v>1954</v>
      </c>
      <c r="D2062" s="164" t="s">
        <v>13</v>
      </c>
      <c r="E2062" s="165">
        <v>100</v>
      </c>
      <c r="F2062" s="166">
        <v>0</v>
      </c>
      <c r="G2062" s="227">
        <f>IF($B$2,IF(ROWS(B$6:$B2062) = 1,$B2062-Start_Date,$B2062-$B2061),"")</f>
        <v>1.6461759252706543E-2</v>
      </c>
      <c r="H2062" s="29">
        <f>IF($B$2,IF(ROWS(B$6:$B2062) = 1,IF(COUNTIFS(R_Schedule_Times,"&lt;"&amp;B2062),INDEX(R_Schedule_Amounts,MATCH(B2062,R_Schedule_Times,1)),Starting_Cash),IF(COUNTIFS(R_Schedule_Times,"&gt;"&amp;B2061,R_Schedule_Times,"&lt;"&amp;B2062),INDEX(R_Schedule_Amounts,MATCH(B2062,R_Schedule_Times,1)),K2061)),"")</f>
        <v>7460</v>
      </c>
      <c r="I2062" s="30">
        <f t="shared" si="160"/>
        <v>100</v>
      </c>
      <c r="J2062" s="31">
        <f t="shared" si="161"/>
        <v>0</v>
      </c>
      <c r="K2062" s="29">
        <f t="shared" si="162"/>
        <v>7360</v>
      </c>
      <c r="L2062" s="31" t="str">
        <f t="shared" si="163"/>
        <v/>
      </c>
      <c r="M2062" s="31" t="str">
        <f t="shared" si="164"/>
        <v/>
      </c>
    </row>
    <row r="2063" spans="1:13" x14ac:dyDescent="0.15">
      <c r="A2063" s="163" t="s">
        <v>210</v>
      </c>
      <c r="B2063" s="163">
        <v>42329.540550972219</v>
      </c>
      <c r="C2063" s="164" t="s">
        <v>118</v>
      </c>
      <c r="D2063" s="164" t="s">
        <v>13</v>
      </c>
      <c r="E2063" s="165">
        <v>40</v>
      </c>
      <c r="F2063" s="166">
        <v>0</v>
      </c>
      <c r="G2063" s="227">
        <f>IF($B$2,IF(ROWS(B$6:$B2063) = 1,$B2063-Start_Date,$B2063-$B2062),"")</f>
        <v>1.4652893514721654E-3</v>
      </c>
      <c r="H2063" s="29">
        <f>IF($B$2,IF(ROWS(B$6:$B2063) = 1,IF(COUNTIFS(R_Schedule_Times,"&lt;"&amp;B2063),INDEX(R_Schedule_Amounts,MATCH(B2063,R_Schedule_Times,1)),Starting_Cash),IF(COUNTIFS(R_Schedule_Times,"&gt;"&amp;B2062,R_Schedule_Times,"&lt;"&amp;B2063),INDEX(R_Schedule_Amounts,MATCH(B2063,R_Schedule_Times,1)),K2062)),"")</f>
        <v>7360</v>
      </c>
      <c r="I2063" s="30">
        <f t="shared" si="160"/>
        <v>40</v>
      </c>
      <c r="J2063" s="31">
        <f t="shared" si="161"/>
        <v>0</v>
      </c>
      <c r="K2063" s="29">
        <f t="shared" si="162"/>
        <v>7320</v>
      </c>
      <c r="L2063" s="31" t="str">
        <f t="shared" si="163"/>
        <v/>
      </c>
      <c r="M2063" s="31" t="str">
        <f t="shared" si="164"/>
        <v/>
      </c>
    </row>
    <row r="2064" spans="1:13" x14ac:dyDescent="0.15">
      <c r="A2064" s="163" t="s">
        <v>210</v>
      </c>
      <c r="B2064" s="163">
        <v>42329.541453113423</v>
      </c>
      <c r="C2064" s="164" t="s">
        <v>1955</v>
      </c>
      <c r="D2064" s="164" t="s">
        <v>13</v>
      </c>
      <c r="E2064" s="165">
        <v>40</v>
      </c>
      <c r="F2064" s="166">
        <v>0</v>
      </c>
      <c r="G2064" s="227">
        <f>IF($B$2,IF(ROWS(B$6:$B2064) = 1,$B2064-Start_Date,$B2064-$B2063),"")</f>
        <v>9.0214120427845046E-4</v>
      </c>
      <c r="H2064" s="29">
        <f>IF($B$2,IF(ROWS(B$6:$B2064) = 1,IF(COUNTIFS(R_Schedule_Times,"&lt;"&amp;B2064),INDEX(R_Schedule_Amounts,MATCH(B2064,R_Schedule_Times,1)),Starting_Cash),IF(COUNTIFS(R_Schedule_Times,"&gt;"&amp;B2063,R_Schedule_Times,"&lt;"&amp;B2064),INDEX(R_Schedule_Amounts,MATCH(B2064,R_Schedule_Times,1)),K2063)),"")</f>
        <v>7320</v>
      </c>
      <c r="I2064" s="30">
        <f t="shared" si="160"/>
        <v>40</v>
      </c>
      <c r="J2064" s="31">
        <f t="shared" si="161"/>
        <v>0</v>
      </c>
      <c r="K2064" s="29">
        <f t="shared" si="162"/>
        <v>7280</v>
      </c>
      <c r="L2064" s="31" t="str">
        <f t="shared" si="163"/>
        <v/>
      </c>
      <c r="M2064" s="31" t="str">
        <f t="shared" si="164"/>
        <v/>
      </c>
    </row>
    <row r="2065" spans="1:13" x14ac:dyDescent="0.15">
      <c r="A2065" s="163" t="s">
        <v>210</v>
      </c>
      <c r="B2065" s="163">
        <v>42329.565320636575</v>
      </c>
      <c r="C2065" s="164" t="s">
        <v>460</v>
      </c>
      <c r="D2065" s="164" t="s">
        <v>13</v>
      </c>
      <c r="E2065" s="165">
        <v>20</v>
      </c>
      <c r="F2065" s="166">
        <v>0</v>
      </c>
      <c r="G2065" s="227">
        <f>IF($B$2,IF(ROWS(B$6:$B2065) = 1,$B2065-Start_Date,$B2065-$B2064),"")</f>
        <v>2.3867523152148351E-2</v>
      </c>
      <c r="H2065" s="29">
        <f>IF($B$2,IF(ROWS(B$6:$B2065) = 1,IF(COUNTIFS(R_Schedule_Times,"&lt;"&amp;B2065),INDEX(R_Schedule_Amounts,MATCH(B2065,R_Schedule_Times,1)),Starting_Cash),IF(COUNTIFS(R_Schedule_Times,"&gt;"&amp;B2064,R_Schedule_Times,"&lt;"&amp;B2065),INDEX(R_Schedule_Amounts,MATCH(B2065,R_Schedule_Times,1)),K2064)),"")</f>
        <v>7280</v>
      </c>
      <c r="I2065" s="30">
        <f t="shared" si="160"/>
        <v>20</v>
      </c>
      <c r="J2065" s="31">
        <f t="shared" si="161"/>
        <v>0</v>
      </c>
      <c r="K2065" s="29">
        <f t="shared" si="162"/>
        <v>7260</v>
      </c>
      <c r="L2065" s="31" t="str">
        <f t="shared" si="163"/>
        <v/>
      </c>
      <c r="M2065" s="31" t="str">
        <f t="shared" si="164"/>
        <v/>
      </c>
    </row>
    <row r="2066" spans="1:13" x14ac:dyDescent="0.15">
      <c r="A2066" s="163" t="s">
        <v>210</v>
      </c>
      <c r="B2066" s="163">
        <v>42329.577451620367</v>
      </c>
      <c r="C2066" s="164" t="s">
        <v>1956</v>
      </c>
      <c r="D2066" s="164" t="s">
        <v>13</v>
      </c>
      <c r="E2066" s="165">
        <v>40</v>
      </c>
      <c r="F2066" s="166">
        <v>0</v>
      </c>
      <c r="G2066" s="227">
        <f>IF($B$2,IF(ROWS(B$6:$B2066) = 1,$B2066-Start_Date,$B2066-$B2065),"")</f>
        <v>1.2130983792303596E-2</v>
      </c>
      <c r="H2066" s="29">
        <f>IF($B$2,IF(ROWS(B$6:$B2066) = 1,IF(COUNTIFS(R_Schedule_Times,"&lt;"&amp;B2066),INDEX(R_Schedule_Amounts,MATCH(B2066,R_Schedule_Times,1)),Starting_Cash),IF(COUNTIFS(R_Schedule_Times,"&gt;"&amp;B2065,R_Schedule_Times,"&lt;"&amp;B2066),INDEX(R_Schedule_Amounts,MATCH(B2066,R_Schedule_Times,1)),K2065)),"")</f>
        <v>7260</v>
      </c>
      <c r="I2066" s="30">
        <f t="shared" si="160"/>
        <v>40</v>
      </c>
      <c r="J2066" s="31">
        <f t="shared" si="161"/>
        <v>0</v>
      </c>
      <c r="K2066" s="29">
        <f t="shared" si="162"/>
        <v>7220</v>
      </c>
      <c r="L2066" s="31" t="str">
        <f t="shared" si="163"/>
        <v/>
      </c>
      <c r="M2066" s="31" t="str">
        <f t="shared" si="164"/>
        <v/>
      </c>
    </row>
    <row r="2067" spans="1:13" x14ac:dyDescent="0.15">
      <c r="A2067" s="163" t="s">
        <v>210</v>
      </c>
      <c r="B2067" s="163">
        <v>42329.592820520833</v>
      </c>
      <c r="C2067" s="164" t="s">
        <v>1957</v>
      </c>
      <c r="D2067" s="164" t="s">
        <v>13</v>
      </c>
      <c r="E2067" s="165">
        <v>40</v>
      </c>
      <c r="F2067" s="166">
        <v>0</v>
      </c>
      <c r="G2067" s="227">
        <f>IF($B$2,IF(ROWS(B$6:$B2067) = 1,$B2067-Start_Date,$B2067-$B2066),"")</f>
        <v>1.5368900465546176E-2</v>
      </c>
      <c r="H2067" s="29">
        <f>IF($B$2,IF(ROWS(B$6:$B2067) = 1,IF(COUNTIFS(R_Schedule_Times,"&lt;"&amp;B2067),INDEX(R_Schedule_Amounts,MATCH(B2067,R_Schedule_Times,1)),Starting_Cash),IF(COUNTIFS(R_Schedule_Times,"&gt;"&amp;B2066,R_Schedule_Times,"&lt;"&amp;B2067),INDEX(R_Schedule_Amounts,MATCH(B2067,R_Schedule_Times,1)),K2066)),"")</f>
        <v>7220</v>
      </c>
      <c r="I2067" s="30">
        <f t="shared" si="160"/>
        <v>40</v>
      </c>
      <c r="J2067" s="31">
        <f t="shared" si="161"/>
        <v>0</v>
      </c>
      <c r="K2067" s="29">
        <f t="shared" si="162"/>
        <v>7180</v>
      </c>
      <c r="L2067" s="31" t="str">
        <f t="shared" si="163"/>
        <v/>
      </c>
      <c r="M2067" s="31" t="str">
        <f t="shared" si="164"/>
        <v/>
      </c>
    </row>
    <row r="2068" spans="1:13" x14ac:dyDescent="0.15">
      <c r="A2068" s="163" t="s">
        <v>210</v>
      </c>
      <c r="B2068" s="163">
        <v>42329.601260289353</v>
      </c>
      <c r="C2068" s="164" t="s">
        <v>1386</v>
      </c>
      <c r="D2068" s="164" t="s">
        <v>13</v>
      </c>
      <c r="E2068" s="165">
        <v>100</v>
      </c>
      <c r="F2068" s="166">
        <v>0</v>
      </c>
      <c r="G2068" s="227">
        <f>IF($B$2,IF(ROWS(B$6:$B2068) = 1,$B2068-Start_Date,$B2068-$B2067),"")</f>
        <v>8.4397685204748996E-3</v>
      </c>
      <c r="H2068" s="29">
        <f>IF($B$2,IF(ROWS(B$6:$B2068) = 1,IF(COUNTIFS(R_Schedule_Times,"&lt;"&amp;B2068),INDEX(R_Schedule_Amounts,MATCH(B2068,R_Schedule_Times,1)),Starting_Cash),IF(COUNTIFS(R_Schedule_Times,"&gt;"&amp;B2067,R_Schedule_Times,"&lt;"&amp;B2068),INDEX(R_Schedule_Amounts,MATCH(B2068,R_Schedule_Times,1)),K2067)),"")</f>
        <v>7180</v>
      </c>
      <c r="I2068" s="30">
        <f t="shared" si="160"/>
        <v>100</v>
      </c>
      <c r="J2068" s="31">
        <f t="shared" si="161"/>
        <v>0</v>
      </c>
      <c r="K2068" s="29">
        <f t="shared" si="162"/>
        <v>7080</v>
      </c>
      <c r="L2068" s="31" t="str">
        <f t="shared" si="163"/>
        <v/>
      </c>
      <c r="M2068" s="31" t="str">
        <f t="shared" si="164"/>
        <v/>
      </c>
    </row>
    <row r="2069" spans="1:13" x14ac:dyDescent="0.15">
      <c r="A2069" s="163" t="s">
        <v>210</v>
      </c>
      <c r="B2069" s="163">
        <v>42329.610208634258</v>
      </c>
      <c r="C2069" s="164" t="s">
        <v>1958</v>
      </c>
      <c r="D2069" s="164" t="s">
        <v>13</v>
      </c>
      <c r="E2069" s="165">
        <v>80</v>
      </c>
      <c r="F2069" s="166">
        <v>0</v>
      </c>
      <c r="G2069" s="227">
        <f>IF($B$2,IF(ROWS(B$6:$B2069) = 1,$B2069-Start_Date,$B2069-$B2068),"")</f>
        <v>8.9483449046383612E-3</v>
      </c>
      <c r="H2069" s="29">
        <f>IF($B$2,IF(ROWS(B$6:$B2069) = 1,IF(COUNTIFS(R_Schedule_Times,"&lt;"&amp;B2069),INDEX(R_Schedule_Amounts,MATCH(B2069,R_Schedule_Times,1)),Starting_Cash),IF(COUNTIFS(R_Schedule_Times,"&gt;"&amp;B2068,R_Schedule_Times,"&lt;"&amp;B2069),INDEX(R_Schedule_Amounts,MATCH(B2069,R_Schedule_Times,1)),K2068)),"")</f>
        <v>7080</v>
      </c>
      <c r="I2069" s="30">
        <f t="shared" si="160"/>
        <v>80</v>
      </c>
      <c r="J2069" s="31">
        <f t="shared" si="161"/>
        <v>0</v>
      </c>
      <c r="K2069" s="29">
        <f t="shared" si="162"/>
        <v>7000</v>
      </c>
      <c r="L2069" s="31" t="str">
        <f t="shared" si="163"/>
        <v/>
      </c>
      <c r="M2069" s="31" t="str">
        <f t="shared" si="164"/>
        <v/>
      </c>
    </row>
    <row r="2070" spans="1:13" x14ac:dyDescent="0.15">
      <c r="A2070" s="163" t="s">
        <v>210</v>
      </c>
      <c r="B2070" s="163">
        <v>42329.630458136577</v>
      </c>
      <c r="C2070" s="164" t="s">
        <v>461</v>
      </c>
      <c r="D2070" s="164" t="s">
        <v>13</v>
      </c>
      <c r="E2070" s="165">
        <v>100</v>
      </c>
      <c r="F2070" s="166">
        <v>0</v>
      </c>
      <c r="G2070" s="227">
        <f>IF($B$2,IF(ROWS(B$6:$B2070) = 1,$B2070-Start_Date,$B2070-$B2069),"")</f>
        <v>2.0249502318620216E-2</v>
      </c>
      <c r="H2070" s="29">
        <f>IF($B$2,IF(ROWS(B$6:$B2070) = 1,IF(COUNTIFS(R_Schedule_Times,"&lt;"&amp;B2070),INDEX(R_Schedule_Amounts,MATCH(B2070,R_Schedule_Times,1)),Starting_Cash),IF(COUNTIFS(R_Schedule_Times,"&gt;"&amp;B2069,R_Schedule_Times,"&lt;"&amp;B2070),INDEX(R_Schedule_Amounts,MATCH(B2070,R_Schedule_Times,1)),K2069)),"")</f>
        <v>7000</v>
      </c>
      <c r="I2070" s="30">
        <f t="shared" si="160"/>
        <v>100</v>
      </c>
      <c r="J2070" s="31">
        <f t="shared" si="161"/>
        <v>0</v>
      </c>
      <c r="K2070" s="29">
        <f t="shared" si="162"/>
        <v>6900</v>
      </c>
      <c r="L2070" s="31" t="str">
        <f t="shared" si="163"/>
        <v/>
      </c>
      <c r="M2070" s="31" t="str">
        <f t="shared" si="164"/>
        <v/>
      </c>
    </row>
    <row r="2071" spans="1:13" x14ac:dyDescent="0.15">
      <c r="A2071" s="163" t="s">
        <v>210</v>
      </c>
      <c r="B2071" s="163">
        <v>42329.63128090278</v>
      </c>
      <c r="C2071" s="164" t="s">
        <v>805</v>
      </c>
      <c r="D2071" s="164" t="s">
        <v>13</v>
      </c>
      <c r="E2071" s="165">
        <v>100</v>
      </c>
      <c r="F2071" s="166">
        <v>0</v>
      </c>
      <c r="G2071" s="227">
        <f>IF($B$2,IF(ROWS(B$6:$B2071) = 1,$B2071-Start_Date,$B2071-$B2070),"")</f>
        <v>8.2276620378252119E-4</v>
      </c>
      <c r="H2071" s="29">
        <f>IF($B$2,IF(ROWS(B$6:$B2071) = 1,IF(COUNTIFS(R_Schedule_Times,"&lt;"&amp;B2071),INDEX(R_Schedule_Amounts,MATCH(B2071,R_Schedule_Times,1)),Starting_Cash),IF(COUNTIFS(R_Schedule_Times,"&gt;"&amp;B2070,R_Schedule_Times,"&lt;"&amp;B2071),INDEX(R_Schedule_Amounts,MATCH(B2071,R_Schedule_Times,1)),K2070)),"")</f>
        <v>6900</v>
      </c>
      <c r="I2071" s="30">
        <f t="shared" si="160"/>
        <v>100</v>
      </c>
      <c r="J2071" s="31">
        <f t="shared" si="161"/>
        <v>0</v>
      </c>
      <c r="K2071" s="29">
        <f t="shared" si="162"/>
        <v>6800</v>
      </c>
      <c r="L2071" s="31" t="str">
        <f t="shared" si="163"/>
        <v/>
      </c>
      <c r="M2071" s="31" t="str">
        <f t="shared" si="164"/>
        <v/>
      </c>
    </row>
    <row r="2072" spans="1:13" x14ac:dyDescent="0.15">
      <c r="A2072" s="163" t="s">
        <v>210</v>
      </c>
      <c r="B2072" s="163">
        <v>42329.637939664353</v>
      </c>
      <c r="C2072" s="164" t="s">
        <v>1959</v>
      </c>
      <c r="D2072" s="164" t="s">
        <v>13</v>
      </c>
      <c r="E2072" s="165">
        <v>20</v>
      </c>
      <c r="F2072" s="166">
        <v>0</v>
      </c>
      <c r="G2072" s="227">
        <f>IF($B$2,IF(ROWS(B$6:$B2072) = 1,$B2072-Start_Date,$B2072-$B2071),"")</f>
        <v>6.6587615729076788E-3</v>
      </c>
      <c r="H2072" s="29">
        <f>IF($B$2,IF(ROWS(B$6:$B2072) = 1,IF(COUNTIFS(R_Schedule_Times,"&lt;"&amp;B2072),INDEX(R_Schedule_Amounts,MATCH(B2072,R_Schedule_Times,1)),Starting_Cash),IF(COUNTIFS(R_Schedule_Times,"&gt;"&amp;B2071,R_Schedule_Times,"&lt;"&amp;B2072),INDEX(R_Schedule_Amounts,MATCH(B2072,R_Schedule_Times,1)),K2071)),"")</f>
        <v>6800</v>
      </c>
      <c r="I2072" s="30">
        <f t="shared" si="160"/>
        <v>20</v>
      </c>
      <c r="J2072" s="31">
        <f t="shared" si="161"/>
        <v>0</v>
      </c>
      <c r="K2072" s="29">
        <f t="shared" si="162"/>
        <v>6780</v>
      </c>
      <c r="L2072" s="31" t="str">
        <f t="shared" si="163"/>
        <v/>
      </c>
      <c r="M2072" s="31" t="str">
        <f t="shared" si="164"/>
        <v/>
      </c>
    </row>
    <row r="2073" spans="1:13" x14ac:dyDescent="0.15">
      <c r="A2073" s="163" t="s">
        <v>210</v>
      </c>
      <c r="B2073" s="163">
        <v>42329.641010057872</v>
      </c>
      <c r="C2073" s="164" t="s">
        <v>1960</v>
      </c>
      <c r="D2073" s="164" t="s">
        <v>13</v>
      </c>
      <c r="E2073" s="165">
        <v>60</v>
      </c>
      <c r="F2073" s="166">
        <v>0</v>
      </c>
      <c r="G2073" s="227">
        <f>IF($B$2,IF(ROWS(B$6:$B2073) = 1,$B2073-Start_Date,$B2073-$B2072),"")</f>
        <v>3.0703935190103948E-3</v>
      </c>
      <c r="H2073" s="29">
        <f>IF($B$2,IF(ROWS(B$6:$B2073) = 1,IF(COUNTIFS(R_Schedule_Times,"&lt;"&amp;B2073),INDEX(R_Schedule_Amounts,MATCH(B2073,R_Schedule_Times,1)),Starting_Cash),IF(COUNTIFS(R_Schedule_Times,"&gt;"&amp;B2072,R_Schedule_Times,"&lt;"&amp;B2073),INDEX(R_Schedule_Amounts,MATCH(B2073,R_Schedule_Times,1)),K2072)),"")</f>
        <v>6780</v>
      </c>
      <c r="I2073" s="30">
        <f t="shared" si="160"/>
        <v>60</v>
      </c>
      <c r="J2073" s="31">
        <f t="shared" si="161"/>
        <v>0</v>
      </c>
      <c r="K2073" s="29">
        <f t="shared" si="162"/>
        <v>6720</v>
      </c>
      <c r="L2073" s="31" t="str">
        <f t="shared" si="163"/>
        <v/>
      </c>
      <c r="M2073" s="31" t="str">
        <f t="shared" si="164"/>
        <v/>
      </c>
    </row>
    <row r="2074" spans="1:13" x14ac:dyDescent="0.15">
      <c r="A2074" s="163" t="s">
        <v>210</v>
      </c>
      <c r="B2074" s="163">
        <v>42329.645465231479</v>
      </c>
      <c r="C2074" s="164" t="s">
        <v>1961</v>
      </c>
      <c r="D2074" s="164" t="s">
        <v>13</v>
      </c>
      <c r="E2074" s="165">
        <v>20</v>
      </c>
      <c r="F2074" s="166">
        <v>0</v>
      </c>
      <c r="G2074" s="227">
        <f>IF($B$2,IF(ROWS(B$6:$B2074) = 1,$B2074-Start_Date,$B2074-$B2073),"")</f>
        <v>4.4551736064022407E-3</v>
      </c>
      <c r="H2074" s="29">
        <f>IF($B$2,IF(ROWS(B$6:$B2074) = 1,IF(COUNTIFS(R_Schedule_Times,"&lt;"&amp;B2074),INDEX(R_Schedule_Amounts,MATCH(B2074,R_Schedule_Times,1)),Starting_Cash),IF(COUNTIFS(R_Schedule_Times,"&gt;"&amp;B2073,R_Schedule_Times,"&lt;"&amp;B2074),INDEX(R_Schedule_Amounts,MATCH(B2074,R_Schedule_Times,1)),K2073)),"")</f>
        <v>6720</v>
      </c>
      <c r="I2074" s="30">
        <f t="shared" si="160"/>
        <v>20</v>
      </c>
      <c r="J2074" s="31">
        <f t="shared" si="161"/>
        <v>0</v>
      </c>
      <c r="K2074" s="29">
        <f t="shared" si="162"/>
        <v>6700</v>
      </c>
      <c r="L2074" s="31" t="str">
        <f t="shared" si="163"/>
        <v/>
      </c>
      <c r="M2074" s="31" t="str">
        <f t="shared" si="164"/>
        <v/>
      </c>
    </row>
    <row r="2075" spans="1:13" x14ac:dyDescent="0.15">
      <c r="A2075" s="163" t="s">
        <v>210</v>
      </c>
      <c r="B2075" s="163">
        <v>42329.654197662036</v>
      </c>
      <c r="C2075" s="164" t="s">
        <v>1962</v>
      </c>
      <c r="D2075" s="164" t="s">
        <v>13</v>
      </c>
      <c r="E2075" s="165">
        <v>500</v>
      </c>
      <c r="F2075" s="166">
        <v>0</v>
      </c>
      <c r="G2075" s="227">
        <f>IF($B$2,IF(ROWS(B$6:$B2075) = 1,$B2075-Start_Date,$B2075-$B2074),"")</f>
        <v>8.7324305568472482E-3</v>
      </c>
      <c r="H2075" s="29">
        <f>IF($B$2,IF(ROWS(B$6:$B2075) = 1,IF(COUNTIFS(R_Schedule_Times,"&lt;"&amp;B2075),INDEX(R_Schedule_Amounts,MATCH(B2075,R_Schedule_Times,1)),Starting_Cash),IF(COUNTIFS(R_Schedule_Times,"&gt;"&amp;B2074,R_Schedule_Times,"&lt;"&amp;B2075),INDEX(R_Schedule_Amounts,MATCH(B2075,R_Schedule_Times,1)),K2074)),"")</f>
        <v>6700</v>
      </c>
      <c r="I2075" s="30">
        <f t="shared" si="160"/>
        <v>500</v>
      </c>
      <c r="J2075" s="31">
        <f t="shared" si="161"/>
        <v>0</v>
      </c>
      <c r="K2075" s="29">
        <f t="shared" si="162"/>
        <v>6200</v>
      </c>
      <c r="L2075" s="31" t="str">
        <f t="shared" si="163"/>
        <v/>
      </c>
      <c r="M2075" s="31" t="str">
        <f t="shared" si="164"/>
        <v/>
      </c>
    </row>
    <row r="2076" spans="1:13" x14ac:dyDescent="0.15">
      <c r="A2076" s="163" t="s">
        <v>210</v>
      </c>
      <c r="B2076" s="163">
        <v>42329.696404803239</v>
      </c>
      <c r="C2076" s="164" t="s">
        <v>1963</v>
      </c>
      <c r="D2076" s="164" t="s">
        <v>13</v>
      </c>
      <c r="E2076" s="165">
        <v>60</v>
      </c>
      <c r="F2076" s="166">
        <v>0</v>
      </c>
      <c r="G2076" s="227">
        <f>IF($B$2,IF(ROWS(B$6:$B2076) = 1,$B2076-Start_Date,$B2076-$B2075),"")</f>
        <v>4.2207141203107312E-2</v>
      </c>
      <c r="H2076" s="29">
        <f>IF($B$2,IF(ROWS(B$6:$B2076) = 1,IF(COUNTIFS(R_Schedule_Times,"&lt;"&amp;B2076),INDEX(R_Schedule_Amounts,MATCH(B2076,R_Schedule_Times,1)),Starting_Cash),IF(COUNTIFS(R_Schedule_Times,"&gt;"&amp;B2075,R_Schedule_Times,"&lt;"&amp;B2076),INDEX(R_Schedule_Amounts,MATCH(B2076,R_Schedule_Times,1)),K2075)),"")</f>
        <v>6200</v>
      </c>
      <c r="I2076" s="30">
        <f t="shared" si="160"/>
        <v>60</v>
      </c>
      <c r="J2076" s="31">
        <f t="shared" si="161"/>
        <v>0</v>
      </c>
      <c r="K2076" s="29">
        <f t="shared" si="162"/>
        <v>6140</v>
      </c>
      <c r="L2076" s="31" t="str">
        <f t="shared" si="163"/>
        <v/>
      </c>
      <c r="M2076" s="31" t="str">
        <f t="shared" si="164"/>
        <v/>
      </c>
    </row>
    <row r="2077" spans="1:13" x14ac:dyDescent="0.15">
      <c r="A2077" s="163" t="s">
        <v>210</v>
      </c>
      <c r="B2077" s="163">
        <v>42329.702302372687</v>
      </c>
      <c r="C2077" s="164" t="s">
        <v>1964</v>
      </c>
      <c r="D2077" s="164" t="s">
        <v>13</v>
      </c>
      <c r="E2077" s="165">
        <v>100</v>
      </c>
      <c r="F2077" s="166">
        <v>0</v>
      </c>
      <c r="G2077" s="227">
        <f>IF($B$2,IF(ROWS(B$6:$B2077) = 1,$B2077-Start_Date,$B2077-$B2076),"")</f>
        <v>5.8975694482796825E-3</v>
      </c>
      <c r="H2077" s="29">
        <f>IF($B$2,IF(ROWS(B$6:$B2077) = 1,IF(COUNTIFS(R_Schedule_Times,"&lt;"&amp;B2077),INDEX(R_Schedule_Amounts,MATCH(B2077,R_Schedule_Times,1)),Starting_Cash),IF(COUNTIFS(R_Schedule_Times,"&gt;"&amp;B2076,R_Schedule_Times,"&lt;"&amp;B2077),INDEX(R_Schedule_Amounts,MATCH(B2077,R_Schedule_Times,1)),K2076)),"")</f>
        <v>6140</v>
      </c>
      <c r="I2077" s="30">
        <f t="shared" si="160"/>
        <v>100</v>
      </c>
      <c r="J2077" s="31">
        <f t="shared" si="161"/>
        <v>0</v>
      </c>
      <c r="K2077" s="29">
        <f t="shared" si="162"/>
        <v>6040</v>
      </c>
      <c r="L2077" s="31" t="str">
        <f t="shared" si="163"/>
        <v/>
      </c>
      <c r="M2077" s="31" t="str">
        <f t="shared" si="164"/>
        <v/>
      </c>
    </row>
    <row r="2078" spans="1:13" x14ac:dyDescent="0.15">
      <c r="A2078" s="163" t="s">
        <v>210</v>
      </c>
      <c r="B2078" s="163">
        <v>42329.705563877316</v>
      </c>
      <c r="C2078" s="164" t="s">
        <v>14</v>
      </c>
      <c r="D2078" s="164" t="s">
        <v>13</v>
      </c>
      <c r="E2078" s="165">
        <v>100</v>
      </c>
      <c r="F2078" s="166">
        <v>3.5</v>
      </c>
      <c r="G2078" s="227">
        <f>IF($B$2,IF(ROWS(B$6:$B2078) = 1,$B2078-Start_Date,$B2078-$B2077),"")</f>
        <v>3.2615046293358319E-3</v>
      </c>
      <c r="H2078" s="29">
        <f>IF($B$2,IF(ROWS(B$6:$B2078) = 1,IF(COUNTIFS(R_Schedule_Times,"&lt;"&amp;B2078),INDEX(R_Schedule_Amounts,MATCH(B2078,R_Schedule_Times,1)),Starting_Cash),IF(COUNTIFS(R_Schedule_Times,"&gt;"&amp;B2077,R_Schedule_Times,"&lt;"&amp;B2078),INDEX(R_Schedule_Amounts,MATCH(B2078,R_Schedule_Times,1)),K2077)),"")</f>
        <v>6040</v>
      </c>
      <c r="I2078" s="30">
        <f t="shared" si="160"/>
        <v>100</v>
      </c>
      <c r="J2078" s="31">
        <f t="shared" si="161"/>
        <v>3.5</v>
      </c>
      <c r="K2078" s="29">
        <f t="shared" si="162"/>
        <v>5940</v>
      </c>
      <c r="L2078" s="31" t="str">
        <f t="shared" si="163"/>
        <v/>
      </c>
      <c r="M2078" s="31" t="str">
        <f t="shared" si="164"/>
        <v/>
      </c>
    </row>
    <row r="2079" spans="1:13" x14ac:dyDescent="0.15">
      <c r="A2079" s="163" t="s">
        <v>210</v>
      </c>
      <c r="B2079" s="163">
        <v>42329.711131180557</v>
      </c>
      <c r="C2079" s="164" t="s">
        <v>1965</v>
      </c>
      <c r="D2079" s="164" t="s">
        <v>13</v>
      </c>
      <c r="E2079" s="165">
        <v>500</v>
      </c>
      <c r="F2079" s="166">
        <v>0</v>
      </c>
      <c r="G2079" s="227">
        <f>IF($B$2,IF(ROWS(B$6:$B2079) = 1,$B2079-Start_Date,$B2079-$B2078),"")</f>
        <v>5.5673032402410172E-3</v>
      </c>
      <c r="H2079" s="29">
        <f>IF($B$2,IF(ROWS(B$6:$B2079) = 1,IF(COUNTIFS(R_Schedule_Times,"&lt;"&amp;B2079),INDEX(R_Schedule_Amounts,MATCH(B2079,R_Schedule_Times,1)),Starting_Cash),IF(COUNTIFS(R_Schedule_Times,"&gt;"&amp;B2078,R_Schedule_Times,"&lt;"&amp;B2079),INDEX(R_Schedule_Amounts,MATCH(B2079,R_Schedule_Times,1)),K2078)),"")</f>
        <v>5940</v>
      </c>
      <c r="I2079" s="30">
        <f t="shared" si="160"/>
        <v>500</v>
      </c>
      <c r="J2079" s="31">
        <f t="shared" si="161"/>
        <v>0</v>
      </c>
      <c r="K2079" s="29">
        <f t="shared" si="162"/>
        <v>5440</v>
      </c>
      <c r="L2079" s="31" t="str">
        <f t="shared" si="163"/>
        <v/>
      </c>
      <c r="M2079" s="31" t="str">
        <f t="shared" si="164"/>
        <v/>
      </c>
    </row>
    <row r="2080" spans="1:13" x14ac:dyDescent="0.15">
      <c r="A2080" s="163" t="s">
        <v>210</v>
      </c>
      <c r="B2080" s="163">
        <v>42329.723660567128</v>
      </c>
      <c r="C2080" s="164" t="s">
        <v>1966</v>
      </c>
      <c r="D2080" s="164" t="s">
        <v>13</v>
      </c>
      <c r="E2080" s="165">
        <v>40</v>
      </c>
      <c r="F2080" s="166">
        <v>0</v>
      </c>
      <c r="G2080" s="227">
        <f>IF($B$2,IF(ROWS(B$6:$B2080) = 1,$B2080-Start_Date,$B2080-$B2079),"")</f>
        <v>1.2529386571259238E-2</v>
      </c>
      <c r="H2080" s="29">
        <f>IF($B$2,IF(ROWS(B$6:$B2080) = 1,IF(COUNTIFS(R_Schedule_Times,"&lt;"&amp;B2080),INDEX(R_Schedule_Amounts,MATCH(B2080,R_Schedule_Times,1)),Starting_Cash),IF(COUNTIFS(R_Schedule_Times,"&gt;"&amp;B2079,R_Schedule_Times,"&lt;"&amp;B2080),INDEX(R_Schedule_Amounts,MATCH(B2080,R_Schedule_Times,1)),K2079)),"")</f>
        <v>5440</v>
      </c>
      <c r="I2080" s="30">
        <f t="shared" si="160"/>
        <v>40</v>
      </c>
      <c r="J2080" s="31">
        <f t="shared" si="161"/>
        <v>0</v>
      </c>
      <c r="K2080" s="29">
        <f t="shared" si="162"/>
        <v>5400</v>
      </c>
      <c r="L2080" s="31" t="str">
        <f t="shared" si="163"/>
        <v/>
      </c>
      <c r="M2080" s="31" t="str">
        <f t="shared" si="164"/>
        <v/>
      </c>
    </row>
    <row r="2081" spans="1:13" x14ac:dyDescent="0.15">
      <c r="A2081" s="163" t="s">
        <v>210</v>
      </c>
      <c r="B2081" s="163">
        <v>42329.725900486112</v>
      </c>
      <c r="C2081" s="164" t="s">
        <v>14</v>
      </c>
      <c r="D2081" s="164" t="s">
        <v>13</v>
      </c>
      <c r="E2081" s="165">
        <v>100</v>
      </c>
      <c r="F2081" s="166">
        <v>3.5</v>
      </c>
      <c r="G2081" s="227">
        <f>IF($B$2,IF(ROWS(B$6:$B2081) = 1,$B2081-Start_Date,$B2081-$B2080),"")</f>
        <v>2.2399189838324673E-3</v>
      </c>
      <c r="H2081" s="29">
        <f>IF($B$2,IF(ROWS(B$6:$B2081) = 1,IF(COUNTIFS(R_Schedule_Times,"&lt;"&amp;B2081),INDEX(R_Schedule_Amounts,MATCH(B2081,R_Schedule_Times,1)),Starting_Cash),IF(COUNTIFS(R_Schedule_Times,"&gt;"&amp;B2080,R_Schedule_Times,"&lt;"&amp;B2081),INDEX(R_Schedule_Amounts,MATCH(B2081,R_Schedule_Times,1)),K2080)),"")</f>
        <v>5400</v>
      </c>
      <c r="I2081" s="30">
        <f t="shared" si="160"/>
        <v>100</v>
      </c>
      <c r="J2081" s="31">
        <f t="shared" si="161"/>
        <v>3.5</v>
      </c>
      <c r="K2081" s="29">
        <f t="shared" si="162"/>
        <v>5300</v>
      </c>
      <c r="L2081" s="31" t="str">
        <f t="shared" si="163"/>
        <v/>
      </c>
      <c r="M2081" s="31" t="str">
        <f t="shared" si="164"/>
        <v/>
      </c>
    </row>
    <row r="2082" spans="1:13" x14ac:dyDescent="0.15">
      <c r="A2082" s="163" t="s">
        <v>210</v>
      </c>
      <c r="B2082" s="163">
        <v>42329.753063564815</v>
      </c>
      <c r="C2082" s="164" t="s">
        <v>1967</v>
      </c>
      <c r="D2082" s="164" t="s">
        <v>13</v>
      </c>
      <c r="E2082" s="165">
        <v>60</v>
      </c>
      <c r="F2082" s="166">
        <v>0</v>
      </c>
      <c r="G2082" s="227">
        <f>IF($B$2,IF(ROWS(B$6:$B2082) = 1,$B2082-Start_Date,$B2082-$B2081),"")</f>
        <v>2.7163078702869825E-2</v>
      </c>
      <c r="H2082" s="29">
        <f>IF($B$2,IF(ROWS(B$6:$B2082) = 1,IF(COUNTIFS(R_Schedule_Times,"&lt;"&amp;B2082),INDEX(R_Schedule_Amounts,MATCH(B2082,R_Schedule_Times,1)),Starting_Cash),IF(COUNTIFS(R_Schedule_Times,"&gt;"&amp;B2081,R_Schedule_Times,"&lt;"&amp;B2082),INDEX(R_Schedule_Amounts,MATCH(B2082,R_Schedule_Times,1)),K2081)),"")</f>
        <v>5300</v>
      </c>
      <c r="I2082" s="30">
        <f t="shared" si="160"/>
        <v>60</v>
      </c>
      <c r="J2082" s="31">
        <f t="shared" si="161"/>
        <v>0</v>
      </c>
      <c r="K2082" s="29">
        <f t="shared" si="162"/>
        <v>5240</v>
      </c>
      <c r="L2082" s="31" t="str">
        <f t="shared" si="163"/>
        <v/>
      </c>
      <c r="M2082" s="31" t="str">
        <f t="shared" si="164"/>
        <v/>
      </c>
    </row>
    <row r="2083" spans="1:13" x14ac:dyDescent="0.15">
      <c r="A2083" s="163" t="s">
        <v>210</v>
      </c>
      <c r="B2083" s="163">
        <v>42329.760366840281</v>
      </c>
      <c r="C2083" s="164" t="s">
        <v>1968</v>
      </c>
      <c r="D2083" s="164" t="s">
        <v>13</v>
      </c>
      <c r="E2083" s="165">
        <v>100</v>
      </c>
      <c r="F2083" s="166">
        <v>0</v>
      </c>
      <c r="G2083" s="227">
        <f>IF($B$2,IF(ROWS(B$6:$B2083) = 1,$B2083-Start_Date,$B2083-$B2082),"")</f>
        <v>7.3032754662563093E-3</v>
      </c>
      <c r="H2083" s="29">
        <f>IF($B$2,IF(ROWS(B$6:$B2083) = 1,IF(COUNTIFS(R_Schedule_Times,"&lt;"&amp;B2083),INDEX(R_Schedule_Amounts,MATCH(B2083,R_Schedule_Times,1)),Starting_Cash),IF(COUNTIFS(R_Schedule_Times,"&gt;"&amp;B2082,R_Schedule_Times,"&lt;"&amp;B2083),INDEX(R_Schedule_Amounts,MATCH(B2083,R_Schedule_Times,1)),K2082)),"")</f>
        <v>5240</v>
      </c>
      <c r="I2083" s="30">
        <f t="shared" si="160"/>
        <v>100</v>
      </c>
      <c r="J2083" s="31">
        <f t="shared" si="161"/>
        <v>0</v>
      </c>
      <c r="K2083" s="29">
        <f t="shared" si="162"/>
        <v>5140</v>
      </c>
      <c r="L2083" s="31" t="str">
        <f t="shared" si="163"/>
        <v/>
      </c>
      <c r="M2083" s="31" t="str">
        <f t="shared" si="164"/>
        <v/>
      </c>
    </row>
    <row r="2084" spans="1:13" x14ac:dyDescent="0.15">
      <c r="A2084" s="163" t="s">
        <v>210</v>
      </c>
      <c r="B2084" s="163">
        <v>42329.768865775462</v>
      </c>
      <c r="C2084" s="164" t="s">
        <v>1969</v>
      </c>
      <c r="D2084" s="164" t="s">
        <v>13</v>
      </c>
      <c r="E2084" s="165">
        <v>100</v>
      </c>
      <c r="F2084" s="166">
        <v>0</v>
      </c>
      <c r="G2084" s="227">
        <f>IF($B$2,IF(ROWS(B$6:$B2084) = 1,$B2084-Start_Date,$B2084-$B2083),"")</f>
        <v>8.4989351817057468E-3</v>
      </c>
      <c r="H2084" s="29">
        <f>IF($B$2,IF(ROWS(B$6:$B2084) = 1,IF(COUNTIFS(R_Schedule_Times,"&lt;"&amp;B2084),INDEX(R_Schedule_Amounts,MATCH(B2084,R_Schedule_Times,1)),Starting_Cash),IF(COUNTIFS(R_Schedule_Times,"&gt;"&amp;B2083,R_Schedule_Times,"&lt;"&amp;B2084),INDEX(R_Schedule_Amounts,MATCH(B2084,R_Schedule_Times,1)),K2083)),"")</f>
        <v>5140</v>
      </c>
      <c r="I2084" s="30">
        <f t="shared" si="160"/>
        <v>100</v>
      </c>
      <c r="J2084" s="31">
        <f t="shared" si="161"/>
        <v>0</v>
      </c>
      <c r="K2084" s="29">
        <f t="shared" si="162"/>
        <v>5040</v>
      </c>
      <c r="L2084" s="31" t="str">
        <f t="shared" si="163"/>
        <v/>
      </c>
      <c r="M2084" s="31" t="str">
        <f t="shared" si="164"/>
        <v/>
      </c>
    </row>
    <row r="2085" spans="1:13" x14ac:dyDescent="0.15">
      <c r="A2085" s="163" t="s">
        <v>210</v>
      </c>
      <c r="B2085" s="163">
        <v>42329.805615451391</v>
      </c>
      <c r="C2085" s="164" t="s">
        <v>14</v>
      </c>
      <c r="D2085" s="164" t="s">
        <v>13</v>
      </c>
      <c r="E2085" s="165">
        <v>120</v>
      </c>
      <c r="F2085" s="166">
        <v>3.5</v>
      </c>
      <c r="G2085" s="227">
        <f>IF($B$2,IF(ROWS(B$6:$B2085) = 1,$B2085-Start_Date,$B2085-$B2084),"")</f>
        <v>3.6749675928149372E-2</v>
      </c>
      <c r="H2085" s="29">
        <f>IF($B$2,IF(ROWS(B$6:$B2085) = 1,IF(COUNTIFS(R_Schedule_Times,"&lt;"&amp;B2085),INDEX(R_Schedule_Amounts,MATCH(B2085,R_Schedule_Times,1)),Starting_Cash),IF(COUNTIFS(R_Schedule_Times,"&gt;"&amp;B2084,R_Schedule_Times,"&lt;"&amp;B2085),INDEX(R_Schedule_Amounts,MATCH(B2085,R_Schedule_Times,1)),K2084)),"")</f>
        <v>5040</v>
      </c>
      <c r="I2085" s="30">
        <f t="shared" si="160"/>
        <v>120</v>
      </c>
      <c r="J2085" s="31">
        <f t="shared" si="161"/>
        <v>3.5</v>
      </c>
      <c r="K2085" s="29">
        <f t="shared" si="162"/>
        <v>4920</v>
      </c>
      <c r="L2085" s="31" t="str">
        <f t="shared" si="163"/>
        <v/>
      </c>
      <c r="M2085" s="31" t="str">
        <f t="shared" si="164"/>
        <v/>
      </c>
    </row>
    <row r="2086" spans="1:13" x14ac:dyDescent="0.15">
      <c r="A2086" s="163" t="s">
        <v>210</v>
      </c>
      <c r="B2086" s="163">
        <v>42329.818190405094</v>
      </c>
      <c r="C2086" s="164" t="s">
        <v>1970</v>
      </c>
      <c r="D2086" s="164" t="s">
        <v>13</v>
      </c>
      <c r="E2086" s="165">
        <v>100</v>
      </c>
      <c r="F2086" s="166">
        <v>0</v>
      </c>
      <c r="G2086" s="227">
        <f>IF($B$2,IF(ROWS(B$6:$B2086) = 1,$B2086-Start_Date,$B2086-$B2085),"")</f>
        <v>1.2574953703733627E-2</v>
      </c>
      <c r="H2086" s="29">
        <f>IF($B$2,IF(ROWS(B$6:$B2086) = 1,IF(COUNTIFS(R_Schedule_Times,"&lt;"&amp;B2086),INDEX(R_Schedule_Amounts,MATCH(B2086,R_Schedule_Times,1)),Starting_Cash),IF(COUNTIFS(R_Schedule_Times,"&gt;"&amp;B2085,R_Schedule_Times,"&lt;"&amp;B2086),INDEX(R_Schedule_Amounts,MATCH(B2086,R_Schedule_Times,1)),K2085)),"")</f>
        <v>4920</v>
      </c>
      <c r="I2086" s="30">
        <f t="shared" si="160"/>
        <v>100</v>
      </c>
      <c r="J2086" s="31">
        <f t="shared" si="161"/>
        <v>0</v>
      </c>
      <c r="K2086" s="29">
        <f t="shared" si="162"/>
        <v>4820</v>
      </c>
      <c r="L2086" s="31" t="str">
        <f t="shared" si="163"/>
        <v/>
      </c>
      <c r="M2086" s="31" t="str">
        <f t="shared" si="164"/>
        <v/>
      </c>
    </row>
    <row r="2087" spans="1:13" x14ac:dyDescent="0.15">
      <c r="A2087" s="163" t="s">
        <v>210</v>
      </c>
      <c r="B2087" s="163">
        <v>42329.82342572917</v>
      </c>
      <c r="C2087" s="164" t="s">
        <v>1971</v>
      </c>
      <c r="D2087" s="164" t="s">
        <v>13</v>
      </c>
      <c r="E2087" s="165">
        <v>100</v>
      </c>
      <c r="F2087" s="166">
        <v>0</v>
      </c>
      <c r="G2087" s="227">
        <f>IF($B$2,IF(ROWS(B$6:$B2087) = 1,$B2087-Start_Date,$B2087-$B2086),"")</f>
        <v>5.2353240753291175E-3</v>
      </c>
      <c r="H2087" s="29">
        <f>IF($B$2,IF(ROWS(B$6:$B2087) = 1,IF(COUNTIFS(R_Schedule_Times,"&lt;"&amp;B2087),INDEX(R_Schedule_Amounts,MATCH(B2087,R_Schedule_Times,1)),Starting_Cash),IF(COUNTIFS(R_Schedule_Times,"&gt;"&amp;B2086,R_Schedule_Times,"&lt;"&amp;B2087),INDEX(R_Schedule_Amounts,MATCH(B2087,R_Schedule_Times,1)),K2086)),"")</f>
        <v>4820</v>
      </c>
      <c r="I2087" s="30">
        <f t="shared" si="160"/>
        <v>100</v>
      </c>
      <c r="J2087" s="31">
        <f t="shared" si="161"/>
        <v>0</v>
      </c>
      <c r="K2087" s="29">
        <f t="shared" si="162"/>
        <v>4720</v>
      </c>
      <c r="L2087" s="31" t="str">
        <f t="shared" si="163"/>
        <v/>
      </c>
      <c r="M2087" s="31" t="str">
        <f t="shared" si="164"/>
        <v/>
      </c>
    </row>
    <row r="2088" spans="1:13" x14ac:dyDescent="0.15">
      <c r="A2088" s="163" t="s">
        <v>210</v>
      </c>
      <c r="B2088" s="163">
        <v>42329.878566481479</v>
      </c>
      <c r="C2088" s="164" t="s">
        <v>1972</v>
      </c>
      <c r="D2088" s="164" t="s">
        <v>13</v>
      </c>
      <c r="E2088" s="165">
        <v>60</v>
      </c>
      <c r="F2088" s="166">
        <v>0</v>
      </c>
      <c r="G2088" s="227">
        <f>IF($B$2,IF(ROWS(B$6:$B2088) = 1,$B2088-Start_Date,$B2088-$B2087),"")</f>
        <v>5.5140752308943775E-2</v>
      </c>
      <c r="H2088" s="29">
        <f>IF($B$2,IF(ROWS(B$6:$B2088) = 1,IF(COUNTIFS(R_Schedule_Times,"&lt;"&amp;B2088),INDEX(R_Schedule_Amounts,MATCH(B2088,R_Schedule_Times,1)),Starting_Cash),IF(COUNTIFS(R_Schedule_Times,"&gt;"&amp;B2087,R_Schedule_Times,"&lt;"&amp;B2088),INDEX(R_Schedule_Amounts,MATCH(B2088,R_Schedule_Times,1)),K2087)),"")</f>
        <v>4720</v>
      </c>
      <c r="I2088" s="30">
        <f t="shared" si="160"/>
        <v>60</v>
      </c>
      <c r="J2088" s="31">
        <f t="shared" si="161"/>
        <v>0</v>
      </c>
      <c r="K2088" s="29">
        <f t="shared" si="162"/>
        <v>4660</v>
      </c>
      <c r="L2088" s="31" t="str">
        <f t="shared" si="163"/>
        <v/>
      </c>
      <c r="M2088" s="31" t="str">
        <f t="shared" si="164"/>
        <v/>
      </c>
    </row>
    <row r="2089" spans="1:13" x14ac:dyDescent="0.15">
      <c r="A2089" s="163" t="s">
        <v>210</v>
      </c>
      <c r="B2089" s="163">
        <v>42330.037805208332</v>
      </c>
      <c r="C2089" s="164" t="s">
        <v>14</v>
      </c>
      <c r="D2089" s="164" t="s">
        <v>13</v>
      </c>
      <c r="E2089" s="165">
        <v>200</v>
      </c>
      <c r="F2089" s="166">
        <v>3.5</v>
      </c>
      <c r="G2089" s="227">
        <f>IF($B$2,IF(ROWS(B$6:$B2089) = 1,$B2089-Start_Date,$B2089-$B2088),"")</f>
        <v>0.15923872685380047</v>
      </c>
      <c r="H2089" s="29">
        <f>IF($B$2,IF(ROWS(B$6:$B2089) = 1,IF(COUNTIFS(R_Schedule_Times,"&lt;"&amp;B2089),INDEX(R_Schedule_Amounts,MATCH(B2089,R_Schedule_Times,1)),Starting_Cash),IF(COUNTIFS(R_Schedule_Times,"&gt;"&amp;B2088,R_Schedule_Times,"&lt;"&amp;B2089),INDEX(R_Schedule_Amounts,MATCH(B2089,R_Schedule_Times,1)),K2088)),"")</f>
        <v>4660</v>
      </c>
      <c r="I2089" s="30">
        <f t="shared" si="160"/>
        <v>200</v>
      </c>
      <c r="J2089" s="31">
        <f t="shared" si="161"/>
        <v>3.5</v>
      </c>
      <c r="K2089" s="29">
        <f t="shared" si="162"/>
        <v>4460</v>
      </c>
      <c r="L2089" s="31" t="str">
        <f t="shared" si="163"/>
        <v/>
      </c>
      <c r="M2089" s="31" t="str">
        <f t="shared" si="164"/>
        <v/>
      </c>
    </row>
    <row r="2090" spans="1:13" x14ac:dyDescent="0.15">
      <c r="A2090" s="163" t="s">
        <v>210</v>
      </c>
      <c r="B2090" s="163">
        <v>42330.382600266203</v>
      </c>
      <c r="C2090" s="164" t="s">
        <v>1909</v>
      </c>
      <c r="D2090" s="164" t="s">
        <v>13</v>
      </c>
      <c r="E2090" s="165">
        <v>40</v>
      </c>
      <c r="F2090" s="166">
        <v>0</v>
      </c>
      <c r="G2090" s="227">
        <f>IF($B$2,IF(ROWS(B$6:$B2090) = 1,$B2090-Start_Date,$B2090-$B2089),"")</f>
        <v>0.34479505787021481</v>
      </c>
      <c r="H2090" s="29">
        <f>IF($B$2,IF(ROWS(B$6:$B2090) = 1,IF(COUNTIFS(R_Schedule_Times,"&lt;"&amp;B2090),INDEX(R_Schedule_Amounts,MATCH(B2090,R_Schedule_Times,1)),Starting_Cash),IF(COUNTIFS(R_Schedule_Times,"&gt;"&amp;B2089,R_Schedule_Times,"&lt;"&amp;B2090),INDEX(R_Schedule_Amounts,MATCH(B2090,R_Schedule_Times,1)),K2089)),"")</f>
        <v>4460</v>
      </c>
      <c r="I2090" s="30">
        <f t="shared" si="160"/>
        <v>40</v>
      </c>
      <c r="J2090" s="31">
        <f t="shared" si="161"/>
        <v>0</v>
      </c>
      <c r="K2090" s="29">
        <f t="shared" si="162"/>
        <v>4420</v>
      </c>
      <c r="L2090" s="31" t="str">
        <f t="shared" si="163"/>
        <v/>
      </c>
      <c r="M2090" s="31" t="str">
        <f t="shared" si="164"/>
        <v/>
      </c>
    </row>
    <row r="2091" spans="1:13" x14ac:dyDescent="0.15">
      <c r="A2091" s="163" t="s">
        <v>210</v>
      </c>
      <c r="B2091" s="163">
        <v>42330.478936145832</v>
      </c>
      <c r="C2091" s="164" t="s">
        <v>1973</v>
      </c>
      <c r="D2091" s="164" t="s">
        <v>13</v>
      </c>
      <c r="E2091" s="165">
        <v>80</v>
      </c>
      <c r="F2091" s="166">
        <v>0</v>
      </c>
      <c r="G2091" s="227">
        <f>IF($B$2,IF(ROWS(B$6:$B2091) = 1,$B2091-Start_Date,$B2091-$B2090),"")</f>
        <v>9.6335879628895782E-2</v>
      </c>
      <c r="H2091" s="29">
        <f>IF($B$2,IF(ROWS(B$6:$B2091) = 1,IF(COUNTIFS(R_Schedule_Times,"&lt;"&amp;B2091),INDEX(R_Schedule_Amounts,MATCH(B2091,R_Schedule_Times,1)),Starting_Cash),IF(COUNTIFS(R_Schedule_Times,"&gt;"&amp;B2090,R_Schedule_Times,"&lt;"&amp;B2091),INDEX(R_Schedule_Amounts,MATCH(B2091,R_Schedule_Times,1)),K2090)),"")</f>
        <v>4420</v>
      </c>
      <c r="I2091" s="30">
        <f t="shared" si="160"/>
        <v>80</v>
      </c>
      <c r="J2091" s="31">
        <f t="shared" si="161"/>
        <v>0</v>
      </c>
      <c r="K2091" s="29">
        <f t="shared" si="162"/>
        <v>4340</v>
      </c>
      <c r="L2091" s="31" t="str">
        <f t="shared" si="163"/>
        <v/>
      </c>
      <c r="M2091" s="31" t="str">
        <f t="shared" si="164"/>
        <v/>
      </c>
    </row>
    <row r="2092" spans="1:13" x14ac:dyDescent="0.15">
      <c r="A2092" s="163" t="s">
        <v>210</v>
      </c>
      <c r="B2092" s="163">
        <v>42330.489400636572</v>
      </c>
      <c r="C2092" s="164" t="s">
        <v>1974</v>
      </c>
      <c r="D2092" s="164" t="s">
        <v>13</v>
      </c>
      <c r="E2092" s="165">
        <v>60</v>
      </c>
      <c r="F2092" s="166">
        <v>0</v>
      </c>
      <c r="G2092" s="227">
        <f>IF($B$2,IF(ROWS(B$6:$B2092) = 1,$B2092-Start_Date,$B2092-$B2091),"")</f>
        <v>1.0464490740559995E-2</v>
      </c>
      <c r="H2092" s="29">
        <f>IF($B$2,IF(ROWS(B$6:$B2092) = 1,IF(COUNTIFS(R_Schedule_Times,"&lt;"&amp;B2092),INDEX(R_Schedule_Amounts,MATCH(B2092,R_Schedule_Times,1)),Starting_Cash),IF(COUNTIFS(R_Schedule_Times,"&gt;"&amp;B2091,R_Schedule_Times,"&lt;"&amp;B2092),INDEX(R_Schedule_Amounts,MATCH(B2092,R_Schedule_Times,1)),K2091)),"")</f>
        <v>4340</v>
      </c>
      <c r="I2092" s="30">
        <f t="shared" si="160"/>
        <v>60</v>
      </c>
      <c r="J2092" s="31">
        <f t="shared" si="161"/>
        <v>0</v>
      </c>
      <c r="K2092" s="29">
        <f t="shared" si="162"/>
        <v>4280</v>
      </c>
      <c r="L2092" s="31" t="str">
        <f t="shared" si="163"/>
        <v/>
      </c>
      <c r="M2092" s="31" t="str">
        <f t="shared" si="164"/>
        <v/>
      </c>
    </row>
    <row r="2093" spans="1:13" x14ac:dyDescent="0.15">
      <c r="A2093" s="163" t="s">
        <v>210</v>
      </c>
      <c r="B2093" s="163">
        <v>42330.501498773148</v>
      </c>
      <c r="C2093" s="164" t="s">
        <v>1975</v>
      </c>
      <c r="D2093" s="164" t="s">
        <v>13</v>
      </c>
      <c r="E2093" s="165">
        <v>20</v>
      </c>
      <c r="F2093" s="166">
        <v>0</v>
      </c>
      <c r="G2093" s="227">
        <f>IF($B$2,IF(ROWS(B$6:$B2093) = 1,$B2093-Start_Date,$B2093-$B2092),"")</f>
        <v>1.2098136576241814E-2</v>
      </c>
      <c r="H2093" s="29">
        <f>IF($B$2,IF(ROWS(B$6:$B2093) = 1,IF(COUNTIFS(R_Schedule_Times,"&lt;"&amp;B2093),INDEX(R_Schedule_Amounts,MATCH(B2093,R_Schedule_Times,1)),Starting_Cash),IF(COUNTIFS(R_Schedule_Times,"&gt;"&amp;B2092,R_Schedule_Times,"&lt;"&amp;B2093),INDEX(R_Schedule_Amounts,MATCH(B2093,R_Schedule_Times,1)),K2092)),"")</f>
        <v>4280</v>
      </c>
      <c r="I2093" s="30">
        <f t="shared" si="160"/>
        <v>20</v>
      </c>
      <c r="J2093" s="31">
        <f t="shared" si="161"/>
        <v>0</v>
      </c>
      <c r="K2093" s="29">
        <f t="shared" si="162"/>
        <v>4260</v>
      </c>
      <c r="L2093" s="31" t="str">
        <f t="shared" si="163"/>
        <v/>
      </c>
      <c r="M2093" s="31" t="str">
        <f t="shared" si="164"/>
        <v/>
      </c>
    </row>
    <row r="2094" spans="1:13" x14ac:dyDescent="0.15">
      <c r="A2094" s="163" t="s">
        <v>210</v>
      </c>
      <c r="B2094" s="163">
        <v>42330.50202896991</v>
      </c>
      <c r="C2094" s="164" t="s">
        <v>1976</v>
      </c>
      <c r="D2094" s="164" t="s">
        <v>13</v>
      </c>
      <c r="E2094" s="165">
        <v>100</v>
      </c>
      <c r="F2094" s="166">
        <v>0</v>
      </c>
      <c r="G2094" s="227">
        <f>IF($B$2,IF(ROWS(B$6:$B2094) = 1,$B2094-Start_Date,$B2094-$B2093),"")</f>
        <v>5.3019676124677062E-4</v>
      </c>
      <c r="H2094" s="29">
        <f>IF($B$2,IF(ROWS(B$6:$B2094) = 1,IF(COUNTIFS(R_Schedule_Times,"&lt;"&amp;B2094),INDEX(R_Schedule_Amounts,MATCH(B2094,R_Schedule_Times,1)),Starting_Cash),IF(COUNTIFS(R_Schedule_Times,"&gt;"&amp;B2093,R_Schedule_Times,"&lt;"&amp;B2094),INDEX(R_Schedule_Amounts,MATCH(B2094,R_Schedule_Times,1)),K2093)),"")</f>
        <v>4260</v>
      </c>
      <c r="I2094" s="30">
        <f t="shared" si="160"/>
        <v>100</v>
      </c>
      <c r="J2094" s="31">
        <f t="shared" si="161"/>
        <v>0</v>
      </c>
      <c r="K2094" s="29">
        <f t="shared" si="162"/>
        <v>4160</v>
      </c>
      <c r="L2094" s="31" t="str">
        <f t="shared" si="163"/>
        <v/>
      </c>
      <c r="M2094" s="31" t="str">
        <f t="shared" si="164"/>
        <v/>
      </c>
    </row>
    <row r="2095" spans="1:13" x14ac:dyDescent="0.15">
      <c r="A2095" s="163" t="s">
        <v>210</v>
      </c>
      <c r="B2095" s="163">
        <v>42330.507753194448</v>
      </c>
      <c r="C2095" s="164" t="s">
        <v>1977</v>
      </c>
      <c r="D2095" s="164" t="s">
        <v>13</v>
      </c>
      <c r="E2095" s="165">
        <v>20</v>
      </c>
      <c r="F2095" s="166">
        <v>0</v>
      </c>
      <c r="G2095" s="227">
        <f>IF($B$2,IF(ROWS(B$6:$B2095) = 1,$B2095-Start_Date,$B2095-$B2094),"")</f>
        <v>5.7242245384259149E-3</v>
      </c>
      <c r="H2095" s="29">
        <f>IF($B$2,IF(ROWS(B$6:$B2095) = 1,IF(COUNTIFS(R_Schedule_Times,"&lt;"&amp;B2095),INDEX(R_Schedule_Amounts,MATCH(B2095,R_Schedule_Times,1)),Starting_Cash),IF(COUNTIFS(R_Schedule_Times,"&gt;"&amp;B2094,R_Schedule_Times,"&lt;"&amp;B2095),INDEX(R_Schedule_Amounts,MATCH(B2095,R_Schedule_Times,1)),K2094)),"")</f>
        <v>4160</v>
      </c>
      <c r="I2095" s="30">
        <f t="shared" si="160"/>
        <v>20</v>
      </c>
      <c r="J2095" s="31">
        <f t="shared" si="161"/>
        <v>0</v>
      </c>
      <c r="K2095" s="29">
        <f t="shared" si="162"/>
        <v>4140</v>
      </c>
      <c r="L2095" s="31" t="str">
        <f t="shared" si="163"/>
        <v/>
      </c>
      <c r="M2095" s="31" t="str">
        <f t="shared" si="164"/>
        <v/>
      </c>
    </row>
    <row r="2096" spans="1:13" x14ac:dyDescent="0.15">
      <c r="A2096" s="163" t="s">
        <v>210</v>
      </c>
      <c r="B2096" s="163">
        <v>42330.531234085647</v>
      </c>
      <c r="C2096" s="164" t="s">
        <v>1978</v>
      </c>
      <c r="D2096" s="164" t="s">
        <v>13</v>
      </c>
      <c r="E2096" s="165">
        <v>40</v>
      </c>
      <c r="F2096" s="166">
        <v>0</v>
      </c>
      <c r="G2096" s="227">
        <f>IF($B$2,IF(ROWS(B$6:$B2096) = 1,$B2096-Start_Date,$B2096-$B2095),"")</f>
        <v>2.3480891199142206E-2</v>
      </c>
      <c r="H2096" s="29">
        <f>IF($B$2,IF(ROWS(B$6:$B2096) = 1,IF(COUNTIFS(R_Schedule_Times,"&lt;"&amp;B2096),INDEX(R_Schedule_Amounts,MATCH(B2096,R_Schedule_Times,1)),Starting_Cash),IF(COUNTIFS(R_Schedule_Times,"&gt;"&amp;B2095,R_Schedule_Times,"&lt;"&amp;B2096),INDEX(R_Schedule_Amounts,MATCH(B2096,R_Schedule_Times,1)),K2095)),"")</f>
        <v>4140</v>
      </c>
      <c r="I2096" s="30">
        <f t="shared" si="160"/>
        <v>40</v>
      </c>
      <c r="J2096" s="31">
        <f t="shared" si="161"/>
        <v>0</v>
      </c>
      <c r="K2096" s="29">
        <f t="shared" si="162"/>
        <v>4100</v>
      </c>
      <c r="L2096" s="31" t="str">
        <f t="shared" si="163"/>
        <v/>
      </c>
      <c r="M2096" s="31" t="str">
        <f t="shared" si="164"/>
        <v/>
      </c>
    </row>
    <row r="2097" spans="1:13" x14ac:dyDescent="0.15">
      <c r="A2097" s="163" t="s">
        <v>210</v>
      </c>
      <c r="B2097" s="163">
        <v>42330.551199212961</v>
      </c>
      <c r="C2097" s="164" t="s">
        <v>1979</v>
      </c>
      <c r="D2097" s="164" t="s">
        <v>13</v>
      </c>
      <c r="E2097" s="165">
        <v>140</v>
      </c>
      <c r="F2097" s="166">
        <v>0</v>
      </c>
      <c r="G2097" s="227">
        <f>IF($B$2,IF(ROWS(B$6:$B2097) = 1,$B2097-Start_Date,$B2097-$B2096),"")</f>
        <v>1.9965127314208075E-2</v>
      </c>
      <c r="H2097" s="29">
        <f>IF($B$2,IF(ROWS(B$6:$B2097) = 1,IF(COUNTIFS(R_Schedule_Times,"&lt;"&amp;B2097),INDEX(R_Schedule_Amounts,MATCH(B2097,R_Schedule_Times,1)),Starting_Cash),IF(COUNTIFS(R_Schedule_Times,"&gt;"&amp;B2096,R_Schedule_Times,"&lt;"&amp;B2097),INDEX(R_Schedule_Amounts,MATCH(B2097,R_Schedule_Times,1)),K2096)),"")</f>
        <v>4100</v>
      </c>
      <c r="I2097" s="30">
        <f t="shared" si="160"/>
        <v>140</v>
      </c>
      <c r="J2097" s="31">
        <f t="shared" si="161"/>
        <v>0</v>
      </c>
      <c r="K2097" s="29">
        <f t="shared" si="162"/>
        <v>3960</v>
      </c>
      <c r="L2097" s="31" t="str">
        <f t="shared" si="163"/>
        <v/>
      </c>
      <c r="M2097" s="31" t="str">
        <f t="shared" si="164"/>
        <v/>
      </c>
    </row>
    <row r="2098" spans="1:13" x14ac:dyDescent="0.15">
      <c r="A2098" s="163" t="s">
        <v>210</v>
      </c>
      <c r="B2098" s="163">
        <v>42330.573958611109</v>
      </c>
      <c r="C2098" s="164" t="s">
        <v>1980</v>
      </c>
      <c r="D2098" s="164" t="s">
        <v>13</v>
      </c>
      <c r="E2098" s="165">
        <v>100</v>
      </c>
      <c r="F2098" s="166">
        <v>0</v>
      </c>
      <c r="G2098" s="227">
        <f>IF($B$2,IF(ROWS(B$6:$B2098) = 1,$B2098-Start_Date,$B2098-$B2097),"")</f>
        <v>2.275939814717276E-2</v>
      </c>
      <c r="H2098" s="29">
        <f>IF($B$2,IF(ROWS(B$6:$B2098) = 1,IF(COUNTIFS(R_Schedule_Times,"&lt;"&amp;B2098),INDEX(R_Schedule_Amounts,MATCH(B2098,R_Schedule_Times,1)),Starting_Cash),IF(COUNTIFS(R_Schedule_Times,"&gt;"&amp;B2097,R_Schedule_Times,"&lt;"&amp;B2098),INDEX(R_Schedule_Amounts,MATCH(B2098,R_Schedule_Times,1)),K2097)),"")</f>
        <v>3960</v>
      </c>
      <c r="I2098" s="30">
        <f t="shared" si="160"/>
        <v>100</v>
      </c>
      <c r="J2098" s="31">
        <f t="shared" si="161"/>
        <v>0</v>
      </c>
      <c r="K2098" s="29">
        <f t="shared" si="162"/>
        <v>3860</v>
      </c>
      <c r="L2098" s="31" t="str">
        <f t="shared" si="163"/>
        <v/>
      </c>
      <c r="M2098" s="31" t="str">
        <f t="shared" si="164"/>
        <v/>
      </c>
    </row>
    <row r="2099" spans="1:13" x14ac:dyDescent="0.15">
      <c r="A2099" s="163" t="s">
        <v>210</v>
      </c>
      <c r="B2099" s="163">
        <v>42330.589686423613</v>
      </c>
      <c r="C2099" s="164" t="s">
        <v>1981</v>
      </c>
      <c r="D2099" s="164" t="s">
        <v>13</v>
      </c>
      <c r="E2099" s="165">
        <v>100</v>
      </c>
      <c r="F2099" s="166">
        <v>0</v>
      </c>
      <c r="G2099" s="227">
        <f>IF($B$2,IF(ROWS(B$6:$B2099) = 1,$B2099-Start_Date,$B2099-$B2098),"")</f>
        <v>1.5727812504337635E-2</v>
      </c>
      <c r="H2099" s="29">
        <f>IF($B$2,IF(ROWS(B$6:$B2099) = 1,IF(COUNTIFS(R_Schedule_Times,"&lt;"&amp;B2099),INDEX(R_Schedule_Amounts,MATCH(B2099,R_Schedule_Times,1)),Starting_Cash),IF(COUNTIFS(R_Schedule_Times,"&gt;"&amp;B2098,R_Schedule_Times,"&lt;"&amp;B2099),INDEX(R_Schedule_Amounts,MATCH(B2099,R_Schedule_Times,1)),K2098)),"")</f>
        <v>3860</v>
      </c>
      <c r="I2099" s="30">
        <f t="shared" si="160"/>
        <v>100</v>
      </c>
      <c r="J2099" s="31">
        <f t="shared" si="161"/>
        <v>0</v>
      </c>
      <c r="K2099" s="29">
        <f t="shared" si="162"/>
        <v>3760</v>
      </c>
      <c r="L2099" s="31" t="str">
        <f t="shared" si="163"/>
        <v/>
      </c>
      <c r="M2099" s="31" t="str">
        <f t="shared" si="164"/>
        <v/>
      </c>
    </row>
    <row r="2100" spans="1:13" x14ac:dyDescent="0.15">
      <c r="A2100" s="163" t="s">
        <v>210</v>
      </c>
      <c r="B2100" s="163">
        <v>42330.655677476854</v>
      </c>
      <c r="C2100" s="164" t="s">
        <v>1982</v>
      </c>
      <c r="D2100" s="164" t="s">
        <v>13</v>
      </c>
      <c r="E2100" s="165">
        <v>80</v>
      </c>
      <c r="F2100" s="166">
        <v>0</v>
      </c>
      <c r="G2100" s="227">
        <f>IF($B$2,IF(ROWS(B$6:$B2100) = 1,$B2100-Start_Date,$B2100-$B2099),"")</f>
        <v>6.5991053241305053E-2</v>
      </c>
      <c r="H2100" s="29">
        <f>IF($B$2,IF(ROWS(B$6:$B2100) = 1,IF(COUNTIFS(R_Schedule_Times,"&lt;"&amp;B2100),INDEX(R_Schedule_Amounts,MATCH(B2100,R_Schedule_Times,1)),Starting_Cash),IF(COUNTIFS(R_Schedule_Times,"&gt;"&amp;B2099,R_Schedule_Times,"&lt;"&amp;B2100),INDEX(R_Schedule_Amounts,MATCH(B2100,R_Schedule_Times,1)),K2099)),"")</f>
        <v>3760</v>
      </c>
      <c r="I2100" s="30">
        <f t="shared" si="160"/>
        <v>80</v>
      </c>
      <c r="J2100" s="31">
        <f t="shared" si="161"/>
        <v>0</v>
      </c>
      <c r="K2100" s="29">
        <f t="shared" si="162"/>
        <v>3680</v>
      </c>
      <c r="L2100" s="31" t="str">
        <f t="shared" si="163"/>
        <v/>
      </c>
      <c r="M2100" s="31" t="str">
        <f t="shared" si="164"/>
        <v/>
      </c>
    </row>
    <row r="2101" spans="1:13" x14ac:dyDescent="0.15">
      <c r="A2101" s="163" t="s">
        <v>210</v>
      </c>
      <c r="B2101" s="163">
        <v>42330.664120046298</v>
      </c>
      <c r="C2101" s="164" t="s">
        <v>249</v>
      </c>
      <c r="D2101" s="164" t="s">
        <v>13</v>
      </c>
      <c r="E2101" s="165">
        <v>20</v>
      </c>
      <c r="F2101" s="166">
        <v>0</v>
      </c>
      <c r="G2101" s="227">
        <f>IF($B$2,IF(ROWS(B$6:$B2101) = 1,$B2101-Start_Date,$B2101-$B2100),"")</f>
        <v>8.4425694440142252E-3</v>
      </c>
      <c r="H2101" s="29">
        <f>IF($B$2,IF(ROWS(B$6:$B2101) = 1,IF(COUNTIFS(R_Schedule_Times,"&lt;"&amp;B2101),INDEX(R_Schedule_Amounts,MATCH(B2101,R_Schedule_Times,1)),Starting_Cash),IF(COUNTIFS(R_Schedule_Times,"&gt;"&amp;B2100,R_Schedule_Times,"&lt;"&amp;B2101),INDEX(R_Schedule_Amounts,MATCH(B2101,R_Schedule_Times,1)),K2100)),"")</f>
        <v>3680</v>
      </c>
      <c r="I2101" s="30">
        <f t="shared" si="160"/>
        <v>20</v>
      </c>
      <c r="J2101" s="31">
        <f t="shared" si="161"/>
        <v>0</v>
      </c>
      <c r="K2101" s="29">
        <f t="shared" si="162"/>
        <v>3660</v>
      </c>
      <c r="L2101" s="31" t="str">
        <f t="shared" si="163"/>
        <v/>
      </c>
      <c r="M2101" s="31" t="str">
        <f t="shared" si="164"/>
        <v/>
      </c>
    </row>
    <row r="2102" spans="1:13" x14ac:dyDescent="0.15">
      <c r="A2102" s="163" t="s">
        <v>210</v>
      </c>
      <c r="B2102" s="163">
        <v>42330.690037129629</v>
      </c>
      <c r="C2102" s="164" t="s">
        <v>1983</v>
      </c>
      <c r="D2102" s="164" t="s">
        <v>13</v>
      </c>
      <c r="E2102" s="165">
        <v>200</v>
      </c>
      <c r="F2102" s="166">
        <v>0</v>
      </c>
      <c r="G2102" s="227">
        <f>IF($B$2,IF(ROWS(B$6:$B2102) = 1,$B2102-Start_Date,$B2102-$B2101),"")</f>
        <v>2.5917083330568857E-2</v>
      </c>
      <c r="H2102" s="29">
        <f>IF($B$2,IF(ROWS(B$6:$B2102) = 1,IF(COUNTIFS(R_Schedule_Times,"&lt;"&amp;B2102),INDEX(R_Schedule_Amounts,MATCH(B2102,R_Schedule_Times,1)),Starting_Cash),IF(COUNTIFS(R_Schedule_Times,"&gt;"&amp;B2101,R_Schedule_Times,"&lt;"&amp;B2102),INDEX(R_Schedule_Amounts,MATCH(B2102,R_Schedule_Times,1)),K2101)),"")</f>
        <v>3660</v>
      </c>
      <c r="I2102" s="30">
        <f t="shared" si="160"/>
        <v>200</v>
      </c>
      <c r="J2102" s="31">
        <f t="shared" si="161"/>
        <v>0</v>
      </c>
      <c r="K2102" s="29">
        <f t="shared" si="162"/>
        <v>3460</v>
      </c>
      <c r="L2102" s="31" t="str">
        <f t="shared" si="163"/>
        <v/>
      </c>
      <c r="M2102" s="31" t="str">
        <f t="shared" si="164"/>
        <v/>
      </c>
    </row>
    <row r="2103" spans="1:13" x14ac:dyDescent="0.15">
      <c r="A2103" s="163" t="s">
        <v>210</v>
      </c>
      <c r="B2103" s="163">
        <v>42330.709379340275</v>
      </c>
      <c r="C2103" s="164" t="s">
        <v>462</v>
      </c>
      <c r="D2103" s="164" t="s">
        <v>13</v>
      </c>
      <c r="E2103" s="165">
        <v>200</v>
      </c>
      <c r="F2103" s="166">
        <v>0</v>
      </c>
      <c r="G2103" s="227">
        <f>IF($B$2,IF(ROWS(B$6:$B2103) = 1,$B2103-Start_Date,$B2103-$B2102),"")</f>
        <v>1.9342210645845626E-2</v>
      </c>
      <c r="H2103" s="29">
        <f>IF($B$2,IF(ROWS(B$6:$B2103) = 1,IF(COUNTIFS(R_Schedule_Times,"&lt;"&amp;B2103),INDEX(R_Schedule_Amounts,MATCH(B2103,R_Schedule_Times,1)),Starting_Cash),IF(COUNTIFS(R_Schedule_Times,"&gt;"&amp;B2102,R_Schedule_Times,"&lt;"&amp;B2103),INDEX(R_Schedule_Amounts,MATCH(B2103,R_Schedule_Times,1)),K2102)),"")</f>
        <v>3460</v>
      </c>
      <c r="I2103" s="30">
        <f t="shared" si="160"/>
        <v>200</v>
      </c>
      <c r="J2103" s="31">
        <f t="shared" si="161"/>
        <v>0</v>
      </c>
      <c r="K2103" s="29">
        <f t="shared" si="162"/>
        <v>3260</v>
      </c>
      <c r="L2103" s="31" t="str">
        <f t="shared" si="163"/>
        <v/>
      </c>
      <c r="M2103" s="31" t="str">
        <f t="shared" si="164"/>
        <v/>
      </c>
    </row>
    <row r="2104" spans="1:13" x14ac:dyDescent="0.15">
      <c r="A2104" s="163" t="s">
        <v>210</v>
      </c>
      <c r="B2104" s="163">
        <v>42330.713553946756</v>
      </c>
      <c r="C2104" s="164" t="s">
        <v>1738</v>
      </c>
      <c r="D2104" s="164" t="s">
        <v>13</v>
      </c>
      <c r="E2104" s="165">
        <v>20</v>
      </c>
      <c r="F2104" s="166">
        <v>0</v>
      </c>
      <c r="G2104" s="227">
        <f>IF($B$2,IF(ROWS(B$6:$B2104) = 1,$B2104-Start_Date,$B2104-$B2103),"")</f>
        <v>4.1746064816834405E-3</v>
      </c>
      <c r="H2104" s="29">
        <f>IF($B$2,IF(ROWS(B$6:$B2104) = 1,IF(COUNTIFS(R_Schedule_Times,"&lt;"&amp;B2104),INDEX(R_Schedule_Amounts,MATCH(B2104,R_Schedule_Times,1)),Starting_Cash),IF(COUNTIFS(R_Schedule_Times,"&gt;"&amp;B2103,R_Schedule_Times,"&lt;"&amp;B2104),INDEX(R_Schedule_Amounts,MATCH(B2104,R_Schedule_Times,1)),K2103)),"")</f>
        <v>3260</v>
      </c>
      <c r="I2104" s="30">
        <f t="shared" si="160"/>
        <v>20</v>
      </c>
      <c r="J2104" s="31">
        <f t="shared" si="161"/>
        <v>0</v>
      </c>
      <c r="K2104" s="29">
        <f t="shared" si="162"/>
        <v>3240</v>
      </c>
      <c r="L2104" s="31" t="str">
        <f t="shared" si="163"/>
        <v/>
      </c>
      <c r="M2104" s="31" t="str">
        <f t="shared" si="164"/>
        <v/>
      </c>
    </row>
    <row r="2105" spans="1:13" x14ac:dyDescent="0.15">
      <c r="A2105" s="163" t="s">
        <v>210</v>
      </c>
      <c r="B2105" s="163">
        <v>42330.721762650464</v>
      </c>
      <c r="C2105" s="164" t="s">
        <v>1984</v>
      </c>
      <c r="D2105" s="164" t="s">
        <v>13</v>
      </c>
      <c r="E2105" s="165">
        <v>80</v>
      </c>
      <c r="F2105" s="166">
        <v>0</v>
      </c>
      <c r="G2105" s="227">
        <f>IF($B$2,IF(ROWS(B$6:$B2105) = 1,$B2105-Start_Date,$B2105-$B2104),"")</f>
        <v>8.2087037080782466E-3</v>
      </c>
      <c r="H2105" s="29">
        <f>IF($B$2,IF(ROWS(B$6:$B2105) = 1,IF(COUNTIFS(R_Schedule_Times,"&lt;"&amp;B2105),INDEX(R_Schedule_Amounts,MATCH(B2105,R_Schedule_Times,1)),Starting_Cash),IF(COUNTIFS(R_Schedule_Times,"&gt;"&amp;B2104,R_Schedule_Times,"&lt;"&amp;B2105),INDEX(R_Schedule_Amounts,MATCH(B2105,R_Schedule_Times,1)),K2104)),"")</f>
        <v>3240</v>
      </c>
      <c r="I2105" s="30">
        <f t="shared" si="160"/>
        <v>80</v>
      </c>
      <c r="J2105" s="31">
        <f t="shared" si="161"/>
        <v>0</v>
      </c>
      <c r="K2105" s="29">
        <f t="shared" si="162"/>
        <v>3160</v>
      </c>
      <c r="L2105" s="31" t="str">
        <f t="shared" si="163"/>
        <v/>
      </c>
      <c r="M2105" s="31" t="str">
        <f t="shared" si="164"/>
        <v/>
      </c>
    </row>
    <row r="2106" spans="1:13" x14ac:dyDescent="0.15">
      <c r="A2106" s="163" t="s">
        <v>210</v>
      </c>
      <c r="B2106" s="163">
        <v>42330.722490740744</v>
      </c>
      <c r="C2106" s="164" t="s">
        <v>1985</v>
      </c>
      <c r="D2106" s="164" t="s">
        <v>13</v>
      </c>
      <c r="E2106" s="165">
        <v>140</v>
      </c>
      <c r="F2106" s="166">
        <v>0</v>
      </c>
      <c r="G2106" s="227">
        <f>IF($B$2,IF(ROWS(B$6:$B2106) = 1,$B2106-Start_Date,$B2106-$B2105),"")</f>
        <v>7.2809027915354818E-4</v>
      </c>
      <c r="H2106" s="29">
        <f>IF($B$2,IF(ROWS(B$6:$B2106) = 1,IF(COUNTIFS(R_Schedule_Times,"&lt;"&amp;B2106),INDEX(R_Schedule_Amounts,MATCH(B2106,R_Schedule_Times,1)),Starting_Cash),IF(COUNTIFS(R_Schedule_Times,"&gt;"&amp;B2105,R_Schedule_Times,"&lt;"&amp;B2106),INDEX(R_Schedule_Amounts,MATCH(B2106,R_Schedule_Times,1)),K2105)),"")</f>
        <v>3160</v>
      </c>
      <c r="I2106" s="30">
        <f t="shared" si="160"/>
        <v>140</v>
      </c>
      <c r="J2106" s="31">
        <f t="shared" si="161"/>
        <v>0</v>
      </c>
      <c r="K2106" s="29">
        <f t="shared" si="162"/>
        <v>3020</v>
      </c>
      <c r="L2106" s="31" t="str">
        <f t="shared" si="163"/>
        <v/>
      </c>
      <c r="M2106" s="31" t="str">
        <f t="shared" si="164"/>
        <v/>
      </c>
    </row>
    <row r="2107" spans="1:13" x14ac:dyDescent="0.15">
      <c r="A2107" s="163" t="s">
        <v>210</v>
      </c>
      <c r="B2107" s="163">
        <v>42330.778693368055</v>
      </c>
      <c r="C2107" s="164" t="s">
        <v>1986</v>
      </c>
      <c r="D2107" s="164" t="s">
        <v>13</v>
      </c>
      <c r="E2107" s="165">
        <v>40</v>
      </c>
      <c r="F2107" s="166">
        <v>0</v>
      </c>
      <c r="G2107" s="227">
        <f>IF($B$2,IF(ROWS(B$6:$B2107) = 1,$B2107-Start_Date,$B2107-$B2106),"")</f>
        <v>5.6202627310995013E-2</v>
      </c>
      <c r="H2107" s="29">
        <f>IF($B$2,IF(ROWS(B$6:$B2107) = 1,IF(COUNTIFS(R_Schedule_Times,"&lt;"&amp;B2107),INDEX(R_Schedule_Amounts,MATCH(B2107,R_Schedule_Times,1)),Starting_Cash),IF(COUNTIFS(R_Schedule_Times,"&gt;"&amp;B2106,R_Schedule_Times,"&lt;"&amp;B2107),INDEX(R_Schedule_Amounts,MATCH(B2107,R_Schedule_Times,1)),K2106)),"")</f>
        <v>3020</v>
      </c>
      <c r="I2107" s="30">
        <f t="shared" si="160"/>
        <v>40</v>
      </c>
      <c r="J2107" s="31">
        <f t="shared" si="161"/>
        <v>0</v>
      </c>
      <c r="K2107" s="29">
        <f t="shared" si="162"/>
        <v>2980</v>
      </c>
      <c r="L2107" s="31" t="str">
        <f t="shared" si="163"/>
        <v/>
      </c>
      <c r="M2107" s="31" t="str">
        <f t="shared" si="164"/>
        <v/>
      </c>
    </row>
    <row r="2108" spans="1:13" x14ac:dyDescent="0.15">
      <c r="A2108" s="163" t="s">
        <v>210</v>
      </c>
      <c r="B2108" s="163">
        <v>42330.782006631947</v>
      </c>
      <c r="C2108" s="164" t="s">
        <v>672</v>
      </c>
      <c r="D2108" s="164" t="s">
        <v>13</v>
      </c>
      <c r="E2108" s="165">
        <v>60</v>
      </c>
      <c r="F2108" s="166">
        <v>0</v>
      </c>
      <c r="G2108" s="227">
        <f>IF($B$2,IF(ROWS(B$6:$B2108) = 1,$B2108-Start_Date,$B2108-$B2107),"")</f>
        <v>3.3132638927781954E-3</v>
      </c>
      <c r="H2108" s="29">
        <f>IF($B$2,IF(ROWS(B$6:$B2108) = 1,IF(COUNTIFS(R_Schedule_Times,"&lt;"&amp;B2108),INDEX(R_Schedule_Amounts,MATCH(B2108,R_Schedule_Times,1)),Starting_Cash),IF(COUNTIFS(R_Schedule_Times,"&gt;"&amp;B2107,R_Schedule_Times,"&lt;"&amp;B2108),INDEX(R_Schedule_Amounts,MATCH(B2108,R_Schedule_Times,1)),K2107)),"")</f>
        <v>2980</v>
      </c>
      <c r="I2108" s="30">
        <f t="shared" si="160"/>
        <v>60</v>
      </c>
      <c r="J2108" s="31">
        <f t="shared" si="161"/>
        <v>0</v>
      </c>
      <c r="K2108" s="29">
        <f t="shared" si="162"/>
        <v>2920</v>
      </c>
      <c r="L2108" s="31" t="str">
        <f t="shared" si="163"/>
        <v/>
      </c>
      <c r="M2108" s="31" t="str">
        <f t="shared" si="164"/>
        <v/>
      </c>
    </row>
    <row r="2109" spans="1:13" x14ac:dyDescent="0.15">
      <c r="A2109" s="163" t="s">
        <v>210</v>
      </c>
      <c r="B2109" s="163">
        <v>42330.840828425928</v>
      </c>
      <c r="C2109" s="164" t="s">
        <v>14</v>
      </c>
      <c r="D2109" s="164" t="s">
        <v>13</v>
      </c>
      <c r="E2109" s="165">
        <v>40</v>
      </c>
      <c r="F2109" s="166">
        <v>3.5</v>
      </c>
      <c r="G2109" s="227">
        <f>IF($B$2,IF(ROWS(B$6:$B2109) = 1,$B2109-Start_Date,$B2109-$B2108),"")</f>
        <v>5.8821793980314396E-2</v>
      </c>
      <c r="H2109" s="29">
        <f>IF($B$2,IF(ROWS(B$6:$B2109) = 1,IF(COUNTIFS(R_Schedule_Times,"&lt;"&amp;B2109),INDEX(R_Schedule_Amounts,MATCH(B2109,R_Schedule_Times,1)),Starting_Cash),IF(COUNTIFS(R_Schedule_Times,"&gt;"&amp;B2108,R_Schedule_Times,"&lt;"&amp;B2109),INDEX(R_Schedule_Amounts,MATCH(B2109,R_Schedule_Times,1)),K2108)),"")</f>
        <v>2920</v>
      </c>
      <c r="I2109" s="30">
        <f t="shared" si="160"/>
        <v>40</v>
      </c>
      <c r="J2109" s="31">
        <f t="shared" si="161"/>
        <v>3.5</v>
      </c>
      <c r="K2109" s="29">
        <f t="shared" si="162"/>
        <v>2880</v>
      </c>
      <c r="L2109" s="31" t="str">
        <f t="shared" si="163"/>
        <v/>
      </c>
      <c r="M2109" s="31" t="str">
        <f t="shared" si="164"/>
        <v/>
      </c>
    </row>
    <row r="2110" spans="1:13" x14ac:dyDescent="0.15">
      <c r="A2110" s="163" t="s">
        <v>210</v>
      </c>
      <c r="B2110" s="163">
        <v>42331.231854756945</v>
      </c>
      <c r="C2110" s="164" t="s">
        <v>1987</v>
      </c>
      <c r="D2110" s="164" t="s">
        <v>13</v>
      </c>
      <c r="E2110" s="165">
        <v>20</v>
      </c>
      <c r="F2110" s="166">
        <v>0</v>
      </c>
      <c r="G2110" s="227">
        <f>IF($B$2,IF(ROWS(B$6:$B2110) = 1,$B2110-Start_Date,$B2110-$B2109),"")</f>
        <v>0.3910263310172013</v>
      </c>
      <c r="H2110" s="29">
        <f>IF($B$2,IF(ROWS(B$6:$B2110) = 1,IF(COUNTIFS(R_Schedule_Times,"&lt;"&amp;B2110),INDEX(R_Schedule_Amounts,MATCH(B2110,R_Schedule_Times,1)),Starting_Cash),IF(COUNTIFS(R_Schedule_Times,"&gt;"&amp;B2109,R_Schedule_Times,"&lt;"&amp;B2110),INDEX(R_Schedule_Amounts,MATCH(B2110,R_Schedule_Times,1)),K2109)),"")</f>
        <v>11000</v>
      </c>
      <c r="I2110" s="30">
        <f t="shared" si="160"/>
        <v>20</v>
      </c>
      <c r="J2110" s="31">
        <f t="shared" si="161"/>
        <v>0</v>
      </c>
      <c r="K2110" s="29">
        <f t="shared" si="162"/>
        <v>10980</v>
      </c>
      <c r="L2110" s="31" t="str">
        <f t="shared" si="163"/>
        <v/>
      </c>
      <c r="M2110" s="31" t="str">
        <f t="shared" si="164"/>
        <v/>
      </c>
    </row>
    <row r="2111" spans="1:13" x14ac:dyDescent="0.15">
      <c r="A2111" s="163" t="s">
        <v>210</v>
      </c>
      <c r="B2111" s="163">
        <v>42331.246608449073</v>
      </c>
      <c r="C2111" s="164" t="s">
        <v>1988</v>
      </c>
      <c r="D2111" s="164" t="s">
        <v>13</v>
      </c>
      <c r="E2111" s="165">
        <v>40</v>
      </c>
      <c r="F2111" s="166">
        <v>0</v>
      </c>
      <c r="G2111" s="227">
        <f>IF($B$2,IF(ROWS(B$6:$B2111) = 1,$B2111-Start_Date,$B2111-$B2110),"")</f>
        <v>1.4753692128579132E-2</v>
      </c>
      <c r="H2111" s="29">
        <f>IF($B$2,IF(ROWS(B$6:$B2111) = 1,IF(COUNTIFS(R_Schedule_Times,"&lt;"&amp;B2111),INDEX(R_Schedule_Amounts,MATCH(B2111,R_Schedule_Times,1)),Starting_Cash),IF(COUNTIFS(R_Schedule_Times,"&gt;"&amp;B2110,R_Schedule_Times,"&lt;"&amp;B2111),INDEX(R_Schedule_Amounts,MATCH(B2111,R_Schedule_Times,1)),K2110)),"")</f>
        <v>10980</v>
      </c>
      <c r="I2111" s="30">
        <f t="shared" si="160"/>
        <v>40</v>
      </c>
      <c r="J2111" s="31">
        <f t="shared" si="161"/>
        <v>0</v>
      </c>
      <c r="K2111" s="29">
        <f t="shared" si="162"/>
        <v>10940</v>
      </c>
      <c r="L2111" s="31" t="str">
        <f t="shared" si="163"/>
        <v/>
      </c>
      <c r="M2111" s="31" t="str">
        <f t="shared" si="164"/>
        <v/>
      </c>
    </row>
    <row r="2112" spans="1:13" x14ac:dyDescent="0.15">
      <c r="A2112" s="163" t="s">
        <v>210</v>
      </c>
      <c r="B2112" s="163">
        <v>42331.256989085647</v>
      </c>
      <c r="C2112" s="164" t="s">
        <v>1989</v>
      </c>
      <c r="D2112" s="164" t="s">
        <v>13</v>
      </c>
      <c r="E2112" s="165">
        <v>40</v>
      </c>
      <c r="F2112" s="166">
        <v>0</v>
      </c>
      <c r="G2112" s="227">
        <f>IF($B$2,IF(ROWS(B$6:$B2112) = 1,$B2112-Start_Date,$B2112-$B2111),"")</f>
        <v>1.0380636573245283E-2</v>
      </c>
      <c r="H2112" s="29">
        <f>IF($B$2,IF(ROWS(B$6:$B2112) = 1,IF(COUNTIFS(R_Schedule_Times,"&lt;"&amp;B2112),INDEX(R_Schedule_Amounts,MATCH(B2112,R_Schedule_Times,1)),Starting_Cash),IF(COUNTIFS(R_Schedule_Times,"&gt;"&amp;B2111,R_Schedule_Times,"&lt;"&amp;B2112),INDEX(R_Schedule_Amounts,MATCH(B2112,R_Schedule_Times,1)),K2111)),"")</f>
        <v>10940</v>
      </c>
      <c r="I2112" s="30">
        <f t="shared" si="160"/>
        <v>40</v>
      </c>
      <c r="J2112" s="31">
        <f t="shared" si="161"/>
        <v>0</v>
      </c>
      <c r="K2112" s="29">
        <f t="shared" si="162"/>
        <v>10900</v>
      </c>
      <c r="L2112" s="31" t="str">
        <f t="shared" si="163"/>
        <v/>
      </c>
      <c r="M2112" s="31" t="str">
        <f t="shared" si="164"/>
        <v/>
      </c>
    </row>
    <row r="2113" spans="1:13" x14ac:dyDescent="0.15">
      <c r="A2113" s="163" t="s">
        <v>210</v>
      </c>
      <c r="B2113" s="163">
        <v>42331.310725555559</v>
      </c>
      <c r="C2113" s="164" t="s">
        <v>1990</v>
      </c>
      <c r="D2113" s="164" t="s">
        <v>13</v>
      </c>
      <c r="E2113" s="165">
        <v>60</v>
      </c>
      <c r="F2113" s="166">
        <v>0</v>
      </c>
      <c r="G2113" s="227">
        <f>IF($B$2,IF(ROWS(B$6:$B2113) = 1,$B2113-Start_Date,$B2113-$B2112),"")</f>
        <v>5.3736469912109897E-2</v>
      </c>
      <c r="H2113" s="29">
        <f>IF($B$2,IF(ROWS(B$6:$B2113) = 1,IF(COUNTIFS(R_Schedule_Times,"&lt;"&amp;B2113),INDEX(R_Schedule_Amounts,MATCH(B2113,R_Schedule_Times,1)),Starting_Cash),IF(COUNTIFS(R_Schedule_Times,"&gt;"&amp;B2112,R_Schedule_Times,"&lt;"&amp;B2113),INDEX(R_Schedule_Amounts,MATCH(B2113,R_Schedule_Times,1)),K2112)),"")</f>
        <v>10900</v>
      </c>
      <c r="I2113" s="30">
        <f t="shared" si="160"/>
        <v>60</v>
      </c>
      <c r="J2113" s="31">
        <f t="shared" si="161"/>
        <v>0</v>
      </c>
      <c r="K2113" s="29">
        <f t="shared" si="162"/>
        <v>10840</v>
      </c>
      <c r="L2113" s="31" t="str">
        <f t="shared" si="163"/>
        <v/>
      </c>
      <c r="M2113" s="31" t="str">
        <f t="shared" si="164"/>
        <v/>
      </c>
    </row>
    <row r="2114" spans="1:13" x14ac:dyDescent="0.15">
      <c r="A2114" s="163" t="s">
        <v>210</v>
      </c>
      <c r="B2114" s="163">
        <v>42331.347232118052</v>
      </c>
      <c r="C2114" s="164" t="s">
        <v>1991</v>
      </c>
      <c r="D2114" s="164" t="s">
        <v>13</v>
      </c>
      <c r="E2114" s="165">
        <v>20</v>
      </c>
      <c r="F2114" s="166">
        <v>0</v>
      </c>
      <c r="G2114" s="227">
        <f>IF($B$2,IF(ROWS(B$6:$B2114) = 1,$B2114-Start_Date,$B2114-$B2113),"")</f>
        <v>3.6506562493741512E-2</v>
      </c>
      <c r="H2114" s="29">
        <f>IF($B$2,IF(ROWS(B$6:$B2114) = 1,IF(COUNTIFS(R_Schedule_Times,"&lt;"&amp;B2114),INDEX(R_Schedule_Amounts,MATCH(B2114,R_Schedule_Times,1)),Starting_Cash),IF(COUNTIFS(R_Schedule_Times,"&gt;"&amp;B2113,R_Schedule_Times,"&lt;"&amp;B2114),INDEX(R_Schedule_Amounts,MATCH(B2114,R_Schedule_Times,1)),K2113)),"")</f>
        <v>10840</v>
      </c>
      <c r="I2114" s="30">
        <f t="shared" si="160"/>
        <v>20</v>
      </c>
      <c r="J2114" s="31">
        <f t="shared" si="161"/>
        <v>0</v>
      </c>
      <c r="K2114" s="29">
        <f t="shared" si="162"/>
        <v>10820</v>
      </c>
      <c r="L2114" s="31" t="str">
        <f t="shared" si="163"/>
        <v/>
      </c>
      <c r="M2114" s="31" t="str">
        <f t="shared" si="164"/>
        <v/>
      </c>
    </row>
    <row r="2115" spans="1:13" x14ac:dyDescent="0.15">
      <c r="A2115" s="163" t="s">
        <v>210</v>
      </c>
      <c r="B2115" s="163">
        <v>42331.348380324074</v>
      </c>
      <c r="C2115" s="164" t="s">
        <v>1992</v>
      </c>
      <c r="D2115" s="164" t="s">
        <v>13</v>
      </c>
      <c r="E2115" s="165">
        <v>100</v>
      </c>
      <c r="F2115" s="166">
        <v>0</v>
      </c>
      <c r="G2115" s="227">
        <f>IF($B$2,IF(ROWS(B$6:$B2115) = 1,$B2115-Start_Date,$B2115-$B2114),"")</f>
        <v>1.1482060217531398E-3</v>
      </c>
      <c r="H2115" s="29">
        <f>IF($B$2,IF(ROWS(B$6:$B2115) = 1,IF(COUNTIFS(R_Schedule_Times,"&lt;"&amp;B2115),INDEX(R_Schedule_Amounts,MATCH(B2115,R_Schedule_Times,1)),Starting_Cash),IF(COUNTIFS(R_Schedule_Times,"&gt;"&amp;B2114,R_Schedule_Times,"&lt;"&amp;B2115),INDEX(R_Schedule_Amounts,MATCH(B2115,R_Schedule_Times,1)),K2114)),"")</f>
        <v>10820</v>
      </c>
      <c r="I2115" s="30">
        <f t="shared" si="160"/>
        <v>100</v>
      </c>
      <c r="J2115" s="31">
        <f t="shared" si="161"/>
        <v>0</v>
      </c>
      <c r="K2115" s="29">
        <f t="shared" si="162"/>
        <v>10720</v>
      </c>
      <c r="L2115" s="31" t="str">
        <f t="shared" si="163"/>
        <v/>
      </c>
      <c r="M2115" s="31" t="str">
        <f t="shared" si="164"/>
        <v/>
      </c>
    </row>
    <row r="2116" spans="1:13" x14ac:dyDescent="0.15">
      <c r="A2116" s="163" t="s">
        <v>210</v>
      </c>
      <c r="B2116" s="163">
        <v>42331.359725208335</v>
      </c>
      <c r="C2116" s="164" t="s">
        <v>463</v>
      </c>
      <c r="D2116" s="164" t="s">
        <v>13</v>
      </c>
      <c r="E2116" s="165">
        <v>100</v>
      </c>
      <c r="F2116" s="166">
        <v>0</v>
      </c>
      <c r="G2116" s="227">
        <f>IF($B$2,IF(ROWS(B$6:$B2116) = 1,$B2116-Start_Date,$B2116-$B2115),"")</f>
        <v>1.1344884260324761E-2</v>
      </c>
      <c r="H2116" s="29">
        <f>IF($B$2,IF(ROWS(B$6:$B2116) = 1,IF(COUNTIFS(R_Schedule_Times,"&lt;"&amp;B2116),INDEX(R_Schedule_Amounts,MATCH(B2116,R_Schedule_Times,1)),Starting_Cash),IF(COUNTIFS(R_Schedule_Times,"&gt;"&amp;B2115,R_Schedule_Times,"&lt;"&amp;B2116),INDEX(R_Schedule_Amounts,MATCH(B2116,R_Schedule_Times,1)),K2115)),"")</f>
        <v>10720</v>
      </c>
      <c r="I2116" s="30">
        <f t="shared" si="160"/>
        <v>100</v>
      </c>
      <c r="J2116" s="31">
        <f t="shared" si="161"/>
        <v>0</v>
      </c>
      <c r="K2116" s="29">
        <f t="shared" si="162"/>
        <v>10620</v>
      </c>
      <c r="L2116" s="31" t="str">
        <f t="shared" si="163"/>
        <v/>
      </c>
      <c r="M2116" s="31" t="str">
        <f t="shared" si="164"/>
        <v/>
      </c>
    </row>
    <row r="2117" spans="1:13" x14ac:dyDescent="0.15">
      <c r="A2117" s="163" t="s">
        <v>210</v>
      </c>
      <c r="B2117" s="163">
        <v>42331.385588518518</v>
      </c>
      <c r="C2117" s="164" t="s">
        <v>1341</v>
      </c>
      <c r="D2117" s="164" t="s">
        <v>13</v>
      </c>
      <c r="E2117" s="165">
        <v>200</v>
      </c>
      <c r="F2117" s="166">
        <v>0</v>
      </c>
      <c r="G2117" s="227">
        <f>IF($B$2,IF(ROWS(B$6:$B2117) = 1,$B2117-Start_Date,$B2117-$B2116),"")</f>
        <v>2.5863310183922295E-2</v>
      </c>
      <c r="H2117" s="29">
        <f>IF($B$2,IF(ROWS(B$6:$B2117) = 1,IF(COUNTIFS(R_Schedule_Times,"&lt;"&amp;B2117),INDEX(R_Schedule_Amounts,MATCH(B2117,R_Schedule_Times,1)),Starting_Cash),IF(COUNTIFS(R_Schedule_Times,"&gt;"&amp;B2116,R_Schedule_Times,"&lt;"&amp;B2117),INDEX(R_Schedule_Amounts,MATCH(B2117,R_Schedule_Times,1)),K2116)),"")</f>
        <v>10620</v>
      </c>
      <c r="I2117" s="30">
        <f t="shared" si="160"/>
        <v>200</v>
      </c>
      <c r="J2117" s="31">
        <f t="shared" si="161"/>
        <v>0</v>
      </c>
      <c r="K2117" s="29">
        <f t="shared" si="162"/>
        <v>10420</v>
      </c>
      <c r="L2117" s="31" t="str">
        <f t="shared" si="163"/>
        <v/>
      </c>
      <c r="M2117" s="31" t="str">
        <f t="shared" si="164"/>
        <v/>
      </c>
    </row>
    <row r="2118" spans="1:13" x14ac:dyDescent="0.15">
      <c r="A2118" s="163" t="s">
        <v>210</v>
      </c>
      <c r="B2118" s="163">
        <v>42331.39848689815</v>
      </c>
      <c r="C2118" s="164" t="s">
        <v>1892</v>
      </c>
      <c r="D2118" s="164" t="s">
        <v>13</v>
      </c>
      <c r="E2118" s="165">
        <v>100</v>
      </c>
      <c r="F2118" s="166">
        <v>0</v>
      </c>
      <c r="G2118" s="227">
        <f>IF($B$2,IF(ROWS(B$6:$B2118) = 1,$B2118-Start_Date,$B2118-$B2117),"")</f>
        <v>1.2898379631224088E-2</v>
      </c>
      <c r="H2118" s="29">
        <f>IF($B$2,IF(ROWS(B$6:$B2118) = 1,IF(COUNTIFS(R_Schedule_Times,"&lt;"&amp;B2118),INDEX(R_Schedule_Amounts,MATCH(B2118,R_Schedule_Times,1)),Starting_Cash),IF(COUNTIFS(R_Schedule_Times,"&gt;"&amp;B2117,R_Schedule_Times,"&lt;"&amp;B2118),INDEX(R_Schedule_Amounts,MATCH(B2118,R_Schedule_Times,1)),K2117)),"")</f>
        <v>10420</v>
      </c>
      <c r="I2118" s="30">
        <f t="shared" si="160"/>
        <v>100</v>
      </c>
      <c r="J2118" s="31">
        <f t="shared" si="161"/>
        <v>0</v>
      </c>
      <c r="K2118" s="29">
        <f t="shared" si="162"/>
        <v>10320</v>
      </c>
      <c r="L2118" s="31" t="str">
        <f t="shared" si="163"/>
        <v/>
      </c>
      <c r="M2118" s="31" t="str">
        <f t="shared" si="164"/>
        <v/>
      </c>
    </row>
    <row r="2119" spans="1:13" x14ac:dyDescent="0.15">
      <c r="A2119" s="163" t="s">
        <v>210</v>
      </c>
      <c r="B2119" s="163">
        <v>42331.443813715276</v>
      </c>
      <c r="C2119" s="164" t="s">
        <v>1399</v>
      </c>
      <c r="D2119" s="164" t="s">
        <v>13</v>
      </c>
      <c r="E2119" s="165">
        <v>180</v>
      </c>
      <c r="F2119" s="166">
        <v>0</v>
      </c>
      <c r="G2119" s="227">
        <f>IF($B$2,IF(ROWS(B$6:$B2119) = 1,$B2119-Start_Date,$B2119-$B2118),"")</f>
        <v>4.5326817125896923E-2</v>
      </c>
      <c r="H2119" s="29">
        <f>IF($B$2,IF(ROWS(B$6:$B2119) = 1,IF(COUNTIFS(R_Schedule_Times,"&lt;"&amp;B2119),INDEX(R_Schedule_Amounts,MATCH(B2119,R_Schedule_Times,1)),Starting_Cash),IF(COUNTIFS(R_Schedule_Times,"&gt;"&amp;B2118,R_Schedule_Times,"&lt;"&amp;B2119),INDEX(R_Schedule_Amounts,MATCH(B2119,R_Schedule_Times,1)),K2118)),"")</f>
        <v>10320</v>
      </c>
      <c r="I2119" s="30">
        <f t="shared" ref="I2119:I2182" si="165">IF($B$2,IF(H2119&gt;=E2119,E2119,0),"")</f>
        <v>180</v>
      </c>
      <c r="J2119" s="31">
        <f t="shared" ref="J2119:J2182" si="166">IF($B$2,IF(H2119&gt;=E2119,F2119,0),"")</f>
        <v>0</v>
      </c>
      <c r="K2119" s="29">
        <f t="shared" ref="K2119:K2182" si="167">IF($B$2,ABS(I2119-H2119),"")</f>
        <v>10140</v>
      </c>
      <c r="L2119" s="31" t="str">
        <f t="shared" ref="L2119:L2182" si="168">IF($B$2,IF(H2119&lt;E2119,"YES",""),"")</f>
        <v/>
      </c>
      <c r="M2119" s="31" t="str">
        <f t="shared" ref="M2119:M2182" si="169">IF($B$2,IF(L2119="YES",F2119,""),"")</f>
        <v/>
      </c>
    </row>
    <row r="2120" spans="1:13" x14ac:dyDescent="0.15">
      <c r="A2120" s="163" t="s">
        <v>210</v>
      </c>
      <c r="B2120" s="163">
        <v>42331.445410671295</v>
      </c>
      <c r="C2120" s="164" t="s">
        <v>1993</v>
      </c>
      <c r="D2120" s="164" t="s">
        <v>13</v>
      </c>
      <c r="E2120" s="165">
        <v>100</v>
      </c>
      <c r="F2120" s="166">
        <v>0</v>
      </c>
      <c r="G2120" s="227">
        <f>IF($B$2,IF(ROWS(B$6:$B2120) = 1,$B2120-Start_Date,$B2120-$B2119),"")</f>
        <v>1.5969560190569609E-3</v>
      </c>
      <c r="H2120" s="29">
        <f>IF($B$2,IF(ROWS(B$6:$B2120) = 1,IF(COUNTIFS(R_Schedule_Times,"&lt;"&amp;B2120),INDEX(R_Schedule_Amounts,MATCH(B2120,R_Schedule_Times,1)),Starting_Cash),IF(COUNTIFS(R_Schedule_Times,"&gt;"&amp;B2119,R_Schedule_Times,"&lt;"&amp;B2120),INDEX(R_Schedule_Amounts,MATCH(B2120,R_Schedule_Times,1)),K2119)),"")</f>
        <v>10140</v>
      </c>
      <c r="I2120" s="30">
        <f t="shared" si="165"/>
        <v>100</v>
      </c>
      <c r="J2120" s="31">
        <f t="shared" si="166"/>
        <v>0</v>
      </c>
      <c r="K2120" s="29">
        <f t="shared" si="167"/>
        <v>10040</v>
      </c>
      <c r="L2120" s="31" t="str">
        <f t="shared" si="168"/>
        <v/>
      </c>
      <c r="M2120" s="31" t="str">
        <f t="shared" si="169"/>
        <v/>
      </c>
    </row>
    <row r="2121" spans="1:13" x14ac:dyDescent="0.15">
      <c r="A2121" s="163" t="s">
        <v>210</v>
      </c>
      <c r="B2121" s="163">
        <v>42331.4675234838</v>
      </c>
      <c r="C2121" s="164" t="s">
        <v>1994</v>
      </c>
      <c r="D2121" s="164" t="s">
        <v>13</v>
      </c>
      <c r="E2121" s="165">
        <v>20</v>
      </c>
      <c r="F2121" s="166">
        <v>0</v>
      </c>
      <c r="G2121" s="227">
        <f>IF($B$2,IF(ROWS(B$6:$B2121) = 1,$B2121-Start_Date,$B2121-$B2120),"")</f>
        <v>2.2112812504929025E-2</v>
      </c>
      <c r="H2121" s="29">
        <f>IF($B$2,IF(ROWS(B$6:$B2121) = 1,IF(COUNTIFS(R_Schedule_Times,"&lt;"&amp;B2121),INDEX(R_Schedule_Amounts,MATCH(B2121,R_Schedule_Times,1)),Starting_Cash),IF(COUNTIFS(R_Schedule_Times,"&gt;"&amp;B2120,R_Schedule_Times,"&lt;"&amp;B2121),INDEX(R_Schedule_Amounts,MATCH(B2121,R_Schedule_Times,1)),K2120)),"")</f>
        <v>10040</v>
      </c>
      <c r="I2121" s="30">
        <f t="shared" si="165"/>
        <v>20</v>
      </c>
      <c r="J2121" s="31">
        <f t="shared" si="166"/>
        <v>0</v>
      </c>
      <c r="K2121" s="29">
        <f t="shared" si="167"/>
        <v>10020</v>
      </c>
      <c r="L2121" s="31" t="str">
        <f t="shared" si="168"/>
        <v/>
      </c>
      <c r="M2121" s="31" t="str">
        <f t="shared" si="169"/>
        <v/>
      </c>
    </row>
    <row r="2122" spans="1:13" x14ac:dyDescent="0.15">
      <c r="A2122" s="163" t="s">
        <v>210</v>
      </c>
      <c r="B2122" s="163">
        <v>42331.468075196761</v>
      </c>
      <c r="C2122" s="164" t="s">
        <v>1202</v>
      </c>
      <c r="D2122" s="164" t="s">
        <v>13</v>
      </c>
      <c r="E2122" s="165">
        <v>300</v>
      </c>
      <c r="F2122" s="166">
        <v>0</v>
      </c>
      <c r="G2122" s="227">
        <f>IF($B$2,IF(ROWS(B$6:$B2122) = 1,$B2122-Start_Date,$B2122-$B2121),"")</f>
        <v>5.5171296116895974E-4</v>
      </c>
      <c r="H2122" s="29">
        <f>IF($B$2,IF(ROWS(B$6:$B2122) = 1,IF(COUNTIFS(R_Schedule_Times,"&lt;"&amp;B2122),INDEX(R_Schedule_Amounts,MATCH(B2122,R_Schedule_Times,1)),Starting_Cash),IF(COUNTIFS(R_Schedule_Times,"&gt;"&amp;B2121,R_Schedule_Times,"&lt;"&amp;B2122),INDEX(R_Schedule_Amounts,MATCH(B2122,R_Schedule_Times,1)),K2121)),"")</f>
        <v>10020</v>
      </c>
      <c r="I2122" s="30">
        <f t="shared" si="165"/>
        <v>300</v>
      </c>
      <c r="J2122" s="31">
        <f t="shared" si="166"/>
        <v>0</v>
      </c>
      <c r="K2122" s="29">
        <f t="shared" si="167"/>
        <v>9720</v>
      </c>
      <c r="L2122" s="31" t="str">
        <f t="shared" si="168"/>
        <v/>
      </c>
      <c r="M2122" s="31" t="str">
        <f t="shared" si="169"/>
        <v/>
      </c>
    </row>
    <row r="2123" spans="1:13" x14ac:dyDescent="0.15">
      <c r="A2123" s="163" t="s">
        <v>210</v>
      </c>
      <c r="B2123" s="163">
        <v>42331.490415509259</v>
      </c>
      <c r="C2123" s="164" t="s">
        <v>1995</v>
      </c>
      <c r="D2123" s="164" t="s">
        <v>13</v>
      </c>
      <c r="E2123" s="165">
        <v>40</v>
      </c>
      <c r="F2123" s="166">
        <v>0</v>
      </c>
      <c r="G2123" s="227">
        <f>IF($B$2,IF(ROWS(B$6:$B2123) = 1,$B2123-Start_Date,$B2123-$B2122),"")</f>
        <v>2.2340312498272397E-2</v>
      </c>
      <c r="H2123" s="29">
        <f>IF($B$2,IF(ROWS(B$6:$B2123) = 1,IF(COUNTIFS(R_Schedule_Times,"&lt;"&amp;B2123),INDEX(R_Schedule_Amounts,MATCH(B2123,R_Schedule_Times,1)),Starting_Cash),IF(COUNTIFS(R_Schedule_Times,"&gt;"&amp;B2122,R_Schedule_Times,"&lt;"&amp;B2123),INDEX(R_Schedule_Amounts,MATCH(B2123,R_Schedule_Times,1)),K2122)),"")</f>
        <v>9720</v>
      </c>
      <c r="I2123" s="30">
        <f t="shared" si="165"/>
        <v>40</v>
      </c>
      <c r="J2123" s="31">
        <f t="shared" si="166"/>
        <v>0</v>
      </c>
      <c r="K2123" s="29">
        <f t="shared" si="167"/>
        <v>9680</v>
      </c>
      <c r="L2123" s="31" t="str">
        <f t="shared" si="168"/>
        <v/>
      </c>
      <c r="M2123" s="31" t="str">
        <f t="shared" si="169"/>
        <v/>
      </c>
    </row>
    <row r="2124" spans="1:13" x14ac:dyDescent="0.15">
      <c r="A2124" s="163" t="s">
        <v>210</v>
      </c>
      <c r="B2124" s="163">
        <v>42331.49703979167</v>
      </c>
      <c r="C2124" s="164" t="s">
        <v>1996</v>
      </c>
      <c r="D2124" s="164" t="s">
        <v>13</v>
      </c>
      <c r="E2124" s="165">
        <v>100</v>
      </c>
      <c r="F2124" s="166">
        <v>0</v>
      </c>
      <c r="G2124" s="227">
        <f>IF($B$2,IF(ROWS(B$6:$B2124) = 1,$B2124-Start_Date,$B2124-$B2123),"")</f>
        <v>6.6242824104847386E-3</v>
      </c>
      <c r="H2124" s="29">
        <f>IF($B$2,IF(ROWS(B$6:$B2124) = 1,IF(COUNTIFS(R_Schedule_Times,"&lt;"&amp;B2124),INDEX(R_Schedule_Amounts,MATCH(B2124,R_Schedule_Times,1)),Starting_Cash),IF(COUNTIFS(R_Schedule_Times,"&gt;"&amp;B2123,R_Schedule_Times,"&lt;"&amp;B2124),INDEX(R_Schedule_Amounts,MATCH(B2124,R_Schedule_Times,1)),K2123)),"")</f>
        <v>9680</v>
      </c>
      <c r="I2124" s="30">
        <f t="shared" si="165"/>
        <v>100</v>
      </c>
      <c r="J2124" s="31">
        <f t="shared" si="166"/>
        <v>0</v>
      </c>
      <c r="K2124" s="29">
        <f t="shared" si="167"/>
        <v>9580</v>
      </c>
      <c r="L2124" s="31" t="str">
        <f t="shared" si="168"/>
        <v/>
      </c>
      <c r="M2124" s="31" t="str">
        <f t="shared" si="169"/>
        <v/>
      </c>
    </row>
    <row r="2125" spans="1:13" x14ac:dyDescent="0.15">
      <c r="A2125" s="163" t="s">
        <v>210</v>
      </c>
      <c r="B2125" s="163">
        <v>42331.501895694448</v>
      </c>
      <c r="C2125" s="164" t="s">
        <v>1368</v>
      </c>
      <c r="D2125" s="164" t="s">
        <v>13</v>
      </c>
      <c r="E2125" s="165">
        <v>20</v>
      </c>
      <c r="F2125" s="166">
        <v>0</v>
      </c>
      <c r="G2125" s="227">
        <f>IF($B$2,IF(ROWS(B$6:$B2125) = 1,$B2125-Start_Date,$B2125-$B2124),"")</f>
        <v>4.855902778217569E-3</v>
      </c>
      <c r="H2125" s="29">
        <f>IF($B$2,IF(ROWS(B$6:$B2125) = 1,IF(COUNTIFS(R_Schedule_Times,"&lt;"&amp;B2125),INDEX(R_Schedule_Amounts,MATCH(B2125,R_Schedule_Times,1)),Starting_Cash),IF(COUNTIFS(R_Schedule_Times,"&gt;"&amp;B2124,R_Schedule_Times,"&lt;"&amp;B2125),INDEX(R_Schedule_Amounts,MATCH(B2125,R_Schedule_Times,1)),K2124)),"")</f>
        <v>9580</v>
      </c>
      <c r="I2125" s="30">
        <f t="shared" si="165"/>
        <v>20</v>
      </c>
      <c r="J2125" s="31">
        <f t="shared" si="166"/>
        <v>0</v>
      </c>
      <c r="K2125" s="29">
        <f t="shared" si="167"/>
        <v>9560</v>
      </c>
      <c r="L2125" s="31" t="str">
        <f t="shared" si="168"/>
        <v/>
      </c>
      <c r="M2125" s="31" t="str">
        <f t="shared" si="169"/>
        <v/>
      </c>
    </row>
    <row r="2126" spans="1:13" x14ac:dyDescent="0.15">
      <c r="A2126" s="163" t="s">
        <v>210</v>
      </c>
      <c r="B2126" s="163">
        <v>42331.515948298613</v>
      </c>
      <c r="C2126" s="164" t="s">
        <v>14</v>
      </c>
      <c r="D2126" s="164" t="s">
        <v>13</v>
      </c>
      <c r="E2126" s="165">
        <v>80</v>
      </c>
      <c r="F2126" s="166">
        <v>3.5</v>
      </c>
      <c r="G2126" s="227">
        <f>IF($B$2,IF(ROWS(B$6:$B2126) = 1,$B2126-Start_Date,$B2126-$B2125),"")</f>
        <v>1.4052604165044613E-2</v>
      </c>
      <c r="H2126" s="29">
        <f>IF($B$2,IF(ROWS(B$6:$B2126) = 1,IF(COUNTIFS(R_Schedule_Times,"&lt;"&amp;B2126),INDEX(R_Schedule_Amounts,MATCH(B2126,R_Schedule_Times,1)),Starting_Cash),IF(COUNTIFS(R_Schedule_Times,"&gt;"&amp;B2125,R_Schedule_Times,"&lt;"&amp;B2126),INDEX(R_Schedule_Amounts,MATCH(B2126,R_Schedule_Times,1)),K2125)),"")</f>
        <v>9560</v>
      </c>
      <c r="I2126" s="30">
        <f t="shared" si="165"/>
        <v>80</v>
      </c>
      <c r="J2126" s="31">
        <f t="shared" si="166"/>
        <v>3.5</v>
      </c>
      <c r="K2126" s="29">
        <f t="shared" si="167"/>
        <v>9480</v>
      </c>
      <c r="L2126" s="31" t="str">
        <f t="shared" si="168"/>
        <v/>
      </c>
      <c r="M2126" s="31" t="str">
        <f t="shared" si="169"/>
        <v/>
      </c>
    </row>
    <row r="2127" spans="1:13" x14ac:dyDescent="0.15">
      <c r="A2127" s="163" t="s">
        <v>210</v>
      </c>
      <c r="B2127" s="163">
        <v>42331.516500694444</v>
      </c>
      <c r="C2127" s="164" t="s">
        <v>1997</v>
      </c>
      <c r="D2127" s="164" t="s">
        <v>13</v>
      </c>
      <c r="E2127" s="165">
        <v>100</v>
      </c>
      <c r="F2127" s="166">
        <v>0</v>
      </c>
      <c r="G2127" s="227">
        <f>IF($B$2,IF(ROWS(B$6:$B2127) = 1,$B2127-Start_Date,$B2127-$B2126),"")</f>
        <v>5.5239583161892369E-4</v>
      </c>
      <c r="H2127" s="29">
        <f>IF($B$2,IF(ROWS(B$6:$B2127) = 1,IF(COUNTIFS(R_Schedule_Times,"&lt;"&amp;B2127),INDEX(R_Schedule_Amounts,MATCH(B2127,R_Schedule_Times,1)),Starting_Cash),IF(COUNTIFS(R_Schedule_Times,"&gt;"&amp;B2126,R_Schedule_Times,"&lt;"&amp;B2127),INDEX(R_Schedule_Amounts,MATCH(B2127,R_Schedule_Times,1)),K2126)),"")</f>
        <v>9480</v>
      </c>
      <c r="I2127" s="30">
        <f t="shared" si="165"/>
        <v>100</v>
      </c>
      <c r="J2127" s="31">
        <f t="shared" si="166"/>
        <v>0</v>
      </c>
      <c r="K2127" s="29">
        <f t="shared" si="167"/>
        <v>9380</v>
      </c>
      <c r="L2127" s="31" t="str">
        <f t="shared" si="168"/>
        <v/>
      </c>
      <c r="M2127" s="31" t="str">
        <f t="shared" si="169"/>
        <v/>
      </c>
    </row>
    <row r="2128" spans="1:13" x14ac:dyDescent="0.15">
      <c r="A2128" s="163" t="s">
        <v>210</v>
      </c>
      <c r="B2128" s="163">
        <v>42331.523995046293</v>
      </c>
      <c r="C2128" s="164" t="s">
        <v>14</v>
      </c>
      <c r="D2128" s="164" t="s">
        <v>13</v>
      </c>
      <c r="E2128" s="165">
        <v>60</v>
      </c>
      <c r="F2128" s="166">
        <v>3.5</v>
      </c>
      <c r="G2128" s="227">
        <f>IF($B$2,IF(ROWS(B$6:$B2128) = 1,$B2128-Start_Date,$B2128-$B2127),"")</f>
        <v>7.4943518484360538E-3</v>
      </c>
      <c r="H2128" s="29">
        <f>IF($B$2,IF(ROWS(B$6:$B2128) = 1,IF(COUNTIFS(R_Schedule_Times,"&lt;"&amp;B2128),INDEX(R_Schedule_Amounts,MATCH(B2128,R_Schedule_Times,1)),Starting_Cash),IF(COUNTIFS(R_Schedule_Times,"&gt;"&amp;B2127,R_Schedule_Times,"&lt;"&amp;B2128),INDEX(R_Schedule_Amounts,MATCH(B2128,R_Schedule_Times,1)),K2127)),"")</f>
        <v>9380</v>
      </c>
      <c r="I2128" s="30">
        <f t="shared" si="165"/>
        <v>60</v>
      </c>
      <c r="J2128" s="31">
        <f t="shared" si="166"/>
        <v>3.5</v>
      </c>
      <c r="K2128" s="29">
        <f t="shared" si="167"/>
        <v>9320</v>
      </c>
      <c r="L2128" s="31" t="str">
        <f t="shared" si="168"/>
        <v/>
      </c>
      <c r="M2128" s="31" t="str">
        <f t="shared" si="169"/>
        <v/>
      </c>
    </row>
    <row r="2129" spans="1:13" x14ac:dyDescent="0.15">
      <c r="A2129" s="163" t="s">
        <v>210</v>
      </c>
      <c r="B2129" s="163">
        <v>42331.525090671297</v>
      </c>
      <c r="C2129" s="164" t="s">
        <v>1998</v>
      </c>
      <c r="D2129" s="164" t="s">
        <v>13</v>
      </c>
      <c r="E2129" s="165">
        <v>500</v>
      </c>
      <c r="F2129" s="166">
        <v>0</v>
      </c>
      <c r="G2129" s="227">
        <f>IF($B$2,IF(ROWS(B$6:$B2129) = 1,$B2129-Start_Date,$B2129-$B2128),"")</f>
        <v>1.0956250043818727E-3</v>
      </c>
      <c r="H2129" s="29">
        <f>IF($B$2,IF(ROWS(B$6:$B2129) = 1,IF(COUNTIFS(R_Schedule_Times,"&lt;"&amp;B2129),INDEX(R_Schedule_Amounts,MATCH(B2129,R_Schedule_Times,1)),Starting_Cash),IF(COUNTIFS(R_Schedule_Times,"&gt;"&amp;B2128,R_Schedule_Times,"&lt;"&amp;B2129),INDEX(R_Schedule_Amounts,MATCH(B2129,R_Schedule_Times,1)),K2128)),"")</f>
        <v>9320</v>
      </c>
      <c r="I2129" s="30">
        <f t="shared" si="165"/>
        <v>500</v>
      </c>
      <c r="J2129" s="31">
        <f t="shared" si="166"/>
        <v>0</v>
      </c>
      <c r="K2129" s="29">
        <f t="shared" si="167"/>
        <v>8820</v>
      </c>
      <c r="L2129" s="31" t="str">
        <f t="shared" si="168"/>
        <v/>
      </c>
      <c r="M2129" s="31" t="str">
        <f t="shared" si="169"/>
        <v/>
      </c>
    </row>
    <row r="2130" spans="1:13" x14ac:dyDescent="0.15">
      <c r="A2130" s="163" t="s">
        <v>210</v>
      </c>
      <c r="B2130" s="163">
        <v>42331.536743784724</v>
      </c>
      <c r="C2130" s="164" t="s">
        <v>1999</v>
      </c>
      <c r="D2130" s="164" t="s">
        <v>13</v>
      </c>
      <c r="E2130" s="165">
        <v>100</v>
      </c>
      <c r="F2130" s="166">
        <v>0</v>
      </c>
      <c r="G2130" s="227">
        <f>IF($B$2,IF(ROWS(B$6:$B2130) = 1,$B2130-Start_Date,$B2130-$B2129),"")</f>
        <v>1.1653113426291384E-2</v>
      </c>
      <c r="H2130" s="29">
        <f>IF($B$2,IF(ROWS(B$6:$B2130) = 1,IF(COUNTIFS(R_Schedule_Times,"&lt;"&amp;B2130),INDEX(R_Schedule_Amounts,MATCH(B2130,R_Schedule_Times,1)),Starting_Cash),IF(COUNTIFS(R_Schedule_Times,"&gt;"&amp;B2129,R_Schedule_Times,"&lt;"&amp;B2130),INDEX(R_Schedule_Amounts,MATCH(B2130,R_Schedule_Times,1)),K2129)),"")</f>
        <v>8820</v>
      </c>
      <c r="I2130" s="30">
        <f t="shared" si="165"/>
        <v>100</v>
      </c>
      <c r="J2130" s="31">
        <f t="shared" si="166"/>
        <v>0</v>
      </c>
      <c r="K2130" s="29">
        <f t="shared" si="167"/>
        <v>8720</v>
      </c>
      <c r="L2130" s="31" t="str">
        <f t="shared" si="168"/>
        <v/>
      </c>
      <c r="M2130" s="31" t="str">
        <f t="shared" si="169"/>
        <v/>
      </c>
    </row>
    <row r="2131" spans="1:13" x14ac:dyDescent="0.15">
      <c r="A2131" s="163" t="s">
        <v>210</v>
      </c>
      <c r="B2131" s="163">
        <v>42331.541309050925</v>
      </c>
      <c r="C2131" s="164" t="s">
        <v>2000</v>
      </c>
      <c r="D2131" s="164" t="s">
        <v>13</v>
      </c>
      <c r="E2131" s="165">
        <v>100</v>
      </c>
      <c r="F2131" s="166">
        <v>0</v>
      </c>
      <c r="G2131" s="227">
        <f>IF($B$2,IF(ROWS(B$6:$B2131) = 1,$B2131-Start_Date,$B2131-$B2130),"")</f>
        <v>4.5652662010979839E-3</v>
      </c>
      <c r="H2131" s="29">
        <f>IF($B$2,IF(ROWS(B$6:$B2131) = 1,IF(COUNTIFS(R_Schedule_Times,"&lt;"&amp;B2131),INDEX(R_Schedule_Amounts,MATCH(B2131,R_Schedule_Times,1)),Starting_Cash),IF(COUNTIFS(R_Schedule_Times,"&gt;"&amp;B2130,R_Schedule_Times,"&lt;"&amp;B2131),INDEX(R_Schedule_Amounts,MATCH(B2131,R_Schedule_Times,1)),K2130)),"")</f>
        <v>8720</v>
      </c>
      <c r="I2131" s="30">
        <f t="shared" si="165"/>
        <v>100</v>
      </c>
      <c r="J2131" s="31">
        <f t="shared" si="166"/>
        <v>0</v>
      </c>
      <c r="K2131" s="29">
        <f t="shared" si="167"/>
        <v>8620</v>
      </c>
      <c r="L2131" s="31" t="str">
        <f t="shared" si="168"/>
        <v/>
      </c>
      <c r="M2131" s="31" t="str">
        <f t="shared" si="169"/>
        <v/>
      </c>
    </row>
    <row r="2132" spans="1:13" x14ac:dyDescent="0.15">
      <c r="A2132" s="163" t="s">
        <v>210</v>
      </c>
      <c r="B2132" s="163">
        <v>42331.545014039351</v>
      </c>
      <c r="C2132" s="164" t="s">
        <v>2001</v>
      </c>
      <c r="D2132" s="164" t="s">
        <v>13</v>
      </c>
      <c r="E2132" s="165">
        <v>400</v>
      </c>
      <c r="F2132" s="166">
        <v>0</v>
      </c>
      <c r="G2132" s="227">
        <f>IF($B$2,IF(ROWS(B$6:$B2132) = 1,$B2132-Start_Date,$B2132-$B2131),"")</f>
        <v>3.7049884267617017E-3</v>
      </c>
      <c r="H2132" s="29">
        <f>IF($B$2,IF(ROWS(B$6:$B2132) = 1,IF(COUNTIFS(R_Schedule_Times,"&lt;"&amp;B2132),INDEX(R_Schedule_Amounts,MATCH(B2132,R_Schedule_Times,1)),Starting_Cash),IF(COUNTIFS(R_Schedule_Times,"&gt;"&amp;B2131,R_Schedule_Times,"&lt;"&amp;B2132),INDEX(R_Schedule_Amounts,MATCH(B2132,R_Schedule_Times,1)),K2131)),"")</f>
        <v>8620</v>
      </c>
      <c r="I2132" s="30">
        <f t="shared" si="165"/>
        <v>400</v>
      </c>
      <c r="J2132" s="31">
        <f t="shared" si="166"/>
        <v>0</v>
      </c>
      <c r="K2132" s="29">
        <f t="shared" si="167"/>
        <v>8220</v>
      </c>
      <c r="L2132" s="31" t="str">
        <f t="shared" si="168"/>
        <v/>
      </c>
      <c r="M2132" s="31" t="str">
        <f t="shared" si="169"/>
        <v/>
      </c>
    </row>
    <row r="2133" spans="1:13" x14ac:dyDescent="0.15">
      <c r="A2133" s="163" t="s">
        <v>210</v>
      </c>
      <c r="B2133" s="163">
        <v>42331.550554351852</v>
      </c>
      <c r="C2133" s="164" t="s">
        <v>2002</v>
      </c>
      <c r="D2133" s="164" t="s">
        <v>13</v>
      </c>
      <c r="E2133" s="165">
        <v>200</v>
      </c>
      <c r="F2133" s="166">
        <v>0</v>
      </c>
      <c r="G2133" s="227">
        <f>IF($B$2,IF(ROWS(B$6:$B2133) = 1,$B2133-Start_Date,$B2133-$B2132),"")</f>
        <v>5.5403125006705523E-3</v>
      </c>
      <c r="H2133" s="29">
        <f>IF($B$2,IF(ROWS(B$6:$B2133) = 1,IF(COUNTIFS(R_Schedule_Times,"&lt;"&amp;B2133),INDEX(R_Schedule_Amounts,MATCH(B2133,R_Schedule_Times,1)),Starting_Cash),IF(COUNTIFS(R_Schedule_Times,"&gt;"&amp;B2132,R_Schedule_Times,"&lt;"&amp;B2133),INDEX(R_Schedule_Amounts,MATCH(B2133,R_Schedule_Times,1)),K2132)),"")</f>
        <v>8220</v>
      </c>
      <c r="I2133" s="30">
        <f t="shared" si="165"/>
        <v>200</v>
      </c>
      <c r="J2133" s="31">
        <f t="shared" si="166"/>
        <v>0</v>
      </c>
      <c r="K2133" s="29">
        <f t="shared" si="167"/>
        <v>8020</v>
      </c>
      <c r="L2133" s="31" t="str">
        <f t="shared" si="168"/>
        <v/>
      </c>
      <c r="M2133" s="31" t="str">
        <f t="shared" si="169"/>
        <v/>
      </c>
    </row>
    <row r="2134" spans="1:13" x14ac:dyDescent="0.15">
      <c r="A2134" s="163" t="s">
        <v>210</v>
      </c>
      <c r="B2134" s="163">
        <v>42331.590247245367</v>
      </c>
      <c r="C2134" s="164" t="s">
        <v>2003</v>
      </c>
      <c r="D2134" s="164" t="s">
        <v>13</v>
      </c>
      <c r="E2134" s="165">
        <v>100</v>
      </c>
      <c r="F2134" s="166">
        <v>0</v>
      </c>
      <c r="G2134" s="227">
        <f>IF($B$2,IF(ROWS(B$6:$B2134) = 1,$B2134-Start_Date,$B2134-$B2133),"")</f>
        <v>3.9692893515166361E-2</v>
      </c>
      <c r="H2134" s="29">
        <f>IF($B$2,IF(ROWS(B$6:$B2134) = 1,IF(COUNTIFS(R_Schedule_Times,"&lt;"&amp;B2134),INDEX(R_Schedule_Amounts,MATCH(B2134,R_Schedule_Times,1)),Starting_Cash),IF(COUNTIFS(R_Schedule_Times,"&gt;"&amp;B2133,R_Schedule_Times,"&lt;"&amp;B2134),INDEX(R_Schedule_Amounts,MATCH(B2134,R_Schedule_Times,1)),K2133)),"")</f>
        <v>8020</v>
      </c>
      <c r="I2134" s="30">
        <f t="shared" si="165"/>
        <v>100</v>
      </c>
      <c r="J2134" s="31">
        <f t="shared" si="166"/>
        <v>0</v>
      </c>
      <c r="K2134" s="29">
        <f t="shared" si="167"/>
        <v>7920</v>
      </c>
      <c r="L2134" s="31" t="str">
        <f t="shared" si="168"/>
        <v/>
      </c>
      <c r="M2134" s="31" t="str">
        <f t="shared" si="169"/>
        <v/>
      </c>
    </row>
    <row r="2135" spans="1:13" x14ac:dyDescent="0.15">
      <c r="A2135" s="163" t="s">
        <v>210</v>
      </c>
      <c r="B2135" s="163">
        <v>42331.592499965278</v>
      </c>
      <c r="C2135" s="164" t="s">
        <v>2004</v>
      </c>
      <c r="D2135" s="164" t="s">
        <v>13</v>
      </c>
      <c r="E2135" s="165">
        <v>200</v>
      </c>
      <c r="F2135" s="166">
        <v>0</v>
      </c>
      <c r="G2135" s="227">
        <f>IF($B$2,IF(ROWS(B$6:$B2135) = 1,$B2135-Start_Date,$B2135-$B2134),"")</f>
        <v>2.2527199107571505E-3</v>
      </c>
      <c r="H2135" s="29">
        <f>IF($B$2,IF(ROWS(B$6:$B2135) = 1,IF(COUNTIFS(R_Schedule_Times,"&lt;"&amp;B2135),INDEX(R_Schedule_Amounts,MATCH(B2135,R_Schedule_Times,1)),Starting_Cash),IF(COUNTIFS(R_Schedule_Times,"&gt;"&amp;B2134,R_Schedule_Times,"&lt;"&amp;B2135),INDEX(R_Schedule_Amounts,MATCH(B2135,R_Schedule_Times,1)),K2134)),"")</f>
        <v>7920</v>
      </c>
      <c r="I2135" s="30">
        <f t="shared" si="165"/>
        <v>200</v>
      </c>
      <c r="J2135" s="31">
        <f t="shared" si="166"/>
        <v>0</v>
      </c>
      <c r="K2135" s="29">
        <f t="shared" si="167"/>
        <v>7720</v>
      </c>
      <c r="L2135" s="31" t="str">
        <f t="shared" si="168"/>
        <v/>
      </c>
      <c r="M2135" s="31" t="str">
        <f t="shared" si="169"/>
        <v/>
      </c>
    </row>
    <row r="2136" spans="1:13" x14ac:dyDescent="0.15">
      <c r="A2136" s="163" t="s">
        <v>210</v>
      </c>
      <c r="B2136" s="163">
        <v>42331.615161469905</v>
      </c>
      <c r="C2136" s="164" t="s">
        <v>584</v>
      </c>
      <c r="D2136" s="164" t="s">
        <v>13</v>
      </c>
      <c r="E2136" s="165">
        <v>200</v>
      </c>
      <c r="F2136" s="166">
        <v>0</v>
      </c>
      <c r="G2136" s="227">
        <f>IF($B$2,IF(ROWS(B$6:$B2136) = 1,$B2136-Start_Date,$B2136-$B2135),"")</f>
        <v>2.266150462673977E-2</v>
      </c>
      <c r="H2136" s="29">
        <f>IF($B$2,IF(ROWS(B$6:$B2136) = 1,IF(COUNTIFS(R_Schedule_Times,"&lt;"&amp;B2136),INDEX(R_Schedule_Amounts,MATCH(B2136,R_Schedule_Times,1)),Starting_Cash),IF(COUNTIFS(R_Schedule_Times,"&gt;"&amp;B2135,R_Schedule_Times,"&lt;"&amp;B2136),INDEX(R_Schedule_Amounts,MATCH(B2136,R_Schedule_Times,1)),K2135)),"")</f>
        <v>7720</v>
      </c>
      <c r="I2136" s="30">
        <f t="shared" si="165"/>
        <v>200</v>
      </c>
      <c r="J2136" s="31">
        <f t="shared" si="166"/>
        <v>0</v>
      </c>
      <c r="K2136" s="29">
        <f t="shared" si="167"/>
        <v>7520</v>
      </c>
      <c r="L2136" s="31" t="str">
        <f t="shared" si="168"/>
        <v/>
      </c>
      <c r="M2136" s="31" t="str">
        <f t="shared" si="169"/>
        <v/>
      </c>
    </row>
    <row r="2137" spans="1:13" x14ac:dyDescent="0.15">
      <c r="A2137" s="163" t="s">
        <v>210</v>
      </c>
      <c r="B2137" s="163">
        <v>42331.635280405091</v>
      </c>
      <c r="C2137" s="164" t="s">
        <v>2005</v>
      </c>
      <c r="D2137" s="164" t="s">
        <v>13</v>
      </c>
      <c r="E2137" s="165">
        <v>60</v>
      </c>
      <c r="F2137" s="166">
        <v>0</v>
      </c>
      <c r="G2137" s="227">
        <f>IF($B$2,IF(ROWS(B$6:$B2137) = 1,$B2137-Start_Date,$B2137-$B2136),"")</f>
        <v>2.0118935186474118E-2</v>
      </c>
      <c r="H2137" s="29">
        <f>IF($B$2,IF(ROWS(B$6:$B2137) = 1,IF(COUNTIFS(R_Schedule_Times,"&lt;"&amp;B2137),INDEX(R_Schedule_Amounts,MATCH(B2137,R_Schedule_Times,1)),Starting_Cash),IF(COUNTIFS(R_Schedule_Times,"&gt;"&amp;B2136,R_Schedule_Times,"&lt;"&amp;B2137),INDEX(R_Schedule_Amounts,MATCH(B2137,R_Schedule_Times,1)),K2136)),"")</f>
        <v>7520</v>
      </c>
      <c r="I2137" s="30">
        <f t="shared" si="165"/>
        <v>60</v>
      </c>
      <c r="J2137" s="31">
        <f t="shared" si="166"/>
        <v>0</v>
      </c>
      <c r="K2137" s="29">
        <f t="shared" si="167"/>
        <v>7460</v>
      </c>
      <c r="L2137" s="31" t="str">
        <f t="shared" si="168"/>
        <v/>
      </c>
      <c r="M2137" s="31" t="str">
        <f t="shared" si="169"/>
        <v/>
      </c>
    </row>
    <row r="2138" spans="1:13" x14ac:dyDescent="0.15">
      <c r="A2138" s="163" t="s">
        <v>210</v>
      </c>
      <c r="B2138" s="163">
        <v>42331.640410127315</v>
      </c>
      <c r="C2138" s="164" t="s">
        <v>2006</v>
      </c>
      <c r="D2138" s="164" t="s">
        <v>13</v>
      </c>
      <c r="E2138" s="165">
        <v>100</v>
      </c>
      <c r="F2138" s="166">
        <v>0</v>
      </c>
      <c r="G2138" s="227">
        <f>IF($B$2,IF(ROWS(B$6:$B2138) = 1,$B2138-Start_Date,$B2138-$B2137),"")</f>
        <v>5.1297222235007212E-3</v>
      </c>
      <c r="H2138" s="29">
        <f>IF($B$2,IF(ROWS(B$6:$B2138) = 1,IF(COUNTIFS(R_Schedule_Times,"&lt;"&amp;B2138),INDEX(R_Schedule_Amounts,MATCH(B2138,R_Schedule_Times,1)),Starting_Cash),IF(COUNTIFS(R_Schedule_Times,"&gt;"&amp;B2137,R_Schedule_Times,"&lt;"&amp;B2138),INDEX(R_Schedule_Amounts,MATCH(B2138,R_Schedule_Times,1)),K2137)),"")</f>
        <v>7460</v>
      </c>
      <c r="I2138" s="30">
        <f t="shared" si="165"/>
        <v>100</v>
      </c>
      <c r="J2138" s="31">
        <f t="shared" si="166"/>
        <v>0</v>
      </c>
      <c r="K2138" s="29">
        <f t="shared" si="167"/>
        <v>7360</v>
      </c>
      <c r="L2138" s="31" t="str">
        <f t="shared" si="168"/>
        <v/>
      </c>
      <c r="M2138" s="31" t="str">
        <f t="shared" si="169"/>
        <v/>
      </c>
    </row>
    <row r="2139" spans="1:13" x14ac:dyDescent="0.15">
      <c r="A2139" s="163" t="s">
        <v>210</v>
      </c>
      <c r="B2139" s="163">
        <v>42331.644139722222</v>
      </c>
      <c r="C2139" s="164" t="s">
        <v>1146</v>
      </c>
      <c r="D2139" s="164" t="s">
        <v>13</v>
      </c>
      <c r="E2139" s="165">
        <v>120</v>
      </c>
      <c r="F2139" s="166">
        <v>0</v>
      </c>
      <c r="G2139" s="227">
        <f>IF($B$2,IF(ROWS(B$6:$B2139) = 1,$B2139-Start_Date,$B2139-$B2138),"")</f>
        <v>3.7295949077815749E-3</v>
      </c>
      <c r="H2139" s="29">
        <f>IF($B$2,IF(ROWS(B$6:$B2139) = 1,IF(COUNTIFS(R_Schedule_Times,"&lt;"&amp;B2139),INDEX(R_Schedule_Amounts,MATCH(B2139,R_Schedule_Times,1)),Starting_Cash),IF(COUNTIFS(R_Schedule_Times,"&gt;"&amp;B2138,R_Schedule_Times,"&lt;"&amp;B2139),INDEX(R_Schedule_Amounts,MATCH(B2139,R_Schedule_Times,1)),K2138)),"")</f>
        <v>7360</v>
      </c>
      <c r="I2139" s="30">
        <f t="shared" si="165"/>
        <v>120</v>
      </c>
      <c r="J2139" s="31">
        <f t="shared" si="166"/>
        <v>0</v>
      </c>
      <c r="K2139" s="29">
        <f t="shared" si="167"/>
        <v>7240</v>
      </c>
      <c r="L2139" s="31" t="str">
        <f t="shared" si="168"/>
        <v/>
      </c>
      <c r="M2139" s="31" t="str">
        <f t="shared" si="169"/>
        <v/>
      </c>
    </row>
    <row r="2140" spans="1:13" x14ac:dyDescent="0.15">
      <c r="A2140" s="163" t="s">
        <v>210</v>
      </c>
      <c r="B2140" s="163">
        <v>42331.6800353125</v>
      </c>
      <c r="C2140" s="164" t="s">
        <v>2007</v>
      </c>
      <c r="D2140" s="164" t="s">
        <v>13</v>
      </c>
      <c r="E2140" s="165">
        <v>200</v>
      </c>
      <c r="F2140" s="166">
        <v>0</v>
      </c>
      <c r="G2140" s="227">
        <f>IF($B$2,IF(ROWS(B$6:$B2140) = 1,$B2140-Start_Date,$B2140-$B2139),"")</f>
        <v>3.5895590277505107E-2</v>
      </c>
      <c r="H2140" s="29">
        <f>IF($B$2,IF(ROWS(B$6:$B2140) = 1,IF(COUNTIFS(R_Schedule_Times,"&lt;"&amp;B2140),INDEX(R_Schedule_Amounts,MATCH(B2140,R_Schedule_Times,1)),Starting_Cash),IF(COUNTIFS(R_Schedule_Times,"&gt;"&amp;B2139,R_Schedule_Times,"&lt;"&amp;B2140),INDEX(R_Schedule_Amounts,MATCH(B2140,R_Schedule_Times,1)),K2139)),"")</f>
        <v>7240</v>
      </c>
      <c r="I2140" s="30">
        <f t="shared" si="165"/>
        <v>200</v>
      </c>
      <c r="J2140" s="31">
        <f t="shared" si="166"/>
        <v>0</v>
      </c>
      <c r="K2140" s="29">
        <f t="shared" si="167"/>
        <v>7040</v>
      </c>
      <c r="L2140" s="31" t="str">
        <f t="shared" si="168"/>
        <v/>
      </c>
      <c r="M2140" s="31" t="str">
        <f t="shared" si="169"/>
        <v/>
      </c>
    </row>
    <row r="2141" spans="1:13" x14ac:dyDescent="0.15">
      <c r="A2141" s="163" t="s">
        <v>210</v>
      </c>
      <c r="B2141" s="163">
        <v>42331.689200393521</v>
      </c>
      <c r="C2141" s="164" t="s">
        <v>1160</v>
      </c>
      <c r="D2141" s="164" t="s">
        <v>13</v>
      </c>
      <c r="E2141" s="165">
        <v>20</v>
      </c>
      <c r="F2141" s="166">
        <v>0</v>
      </c>
      <c r="G2141" s="227">
        <f>IF($B$2,IF(ROWS(B$6:$B2141) = 1,$B2141-Start_Date,$B2141-$B2140),"")</f>
        <v>9.1650810209102929E-3</v>
      </c>
      <c r="H2141" s="29">
        <f>IF($B$2,IF(ROWS(B$6:$B2141) = 1,IF(COUNTIFS(R_Schedule_Times,"&lt;"&amp;B2141),INDEX(R_Schedule_Amounts,MATCH(B2141,R_Schedule_Times,1)),Starting_Cash),IF(COUNTIFS(R_Schedule_Times,"&gt;"&amp;B2140,R_Schedule_Times,"&lt;"&amp;B2141),INDEX(R_Schedule_Amounts,MATCH(B2141,R_Schedule_Times,1)),K2140)),"")</f>
        <v>7040</v>
      </c>
      <c r="I2141" s="30">
        <f t="shared" si="165"/>
        <v>20</v>
      </c>
      <c r="J2141" s="31">
        <f t="shared" si="166"/>
        <v>0</v>
      </c>
      <c r="K2141" s="29">
        <f t="shared" si="167"/>
        <v>7020</v>
      </c>
      <c r="L2141" s="31" t="str">
        <f t="shared" si="168"/>
        <v/>
      </c>
      <c r="M2141" s="31" t="str">
        <f t="shared" si="169"/>
        <v/>
      </c>
    </row>
    <row r="2142" spans="1:13" x14ac:dyDescent="0.15">
      <c r="A2142" s="163" t="s">
        <v>210</v>
      </c>
      <c r="B2142" s="163">
        <v>42331.69009747685</v>
      </c>
      <c r="C2142" s="164" t="s">
        <v>14</v>
      </c>
      <c r="D2142" s="164" t="s">
        <v>15</v>
      </c>
      <c r="E2142" s="165">
        <v>40</v>
      </c>
      <c r="F2142" s="166">
        <v>3.7</v>
      </c>
      <c r="G2142" s="227">
        <f>IF($B$2,IF(ROWS(B$6:$B2142) = 1,$B2142-Start_Date,$B2142-$B2141),"")</f>
        <v>8.9708332961890846E-4</v>
      </c>
      <c r="H2142" s="29">
        <f>IF($B$2,IF(ROWS(B$6:$B2142) = 1,IF(COUNTIFS(R_Schedule_Times,"&lt;"&amp;B2142),INDEX(R_Schedule_Amounts,MATCH(B2142,R_Schedule_Times,1)),Starting_Cash),IF(COUNTIFS(R_Schedule_Times,"&gt;"&amp;B2141,R_Schedule_Times,"&lt;"&amp;B2142),INDEX(R_Schedule_Amounts,MATCH(B2142,R_Schedule_Times,1)),K2141)),"")</f>
        <v>7020</v>
      </c>
      <c r="I2142" s="30">
        <f t="shared" si="165"/>
        <v>40</v>
      </c>
      <c r="J2142" s="31">
        <f t="shared" si="166"/>
        <v>3.7</v>
      </c>
      <c r="K2142" s="29">
        <f t="shared" si="167"/>
        <v>6980</v>
      </c>
      <c r="L2142" s="31" t="str">
        <f t="shared" si="168"/>
        <v/>
      </c>
      <c r="M2142" s="31" t="str">
        <f t="shared" si="169"/>
        <v/>
      </c>
    </row>
    <row r="2143" spans="1:13" x14ac:dyDescent="0.15">
      <c r="A2143" s="163" t="s">
        <v>210</v>
      </c>
      <c r="B2143" s="163">
        <v>42331.721880775462</v>
      </c>
      <c r="C2143" s="164" t="s">
        <v>14</v>
      </c>
      <c r="D2143" s="164" t="s">
        <v>13</v>
      </c>
      <c r="E2143" s="165">
        <v>140</v>
      </c>
      <c r="F2143" s="166">
        <v>3.5</v>
      </c>
      <c r="G2143" s="227">
        <f>IF($B$2,IF(ROWS(B$6:$B2143) = 1,$B2143-Start_Date,$B2143-$B2142),"")</f>
        <v>3.1783298611117061E-2</v>
      </c>
      <c r="H2143" s="29">
        <f>IF($B$2,IF(ROWS(B$6:$B2143) = 1,IF(COUNTIFS(R_Schedule_Times,"&lt;"&amp;B2143),INDEX(R_Schedule_Amounts,MATCH(B2143,R_Schedule_Times,1)),Starting_Cash),IF(COUNTIFS(R_Schedule_Times,"&gt;"&amp;B2142,R_Schedule_Times,"&lt;"&amp;B2143),INDEX(R_Schedule_Amounts,MATCH(B2143,R_Schedule_Times,1)),K2142)),"")</f>
        <v>6980</v>
      </c>
      <c r="I2143" s="30">
        <f t="shared" si="165"/>
        <v>140</v>
      </c>
      <c r="J2143" s="31">
        <f t="shared" si="166"/>
        <v>3.5</v>
      </c>
      <c r="K2143" s="29">
        <f t="shared" si="167"/>
        <v>6840</v>
      </c>
      <c r="L2143" s="31" t="str">
        <f t="shared" si="168"/>
        <v/>
      </c>
      <c r="M2143" s="31" t="str">
        <f t="shared" si="169"/>
        <v/>
      </c>
    </row>
    <row r="2144" spans="1:13" x14ac:dyDescent="0.15">
      <c r="A2144" s="163" t="s">
        <v>210</v>
      </c>
      <c r="B2144" s="163">
        <v>42331.724463831022</v>
      </c>
      <c r="C2144" s="164" t="s">
        <v>14</v>
      </c>
      <c r="D2144" s="164" t="s">
        <v>13</v>
      </c>
      <c r="E2144" s="165">
        <v>20</v>
      </c>
      <c r="F2144" s="166">
        <v>3.5</v>
      </c>
      <c r="G2144" s="227">
        <f>IF($B$2,IF(ROWS(B$6:$B2144) = 1,$B2144-Start_Date,$B2144-$B2143),"")</f>
        <v>2.5830555605352856E-3</v>
      </c>
      <c r="H2144" s="29">
        <f>IF($B$2,IF(ROWS(B$6:$B2144) = 1,IF(COUNTIFS(R_Schedule_Times,"&lt;"&amp;B2144),INDEX(R_Schedule_Amounts,MATCH(B2144,R_Schedule_Times,1)),Starting_Cash),IF(COUNTIFS(R_Schedule_Times,"&gt;"&amp;B2143,R_Schedule_Times,"&lt;"&amp;B2144),INDEX(R_Schedule_Amounts,MATCH(B2144,R_Schedule_Times,1)),K2143)),"")</f>
        <v>6840</v>
      </c>
      <c r="I2144" s="30">
        <f t="shared" si="165"/>
        <v>20</v>
      </c>
      <c r="J2144" s="31">
        <f t="shared" si="166"/>
        <v>3.5</v>
      </c>
      <c r="K2144" s="29">
        <f t="shared" si="167"/>
        <v>6820</v>
      </c>
      <c r="L2144" s="31" t="str">
        <f t="shared" si="168"/>
        <v/>
      </c>
      <c r="M2144" s="31" t="str">
        <f t="shared" si="169"/>
        <v/>
      </c>
    </row>
    <row r="2145" spans="1:13" x14ac:dyDescent="0.15">
      <c r="A2145" s="163" t="s">
        <v>210</v>
      </c>
      <c r="B2145" s="163">
        <v>42331.725055787036</v>
      </c>
      <c r="C2145" s="164" t="s">
        <v>2008</v>
      </c>
      <c r="D2145" s="164" t="s">
        <v>13</v>
      </c>
      <c r="E2145" s="165">
        <v>200</v>
      </c>
      <c r="F2145" s="166">
        <v>0</v>
      </c>
      <c r="G2145" s="227">
        <f>IF($B$2,IF(ROWS(B$6:$B2145) = 1,$B2145-Start_Date,$B2145-$B2144),"")</f>
        <v>5.9195601352257654E-4</v>
      </c>
      <c r="H2145" s="29">
        <f>IF($B$2,IF(ROWS(B$6:$B2145) = 1,IF(COUNTIFS(R_Schedule_Times,"&lt;"&amp;B2145),INDEX(R_Schedule_Amounts,MATCH(B2145,R_Schedule_Times,1)),Starting_Cash),IF(COUNTIFS(R_Schedule_Times,"&gt;"&amp;B2144,R_Schedule_Times,"&lt;"&amp;B2145),INDEX(R_Schedule_Amounts,MATCH(B2145,R_Schedule_Times,1)),K2144)),"")</f>
        <v>6820</v>
      </c>
      <c r="I2145" s="30">
        <f t="shared" si="165"/>
        <v>200</v>
      </c>
      <c r="J2145" s="31">
        <f t="shared" si="166"/>
        <v>0</v>
      </c>
      <c r="K2145" s="29">
        <f t="shared" si="167"/>
        <v>6620</v>
      </c>
      <c r="L2145" s="31" t="str">
        <f t="shared" si="168"/>
        <v/>
      </c>
      <c r="M2145" s="31" t="str">
        <f t="shared" si="169"/>
        <v/>
      </c>
    </row>
    <row r="2146" spans="1:13" x14ac:dyDescent="0.15">
      <c r="A2146" s="163" t="s">
        <v>210</v>
      </c>
      <c r="B2146" s="163">
        <v>42331.740897407406</v>
      </c>
      <c r="C2146" s="164" t="s">
        <v>14</v>
      </c>
      <c r="D2146" s="164" t="s">
        <v>13</v>
      </c>
      <c r="E2146" s="165">
        <v>60</v>
      </c>
      <c r="F2146" s="166">
        <v>3.5</v>
      </c>
      <c r="G2146" s="227">
        <f>IF($B$2,IF(ROWS(B$6:$B2146) = 1,$B2146-Start_Date,$B2146-$B2145),"")</f>
        <v>1.5841620370338205E-2</v>
      </c>
      <c r="H2146" s="29">
        <f>IF($B$2,IF(ROWS(B$6:$B2146) = 1,IF(COUNTIFS(R_Schedule_Times,"&lt;"&amp;B2146),INDEX(R_Schedule_Amounts,MATCH(B2146,R_Schedule_Times,1)),Starting_Cash),IF(COUNTIFS(R_Schedule_Times,"&gt;"&amp;B2145,R_Schedule_Times,"&lt;"&amp;B2146),INDEX(R_Schedule_Amounts,MATCH(B2146,R_Schedule_Times,1)),K2145)),"")</f>
        <v>6620</v>
      </c>
      <c r="I2146" s="30">
        <f t="shared" si="165"/>
        <v>60</v>
      </c>
      <c r="J2146" s="31">
        <f t="shared" si="166"/>
        <v>3.5</v>
      </c>
      <c r="K2146" s="29">
        <f t="shared" si="167"/>
        <v>6560</v>
      </c>
      <c r="L2146" s="31" t="str">
        <f t="shared" si="168"/>
        <v/>
      </c>
      <c r="M2146" s="31" t="str">
        <f t="shared" si="169"/>
        <v/>
      </c>
    </row>
    <row r="2147" spans="1:13" x14ac:dyDescent="0.15">
      <c r="A2147" s="163" t="s">
        <v>210</v>
      </c>
      <c r="B2147" s="163">
        <v>42331.746281111111</v>
      </c>
      <c r="C2147" s="164" t="s">
        <v>2009</v>
      </c>
      <c r="D2147" s="164" t="s">
        <v>13</v>
      </c>
      <c r="E2147" s="165">
        <v>40</v>
      </c>
      <c r="F2147" s="166">
        <v>0</v>
      </c>
      <c r="G2147" s="227">
        <f>IF($B$2,IF(ROWS(B$6:$B2147) = 1,$B2147-Start_Date,$B2147-$B2146),"")</f>
        <v>5.3837037048651837E-3</v>
      </c>
      <c r="H2147" s="29">
        <f>IF($B$2,IF(ROWS(B$6:$B2147) = 1,IF(COUNTIFS(R_Schedule_Times,"&lt;"&amp;B2147),INDEX(R_Schedule_Amounts,MATCH(B2147,R_Schedule_Times,1)),Starting_Cash),IF(COUNTIFS(R_Schedule_Times,"&gt;"&amp;B2146,R_Schedule_Times,"&lt;"&amp;B2147),INDEX(R_Schedule_Amounts,MATCH(B2147,R_Schedule_Times,1)),K2146)),"")</f>
        <v>6560</v>
      </c>
      <c r="I2147" s="30">
        <f t="shared" si="165"/>
        <v>40</v>
      </c>
      <c r="J2147" s="31">
        <f t="shared" si="166"/>
        <v>0</v>
      </c>
      <c r="K2147" s="29">
        <f t="shared" si="167"/>
        <v>6520</v>
      </c>
      <c r="L2147" s="31" t="str">
        <f t="shared" si="168"/>
        <v/>
      </c>
      <c r="M2147" s="31" t="str">
        <f t="shared" si="169"/>
        <v/>
      </c>
    </row>
    <row r="2148" spans="1:13" x14ac:dyDescent="0.15">
      <c r="A2148" s="163" t="s">
        <v>210</v>
      </c>
      <c r="B2148" s="163">
        <v>42331.765998553237</v>
      </c>
      <c r="C2148" s="164" t="s">
        <v>14</v>
      </c>
      <c r="D2148" s="164" t="s">
        <v>13</v>
      </c>
      <c r="E2148" s="165">
        <v>100</v>
      </c>
      <c r="F2148" s="166">
        <v>3.5</v>
      </c>
      <c r="G2148" s="227">
        <f>IF($B$2,IF(ROWS(B$6:$B2148) = 1,$B2148-Start_Date,$B2148-$B2147),"")</f>
        <v>1.9717442126420792E-2</v>
      </c>
      <c r="H2148" s="29">
        <f>IF($B$2,IF(ROWS(B$6:$B2148) = 1,IF(COUNTIFS(R_Schedule_Times,"&lt;"&amp;B2148),INDEX(R_Schedule_Amounts,MATCH(B2148,R_Schedule_Times,1)),Starting_Cash),IF(COUNTIFS(R_Schedule_Times,"&gt;"&amp;B2147,R_Schedule_Times,"&lt;"&amp;B2148),INDEX(R_Schedule_Amounts,MATCH(B2148,R_Schedule_Times,1)),K2147)),"")</f>
        <v>6520</v>
      </c>
      <c r="I2148" s="30">
        <f t="shared" si="165"/>
        <v>100</v>
      </c>
      <c r="J2148" s="31">
        <f t="shared" si="166"/>
        <v>3.5</v>
      </c>
      <c r="K2148" s="29">
        <f t="shared" si="167"/>
        <v>6420</v>
      </c>
      <c r="L2148" s="31" t="str">
        <f t="shared" si="168"/>
        <v/>
      </c>
      <c r="M2148" s="31" t="str">
        <f t="shared" si="169"/>
        <v/>
      </c>
    </row>
    <row r="2149" spans="1:13" x14ac:dyDescent="0.15">
      <c r="A2149" s="163" t="s">
        <v>210</v>
      </c>
      <c r="B2149" s="163">
        <v>42331.768934328706</v>
      </c>
      <c r="C2149" s="164" t="s">
        <v>2010</v>
      </c>
      <c r="D2149" s="164" t="s">
        <v>13</v>
      </c>
      <c r="E2149" s="165">
        <v>40</v>
      </c>
      <c r="F2149" s="166">
        <v>0</v>
      </c>
      <c r="G2149" s="227">
        <f>IF($B$2,IF(ROWS(B$6:$B2149) = 1,$B2149-Start_Date,$B2149-$B2148),"")</f>
        <v>2.93577546835877E-3</v>
      </c>
      <c r="H2149" s="29">
        <f>IF($B$2,IF(ROWS(B$6:$B2149) = 1,IF(COUNTIFS(R_Schedule_Times,"&lt;"&amp;B2149),INDEX(R_Schedule_Amounts,MATCH(B2149,R_Schedule_Times,1)),Starting_Cash),IF(COUNTIFS(R_Schedule_Times,"&gt;"&amp;B2148,R_Schedule_Times,"&lt;"&amp;B2149),INDEX(R_Schedule_Amounts,MATCH(B2149,R_Schedule_Times,1)),K2148)),"")</f>
        <v>6420</v>
      </c>
      <c r="I2149" s="30">
        <f t="shared" si="165"/>
        <v>40</v>
      </c>
      <c r="J2149" s="31">
        <f t="shared" si="166"/>
        <v>0</v>
      </c>
      <c r="K2149" s="29">
        <f t="shared" si="167"/>
        <v>6380</v>
      </c>
      <c r="L2149" s="31" t="str">
        <f t="shared" si="168"/>
        <v/>
      </c>
      <c r="M2149" s="31" t="str">
        <f t="shared" si="169"/>
        <v/>
      </c>
    </row>
    <row r="2150" spans="1:13" x14ac:dyDescent="0.15">
      <c r="A2150" s="163" t="s">
        <v>210</v>
      </c>
      <c r="B2150" s="163">
        <v>42331.775627731484</v>
      </c>
      <c r="C2150" s="164" t="s">
        <v>2011</v>
      </c>
      <c r="D2150" s="164" t="s">
        <v>13</v>
      </c>
      <c r="E2150" s="165">
        <v>20</v>
      </c>
      <c r="F2150" s="166">
        <v>0</v>
      </c>
      <c r="G2150" s="227">
        <f>IF($B$2,IF(ROWS(B$6:$B2150) = 1,$B2150-Start_Date,$B2150-$B2149),"")</f>
        <v>6.6934027781826444E-3</v>
      </c>
      <c r="H2150" s="29">
        <f>IF($B$2,IF(ROWS(B$6:$B2150) = 1,IF(COUNTIFS(R_Schedule_Times,"&lt;"&amp;B2150),INDEX(R_Schedule_Amounts,MATCH(B2150,R_Schedule_Times,1)),Starting_Cash),IF(COUNTIFS(R_Schedule_Times,"&gt;"&amp;B2149,R_Schedule_Times,"&lt;"&amp;B2150),INDEX(R_Schedule_Amounts,MATCH(B2150,R_Schedule_Times,1)),K2149)),"")</f>
        <v>6380</v>
      </c>
      <c r="I2150" s="30">
        <f t="shared" si="165"/>
        <v>20</v>
      </c>
      <c r="J2150" s="31">
        <f t="shared" si="166"/>
        <v>0</v>
      </c>
      <c r="K2150" s="29">
        <f t="shared" si="167"/>
        <v>6360</v>
      </c>
      <c r="L2150" s="31" t="str">
        <f t="shared" si="168"/>
        <v/>
      </c>
      <c r="M2150" s="31" t="str">
        <f t="shared" si="169"/>
        <v/>
      </c>
    </row>
    <row r="2151" spans="1:13" x14ac:dyDescent="0.15">
      <c r="A2151" s="163" t="s">
        <v>210</v>
      </c>
      <c r="B2151" s="163">
        <v>42331.777231932872</v>
      </c>
      <c r="C2151" s="164" t="s">
        <v>2012</v>
      </c>
      <c r="D2151" s="164" t="s">
        <v>13</v>
      </c>
      <c r="E2151" s="165">
        <v>120</v>
      </c>
      <c r="F2151" s="166">
        <v>0</v>
      </c>
      <c r="G2151" s="227">
        <f>IF($B$2,IF(ROWS(B$6:$B2151) = 1,$B2151-Start_Date,$B2151-$B2150),"")</f>
        <v>1.6042013885453343E-3</v>
      </c>
      <c r="H2151" s="29">
        <f>IF($B$2,IF(ROWS(B$6:$B2151) = 1,IF(COUNTIFS(R_Schedule_Times,"&lt;"&amp;B2151),INDEX(R_Schedule_Amounts,MATCH(B2151,R_Schedule_Times,1)),Starting_Cash),IF(COUNTIFS(R_Schedule_Times,"&gt;"&amp;B2150,R_Schedule_Times,"&lt;"&amp;B2151),INDEX(R_Schedule_Amounts,MATCH(B2151,R_Schedule_Times,1)),K2150)),"")</f>
        <v>6360</v>
      </c>
      <c r="I2151" s="30">
        <f t="shared" si="165"/>
        <v>120</v>
      </c>
      <c r="J2151" s="31">
        <f t="shared" si="166"/>
        <v>0</v>
      </c>
      <c r="K2151" s="29">
        <f t="shared" si="167"/>
        <v>6240</v>
      </c>
      <c r="L2151" s="31" t="str">
        <f t="shared" si="168"/>
        <v/>
      </c>
      <c r="M2151" s="31" t="str">
        <f t="shared" si="169"/>
        <v/>
      </c>
    </row>
    <row r="2152" spans="1:13" x14ac:dyDescent="0.15">
      <c r="A2152" s="163" t="s">
        <v>210</v>
      </c>
      <c r="B2152" s="163">
        <v>42331.778977581016</v>
      </c>
      <c r="C2152" s="164" t="s">
        <v>2013</v>
      </c>
      <c r="D2152" s="164" t="s">
        <v>13</v>
      </c>
      <c r="E2152" s="165">
        <v>100</v>
      </c>
      <c r="F2152" s="166">
        <v>0</v>
      </c>
      <c r="G2152" s="227">
        <f>IF($B$2,IF(ROWS(B$6:$B2152) = 1,$B2152-Start_Date,$B2152-$B2151),"")</f>
        <v>1.7456481436965987E-3</v>
      </c>
      <c r="H2152" s="29">
        <f>IF($B$2,IF(ROWS(B$6:$B2152) = 1,IF(COUNTIFS(R_Schedule_Times,"&lt;"&amp;B2152),INDEX(R_Schedule_Amounts,MATCH(B2152,R_Schedule_Times,1)),Starting_Cash),IF(COUNTIFS(R_Schedule_Times,"&gt;"&amp;B2151,R_Schedule_Times,"&lt;"&amp;B2152),INDEX(R_Schedule_Amounts,MATCH(B2152,R_Schedule_Times,1)),K2151)),"")</f>
        <v>6240</v>
      </c>
      <c r="I2152" s="30">
        <f t="shared" si="165"/>
        <v>100</v>
      </c>
      <c r="J2152" s="31">
        <f t="shared" si="166"/>
        <v>0</v>
      </c>
      <c r="K2152" s="29">
        <f t="shared" si="167"/>
        <v>6140</v>
      </c>
      <c r="L2152" s="31" t="str">
        <f t="shared" si="168"/>
        <v/>
      </c>
      <c r="M2152" s="31" t="str">
        <f t="shared" si="169"/>
        <v/>
      </c>
    </row>
    <row r="2153" spans="1:13" x14ac:dyDescent="0.15">
      <c r="A2153" s="163" t="s">
        <v>210</v>
      </c>
      <c r="B2153" s="163">
        <v>42332.25041291667</v>
      </c>
      <c r="C2153" s="164" t="s">
        <v>2014</v>
      </c>
      <c r="D2153" s="164" t="s">
        <v>13</v>
      </c>
      <c r="E2153" s="165">
        <v>60</v>
      </c>
      <c r="F2153" s="166">
        <v>0</v>
      </c>
      <c r="G2153" s="227">
        <f>IF($B$2,IF(ROWS(B$6:$B2153) = 1,$B2153-Start_Date,$B2153-$B2152),"")</f>
        <v>0.47143533565395046</v>
      </c>
      <c r="H2153" s="29">
        <f>IF($B$2,IF(ROWS(B$6:$B2153) = 1,IF(COUNTIFS(R_Schedule_Times,"&lt;"&amp;B2153),INDEX(R_Schedule_Amounts,MATCH(B2153,R_Schedule_Times,1)),Starting_Cash),IF(COUNTIFS(R_Schedule_Times,"&gt;"&amp;B2152,R_Schedule_Times,"&lt;"&amp;B2153),INDEX(R_Schedule_Amounts,MATCH(B2153,R_Schedule_Times,1)),K2152)),"")</f>
        <v>6140</v>
      </c>
      <c r="I2153" s="30">
        <f t="shared" si="165"/>
        <v>60</v>
      </c>
      <c r="J2153" s="31">
        <f t="shared" si="166"/>
        <v>0</v>
      </c>
      <c r="K2153" s="29">
        <f t="shared" si="167"/>
        <v>6080</v>
      </c>
      <c r="L2153" s="31" t="str">
        <f t="shared" si="168"/>
        <v/>
      </c>
      <c r="M2153" s="31" t="str">
        <f t="shared" si="169"/>
        <v/>
      </c>
    </row>
    <row r="2154" spans="1:13" x14ac:dyDescent="0.15">
      <c r="A2154" s="163" t="s">
        <v>210</v>
      </c>
      <c r="B2154" s="163">
        <v>42332.295328275461</v>
      </c>
      <c r="C2154" s="164" t="s">
        <v>1994</v>
      </c>
      <c r="D2154" s="164" t="s">
        <v>13</v>
      </c>
      <c r="E2154" s="165">
        <v>120</v>
      </c>
      <c r="F2154" s="166">
        <v>0</v>
      </c>
      <c r="G2154" s="227">
        <f>IF($B$2,IF(ROWS(B$6:$B2154) = 1,$B2154-Start_Date,$B2154-$B2153),"")</f>
        <v>4.4915358790603932E-2</v>
      </c>
      <c r="H2154" s="29">
        <f>IF($B$2,IF(ROWS(B$6:$B2154) = 1,IF(COUNTIFS(R_Schedule_Times,"&lt;"&amp;B2154),INDEX(R_Schedule_Amounts,MATCH(B2154,R_Schedule_Times,1)),Starting_Cash),IF(COUNTIFS(R_Schedule_Times,"&gt;"&amp;B2153,R_Schedule_Times,"&lt;"&amp;B2154),INDEX(R_Schedule_Amounts,MATCH(B2154,R_Schedule_Times,1)),K2153)),"")</f>
        <v>6080</v>
      </c>
      <c r="I2154" s="30">
        <f t="shared" si="165"/>
        <v>120</v>
      </c>
      <c r="J2154" s="31">
        <f t="shared" si="166"/>
        <v>0</v>
      </c>
      <c r="K2154" s="29">
        <f t="shared" si="167"/>
        <v>5960</v>
      </c>
      <c r="L2154" s="31" t="str">
        <f t="shared" si="168"/>
        <v/>
      </c>
      <c r="M2154" s="31" t="str">
        <f t="shared" si="169"/>
        <v/>
      </c>
    </row>
    <row r="2155" spans="1:13" x14ac:dyDescent="0.15">
      <c r="A2155" s="163" t="s">
        <v>210</v>
      </c>
      <c r="B2155" s="163">
        <v>42332.308249224538</v>
      </c>
      <c r="C2155" s="164" t="s">
        <v>2015</v>
      </c>
      <c r="D2155" s="164" t="s">
        <v>13</v>
      </c>
      <c r="E2155" s="165">
        <v>80</v>
      </c>
      <c r="F2155" s="166">
        <v>0</v>
      </c>
      <c r="G2155" s="227">
        <f>IF($B$2,IF(ROWS(B$6:$B2155) = 1,$B2155-Start_Date,$B2155-$B2154),"")</f>
        <v>1.2920949076942634E-2</v>
      </c>
      <c r="H2155" s="29">
        <f>IF($B$2,IF(ROWS(B$6:$B2155) = 1,IF(COUNTIFS(R_Schedule_Times,"&lt;"&amp;B2155),INDEX(R_Schedule_Amounts,MATCH(B2155,R_Schedule_Times,1)),Starting_Cash),IF(COUNTIFS(R_Schedule_Times,"&gt;"&amp;B2154,R_Schedule_Times,"&lt;"&amp;B2155),INDEX(R_Schedule_Amounts,MATCH(B2155,R_Schedule_Times,1)),K2154)),"")</f>
        <v>5960</v>
      </c>
      <c r="I2155" s="30">
        <f t="shared" si="165"/>
        <v>80</v>
      </c>
      <c r="J2155" s="31">
        <f t="shared" si="166"/>
        <v>0</v>
      </c>
      <c r="K2155" s="29">
        <f t="shared" si="167"/>
        <v>5880</v>
      </c>
      <c r="L2155" s="31" t="str">
        <f t="shared" si="168"/>
        <v/>
      </c>
      <c r="M2155" s="31" t="str">
        <f t="shared" si="169"/>
        <v/>
      </c>
    </row>
    <row r="2156" spans="1:13" x14ac:dyDescent="0.15">
      <c r="A2156" s="163" t="s">
        <v>210</v>
      </c>
      <c r="B2156" s="163">
        <v>42332.317866736114</v>
      </c>
      <c r="C2156" s="164" t="s">
        <v>2016</v>
      </c>
      <c r="D2156" s="164" t="s">
        <v>13</v>
      </c>
      <c r="E2156" s="165">
        <v>60</v>
      </c>
      <c r="F2156" s="166">
        <v>0</v>
      </c>
      <c r="G2156" s="227">
        <f>IF($B$2,IF(ROWS(B$6:$B2156) = 1,$B2156-Start_Date,$B2156-$B2155),"")</f>
        <v>9.6175115759251639E-3</v>
      </c>
      <c r="H2156" s="29">
        <f>IF($B$2,IF(ROWS(B$6:$B2156) = 1,IF(COUNTIFS(R_Schedule_Times,"&lt;"&amp;B2156),INDEX(R_Schedule_Amounts,MATCH(B2156,R_Schedule_Times,1)),Starting_Cash),IF(COUNTIFS(R_Schedule_Times,"&gt;"&amp;B2155,R_Schedule_Times,"&lt;"&amp;B2156),INDEX(R_Schedule_Amounts,MATCH(B2156,R_Schedule_Times,1)),K2155)),"")</f>
        <v>5880</v>
      </c>
      <c r="I2156" s="30">
        <f t="shared" si="165"/>
        <v>60</v>
      </c>
      <c r="J2156" s="31">
        <f t="shared" si="166"/>
        <v>0</v>
      </c>
      <c r="K2156" s="29">
        <f t="shared" si="167"/>
        <v>5820</v>
      </c>
      <c r="L2156" s="31" t="str">
        <f t="shared" si="168"/>
        <v/>
      </c>
      <c r="M2156" s="31" t="str">
        <f t="shared" si="169"/>
        <v/>
      </c>
    </row>
    <row r="2157" spans="1:13" x14ac:dyDescent="0.15">
      <c r="A2157" s="163" t="s">
        <v>210</v>
      </c>
      <c r="B2157" s="163">
        <v>42332.350036539348</v>
      </c>
      <c r="C2157" s="164" t="s">
        <v>2017</v>
      </c>
      <c r="D2157" s="164" t="s">
        <v>13</v>
      </c>
      <c r="E2157" s="165">
        <v>40</v>
      </c>
      <c r="F2157" s="166">
        <v>0</v>
      </c>
      <c r="G2157" s="227">
        <f>IF($B$2,IF(ROWS(B$6:$B2157) = 1,$B2157-Start_Date,$B2157-$B2156),"")</f>
        <v>3.2169803234864958E-2</v>
      </c>
      <c r="H2157" s="29">
        <f>IF($B$2,IF(ROWS(B$6:$B2157) = 1,IF(COUNTIFS(R_Schedule_Times,"&lt;"&amp;B2157),INDEX(R_Schedule_Amounts,MATCH(B2157,R_Schedule_Times,1)),Starting_Cash),IF(COUNTIFS(R_Schedule_Times,"&gt;"&amp;B2156,R_Schedule_Times,"&lt;"&amp;B2157),INDEX(R_Schedule_Amounts,MATCH(B2157,R_Schedule_Times,1)),K2156)),"")</f>
        <v>5820</v>
      </c>
      <c r="I2157" s="30">
        <f t="shared" si="165"/>
        <v>40</v>
      </c>
      <c r="J2157" s="31">
        <f t="shared" si="166"/>
        <v>0</v>
      </c>
      <c r="K2157" s="29">
        <f t="shared" si="167"/>
        <v>5780</v>
      </c>
      <c r="L2157" s="31" t="str">
        <f t="shared" si="168"/>
        <v/>
      </c>
      <c r="M2157" s="31" t="str">
        <f t="shared" si="169"/>
        <v/>
      </c>
    </row>
    <row r="2158" spans="1:13" x14ac:dyDescent="0.15">
      <c r="A2158" s="163" t="s">
        <v>210</v>
      </c>
      <c r="B2158" s="163">
        <v>42332.375800937501</v>
      </c>
      <c r="C2158" s="164" t="s">
        <v>266</v>
      </c>
      <c r="D2158" s="164" t="s">
        <v>13</v>
      </c>
      <c r="E2158" s="165">
        <v>80</v>
      </c>
      <c r="F2158" s="166">
        <v>0</v>
      </c>
      <c r="G2158" s="227">
        <f>IF($B$2,IF(ROWS(B$6:$B2158) = 1,$B2158-Start_Date,$B2158-$B2157),"")</f>
        <v>2.5764398153114598E-2</v>
      </c>
      <c r="H2158" s="29">
        <f>IF($B$2,IF(ROWS(B$6:$B2158) = 1,IF(COUNTIFS(R_Schedule_Times,"&lt;"&amp;B2158),INDEX(R_Schedule_Amounts,MATCH(B2158,R_Schedule_Times,1)),Starting_Cash),IF(COUNTIFS(R_Schedule_Times,"&gt;"&amp;B2157,R_Schedule_Times,"&lt;"&amp;B2158),INDEX(R_Schedule_Amounts,MATCH(B2158,R_Schedule_Times,1)),K2157)),"")</f>
        <v>5780</v>
      </c>
      <c r="I2158" s="30">
        <f t="shared" si="165"/>
        <v>80</v>
      </c>
      <c r="J2158" s="31">
        <f t="shared" si="166"/>
        <v>0</v>
      </c>
      <c r="K2158" s="29">
        <f t="shared" si="167"/>
        <v>5700</v>
      </c>
      <c r="L2158" s="31" t="str">
        <f t="shared" si="168"/>
        <v/>
      </c>
      <c r="M2158" s="31" t="str">
        <f t="shared" si="169"/>
        <v/>
      </c>
    </row>
    <row r="2159" spans="1:13" x14ac:dyDescent="0.15">
      <c r="A2159" s="163" t="s">
        <v>210</v>
      </c>
      <c r="B2159" s="163">
        <v>42332.382867129629</v>
      </c>
      <c r="C2159" s="164" t="s">
        <v>2018</v>
      </c>
      <c r="D2159" s="164" t="s">
        <v>13</v>
      </c>
      <c r="E2159" s="165">
        <v>80</v>
      </c>
      <c r="F2159" s="166">
        <v>0</v>
      </c>
      <c r="G2159" s="227">
        <f>IF($B$2,IF(ROWS(B$6:$B2159) = 1,$B2159-Start_Date,$B2159-$B2158),"")</f>
        <v>7.0661921272403561E-3</v>
      </c>
      <c r="H2159" s="29">
        <f>IF($B$2,IF(ROWS(B$6:$B2159) = 1,IF(COUNTIFS(R_Schedule_Times,"&lt;"&amp;B2159),INDEX(R_Schedule_Amounts,MATCH(B2159,R_Schedule_Times,1)),Starting_Cash),IF(COUNTIFS(R_Schedule_Times,"&gt;"&amp;B2158,R_Schedule_Times,"&lt;"&amp;B2159),INDEX(R_Schedule_Amounts,MATCH(B2159,R_Schedule_Times,1)),K2158)),"")</f>
        <v>5700</v>
      </c>
      <c r="I2159" s="30">
        <f t="shared" si="165"/>
        <v>80</v>
      </c>
      <c r="J2159" s="31">
        <f t="shared" si="166"/>
        <v>0</v>
      </c>
      <c r="K2159" s="29">
        <f t="shared" si="167"/>
        <v>5620</v>
      </c>
      <c r="L2159" s="31" t="str">
        <f t="shared" si="168"/>
        <v/>
      </c>
      <c r="M2159" s="31" t="str">
        <f t="shared" si="169"/>
        <v/>
      </c>
    </row>
    <row r="2160" spans="1:13" x14ac:dyDescent="0.15">
      <c r="A2160" s="163" t="s">
        <v>210</v>
      </c>
      <c r="B2160" s="163">
        <v>42332.409181122683</v>
      </c>
      <c r="C2160" s="164" t="s">
        <v>1810</v>
      </c>
      <c r="D2160" s="164" t="s">
        <v>13</v>
      </c>
      <c r="E2160" s="165">
        <v>80</v>
      </c>
      <c r="F2160" s="166">
        <v>0</v>
      </c>
      <c r="G2160" s="227">
        <f>IF($B$2,IF(ROWS(B$6:$B2160) = 1,$B2160-Start_Date,$B2160-$B2159),"")</f>
        <v>2.6313993053918239E-2</v>
      </c>
      <c r="H2160" s="29">
        <f>IF($B$2,IF(ROWS(B$6:$B2160) = 1,IF(COUNTIFS(R_Schedule_Times,"&lt;"&amp;B2160),INDEX(R_Schedule_Amounts,MATCH(B2160,R_Schedule_Times,1)),Starting_Cash),IF(COUNTIFS(R_Schedule_Times,"&gt;"&amp;B2159,R_Schedule_Times,"&lt;"&amp;B2160),INDEX(R_Schedule_Amounts,MATCH(B2160,R_Schedule_Times,1)),K2159)),"")</f>
        <v>5620</v>
      </c>
      <c r="I2160" s="30">
        <f t="shared" si="165"/>
        <v>80</v>
      </c>
      <c r="J2160" s="31">
        <f t="shared" si="166"/>
        <v>0</v>
      </c>
      <c r="K2160" s="29">
        <f t="shared" si="167"/>
        <v>5540</v>
      </c>
      <c r="L2160" s="31" t="str">
        <f t="shared" si="168"/>
        <v/>
      </c>
      <c r="M2160" s="31" t="str">
        <f t="shared" si="169"/>
        <v/>
      </c>
    </row>
    <row r="2161" spans="1:13" x14ac:dyDescent="0.15">
      <c r="A2161" s="163" t="s">
        <v>210</v>
      </c>
      <c r="B2161" s="163">
        <v>42332.413120763886</v>
      </c>
      <c r="C2161" s="164" t="s">
        <v>464</v>
      </c>
      <c r="D2161" s="164" t="s">
        <v>13</v>
      </c>
      <c r="E2161" s="165">
        <v>80</v>
      </c>
      <c r="F2161" s="166">
        <v>0</v>
      </c>
      <c r="G2161" s="227">
        <f>IF($B$2,IF(ROWS(B$6:$B2161) = 1,$B2161-Start_Date,$B2161-$B2160),"")</f>
        <v>3.9396412030328065E-3</v>
      </c>
      <c r="H2161" s="29">
        <f>IF($B$2,IF(ROWS(B$6:$B2161) = 1,IF(COUNTIFS(R_Schedule_Times,"&lt;"&amp;B2161),INDEX(R_Schedule_Amounts,MATCH(B2161,R_Schedule_Times,1)),Starting_Cash),IF(COUNTIFS(R_Schedule_Times,"&gt;"&amp;B2160,R_Schedule_Times,"&lt;"&amp;B2161),INDEX(R_Schedule_Amounts,MATCH(B2161,R_Schedule_Times,1)),K2160)),"")</f>
        <v>5540</v>
      </c>
      <c r="I2161" s="30">
        <f t="shared" si="165"/>
        <v>80</v>
      </c>
      <c r="J2161" s="31">
        <f t="shared" si="166"/>
        <v>0</v>
      </c>
      <c r="K2161" s="29">
        <f t="shared" si="167"/>
        <v>5460</v>
      </c>
      <c r="L2161" s="31" t="str">
        <f t="shared" si="168"/>
        <v/>
      </c>
      <c r="M2161" s="31" t="str">
        <f t="shared" si="169"/>
        <v/>
      </c>
    </row>
    <row r="2162" spans="1:13" x14ac:dyDescent="0.15">
      <c r="A2162" s="163" t="s">
        <v>210</v>
      </c>
      <c r="B2162" s="163">
        <v>42332.417186226849</v>
      </c>
      <c r="C2162" s="164" t="s">
        <v>465</v>
      </c>
      <c r="D2162" s="164" t="s">
        <v>13</v>
      </c>
      <c r="E2162" s="165">
        <v>100</v>
      </c>
      <c r="F2162" s="166">
        <v>0</v>
      </c>
      <c r="G2162" s="227">
        <f>IF($B$2,IF(ROWS(B$6:$B2162) = 1,$B2162-Start_Date,$B2162-$B2161),"")</f>
        <v>4.0654629628988914E-3</v>
      </c>
      <c r="H2162" s="29">
        <f>IF($B$2,IF(ROWS(B$6:$B2162) = 1,IF(COUNTIFS(R_Schedule_Times,"&lt;"&amp;B2162),INDEX(R_Schedule_Amounts,MATCH(B2162,R_Schedule_Times,1)),Starting_Cash),IF(COUNTIFS(R_Schedule_Times,"&gt;"&amp;B2161,R_Schedule_Times,"&lt;"&amp;B2162),INDEX(R_Schedule_Amounts,MATCH(B2162,R_Schedule_Times,1)),K2161)),"")</f>
        <v>5460</v>
      </c>
      <c r="I2162" s="30">
        <f t="shared" si="165"/>
        <v>100</v>
      </c>
      <c r="J2162" s="31">
        <f t="shared" si="166"/>
        <v>0</v>
      </c>
      <c r="K2162" s="29">
        <f t="shared" si="167"/>
        <v>5360</v>
      </c>
      <c r="L2162" s="31" t="str">
        <f t="shared" si="168"/>
        <v/>
      </c>
      <c r="M2162" s="31" t="str">
        <f t="shared" si="169"/>
        <v/>
      </c>
    </row>
    <row r="2163" spans="1:13" x14ac:dyDescent="0.15">
      <c r="A2163" s="163" t="s">
        <v>210</v>
      </c>
      <c r="B2163" s="163">
        <v>42332.456294953707</v>
      </c>
      <c r="C2163" s="164" t="s">
        <v>2019</v>
      </c>
      <c r="D2163" s="164" t="s">
        <v>13</v>
      </c>
      <c r="E2163" s="165">
        <v>100</v>
      </c>
      <c r="F2163" s="166">
        <v>0</v>
      </c>
      <c r="G2163" s="227">
        <f>IF($B$2,IF(ROWS(B$6:$B2163) = 1,$B2163-Start_Date,$B2163-$B2162),"")</f>
        <v>3.9108726858103182E-2</v>
      </c>
      <c r="H2163" s="29">
        <f>IF($B$2,IF(ROWS(B$6:$B2163) = 1,IF(COUNTIFS(R_Schedule_Times,"&lt;"&amp;B2163),INDEX(R_Schedule_Amounts,MATCH(B2163,R_Schedule_Times,1)),Starting_Cash),IF(COUNTIFS(R_Schedule_Times,"&gt;"&amp;B2162,R_Schedule_Times,"&lt;"&amp;B2163),INDEX(R_Schedule_Amounts,MATCH(B2163,R_Schedule_Times,1)),K2162)),"")</f>
        <v>5360</v>
      </c>
      <c r="I2163" s="30">
        <f t="shared" si="165"/>
        <v>100</v>
      </c>
      <c r="J2163" s="31">
        <f t="shared" si="166"/>
        <v>0</v>
      </c>
      <c r="K2163" s="29">
        <f t="shared" si="167"/>
        <v>5260</v>
      </c>
      <c r="L2163" s="31" t="str">
        <f t="shared" si="168"/>
        <v/>
      </c>
      <c r="M2163" s="31" t="str">
        <f t="shared" si="169"/>
        <v/>
      </c>
    </row>
    <row r="2164" spans="1:13" x14ac:dyDescent="0.15">
      <c r="A2164" s="163" t="s">
        <v>210</v>
      </c>
      <c r="B2164" s="163">
        <v>42332.471511701391</v>
      </c>
      <c r="C2164" s="164" t="s">
        <v>2020</v>
      </c>
      <c r="D2164" s="164" t="s">
        <v>13</v>
      </c>
      <c r="E2164" s="165">
        <v>100</v>
      </c>
      <c r="F2164" s="166">
        <v>0</v>
      </c>
      <c r="G2164" s="227">
        <f>IF($B$2,IF(ROWS(B$6:$B2164) = 1,$B2164-Start_Date,$B2164-$B2163),"")</f>
        <v>1.5216747684462462E-2</v>
      </c>
      <c r="H2164" s="29">
        <f>IF($B$2,IF(ROWS(B$6:$B2164) = 1,IF(COUNTIFS(R_Schedule_Times,"&lt;"&amp;B2164),INDEX(R_Schedule_Amounts,MATCH(B2164,R_Schedule_Times,1)),Starting_Cash),IF(COUNTIFS(R_Schedule_Times,"&gt;"&amp;B2163,R_Schedule_Times,"&lt;"&amp;B2164),INDEX(R_Schedule_Amounts,MATCH(B2164,R_Schedule_Times,1)),K2163)),"")</f>
        <v>5260</v>
      </c>
      <c r="I2164" s="30">
        <f t="shared" si="165"/>
        <v>100</v>
      </c>
      <c r="J2164" s="31">
        <f t="shared" si="166"/>
        <v>0</v>
      </c>
      <c r="K2164" s="29">
        <f t="shared" si="167"/>
        <v>5160</v>
      </c>
      <c r="L2164" s="31" t="str">
        <f t="shared" si="168"/>
        <v/>
      </c>
      <c r="M2164" s="31" t="str">
        <f t="shared" si="169"/>
        <v/>
      </c>
    </row>
    <row r="2165" spans="1:13" x14ac:dyDescent="0.15">
      <c r="A2165" s="163" t="s">
        <v>210</v>
      </c>
      <c r="B2165" s="163">
        <v>42332.487836030094</v>
      </c>
      <c r="C2165" s="164" t="s">
        <v>1457</v>
      </c>
      <c r="D2165" s="164" t="s">
        <v>13</v>
      </c>
      <c r="E2165" s="165">
        <v>40</v>
      </c>
      <c r="F2165" s="166">
        <v>0</v>
      </c>
      <c r="G2165" s="227">
        <f>IF($B$2,IF(ROWS(B$6:$B2165) = 1,$B2165-Start_Date,$B2165-$B2164),"")</f>
        <v>1.6324328702467028E-2</v>
      </c>
      <c r="H2165" s="29">
        <f>IF($B$2,IF(ROWS(B$6:$B2165) = 1,IF(COUNTIFS(R_Schedule_Times,"&lt;"&amp;B2165),INDEX(R_Schedule_Amounts,MATCH(B2165,R_Schedule_Times,1)),Starting_Cash),IF(COUNTIFS(R_Schedule_Times,"&gt;"&amp;B2164,R_Schedule_Times,"&lt;"&amp;B2165),INDEX(R_Schedule_Amounts,MATCH(B2165,R_Schedule_Times,1)),K2164)),"")</f>
        <v>5160</v>
      </c>
      <c r="I2165" s="30">
        <f t="shared" si="165"/>
        <v>40</v>
      </c>
      <c r="J2165" s="31">
        <f t="shared" si="166"/>
        <v>0</v>
      </c>
      <c r="K2165" s="29">
        <f t="shared" si="167"/>
        <v>5120</v>
      </c>
      <c r="L2165" s="31" t="str">
        <f t="shared" si="168"/>
        <v/>
      </c>
      <c r="M2165" s="31" t="str">
        <f t="shared" si="169"/>
        <v/>
      </c>
    </row>
    <row r="2166" spans="1:13" x14ac:dyDescent="0.15">
      <c r="A2166" s="163" t="s">
        <v>210</v>
      </c>
      <c r="B2166" s="163">
        <v>42332.497258379626</v>
      </c>
      <c r="C2166" s="164" t="s">
        <v>2021</v>
      </c>
      <c r="D2166" s="164" t="s">
        <v>13</v>
      </c>
      <c r="E2166" s="165">
        <v>120</v>
      </c>
      <c r="F2166" s="166">
        <v>0</v>
      </c>
      <c r="G2166" s="227">
        <f>IF($B$2,IF(ROWS(B$6:$B2166) = 1,$B2166-Start_Date,$B2166-$B2165),"")</f>
        <v>9.4223495325422846E-3</v>
      </c>
      <c r="H2166" s="29">
        <f>IF($B$2,IF(ROWS(B$6:$B2166) = 1,IF(COUNTIFS(R_Schedule_Times,"&lt;"&amp;B2166),INDEX(R_Schedule_Amounts,MATCH(B2166,R_Schedule_Times,1)),Starting_Cash),IF(COUNTIFS(R_Schedule_Times,"&gt;"&amp;B2165,R_Schedule_Times,"&lt;"&amp;B2166),INDEX(R_Schedule_Amounts,MATCH(B2166,R_Schedule_Times,1)),K2165)),"")</f>
        <v>5120</v>
      </c>
      <c r="I2166" s="30">
        <f t="shared" si="165"/>
        <v>120</v>
      </c>
      <c r="J2166" s="31">
        <f t="shared" si="166"/>
        <v>0</v>
      </c>
      <c r="K2166" s="29">
        <f t="shared" si="167"/>
        <v>5000</v>
      </c>
      <c r="L2166" s="31" t="str">
        <f t="shared" si="168"/>
        <v/>
      </c>
      <c r="M2166" s="31" t="str">
        <f t="shared" si="169"/>
        <v/>
      </c>
    </row>
    <row r="2167" spans="1:13" x14ac:dyDescent="0.15">
      <c r="A2167" s="163" t="s">
        <v>210</v>
      </c>
      <c r="B2167" s="163">
        <v>42332.502191018517</v>
      </c>
      <c r="C2167" s="164" t="s">
        <v>14</v>
      </c>
      <c r="D2167" s="164" t="s">
        <v>13</v>
      </c>
      <c r="E2167" s="165">
        <v>100</v>
      </c>
      <c r="F2167" s="166">
        <v>3.5</v>
      </c>
      <c r="G2167" s="227">
        <f>IF($B$2,IF(ROWS(B$6:$B2167) = 1,$B2167-Start_Date,$B2167-$B2166),"")</f>
        <v>4.9326388907502405E-3</v>
      </c>
      <c r="H2167" s="29">
        <f>IF($B$2,IF(ROWS(B$6:$B2167) = 1,IF(COUNTIFS(R_Schedule_Times,"&lt;"&amp;B2167),INDEX(R_Schedule_Amounts,MATCH(B2167,R_Schedule_Times,1)),Starting_Cash),IF(COUNTIFS(R_Schedule_Times,"&gt;"&amp;B2166,R_Schedule_Times,"&lt;"&amp;B2167),INDEX(R_Schedule_Amounts,MATCH(B2167,R_Schedule_Times,1)),K2166)),"")</f>
        <v>5000</v>
      </c>
      <c r="I2167" s="30">
        <f t="shared" si="165"/>
        <v>100</v>
      </c>
      <c r="J2167" s="31">
        <f t="shared" si="166"/>
        <v>3.5</v>
      </c>
      <c r="K2167" s="29">
        <f t="shared" si="167"/>
        <v>4900</v>
      </c>
      <c r="L2167" s="31" t="str">
        <f t="shared" si="168"/>
        <v/>
      </c>
      <c r="M2167" s="31" t="str">
        <f t="shared" si="169"/>
        <v/>
      </c>
    </row>
    <row r="2168" spans="1:13" x14ac:dyDescent="0.15">
      <c r="A2168" s="163" t="s">
        <v>210</v>
      </c>
      <c r="B2168" s="163">
        <v>42332.509289409725</v>
      </c>
      <c r="C2168" s="164" t="s">
        <v>2022</v>
      </c>
      <c r="D2168" s="164" t="s">
        <v>13</v>
      </c>
      <c r="E2168" s="165">
        <v>100</v>
      </c>
      <c r="F2168" s="166">
        <v>0</v>
      </c>
      <c r="G2168" s="227">
        <f>IF($B$2,IF(ROWS(B$6:$B2168) = 1,$B2168-Start_Date,$B2168-$B2167),"")</f>
        <v>7.0983912082738243E-3</v>
      </c>
      <c r="H2168" s="29">
        <f>IF($B$2,IF(ROWS(B$6:$B2168) = 1,IF(COUNTIFS(R_Schedule_Times,"&lt;"&amp;B2168),INDEX(R_Schedule_Amounts,MATCH(B2168,R_Schedule_Times,1)),Starting_Cash),IF(COUNTIFS(R_Schedule_Times,"&gt;"&amp;B2167,R_Schedule_Times,"&lt;"&amp;B2168),INDEX(R_Schedule_Amounts,MATCH(B2168,R_Schedule_Times,1)),K2167)),"")</f>
        <v>4900</v>
      </c>
      <c r="I2168" s="30">
        <f t="shared" si="165"/>
        <v>100</v>
      </c>
      <c r="J2168" s="31">
        <f t="shared" si="166"/>
        <v>0</v>
      </c>
      <c r="K2168" s="29">
        <f t="shared" si="167"/>
        <v>4800</v>
      </c>
      <c r="L2168" s="31" t="str">
        <f t="shared" si="168"/>
        <v/>
      </c>
      <c r="M2168" s="31" t="str">
        <f t="shared" si="169"/>
        <v/>
      </c>
    </row>
    <row r="2169" spans="1:13" x14ac:dyDescent="0.15">
      <c r="A2169" s="163" t="s">
        <v>210</v>
      </c>
      <c r="B2169" s="163">
        <v>42332.512371863428</v>
      </c>
      <c r="C2169" s="164" t="s">
        <v>2023</v>
      </c>
      <c r="D2169" s="164" t="s">
        <v>13</v>
      </c>
      <c r="E2169" s="165">
        <v>500</v>
      </c>
      <c r="F2169" s="166">
        <v>0</v>
      </c>
      <c r="G2169" s="227">
        <f>IF($B$2,IF(ROWS(B$6:$B2169) = 1,$B2169-Start_Date,$B2169-$B2168),"")</f>
        <v>3.0824537025182508E-3</v>
      </c>
      <c r="H2169" s="29">
        <f>IF($B$2,IF(ROWS(B$6:$B2169) = 1,IF(COUNTIFS(R_Schedule_Times,"&lt;"&amp;B2169),INDEX(R_Schedule_Amounts,MATCH(B2169,R_Schedule_Times,1)),Starting_Cash),IF(COUNTIFS(R_Schedule_Times,"&gt;"&amp;B2168,R_Schedule_Times,"&lt;"&amp;B2169),INDEX(R_Schedule_Amounts,MATCH(B2169,R_Schedule_Times,1)),K2168)),"")</f>
        <v>4800</v>
      </c>
      <c r="I2169" s="30">
        <f t="shared" si="165"/>
        <v>500</v>
      </c>
      <c r="J2169" s="31">
        <f t="shared" si="166"/>
        <v>0</v>
      </c>
      <c r="K2169" s="29">
        <f t="shared" si="167"/>
        <v>4300</v>
      </c>
      <c r="L2169" s="31" t="str">
        <f t="shared" si="168"/>
        <v/>
      </c>
      <c r="M2169" s="31" t="str">
        <f t="shared" si="169"/>
        <v/>
      </c>
    </row>
    <row r="2170" spans="1:13" x14ac:dyDescent="0.15">
      <c r="A2170" s="163" t="s">
        <v>210</v>
      </c>
      <c r="B2170" s="163">
        <v>42332.535973923608</v>
      </c>
      <c r="C2170" s="164" t="s">
        <v>2024</v>
      </c>
      <c r="D2170" s="164" t="s">
        <v>13</v>
      </c>
      <c r="E2170" s="165">
        <v>40</v>
      </c>
      <c r="F2170" s="166">
        <v>0</v>
      </c>
      <c r="G2170" s="227">
        <f>IF($B$2,IF(ROWS(B$6:$B2170) = 1,$B2170-Start_Date,$B2170-$B2169),"")</f>
        <v>2.3602060180564877E-2</v>
      </c>
      <c r="H2170" s="29">
        <f>IF($B$2,IF(ROWS(B$6:$B2170) = 1,IF(COUNTIFS(R_Schedule_Times,"&lt;"&amp;B2170),INDEX(R_Schedule_Amounts,MATCH(B2170,R_Schedule_Times,1)),Starting_Cash),IF(COUNTIFS(R_Schedule_Times,"&gt;"&amp;B2169,R_Schedule_Times,"&lt;"&amp;B2170),INDEX(R_Schedule_Amounts,MATCH(B2170,R_Schedule_Times,1)),K2169)),"")</f>
        <v>4300</v>
      </c>
      <c r="I2170" s="30">
        <f t="shared" si="165"/>
        <v>40</v>
      </c>
      <c r="J2170" s="31">
        <f t="shared" si="166"/>
        <v>0</v>
      </c>
      <c r="K2170" s="29">
        <f t="shared" si="167"/>
        <v>4260</v>
      </c>
      <c r="L2170" s="31" t="str">
        <f t="shared" si="168"/>
        <v/>
      </c>
      <c r="M2170" s="31" t="str">
        <f t="shared" si="169"/>
        <v/>
      </c>
    </row>
    <row r="2171" spans="1:13" x14ac:dyDescent="0.15">
      <c r="A2171" s="163" t="s">
        <v>210</v>
      </c>
      <c r="B2171" s="163">
        <v>42332.53954351852</v>
      </c>
      <c r="C2171" s="164" t="s">
        <v>466</v>
      </c>
      <c r="D2171" s="164" t="s">
        <v>13</v>
      </c>
      <c r="E2171" s="165">
        <v>40</v>
      </c>
      <c r="F2171" s="166">
        <v>0</v>
      </c>
      <c r="G2171" s="227">
        <f>IF($B$2,IF(ROWS(B$6:$B2171) = 1,$B2171-Start_Date,$B2171-$B2170),"")</f>
        <v>3.5695949118235148E-3</v>
      </c>
      <c r="H2171" s="29">
        <f>IF($B$2,IF(ROWS(B$6:$B2171) = 1,IF(COUNTIFS(R_Schedule_Times,"&lt;"&amp;B2171),INDEX(R_Schedule_Amounts,MATCH(B2171,R_Schedule_Times,1)),Starting_Cash),IF(COUNTIFS(R_Schedule_Times,"&gt;"&amp;B2170,R_Schedule_Times,"&lt;"&amp;B2171),INDEX(R_Schedule_Amounts,MATCH(B2171,R_Schedule_Times,1)),K2170)),"")</f>
        <v>4260</v>
      </c>
      <c r="I2171" s="30">
        <f t="shared" si="165"/>
        <v>40</v>
      </c>
      <c r="J2171" s="31">
        <f t="shared" si="166"/>
        <v>0</v>
      </c>
      <c r="K2171" s="29">
        <f t="shared" si="167"/>
        <v>4220</v>
      </c>
      <c r="L2171" s="31" t="str">
        <f t="shared" si="168"/>
        <v/>
      </c>
      <c r="M2171" s="31" t="str">
        <f t="shared" si="169"/>
        <v/>
      </c>
    </row>
    <row r="2172" spans="1:13" x14ac:dyDescent="0.15">
      <c r="A2172" s="163" t="s">
        <v>210</v>
      </c>
      <c r="B2172" s="163">
        <v>42332.559522430558</v>
      </c>
      <c r="C2172" s="164" t="s">
        <v>467</v>
      </c>
      <c r="D2172" s="164" t="s">
        <v>13</v>
      </c>
      <c r="E2172" s="165">
        <v>40</v>
      </c>
      <c r="F2172" s="166">
        <v>0</v>
      </c>
      <c r="G2172" s="227">
        <f>IF($B$2,IF(ROWS(B$6:$B2172) = 1,$B2172-Start_Date,$B2172-$B2171),"")</f>
        <v>1.9978912037913688E-2</v>
      </c>
      <c r="H2172" s="29">
        <f>IF($B$2,IF(ROWS(B$6:$B2172) = 1,IF(COUNTIFS(R_Schedule_Times,"&lt;"&amp;B2172),INDEX(R_Schedule_Amounts,MATCH(B2172,R_Schedule_Times,1)),Starting_Cash),IF(COUNTIFS(R_Schedule_Times,"&gt;"&amp;B2171,R_Schedule_Times,"&lt;"&amp;B2172),INDEX(R_Schedule_Amounts,MATCH(B2172,R_Schedule_Times,1)),K2171)),"")</f>
        <v>4220</v>
      </c>
      <c r="I2172" s="30">
        <f t="shared" si="165"/>
        <v>40</v>
      </c>
      <c r="J2172" s="31">
        <f t="shared" si="166"/>
        <v>0</v>
      </c>
      <c r="K2172" s="29">
        <f t="shared" si="167"/>
        <v>4180</v>
      </c>
      <c r="L2172" s="31" t="str">
        <f t="shared" si="168"/>
        <v/>
      </c>
      <c r="M2172" s="31" t="str">
        <f t="shared" si="169"/>
        <v/>
      </c>
    </row>
    <row r="2173" spans="1:13" x14ac:dyDescent="0.15">
      <c r="A2173" s="163" t="s">
        <v>210</v>
      </c>
      <c r="B2173" s="163">
        <v>42332.570488032405</v>
      </c>
      <c r="C2173" s="164" t="s">
        <v>238</v>
      </c>
      <c r="D2173" s="164" t="s">
        <v>13</v>
      </c>
      <c r="E2173" s="165">
        <v>40</v>
      </c>
      <c r="F2173" s="166">
        <v>0</v>
      </c>
      <c r="G2173" s="227">
        <f>IF($B$2,IF(ROWS(B$6:$B2173) = 1,$B2173-Start_Date,$B2173-$B2172),"")</f>
        <v>1.0965601846692152E-2</v>
      </c>
      <c r="H2173" s="29">
        <f>IF($B$2,IF(ROWS(B$6:$B2173) = 1,IF(COUNTIFS(R_Schedule_Times,"&lt;"&amp;B2173),INDEX(R_Schedule_Amounts,MATCH(B2173,R_Schedule_Times,1)),Starting_Cash),IF(COUNTIFS(R_Schedule_Times,"&gt;"&amp;B2172,R_Schedule_Times,"&lt;"&amp;B2173),INDEX(R_Schedule_Amounts,MATCH(B2173,R_Schedule_Times,1)),K2172)),"")</f>
        <v>4180</v>
      </c>
      <c r="I2173" s="30">
        <f t="shared" si="165"/>
        <v>40</v>
      </c>
      <c r="J2173" s="31">
        <f t="shared" si="166"/>
        <v>0</v>
      </c>
      <c r="K2173" s="29">
        <f t="shared" si="167"/>
        <v>4140</v>
      </c>
      <c r="L2173" s="31" t="str">
        <f t="shared" si="168"/>
        <v/>
      </c>
      <c r="M2173" s="31" t="str">
        <f t="shared" si="169"/>
        <v/>
      </c>
    </row>
    <row r="2174" spans="1:13" x14ac:dyDescent="0.15">
      <c r="A2174" s="163" t="s">
        <v>210</v>
      </c>
      <c r="B2174" s="163">
        <v>42332.573638148147</v>
      </c>
      <c r="C2174" s="164" t="s">
        <v>252</v>
      </c>
      <c r="D2174" s="164" t="s">
        <v>13</v>
      </c>
      <c r="E2174" s="165">
        <v>200</v>
      </c>
      <c r="F2174" s="166">
        <v>0</v>
      </c>
      <c r="G2174" s="227">
        <f>IF($B$2,IF(ROWS(B$6:$B2174) = 1,$B2174-Start_Date,$B2174-$B2173),"")</f>
        <v>3.1501157427555881E-3</v>
      </c>
      <c r="H2174" s="29">
        <f>IF($B$2,IF(ROWS(B$6:$B2174) = 1,IF(COUNTIFS(R_Schedule_Times,"&lt;"&amp;B2174),INDEX(R_Schedule_Amounts,MATCH(B2174,R_Schedule_Times,1)),Starting_Cash),IF(COUNTIFS(R_Schedule_Times,"&gt;"&amp;B2173,R_Schedule_Times,"&lt;"&amp;B2174),INDEX(R_Schedule_Amounts,MATCH(B2174,R_Schedule_Times,1)),K2173)),"")</f>
        <v>4140</v>
      </c>
      <c r="I2174" s="30">
        <f t="shared" si="165"/>
        <v>200</v>
      </c>
      <c r="J2174" s="31">
        <f t="shared" si="166"/>
        <v>0</v>
      </c>
      <c r="K2174" s="29">
        <f t="shared" si="167"/>
        <v>3940</v>
      </c>
      <c r="L2174" s="31" t="str">
        <f t="shared" si="168"/>
        <v/>
      </c>
      <c r="M2174" s="31" t="str">
        <f t="shared" si="169"/>
        <v/>
      </c>
    </row>
    <row r="2175" spans="1:13" x14ac:dyDescent="0.15">
      <c r="A2175" s="163" t="s">
        <v>210</v>
      </c>
      <c r="B2175" s="163">
        <v>42332.626565787039</v>
      </c>
      <c r="C2175" s="164" t="s">
        <v>2025</v>
      </c>
      <c r="D2175" s="164" t="s">
        <v>13</v>
      </c>
      <c r="E2175" s="165">
        <v>80</v>
      </c>
      <c r="F2175" s="166">
        <v>0</v>
      </c>
      <c r="G2175" s="227">
        <f>IF($B$2,IF(ROWS(B$6:$B2175) = 1,$B2175-Start_Date,$B2175-$B2174),"")</f>
        <v>5.2927638891560491E-2</v>
      </c>
      <c r="H2175" s="29">
        <f>IF($B$2,IF(ROWS(B$6:$B2175) = 1,IF(COUNTIFS(R_Schedule_Times,"&lt;"&amp;B2175),INDEX(R_Schedule_Amounts,MATCH(B2175,R_Schedule_Times,1)),Starting_Cash),IF(COUNTIFS(R_Schedule_Times,"&gt;"&amp;B2174,R_Schedule_Times,"&lt;"&amp;B2175),INDEX(R_Schedule_Amounts,MATCH(B2175,R_Schedule_Times,1)),K2174)),"")</f>
        <v>3940</v>
      </c>
      <c r="I2175" s="30">
        <f t="shared" si="165"/>
        <v>80</v>
      </c>
      <c r="J2175" s="31">
        <f t="shared" si="166"/>
        <v>0</v>
      </c>
      <c r="K2175" s="29">
        <f t="shared" si="167"/>
        <v>3860</v>
      </c>
      <c r="L2175" s="31" t="str">
        <f t="shared" si="168"/>
        <v/>
      </c>
      <c r="M2175" s="31" t="str">
        <f t="shared" si="169"/>
        <v/>
      </c>
    </row>
    <row r="2176" spans="1:13" x14ac:dyDescent="0.15">
      <c r="A2176" s="163" t="s">
        <v>210</v>
      </c>
      <c r="B2176" s="163">
        <v>42332.659128032406</v>
      </c>
      <c r="C2176" s="164" t="s">
        <v>1717</v>
      </c>
      <c r="D2176" s="164" t="s">
        <v>13</v>
      </c>
      <c r="E2176" s="165">
        <v>100</v>
      </c>
      <c r="F2176" s="166">
        <v>0</v>
      </c>
      <c r="G2176" s="227">
        <f>IF($B$2,IF(ROWS(B$6:$B2176) = 1,$B2176-Start_Date,$B2176-$B2175),"")</f>
        <v>3.256224536744412E-2</v>
      </c>
      <c r="H2176" s="29">
        <f>IF($B$2,IF(ROWS(B$6:$B2176) = 1,IF(COUNTIFS(R_Schedule_Times,"&lt;"&amp;B2176),INDEX(R_Schedule_Amounts,MATCH(B2176,R_Schedule_Times,1)),Starting_Cash),IF(COUNTIFS(R_Schedule_Times,"&gt;"&amp;B2175,R_Schedule_Times,"&lt;"&amp;B2176),INDEX(R_Schedule_Amounts,MATCH(B2176,R_Schedule_Times,1)),K2175)),"")</f>
        <v>3860</v>
      </c>
      <c r="I2176" s="30">
        <f t="shared" si="165"/>
        <v>100</v>
      </c>
      <c r="J2176" s="31">
        <f t="shared" si="166"/>
        <v>0</v>
      </c>
      <c r="K2176" s="29">
        <f t="shared" si="167"/>
        <v>3760</v>
      </c>
      <c r="L2176" s="31" t="str">
        <f t="shared" si="168"/>
        <v/>
      </c>
      <c r="M2176" s="31" t="str">
        <f t="shared" si="169"/>
        <v/>
      </c>
    </row>
    <row r="2177" spans="1:13" x14ac:dyDescent="0.15">
      <c r="A2177" s="163" t="s">
        <v>210</v>
      </c>
      <c r="B2177" s="163">
        <v>42332.69598196759</v>
      </c>
      <c r="C2177" s="164" t="s">
        <v>2026</v>
      </c>
      <c r="D2177" s="164" t="s">
        <v>13</v>
      </c>
      <c r="E2177" s="165">
        <v>120</v>
      </c>
      <c r="F2177" s="166">
        <v>0</v>
      </c>
      <c r="G2177" s="227">
        <f>IF($B$2,IF(ROWS(B$6:$B2177) = 1,$B2177-Start_Date,$B2177-$B2176),"")</f>
        <v>3.6853935183899011E-2</v>
      </c>
      <c r="H2177" s="29">
        <f>IF($B$2,IF(ROWS(B$6:$B2177) = 1,IF(COUNTIFS(R_Schedule_Times,"&lt;"&amp;B2177),INDEX(R_Schedule_Amounts,MATCH(B2177,R_Schedule_Times,1)),Starting_Cash),IF(COUNTIFS(R_Schedule_Times,"&gt;"&amp;B2176,R_Schedule_Times,"&lt;"&amp;B2177),INDEX(R_Schedule_Amounts,MATCH(B2177,R_Schedule_Times,1)),K2176)),"")</f>
        <v>3760</v>
      </c>
      <c r="I2177" s="30">
        <f t="shared" si="165"/>
        <v>120</v>
      </c>
      <c r="J2177" s="31">
        <f t="shared" si="166"/>
        <v>0</v>
      </c>
      <c r="K2177" s="29">
        <f t="shared" si="167"/>
        <v>3640</v>
      </c>
      <c r="L2177" s="31" t="str">
        <f t="shared" si="168"/>
        <v/>
      </c>
      <c r="M2177" s="31" t="str">
        <f t="shared" si="169"/>
        <v/>
      </c>
    </row>
    <row r="2178" spans="1:13" x14ac:dyDescent="0.15">
      <c r="A2178" s="163" t="s">
        <v>210</v>
      </c>
      <c r="B2178" s="163">
        <v>42332.715654444444</v>
      </c>
      <c r="C2178" s="164" t="s">
        <v>669</v>
      </c>
      <c r="D2178" s="164" t="s">
        <v>13</v>
      </c>
      <c r="E2178" s="165">
        <v>400</v>
      </c>
      <c r="F2178" s="166">
        <v>0</v>
      </c>
      <c r="G2178" s="227">
        <f>IF($B$2,IF(ROWS(B$6:$B2178) = 1,$B2178-Start_Date,$B2178-$B2177),"")</f>
        <v>1.9672476853884291E-2</v>
      </c>
      <c r="H2178" s="29">
        <f>IF($B$2,IF(ROWS(B$6:$B2178) = 1,IF(COUNTIFS(R_Schedule_Times,"&lt;"&amp;B2178),INDEX(R_Schedule_Amounts,MATCH(B2178,R_Schedule_Times,1)),Starting_Cash),IF(COUNTIFS(R_Schedule_Times,"&gt;"&amp;B2177,R_Schedule_Times,"&lt;"&amp;B2178),INDEX(R_Schedule_Amounts,MATCH(B2178,R_Schedule_Times,1)),K2177)),"")</f>
        <v>3640</v>
      </c>
      <c r="I2178" s="30">
        <f t="shared" si="165"/>
        <v>400</v>
      </c>
      <c r="J2178" s="31">
        <f t="shared" si="166"/>
        <v>0</v>
      </c>
      <c r="K2178" s="29">
        <f t="shared" si="167"/>
        <v>3240</v>
      </c>
      <c r="L2178" s="31" t="str">
        <f t="shared" si="168"/>
        <v/>
      </c>
      <c r="M2178" s="31" t="str">
        <f t="shared" si="169"/>
        <v/>
      </c>
    </row>
    <row r="2179" spans="1:13" x14ac:dyDescent="0.15">
      <c r="A2179" s="163" t="s">
        <v>210</v>
      </c>
      <c r="B2179" s="163">
        <v>42332.729883136577</v>
      </c>
      <c r="C2179" s="164" t="s">
        <v>2027</v>
      </c>
      <c r="D2179" s="164" t="s">
        <v>13</v>
      </c>
      <c r="E2179" s="165">
        <v>80</v>
      </c>
      <c r="F2179" s="166">
        <v>0</v>
      </c>
      <c r="G2179" s="227">
        <f>IF($B$2,IF(ROWS(B$6:$B2179) = 1,$B2179-Start_Date,$B2179-$B2178),"")</f>
        <v>1.4228692132746801E-2</v>
      </c>
      <c r="H2179" s="29">
        <f>IF($B$2,IF(ROWS(B$6:$B2179) = 1,IF(COUNTIFS(R_Schedule_Times,"&lt;"&amp;B2179),INDEX(R_Schedule_Amounts,MATCH(B2179,R_Schedule_Times,1)),Starting_Cash),IF(COUNTIFS(R_Schedule_Times,"&gt;"&amp;B2178,R_Schedule_Times,"&lt;"&amp;B2179),INDEX(R_Schedule_Amounts,MATCH(B2179,R_Schedule_Times,1)),K2178)),"")</f>
        <v>3240</v>
      </c>
      <c r="I2179" s="30">
        <f t="shared" si="165"/>
        <v>80</v>
      </c>
      <c r="J2179" s="31">
        <f t="shared" si="166"/>
        <v>0</v>
      </c>
      <c r="K2179" s="29">
        <f t="shared" si="167"/>
        <v>3160</v>
      </c>
      <c r="L2179" s="31" t="str">
        <f t="shared" si="168"/>
        <v/>
      </c>
      <c r="M2179" s="31" t="str">
        <f t="shared" si="169"/>
        <v/>
      </c>
    </row>
    <row r="2180" spans="1:13" x14ac:dyDescent="0.15">
      <c r="A2180" s="163" t="s">
        <v>210</v>
      </c>
      <c r="B2180" s="163">
        <v>42332.73301747685</v>
      </c>
      <c r="C2180" s="164" t="s">
        <v>2028</v>
      </c>
      <c r="D2180" s="164" t="s">
        <v>13</v>
      </c>
      <c r="E2180" s="165">
        <v>80</v>
      </c>
      <c r="F2180" s="166">
        <v>0</v>
      </c>
      <c r="G2180" s="227">
        <f>IF($B$2,IF(ROWS(B$6:$B2180) = 1,$B2180-Start_Date,$B2180-$B2179),"")</f>
        <v>3.1343402733909898E-3</v>
      </c>
      <c r="H2180" s="29">
        <f>IF($B$2,IF(ROWS(B$6:$B2180) = 1,IF(COUNTIFS(R_Schedule_Times,"&lt;"&amp;B2180),INDEX(R_Schedule_Amounts,MATCH(B2180,R_Schedule_Times,1)),Starting_Cash),IF(COUNTIFS(R_Schedule_Times,"&gt;"&amp;B2179,R_Schedule_Times,"&lt;"&amp;B2180),INDEX(R_Schedule_Amounts,MATCH(B2180,R_Schedule_Times,1)),K2179)),"")</f>
        <v>3160</v>
      </c>
      <c r="I2180" s="30">
        <f t="shared" si="165"/>
        <v>80</v>
      </c>
      <c r="J2180" s="31">
        <f t="shared" si="166"/>
        <v>0</v>
      </c>
      <c r="K2180" s="29">
        <f t="shared" si="167"/>
        <v>3080</v>
      </c>
      <c r="L2180" s="31" t="str">
        <f t="shared" si="168"/>
        <v/>
      </c>
      <c r="M2180" s="31" t="str">
        <f t="shared" si="169"/>
        <v/>
      </c>
    </row>
    <row r="2181" spans="1:13" x14ac:dyDescent="0.15">
      <c r="A2181" s="163" t="s">
        <v>210</v>
      </c>
      <c r="B2181" s="163">
        <v>42332.745716944446</v>
      </c>
      <c r="C2181" s="164" t="s">
        <v>717</v>
      </c>
      <c r="D2181" s="164" t="s">
        <v>13</v>
      </c>
      <c r="E2181" s="165">
        <v>80</v>
      </c>
      <c r="F2181" s="166">
        <v>0</v>
      </c>
      <c r="G2181" s="227">
        <f>IF($B$2,IF(ROWS(B$6:$B2181) = 1,$B2181-Start_Date,$B2181-$B2180),"")</f>
        <v>1.2699467595666647E-2</v>
      </c>
      <c r="H2181" s="29">
        <f>IF($B$2,IF(ROWS(B$6:$B2181) = 1,IF(COUNTIFS(R_Schedule_Times,"&lt;"&amp;B2181),INDEX(R_Schedule_Amounts,MATCH(B2181,R_Schedule_Times,1)),Starting_Cash),IF(COUNTIFS(R_Schedule_Times,"&gt;"&amp;B2180,R_Schedule_Times,"&lt;"&amp;B2181),INDEX(R_Schedule_Amounts,MATCH(B2181,R_Schedule_Times,1)),K2180)),"")</f>
        <v>3080</v>
      </c>
      <c r="I2181" s="30">
        <f t="shared" si="165"/>
        <v>80</v>
      </c>
      <c r="J2181" s="31">
        <f t="shared" si="166"/>
        <v>0</v>
      </c>
      <c r="K2181" s="29">
        <f t="shared" si="167"/>
        <v>3000</v>
      </c>
      <c r="L2181" s="31" t="str">
        <f t="shared" si="168"/>
        <v/>
      </c>
      <c r="M2181" s="31" t="str">
        <f t="shared" si="169"/>
        <v/>
      </c>
    </row>
    <row r="2182" spans="1:13" x14ac:dyDescent="0.15">
      <c r="A2182" s="163" t="s">
        <v>210</v>
      </c>
      <c r="B2182" s="163">
        <v>42332.767659212965</v>
      </c>
      <c r="C2182" s="164" t="s">
        <v>189</v>
      </c>
      <c r="D2182" s="164" t="s">
        <v>13</v>
      </c>
      <c r="E2182" s="165">
        <v>60</v>
      </c>
      <c r="F2182" s="166">
        <v>0</v>
      </c>
      <c r="G2182" s="227">
        <f>IF($B$2,IF(ROWS(B$6:$B2182) = 1,$B2182-Start_Date,$B2182-$B2181),"")</f>
        <v>2.1942268518614583E-2</v>
      </c>
      <c r="H2182" s="29">
        <f>IF($B$2,IF(ROWS(B$6:$B2182) = 1,IF(COUNTIFS(R_Schedule_Times,"&lt;"&amp;B2182),INDEX(R_Schedule_Amounts,MATCH(B2182,R_Schedule_Times,1)),Starting_Cash),IF(COUNTIFS(R_Schedule_Times,"&gt;"&amp;B2181,R_Schedule_Times,"&lt;"&amp;B2182),INDEX(R_Schedule_Amounts,MATCH(B2182,R_Schedule_Times,1)),K2181)),"")</f>
        <v>3000</v>
      </c>
      <c r="I2182" s="30">
        <f t="shared" si="165"/>
        <v>60</v>
      </c>
      <c r="J2182" s="31">
        <f t="shared" si="166"/>
        <v>0</v>
      </c>
      <c r="K2182" s="29">
        <f t="shared" si="167"/>
        <v>2940</v>
      </c>
      <c r="L2182" s="31" t="str">
        <f t="shared" si="168"/>
        <v/>
      </c>
      <c r="M2182" s="31" t="str">
        <f t="shared" si="169"/>
        <v/>
      </c>
    </row>
    <row r="2183" spans="1:13" x14ac:dyDescent="0.15">
      <c r="A2183" s="163" t="s">
        <v>210</v>
      </c>
      <c r="B2183" s="163">
        <v>42332.815039502311</v>
      </c>
      <c r="C2183" s="164" t="s">
        <v>2029</v>
      </c>
      <c r="D2183" s="164" t="s">
        <v>13</v>
      </c>
      <c r="E2183" s="165">
        <v>80</v>
      </c>
      <c r="F2183" s="166">
        <v>0</v>
      </c>
      <c r="G2183" s="227">
        <f>IF($B$2,IF(ROWS(B$6:$B2183) = 1,$B2183-Start_Date,$B2183-$B2182),"")</f>
        <v>4.7380289346619975E-2</v>
      </c>
      <c r="H2183" s="29">
        <f>IF($B$2,IF(ROWS(B$6:$B2183) = 1,IF(COUNTIFS(R_Schedule_Times,"&lt;"&amp;B2183),INDEX(R_Schedule_Amounts,MATCH(B2183,R_Schedule_Times,1)),Starting_Cash),IF(COUNTIFS(R_Schedule_Times,"&gt;"&amp;B2182,R_Schedule_Times,"&lt;"&amp;B2183),INDEX(R_Schedule_Amounts,MATCH(B2183,R_Schedule_Times,1)),K2182)),"")</f>
        <v>2940</v>
      </c>
      <c r="I2183" s="30">
        <f t="shared" ref="I2183:I2246" si="170">IF($B$2,IF(H2183&gt;=E2183,E2183,0),"")</f>
        <v>80</v>
      </c>
      <c r="J2183" s="31">
        <f t="shared" ref="J2183:J2246" si="171">IF($B$2,IF(H2183&gt;=E2183,F2183,0),"")</f>
        <v>0</v>
      </c>
      <c r="K2183" s="29">
        <f t="shared" ref="K2183:K2246" si="172">IF($B$2,ABS(I2183-H2183),"")</f>
        <v>2860</v>
      </c>
      <c r="L2183" s="31" t="str">
        <f t="shared" ref="L2183:L2246" si="173">IF($B$2,IF(H2183&lt;E2183,"YES",""),"")</f>
        <v/>
      </c>
      <c r="M2183" s="31" t="str">
        <f t="shared" ref="M2183:M2246" si="174">IF($B$2,IF(L2183="YES",F2183,""),"")</f>
        <v/>
      </c>
    </row>
    <row r="2184" spans="1:13" x14ac:dyDescent="0.15">
      <c r="A2184" s="163" t="s">
        <v>210</v>
      </c>
      <c r="B2184" s="163">
        <v>42332.904780960649</v>
      </c>
      <c r="C2184" s="164" t="s">
        <v>2030</v>
      </c>
      <c r="D2184" s="164" t="s">
        <v>13</v>
      </c>
      <c r="E2184" s="165">
        <v>20</v>
      </c>
      <c r="F2184" s="166">
        <v>0</v>
      </c>
      <c r="G2184" s="227">
        <f>IF($B$2,IF(ROWS(B$6:$B2184) = 1,$B2184-Start_Date,$B2184-$B2183),"")</f>
        <v>8.9741458337812219E-2</v>
      </c>
      <c r="H2184" s="29">
        <f>IF($B$2,IF(ROWS(B$6:$B2184) = 1,IF(COUNTIFS(R_Schedule_Times,"&lt;"&amp;B2184),INDEX(R_Schedule_Amounts,MATCH(B2184,R_Schedule_Times,1)),Starting_Cash),IF(COUNTIFS(R_Schedule_Times,"&gt;"&amp;B2183,R_Schedule_Times,"&lt;"&amp;B2184),INDEX(R_Schedule_Amounts,MATCH(B2184,R_Schedule_Times,1)),K2183)),"")</f>
        <v>2860</v>
      </c>
      <c r="I2184" s="30">
        <f t="shared" si="170"/>
        <v>20</v>
      </c>
      <c r="J2184" s="31">
        <f t="shared" si="171"/>
        <v>0</v>
      </c>
      <c r="K2184" s="29">
        <f t="shared" si="172"/>
        <v>2840</v>
      </c>
      <c r="L2184" s="31" t="str">
        <f t="shared" si="173"/>
        <v/>
      </c>
      <c r="M2184" s="31" t="str">
        <f t="shared" si="174"/>
        <v/>
      </c>
    </row>
    <row r="2185" spans="1:13" x14ac:dyDescent="0.15">
      <c r="A2185" s="163" t="s">
        <v>210</v>
      </c>
      <c r="B2185" s="163">
        <v>42332.949388321758</v>
      </c>
      <c r="C2185" s="164" t="s">
        <v>1692</v>
      </c>
      <c r="D2185" s="164" t="s">
        <v>13</v>
      </c>
      <c r="E2185" s="165">
        <v>40</v>
      </c>
      <c r="F2185" s="166">
        <v>0</v>
      </c>
      <c r="G2185" s="227">
        <f>IF($B$2,IF(ROWS(B$6:$B2185) = 1,$B2185-Start_Date,$B2185-$B2184),"")</f>
        <v>4.4607361109228805E-2</v>
      </c>
      <c r="H2185" s="29">
        <f>IF($B$2,IF(ROWS(B$6:$B2185) = 1,IF(COUNTIFS(R_Schedule_Times,"&lt;"&amp;B2185),INDEX(R_Schedule_Amounts,MATCH(B2185,R_Schedule_Times,1)),Starting_Cash),IF(COUNTIFS(R_Schedule_Times,"&gt;"&amp;B2184,R_Schedule_Times,"&lt;"&amp;B2185),INDEX(R_Schedule_Amounts,MATCH(B2185,R_Schedule_Times,1)),K2184)),"")</f>
        <v>2840</v>
      </c>
      <c r="I2185" s="30">
        <f t="shared" si="170"/>
        <v>40</v>
      </c>
      <c r="J2185" s="31">
        <f t="shared" si="171"/>
        <v>0</v>
      </c>
      <c r="K2185" s="29">
        <f t="shared" si="172"/>
        <v>2800</v>
      </c>
      <c r="L2185" s="31" t="str">
        <f t="shared" si="173"/>
        <v/>
      </c>
      <c r="M2185" s="31" t="str">
        <f t="shared" si="174"/>
        <v/>
      </c>
    </row>
    <row r="2186" spans="1:13" x14ac:dyDescent="0.15">
      <c r="A2186" s="163" t="s">
        <v>210</v>
      </c>
      <c r="B2186" s="163">
        <v>42333.201121064812</v>
      </c>
      <c r="C2186" s="164" t="s">
        <v>2031</v>
      </c>
      <c r="D2186" s="164" t="s">
        <v>13</v>
      </c>
      <c r="E2186" s="165">
        <v>20</v>
      </c>
      <c r="F2186" s="166">
        <v>0</v>
      </c>
      <c r="G2186" s="227">
        <f>IF($B$2,IF(ROWS(B$6:$B2186) = 1,$B2186-Start_Date,$B2186-$B2185),"")</f>
        <v>0.25173274305416271</v>
      </c>
      <c r="H2186" s="29">
        <f>IF($B$2,IF(ROWS(B$6:$B2186) = 1,IF(COUNTIFS(R_Schedule_Times,"&lt;"&amp;B2186),INDEX(R_Schedule_Amounts,MATCH(B2186,R_Schedule_Times,1)),Starting_Cash),IF(COUNTIFS(R_Schedule_Times,"&gt;"&amp;B2185,R_Schedule_Times,"&lt;"&amp;B2186),INDEX(R_Schedule_Amounts,MATCH(B2186,R_Schedule_Times,1)),K2185)),"")</f>
        <v>2800</v>
      </c>
      <c r="I2186" s="30">
        <f t="shared" si="170"/>
        <v>20</v>
      </c>
      <c r="J2186" s="31">
        <f t="shared" si="171"/>
        <v>0</v>
      </c>
      <c r="K2186" s="29">
        <f t="shared" si="172"/>
        <v>2780</v>
      </c>
      <c r="L2186" s="31" t="str">
        <f t="shared" si="173"/>
        <v/>
      </c>
      <c r="M2186" s="31" t="str">
        <f t="shared" si="174"/>
        <v/>
      </c>
    </row>
    <row r="2187" spans="1:13" x14ac:dyDescent="0.15">
      <c r="A2187" s="163" t="s">
        <v>210</v>
      </c>
      <c r="B2187" s="163">
        <v>42333.22290364583</v>
      </c>
      <c r="C2187" s="164" t="s">
        <v>1093</v>
      </c>
      <c r="D2187" s="164" t="s">
        <v>13</v>
      </c>
      <c r="E2187" s="165">
        <v>80</v>
      </c>
      <c r="F2187" s="166">
        <v>0</v>
      </c>
      <c r="G2187" s="227">
        <f>IF($B$2,IF(ROWS(B$6:$B2187) = 1,$B2187-Start_Date,$B2187-$B2186),"")</f>
        <v>2.1782581017760094E-2</v>
      </c>
      <c r="H2187" s="29">
        <f>IF($B$2,IF(ROWS(B$6:$B2187) = 1,IF(COUNTIFS(R_Schedule_Times,"&lt;"&amp;B2187),INDEX(R_Schedule_Amounts,MATCH(B2187,R_Schedule_Times,1)),Starting_Cash),IF(COUNTIFS(R_Schedule_Times,"&gt;"&amp;B2186,R_Schedule_Times,"&lt;"&amp;B2187),INDEX(R_Schedule_Amounts,MATCH(B2187,R_Schedule_Times,1)),K2186)),"")</f>
        <v>2780</v>
      </c>
      <c r="I2187" s="30">
        <f t="shared" si="170"/>
        <v>80</v>
      </c>
      <c r="J2187" s="31">
        <f t="shared" si="171"/>
        <v>0</v>
      </c>
      <c r="K2187" s="29">
        <f t="shared" si="172"/>
        <v>2700</v>
      </c>
      <c r="L2187" s="31" t="str">
        <f t="shared" si="173"/>
        <v/>
      </c>
      <c r="M2187" s="31" t="str">
        <f t="shared" si="174"/>
        <v/>
      </c>
    </row>
    <row r="2188" spans="1:13" x14ac:dyDescent="0.15">
      <c r="A2188" s="163" t="s">
        <v>210</v>
      </c>
      <c r="B2188" s="163">
        <v>42333.228621273149</v>
      </c>
      <c r="C2188" s="164" t="s">
        <v>2032</v>
      </c>
      <c r="D2188" s="164" t="s">
        <v>13</v>
      </c>
      <c r="E2188" s="165">
        <v>80</v>
      </c>
      <c r="F2188" s="166">
        <v>0</v>
      </c>
      <c r="G2188" s="227">
        <f>IF($B$2,IF(ROWS(B$6:$B2188) = 1,$B2188-Start_Date,$B2188-$B2187),"")</f>
        <v>5.7176273185177706E-3</v>
      </c>
      <c r="H2188" s="29">
        <f>IF($B$2,IF(ROWS(B$6:$B2188) = 1,IF(COUNTIFS(R_Schedule_Times,"&lt;"&amp;B2188),INDEX(R_Schedule_Amounts,MATCH(B2188,R_Schedule_Times,1)),Starting_Cash),IF(COUNTIFS(R_Schedule_Times,"&gt;"&amp;B2187,R_Schedule_Times,"&lt;"&amp;B2188),INDEX(R_Schedule_Amounts,MATCH(B2188,R_Schedule_Times,1)),K2187)),"")</f>
        <v>2700</v>
      </c>
      <c r="I2188" s="30">
        <f t="shared" si="170"/>
        <v>80</v>
      </c>
      <c r="J2188" s="31">
        <f t="shared" si="171"/>
        <v>0</v>
      </c>
      <c r="K2188" s="29">
        <f t="shared" si="172"/>
        <v>2620</v>
      </c>
      <c r="L2188" s="31" t="str">
        <f t="shared" si="173"/>
        <v/>
      </c>
      <c r="M2188" s="31" t="str">
        <f t="shared" si="174"/>
        <v/>
      </c>
    </row>
    <row r="2189" spans="1:13" x14ac:dyDescent="0.15">
      <c r="A2189" s="163" t="s">
        <v>210</v>
      </c>
      <c r="B2189" s="163">
        <v>42333.245186712964</v>
      </c>
      <c r="C2189" s="164" t="s">
        <v>2033</v>
      </c>
      <c r="D2189" s="164" t="s">
        <v>13</v>
      </c>
      <c r="E2189" s="165">
        <v>100</v>
      </c>
      <c r="F2189" s="166">
        <v>0</v>
      </c>
      <c r="G2189" s="227">
        <f>IF($B$2,IF(ROWS(B$6:$B2189) = 1,$B2189-Start_Date,$B2189-$B2188),"")</f>
        <v>1.6565439815167338E-2</v>
      </c>
      <c r="H2189" s="29">
        <f>IF($B$2,IF(ROWS(B$6:$B2189) = 1,IF(COUNTIFS(R_Schedule_Times,"&lt;"&amp;B2189),INDEX(R_Schedule_Amounts,MATCH(B2189,R_Schedule_Times,1)),Starting_Cash),IF(COUNTIFS(R_Schedule_Times,"&gt;"&amp;B2188,R_Schedule_Times,"&lt;"&amp;B2189),INDEX(R_Schedule_Amounts,MATCH(B2189,R_Schedule_Times,1)),K2188)),"")</f>
        <v>2620</v>
      </c>
      <c r="I2189" s="30">
        <f t="shared" si="170"/>
        <v>100</v>
      </c>
      <c r="J2189" s="31">
        <f t="shared" si="171"/>
        <v>0</v>
      </c>
      <c r="K2189" s="29">
        <f t="shared" si="172"/>
        <v>2520</v>
      </c>
      <c r="L2189" s="31" t="str">
        <f t="shared" si="173"/>
        <v/>
      </c>
      <c r="M2189" s="31" t="str">
        <f t="shared" si="174"/>
        <v/>
      </c>
    </row>
    <row r="2190" spans="1:13" x14ac:dyDescent="0.15">
      <c r="A2190" s="163" t="s">
        <v>210</v>
      </c>
      <c r="B2190" s="163">
        <v>42333.286110856483</v>
      </c>
      <c r="C2190" s="164" t="s">
        <v>14</v>
      </c>
      <c r="D2190" s="164" t="s">
        <v>13</v>
      </c>
      <c r="E2190" s="165">
        <v>60</v>
      </c>
      <c r="F2190" s="166">
        <v>3.5</v>
      </c>
      <c r="G2190" s="227">
        <f>IF($B$2,IF(ROWS(B$6:$B2190) = 1,$B2190-Start_Date,$B2190-$B2189),"")</f>
        <v>4.0924143519077916E-2</v>
      </c>
      <c r="H2190" s="29">
        <f>IF($B$2,IF(ROWS(B$6:$B2190) = 1,IF(COUNTIFS(R_Schedule_Times,"&lt;"&amp;B2190),INDEX(R_Schedule_Amounts,MATCH(B2190,R_Schedule_Times,1)),Starting_Cash),IF(COUNTIFS(R_Schedule_Times,"&gt;"&amp;B2189,R_Schedule_Times,"&lt;"&amp;B2190),INDEX(R_Schedule_Amounts,MATCH(B2190,R_Schedule_Times,1)),K2189)),"")</f>
        <v>2520</v>
      </c>
      <c r="I2190" s="30">
        <f t="shared" si="170"/>
        <v>60</v>
      </c>
      <c r="J2190" s="31">
        <f t="shared" si="171"/>
        <v>3.5</v>
      </c>
      <c r="K2190" s="29">
        <f t="shared" si="172"/>
        <v>2460</v>
      </c>
      <c r="L2190" s="31" t="str">
        <f t="shared" si="173"/>
        <v/>
      </c>
      <c r="M2190" s="31" t="str">
        <f t="shared" si="174"/>
        <v/>
      </c>
    </row>
    <row r="2191" spans="1:13" x14ac:dyDescent="0.15">
      <c r="A2191" s="163" t="s">
        <v>210</v>
      </c>
      <c r="B2191" s="163">
        <v>42333.296033541665</v>
      </c>
      <c r="C2191" s="164" t="s">
        <v>2034</v>
      </c>
      <c r="D2191" s="164" t="s">
        <v>13</v>
      </c>
      <c r="E2191" s="165">
        <v>40</v>
      </c>
      <c r="F2191" s="166">
        <v>0</v>
      </c>
      <c r="G2191" s="227">
        <f>IF($B$2,IF(ROWS(B$6:$B2191) = 1,$B2191-Start_Date,$B2191-$B2190),"")</f>
        <v>9.9226851816638373E-3</v>
      </c>
      <c r="H2191" s="29">
        <f>IF($B$2,IF(ROWS(B$6:$B2191) = 1,IF(COUNTIFS(R_Schedule_Times,"&lt;"&amp;B2191),INDEX(R_Schedule_Amounts,MATCH(B2191,R_Schedule_Times,1)),Starting_Cash),IF(COUNTIFS(R_Schedule_Times,"&gt;"&amp;B2190,R_Schedule_Times,"&lt;"&amp;B2191),INDEX(R_Schedule_Amounts,MATCH(B2191,R_Schedule_Times,1)),K2190)),"")</f>
        <v>2460</v>
      </c>
      <c r="I2191" s="30">
        <f t="shared" si="170"/>
        <v>40</v>
      </c>
      <c r="J2191" s="31">
        <f t="shared" si="171"/>
        <v>0</v>
      </c>
      <c r="K2191" s="29">
        <f t="shared" si="172"/>
        <v>2420</v>
      </c>
      <c r="L2191" s="31" t="str">
        <f t="shared" si="173"/>
        <v/>
      </c>
      <c r="M2191" s="31" t="str">
        <f t="shared" si="174"/>
        <v/>
      </c>
    </row>
    <row r="2192" spans="1:13" x14ac:dyDescent="0.15">
      <c r="A2192" s="163" t="s">
        <v>210</v>
      </c>
      <c r="B2192" s="163">
        <v>42333.298299166665</v>
      </c>
      <c r="C2192" s="164" t="s">
        <v>2035</v>
      </c>
      <c r="D2192" s="164" t="s">
        <v>13</v>
      </c>
      <c r="E2192" s="165">
        <v>20</v>
      </c>
      <c r="F2192" s="166">
        <v>0</v>
      </c>
      <c r="G2192" s="227">
        <f>IF($B$2,IF(ROWS(B$6:$B2192) = 1,$B2192-Start_Date,$B2192-$B2191),"")</f>
        <v>2.2656250002910383E-3</v>
      </c>
      <c r="H2192" s="29">
        <f>IF($B$2,IF(ROWS(B$6:$B2192) = 1,IF(COUNTIFS(R_Schedule_Times,"&lt;"&amp;B2192),INDEX(R_Schedule_Amounts,MATCH(B2192,R_Schedule_Times,1)),Starting_Cash),IF(COUNTIFS(R_Schedule_Times,"&gt;"&amp;B2191,R_Schedule_Times,"&lt;"&amp;B2192),INDEX(R_Schedule_Amounts,MATCH(B2192,R_Schedule_Times,1)),K2191)),"")</f>
        <v>2420</v>
      </c>
      <c r="I2192" s="30">
        <f t="shared" si="170"/>
        <v>20</v>
      </c>
      <c r="J2192" s="31">
        <f t="shared" si="171"/>
        <v>0</v>
      </c>
      <c r="K2192" s="29">
        <f t="shared" si="172"/>
        <v>2400</v>
      </c>
      <c r="L2192" s="31" t="str">
        <f t="shared" si="173"/>
        <v/>
      </c>
      <c r="M2192" s="31" t="str">
        <f t="shared" si="174"/>
        <v/>
      </c>
    </row>
    <row r="2193" spans="1:13" x14ac:dyDescent="0.15">
      <c r="A2193" s="163" t="s">
        <v>210</v>
      </c>
      <c r="B2193" s="163">
        <v>42333.362138750002</v>
      </c>
      <c r="C2193" s="164" t="s">
        <v>695</v>
      </c>
      <c r="D2193" s="164" t="s">
        <v>13</v>
      </c>
      <c r="E2193" s="165">
        <v>80</v>
      </c>
      <c r="F2193" s="166">
        <v>0</v>
      </c>
      <c r="G2193" s="227">
        <f>IF($B$2,IF(ROWS(B$6:$B2193) = 1,$B2193-Start_Date,$B2193-$B2192),"")</f>
        <v>6.3839583337539807E-2</v>
      </c>
      <c r="H2193" s="29">
        <f>IF($B$2,IF(ROWS(B$6:$B2193) = 1,IF(COUNTIFS(R_Schedule_Times,"&lt;"&amp;B2193),INDEX(R_Schedule_Amounts,MATCH(B2193,R_Schedule_Times,1)),Starting_Cash),IF(COUNTIFS(R_Schedule_Times,"&gt;"&amp;B2192,R_Schedule_Times,"&lt;"&amp;B2193),INDEX(R_Schedule_Amounts,MATCH(B2193,R_Schedule_Times,1)),K2192)),"")</f>
        <v>2400</v>
      </c>
      <c r="I2193" s="30">
        <f t="shared" si="170"/>
        <v>80</v>
      </c>
      <c r="J2193" s="31">
        <f t="shared" si="171"/>
        <v>0</v>
      </c>
      <c r="K2193" s="29">
        <f t="shared" si="172"/>
        <v>2320</v>
      </c>
      <c r="L2193" s="31" t="str">
        <f t="shared" si="173"/>
        <v/>
      </c>
      <c r="M2193" s="31" t="str">
        <f t="shared" si="174"/>
        <v/>
      </c>
    </row>
    <row r="2194" spans="1:13" x14ac:dyDescent="0.15">
      <c r="A2194" s="163" t="s">
        <v>210</v>
      </c>
      <c r="B2194" s="163">
        <v>42333.374443981484</v>
      </c>
      <c r="C2194" s="164" t="s">
        <v>2036</v>
      </c>
      <c r="D2194" s="164" t="s">
        <v>13</v>
      </c>
      <c r="E2194" s="165">
        <v>60</v>
      </c>
      <c r="F2194" s="166">
        <v>0</v>
      </c>
      <c r="G2194" s="227">
        <f>IF($B$2,IF(ROWS(B$6:$B2194) = 1,$B2194-Start_Date,$B2194-$B2193),"")</f>
        <v>1.2305231481150258E-2</v>
      </c>
      <c r="H2194" s="29">
        <f>IF($B$2,IF(ROWS(B$6:$B2194) = 1,IF(COUNTIFS(R_Schedule_Times,"&lt;"&amp;B2194),INDEX(R_Schedule_Amounts,MATCH(B2194,R_Schedule_Times,1)),Starting_Cash),IF(COUNTIFS(R_Schedule_Times,"&gt;"&amp;B2193,R_Schedule_Times,"&lt;"&amp;B2194),INDEX(R_Schedule_Amounts,MATCH(B2194,R_Schedule_Times,1)),K2193)),"")</f>
        <v>2320</v>
      </c>
      <c r="I2194" s="30">
        <f t="shared" si="170"/>
        <v>60</v>
      </c>
      <c r="J2194" s="31">
        <f t="shared" si="171"/>
        <v>0</v>
      </c>
      <c r="K2194" s="29">
        <f t="shared" si="172"/>
        <v>2260</v>
      </c>
      <c r="L2194" s="31" t="str">
        <f t="shared" si="173"/>
        <v/>
      </c>
      <c r="M2194" s="31" t="str">
        <f t="shared" si="174"/>
        <v/>
      </c>
    </row>
    <row r="2195" spans="1:13" x14ac:dyDescent="0.15">
      <c r="A2195" s="163" t="s">
        <v>210</v>
      </c>
      <c r="B2195" s="163">
        <v>42333.412809479167</v>
      </c>
      <c r="C2195" s="164" t="s">
        <v>2037</v>
      </c>
      <c r="D2195" s="164" t="s">
        <v>13</v>
      </c>
      <c r="E2195" s="165">
        <v>60</v>
      </c>
      <c r="F2195" s="166">
        <v>0</v>
      </c>
      <c r="G2195" s="227">
        <f>IF($B$2,IF(ROWS(B$6:$B2195) = 1,$B2195-Start_Date,$B2195-$B2194),"")</f>
        <v>3.8365497683116701E-2</v>
      </c>
      <c r="H2195" s="29">
        <f>IF($B$2,IF(ROWS(B$6:$B2195) = 1,IF(COUNTIFS(R_Schedule_Times,"&lt;"&amp;B2195),INDEX(R_Schedule_Amounts,MATCH(B2195,R_Schedule_Times,1)),Starting_Cash),IF(COUNTIFS(R_Schedule_Times,"&gt;"&amp;B2194,R_Schedule_Times,"&lt;"&amp;B2195),INDEX(R_Schedule_Amounts,MATCH(B2195,R_Schedule_Times,1)),K2194)),"")</f>
        <v>2260</v>
      </c>
      <c r="I2195" s="30">
        <f t="shared" si="170"/>
        <v>60</v>
      </c>
      <c r="J2195" s="31">
        <f t="shared" si="171"/>
        <v>0</v>
      </c>
      <c r="K2195" s="29">
        <f t="shared" si="172"/>
        <v>2200</v>
      </c>
      <c r="L2195" s="31" t="str">
        <f t="shared" si="173"/>
        <v/>
      </c>
      <c r="M2195" s="31" t="str">
        <f t="shared" si="174"/>
        <v/>
      </c>
    </row>
    <row r="2196" spans="1:13" x14ac:dyDescent="0.15">
      <c r="A2196" s="163" t="s">
        <v>210</v>
      </c>
      <c r="B2196" s="163">
        <v>42333.425422175926</v>
      </c>
      <c r="C2196" s="164" t="s">
        <v>14</v>
      </c>
      <c r="D2196" s="164" t="s">
        <v>13</v>
      </c>
      <c r="E2196" s="165">
        <v>80</v>
      </c>
      <c r="F2196" s="166">
        <v>3.5</v>
      </c>
      <c r="G2196" s="227">
        <f>IF($B$2,IF(ROWS(B$6:$B2196) = 1,$B2196-Start_Date,$B2196-$B2195),"")</f>
        <v>1.2612696758878883E-2</v>
      </c>
      <c r="H2196" s="29">
        <f>IF($B$2,IF(ROWS(B$6:$B2196) = 1,IF(COUNTIFS(R_Schedule_Times,"&lt;"&amp;B2196),INDEX(R_Schedule_Amounts,MATCH(B2196,R_Schedule_Times,1)),Starting_Cash),IF(COUNTIFS(R_Schedule_Times,"&gt;"&amp;B2195,R_Schedule_Times,"&lt;"&amp;B2196),INDEX(R_Schedule_Amounts,MATCH(B2196,R_Schedule_Times,1)),K2195)),"")</f>
        <v>2200</v>
      </c>
      <c r="I2196" s="30">
        <f t="shared" si="170"/>
        <v>80</v>
      </c>
      <c r="J2196" s="31">
        <f t="shared" si="171"/>
        <v>3.5</v>
      </c>
      <c r="K2196" s="29">
        <f t="shared" si="172"/>
        <v>2120</v>
      </c>
      <c r="L2196" s="31" t="str">
        <f t="shared" si="173"/>
        <v/>
      </c>
      <c r="M2196" s="31" t="str">
        <f t="shared" si="174"/>
        <v/>
      </c>
    </row>
    <row r="2197" spans="1:13" x14ac:dyDescent="0.15">
      <c r="A2197" s="163" t="s">
        <v>210</v>
      </c>
      <c r="B2197" s="163">
        <v>42333.436668032409</v>
      </c>
      <c r="C2197" s="164" t="s">
        <v>804</v>
      </c>
      <c r="D2197" s="164" t="s">
        <v>13</v>
      </c>
      <c r="E2197" s="165">
        <v>20</v>
      </c>
      <c r="F2197" s="166">
        <v>0</v>
      </c>
      <c r="G2197" s="227">
        <f>IF($B$2,IF(ROWS(B$6:$B2197) = 1,$B2197-Start_Date,$B2197-$B2196),"")</f>
        <v>1.1245856483583339E-2</v>
      </c>
      <c r="H2197" s="29">
        <f>IF($B$2,IF(ROWS(B$6:$B2197) = 1,IF(COUNTIFS(R_Schedule_Times,"&lt;"&amp;B2197),INDEX(R_Schedule_Amounts,MATCH(B2197,R_Schedule_Times,1)),Starting_Cash),IF(COUNTIFS(R_Schedule_Times,"&gt;"&amp;B2196,R_Schedule_Times,"&lt;"&amp;B2197),INDEX(R_Schedule_Amounts,MATCH(B2197,R_Schedule_Times,1)),K2196)),"")</f>
        <v>2120</v>
      </c>
      <c r="I2197" s="30">
        <f t="shared" si="170"/>
        <v>20</v>
      </c>
      <c r="J2197" s="31">
        <f t="shared" si="171"/>
        <v>0</v>
      </c>
      <c r="K2197" s="29">
        <f t="shared" si="172"/>
        <v>2100</v>
      </c>
      <c r="L2197" s="31" t="str">
        <f t="shared" si="173"/>
        <v/>
      </c>
      <c r="M2197" s="31" t="str">
        <f t="shared" si="174"/>
        <v/>
      </c>
    </row>
    <row r="2198" spans="1:13" x14ac:dyDescent="0.15">
      <c r="A2198" s="163" t="s">
        <v>210</v>
      </c>
      <c r="B2198" s="163">
        <v>42333.450438206019</v>
      </c>
      <c r="C2198" s="164" t="s">
        <v>468</v>
      </c>
      <c r="D2198" s="164" t="s">
        <v>13</v>
      </c>
      <c r="E2198" s="165">
        <v>60</v>
      </c>
      <c r="F2198" s="166">
        <v>0</v>
      </c>
      <c r="G2198" s="227">
        <f>IF($B$2,IF(ROWS(B$6:$B2198) = 1,$B2198-Start_Date,$B2198-$B2197),"")</f>
        <v>1.377017360937316E-2</v>
      </c>
      <c r="H2198" s="29">
        <f>IF($B$2,IF(ROWS(B$6:$B2198) = 1,IF(COUNTIFS(R_Schedule_Times,"&lt;"&amp;B2198),INDEX(R_Schedule_Amounts,MATCH(B2198,R_Schedule_Times,1)),Starting_Cash),IF(COUNTIFS(R_Schedule_Times,"&gt;"&amp;B2197,R_Schedule_Times,"&lt;"&amp;B2198),INDEX(R_Schedule_Amounts,MATCH(B2198,R_Schedule_Times,1)),K2197)),"")</f>
        <v>2100</v>
      </c>
      <c r="I2198" s="30">
        <f t="shared" si="170"/>
        <v>60</v>
      </c>
      <c r="J2198" s="31">
        <f t="shared" si="171"/>
        <v>0</v>
      </c>
      <c r="K2198" s="29">
        <f t="shared" si="172"/>
        <v>2040</v>
      </c>
      <c r="L2198" s="31" t="str">
        <f t="shared" si="173"/>
        <v/>
      </c>
      <c r="M2198" s="31" t="str">
        <f t="shared" si="174"/>
        <v/>
      </c>
    </row>
    <row r="2199" spans="1:13" x14ac:dyDescent="0.15">
      <c r="A2199" s="163" t="s">
        <v>210</v>
      </c>
      <c r="B2199" s="163">
        <v>42333.465787141206</v>
      </c>
      <c r="C2199" s="164" t="s">
        <v>2038</v>
      </c>
      <c r="D2199" s="164" t="s">
        <v>13</v>
      </c>
      <c r="E2199" s="165">
        <v>60</v>
      </c>
      <c r="F2199" s="166">
        <v>0</v>
      </c>
      <c r="G2199" s="227">
        <f>IF($B$2,IF(ROWS(B$6:$B2199) = 1,$B2199-Start_Date,$B2199-$B2198),"")</f>
        <v>1.5348935186921153E-2</v>
      </c>
      <c r="H2199" s="29">
        <f>IF($B$2,IF(ROWS(B$6:$B2199) = 1,IF(COUNTIFS(R_Schedule_Times,"&lt;"&amp;B2199),INDEX(R_Schedule_Amounts,MATCH(B2199,R_Schedule_Times,1)),Starting_Cash),IF(COUNTIFS(R_Schedule_Times,"&gt;"&amp;B2198,R_Schedule_Times,"&lt;"&amp;B2199),INDEX(R_Schedule_Amounts,MATCH(B2199,R_Schedule_Times,1)),K2198)),"")</f>
        <v>2040</v>
      </c>
      <c r="I2199" s="30">
        <f t="shared" si="170"/>
        <v>60</v>
      </c>
      <c r="J2199" s="31">
        <f t="shared" si="171"/>
        <v>0</v>
      </c>
      <c r="K2199" s="29">
        <f t="shared" si="172"/>
        <v>1980</v>
      </c>
      <c r="L2199" s="31" t="str">
        <f t="shared" si="173"/>
        <v/>
      </c>
      <c r="M2199" s="31" t="str">
        <f t="shared" si="174"/>
        <v/>
      </c>
    </row>
    <row r="2200" spans="1:13" x14ac:dyDescent="0.15">
      <c r="A2200" s="163" t="s">
        <v>210</v>
      </c>
      <c r="B2200" s="163">
        <v>42333.484214618053</v>
      </c>
      <c r="C2200" s="164" t="s">
        <v>73</v>
      </c>
      <c r="D2200" s="164" t="s">
        <v>13</v>
      </c>
      <c r="E2200" s="165">
        <v>40</v>
      </c>
      <c r="F2200" s="166">
        <v>0</v>
      </c>
      <c r="G2200" s="227">
        <f>IF($B$2,IF(ROWS(B$6:$B2200) = 1,$B2200-Start_Date,$B2200-$B2199),"")</f>
        <v>1.8427476847136859E-2</v>
      </c>
      <c r="H2200" s="29">
        <f>IF($B$2,IF(ROWS(B$6:$B2200) = 1,IF(COUNTIFS(R_Schedule_Times,"&lt;"&amp;B2200),INDEX(R_Schedule_Amounts,MATCH(B2200,R_Schedule_Times,1)),Starting_Cash),IF(COUNTIFS(R_Schedule_Times,"&gt;"&amp;B2199,R_Schedule_Times,"&lt;"&amp;B2200),INDEX(R_Schedule_Amounts,MATCH(B2200,R_Schedule_Times,1)),K2199)),"")</f>
        <v>1980</v>
      </c>
      <c r="I2200" s="30">
        <f t="shared" si="170"/>
        <v>40</v>
      </c>
      <c r="J2200" s="31">
        <f t="shared" si="171"/>
        <v>0</v>
      </c>
      <c r="K2200" s="29">
        <f t="shared" si="172"/>
        <v>1940</v>
      </c>
      <c r="L2200" s="31" t="str">
        <f t="shared" si="173"/>
        <v/>
      </c>
      <c r="M2200" s="31" t="str">
        <f t="shared" si="174"/>
        <v/>
      </c>
    </row>
    <row r="2201" spans="1:13" x14ac:dyDescent="0.15">
      <c r="A2201" s="163" t="s">
        <v>210</v>
      </c>
      <c r="B2201" s="163">
        <v>42333.514220543984</v>
      </c>
      <c r="C2201" s="164" t="s">
        <v>2039</v>
      </c>
      <c r="D2201" s="164" t="s">
        <v>13</v>
      </c>
      <c r="E2201" s="165">
        <v>80</v>
      </c>
      <c r="F2201" s="166">
        <v>0</v>
      </c>
      <c r="G2201" s="227">
        <f>IF($B$2,IF(ROWS(B$6:$B2201) = 1,$B2201-Start_Date,$B2201-$B2200),"")</f>
        <v>3.0005925931618549E-2</v>
      </c>
      <c r="H2201" s="29">
        <f>IF($B$2,IF(ROWS(B$6:$B2201) = 1,IF(COUNTIFS(R_Schedule_Times,"&lt;"&amp;B2201),INDEX(R_Schedule_Amounts,MATCH(B2201,R_Schedule_Times,1)),Starting_Cash),IF(COUNTIFS(R_Schedule_Times,"&gt;"&amp;B2200,R_Schedule_Times,"&lt;"&amp;B2201),INDEX(R_Schedule_Amounts,MATCH(B2201,R_Schedule_Times,1)),K2200)),"")</f>
        <v>1940</v>
      </c>
      <c r="I2201" s="30">
        <f t="shared" si="170"/>
        <v>80</v>
      </c>
      <c r="J2201" s="31">
        <f t="shared" si="171"/>
        <v>0</v>
      </c>
      <c r="K2201" s="29">
        <f t="shared" si="172"/>
        <v>1860</v>
      </c>
      <c r="L2201" s="31" t="str">
        <f t="shared" si="173"/>
        <v/>
      </c>
      <c r="M2201" s="31" t="str">
        <f t="shared" si="174"/>
        <v/>
      </c>
    </row>
    <row r="2202" spans="1:13" x14ac:dyDescent="0.15">
      <c r="A2202" s="163" t="s">
        <v>210</v>
      </c>
      <c r="B2202" s="163">
        <v>42333.515721215277</v>
      </c>
      <c r="C2202" s="164" t="s">
        <v>2040</v>
      </c>
      <c r="D2202" s="164" t="s">
        <v>13</v>
      </c>
      <c r="E2202" s="165">
        <v>100</v>
      </c>
      <c r="F2202" s="166">
        <v>0</v>
      </c>
      <c r="G2202" s="227">
        <f>IF($B$2,IF(ROWS(B$6:$B2202) = 1,$B2202-Start_Date,$B2202-$B2201),"")</f>
        <v>1.5006712928880006E-3</v>
      </c>
      <c r="H2202" s="29">
        <f>IF($B$2,IF(ROWS(B$6:$B2202) = 1,IF(COUNTIFS(R_Schedule_Times,"&lt;"&amp;B2202),INDEX(R_Schedule_Amounts,MATCH(B2202,R_Schedule_Times,1)),Starting_Cash),IF(COUNTIFS(R_Schedule_Times,"&gt;"&amp;B2201,R_Schedule_Times,"&lt;"&amp;B2202),INDEX(R_Schedule_Amounts,MATCH(B2202,R_Schedule_Times,1)),K2201)),"")</f>
        <v>1860</v>
      </c>
      <c r="I2202" s="30">
        <f t="shared" si="170"/>
        <v>100</v>
      </c>
      <c r="J2202" s="31">
        <f t="shared" si="171"/>
        <v>0</v>
      </c>
      <c r="K2202" s="29">
        <f t="shared" si="172"/>
        <v>1760</v>
      </c>
      <c r="L2202" s="31" t="str">
        <f t="shared" si="173"/>
        <v/>
      </c>
      <c r="M2202" s="31" t="str">
        <f t="shared" si="174"/>
        <v/>
      </c>
    </row>
    <row r="2203" spans="1:13" x14ac:dyDescent="0.15">
      <c r="A2203" s="163" t="s">
        <v>210</v>
      </c>
      <c r="B2203" s="163">
        <v>42333.518011921296</v>
      </c>
      <c r="C2203" s="164" t="s">
        <v>2041</v>
      </c>
      <c r="D2203" s="164" t="s">
        <v>13</v>
      </c>
      <c r="E2203" s="165">
        <v>100</v>
      </c>
      <c r="F2203" s="166">
        <v>0</v>
      </c>
      <c r="G2203" s="227">
        <f>IF($B$2,IF(ROWS(B$6:$B2203) = 1,$B2203-Start_Date,$B2203-$B2202),"")</f>
        <v>2.2907060192665085E-3</v>
      </c>
      <c r="H2203" s="29">
        <f>IF($B$2,IF(ROWS(B$6:$B2203) = 1,IF(COUNTIFS(R_Schedule_Times,"&lt;"&amp;B2203),INDEX(R_Schedule_Amounts,MATCH(B2203,R_Schedule_Times,1)),Starting_Cash),IF(COUNTIFS(R_Schedule_Times,"&gt;"&amp;B2202,R_Schedule_Times,"&lt;"&amp;B2203),INDEX(R_Schedule_Amounts,MATCH(B2203,R_Schedule_Times,1)),K2202)),"")</f>
        <v>1760</v>
      </c>
      <c r="I2203" s="30">
        <f t="shared" si="170"/>
        <v>100</v>
      </c>
      <c r="J2203" s="31">
        <f t="shared" si="171"/>
        <v>0</v>
      </c>
      <c r="K2203" s="29">
        <f t="shared" si="172"/>
        <v>1660</v>
      </c>
      <c r="L2203" s="31" t="str">
        <f t="shared" si="173"/>
        <v/>
      </c>
      <c r="M2203" s="31" t="str">
        <f t="shared" si="174"/>
        <v/>
      </c>
    </row>
    <row r="2204" spans="1:13" x14ac:dyDescent="0.15">
      <c r="A2204" s="163" t="s">
        <v>210</v>
      </c>
      <c r="B2204" s="163">
        <v>42333.523996122683</v>
      </c>
      <c r="C2204" s="164" t="s">
        <v>2042</v>
      </c>
      <c r="D2204" s="164" t="s">
        <v>13</v>
      </c>
      <c r="E2204" s="165">
        <v>120</v>
      </c>
      <c r="F2204" s="166">
        <v>0</v>
      </c>
      <c r="G2204" s="227">
        <f>IF($B$2,IF(ROWS(B$6:$B2204) = 1,$B2204-Start_Date,$B2204-$B2203),"")</f>
        <v>5.9842013870365918E-3</v>
      </c>
      <c r="H2204" s="29">
        <f>IF($B$2,IF(ROWS(B$6:$B2204) = 1,IF(COUNTIFS(R_Schedule_Times,"&lt;"&amp;B2204),INDEX(R_Schedule_Amounts,MATCH(B2204,R_Schedule_Times,1)),Starting_Cash),IF(COUNTIFS(R_Schedule_Times,"&gt;"&amp;B2203,R_Schedule_Times,"&lt;"&amp;B2204),INDEX(R_Schedule_Amounts,MATCH(B2204,R_Schedule_Times,1)),K2203)),"")</f>
        <v>1660</v>
      </c>
      <c r="I2204" s="30">
        <f t="shared" si="170"/>
        <v>120</v>
      </c>
      <c r="J2204" s="31">
        <f t="shared" si="171"/>
        <v>0</v>
      </c>
      <c r="K2204" s="29">
        <f t="shared" si="172"/>
        <v>1540</v>
      </c>
      <c r="L2204" s="31" t="str">
        <f t="shared" si="173"/>
        <v/>
      </c>
      <c r="M2204" s="31" t="str">
        <f t="shared" si="174"/>
        <v/>
      </c>
    </row>
    <row r="2205" spans="1:13" x14ac:dyDescent="0.15">
      <c r="A2205" s="163" t="s">
        <v>210</v>
      </c>
      <c r="B2205" s="163">
        <v>42333.524980069444</v>
      </c>
      <c r="C2205" s="164" t="s">
        <v>2043</v>
      </c>
      <c r="D2205" s="164" t="s">
        <v>13</v>
      </c>
      <c r="E2205" s="165">
        <v>400</v>
      </c>
      <c r="F2205" s="166">
        <v>0</v>
      </c>
      <c r="G2205" s="227">
        <f>IF($B$2,IF(ROWS(B$6:$B2205) = 1,$B2205-Start_Date,$B2205-$B2204),"")</f>
        <v>9.8394676024327055E-4</v>
      </c>
      <c r="H2205" s="29">
        <f>IF($B$2,IF(ROWS(B$6:$B2205) = 1,IF(COUNTIFS(R_Schedule_Times,"&lt;"&amp;B2205),INDEX(R_Schedule_Amounts,MATCH(B2205,R_Schedule_Times,1)),Starting_Cash),IF(COUNTIFS(R_Schedule_Times,"&gt;"&amp;B2204,R_Schedule_Times,"&lt;"&amp;B2205),INDEX(R_Schedule_Amounts,MATCH(B2205,R_Schedule_Times,1)),K2204)),"")</f>
        <v>1540</v>
      </c>
      <c r="I2205" s="30">
        <f t="shared" si="170"/>
        <v>400</v>
      </c>
      <c r="J2205" s="31">
        <f t="shared" si="171"/>
        <v>0</v>
      </c>
      <c r="K2205" s="29">
        <f t="shared" si="172"/>
        <v>1140</v>
      </c>
      <c r="L2205" s="31" t="str">
        <f t="shared" si="173"/>
        <v/>
      </c>
      <c r="M2205" s="31" t="str">
        <f t="shared" si="174"/>
        <v/>
      </c>
    </row>
    <row r="2206" spans="1:13" x14ac:dyDescent="0.15">
      <c r="A2206" s="163" t="s">
        <v>210</v>
      </c>
      <c r="B2206" s="163">
        <v>42333.527935069447</v>
      </c>
      <c r="C2206" s="164" t="s">
        <v>2044</v>
      </c>
      <c r="D2206" s="164" t="s">
        <v>13</v>
      </c>
      <c r="E2206" s="165">
        <v>100</v>
      </c>
      <c r="F2206" s="166">
        <v>0</v>
      </c>
      <c r="G2206" s="227">
        <f>IF($B$2,IF(ROWS(B$6:$B2206) = 1,$B2206-Start_Date,$B2206-$B2205),"")</f>
        <v>2.9550000035669655E-3</v>
      </c>
      <c r="H2206" s="29">
        <f>IF($B$2,IF(ROWS(B$6:$B2206) = 1,IF(COUNTIFS(R_Schedule_Times,"&lt;"&amp;B2206),INDEX(R_Schedule_Amounts,MATCH(B2206,R_Schedule_Times,1)),Starting_Cash),IF(COUNTIFS(R_Schedule_Times,"&gt;"&amp;B2205,R_Schedule_Times,"&lt;"&amp;B2206),INDEX(R_Schedule_Amounts,MATCH(B2206,R_Schedule_Times,1)),K2205)),"")</f>
        <v>1140</v>
      </c>
      <c r="I2206" s="30">
        <f t="shared" si="170"/>
        <v>100</v>
      </c>
      <c r="J2206" s="31">
        <f t="shared" si="171"/>
        <v>0</v>
      </c>
      <c r="K2206" s="29">
        <f t="shared" si="172"/>
        <v>1040</v>
      </c>
      <c r="L2206" s="31" t="str">
        <f t="shared" si="173"/>
        <v/>
      </c>
      <c r="M2206" s="31" t="str">
        <f t="shared" si="174"/>
        <v/>
      </c>
    </row>
    <row r="2207" spans="1:13" x14ac:dyDescent="0.15">
      <c r="A2207" s="163" t="s">
        <v>210</v>
      </c>
      <c r="B2207" s="163">
        <v>42333.533452731484</v>
      </c>
      <c r="C2207" s="164" t="s">
        <v>2045</v>
      </c>
      <c r="D2207" s="164" t="s">
        <v>13</v>
      </c>
      <c r="E2207" s="165">
        <v>40</v>
      </c>
      <c r="F2207" s="166">
        <v>0</v>
      </c>
      <c r="G2207" s="227">
        <f>IF($B$2,IF(ROWS(B$6:$B2207) = 1,$B2207-Start_Date,$B2207-$B2206),"")</f>
        <v>5.5176620371639729E-3</v>
      </c>
      <c r="H2207" s="29">
        <f>IF($B$2,IF(ROWS(B$6:$B2207) = 1,IF(COUNTIFS(R_Schedule_Times,"&lt;"&amp;B2207),INDEX(R_Schedule_Amounts,MATCH(B2207,R_Schedule_Times,1)),Starting_Cash),IF(COUNTIFS(R_Schedule_Times,"&gt;"&amp;B2206,R_Schedule_Times,"&lt;"&amp;B2207),INDEX(R_Schedule_Amounts,MATCH(B2207,R_Schedule_Times,1)),K2206)),"")</f>
        <v>1040</v>
      </c>
      <c r="I2207" s="30">
        <f t="shared" si="170"/>
        <v>40</v>
      </c>
      <c r="J2207" s="31">
        <f t="shared" si="171"/>
        <v>0</v>
      </c>
      <c r="K2207" s="29">
        <f t="shared" si="172"/>
        <v>1000</v>
      </c>
      <c r="L2207" s="31" t="str">
        <f t="shared" si="173"/>
        <v/>
      </c>
      <c r="M2207" s="31" t="str">
        <f t="shared" si="174"/>
        <v/>
      </c>
    </row>
    <row r="2208" spans="1:13" x14ac:dyDescent="0.15">
      <c r="A2208" s="163" t="s">
        <v>210</v>
      </c>
      <c r="B2208" s="163">
        <v>42333.549418958333</v>
      </c>
      <c r="C2208" s="164" t="s">
        <v>2046</v>
      </c>
      <c r="D2208" s="164" t="s">
        <v>13</v>
      </c>
      <c r="E2208" s="165">
        <v>80</v>
      </c>
      <c r="F2208" s="166">
        <v>0</v>
      </c>
      <c r="G2208" s="227">
        <f>IF($B$2,IF(ROWS(B$6:$B2208) = 1,$B2208-Start_Date,$B2208-$B2207),"")</f>
        <v>1.5966226848831866E-2</v>
      </c>
      <c r="H2208" s="29">
        <f>IF($B$2,IF(ROWS(B$6:$B2208) = 1,IF(COUNTIFS(R_Schedule_Times,"&lt;"&amp;B2208),INDEX(R_Schedule_Amounts,MATCH(B2208,R_Schedule_Times,1)),Starting_Cash),IF(COUNTIFS(R_Schedule_Times,"&gt;"&amp;B2207,R_Schedule_Times,"&lt;"&amp;B2208),INDEX(R_Schedule_Amounts,MATCH(B2208,R_Schedule_Times,1)),K2207)),"")</f>
        <v>1000</v>
      </c>
      <c r="I2208" s="30">
        <f t="shared" si="170"/>
        <v>80</v>
      </c>
      <c r="J2208" s="31">
        <f t="shared" si="171"/>
        <v>0</v>
      </c>
      <c r="K2208" s="29">
        <f t="shared" si="172"/>
        <v>920</v>
      </c>
      <c r="L2208" s="31" t="str">
        <f t="shared" si="173"/>
        <v/>
      </c>
      <c r="M2208" s="31" t="str">
        <f t="shared" si="174"/>
        <v/>
      </c>
    </row>
    <row r="2209" spans="1:13" x14ac:dyDescent="0.15">
      <c r="A2209" s="163" t="s">
        <v>210</v>
      </c>
      <c r="B2209" s="163">
        <v>42333.549989884261</v>
      </c>
      <c r="C2209" s="164" t="s">
        <v>364</v>
      </c>
      <c r="D2209" s="164" t="s">
        <v>13</v>
      </c>
      <c r="E2209" s="165">
        <v>100</v>
      </c>
      <c r="F2209" s="166">
        <v>0</v>
      </c>
      <c r="G2209" s="227">
        <f>IF($B$2,IF(ROWS(B$6:$B2209) = 1,$B2209-Start_Date,$B2209-$B2208),"")</f>
        <v>5.7092592760454863E-4</v>
      </c>
      <c r="H2209" s="29">
        <f>IF($B$2,IF(ROWS(B$6:$B2209) = 1,IF(COUNTIFS(R_Schedule_Times,"&lt;"&amp;B2209),INDEX(R_Schedule_Amounts,MATCH(B2209,R_Schedule_Times,1)),Starting_Cash),IF(COUNTIFS(R_Schedule_Times,"&gt;"&amp;B2208,R_Schedule_Times,"&lt;"&amp;B2209),INDEX(R_Schedule_Amounts,MATCH(B2209,R_Schedule_Times,1)),K2208)),"")</f>
        <v>920</v>
      </c>
      <c r="I2209" s="30">
        <f t="shared" si="170"/>
        <v>100</v>
      </c>
      <c r="J2209" s="31">
        <f t="shared" si="171"/>
        <v>0</v>
      </c>
      <c r="K2209" s="29">
        <f t="shared" si="172"/>
        <v>820</v>
      </c>
      <c r="L2209" s="31" t="str">
        <f t="shared" si="173"/>
        <v/>
      </c>
      <c r="M2209" s="31" t="str">
        <f t="shared" si="174"/>
        <v/>
      </c>
    </row>
    <row r="2210" spans="1:13" x14ac:dyDescent="0.15">
      <c r="A2210" s="163" t="s">
        <v>210</v>
      </c>
      <c r="B2210" s="163">
        <v>42333.558671516206</v>
      </c>
      <c r="C2210" s="164" t="s">
        <v>2047</v>
      </c>
      <c r="D2210" s="164" t="s">
        <v>13</v>
      </c>
      <c r="E2210" s="165">
        <v>40</v>
      </c>
      <c r="F2210" s="166">
        <v>0</v>
      </c>
      <c r="G2210" s="227">
        <f>IF($B$2,IF(ROWS(B$6:$B2210) = 1,$B2210-Start_Date,$B2210-$B2209),"")</f>
        <v>8.6816319453646429E-3</v>
      </c>
      <c r="H2210" s="29">
        <f>IF($B$2,IF(ROWS(B$6:$B2210) = 1,IF(COUNTIFS(R_Schedule_Times,"&lt;"&amp;B2210),INDEX(R_Schedule_Amounts,MATCH(B2210,R_Schedule_Times,1)),Starting_Cash),IF(COUNTIFS(R_Schedule_Times,"&gt;"&amp;B2209,R_Schedule_Times,"&lt;"&amp;B2210),INDEX(R_Schedule_Amounts,MATCH(B2210,R_Schedule_Times,1)),K2209)),"")</f>
        <v>820</v>
      </c>
      <c r="I2210" s="30">
        <f t="shared" si="170"/>
        <v>40</v>
      </c>
      <c r="J2210" s="31">
        <f t="shared" si="171"/>
        <v>0</v>
      </c>
      <c r="K2210" s="29">
        <f t="shared" si="172"/>
        <v>780</v>
      </c>
      <c r="L2210" s="31" t="str">
        <f t="shared" si="173"/>
        <v/>
      </c>
      <c r="M2210" s="31" t="str">
        <f t="shared" si="174"/>
        <v/>
      </c>
    </row>
    <row r="2211" spans="1:13" x14ac:dyDescent="0.15">
      <c r="A2211" s="163" t="s">
        <v>210</v>
      </c>
      <c r="B2211" s="163">
        <v>42333.565747106484</v>
      </c>
      <c r="C2211" s="164" t="s">
        <v>2048</v>
      </c>
      <c r="D2211" s="164" t="s">
        <v>13</v>
      </c>
      <c r="E2211" s="165">
        <v>20</v>
      </c>
      <c r="F2211" s="166">
        <v>0</v>
      </c>
      <c r="G2211" s="227">
        <f>IF($B$2,IF(ROWS(B$6:$B2211) = 1,$B2211-Start_Date,$B2211-$B2210),"")</f>
        <v>7.0755902779637836E-3</v>
      </c>
      <c r="H2211" s="29">
        <f>IF($B$2,IF(ROWS(B$6:$B2211) = 1,IF(COUNTIFS(R_Schedule_Times,"&lt;"&amp;B2211),INDEX(R_Schedule_Amounts,MATCH(B2211,R_Schedule_Times,1)),Starting_Cash),IF(COUNTIFS(R_Schedule_Times,"&gt;"&amp;B2210,R_Schedule_Times,"&lt;"&amp;B2211),INDEX(R_Schedule_Amounts,MATCH(B2211,R_Schedule_Times,1)),K2210)),"")</f>
        <v>780</v>
      </c>
      <c r="I2211" s="30">
        <f t="shared" si="170"/>
        <v>20</v>
      </c>
      <c r="J2211" s="31">
        <f t="shared" si="171"/>
        <v>0</v>
      </c>
      <c r="K2211" s="29">
        <f t="shared" si="172"/>
        <v>760</v>
      </c>
      <c r="L2211" s="31" t="str">
        <f t="shared" si="173"/>
        <v/>
      </c>
      <c r="M2211" s="31" t="str">
        <f t="shared" si="174"/>
        <v/>
      </c>
    </row>
    <row r="2212" spans="1:13" x14ac:dyDescent="0.15">
      <c r="A2212" s="163" t="s">
        <v>210</v>
      </c>
      <c r="B2212" s="163">
        <v>42333.574711307869</v>
      </c>
      <c r="C2212" s="164" t="s">
        <v>2049</v>
      </c>
      <c r="D2212" s="164" t="s">
        <v>13</v>
      </c>
      <c r="E2212" s="165">
        <v>100</v>
      </c>
      <c r="F2212" s="166">
        <v>0</v>
      </c>
      <c r="G2212" s="227">
        <f>IF($B$2,IF(ROWS(B$6:$B2212) = 1,$B2212-Start_Date,$B2212-$B2211),"")</f>
        <v>8.9642013845150359E-3</v>
      </c>
      <c r="H2212" s="29">
        <f>IF($B$2,IF(ROWS(B$6:$B2212) = 1,IF(COUNTIFS(R_Schedule_Times,"&lt;"&amp;B2212),INDEX(R_Schedule_Amounts,MATCH(B2212,R_Schedule_Times,1)),Starting_Cash),IF(COUNTIFS(R_Schedule_Times,"&gt;"&amp;B2211,R_Schedule_Times,"&lt;"&amp;B2212),INDEX(R_Schedule_Amounts,MATCH(B2212,R_Schedule_Times,1)),K2211)),"")</f>
        <v>760</v>
      </c>
      <c r="I2212" s="30">
        <f t="shared" si="170"/>
        <v>100</v>
      </c>
      <c r="J2212" s="31">
        <f t="shared" si="171"/>
        <v>0</v>
      </c>
      <c r="K2212" s="29">
        <f t="shared" si="172"/>
        <v>660</v>
      </c>
      <c r="L2212" s="31" t="str">
        <f t="shared" si="173"/>
        <v/>
      </c>
      <c r="M2212" s="31" t="str">
        <f t="shared" si="174"/>
        <v/>
      </c>
    </row>
    <row r="2213" spans="1:13" x14ac:dyDescent="0.15">
      <c r="A2213" s="163" t="s">
        <v>210</v>
      </c>
      <c r="B2213" s="163">
        <v>42333.583524606482</v>
      </c>
      <c r="C2213" s="164" t="s">
        <v>14</v>
      </c>
      <c r="D2213" s="164" t="s">
        <v>13</v>
      </c>
      <c r="E2213" s="165">
        <v>40</v>
      </c>
      <c r="F2213" s="166">
        <v>3.5</v>
      </c>
      <c r="G2213" s="227">
        <f>IF($B$2,IF(ROWS(B$6:$B2213) = 1,$B2213-Start_Date,$B2213-$B2212),"")</f>
        <v>8.8132986129494384E-3</v>
      </c>
      <c r="H2213" s="29">
        <f>IF($B$2,IF(ROWS(B$6:$B2213) = 1,IF(COUNTIFS(R_Schedule_Times,"&lt;"&amp;B2213),INDEX(R_Schedule_Amounts,MATCH(B2213,R_Schedule_Times,1)),Starting_Cash),IF(COUNTIFS(R_Schedule_Times,"&gt;"&amp;B2212,R_Schedule_Times,"&lt;"&amp;B2213),INDEX(R_Schedule_Amounts,MATCH(B2213,R_Schedule_Times,1)),K2212)),"")</f>
        <v>660</v>
      </c>
      <c r="I2213" s="30">
        <f t="shared" si="170"/>
        <v>40</v>
      </c>
      <c r="J2213" s="31">
        <f t="shared" si="171"/>
        <v>3.5</v>
      </c>
      <c r="K2213" s="29">
        <f t="shared" si="172"/>
        <v>620</v>
      </c>
      <c r="L2213" s="31" t="str">
        <f t="shared" si="173"/>
        <v/>
      </c>
      <c r="M2213" s="31" t="str">
        <f t="shared" si="174"/>
        <v/>
      </c>
    </row>
    <row r="2214" spans="1:13" x14ac:dyDescent="0.15">
      <c r="A2214" s="163" t="s">
        <v>210</v>
      </c>
      <c r="B2214" s="163">
        <v>42333.586396886574</v>
      </c>
      <c r="C2214" s="164" t="s">
        <v>2050</v>
      </c>
      <c r="D2214" s="164" t="s">
        <v>13</v>
      </c>
      <c r="E2214" s="165">
        <v>40</v>
      </c>
      <c r="F2214" s="166">
        <v>0</v>
      </c>
      <c r="G2214" s="227">
        <f>IF($B$2,IF(ROWS(B$6:$B2214) = 1,$B2214-Start_Date,$B2214-$B2213),"")</f>
        <v>2.8722800925606862E-3</v>
      </c>
      <c r="H2214" s="29">
        <f>IF($B$2,IF(ROWS(B$6:$B2214) = 1,IF(COUNTIFS(R_Schedule_Times,"&lt;"&amp;B2214),INDEX(R_Schedule_Amounts,MATCH(B2214,R_Schedule_Times,1)),Starting_Cash),IF(COUNTIFS(R_Schedule_Times,"&gt;"&amp;B2213,R_Schedule_Times,"&lt;"&amp;B2214),INDEX(R_Schedule_Amounts,MATCH(B2214,R_Schedule_Times,1)),K2213)),"")</f>
        <v>620</v>
      </c>
      <c r="I2214" s="30">
        <f t="shared" si="170"/>
        <v>40</v>
      </c>
      <c r="J2214" s="31">
        <f t="shared" si="171"/>
        <v>0</v>
      </c>
      <c r="K2214" s="29">
        <f t="shared" si="172"/>
        <v>580</v>
      </c>
      <c r="L2214" s="31" t="str">
        <f t="shared" si="173"/>
        <v/>
      </c>
      <c r="M2214" s="31" t="str">
        <f t="shared" si="174"/>
        <v/>
      </c>
    </row>
    <row r="2215" spans="1:13" x14ac:dyDescent="0.15">
      <c r="A2215" s="163" t="s">
        <v>210</v>
      </c>
      <c r="B2215" s="163">
        <v>42333.600965196762</v>
      </c>
      <c r="C2215" s="164" t="s">
        <v>2051</v>
      </c>
      <c r="D2215" s="164" t="s">
        <v>13</v>
      </c>
      <c r="E2215" s="165">
        <v>60</v>
      </c>
      <c r="F2215" s="166">
        <v>0</v>
      </c>
      <c r="G2215" s="227">
        <f>IF($B$2,IF(ROWS(B$6:$B2215) = 1,$B2215-Start_Date,$B2215-$B2214),"")</f>
        <v>1.4568310187314637E-2</v>
      </c>
      <c r="H2215" s="29">
        <f>IF($B$2,IF(ROWS(B$6:$B2215) = 1,IF(COUNTIFS(R_Schedule_Times,"&lt;"&amp;B2215),INDEX(R_Schedule_Amounts,MATCH(B2215,R_Schedule_Times,1)),Starting_Cash),IF(COUNTIFS(R_Schedule_Times,"&gt;"&amp;B2214,R_Schedule_Times,"&lt;"&amp;B2215),INDEX(R_Schedule_Amounts,MATCH(B2215,R_Schedule_Times,1)),K2214)),"")</f>
        <v>580</v>
      </c>
      <c r="I2215" s="30">
        <f t="shared" si="170"/>
        <v>60</v>
      </c>
      <c r="J2215" s="31">
        <f t="shared" si="171"/>
        <v>0</v>
      </c>
      <c r="K2215" s="29">
        <f t="shared" si="172"/>
        <v>520</v>
      </c>
      <c r="L2215" s="31" t="str">
        <f t="shared" si="173"/>
        <v/>
      </c>
      <c r="M2215" s="31" t="str">
        <f t="shared" si="174"/>
        <v/>
      </c>
    </row>
    <row r="2216" spans="1:13" x14ac:dyDescent="0.15">
      <c r="A2216" s="163" t="s">
        <v>210</v>
      </c>
      <c r="B2216" s="163">
        <v>42333.602177395835</v>
      </c>
      <c r="C2216" s="164" t="s">
        <v>2052</v>
      </c>
      <c r="D2216" s="164" t="s">
        <v>13</v>
      </c>
      <c r="E2216" s="165">
        <v>40</v>
      </c>
      <c r="F2216" s="166">
        <v>0</v>
      </c>
      <c r="G2216" s="227">
        <f>IF($B$2,IF(ROWS(B$6:$B2216) = 1,$B2216-Start_Date,$B2216-$B2215),"")</f>
        <v>1.2121990730520338E-3</v>
      </c>
      <c r="H2216" s="29">
        <f>IF($B$2,IF(ROWS(B$6:$B2216) = 1,IF(COUNTIFS(R_Schedule_Times,"&lt;"&amp;B2216),INDEX(R_Schedule_Amounts,MATCH(B2216,R_Schedule_Times,1)),Starting_Cash),IF(COUNTIFS(R_Schedule_Times,"&gt;"&amp;B2215,R_Schedule_Times,"&lt;"&amp;B2216),INDEX(R_Schedule_Amounts,MATCH(B2216,R_Schedule_Times,1)),K2215)),"")</f>
        <v>520</v>
      </c>
      <c r="I2216" s="30">
        <f t="shared" si="170"/>
        <v>40</v>
      </c>
      <c r="J2216" s="31">
        <f t="shared" si="171"/>
        <v>0</v>
      </c>
      <c r="K2216" s="29">
        <f t="shared" si="172"/>
        <v>480</v>
      </c>
      <c r="L2216" s="31" t="str">
        <f t="shared" si="173"/>
        <v/>
      </c>
      <c r="M2216" s="31" t="str">
        <f t="shared" si="174"/>
        <v/>
      </c>
    </row>
    <row r="2217" spans="1:13" x14ac:dyDescent="0.15">
      <c r="A2217" s="163" t="s">
        <v>210</v>
      </c>
      <c r="B2217" s="163">
        <v>42333.616061354165</v>
      </c>
      <c r="C2217" s="164" t="s">
        <v>2053</v>
      </c>
      <c r="D2217" s="164" t="s">
        <v>13</v>
      </c>
      <c r="E2217" s="165">
        <v>60</v>
      </c>
      <c r="F2217" s="166">
        <v>0</v>
      </c>
      <c r="G2217" s="227">
        <f>IF($B$2,IF(ROWS(B$6:$B2217) = 1,$B2217-Start_Date,$B2217-$B2216),"")</f>
        <v>1.3883958330552559E-2</v>
      </c>
      <c r="H2217" s="29">
        <f>IF($B$2,IF(ROWS(B$6:$B2217) = 1,IF(COUNTIFS(R_Schedule_Times,"&lt;"&amp;B2217),INDEX(R_Schedule_Amounts,MATCH(B2217,R_Schedule_Times,1)),Starting_Cash),IF(COUNTIFS(R_Schedule_Times,"&gt;"&amp;B2216,R_Schedule_Times,"&lt;"&amp;B2217),INDEX(R_Schedule_Amounts,MATCH(B2217,R_Schedule_Times,1)),K2216)),"")</f>
        <v>480</v>
      </c>
      <c r="I2217" s="30">
        <f t="shared" si="170"/>
        <v>60</v>
      </c>
      <c r="J2217" s="31">
        <f t="shared" si="171"/>
        <v>0</v>
      </c>
      <c r="K2217" s="29">
        <f t="shared" si="172"/>
        <v>420</v>
      </c>
      <c r="L2217" s="31" t="str">
        <f t="shared" si="173"/>
        <v/>
      </c>
      <c r="M2217" s="31" t="str">
        <f t="shared" si="174"/>
        <v/>
      </c>
    </row>
    <row r="2218" spans="1:13" x14ac:dyDescent="0.15">
      <c r="A2218" s="163" t="s">
        <v>210</v>
      </c>
      <c r="B2218" s="163">
        <v>42333.624380243054</v>
      </c>
      <c r="C2218" s="164" t="s">
        <v>2054</v>
      </c>
      <c r="D2218" s="164" t="s">
        <v>13</v>
      </c>
      <c r="E2218" s="165">
        <v>40</v>
      </c>
      <c r="F2218" s="166">
        <v>0</v>
      </c>
      <c r="G2218" s="227">
        <f>IF($B$2,IF(ROWS(B$6:$B2218) = 1,$B2218-Start_Date,$B2218-$B2217),"")</f>
        <v>8.3188888893346302E-3</v>
      </c>
      <c r="H2218" s="29">
        <f>IF($B$2,IF(ROWS(B$6:$B2218) = 1,IF(COUNTIFS(R_Schedule_Times,"&lt;"&amp;B2218),INDEX(R_Schedule_Amounts,MATCH(B2218,R_Schedule_Times,1)),Starting_Cash),IF(COUNTIFS(R_Schedule_Times,"&gt;"&amp;B2217,R_Schedule_Times,"&lt;"&amp;B2218),INDEX(R_Schedule_Amounts,MATCH(B2218,R_Schedule_Times,1)),K2217)),"")</f>
        <v>420</v>
      </c>
      <c r="I2218" s="30">
        <f t="shared" si="170"/>
        <v>40</v>
      </c>
      <c r="J2218" s="31">
        <f t="shared" si="171"/>
        <v>0</v>
      </c>
      <c r="K2218" s="29">
        <f t="shared" si="172"/>
        <v>380</v>
      </c>
      <c r="L2218" s="31" t="str">
        <f t="shared" si="173"/>
        <v/>
      </c>
      <c r="M2218" s="31" t="str">
        <f t="shared" si="174"/>
        <v/>
      </c>
    </row>
    <row r="2219" spans="1:13" x14ac:dyDescent="0.15">
      <c r="A2219" s="163" t="s">
        <v>210</v>
      </c>
      <c r="B2219" s="163">
        <v>42333.630496712962</v>
      </c>
      <c r="C2219" s="164" t="s">
        <v>2055</v>
      </c>
      <c r="D2219" s="164" t="s">
        <v>13</v>
      </c>
      <c r="E2219" s="165">
        <v>100</v>
      </c>
      <c r="F2219" s="166">
        <v>0</v>
      </c>
      <c r="G2219" s="227">
        <f>IF($B$2,IF(ROWS(B$6:$B2219) = 1,$B2219-Start_Date,$B2219-$B2218),"")</f>
        <v>6.1164699072833173E-3</v>
      </c>
      <c r="H2219" s="29">
        <f>IF($B$2,IF(ROWS(B$6:$B2219) = 1,IF(COUNTIFS(R_Schedule_Times,"&lt;"&amp;B2219),INDEX(R_Schedule_Amounts,MATCH(B2219,R_Schedule_Times,1)),Starting_Cash),IF(COUNTIFS(R_Schedule_Times,"&gt;"&amp;B2218,R_Schedule_Times,"&lt;"&amp;B2219),INDEX(R_Schedule_Amounts,MATCH(B2219,R_Schedule_Times,1)),K2218)),"")</f>
        <v>380</v>
      </c>
      <c r="I2219" s="30">
        <f t="shared" si="170"/>
        <v>100</v>
      </c>
      <c r="J2219" s="31">
        <f t="shared" si="171"/>
        <v>0</v>
      </c>
      <c r="K2219" s="29">
        <f t="shared" si="172"/>
        <v>280</v>
      </c>
      <c r="L2219" s="31" t="str">
        <f t="shared" si="173"/>
        <v/>
      </c>
      <c r="M2219" s="31" t="str">
        <f t="shared" si="174"/>
        <v/>
      </c>
    </row>
    <row r="2220" spans="1:13" x14ac:dyDescent="0.15">
      <c r="A2220" s="163" t="s">
        <v>210</v>
      </c>
      <c r="B2220" s="163">
        <v>42333.637404363428</v>
      </c>
      <c r="C2220" s="164" t="s">
        <v>469</v>
      </c>
      <c r="D2220" s="164" t="s">
        <v>13</v>
      </c>
      <c r="E2220" s="165">
        <v>20</v>
      </c>
      <c r="F2220" s="166">
        <v>0</v>
      </c>
      <c r="G2220" s="227">
        <f>IF($B$2,IF(ROWS(B$6:$B2220) = 1,$B2220-Start_Date,$B2220-$B2219),"")</f>
        <v>6.907650466018822E-3</v>
      </c>
      <c r="H2220" s="29">
        <f>IF($B$2,IF(ROWS(B$6:$B2220) = 1,IF(COUNTIFS(R_Schedule_Times,"&lt;"&amp;B2220),INDEX(R_Schedule_Amounts,MATCH(B2220,R_Schedule_Times,1)),Starting_Cash),IF(COUNTIFS(R_Schedule_Times,"&gt;"&amp;B2219,R_Schedule_Times,"&lt;"&amp;B2220),INDEX(R_Schedule_Amounts,MATCH(B2220,R_Schedule_Times,1)),K2219)),"")</f>
        <v>280</v>
      </c>
      <c r="I2220" s="30">
        <f t="shared" si="170"/>
        <v>20</v>
      </c>
      <c r="J2220" s="31">
        <f t="shared" si="171"/>
        <v>0</v>
      </c>
      <c r="K2220" s="29">
        <f t="shared" si="172"/>
        <v>260</v>
      </c>
      <c r="L2220" s="31" t="str">
        <f t="shared" si="173"/>
        <v/>
      </c>
      <c r="M2220" s="31" t="str">
        <f t="shared" si="174"/>
        <v/>
      </c>
    </row>
    <row r="2221" spans="1:13" x14ac:dyDescent="0.15">
      <c r="A2221" s="163" t="s">
        <v>210</v>
      </c>
      <c r="B2221" s="163">
        <v>42333.638315659722</v>
      </c>
      <c r="C2221" s="164" t="s">
        <v>2056</v>
      </c>
      <c r="D2221" s="164" t="s">
        <v>13</v>
      </c>
      <c r="E2221" s="165">
        <v>500</v>
      </c>
      <c r="F2221" s="166">
        <v>0</v>
      </c>
      <c r="G2221" s="227">
        <f>IF($B$2,IF(ROWS(B$6:$B2221) = 1,$B2221-Start_Date,$B2221-$B2220),"")</f>
        <v>9.1129629436181858E-4</v>
      </c>
      <c r="H2221" s="29">
        <f>IF($B$2,IF(ROWS(B$6:$B2221) = 1,IF(COUNTIFS(R_Schedule_Times,"&lt;"&amp;B2221),INDEX(R_Schedule_Amounts,MATCH(B2221,R_Schedule_Times,1)),Starting_Cash),IF(COUNTIFS(R_Schedule_Times,"&gt;"&amp;B2220,R_Schedule_Times,"&lt;"&amp;B2221),INDEX(R_Schedule_Amounts,MATCH(B2221,R_Schedule_Times,1)),K2220)),"")</f>
        <v>260</v>
      </c>
      <c r="I2221" s="30">
        <f t="shared" si="170"/>
        <v>0</v>
      </c>
      <c r="J2221" s="31">
        <f t="shared" si="171"/>
        <v>0</v>
      </c>
      <c r="K2221" s="29">
        <f t="shared" si="172"/>
        <v>260</v>
      </c>
      <c r="L2221" s="31" t="str">
        <f t="shared" si="173"/>
        <v>YES</v>
      </c>
      <c r="M2221" s="31">
        <f t="shared" si="174"/>
        <v>0</v>
      </c>
    </row>
    <row r="2222" spans="1:13" x14ac:dyDescent="0.15">
      <c r="A2222" s="163" t="s">
        <v>210</v>
      </c>
      <c r="B2222" s="163">
        <v>42333.648391365743</v>
      </c>
      <c r="C2222" s="164" t="s">
        <v>2057</v>
      </c>
      <c r="D2222" s="164" t="s">
        <v>13</v>
      </c>
      <c r="E2222" s="165">
        <v>100</v>
      </c>
      <c r="F2222" s="166">
        <v>0</v>
      </c>
      <c r="G2222" s="227">
        <f>IF($B$2,IF(ROWS(B$6:$B2222) = 1,$B2222-Start_Date,$B2222-$B2221),"")</f>
        <v>1.0075706020870712E-2</v>
      </c>
      <c r="H2222" s="29">
        <f>IF($B$2,IF(ROWS(B$6:$B2222) = 1,IF(COUNTIFS(R_Schedule_Times,"&lt;"&amp;B2222),INDEX(R_Schedule_Amounts,MATCH(B2222,R_Schedule_Times,1)),Starting_Cash),IF(COUNTIFS(R_Schedule_Times,"&gt;"&amp;B2221,R_Schedule_Times,"&lt;"&amp;B2222),INDEX(R_Schedule_Amounts,MATCH(B2222,R_Schedule_Times,1)),K2221)),"")</f>
        <v>260</v>
      </c>
      <c r="I2222" s="30">
        <f t="shared" si="170"/>
        <v>100</v>
      </c>
      <c r="J2222" s="31">
        <f t="shared" si="171"/>
        <v>0</v>
      </c>
      <c r="K2222" s="29">
        <f t="shared" si="172"/>
        <v>160</v>
      </c>
      <c r="L2222" s="31" t="str">
        <f t="shared" si="173"/>
        <v/>
      </c>
      <c r="M2222" s="31" t="str">
        <f t="shared" si="174"/>
        <v/>
      </c>
    </row>
    <row r="2223" spans="1:13" x14ac:dyDescent="0.15">
      <c r="A2223" s="163" t="s">
        <v>210</v>
      </c>
      <c r="B2223" s="163">
        <v>42333.682665578701</v>
      </c>
      <c r="C2223" s="164" t="s">
        <v>470</v>
      </c>
      <c r="D2223" s="164" t="s">
        <v>13</v>
      </c>
      <c r="E2223" s="165">
        <v>40</v>
      </c>
      <c r="F2223" s="166">
        <v>0</v>
      </c>
      <c r="G2223" s="227">
        <f>IF($B$2,IF(ROWS(B$6:$B2223) = 1,$B2223-Start_Date,$B2223-$B2222),"")</f>
        <v>3.4274212957825512E-2</v>
      </c>
      <c r="H2223" s="29">
        <f>IF($B$2,IF(ROWS(B$6:$B2223) = 1,IF(COUNTIFS(R_Schedule_Times,"&lt;"&amp;B2223),INDEX(R_Schedule_Amounts,MATCH(B2223,R_Schedule_Times,1)),Starting_Cash),IF(COUNTIFS(R_Schedule_Times,"&gt;"&amp;B2222,R_Schedule_Times,"&lt;"&amp;B2223),INDEX(R_Schedule_Amounts,MATCH(B2223,R_Schedule_Times,1)),K2222)),"")</f>
        <v>160</v>
      </c>
      <c r="I2223" s="30">
        <f t="shared" si="170"/>
        <v>40</v>
      </c>
      <c r="J2223" s="31">
        <f t="shared" si="171"/>
        <v>0</v>
      </c>
      <c r="K2223" s="29">
        <f t="shared" si="172"/>
        <v>120</v>
      </c>
      <c r="L2223" s="31" t="str">
        <f t="shared" si="173"/>
        <v/>
      </c>
      <c r="M2223" s="31" t="str">
        <f t="shared" si="174"/>
        <v/>
      </c>
    </row>
    <row r="2224" spans="1:13" x14ac:dyDescent="0.15">
      <c r="A2224" s="163" t="s">
        <v>210</v>
      </c>
      <c r="B2224" s="163">
        <v>42333.686742094906</v>
      </c>
      <c r="C2224" s="164" t="s">
        <v>2058</v>
      </c>
      <c r="D2224" s="164" t="s">
        <v>13</v>
      </c>
      <c r="E2224" s="165">
        <v>100</v>
      </c>
      <c r="F2224" s="166">
        <v>0</v>
      </c>
      <c r="G2224" s="227">
        <f>IF($B$2,IF(ROWS(B$6:$B2224) = 1,$B2224-Start_Date,$B2224-$B2223),"")</f>
        <v>4.0765162048046477E-3</v>
      </c>
      <c r="H2224" s="29">
        <f>IF($B$2,IF(ROWS(B$6:$B2224) = 1,IF(COUNTIFS(R_Schedule_Times,"&lt;"&amp;B2224),INDEX(R_Schedule_Amounts,MATCH(B2224,R_Schedule_Times,1)),Starting_Cash),IF(COUNTIFS(R_Schedule_Times,"&gt;"&amp;B2223,R_Schedule_Times,"&lt;"&amp;B2224),INDEX(R_Schedule_Amounts,MATCH(B2224,R_Schedule_Times,1)),K2223)),"")</f>
        <v>120</v>
      </c>
      <c r="I2224" s="30">
        <f t="shared" si="170"/>
        <v>100</v>
      </c>
      <c r="J2224" s="31">
        <f t="shared" si="171"/>
        <v>0</v>
      </c>
      <c r="K2224" s="29">
        <f t="shared" si="172"/>
        <v>20</v>
      </c>
      <c r="L2224" s="31" t="str">
        <f t="shared" si="173"/>
        <v/>
      </c>
      <c r="M2224" s="31" t="str">
        <f t="shared" si="174"/>
        <v/>
      </c>
    </row>
    <row r="2225" spans="1:13" x14ac:dyDescent="0.15">
      <c r="A2225" s="163" t="s">
        <v>210</v>
      </c>
      <c r="B2225" s="163">
        <v>42333.69540246528</v>
      </c>
      <c r="C2225" s="164" t="s">
        <v>1089</v>
      </c>
      <c r="D2225" s="164" t="s">
        <v>13</v>
      </c>
      <c r="E2225" s="165">
        <v>100</v>
      </c>
      <c r="F2225" s="166">
        <v>0</v>
      </c>
      <c r="G2225" s="227">
        <f>IF($B$2,IF(ROWS(B$6:$B2225) = 1,$B2225-Start_Date,$B2225-$B2224),"")</f>
        <v>8.6603703748551197E-3</v>
      </c>
      <c r="H2225" s="29">
        <f>IF($B$2,IF(ROWS(B$6:$B2225) = 1,IF(COUNTIFS(R_Schedule_Times,"&lt;"&amp;B2225),INDEX(R_Schedule_Amounts,MATCH(B2225,R_Schedule_Times,1)),Starting_Cash),IF(COUNTIFS(R_Schedule_Times,"&gt;"&amp;B2224,R_Schedule_Times,"&lt;"&amp;B2225),INDEX(R_Schedule_Amounts,MATCH(B2225,R_Schedule_Times,1)),K2224)),"")</f>
        <v>20</v>
      </c>
      <c r="I2225" s="30">
        <f t="shared" si="170"/>
        <v>0</v>
      </c>
      <c r="J2225" s="31">
        <f t="shared" si="171"/>
        <v>0</v>
      </c>
      <c r="K2225" s="29">
        <f t="shared" si="172"/>
        <v>20</v>
      </c>
      <c r="L2225" s="31" t="str">
        <f t="shared" si="173"/>
        <v>YES</v>
      </c>
      <c r="M2225" s="31">
        <f t="shared" si="174"/>
        <v>0</v>
      </c>
    </row>
    <row r="2226" spans="1:13" x14ac:dyDescent="0.15">
      <c r="A2226" s="163" t="s">
        <v>210</v>
      </c>
      <c r="B2226" s="163">
        <v>42333.795475358798</v>
      </c>
      <c r="C2226" s="164" t="s">
        <v>2059</v>
      </c>
      <c r="D2226" s="164" t="s">
        <v>13</v>
      </c>
      <c r="E2226" s="165">
        <v>100</v>
      </c>
      <c r="F2226" s="166">
        <v>0</v>
      </c>
      <c r="G2226" s="227">
        <f>IF($B$2,IF(ROWS(B$6:$B2226) = 1,$B2226-Start_Date,$B2226-$B2225),"")</f>
        <v>0.10007289351779036</v>
      </c>
      <c r="H2226" s="29">
        <f>IF($B$2,IF(ROWS(B$6:$B2226) = 1,IF(COUNTIFS(R_Schedule_Times,"&lt;"&amp;B2226),INDEX(R_Schedule_Amounts,MATCH(B2226,R_Schedule_Times,1)),Starting_Cash),IF(COUNTIFS(R_Schedule_Times,"&gt;"&amp;B2225,R_Schedule_Times,"&lt;"&amp;B2226),INDEX(R_Schedule_Amounts,MATCH(B2226,R_Schedule_Times,1)),K2225)),"")</f>
        <v>20000</v>
      </c>
      <c r="I2226" s="30">
        <f t="shared" si="170"/>
        <v>100</v>
      </c>
      <c r="J2226" s="31">
        <f t="shared" si="171"/>
        <v>0</v>
      </c>
      <c r="K2226" s="29">
        <f t="shared" si="172"/>
        <v>19900</v>
      </c>
      <c r="L2226" s="31" t="str">
        <f t="shared" si="173"/>
        <v/>
      </c>
      <c r="M2226" s="31" t="str">
        <f t="shared" si="174"/>
        <v/>
      </c>
    </row>
    <row r="2227" spans="1:13" x14ac:dyDescent="0.15">
      <c r="A2227" s="163" t="s">
        <v>210</v>
      </c>
      <c r="B2227" s="163">
        <v>42334.044311782411</v>
      </c>
      <c r="C2227" s="164" t="s">
        <v>2060</v>
      </c>
      <c r="D2227" s="164" t="s">
        <v>13</v>
      </c>
      <c r="E2227" s="165">
        <v>20</v>
      </c>
      <c r="F2227" s="166">
        <v>0</v>
      </c>
      <c r="G2227" s="227">
        <f>IF($B$2,IF(ROWS(B$6:$B2227) = 1,$B2227-Start_Date,$B2227-$B2226),"")</f>
        <v>0.24883642361237435</v>
      </c>
      <c r="H2227" s="29">
        <f>IF($B$2,IF(ROWS(B$6:$B2227) = 1,IF(COUNTIFS(R_Schedule_Times,"&lt;"&amp;B2227),INDEX(R_Schedule_Amounts,MATCH(B2227,R_Schedule_Times,1)),Starting_Cash),IF(COUNTIFS(R_Schedule_Times,"&gt;"&amp;B2226,R_Schedule_Times,"&lt;"&amp;B2227),INDEX(R_Schedule_Amounts,MATCH(B2227,R_Schedule_Times,1)),K2226)),"")</f>
        <v>19900</v>
      </c>
      <c r="I2227" s="30">
        <f t="shared" si="170"/>
        <v>20</v>
      </c>
      <c r="J2227" s="31">
        <f t="shared" si="171"/>
        <v>0</v>
      </c>
      <c r="K2227" s="29">
        <f t="shared" si="172"/>
        <v>19880</v>
      </c>
      <c r="L2227" s="31" t="str">
        <f t="shared" si="173"/>
        <v/>
      </c>
      <c r="M2227" s="31" t="str">
        <f t="shared" si="174"/>
        <v/>
      </c>
    </row>
    <row r="2228" spans="1:13" x14ac:dyDescent="0.15">
      <c r="A2228" s="163" t="s">
        <v>210</v>
      </c>
      <c r="B2228" s="163">
        <v>42334.216901319443</v>
      </c>
      <c r="C2228" s="164" t="s">
        <v>2061</v>
      </c>
      <c r="D2228" s="164" t="s">
        <v>13</v>
      </c>
      <c r="E2228" s="165">
        <v>120</v>
      </c>
      <c r="F2228" s="166">
        <v>0</v>
      </c>
      <c r="G2228" s="227">
        <f>IF($B$2,IF(ROWS(B$6:$B2228) = 1,$B2228-Start_Date,$B2228-$B2227),"")</f>
        <v>0.17258953703276347</v>
      </c>
      <c r="H2228" s="29">
        <f>IF($B$2,IF(ROWS(B$6:$B2228) = 1,IF(COUNTIFS(R_Schedule_Times,"&lt;"&amp;B2228),INDEX(R_Schedule_Amounts,MATCH(B2228,R_Schedule_Times,1)),Starting_Cash),IF(COUNTIFS(R_Schedule_Times,"&gt;"&amp;B2227,R_Schedule_Times,"&lt;"&amp;B2228),INDEX(R_Schedule_Amounts,MATCH(B2228,R_Schedule_Times,1)),K2227)),"")</f>
        <v>19880</v>
      </c>
      <c r="I2228" s="30">
        <f t="shared" si="170"/>
        <v>120</v>
      </c>
      <c r="J2228" s="31">
        <f t="shared" si="171"/>
        <v>0</v>
      </c>
      <c r="K2228" s="29">
        <f t="shared" si="172"/>
        <v>19760</v>
      </c>
      <c r="L2228" s="31" t="str">
        <f t="shared" si="173"/>
        <v/>
      </c>
      <c r="M2228" s="31" t="str">
        <f t="shared" si="174"/>
        <v/>
      </c>
    </row>
    <row r="2229" spans="1:13" x14ac:dyDescent="0.15">
      <c r="A2229" s="163" t="s">
        <v>210</v>
      </c>
      <c r="B2229" s="163">
        <v>42334.304384537034</v>
      </c>
      <c r="C2229" s="164" t="s">
        <v>2062</v>
      </c>
      <c r="D2229" s="164" t="s">
        <v>13</v>
      </c>
      <c r="E2229" s="165">
        <v>100</v>
      </c>
      <c r="F2229" s="166">
        <v>0</v>
      </c>
      <c r="G2229" s="227">
        <f>IF($B$2,IF(ROWS(B$6:$B2229) = 1,$B2229-Start_Date,$B2229-$B2228),"")</f>
        <v>8.7483217590488493E-2</v>
      </c>
      <c r="H2229" s="29">
        <f>IF($B$2,IF(ROWS(B$6:$B2229) = 1,IF(COUNTIFS(R_Schedule_Times,"&lt;"&amp;B2229),INDEX(R_Schedule_Amounts,MATCH(B2229,R_Schedule_Times,1)),Starting_Cash),IF(COUNTIFS(R_Schedule_Times,"&gt;"&amp;B2228,R_Schedule_Times,"&lt;"&amp;B2229),INDEX(R_Schedule_Amounts,MATCH(B2229,R_Schedule_Times,1)),K2228)),"")</f>
        <v>19760</v>
      </c>
      <c r="I2229" s="30">
        <f t="shared" si="170"/>
        <v>100</v>
      </c>
      <c r="J2229" s="31">
        <f t="shared" si="171"/>
        <v>0</v>
      </c>
      <c r="K2229" s="29">
        <f t="shared" si="172"/>
        <v>19660</v>
      </c>
      <c r="L2229" s="31" t="str">
        <f t="shared" si="173"/>
        <v/>
      </c>
      <c r="M2229" s="31" t="str">
        <f t="shared" si="174"/>
        <v/>
      </c>
    </row>
    <row r="2230" spans="1:13" x14ac:dyDescent="0.15">
      <c r="A2230" s="163" t="s">
        <v>210</v>
      </c>
      <c r="B2230" s="163">
        <v>42334.349078055558</v>
      </c>
      <c r="C2230" s="164" t="s">
        <v>471</v>
      </c>
      <c r="D2230" s="164" t="s">
        <v>13</v>
      </c>
      <c r="E2230" s="165">
        <v>140</v>
      </c>
      <c r="F2230" s="166">
        <v>0</v>
      </c>
      <c r="G2230" s="227">
        <f>IF($B$2,IF(ROWS(B$6:$B2230) = 1,$B2230-Start_Date,$B2230-$B2229),"")</f>
        <v>4.4693518524582032E-2</v>
      </c>
      <c r="H2230" s="29">
        <f>IF($B$2,IF(ROWS(B$6:$B2230) = 1,IF(COUNTIFS(R_Schedule_Times,"&lt;"&amp;B2230),INDEX(R_Schedule_Amounts,MATCH(B2230,R_Schedule_Times,1)),Starting_Cash),IF(COUNTIFS(R_Schedule_Times,"&gt;"&amp;B2229,R_Schedule_Times,"&lt;"&amp;B2230),INDEX(R_Schedule_Amounts,MATCH(B2230,R_Schedule_Times,1)),K2229)),"")</f>
        <v>19660</v>
      </c>
      <c r="I2230" s="30">
        <f t="shared" si="170"/>
        <v>140</v>
      </c>
      <c r="J2230" s="31">
        <f t="shared" si="171"/>
        <v>0</v>
      </c>
      <c r="K2230" s="29">
        <f t="shared" si="172"/>
        <v>19520</v>
      </c>
      <c r="L2230" s="31" t="str">
        <f t="shared" si="173"/>
        <v/>
      </c>
      <c r="M2230" s="31" t="str">
        <f t="shared" si="174"/>
        <v/>
      </c>
    </row>
    <row r="2231" spans="1:13" x14ac:dyDescent="0.15">
      <c r="A2231" s="163" t="s">
        <v>210</v>
      </c>
      <c r="B2231" s="163">
        <v>42334.357708657408</v>
      </c>
      <c r="C2231" s="164" t="s">
        <v>2063</v>
      </c>
      <c r="D2231" s="164" t="s">
        <v>13</v>
      </c>
      <c r="E2231" s="165">
        <v>40</v>
      </c>
      <c r="F2231" s="166">
        <v>0</v>
      </c>
      <c r="G2231" s="227">
        <f>IF($B$2,IF(ROWS(B$6:$B2231) = 1,$B2231-Start_Date,$B2231-$B2230),"")</f>
        <v>8.6306018492905423E-3</v>
      </c>
      <c r="H2231" s="29">
        <f>IF($B$2,IF(ROWS(B$6:$B2231) = 1,IF(COUNTIFS(R_Schedule_Times,"&lt;"&amp;B2231),INDEX(R_Schedule_Amounts,MATCH(B2231,R_Schedule_Times,1)),Starting_Cash),IF(COUNTIFS(R_Schedule_Times,"&gt;"&amp;B2230,R_Schedule_Times,"&lt;"&amp;B2231),INDEX(R_Schedule_Amounts,MATCH(B2231,R_Schedule_Times,1)),K2230)),"")</f>
        <v>19520</v>
      </c>
      <c r="I2231" s="30">
        <f t="shared" si="170"/>
        <v>40</v>
      </c>
      <c r="J2231" s="31">
        <f t="shared" si="171"/>
        <v>0</v>
      </c>
      <c r="K2231" s="29">
        <f t="shared" si="172"/>
        <v>19480</v>
      </c>
      <c r="L2231" s="31" t="str">
        <f t="shared" si="173"/>
        <v/>
      </c>
      <c r="M2231" s="31" t="str">
        <f t="shared" si="174"/>
        <v/>
      </c>
    </row>
    <row r="2232" spans="1:13" x14ac:dyDescent="0.15">
      <c r="A2232" s="163" t="s">
        <v>210</v>
      </c>
      <c r="B2232" s="163">
        <v>42334.362701851853</v>
      </c>
      <c r="C2232" s="164" t="s">
        <v>2064</v>
      </c>
      <c r="D2232" s="164" t="s">
        <v>13</v>
      </c>
      <c r="E2232" s="165">
        <v>60</v>
      </c>
      <c r="F2232" s="166">
        <v>0</v>
      </c>
      <c r="G2232" s="227">
        <f>IF($B$2,IF(ROWS(B$6:$B2232) = 1,$B2232-Start_Date,$B2232-$B2231),"")</f>
        <v>4.993194444978144E-3</v>
      </c>
      <c r="H2232" s="29">
        <f>IF($B$2,IF(ROWS(B$6:$B2232) = 1,IF(COUNTIFS(R_Schedule_Times,"&lt;"&amp;B2232),INDEX(R_Schedule_Amounts,MATCH(B2232,R_Schedule_Times,1)),Starting_Cash),IF(COUNTIFS(R_Schedule_Times,"&gt;"&amp;B2231,R_Schedule_Times,"&lt;"&amp;B2232),INDEX(R_Schedule_Amounts,MATCH(B2232,R_Schedule_Times,1)),K2231)),"")</f>
        <v>19480</v>
      </c>
      <c r="I2232" s="30">
        <f t="shared" si="170"/>
        <v>60</v>
      </c>
      <c r="J2232" s="31">
        <f t="shared" si="171"/>
        <v>0</v>
      </c>
      <c r="K2232" s="29">
        <f t="shared" si="172"/>
        <v>19420</v>
      </c>
      <c r="L2232" s="31" t="str">
        <f t="shared" si="173"/>
        <v/>
      </c>
      <c r="M2232" s="31" t="str">
        <f t="shared" si="174"/>
        <v/>
      </c>
    </row>
    <row r="2233" spans="1:13" x14ac:dyDescent="0.15">
      <c r="A2233" s="163" t="s">
        <v>210</v>
      </c>
      <c r="B2233" s="163">
        <v>42334.377415243056</v>
      </c>
      <c r="C2233" s="164" t="s">
        <v>1820</v>
      </c>
      <c r="D2233" s="164" t="s">
        <v>13</v>
      </c>
      <c r="E2233" s="165">
        <v>100</v>
      </c>
      <c r="F2233" s="166">
        <v>0</v>
      </c>
      <c r="G2233" s="227">
        <f>IF($B$2,IF(ROWS(B$6:$B2233) = 1,$B2233-Start_Date,$B2233-$B2232),"")</f>
        <v>1.4713391203258652E-2</v>
      </c>
      <c r="H2233" s="29">
        <f>IF($B$2,IF(ROWS(B$6:$B2233) = 1,IF(COUNTIFS(R_Schedule_Times,"&lt;"&amp;B2233),INDEX(R_Schedule_Amounts,MATCH(B2233,R_Schedule_Times,1)),Starting_Cash),IF(COUNTIFS(R_Schedule_Times,"&gt;"&amp;B2232,R_Schedule_Times,"&lt;"&amp;B2233),INDEX(R_Schedule_Amounts,MATCH(B2233,R_Schedule_Times,1)),K2232)),"")</f>
        <v>19420</v>
      </c>
      <c r="I2233" s="30">
        <f t="shared" si="170"/>
        <v>100</v>
      </c>
      <c r="J2233" s="31">
        <f t="shared" si="171"/>
        <v>0</v>
      </c>
      <c r="K2233" s="29">
        <f t="shared" si="172"/>
        <v>19320</v>
      </c>
      <c r="L2233" s="31" t="str">
        <f t="shared" si="173"/>
        <v/>
      </c>
      <c r="M2233" s="31" t="str">
        <f t="shared" si="174"/>
        <v/>
      </c>
    </row>
    <row r="2234" spans="1:13" x14ac:dyDescent="0.15">
      <c r="A2234" s="163" t="s">
        <v>210</v>
      </c>
      <c r="B2234" s="163">
        <v>42334.394902916669</v>
      </c>
      <c r="C2234" s="164" t="s">
        <v>2065</v>
      </c>
      <c r="D2234" s="164" t="s">
        <v>15</v>
      </c>
      <c r="E2234" s="165">
        <v>60</v>
      </c>
      <c r="F2234" s="166">
        <v>1.8</v>
      </c>
      <c r="G2234" s="227">
        <f>IF($B$2,IF(ROWS(B$6:$B2234) = 1,$B2234-Start_Date,$B2234-$B2233),"")</f>
        <v>1.7487673612777144E-2</v>
      </c>
      <c r="H2234" s="29">
        <f>IF($B$2,IF(ROWS(B$6:$B2234) = 1,IF(COUNTIFS(R_Schedule_Times,"&lt;"&amp;B2234),INDEX(R_Schedule_Amounts,MATCH(B2234,R_Schedule_Times,1)),Starting_Cash),IF(COUNTIFS(R_Schedule_Times,"&gt;"&amp;B2233,R_Schedule_Times,"&lt;"&amp;B2234),INDEX(R_Schedule_Amounts,MATCH(B2234,R_Schedule_Times,1)),K2233)),"")</f>
        <v>19320</v>
      </c>
      <c r="I2234" s="30">
        <f t="shared" si="170"/>
        <v>60</v>
      </c>
      <c r="J2234" s="31">
        <f t="shared" si="171"/>
        <v>1.8</v>
      </c>
      <c r="K2234" s="29">
        <f t="shared" si="172"/>
        <v>19260</v>
      </c>
      <c r="L2234" s="31" t="str">
        <f t="shared" si="173"/>
        <v/>
      </c>
      <c r="M2234" s="31" t="str">
        <f t="shared" si="174"/>
        <v/>
      </c>
    </row>
    <row r="2235" spans="1:13" x14ac:dyDescent="0.15">
      <c r="A2235" s="163" t="s">
        <v>210</v>
      </c>
      <c r="B2235" s="163">
        <v>42334.427181388892</v>
      </c>
      <c r="C2235" s="164" t="s">
        <v>2066</v>
      </c>
      <c r="D2235" s="164" t="s">
        <v>13</v>
      </c>
      <c r="E2235" s="165">
        <v>120</v>
      </c>
      <c r="F2235" s="166">
        <v>0</v>
      </c>
      <c r="G2235" s="227">
        <f>IF($B$2,IF(ROWS(B$6:$B2235) = 1,$B2235-Start_Date,$B2235-$B2234),"")</f>
        <v>3.2278472222969867E-2</v>
      </c>
      <c r="H2235" s="29">
        <f>IF($B$2,IF(ROWS(B$6:$B2235) = 1,IF(COUNTIFS(R_Schedule_Times,"&lt;"&amp;B2235),INDEX(R_Schedule_Amounts,MATCH(B2235,R_Schedule_Times,1)),Starting_Cash),IF(COUNTIFS(R_Schedule_Times,"&gt;"&amp;B2234,R_Schedule_Times,"&lt;"&amp;B2235),INDEX(R_Schedule_Amounts,MATCH(B2235,R_Schedule_Times,1)),K2234)),"")</f>
        <v>19260</v>
      </c>
      <c r="I2235" s="30">
        <f t="shared" si="170"/>
        <v>120</v>
      </c>
      <c r="J2235" s="31">
        <f t="shared" si="171"/>
        <v>0</v>
      </c>
      <c r="K2235" s="29">
        <f t="shared" si="172"/>
        <v>19140</v>
      </c>
      <c r="L2235" s="31" t="str">
        <f t="shared" si="173"/>
        <v/>
      </c>
      <c r="M2235" s="31" t="str">
        <f t="shared" si="174"/>
        <v/>
      </c>
    </row>
    <row r="2236" spans="1:13" x14ac:dyDescent="0.15">
      <c r="A2236" s="163" t="s">
        <v>210</v>
      </c>
      <c r="B2236" s="163">
        <v>42334.438218784722</v>
      </c>
      <c r="C2236" s="164" t="s">
        <v>2067</v>
      </c>
      <c r="D2236" s="164" t="s">
        <v>13</v>
      </c>
      <c r="E2236" s="165">
        <v>40</v>
      </c>
      <c r="F2236" s="166">
        <v>0</v>
      </c>
      <c r="G2236" s="227">
        <f>IF($B$2,IF(ROWS(B$6:$B2236) = 1,$B2236-Start_Date,$B2236-$B2235),"")</f>
        <v>1.1037395830499008E-2</v>
      </c>
      <c r="H2236" s="29">
        <f>IF($B$2,IF(ROWS(B$6:$B2236) = 1,IF(COUNTIFS(R_Schedule_Times,"&lt;"&amp;B2236),INDEX(R_Schedule_Amounts,MATCH(B2236,R_Schedule_Times,1)),Starting_Cash),IF(COUNTIFS(R_Schedule_Times,"&gt;"&amp;B2235,R_Schedule_Times,"&lt;"&amp;B2236),INDEX(R_Schedule_Amounts,MATCH(B2236,R_Schedule_Times,1)),K2235)),"")</f>
        <v>19140</v>
      </c>
      <c r="I2236" s="30">
        <f t="shared" si="170"/>
        <v>40</v>
      </c>
      <c r="J2236" s="31">
        <f t="shared" si="171"/>
        <v>0</v>
      </c>
      <c r="K2236" s="29">
        <f t="shared" si="172"/>
        <v>19100</v>
      </c>
      <c r="L2236" s="31" t="str">
        <f t="shared" si="173"/>
        <v/>
      </c>
      <c r="M2236" s="31" t="str">
        <f t="shared" si="174"/>
        <v/>
      </c>
    </row>
    <row r="2237" spans="1:13" x14ac:dyDescent="0.15">
      <c r="A2237" s="163" t="s">
        <v>210</v>
      </c>
      <c r="B2237" s="163">
        <v>42334.442420810185</v>
      </c>
      <c r="C2237" s="164" t="s">
        <v>2068</v>
      </c>
      <c r="D2237" s="164" t="s">
        <v>13</v>
      </c>
      <c r="E2237" s="165">
        <v>140</v>
      </c>
      <c r="F2237" s="166">
        <v>0</v>
      </c>
      <c r="G2237" s="227">
        <f>IF($B$2,IF(ROWS(B$6:$B2237) = 1,$B2237-Start_Date,$B2237-$B2236),"")</f>
        <v>4.2020254622912034E-3</v>
      </c>
      <c r="H2237" s="29">
        <f>IF($B$2,IF(ROWS(B$6:$B2237) = 1,IF(COUNTIFS(R_Schedule_Times,"&lt;"&amp;B2237),INDEX(R_Schedule_Amounts,MATCH(B2237,R_Schedule_Times,1)),Starting_Cash),IF(COUNTIFS(R_Schedule_Times,"&gt;"&amp;B2236,R_Schedule_Times,"&lt;"&amp;B2237),INDEX(R_Schedule_Amounts,MATCH(B2237,R_Schedule_Times,1)),K2236)),"")</f>
        <v>19100</v>
      </c>
      <c r="I2237" s="30">
        <f t="shared" si="170"/>
        <v>140</v>
      </c>
      <c r="J2237" s="31">
        <f t="shared" si="171"/>
        <v>0</v>
      </c>
      <c r="K2237" s="29">
        <f t="shared" si="172"/>
        <v>18960</v>
      </c>
      <c r="L2237" s="31" t="str">
        <f t="shared" si="173"/>
        <v/>
      </c>
      <c r="M2237" s="31" t="str">
        <f t="shared" si="174"/>
        <v/>
      </c>
    </row>
    <row r="2238" spans="1:13" x14ac:dyDescent="0.15">
      <c r="A2238" s="163" t="s">
        <v>210</v>
      </c>
      <c r="B2238" s="163">
        <v>42334.453791932872</v>
      </c>
      <c r="C2238" s="164" t="s">
        <v>2069</v>
      </c>
      <c r="D2238" s="164" t="s">
        <v>13</v>
      </c>
      <c r="E2238" s="165">
        <v>100</v>
      </c>
      <c r="F2238" s="166">
        <v>0</v>
      </c>
      <c r="G2238" s="227">
        <f>IF($B$2,IF(ROWS(B$6:$B2238) = 1,$B2238-Start_Date,$B2238-$B2237),"")</f>
        <v>1.1371122687705792E-2</v>
      </c>
      <c r="H2238" s="29">
        <f>IF($B$2,IF(ROWS(B$6:$B2238) = 1,IF(COUNTIFS(R_Schedule_Times,"&lt;"&amp;B2238),INDEX(R_Schedule_Amounts,MATCH(B2238,R_Schedule_Times,1)),Starting_Cash),IF(COUNTIFS(R_Schedule_Times,"&gt;"&amp;B2237,R_Schedule_Times,"&lt;"&amp;B2238),INDEX(R_Schedule_Amounts,MATCH(B2238,R_Schedule_Times,1)),K2237)),"")</f>
        <v>18960</v>
      </c>
      <c r="I2238" s="30">
        <f t="shared" si="170"/>
        <v>100</v>
      </c>
      <c r="J2238" s="31">
        <f t="shared" si="171"/>
        <v>0</v>
      </c>
      <c r="K2238" s="29">
        <f t="shared" si="172"/>
        <v>18860</v>
      </c>
      <c r="L2238" s="31" t="str">
        <f t="shared" si="173"/>
        <v/>
      </c>
      <c r="M2238" s="31" t="str">
        <f t="shared" si="174"/>
        <v/>
      </c>
    </row>
    <row r="2239" spans="1:13" x14ac:dyDescent="0.15">
      <c r="A2239" s="163" t="s">
        <v>210</v>
      </c>
      <c r="B2239" s="163">
        <v>42334.47258115741</v>
      </c>
      <c r="C2239" s="164" t="s">
        <v>2070</v>
      </c>
      <c r="D2239" s="164" t="s">
        <v>13</v>
      </c>
      <c r="E2239" s="165">
        <v>100</v>
      </c>
      <c r="F2239" s="166">
        <v>0</v>
      </c>
      <c r="G2239" s="227">
        <f>IF($B$2,IF(ROWS(B$6:$B2239) = 1,$B2239-Start_Date,$B2239-$B2238),"")</f>
        <v>1.8789224537613336E-2</v>
      </c>
      <c r="H2239" s="29">
        <f>IF($B$2,IF(ROWS(B$6:$B2239) = 1,IF(COUNTIFS(R_Schedule_Times,"&lt;"&amp;B2239),INDEX(R_Schedule_Amounts,MATCH(B2239,R_Schedule_Times,1)),Starting_Cash),IF(COUNTIFS(R_Schedule_Times,"&gt;"&amp;B2238,R_Schedule_Times,"&lt;"&amp;B2239),INDEX(R_Schedule_Amounts,MATCH(B2239,R_Schedule_Times,1)),K2238)),"")</f>
        <v>18860</v>
      </c>
      <c r="I2239" s="30">
        <f t="shared" si="170"/>
        <v>100</v>
      </c>
      <c r="J2239" s="31">
        <f t="shared" si="171"/>
        <v>0</v>
      </c>
      <c r="K2239" s="29">
        <f t="shared" si="172"/>
        <v>18760</v>
      </c>
      <c r="L2239" s="31" t="str">
        <f t="shared" si="173"/>
        <v/>
      </c>
      <c r="M2239" s="31" t="str">
        <f t="shared" si="174"/>
        <v/>
      </c>
    </row>
    <row r="2240" spans="1:13" x14ac:dyDescent="0.15">
      <c r="A2240" s="163" t="s">
        <v>210</v>
      </c>
      <c r="B2240" s="163">
        <v>42334.481835706021</v>
      </c>
      <c r="C2240" s="164" t="s">
        <v>2071</v>
      </c>
      <c r="D2240" s="164" t="s">
        <v>13</v>
      </c>
      <c r="E2240" s="165">
        <v>100</v>
      </c>
      <c r="F2240" s="166">
        <v>0</v>
      </c>
      <c r="G2240" s="227">
        <f>IF($B$2,IF(ROWS(B$6:$B2240) = 1,$B2240-Start_Date,$B2240-$B2239),"")</f>
        <v>9.2545486113522202E-3</v>
      </c>
      <c r="H2240" s="29">
        <f>IF($B$2,IF(ROWS(B$6:$B2240) = 1,IF(COUNTIFS(R_Schedule_Times,"&lt;"&amp;B2240),INDEX(R_Schedule_Amounts,MATCH(B2240,R_Schedule_Times,1)),Starting_Cash),IF(COUNTIFS(R_Schedule_Times,"&gt;"&amp;B2239,R_Schedule_Times,"&lt;"&amp;B2240),INDEX(R_Schedule_Amounts,MATCH(B2240,R_Schedule_Times,1)),K2239)),"")</f>
        <v>18760</v>
      </c>
      <c r="I2240" s="30">
        <f t="shared" si="170"/>
        <v>100</v>
      </c>
      <c r="J2240" s="31">
        <f t="shared" si="171"/>
        <v>0</v>
      </c>
      <c r="K2240" s="29">
        <f t="shared" si="172"/>
        <v>18660</v>
      </c>
      <c r="L2240" s="31" t="str">
        <f t="shared" si="173"/>
        <v/>
      </c>
      <c r="M2240" s="31" t="str">
        <f t="shared" si="174"/>
        <v/>
      </c>
    </row>
    <row r="2241" spans="1:13" x14ac:dyDescent="0.15">
      <c r="A2241" s="163" t="s">
        <v>210</v>
      </c>
      <c r="B2241" s="163">
        <v>42334.492627083331</v>
      </c>
      <c r="C2241" s="164" t="s">
        <v>2072</v>
      </c>
      <c r="D2241" s="164" t="s">
        <v>13</v>
      </c>
      <c r="E2241" s="165">
        <v>100</v>
      </c>
      <c r="F2241" s="166">
        <v>0</v>
      </c>
      <c r="G2241" s="227">
        <f>IF($B$2,IF(ROWS(B$6:$B2241) = 1,$B2241-Start_Date,$B2241-$B2240),"")</f>
        <v>1.0791377309942618E-2</v>
      </c>
      <c r="H2241" s="29">
        <f>IF($B$2,IF(ROWS(B$6:$B2241) = 1,IF(COUNTIFS(R_Schedule_Times,"&lt;"&amp;B2241),INDEX(R_Schedule_Amounts,MATCH(B2241,R_Schedule_Times,1)),Starting_Cash),IF(COUNTIFS(R_Schedule_Times,"&gt;"&amp;B2240,R_Schedule_Times,"&lt;"&amp;B2241),INDEX(R_Schedule_Amounts,MATCH(B2241,R_Schedule_Times,1)),K2240)),"")</f>
        <v>18660</v>
      </c>
      <c r="I2241" s="30">
        <f t="shared" si="170"/>
        <v>100</v>
      </c>
      <c r="J2241" s="31">
        <f t="shared" si="171"/>
        <v>0</v>
      </c>
      <c r="K2241" s="29">
        <f t="shared" si="172"/>
        <v>18560</v>
      </c>
      <c r="L2241" s="31" t="str">
        <f t="shared" si="173"/>
        <v/>
      </c>
      <c r="M2241" s="31" t="str">
        <f t="shared" si="174"/>
        <v/>
      </c>
    </row>
    <row r="2242" spans="1:13" x14ac:dyDescent="0.15">
      <c r="A2242" s="163" t="s">
        <v>210</v>
      </c>
      <c r="B2242" s="163">
        <v>42334.506467106483</v>
      </c>
      <c r="C2242" s="164" t="s">
        <v>2073</v>
      </c>
      <c r="D2242" s="164" t="s">
        <v>13</v>
      </c>
      <c r="E2242" s="165">
        <v>100</v>
      </c>
      <c r="F2242" s="166">
        <v>0</v>
      </c>
      <c r="G2242" s="227">
        <f>IF($B$2,IF(ROWS(B$6:$B2242) = 1,$B2242-Start_Date,$B2242-$B2241),"")</f>
        <v>1.3840023151715286E-2</v>
      </c>
      <c r="H2242" s="29">
        <f>IF($B$2,IF(ROWS(B$6:$B2242) = 1,IF(COUNTIFS(R_Schedule_Times,"&lt;"&amp;B2242),INDEX(R_Schedule_Amounts,MATCH(B2242,R_Schedule_Times,1)),Starting_Cash),IF(COUNTIFS(R_Schedule_Times,"&gt;"&amp;B2241,R_Schedule_Times,"&lt;"&amp;B2242),INDEX(R_Schedule_Amounts,MATCH(B2242,R_Schedule_Times,1)),K2241)),"")</f>
        <v>18560</v>
      </c>
      <c r="I2242" s="30">
        <f t="shared" si="170"/>
        <v>100</v>
      </c>
      <c r="J2242" s="31">
        <f t="shared" si="171"/>
        <v>0</v>
      </c>
      <c r="K2242" s="29">
        <f t="shared" si="172"/>
        <v>18460</v>
      </c>
      <c r="L2242" s="31" t="str">
        <f t="shared" si="173"/>
        <v/>
      </c>
      <c r="M2242" s="31" t="str">
        <f t="shared" si="174"/>
        <v/>
      </c>
    </row>
    <row r="2243" spans="1:13" x14ac:dyDescent="0.15">
      <c r="A2243" s="163" t="s">
        <v>210</v>
      </c>
      <c r="B2243" s="163">
        <v>42334.518183275461</v>
      </c>
      <c r="C2243" s="164" t="s">
        <v>1009</v>
      </c>
      <c r="D2243" s="164" t="s">
        <v>13</v>
      </c>
      <c r="E2243" s="165">
        <v>40</v>
      </c>
      <c r="F2243" s="166">
        <v>0</v>
      </c>
      <c r="G2243" s="227">
        <f>IF($B$2,IF(ROWS(B$6:$B2243) = 1,$B2243-Start_Date,$B2243-$B2242),"")</f>
        <v>1.1716168977727648E-2</v>
      </c>
      <c r="H2243" s="29">
        <f>IF($B$2,IF(ROWS(B$6:$B2243) = 1,IF(COUNTIFS(R_Schedule_Times,"&lt;"&amp;B2243),INDEX(R_Schedule_Amounts,MATCH(B2243,R_Schedule_Times,1)),Starting_Cash),IF(COUNTIFS(R_Schedule_Times,"&gt;"&amp;B2242,R_Schedule_Times,"&lt;"&amp;B2243),INDEX(R_Schedule_Amounts,MATCH(B2243,R_Schedule_Times,1)),K2242)),"")</f>
        <v>18460</v>
      </c>
      <c r="I2243" s="30">
        <f t="shared" si="170"/>
        <v>40</v>
      </c>
      <c r="J2243" s="31">
        <f t="shared" si="171"/>
        <v>0</v>
      </c>
      <c r="K2243" s="29">
        <f t="shared" si="172"/>
        <v>18420</v>
      </c>
      <c r="L2243" s="31" t="str">
        <f t="shared" si="173"/>
        <v/>
      </c>
      <c r="M2243" s="31" t="str">
        <f t="shared" si="174"/>
        <v/>
      </c>
    </row>
    <row r="2244" spans="1:13" x14ac:dyDescent="0.15">
      <c r="A2244" s="163" t="s">
        <v>210</v>
      </c>
      <c r="B2244" s="163">
        <v>42334.526559120372</v>
      </c>
      <c r="C2244" s="164" t="s">
        <v>2074</v>
      </c>
      <c r="D2244" s="164" t="s">
        <v>13</v>
      </c>
      <c r="E2244" s="165">
        <v>200</v>
      </c>
      <c r="F2244" s="166">
        <v>0</v>
      </c>
      <c r="G2244" s="227">
        <f>IF($B$2,IF(ROWS(B$6:$B2244) = 1,$B2244-Start_Date,$B2244-$B2243),"")</f>
        <v>8.3758449109154753E-3</v>
      </c>
      <c r="H2244" s="29">
        <f>IF($B$2,IF(ROWS(B$6:$B2244) = 1,IF(COUNTIFS(R_Schedule_Times,"&lt;"&amp;B2244),INDEX(R_Schedule_Amounts,MATCH(B2244,R_Schedule_Times,1)),Starting_Cash),IF(COUNTIFS(R_Schedule_Times,"&gt;"&amp;B2243,R_Schedule_Times,"&lt;"&amp;B2244),INDEX(R_Schedule_Amounts,MATCH(B2244,R_Schedule_Times,1)),K2243)),"")</f>
        <v>18420</v>
      </c>
      <c r="I2244" s="30">
        <f t="shared" si="170"/>
        <v>200</v>
      </c>
      <c r="J2244" s="31">
        <f t="shared" si="171"/>
        <v>0</v>
      </c>
      <c r="K2244" s="29">
        <f t="shared" si="172"/>
        <v>18220</v>
      </c>
      <c r="L2244" s="31" t="str">
        <f t="shared" si="173"/>
        <v/>
      </c>
      <c r="M2244" s="31" t="str">
        <f t="shared" si="174"/>
        <v/>
      </c>
    </row>
    <row r="2245" spans="1:13" x14ac:dyDescent="0.15">
      <c r="A2245" s="163" t="s">
        <v>210</v>
      </c>
      <c r="B2245" s="163">
        <v>42334.542210405096</v>
      </c>
      <c r="C2245" s="164" t="s">
        <v>2075</v>
      </c>
      <c r="D2245" s="164" t="s">
        <v>13</v>
      </c>
      <c r="E2245" s="165">
        <v>60</v>
      </c>
      <c r="F2245" s="166">
        <v>0</v>
      </c>
      <c r="G2245" s="227">
        <f>IF($B$2,IF(ROWS(B$6:$B2245) = 1,$B2245-Start_Date,$B2245-$B2244),"")</f>
        <v>1.565128472429933E-2</v>
      </c>
      <c r="H2245" s="29">
        <f>IF($B$2,IF(ROWS(B$6:$B2245) = 1,IF(COUNTIFS(R_Schedule_Times,"&lt;"&amp;B2245),INDEX(R_Schedule_Amounts,MATCH(B2245,R_Schedule_Times,1)),Starting_Cash),IF(COUNTIFS(R_Schedule_Times,"&gt;"&amp;B2244,R_Schedule_Times,"&lt;"&amp;B2245),INDEX(R_Schedule_Amounts,MATCH(B2245,R_Schedule_Times,1)),K2244)),"")</f>
        <v>18220</v>
      </c>
      <c r="I2245" s="30">
        <f t="shared" si="170"/>
        <v>60</v>
      </c>
      <c r="J2245" s="31">
        <f t="shared" si="171"/>
        <v>0</v>
      </c>
      <c r="K2245" s="29">
        <f t="shared" si="172"/>
        <v>18160</v>
      </c>
      <c r="L2245" s="31" t="str">
        <f t="shared" si="173"/>
        <v/>
      </c>
      <c r="M2245" s="31" t="str">
        <f t="shared" si="174"/>
        <v/>
      </c>
    </row>
    <row r="2246" spans="1:13" x14ac:dyDescent="0.15">
      <c r="A2246" s="163" t="s">
        <v>210</v>
      </c>
      <c r="B2246" s="163">
        <v>42334.544560567127</v>
      </c>
      <c r="C2246" s="164" t="s">
        <v>2076</v>
      </c>
      <c r="D2246" s="164" t="s">
        <v>13</v>
      </c>
      <c r="E2246" s="165">
        <v>20</v>
      </c>
      <c r="F2246" s="166">
        <v>0</v>
      </c>
      <c r="G2246" s="227">
        <f>IF($B$2,IF(ROWS(B$6:$B2246) = 1,$B2246-Start_Date,$B2246-$B2245),"")</f>
        <v>2.3501620307797566E-3</v>
      </c>
      <c r="H2246" s="29">
        <f>IF($B$2,IF(ROWS(B$6:$B2246) = 1,IF(COUNTIFS(R_Schedule_Times,"&lt;"&amp;B2246),INDEX(R_Schedule_Amounts,MATCH(B2246,R_Schedule_Times,1)),Starting_Cash),IF(COUNTIFS(R_Schedule_Times,"&gt;"&amp;B2245,R_Schedule_Times,"&lt;"&amp;B2246),INDEX(R_Schedule_Amounts,MATCH(B2246,R_Schedule_Times,1)),K2245)),"")</f>
        <v>18160</v>
      </c>
      <c r="I2246" s="30">
        <f t="shared" si="170"/>
        <v>20</v>
      </c>
      <c r="J2246" s="31">
        <f t="shared" si="171"/>
        <v>0</v>
      </c>
      <c r="K2246" s="29">
        <f t="shared" si="172"/>
        <v>18140</v>
      </c>
      <c r="L2246" s="31" t="str">
        <f t="shared" si="173"/>
        <v/>
      </c>
      <c r="M2246" s="31" t="str">
        <f t="shared" si="174"/>
        <v/>
      </c>
    </row>
    <row r="2247" spans="1:13" x14ac:dyDescent="0.15">
      <c r="A2247" s="163" t="s">
        <v>210</v>
      </c>
      <c r="B2247" s="163">
        <v>42334.563693611111</v>
      </c>
      <c r="C2247" s="164" t="s">
        <v>259</v>
      </c>
      <c r="D2247" s="164" t="s">
        <v>13</v>
      </c>
      <c r="E2247" s="165">
        <v>80</v>
      </c>
      <c r="F2247" s="166">
        <v>0</v>
      </c>
      <c r="G2247" s="227">
        <f>IF($B$2,IF(ROWS(B$6:$B2247) = 1,$B2247-Start_Date,$B2247-$B2246),"")</f>
        <v>1.9133043984766118E-2</v>
      </c>
      <c r="H2247" s="29">
        <f>IF($B$2,IF(ROWS(B$6:$B2247) = 1,IF(COUNTIFS(R_Schedule_Times,"&lt;"&amp;B2247),INDEX(R_Schedule_Amounts,MATCH(B2247,R_Schedule_Times,1)),Starting_Cash),IF(COUNTIFS(R_Schedule_Times,"&gt;"&amp;B2246,R_Schedule_Times,"&lt;"&amp;B2247),INDEX(R_Schedule_Amounts,MATCH(B2247,R_Schedule_Times,1)),K2246)),"")</f>
        <v>18140</v>
      </c>
      <c r="I2247" s="30">
        <f t="shared" ref="I2247:I2310" si="175">IF($B$2,IF(H2247&gt;=E2247,E2247,0),"")</f>
        <v>80</v>
      </c>
      <c r="J2247" s="31">
        <f t="shared" ref="J2247:J2310" si="176">IF($B$2,IF(H2247&gt;=E2247,F2247,0),"")</f>
        <v>0</v>
      </c>
      <c r="K2247" s="29">
        <f t="shared" ref="K2247:K2310" si="177">IF($B$2,ABS(I2247-H2247),"")</f>
        <v>18060</v>
      </c>
      <c r="L2247" s="31" t="str">
        <f t="shared" ref="L2247:L2310" si="178">IF($B$2,IF(H2247&lt;E2247,"YES",""),"")</f>
        <v/>
      </c>
      <c r="M2247" s="31" t="str">
        <f t="shared" ref="M2247:M2310" si="179">IF($B$2,IF(L2247="YES",F2247,""),"")</f>
        <v/>
      </c>
    </row>
    <row r="2248" spans="1:13" x14ac:dyDescent="0.15">
      <c r="A2248" s="163" t="s">
        <v>210</v>
      </c>
      <c r="B2248" s="163">
        <v>42334.574373842595</v>
      </c>
      <c r="C2248" s="164" t="s">
        <v>472</v>
      </c>
      <c r="D2248" s="164" t="s">
        <v>13</v>
      </c>
      <c r="E2248" s="165">
        <v>20</v>
      </c>
      <c r="F2248" s="166">
        <v>0</v>
      </c>
      <c r="G2248" s="227">
        <f>IF($B$2,IF(ROWS(B$6:$B2248) = 1,$B2248-Start_Date,$B2248-$B2247),"")</f>
        <v>1.0680231484002434E-2</v>
      </c>
      <c r="H2248" s="29">
        <f>IF($B$2,IF(ROWS(B$6:$B2248) = 1,IF(COUNTIFS(R_Schedule_Times,"&lt;"&amp;B2248),INDEX(R_Schedule_Amounts,MATCH(B2248,R_Schedule_Times,1)),Starting_Cash),IF(COUNTIFS(R_Schedule_Times,"&gt;"&amp;B2247,R_Schedule_Times,"&lt;"&amp;B2248),INDEX(R_Schedule_Amounts,MATCH(B2248,R_Schedule_Times,1)),K2247)),"")</f>
        <v>18060</v>
      </c>
      <c r="I2248" s="30">
        <f t="shared" si="175"/>
        <v>20</v>
      </c>
      <c r="J2248" s="31">
        <f t="shared" si="176"/>
        <v>0</v>
      </c>
      <c r="K2248" s="29">
        <f t="shared" si="177"/>
        <v>18040</v>
      </c>
      <c r="L2248" s="31" t="str">
        <f t="shared" si="178"/>
        <v/>
      </c>
      <c r="M2248" s="31" t="str">
        <f t="shared" si="179"/>
        <v/>
      </c>
    </row>
    <row r="2249" spans="1:13" x14ac:dyDescent="0.15">
      <c r="A2249" s="163" t="s">
        <v>210</v>
      </c>
      <c r="B2249" s="163">
        <v>42334.582930636578</v>
      </c>
      <c r="C2249" s="164" t="s">
        <v>1658</v>
      </c>
      <c r="D2249" s="164" t="s">
        <v>13</v>
      </c>
      <c r="E2249" s="165">
        <v>40</v>
      </c>
      <c r="F2249" s="166">
        <v>0</v>
      </c>
      <c r="G2249" s="227">
        <f>IF($B$2,IF(ROWS(B$6:$B2249) = 1,$B2249-Start_Date,$B2249-$B2248),"")</f>
        <v>8.556793982279487E-3</v>
      </c>
      <c r="H2249" s="29">
        <f>IF($B$2,IF(ROWS(B$6:$B2249) = 1,IF(COUNTIFS(R_Schedule_Times,"&lt;"&amp;B2249),INDEX(R_Schedule_Amounts,MATCH(B2249,R_Schedule_Times,1)),Starting_Cash),IF(COUNTIFS(R_Schedule_Times,"&gt;"&amp;B2248,R_Schedule_Times,"&lt;"&amp;B2249),INDEX(R_Schedule_Amounts,MATCH(B2249,R_Schedule_Times,1)),K2248)),"")</f>
        <v>18040</v>
      </c>
      <c r="I2249" s="30">
        <f t="shared" si="175"/>
        <v>40</v>
      </c>
      <c r="J2249" s="31">
        <f t="shared" si="176"/>
        <v>0</v>
      </c>
      <c r="K2249" s="29">
        <f t="shared" si="177"/>
        <v>18000</v>
      </c>
      <c r="L2249" s="31" t="str">
        <f t="shared" si="178"/>
        <v/>
      </c>
      <c r="M2249" s="31" t="str">
        <f t="shared" si="179"/>
        <v/>
      </c>
    </row>
    <row r="2250" spans="1:13" x14ac:dyDescent="0.15">
      <c r="A2250" s="163" t="s">
        <v>210</v>
      </c>
      <c r="B2250" s="163">
        <v>42334.599097199076</v>
      </c>
      <c r="C2250" s="164" t="s">
        <v>596</v>
      </c>
      <c r="D2250" s="164" t="s">
        <v>13</v>
      </c>
      <c r="E2250" s="165">
        <v>100</v>
      </c>
      <c r="F2250" s="166">
        <v>0</v>
      </c>
      <c r="G2250" s="227">
        <f>IF($B$2,IF(ROWS(B$6:$B2250) = 1,$B2250-Start_Date,$B2250-$B2249),"")</f>
        <v>1.6166562498256098E-2</v>
      </c>
      <c r="H2250" s="29">
        <f>IF($B$2,IF(ROWS(B$6:$B2250) = 1,IF(COUNTIFS(R_Schedule_Times,"&lt;"&amp;B2250),INDEX(R_Schedule_Amounts,MATCH(B2250,R_Schedule_Times,1)),Starting_Cash),IF(COUNTIFS(R_Schedule_Times,"&gt;"&amp;B2249,R_Schedule_Times,"&lt;"&amp;B2250),INDEX(R_Schedule_Amounts,MATCH(B2250,R_Schedule_Times,1)),K2249)),"")</f>
        <v>18000</v>
      </c>
      <c r="I2250" s="30">
        <f t="shared" si="175"/>
        <v>100</v>
      </c>
      <c r="J2250" s="31">
        <f t="shared" si="176"/>
        <v>0</v>
      </c>
      <c r="K2250" s="29">
        <f t="shared" si="177"/>
        <v>17900</v>
      </c>
      <c r="L2250" s="31" t="str">
        <f t="shared" si="178"/>
        <v/>
      </c>
      <c r="M2250" s="31" t="str">
        <f t="shared" si="179"/>
        <v/>
      </c>
    </row>
    <row r="2251" spans="1:13" x14ac:dyDescent="0.15">
      <c r="A2251" s="163" t="s">
        <v>210</v>
      </c>
      <c r="B2251" s="163">
        <v>42334.608122094905</v>
      </c>
      <c r="C2251" s="164" t="s">
        <v>2077</v>
      </c>
      <c r="D2251" s="164" t="s">
        <v>13</v>
      </c>
      <c r="E2251" s="165">
        <v>60</v>
      </c>
      <c r="F2251" s="166">
        <v>0</v>
      </c>
      <c r="G2251" s="227">
        <f>IF($B$2,IF(ROWS(B$6:$B2251) = 1,$B2251-Start_Date,$B2251-$B2250),"")</f>
        <v>9.0248958294978365E-3</v>
      </c>
      <c r="H2251" s="29">
        <f>IF($B$2,IF(ROWS(B$6:$B2251) = 1,IF(COUNTIFS(R_Schedule_Times,"&lt;"&amp;B2251),INDEX(R_Schedule_Amounts,MATCH(B2251,R_Schedule_Times,1)),Starting_Cash),IF(COUNTIFS(R_Schedule_Times,"&gt;"&amp;B2250,R_Schedule_Times,"&lt;"&amp;B2251),INDEX(R_Schedule_Amounts,MATCH(B2251,R_Schedule_Times,1)),K2250)),"")</f>
        <v>17900</v>
      </c>
      <c r="I2251" s="30">
        <f t="shared" si="175"/>
        <v>60</v>
      </c>
      <c r="J2251" s="31">
        <f t="shared" si="176"/>
        <v>0</v>
      </c>
      <c r="K2251" s="29">
        <f t="shared" si="177"/>
        <v>17840</v>
      </c>
      <c r="L2251" s="31" t="str">
        <f t="shared" si="178"/>
        <v/>
      </c>
      <c r="M2251" s="31" t="str">
        <f t="shared" si="179"/>
        <v/>
      </c>
    </row>
    <row r="2252" spans="1:13" x14ac:dyDescent="0.15">
      <c r="A2252" s="163" t="s">
        <v>210</v>
      </c>
      <c r="B2252" s="163">
        <v>42334.611427164353</v>
      </c>
      <c r="C2252" s="164" t="s">
        <v>2078</v>
      </c>
      <c r="D2252" s="164" t="s">
        <v>13</v>
      </c>
      <c r="E2252" s="165">
        <v>100</v>
      </c>
      <c r="F2252" s="166">
        <v>0</v>
      </c>
      <c r="G2252" s="227">
        <f>IF($B$2,IF(ROWS(B$6:$B2252) = 1,$B2252-Start_Date,$B2252-$B2251),"")</f>
        <v>3.305069447378628E-3</v>
      </c>
      <c r="H2252" s="29">
        <f>IF($B$2,IF(ROWS(B$6:$B2252) = 1,IF(COUNTIFS(R_Schedule_Times,"&lt;"&amp;B2252),INDEX(R_Schedule_Amounts,MATCH(B2252,R_Schedule_Times,1)),Starting_Cash),IF(COUNTIFS(R_Schedule_Times,"&gt;"&amp;B2251,R_Schedule_Times,"&lt;"&amp;B2252),INDEX(R_Schedule_Amounts,MATCH(B2252,R_Schedule_Times,1)),K2251)),"")</f>
        <v>17840</v>
      </c>
      <c r="I2252" s="30">
        <f t="shared" si="175"/>
        <v>100</v>
      </c>
      <c r="J2252" s="31">
        <f t="shared" si="176"/>
        <v>0</v>
      </c>
      <c r="K2252" s="29">
        <f t="shared" si="177"/>
        <v>17740</v>
      </c>
      <c r="L2252" s="31" t="str">
        <f t="shared" si="178"/>
        <v/>
      </c>
      <c r="M2252" s="31" t="str">
        <f t="shared" si="179"/>
        <v/>
      </c>
    </row>
    <row r="2253" spans="1:13" x14ac:dyDescent="0.15">
      <c r="A2253" s="163" t="s">
        <v>210</v>
      </c>
      <c r="B2253" s="163">
        <v>42334.612396631943</v>
      </c>
      <c r="C2253" s="164" t="s">
        <v>2079</v>
      </c>
      <c r="D2253" s="164" t="s">
        <v>13</v>
      </c>
      <c r="E2253" s="165">
        <v>160</v>
      </c>
      <c r="F2253" s="166">
        <v>0</v>
      </c>
      <c r="G2253" s="227">
        <f>IF($B$2,IF(ROWS(B$6:$B2253) = 1,$B2253-Start_Date,$B2253-$B2252),"")</f>
        <v>9.694675900391303E-4</v>
      </c>
      <c r="H2253" s="29">
        <f>IF($B$2,IF(ROWS(B$6:$B2253) = 1,IF(COUNTIFS(R_Schedule_Times,"&lt;"&amp;B2253),INDEX(R_Schedule_Amounts,MATCH(B2253,R_Schedule_Times,1)),Starting_Cash),IF(COUNTIFS(R_Schedule_Times,"&gt;"&amp;B2252,R_Schedule_Times,"&lt;"&amp;B2253),INDEX(R_Schedule_Amounts,MATCH(B2253,R_Schedule_Times,1)),K2252)),"")</f>
        <v>17740</v>
      </c>
      <c r="I2253" s="30">
        <f t="shared" si="175"/>
        <v>160</v>
      </c>
      <c r="J2253" s="31">
        <f t="shared" si="176"/>
        <v>0</v>
      </c>
      <c r="K2253" s="29">
        <f t="shared" si="177"/>
        <v>17580</v>
      </c>
      <c r="L2253" s="31" t="str">
        <f t="shared" si="178"/>
        <v/>
      </c>
      <c r="M2253" s="31" t="str">
        <f t="shared" si="179"/>
        <v/>
      </c>
    </row>
    <row r="2254" spans="1:13" x14ac:dyDescent="0.15">
      <c r="A2254" s="163" t="s">
        <v>210</v>
      </c>
      <c r="B2254" s="163">
        <v>42334.707526446757</v>
      </c>
      <c r="C2254" s="164" t="s">
        <v>1908</v>
      </c>
      <c r="D2254" s="164" t="s">
        <v>13</v>
      </c>
      <c r="E2254" s="165">
        <v>100</v>
      </c>
      <c r="F2254" s="166">
        <v>0</v>
      </c>
      <c r="G2254" s="227">
        <f>IF($B$2,IF(ROWS(B$6:$B2254) = 1,$B2254-Start_Date,$B2254-$B2253),"")</f>
        <v>9.512981481384486E-2</v>
      </c>
      <c r="H2254" s="29">
        <f>IF($B$2,IF(ROWS(B$6:$B2254) = 1,IF(COUNTIFS(R_Schedule_Times,"&lt;"&amp;B2254),INDEX(R_Schedule_Amounts,MATCH(B2254,R_Schedule_Times,1)),Starting_Cash),IF(COUNTIFS(R_Schedule_Times,"&gt;"&amp;B2253,R_Schedule_Times,"&lt;"&amp;B2254),INDEX(R_Schedule_Amounts,MATCH(B2254,R_Schedule_Times,1)),K2253)),"")</f>
        <v>17580</v>
      </c>
      <c r="I2254" s="30">
        <f t="shared" si="175"/>
        <v>100</v>
      </c>
      <c r="J2254" s="31">
        <f t="shared" si="176"/>
        <v>0</v>
      </c>
      <c r="K2254" s="29">
        <f t="shared" si="177"/>
        <v>17480</v>
      </c>
      <c r="L2254" s="31" t="str">
        <f t="shared" si="178"/>
        <v/>
      </c>
      <c r="M2254" s="31" t="str">
        <f t="shared" si="179"/>
        <v/>
      </c>
    </row>
    <row r="2255" spans="1:13" x14ac:dyDescent="0.15">
      <c r="A2255" s="163" t="s">
        <v>210</v>
      </c>
      <c r="B2255" s="163">
        <v>42334.741575844906</v>
      </c>
      <c r="C2255" s="164" t="s">
        <v>2080</v>
      </c>
      <c r="D2255" s="164" t="s">
        <v>13</v>
      </c>
      <c r="E2255" s="165">
        <v>100</v>
      </c>
      <c r="F2255" s="166">
        <v>0</v>
      </c>
      <c r="G2255" s="227">
        <f>IF($B$2,IF(ROWS(B$6:$B2255) = 1,$B2255-Start_Date,$B2255-$B2254),"")</f>
        <v>3.4049398149363697E-2</v>
      </c>
      <c r="H2255" s="29">
        <f>IF($B$2,IF(ROWS(B$6:$B2255) = 1,IF(COUNTIFS(R_Schedule_Times,"&lt;"&amp;B2255),INDEX(R_Schedule_Amounts,MATCH(B2255,R_Schedule_Times,1)),Starting_Cash),IF(COUNTIFS(R_Schedule_Times,"&gt;"&amp;B2254,R_Schedule_Times,"&lt;"&amp;B2255),INDEX(R_Schedule_Amounts,MATCH(B2255,R_Schedule_Times,1)),K2254)),"")</f>
        <v>17480</v>
      </c>
      <c r="I2255" s="30">
        <f t="shared" si="175"/>
        <v>100</v>
      </c>
      <c r="J2255" s="31">
        <f t="shared" si="176"/>
        <v>0</v>
      </c>
      <c r="K2255" s="29">
        <f t="shared" si="177"/>
        <v>17380</v>
      </c>
      <c r="L2255" s="31" t="str">
        <f t="shared" si="178"/>
        <v/>
      </c>
      <c r="M2255" s="31" t="str">
        <f t="shared" si="179"/>
        <v/>
      </c>
    </row>
    <row r="2256" spans="1:13" x14ac:dyDescent="0.15">
      <c r="A2256" s="163" t="s">
        <v>210</v>
      </c>
      <c r="B2256" s="163">
        <v>42334.744172743056</v>
      </c>
      <c r="C2256" s="164" t="s">
        <v>2081</v>
      </c>
      <c r="D2256" s="164" t="s">
        <v>13</v>
      </c>
      <c r="E2256" s="165">
        <v>120</v>
      </c>
      <c r="F2256" s="166">
        <v>0</v>
      </c>
      <c r="G2256" s="227">
        <f>IF($B$2,IF(ROWS(B$6:$B2256) = 1,$B2256-Start_Date,$B2256-$B2255),"")</f>
        <v>2.5968981499318033E-3</v>
      </c>
      <c r="H2256" s="29">
        <f>IF($B$2,IF(ROWS(B$6:$B2256) = 1,IF(COUNTIFS(R_Schedule_Times,"&lt;"&amp;B2256),INDEX(R_Schedule_Amounts,MATCH(B2256,R_Schedule_Times,1)),Starting_Cash),IF(COUNTIFS(R_Schedule_Times,"&gt;"&amp;B2255,R_Schedule_Times,"&lt;"&amp;B2256),INDEX(R_Schedule_Amounts,MATCH(B2256,R_Schedule_Times,1)),K2255)),"")</f>
        <v>17380</v>
      </c>
      <c r="I2256" s="30">
        <f t="shared" si="175"/>
        <v>120</v>
      </c>
      <c r="J2256" s="31">
        <f t="shared" si="176"/>
        <v>0</v>
      </c>
      <c r="K2256" s="29">
        <f t="shared" si="177"/>
        <v>17260</v>
      </c>
      <c r="L2256" s="31" t="str">
        <f t="shared" si="178"/>
        <v/>
      </c>
      <c r="M2256" s="31" t="str">
        <f t="shared" si="179"/>
        <v/>
      </c>
    </row>
    <row r="2257" spans="1:13" x14ac:dyDescent="0.15">
      <c r="A2257" s="163" t="s">
        <v>210</v>
      </c>
      <c r="B2257" s="163">
        <v>42334.754288356482</v>
      </c>
      <c r="C2257" s="164" t="s">
        <v>2082</v>
      </c>
      <c r="D2257" s="164" t="s">
        <v>13</v>
      </c>
      <c r="E2257" s="165">
        <v>40</v>
      </c>
      <c r="F2257" s="166">
        <v>0</v>
      </c>
      <c r="G2257" s="227">
        <f>IF($B$2,IF(ROWS(B$6:$B2257) = 1,$B2257-Start_Date,$B2257-$B2256),"")</f>
        <v>1.0115613426023629E-2</v>
      </c>
      <c r="H2257" s="29">
        <f>IF($B$2,IF(ROWS(B$6:$B2257) = 1,IF(COUNTIFS(R_Schedule_Times,"&lt;"&amp;B2257),INDEX(R_Schedule_Amounts,MATCH(B2257,R_Schedule_Times,1)),Starting_Cash),IF(COUNTIFS(R_Schedule_Times,"&gt;"&amp;B2256,R_Schedule_Times,"&lt;"&amp;B2257),INDEX(R_Schedule_Amounts,MATCH(B2257,R_Schedule_Times,1)),K2256)),"")</f>
        <v>17260</v>
      </c>
      <c r="I2257" s="30">
        <f t="shared" si="175"/>
        <v>40</v>
      </c>
      <c r="J2257" s="31">
        <f t="shared" si="176"/>
        <v>0</v>
      </c>
      <c r="K2257" s="29">
        <f t="shared" si="177"/>
        <v>17220</v>
      </c>
      <c r="L2257" s="31" t="str">
        <f t="shared" si="178"/>
        <v/>
      </c>
      <c r="M2257" s="31" t="str">
        <f t="shared" si="179"/>
        <v/>
      </c>
    </row>
    <row r="2258" spans="1:13" x14ac:dyDescent="0.15">
      <c r="A2258" s="163" t="s">
        <v>210</v>
      </c>
      <c r="B2258" s="163">
        <v>42334.766353298612</v>
      </c>
      <c r="C2258" s="164" t="s">
        <v>14</v>
      </c>
      <c r="D2258" s="164" t="s">
        <v>13</v>
      </c>
      <c r="E2258" s="165">
        <v>100</v>
      </c>
      <c r="F2258" s="166">
        <v>3.5</v>
      </c>
      <c r="G2258" s="227">
        <f>IF($B$2,IF(ROWS(B$6:$B2258) = 1,$B2258-Start_Date,$B2258-$B2257),"")</f>
        <v>1.206494212965481E-2</v>
      </c>
      <c r="H2258" s="29">
        <f>IF($B$2,IF(ROWS(B$6:$B2258) = 1,IF(COUNTIFS(R_Schedule_Times,"&lt;"&amp;B2258),INDEX(R_Schedule_Amounts,MATCH(B2258,R_Schedule_Times,1)),Starting_Cash),IF(COUNTIFS(R_Schedule_Times,"&gt;"&amp;B2257,R_Schedule_Times,"&lt;"&amp;B2258),INDEX(R_Schedule_Amounts,MATCH(B2258,R_Schedule_Times,1)),K2257)),"")</f>
        <v>17220</v>
      </c>
      <c r="I2258" s="30">
        <f t="shared" si="175"/>
        <v>100</v>
      </c>
      <c r="J2258" s="31">
        <f t="shared" si="176"/>
        <v>3.5</v>
      </c>
      <c r="K2258" s="29">
        <f t="shared" si="177"/>
        <v>17120</v>
      </c>
      <c r="L2258" s="31" t="str">
        <f t="shared" si="178"/>
        <v/>
      </c>
      <c r="M2258" s="31" t="str">
        <f t="shared" si="179"/>
        <v/>
      </c>
    </row>
    <row r="2259" spans="1:13" x14ac:dyDescent="0.15">
      <c r="A2259" s="163" t="s">
        <v>210</v>
      </c>
      <c r="B2259" s="163">
        <v>42334.773505231482</v>
      </c>
      <c r="C2259" s="164" t="s">
        <v>2083</v>
      </c>
      <c r="D2259" s="164" t="s">
        <v>13</v>
      </c>
      <c r="E2259" s="165">
        <v>40</v>
      </c>
      <c r="F2259" s="166">
        <v>0</v>
      </c>
      <c r="G2259" s="227">
        <f>IF($B$2,IF(ROWS(B$6:$B2259) = 1,$B2259-Start_Date,$B2259-$B2258),"")</f>
        <v>7.151932870328892E-3</v>
      </c>
      <c r="H2259" s="29">
        <f>IF($B$2,IF(ROWS(B$6:$B2259) = 1,IF(COUNTIFS(R_Schedule_Times,"&lt;"&amp;B2259),INDEX(R_Schedule_Amounts,MATCH(B2259,R_Schedule_Times,1)),Starting_Cash),IF(COUNTIFS(R_Schedule_Times,"&gt;"&amp;B2258,R_Schedule_Times,"&lt;"&amp;B2259),INDEX(R_Schedule_Amounts,MATCH(B2259,R_Schedule_Times,1)),K2258)),"")</f>
        <v>17120</v>
      </c>
      <c r="I2259" s="30">
        <f t="shared" si="175"/>
        <v>40</v>
      </c>
      <c r="J2259" s="31">
        <f t="shared" si="176"/>
        <v>0</v>
      </c>
      <c r="K2259" s="29">
        <f t="shared" si="177"/>
        <v>17080</v>
      </c>
      <c r="L2259" s="31" t="str">
        <f t="shared" si="178"/>
        <v/>
      </c>
      <c r="M2259" s="31" t="str">
        <f t="shared" si="179"/>
        <v/>
      </c>
    </row>
    <row r="2260" spans="1:13" x14ac:dyDescent="0.15">
      <c r="A2260" s="163" t="s">
        <v>210</v>
      </c>
      <c r="B2260" s="163">
        <v>42334.780489386576</v>
      </c>
      <c r="C2260" s="164" t="s">
        <v>461</v>
      </c>
      <c r="D2260" s="164" t="s">
        <v>13</v>
      </c>
      <c r="E2260" s="165">
        <v>300</v>
      </c>
      <c r="F2260" s="166">
        <v>0</v>
      </c>
      <c r="G2260" s="227">
        <f>IF($B$2,IF(ROWS(B$6:$B2260) = 1,$B2260-Start_Date,$B2260-$B2259),"")</f>
        <v>6.9841550939599983E-3</v>
      </c>
      <c r="H2260" s="29">
        <f>IF($B$2,IF(ROWS(B$6:$B2260) = 1,IF(COUNTIFS(R_Schedule_Times,"&lt;"&amp;B2260),INDEX(R_Schedule_Amounts,MATCH(B2260,R_Schedule_Times,1)),Starting_Cash),IF(COUNTIFS(R_Schedule_Times,"&gt;"&amp;B2259,R_Schedule_Times,"&lt;"&amp;B2260),INDEX(R_Schedule_Amounts,MATCH(B2260,R_Schedule_Times,1)),K2259)),"")</f>
        <v>17080</v>
      </c>
      <c r="I2260" s="30">
        <f t="shared" si="175"/>
        <v>300</v>
      </c>
      <c r="J2260" s="31">
        <f t="shared" si="176"/>
        <v>0</v>
      </c>
      <c r="K2260" s="29">
        <f t="shared" si="177"/>
        <v>16780</v>
      </c>
      <c r="L2260" s="31" t="str">
        <f t="shared" si="178"/>
        <v/>
      </c>
      <c r="M2260" s="31" t="str">
        <f t="shared" si="179"/>
        <v/>
      </c>
    </row>
    <row r="2261" spans="1:13" x14ac:dyDescent="0.15">
      <c r="A2261" s="163" t="s">
        <v>210</v>
      </c>
      <c r="B2261" s="163">
        <v>42334.821660034722</v>
      </c>
      <c r="C2261" s="164" t="s">
        <v>14</v>
      </c>
      <c r="D2261" s="164" t="s">
        <v>13</v>
      </c>
      <c r="E2261" s="165">
        <v>100</v>
      </c>
      <c r="F2261" s="166">
        <v>3.5</v>
      </c>
      <c r="G2261" s="227">
        <f>IF($B$2,IF(ROWS(B$6:$B2261) = 1,$B2261-Start_Date,$B2261-$B2260),"")</f>
        <v>4.117064814636251E-2</v>
      </c>
      <c r="H2261" s="29">
        <f>IF($B$2,IF(ROWS(B$6:$B2261) = 1,IF(COUNTIFS(R_Schedule_Times,"&lt;"&amp;B2261),INDEX(R_Schedule_Amounts,MATCH(B2261,R_Schedule_Times,1)),Starting_Cash),IF(COUNTIFS(R_Schedule_Times,"&gt;"&amp;B2260,R_Schedule_Times,"&lt;"&amp;B2261),INDEX(R_Schedule_Amounts,MATCH(B2261,R_Schedule_Times,1)),K2260)),"")</f>
        <v>16780</v>
      </c>
      <c r="I2261" s="30">
        <f t="shared" si="175"/>
        <v>100</v>
      </c>
      <c r="J2261" s="31">
        <f t="shared" si="176"/>
        <v>3.5</v>
      </c>
      <c r="K2261" s="29">
        <f t="shared" si="177"/>
        <v>16680</v>
      </c>
      <c r="L2261" s="31" t="str">
        <f t="shared" si="178"/>
        <v/>
      </c>
      <c r="M2261" s="31" t="str">
        <f t="shared" si="179"/>
        <v/>
      </c>
    </row>
    <row r="2262" spans="1:13" x14ac:dyDescent="0.15">
      <c r="A2262" s="163" t="s">
        <v>210</v>
      </c>
      <c r="B2262" s="163">
        <v>42334.858587650466</v>
      </c>
      <c r="C2262" s="164" t="s">
        <v>2084</v>
      </c>
      <c r="D2262" s="164" t="s">
        <v>13</v>
      </c>
      <c r="E2262" s="165">
        <v>200</v>
      </c>
      <c r="F2262" s="166">
        <v>0</v>
      </c>
      <c r="G2262" s="227">
        <f>IF($B$2,IF(ROWS(B$6:$B2262) = 1,$B2262-Start_Date,$B2262-$B2261),"")</f>
        <v>3.6927615743479691E-2</v>
      </c>
      <c r="H2262" s="29">
        <f>IF($B$2,IF(ROWS(B$6:$B2262) = 1,IF(COUNTIFS(R_Schedule_Times,"&lt;"&amp;B2262),INDEX(R_Schedule_Amounts,MATCH(B2262,R_Schedule_Times,1)),Starting_Cash),IF(COUNTIFS(R_Schedule_Times,"&gt;"&amp;B2261,R_Schedule_Times,"&lt;"&amp;B2262),INDEX(R_Schedule_Amounts,MATCH(B2262,R_Schedule_Times,1)),K2261)),"")</f>
        <v>16680</v>
      </c>
      <c r="I2262" s="30">
        <f t="shared" si="175"/>
        <v>200</v>
      </c>
      <c r="J2262" s="31">
        <f t="shared" si="176"/>
        <v>0</v>
      </c>
      <c r="K2262" s="29">
        <f t="shared" si="177"/>
        <v>16480</v>
      </c>
      <c r="L2262" s="31" t="str">
        <f t="shared" si="178"/>
        <v/>
      </c>
      <c r="M2262" s="31" t="str">
        <f t="shared" si="179"/>
        <v/>
      </c>
    </row>
    <row r="2263" spans="1:13" x14ac:dyDescent="0.15">
      <c r="A2263" s="163" t="s">
        <v>210</v>
      </c>
      <c r="B2263" s="163">
        <v>42334.887886620367</v>
      </c>
      <c r="C2263" s="164" t="s">
        <v>473</v>
      </c>
      <c r="D2263" s="164" t="s">
        <v>13</v>
      </c>
      <c r="E2263" s="165">
        <v>20</v>
      </c>
      <c r="F2263" s="166">
        <v>0</v>
      </c>
      <c r="G2263" s="227">
        <f>IF($B$2,IF(ROWS(B$6:$B2263) = 1,$B2263-Start_Date,$B2263-$B2262),"")</f>
        <v>2.9298969900992233E-2</v>
      </c>
      <c r="H2263" s="29">
        <f>IF($B$2,IF(ROWS(B$6:$B2263) = 1,IF(COUNTIFS(R_Schedule_Times,"&lt;"&amp;B2263),INDEX(R_Schedule_Amounts,MATCH(B2263,R_Schedule_Times,1)),Starting_Cash),IF(COUNTIFS(R_Schedule_Times,"&gt;"&amp;B2262,R_Schedule_Times,"&lt;"&amp;B2263),INDEX(R_Schedule_Amounts,MATCH(B2263,R_Schedule_Times,1)),K2262)),"")</f>
        <v>16480</v>
      </c>
      <c r="I2263" s="30">
        <f t="shared" si="175"/>
        <v>20</v>
      </c>
      <c r="J2263" s="31">
        <f t="shared" si="176"/>
        <v>0</v>
      </c>
      <c r="K2263" s="29">
        <f t="shared" si="177"/>
        <v>16460</v>
      </c>
      <c r="L2263" s="31" t="str">
        <f t="shared" si="178"/>
        <v/>
      </c>
      <c r="M2263" s="31" t="str">
        <f t="shared" si="179"/>
        <v/>
      </c>
    </row>
    <row r="2264" spans="1:13" x14ac:dyDescent="0.15">
      <c r="A2264" s="163" t="s">
        <v>210</v>
      </c>
      <c r="B2264" s="163">
        <v>42335.254958194448</v>
      </c>
      <c r="C2264" s="164" t="s">
        <v>593</v>
      </c>
      <c r="D2264" s="164" t="s">
        <v>13</v>
      </c>
      <c r="E2264" s="165">
        <v>100</v>
      </c>
      <c r="F2264" s="166">
        <v>0</v>
      </c>
      <c r="G2264" s="227">
        <f>IF($B$2,IF(ROWS(B$6:$B2264) = 1,$B2264-Start_Date,$B2264-$B2263),"")</f>
        <v>0.36707157408091007</v>
      </c>
      <c r="H2264" s="29">
        <f>IF($B$2,IF(ROWS(B$6:$B2264) = 1,IF(COUNTIFS(R_Schedule_Times,"&lt;"&amp;B2264),INDEX(R_Schedule_Amounts,MATCH(B2264,R_Schedule_Times,1)),Starting_Cash),IF(COUNTIFS(R_Schedule_Times,"&gt;"&amp;B2263,R_Schedule_Times,"&lt;"&amp;B2264),INDEX(R_Schedule_Amounts,MATCH(B2264,R_Schedule_Times,1)),K2263)),"")</f>
        <v>16460</v>
      </c>
      <c r="I2264" s="30">
        <f t="shared" si="175"/>
        <v>100</v>
      </c>
      <c r="J2264" s="31">
        <f t="shared" si="176"/>
        <v>0</v>
      </c>
      <c r="K2264" s="29">
        <f t="shared" si="177"/>
        <v>16360</v>
      </c>
      <c r="L2264" s="31" t="str">
        <f t="shared" si="178"/>
        <v/>
      </c>
      <c r="M2264" s="31" t="str">
        <f t="shared" si="179"/>
        <v/>
      </c>
    </row>
    <row r="2265" spans="1:13" x14ac:dyDescent="0.15">
      <c r="A2265" s="163" t="s">
        <v>210</v>
      </c>
      <c r="B2265" s="163">
        <v>42335.290706527776</v>
      </c>
      <c r="C2265" s="164" t="s">
        <v>2085</v>
      </c>
      <c r="D2265" s="164" t="s">
        <v>13</v>
      </c>
      <c r="E2265" s="165">
        <v>60</v>
      </c>
      <c r="F2265" s="166">
        <v>0</v>
      </c>
      <c r="G2265" s="227">
        <f>IF($B$2,IF(ROWS(B$6:$B2265) = 1,$B2265-Start_Date,$B2265-$B2264),"")</f>
        <v>3.574833332822891E-2</v>
      </c>
      <c r="H2265" s="29">
        <f>IF($B$2,IF(ROWS(B$6:$B2265) = 1,IF(COUNTIFS(R_Schedule_Times,"&lt;"&amp;B2265),INDEX(R_Schedule_Amounts,MATCH(B2265,R_Schedule_Times,1)),Starting_Cash),IF(COUNTIFS(R_Schedule_Times,"&gt;"&amp;B2264,R_Schedule_Times,"&lt;"&amp;B2265),INDEX(R_Schedule_Amounts,MATCH(B2265,R_Schedule_Times,1)),K2264)),"")</f>
        <v>16360</v>
      </c>
      <c r="I2265" s="30">
        <f t="shared" si="175"/>
        <v>60</v>
      </c>
      <c r="J2265" s="31">
        <f t="shared" si="176"/>
        <v>0</v>
      </c>
      <c r="K2265" s="29">
        <f t="shared" si="177"/>
        <v>16300</v>
      </c>
      <c r="L2265" s="31" t="str">
        <f t="shared" si="178"/>
        <v/>
      </c>
      <c r="M2265" s="31" t="str">
        <f t="shared" si="179"/>
        <v/>
      </c>
    </row>
    <row r="2266" spans="1:13" x14ac:dyDescent="0.15">
      <c r="A2266" s="163" t="s">
        <v>210</v>
      </c>
      <c r="B2266" s="163">
        <v>42335.331344618055</v>
      </c>
      <c r="C2266" s="164" t="s">
        <v>2086</v>
      </c>
      <c r="D2266" s="164" t="s">
        <v>13</v>
      </c>
      <c r="E2266" s="165">
        <v>300</v>
      </c>
      <c r="F2266" s="166">
        <v>0</v>
      </c>
      <c r="G2266" s="227">
        <f>IF($B$2,IF(ROWS(B$6:$B2266) = 1,$B2266-Start_Date,$B2266-$B2265),"")</f>
        <v>4.0638090278662276E-2</v>
      </c>
      <c r="H2266" s="29">
        <f>IF($B$2,IF(ROWS(B$6:$B2266) = 1,IF(COUNTIFS(R_Schedule_Times,"&lt;"&amp;B2266),INDEX(R_Schedule_Amounts,MATCH(B2266,R_Schedule_Times,1)),Starting_Cash),IF(COUNTIFS(R_Schedule_Times,"&gt;"&amp;B2265,R_Schedule_Times,"&lt;"&amp;B2266),INDEX(R_Schedule_Amounts,MATCH(B2266,R_Schedule_Times,1)),K2265)),"")</f>
        <v>16300</v>
      </c>
      <c r="I2266" s="30">
        <f t="shared" si="175"/>
        <v>300</v>
      </c>
      <c r="J2266" s="31">
        <f t="shared" si="176"/>
        <v>0</v>
      </c>
      <c r="K2266" s="29">
        <f t="shared" si="177"/>
        <v>16000</v>
      </c>
      <c r="L2266" s="31" t="str">
        <f t="shared" si="178"/>
        <v/>
      </c>
      <c r="M2266" s="31" t="str">
        <f t="shared" si="179"/>
        <v/>
      </c>
    </row>
    <row r="2267" spans="1:13" x14ac:dyDescent="0.15">
      <c r="A2267" s="163" t="s">
        <v>210</v>
      </c>
      <c r="B2267" s="163">
        <v>42335.335086250001</v>
      </c>
      <c r="C2267" s="164" t="s">
        <v>14</v>
      </c>
      <c r="D2267" s="164" t="s">
        <v>15</v>
      </c>
      <c r="E2267" s="165">
        <v>100</v>
      </c>
      <c r="F2267" s="166">
        <v>5.5</v>
      </c>
      <c r="G2267" s="227">
        <f>IF($B$2,IF(ROWS(B$6:$B2267) = 1,$B2267-Start_Date,$B2267-$B2266),"")</f>
        <v>3.7416319464682601E-3</v>
      </c>
      <c r="H2267" s="29">
        <f>IF($B$2,IF(ROWS(B$6:$B2267) = 1,IF(COUNTIFS(R_Schedule_Times,"&lt;"&amp;B2267),INDEX(R_Schedule_Amounts,MATCH(B2267,R_Schedule_Times,1)),Starting_Cash),IF(COUNTIFS(R_Schedule_Times,"&gt;"&amp;B2266,R_Schedule_Times,"&lt;"&amp;B2267),INDEX(R_Schedule_Amounts,MATCH(B2267,R_Schedule_Times,1)),K2266)),"")</f>
        <v>16000</v>
      </c>
      <c r="I2267" s="30">
        <f t="shared" si="175"/>
        <v>100</v>
      </c>
      <c r="J2267" s="31">
        <f t="shared" si="176"/>
        <v>5.5</v>
      </c>
      <c r="K2267" s="29">
        <f t="shared" si="177"/>
        <v>15900</v>
      </c>
      <c r="L2267" s="31" t="str">
        <f t="shared" si="178"/>
        <v/>
      </c>
      <c r="M2267" s="31" t="str">
        <f t="shared" si="179"/>
        <v/>
      </c>
    </row>
    <row r="2268" spans="1:13" x14ac:dyDescent="0.15">
      <c r="A2268" s="163" t="s">
        <v>210</v>
      </c>
      <c r="B2268" s="163">
        <v>42335.340135439816</v>
      </c>
      <c r="C2268" s="164" t="s">
        <v>1285</v>
      </c>
      <c r="D2268" s="164" t="s">
        <v>13</v>
      </c>
      <c r="E2268" s="165">
        <v>60</v>
      </c>
      <c r="F2268" s="166">
        <v>0</v>
      </c>
      <c r="G2268" s="227">
        <f>IF($B$2,IF(ROWS(B$6:$B2268) = 1,$B2268-Start_Date,$B2268-$B2267),"")</f>
        <v>5.0491898145992309E-3</v>
      </c>
      <c r="H2268" s="29">
        <f>IF($B$2,IF(ROWS(B$6:$B2268) = 1,IF(COUNTIFS(R_Schedule_Times,"&lt;"&amp;B2268),INDEX(R_Schedule_Amounts,MATCH(B2268,R_Schedule_Times,1)),Starting_Cash),IF(COUNTIFS(R_Schedule_Times,"&gt;"&amp;B2267,R_Schedule_Times,"&lt;"&amp;B2268),INDEX(R_Schedule_Amounts,MATCH(B2268,R_Schedule_Times,1)),K2267)),"")</f>
        <v>15900</v>
      </c>
      <c r="I2268" s="30">
        <f t="shared" si="175"/>
        <v>60</v>
      </c>
      <c r="J2268" s="31">
        <f t="shared" si="176"/>
        <v>0</v>
      </c>
      <c r="K2268" s="29">
        <f t="shared" si="177"/>
        <v>15840</v>
      </c>
      <c r="L2268" s="31" t="str">
        <f t="shared" si="178"/>
        <v/>
      </c>
      <c r="M2268" s="31" t="str">
        <f t="shared" si="179"/>
        <v/>
      </c>
    </row>
    <row r="2269" spans="1:13" x14ac:dyDescent="0.15">
      <c r="A2269" s="163" t="s">
        <v>210</v>
      </c>
      <c r="B2269" s="163">
        <v>42335.353077083331</v>
      </c>
      <c r="C2269" s="164" t="s">
        <v>1256</v>
      </c>
      <c r="D2269" s="164" t="s">
        <v>13</v>
      </c>
      <c r="E2269" s="165">
        <v>100</v>
      </c>
      <c r="F2269" s="166">
        <v>0</v>
      </c>
      <c r="G2269" s="227">
        <f>IF($B$2,IF(ROWS(B$6:$B2269) = 1,$B2269-Start_Date,$B2269-$B2268),"")</f>
        <v>1.2941643515659962E-2</v>
      </c>
      <c r="H2269" s="29">
        <f>IF($B$2,IF(ROWS(B$6:$B2269) = 1,IF(COUNTIFS(R_Schedule_Times,"&lt;"&amp;B2269),INDEX(R_Schedule_Amounts,MATCH(B2269,R_Schedule_Times,1)),Starting_Cash),IF(COUNTIFS(R_Schedule_Times,"&gt;"&amp;B2268,R_Schedule_Times,"&lt;"&amp;B2269),INDEX(R_Schedule_Amounts,MATCH(B2269,R_Schedule_Times,1)),K2268)),"")</f>
        <v>15840</v>
      </c>
      <c r="I2269" s="30">
        <f t="shared" si="175"/>
        <v>100</v>
      </c>
      <c r="J2269" s="31">
        <f t="shared" si="176"/>
        <v>0</v>
      </c>
      <c r="K2269" s="29">
        <f t="shared" si="177"/>
        <v>15740</v>
      </c>
      <c r="L2269" s="31" t="str">
        <f t="shared" si="178"/>
        <v/>
      </c>
      <c r="M2269" s="31" t="str">
        <f t="shared" si="179"/>
        <v/>
      </c>
    </row>
    <row r="2270" spans="1:13" x14ac:dyDescent="0.15">
      <c r="A2270" s="163" t="s">
        <v>210</v>
      </c>
      <c r="B2270" s="163">
        <v>42335.354826053241</v>
      </c>
      <c r="C2270" s="164" t="s">
        <v>14</v>
      </c>
      <c r="D2270" s="164" t="s">
        <v>13</v>
      </c>
      <c r="E2270" s="165">
        <v>40</v>
      </c>
      <c r="F2270" s="166">
        <v>3.5</v>
      </c>
      <c r="G2270" s="227">
        <f>IF($B$2,IF(ROWS(B$6:$B2270) = 1,$B2270-Start_Date,$B2270-$B2269),"")</f>
        <v>1.748969909385778E-3</v>
      </c>
      <c r="H2270" s="29">
        <f>IF($B$2,IF(ROWS(B$6:$B2270) = 1,IF(COUNTIFS(R_Schedule_Times,"&lt;"&amp;B2270),INDEX(R_Schedule_Amounts,MATCH(B2270,R_Schedule_Times,1)),Starting_Cash),IF(COUNTIFS(R_Schedule_Times,"&gt;"&amp;B2269,R_Schedule_Times,"&lt;"&amp;B2270),INDEX(R_Schedule_Amounts,MATCH(B2270,R_Schedule_Times,1)),K2269)),"")</f>
        <v>15740</v>
      </c>
      <c r="I2270" s="30">
        <f t="shared" si="175"/>
        <v>40</v>
      </c>
      <c r="J2270" s="31">
        <f t="shared" si="176"/>
        <v>3.5</v>
      </c>
      <c r="K2270" s="29">
        <f t="shared" si="177"/>
        <v>15700</v>
      </c>
      <c r="L2270" s="31" t="str">
        <f t="shared" si="178"/>
        <v/>
      </c>
      <c r="M2270" s="31" t="str">
        <f t="shared" si="179"/>
        <v/>
      </c>
    </row>
    <row r="2271" spans="1:13" x14ac:dyDescent="0.15">
      <c r="A2271" s="163" t="s">
        <v>210</v>
      </c>
      <c r="B2271" s="163">
        <v>42335.364739398145</v>
      </c>
      <c r="C2271" s="164" t="s">
        <v>2087</v>
      </c>
      <c r="D2271" s="164" t="s">
        <v>13</v>
      </c>
      <c r="E2271" s="165">
        <v>60</v>
      </c>
      <c r="F2271" s="166">
        <v>0</v>
      </c>
      <c r="G2271" s="227">
        <f>IF($B$2,IF(ROWS(B$6:$B2271) = 1,$B2271-Start_Date,$B2271-$B2270),"")</f>
        <v>9.913344903907273E-3</v>
      </c>
      <c r="H2271" s="29">
        <f>IF($B$2,IF(ROWS(B$6:$B2271) = 1,IF(COUNTIFS(R_Schedule_Times,"&lt;"&amp;B2271),INDEX(R_Schedule_Amounts,MATCH(B2271,R_Schedule_Times,1)),Starting_Cash),IF(COUNTIFS(R_Schedule_Times,"&gt;"&amp;B2270,R_Schedule_Times,"&lt;"&amp;B2271),INDEX(R_Schedule_Amounts,MATCH(B2271,R_Schedule_Times,1)),K2270)),"")</f>
        <v>15700</v>
      </c>
      <c r="I2271" s="30">
        <f t="shared" si="175"/>
        <v>60</v>
      </c>
      <c r="J2271" s="31">
        <f t="shared" si="176"/>
        <v>0</v>
      </c>
      <c r="K2271" s="29">
        <f t="shared" si="177"/>
        <v>15640</v>
      </c>
      <c r="L2271" s="31" t="str">
        <f t="shared" si="178"/>
        <v/>
      </c>
      <c r="M2271" s="31" t="str">
        <f t="shared" si="179"/>
        <v/>
      </c>
    </row>
    <row r="2272" spans="1:13" x14ac:dyDescent="0.15">
      <c r="A2272" s="163" t="s">
        <v>210</v>
      </c>
      <c r="B2272" s="163">
        <v>42335.399604849539</v>
      </c>
      <c r="C2272" s="164" t="s">
        <v>14</v>
      </c>
      <c r="D2272" s="164" t="s">
        <v>13</v>
      </c>
      <c r="E2272" s="165">
        <v>100</v>
      </c>
      <c r="F2272" s="166">
        <v>3.5</v>
      </c>
      <c r="G2272" s="227">
        <f>IF($B$2,IF(ROWS(B$6:$B2272) = 1,$B2272-Start_Date,$B2272-$B2271),"")</f>
        <v>3.4865451394580305E-2</v>
      </c>
      <c r="H2272" s="29">
        <f>IF($B$2,IF(ROWS(B$6:$B2272) = 1,IF(COUNTIFS(R_Schedule_Times,"&lt;"&amp;B2272),INDEX(R_Schedule_Amounts,MATCH(B2272,R_Schedule_Times,1)),Starting_Cash),IF(COUNTIFS(R_Schedule_Times,"&gt;"&amp;B2271,R_Schedule_Times,"&lt;"&amp;B2272),INDEX(R_Schedule_Amounts,MATCH(B2272,R_Schedule_Times,1)),K2271)),"")</f>
        <v>15640</v>
      </c>
      <c r="I2272" s="30">
        <f t="shared" si="175"/>
        <v>100</v>
      </c>
      <c r="J2272" s="31">
        <f t="shared" si="176"/>
        <v>3.5</v>
      </c>
      <c r="K2272" s="29">
        <f t="shared" si="177"/>
        <v>15540</v>
      </c>
      <c r="L2272" s="31" t="str">
        <f t="shared" si="178"/>
        <v/>
      </c>
      <c r="M2272" s="31" t="str">
        <f t="shared" si="179"/>
        <v/>
      </c>
    </row>
    <row r="2273" spans="1:13" x14ac:dyDescent="0.15">
      <c r="A2273" s="163" t="s">
        <v>210</v>
      </c>
      <c r="B2273" s="163">
        <v>42335.419615509258</v>
      </c>
      <c r="C2273" s="164" t="s">
        <v>2015</v>
      </c>
      <c r="D2273" s="164" t="s">
        <v>13</v>
      </c>
      <c r="E2273" s="165">
        <v>20</v>
      </c>
      <c r="F2273" s="166">
        <v>0</v>
      </c>
      <c r="G2273" s="227">
        <f>IF($B$2,IF(ROWS(B$6:$B2273) = 1,$B2273-Start_Date,$B2273-$B2272),"")</f>
        <v>2.0010659718536772E-2</v>
      </c>
      <c r="H2273" s="29">
        <f>IF($B$2,IF(ROWS(B$6:$B2273) = 1,IF(COUNTIFS(R_Schedule_Times,"&lt;"&amp;B2273),INDEX(R_Schedule_Amounts,MATCH(B2273,R_Schedule_Times,1)),Starting_Cash),IF(COUNTIFS(R_Schedule_Times,"&gt;"&amp;B2272,R_Schedule_Times,"&lt;"&amp;B2273),INDEX(R_Schedule_Amounts,MATCH(B2273,R_Schedule_Times,1)),K2272)),"")</f>
        <v>15540</v>
      </c>
      <c r="I2273" s="30">
        <f t="shared" si="175"/>
        <v>20</v>
      </c>
      <c r="J2273" s="31">
        <f t="shared" si="176"/>
        <v>0</v>
      </c>
      <c r="K2273" s="29">
        <f t="shared" si="177"/>
        <v>15520</v>
      </c>
      <c r="L2273" s="31" t="str">
        <f t="shared" si="178"/>
        <v/>
      </c>
      <c r="M2273" s="31" t="str">
        <f t="shared" si="179"/>
        <v/>
      </c>
    </row>
    <row r="2274" spans="1:13" x14ac:dyDescent="0.15">
      <c r="A2274" s="163" t="s">
        <v>210</v>
      </c>
      <c r="B2274" s="163">
        <v>42335.455954965277</v>
      </c>
      <c r="C2274" s="164" t="s">
        <v>1728</v>
      </c>
      <c r="D2274" s="164" t="s">
        <v>13</v>
      </c>
      <c r="E2274" s="165">
        <v>100</v>
      </c>
      <c r="F2274" s="166">
        <v>0</v>
      </c>
      <c r="G2274" s="227">
        <f>IF($B$2,IF(ROWS(B$6:$B2274) = 1,$B2274-Start_Date,$B2274-$B2273),"")</f>
        <v>3.6339456019049976E-2</v>
      </c>
      <c r="H2274" s="29">
        <f>IF($B$2,IF(ROWS(B$6:$B2274) = 1,IF(COUNTIFS(R_Schedule_Times,"&lt;"&amp;B2274),INDEX(R_Schedule_Amounts,MATCH(B2274,R_Schedule_Times,1)),Starting_Cash),IF(COUNTIFS(R_Schedule_Times,"&gt;"&amp;B2273,R_Schedule_Times,"&lt;"&amp;B2274),INDEX(R_Schedule_Amounts,MATCH(B2274,R_Schedule_Times,1)),K2273)),"")</f>
        <v>15520</v>
      </c>
      <c r="I2274" s="30">
        <f t="shared" si="175"/>
        <v>100</v>
      </c>
      <c r="J2274" s="31">
        <f t="shared" si="176"/>
        <v>0</v>
      </c>
      <c r="K2274" s="29">
        <f t="shared" si="177"/>
        <v>15420</v>
      </c>
      <c r="L2274" s="31" t="str">
        <f t="shared" si="178"/>
        <v/>
      </c>
      <c r="M2274" s="31" t="str">
        <f t="shared" si="179"/>
        <v/>
      </c>
    </row>
    <row r="2275" spans="1:13" x14ac:dyDescent="0.15">
      <c r="A2275" s="163" t="s">
        <v>210</v>
      </c>
      <c r="B2275" s="163">
        <v>42335.458814537036</v>
      </c>
      <c r="C2275" s="164" t="s">
        <v>474</v>
      </c>
      <c r="D2275" s="164" t="s">
        <v>13</v>
      </c>
      <c r="E2275" s="165">
        <v>160</v>
      </c>
      <c r="F2275" s="166">
        <v>0</v>
      </c>
      <c r="G2275" s="227">
        <f>IF($B$2,IF(ROWS(B$6:$B2275) = 1,$B2275-Start_Date,$B2275-$B2274),"")</f>
        <v>2.8595717594726011E-3</v>
      </c>
      <c r="H2275" s="29">
        <f>IF($B$2,IF(ROWS(B$6:$B2275) = 1,IF(COUNTIFS(R_Schedule_Times,"&lt;"&amp;B2275),INDEX(R_Schedule_Amounts,MATCH(B2275,R_Schedule_Times,1)),Starting_Cash),IF(COUNTIFS(R_Schedule_Times,"&gt;"&amp;B2274,R_Schedule_Times,"&lt;"&amp;B2275),INDEX(R_Schedule_Amounts,MATCH(B2275,R_Schedule_Times,1)),K2274)),"")</f>
        <v>15420</v>
      </c>
      <c r="I2275" s="30">
        <f t="shared" si="175"/>
        <v>160</v>
      </c>
      <c r="J2275" s="31">
        <f t="shared" si="176"/>
        <v>0</v>
      </c>
      <c r="K2275" s="29">
        <f t="shared" si="177"/>
        <v>15260</v>
      </c>
      <c r="L2275" s="31" t="str">
        <f t="shared" si="178"/>
        <v/>
      </c>
      <c r="M2275" s="31" t="str">
        <f t="shared" si="179"/>
        <v/>
      </c>
    </row>
    <row r="2276" spans="1:13" x14ac:dyDescent="0.15">
      <c r="A2276" s="163" t="s">
        <v>210</v>
      </c>
      <c r="B2276" s="163">
        <v>42335.460271678239</v>
      </c>
      <c r="C2276" s="164" t="s">
        <v>2088</v>
      </c>
      <c r="D2276" s="164" t="s">
        <v>13</v>
      </c>
      <c r="E2276" s="165">
        <v>80</v>
      </c>
      <c r="F2276" s="166">
        <v>0</v>
      </c>
      <c r="G2276" s="227">
        <f>IF($B$2,IF(ROWS(B$6:$B2276) = 1,$B2276-Start_Date,$B2276-$B2275),"")</f>
        <v>1.457141202990897E-3</v>
      </c>
      <c r="H2276" s="29">
        <f>IF($B$2,IF(ROWS(B$6:$B2276) = 1,IF(COUNTIFS(R_Schedule_Times,"&lt;"&amp;B2276),INDEX(R_Schedule_Amounts,MATCH(B2276,R_Schedule_Times,1)),Starting_Cash),IF(COUNTIFS(R_Schedule_Times,"&gt;"&amp;B2275,R_Schedule_Times,"&lt;"&amp;B2276),INDEX(R_Schedule_Amounts,MATCH(B2276,R_Schedule_Times,1)),K2275)),"")</f>
        <v>15260</v>
      </c>
      <c r="I2276" s="30">
        <f t="shared" si="175"/>
        <v>80</v>
      </c>
      <c r="J2276" s="31">
        <f t="shared" si="176"/>
        <v>0</v>
      </c>
      <c r="K2276" s="29">
        <f t="shared" si="177"/>
        <v>15180</v>
      </c>
      <c r="L2276" s="31" t="str">
        <f t="shared" si="178"/>
        <v/>
      </c>
      <c r="M2276" s="31" t="str">
        <f t="shared" si="179"/>
        <v/>
      </c>
    </row>
    <row r="2277" spans="1:13" x14ac:dyDescent="0.15">
      <c r="A2277" s="163" t="s">
        <v>210</v>
      </c>
      <c r="B2277" s="163">
        <v>42335.476527951389</v>
      </c>
      <c r="C2277" s="164" t="s">
        <v>475</v>
      </c>
      <c r="D2277" s="164" t="s">
        <v>13</v>
      </c>
      <c r="E2277" s="165">
        <v>100</v>
      </c>
      <c r="F2277" s="166">
        <v>0</v>
      </c>
      <c r="G2277" s="227">
        <f>IF($B$2,IF(ROWS(B$6:$B2277) = 1,$B2277-Start_Date,$B2277-$B2276),"")</f>
        <v>1.6256273149338085E-2</v>
      </c>
      <c r="H2277" s="29">
        <f>IF($B$2,IF(ROWS(B$6:$B2277) = 1,IF(COUNTIFS(R_Schedule_Times,"&lt;"&amp;B2277),INDEX(R_Schedule_Amounts,MATCH(B2277,R_Schedule_Times,1)),Starting_Cash),IF(COUNTIFS(R_Schedule_Times,"&gt;"&amp;B2276,R_Schedule_Times,"&lt;"&amp;B2277),INDEX(R_Schedule_Amounts,MATCH(B2277,R_Schedule_Times,1)),K2276)),"")</f>
        <v>15180</v>
      </c>
      <c r="I2277" s="30">
        <f t="shared" si="175"/>
        <v>100</v>
      </c>
      <c r="J2277" s="31">
        <f t="shared" si="176"/>
        <v>0</v>
      </c>
      <c r="K2277" s="29">
        <f t="shared" si="177"/>
        <v>15080</v>
      </c>
      <c r="L2277" s="31" t="str">
        <f t="shared" si="178"/>
        <v/>
      </c>
      <c r="M2277" s="31" t="str">
        <f t="shared" si="179"/>
        <v/>
      </c>
    </row>
    <row r="2278" spans="1:13" x14ac:dyDescent="0.15">
      <c r="A2278" s="163" t="s">
        <v>210</v>
      </c>
      <c r="B2278" s="163">
        <v>42335.477049861111</v>
      </c>
      <c r="C2278" s="164" t="s">
        <v>2089</v>
      </c>
      <c r="D2278" s="164" t="s">
        <v>13</v>
      </c>
      <c r="E2278" s="165">
        <v>40</v>
      </c>
      <c r="F2278" s="166">
        <v>0</v>
      </c>
      <c r="G2278" s="227">
        <f>IF($B$2,IF(ROWS(B$6:$B2278) = 1,$B2278-Start_Date,$B2278-$B2277),"")</f>
        <v>5.2190972201060504E-4</v>
      </c>
      <c r="H2278" s="29">
        <f>IF($B$2,IF(ROWS(B$6:$B2278) = 1,IF(COUNTIFS(R_Schedule_Times,"&lt;"&amp;B2278),INDEX(R_Schedule_Amounts,MATCH(B2278,R_Schedule_Times,1)),Starting_Cash),IF(COUNTIFS(R_Schedule_Times,"&gt;"&amp;B2277,R_Schedule_Times,"&lt;"&amp;B2278),INDEX(R_Schedule_Amounts,MATCH(B2278,R_Schedule_Times,1)),K2277)),"")</f>
        <v>15080</v>
      </c>
      <c r="I2278" s="30">
        <f t="shared" si="175"/>
        <v>40</v>
      </c>
      <c r="J2278" s="31">
        <f t="shared" si="176"/>
        <v>0</v>
      </c>
      <c r="K2278" s="29">
        <f t="shared" si="177"/>
        <v>15040</v>
      </c>
      <c r="L2278" s="31" t="str">
        <f t="shared" si="178"/>
        <v/>
      </c>
      <c r="M2278" s="31" t="str">
        <f t="shared" si="179"/>
        <v/>
      </c>
    </row>
    <row r="2279" spans="1:13" x14ac:dyDescent="0.15">
      <c r="A2279" s="163" t="s">
        <v>210</v>
      </c>
      <c r="B2279" s="163">
        <v>42335.492269236114</v>
      </c>
      <c r="C2279" s="164" t="s">
        <v>241</v>
      </c>
      <c r="D2279" s="164" t="s">
        <v>13</v>
      </c>
      <c r="E2279" s="165">
        <v>400</v>
      </c>
      <c r="F2279" s="166">
        <v>0</v>
      </c>
      <c r="G2279" s="227">
        <f>IF($B$2,IF(ROWS(B$6:$B2279) = 1,$B2279-Start_Date,$B2279-$B2278),"")</f>
        <v>1.5219375003653113E-2</v>
      </c>
      <c r="H2279" s="29">
        <f>IF($B$2,IF(ROWS(B$6:$B2279) = 1,IF(COUNTIFS(R_Schedule_Times,"&lt;"&amp;B2279),INDEX(R_Schedule_Amounts,MATCH(B2279,R_Schedule_Times,1)),Starting_Cash),IF(COUNTIFS(R_Schedule_Times,"&gt;"&amp;B2278,R_Schedule_Times,"&lt;"&amp;B2279),INDEX(R_Schedule_Amounts,MATCH(B2279,R_Schedule_Times,1)),K2278)),"")</f>
        <v>15040</v>
      </c>
      <c r="I2279" s="30">
        <f t="shared" si="175"/>
        <v>400</v>
      </c>
      <c r="J2279" s="31">
        <f t="shared" si="176"/>
        <v>0</v>
      </c>
      <c r="K2279" s="29">
        <f t="shared" si="177"/>
        <v>14640</v>
      </c>
      <c r="L2279" s="31" t="str">
        <f t="shared" si="178"/>
        <v/>
      </c>
      <c r="M2279" s="31" t="str">
        <f t="shared" si="179"/>
        <v/>
      </c>
    </row>
    <row r="2280" spans="1:13" x14ac:dyDescent="0.15">
      <c r="A2280" s="163" t="s">
        <v>210</v>
      </c>
      <c r="B2280" s="163">
        <v>42335.497565740741</v>
      </c>
      <c r="C2280" s="164" t="s">
        <v>14</v>
      </c>
      <c r="D2280" s="164" t="s">
        <v>13</v>
      </c>
      <c r="E2280" s="165">
        <v>40</v>
      </c>
      <c r="F2280" s="166">
        <v>3.5</v>
      </c>
      <c r="G2280" s="227">
        <f>IF($B$2,IF(ROWS(B$6:$B2280) = 1,$B2280-Start_Date,$B2280-$B2279),"")</f>
        <v>5.2965046270401217E-3</v>
      </c>
      <c r="H2280" s="29">
        <f>IF($B$2,IF(ROWS(B$6:$B2280) = 1,IF(COUNTIFS(R_Schedule_Times,"&lt;"&amp;B2280),INDEX(R_Schedule_Amounts,MATCH(B2280,R_Schedule_Times,1)),Starting_Cash),IF(COUNTIFS(R_Schedule_Times,"&gt;"&amp;B2279,R_Schedule_Times,"&lt;"&amp;B2280),INDEX(R_Schedule_Amounts,MATCH(B2280,R_Schedule_Times,1)),K2279)),"")</f>
        <v>14640</v>
      </c>
      <c r="I2280" s="30">
        <f t="shared" si="175"/>
        <v>40</v>
      </c>
      <c r="J2280" s="31">
        <f t="shared" si="176"/>
        <v>3.5</v>
      </c>
      <c r="K2280" s="29">
        <f t="shared" si="177"/>
        <v>14600</v>
      </c>
      <c r="L2280" s="31" t="str">
        <f t="shared" si="178"/>
        <v/>
      </c>
      <c r="M2280" s="31" t="str">
        <f t="shared" si="179"/>
        <v/>
      </c>
    </row>
    <row r="2281" spans="1:13" x14ac:dyDescent="0.15">
      <c r="A2281" s="163" t="s">
        <v>210</v>
      </c>
      <c r="B2281" s="163">
        <v>42335.509608773151</v>
      </c>
      <c r="C2281" s="164" t="s">
        <v>2090</v>
      </c>
      <c r="D2281" s="164" t="s">
        <v>13</v>
      </c>
      <c r="E2281" s="165">
        <v>200</v>
      </c>
      <c r="F2281" s="166">
        <v>0</v>
      </c>
      <c r="G2281" s="227">
        <f>IF($B$2,IF(ROWS(B$6:$B2281) = 1,$B2281-Start_Date,$B2281-$B2280),"")</f>
        <v>1.2043032409565058E-2</v>
      </c>
      <c r="H2281" s="29">
        <f>IF($B$2,IF(ROWS(B$6:$B2281) = 1,IF(COUNTIFS(R_Schedule_Times,"&lt;"&amp;B2281),INDEX(R_Schedule_Amounts,MATCH(B2281,R_Schedule_Times,1)),Starting_Cash),IF(COUNTIFS(R_Schedule_Times,"&gt;"&amp;B2280,R_Schedule_Times,"&lt;"&amp;B2281),INDEX(R_Schedule_Amounts,MATCH(B2281,R_Schedule_Times,1)),K2280)),"")</f>
        <v>14600</v>
      </c>
      <c r="I2281" s="30">
        <f t="shared" si="175"/>
        <v>200</v>
      </c>
      <c r="J2281" s="31">
        <f t="shared" si="176"/>
        <v>0</v>
      </c>
      <c r="K2281" s="29">
        <f t="shared" si="177"/>
        <v>14400</v>
      </c>
      <c r="L2281" s="31" t="str">
        <f t="shared" si="178"/>
        <v/>
      </c>
      <c r="M2281" s="31" t="str">
        <f t="shared" si="179"/>
        <v/>
      </c>
    </row>
    <row r="2282" spans="1:13" x14ac:dyDescent="0.15">
      <c r="A2282" s="163" t="s">
        <v>210</v>
      </c>
      <c r="B2282" s="163">
        <v>42335.511022071762</v>
      </c>
      <c r="C2282" s="164" t="s">
        <v>1633</v>
      </c>
      <c r="D2282" s="164" t="s">
        <v>13</v>
      </c>
      <c r="E2282" s="165">
        <v>500</v>
      </c>
      <c r="F2282" s="166">
        <v>0</v>
      </c>
      <c r="G2282" s="227">
        <f>IF($B$2,IF(ROWS(B$6:$B2282) = 1,$B2282-Start_Date,$B2282-$B2281),"")</f>
        <v>1.4132986107142642E-3</v>
      </c>
      <c r="H2282" s="29">
        <f>IF($B$2,IF(ROWS(B$6:$B2282) = 1,IF(COUNTIFS(R_Schedule_Times,"&lt;"&amp;B2282),INDEX(R_Schedule_Amounts,MATCH(B2282,R_Schedule_Times,1)),Starting_Cash),IF(COUNTIFS(R_Schedule_Times,"&gt;"&amp;B2281,R_Schedule_Times,"&lt;"&amp;B2282),INDEX(R_Schedule_Amounts,MATCH(B2282,R_Schedule_Times,1)),K2281)),"")</f>
        <v>14400</v>
      </c>
      <c r="I2282" s="30">
        <f t="shared" si="175"/>
        <v>500</v>
      </c>
      <c r="J2282" s="31">
        <f t="shared" si="176"/>
        <v>0</v>
      </c>
      <c r="K2282" s="29">
        <f t="shared" si="177"/>
        <v>13900</v>
      </c>
      <c r="L2282" s="31" t="str">
        <f t="shared" si="178"/>
        <v/>
      </c>
      <c r="M2282" s="31" t="str">
        <f t="shared" si="179"/>
        <v/>
      </c>
    </row>
    <row r="2283" spans="1:13" x14ac:dyDescent="0.15">
      <c r="A2283" s="163" t="s">
        <v>210</v>
      </c>
      <c r="B2283" s="163">
        <v>42335.513478020832</v>
      </c>
      <c r="C2283" s="164" t="s">
        <v>2091</v>
      </c>
      <c r="D2283" s="164" t="s">
        <v>13</v>
      </c>
      <c r="E2283" s="165">
        <v>100</v>
      </c>
      <c r="F2283" s="166">
        <v>0</v>
      </c>
      <c r="G2283" s="227">
        <f>IF($B$2,IF(ROWS(B$6:$B2283) = 1,$B2283-Start_Date,$B2283-$B2282),"")</f>
        <v>2.4559490702813491E-3</v>
      </c>
      <c r="H2283" s="29">
        <f>IF($B$2,IF(ROWS(B$6:$B2283) = 1,IF(COUNTIFS(R_Schedule_Times,"&lt;"&amp;B2283),INDEX(R_Schedule_Amounts,MATCH(B2283,R_Schedule_Times,1)),Starting_Cash),IF(COUNTIFS(R_Schedule_Times,"&gt;"&amp;B2282,R_Schedule_Times,"&lt;"&amp;B2283),INDEX(R_Schedule_Amounts,MATCH(B2283,R_Schedule_Times,1)),K2282)),"")</f>
        <v>13900</v>
      </c>
      <c r="I2283" s="30">
        <f t="shared" si="175"/>
        <v>100</v>
      </c>
      <c r="J2283" s="31">
        <f t="shared" si="176"/>
        <v>0</v>
      </c>
      <c r="K2283" s="29">
        <f t="shared" si="177"/>
        <v>13800</v>
      </c>
      <c r="L2283" s="31" t="str">
        <f t="shared" si="178"/>
        <v/>
      </c>
      <c r="M2283" s="31" t="str">
        <f t="shared" si="179"/>
        <v/>
      </c>
    </row>
    <row r="2284" spans="1:13" x14ac:dyDescent="0.15">
      <c r="A2284" s="163" t="s">
        <v>210</v>
      </c>
      <c r="B2284" s="163">
        <v>42335.51653015046</v>
      </c>
      <c r="C2284" s="164" t="s">
        <v>2092</v>
      </c>
      <c r="D2284" s="164" t="s">
        <v>13</v>
      </c>
      <c r="E2284" s="165">
        <v>80</v>
      </c>
      <c r="F2284" s="166">
        <v>0</v>
      </c>
      <c r="G2284" s="227">
        <f>IF($B$2,IF(ROWS(B$6:$B2284) = 1,$B2284-Start_Date,$B2284-$B2283),"")</f>
        <v>3.052129628486E-3</v>
      </c>
      <c r="H2284" s="29">
        <f>IF($B$2,IF(ROWS(B$6:$B2284) = 1,IF(COUNTIFS(R_Schedule_Times,"&lt;"&amp;B2284),INDEX(R_Schedule_Amounts,MATCH(B2284,R_Schedule_Times,1)),Starting_Cash),IF(COUNTIFS(R_Schedule_Times,"&gt;"&amp;B2283,R_Schedule_Times,"&lt;"&amp;B2284),INDEX(R_Schedule_Amounts,MATCH(B2284,R_Schedule_Times,1)),K2283)),"")</f>
        <v>13800</v>
      </c>
      <c r="I2284" s="30">
        <f t="shared" si="175"/>
        <v>80</v>
      </c>
      <c r="J2284" s="31">
        <f t="shared" si="176"/>
        <v>0</v>
      </c>
      <c r="K2284" s="29">
        <f t="shared" si="177"/>
        <v>13720</v>
      </c>
      <c r="L2284" s="31" t="str">
        <f t="shared" si="178"/>
        <v/>
      </c>
      <c r="M2284" s="31" t="str">
        <f t="shared" si="179"/>
        <v/>
      </c>
    </row>
    <row r="2285" spans="1:13" x14ac:dyDescent="0.15">
      <c r="A2285" s="163" t="s">
        <v>210</v>
      </c>
      <c r="B2285" s="163">
        <v>42335.523673923613</v>
      </c>
      <c r="C2285" s="164" t="s">
        <v>173</v>
      </c>
      <c r="D2285" s="164" t="s">
        <v>13</v>
      </c>
      <c r="E2285" s="165">
        <v>40</v>
      </c>
      <c r="F2285" s="166">
        <v>0</v>
      </c>
      <c r="G2285" s="227">
        <f>IF($B$2,IF(ROWS(B$6:$B2285) = 1,$B2285-Start_Date,$B2285-$B2284),"")</f>
        <v>7.143773153075017E-3</v>
      </c>
      <c r="H2285" s="29">
        <f>IF($B$2,IF(ROWS(B$6:$B2285) = 1,IF(COUNTIFS(R_Schedule_Times,"&lt;"&amp;B2285),INDEX(R_Schedule_Amounts,MATCH(B2285,R_Schedule_Times,1)),Starting_Cash),IF(COUNTIFS(R_Schedule_Times,"&gt;"&amp;B2284,R_Schedule_Times,"&lt;"&amp;B2285),INDEX(R_Schedule_Amounts,MATCH(B2285,R_Schedule_Times,1)),K2284)),"")</f>
        <v>13720</v>
      </c>
      <c r="I2285" s="30">
        <f t="shared" si="175"/>
        <v>40</v>
      </c>
      <c r="J2285" s="31">
        <f t="shared" si="176"/>
        <v>0</v>
      </c>
      <c r="K2285" s="29">
        <f t="shared" si="177"/>
        <v>13680</v>
      </c>
      <c r="L2285" s="31" t="str">
        <f t="shared" si="178"/>
        <v/>
      </c>
      <c r="M2285" s="31" t="str">
        <f t="shared" si="179"/>
        <v/>
      </c>
    </row>
    <row r="2286" spans="1:13" x14ac:dyDescent="0.15">
      <c r="A2286" s="163" t="s">
        <v>210</v>
      </c>
      <c r="B2286" s="163">
        <v>42335.527451921298</v>
      </c>
      <c r="C2286" s="164" t="s">
        <v>2093</v>
      </c>
      <c r="D2286" s="164" t="s">
        <v>13</v>
      </c>
      <c r="E2286" s="165">
        <v>100</v>
      </c>
      <c r="F2286" s="166">
        <v>0</v>
      </c>
      <c r="G2286" s="227">
        <f>IF($B$2,IF(ROWS(B$6:$B2286) = 1,$B2286-Start_Date,$B2286-$B2285),"")</f>
        <v>3.7779976846650243E-3</v>
      </c>
      <c r="H2286" s="29">
        <f>IF($B$2,IF(ROWS(B$6:$B2286) = 1,IF(COUNTIFS(R_Schedule_Times,"&lt;"&amp;B2286),INDEX(R_Schedule_Amounts,MATCH(B2286,R_Schedule_Times,1)),Starting_Cash),IF(COUNTIFS(R_Schedule_Times,"&gt;"&amp;B2285,R_Schedule_Times,"&lt;"&amp;B2286),INDEX(R_Schedule_Amounts,MATCH(B2286,R_Schedule_Times,1)),K2285)),"")</f>
        <v>13680</v>
      </c>
      <c r="I2286" s="30">
        <f t="shared" si="175"/>
        <v>100</v>
      </c>
      <c r="J2286" s="31">
        <f t="shared" si="176"/>
        <v>0</v>
      </c>
      <c r="K2286" s="29">
        <f t="shared" si="177"/>
        <v>13580</v>
      </c>
      <c r="L2286" s="31" t="str">
        <f t="shared" si="178"/>
        <v/>
      </c>
      <c r="M2286" s="31" t="str">
        <f t="shared" si="179"/>
        <v/>
      </c>
    </row>
    <row r="2287" spans="1:13" x14ac:dyDescent="0.15">
      <c r="A2287" s="163" t="s">
        <v>210</v>
      </c>
      <c r="B2287" s="163">
        <v>42335.538955000004</v>
      </c>
      <c r="C2287" s="164" t="s">
        <v>2094</v>
      </c>
      <c r="D2287" s="164" t="s">
        <v>13</v>
      </c>
      <c r="E2287" s="165">
        <v>60</v>
      </c>
      <c r="F2287" s="166">
        <v>0</v>
      </c>
      <c r="G2287" s="227">
        <f>IF($B$2,IF(ROWS(B$6:$B2287) = 1,$B2287-Start_Date,$B2287-$B2286),"")</f>
        <v>1.1503078705572989E-2</v>
      </c>
      <c r="H2287" s="29">
        <f>IF($B$2,IF(ROWS(B$6:$B2287) = 1,IF(COUNTIFS(R_Schedule_Times,"&lt;"&amp;B2287),INDEX(R_Schedule_Amounts,MATCH(B2287,R_Schedule_Times,1)),Starting_Cash),IF(COUNTIFS(R_Schedule_Times,"&gt;"&amp;B2286,R_Schedule_Times,"&lt;"&amp;B2287),INDEX(R_Schedule_Amounts,MATCH(B2287,R_Schedule_Times,1)),K2286)),"")</f>
        <v>13580</v>
      </c>
      <c r="I2287" s="30">
        <f t="shared" si="175"/>
        <v>60</v>
      </c>
      <c r="J2287" s="31">
        <f t="shared" si="176"/>
        <v>0</v>
      </c>
      <c r="K2287" s="29">
        <f t="shared" si="177"/>
        <v>13520</v>
      </c>
      <c r="L2287" s="31" t="str">
        <f t="shared" si="178"/>
        <v/>
      </c>
      <c r="M2287" s="31" t="str">
        <f t="shared" si="179"/>
        <v/>
      </c>
    </row>
    <row r="2288" spans="1:13" x14ac:dyDescent="0.15">
      <c r="A2288" s="163" t="s">
        <v>210</v>
      </c>
      <c r="B2288" s="163">
        <v>42335.547429386577</v>
      </c>
      <c r="C2288" s="164" t="s">
        <v>2095</v>
      </c>
      <c r="D2288" s="164" t="s">
        <v>13</v>
      </c>
      <c r="E2288" s="165">
        <v>100</v>
      </c>
      <c r="F2288" s="166">
        <v>0</v>
      </c>
      <c r="G2288" s="227">
        <f>IF($B$2,IF(ROWS(B$6:$B2288) = 1,$B2288-Start_Date,$B2288-$B2287),"")</f>
        <v>8.4743865736527368E-3</v>
      </c>
      <c r="H2288" s="29">
        <f>IF($B$2,IF(ROWS(B$6:$B2288) = 1,IF(COUNTIFS(R_Schedule_Times,"&lt;"&amp;B2288),INDEX(R_Schedule_Amounts,MATCH(B2288,R_Schedule_Times,1)),Starting_Cash),IF(COUNTIFS(R_Schedule_Times,"&gt;"&amp;B2287,R_Schedule_Times,"&lt;"&amp;B2288),INDEX(R_Schedule_Amounts,MATCH(B2288,R_Schedule_Times,1)),K2287)),"")</f>
        <v>13520</v>
      </c>
      <c r="I2288" s="30">
        <f t="shared" si="175"/>
        <v>100</v>
      </c>
      <c r="J2288" s="31">
        <f t="shared" si="176"/>
        <v>0</v>
      </c>
      <c r="K2288" s="29">
        <f t="shared" si="177"/>
        <v>13420</v>
      </c>
      <c r="L2288" s="31" t="str">
        <f t="shared" si="178"/>
        <v/>
      </c>
      <c r="M2288" s="31" t="str">
        <f t="shared" si="179"/>
        <v/>
      </c>
    </row>
    <row r="2289" spans="1:13" x14ac:dyDescent="0.15">
      <c r="A2289" s="163" t="s">
        <v>210</v>
      </c>
      <c r="B2289" s="163">
        <v>42335.554830844907</v>
      </c>
      <c r="C2289" s="164" t="s">
        <v>2096</v>
      </c>
      <c r="D2289" s="164" t="s">
        <v>13</v>
      </c>
      <c r="E2289" s="165">
        <v>300</v>
      </c>
      <c r="F2289" s="166">
        <v>0</v>
      </c>
      <c r="G2289" s="227">
        <f>IF($B$2,IF(ROWS(B$6:$B2289) = 1,$B2289-Start_Date,$B2289-$B2288),"")</f>
        <v>7.4014583296957426E-3</v>
      </c>
      <c r="H2289" s="29">
        <f>IF($B$2,IF(ROWS(B$6:$B2289) = 1,IF(COUNTIFS(R_Schedule_Times,"&lt;"&amp;B2289),INDEX(R_Schedule_Amounts,MATCH(B2289,R_Schedule_Times,1)),Starting_Cash),IF(COUNTIFS(R_Schedule_Times,"&gt;"&amp;B2288,R_Schedule_Times,"&lt;"&amp;B2289),INDEX(R_Schedule_Amounts,MATCH(B2289,R_Schedule_Times,1)),K2288)),"")</f>
        <v>13420</v>
      </c>
      <c r="I2289" s="30">
        <f t="shared" si="175"/>
        <v>300</v>
      </c>
      <c r="J2289" s="31">
        <f t="shared" si="176"/>
        <v>0</v>
      </c>
      <c r="K2289" s="29">
        <f t="shared" si="177"/>
        <v>13120</v>
      </c>
      <c r="L2289" s="31" t="str">
        <f t="shared" si="178"/>
        <v/>
      </c>
      <c r="M2289" s="31" t="str">
        <f t="shared" si="179"/>
        <v/>
      </c>
    </row>
    <row r="2290" spans="1:13" x14ac:dyDescent="0.15">
      <c r="A2290" s="163" t="s">
        <v>210</v>
      </c>
      <c r="B2290" s="163">
        <v>42335.560392905092</v>
      </c>
      <c r="C2290" s="164" t="s">
        <v>1471</v>
      </c>
      <c r="D2290" s="164" t="s">
        <v>13</v>
      </c>
      <c r="E2290" s="165">
        <v>40</v>
      </c>
      <c r="F2290" s="166">
        <v>0</v>
      </c>
      <c r="G2290" s="227">
        <f>IF($B$2,IF(ROWS(B$6:$B2290) = 1,$B2290-Start_Date,$B2290-$B2289),"")</f>
        <v>5.5620601851842366E-3</v>
      </c>
      <c r="H2290" s="29">
        <f>IF($B$2,IF(ROWS(B$6:$B2290) = 1,IF(COUNTIFS(R_Schedule_Times,"&lt;"&amp;B2290),INDEX(R_Schedule_Amounts,MATCH(B2290,R_Schedule_Times,1)),Starting_Cash),IF(COUNTIFS(R_Schedule_Times,"&gt;"&amp;B2289,R_Schedule_Times,"&lt;"&amp;B2290),INDEX(R_Schedule_Amounts,MATCH(B2290,R_Schedule_Times,1)),K2289)),"")</f>
        <v>13120</v>
      </c>
      <c r="I2290" s="30">
        <f t="shared" si="175"/>
        <v>40</v>
      </c>
      <c r="J2290" s="31">
        <f t="shared" si="176"/>
        <v>0</v>
      </c>
      <c r="K2290" s="29">
        <f t="shared" si="177"/>
        <v>13080</v>
      </c>
      <c r="L2290" s="31" t="str">
        <f t="shared" si="178"/>
        <v/>
      </c>
      <c r="M2290" s="31" t="str">
        <f t="shared" si="179"/>
        <v/>
      </c>
    </row>
    <row r="2291" spans="1:13" x14ac:dyDescent="0.15">
      <c r="A2291" s="163" t="s">
        <v>210</v>
      </c>
      <c r="B2291" s="163">
        <v>42335.598972430555</v>
      </c>
      <c r="C2291" s="164" t="s">
        <v>2097</v>
      </c>
      <c r="D2291" s="164" t="s">
        <v>13</v>
      </c>
      <c r="E2291" s="165">
        <v>200</v>
      </c>
      <c r="F2291" s="166">
        <v>0</v>
      </c>
      <c r="G2291" s="227">
        <f>IF($B$2,IF(ROWS(B$6:$B2291) = 1,$B2291-Start_Date,$B2291-$B2290),"")</f>
        <v>3.8579525462409947E-2</v>
      </c>
      <c r="H2291" s="29">
        <f>IF($B$2,IF(ROWS(B$6:$B2291) = 1,IF(COUNTIFS(R_Schedule_Times,"&lt;"&amp;B2291),INDEX(R_Schedule_Amounts,MATCH(B2291,R_Schedule_Times,1)),Starting_Cash),IF(COUNTIFS(R_Schedule_Times,"&gt;"&amp;B2290,R_Schedule_Times,"&lt;"&amp;B2291),INDEX(R_Schedule_Amounts,MATCH(B2291,R_Schedule_Times,1)),K2290)),"")</f>
        <v>13080</v>
      </c>
      <c r="I2291" s="30">
        <f t="shared" si="175"/>
        <v>200</v>
      </c>
      <c r="J2291" s="31">
        <f t="shared" si="176"/>
        <v>0</v>
      </c>
      <c r="K2291" s="29">
        <f t="shared" si="177"/>
        <v>12880</v>
      </c>
      <c r="L2291" s="31" t="str">
        <f t="shared" si="178"/>
        <v/>
      </c>
      <c r="M2291" s="31" t="str">
        <f t="shared" si="179"/>
        <v/>
      </c>
    </row>
    <row r="2292" spans="1:13" x14ac:dyDescent="0.15">
      <c r="A2292" s="163" t="s">
        <v>210</v>
      </c>
      <c r="B2292" s="163">
        <v>42335.60804644676</v>
      </c>
      <c r="C2292" s="164" t="s">
        <v>2098</v>
      </c>
      <c r="D2292" s="164" t="s">
        <v>13</v>
      </c>
      <c r="E2292" s="165">
        <v>40</v>
      </c>
      <c r="F2292" s="166">
        <v>0</v>
      </c>
      <c r="G2292" s="227">
        <f>IF($B$2,IF(ROWS(B$6:$B2292) = 1,$B2292-Start_Date,$B2292-$B2291),"")</f>
        <v>9.0740162049769424E-3</v>
      </c>
      <c r="H2292" s="29">
        <f>IF($B$2,IF(ROWS(B$6:$B2292) = 1,IF(COUNTIFS(R_Schedule_Times,"&lt;"&amp;B2292),INDEX(R_Schedule_Amounts,MATCH(B2292,R_Schedule_Times,1)),Starting_Cash),IF(COUNTIFS(R_Schedule_Times,"&gt;"&amp;B2291,R_Schedule_Times,"&lt;"&amp;B2292),INDEX(R_Schedule_Amounts,MATCH(B2292,R_Schedule_Times,1)),K2291)),"")</f>
        <v>12880</v>
      </c>
      <c r="I2292" s="30">
        <f t="shared" si="175"/>
        <v>40</v>
      </c>
      <c r="J2292" s="31">
        <f t="shared" si="176"/>
        <v>0</v>
      </c>
      <c r="K2292" s="29">
        <f t="shared" si="177"/>
        <v>12840</v>
      </c>
      <c r="L2292" s="31" t="str">
        <f t="shared" si="178"/>
        <v/>
      </c>
      <c r="M2292" s="31" t="str">
        <f t="shared" si="179"/>
        <v/>
      </c>
    </row>
    <row r="2293" spans="1:13" x14ac:dyDescent="0.15">
      <c r="A2293" s="163" t="s">
        <v>210</v>
      </c>
      <c r="B2293" s="163">
        <v>42335.609806493056</v>
      </c>
      <c r="C2293" s="164" t="s">
        <v>2099</v>
      </c>
      <c r="D2293" s="164" t="s">
        <v>13</v>
      </c>
      <c r="E2293" s="165">
        <v>40</v>
      </c>
      <c r="F2293" s="166">
        <v>0</v>
      </c>
      <c r="G2293" s="227">
        <f>IF($B$2,IF(ROWS(B$6:$B2293) = 1,$B2293-Start_Date,$B2293-$B2292),"")</f>
        <v>1.760046296112705E-3</v>
      </c>
      <c r="H2293" s="29">
        <f>IF($B$2,IF(ROWS(B$6:$B2293) = 1,IF(COUNTIFS(R_Schedule_Times,"&lt;"&amp;B2293),INDEX(R_Schedule_Amounts,MATCH(B2293,R_Schedule_Times,1)),Starting_Cash),IF(COUNTIFS(R_Schedule_Times,"&gt;"&amp;B2292,R_Schedule_Times,"&lt;"&amp;B2293),INDEX(R_Schedule_Amounts,MATCH(B2293,R_Schedule_Times,1)),K2292)),"")</f>
        <v>12840</v>
      </c>
      <c r="I2293" s="30">
        <f t="shared" si="175"/>
        <v>40</v>
      </c>
      <c r="J2293" s="31">
        <f t="shared" si="176"/>
        <v>0</v>
      </c>
      <c r="K2293" s="29">
        <f t="shared" si="177"/>
        <v>12800</v>
      </c>
      <c r="L2293" s="31" t="str">
        <f t="shared" si="178"/>
        <v/>
      </c>
      <c r="M2293" s="31" t="str">
        <f t="shared" si="179"/>
        <v/>
      </c>
    </row>
    <row r="2294" spans="1:13" x14ac:dyDescent="0.15">
      <c r="A2294" s="163" t="s">
        <v>210</v>
      </c>
      <c r="B2294" s="163">
        <v>42335.619398807874</v>
      </c>
      <c r="C2294" s="164" t="s">
        <v>1944</v>
      </c>
      <c r="D2294" s="164" t="s">
        <v>13</v>
      </c>
      <c r="E2294" s="165">
        <v>60</v>
      </c>
      <c r="F2294" s="166">
        <v>0</v>
      </c>
      <c r="G2294" s="227">
        <f>IF($B$2,IF(ROWS(B$6:$B2294) = 1,$B2294-Start_Date,$B2294-$B2293),"")</f>
        <v>9.5923148182919249E-3</v>
      </c>
      <c r="H2294" s="29">
        <f>IF($B$2,IF(ROWS(B$6:$B2294) = 1,IF(COUNTIFS(R_Schedule_Times,"&lt;"&amp;B2294),INDEX(R_Schedule_Amounts,MATCH(B2294,R_Schedule_Times,1)),Starting_Cash),IF(COUNTIFS(R_Schedule_Times,"&gt;"&amp;B2293,R_Schedule_Times,"&lt;"&amp;B2294),INDEX(R_Schedule_Amounts,MATCH(B2294,R_Schedule_Times,1)),K2293)),"")</f>
        <v>12800</v>
      </c>
      <c r="I2294" s="30">
        <f t="shared" si="175"/>
        <v>60</v>
      </c>
      <c r="J2294" s="31">
        <f t="shared" si="176"/>
        <v>0</v>
      </c>
      <c r="K2294" s="29">
        <f t="shared" si="177"/>
        <v>12740</v>
      </c>
      <c r="L2294" s="31" t="str">
        <f t="shared" si="178"/>
        <v/>
      </c>
      <c r="M2294" s="31" t="str">
        <f t="shared" si="179"/>
        <v/>
      </c>
    </row>
    <row r="2295" spans="1:13" x14ac:dyDescent="0.15">
      <c r="A2295" s="163" t="s">
        <v>210</v>
      </c>
      <c r="B2295" s="163">
        <v>42335.63768039352</v>
      </c>
      <c r="C2295" s="164" t="s">
        <v>2100</v>
      </c>
      <c r="D2295" s="164" t="s">
        <v>13</v>
      </c>
      <c r="E2295" s="165">
        <v>100</v>
      </c>
      <c r="F2295" s="166">
        <v>0</v>
      </c>
      <c r="G2295" s="227">
        <f>IF($B$2,IF(ROWS(B$6:$B2295) = 1,$B2295-Start_Date,$B2295-$B2294),"")</f>
        <v>1.8281585646036547E-2</v>
      </c>
      <c r="H2295" s="29">
        <f>IF($B$2,IF(ROWS(B$6:$B2295) = 1,IF(COUNTIFS(R_Schedule_Times,"&lt;"&amp;B2295),INDEX(R_Schedule_Amounts,MATCH(B2295,R_Schedule_Times,1)),Starting_Cash),IF(COUNTIFS(R_Schedule_Times,"&gt;"&amp;B2294,R_Schedule_Times,"&lt;"&amp;B2295),INDEX(R_Schedule_Amounts,MATCH(B2295,R_Schedule_Times,1)),K2294)),"")</f>
        <v>12740</v>
      </c>
      <c r="I2295" s="30">
        <f t="shared" si="175"/>
        <v>100</v>
      </c>
      <c r="J2295" s="31">
        <f t="shared" si="176"/>
        <v>0</v>
      </c>
      <c r="K2295" s="29">
        <f t="shared" si="177"/>
        <v>12640</v>
      </c>
      <c r="L2295" s="31" t="str">
        <f t="shared" si="178"/>
        <v/>
      </c>
      <c r="M2295" s="31" t="str">
        <f t="shared" si="179"/>
        <v/>
      </c>
    </row>
    <row r="2296" spans="1:13" x14ac:dyDescent="0.15">
      <c r="A2296" s="163" t="s">
        <v>210</v>
      </c>
      <c r="B2296" s="163">
        <v>42335.639670775461</v>
      </c>
      <c r="C2296" s="164" t="s">
        <v>14</v>
      </c>
      <c r="D2296" s="164" t="s">
        <v>13</v>
      </c>
      <c r="E2296" s="165">
        <v>140</v>
      </c>
      <c r="F2296" s="166">
        <v>3.5</v>
      </c>
      <c r="G2296" s="227">
        <f>IF($B$2,IF(ROWS(B$6:$B2296) = 1,$B2296-Start_Date,$B2296-$B2295),"")</f>
        <v>1.990381941141095E-3</v>
      </c>
      <c r="H2296" s="29">
        <f>IF($B$2,IF(ROWS(B$6:$B2296) = 1,IF(COUNTIFS(R_Schedule_Times,"&lt;"&amp;B2296),INDEX(R_Schedule_Amounts,MATCH(B2296,R_Schedule_Times,1)),Starting_Cash),IF(COUNTIFS(R_Schedule_Times,"&gt;"&amp;B2295,R_Schedule_Times,"&lt;"&amp;B2296),INDEX(R_Schedule_Amounts,MATCH(B2296,R_Schedule_Times,1)),K2295)),"")</f>
        <v>12640</v>
      </c>
      <c r="I2296" s="30">
        <f t="shared" si="175"/>
        <v>140</v>
      </c>
      <c r="J2296" s="31">
        <f t="shared" si="176"/>
        <v>3.5</v>
      </c>
      <c r="K2296" s="29">
        <f t="shared" si="177"/>
        <v>12500</v>
      </c>
      <c r="L2296" s="31" t="str">
        <f t="shared" si="178"/>
        <v/>
      </c>
      <c r="M2296" s="31" t="str">
        <f t="shared" si="179"/>
        <v/>
      </c>
    </row>
    <row r="2297" spans="1:13" x14ac:dyDescent="0.15">
      <c r="A2297" s="163" t="s">
        <v>210</v>
      </c>
      <c r="B2297" s="163">
        <v>42335.64018185185</v>
      </c>
      <c r="C2297" s="164" t="s">
        <v>967</v>
      </c>
      <c r="D2297" s="164" t="s">
        <v>13</v>
      </c>
      <c r="E2297" s="165">
        <v>80</v>
      </c>
      <c r="F2297" s="166">
        <v>0</v>
      </c>
      <c r="G2297" s="227">
        <f>IF($B$2,IF(ROWS(B$6:$B2297) = 1,$B2297-Start_Date,$B2297-$B2296),"")</f>
        <v>5.1107638864777982E-4</v>
      </c>
      <c r="H2297" s="29">
        <f>IF($B$2,IF(ROWS(B$6:$B2297) = 1,IF(COUNTIFS(R_Schedule_Times,"&lt;"&amp;B2297),INDEX(R_Schedule_Amounts,MATCH(B2297,R_Schedule_Times,1)),Starting_Cash),IF(COUNTIFS(R_Schedule_Times,"&gt;"&amp;B2296,R_Schedule_Times,"&lt;"&amp;B2297),INDEX(R_Schedule_Amounts,MATCH(B2297,R_Schedule_Times,1)),K2296)),"")</f>
        <v>12500</v>
      </c>
      <c r="I2297" s="30">
        <f t="shared" si="175"/>
        <v>80</v>
      </c>
      <c r="J2297" s="31">
        <f t="shared" si="176"/>
        <v>0</v>
      </c>
      <c r="K2297" s="29">
        <f t="shared" si="177"/>
        <v>12420</v>
      </c>
      <c r="L2297" s="31" t="str">
        <f t="shared" si="178"/>
        <v/>
      </c>
      <c r="M2297" s="31" t="str">
        <f t="shared" si="179"/>
        <v/>
      </c>
    </row>
    <row r="2298" spans="1:13" x14ac:dyDescent="0.15">
      <c r="A2298" s="163" t="s">
        <v>210</v>
      </c>
      <c r="B2298" s="163">
        <v>42335.688316608794</v>
      </c>
      <c r="C2298" s="164" t="s">
        <v>14</v>
      </c>
      <c r="D2298" s="164" t="s">
        <v>13</v>
      </c>
      <c r="E2298" s="165">
        <v>40</v>
      </c>
      <c r="F2298" s="166">
        <v>3.5</v>
      </c>
      <c r="G2298" s="227">
        <f>IF($B$2,IF(ROWS(B$6:$B2298) = 1,$B2298-Start_Date,$B2298-$B2297),"")</f>
        <v>4.8134756943909451E-2</v>
      </c>
      <c r="H2298" s="29">
        <f>IF($B$2,IF(ROWS(B$6:$B2298) = 1,IF(COUNTIFS(R_Schedule_Times,"&lt;"&amp;B2298),INDEX(R_Schedule_Amounts,MATCH(B2298,R_Schedule_Times,1)),Starting_Cash),IF(COUNTIFS(R_Schedule_Times,"&gt;"&amp;B2297,R_Schedule_Times,"&lt;"&amp;B2298),INDEX(R_Schedule_Amounts,MATCH(B2298,R_Schedule_Times,1)),K2297)),"")</f>
        <v>12420</v>
      </c>
      <c r="I2298" s="30">
        <f t="shared" si="175"/>
        <v>40</v>
      </c>
      <c r="J2298" s="31">
        <f t="shared" si="176"/>
        <v>3.5</v>
      </c>
      <c r="K2298" s="29">
        <f t="shared" si="177"/>
        <v>12380</v>
      </c>
      <c r="L2298" s="31" t="str">
        <f t="shared" si="178"/>
        <v/>
      </c>
      <c r="M2298" s="31" t="str">
        <f t="shared" si="179"/>
        <v/>
      </c>
    </row>
    <row r="2299" spans="1:13" x14ac:dyDescent="0.15">
      <c r="A2299" s="163" t="s">
        <v>210</v>
      </c>
      <c r="B2299" s="163">
        <v>42335.704041516205</v>
      </c>
      <c r="C2299" s="164" t="s">
        <v>2101</v>
      </c>
      <c r="D2299" s="164" t="s">
        <v>13</v>
      </c>
      <c r="E2299" s="165">
        <v>200</v>
      </c>
      <c r="F2299" s="166">
        <v>0</v>
      </c>
      <c r="G2299" s="227">
        <f>IF($B$2,IF(ROWS(B$6:$B2299) = 1,$B2299-Start_Date,$B2299-$B2298),"")</f>
        <v>1.5724907410913147E-2</v>
      </c>
      <c r="H2299" s="29">
        <f>IF($B$2,IF(ROWS(B$6:$B2299) = 1,IF(COUNTIFS(R_Schedule_Times,"&lt;"&amp;B2299),INDEX(R_Schedule_Amounts,MATCH(B2299,R_Schedule_Times,1)),Starting_Cash),IF(COUNTIFS(R_Schedule_Times,"&gt;"&amp;B2298,R_Schedule_Times,"&lt;"&amp;B2299),INDEX(R_Schedule_Amounts,MATCH(B2299,R_Schedule_Times,1)),K2298)),"")</f>
        <v>12380</v>
      </c>
      <c r="I2299" s="30">
        <f t="shared" si="175"/>
        <v>200</v>
      </c>
      <c r="J2299" s="31">
        <f t="shared" si="176"/>
        <v>0</v>
      </c>
      <c r="K2299" s="29">
        <f t="shared" si="177"/>
        <v>12180</v>
      </c>
      <c r="L2299" s="31" t="str">
        <f t="shared" si="178"/>
        <v/>
      </c>
      <c r="M2299" s="31" t="str">
        <f t="shared" si="179"/>
        <v/>
      </c>
    </row>
    <row r="2300" spans="1:13" x14ac:dyDescent="0.15">
      <c r="A2300" s="163" t="s">
        <v>210</v>
      </c>
      <c r="B2300" s="163">
        <v>42335.704692604166</v>
      </c>
      <c r="C2300" s="164" t="s">
        <v>476</v>
      </c>
      <c r="D2300" s="164" t="s">
        <v>13</v>
      </c>
      <c r="E2300" s="165">
        <v>60</v>
      </c>
      <c r="F2300" s="166">
        <v>0</v>
      </c>
      <c r="G2300" s="227">
        <f>IF($B$2,IF(ROWS(B$6:$B2300) = 1,$B2300-Start_Date,$B2300-$B2299),"")</f>
        <v>6.5108796115964651E-4</v>
      </c>
      <c r="H2300" s="29">
        <f>IF($B$2,IF(ROWS(B$6:$B2300) = 1,IF(COUNTIFS(R_Schedule_Times,"&lt;"&amp;B2300),INDEX(R_Schedule_Amounts,MATCH(B2300,R_Schedule_Times,1)),Starting_Cash),IF(COUNTIFS(R_Schedule_Times,"&gt;"&amp;B2299,R_Schedule_Times,"&lt;"&amp;B2300),INDEX(R_Schedule_Amounts,MATCH(B2300,R_Schedule_Times,1)),K2299)),"")</f>
        <v>12180</v>
      </c>
      <c r="I2300" s="30">
        <f t="shared" si="175"/>
        <v>60</v>
      </c>
      <c r="J2300" s="31">
        <f t="shared" si="176"/>
        <v>0</v>
      </c>
      <c r="K2300" s="29">
        <f t="shared" si="177"/>
        <v>12120</v>
      </c>
      <c r="L2300" s="31" t="str">
        <f t="shared" si="178"/>
        <v/>
      </c>
      <c r="M2300" s="31" t="str">
        <f t="shared" si="179"/>
        <v/>
      </c>
    </row>
    <row r="2301" spans="1:13" x14ac:dyDescent="0.15">
      <c r="A2301" s="163" t="s">
        <v>210</v>
      </c>
      <c r="B2301" s="163">
        <v>42335.724088379633</v>
      </c>
      <c r="C2301" s="164" t="s">
        <v>2102</v>
      </c>
      <c r="D2301" s="164" t="s">
        <v>13</v>
      </c>
      <c r="E2301" s="165">
        <v>80</v>
      </c>
      <c r="F2301" s="166">
        <v>0</v>
      </c>
      <c r="G2301" s="227">
        <f>IF($B$2,IF(ROWS(B$6:$B2301) = 1,$B2301-Start_Date,$B2301-$B2300),"")</f>
        <v>1.9395775467273779E-2</v>
      </c>
      <c r="H2301" s="29">
        <f>IF($B$2,IF(ROWS(B$6:$B2301) = 1,IF(COUNTIFS(R_Schedule_Times,"&lt;"&amp;B2301),INDEX(R_Schedule_Amounts,MATCH(B2301,R_Schedule_Times,1)),Starting_Cash),IF(COUNTIFS(R_Schedule_Times,"&gt;"&amp;B2300,R_Schedule_Times,"&lt;"&amp;B2301),INDEX(R_Schedule_Amounts,MATCH(B2301,R_Schedule_Times,1)),K2300)),"")</f>
        <v>12120</v>
      </c>
      <c r="I2301" s="30">
        <f t="shared" si="175"/>
        <v>80</v>
      </c>
      <c r="J2301" s="31">
        <f t="shared" si="176"/>
        <v>0</v>
      </c>
      <c r="K2301" s="29">
        <f t="shared" si="177"/>
        <v>12040</v>
      </c>
      <c r="L2301" s="31" t="str">
        <f t="shared" si="178"/>
        <v/>
      </c>
      <c r="M2301" s="31" t="str">
        <f t="shared" si="179"/>
        <v/>
      </c>
    </row>
    <row r="2302" spans="1:13" x14ac:dyDescent="0.15">
      <c r="A2302" s="163" t="s">
        <v>210</v>
      </c>
      <c r="B2302" s="163">
        <v>42335.726273819448</v>
      </c>
      <c r="C2302" s="164" t="s">
        <v>2103</v>
      </c>
      <c r="D2302" s="164" t="s">
        <v>13</v>
      </c>
      <c r="E2302" s="165">
        <v>300</v>
      </c>
      <c r="F2302" s="166">
        <v>0</v>
      </c>
      <c r="G2302" s="227">
        <f>IF($B$2,IF(ROWS(B$6:$B2302) = 1,$B2302-Start_Date,$B2302-$B2301),"")</f>
        <v>2.1854398146388121E-3</v>
      </c>
      <c r="H2302" s="29">
        <f>IF($B$2,IF(ROWS(B$6:$B2302) = 1,IF(COUNTIFS(R_Schedule_Times,"&lt;"&amp;B2302),INDEX(R_Schedule_Amounts,MATCH(B2302,R_Schedule_Times,1)),Starting_Cash),IF(COUNTIFS(R_Schedule_Times,"&gt;"&amp;B2301,R_Schedule_Times,"&lt;"&amp;B2302),INDEX(R_Schedule_Amounts,MATCH(B2302,R_Schedule_Times,1)),K2301)),"")</f>
        <v>12040</v>
      </c>
      <c r="I2302" s="30">
        <f t="shared" si="175"/>
        <v>300</v>
      </c>
      <c r="J2302" s="31">
        <f t="shared" si="176"/>
        <v>0</v>
      </c>
      <c r="K2302" s="29">
        <f t="shared" si="177"/>
        <v>11740</v>
      </c>
      <c r="L2302" s="31" t="str">
        <f t="shared" si="178"/>
        <v/>
      </c>
      <c r="M2302" s="31" t="str">
        <f t="shared" si="179"/>
        <v/>
      </c>
    </row>
    <row r="2303" spans="1:13" x14ac:dyDescent="0.15">
      <c r="A2303" s="163" t="s">
        <v>210</v>
      </c>
      <c r="B2303" s="163">
        <v>42335.727598703706</v>
      </c>
      <c r="C2303" s="164" t="s">
        <v>2104</v>
      </c>
      <c r="D2303" s="164" t="s">
        <v>13</v>
      </c>
      <c r="E2303" s="165">
        <v>500</v>
      </c>
      <c r="F2303" s="166">
        <v>0</v>
      </c>
      <c r="G2303" s="227">
        <f>IF($B$2,IF(ROWS(B$6:$B2303) = 1,$B2303-Start_Date,$B2303-$B2302),"")</f>
        <v>1.3248842587927356E-3</v>
      </c>
      <c r="H2303" s="29">
        <f>IF($B$2,IF(ROWS(B$6:$B2303) = 1,IF(COUNTIFS(R_Schedule_Times,"&lt;"&amp;B2303),INDEX(R_Schedule_Amounts,MATCH(B2303,R_Schedule_Times,1)),Starting_Cash),IF(COUNTIFS(R_Schedule_Times,"&gt;"&amp;B2302,R_Schedule_Times,"&lt;"&amp;B2303),INDEX(R_Schedule_Amounts,MATCH(B2303,R_Schedule_Times,1)),K2302)),"")</f>
        <v>11740</v>
      </c>
      <c r="I2303" s="30">
        <f t="shared" si="175"/>
        <v>500</v>
      </c>
      <c r="J2303" s="31">
        <f t="shared" si="176"/>
        <v>0</v>
      </c>
      <c r="K2303" s="29">
        <f t="shared" si="177"/>
        <v>11240</v>
      </c>
      <c r="L2303" s="31" t="str">
        <f t="shared" si="178"/>
        <v/>
      </c>
      <c r="M2303" s="31" t="str">
        <f t="shared" si="179"/>
        <v/>
      </c>
    </row>
    <row r="2304" spans="1:13" x14ac:dyDescent="0.15">
      <c r="A2304" s="163" t="s">
        <v>210</v>
      </c>
      <c r="B2304" s="163">
        <v>42335.738948310187</v>
      </c>
      <c r="C2304" s="164" t="s">
        <v>2105</v>
      </c>
      <c r="D2304" s="164" t="s">
        <v>13</v>
      </c>
      <c r="E2304" s="165">
        <v>40</v>
      </c>
      <c r="F2304" s="166">
        <v>0</v>
      </c>
      <c r="G2304" s="227">
        <f>IF($B$2,IF(ROWS(B$6:$B2304) = 1,$B2304-Start_Date,$B2304-$B2303),"")</f>
        <v>1.1349606480507646E-2</v>
      </c>
      <c r="H2304" s="29">
        <f>IF($B$2,IF(ROWS(B$6:$B2304) = 1,IF(COUNTIFS(R_Schedule_Times,"&lt;"&amp;B2304),INDEX(R_Schedule_Amounts,MATCH(B2304,R_Schedule_Times,1)),Starting_Cash),IF(COUNTIFS(R_Schedule_Times,"&gt;"&amp;B2303,R_Schedule_Times,"&lt;"&amp;B2304),INDEX(R_Schedule_Amounts,MATCH(B2304,R_Schedule_Times,1)),K2303)),"")</f>
        <v>11240</v>
      </c>
      <c r="I2304" s="30">
        <f t="shared" si="175"/>
        <v>40</v>
      </c>
      <c r="J2304" s="31">
        <f t="shared" si="176"/>
        <v>0</v>
      </c>
      <c r="K2304" s="29">
        <f t="shared" si="177"/>
        <v>11200</v>
      </c>
      <c r="L2304" s="31" t="str">
        <f t="shared" si="178"/>
        <v/>
      </c>
      <c r="M2304" s="31" t="str">
        <f t="shared" si="179"/>
        <v/>
      </c>
    </row>
    <row r="2305" spans="1:13" x14ac:dyDescent="0.15">
      <c r="A2305" s="163" t="s">
        <v>210</v>
      </c>
      <c r="B2305" s="163">
        <v>42335.754089594906</v>
      </c>
      <c r="C2305" s="164" t="s">
        <v>477</v>
      </c>
      <c r="D2305" s="164" t="s">
        <v>13</v>
      </c>
      <c r="E2305" s="165">
        <v>100</v>
      </c>
      <c r="F2305" s="166">
        <v>0</v>
      </c>
      <c r="G2305" s="227">
        <f>IF($B$2,IF(ROWS(B$6:$B2305) = 1,$B2305-Start_Date,$B2305-$B2304),"")</f>
        <v>1.514128471899312E-2</v>
      </c>
      <c r="H2305" s="29">
        <f>IF($B$2,IF(ROWS(B$6:$B2305) = 1,IF(COUNTIFS(R_Schedule_Times,"&lt;"&amp;B2305),INDEX(R_Schedule_Amounts,MATCH(B2305,R_Schedule_Times,1)),Starting_Cash),IF(COUNTIFS(R_Schedule_Times,"&gt;"&amp;B2304,R_Schedule_Times,"&lt;"&amp;B2305),INDEX(R_Schedule_Amounts,MATCH(B2305,R_Schedule_Times,1)),K2304)),"")</f>
        <v>11200</v>
      </c>
      <c r="I2305" s="30">
        <f t="shared" si="175"/>
        <v>100</v>
      </c>
      <c r="J2305" s="31">
        <f t="shared" si="176"/>
        <v>0</v>
      </c>
      <c r="K2305" s="29">
        <f t="shared" si="177"/>
        <v>11100</v>
      </c>
      <c r="L2305" s="31" t="str">
        <f t="shared" si="178"/>
        <v/>
      </c>
      <c r="M2305" s="31" t="str">
        <f t="shared" si="179"/>
        <v/>
      </c>
    </row>
    <row r="2306" spans="1:13" x14ac:dyDescent="0.15">
      <c r="A2306" s="163" t="s">
        <v>210</v>
      </c>
      <c r="B2306" s="163">
        <v>42335.754762731478</v>
      </c>
      <c r="C2306" s="164" t="s">
        <v>2106</v>
      </c>
      <c r="D2306" s="164" t="s">
        <v>15</v>
      </c>
      <c r="E2306" s="165">
        <v>400</v>
      </c>
      <c r="F2306" s="166">
        <v>12</v>
      </c>
      <c r="G2306" s="227">
        <f>IF($B$2,IF(ROWS(B$6:$B2306) = 1,$B2306-Start_Date,$B2306-$B2305),"")</f>
        <v>6.7313657200429589E-4</v>
      </c>
      <c r="H2306" s="29">
        <f>IF($B$2,IF(ROWS(B$6:$B2306) = 1,IF(COUNTIFS(R_Schedule_Times,"&lt;"&amp;B2306),INDEX(R_Schedule_Amounts,MATCH(B2306,R_Schedule_Times,1)),Starting_Cash),IF(COUNTIFS(R_Schedule_Times,"&gt;"&amp;B2305,R_Schedule_Times,"&lt;"&amp;B2306),INDEX(R_Schedule_Amounts,MATCH(B2306,R_Schedule_Times,1)),K2305)),"")</f>
        <v>11100</v>
      </c>
      <c r="I2306" s="30">
        <f t="shared" si="175"/>
        <v>400</v>
      </c>
      <c r="J2306" s="31">
        <f t="shared" si="176"/>
        <v>12</v>
      </c>
      <c r="K2306" s="29">
        <f t="shared" si="177"/>
        <v>10700</v>
      </c>
      <c r="L2306" s="31" t="str">
        <f t="shared" si="178"/>
        <v/>
      </c>
      <c r="M2306" s="31" t="str">
        <f t="shared" si="179"/>
        <v/>
      </c>
    </row>
    <row r="2307" spans="1:13" x14ac:dyDescent="0.15">
      <c r="A2307" s="163" t="s">
        <v>210</v>
      </c>
      <c r="B2307" s="163">
        <v>42335.771817766203</v>
      </c>
      <c r="C2307" s="164" t="s">
        <v>2107</v>
      </c>
      <c r="D2307" s="164" t="s">
        <v>13</v>
      </c>
      <c r="E2307" s="165">
        <v>500</v>
      </c>
      <c r="F2307" s="166">
        <v>0</v>
      </c>
      <c r="G2307" s="227">
        <f>IF($B$2,IF(ROWS(B$6:$B2307) = 1,$B2307-Start_Date,$B2307-$B2306),"")</f>
        <v>1.7055034724762663E-2</v>
      </c>
      <c r="H2307" s="29">
        <f>IF($B$2,IF(ROWS(B$6:$B2307) = 1,IF(COUNTIFS(R_Schedule_Times,"&lt;"&amp;B2307),INDEX(R_Schedule_Amounts,MATCH(B2307,R_Schedule_Times,1)),Starting_Cash),IF(COUNTIFS(R_Schedule_Times,"&gt;"&amp;B2306,R_Schedule_Times,"&lt;"&amp;B2307),INDEX(R_Schedule_Amounts,MATCH(B2307,R_Schedule_Times,1)),K2306)),"")</f>
        <v>10700</v>
      </c>
      <c r="I2307" s="30">
        <f t="shared" si="175"/>
        <v>500</v>
      </c>
      <c r="J2307" s="31">
        <f t="shared" si="176"/>
        <v>0</v>
      </c>
      <c r="K2307" s="29">
        <f t="shared" si="177"/>
        <v>10200</v>
      </c>
      <c r="L2307" s="31" t="str">
        <f t="shared" si="178"/>
        <v/>
      </c>
      <c r="M2307" s="31" t="str">
        <f t="shared" si="179"/>
        <v/>
      </c>
    </row>
    <row r="2308" spans="1:13" x14ac:dyDescent="0.15">
      <c r="A2308" s="163" t="s">
        <v>210</v>
      </c>
      <c r="B2308" s="163">
        <v>42335.776832650467</v>
      </c>
      <c r="C2308" s="164" t="s">
        <v>2108</v>
      </c>
      <c r="D2308" s="164" t="s">
        <v>13</v>
      </c>
      <c r="E2308" s="165">
        <v>40</v>
      </c>
      <c r="F2308" s="166">
        <v>0</v>
      </c>
      <c r="G2308" s="227">
        <f>IF($B$2,IF(ROWS(B$6:$B2308) = 1,$B2308-Start_Date,$B2308-$B2307),"")</f>
        <v>5.0148842638009228E-3</v>
      </c>
      <c r="H2308" s="29">
        <f>IF($B$2,IF(ROWS(B$6:$B2308) = 1,IF(COUNTIFS(R_Schedule_Times,"&lt;"&amp;B2308),INDEX(R_Schedule_Amounts,MATCH(B2308,R_Schedule_Times,1)),Starting_Cash),IF(COUNTIFS(R_Schedule_Times,"&gt;"&amp;B2307,R_Schedule_Times,"&lt;"&amp;B2308),INDEX(R_Schedule_Amounts,MATCH(B2308,R_Schedule_Times,1)),K2307)),"")</f>
        <v>10200</v>
      </c>
      <c r="I2308" s="30">
        <f t="shared" si="175"/>
        <v>40</v>
      </c>
      <c r="J2308" s="31">
        <f t="shared" si="176"/>
        <v>0</v>
      </c>
      <c r="K2308" s="29">
        <f t="shared" si="177"/>
        <v>10160</v>
      </c>
      <c r="L2308" s="31" t="str">
        <f t="shared" si="178"/>
        <v/>
      </c>
      <c r="M2308" s="31" t="str">
        <f t="shared" si="179"/>
        <v/>
      </c>
    </row>
    <row r="2309" spans="1:13" x14ac:dyDescent="0.15">
      <c r="A2309" s="163" t="s">
        <v>210</v>
      </c>
      <c r="B2309" s="163">
        <v>42335.779518379626</v>
      </c>
      <c r="C2309" s="164" t="s">
        <v>2109</v>
      </c>
      <c r="D2309" s="164" t="s">
        <v>13</v>
      </c>
      <c r="E2309" s="165">
        <v>160</v>
      </c>
      <c r="F2309" s="166">
        <v>0</v>
      </c>
      <c r="G2309" s="227">
        <f>IF($B$2,IF(ROWS(B$6:$B2309) = 1,$B2309-Start_Date,$B2309-$B2308),"")</f>
        <v>2.6857291595661081E-3</v>
      </c>
      <c r="H2309" s="29">
        <f>IF($B$2,IF(ROWS(B$6:$B2309) = 1,IF(COUNTIFS(R_Schedule_Times,"&lt;"&amp;B2309),INDEX(R_Schedule_Amounts,MATCH(B2309,R_Schedule_Times,1)),Starting_Cash),IF(COUNTIFS(R_Schedule_Times,"&gt;"&amp;B2308,R_Schedule_Times,"&lt;"&amp;B2309),INDEX(R_Schedule_Amounts,MATCH(B2309,R_Schedule_Times,1)),K2308)),"")</f>
        <v>10160</v>
      </c>
      <c r="I2309" s="30">
        <f t="shared" si="175"/>
        <v>160</v>
      </c>
      <c r="J2309" s="31">
        <f t="shared" si="176"/>
        <v>0</v>
      </c>
      <c r="K2309" s="29">
        <f t="shared" si="177"/>
        <v>10000</v>
      </c>
      <c r="L2309" s="31" t="str">
        <f t="shared" si="178"/>
        <v/>
      </c>
      <c r="M2309" s="31" t="str">
        <f t="shared" si="179"/>
        <v/>
      </c>
    </row>
    <row r="2310" spans="1:13" x14ac:dyDescent="0.15">
      <c r="A2310" s="163" t="s">
        <v>210</v>
      </c>
      <c r="B2310" s="163">
        <v>42335.781290902778</v>
      </c>
      <c r="C2310" s="164" t="s">
        <v>2110</v>
      </c>
      <c r="D2310" s="164" t="s">
        <v>13</v>
      </c>
      <c r="E2310" s="165">
        <v>20</v>
      </c>
      <c r="F2310" s="166">
        <v>0</v>
      </c>
      <c r="G2310" s="227">
        <f>IF($B$2,IF(ROWS(B$6:$B2310) = 1,$B2310-Start_Date,$B2310-$B2309),"")</f>
        <v>1.7725231518852524E-3</v>
      </c>
      <c r="H2310" s="29">
        <f>IF($B$2,IF(ROWS(B$6:$B2310) = 1,IF(COUNTIFS(R_Schedule_Times,"&lt;"&amp;B2310),INDEX(R_Schedule_Amounts,MATCH(B2310,R_Schedule_Times,1)),Starting_Cash),IF(COUNTIFS(R_Schedule_Times,"&gt;"&amp;B2309,R_Schedule_Times,"&lt;"&amp;B2310),INDEX(R_Schedule_Amounts,MATCH(B2310,R_Schedule_Times,1)),K2309)),"")</f>
        <v>10000</v>
      </c>
      <c r="I2310" s="30">
        <f t="shared" si="175"/>
        <v>20</v>
      </c>
      <c r="J2310" s="31">
        <f t="shared" si="176"/>
        <v>0</v>
      </c>
      <c r="K2310" s="29">
        <f t="shared" si="177"/>
        <v>9980</v>
      </c>
      <c r="L2310" s="31" t="str">
        <f t="shared" si="178"/>
        <v/>
      </c>
      <c r="M2310" s="31" t="str">
        <f t="shared" si="179"/>
        <v/>
      </c>
    </row>
    <row r="2311" spans="1:13" x14ac:dyDescent="0.15">
      <c r="A2311" s="163" t="s">
        <v>210</v>
      </c>
      <c r="B2311" s="163">
        <v>42335.799637847223</v>
      </c>
      <c r="C2311" s="164" t="s">
        <v>2111</v>
      </c>
      <c r="D2311" s="164" t="s">
        <v>13</v>
      </c>
      <c r="E2311" s="165">
        <v>40</v>
      </c>
      <c r="F2311" s="166">
        <v>0</v>
      </c>
      <c r="G2311" s="227">
        <f>IF($B$2,IF(ROWS(B$6:$B2311) = 1,$B2311-Start_Date,$B2311-$B2310),"")</f>
        <v>1.8346944445511326E-2</v>
      </c>
      <c r="H2311" s="29">
        <f>IF($B$2,IF(ROWS(B$6:$B2311) = 1,IF(COUNTIFS(R_Schedule_Times,"&lt;"&amp;B2311),INDEX(R_Schedule_Amounts,MATCH(B2311,R_Schedule_Times,1)),Starting_Cash),IF(COUNTIFS(R_Schedule_Times,"&gt;"&amp;B2310,R_Schedule_Times,"&lt;"&amp;B2311),INDEX(R_Schedule_Amounts,MATCH(B2311,R_Schedule_Times,1)),K2310)),"")</f>
        <v>9980</v>
      </c>
      <c r="I2311" s="30">
        <f t="shared" ref="I2311:I2374" si="180">IF($B$2,IF(H2311&gt;=E2311,E2311,0),"")</f>
        <v>40</v>
      </c>
      <c r="J2311" s="31">
        <f t="shared" ref="J2311:J2374" si="181">IF($B$2,IF(H2311&gt;=E2311,F2311,0),"")</f>
        <v>0</v>
      </c>
      <c r="K2311" s="29">
        <f t="shared" ref="K2311:K2374" si="182">IF($B$2,ABS(I2311-H2311),"")</f>
        <v>9940</v>
      </c>
      <c r="L2311" s="31" t="str">
        <f t="shared" ref="L2311:L2374" si="183">IF($B$2,IF(H2311&lt;E2311,"YES",""),"")</f>
        <v/>
      </c>
      <c r="M2311" s="31" t="str">
        <f t="shared" ref="M2311:M2374" si="184">IF($B$2,IF(L2311="YES",F2311,""),"")</f>
        <v/>
      </c>
    </row>
    <row r="2312" spans="1:13" x14ac:dyDescent="0.15">
      <c r="A2312" s="163" t="s">
        <v>210</v>
      </c>
      <c r="B2312" s="163">
        <v>42335.802372951388</v>
      </c>
      <c r="C2312" s="164" t="s">
        <v>96</v>
      </c>
      <c r="D2312" s="164" t="s">
        <v>13</v>
      </c>
      <c r="E2312" s="165">
        <v>240</v>
      </c>
      <c r="F2312" s="166">
        <v>0</v>
      </c>
      <c r="G2312" s="227">
        <f>IF($B$2,IF(ROWS(B$6:$B2312) = 1,$B2312-Start_Date,$B2312-$B2311),"")</f>
        <v>2.73510416445788E-3</v>
      </c>
      <c r="H2312" s="29">
        <f>IF($B$2,IF(ROWS(B$6:$B2312) = 1,IF(COUNTIFS(R_Schedule_Times,"&lt;"&amp;B2312),INDEX(R_Schedule_Amounts,MATCH(B2312,R_Schedule_Times,1)),Starting_Cash),IF(COUNTIFS(R_Schedule_Times,"&gt;"&amp;B2311,R_Schedule_Times,"&lt;"&amp;B2312),INDEX(R_Schedule_Amounts,MATCH(B2312,R_Schedule_Times,1)),K2311)),"")</f>
        <v>9940</v>
      </c>
      <c r="I2312" s="30">
        <f t="shared" si="180"/>
        <v>240</v>
      </c>
      <c r="J2312" s="31">
        <f t="shared" si="181"/>
        <v>0</v>
      </c>
      <c r="K2312" s="29">
        <f t="shared" si="182"/>
        <v>9700</v>
      </c>
      <c r="L2312" s="31" t="str">
        <f t="shared" si="183"/>
        <v/>
      </c>
      <c r="M2312" s="31" t="str">
        <f t="shared" si="184"/>
        <v/>
      </c>
    </row>
    <row r="2313" spans="1:13" x14ac:dyDescent="0.15">
      <c r="A2313" s="163" t="s">
        <v>210</v>
      </c>
      <c r="B2313" s="163">
        <v>42335.804936203705</v>
      </c>
      <c r="C2313" s="164" t="s">
        <v>2112</v>
      </c>
      <c r="D2313" s="164" t="s">
        <v>13</v>
      </c>
      <c r="E2313" s="165">
        <v>200</v>
      </c>
      <c r="F2313" s="166">
        <v>0</v>
      </c>
      <c r="G2313" s="227">
        <f>IF($B$2,IF(ROWS(B$6:$B2313) = 1,$B2313-Start_Date,$B2313-$B2312),"")</f>
        <v>2.5632523174863309E-3</v>
      </c>
      <c r="H2313" s="29">
        <f>IF($B$2,IF(ROWS(B$6:$B2313) = 1,IF(COUNTIFS(R_Schedule_Times,"&lt;"&amp;B2313),INDEX(R_Schedule_Amounts,MATCH(B2313,R_Schedule_Times,1)),Starting_Cash),IF(COUNTIFS(R_Schedule_Times,"&gt;"&amp;B2312,R_Schedule_Times,"&lt;"&amp;B2313),INDEX(R_Schedule_Amounts,MATCH(B2313,R_Schedule_Times,1)),K2312)),"")</f>
        <v>9700</v>
      </c>
      <c r="I2313" s="30">
        <f t="shared" si="180"/>
        <v>200</v>
      </c>
      <c r="J2313" s="31">
        <f t="shared" si="181"/>
        <v>0</v>
      </c>
      <c r="K2313" s="29">
        <f t="shared" si="182"/>
        <v>9500</v>
      </c>
      <c r="L2313" s="31" t="str">
        <f t="shared" si="183"/>
        <v/>
      </c>
      <c r="M2313" s="31" t="str">
        <f t="shared" si="184"/>
        <v/>
      </c>
    </row>
    <row r="2314" spans="1:13" x14ac:dyDescent="0.15">
      <c r="A2314" s="163" t="s">
        <v>210</v>
      </c>
      <c r="B2314" s="163">
        <v>42335.821489178241</v>
      </c>
      <c r="C2314" s="164" t="s">
        <v>114</v>
      </c>
      <c r="D2314" s="164" t="s">
        <v>13</v>
      </c>
      <c r="E2314" s="165">
        <v>100</v>
      </c>
      <c r="F2314" s="166">
        <v>0</v>
      </c>
      <c r="G2314" s="227">
        <f>IF($B$2,IF(ROWS(B$6:$B2314) = 1,$B2314-Start_Date,$B2314-$B2313),"")</f>
        <v>1.6552974535443354E-2</v>
      </c>
      <c r="H2314" s="29">
        <f>IF($B$2,IF(ROWS(B$6:$B2314) = 1,IF(COUNTIFS(R_Schedule_Times,"&lt;"&amp;B2314),INDEX(R_Schedule_Amounts,MATCH(B2314,R_Schedule_Times,1)),Starting_Cash),IF(COUNTIFS(R_Schedule_Times,"&gt;"&amp;B2313,R_Schedule_Times,"&lt;"&amp;B2314),INDEX(R_Schedule_Amounts,MATCH(B2314,R_Schedule_Times,1)),K2313)),"")</f>
        <v>9500</v>
      </c>
      <c r="I2314" s="30">
        <f t="shared" si="180"/>
        <v>100</v>
      </c>
      <c r="J2314" s="31">
        <f t="shared" si="181"/>
        <v>0</v>
      </c>
      <c r="K2314" s="29">
        <f t="shared" si="182"/>
        <v>9400</v>
      </c>
      <c r="L2314" s="31" t="str">
        <f t="shared" si="183"/>
        <v/>
      </c>
      <c r="M2314" s="31" t="str">
        <f t="shared" si="184"/>
        <v/>
      </c>
    </row>
    <row r="2315" spans="1:13" x14ac:dyDescent="0.15">
      <c r="A2315" s="163" t="s">
        <v>210</v>
      </c>
      <c r="B2315" s="163">
        <v>42335.905023935185</v>
      </c>
      <c r="C2315" s="164" t="s">
        <v>2113</v>
      </c>
      <c r="D2315" s="164" t="s">
        <v>13</v>
      </c>
      <c r="E2315" s="165">
        <v>100</v>
      </c>
      <c r="F2315" s="166">
        <v>0</v>
      </c>
      <c r="G2315" s="227">
        <f>IF($B$2,IF(ROWS(B$6:$B2315) = 1,$B2315-Start_Date,$B2315-$B2314),"")</f>
        <v>8.3534756944573019E-2</v>
      </c>
      <c r="H2315" s="29">
        <f>IF($B$2,IF(ROWS(B$6:$B2315) = 1,IF(COUNTIFS(R_Schedule_Times,"&lt;"&amp;B2315),INDEX(R_Schedule_Amounts,MATCH(B2315,R_Schedule_Times,1)),Starting_Cash),IF(COUNTIFS(R_Schedule_Times,"&gt;"&amp;B2314,R_Schedule_Times,"&lt;"&amp;B2315),INDEX(R_Schedule_Amounts,MATCH(B2315,R_Schedule_Times,1)),K2314)),"")</f>
        <v>9400</v>
      </c>
      <c r="I2315" s="30">
        <f t="shared" si="180"/>
        <v>100</v>
      </c>
      <c r="J2315" s="31">
        <f t="shared" si="181"/>
        <v>0</v>
      </c>
      <c r="K2315" s="29">
        <f t="shared" si="182"/>
        <v>9300</v>
      </c>
      <c r="L2315" s="31" t="str">
        <f t="shared" si="183"/>
        <v/>
      </c>
      <c r="M2315" s="31" t="str">
        <f t="shared" si="184"/>
        <v/>
      </c>
    </row>
    <row r="2316" spans="1:13" x14ac:dyDescent="0.15">
      <c r="A2316" s="163" t="s">
        <v>210</v>
      </c>
      <c r="B2316" s="163">
        <v>42335.914124618059</v>
      </c>
      <c r="C2316" s="164" t="s">
        <v>14</v>
      </c>
      <c r="D2316" s="164" t="s">
        <v>15</v>
      </c>
      <c r="E2316" s="165">
        <v>20</v>
      </c>
      <c r="F2316" s="166">
        <v>3.1</v>
      </c>
      <c r="G2316" s="227">
        <f>IF($B$2,IF(ROWS(B$6:$B2316) = 1,$B2316-Start_Date,$B2316-$B2315),"")</f>
        <v>9.1006828733952716E-3</v>
      </c>
      <c r="H2316" s="29">
        <f>IF($B$2,IF(ROWS(B$6:$B2316) = 1,IF(COUNTIFS(R_Schedule_Times,"&lt;"&amp;B2316),INDEX(R_Schedule_Amounts,MATCH(B2316,R_Schedule_Times,1)),Starting_Cash),IF(COUNTIFS(R_Schedule_Times,"&gt;"&amp;B2315,R_Schedule_Times,"&lt;"&amp;B2316),INDEX(R_Schedule_Amounts,MATCH(B2316,R_Schedule_Times,1)),K2315)),"")</f>
        <v>9300</v>
      </c>
      <c r="I2316" s="30">
        <f t="shared" si="180"/>
        <v>20</v>
      </c>
      <c r="J2316" s="31">
        <f t="shared" si="181"/>
        <v>3.1</v>
      </c>
      <c r="K2316" s="29">
        <f t="shared" si="182"/>
        <v>9280</v>
      </c>
      <c r="L2316" s="31" t="str">
        <f t="shared" si="183"/>
        <v/>
      </c>
      <c r="M2316" s="31" t="str">
        <f t="shared" si="184"/>
        <v/>
      </c>
    </row>
    <row r="2317" spans="1:13" x14ac:dyDescent="0.15">
      <c r="A2317" s="163" t="s">
        <v>210</v>
      </c>
      <c r="B2317" s="163">
        <v>42335.934304236114</v>
      </c>
      <c r="C2317" s="164" t="s">
        <v>1501</v>
      </c>
      <c r="D2317" s="164" t="s">
        <v>13</v>
      </c>
      <c r="E2317" s="165">
        <v>40</v>
      </c>
      <c r="F2317" s="166">
        <v>0</v>
      </c>
      <c r="G2317" s="227">
        <f>IF($B$2,IF(ROWS(B$6:$B2317) = 1,$B2317-Start_Date,$B2317-$B2316),"")</f>
        <v>2.0179618055408355E-2</v>
      </c>
      <c r="H2317" s="29">
        <f>IF($B$2,IF(ROWS(B$6:$B2317) = 1,IF(COUNTIFS(R_Schedule_Times,"&lt;"&amp;B2317),INDEX(R_Schedule_Amounts,MATCH(B2317,R_Schedule_Times,1)),Starting_Cash),IF(COUNTIFS(R_Schedule_Times,"&gt;"&amp;B2316,R_Schedule_Times,"&lt;"&amp;B2317),INDEX(R_Schedule_Amounts,MATCH(B2317,R_Schedule_Times,1)),K2316)),"")</f>
        <v>9280</v>
      </c>
      <c r="I2317" s="30">
        <f t="shared" si="180"/>
        <v>40</v>
      </c>
      <c r="J2317" s="31">
        <f t="shared" si="181"/>
        <v>0</v>
      </c>
      <c r="K2317" s="29">
        <f t="shared" si="182"/>
        <v>9240</v>
      </c>
      <c r="L2317" s="31" t="str">
        <f t="shared" si="183"/>
        <v/>
      </c>
      <c r="M2317" s="31" t="str">
        <f t="shared" si="184"/>
        <v/>
      </c>
    </row>
    <row r="2318" spans="1:13" x14ac:dyDescent="0.15">
      <c r="A2318" s="163" t="s">
        <v>210</v>
      </c>
      <c r="B2318" s="163">
        <v>42335.941429791666</v>
      </c>
      <c r="C2318" s="164" t="s">
        <v>2114</v>
      </c>
      <c r="D2318" s="164" t="s">
        <v>13</v>
      </c>
      <c r="E2318" s="165">
        <v>60</v>
      </c>
      <c r="F2318" s="166">
        <v>0</v>
      </c>
      <c r="G2318" s="227">
        <f>IF($B$2,IF(ROWS(B$6:$B2318) = 1,$B2318-Start_Date,$B2318-$B2317),"")</f>
        <v>7.1255555521929637E-3</v>
      </c>
      <c r="H2318" s="29">
        <f>IF($B$2,IF(ROWS(B$6:$B2318) = 1,IF(COUNTIFS(R_Schedule_Times,"&lt;"&amp;B2318),INDEX(R_Schedule_Amounts,MATCH(B2318,R_Schedule_Times,1)),Starting_Cash),IF(COUNTIFS(R_Schedule_Times,"&gt;"&amp;B2317,R_Schedule_Times,"&lt;"&amp;B2318),INDEX(R_Schedule_Amounts,MATCH(B2318,R_Schedule_Times,1)),K2317)),"")</f>
        <v>9240</v>
      </c>
      <c r="I2318" s="30">
        <f t="shared" si="180"/>
        <v>60</v>
      </c>
      <c r="J2318" s="31">
        <f t="shared" si="181"/>
        <v>0</v>
      </c>
      <c r="K2318" s="29">
        <f t="shared" si="182"/>
        <v>9180</v>
      </c>
      <c r="L2318" s="31" t="str">
        <f t="shared" si="183"/>
        <v/>
      </c>
      <c r="M2318" s="31" t="str">
        <f t="shared" si="184"/>
        <v/>
      </c>
    </row>
    <row r="2319" spans="1:13" x14ac:dyDescent="0.15">
      <c r="A2319" s="163" t="s">
        <v>210</v>
      </c>
      <c r="B2319" s="163">
        <v>42335.95775858796</v>
      </c>
      <c r="C2319" s="164" t="s">
        <v>252</v>
      </c>
      <c r="D2319" s="164" t="s">
        <v>13</v>
      </c>
      <c r="E2319" s="165">
        <v>100</v>
      </c>
      <c r="F2319" s="166">
        <v>0</v>
      </c>
      <c r="G2319" s="227">
        <f>IF($B$2,IF(ROWS(B$6:$B2319) = 1,$B2319-Start_Date,$B2319-$B2318),"")</f>
        <v>1.6328796293237247E-2</v>
      </c>
      <c r="H2319" s="29">
        <f>IF($B$2,IF(ROWS(B$6:$B2319) = 1,IF(COUNTIFS(R_Schedule_Times,"&lt;"&amp;B2319),INDEX(R_Schedule_Amounts,MATCH(B2319,R_Schedule_Times,1)),Starting_Cash),IF(COUNTIFS(R_Schedule_Times,"&gt;"&amp;B2318,R_Schedule_Times,"&lt;"&amp;B2319),INDEX(R_Schedule_Amounts,MATCH(B2319,R_Schedule_Times,1)),K2318)),"")</f>
        <v>9180</v>
      </c>
      <c r="I2319" s="30">
        <f t="shared" si="180"/>
        <v>100</v>
      </c>
      <c r="J2319" s="31">
        <f t="shared" si="181"/>
        <v>0</v>
      </c>
      <c r="K2319" s="29">
        <f t="shared" si="182"/>
        <v>9080</v>
      </c>
      <c r="L2319" s="31" t="str">
        <f t="shared" si="183"/>
        <v/>
      </c>
      <c r="M2319" s="31" t="str">
        <f t="shared" si="184"/>
        <v/>
      </c>
    </row>
    <row r="2320" spans="1:13" x14ac:dyDescent="0.15">
      <c r="A2320" s="163" t="s">
        <v>210</v>
      </c>
      <c r="B2320" s="163">
        <v>42336.229557326391</v>
      </c>
      <c r="C2320" s="164" t="s">
        <v>2115</v>
      </c>
      <c r="D2320" s="164" t="s">
        <v>13</v>
      </c>
      <c r="E2320" s="165">
        <v>100</v>
      </c>
      <c r="F2320" s="166">
        <v>0</v>
      </c>
      <c r="G2320" s="227">
        <f>IF($B$2,IF(ROWS(B$6:$B2320) = 1,$B2320-Start_Date,$B2320-$B2319),"")</f>
        <v>0.27179873843124369</v>
      </c>
      <c r="H2320" s="29">
        <f>IF($B$2,IF(ROWS(B$6:$B2320) = 1,IF(COUNTIFS(R_Schedule_Times,"&lt;"&amp;B2320),INDEX(R_Schedule_Amounts,MATCH(B2320,R_Schedule_Times,1)),Starting_Cash),IF(COUNTIFS(R_Schedule_Times,"&gt;"&amp;B2319,R_Schedule_Times,"&lt;"&amp;B2320),INDEX(R_Schedule_Amounts,MATCH(B2320,R_Schedule_Times,1)),K2319)),"")</f>
        <v>9080</v>
      </c>
      <c r="I2320" s="30">
        <f t="shared" si="180"/>
        <v>100</v>
      </c>
      <c r="J2320" s="31">
        <f t="shared" si="181"/>
        <v>0</v>
      </c>
      <c r="K2320" s="29">
        <f t="shared" si="182"/>
        <v>8980</v>
      </c>
      <c r="L2320" s="31" t="str">
        <f t="shared" si="183"/>
        <v/>
      </c>
      <c r="M2320" s="31" t="str">
        <f t="shared" si="184"/>
        <v/>
      </c>
    </row>
    <row r="2321" spans="1:13" x14ac:dyDescent="0.15">
      <c r="A2321" s="163" t="s">
        <v>210</v>
      </c>
      <c r="B2321" s="163">
        <v>42336.350885416665</v>
      </c>
      <c r="C2321" s="164" t="s">
        <v>2116</v>
      </c>
      <c r="D2321" s="164" t="s">
        <v>13</v>
      </c>
      <c r="E2321" s="165">
        <v>60</v>
      </c>
      <c r="F2321" s="166">
        <v>0</v>
      </c>
      <c r="G2321" s="227">
        <f>IF($B$2,IF(ROWS(B$6:$B2321) = 1,$B2321-Start_Date,$B2321-$B2320),"")</f>
        <v>0.12132809027389158</v>
      </c>
      <c r="H2321" s="29">
        <f>IF($B$2,IF(ROWS(B$6:$B2321) = 1,IF(COUNTIFS(R_Schedule_Times,"&lt;"&amp;B2321),INDEX(R_Schedule_Amounts,MATCH(B2321,R_Schedule_Times,1)),Starting_Cash),IF(COUNTIFS(R_Schedule_Times,"&gt;"&amp;B2320,R_Schedule_Times,"&lt;"&amp;B2321),INDEX(R_Schedule_Amounts,MATCH(B2321,R_Schedule_Times,1)),K2320)),"")</f>
        <v>8980</v>
      </c>
      <c r="I2321" s="30">
        <f t="shared" si="180"/>
        <v>60</v>
      </c>
      <c r="J2321" s="31">
        <f t="shared" si="181"/>
        <v>0</v>
      </c>
      <c r="K2321" s="29">
        <f t="shared" si="182"/>
        <v>8920</v>
      </c>
      <c r="L2321" s="31" t="str">
        <f t="shared" si="183"/>
        <v/>
      </c>
      <c r="M2321" s="31" t="str">
        <f t="shared" si="184"/>
        <v/>
      </c>
    </row>
    <row r="2322" spans="1:13" x14ac:dyDescent="0.15">
      <c r="A2322" s="163" t="s">
        <v>210</v>
      </c>
      <c r="B2322" s="163">
        <v>42336.368953807869</v>
      </c>
      <c r="C2322" s="164" t="s">
        <v>14</v>
      </c>
      <c r="D2322" s="164" t="s">
        <v>13</v>
      </c>
      <c r="E2322" s="165">
        <v>40</v>
      </c>
      <c r="F2322" s="166">
        <v>3.5</v>
      </c>
      <c r="G2322" s="227">
        <f>IF($B$2,IF(ROWS(B$6:$B2322) = 1,$B2322-Start_Date,$B2322-$B2321),"")</f>
        <v>1.8068391203996725E-2</v>
      </c>
      <c r="H2322" s="29">
        <f>IF($B$2,IF(ROWS(B$6:$B2322) = 1,IF(COUNTIFS(R_Schedule_Times,"&lt;"&amp;B2322),INDEX(R_Schedule_Amounts,MATCH(B2322,R_Schedule_Times,1)),Starting_Cash),IF(COUNTIFS(R_Schedule_Times,"&gt;"&amp;B2321,R_Schedule_Times,"&lt;"&amp;B2322),INDEX(R_Schedule_Amounts,MATCH(B2322,R_Schedule_Times,1)),K2321)),"")</f>
        <v>8920</v>
      </c>
      <c r="I2322" s="30">
        <f t="shared" si="180"/>
        <v>40</v>
      </c>
      <c r="J2322" s="31">
        <f t="shared" si="181"/>
        <v>3.5</v>
      </c>
      <c r="K2322" s="29">
        <f t="shared" si="182"/>
        <v>8880</v>
      </c>
      <c r="L2322" s="31" t="str">
        <f t="shared" si="183"/>
        <v/>
      </c>
      <c r="M2322" s="31" t="str">
        <f t="shared" si="184"/>
        <v/>
      </c>
    </row>
    <row r="2323" spans="1:13" x14ac:dyDescent="0.15">
      <c r="A2323" s="163" t="s">
        <v>210</v>
      </c>
      <c r="B2323" s="163">
        <v>42336.414679884256</v>
      </c>
      <c r="C2323" s="164" t="s">
        <v>2117</v>
      </c>
      <c r="D2323" s="164" t="s">
        <v>13</v>
      </c>
      <c r="E2323" s="165">
        <v>100</v>
      </c>
      <c r="F2323" s="166">
        <v>0</v>
      </c>
      <c r="G2323" s="227">
        <f>IF($B$2,IF(ROWS(B$6:$B2323) = 1,$B2323-Start_Date,$B2323-$B2322),"")</f>
        <v>4.5726076386927161E-2</v>
      </c>
      <c r="H2323" s="29">
        <f>IF($B$2,IF(ROWS(B$6:$B2323) = 1,IF(COUNTIFS(R_Schedule_Times,"&lt;"&amp;B2323),INDEX(R_Schedule_Amounts,MATCH(B2323,R_Schedule_Times,1)),Starting_Cash),IF(COUNTIFS(R_Schedule_Times,"&gt;"&amp;B2322,R_Schedule_Times,"&lt;"&amp;B2323),INDEX(R_Schedule_Amounts,MATCH(B2323,R_Schedule_Times,1)),K2322)),"")</f>
        <v>8880</v>
      </c>
      <c r="I2323" s="30">
        <f t="shared" si="180"/>
        <v>100</v>
      </c>
      <c r="J2323" s="31">
        <f t="shared" si="181"/>
        <v>0</v>
      </c>
      <c r="K2323" s="29">
        <f t="shared" si="182"/>
        <v>8780</v>
      </c>
      <c r="L2323" s="31" t="str">
        <f t="shared" si="183"/>
        <v/>
      </c>
      <c r="M2323" s="31" t="str">
        <f t="shared" si="184"/>
        <v/>
      </c>
    </row>
    <row r="2324" spans="1:13" x14ac:dyDescent="0.15">
      <c r="A2324" s="163" t="s">
        <v>210</v>
      </c>
      <c r="B2324" s="163">
        <v>42336.428685775463</v>
      </c>
      <c r="C2324" s="164" t="s">
        <v>2118</v>
      </c>
      <c r="D2324" s="164" t="s">
        <v>13</v>
      </c>
      <c r="E2324" s="165">
        <v>100</v>
      </c>
      <c r="F2324" s="166">
        <v>0</v>
      </c>
      <c r="G2324" s="227">
        <f>IF($B$2,IF(ROWS(B$6:$B2324) = 1,$B2324-Start_Date,$B2324-$B2323),"")</f>
        <v>1.4005891207489185E-2</v>
      </c>
      <c r="H2324" s="29">
        <f>IF($B$2,IF(ROWS(B$6:$B2324) = 1,IF(COUNTIFS(R_Schedule_Times,"&lt;"&amp;B2324),INDEX(R_Schedule_Amounts,MATCH(B2324,R_Schedule_Times,1)),Starting_Cash),IF(COUNTIFS(R_Schedule_Times,"&gt;"&amp;B2323,R_Schedule_Times,"&lt;"&amp;B2324),INDEX(R_Schedule_Amounts,MATCH(B2324,R_Schedule_Times,1)),K2323)),"")</f>
        <v>8780</v>
      </c>
      <c r="I2324" s="30">
        <f t="shared" si="180"/>
        <v>100</v>
      </c>
      <c r="J2324" s="31">
        <f t="shared" si="181"/>
        <v>0</v>
      </c>
      <c r="K2324" s="29">
        <f t="shared" si="182"/>
        <v>8680</v>
      </c>
      <c r="L2324" s="31" t="str">
        <f t="shared" si="183"/>
        <v/>
      </c>
      <c r="M2324" s="31" t="str">
        <f t="shared" si="184"/>
        <v/>
      </c>
    </row>
    <row r="2325" spans="1:13" x14ac:dyDescent="0.15">
      <c r="A2325" s="163" t="s">
        <v>210</v>
      </c>
      <c r="B2325" s="163">
        <v>42336.434262812501</v>
      </c>
      <c r="C2325" s="164" t="s">
        <v>478</v>
      </c>
      <c r="D2325" s="164" t="s">
        <v>13</v>
      </c>
      <c r="E2325" s="165">
        <v>40</v>
      </c>
      <c r="F2325" s="166">
        <v>0</v>
      </c>
      <c r="G2325" s="227">
        <f>IF($B$2,IF(ROWS(B$6:$B2325) = 1,$B2325-Start_Date,$B2325-$B2324),"")</f>
        <v>5.5770370381651446E-3</v>
      </c>
      <c r="H2325" s="29">
        <f>IF($B$2,IF(ROWS(B$6:$B2325) = 1,IF(COUNTIFS(R_Schedule_Times,"&lt;"&amp;B2325),INDEX(R_Schedule_Amounts,MATCH(B2325,R_Schedule_Times,1)),Starting_Cash),IF(COUNTIFS(R_Schedule_Times,"&gt;"&amp;B2324,R_Schedule_Times,"&lt;"&amp;B2325),INDEX(R_Schedule_Amounts,MATCH(B2325,R_Schedule_Times,1)),K2324)),"")</f>
        <v>8680</v>
      </c>
      <c r="I2325" s="30">
        <f t="shared" si="180"/>
        <v>40</v>
      </c>
      <c r="J2325" s="31">
        <f t="shared" si="181"/>
        <v>0</v>
      </c>
      <c r="K2325" s="29">
        <f t="shared" si="182"/>
        <v>8640</v>
      </c>
      <c r="L2325" s="31" t="str">
        <f t="shared" si="183"/>
        <v/>
      </c>
      <c r="M2325" s="31" t="str">
        <f t="shared" si="184"/>
        <v/>
      </c>
    </row>
    <row r="2326" spans="1:13" x14ac:dyDescent="0.15">
      <c r="A2326" s="163" t="s">
        <v>210</v>
      </c>
      <c r="B2326" s="163">
        <v>42336.449178391202</v>
      </c>
      <c r="C2326" s="164" t="s">
        <v>2119</v>
      </c>
      <c r="D2326" s="164" t="s">
        <v>13</v>
      </c>
      <c r="E2326" s="165">
        <v>40</v>
      </c>
      <c r="F2326" s="166">
        <v>0</v>
      </c>
      <c r="G2326" s="227">
        <f>IF($B$2,IF(ROWS(B$6:$B2326) = 1,$B2326-Start_Date,$B2326-$B2325),"")</f>
        <v>1.4915578700311016E-2</v>
      </c>
      <c r="H2326" s="29">
        <f>IF($B$2,IF(ROWS(B$6:$B2326) = 1,IF(COUNTIFS(R_Schedule_Times,"&lt;"&amp;B2326),INDEX(R_Schedule_Amounts,MATCH(B2326,R_Schedule_Times,1)),Starting_Cash),IF(COUNTIFS(R_Schedule_Times,"&gt;"&amp;B2325,R_Schedule_Times,"&lt;"&amp;B2326),INDEX(R_Schedule_Amounts,MATCH(B2326,R_Schedule_Times,1)),K2325)),"")</f>
        <v>8640</v>
      </c>
      <c r="I2326" s="30">
        <f t="shared" si="180"/>
        <v>40</v>
      </c>
      <c r="J2326" s="31">
        <f t="shared" si="181"/>
        <v>0</v>
      </c>
      <c r="K2326" s="29">
        <f t="shared" si="182"/>
        <v>8600</v>
      </c>
      <c r="L2326" s="31" t="str">
        <f t="shared" si="183"/>
        <v/>
      </c>
      <c r="M2326" s="31" t="str">
        <f t="shared" si="184"/>
        <v/>
      </c>
    </row>
    <row r="2327" spans="1:13" x14ac:dyDescent="0.15">
      <c r="A2327" s="163" t="s">
        <v>210</v>
      </c>
      <c r="B2327" s="163">
        <v>42336.452624155092</v>
      </c>
      <c r="C2327" s="164" t="s">
        <v>2120</v>
      </c>
      <c r="D2327" s="164" t="s">
        <v>13</v>
      </c>
      <c r="E2327" s="165">
        <v>100</v>
      </c>
      <c r="F2327" s="166">
        <v>0</v>
      </c>
      <c r="G2327" s="227">
        <f>IF($B$2,IF(ROWS(B$6:$B2327) = 1,$B2327-Start_Date,$B2327-$B2326),"")</f>
        <v>3.4457638903404586E-3</v>
      </c>
      <c r="H2327" s="29">
        <f>IF($B$2,IF(ROWS(B$6:$B2327) = 1,IF(COUNTIFS(R_Schedule_Times,"&lt;"&amp;B2327),INDEX(R_Schedule_Amounts,MATCH(B2327,R_Schedule_Times,1)),Starting_Cash),IF(COUNTIFS(R_Schedule_Times,"&gt;"&amp;B2326,R_Schedule_Times,"&lt;"&amp;B2327),INDEX(R_Schedule_Amounts,MATCH(B2327,R_Schedule_Times,1)),K2326)),"")</f>
        <v>8600</v>
      </c>
      <c r="I2327" s="30">
        <f t="shared" si="180"/>
        <v>100</v>
      </c>
      <c r="J2327" s="31">
        <f t="shared" si="181"/>
        <v>0</v>
      </c>
      <c r="K2327" s="29">
        <f t="shared" si="182"/>
        <v>8500</v>
      </c>
      <c r="L2327" s="31" t="str">
        <f t="shared" si="183"/>
        <v/>
      </c>
      <c r="M2327" s="31" t="str">
        <f t="shared" si="184"/>
        <v/>
      </c>
    </row>
    <row r="2328" spans="1:13" x14ac:dyDescent="0.15">
      <c r="A2328" s="163" t="s">
        <v>210</v>
      </c>
      <c r="B2328" s="163">
        <v>42336.457748935187</v>
      </c>
      <c r="C2328" s="164" t="s">
        <v>1207</v>
      </c>
      <c r="D2328" s="164" t="s">
        <v>13</v>
      </c>
      <c r="E2328" s="165">
        <v>40</v>
      </c>
      <c r="F2328" s="166">
        <v>0</v>
      </c>
      <c r="G2328" s="227">
        <f>IF($B$2,IF(ROWS(B$6:$B2328) = 1,$B2328-Start_Date,$B2328-$B2327),"")</f>
        <v>5.1247800947749056E-3</v>
      </c>
      <c r="H2328" s="29">
        <f>IF($B$2,IF(ROWS(B$6:$B2328) = 1,IF(COUNTIFS(R_Schedule_Times,"&lt;"&amp;B2328),INDEX(R_Schedule_Amounts,MATCH(B2328,R_Schedule_Times,1)),Starting_Cash),IF(COUNTIFS(R_Schedule_Times,"&gt;"&amp;B2327,R_Schedule_Times,"&lt;"&amp;B2328),INDEX(R_Schedule_Amounts,MATCH(B2328,R_Schedule_Times,1)),K2327)),"")</f>
        <v>8500</v>
      </c>
      <c r="I2328" s="30">
        <f t="shared" si="180"/>
        <v>40</v>
      </c>
      <c r="J2328" s="31">
        <f t="shared" si="181"/>
        <v>0</v>
      </c>
      <c r="K2328" s="29">
        <f t="shared" si="182"/>
        <v>8460</v>
      </c>
      <c r="L2328" s="31" t="str">
        <f t="shared" si="183"/>
        <v/>
      </c>
      <c r="M2328" s="31" t="str">
        <f t="shared" si="184"/>
        <v/>
      </c>
    </row>
    <row r="2329" spans="1:13" x14ac:dyDescent="0.15">
      <c r="A2329" s="163" t="s">
        <v>210</v>
      </c>
      <c r="B2329" s="163">
        <v>42336.492854270837</v>
      </c>
      <c r="C2329" s="164" t="s">
        <v>2121</v>
      </c>
      <c r="D2329" s="164" t="s">
        <v>13</v>
      </c>
      <c r="E2329" s="165">
        <v>40</v>
      </c>
      <c r="F2329" s="166">
        <v>0</v>
      </c>
      <c r="G2329" s="227">
        <f>IF($B$2,IF(ROWS(B$6:$B2329) = 1,$B2329-Start_Date,$B2329-$B2328),"")</f>
        <v>3.5105335649859626E-2</v>
      </c>
      <c r="H2329" s="29">
        <f>IF($B$2,IF(ROWS(B$6:$B2329) = 1,IF(COUNTIFS(R_Schedule_Times,"&lt;"&amp;B2329),INDEX(R_Schedule_Amounts,MATCH(B2329,R_Schedule_Times,1)),Starting_Cash),IF(COUNTIFS(R_Schedule_Times,"&gt;"&amp;B2328,R_Schedule_Times,"&lt;"&amp;B2329),INDEX(R_Schedule_Amounts,MATCH(B2329,R_Schedule_Times,1)),K2328)),"")</f>
        <v>8460</v>
      </c>
      <c r="I2329" s="30">
        <f t="shared" si="180"/>
        <v>40</v>
      </c>
      <c r="J2329" s="31">
        <f t="shared" si="181"/>
        <v>0</v>
      </c>
      <c r="K2329" s="29">
        <f t="shared" si="182"/>
        <v>8420</v>
      </c>
      <c r="L2329" s="31" t="str">
        <f t="shared" si="183"/>
        <v/>
      </c>
      <c r="M2329" s="31" t="str">
        <f t="shared" si="184"/>
        <v/>
      </c>
    </row>
    <row r="2330" spans="1:13" x14ac:dyDescent="0.15">
      <c r="A2330" s="163" t="s">
        <v>210</v>
      </c>
      <c r="B2330" s="163">
        <v>42336.516181493054</v>
      </c>
      <c r="C2330" s="164" t="s">
        <v>2122</v>
      </c>
      <c r="D2330" s="164" t="s">
        <v>13</v>
      </c>
      <c r="E2330" s="165">
        <v>40</v>
      </c>
      <c r="F2330" s="166">
        <v>0</v>
      </c>
      <c r="G2330" s="227">
        <f>IF($B$2,IF(ROWS(B$6:$B2330) = 1,$B2330-Start_Date,$B2330-$B2329),"")</f>
        <v>2.3327222217631061E-2</v>
      </c>
      <c r="H2330" s="29">
        <f>IF($B$2,IF(ROWS(B$6:$B2330) = 1,IF(COUNTIFS(R_Schedule_Times,"&lt;"&amp;B2330),INDEX(R_Schedule_Amounts,MATCH(B2330,R_Schedule_Times,1)),Starting_Cash),IF(COUNTIFS(R_Schedule_Times,"&gt;"&amp;B2329,R_Schedule_Times,"&lt;"&amp;B2330),INDEX(R_Schedule_Amounts,MATCH(B2330,R_Schedule_Times,1)),K2329)),"")</f>
        <v>8420</v>
      </c>
      <c r="I2330" s="30">
        <f t="shared" si="180"/>
        <v>40</v>
      </c>
      <c r="J2330" s="31">
        <f t="shared" si="181"/>
        <v>0</v>
      </c>
      <c r="K2330" s="29">
        <f t="shared" si="182"/>
        <v>8380</v>
      </c>
      <c r="L2330" s="31" t="str">
        <f t="shared" si="183"/>
        <v/>
      </c>
      <c r="M2330" s="31" t="str">
        <f t="shared" si="184"/>
        <v/>
      </c>
    </row>
    <row r="2331" spans="1:13" x14ac:dyDescent="0.15">
      <c r="A2331" s="163" t="s">
        <v>210</v>
      </c>
      <c r="B2331" s="163">
        <v>42336.518637083333</v>
      </c>
      <c r="C2331" s="164" t="s">
        <v>1117</v>
      </c>
      <c r="D2331" s="164" t="s">
        <v>13</v>
      </c>
      <c r="E2331" s="165">
        <v>300</v>
      </c>
      <c r="F2331" s="166">
        <v>0</v>
      </c>
      <c r="G2331" s="227">
        <f>IF($B$2,IF(ROWS(B$6:$B2331) = 1,$B2331-Start_Date,$B2331-$B2330),"")</f>
        <v>2.4555902782594785E-3</v>
      </c>
      <c r="H2331" s="29">
        <f>IF($B$2,IF(ROWS(B$6:$B2331) = 1,IF(COUNTIFS(R_Schedule_Times,"&lt;"&amp;B2331),INDEX(R_Schedule_Amounts,MATCH(B2331,R_Schedule_Times,1)),Starting_Cash),IF(COUNTIFS(R_Schedule_Times,"&gt;"&amp;B2330,R_Schedule_Times,"&lt;"&amp;B2331),INDEX(R_Schedule_Amounts,MATCH(B2331,R_Schedule_Times,1)),K2330)),"")</f>
        <v>8380</v>
      </c>
      <c r="I2331" s="30">
        <f t="shared" si="180"/>
        <v>300</v>
      </c>
      <c r="J2331" s="31">
        <f t="shared" si="181"/>
        <v>0</v>
      </c>
      <c r="K2331" s="29">
        <f t="shared" si="182"/>
        <v>8080</v>
      </c>
      <c r="L2331" s="31" t="str">
        <f t="shared" si="183"/>
        <v/>
      </c>
      <c r="M2331" s="31" t="str">
        <f t="shared" si="184"/>
        <v/>
      </c>
    </row>
    <row r="2332" spans="1:13" x14ac:dyDescent="0.15">
      <c r="A2332" s="163" t="s">
        <v>210</v>
      </c>
      <c r="B2332" s="163">
        <v>42336.532396932867</v>
      </c>
      <c r="C2332" s="164" t="s">
        <v>1921</v>
      </c>
      <c r="D2332" s="164" t="s">
        <v>13</v>
      </c>
      <c r="E2332" s="165">
        <v>100</v>
      </c>
      <c r="F2332" s="166">
        <v>0</v>
      </c>
      <c r="G2332" s="227">
        <f>IF($B$2,IF(ROWS(B$6:$B2332) = 1,$B2332-Start_Date,$B2332-$B2331),"")</f>
        <v>1.3759849534835666E-2</v>
      </c>
      <c r="H2332" s="29">
        <f>IF($B$2,IF(ROWS(B$6:$B2332) = 1,IF(COUNTIFS(R_Schedule_Times,"&lt;"&amp;B2332),INDEX(R_Schedule_Amounts,MATCH(B2332,R_Schedule_Times,1)),Starting_Cash),IF(COUNTIFS(R_Schedule_Times,"&gt;"&amp;B2331,R_Schedule_Times,"&lt;"&amp;B2332),INDEX(R_Schedule_Amounts,MATCH(B2332,R_Schedule_Times,1)),K2331)),"")</f>
        <v>8080</v>
      </c>
      <c r="I2332" s="30">
        <f t="shared" si="180"/>
        <v>100</v>
      </c>
      <c r="J2332" s="31">
        <f t="shared" si="181"/>
        <v>0</v>
      </c>
      <c r="K2332" s="29">
        <f t="shared" si="182"/>
        <v>7980</v>
      </c>
      <c r="L2332" s="31" t="str">
        <f t="shared" si="183"/>
        <v/>
      </c>
      <c r="M2332" s="31" t="str">
        <f t="shared" si="184"/>
        <v/>
      </c>
    </row>
    <row r="2333" spans="1:13" x14ac:dyDescent="0.15">
      <c r="A2333" s="163" t="s">
        <v>210</v>
      </c>
      <c r="B2333" s="163">
        <v>42336.540555081017</v>
      </c>
      <c r="C2333" s="164" t="s">
        <v>2123</v>
      </c>
      <c r="D2333" s="164" t="s">
        <v>13</v>
      </c>
      <c r="E2333" s="165">
        <v>40</v>
      </c>
      <c r="F2333" s="166">
        <v>0</v>
      </c>
      <c r="G2333" s="227">
        <f>IF($B$2,IF(ROWS(B$6:$B2333) = 1,$B2333-Start_Date,$B2333-$B2332),"")</f>
        <v>8.158148149959743E-3</v>
      </c>
      <c r="H2333" s="29">
        <f>IF($B$2,IF(ROWS(B$6:$B2333) = 1,IF(COUNTIFS(R_Schedule_Times,"&lt;"&amp;B2333),INDEX(R_Schedule_Amounts,MATCH(B2333,R_Schedule_Times,1)),Starting_Cash),IF(COUNTIFS(R_Schedule_Times,"&gt;"&amp;B2332,R_Schedule_Times,"&lt;"&amp;B2333),INDEX(R_Schedule_Amounts,MATCH(B2333,R_Schedule_Times,1)),K2332)),"")</f>
        <v>7980</v>
      </c>
      <c r="I2333" s="30">
        <f t="shared" si="180"/>
        <v>40</v>
      </c>
      <c r="J2333" s="31">
        <f t="shared" si="181"/>
        <v>0</v>
      </c>
      <c r="K2333" s="29">
        <f t="shared" si="182"/>
        <v>7940</v>
      </c>
      <c r="L2333" s="31" t="str">
        <f t="shared" si="183"/>
        <v/>
      </c>
      <c r="M2333" s="31" t="str">
        <f t="shared" si="184"/>
        <v/>
      </c>
    </row>
    <row r="2334" spans="1:13" x14ac:dyDescent="0.15">
      <c r="A2334" s="163" t="s">
        <v>210</v>
      </c>
      <c r="B2334" s="163">
        <v>42336.554530069443</v>
      </c>
      <c r="C2334" s="164" t="s">
        <v>2124</v>
      </c>
      <c r="D2334" s="164" t="s">
        <v>13</v>
      </c>
      <c r="E2334" s="165">
        <v>40</v>
      </c>
      <c r="F2334" s="166">
        <v>0</v>
      </c>
      <c r="G2334" s="227">
        <f>IF($B$2,IF(ROWS(B$6:$B2334) = 1,$B2334-Start_Date,$B2334-$B2333),"")</f>
        <v>1.3974988425616175E-2</v>
      </c>
      <c r="H2334" s="29">
        <f>IF($B$2,IF(ROWS(B$6:$B2334) = 1,IF(COUNTIFS(R_Schedule_Times,"&lt;"&amp;B2334),INDEX(R_Schedule_Amounts,MATCH(B2334,R_Schedule_Times,1)),Starting_Cash),IF(COUNTIFS(R_Schedule_Times,"&gt;"&amp;B2333,R_Schedule_Times,"&lt;"&amp;B2334),INDEX(R_Schedule_Amounts,MATCH(B2334,R_Schedule_Times,1)),K2333)),"")</f>
        <v>7940</v>
      </c>
      <c r="I2334" s="30">
        <f t="shared" si="180"/>
        <v>40</v>
      </c>
      <c r="J2334" s="31">
        <f t="shared" si="181"/>
        <v>0</v>
      </c>
      <c r="K2334" s="29">
        <f t="shared" si="182"/>
        <v>7900</v>
      </c>
      <c r="L2334" s="31" t="str">
        <f t="shared" si="183"/>
        <v/>
      </c>
      <c r="M2334" s="31" t="str">
        <f t="shared" si="184"/>
        <v/>
      </c>
    </row>
    <row r="2335" spans="1:13" x14ac:dyDescent="0.15">
      <c r="A2335" s="163" t="s">
        <v>210</v>
      </c>
      <c r="B2335" s="163">
        <v>42336.566653726855</v>
      </c>
      <c r="C2335" s="164" t="s">
        <v>14</v>
      </c>
      <c r="D2335" s="164" t="s">
        <v>15</v>
      </c>
      <c r="E2335" s="165">
        <v>20</v>
      </c>
      <c r="F2335" s="166">
        <v>3.1</v>
      </c>
      <c r="G2335" s="227">
        <f>IF($B$2,IF(ROWS(B$6:$B2335) = 1,$B2335-Start_Date,$B2335-$B2334),"")</f>
        <v>1.2123657412303146E-2</v>
      </c>
      <c r="H2335" s="29">
        <f>IF($B$2,IF(ROWS(B$6:$B2335) = 1,IF(COUNTIFS(R_Schedule_Times,"&lt;"&amp;B2335),INDEX(R_Schedule_Amounts,MATCH(B2335,R_Schedule_Times,1)),Starting_Cash),IF(COUNTIFS(R_Schedule_Times,"&gt;"&amp;B2334,R_Schedule_Times,"&lt;"&amp;B2335),INDEX(R_Schedule_Amounts,MATCH(B2335,R_Schedule_Times,1)),K2334)),"")</f>
        <v>7900</v>
      </c>
      <c r="I2335" s="30">
        <f t="shared" si="180"/>
        <v>20</v>
      </c>
      <c r="J2335" s="31">
        <f t="shared" si="181"/>
        <v>3.1</v>
      </c>
      <c r="K2335" s="29">
        <f t="shared" si="182"/>
        <v>7880</v>
      </c>
      <c r="L2335" s="31" t="str">
        <f t="shared" si="183"/>
        <v/>
      </c>
      <c r="M2335" s="31" t="str">
        <f t="shared" si="184"/>
        <v/>
      </c>
    </row>
    <row r="2336" spans="1:13" x14ac:dyDescent="0.15">
      <c r="A2336" s="163" t="s">
        <v>210</v>
      </c>
      <c r="B2336" s="163">
        <v>42336.579251157411</v>
      </c>
      <c r="C2336" s="164" t="s">
        <v>1784</v>
      </c>
      <c r="D2336" s="164" t="s">
        <v>13</v>
      </c>
      <c r="E2336" s="165">
        <v>100</v>
      </c>
      <c r="F2336" s="166">
        <v>0</v>
      </c>
      <c r="G2336" s="227">
        <f>IF($B$2,IF(ROWS(B$6:$B2336) = 1,$B2336-Start_Date,$B2336-$B2335),"")</f>
        <v>1.2597430555615574E-2</v>
      </c>
      <c r="H2336" s="29">
        <f>IF($B$2,IF(ROWS(B$6:$B2336) = 1,IF(COUNTIFS(R_Schedule_Times,"&lt;"&amp;B2336),INDEX(R_Schedule_Amounts,MATCH(B2336,R_Schedule_Times,1)),Starting_Cash),IF(COUNTIFS(R_Schedule_Times,"&gt;"&amp;B2335,R_Schedule_Times,"&lt;"&amp;B2336),INDEX(R_Schedule_Amounts,MATCH(B2336,R_Schedule_Times,1)),K2335)),"")</f>
        <v>7880</v>
      </c>
      <c r="I2336" s="30">
        <f t="shared" si="180"/>
        <v>100</v>
      </c>
      <c r="J2336" s="31">
        <f t="shared" si="181"/>
        <v>0</v>
      </c>
      <c r="K2336" s="29">
        <f t="shared" si="182"/>
        <v>7780</v>
      </c>
      <c r="L2336" s="31" t="str">
        <f t="shared" si="183"/>
        <v/>
      </c>
      <c r="M2336" s="31" t="str">
        <f t="shared" si="184"/>
        <v/>
      </c>
    </row>
    <row r="2337" spans="1:13" x14ac:dyDescent="0.15">
      <c r="A2337" s="163" t="s">
        <v>210</v>
      </c>
      <c r="B2337" s="163">
        <v>42336.581691203704</v>
      </c>
      <c r="C2337" s="164" t="s">
        <v>255</v>
      </c>
      <c r="D2337" s="164" t="s">
        <v>13</v>
      </c>
      <c r="E2337" s="165">
        <v>40</v>
      </c>
      <c r="F2337" s="166">
        <v>0</v>
      </c>
      <c r="G2337" s="227">
        <f>IF($B$2,IF(ROWS(B$6:$B2337) = 1,$B2337-Start_Date,$B2337-$B2336),"")</f>
        <v>2.4400462934863754E-3</v>
      </c>
      <c r="H2337" s="29">
        <f>IF($B$2,IF(ROWS(B$6:$B2337) = 1,IF(COUNTIFS(R_Schedule_Times,"&lt;"&amp;B2337),INDEX(R_Schedule_Amounts,MATCH(B2337,R_Schedule_Times,1)),Starting_Cash),IF(COUNTIFS(R_Schedule_Times,"&gt;"&amp;B2336,R_Schedule_Times,"&lt;"&amp;B2337),INDEX(R_Schedule_Amounts,MATCH(B2337,R_Schedule_Times,1)),K2336)),"")</f>
        <v>7780</v>
      </c>
      <c r="I2337" s="30">
        <f t="shared" si="180"/>
        <v>40</v>
      </c>
      <c r="J2337" s="31">
        <f t="shared" si="181"/>
        <v>0</v>
      </c>
      <c r="K2337" s="29">
        <f t="shared" si="182"/>
        <v>7740</v>
      </c>
      <c r="L2337" s="31" t="str">
        <f t="shared" si="183"/>
        <v/>
      </c>
      <c r="M2337" s="31" t="str">
        <f t="shared" si="184"/>
        <v/>
      </c>
    </row>
    <row r="2338" spans="1:13" x14ac:dyDescent="0.15">
      <c r="A2338" s="163" t="s">
        <v>210</v>
      </c>
      <c r="B2338" s="163">
        <v>42336.601563067132</v>
      </c>
      <c r="C2338" s="164" t="s">
        <v>2125</v>
      </c>
      <c r="D2338" s="164" t="s">
        <v>13</v>
      </c>
      <c r="E2338" s="165">
        <v>40</v>
      </c>
      <c r="F2338" s="166">
        <v>0</v>
      </c>
      <c r="G2338" s="227">
        <f>IF($B$2,IF(ROWS(B$6:$B2338) = 1,$B2338-Start_Date,$B2338-$B2337),"")</f>
        <v>1.9871863427397329E-2</v>
      </c>
      <c r="H2338" s="29">
        <f>IF($B$2,IF(ROWS(B$6:$B2338) = 1,IF(COUNTIFS(R_Schedule_Times,"&lt;"&amp;B2338),INDEX(R_Schedule_Amounts,MATCH(B2338,R_Schedule_Times,1)),Starting_Cash),IF(COUNTIFS(R_Schedule_Times,"&gt;"&amp;B2337,R_Schedule_Times,"&lt;"&amp;B2338),INDEX(R_Schedule_Amounts,MATCH(B2338,R_Schedule_Times,1)),K2337)),"")</f>
        <v>7740</v>
      </c>
      <c r="I2338" s="30">
        <f t="shared" si="180"/>
        <v>40</v>
      </c>
      <c r="J2338" s="31">
        <f t="shared" si="181"/>
        <v>0</v>
      </c>
      <c r="K2338" s="29">
        <f t="shared" si="182"/>
        <v>7700</v>
      </c>
      <c r="L2338" s="31" t="str">
        <f t="shared" si="183"/>
        <v/>
      </c>
      <c r="M2338" s="31" t="str">
        <f t="shared" si="184"/>
        <v/>
      </c>
    </row>
    <row r="2339" spans="1:13" x14ac:dyDescent="0.15">
      <c r="A2339" s="163" t="s">
        <v>210</v>
      </c>
      <c r="B2339" s="163">
        <v>42336.6080377662</v>
      </c>
      <c r="C2339" s="164" t="s">
        <v>479</v>
      </c>
      <c r="D2339" s="164" t="s">
        <v>13</v>
      </c>
      <c r="E2339" s="165">
        <v>140</v>
      </c>
      <c r="F2339" s="166">
        <v>0</v>
      </c>
      <c r="G2339" s="227">
        <f>IF($B$2,IF(ROWS(B$6:$B2339) = 1,$B2339-Start_Date,$B2339-$B2338),"")</f>
        <v>6.4746990683488548E-3</v>
      </c>
      <c r="H2339" s="29">
        <f>IF($B$2,IF(ROWS(B$6:$B2339) = 1,IF(COUNTIFS(R_Schedule_Times,"&lt;"&amp;B2339),INDEX(R_Schedule_Amounts,MATCH(B2339,R_Schedule_Times,1)),Starting_Cash),IF(COUNTIFS(R_Schedule_Times,"&gt;"&amp;B2338,R_Schedule_Times,"&lt;"&amp;B2339),INDEX(R_Schedule_Amounts,MATCH(B2339,R_Schedule_Times,1)),K2338)),"")</f>
        <v>7700</v>
      </c>
      <c r="I2339" s="30">
        <f t="shared" si="180"/>
        <v>140</v>
      </c>
      <c r="J2339" s="31">
        <f t="shared" si="181"/>
        <v>0</v>
      </c>
      <c r="K2339" s="29">
        <f t="shared" si="182"/>
        <v>7560</v>
      </c>
      <c r="L2339" s="31" t="str">
        <f t="shared" si="183"/>
        <v/>
      </c>
      <c r="M2339" s="31" t="str">
        <f t="shared" si="184"/>
        <v/>
      </c>
    </row>
    <row r="2340" spans="1:13" x14ac:dyDescent="0.15">
      <c r="A2340" s="163" t="s">
        <v>210</v>
      </c>
      <c r="B2340" s="163">
        <v>42336.616483252314</v>
      </c>
      <c r="C2340" s="164" t="s">
        <v>14</v>
      </c>
      <c r="D2340" s="164" t="s">
        <v>13</v>
      </c>
      <c r="E2340" s="165">
        <v>80</v>
      </c>
      <c r="F2340" s="166">
        <v>3.5</v>
      </c>
      <c r="G2340" s="227">
        <f>IF($B$2,IF(ROWS(B$6:$B2340) = 1,$B2340-Start_Date,$B2340-$B2339),"")</f>
        <v>8.4454861134872772E-3</v>
      </c>
      <c r="H2340" s="29">
        <f>IF($B$2,IF(ROWS(B$6:$B2340) = 1,IF(COUNTIFS(R_Schedule_Times,"&lt;"&amp;B2340),INDEX(R_Schedule_Amounts,MATCH(B2340,R_Schedule_Times,1)),Starting_Cash),IF(COUNTIFS(R_Schedule_Times,"&gt;"&amp;B2339,R_Schedule_Times,"&lt;"&amp;B2340),INDEX(R_Schedule_Amounts,MATCH(B2340,R_Schedule_Times,1)),K2339)),"")</f>
        <v>7560</v>
      </c>
      <c r="I2340" s="30">
        <f t="shared" si="180"/>
        <v>80</v>
      </c>
      <c r="J2340" s="31">
        <f t="shared" si="181"/>
        <v>3.5</v>
      </c>
      <c r="K2340" s="29">
        <f t="shared" si="182"/>
        <v>7480</v>
      </c>
      <c r="L2340" s="31" t="str">
        <f t="shared" si="183"/>
        <v/>
      </c>
      <c r="M2340" s="31" t="str">
        <f t="shared" si="184"/>
        <v/>
      </c>
    </row>
    <row r="2341" spans="1:13" x14ac:dyDescent="0.15">
      <c r="A2341" s="163" t="s">
        <v>210</v>
      </c>
      <c r="B2341" s="163">
        <v>42336.645949120371</v>
      </c>
      <c r="C2341" s="164" t="s">
        <v>2126</v>
      </c>
      <c r="D2341" s="164" t="s">
        <v>13</v>
      </c>
      <c r="E2341" s="165">
        <v>60</v>
      </c>
      <c r="F2341" s="166">
        <v>0</v>
      </c>
      <c r="G2341" s="227">
        <f>IF($B$2,IF(ROWS(B$6:$B2341) = 1,$B2341-Start_Date,$B2341-$B2340),"")</f>
        <v>2.9465868057741318E-2</v>
      </c>
      <c r="H2341" s="29">
        <f>IF($B$2,IF(ROWS(B$6:$B2341) = 1,IF(COUNTIFS(R_Schedule_Times,"&lt;"&amp;B2341),INDEX(R_Schedule_Amounts,MATCH(B2341,R_Schedule_Times,1)),Starting_Cash),IF(COUNTIFS(R_Schedule_Times,"&gt;"&amp;B2340,R_Schedule_Times,"&lt;"&amp;B2341),INDEX(R_Schedule_Amounts,MATCH(B2341,R_Schedule_Times,1)),K2340)),"")</f>
        <v>7480</v>
      </c>
      <c r="I2341" s="30">
        <f t="shared" si="180"/>
        <v>60</v>
      </c>
      <c r="J2341" s="31">
        <f t="shared" si="181"/>
        <v>0</v>
      </c>
      <c r="K2341" s="29">
        <f t="shared" si="182"/>
        <v>7420</v>
      </c>
      <c r="L2341" s="31" t="str">
        <f t="shared" si="183"/>
        <v/>
      </c>
      <c r="M2341" s="31" t="str">
        <f t="shared" si="184"/>
        <v/>
      </c>
    </row>
    <row r="2342" spans="1:13" x14ac:dyDescent="0.15">
      <c r="A2342" s="163" t="s">
        <v>210</v>
      </c>
      <c r="B2342" s="163">
        <v>42336.651590717593</v>
      </c>
      <c r="C2342" s="164" t="s">
        <v>2127</v>
      </c>
      <c r="D2342" s="164" t="s">
        <v>13</v>
      </c>
      <c r="E2342" s="165">
        <v>80</v>
      </c>
      <c r="F2342" s="166">
        <v>0</v>
      </c>
      <c r="G2342" s="227">
        <f>IF($B$2,IF(ROWS(B$6:$B2342) = 1,$B2342-Start_Date,$B2342-$B2341),"")</f>
        <v>5.6415972212562338E-3</v>
      </c>
      <c r="H2342" s="29">
        <f>IF($B$2,IF(ROWS(B$6:$B2342) = 1,IF(COUNTIFS(R_Schedule_Times,"&lt;"&amp;B2342),INDEX(R_Schedule_Amounts,MATCH(B2342,R_Schedule_Times,1)),Starting_Cash),IF(COUNTIFS(R_Schedule_Times,"&gt;"&amp;B2341,R_Schedule_Times,"&lt;"&amp;B2342),INDEX(R_Schedule_Amounts,MATCH(B2342,R_Schedule_Times,1)),K2341)),"")</f>
        <v>7420</v>
      </c>
      <c r="I2342" s="30">
        <f t="shared" si="180"/>
        <v>80</v>
      </c>
      <c r="J2342" s="31">
        <f t="shared" si="181"/>
        <v>0</v>
      </c>
      <c r="K2342" s="29">
        <f t="shared" si="182"/>
        <v>7340</v>
      </c>
      <c r="L2342" s="31" t="str">
        <f t="shared" si="183"/>
        <v/>
      </c>
      <c r="M2342" s="31" t="str">
        <f t="shared" si="184"/>
        <v/>
      </c>
    </row>
    <row r="2343" spans="1:13" x14ac:dyDescent="0.15">
      <c r="A2343" s="163" t="s">
        <v>210</v>
      </c>
      <c r="B2343" s="163">
        <v>42336.676250405093</v>
      </c>
      <c r="C2343" s="164" t="s">
        <v>225</v>
      </c>
      <c r="D2343" s="164" t="s">
        <v>13</v>
      </c>
      <c r="E2343" s="165">
        <v>60</v>
      </c>
      <c r="F2343" s="166">
        <v>0</v>
      </c>
      <c r="G2343" s="227">
        <f>IF($B$2,IF(ROWS(B$6:$B2343) = 1,$B2343-Start_Date,$B2343-$B2342),"")</f>
        <v>2.4659687500388827E-2</v>
      </c>
      <c r="H2343" s="29">
        <f>IF($B$2,IF(ROWS(B$6:$B2343) = 1,IF(COUNTIFS(R_Schedule_Times,"&lt;"&amp;B2343),INDEX(R_Schedule_Amounts,MATCH(B2343,R_Schedule_Times,1)),Starting_Cash),IF(COUNTIFS(R_Schedule_Times,"&gt;"&amp;B2342,R_Schedule_Times,"&lt;"&amp;B2343),INDEX(R_Schedule_Amounts,MATCH(B2343,R_Schedule_Times,1)),K2342)),"")</f>
        <v>7340</v>
      </c>
      <c r="I2343" s="30">
        <f t="shared" si="180"/>
        <v>60</v>
      </c>
      <c r="J2343" s="31">
        <f t="shared" si="181"/>
        <v>0</v>
      </c>
      <c r="K2343" s="29">
        <f t="shared" si="182"/>
        <v>7280</v>
      </c>
      <c r="L2343" s="31" t="str">
        <f t="shared" si="183"/>
        <v/>
      </c>
      <c r="M2343" s="31" t="str">
        <f t="shared" si="184"/>
        <v/>
      </c>
    </row>
    <row r="2344" spans="1:13" x14ac:dyDescent="0.15">
      <c r="A2344" s="163" t="s">
        <v>210</v>
      </c>
      <c r="B2344" s="163">
        <v>42336.730807442131</v>
      </c>
      <c r="C2344" s="164" t="s">
        <v>2128</v>
      </c>
      <c r="D2344" s="164" t="s">
        <v>13</v>
      </c>
      <c r="E2344" s="165">
        <v>40</v>
      </c>
      <c r="F2344" s="166">
        <v>0</v>
      </c>
      <c r="G2344" s="227">
        <f>IF($B$2,IF(ROWS(B$6:$B2344) = 1,$B2344-Start_Date,$B2344-$B2343),"")</f>
        <v>5.4557037037739065E-2</v>
      </c>
      <c r="H2344" s="29">
        <f>IF($B$2,IF(ROWS(B$6:$B2344) = 1,IF(COUNTIFS(R_Schedule_Times,"&lt;"&amp;B2344),INDEX(R_Schedule_Amounts,MATCH(B2344,R_Schedule_Times,1)),Starting_Cash),IF(COUNTIFS(R_Schedule_Times,"&gt;"&amp;B2343,R_Schedule_Times,"&lt;"&amp;B2344),INDEX(R_Schedule_Amounts,MATCH(B2344,R_Schedule_Times,1)),K2343)),"")</f>
        <v>7280</v>
      </c>
      <c r="I2344" s="30">
        <f t="shared" si="180"/>
        <v>40</v>
      </c>
      <c r="J2344" s="31">
        <f t="shared" si="181"/>
        <v>0</v>
      </c>
      <c r="K2344" s="29">
        <f t="shared" si="182"/>
        <v>7240</v>
      </c>
      <c r="L2344" s="31" t="str">
        <f t="shared" si="183"/>
        <v/>
      </c>
      <c r="M2344" s="31" t="str">
        <f t="shared" si="184"/>
        <v/>
      </c>
    </row>
    <row r="2345" spans="1:13" x14ac:dyDescent="0.15">
      <c r="A2345" s="163" t="s">
        <v>210</v>
      </c>
      <c r="B2345" s="163">
        <v>42336.760721435188</v>
      </c>
      <c r="C2345" s="164" t="s">
        <v>2129</v>
      </c>
      <c r="D2345" s="164" t="s">
        <v>13</v>
      </c>
      <c r="E2345" s="165">
        <v>500</v>
      </c>
      <c r="F2345" s="166">
        <v>0</v>
      </c>
      <c r="G2345" s="227">
        <f>IF($B$2,IF(ROWS(B$6:$B2345) = 1,$B2345-Start_Date,$B2345-$B2344),"")</f>
        <v>2.9913993057562038E-2</v>
      </c>
      <c r="H2345" s="29">
        <f>IF($B$2,IF(ROWS(B$6:$B2345) = 1,IF(COUNTIFS(R_Schedule_Times,"&lt;"&amp;B2345),INDEX(R_Schedule_Amounts,MATCH(B2345,R_Schedule_Times,1)),Starting_Cash),IF(COUNTIFS(R_Schedule_Times,"&gt;"&amp;B2344,R_Schedule_Times,"&lt;"&amp;B2345),INDEX(R_Schedule_Amounts,MATCH(B2345,R_Schedule_Times,1)),K2344)),"")</f>
        <v>7240</v>
      </c>
      <c r="I2345" s="30">
        <f t="shared" si="180"/>
        <v>500</v>
      </c>
      <c r="J2345" s="31">
        <f t="shared" si="181"/>
        <v>0</v>
      </c>
      <c r="K2345" s="29">
        <f t="shared" si="182"/>
        <v>6740</v>
      </c>
      <c r="L2345" s="31" t="str">
        <f t="shared" si="183"/>
        <v/>
      </c>
      <c r="M2345" s="31" t="str">
        <f t="shared" si="184"/>
        <v/>
      </c>
    </row>
    <row r="2346" spans="1:13" x14ac:dyDescent="0.15">
      <c r="A2346" s="163" t="s">
        <v>210</v>
      </c>
      <c r="B2346" s="163">
        <v>42336.783571018517</v>
      </c>
      <c r="C2346" s="164" t="s">
        <v>602</v>
      </c>
      <c r="D2346" s="164" t="s">
        <v>13</v>
      </c>
      <c r="E2346" s="165">
        <v>20</v>
      </c>
      <c r="F2346" s="166">
        <v>0</v>
      </c>
      <c r="G2346" s="227">
        <f>IF($B$2,IF(ROWS(B$6:$B2346) = 1,$B2346-Start_Date,$B2346-$B2345),"")</f>
        <v>2.2849583328934386E-2</v>
      </c>
      <c r="H2346" s="29">
        <f>IF($B$2,IF(ROWS(B$6:$B2346) = 1,IF(COUNTIFS(R_Schedule_Times,"&lt;"&amp;B2346),INDEX(R_Schedule_Amounts,MATCH(B2346,R_Schedule_Times,1)),Starting_Cash),IF(COUNTIFS(R_Schedule_Times,"&gt;"&amp;B2345,R_Schedule_Times,"&lt;"&amp;B2346),INDEX(R_Schedule_Amounts,MATCH(B2346,R_Schedule_Times,1)),K2345)),"")</f>
        <v>6740</v>
      </c>
      <c r="I2346" s="30">
        <f t="shared" si="180"/>
        <v>20</v>
      </c>
      <c r="J2346" s="31">
        <f t="shared" si="181"/>
        <v>0</v>
      </c>
      <c r="K2346" s="29">
        <f t="shared" si="182"/>
        <v>6720</v>
      </c>
      <c r="L2346" s="31" t="str">
        <f t="shared" si="183"/>
        <v/>
      </c>
      <c r="M2346" s="31" t="str">
        <f t="shared" si="184"/>
        <v/>
      </c>
    </row>
    <row r="2347" spans="1:13" x14ac:dyDescent="0.15">
      <c r="A2347" s="163" t="s">
        <v>210</v>
      </c>
      <c r="B2347" s="163">
        <v>42336.787112939812</v>
      </c>
      <c r="C2347" s="164" t="s">
        <v>2130</v>
      </c>
      <c r="D2347" s="164" t="s">
        <v>13</v>
      </c>
      <c r="E2347" s="165">
        <v>40</v>
      </c>
      <c r="F2347" s="166">
        <v>0</v>
      </c>
      <c r="G2347" s="227">
        <f>IF($B$2,IF(ROWS(B$6:$B2347) = 1,$B2347-Start_Date,$B2347-$B2346),"")</f>
        <v>3.5419212945271283E-3</v>
      </c>
      <c r="H2347" s="29">
        <f>IF($B$2,IF(ROWS(B$6:$B2347) = 1,IF(COUNTIFS(R_Schedule_Times,"&lt;"&amp;B2347),INDEX(R_Schedule_Amounts,MATCH(B2347,R_Schedule_Times,1)),Starting_Cash),IF(COUNTIFS(R_Schedule_Times,"&gt;"&amp;B2346,R_Schedule_Times,"&lt;"&amp;B2347),INDEX(R_Schedule_Amounts,MATCH(B2347,R_Schedule_Times,1)),K2346)),"")</f>
        <v>6720</v>
      </c>
      <c r="I2347" s="30">
        <f t="shared" si="180"/>
        <v>40</v>
      </c>
      <c r="J2347" s="31">
        <f t="shared" si="181"/>
        <v>0</v>
      </c>
      <c r="K2347" s="29">
        <f t="shared" si="182"/>
        <v>6680</v>
      </c>
      <c r="L2347" s="31" t="str">
        <f t="shared" si="183"/>
        <v/>
      </c>
      <c r="M2347" s="31" t="str">
        <f t="shared" si="184"/>
        <v/>
      </c>
    </row>
    <row r="2348" spans="1:13" x14ac:dyDescent="0.15">
      <c r="A2348" s="163" t="s">
        <v>210</v>
      </c>
      <c r="B2348" s="163">
        <v>42336.824418946759</v>
      </c>
      <c r="C2348" s="164" t="s">
        <v>14</v>
      </c>
      <c r="D2348" s="164" t="s">
        <v>15</v>
      </c>
      <c r="E2348" s="165">
        <v>60</v>
      </c>
      <c r="F2348" s="166">
        <v>4.3</v>
      </c>
      <c r="G2348" s="227">
        <f>IF($B$2,IF(ROWS(B$6:$B2348) = 1,$B2348-Start_Date,$B2348-$B2347),"")</f>
        <v>3.7306006946892012E-2</v>
      </c>
      <c r="H2348" s="29">
        <f>IF($B$2,IF(ROWS(B$6:$B2348) = 1,IF(COUNTIFS(R_Schedule_Times,"&lt;"&amp;B2348),INDEX(R_Schedule_Amounts,MATCH(B2348,R_Schedule_Times,1)),Starting_Cash),IF(COUNTIFS(R_Schedule_Times,"&gt;"&amp;B2347,R_Schedule_Times,"&lt;"&amp;B2348),INDEX(R_Schedule_Amounts,MATCH(B2348,R_Schedule_Times,1)),K2347)),"")</f>
        <v>6680</v>
      </c>
      <c r="I2348" s="30">
        <f t="shared" si="180"/>
        <v>60</v>
      </c>
      <c r="J2348" s="31">
        <f t="shared" si="181"/>
        <v>4.3</v>
      </c>
      <c r="K2348" s="29">
        <f t="shared" si="182"/>
        <v>6620</v>
      </c>
      <c r="L2348" s="31" t="str">
        <f t="shared" si="183"/>
        <v/>
      </c>
      <c r="M2348" s="31" t="str">
        <f t="shared" si="184"/>
        <v/>
      </c>
    </row>
    <row r="2349" spans="1:13" x14ac:dyDescent="0.15">
      <c r="A2349" s="163" t="s">
        <v>210</v>
      </c>
      <c r="B2349" s="163">
        <v>42336.82973229167</v>
      </c>
      <c r="C2349" s="164" t="s">
        <v>14</v>
      </c>
      <c r="D2349" s="164" t="s">
        <v>13</v>
      </c>
      <c r="E2349" s="165">
        <v>200</v>
      </c>
      <c r="F2349" s="166">
        <v>3.5</v>
      </c>
      <c r="G2349" s="227">
        <f>IF($B$2,IF(ROWS(B$6:$B2349) = 1,$B2349-Start_Date,$B2349-$B2348),"")</f>
        <v>5.313344910973683E-3</v>
      </c>
      <c r="H2349" s="29">
        <f>IF($B$2,IF(ROWS(B$6:$B2349) = 1,IF(COUNTIFS(R_Schedule_Times,"&lt;"&amp;B2349),INDEX(R_Schedule_Amounts,MATCH(B2349,R_Schedule_Times,1)),Starting_Cash),IF(COUNTIFS(R_Schedule_Times,"&gt;"&amp;B2348,R_Schedule_Times,"&lt;"&amp;B2349),INDEX(R_Schedule_Amounts,MATCH(B2349,R_Schedule_Times,1)),K2348)),"")</f>
        <v>6620</v>
      </c>
      <c r="I2349" s="30">
        <f t="shared" si="180"/>
        <v>200</v>
      </c>
      <c r="J2349" s="31">
        <f t="shared" si="181"/>
        <v>3.5</v>
      </c>
      <c r="K2349" s="29">
        <f t="shared" si="182"/>
        <v>6420</v>
      </c>
      <c r="L2349" s="31" t="str">
        <f t="shared" si="183"/>
        <v/>
      </c>
      <c r="M2349" s="31" t="str">
        <f t="shared" si="184"/>
        <v/>
      </c>
    </row>
    <row r="2350" spans="1:13" x14ac:dyDescent="0.15">
      <c r="A2350" s="163" t="s">
        <v>210</v>
      </c>
      <c r="B2350" s="163">
        <v>42336.853334513886</v>
      </c>
      <c r="C2350" s="164" t="s">
        <v>2131</v>
      </c>
      <c r="D2350" s="164" t="s">
        <v>13</v>
      </c>
      <c r="E2350" s="165">
        <v>40</v>
      </c>
      <c r="F2350" s="166">
        <v>0</v>
      </c>
      <c r="G2350" s="227">
        <f>IF($B$2,IF(ROWS(B$6:$B2350) = 1,$B2350-Start_Date,$B2350-$B2349),"")</f>
        <v>2.3602222216140945E-2</v>
      </c>
      <c r="H2350" s="29">
        <f>IF($B$2,IF(ROWS(B$6:$B2350) = 1,IF(COUNTIFS(R_Schedule_Times,"&lt;"&amp;B2350),INDEX(R_Schedule_Amounts,MATCH(B2350,R_Schedule_Times,1)),Starting_Cash),IF(COUNTIFS(R_Schedule_Times,"&gt;"&amp;B2349,R_Schedule_Times,"&lt;"&amp;B2350),INDEX(R_Schedule_Amounts,MATCH(B2350,R_Schedule_Times,1)),K2349)),"")</f>
        <v>6420</v>
      </c>
      <c r="I2350" s="30">
        <f t="shared" si="180"/>
        <v>40</v>
      </c>
      <c r="J2350" s="31">
        <f t="shared" si="181"/>
        <v>0</v>
      </c>
      <c r="K2350" s="29">
        <f t="shared" si="182"/>
        <v>6380</v>
      </c>
      <c r="L2350" s="31" t="str">
        <f t="shared" si="183"/>
        <v/>
      </c>
      <c r="M2350" s="31" t="str">
        <f t="shared" si="184"/>
        <v/>
      </c>
    </row>
    <row r="2351" spans="1:13" x14ac:dyDescent="0.15">
      <c r="A2351" s="163" t="s">
        <v>210</v>
      </c>
      <c r="B2351" s="163">
        <v>42336.893547951389</v>
      </c>
      <c r="C2351" s="164" t="s">
        <v>480</v>
      </c>
      <c r="D2351" s="164" t="s">
        <v>13</v>
      </c>
      <c r="E2351" s="165">
        <v>40</v>
      </c>
      <c r="F2351" s="166">
        <v>0</v>
      </c>
      <c r="G2351" s="227">
        <f>IF($B$2,IF(ROWS(B$6:$B2351) = 1,$B2351-Start_Date,$B2351-$B2350),"")</f>
        <v>4.0213437503552996E-2</v>
      </c>
      <c r="H2351" s="29">
        <f>IF($B$2,IF(ROWS(B$6:$B2351) = 1,IF(COUNTIFS(R_Schedule_Times,"&lt;"&amp;B2351),INDEX(R_Schedule_Amounts,MATCH(B2351,R_Schedule_Times,1)),Starting_Cash),IF(COUNTIFS(R_Schedule_Times,"&gt;"&amp;B2350,R_Schedule_Times,"&lt;"&amp;B2351),INDEX(R_Schedule_Amounts,MATCH(B2351,R_Schedule_Times,1)),K2350)),"")</f>
        <v>6380</v>
      </c>
      <c r="I2351" s="30">
        <f t="shared" si="180"/>
        <v>40</v>
      </c>
      <c r="J2351" s="31">
        <f t="shared" si="181"/>
        <v>0</v>
      </c>
      <c r="K2351" s="29">
        <f t="shared" si="182"/>
        <v>6340</v>
      </c>
      <c r="L2351" s="31" t="str">
        <f t="shared" si="183"/>
        <v/>
      </c>
      <c r="M2351" s="31" t="str">
        <f t="shared" si="184"/>
        <v/>
      </c>
    </row>
    <row r="2352" spans="1:13" x14ac:dyDescent="0.15">
      <c r="A2352" s="163" t="s">
        <v>210</v>
      </c>
      <c r="B2352" s="163">
        <v>42336.91259010417</v>
      </c>
      <c r="C2352" s="164" t="s">
        <v>2132</v>
      </c>
      <c r="D2352" s="164" t="s">
        <v>13</v>
      </c>
      <c r="E2352" s="165">
        <v>60</v>
      </c>
      <c r="F2352" s="166">
        <v>0</v>
      </c>
      <c r="G2352" s="227">
        <f>IF($B$2,IF(ROWS(B$6:$B2352) = 1,$B2352-Start_Date,$B2352-$B2351),"")</f>
        <v>1.90421527804574E-2</v>
      </c>
      <c r="H2352" s="29">
        <f>IF($B$2,IF(ROWS(B$6:$B2352) = 1,IF(COUNTIFS(R_Schedule_Times,"&lt;"&amp;B2352),INDEX(R_Schedule_Amounts,MATCH(B2352,R_Schedule_Times,1)),Starting_Cash),IF(COUNTIFS(R_Schedule_Times,"&gt;"&amp;B2351,R_Schedule_Times,"&lt;"&amp;B2352),INDEX(R_Schedule_Amounts,MATCH(B2352,R_Schedule_Times,1)),K2351)),"")</f>
        <v>6340</v>
      </c>
      <c r="I2352" s="30">
        <f t="shared" si="180"/>
        <v>60</v>
      </c>
      <c r="J2352" s="31">
        <f t="shared" si="181"/>
        <v>0</v>
      </c>
      <c r="K2352" s="29">
        <f t="shared" si="182"/>
        <v>6280</v>
      </c>
      <c r="L2352" s="31" t="str">
        <f t="shared" si="183"/>
        <v/>
      </c>
      <c r="M2352" s="31" t="str">
        <f t="shared" si="184"/>
        <v/>
      </c>
    </row>
    <row r="2353" spans="1:13" x14ac:dyDescent="0.15">
      <c r="A2353" s="163" t="s">
        <v>210</v>
      </c>
      <c r="B2353" s="163">
        <v>42336.91853667824</v>
      </c>
      <c r="C2353" s="164" t="s">
        <v>481</v>
      </c>
      <c r="D2353" s="164" t="s">
        <v>13</v>
      </c>
      <c r="E2353" s="165">
        <v>60</v>
      </c>
      <c r="F2353" s="166">
        <v>0</v>
      </c>
      <c r="G2353" s="227">
        <f>IF($B$2,IF(ROWS(B$6:$B2353) = 1,$B2353-Start_Date,$B2353-$B2352),"")</f>
        <v>5.9465740705491044E-3</v>
      </c>
      <c r="H2353" s="29">
        <f>IF($B$2,IF(ROWS(B$6:$B2353) = 1,IF(COUNTIFS(R_Schedule_Times,"&lt;"&amp;B2353),INDEX(R_Schedule_Amounts,MATCH(B2353,R_Schedule_Times,1)),Starting_Cash),IF(COUNTIFS(R_Schedule_Times,"&gt;"&amp;B2352,R_Schedule_Times,"&lt;"&amp;B2353),INDEX(R_Schedule_Amounts,MATCH(B2353,R_Schedule_Times,1)),K2352)),"")</f>
        <v>6280</v>
      </c>
      <c r="I2353" s="30">
        <f t="shared" si="180"/>
        <v>60</v>
      </c>
      <c r="J2353" s="31">
        <f t="shared" si="181"/>
        <v>0</v>
      </c>
      <c r="K2353" s="29">
        <f t="shared" si="182"/>
        <v>6220</v>
      </c>
      <c r="L2353" s="31" t="str">
        <f t="shared" si="183"/>
        <v/>
      </c>
      <c r="M2353" s="31" t="str">
        <f t="shared" si="184"/>
        <v/>
      </c>
    </row>
    <row r="2354" spans="1:13" x14ac:dyDescent="0.15">
      <c r="A2354" s="163" t="s">
        <v>210</v>
      </c>
      <c r="B2354" s="163">
        <v>42336.951155138886</v>
      </c>
      <c r="C2354" s="164" t="s">
        <v>2133</v>
      </c>
      <c r="D2354" s="164" t="s">
        <v>13</v>
      </c>
      <c r="E2354" s="165">
        <v>100</v>
      </c>
      <c r="F2354" s="166">
        <v>0</v>
      </c>
      <c r="G2354" s="227">
        <f>IF($B$2,IF(ROWS(B$6:$B2354) = 1,$B2354-Start_Date,$B2354-$B2353),"")</f>
        <v>3.2618460645608138E-2</v>
      </c>
      <c r="H2354" s="29">
        <f>IF($B$2,IF(ROWS(B$6:$B2354) = 1,IF(COUNTIFS(R_Schedule_Times,"&lt;"&amp;B2354),INDEX(R_Schedule_Amounts,MATCH(B2354,R_Schedule_Times,1)),Starting_Cash),IF(COUNTIFS(R_Schedule_Times,"&gt;"&amp;B2353,R_Schedule_Times,"&lt;"&amp;B2354),INDEX(R_Schedule_Amounts,MATCH(B2354,R_Schedule_Times,1)),K2353)),"")</f>
        <v>6220</v>
      </c>
      <c r="I2354" s="30">
        <f t="shared" si="180"/>
        <v>100</v>
      </c>
      <c r="J2354" s="31">
        <f t="shared" si="181"/>
        <v>0</v>
      </c>
      <c r="K2354" s="29">
        <f t="shared" si="182"/>
        <v>6120</v>
      </c>
      <c r="L2354" s="31" t="str">
        <f t="shared" si="183"/>
        <v/>
      </c>
      <c r="M2354" s="31" t="str">
        <f t="shared" si="184"/>
        <v/>
      </c>
    </row>
    <row r="2355" spans="1:13" x14ac:dyDescent="0.15">
      <c r="A2355" s="163" t="s">
        <v>210</v>
      </c>
      <c r="B2355" s="163">
        <v>42337.042279872687</v>
      </c>
      <c r="C2355" s="164" t="s">
        <v>1865</v>
      </c>
      <c r="D2355" s="164" t="s">
        <v>13</v>
      </c>
      <c r="E2355" s="165">
        <v>20</v>
      </c>
      <c r="F2355" s="166">
        <v>0</v>
      </c>
      <c r="G2355" s="227">
        <f>IF($B$2,IF(ROWS(B$6:$B2355) = 1,$B2355-Start_Date,$B2355-$B2354),"")</f>
        <v>9.1124733800825197E-2</v>
      </c>
      <c r="H2355" s="29">
        <f>IF($B$2,IF(ROWS(B$6:$B2355) = 1,IF(COUNTIFS(R_Schedule_Times,"&lt;"&amp;B2355),INDEX(R_Schedule_Amounts,MATCH(B2355,R_Schedule_Times,1)),Starting_Cash),IF(COUNTIFS(R_Schedule_Times,"&gt;"&amp;B2354,R_Schedule_Times,"&lt;"&amp;B2355),INDEX(R_Schedule_Amounts,MATCH(B2355,R_Schedule_Times,1)),K2354)),"")</f>
        <v>6120</v>
      </c>
      <c r="I2355" s="30">
        <f t="shared" si="180"/>
        <v>20</v>
      </c>
      <c r="J2355" s="31">
        <f t="shared" si="181"/>
        <v>0</v>
      </c>
      <c r="K2355" s="29">
        <f t="shared" si="182"/>
        <v>6100</v>
      </c>
      <c r="L2355" s="31" t="str">
        <f t="shared" si="183"/>
        <v/>
      </c>
      <c r="M2355" s="31" t="str">
        <f t="shared" si="184"/>
        <v/>
      </c>
    </row>
    <row r="2356" spans="1:13" x14ac:dyDescent="0.15">
      <c r="A2356" s="163" t="s">
        <v>210</v>
      </c>
      <c r="B2356" s="163">
        <v>42337.342590381944</v>
      </c>
      <c r="C2356" s="164" t="s">
        <v>2134</v>
      </c>
      <c r="D2356" s="164" t="s">
        <v>13</v>
      </c>
      <c r="E2356" s="165">
        <v>100</v>
      </c>
      <c r="F2356" s="166">
        <v>0</v>
      </c>
      <c r="G2356" s="227">
        <f>IF($B$2,IF(ROWS(B$6:$B2356) = 1,$B2356-Start_Date,$B2356-$B2355),"")</f>
        <v>0.30031050925754244</v>
      </c>
      <c r="H2356" s="29">
        <f>IF($B$2,IF(ROWS(B$6:$B2356) = 1,IF(COUNTIFS(R_Schedule_Times,"&lt;"&amp;B2356),INDEX(R_Schedule_Amounts,MATCH(B2356,R_Schedule_Times,1)),Starting_Cash),IF(COUNTIFS(R_Schedule_Times,"&gt;"&amp;B2355,R_Schedule_Times,"&lt;"&amp;B2356),INDEX(R_Schedule_Amounts,MATCH(B2356,R_Schedule_Times,1)),K2355)),"")</f>
        <v>6100</v>
      </c>
      <c r="I2356" s="30">
        <f t="shared" si="180"/>
        <v>100</v>
      </c>
      <c r="J2356" s="31">
        <f t="shared" si="181"/>
        <v>0</v>
      </c>
      <c r="K2356" s="29">
        <f t="shared" si="182"/>
        <v>6000</v>
      </c>
      <c r="L2356" s="31" t="str">
        <f t="shared" si="183"/>
        <v/>
      </c>
      <c r="M2356" s="31" t="str">
        <f t="shared" si="184"/>
        <v/>
      </c>
    </row>
    <row r="2357" spans="1:13" x14ac:dyDescent="0.15">
      <c r="A2357" s="163" t="s">
        <v>210</v>
      </c>
      <c r="B2357" s="163">
        <v>42337.416390474536</v>
      </c>
      <c r="C2357" s="164" t="s">
        <v>235</v>
      </c>
      <c r="D2357" s="164" t="s">
        <v>13</v>
      </c>
      <c r="E2357" s="165">
        <v>40</v>
      </c>
      <c r="F2357" s="166">
        <v>0</v>
      </c>
      <c r="G2357" s="227">
        <f>IF($B$2,IF(ROWS(B$6:$B2357) = 1,$B2357-Start_Date,$B2357-$B2356),"")</f>
        <v>7.3800092592136934E-2</v>
      </c>
      <c r="H2357" s="29">
        <f>IF($B$2,IF(ROWS(B$6:$B2357) = 1,IF(COUNTIFS(R_Schedule_Times,"&lt;"&amp;B2357),INDEX(R_Schedule_Amounts,MATCH(B2357,R_Schedule_Times,1)),Starting_Cash),IF(COUNTIFS(R_Schedule_Times,"&gt;"&amp;B2356,R_Schedule_Times,"&lt;"&amp;B2357),INDEX(R_Schedule_Amounts,MATCH(B2357,R_Schedule_Times,1)),K2356)),"")</f>
        <v>6000</v>
      </c>
      <c r="I2357" s="30">
        <f t="shared" si="180"/>
        <v>40</v>
      </c>
      <c r="J2357" s="31">
        <f t="shared" si="181"/>
        <v>0</v>
      </c>
      <c r="K2357" s="29">
        <f t="shared" si="182"/>
        <v>5960</v>
      </c>
      <c r="L2357" s="31" t="str">
        <f t="shared" si="183"/>
        <v/>
      </c>
      <c r="M2357" s="31" t="str">
        <f t="shared" si="184"/>
        <v/>
      </c>
    </row>
    <row r="2358" spans="1:13" x14ac:dyDescent="0.15">
      <c r="A2358" s="163" t="s">
        <v>210</v>
      </c>
      <c r="B2358" s="163">
        <v>42337.423729780094</v>
      </c>
      <c r="C2358" s="164" t="s">
        <v>2135</v>
      </c>
      <c r="D2358" s="164" t="s">
        <v>13</v>
      </c>
      <c r="E2358" s="165">
        <v>100</v>
      </c>
      <c r="F2358" s="166">
        <v>0</v>
      </c>
      <c r="G2358" s="227">
        <f>IF($B$2,IF(ROWS(B$6:$B2358) = 1,$B2358-Start_Date,$B2358-$B2357),"")</f>
        <v>7.3393055572523735E-3</v>
      </c>
      <c r="H2358" s="29">
        <f>IF($B$2,IF(ROWS(B$6:$B2358) = 1,IF(COUNTIFS(R_Schedule_Times,"&lt;"&amp;B2358),INDEX(R_Schedule_Amounts,MATCH(B2358,R_Schedule_Times,1)),Starting_Cash),IF(COUNTIFS(R_Schedule_Times,"&gt;"&amp;B2357,R_Schedule_Times,"&lt;"&amp;B2358),INDEX(R_Schedule_Amounts,MATCH(B2358,R_Schedule_Times,1)),K2357)),"")</f>
        <v>5960</v>
      </c>
      <c r="I2358" s="30">
        <f t="shared" si="180"/>
        <v>100</v>
      </c>
      <c r="J2358" s="31">
        <f t="shared" si="181"/>
        <v>0</v>
      </c>
      <c r="K2358" s="29">
        <f t="shared" si="182"/>
        <v>5860</v>
      </c>
      <c r="L2358" s="31" t="str">
        <f t="shared" si="183"/>
        <v/>
      </c>
      <c r="M2358" s="31" t="str">
        <f t="shared" si="184"/>
        <v/>
      </c>
    </row>
    <row r="2359" spans="1:13" x14ac:dyDescent="0.15">
      <c r="A2359" s="163" t="s">
        <v>210</v>
      </c>
      <c r="B2359" s="163">
        <v>42337.4677212963</v>
      </c>
      <c r="C2359" s="164" t="s">
        <v>2136</v>
      </c>
      <c r="D2359" s="164" t="s">
        <v>13</v>
      </c>
      <c r="E2359" s="165">
        <v>140</v>
      </c>
      <c r="F2359" s="166">
        <v>0</v>
      </c>
      <c r="G2359" s="227">
        <f>IF($B$2,IF(ROWS(B$6:$B2359) = 1,$B2359-Start_Date,$B2359-$B2358),"")</f>
        <v>4.3991516206006054E-2</v>
      </c>
      <c r="H2359" s="29">
        <f>IF($B$2,IF(ROWS(B$6:$B2359) = 1,IF(COUNTIFS(R_Schedule_Times,"&lt;"&amp;B2359),INDEX(R_Schedule_Amounts,MATCH(B2359,R_Schedule_Times,1)),Starting_Cash),IF(COUNTIFS(R_Schedule_Times,"&gt;"&amp;B2358,R_Schedule_Times,"&lt;"&amp;B2359),INDEX(R_Schedule_Amounts,MATCH(B2359,R_Schedule_Times,1)),K2358)),"")</f>
        <v>5860</v>
      </c>
      <c r="I2359" s="30">
        <f t="shared" si="180"/>
        <v>140</v>
      </c>
      <c r="J2359" s="31">
        <f t="shared" si="181"/>
        <v>0</v>
      </c>
      <c r="K2359" s="29">
        <f t="shared" si="182"/>
        <v>5720</v>
      </c>
      <c r="L2359" s="31" t="str">
        <f t="shared" si="183"/>
        <v/>
      </c>
      <c r="M2359" s="31" t="str">
        <f t="shared" si="184"/>
        <v/>
      </c>
    </row>
    <row r="2360" spans="1:13" x14ac:dyDescent="0.15">
      <c r="A2360" s="163" t="s">
        <v>210</v>
      </c>
      <c r="B2360" s="163">
        <v>42337.474963356479</v>
      </c>
      <c r="C2360" s="164" t="s">
        <v>2137</v>
      </c>
      <c r="D2360" s="164" t="s">
        <v>13</v>
      </c>
      <c r="E2360" s="165">
        <v>100</v>
      </c>
      <c r="F2360" s="166">
        <v>0</v>
      </c>
      <c r="G2360" s="227">
        <f>IF($B$2,IF(ROWS(B$6:$B2360) = 1,$B2360-Start_Date,$B2360-$B2359),"")</f>
        <v>7.242060179123655E-3</v>
      </c>
      <c r="H2360" s="29">
        <f>IF($B$2,IF(ROWS(B$6:$B2360) = 1,IF(COUNTIFS(R_Schedule_Times,"&lt;"&amp;B2360),INDEX(R_Schedule_Amounts,MATCH(B2360,R_Schedule_Times,1)),Starting_Cash),IF(COUNTIFS(R_Schedule_Times,"&gt;"&amp;B2359,R_Schedule_Times,"&lt;"&amp;B2360),INDEX(R_Schedule_Amounts,MATCH(B2360,R_Schedule_Times,1)),K2359)),"")</f>
        <v>5720</v>
      </c>
      <c r="I2360" s="30">
        <f t="shared" si="180"/>
        <v>100</v>
      </c>
      <c r="J2360" s="31">
        <f t="shared" si="181"/>
        <v>0</v>
      </c>
      <c r="K2360" s="29">
        <f t="shared" si="182"/>
        <v>5620</v>
      </c>
      <c r="L2360" s="31" t="str">
        <f t="shared" si="183"/>
        <v/>
      </c>
      <c r="M2360" s="31" t="str">
        <f t="shared" si="184"/>
        <v/>
      </c>
    </row>
    <row r="2361" spans="1:13" x14ac:dyDescent="0.15">
      <c r="A2361" s="163" t="s">
        <v>210</v>
      </c>
      <c r="B2361" s="163">
        <v>42337.499725243055</v>
      </c>
      <c r="C2361" s="164" t="s">
        <v>2138</v>
      </c>
      <c r="D2361" s="164" t="s">
        <v>13</v>
      </c>
      <c r="E2361" s="165">
        <v>40</v>
      </c>
      <c r="F2361" s="166">
        <v>0</v>
      </c>
      <c r="G2361" s="227">
        <f>IF($B$2,IF(ROWS(B$6:$B2361) = 1,$B2361-Start_Date,$B2361-$B2360),"")</f>
        <v>2.4761886576015968E-2</v>
      </c>
      <c r="H2361" s="29">
        <f>IF($B$2,IF(ROWS(B$6:$B2361) = 1,IF(COUNTIFS(R_Schedule_Times,"&lt;"&amp;B2361),INDEX(R_Schedule_Amounts,MATCH(B2361,R_Schedule_Times,1)),Starting_Cash),IF(COUNTIFS(R_Schedule_Times,"&gt;"&amp;B2360,R_Schedule_Times,"&lt;"&amp;B2361),INDEX(R_Schedule_Amounts,MATCH(B2361,R_Schedule_Times,1)),K2360)),"")</f>
        <v>5620</v>
      </c>
      <c r="I2361" s="30">
        <f t="shared" si="180"/>
        <v>40</v>
      </c>
      <c r="J2361" s="31">
        <f t="shared" si="181"/>
        <v>0</v>
      </c>
      <c r="K2361" s="29">
        <f t="shared" si="182"/>
        <v>5580</v>
      </c>
      <c r="L2361" s="31" t="str">
        <f t="shared" si="183"/>
        <v/>
      </c>
      <c r="M2361" s="31" t="str">
        <f t="shared" si="184"/>
        <v/>
      </c>
    </row>
    <row r="2362" spans="1:13" x14ac:dyDescent="0.15">
      <c r="A2362" s="163" t="s">
        <v>210</v>
      </c>
      <c r="B2362" s="163">
        <v>42337.503852557871</v>
      </c>
      <c r="C2362" s="164" t="s">
        <v>2139</v>
      </c>
      <c r="D2362" s="164" t="s">
        <v>13</v>
      </c>
      <c r="E2362" s="165">
        <v>400</v>
      </c>
      <c r="F2362" s="166">
        <v>0</v>
      </c>
      <c r="G2362" s="227">
        <f>IF($B$2,IF(ROWS(B$6:$B2362) = 1,$B2362-Start_Date,$B2362-$B2361),"")</f>
        <v>4.1273148162872531E-3</v>
      </c>
      <c r="H2362" s="29">
        <f>IF($B$2,IF(ROWS(B$6:$B2362) = 1,IF(COUNTIFS(R_Schedule_Times,"&lt;"&amp;B2362),INDEX(R_Schedule_Amounts,MATCH(B2362,R_Schedule_Times,1)),Starting_Cash),IF(COUNTIFS(R_Schedule_Times,"&gt;"&amp;B2361,R_Schedule_Times,"&lt;"&amp;B2362),INDEX(R_Schedule_Amounts,MATCH(B2362,R_Schedule_Times,1)),K2361)),"")</f>
        <v>5580</v>
      </c>
      <c r="I2362" s="30">
        <f t="shared" si="180"/>
        <v>400</v>
      </c>
      <c r="J2362" s="31">
        <f t="shared" si="181"/>
        <v>0</v>
      </c>
      <c r="K2362" s="29">
        <f t="shared" si="182"/>
        <v>5180</v>
      </c>
      <c r="L2362" s="31" t="str">
        <f t="shared" si="183"/>
        <v/>
      </c>
      <c r="M2362" s="31" t="str">
        <f t="shared" si="184"/>
        <v/>
      </c>
    </row>
    <row r="2363" spans="1:13" x14ac:dyDescent="0.15">
      <c r="A2363" s="163" t="s">
        <v>210</v>
      </c>
      <c r="B2363" s="163">
        <v>42337.538538125002</v>
      </c>
      <c r="C2363" s="164" t="s">
        <v>2140</v>
      </c>
      <c r="D2363" s="164" t="s">
        <v>13</v>
      </c>
      <c r="E2363" s="165">
        <v>40</v>
      </c>
      <c r="F2363" s="166">
        <v>0</v>
      </c>
      <c r="G2363" s="227">
        <f>IF($B$2,IF(ROWS(B$6:$B2363) = 1,$B2363-Start_Date,$B2363-$B2362),"")</f>
        <v>3.4685567130509298E-2</v>
      </c>
      <c r="H2363" s="29">
        <f>IF($B$2,IF(ROWS(B$6:$B2363) = 1,IF(COUNTIFS(R_Schedule_Times,"&lt;"&amp;B2363),INDEX(R_Schedule_Amounts,MATCH(B2363,R_Schedule_Times,1)),Starting_Cash),IF(COUNTIFS(R_Schedule_Times,"&gt;"&amp;B2362,R_Schedule_Times,"&lt;"&amp;B2363),INDEX(R_Schedule_Amounts,MATCH(B2363,R_Schedule_Times,1)),K2362)),"")</f>
        <v>5180</v>
      </c>
      <c r="I2363" s="30">
        <f t="shared" si="180"/>
        <v>40</v>
      </c>
      <c r="J2363" s="31">
        <f t="shared" si="181"/>
        <v>0</v>
      </c>
      <c r="K2363" s="29">
        <f t="shared" si="182"/>
        <v>5140</v>
      </c>
      <c r="L2363" s="31" t="str">
        <f t="shared" si="183"/>
        <v/>
      </c>
      <c r="M2363" s="31" t="str">
        <f t="shared" si="184"/>
        <v/>
      </c>
    </row>
    <row r="2364" spans="1:13" x14ac:dyDescent="0.15">
      <c r="A2364" s="163" t="s">
        <v>210</v>
      </c>
      <c r="B2364" s="163">
        <v>42337.565439467595</v>
      </c>
      <c r="C2364" s="164" t="s">
        <v>2141</v>
      </c>
      <c r="D2364" s="164" t="s">
        <v>13</v>
      </c>
      <c r="E2364" s="165">
        <v>80</v>
      </c>
      <c r="F2364" s="166">
        <v>0</v>
      </c>
      <c r="G2364" s="227">
        <f>IF($B$2,IF(ROWS(B$6:$B2364) = 1,$B2364-Start_Date,$B2364-$B2363),"")</f>
        <v>2.6901342593191657E-2</v>
      </c>
      <c r="H2364" s="29">
        <f>IF($B$2,IF(ROWS(B$6:$B2364) = 1,IF(COUNTIFS(R_Schedule_Times,"&lt;"&amp;B2364),INDEX(R_Schedule_Amounts,MATCH(B2364,R_Schedule_Times,1)),Starting_Cash),IF(COUNTIFS(R_Schedule_Times,"&gt;"&amp;B2363,R_Schedule_Times,"&lt;"&amp;B2364),INDEX(R_Schedule_Amounts,MATCH(B2364,R_Schedule_Times,1)),K2363)),"")</f>
        <v>5140</v>
      </c>
      <c r="I2364" s="30">
        <f t="shared" si="180"/>
        <v>80</v>
      </c>
      <c r="J2364" s="31">
        <f t="shared" si="181"/>
        <v>0</v>
      </c>
      <c r="K2364" s="29">
        <f t="shared" si="182"/>
        <v>5060</v>
      </c>
      <c r="L2364" s="31" t="str">
        <f t="shared" si="183"/>
        <v/>
      </c>
      <c r="M2364" s="31" t="str">
        <f t="shared" si="184"/>
        <v/>
      </c>
    </row>
    <row r="2365" spans="1:13" x14ac:dyDescent="0.15">
      <c r="A2365" s="163" t="s">
        <v>210</v>
      </c>
      <c r="B2365" s="163">
        <v>42337.570079583333</v>
      </c>
      <c r="C2365" s="164" t="s">
        <v>2142</v>
      </c>
      <c r="D2365" s="164" t="s">
        <v>13</v>
      </c>
      <c r="E2365" s="165">
        <v>80</v>
      </c>
      <c r="F2365" s="166">
        <v>0</v>
      </c>
      <c r="G2365" s="227">
        <f>IF($B$2,IF(ROWS(B$6:$B2365) = 1,$B2365-Start_Date,$B2365-$B2364),"")</f>
        <v>4.6401157378568314E-3</v>
      </c>
      <c r="H2365" s="29">
        <f>IF($B$2,IF(ROWS(B$6:$B2365) = 1,IF(COUNTIFS(R_Schedule_Times,"&lt;"&amp;B2365),INDEX(R_Schedule_Amounts,MATCH(B2365,R_Schedule_Times,1)),Starting_Cash),IF(COUNTIFS(R_Schedule_Times,"&gt;"&amp;B2364,R_Schedule_Times,"&lt;"&amp;B2365),INDEX(R_Schedule_Amounts,MATCH(B2365,R_Schedule_Times,1)),K2364)),"")</f>
        <v>5060</v>
      </c>
      <c r="I2365" s="30">
        <f t="shared" si="180"/>
        <v>80</v>
      </c>
      <c r="J2365" s="31">
        <f t="shared" si="181"/>
        <v>0</v>
      </c>
      <c r="K2365" s="29">
        <f t="shared" si="182"/>
        <v>4980</v>
      </c>
      <c r="L2365" s="31" t="str">
        <f t="shared" si="183"/>
        <v/>
      </c>
      <c r="M2365" s="31" t="str">
        <f t="shared" si="184"/>
        <v/>
      </c>
    </row>
    <row r="2366" spans="1:13" x14ac:dyDescent="0.15">
      <c r="A2366" s="163" t="s">
        <v>210</v>
      </c>
      <c r="B2366" s="163">
        <v>42337.596580775462</v>
      </c>
      <c r="C2366" s="164" t="s">
        <v>1387</v>
      </c>
      <c r="D2366" s="164" t="s">
        <v>13</v>
      </c>
      <c r="E2366" s="165">
        <v>60</v>
      </c>
      <c r="F2366" s="166">
        <v>0</v>
      </c>
      <c r="G2366" s="227">
        <f>IF($B$2,IF(ROWS(B$6:$B2366) = 1,$B2366-Start_Date,$B2366-$B2365),"")</f>
        <v>2.6501192129217088E-2</v>
      </c>
      <c r="H2366" s="29">
        <f>IF($B$2,IF(ROWS(B$6:$B2366) = 1,IF(COUNTIFS(R_Schedule_Times,"&lt;"&amp;B2366),INDEX(R_Schedule_Amounts,MATCH(B2366,R_Schedule_Times,1)),Starting_Cash),IF(COUNTIFS(R_Schedule_Times,"&gt;"&amp;B2365,R_Schedule_Times,"&lt;"&amp;B2366),INDEX(R_Schedule_Amounts,MATCH(B2366,R_Schedule_Times,1)),K2365)),"")</f>
        <v>4980</v>
      </c>
      <c r="I2366" s="30">
        <f t="shared" si="180"/>
        <v>60</v>
      </c>
      <c r="J2366" s="31">
        <f t="shared" si="181"/>
        <v>0</v>
      </c>
      <c r="K2366" s="29">
        <f t="shared" si="182"/>
        <v>4920</v>
      </c>
      <c r="L2366" s="31" t="str">
        <f t="shared" si="183"/>
        <v/>
      </c>
      <c r="M2366" s="31" t="str">
        <f t="shared" si="184"/>
        <v/>
      </c>
    </row>
    <row r="2367" spans="1:13" x14ac:dyDescent="0.15">
      <c r="A2367" s="163" t="s">
        <v>210</v>
      </c>
      <c r="B2367" s="163">
        <v>42337.623594791665</v>
      </c>
      <c r="C2367" s="164" t="s">
        <v>2143</v>
      </c>
      <c r="D2367" s="164" t="s">
        <v>13</v>
      </c>
      <c r="E2367" s="165">
        <v>100</v>
      </c>
      <c r="F2367" s="166">
        <v>0</v>
      </c>
      <c r="G2367" s="227">
        <f>IF($B$2,IF(ROWS(B$6:$B2367) = 1,$B2367-Start_Date,$B2367-$B2366),"")</f>
        <v>2.7014016202883795E-2</v>
      </c>
      <c r="H2367" s="29">
        <f>IF($B$2,IF(ROWS(B$6:$B2367) = 1,IF(COUNTIFS(R_Schedule_Times,"&lt;"&amp;B2367),INDEX(R_Schedule_Amounts,MATCH(B2367,R_Schedule_Times,1)),Starting_Cash),IF(COUNTIFS(R_Schedule_Times,"&gt;"&amp;B2366,R_Schedule_Times,"&lt;"&amp;B2367),INDEX(R_Schedule_Amounts,MATCH(B2367,R_Schedule_Times,1)),K2366)),"")</f>
        <v>4920</v>
      </c>
      <c r="I2367" s="30">
        <f t="shared" si="180"/>
        <v>100</v>
      </c>
      <c r="J2367" s="31">
        <f t="shared" si="181"/>
        <v>0</v>
      </c>
      <c r="K2367" s="29">
        <f t="shared" si="182"/>
        <v>4820</v>
      </c>
      <c r="L2367" s="31" t="str">
        <f t="shared" si="183"/>
        <v/>
      </c>
      <c r="M2367" s="31" t="str">
        <f t="shared" si="184"/>
        <v/>
      </c>
    </row>
    <row r="2368" spans="1:13" x14ac:dyDescent="0.15">
      <c r="A2368" s="163" t="s">
        <v>210</v>
      </c>
      <c r="B2368" s="163">
        <v>42337.624501932871</v>
      </c>
      <c r="C2368" s="164" t="s">
        <v>2144</v>
      </c>
      <c r="D2368" s="164" t="s">
        <v>13</v>
      </c>
      <c r="E2368" s="165">
        <v>40</v>
      </c>
      <c r="F2368" s="166">
        <v>0</v>
      </c>
      <c r="G2368" s="227">
        <f>IF($B$2,IF(ROWS(B$6:$B2368) = 1,$B2368-Start_Date,$B2368-$B2367),"")</f>
        <v>9.0714120597112924E-4</v>
      </c>
      <c r="H2368" s="29">
        <f>IF($B$2,IF(ROWS(B$6:$B2368) = 1,IF(COUNTIFS(R_Schedule_Times,"&lt;"&amp;B2368),INDEX(R_Schedule_Amounts,MATCH(B2368,R_Schedule_Times,1)),Starting_Cash),IF(COUNTIFS(R_Schedule_Times,"&gt;"&amp;B2367,R_Schedule_Times,"&lt;"&amp;B2368),INDEX(R_Schedule_Amounts,MATCH(B2368,R_Schedule_Times,1)),K2367)),"")</f>
        <v>4820</v>
      </c>
      <c r="I2368" s="30">
        <f t="shared" si="180"/>
        <v>40</v>
      </c>
      <c r="J2368" s="31">
        <f t="shared" si="181"/>
        <v>0</v>
      </c>
      <c r="K2368" s="29">
        <f t="shared" si="182"/>
        <v>4780</v>
      </c>
      <c r="L2368" s="31" t="str">
        <f t="shared" si="183"/>
        <v/>
      </c>
      <c r="M2368" s="31" t="str">
        <f t="shared" si="184"/>
        <v/>
      </c>
    </row>
    <row r="2369" spans="1:13" x14ac:dyDescent="0.15">
      <c r="A2369" s="163" t="s">
        <v>210</v>
      </c>
      <c r="B2369" s="163">
        <v>42337.639784340281</v>
      </c>
      <c r="C2369" s="164" t="s">
        <v>2145</v>
      </c>
      <c r="D2369" s="164" t="s">
        <v>13</v>
      </c>
      <c r="E2369" s="165">
        <v>120</v>
      </c>
      <c r="F2369" s="166">
        <v>0</v>
      </c>
      <c r="G2369" s="227">
        <f>IF($B$2,IF(ROWS(B$6:$B2369) = 1,$B2369-Start_Date,$B2369-$B2368),"")</f>
        <v>1.5282407410268206E-2</v>
      </c>
      <c r="H2369" s="29">
        <f>IF($B$2,IF(ROWS(B$6:$B2369) = 1,IF(COUNTIFS(R_Schedule_Times,"&lt;"&amp;B2369),INDEX(R_Schedule_Amounts,MATCH(B2369,R_Schedule_Times,1)),Starting_Cash),IF(COUNTIFS(R_Schedule_Times,"&gt;"&amp;B2368,R_Schedule_Times,"&lt;"&amp;B2369),INDEX(R_Schedule_Amounts,MATCH(B2369,R_Schedule_Times,1)),K2368)),"")</f>
        <v>4780</v>
      </c>
      <c r="I2369" s="30">
        <f t="shared" si="180"/>
        <v>120</v>
      </c>
      <c r="J2369" s="31">
        <f t="shared" si="181"/>
        <v>0</v>
      </c>
      <c r="K2369" s="29">
        <f t="shared" si="182"/>
        <v>4660</v>
      </c>
      <c r="L2369" s="31" t="str">
        <f t="shared" si="183"/>
        <v/>
      </c>
      <c r="M2369" s="31" t="str">
        <f t="shared" si="184"/>
        <v/>
      </c>
    </row>
    <row r="2370" spans="1:13" x14ac:dyDescent="0.15">
      <c r="A2370" s="163" t="s">
        <v>210</v>
      </c>
      <c r="B2370" s="163">
        <v>42337.655501099536</v>
      </c>
      <c r="C2370" s="164" t="s">
        <v>2146</v>
      </c>
      <c r="D2370" s="164" t="s">
        <v>13</v>
      </c>
      <c r="E2370" s="165">
        <v>40</v>
      </c>
      <c r="F2370" s="166">
        <v>0</v>
      </c>
      <c r="G2370" s="227">
        <f>IF($B$2,IF(ROWS(B$6:$B2370) = 1,$B2370-Start_Date,$B2370-$B2369),"")</f>
        <v>1.5716759255155921E-2</v>
      </c>
      <c r="H2370" s="29">
        <f>IF($B$2,IF(ROWS(B$6:$B2370) = 1,IF(COUNTIFS(R_Schedule_Times,"&lt;"&amp;B2370),INDEX(R_Schedule_Amounts,MATCH(B2370,R_Schedule_Times,1)),Starting_Cash),IF(COUNTIFS(R_Schedule_Times,"&gt;"&amp;B2369,R_Schedule_Times,"&lt;"&amp;B2370),INDEX(R_Schedule_Amounts,MATCH(B2370,R_Schedule_Times,1)),K2369)),"")</f>
        <v>4660</v>
      </c>
      <c r="I2370" s="30">
        <f t="shared" si="180"/>
        <v>40</v>
      </c>
      <c r="J2370" s="31">
        <f t="shared" si="181"/>
        <v>0</v>
      </c>
      <c r="K2370" s="29">
        <f t="shared" si="182"/>
        <v>4620</v>
      </c>
      <c r="L2370" s="31" t="str">
        <f t="shared" si="183"/>
        <v/>
      </c>
      <c r="M2370" s="31" t="str">
        <f t="shared" si="184"/>
        <v/>
      </c>
    </row>
    <row r="2371" spans="1:13" x14ac:dyDescent="0.15">
      <c r="A2371" s="163" t="s">
        <v>210</v>
      </c>
      <c r="B2371" s="163">
        <v>42337.674006921297</v>
      </c>
      <c r="C2371" s="164" t="s">
        <v>2147</v>
      </c>
      <c r="D2371" s="164" t="s">
        <v>13</v>
      </c>
      <c r="E2371" s="165">
        <v>40</v>
      </c>
      <c r="F2371" s="166">
        <v>0</v>
      </c>
      <c r="G2371" s="227">
        <f>IF($B$2,IF(ROWS(B$6:$B2371) = 1,$B2371-Start_Date,$B2371-$B2370),"")</f>
        <v>1.8505821761209518E-2</v>
      </c>
      <c r="H2371" s="29">
        <f>IF($B$2,IF(ROWS(B$6:$B2371) = 1,IF(COUNTIFS(R_Schedule_Times,"&lt;"&amp;B2371),INDEX(R_Schedule_Amounts,MATCH(B2371,R_Schedule_Times,1)),Starting_Cash),IF(COUNTIFS(R_Schedule_Times,"&gt;"&amp;B2370,R_Schedule_Times,"&lt;"&amp;B2371),INDEX(R_Schedule_Amounts,MATCH(B2371,R_Schedule_Times,1)),K2370)),"")</f>
        <v>4620</v>
      </c>
      <c r="I2371" s="30">
        <f t="shared" si="180"/>
        <v>40</v>
      </c>
      <c r="J2371" s="31">
        <f t="shared" si="181"/>
        <v>0</v>
      </c>
      <c r="K2371" s="29">
        <f t="shared" si="182"/>
        <v>4580</v>
      </c>
      <c r="L2371" s="31" t="str">
        <f t="shared" si="183"/>
        <v/>
      </c>
      <c r="M2371" s="31" t="str">
        <f t="shared" si="184"/>
        <v/>
      </c>
    </row>
    <row r="2372" spans="1:13" x14ac:dyDescent="0.15">
      <c r="A2372" s="163" t="s">
        <v>210</v>
      </c>
      <c r="B2372" s="163">
        <v>42337.677549282409</v>
      </c>
      <c r="C2372" s="164" t="s">
        <v>2148</v>
      </c>
      <c r="D2372" s="164" t="s">
        <v>13</v>
      </c>
      <c r="E2372" s="165">
        <v>100</v>
      </c>
      <c r="F2372" s="166">
        <v>0</v>
      </c>
      <c r="G2372" s="227">
        <f>IF($B$2,IF(ROWS(B$6:$B2372) = 1,$B2372-Start_Date,$B2372-$B2371),"")</f>
        <v>3.5423611116129905E-3</v>
      </c>
      <c r="H2372" s="29">
        <f>IF($B$2,IF(ROWS(B$6:$B2372) = 1,IF(COUNTIFS(R_Schedule_Times,"&lt;"&amp;B2372),INDEX(R_Schedule_Amounts,MATCH(B2372,R_Schedule_Times,1)),Starting_Cash),IF(COUNTIFS(R_Schedule_Times,"&gt;"&amp;B2371,R_Schedule_Times,"&lt;"&amp;B2372),INDEX(R_Schedule_Amounts,MATCH(B2372,R_Schedule_Times,1)),K2371)),"")</f>
        <v>4580</v>
      </c>
      <c r="I2372" s="30">
        <f t="shared" si="180"/>
        <v>100</v>
      </c>
      <c r="J2372" s="31">
        <f t="shared" si="181"/>
        <v>0</v>
      </c>
      <c r="K2372" s="29">
        <f t="shared" si="182"/>
        <v>4480</v>
      </c>
      <c r="L2372" s="31" t="str">
        <f t="shared" si="183"/>
        <v/>
      </c>
      <c r="M2372" s="31" t="str">
        <f t="shared" si="184"/>
        <v/>
      </c>
    </row>
    <row r="2373" spans="1:13" x14ac:dyDescent="0.15">
      <c r="A2373" s="163" t="s">
        <v>210</v>
      </c>
      <c r="B2373" s="163">
        <v>42337.686529641207</v>
      </c>
      <c r="C2373" s="164" t="s">
        <v>482</v>
      </c>
      <c r="D2373" s="164" t="s">
        <v>13</v>
      </c>
      <c r="E2373" s="165">
        <v>100</v>
      </c>
      <c r="F2373" s="166">
        <v>0</v>
      </c>
      <c r="G2373" s="227">
        <f>IF($B$2,IF(ROWS(B$6:$B2373) = 1,$B2373-Start_Date,$B2373-$B2372),"")</f>
        <v>8.9803587979986332E-3</v>
      </c>
      <c r="H2373" s="29">
        <f>IF($B$2,IF(ROWS(B$6:$B2373) = 1,IF(COUNTIFS(R_Schedule_Times,"&lt;"&amp;B2373),INDEX(R_Schedule_Amounts,MATCH(B2373,R_Schedule_Times,1)),Starting_Cash),IF(COUNTIFS(R_Schedule_Times,"&gt;"&amp;B2372,R_Schedule_Times,"&lt;"&amp;B2373),INDEX(R_Schedule_Amounts,MATCH(B2373,R_Schedule_Times,1)),K2372)),"")</f>
        <v>4480</v>
      </c>
      <c r="I2373" s="30">
        <f t="shared" si="180"/>
        <v>100</v>
      </c>
      <c r="J2373" s="31">
        <f t="shared" si="181"/>
        <v>0</v>
      </c>
      <c r="K2373" s="29">
        <f t="shared" si="182"/>
        <v>4380</v>
      </c>
      <c r="L2373" s="31" t="str">
        <f t="shared" si="183"/>
        <v/>
      </c>
      <c r="M2373" s="31" t="str">
        <f t="shared" si="184"/>
        <v/>
      </c>
    </row>
    <row r="2374" spans="1:13" x14ac:dyDescent="0.15">
      <c r="A2374" s="163" t="s">
        <v>210</v>
      </c>
      <c r="B2374" s="163">
        <v>42337.697525543983</v>
      </c>
      <c r="C2374" s="164" t="s">
        <v>2149</v>
      </c>
      <c r="D2374" s="164" t="s">
        <v>13</v>
      </c>
      <c r="E2374" s="165">
        <v>120</v>
      </c>
      <c r="F2374" s="166">
        <v>0</v>
      </c>
      <c r="G2374" s="227">
        <f>IF($B$2,IF(ROWS(B$6:$B2374) = 1,$B2374-Start_Date,$B2374-$B2373),"")</f>
        <v>1.0995902775903232E-2</v>
      </c>
      <c r="H2374" s="29">
        <f>IF($B$2,IF(ROWS(B$6:$B2374) = 1,IF(COUNTIFS(R_Schedule_Times,"&lt;"&amp;B2374),INDEX(R_Schedule_Amounts,MATCH(B2374,R_Schedule_Times,1)),Starting_Cash),IF(COUNTIFS(R_Schedule_Times,"&gt;"&amp;B2373,R_Schedule_Times,"&lt;"&amp;B2374),INDEX(R_Schedule_Amounts,MATCH(B2374,R_Schedule_Times,1)),K2373)),"")</f>
        <v>4380</v>
      </c>
      <c r="I2374" s="30">
        <f t="shared" si="180"/>
        <v>120</v>
      </c>
      <c r="J2374" s="31">
        <f t="shared" si="181"/>
        <v>0</v>
      </c>
      <c r="K2374" s="29">
        <f t="shared" si="182"/>
        <v>4260</v>
      </c>
      <c r="L2374" s="31" t="str">
        <f t="shared" si="183"/>
        <v/>
      </c>
      <c r="M2374" s="31" t="str">
        <f t="shared" si="184"/>
        <v/>
      </c>
    </row>
    <row r="2375" spans="1:13" x14ac:dyDescent="0.15">
      <c r="A2375" s="163" t="s">
        <v>210</v>
      </c>
      <c r="B2375" s="163">
        <v>42337.718993437498</v>
      </c>
      <c r="C2375" s="164" t="s">
        <v>2150</v>
      </c>
      <c r="D2375" s="164" t="s">
        <v>13</v>
      </c>
      <c r="E2375" s="165">
        <v>120</v>
      </c>
      <c r="F2375" s="166">
        <v>0</v>
      </c>
      <c r="G2375" s="227">
        <f>IF($B$2,IF(ROWS(B$6:$B2375) = 1,$B2375-Start_Date,$B2375-$B2374),"")</f>
        <v>2.1467893515364267E-2</v>
      </c>
      <c r="H2375" s="29">
        <f>IF($B$2,IF(ROWS(B$6:$B2375) = 1,IF(COUNTIFS(R_Schedule_Times,"&lt;"&amp;B2375),INDEX(R_Schedule_Amounts,MATCH(B2375,R_Schedule_Times,1)),Starting_Cash),IF(COUNTIFS(R_Schedule_Times,"&gt;"&amp;B2374,R_Schedule_Times,"&lt;"&amp;B2375),INDEX(R_Schedule_Amounts,MATCH(B2375,R_Schedule_Times,1)),K2374)),"")</f>
        <v>4260</v>
      </c>
      <c r="I2375" s="30">
        <f t="shared" ref="I2375:I2438" si="185">IF($B$2,IF(H2375&gt;=E2375,E2375,0),"")</f>
        <v>120</v>
      </c>
      <c r="J2375" s="31">
        <f t="shared" ref="J2375:J2438" si="186">IF($B$2,IF(H2375&gt;=E2375,F2375,0),"")</f>
        <v>0</v>
      </c>
      <c r="K2375" s="29">
        <f t="shared" ref="K2375:K2438" si="187">IF($B$2,ABS(I2375-H2375),"")</f>
        <v>4140</v>
      </c>
      <c r="L2375" s="31" t="str">
        <f t="shared" ref="L2375:L2438" si="188">IF($B$2,IF(H2375&lt;E2375,"YES",""),"")</f>
        <v/>
      </c>
      <c r="M2375" s="31" t="str">
        <f t="shared" ref="M2375:M2438" si="189">IF($B$2,IF(L2375="YES",F2375,""),"")</f>
        <v/>
      </c>
    </row>
    <row r="2376" spans="1:13" x14ac:dyDescent="0.15">
      <c r="A2376" s="163" t="s">
        <v>210</v>
      </c>
      <c r="B2376" s="163">
        <v>42337.903804317131</v>
      </c>
      <c r="C2376" s="164" t="s">
        <v>2151</v>
      </c>
      <c r="D2376" s="164" t="s">
        <v>13</v>
      </c>
      <c r="E2376" s="165">
        <v>100</v>
      </c>
      <c r="F2376" s="166">
        <v>0</v>
      </c>
      <c r="G2376" s="227">
        <f>IF($B$2,IF(ROWS(B$6:$B2376) = 1,$B2376-Start_Date,$B2376-$B2375),"")</f>
        <v>0.18481087963300524</v>
      </c>
      <c r="H2376" s="29">
        <f>IF($B$2,IF(ROWS(B$6:$B2376) = 1,IF(COUNTIFS(R_Schedule_Times,"&lt;"&amp;B2376),INDEX(R_Schedule_Amounts,MATCH(B2376,R_Schedule_Times,1)),Starting_Cash),IF(COUNTIFS(R_Schedule_Times,"&gt;"&amp;B2375,R_Schedule_Times,"&lt;"&amp;B2376),INDEX(R_Schedule_Amounts,MATCH(B2376,R_Schedule_Times,1)),K2375)),"")</f>
        <v>4140</v>
      </c>
      <c r="I2376" s="30">
        <f t="shared" si="185"/>
        <v>100</v>
      </c>
      <c r="J2376" s="31">
        <f t="shared" si="186"/>
        <v>0</v>
      </c>
      <c r="K2376" s="29">
        <f t="shared" si="187"/>
        <v>4040</v>
      </c>
      <c r="L2376" s="31" t="str">
        <f t="shared" si="188"/>
        <v/>
      </c>
      <c r="M2376" s="31" t="str">
        <f t="shared" si="189"/>
        <v/>
      </c>
    </row>
    <row r="2377" spans="1:13" x14ac:dyDescent="0.15">
      <c r="A2377" s="163" t="s">
        <v>210</v>
      </c>
      <c r="B2377" s="163">
        <v>42337.956627280095</v>
      </c>
      <c r="C2377" s="164" t="s">
        <v>99</v>
      </c>
      <c r="D2377" s="164" t="s">
        <v>13</v>
      </c>
      <c r="E2377" s="165">
        <v>60</v>
      </c>
      <c r="F2377" s="166">
        <v>0</v>
      </c>
      <c r="G2377" s="227">
        <f>IF($B$2,IF(ROWS(B$6:$B2377) = 1,$B2377-Start_Date,$B2377-$B2376),"")</f>
        <v>5.2822962963546161E-2</v>
      </c>
      <c r="H2377" s="29">
        <f>IF($B$2,IF(ROWS(B$6:$B2377) = 1,IF(COUNTIFS(R_Schedule_Times,"&lt;"&amp;B2377),INDEX(R_Schedule_Amounts,MATCH(B2377,R_Schedule_Times,1)),Starting_Cash),IF(COUNTIFS(R_Schedule_Times,"&gt;"&amp;B2376,R_Schedule_Times,"&lt;"&amp;B2377),INDEX(R_Schedule_Amounts,MATCH(B2377,R_Schedule_Times,1)),K2376)),"")</f>
        <v>4040</v>
      </c>
      <c r="I2377" s="30">
        <f t="shared" si="185"/>
        <v>60</v>
      </c>
      <c r="J2377" s="31">
        <f t="shared" si="186"/>
        <v>0</v>
      </c>
      <c r="K2377" s="29">
        <f t="shared" si="187"/>
        <v>3980</v>
      </c>
      <c r="L2377" s="31" t="str">
        <f t="shared" si="188"/>
        <v/>
      </c>
      <c r="M2377" s="31" t="str">
        <f t="shared" si="189"/>
        <v/>
      </c>
    </row>
    <row r="2378" spans="1:13" x14ac:dyDescent="0.15">
      <c r="A2378" s="163" t="s">
        <v>210</v>
      </c>
      <c r="B2378" s="163">
        <v>42337.961132662036</v>
      </c>
      <c r="C2378" s="164" t="s">
        <v>2152</v>
      </c>
      <c r="D2378" s="164" t="s">
        <v>13</v>
      </c>
      <c r="E2378" s="165">
        <v>40</v>
      </c>
      <c r="F2378" s="166">
        <v>0</v>
      </c>
      <c r="G2378" s="227">
        <f>IF($B$2,IF(ROWS(B$6:$B2378) = 1,$B2378-Start_Date,$B2378-$B2377),"")</f>
        <v>4.5053819412714802E-3</v>
      </c>
      <c r="H2378" s="29">
        <f>IF($B$2,IF(ROWS(B$6:$B2378) = 1,IF(COUNTIFS(R_Schedule_Times,"&lt;"&amp;B2378),INDEX(R_Schedule_Amounts,MATCH(B2378,R_Schedule_Times,1)),Starting_Cash),IF(COUNTIFS(R_Schedule_Times,"&gt;"&amp;B2377,R_Schedule_Times,"&lt;"&amp;B2378),INDEX(R_Schedule_Amounts,MATCH(B2378,R_Schedule_Times,1)),K2377)),"")</f>
        <v>3980</v>
      </c>
      <c r="I2378" s="30">
        <f t="shared" si="185"/>
        <v>40</v>
      </c>
      <c r="J2378" s="31">
        <f t="shared" si="186"/>
        <v>0</v>
      </c>
      <c r="K2378" s="29">
        <f t="shared" si="187"/>
        <v>3940</v>
      </c>
      <c r="L2378" s="31" t="str">
        <f t="shared" si="188"/>
        <v/>
      </c>
      <c r="M2378" s="31" t="str">
        <f t="shared" si="189"/>
        <v/>
      </c>
    </row>
    <row r="2379" spans="1:13" x14ac:dyDescent="0.15">
      <c r="A2379" s="163" t="s">
        <v>210</v>
      </c>
      <c r="B2379" s="163">
        <v>42338.292749826389</v>
      </c>
      <c r="C2379" s="164" t="s">
        <v>87</v>
      </c>
      <c r="D2379" s="164" t="s">
        <v>13</v>
      </c>
      <c r="E2379" s="165">
        <v>20</v>
      </c>
      <c r="F2379" s="166">
        <v>0</v>
      </c>
      <c r="G2379" s="227">
        <f>IF($B$2,IF(ROWS(B$6:$B2379) = 1,$B2379-Start_Date,$B2379-$B2378),"")</f>
        <v>0.33161716435279232</v>
      </c>
      <c r="H2379" s="29">
        <f>IF($B$2,IF(ROWS(B$6:$B2379) = 1,IF(COUNTIFS(R_Schedule_Times,"&lt;"&amp;B2379),INDEX(R_Schedule_Amounts,MATCH(B2379,R_Schedule_Times,1)),Starting_Cash),IF(COUNTIFS(R_Schedule_Times,"&gt;"&amp;B2378,R_Schedule_Times,"&lt;"&amp;B2379),INDEX(R_Schedule_Amounts,MATCH(B2379,R_Schedule_Times,1)),K2378)),"")</f>
        <v>11000</v>
      </c>
      <c r="I2379" s="30">
        <f t="shared" si="185"/>
        <v>20</v>
      </c>
      <c r="J2379" s="31">
        <f t="shared" si="186"/>
        <v>0</v>
      </c>
      <c r="K2379" s="29">
        <f t="shared" si="187"/>
        <v>10980</v>
      </c>
      <c r="L2379" s="31" t="str">
        <f t="shared" si="188"/>
        <v/>
      </c>
      <c r="M2379" s="31" t="str">
        <f t="shared" si="189"/>
        <v/>
      </c>
    </row>
    <row r="2380" spans="1:13" x14ac:dyDescent="0.15">
      <c r="A2380" s="163" t="s">
        <v>210</v>
      </c>
      <c r="B2380" s="163">
        <v>42338.315247858794</v>
      </c>
      <c r="C2380" s="164" t="s">
        <v>483</v>
      </c>
      <c r="D2380" s="164" t="s">
        <v>13</v>
      </c>
      <c r="E2380" s="165">
        <v>100</v>
      </c>
      <c r="F2380" s="166">
        <v>0</v>
      </c>
      <c r="G2380" s="227">
        <f>IF($B$2,IF(ROWS(B$6:$B2380) = 1,$B2380-Start_Date,$B2380-$B2379),"")</f>
        <v>2.2498032405565027E-2</v>
      </c>
      <c r="H2380" s="29">
        <f>IF($B$2,IF(ROWS(B$6:$B2380) = 1,IF(COUNTIFS(R_Schedule_Times,"&lt;"&amp;B2380),INDEX(R_Schedule_Amounts,MATCH(B2380,R_Schedule_Times,1)),Starting_Cash),IF(COUNTIFS(R_Schedule_Times,"&gt;"&amp;B2379,R_Schedule_Times,"&lt;"&amp;B2380),INDEX(R_Schedule_Amounts,MATCH(B2380,R_Schedule_Times,1)),K2379)),"")</f>
        <v>10980</v>
      </c>
      <c r="I2380" s="30">
        <f t="shared" si="185"/>
        <v>100</v>
      </c>
      <c r="J2380" s="31">
        <f t="shared" si="186"/>
        <v>0</v>
      </c>
      <c r="K2380" s="29">
        <f t="shared" si="187"/>
        <v>10880</v>
      </c>
      <c r="L2380" s="31" t="str">
        <f t="shared" si="188"/>
        <v/>
      </c>
      <c r="M2380" s="31" t="str">
        <f t="shared" si="189"/>
        <v/>
      </c>
    </row>
    <row r="2381" spans="1:13" x14ac:dyDescent="0.15">
      <c r="A2381" s="163" t="s">
        <v>210</v>
      </c>
      <c r="B2381" s="163">
        <v>42338.332187974534</v>
      </c>
      <c r="C2381" s="164" t="s">
        <v>2153</v>
      </c>
      <c r="D2381" s="164" t="s">
        <v>15</v>
      </c>
      <c r="E2381" s="165">
        <v>60</v>
      </c>
      <c r="F2381" s="166">
        <v>1.8</v>
      </c>
      <c r="G2381" s="227">
        <f>IF($B$2,IF(ROWS(B$6:$B2381) = 1,$B2381-Start_Date,$B2381-$B2380),"")</f>
        <v>1.6940115739998873E-2</v>
      </c>
      <c r="H2381" s="29">
        <f>IF($B$2,IF(ROWS(B$6:$B2381) = 1,IF(COUNTIFS(R_Schedule_Times,"&lt;"&amp;B2381),INDEX(R_Schedule_Amounts,MATCH(B2381,R_Schedule_Times,1)),Starting_Cash),IF(COUNTIFS(R_Schedule_Times,"&gt;"&amp;B2380,R_Schedule_Times,"&lt;"&amp;B2381),INDEX(R_Schedule_Amounts,MATCH(B2381,R_Schedule_Times,1)),K2380)),"")</f>
        <v>10880</v>
      </c>
      <c r="I2381" s="30">
        <f t="shared" si="185"/>
        <v>60</v>
      </c>
      <c r="J2381" s="31">
        <f t="shared" si="186"/>
        <v>1.8</v>
      </c>
      <c r="K2381" s="29">
        <f t="shared" si="187"/>
        <v>10820</v>
      </c>
      <c r="L2381" s="31" t="str">
        <f t="shared" si="188"/>
        <v/>
      </c>
      <c r="M2381" s="31" t="str">
        <f t="shared" si="189"/>
        <v/>
      </c>
    </row>
    <row r="2382" spans="1:13" x14ac:dyDescent="0.15">
      <c r="A2382" s="163" t="s">
        <v>210</v>
      </c>
      <c r="B2382" s="163">
        <v>42338.359221747683</v>
      </c>
      <c r="C2382" s="164" t="s">
        <v>2154</v>
      </c>
      <c r="D2382" s="164" t="s">
        <v>13</v>
      </c>
      <c r="E2382" s="165">
        <v>40</v>
      </c>
      <c r="F2382" s="166">
        <v>0</v>
      </c>
      <c r="G2382" s="227">
        <f>IF($B$2,IF(ROWS(B$6:$B2382) = 1,$B2382-Start_Date,$B2382-$B2381),"")</f>
        <v>2.7033773149014451E-2</v>
      </c>
      <c r="H2382" s="29">
        <f>IF($B$2,IF(ROWS(B$6:$B2382) = 1,IF(COUNTIFS(R_Schedule_Times,"&lt;"&amp;B2382),INDEX(R_Schedule_Amounts,MATCH(B2382,R_Schedule_Times,1)),Starting_Cash),IF(COUNTIFS(R_Schedule_Times,"&gt;"&amp;B2381,R_Schedule_Times,"&lt;"&amp;B2382),INDEX(R_Schedule_Amounts,MATCH(B2382,R_Schedule_Times,1)),K2381)),"")</f>
        <v>10820</v>
      </c>
      <c r="I2382" s="30">
        <f t="shared" si="185"/>
        <v>40</v>
      </c>
      <c r="J2382" s="31">
        <f t="shared" si="186"/>
        <v>0</v>
      </c>
      <c r="K2382" s="29">
        <f t="shared" si="187"/>
        <v>10780</v>
      </c>
      <c r="L2382" s="31" t="str">
        <f t="shared" si="188"/>
        <v/>
      </c>
      <c r="M2382" s="31" t="str">
        <f t="shared" si="189"/>
        <v/>
      </c>
    </row>
    <row r="2383" spans="1:13" x14ac:dyDescent="0.15">
      <c r="A2383" s="163" t="s">
        <v>210</v>
      </c>
      <c r="B2383" s="163">
        <v>42338.369236956016</v>
      </c>
      <c r="C2383" s="164" t="s">
        <v>2155</v>
      </c>
      <c r="D2383" s="164" t="s">
        <v>13</v>
      </c>
      <c r="E2383" s="165">
        <v>140</v>
      </c>
      <c r="F2383" s="166">
        <v>0</v>
      </c>
      <c r="G2383" s="227">
        <f>IF($B$2,IF(ROWS(B$6:$B2383) = 1,$B2383-Start_Date,$B2383-$B2382),"")</f>
        <v>1.0015208332333714E-2</v>
      </c>
      <c r="H2383" s="29">
        <f>IF($B$2,IF(ROWS(B$6:$B2383) = 1,IF(COUNTIFS(R_Schedule_Times,"&lt;"&amp;B2383),INDEX(R_Schedule_Amounts,MATCH(B2383,R_Schedule_Times,1)),Starting_Cash),IF(COUNTIFS(R_Schedule_Times,"&gt;"&amp;B2382,R_Schedule_Times,"&lt;"&amp;B2383),INDEX(R_Schedule_Amounts,MATCH(B2383,R_Schedule_Times,1)),K2382)),"")</f>
        <v>10780</v>
      </c>
      <c r="I2383" s="30">
        <f t="shared" si="185"/>
        <v>140</v>
      </c>
      <c r="J2383" s="31">
        <f t="shared" si="186"/>
        <v>0</v>
      </c>
      <c r="K2383" s="29">
        <f t="shared" si="187"/>
        <v>10640</v>
      </c>
      <c r="L2383" s="31" t="str">
        <f t="shared" si="188"/>
        <v/>
      </c>
      <c r="M2383" s="31" t="str">
        <f t="shared" si="189"/>
        <v/>
      </c>
    </row>
    <row r="2384" spans="1:13" x14ac:dyDescent="0.15">
      <c r="A2384" s="163" t="s">
        <v>210</v>
      </c>
      <c r="B2384" s="163">
        <v>42338.449036064812</v>
      </c>
      <c r="C2384" s="164" t="s">
        <v>2156</v>
      </c>
      <c r="D2384" s="164" t="s">
        <v>13</v>
      </c>
      <c r="E2384" s="165">
        <v>80</v>
      </c>
      <c r="F2384" s="166">
        <v>0</v>
      </c>
      <c r="G2384" s="227">
        <f>IF($B$2,IF(ROWS(B$6:$B2384) = 1,$B2384-Start_Date,$B2384-$B2383),"")</f>
        <v>7.9799108796578366E-2</v>
      </c>
      <c r="H2384" s="29">
        <f>IF($B$2,IF(ROWS(B$6:$B2384) = 1,IF(COUNTIFS(R_Schedule_Times,"&lt;"&amp;B2384),INDEX(R_Schedule_Amounts,MATCH(B2384,R_Schedule_Times,1)),Starting_Cash),IF(COUNTIFS(R_Schedule_Times,"&gt;"&amp;B2383,R_Schedule_Times,"&lt;"&amp;B2384),INDEX(R_Schedule_Amounts,MATCH(B2384,R_Schedule_Times,1)),K2383)),"")</f>
        <v>10640</v>
      </c>
      <c r="I2384" s="30">
        <f t="shared" si="185"/>
        <v>80</v>
      </c>
      <c r="J2384" s="31">
        <f t="shared" si="186"/>
        <v>0</v>
      </c>
      <c r="K2384" s="29">
        <f t="shared" si="187"/>
        <v>10560</v>
      </c>
      <c r="L2384" s="31" t="str">
        <f t="shared" si="188"/>
        <v/>
      </c>
      <c r="M2384" s="31" t="str">
        <f t="shared" si="189"/>
        <v/>
      </c>
    </row>
    <row r="2385" spans="1:13" x14ac:dyDescent="0.15">
      <c r="A2385" s="163" t="s">
        <v>210</v>
      </c>
      <c r="B2385" s="163">
        <v>42338.453412071758</v>
      </c>
      <c r="C2385" s="164" t="s">
        <v>885</v>
      </c>
      <c r="D2385" s="164" t="s">
        <v>13</v>
      </c>
      <c r="E2385" s="165">
        <v>200</v>
      </c>
      <c r="F2385" s="166">
        <v>0</v>
      </c>
      <c r="G2385" s="227">
        <f>IF($B$2,IF(ROWS(B$6:$B2385) = 1,$B2385-Start_Date,$B2385-$B2384),"")</f>
        <v>4.376006945676636E-3</v>
      </c>
      <c r="H2385" s="29">
        <f>IF($B$2,IF(ROWS(B$6:$B2385) = 1,IF(COUNTIFS(R_Schedule_Times,"&lt;"&amp;B2385),INDEX(R_Schedule_Amounts,MATCH(B2385,R_Schedule_Times,1)),Starting_Cash),IF(COUNTIFS(R_Schedule_Times,"&gt;"&amp;B2384,R_Schedule_Times,"&lt;"&amp;B2385),INDEX(R_Schedule_Amounts,MATCH(B2385,R_Schedule_Times,1)),K2384)),"")</f>
        <v>10560</v>
      </c>
      <c r="I2385" s="30">
        <f t="shared" si="185"/>
        <v>200</v>
      </c>
      <c r="J2385" s="31">
        <f t="shared" si="186"/>
        <v>0</v>
      </c>
      <c r="K2385" s="29">
        <f t="shared" si="187"/>
        <v>10360</v>
      </c>
      <c r="L2385" s="31" t="str">
        <f t="shared" si="188"/>
        <v/>
      </c>
      <c r="M2385" s="31" t="str">
        <f t="shared" si="189"/>
        <v/>
      </c>
    </row>
    <row r="2386" spans="1:13" x14ac:dyDescent="0.15">
      <c r="A2386" s="163" t="s">
        <v>210</v>
      </c>
      <c r="B2386" s="163">
        <v>42338.461952673613</v>
      </c>
      <c r="C2386" s="164" t="s">
        <v>2157</v>
      </c>
      <c r="D2386" s="164" t="s">
        <v>13</v>
      </c>
      <c r="E2386" s="165">
        <v>200</v>
      </c>
      <c r="F2386" s="166">
        <v>0</v>
      </c>
      <c r="G2386" s="227">
        <f>IF($B$2,IF(ROWS(B$6:$B2386) = 1,$B2386-Start_Date,$B2386-$B2385),"")</f>
        <v>8.5406018552021123E-3</v>
      </c>
      <c r="H2386" s="29">
        <f>IF($B$2,IF(ROWS(B$6:$B2386) = 1,IF(COUNTIFS(R_Schedule_Times,"&lt;"&amp;B2386),INDEX(R_Schedule_Amounts,MATCH(B2386,R_Schedule_Times,1)),Starting_Cash),IF(COUNTIFS(R_Schedule_Times,"&gt;"&amp;B2385,R_Schedule_Times,"&lt;"&amp;B2386),INDEX(R_Schedule_Amounts,MATCH(B2386,R_Schedule_Times,1)),K2385)),"")</f>
        <v>10360</v>
      </c>
      <c r="I2386" s="30">
        <f t="shared" si="185"/>
        <v>200</v>
      </c>
      <c r="J2386" s="31">
        <f t="shared" si="186"/>
        <v>0</v>
      </c>
      <c r="K2386" s="29">
        <f t="shared" si="187"/>
        <v>10160</v>
      </c>
      <c r="L2386" s="31" t="str">
        <f t="shared" si="188"/>
        <v/>
      </c>
      <c r="M2386" s="31" t="str">
        <f t="shared" si="189"/>
        <v/>
      </c>
    </row>
    <row r="2387" spans="1:13" x14ac:dyDescent="0.15">
      <c r="A2387" s="163" t="s">
        <v>210</v>
      </c>
      <c r="B2387" s="163">
        <v>42338.46722337963</v>
      </c>
      <c r="C2387" s="164" t="s">
        <v>2158</v>
      </c>
      <c r="D2387" s="164" t="s">
        <v>13</v>
      </c>
      <c r="E2387" s="165">
        <v>80</v>
      </c>
      <c r="F2387" s="166">
        <v>0</v>
      </c>
      <c r="G2387" s="227">
        <f>IF($B$2,IF(ROWS(B$6:$B2387) = 1,$B2387-Start_Date,$B2387-$B2386),"")</f>
        <v>5.2707060167449526E-3</v>
      </c>
      <c r="H2387" s="29">
        <f>IF($B$2,IF(ROWS(B$6:$B2387) = 1,IF(COUNTIFS(R_Schedule_Times,"&lt;"&amp;B2387),INDEX(R_Schedule_Amounts,MATCH(B2387,R_Schedule_Times,1)),Starting_Cash),IF(COUNTIFS(R_Schedule_Times,"&gt;"&amp;B2386,R_Schedule_Times,"&lt;"&amp;B2387),INDEX(R_Schedule_Amounts,MATCH(B2387,R_Schedule_Times,1)),K2386)),"")</f>
        <v>10160</v>
      </c>
      <c r="I2387" s="30">
        <f t="shared" si="185"/>
        <v>80</v>
      </c>
      <c r="J2387" s="31">
        <f t="shared" si="186"/>
        <v>0</v>
      </c>
      <c r="K2387" s="29">
        <f t="shared" si="187"/>
        <v>10080</v>
      </c>
      <c r="L2387" s="31" t="str">
        <f t="shared" si="188"/>
        <v/>
      </c>
      <c r="M2387" s="31" t="str">
        <f t="shared" si="189"/>
        <v/>
      </c>
    </row>
    <row r="2388" spans="1:13" x14ac:dyDescent="0.15">
      <c r="A2388" s="163" t="s">
        <v>210</v>
      </c>
      <c r="B2388" s="163">
        <v>42338.482132604164</v>
      </c>
      <c r="C2388" s="164" t="s">
        <v>2159</v>
      </c>
      <c r="D2388" s="164" t="s">
        <v>13</v>
      </c>
      <c r="E2388" s="165">
        <v>100</v>
      </c>
      <c r="F2388" s="166">
        <v>0</v>
      </c>
      <c r="G2388" s="227">
        <f>IF($B$2,IF(ROWS(B$6:$B2388) = 1,$B2388-Start_Date,$B2388-$B2387),"")</f>
        <v>1.4909224533766974E-2</v>
      </c>
      <c r="H2388" s="29">
        <f>IF($B$2,IF(ROWS(B$6:$B2388) = 1,IF(COUNTIFS(R_Schedule_Times,"&lt;"&amp;B2388),INDEX(R_Schedule_Amounts,MATCH(B2388,R_Schedule_Times,1)),Starting_Cash),IF(COUNTIFS(R_Schedule_Times,"&gt;"&amp;B2387,R_Schedule_Times,"&lt;"&amp;B2388),INDEX(R_Schedule_Amounts,MATCH(B2388,R_Schedule_Times,1)),K2387)),"")</f>
        <v>10080</v>
      </c>
      <c r="I2388" s="30">
        <f t="shared" si="185"/>
        <v>100</v>
      </c>
      <c r="J2388" s="31">
        <f t="shared" si="186"/>
        <v>0</v>
      </c>
      <c r="K2388" s="29">
        <f t="shared" si="187"/>
        <v>9980</v>
      </c>
      <c r="L2388" s="31" t="str">
        <f t="shared" si="188"/>
        <v/>
      </c>
      <c r="M2388" s="31" t="str">
        <f t="shared" si="189"/>
        <v/>
      </c>
    </row>
    <row r="2389" spans="1:13" x14ac:dyDescent="0.15">
      <c r="A2389" s="163" t="s">
        <v>210</v>
      </c>
      <c r="B2389" s="163">
        <v>42338.508213877314</v>
      </c>
      <c r="C2389" s="164" t="s">
        <v>2160</v>
      </c>
      <c r="D2389" s="164" t="s">
        <v>13</v>
      </c>
      <c r="E2389" s="165">
        <v>100</v>
      </c>
      <c r="F2389" s="166">
        <v>0</v>
      </c>
      <c r="G2389" s="227">
        <f>IF($B$2,IF(ROWS(B$6:$B2389) = 1,$B2389-Start_Date,$B2389-$B2388),"")</f>
        <v>2.6081273150339257E-2</v>
      </c>
      <c r="H2389" s="29">
        <f>IF($B$2,IF(ROWS(B$6:$B2389) = 1,IF(COUNTIFS(R_Schedule_Times,"&lt;"&amp;B2389),INDEX(R_Schedule_Amounts,MATCH(B2389,R_Schedule_Times,1)),Starting_Cash),IF(COUNTIFS(R_Schedule_Times,"&gt;"&amp;B2388,R_Schedule_Times,"&lt;"&amp;B2389),INDEX(R_Schedule_Amounts,MATCH(B2389,R_Schedule_Times,1)),K2388)),"")</f>
        <v>9980</v>
      </c>
      <c r="I2389" s="30">
        <f t="shared" si="185"/>
        <v>100</v>
      </c>
      <c r="J2389" s="31">
        <f t="shared" si="186"/>
        <v>0</v>
      </c>
      <c r="K2389" s="29">
        <f t="shared" si="187"/>
        <v>9880</v>
      </c>
      <c r="L2389" s="31" t="str">
        <f t="shared" si="188"/>
        <v/>
      </c>
      <c r="M2389" s="31" t="str">
        <f t="shared" si="189"/>
        <v/>
      </c>
    </row>
    <row r="2390" spans="1:13" x14ac:dyDescent="0.15">
      <c r="A2390" s="163" t="s">
        <v>210</v>
      </c>
      <c r="B2390" s="163">
        <v>42338.509452141203</v>
      </c>
      <c r="C2390" s="164" t="s">
        <v>2161</v>
      </c>
      <c r="D2390" s="164" t="s">
        <v>13</v>
      </c>
      <c r="E2390" s="165">
        <v>80</v>
      </c>
      <c r="F2390" s="166">
        <v>0</v>
      </c>
      <c r="G2390" s="227">
        <f>IF($B$2,IF(ROWS(B$6:$B2390) = 1,$B2390-Start_Date,$B2390-$B2389),"")</f>
        <v>1.238263888808433E-3</v>
      </c>
      <c r="H2390" s="29">
        <f>IF($B$2,IF(ROWS(B$6:$B2390) = 1,IF(COUNTIFS(R_Schedule_Times,"&lt;"&amp;B2390),INDEX(R_Schedule_Amounts,MATCH(B2390,R_Schedule_Times,1)),Starting_Cash),IF(COUNTIFS(R_Schedule_Times,"&gt;"&amp;B2389,R_Schedule_Times,"&lt;"&amp;B2390),INDEX(R_Schedule_Amounts,MATCH(B2390,R_Schedule_Times,1)),K2389)),"")</f>
        <v>9880</v>
      </c>
      <c r="I2390" s="30">
        <f t="shared" si="185"/>
        <v>80</v>
      </c>
      <c r="J2390" s="31">
        <f t="shared" si="186"/>
        <v>0</v>
      </c>
      <c r="K2390" s="29">
        <f t="shared" si="187"/>
        <v>9800</v>
      </c>
      <c r="L2390" s="31" t="str">
        <f t="shared" si="188"/>
        <v/>
      </c>
      <c r="M2390" s="31" t="str">
        <f t="shared" si="189"/>
        <v/>
      </c>
    </row>
    <row r="2391" spans="1:13" x14ac:dyDescent="0.15">
      <c r="A2391" s="163" t="s">
        <v>210</v>
      </c>
      <c r="B2391" s="163">
        <v>42338.527933483798</v>
      </c>
      <c r="C2391" s="164" t="s">
        <v>2162</v>
      </c>
      <c r="D2391" s="164" t="s">
        <v>13</v>
      </c>
      <c r="E2391" s="165">
        <v>100</v>
      </c>
      <c r="F2391" s="166">
        <v>0</v>
      </c>
      <c r="G2391" s="227">
        <f>IF($B$2,IF(ROWS(B$6:$B2391) = 1,$B2391-Start_Date,$B2391-$B2390),"")</f>
        <v>1.8481342594895978E-2</v>
      </c>
      <c r="H2391" s="29">
        <f>IF($B$2,IF(ROWS(B$6:$B2391) = 1,IF(COUNTIFS(R_Schedule_Times,"&lt;"&amp;B2391),INDEX(R_Schedule_Amounts,MATCH(B2391,R_Schedule_Times,1)),Starting_Cash),IF(COUNTIFS(R_Schedule_Times,"&gt;"&amp;B2390,R_Schedule_Times,"&lt;"&amp;B2391),INDEX(R_Schedule_Amounts,MATCH(B2391,R_Schedule_Times,1)),K2390)),"")</f>
        <v>9800</v>
      </c>
      <c r="I2391" s="30">
        <f t="shared" si="185"/>
        <v>100</v>
      </c>
      <c r="J2391" s="31">
        <f t="shared" si="186"/>
        <v>0</v>
      </c>
      <c r="K2391" s="29">
        <f t="shared" si="187"/>
        <v>9700</v>
      </c>
      <c r="L2391" s="31" t="str">
        <f t="shared" si="188"/>
        <v/>
      </c>
      <c r="M2391" s="31" t="str">
        <f t="shared" si="189"/>
        <v/>
      </c>
    </row>
    <row r="2392" spans="1:13" x14ac:dyDescent="0.15">
      <c r="A2392" s="163" t="s">
        <v>210</v>
      </c>
      <c r="B2392" s="163">
        <v>42338.548953576392</v>
      </c>
      <c r="C2392" s="164" t="s">
        <v>2163</v>
      </c>
      <c r="D2392" s="164" t="s">
        <v>13</v>
      </c>
      <c r="E2392" s="165">
        <v>300</v>
      </c>
      <c r="F2392" s="166">
        <v>0</v>
      </c>
      <c r="G2392" s="227">
        <f>IF($B$2,IF(ROWS(B$6:$B2392) = 1,$B2392-Start_Date,$B2392-$B2391),"")</f>
        <v>2.102009259397164E-2</v>
      </c>
      <c r="H2392" s="29">
        <f>IF($B$2,IF(ROWS(B$6:$B2392) = 1,IF(COUNTIFS(R_Schedule_Times,"&lt;"&amp;B2392),INDEX(R_Schedule_Amounts,MATCH(B2392,R_Schedule_Times,1)),Starting_Cash),IF(COUNTIFS(R_Schedule_Times,"&gt;"&amp;B2391,R_Schedule_Times,"&lt;"&amp;B2392),INDEX(R_Schedule_Amounts,MATCH(B2392,R_Schedule_Times,1)),K2391)),"")</f>
        <v>9700</v>
      </c>
      <c r="I2392" s="30">
        <f t="shared" si="185"/>
        <v>300</v>
      </c>
      <c r="J2392" s="31">
        <f t="shared" si="186"/>
        <v>0</v>
      </c>
      <c r="K2392" s="29">
        <f t="shared" si="187"/>
        <v>9400</v>
      </c>
      <c r="L2392" s="31" t="str">
        <f t="shared" si="188"/>
        <v/>
      </c>
      <c r="M2392" s="31" t="str">
        <f t="shared" si="189"/>
        <v/>
      </c>
    </row>
    <row r="2393" spans="1:13" x14ac:dyDescent="0.15">
      <c r="A2393" s="163" t="s">
        <v>210</v>
      </c>
      <c r="B2393" s="163">
        <v>42338.55144265046</v>
      </c>
      <c r="C2393" s="164" t="s">
        <v>2164</v>
      </c>
      <c r="D2393" s="164" t="s">
        <v>13</v>
      </c>
      <c r="E2393" s="165">
        <v>100</v>
      </c>
      <c r="F2393" s="166">
        <v>0</v>
      </c>
      <c r="G2393" s="227">
        <f>IF($B$2,IF(ROWS(B$6:$B2393) = 1,$B2393-Start_Date,$B2393-$B2392),"")</f>
        <v>2.4890740678529255E-3</v>
      </c>
      <c r="H2393" s="29">
        <f>IF($B$2,IF(ROWS(B$6:$B2393) = 1,IF(COUNTIFS(R_Schedule_Times,"&lt;"&amp;B2393),INDEX(R_Schedule_Amounts,MATCH(B2393,R_Schedule_Times,1)),Starting_Cash),IF(COUNTIFS(R_Schedule_Times,"&gt;"&amp;B2392,R_Schedule_Times,"&lt;"&amp;B2393),INDEX(R_Schedule_Amounts,MATCH(B2393,R_Schedule_Times,1)),K2392)),"")</f>
        <v>9400</v>
      </c>
      <c r="I2393" s="30">
        <f t="shared" si="185"/>
        <v>100</v>
      </c>
      <c r="J2393" s="31">
        <f t="shared" si="186"/>
        <v>0</v>
      </c>
      <c r="K2393" s="29">
        <f t="shared" si="187"/>
        <v>9300</v>
      </c>
      <c r="L2393" s="31" t="str">
        <f t="shared" si="188"/>
        <v/>
      </c>
      <c r="M2393" s="31" t="str">
        <f t="shared" si="189"/>
        <v/>
      </c>
    </row>
    <row r="2394" spans="1:13" x14ac:dyDescent="0.15">
      <c r="A2394" s="163" t="s">
        <v>210</v>
      </c>
      <c r="B2394" s="163">
        <v>42338.581348576387</v>
      </c>
      <c r="C2394" s="164" t="s">
        <v>14</v>
      </c>
      <c r="D2394" s="164" t="s">
        <v>13</v>
      </c>
      <c r="E2394" s="165">
        <v>60</v>
      </c>
      <c r="F2394" s="166">
        <v>3.5</v>
      </c>
      <c r="G2394" s="227">
        <f>IF($B$2,IF(ROWS(B$6:$B2394) = 1,$B2394-Start_Date,$B2394-$B2393),"")</f>
        <v>2.9905925926868804E-2</v>
      </c>
      <c r="H2394" s="29">
        <f>IF($B$2,IF(ROWS(B$6:$B2394) = 1,IF(COUNTIFS(R_Schedule_Times,"&lt;"&amp;B2394),INDEX(R_Schedule_Amounts,MATCH(B2394,R_Schedule_Times,1)),Starting_Cash),IF(COUNTIFS(R_Schedule_Times,"&gt;"&amp;B2393,R_Schedule_Times,"&lt;"&amp;B2394),INDEX(R_Schedule_Amounts,MATCH(B2394,R_Schedule_Times,1)),K2393)),"")</f>
        <v>9300</v>
      </c>
      <c r="I2394" s="30">
        <f t="shared" si="185"/>
        <v>60</v>
      </c>
      <c r="J2394" s="31">
        <f t="shared" si="186"/>
        <v>3.5</v>
      </c>
      <c r="K2394" s="29">
        <f t="shared" si="187"/>
        <v>9240</v>
      </c>
      <c r="L2394" s="31" t="str">
        <f t="shared" si="188"/>
        <v/>
      </c>
      <c r="M2394" s="31" t="str">
        <f t="shared" si="189"/>
        <v/>
      </c>
    </row>
    <row r="2395" spans="1:13" x14ac:dyDescent="0.15">
      <c r="A2395" s="163" t="s">
        <v>210</v>
      </c>
      <c r="B2395" s="163">
        <v>42338.590114409722</v>
      </c>
      <c r="C2395" s="164" t="s">
        <v>484</v>
      </c>
      <c r="D2395" s="164" t="s">
        <v>13</v>
      </c>
      <c r="E2395" s="165">
        <v>100</v>
      </c>
      <c r="F2395" s="166">
        <v>0</v>
      </c>
      <c r="G2395" s="227">
        <f>IF($B$2,IF(ROWS(B$6:$B2395) = 1,$B2395-Start_Date,$B2395-$B2394),"")</f>
        <v>8.7658333359286189E-3</v>
      </c>
      <c r="H2395" s="29">
        <f>IF($B$2,IF(ROWS(B$6:$B2395) = 1,IF(COUNTIFS(R_Schedule_Times,"&lt;"&amp;B2395),INDEX(R_Schedule_Amounts,MATCH(B2395,R_Schedule_Times,1)),Starting_Cash),IF(COUNTIFS(R_Schedule_Times,"&gt;"&amp;B2394,R_Schedule_Times,"&lt;"&amp;B2395),INDEX(R_Schedule_Amounts,MATCH(B2395,R_Schedule_Times,1)),K2394)),"")</f>
        <v>9240</v>
      </c>
      <c r="I2395" s="30">
        <f t="shared" si="185"/>
        <v>100</v>
      </c>
      <c r="J2395" s="31">
        <f t="shared" si="186"/>
        <v>0</v>
      </c>
      <c r="K2395" s="29">
        <f t="shared" si="187"/>
        <v>9140</v>
      </c>
      <c r="L2395" s="31" t="str">
        <f t="shared" si="188"/>
        <v/>
      </c>
      <c r="M2395" s="31" t="str">
        <f t="shared" si="189"/>
        <v/>
      </c>
    </row>
    <row r="2396" spans="1:13" x14ac:dyDescent="0.15">
      <c r="A2396" s="163" t="s">
        <v>210</v>
      </c>
      <c r="B2396" s="163">
        <v>42338.592300162039</v>
      </c>
      <c r="C2396" s="164" t="s">
        <v>2165</v>
      </c>
      <c r="D2396" s="164" t="s">
        <v>13</v>
      </c>
      <c r="E2396" s="165">
        <v>100</v>
      </c>
      <c r="F2396" s="166">
        <v>0</v>
      </c>
      <c r="G2396" s="227">
        <f>IF($B$2,IF(ROWS(B$6:$B2396) = 1,$B2396-Start_Date,$B2396-$B2395),"")</f>
        <v>2.1857523170183413E-3</v>
      </c>
      <c r="H2396" s="29">
        <f>IF($B$2,IF(ROWS(B$6:$B2396) = 1,IF(COUNTIFS(R_Schedule_Times,"&lt;"&amp;B2396),INDEX(R_Schedule_Amounts,MATCH(B2396,R_Schedule_Times,1)),Starting_Cash),IF(COUNTIFS(R_Schedule_Times,"&gt;"&amp;B2395,R_Schedule_Times,"&lt;"&amp;B2396),INDEX(R_Schedule_Amounts,MATCH(B2396,R_Schedule_Times,1)),K2395)),"")</f>
        <v>9140</v>
      </c>
      <c r="I2396" s="30">
        <f t="shared" si="185"/>
        <v>100</v>
      </c>
      <c r="J2396" s="31">
        <f t="shared" si="186"/>
        <v>0</v>
      </c>
      <c r="K2396" s="29">
        <f t="shared" si="187"/>
        <v>9040</v>
      </c>
      <c r="L2396" s="31" t="str">
        <f t="shared" si="188"/>
        <v/>
      </c>
      <c r="M2396" s="31" t="str">
        <f t="shared" si="189"/>
        <v/>
      </c>
    </row>
    <row r="2397" spans="1:13" x14ac:dyDescent="0.15">
      <c r="A2397" s="163" t="s">
        <v>210</v>
      </c>
      <c r="B2397" s="163">
        <v>42338.616288599536</v>
      </c>
      <c r="C2397" s="164" t="s">
        <v>2166</v>
      </c>
      <c r="D2397" s="164" t="s">
        <v>13</v>
      </c>
      <c r="E2397" s="165">
        <v>60</v>
      </c>
      <c r="F2397" s="166">
        <v>0</v>
      </c>
      <c r="G2397" s="227">
        <f>IF($B$2,IF(ROWS(B$6:$B2397) = 1,$B2397-Start_Date,$B2397-$B2396),"")</f>
        <v>2.3988437496882398E-2</v>
      </c>
      <c r="H2397" s="29">
        <f>IF($B$2,IF(ROWS(B$6:$B2397) = 1,IF(COUNTIFS(R_Schedule_Times,"&lt;"&amp;B2397),INDEX(R_Schedule_Amounts,MATCH(B2397,R_Schedule_Times,1)),Starting_Cash),IF(COUNTIFS(R_Schedule_Times,"&gt;"&amp;B2396,R_Schedule_Times,"&lt;"&amp;B2397),INDEX(R_Schedule_Amounts,MATCH(B2397,R_Schedule_Times,1)),K2396)),"")</f>
        <v>9040</v>
      </c>
      <c r="I2397" s="30">
        <f t="shared" si="185"/>
        <v>60</v>
      </c>
      <c r="J2397" s="31">
        <f t="shared" si="186"/>
        <v>0</v>
      </c>
      <c r="K2397" s="29">
        <f t="shared" si="187"/>
        <v>8980</v>
      </c>
      <c r="L2397" s="31" t="str">
        <f t="shared" si="188"/>
        <v/>
      </c>
      <c r="M2397" s="31" t="str">
        <f t="shared" si="189"/>
        <v/>
      </c>
    </row>
    <row r="2398" spans="1:13" x14ac:dyDescent="0.15">
      <c r="A2398" s="163" t="s">
        <v>210</v>
      </c>
      <c r="B2398" s="163">
        <v>42338.640425671299</v>
      </c>
      <c r="C2398" s="164" t="s">
        <v>2167</v>
      </c>
      <c r="D2398" s="164" t="s">
        <v>13</v>
      </c>
      <c r="E2398" s="165">
        <v>80</v>
      </c>
      <c r="F2398" s="166">
        <v>0</v>
      </c>
      <c r="G2398" s="227">
        <f>IF($B$2,IF(ROWS(B$6:$B2398) = 1,$B2398-Start_Date,$B2398-$B2397),"")</f>
        <v>2.4137071763107087E-2</v>
      </c>
      <c r="H2398" s="29">
        <f>IF($B$2,IF(ROWS(B$6:$B2398) = 1,IF(COUNTIFS(R_Schedule_Times,"&lt;"&amp;B2398),INDEX(R_Schedule_Amounts,MATCH(B2398,R_Schedule_Times,1)),Starting_Cash),IF(COUNTIFS(R_Schedule_Times,"&gt;"&amp;B2397,R_Schedule_Times,"&lt;"&amp;B2398),INDEX(R_Schedule_Amounts,MATCH(B2398,R_Schedule_Times,1)),K2397)),"")</f>
        <v>8980</v>
      </c>
      <c r="I2398" s="30">
        <f t="shared" si="185"/>
        <v>80</v>
      </c>
      <c r="J2398" s="31">
        <f t="shared" si="186"/>
        <v>0</v>
      </c>
      <c r="K2398" s="29">
        <f t="shared" si="187"/>
        <v>8900</v>
      </c>
      <c r="L2398" s="31" t="str">
        <f t="shared" si="188"/>
        <v/>
      </c>
      <c r="M2398" s="31" t="str">
        <f t="shared" si="189"/>
        <v/>
      </c>
    </row>
    <row r="2399" spans="1:13" x14ac:dyDescent="0.15">
      <c r="A2399" s="163" t="s">
        <v>210</v>
      </c>
      <c r="B2399" s="163">
        <v>42338.662366400466</v>
      </c>
      <c r="C2399" s="164" t="s">
        <v>14</v>
      </c>
      <c r="D2399" s="164" t="s">
        <v>15</v>
      </c>
      <c r="E2399" s="165">
        <v>100</v>
      </c>
      <c r="F2399" s="166">
        <v>5.5</v>
      </c>
      <c r="G2399" s="227">
        <f>IF($B$2,IF(ROWS(B$6:$B2399) = 1,$B2399-Start_Date,$B2399-$B2398),"")</f>
        <v>2.1940729166090023E-2</v>
      </c>
      <c r="H2399" s="29">
        <f>IF($B$2,IF(ROWS(B$6:$B2399) = 1,IF(COUNTIFS(R_Schedule_Times,"&lt;"&amp;B2399),INDEX(R_Schedule_Amounts,MATCH(B2399,R_Schedule_Times,1)),Starting_Cash),IF(COUNTIFS(R_Schedule_Times,"&gt;"&amp;B2398,R_Schedule_Times,"&lt;"&amp;B2399),INDEX(R_Schedule_Amounts,MATCH(B2399,R_Schedule_Times,1)),K2398)),"")</f>
        <v>8900</v>
      </c>
      <c r="I2399" s="30">
        <f t="shared" si="185"/>
        <v>100</v>
      </c>
      <c r="J2399" s="31">
        <f t="shared" si="186"/>
        <v>5.5</v>
      </c>
      <c r="K2399" s="29">
        <f t="shared" si="187"/>
        <v>8800</v>
      </c>
      <c r="L2399" s="31" t="str">
        <f t="shared" si="188"/>
        <v/>
      </c>
      <c r="M2399" s="31" t="str">
        <f t="shared" si="189"/>
        <v/>
      </c>
    </row>
    <row r="2400" spans="1:13" x14ac:dyDescent="0.15">
      <c r="A2400" s="163" t="s">
        <v>210</v>
      </c>
      <c r="B2400" s="163">
        <v>42338.666897523151</v>
      </c>
      <c r="C2400" s="164" t="s">
        <v>257</v>
      </c>
      <c r="D2400" s="164" t="s">
        <v>13</v>
      </c>
      <c r="E2400" s="165">
        <v>20</v>
      </c>
      <c r="F2400" s="166">
        <v>0</v>
      </c>
      <c r="G2400" s="227">
        <f>IF($B$2,IF(ROWS(B$6:$B2400) = 1,$B2400-Start_Date,$B2400-$B2399),"")</f>
        <v>4.5311226858757436E-3</v>
      </c>
      <c r="H2400" s="29">
        <f>IF($B$2,IF(ROWS(B$6:$B2400) = 1,IF(COUNTIFS(R_Schedule_Times,"&lt;"&amp;B2400),INDEX(R_Schedule_Amounts,MATCH(B2400,R_Schedule_Times,1)),Starting_Cash),IF(COUNTIFS(R_Schedule_Times,"&gt;"&amp;B2399,R_Schedule_Times,"&lt;"&amp;B2400),INDEX(R_Schedule_Amounts,MATCH(B2400,R_Schedule_Times,1)),K2399)),"")</f>
        <v>8800</v>
      </c>
      <c r="I2400" s="30">
        <f t="shared" si="185"/>
        <v>20</v>
      </c>
      <c r="J2400" s="31">
        <f t="shared" si="186"/>
        <v>0</v>
      </c>
      <c r="K2400" s="29">
        <f t="shared" si="187"/>
        <v>8780</v>
      </c>
      <c r="L2400" s="31" t="str">
        <f t="shared" si="188"/>
        <v/>
      </c>
      <c r="M2400" s="31" t="str">
        <f t="shared" si="189"/>
        <v/>
      </c>
    </row>
    <row r="2401" spans="1:13" x14ac:dyDescent="0.15">
      <c r="A2401" s="163" t="s">
        <v>210</v>
      </c>
      <c r="B2401" s="163">
        <v>42338.668210462965</v>
      </c>
      <c r="C2401" s="164" t="s">
        <v>2168</v>
      </c>
      <c r="D2401" s="164" t="s">
        <v>13</v>
      </c>
      <c r="E2401" s="165">
        <v>100</v>
      </c>
      <c r="F2401" s="166">
        <v>0</v>
      </c>
      <c r="G2401" s="227">
        <f>IF($B$2,IF(ROWS(B$6:$B2401) = 1,$B2401-Start_Date,$B2401-$B2400),"")</f>
        <v>1.3129398139426485E-3</v>
      </c>
      <c r="H2401" s="29">
        <f>IF($B$2,IF(ROWS(B$6:$B2401) = 1,IF(COUNTIFS(R_Schedule_Times,"&lt;"&amp;B2401),INDEX(R_Schedule_Amounts,MATCH(B2401,R_Schedule_Times,1)),Starting_Cash),IF(COUNTIFS(R_Schedule_Times,"&gt;"&amp;B2400,R_Schedule_Times,"&lt;"&amp;B2401),INDEX(R_Schedule_Amounts,MATCH(B2401,R_Schedule_Times,1)),K2400)),"")</f>
        <v>8780</v>
      </c>
      <c r="I2401" s="30">
        <f t="shared" si="185"/>
        <v>100</v>
      </c>
      <c r="J2401" s="31">
        <f t="shared" si="186"/>
        <v>0</v>
      </c>
      <c r="K2401" s="29">
        <f t="shared" si="187"/>
        <v>8680</v>
      </c>
      <c r="L2401" s="31" t="str">
        <f t="shared" si="188"/>
        <v/>
      </c>
      <c r="M2401" s="31" t="str">
        <f t="shared" si="189"/>
        <v/>
      </c>
    </row>
    <row r="2402" spans="1:13" x14ac:dyDescent="0.15">
      <c r="A2402" s="163" t="s">
        <v>210</v>
      </c>
      <c r="B2402" s="163">
        <v>42338.687234178244</v>
      </c>
      <c r="C2402" s="164" t="s">
        <v>14</v>
      </c>
      <c r="D2402" s="164" t="s">
        <v>13</v>
      </c>
      <c r="E2402" s="165">
        <v>40</v>
      </c>
      <c r="F2402" s="166">
        <v>3.5</v>
      </c>
      <c r="G2402" s="227">
        <f>IF($B$2,IF(ROWS(B$6:$B2402) = 1,$B2402-Start_Date,$B2402-$B2401),"")</f>
        <v>1.9023715278308373E-2</v>
      </c>
      <c r="H2402" s="29">
        <f>IF($B$2,IF(ROWS(B$6:$B2402) = 1,IF(COUNTIFS(R_Schedule_Times,"&lt;"&amp;B2402),INDEX(R_Schedule_Amounts,MATCH(B2402,R_Schedule_Times,1)),Starting_Cash),IF(COUNTIFS(R_Schedule_Times,"&gt;"&amp;B2401,R_Schedule_Times,"&lt;"&amp;B2402),INDEX(R_Schedule_Amounts,MATCH(B2402,R_Schedule_Times,1)),K2401)),"")</f>
        <v>8680</v>
      </c>
      <c r="I2402" s="30">
        <f t="shared" si="185"/>
        <v>40</v>
      </c>
      <c r="J2402" s="31">
        <f t="shared" si="186"/>
        <v>3.5</v>
      </c>
      <c r="K2402" s="29">
        <f t="shared" si="187"/>
        <v>8640</v>
      </c>
      <c r="L2402" s="31" t="str">
        <f t="shared" si="188"/>
        <v/>
      </c>
      <c r="M2402" s="31" t="str">
        <f t="shared" si="189"/>
        <v/>
      </c>
    </row>
    <row r="2403" spans="1:13" x14ac:dyDescent="0.15">
      <c r="A2403" s="163" t="s">
        <v>210</v>
      </c>
      <c r="B2403" s="163">
        <v>42338.694282893521</v>
      </c>
      <c r="C2403" s="164" t="s">
        <v>2169</v>
      </c>
      <c r="D2403" s="164" t="s">
        <v>13</v>
      </c>
      <c r="E2403" s="165">
        <v>80</v>
      </c>
      <c r="F2403" s="166">
        <v>0</v>
      </c>
      <c r="G2403" s="227">
        <f>IF($B$2,IF(ROWS(B$6:$B2403) = 1,$B2403-Start_Date,$B2403-$B2402),"")</f>
        <v>7.0487152770510875E-3</v>
      </c>
      <c r="H2403" s="29">
        <f>IF($B$2,IF(ROWS(B$6:$B2403) = 1,IF(COUNTIFS(R_Schedule_Times,"&lt;"&amp;B2403),INDEX(R_Schedule_Amounts,MATCH(B2403,R_Schedule_Times,1)),Starting_Cash),IF(COUNTIFS(R_Schedule_Times,"&gt;"&amp;B2402,R_Schedule_Times,"&lt;"&amp;B2403),INDEX(R_Schedule_Amounts,MATCH(B2403,R_Schedule_Times,1)),K2402)),"")</f>
        <v>8640</v>
      </c>
      <c r="I2403" s="30">
        <f t="shared" si="185"/>
        <v>80</v>
      </c>
      <c r="J2403" s="31">
        <f t="shared" si="186"/>
        <v>0</v>
      </c>
      <c r="K2403" s="29">
        <f t="shared" si="187"/>
        <v>8560</v>
      </c>
      <c r="L2403" s="31" t="str">
        <f t="shared" si="188"/>
        <v/>
      </c>
      <c r="M2403" s="31" t="str">
        <f t="shared" si="189"/>
        <v/>
      </c>
    </row>
    <row r="2404" spans="1:13" x14ac:dyDescent="0.15">
      <c r="A2404" s="163" t="s">
        <v>210</v>
      </c>
      <c r="B2404" s="163">
        <v>42338.701052951386</v>
      </c>
      <c r="C2404" s="164" t="s">
        <v>2170</v>
      </c>
      <c r="D2404" s="164" t="s">
        <v>13</v>
      </c>
      <c r="E2404" s="165">
        <v>40</v>
      </c>
      <c r="F2404" s="166">
        <v>0</v>
      </c>
      <c r="G2404" s="227">
        <f>IF($B$2,IF(ROWS(B$6:$B2404) = 1,$B2404-Start_Date,$B2404-$B2403),"")</f>
        <v>6.7700578656513244E-3</v>
      </c>
      <c r="H2404" s="29">
        <f>IF($B$2,IF(ROWS(B$6:$B2404) = 1,IF(COUNTIFS(R_Schedule_Times,"&lt;"&amp;B2404),INDEX(R_Schedule_Amounts,MATCH(B2404,R_Schedule_Times,1)),Starting_Cash),IF(COUNTIFS(R_Schedule_Times,"&gt;"&amp;B2403,R_Schedule_Times,"&lt;"&amp;B2404),INDEX(R_Schedule_Amounts,MATCH(B2404,R_Schedule_Times,1)),K2403)),"")</f>
        <v>8560</v>
      </c>
      <c r="I2404" s="30">
        <f t="shared" si="185"/>
        <v>40</v>
      </c>
      <c r="J2404" s="31">
        <f t="shared" si="186"/>
        <v>0</v>
      </c>
      <c r="K2404" s="29">
        <f t="shared" si="187"/>
        <v>8520</v>
      </c>
      <c r="L2404" s="31" t="str">
        <f t="shared" si="188"/>
        <v/>
      </c>
      <c r="M2404" s="31" t="str">
        <f t="shared" si="189"/>
        <v/>
      </c>
    </row>
    <row r="2405" spans="1:13" x14ac:dyDescent="0.15">
      <c r="A2405" s="163" t="s">
        <v>210</v>
      </c>
      <c r="B2405" s="163">
        <v>42338.712565590278</v>
      </c>
      <c r="C2405" s="164" t="s">
        <v>14</v>
      </c>
      <c r="D2405" s="164" t="s">
        <v>13</v>
      </c>
      <c r="E2405" s="165">
        <v>40</v>
      </c>
      <c r="F2405" s="166">
        <v>3.5</v>
      </c>
      <c r="G2405" s="227">
        <f>IF($B$2,IF(ROWS(B$6:$B2405) = 1,$B2405-Start_Date,$B2405-$B2404),"")</f>
        <v>1.1512638891872484E-2</v>
      </c>
      <c r="H2405" s="29">
        <f>IF($B$2,IF(ROWS(B$6:$B2405) = 1,IF(COUNTIFS(R_Schedule_Times,"&lt;"&amp;B2405),INDEX(R_Schedule_Amounts,MATCH(B2405,R_Schedule_Times,1)),Starting_Cash),IF(COUNTIFS(R_Schedule_Times,"&gt;"&amp;B2404,R_Schedule_Times,"&lt;"&amp;B2405),INDEX(R_Schedule_Amounts,MATCH(B2405,R_Schedule_Times,1)),K2404)),"")</f>
        <v>8520</v>
      </c>
      <c r="I2405" s="30">
        <f t="shared" si="185"/>
        <v>40</v>
      </c>
      <c r="J2405" s="31">
        <f t="shared" si="186"/>
        <v>3.5</v>
      </c>
      <c r="K2405" s="29">
        <f t="shared" si="187"/>
        <v>8480</v>
      </c>
      <c r="L2405" s="31" t="str">
        <f t="shared" si="188"/>
        <v/>
      </c>
      <c r="M2405" s="31" t="str">
        <f t="shared" si="189"/>
        <v/>
      </c>
    </row>
    <row r="2406" spans="1:13" x14ac:dyDescent="0.15">
      <c r="A2406" s="163" t="s">
        <v>210</v>
      </c>
      <c r="B2406" s="163">
        <v>42338.714899652776</v>
      </c>
      <c r="C2406" s="164" t="s">
        <v>2171</v>
      </c>
      <c r="D2406" s="164" t="s">
        <v>13</v>
      </c>
      <c r="E2406" s="165">
        <v>100</v>
      </c>
      <c r="F2406" s="166">
        <v>0</v>
      </c>
      <c r="G2406" s="227">
        <f>IF($B$2,IF(ROWS(B$6:$B2406) = 1,$B2406-Start_Date,$B2406-$B2405),"")</f>
        <v>2.3340624975389801E-3</v>
      </c>
      <c r="H2406" s="29">
        <f>IF($B$2,IF(ROWS(B$6:$B2406) = 1,IF(COUNTIFS(R_Schedule_Times,"&lt;"&amp;B2406),INDEX(R_Schedule_Amounts,MATCH(B2406,R_Schedule_Times,1)),Starting_Cash),IF(COUNTIFS(R_Schedule_Times,"&gt;"&amp;B2405,R_Schedule_Times,"&lt;"&amp;B2406),INDEX(R_Schedule_Amounts,MATCH(B2406,R_Schedule_Times,1)),K2405)),"")</f>
        <v>8480</v>
      </c>
      <c r="I2406" s="30">
        <f t="shared" si="185"/>
        <v>100</v>
      </c>
      <c r="J2406" s="31">
        <f t="shared" si="186"/>
        <v>0</v>
      </c>
      <c r="K2406" s="29">
        <f t="shared" si="187"/>
        <v>8380</v>
      </c>
      <c r="L2406" s="31" t="str">
        <f t="shared" si="188"/>
        <v/>
      </c>
      <c r="M2406" s="31" t="str">
        <f t="shared" si="189"/>
        <v/>
      </c>
    </row>
    <row r="2407" spans="1:13" x14ac:dyDescent="0.15">
      <c r="A2407" s="163" t="s">
        <v>210</v>
      </c>
      <c r="B2407" s="163">
        <v>42338.735172118053</v>
      </c>
      <c r="C2407" s="164" t="s">
        <v>2172</v>
      </c>
      <c r="D2407" s="164" t="s">
        <v>13</v>
      </c>
      <c r="E2407" s="165">
        <v>80</v>
      </c>
      <c r="F2407" s="166">
        <v>0</v>
      </c>
      <c r="G2407" s="227">
        <f>IF($B$2,IF(ROWS(B$6:$B2407) = 1,$B2407-Start_Date,$B2407-$B2406),"")</f>
        <v>2.0272465277230367E-2</v>
      </c>
      <c r="H2407" s="29">
        <f>IF($B$2,IF(ROWS(B$6:$B2407) = 1,IF(COUNTIFS(R_Schedule_Times,"&lt;"&amp;B2407),INDEX(R_Schedule_Amounts,MATCH(B2407,R_Schedule_Times,1)),Starting_Cash),IF(COUNTIFS(R_Schedule_Times,"&gt;"&amp;B2406,R_Schedule_Times,"&lt;"&amp;B2407),INDEX(R_Schedule_Amounts,MATCH(B2407,R_Schedule_Times,1)),K2406)),"")</f>
        <v>8380</v>
      </c>
      <c r="I2407" s="30">
        <f t="shared" si="185"/>
        <v>80</v>
      </c>
      <c r="J2407" s="31">
        <f t="shared" si="186"/>
        <v>0</v>
      </c>
      <c r="K2407" s="29">
        <f t="shared" si="187"/>
        <v>8300</v>
      </c>
      <c r="L2407" s="31" t="str">
        <f t="shared" si="188"/>
        <v/>
      </c>
      <c r="M2407" s="31" t="str">
        <f t="shared" si="189"/>
        <v/>
      </c>
    </row>
    <row r="2408" spans="1:13" x14ac:dyDescent="0.15">
      <c r="A2408" s="163" t="s">
        <v>210</v>
      </c>
      <c r="B2408" s="163">
        <v>42338.751685555559</v>
      </c>
      <c r="C2408" s="164" t="s">
        <v>14</v>
      </c>
      <c r="D2408" s="164" t="s">
        <v>13</v>
      </c>
      <c r="E2408" s="165">
        <v>280</v>
      </c>
      <c r="F2408" s="166">
        <v>3.5</v>
      </c>
      <c r="G2408" s="227">
        <f>IF($B$2,IF(ROWS(B$6:$B2408) = 1,$B2408-Start_Date,$B2408-$B2407),"")</f>
        <v>1.651343750563683E-2</v>
      </c>
      <c r="H2408" s="29">
        <f>IF($B$2,IF(ROWS(B$6:$B2408) = 1,IF(COUNTIFS(R_Schedule_Times,"&lt;"&amp;B2408),INDEX(R_Schedule_Amounts,MATCH(B2408,R_Schedule_Times,1)),Starting_Cash),IF(COUNTIFS(R_Schedule_Times,"&gt;"&amp;B2407,R_Schedule_Times,"&lt;"&amp;B2408),INDEX(R_Schedule_Amounts,MATCH(B2408,R_Schedule_Times,1)),K2407)),"")</f>
        <v>8300</v>
      </c>
      <c r="I2408" s="30">
        <f t="shared" si="185"/>
        <v>280</v>
      </c>
      <c r="J2408" s="31">
        <f t="shared" si="186"/>
        <v>3.5</v>
      </c>
      <c r="K2408" s="29">
        <f t="shared" si="187"/>
        <v>8020</v>
      </c>
      <c r="L2408" s="31" t="str">
        <f t="shared" si="188"/>
        <v/>
      </c>
      <c r="M2408" s="31" t="str">
        <f t="shared" si="189"/>
        <v/>
      </c>
    </row>
    <row r="2409" spans="1:13" x14ac:dyDescent="0.15">
      <c r="A2409" s="163" t="s">
        <v>210</v>
      </c>
      <c r="B2409" s="163">
        <v>42338.755418055553</v>
      </c>
      <c r="C2409" s="164" t="s">
        <v>2173</v>
      </c>
      <c r="D2409" s="164" t="s">
        <v>13</v>
      </c>
      <c r="E2409" s="165">
        <v>100</v>
      </c>
      <c r="F2409" s="166">
        <v>0</v>
      </c>
      <c r="G2409" s="227">
        <f>IF($B$2,IF(ROWS(B$6:$B2409) = 1,$B2409-Start_Date,$B2409-$B2408),"")</f>
        <v>3.7324999939301051E-3</v>
      </c>
      <c r="H2409" s="29">
        <f>IF($B$2,IF(ROWS(B$6:$B2409) = 1,IF(COUNTIFS(R_Schedule_Times,"&lt;"&amp;B2409),INDEX(R_Schedule_Amounts,MATCH(B2409,R_Schedule_Times,1)),Starting_Cash),IF(COUNTIFS(R_Schedule_Times,"&gt;"&amp;B2408,R_Schedule_Times,"&lt;"&amp;B2409),INDEX(R_Schedule_Amounts,MATCH(B2409,R_Schedule_Times,1)),K2408)),"")</f>
        <v>8020</v>
      </c>
      <c r="I2409" s="30">
        <f t="shared" si="185"/>
        <v>100</v>
      </c>
      <c r="J2409" s="31">
        <f t="shared" si="186"/>
        <v>0</v>
      </c>
      <c r="K2409" s="29">
        <f t="shared" si="187"/>
        <v>7920</v>
      </c>
      <c r="L2409" s="31" t="str">
        <f t="shared" si="188"/>
        <v/>
      </c>
      <c r="M2409" s="31" t="str">
        <f t="shared" si="189"/>
        <v/>
      </c>
    </row>
    <row r="2410" spans="1:13" x14ac:dyDescent="0.15">
      <c r="A2410" s="163" t="s">
        <v>210</v>
      </c>
      <c r="B2410" s="163">
        <v>42338.758094849538</v>
      </c>
      <c r="C2410" s="164" t="s">
        <v>2174</v>
      </c>
      <c r="D2410" s="164" t="s">
        <v>13</v>
      </c>
      <c r="E2410" s="165">
        <v>120</v>
      </c>
      <c r="F2410" s="166">
        <v>0</v>
      </c>
      <c r="G2410" s="227">
        <f>IF($B$2,IF(ROWS(B$6:$B2410) = 1,$B2410-Start_Date,$B2410-$B2409),"")</f>
        <v>2.6767939853016287E-3</v>
      </c>
      <c r="H2410" s="29">
        <f>IF($B$2,IF(ROWS(B$6:$B2410) = 1,IF(COUNTIFS(R_Schedule_Times,"&lt;"&amp;B2410),INDEX(R_Schedule_Amounts,MATCH(B2410,R_Schedule_Times,1)),Starting_Cash),IF(COUNTIFS(R_Schedule_Times,"&gt;"&amp;B2409,R_Schedule_Times,"&lt;"&amp;B2410),INDEX(R_Schedule_Amounts,MATCH(B2410,R_Schedule_Times,1)),K2409)),"")</f>
        <v>7920</v>
      </c>
      <c r="I2410" s="30">
        <f t="shared" si="185"/>
        <v>120</v>
      </c>
      <c r="J2410" s="31">
        <f t="shared" si="186"/>
        <v>0</v>
      </c>
      <c r="K2410" s="29">
        <f t="shared" si="187"/>
        <v>7800</v>
      </c>
      <c r="L2410" s="31" t="str">
        <f t="shared" si="188"/>
        <v/>
      </c>
      <c r="M2410" s="31" t="str">
        <f t="shared" si="189"/>
        <v/>
      </c>
    </row>
    <row r="2411" spans="1:13" x14ac:dyDescent="0.15">
      <c r="A2411" s="163" t="s">
        <v>210</v>
      </c>
      <c r="B2411" s="163">
        <v>42338.764661307869</v>
      </c>
      <c r="C2411" s="164" t="s">
        <v>2175</v>
      </c>
      <c r="D2411" s="164" t="s">
        <v>13</v>
      </c>
      <c r="E2411" s="165">
        <v>20</v>
      </c>
      <c r="F2411" s="166">
        <v>0</v>
      </c>
      <c r="G2411" s="227">
        <f>IF($B$2,IF(ROWS(B$6:$B2411) = 1,$B2411-Start_Date,$B2411-$B2410),"")</f>
        <v>6.5664583307807334E-3</v>
      </c>
      <c r="H2411" s="29">
        <f>IF($B$2,IF(ROWS(B$6:$B2411) = 1,IF(COUNTIFS(R_Schedule_Times,"&lt;"&amp;B2411),INDEX(R_Schedule_Amounts,MATCH(B2411,R_Schedule_Times,1)),Starting_Cash),IF(COUNTIFS(R_Schedule_Times,"&gt;"&amp;B2410,R_Schedule_Times,"&lt;"&amp;B2411),INDEX(R_Schedule_Amounts,MATCH(B2411,R_Schedule_Times,1)),K2410)),"")</f>
        <v>7800</v>
      </c>
      <c r="I2411" s="30">
        <f t="shared" si="185"/>
        <v>20</v>
      </c>
      <c r="J2411" s="31">
        <f t="shared" si="186"/>
        <v>0</v>
      </c>
      <c r="K2411" s="29">
        <f t="shared" si="187"/>
        <v>7780</v>
      </c>
      <c r="L2411" s="31" t="str">
        <f t="shared" si="188"/>
        <v/>
      </c>
      <c r="M2411" s="31" t="str">
        <f t="shared" si="189"/>
        <v/>
      </c>
    </row>
    <row r="2412" spans="1:13" x14ac:dyDescent="0.15">
      <c r="A2412" s="163" t="s">
        <v>210</v>
      </c>
      <c r="B2412" s="163">
        <v>42338.775218472219</v>
      </c>
      <c r="C2412" s="164" t="s">
        <v>2176</v>
      </c>
      <c r="D2412" s="164" t="s">
        <v>13</v>
      </c>
      <c r="E2412" s="165">
        <v>40</v>
      </c>
      <c r="F2412" s="166">
        <v>0</v>
      </c>
      <c r="G2412" s="227">
        <f>IF($B$2,IF(ROWS(B$6:$B2412) = 1,$B2412-Start_Date,$B2412-$B2411),"")</f>
        <v>1.0557164350757375E-2</v>
      </c>
      <c r="H2412" s="29">
        <f>IF($B$2,IF(ROWS(B$6:$B2412) = 1,IF(COUNTIFS(R_Schedule_Times,"&lt;"&amp;B2412),INDEX(R_Schedule_Amounts,MATCH(B2412,R_Schedule_Times,1)),Starting_Cash),IF(COUNTIFS(R_Schedule_Times,"&gt;"&amp;B2411,R_Schedule_Times,"&lt;"&amp;B2412),INDEX(R_Schedule_Amounts,MATCH(B2412,R_Schedule_Times,1)),K2411)),"")</f>
        <v>7780</v>
      </c>
      <c r="I2412" s="30">
        <f t="shared" si="185"/>
        <v>40</v>
      </c>
      <c r="J2412" s="31">
        <f t="shared" si="186"/>
        <v>0</v>
      </c>
      <c r="K2412" s="29">
        <f t="shared" si="187"/>
        <v>7740</v>
      </c>
      <c r="L2412" s="31" t="str">
        <f t="shared" si="188"/>
        <v/>
      </c>
      <c r="M2412" s="31" t="str">
        <f t="shared" si="189"/>
        <v/>
      </c>
    </row>
    <row r="2413" spans="1:13" x14ac:dyDescent="0.15">
      <c r="A2413" s="163" t="s">
        <v>210</v>
      </c>
      <c r="B2413" s="163">
        <v>42338.781587893522</v>
      </c>
      <c r="C2413" s="164" t="s">
        <v>2177</v>
      </c>
      <c r="D2413" s="164" t="s">
        <v>13</v>
      </c>
      <c r="E2413" s="165">
        <v>80</v>
      </c>
      <c r="F2413" s="166">
        <v>0</v>
      </c>
      <c r="G2413" s="227">
        <f>IF($B$2,IF(ROWS(B$6:$B2413) = 1,$B2413-Start_Date,$B2413-$B2412),"")</f>
        <v>6.3694213022245094E-3</v>
      </c>
      <c r="H2413" s="29">
        <f>IF($B$2,IF(ROWS(B$6:$B2413) = 1,IF(COUNTIFS(R_Schedule_Times,"&lt;"&amp;B2413),INDEX(R_Schedule_Amounts,MATCH(B2413,R_Schedule_Times,1)),Starting_Cash),IF(COUNTIFS(R_Schedule_Times,"&gt;"&amp;B2412,R_Schedule_Times,"&lt;"&amp;B2413),INDEX(R_Schedule_Amounts,MATCH(B2413,R_Schedule_Times,1)),K2412)),"")</f>
        <v>7740</v>
      </c>
      <c r="I2413" s="30">
        <f t="shared" si="185"/>
        <v>80</v>
      </c>
      <c r="J2413" s="31">
        <f t="shared" si="186"/>
        <v>0</v>
      </c>
      <c r="K2413" s="29">
        <f t="shared" si="187"/>
        <v>7660</v>
      </c>
      <c r="L2413" s="31" t="str">
        <f t="shared" si="188"/>
        <v/>
      </c>
      <c r="M2413" s="31" t="str">
        <f t="shared" si="189"/>
        <v/>
      </c>
    </row>
    <row r="2414" spans="1:13" x14ac:dyDescent="0.15">
      <c r="A2414" s="163" t="s">
        <v>210</v>
      </c>
      <c r="B2414" s="163">
        <v>42338.788406805557</v>
      </c>
      <c r="C2414" s="164" t="s">
        <v>113</v>
      </c>
      <c r="D2414" s="164" t="s">
        <v>13</v>
      </c>
      <c r="E2414" s="165">
        <v>100</v>
      </c>
      <c r="F2414" s="166">
        <v>0</v>
      </c>
      <c r="G2414" s="227">
        <f>IF($B$2,IF(ROWS(B$6:$B2414) = 1,$B2414-Start_Date,$B2414-$B2413),"")</f>
        <v>6.8189120356692001E-3</v>
      </c>
      <c r="H2414" s="29">
        <f>IF($B$2,IF(ROWS(B$6:$B2414) = 1,IF(COUNTIFS(R_Schedule_Times,"&lt;"&amp;B2414),INDEX(R_Schedule_Amounts,MATCH(B2414,R_Schedule_Times,1)),Starting_Cash),IF(COUNTIFS(R_Schedule_Times,"&gt;"&amp;B2413,R_Schedule_Times,"&lt;"&amp;B2414),INDEX(R_Schedule_Amounts,MATCH(B2414,R_Schedule_Times,1)),K2413)),"")</f>
        <v>7660</v>
      </c>
      <c r="I2414" s="30">
        <f t="shared" si="185"/>
        <v>100</v>
      </c>
      <c r="J2414" s="31">
        <f t="shared" si="186"/>
        <v>0</v>
      </c>
      <c r="K2414" s="29">
        <f t="shared" si="187"/>
        <v>7560</v>
      </c>
      <c r="L2414" s="31" t="str">
        <f t="shared" si="188"/>
        <v/>
      </c>
      <c r="M2414" s="31" t="str">
        <f t="shared" si="189"/>
        <v/>
      </c>
    </row>
    <row r="2415" spans="1:13" x14ac:dyDescent="0.15">
      <c r="A2415" s="163" t="s">
        <v>210</v>
      </c>
      <c r="B2415" s="163">
        <v>42338.962862141205</v>
      </c>
      <c r="C2415" s="164" t="s">
        <v>108</v>
      </c>
      <c r="D2415" s="164" t="s">
        <v>13</v>
      </c>
      <c r="E2415" s="165">
        <v>40</v>
      </c>
      <c r="F2415" s="166">
        <v>0</v>
      </c>
      <c r="G2415" s="227">
        <f>IF($B$2,IF(ROWS(B$6:$B2415) = 1,$B2415-Start_Date,$B2415-$B2414),"")</f>
        <v>0.17445533564750804</v>
      </c>
      <c r="H2415" s="29">
        <f>IF($B$2,IF(ROWS(B$6:$B2415) = 1,IF(COUNTIFS(R_Schedule_Times,"&lt;"&amp;B2415),INDEX(R_Schedule_Amounts,MATCH(B2415,R_Schedule_Times,1)),Starting_Cash),IF(COUNTIFS(R_Schedule_Times,"&gt;"&amp;B2414,R_Schedule_Times,"&lt;"&amp;B2415),INDEX(R_Schedule_Amounts,MATCH(B2415,R_Schedule_Times,1)),K2414)),"")</f>
        <v>7560</v>
      </c>
      <c r="I2415" s="30">
        <f t="shared" si="185"/>
        <v>40</v>
      </c>
      <c r="J2415" s="31">
        <f t="shared" si="186"/>
        <v>0</v>
      </c>
      <c r="K2415" s="29">
        <f t="shared" si="187"/>
        <v>7520</v>
      </c>
      <c r="L2415" s="31" t="str">
        <f t="shared" si="188"/>
        <v/>
      </c>
      <c r="M2415" s="31" t="str">
        <f t="shared" si="189"/>
        <v/>
      </c>
    </row>
    <row r="2416" spans="1:13" x14ac:dyDescent="0.15">
      <c r="A2416" s="163" t="s">
        <v>210</v>
      </c>
      <c r="B2416" s="163">
        <v>42339.237235972221</v>
      </c>
      <c r="C2416" s="164" t="s">
        <v>14</v>
      </c>
      <c r="D2416" s="164" t="s">
        <v>13</v>
      </c>
      <c r="E2416" s="165">
        <v>80</v>
      </c>
      <c r="F2416" s="166">
        <v>3.5</v>
      </c>
      <c r="G2416" s="227">
        <f>IF($B$2,IF(ROWS(B$6:$B2416) = 1,$B2416-Start_Date,$B2416-$B2415),"")</f>
        <v>0.27437383101641899</v>
      </c>
      <c r="H2416" s="29">
        <f>IF($B$2,IF(ROWS(B$6:$B2416) = 1,IF(COUNTIFS(R_Schedule_Times,"&lt;"&amp;B2416),INDEX(R_Schedule_Amounts,MATCH(B2416,R_Schedule_Times,1)),Starting_Cash),IF(COUNTIFS(R_Schedule_Times,"&gt;"&amp;B2415,R_Schedule_Times,"&lt;"&amp;B2416),INDEX(R_Schedule_Amounts,MATCH(B2416,R_Schedule_Times,1)),K2415)),"")</f>
        <v>7520</v>
      </c>
      <c r="I2416" s="30">
        <f t="shared" si="185"/>
        <v>80</v>
      </c>
      <c r="J2416" s="31">
        <f t="shared" si="186"/>
        <v>3.5</v>
      </c>
      <c r="K2416" s="29">
        <f t="shared" si="187"/>
        <v>7440</v>
      </c>
      <c r="L2416" s="31" t="str">
        <f t="shared" si="188"/>
        <v/>
      </c>
      <c r="M2416" s="31" t="str">
        <f t="shared" si="189"/>
        <v/>
      </c>
    </row>
    <row r="2417" spans="1:13" x14ac:dyDescent="0.15">
      <c r="A2417" s="163" t="s">
        <v>210</v>
      </c>
      <c r="B2417" s="163">
        <v>42339.300973622689</v>
      </c>
      <c r="C2417" s="164" t="s">
        <v>603</v>
      </c>
      <c r="D2417" s="164" t="s">
        <v>13</v>
      </c>
      <c r="E2417" s="165">
        <v>60</v>
      </c>
      <c r="F2417" s="166">
        <v>0</v>
      </c>
      <c r="G2417" s="227">
        <f>IF($B$2,IF(ROWS(B$6:$B2417) = 1,$B2417-Start_Date,$B2417-$B2416),"")</f>
        <v>6.3737650467373896E-2</v>
      </c>
      <c r="H2417" s="29">
        <f>IF($B$2,IF(ROWS(B$6:$B2417) = 1,IF(COUNTIFS(R_Schedule_Times,"&lt;"&amp;B2417),INDEX(R_Schedule_Amounts,MATCH(B2417,R_Schedule_Times,1)),Starting_Cash),IF(COUNTIFS(R_Schedule_Times,"&gt;"&amp;B2416,R_Schedule_Times,"&lt;"&amp;B2417),INDEX(R_Schedule_Amounts,MATCH(B2417,R_Schedule_Times,1)),K2416)),"")</f>
        <v>7440</v>
      </c>
      <c r="I2417" s="30">
        <f t="shared" si="185"/>
        <v>60</v>
      </c>
      <c r="J2417" s="31">
        <f t="shared" si="186"/>
        <v>0</v>
      </c>
      <c r="K2417" s="29">
        <f t="shared" si="187"/>
        <v>7380</v>
      </c>
      <c r="L2417" s="31" t="str">
        <f t="shared" si="188"/>
        <v/>
      </c>
      <c r="M2417" s="31" t="str">
        <f t="shared" si="189"/>
        <v/>
      </c>
    </row>
    <row r="2418" spans="1:13" x14ac:dyDescent="0.15">
      <c r="A2418" s="163" t="s">
        <v>210</v>
      </c>
      <c r="B2418" s="163">
        <v>42339.304097604167</v>
      </c>
      <c r="C2418" s="164" t="s">
        <v>14</v>
      </c>
      <c r="D2418" s="164" t="s">
        <v>13</v>
      </c>
      <c r="E2418" s="165">
        <v>80</v>
      </c>
      <c r="F2418" s="166">
        <v>3.5</v>
      </c>
      <c r="G2418" s="227">
        <f>IF($B$2,IF(ROWS(B$6:$B2418) = 1,$B2418-Start_Date,$B2418-$B2417),"")</f>
        <v>3.1239814779837616E-3</v>
      </c>
      <c r="H2418" s="29">
        <f>IF($B$2,IF(ROWS(B$6:$B2418) = 1,IF(COUNTIFS(R_Schedule_Times,"&lt;"&amp;B2418),INDEX(R_Schedule_Amounts,MATCH(B2418,R_Schedule_Times,1)),Starting_Cash),IF(COUNTIFS(R_Schedule_Times,"&gt;"&amp;B2417,R_Schedule_Times,"&lt;"&amp;B2418),INDEX(R_Schedule_Amounts,MATCH(B2418,R_Schedule_Times,1)),K2417)),"")</f>
        <v>7380</v>
      </c>
      <c r="I2418" s="30">
        <f t="shared" si="185"/>
        <v>80</v>
      </c>
      <c r="J2418" s="31">
        <f t="shared" si="186"/>
        <v>3.5</v>
      </c>
      <c r="K2418" s="29">
        <f t="shared" si="187"/>
        <v>7300</v>
      </c>
      <c r="L2418" s="31" t="str">
        <f t="shared" si="188"/>
        <v/>
      </c>
      <c r="M2418" s="31" t="str">
        <f t="shared" si="189"/>
        <v/>
      </c>
    </row>
    <row r="2419" spans="1:13" x14ac:dyDescent="0.15">
      <c r="A2419" s="163" t="s">
        <v>210</v>
      </c>
      <c r="B2419" s="163">
        <v>42339.333115752313</v>
      </c>
      <c r="C2419" s="164" t="s">
        <v>2178</v>
      </c>
      <c r="D2419" s="164" t="s">
        <v>13</v>
      </c>
      <c r="E2419" s="165">
        <v>40</v>
      </c>
      <c r="F2419" s="166">
        <v>0</v>
      </c>
      <c r="G2419" s="227">
        <f>IF($B$2,IF(ROWS(B$6:$B2419) = 1,$B2419-Start_Date,$B2419-$B2418),"")</f>
        <v>2.9018148146860767E-2</v>
      </c>
      <c r="H2419" s="29">
        <f>IF($B$2,IF(ROWS(B$6:$B2419) = 1,IF(COUNTIFS(R_Schedule_Times,"&lt;"&amp;B2419),INDEX(R_Schedule_Amounts,MATCH(B2419,R_Schedule_Times,1)),Starting_Cash),IF(COUNTIFS(R_Schedule_Times,"&gt;"&amp;B2418,R_Schedule_Times,"&lt;"&amp;B2419),INDEX(R_Schedule_Amounts,MATCH(B2419,R_Schedule_Times,1)),K2418)),"")</f>
        <v>7300</v>
      </c>
      <c r="I2419" s="30">
        <f t="shared" si="185"/>
        <v>40</v>
      </c>
      <c r="J2419" s="31">
        <f t="shared" si="186"/>
        <v>0</v>
      </c>
      <c r="K2419" s="29">
        <f t="shared" si="187"/>
        <v>7260</v>
      </c>
      <c r="L2419" s="31" t="str">
        <f t="shared" si="188"/>
        <v/>
      </c>
      <c r="M2419" s="31" t="str">
        <f t="shared" si="189"/>
        <v/>
      </c>
    </row>
    <row r="2420" spans="1:13" x14ac:dyDescent="0.15">
      <c r="A2420" s="163" t="s">
        <v>210</v>
      </c>
      <c r="B2420" s="163">
        <v>42339.354895150464</v>
      </c>
      <c r="C2420" s="164" t="s">
        <v>2179</v>
      </c>
      <c r="D2420" s="164" t="s">
        <v>13</v>
      </c>
      <c r="E2420" s="165">
        <v>200</v>
      </c>
      <c r="F2420" s="166">
        <v>0</v>
      </c>
      <c r="G2420" s="227">
        <f>IF($B$2,IF(ROWS(B$6:$B2420) = 1,$B2420-Start_Date,$B2420-$B2419),"")</f>
        <v>2.177939815010177E-2</v>
      </c>
      <c r="H2420" s="29">
        <f>IF($B$2,IF(ROWS(B$6:$B2420) = 1,IF(COUNTIFS(R_Schedule_Times,"&lt;"&amp;B2420),INDEX(R_Schedule_Amounts,MATCH(B2420,R_Schedule_Times,1)),Starting_Cash),IF(COUNTIFS(R_Schedule_Times,"&gt;"&amp;B2419,R_Schedule_Times,"&lt;"&amp;B2420),INDEX(R_Schedule_Amounts,MATCH(B2420,R_Schedule_Times,1)),K2419)),"")</f>
        <v>7260</v>
      </c>
      <c r="I2420" s="30">
        <f t="shared" si="185"/>
        <v>200</v>
      </c>
      <c r="J2420" s="31">
        <f t="shared" si="186"/>
        <v>0</v>
      </c>
      <c r="K2420" s="29">
        <f t="shared" si="187"/>
        <v>7060</v>
      </c>
      <c r="L2420" s="31" t="str">
        <f t="shared" si="188"/>
        <v/>
      </c>
      <c r="M2420" s="31" t="str">
        <f t="shared" si="189"/>
        <v/>
      </c>
    </row>
    <row r="2421" spans="1:13" x14ac:dyDescent="0.15">
      <c r="A2421" s="163" t="s">
        <v>210</v>
      </c>
      <c r="B2421" s="163">
        <v>42339.360080069448</v>
      </c>
      <c r="C2421" s="164" t="s">
        <v>14</v>
      </c>
      <c r="D2421" s="164" t="s">
        <v>15</v>
      </c>
      <c r="E2421" s="165">
        <v>100</v>
      </c>
      <c r="F2421" s="166">
        <v>5.5</v>
      </c>
      <c r="G2421" s="227">
        <f>IF($B$2,IF(ROWS(B$6:$B2421) = 1,$B2421-Start_Date,$B2421-$B2420),"")</f>
        <v>5.1849189840140752E-3</v>
      </c>
      <c r="H2421" s="29">
        <f>IF($B$2,IF(ROWS(B$6:$B2421) = 1,IF(COUNTIFS(R_Schedule_Times,"&lt;"&amp;B2421),INDEX(R_Schedule_Amounts,MATCH(B2421,R_Schedule_Times,1)),Starting_Cash),IF(COUNTIFS(R_Schedule_Times,"&gt;"&amp;B2420,R_Schedule_Times,"&lt;"&amp;B2421),INDEX(R_Schedule_Amounts,MATCH(B2421,R_Schedule_Times,1)),K2420)),"")</f>
        <v>7060</v>
      </c>
      <c r="I2421" s="30">
        <f t="shared" si="185"/>
        <v>100</v>
      </c>
      <c r="J2421" s="31">
        <f t="shared" si="186"/>
        <v>5.5</v>
      </c>
      <c r="K2421" s="29">
        <f t="shared" si="187"/>
        <v>6960</v>
      </c>
      <c r="L2421" s="31" t="str">
        <f t="shared" si="188"/>
        <v/>
      </c>
      <c r="M2421" s="31" t="str">
        <f t="shared" si="189"/>
        <v/>
      </c>
    </row>
    <row r="2422" spans="1:13" x14ac:dyDescent="0.15">
      <c r="A2422" s="163" t="s">
        <v>210</v>
      </c>
      <c r="B2422" s="163">
        <v>42339.370615694446</v>
      </c>
      <c r="C2422" s="164" t="s">
        <v>2180</v>
      </c>
      <c r="D2422" s="164" t="s">
        <v>13</v>
      </c>
      <c r="E2422" s="165">
        <v>60</v>
      </c>
      <c r="F2422" s="166">
        <v>0</v>
      </c>
      <c r="G2422" s="227">
        <f>IF($B$2,IF(ROWS(B$6:$B2422) = 1,$B2422-Start_Date,$B2422-$B2421),"")</f>
        <v>1.0535624998738058E-2</v>
      </c>
      <c r="H2422" s="29">
        <f>IF($B$2,IF(ROWS(B$6:$B2422) = 1,IF(COUNTIFS(R_Schedule_Times,"&lt;"&amp;B2422),INDEX(R_Schedule_Amounts,MATCH(B2422,R_Schedule_Times,1)),Starting_Cash),IF(COUNTIFS(R_Schedule_Times,"&gt;"&amp;B2421,R_Schedule_Times,"&lt;"&amp;B2422),INDEX(R_Schedule_Amounts,MATCH(B2422,R_Schedule_Times,1)),K2421)),"")</f>
        <v>6960</v>
      </c>
      <c r="I2422" s="30">
        <f t="shared" si="185"/>
        <v>60</v>
      </c>
      <c r="J2422" s="31">
        <f t="shared" si="186"/>
        <v>0</v>
      </c>
      <c r="K2422" s="29">
        <f t="shared" si="187"/>
        <v>6900</v>
      </c>
      <c r="L2422" s="31" t="str">
        <f t="shared" si="188"/>
        <v/>
      </c>
      <c r="M2422" s="31" t="str">
        <f t="shared" si="189"/>
        <v/>
      </c>
    </row>
    <row r="2423" spans="1:13" x14ac:dyDescent="0.15">
      <c r="A2423" s="163" t="s">
        <v>210</v>
      </c>
      <c r="B2423" s="163">
        <v>42339.418882835649</v>
      </c>
      <c r="C2423" s="164" t="s">
        <v>2181</v>
      </c>
      <c r="D2423" s="164" t="s">
        <v>13</v>
      </c>
      <c r="E2423" s="165">
        <v>100</v>
      </c>
      <c r="F2423" s="166">
        <v>0</v>
      </c>
      <c r="G2423" s="227">
        <f>IF($B$2,IF(ROWS(B$6:$B2423) = 1,$B2423-Start_Date,$B2423-$B2422),"")</f>
        <v>4.8267141202813946E-2</v>
      </c>
      <c r="H2423" s="29">
        <f>IF($B$2,IF(ROWS(B$6:$B2423) = 1,IF(COUNTIFS(R_Schedule_Times,"&lt;"&amp;B2423),INDEX(R_Schedule_Amounts,MATCH(B2423,R_Schedule_Times,1)),Starting_Cash),IF(COUNTIFS(R_Schedule_Times,"&gt;"&amp;B2422,R_Schedule_Times,"&lt;"&amp;B2423),INDEX(R_Schedule_Amounts,MATCH(B2423,R_Schedule_Times,1)),K2422)),"")</f>
        <v>6900</v>
      </c>
      <c r="I2423" s="30">
        <f t="shared" si="185"/>
        <v>100</v>
      </c>
      <c r="J2423" s="31">
        <f t="shared" si="186"/>
        <v>0</v>
      </c>
      <c r="K2423" s="29">
        <f t="shared" si="187"/>
        <v>6800</v>
      </c>
      <c r="L2423" s="31" t="str">
        <f t="shared" si="188"/>
        <v/>
      </c>
      <c r="M2423" s="31" t="str">
        <f t="shared" si="189"/>
        <v/>
      </c>
    </row>
    <row r="2424" spans="1:13" x14ac:dyDescent="0.15">
      <c r="A2424" s="163" t="s">
        <v>210</v>
      </c>
      <c r="B2424" s="163">
        <v>42339.420214548612</v>
      </c>
      <c r="C2424" s="164" t="s">
        <v>1773</v>
      </c>
      <c r="D2424" s="164" t="s">
        <v>13</v>
      </c>
      <c r="E2424" s="165">
        <v>100</v>
      </c>
      <c r="F2424" s="166">
        <v>0</v>
      </c>
      <c r="G2424" s="227">
        <f>IF($B$2,IF(ROWS(B$6:$B2424) = 1,$B2424-Start_Date,$B2424-$B2423),"")</f>
        <v>1.3317129632923752E-3</v>
      </c>
      <c r="H2424" s="29">
        <f>IF($B$2,IF(ROWS(B$6:$B2424) = 1,IF(COUNTIFS(R_Schedule_Times,"&lt;"&amp;B2424),INDEX(R_Schedule_Amounts,MATCH(B2424,R_Schedule_Times,1)),Starting_Cash),IF(COUNTIFS(R_Schedule_Times,"&gt;"&amp;B2423,R_Schedule_Times,"&lt;"&amp;B2424),INDEX(R_Schedule_Amounts,MATCH(B2424,R_Schedule_Times,1)),K2423)),"")</f>
        <v>6800</v>
      </c>
      <c r="I2424" s="30">
        <f t="shared" si="185"/>
        <v>100</v>
      </c>
      <c r="J2424" s="31">
        <f t="shared" si="186"/>
        <v>0</v>
      </c>
      <c r="K2424" s="29">
        <f t="shared" si="187"/>
        <v>6700</v>
      </c>
      <c r="L2424" s="31" t="str">
        <f t="shared" si="188"/>
        <v/>
      </c>
      <c r="M2424" s="31" t="str">
        <f t="shared" si="189"/>
        <v/>
      </c>
    </row>
    <row r="2425" spans="1:13" x14ac:dyDescent="0.15">
      <c r="A2425" s="163" t="s">
        <v>210</v>
      </c>
      <c r="B2425" s="163">
        <v>42339.452456956016</v>
      </c>
      <c r="C2425" s="164" t="s">
        <v>1855</v>
      </c>
      <c r="D2425" s="164" t="s">
        <v>13</v>
      </c>
      <c r="E2425" s="165">
        <v>80</v>
      </c>
      <c r="F2425" s="166">
        <v>0</v>
      </c>
      <c r="G2425" s="227">
        <f>IF($B$2,IF(ROWS(B$6:$B2425) = 1,$B2425-Start_Date,$B2425-$B2424),"")</f>
        <v>3.2242407403828111E-2</v>
      </c>
      <c r="H2425" s="29">
        <f>IF($B$2,IF(ROWS(B$6:$B2425) = 1,IF(COUNTIFS(R_Schedule_Times,"&lt;"&amp;B2425),INDEX(R_Schedule_Amounts,MATCH(B2425,R_Schedule_Times,1)),Starting_Cash),IF(COUNTIFS(R_Schedule_Times,"&gt;"&amp;B2424,R_Schedule_Times,"&lt;"&amp;B2425),INDEX(R_Schedule_Amounts,MATCH(B2425,R_Schedule_Times,1)),K2424)),"")</f>
        <v>6700</v>
      </c>
      <c r="I2425" s="30">
        <f t="shared" si="185"/>
        <v>80</v>
      </c>
      <c r="J2425" s="31">
        <f t="shared" si="186"/>
        <v>0</v>
      </c>
      <c r="K2425" s="29">
        <f t="shared" si="187"/>
        <v>6620</v>
      </c>
      <c r="L2425" s="31" t="str">
        <f t="shared" si="188"/>
        <v/>
      </c>
      <c r="M2425" s="31" t="str">
        <f t="shared" si="189"/>
        <v/>
      </c>
    </row>
    <row r="2426" spans="1:13" x14ac:dyDescent="0.15">
      <c r="A2426" s="163" t="s">
        <v>210</v>
      </c>
      <c r="B2426" s="163">
        <v>42339.45948888889</v>
      </c>
      <c r="C2426" s="164" t="s">
        <v>2182</v>
      </c>
      <c r="D2426" s="164" t="s">
        <v>13</v>
      </c>
      <c r="E2426" s="165">
        <v>80</v>
      </c>
      <c r="F2426" s="166">
        <v>0</v>
      </c>
      <c r="G2426" s="227">
        <f>IF($B$2,IF(ROWS(B$6:$B2426) = 1,$B2426-Start_Date,$B2426-$B2425),"")</f>
        <v>7.031932873360347E-3</v>
      </c>
      <c r="H2426" s="29">
        <f>IF($B$2,IF(ROWS(B$6:$B2426) = 1,IF(COUNTIFS(R_Schedule_Times,"&lt;"&amp;B2426),INDEX(R_Schedule_Amounts,MATCH(B2426,R_Schedule_Times,1)),Starting_Cash),IF(COUNTIFS(R_Schedule_Times,"&gt;"&amp;B2425,R_Schedule_Times,"&lt;"&amp;B2426),INDEX(R_Schedule_Amounts,MATCH(B2426,R_Schedule_Times,1)),K2425)),"")</f>
        <v>6620</v>
      </c>
      <c r="I2426" s="30">
        <f t="shared" si="185"/>
        <v>80</v>
      </c>
      <c r="J2426" s="31">
        <f t="shared" si="186"/>
        <v>0</v>
      </c>
      <c r="K2426" s="29">
        <f t="shared" si="187"/>
        <v>6540</v>
      </c>
      <c r="L2426" s="31" t="str">
        <f t="shared" si="188"/>
        <v/>
      </c>
      <c r="M2426" s="31" t="str">
        <f t="shared" si="189"/>
        <v/>
      </c>
    </row>
    <row r="2427" spans="1:13" x14ac:dyDescent="0.15">
      <c r="A2427" s="163" t="s">
        <v>210</v>
      </c>
      <c r="B2427" s="163">
        <v>42339.4790115625</v>
      </c>
      <c r="C2427" s="164" t="s">
        <v>14</v>
      </c>
      <c r="D2427" s="164" t="s">
        <v>13</v>
      </c>
      <c r="E2427" s="165">
        <v>200</v>
      </c>
      <c r="F2427" s="166">
        <v>3.5</v>
      </c>
      <c r="G2427" s="227">
        <f>IF($B$2,IF(ROWS(B$6:$B2427) = 1,$B2427-Start_Date,$B2427-$B2426),"")</f>
        <v>1.9522673610481434E-2</v>
      </c>
      <c r="H2427" s="29">
        <f>IF($B$2,IF(ROWS(B$6:$B2427) = 1,IF(COUNTIFS(R_Schedule_Times,"&lt;"&amp;B2427),INDEX(R_Schedule_Amounts,MATCH(B2427,R_Schedule_Times,1)),Starting_Cash),IF(COUNTIFS(R_Schedule_Times,"&gt;"&amp;B2426,R_Schedule_Times,"&lt;"&amp;B2427),INDEX(R_Schedule_Amounts,MATCH(B2427,R_Schedule_Times,1)),K2426)),"")</f>
        <v>6540</v>
      </c>
      <c r="I2427" s="30">
        <f t="shared" si="185"/>
        <v>200</v>
      </c>
      <c r="J2427" s="31">
        <f t="shared" si="186"/>
        <v>3.5</v>
      </c>
      <c r="K2427" s="29">
        <f t="shared" si="187"/>
        <v>6340</v>
      </c>
      <c r="L2427" s="31" t="str">
        <f t="shared" si="188"/>
        <v/>
      </c>
      <c r="M2427" s="31" t="str">
        <f t="shared" si="189"/>
        <v/>
      </c>
    </row>
    <row r="2428" spans="1:13" x14ac:dyDescent="0.15">
      <c r="A2428" s="163" t="s">
        <v>210</v>
      </c>
      <c r="B2428" s="163">
        <v>42339.486084872682</v>
      </c>
      <c r="C2428" s="164" t="s">
        <v>14</v>
      </c>
      <c r="D2428" s="164" t="s">
        <v>13</v>
      </c>
      <c r="E2428" s="165">
        <v>60</v>
      </c>
      <c r="F2428" s="166">
        <v>3.5</v>
      </c>
      <c r="G2428" s="227">
        <f>IF($B$2,IF(ROWS(B$6:$B2428) = 1,$B2428-Start_Date,$B2428-$B2427),"")</f>
        <v>7.0733101820223965E-3</v>
      </c>
      <c r="H2428" s="29">
        <f>IF($B$2,IF(ROWS(B$6:$B2428) = 1,IF(COUNTIFS(R_Schedule_Times,"&lt;"&amp;B2428),INDEX(R_Schedule_Amounts,MATCH(B2428,R_Schedule_Times,1)),Starting_Cash),IF(COUNTIFS(R_Schedule_Times,"&gt;"&amp;B2427,R_Schedule_Times,"&lt;"&amp;B2428),INDEX(R_Schedule_Amounts,MATCH(B2428,R_Schedule_Times,1)),K2427)),"")</f>
        <v>6340</v>
      </c>
      <c r="I2428" s="30">
        <f t="shared" si="185"/>
        <v>60</v>
      </c>
      <c r="J2428" s="31">
        <f t="shared" si="186"/>
        <v>3.5</v>
      </c>
      <c r="K2428" s="29">
        <f t="shared" si="187"/>
        <v>6280</v>
      </c>
      <c r="L2428" s="31" t="str">
        <f t="shared" si="188"/>
        <v/>
      </c>
      <c r="M2428" s="31" t="str">
        <f t="shared" si="189"/>
        <v/>
      </c>
    </row>
    <row r="2429" spans="1:13" x14ac:dyDescent="0.15">
      <c r="A2429" s="163" t="s">
        <v>210</v>
      </c>
      <c r="B2429" s="163">
        <v>42339.504115671298</v>
      </c>
      <c r="C2429" s="164" t="s">
        <v>2183</v>
      </c>
      <c r="D2429" s="164" t="s">
        <v>13</v>
      </c>
      <c r="E2429" s="165">
        <v>40</v>
      </c>
      <c r="F2429" s="166">
        <v>0</v>
      </c>
      <c r="G2429" s="227">
        <f>IF($B$2,IF(ROWS(B$6:$B2429) = 1,$B2429-Start_Date,$B2429-$B2428),"")</f>
        <v>1.803079861565493E-2</v>
      </c>
      <c r="H2429" s="29">
        <f>IF($B$2,IF(ROWS(B$6:$B2429) = 1,IF(COUNTIFS(R_Schedule_Times,"&lt;"&amp;B2429),INDEX(R_Schedule_Amounts,MATCH(B2429,R_Schedule_Times,1)),Starting_Cash),IF(COUNTIFS(R_Schedule_Times,"&gt;"&amp;B2428,R_Schedule_Times,"&lt;"&amp;B2429),INDEX(R_Schedule_Amounts,MATCH(B2429,R_Schedule_Times,1)),K2428)),"")</f>
        <v>6280</v>
      </c>
      <c r="I2429" s="30">
        <f t="shared" si="185"/>
        <v>40</v>
      </c>
      <c r="J2429" s="31">
        <f t="shared" si="186"/>
        <v>0</v>
      </c>
      <c r="K2429" s="29">
        <f t="shared" si="187"/>
        <v>6240</v>
      </c>
      <c r="L2429" s="31" t="str">
        <f t="shared" si="188"/>
        <v/>
      </c>
      <c r="M2429" s="31" t="str">
        <f t="shared" si="189"/>
        <v/>
      </c>
    </row>
    <row r="2430" spans="1:13" x14ac:dyDescent="0.15">
      <c r="A2430" s="163" t="s">
        <v>210</v>
      </c>
      <c r="B2430" s="163">
        <v>42339.521683055558</v>
      </c>
      <c r="C2430" s="164" t="s">
        <v>14</v>
      </c>
      <c r="D2430" s="164" t="s">
        <v>15</v>
      </c>
      <c r="E2430" s="165">
        <v>40</v>
      </c>
      <c r="F2430" s="166">
        <v>3.7</v>
      </c>
      <c r="G2430" s="227">
        <f>IF($B$2,IF(ROWS(B$6:$B2430) = 1,$B2430-Start_Date,$B2430-$B2429),"")</f>
        <v>1.7567384260473773E-2</v>
      </c>
      <c r="H2430" s="29">
        <f>IF($B$2,IF(ROWS(B$6:$B2430) = 1,IF(COUNTIFS(R_Schedule_Times,"&lt;"&amp;B2430),INDEX(R_Schedule_Amounts,MATCH(B2430,R_Schedule_Times,1)),Starting_Cash),IF(COUNTIFS(R_Schedule_Times,"&gt;"&amp;B2429,R_Schedule_Times,"&lt;"&amp;B2430),INDEX(R_Schedule_Amounts,MATCH(B2430,R_Schedule_Times,1)),K2429)),"")</f>
        <v>6240</v>
      </c>
      <c r="I2430" s="30">
        <f t="shared" si="185"/>
        <v>40</v>
      </c>
      <c r="J2430" s="31">
        <f t="shared" si="186"/>
        <v>3.7</v>
      </c>
      <c r="K2430" s="29">
        <f t="shared" si="187"/>
        <v>6200</v>
      </c>
      <c r="L2430" s="31" t="str">
        <f t="shared" si="188"/>
        <v/>
      </c>
      <c r="M2430" s="31" t="str">
        <f t="shared" si="189"/>
        <v/>
      </c>
    </row>
    <row r="2431" spans="1:13" x14ac:dyDescent="0.15">
      <c r="A2431" s="163" t="s">
        <v>210</v>
      </c>
      <c r="B2431" s="163">
        <v>42339.52399277778</v>
      </c>
      <c r="C2431" s="164" t="s">
        <v>192</v>
      </c>
      <c r="D2431" s="164" t="s">
        <v>13</v>
      </c>
      <c r="E2431" s="165">
        <v>100</v>
      </c>
      <c r="F2431" s="166">
        <v>0</v>
      </c>
      <c r="G2431" s="227">
        <f>IF($B$2,IF(ROWS(B$6:$B2431) = 1,$B2431-Start_Date,$B2431-$B2430),"")</f>
        <v>2.3097222219803371E-3</v>
      </c>
      <c r="H2431" s="29">
        <f>IF($B$2,IF(ROWS(B$6:$B2431) = 1,IF(COUNTIFS(R_Schedule_Times,"&lt;"&amp;B2431),INDEX(R_Schedule_Amounts,MATCH(B2431,R_Schedule_Times,1)),Starting_Cash),IF(COUNTIFS(R_Schedule_Times,"&gt;"&amp;B2430,R_Schedule_Times,"&lt;"&amp;B2431),INDEX(R_Schedule_Amounts,MATCH(B2431,R_Schedule_Times,1)),K2430)),"")</f>
        <v>6200</v>
      </c>
      <c r="I2431" s="30">
        <f t="shared" si="185"/>
        <v>100</v>
      </c>
      <c r="J2431" s="31">
        <f t="shared" si="186"/>
        <v>0</v>
      </c>
      <c r="K2431" s="29">
        <f t="shared" si="187"/>
        <v>6100</v>
      </c>
      <c r="L2431" s="31" t="str">
        <f t="shared" si="188"/>
        <v/>
      </c>
      <c r="M2431" s="31" t="str">
        <f t="shared" si="189"/>
        <v/>
      </c>
    </row>
    <row r="2432" spans="1:13" x14ac:dyDescent="0.15">
      <c r="A2432" s="163" t="s">
        <v>210</v>
      </c>
      <c r="B2432" s="163">
        <v>42339.52548783565</v>
      </c>
      <c r="C2432" s="164" t="s">
        <v>2184</v>
      </c>
      <c r="D2432" s="164" t="s">
        <v>13</v>
      </c>
      <c r="E2432" s="165">
        <v>100</v>
      </c>
      <c r="F2432" s="166">
        <v>0</v>
      </c>
      <c r="G2432" s="227">
        <f>IF($B$2,IF(ROWS(B$6:$B2432) = 1,$B2432-Start_Date,$B2432-$B2431),"")</f>
        <v>1.4950578697607853E-3</v>
      </c>
      <c r="H2432" s="29">
        <f>IF($B$2,IF(ROWS(B$6:$B2432) = 1,IF(COUNTIFS(R_Schedule_Times,"&lt;"&amp;B2432),INDEX(R_Schedule_Amounts,MATCH(B2432,R_Schedule_Times,1)),Starting_Cash),IF(COUNTIFS(R_Schedule_Times,"&gt;"&amp;B2431,R_Schedule_Times,"&lt;"&amp;B2432),INDEX(R_Schedule_Amounts,MATCH(B2432,R_Schedule_Times,1)),K2431)),"")</f>
        <v>6100</v>
      </c>
      <c r="I2432" s="30">
        <f t="shared" si="185"/>
        <v>100</v>
      </c>
      <c r="J2432" s="31">
        <f t="shared" si="186"/>
        <v>0</v>
      </c>
      <c r="K2432" s="29">
        <f t="shared" si="187"/>
        <v>6000</v>
      </c>
      <c r="L2432" s="31" t="str">
        <f t="shared" si="188"/>
        <v/>
      </c>
      <c r="M2432" s="31" t="str">
        <f t="shared" si="189"/>
        <v/>
      </c>
    </row>
    <row r="2433" spans="1:13" x14ac:dyDescent="0.15">
      <c r="A2433" s="163" t="s">
        <v>210</v>
      </c>
      <c r="B2433" s="163">
        <v>42339.529429965274</v>
      </c>
      <c r="C2433" s="164" t="s">
        <v>14</v>
      </c>
      <c r="D2433" s="164" t="s">
        <v>13</v>
      </c>
      <c r="E2433" s="165">
        <v>80</v>
      </c>
      <c r="F2433" s="166">
        <v>3.5</v>
      </c>
      <c r="G2433" s="227">
        <f>IF($B$2,IF(ROWS(B$6:$B2433) = 1,$B2433-Start_Date,$B2433-$B2432),"")</f>
        <v>3.9421296241926029E-3</v>
      </c>
      <c r="H2433" s="29">
        <f>IF($B$2,IF(ROWS(B$6:$B2433) = 1,IF(COUNTIFS(R_Schedule_Times,"&lt;"&amp;B2433),INDEX(R_Schedule_Amounts,MATCH(B2433,R_Schedule_Times,1)),Starting_Cash),IF(COUNTIFS(R_Schedule_Times,"&gt;"&amp;B2432,R_Schedule_Times,"&lt;"&amp;B2433),INDEX(R_Schedule_Amounts,MATCH(B2433,R_Schedule_Times,1)),K2432)),"")</f>
        <v>6000</v>
      </c>
      <c r="I2433" s="30">
        <f t="shared" si="185"/>
        <v>80</v>
      </c>
      <c r="J2433" s="31">
        <f t="shared" si="186"/>
        <v>3.5</v>
      </c>
      <c r="K2433" s="29">
        <f t="shared" si="187"/>
        <v>5920</v>
      </c>
      <c r="L2433" s="31" t="str">
        <f t="shared" si="188"/>
        <v/>
      </c>
      <c r="M2433" s="31" t="str">
        <f t="shared" si="189"/>
        <v/>
      </c>
    </row>
    <row r="2434" spans="1:13" x14ac:dyDescent="0.15">
      <c r="A2434" s="163" t="s">
        <v>210</v>
      </c>
      <c r="B2434" s="163">
        <v>42339.544238402777</v>
      </c>
      <c r="C2434" s="164" t="s">
        <v>2185</v>
      </c>
      <c r="D2434" s="164" t="s">
        <v>13</v>
      </c>
      <c r="E2434" s="165">
        <v>60</v>
      </c>
      <c r="F2434" s="166">
        <v>0</v>
      </c>
      <c r="G2434" s="227">
        <f>IF($B$2,IF(ROWS(B$6:$B2434) = 1,$B2434-Start_Date,$B2434-$B2433),"")</f>
        <v>1.4808437503234018E-2</v>
      </c>
      <c r="H2434" s="29">
        <f>IF($B$2,IF(ROWS(B$6:$B2434) = 1,IF(COUNTIFS(R_Schedule_Times,"&lt;"&amp;B2434),INDEX(R_Schedule_Amounts,MATCH(B2434,R_Schedule_Times,1)),Starting_Cash),IF(COUNTIFS(R_Schedule_Times,"&gt;"&amp;B2433,R_Schedule_Times,"&lt;"&amp;B2434),INDEX(R_Schedule_Amounts,MATCH(B2434,R_Schedule_Times,1)),K2433)),"")</f>
        <v>5920</v>
      </c>
      <c r="I2434" s="30">
        <f t="shared" si="185"/>
        <v>60</v>
      </c>
      <c r="J2434" s="31">
        <f t="shared" si="186"/>
        <v>0</v>
      </c>
      <c r="K2434" s="29">
        <f t="shared" si="187"/>
        <v>5860</v>
      </c>
      <c r="L2434" s="31" t="str">
        <f t="shared" si="188"/>
        <v/>
      </c>
      <c r="M2434" s="31" t="str">
        <f t="shared" si="189"/>
        <v/>
      </c>
    </row>
    <row r="2435" spans="1:13" x14ac:dyDescent="0.15">
      <c r="A2435" s="163" t="s">
        <v>210</v>
      </c>
      <c r="B2435" s="163">
        <v>42339.549198067129</v>
      </c>
      <c r="C2435" s="164" t="s">
        <v>2186</v>
      </c>
      <c r="D2435" s="164" t="s">
        <v>13</v>
      </c>
      <c r="E2435" s="165">
        <v>200</v>
      </c>
      <c r="F2435" s="166">
        <v>0</v>
      </c>
      <c r="G2435" s="227">
        <f>IF($B$2,IF(ROWS(B$6:$B2435) = 1,$B2435-Start_Date,$B2435-$B2434),"")</f>
        <v>4.9596643511904404E-3</v>
      </c>
      <c r="H2435" s="29">
        <f>IF($B$2,IF(ROWS(B$6:$B2435) = 1,IF(COUNTIFS(R_Schedule_Times,"&lt;"&amp;B2435),INDEX(R_Schedule_Amounts,MATCH(B2435,R_Schedule_Times,1)),Starting_Cash),IF(COUNTIFS(R_Schedule_Times,"&gt;"&amp;B2434,R_Schedule_Times,"&lt;"&amp;B2435),INDEX(R_Schedule_Amounts,MATCH(B2435,R_Schedule_Times,1)),K2434)),"")</f>
        <v>5860</v>
      </c>
      <c r="I2435" s="30">
        <f t="shared" si="185"/>
        <v>200</v>
      </c>
      <c r="J2435" s="31">
        <f t="shared" si="186"/>
        <v>0</v>
      </c>
      <c r="K2435" s="29">
        <f t="shared" si="187"/>
        <v>5660</v>
      </c>
      <c r="L2435" s="31" t="str">
        <f t="shared" si="188"/>
        <v/>
      </c>
      <c r="M2435" s="31" t="str">
        <f t="shared" si="189"/>
        <v/>
      </c>
    </row>
    <row r="2436" spans="1:13" x14ac:dyDescent="0.15">
      <c r="A2436" s="163" t="s">
        <v>210</v>
      </c>
      <c r="B2436" s="163">
        <v>42339.559671365743</v>
      </c>
      <c r="C2436" s="164" t="s">
        <v>485</v>
      </c>
      <c r="D2436" s="164" t="s">
        <v>13</v>
      </c>
      <c r="E2436" s="165">
        <v>40</v>
      </c>
      <c r="F2436" s="166">
        <v>0</v>
      </c>
      <c r="G2436" s="227">
        <f>IF($B$2,IF(ROWS(B$6:$B2436) = 1,$B2436-Start_Date,$B2436-$B2435),"")</f>
        <v>1.0473298614670057E-2</v>
      </c>
      <c r="H2436" s="29">
        <f>IF($B$2,IF(ROWS(B$6:$B2436) = 1,IF(COUNTIFS(R_Schedule_Times,"&lt;"&amp;B2436),INDEX(R_Schedule_Amounts,MATCH(B2436,R_Schedule_Times,1)),Starting_Cash),IF(COUNTIFS(R_Schedule_Times,"&gt;"&amp;B2435,R_Schedule_Times,"&lt;"&amp;B2436),INDEX(R_Schedule_Amounts,MATCH(B2436,R_Schedule_Times,1)),K2435)),"")</f>
        <v>5660</v>
      </c>
      <c r="I2436" s="30">
        <f t="shared" si="185"/>
        <v>40</v>
      </c>
      <c r="J2436" s="31">
        <f t="shared" si="186"/>
        <v>0</v>
      </c>
      <c r="K2436" s="29">
        <f t="shared" si="187"/>
        <v>5620</v>
      </c>
      <c r="L2436" s="31" t="str">
        <f t="shared" si="188"/>
        <v/>
      </c>
      <c r="M2436" s="31" t="str">
        <f t="shared" si="189"/>
        <v/>
      </c>
    </row>
    <row r="2437" spans="1:13" x14ac:dyDescent="0.15">
      <c r="A2437" s="163" t="s">
        <v>210</v>
      </c>
      <c r="B2437" s="163">
        <v>42339.569901921299</v>
      </c>
      <c r="C2437" s="164" t="s">
        <v>2187</v>
      </c>
      <c r="D2437" s="164" t="s">
        <v>13</v>
      </c>
      <c r="E2437" s="165">
        <v>60</v>
      </c>
      <c r="F2437" s="166">
        <v>0</v>
      </c>
      <c r="G2437" s="227">
        <f>IF($B$2,IF(ROWS(B$6:$B2437) = 1,$B2437-Start_Date,$B2437-$B2436),"")</f>
        <v>1.0230555555608589E-2</v>
      </c>
      <c r="H2437" s="29">
        <f>IF($B$2,IF(ROWS(B$6:$B2437) = 1,IF(COUNTIFS(R_Schedule_Times,"&lt;"&amp;B2437),INDEX(R_Schedule_Amounts,MATCH(B2437,R_Schedule_Times,1)),Starting_Cash),IF(COUNTIFS(R_Schedule_Times,"&gt;"&amp;B2436,R_Schedule_Times,"&lt;"&amp;B2437),INDEX(R_Schedule_Amounts,MATCH(B2437,R_Schedule_Times,1)),K2436)),"")</f>
        <v>5620</v>
      </c>
      <c r="I2437" s="30">
        <f t="shared" si="185"/>
        <v>60</v>
      </c>
      <c r="J2437" s="31">
        <f t="shared" si="186"/>
        <v>0</v>
      </c>
      <c r="K2437" s="29">
        <f t="shared" si="187"/>
        <v>5560</v>
      </c>
      <c r="L2437" s="31" t="str">
        <f t="shared" si="188"/>
        <v/>
      </c>
      <c r="M2437" s="31" t="str">
        <f t="shared" si="189"/>
        <v/>
      </c>
    </row>
    <row r="2438" spans="1:13" x14ac:dyDescent="0.15">
      <c r="A2438" s="163" t="s">
        <v>210</v>
      </c>
      <c r="B2438" s="163">
        <v>42339.590844224535</v>
      </c>
      <c r="C2438" s="164" t="s">
        <v>486</v>
      </c>
      <c r="D2438" s="164" t="s">
        <v>13</v>
      </c>
      <c r="E2438" s="165">
        <v>60</v>
      </c>
      <c r="F2438" s="166">
        <v>0</v>
      </c>
      <c r="G2438" s="227">
        <f>IF($B$2,IF(ROWS(B$6:$B2438) = 1,$B2438-Start_Date,$B2438-$B2437),"")</f>
        <v>2.0942303235642612E-2</v>
      </c>
      <c r="H2438" s="29">
        <f>IF($B$2,IF(ROWS(B$6:$B2438) = 1,IF(COUNTIFS(R_Schedule_Times,"&lt;"&amp;B2438),INDEX(R_Schedule_Amounts,MATCH(B2438,R_Schedule_Times,1)),Starting_Cash),IF(COUNTIFS(R_Schedule_Times,"&gt;"&amp;B2437,R_Schedule_Times,"&lt;"&amp;B2438),INDEX(R_Schedule_Amounts,MATCH(B2438,R_Schedule_Times,1)),K2437)),"")</f>
        <v>5560</v>
      </c>
      <c r="I2438" s="30">
        <f t="shared" si="185"/>
        <v>60</v>
      </c>
      <c r="J2438" s="31">
        <f t="shared" si="186"/>
        <v>0</v>
      </c>
      <c r="K2438" s="29">
        <f t="shared" si="187"/>
        <v>5500</v>
      </c>
      <c r="L2438" s="31" t="str">
        <f t="shared" si="188"/>
        <v/>
      </c>
      <c r="M2438" s="31" t="str">
        <f t="shared" si="189"/>
        <v/>
      </c>
    </row>
    <row r="2439" spans="1:13" x14ac:dyDescent="0.15">
      <c r="A2439" s="163" t="s">
        <v>210</v>
      </c>
      <c r="B2439" s="163">
        <v>42339.638521863424</v>
      </c>
      <c r="C2439" s="164" t="s">
        <v>14</v>
      </c>
      <c r="D2439" s="164" t="s">
        <v>13</v>
      </c>
      <c r="E2439" s="165">
        <v>20</v>
      </c>
      <c r="F2439" s="166">
        <v>3.5</v>
      </c>
      <c r="G2439" s="227">
        <f>IF($B$2,IF(ROWS(B$6:$B2439) = 1,$B2439-Start_Date,$B2439-$B2438),"")</f>
        <v>4.7677638889581431E-2</v>
      </c>
      <c r="H2439" s="29">
        <f>IF($B$2,IF(ROWS(B$6:$B2439) = 1,IF(COUNTIFS(R_Schedule_Times,"&lt;"&amp;B2439),INDEX(R_Schedule_Amounts,MATCH(B2439,R_Schedule_Times,1)),Starting_Cash),IF(COUNTIFS(R_Schedule_Times,"&gt;"&amp;B2438,R_Schedule_Times,"&lt;"&amp;B2439),INDEX(R_Schedule_Amounts,MATCH(B2439,R_Schedule_Times,1)),K2438)),"")</f>
        <v>5500</v>
      </c>
      <c r="I2439" s="30">
        <f t="shared" ref="I2439:I2502" si="190">IF($B$2,IF(H2439&gt;=E2439,E2439,0),"")</f>
        <v>20</v>
      </c>
      <c r="J2439" s="31">
        <f t="shared" ref="J2439:J2502" si="191">IF($B$2,IF(H2439&gt;=E2439,F2439,0),"")</f>
        <v>3.5</v>
      </c>
      <c r="K2439" s="29">
        <f t="shared" ref="K2439:K2502" si="192">IF($B$2,ABS(I2439-H2439),"")</f>
        <v>5480</v>
      </c>
      <c r="L2439" s="31" t="str">
        <f t="shared" ref="L2439:L2502" si="193">IF($B$2,IF(H2439&lt;E2439,"YES",""),"")</f>
        <v/>
      </c>
      <c r="M2439" s="31" t="str">
        <f t="shared" ref="M2439:M2502" si="194">IF($B$2,IF(L2439="YES",F2439,""),"")</f>
        <v/>
      </c>
    </row>
    <row r="2440" spans="1:13" x14ac:dyDescent="0.15">
      <c r="A2440" s="163" t="s">
        <v>210</v>
      </c>
      <c r="B2440" s="163">
        <v>42339.658619374997</v>
      </c>
      <c r="C2440" s="164" t="s">
        <v>2188</v>
      </c>
      <c r="D2440" s="164" t="s">
        <v>13</v>
      </c>
      <c r="E2440" s="165">
        <v>100</v>
      </c>
      <c r="F2440" s="166">
        <v>0</v>
      </c>
      <c r="G2440" s="227">
        <f>IF($B$2,IF(ROWS(B$6:$B2440) = 1,$B2440-Start_Date,$B2440-$B2439),"")</f>
        <v>2.009751157311257E-2</v>
      </c>
      <c r="H2440" s="29">
        <f>IF($B$2,IF(ROWS(B$6:$B2440) = 1,IF(COUNTIFS(R_Schedule_Times,"&lt;"&amp;B2440),INDEX(R_Schedule_Amounts,MATCH(B2440,R_Schedule_Times,1)),Starting_Cash),IF(COUNTIFS(R_Schedule_Times,"&gt;"&amp;B2439,R_Schedule_Times,"&lt;"&amp;B2440),INDEX(R_Schedule_Amounts,MATCH(B2440,R_Schedule_Times,1)),K2439)),"")</f>
        <v>5480</v>
      </c>
      <c r="I2440" s="30">
        <f t="shared" si="190"/>
        <v>100</v>
      </c>
      <c r="J2440" s="31">
        <f t="shared" si="191"/>
        <v>0</v>
      </c>
      <c r="K2440" s="29">
        <f t="shared" si="192"/>
        <v>5380</v>
      </c>
      <c r="L2440" s="31" t="str">
        <f t="shared" si="193"/>
        <v/>
      </c>
      <c r="M2440" s="31" t="str">
        <f t="shared" si="194"/>
        <v/>
      </c>
    </row>
    <row r="2441" spans="1:13" x14ac:dyDescent="0.15">
      <c r="A2441" s="163" t="s">
        <v>210</v>
      </c>
      <c r="B2441" s="163">
        <v>42339.659655497686</v>
      </c>
      <c r="C2441" s="164" t="s">
        <v>2189</v>
      </c>
      <c r="D2441" s="164" t="s">
        <v>13</v>
      </c>
      <c r="E2441" s="165">
        <v>20</v>
      </c>
      <c r="F2441" s="166">
        <v>0</v>
      </c>
      <c r="G2441" s="227">
        <f>IF($B$2,IF(ROWS(B$6:$B2441) = 1,$B2441-Start_Date,$B2441-$B2440),"")</f>
        <v>1.036122688674368E-3</v>
      </c>
      <c r="H2441" s="29">
        <f>IF($B$2,IF(ROWS(B$6:$B2441) = 1,IF(COUNTIFS(R_Schedule_Times,"&lt;"&amp;B2441),INDEX(R_Schedule_Amounts,MATCH(B2441,R_Schedule_Times,1)),Starting_Cash),IF(COUNTIFS(R_Schedule_Times,"&gt;"&amp;B2440,R_Schedule_Times,"&lt;"&amp;B2441),INDEX(R_Schedule_Amounts,MATCH(B2441,R_Schedule_Times,1)),K2440)),"")</f>
        <v>5380</v>
      </c>
      <c r="I2441" s="30">
        <f t="shared" si="190"/>
        <v>20</v>
      </c>
      <c r="J2441" s="31">
        <f t="shared" si="191"/>
        <v>0</v>
      </c>
      <c r="K2441" s="29">
        <f t="shared" si="192"/>
        <v>5360</v>
      </c>
      <c r="L2441" s="31" t="str">
        <f t="shared" si="193"/>
        <v/>
      </c>
      <c r="M2441" s="31" t="str">
        <f t="shared" si="194"/>
        <v/>
      </c>
    </row>
    <row r="2442" spans="1:13" x14ac:dyDescent="0.15">
      <c r="A2442" s="163" t="s">
        <v>210</v>
      </c>
      <c r="B2442" s="163">
        <v>42339.673562511576</v>
      </c>
      <c r="C2442" s="164" t="s">
        <v>14</v>
      </c>
      <c r="D2442" s="164" t="s">
        <v>13</v>
      </c>
      <c r="E2442" s="165">
        <v>40</v>
      </c>
      <c r="F2442" s="166">
        <v>3.5</v>
      </c>
      <c r="G2442" s="227">
        <f>IF($B$2,IF(ROWS(B$6:$B2442) = 1,$B2442-Start_Date,$B2442-$B2441),"")</f>
        <v>1.3907013890275266E-2</v>
      </c>
      <c r="H2442" s="29">
        <f>IF($B$2,IF(ROWS(B$6:$B2442) = 1,IF(COUNTIFS(R_Schedule_Times,"&lt;"&amp;B2442),INDEX(R_Schedule_Amounts,MATCH(B2442,R_Schedule_Times,1)),Starting_Cash),IF(COUNTIFS(R_Schedule_Times,"&gt;"&amp;B2441,R_Schedule_Times,"&lt;"&amp;B2442),INDEX(R_Schedule_Amounts,MATCH(B2442,R_Schedule_Times,1)),K2441)),"")</f>
        <v>5360</v>
      </c>
      <c r="I2442" s="30">
        <f t="shared" si="190"/>
        <v>40</v>
      </c>
      <c r="J2442" s="31">
        <f t="shared" si="191"/>
        <v>3.5</v>
      </c>
      <c r="K2442" s="29">
        <f t="shared" si="192"/>
        <v>5320</v>
      </c>
      <c r="L2442" s="31" t="str">
        <f t="shared" si="193"/>
        <v/>
      </c>
      <c r="M2442" s="31" t="str">
        <f t="shared" si="194"/>
        <v/>
      </c>
    </row>
    <row r="2443" spans="1:13" x14ac:dyDescent="0.15">
      <c r="A2443" s="163" t="s">
        <v>210</v>
      </c>
      <c r="B2443" s="163">
        <v>42339.685169722223</v>
      </c>
      <c r="C2443" s="164" t="s">
        <v>2190</v>
      </c>
      <c r="D2443" s="164" t="s">
        <v>13</v>
      </c>
      <c r="E2443" s="165">
        <v>40</v>
      </c>
      <c r="F2443" s="166">
        <v>0</v>
      </c>
      <c r="G2443" s="227">
        <f>IF($B$2,IF(ROWS(B$6:$B2443) = 1,$B2443-Start_Date,$B2443-$B2442),"")</f>
        <v>1.1607210646616295E-2</v>
      </c>
      <c r="H2443" s="29">
        <f>IF($B$2,IF(ROWS(B$6:$B2443) = 1,IF(COUNTIFS(R_Schedule_Times,"&lt;"&amp;B2443),INDEX(R_Schedule_Amounts,MATCH(B2443,R_Schedule_Times,1)),Starting_Cash),IF(COUNTIFS(R_Schedule_Times,"&gt;"&amp;B2442,R_Schedule_Times,"&lt;"&amp;B2443),INDEX(R_Schedule_Amounts,MATCH(B2443,R_Schedule_Times,1)),K2442)),"")</f>
        <v>5320</v>
      </c>
      <c r="I2443" s="30">
        <f t="shared" si="190"/>
        <v>40</v>
      </c>
      <c r="J2443" s="31">
        <f t="shared" si="191"/>
        <v>0</v>
      </c>
      <c r="K2443" s="29">
        <f t="shared" si="192"/>
        <v>5280</v>
      </c>
      <c r="L2443" s="31" t="str">
        <f t="shared" si="193"/>
        <v/>
      </c>
      <c r="M2443" s="31" t="str">
        <f t="shared" si="194"/>
        <v/>
      </c>
    </row>
    <row r="2444" spans="1:13" x14ac:dyDescent="0.15">
      <c r="A2444" s="163" t="s">
        <v>210</v>
      </c>
      <c r="B2444" s="163">
        <v>42339.686012638886</v>
      </c>
      <c r="C2444" s="164" t="s">
        <v>2191</v>
      </c>
      <c r="D2444" s="164" t="s">
        <v>13</v>
      </c>
      <c r="E2444" s="165">
        <v>100</v>
      </c>
      <c r="F2444" s="166">
        <v>0</v>
      </c>
      <c r="G2444" s="227">
        <f>IF($B$2,IF(ROWS(B$6:$B2444) = 1,$B2444-Start_Date,$B2444-$B2443),"")</f>
        <v>8.4291666280478239E-4</v>
      </c>
      <c r="H2444" s="29">
        <f>IF($B$2,IF(ROWS(B$6:$B2444) = 1,IF(COUNTIFS(R_Schedule_Times,"&lt;"&amp;B2444),INDEX(R_Schedule_Amounts,MATCH(B2444,R_Schedule_Times,1)),Starting_Cash),IF(COUNTIFS(R_Schedule_Times,"&gt;"&amp;B2443,R_Schedule_Times,"&lt;"&amp;B2444),INDEX(R_Schedule_Amounts,MATCH(B2444,R_Schedule_Times,1)),K2443)),"")</f>
        <v>5280</v>
      </c>
      <c r="I2444" s="30">
        <f t="shared" si="190"/>
        <v>100</v>
      </c>
      <c r="J2444" s="31">
        <f t="shared" si="191"/>
        <v>0</v>
      </c>
      <c r="K2444" s="29">
        <f t="shared" si="192"/>
        <v>5180</v>
      </c>
      <c r="L2444" s="31" t="str">
        <f t="shared" si="193"/>
        <v/>
      </c>
      <c r="M2444" s="31" t="str">
        <f t="shared" si="194"/>
        <v/>
      </c>
    </row>
    <row r="2445" spans="1:13" x14ac:dyDescent="0.15">
      <c r="A2445" s="163" t="s">
        <v>210</v>
      </c>
      <c r="B2445" s="163">
        <v>42339.695949560184</v>
      </c>
      <c r="C2445" s="164" t="s">
        <v>2192</v>
      </c>
      <c r="D2445" s="164" t="s">
        <v>13</v>
      </c>
      <c r="E2445" s="165">
        <v>100</v>
      </c>
      <c r="F2445" s="166">
        <v>0</v>
      </c>
      <c r="G2445" s="227">
        <f>IF($B$2,IF(ROWS(B$6:$B2445) = 1,$B2445-Start_Date,$B2445-$B2444),"")</f>
        <v>9.9369212985038757E-3</v>
      </c>
      <c r="H2445" s="29">
        <f>IF($B$2,IF(ROWS(B$6:$B2445) = 1,IF(COUNTIFS(R_Schedule_Times,"&lt;"&amp;B2445),INDEX(R_Schedule_Amounts,MATCH(B2445,R_Schedule_Times,1)),Starting_Cash),IF(COUNTIFS(R_Schedule_Times,"&gt;"&amp;B2444,R_Schedule_Times,"&lt;"&amp;B2445),INDEX(R_Schedule_Amounts,MATCH(B2445,R_Schedule_Times,1)),K2444)),"")</f>
        <v>5180</v>
      </c>
      <c r="I2445" s="30">
        <f t="shared" si="190"/>
        <v>100</v>
      </c>
      <c r="J2445" s="31">
        <f t="shared" si="191"/>
        <v>0</v>
      </c>
      <c r="K2445" s="29">
        <f t="shared" si="192"/>
        <v>5080</v>
      </c>
      <c r="L2445" s="31" t="str">
        <f t="shared" si="193"/>
        <v/>
      </c>
      <c r="M2445" s="31" t="str">
        <f t="shared" si="194"/>
        <v/>
      </c>
    </row>
    <row r="2446" spans="1:13" x14ac:dyDescent="0.15">
      <c r="A2446" s="163" t="s">
        <v>210</v>
      </c>
      <c r="B2446" s="163">
        <v>42339.703664363427</v>
      </c>
      <c r="C2446" s="164" t="s">
        <v>717</v>
      </c>
      <c r="D2446" s="164" t="s">
        <v>13</v>
      </c>
      <c r="E2446" s="165">
        <v>100</v>
      </c>
      <c r="F2446" s="166">
        <v>0</v>
      </c>
      <c r="G2446" s="227">
        <f>IF($B$2,IF(ROWS(B$6:$B2446) = 1,$B2446-Start_Date,$B2446-$B2445),"")</f>
        <v>7.7148032432887703E-3</v>
      </c>
      <c r="H2446" s="29">
        <f>IF($B$2,IF(ROWS(B$6:$B2446) = 1,IF(COUNTIFS(R_Schedule_Times,"&lt;"&amp;B2446),INDEX(R_Schedule_Amounts,MATCH(B2446,R_Schedule_Times,1)),Starting_Cash),IF(COUNTIFS(R_Schedule_Times,"&gt;"&amp;B2445,R_Schedule_Times,"&lt;"&amp;B2446),INDEX(R_Schedule_Amounts,MATCH(B2446,R_Schedule_Times,1)),K2445)),"")</f>
        <v>5080</v>
      </c>
      <c r="I2446" s="30">
        <f t="shared" si="190"/>
        <v>100</v>
      </c>
      <c r="J2446" s="31">
        <f t="shared" si="191"/>
        <v>0</v>
      </c>
      <c r="K2446" s="29">
        <f t="shared" si="192"/>
        <v>4980</v>
      </c>
      <c r="L2446" s="31" t="str">
        <f t="shared" si="193"/>
        <v/>
      </c>
      <c r="M2446" s="31" t="str">
        <f t="shared" si="194"/>
        <v/>
      </c>
    </row>
    <row r="2447" spans="1:13" x14ac:dyDescent="0.15">
      <c r="A2447" s="163" t="s">
        <v>210</v>
      </c>
      <c r="B2447" s="163">
        <v>42339.718432893518</v>
      </c>
      <c r="C2447" s="164" t="s">
        <v>2193</v>
      </c>
      <c r="D2447" s="164" t="s">
        <v>13</v>
      </c>
      <c r="E2447" s="165">
        <v>40</v>
      </c>
      <c r="F2447" s="166">
        <v>0</v>
      </c>
      <c r="G2447" s="227">
        <f>IF($B$2,IF(ROWS(B$6:$B2447) = 1,$B2447-Start_Date,$B2447-$B2446),"")</f>
        <v>1.4768530090805143E-2</v>
      </c>
      <c r="H2447" s="29">
        <f>IF($B$2,IF(ROWS(B$6:$B2447) = 1,IF(COUNTIFS(R_Schedule_Times,"&lt;"&amp;B2447),INDEX(R_Schedule_Amounts,MATCH(B2447,R_Schedule_Times,1)),Starting_Cash),IF(COUNTIFS(R_Schedule_Times,"&gt;"&amp;B2446,R_Schedule_Times,"&lt;"&amp;B2447),INDEX(R_Schedule_Amounts,MATCH(B2447,R_Schedule_Times,1)),K2446)),"")</f>
        <v>4980</v>
      </c>
      <c r="I2447" s="30">
        <f t="shared" si="190"/>
        <v>40</v>
      </c>
      <c r="J2447" s="31">
        <f t="shared" si="191"/>
        <v>0</v>
      </c>
      <c r="K2447" s="29">
        <f t="shared" si="192"/>
        <v>4940</v>
      </c>
      <c r="L2447" s="31" t="str">
        <f t="shared" si="193"/>
        <v/>
      </c>
      <c r="M2447" s="31" t="str">
        <f t="shared" si="194"/>
        <v/>
      </c>
    </row>
    <row r="2448" spans="1:13" x14ac:dyDescent="0.15">
      <c r="A2448" s="163" t="s">
        <v>210</v>
      </c>
      <c r="B2448" s="163">
        <v>42339.733890416668</v>
      </c>
      <c r="C2448" s="164" t="s">
        <v>2194</v>
      </c>
      <c r="D2448" s="164" t="s">
        <v>13</v>
      </c>
      <c r="E2448" s="165">
        <v>100</v>
      </c>
      <c r="F2448" s="166">
        <v>0</v>
      </c>
      <c r="G2448" s="227">
        <f>IF($B$2,IF(ROWS(B$6:$B2448) = 1,$B2448-Start_Date,$B2448-$B2447),"")</f>
        <v>1.5457523149962071E-2</v>
      </c>
      <c r="H2448" s="29">
        <f>IF($B$2,IF(ROWS(B$6:$B2448) = 1,IF(COUNTIFS(R_Schedule_Times,"&lt;"&amp;B2448),INDEX(R_Schedule_Amounts,MATCH(B2448,R_Schedule_Times,1)),Starting_Cash),IF(COUNTIFS(R_Schedule_Times,"&gt;"&amp;B2447,R_Schedule_Times,"&lt;"&amp;B2448),INDEX(R_Schedule_Amounts,MATCH(B2448,R_Schedule_Times,1)),K2447)),"")</f>
        <v>4940</v>
      </c>
      <c r="I2448" s="30">
        <f t="shared" si="190"/>
        <v>100</v>
      </c>
      <c r="J2448" s="31">
        <f t="shared" si="191"/>
        <v>0</v>
      </c>
      <c r="K2448" s="29">
        <f t="shared" si="192"/>
        <v>4840</v>
      </c>
      <c r="L2448" s="31" t="str">
        <f t="shared" si="193"/>
        <v/>
      </c>
      <c r="M2448" s="31" t="str">
        <f t="shared" si="194"/>
        <v/>
      </c>
    </row>
    <row r="2449" spans="1:13" x14ac:dyDescent="0.15">
      <c r="A2449" s="163" t="s">
        <v>210</v>
      </c>
      <c r="B2449" s="163">
        <v>42339.734735775462</v>
      </c>
      <c r="C2449" s="164" t="s">
        <v>14</v>
      </c>
      <c r="D2449" s="164" t="s">
        <v>13</v>
      </c>
      <c r="E2449" s="165">
        <v>100</v>
      </c>
      <c r="F2449" s="166">
        <v>3.5</v>
      </c>
      <c r="G2449" s="227">
        <f>IF($B$2,IF(ROWS(B$6:$B2449) = 1,$B2449-Start_Date,$B2449-$B2448),"")</f>
        <v>8.4535879432223737E-4</v>
      </c>
      <c r="H2449" s="29">
        <f>IF($B$2,IF(ROWS(B$6:$B2449) = 1,IF(COUNTIFS(R_Schedule_Times,"&lt;"&amp;B2449),INDEX(R_Schedule_Amounts,MATCH(B2449,R_Schedule_Times,1)),Starting_Cash),IF(COUNTIFS(R_Schedule_Times,"&gt;"&amp;B2448,R_Schedule_Times,"&lt;"&amp;B2449),INDEX(R_Schedule_Amounts,MATCH(B2449,R_Schedule_Times,1)),K2448)),"")</f>
        <v>4840</v>
      </c>
      <c r="I2449" s="30">
        <f t="shared" si="190"/>
        <v>100</v>
      </c>
      <c r="J2449" s="31">
        <f t="shared" si="191"/>
        <v>3.5</v>
      </c>
      <c r="K2449" s="29">
        <f t="shared" si="192"/>
        <v>4740</v>
      </c>
      <c r="L2449" s="31" t="str">
        <f t="shared" si="193"/>
        <v/>
      </c>
      <c r="M2449" s="31" t="str">
        <f t="shared" si="194"/>
        <v/>
      </c>
    </row>
    <row r="2450" spans="1:13" x14ac:dyDescent="0.15">
      <c r="A2450" s="163" t="s">
        <v>210</v>
      </c>
      <c r="B2450" s="163">
        <v>42339.735794687498</v>
      </c>
      <c r="C2450" s="164" t="s">
        <v>2195</v>
      </c>
      <c r="D2450" s="164" t="s">
        <v>13</v>
      </c>
      <c r="E2450" s="165">
        <v>100</v>
      </c>
      <c r="F2450" s="166">
        <v>0</v>
      </c>
      <c r="G2450" s="227">
        <f>IF($B$2,IF(ROWS(B$6:$B2450) = 1,$B2450-Start_Date,$B2450-$B2449),"")</f>
        <v>1.0589120356598869E-3</v>
      </c>
      <c r="H2450" s="29">
        <f>IF($B$2,IF(ROWS(B$6:$B2450) = 1,IF(COUNTIFS(R_Schedule_Times,"&lt;"&amp;B2450),INDEX(R_Schedule_Amounts,MATCH(B2450,R_Schedule_Times,1)),Starting_Cash),IF(COUNTIFS(R_Schedule_Times,"&gt;"&amp;B2449,R_Schedule_Times,"&lt;"&amp;B2450),INDEX(R_Schedule_Amounts,MATCH(B2450,R_Schedule_Times,1)),K2449)),"")</f>
        <v>4740</v>
      </c>
      <c r="I2450" s="30">
        <f t="shared" si="190"/>
        <v>100</v>
      </c>
      <c r="J2450" s="31">
        <f t="shared" si="191"/>
        <v>0</v>
      </c>
      <c r="K2450" s="29">
        <f t="shared" si="192"/>
        <v>4640</v>
      </c>
      <c r="L2450" s="31" t="str">
        <f t="shared" si="193"/>
        <v/>
      </c>
      <c r="M2450" s="31" t="str">
        <f t="shared" si="194"/>
        <v/>
      </c>
    </row>
    <row r="2451" spans="1:13" x14ac:dyDescent="0.15">
      <c r="A2451" s="163" t="s">
        <v>210</v>
      </c>
      <c r="B2451" s="163">
        <v>42339.743754918978</v>
      </c>
      <c r="C2451" s="164" t="s">
        <v>977</v>
      </c>
      <c r="D2451" s="164" t="s">
        <v>13</v>
      </c>
      <c r="E2451" s="165">
        <v>200</v>
      </c>
      <c r="F2451" s="166">
        <v>0</v>
      </c>
      <c r="G2451" s="227">
        <f>IF($B$2,IF(ROWS(B$6:$B2451) = 1,$B2451-Start_Date,$B2451-$B2450),"")</f>
        <v>7.9602314799558371E-3</v>
      </c>
      <c r="H2451" s="29">
        <f>IF($B$2,IF(ROWS(B$6:$B2451) = 1,IF(COUNTIFS(R_Schedule_Times,"&lt;"&amp;B2451),INDEX(R_Schedule_Amounts,MATCH(B2451,R_Schedule_Times,1)),Starting_Cash),IF(COUNTIFS(R_Schedule_Times,"&gt;"&amp;B2450,R_Schedule_Times,"&lt;"&amp;B2451),INDEX(R_Schedule_Amounts,MATCH(B2451,R_Schedule_Times,1)),K2450)),"")</f>
        <v>4640</v>
      </c>
      <c r="I2451" s="30">
        <f t="shared" si="190"/>
        <v>200</v>
      </c>
      <c r="J2451" s="31">
        <f t="shared" si="191"/>
        <v>0</v>
      </c>
      <c r="K2451" s="29">
        <f t="shared" si="192"/>
        <v>4440</v>
      </c>
      <c r="L2451" s="31" t="str">
        <f t="shared" si="193"/>
        <v/>
      </c>
      <c r="M2451" s="31" t="str">
        <f t="shared" si="194"/>
        <v/>
      </c>
    </row>
    <row r="2452" spans="1:13" x14ac:dyDescent="0.15">
      <c r="A2452" s="163" t="s">
        <v>210</v>
      </c>
      <c r="B2452" s="163">
        <v>42339.768585219907</v>
      </c>
      <c r="C2452" s="164" t="s">
        <v>2196</v>
      </c>
      <c r="D2452" s="164" t="s">
        <v>13</v>
      </c>
      <c r="E2452" s="165">
        <v>100</v>
      </c>
      <c r="F2452" s="166">
        <v>0</v>
      </c>
      <c r="G2452" s="227">
        <f>IF($B$2,IF(ROWS(B$6:$B2452) = 1,$B2452-Start_Date,$B2452-$B2451),"")</f>
        <v>2.4830300928442739E-2</v>
      </c>
      <c r="H2452" s="29">
        <f>IF($B$2,IF(ROWS(B$6:$B2452) = 1,IF(COUNTIFS(R_Schedule_Times,"&lt;"&amp;B2452),INDEX(R_Schedule_Amounts,MATCH(B2452,R_Schedule_Times,1)),Starting_Cash),IF(COUNTIFS(R_Schedule_Times,"&gt;"&amp;B2451,R_Schedule_Times,"&lt;"&amp;B2452),INDEX(R_Schedule_Amounts,MATCH(B2452,R_Schedule_Times,1)),K2451)),"")</f>
        <v>4440</v>
      </c>
      <c r="I2452" s="30">
        <f t="shared" si="190"/>
        <v>100</v>
      </c>
      <c r="J2452" s="31">
        <f t="shared" si="191"/>
        <v>0</v>
      </c>
      <c r="K2452" s="29">
        <f t="shared" si="192"/>
        <v>4340</v>
      </c>
      <c r="L2452" s="31" t="str">
        <f t="shared" si="193"/>
        <v/>
      </c>
      <c r="M2452" s="31" t="str">
        <f t="shared" si="194"/>
        <v/>
      </c>
    </row>
    <row r="2453" spans="1:13" x14ac:dyDescent="0.15">
      <c r="A2453" s="163" t="s">
        <v>210</v>
      </c>
      <c r="B2453" s="163">
        <v>42339.782218969907</v>
      </c>
      <c r="C2453" s="164" t="s">
        <v>2197</v>
      </c>
      <c r="D2453" s="164" t="s">
        <v>13</v>
      </c>
      <c r="E2453" s="165">
        <v>200</v>
      </c>
      <c r="F2453" s="166">
        <v>0</v>
      </c>
      <c r="G2453" s="227">
        <f>IF($B$2,IF(ROWS(B$6:$B2453) = 1,$B2453-Start_Date,$B2453-$B2452),"")</f>
        <v>1.3633750000735745E-2</v>
      </c>
      <c r="H2453" s="29">
        <f>IF($B$2,IF(ROWS(B$6:$B2453) = 1,IF(COUNTIFS(R_Schedule_Times,"&lt;"&amp;B2453),INDEX(R_Schedule_Amounts,MATCH(B2453,R_Schedule_Times,1)),Starting_Cash),IF(COUNTIFS(R_Schedule_Times,"&gt;"&amp;B2452,R_Schedule_Times,"&lt;"&amp;B2453),INDEX(R_Schedule_Amounts,MATCH(B2453,R_Schedule_Times,1)),K2452)),"")</f>
        <v>4340</v>
      </c>
      <c r="I2453" s="30">
        <f t="shared" si="190"/>
        <v>200</v>
      </c>
      <c r="J2453" s="31">
        <f t="shared" si="191"/>
        <v>0</v>
      </c>
      <c r="K2453" s="29">
        <f t="shared" si="192"/>
        <v>4140</v>
      </c>
      <c r="L2453" s="31" t="str">
        <f t="shared" si="193"/>
        <v/>
      </c>
      <c r="M2453" s="31" t="str">
        <f t="shared" si="194"/>
        <v/>
      </c>
    </row>
    <row r="2454" spans="1:13" x14ac:dyDescent="0.15">
      <c r="A2454" s="163" t="s">
        <v>210</v>
      </c>
      <c r="B2454" s="163">
        <v>42339.784373923612</v>
      </c>
      <c r="C2454" s="164" t="s">
        <v>2198</v>
      </c>
      <c r="D2454" s="164" t="s">
        <v>13</v>
      </c>
      <c r="E2454" s="165">
        <v>200</v>
      </c>
      <c r="F2454" s="166">
        <v>0</v>
      </c>
      <c r="G2454" s="227">
        <f>IF($B$2,IF(ROWS(B$6:$B2454) = 1,$B2454-Start_Date,$B2454-$B2453),"")</f>
        <v>2.1549537050304934E-3</v>
      </c>
      <c r="H2454" s="29">
        <f>IF($B$2,IF(ROWS(B$6:$B2454) = 1,IF(COUNTIFS(R_Schedule_Times,"&lt;"&amp;B2454),INDEX(R_Schedule_Amounts,MATCH(B2454,R_Schedule_Times,1)),Starting_Cash),IF(COUNTIFS(R_Schedule_Times,"&gt;"&amp;B2453,R_Schedule_Times,"&lt;"&amp;B2454),INDEX(R_Schedule_Amounts,MATCH(B2454,R_Schedule_Times,1)),K2453)),"")</f>
        <v>4140</v>
      </c>
      <c r="I2454" s="30">
        <f t="shared" si="190"/>
        <v>200</v>
      </c>
      <c r="J2454" s="31">
        <f t="shared" si="191"/>
        <v>0</v>
      </c>
      <c r="K2454" s="29">
        <f t="shared" si="192"/>
        <v>3940</v>
      </c>
      <c r="L2454" s="31" t="str">
        <f t="shared" si="193"/>
        <v/>
      </c>
      <c r="M2454" s="31" t="str">
        <f t="shared" si="194"/>
        <v/>
      </c>
    </row>
    <row r="2455" spans="1:13" x14ac:dyDescent="0.15">
      <c r="A2455" s="163" t="s">
        <v>210</v>
      </c>
      <c r="B2455" s="163">
        <v>42339.785612384258</v>
      </c>
      <c r="C2455" s="164" t="s">
        <v>2127</v>
      </c>
      <c r="D2455" s="164" t="s">
        <v>13</v>
      </c>
      <c r="E2455" s="165">
        <v>400</v>
      </c>
      <c r="F2455" s="166">
        <v>0</v>
      </c>
      <c r="G2455" s="227">
        <f>IF($B$2,IF(ROWS(B$6:$B2455) = 1,$B2455-Start_Date,$B2455-$B2454),"")</f>
        <v>1.2384606452542357E-3</v>
      </c>
      <c r="H2455" s="29">
        <f>IF($B$2,IF(ROWS(B$6:$B2455) = 1,IF(COUNTIFS(R_Schedule_Times,"&lt;"&amp;B2455),INDEX(R_Schedule_Amounts,MATCH(B2455,R_Schedule_Times,1)),Starting_Cash),IF(COUNTIFS(R_Schedule_Times,"&gt;"&amp;B2454,R_Schedule_Times,"&lt;"&amp;B2455),INDEX(R_Schedule_Amounts,MATCH(B2455,R_Schedule_Times,1)),K2454)),"")</f>
        <v>3940</v>
      </c>
      <c r="I2455" s="30">
        <f t="shared" si="190"/>
        <v>400</v>
      </c>
      <c r="J2455" s="31">
        <f t="shared" si="191"/>
        <v>0</v>
      </c>
      <c r="K2455" s="29">
        <f t="shared" si="192"/>
        <v>3540</v>
      </c>
      <c r="L2455" s="31" t="str">
        <f t="shared" si="193"/>
        <v/>
      </c>
      <c r="M2455" s="31" t="str">
        <f t="shared" si="194"/>
        <v/>
      </c>
    </row>
    <row r="2456" spans="1:13" x14ac:dyDescent="0.15">
      <c r="A2456" s="163" t="s">
        <v>210</v>
      </c>
      <c r="B2456" s="163">
        <v>42339.791569490742</v>
      </c>
      <c r="C2456" s="164" t="s">
        <v>2199</v>
      </c>
      <c r="D2456" s="164" t="s">
        <v>13</v>
      </c>
      <c r="E2456" s="165">
        <v>100</v>
      </c>
      <c r="F2456" s="166">
        <v>0</v>
      </c>
      <c r="G2456" s="227">
        <f>IF($B$2,IF(ROWS(B$6:$B2456) = 1,$B2456-Start_Date,$B2456-$B2455),"")</f>
        <v>5.9571064848569222E-3</v>
      </c>
      <c r="H2456" s="29">
        <f>IF($B$2,IF(ROWS(B$6:$B2456) = 1,IF(COUNTIFS(R_Schedule_Times,"&lt;"&amp;B2456),INDEX(R_Schedule_Amounts,MATCH(B2456,R_Schedule_Times,1)),Starting_Cash),IF(COUNTIFS(R_Schedule_Times,"&gt;"&amp;B2455,R_Schedule_Times,"&lt;"&amp;B2456),INDEX(R_Schedule_Amounts,MATCH(B2456,R_Schedule_Times,1)),K2455)),"")</f>
        <v>3540</v>
      </c>
      <c r="I2456" s="30">
        <f t="shared" si="190"/>
        <v>100</v>
      </c>
      <c r="J2456" s="31">
        <f t="shared" si="191"/>
        <v>0</v>
      </c>
      <c r="K2456" s="29">
        <f t="shared" si="192"/>
        <v>3440</v>
      </c>
      <c r="L2456" s="31" t="str">
        <f t="shared" si="193"/>
        <v/>
      </c>
      <c r="M2456" s="31" t="str">
        <f t="shared" si="194"/>
        <v/>
      </c>
    </row>
    <row r="2457" spans="1:13" x14ac:dyDescent="0.15">
      <c r="A2457" s="163" t="s">
        <v>210</v>
      </c>
      <c r="B2457" s="163">
        <v>42339.856895833334</v>
      </c>
      <c r="C2457" s="164" t="s">
        <v>2200</v>
      </c>
      <c r="D2457" s="164" t="s">
        <v>13</v>
      </c>
      <c r="E2457" s="165">
        <v>100</v>
      </c>
      <c r="F2457" s="166">
        <v>0</v>
      </c>
      <c r="G2457" s="227">
        <f>IF($B$2,IF(ROWS(B$6:$B2457) = 1,$B2457-Start_Date,$B2457-$B2456),"")</f>
        <v>6.5326342592015862E-2</v>
      </c>
      <c r="H2457" s="29">
        <f>IF($B$2,IF(ROWS(B$6:$B2457) = 1,IF(COUNTIFS(R_Schedule_Times,"&lt;"&amp;B2457),INDEX(R_Schedule_Amounts,MATCH(B2457,R_Schedule_Times,1)),Starting_Cash),IF(COUNTIFS(R_Schedule_Times,"&gt;"&amp;B2456,R_Schedule_Times,"&lt;"&amp;B2457),INDEX(R_Schedule_Amounts,MATCH(B2457,R_Schedule_Times,1)),K2456)),"")</f>
        <v>3440</v>
      </c>
      <c r="I2457" s="30">
        <f t="shared" si="190"/>
        <v>100</v>
      </c>
      <c r="J2457" s="31">
        <f t="shared" si="191"/>
        <v>0</v>
      </c>
      <c r="K2457" s="29">
        <f t="shared" si="192"/>
        <v>3340</v>
      </c>
      <c r="L2457" s="31" t="str">
        <f t="shared" si="193"/>
        <v/>
      </c>
      <c r="M2457" s="31" t="str">
        <f t="shared" si="194"/>
        <v/>
      </c>
    </row>
    <row r="2458" spans="1:13" x14ac:dyDescent="0.15">
      <c r="A2458" s="163" t="s">
        <v>210</v>
      </c>
      <c r="B2458" s="163">
        <v>42339.874228437497</v>
      </c>
      <c r="C2458" s="164" t="s">
        <v>1045</v>
      </c>
      <c r="D2458" s="164" t="s">
        <v>13</v>
      </c>
      <c r="E2458" s="165">
        <v>140</v>
      </c>
      <c r="F2458" s="166">
        <v>0</v>
      </c>
      <c r="G2458" s="227">
        <f>IF($B$2,IF(ROWS(B$6:$B2458) = 1,$B2458-Start_Date,$B2458-$B2457),"")</f>
        <v>1.7332604162220377E-2</v>
      </c>
      <c r="H2458" s="29">
        <f>IF($B$2,IF(ROWS(B$6:$B2458) = 1,IF(COUNTIFS(R_Schedule_Times,"&lt;"&amp;B2458),INDEX(R_Schedule_Amounts,MATCH(B2458,R_Schedule_Times,1)),Starting_Cash),IF(COUNTIFS(R_Schedule_Times,"&gt;"&amp;B2457,R_Schedule_Times,"&lt;"&amp;B2458),INDEX(R_Schedule_Amounts,MATCH(B2458,R_Schedule_Times,1)),K2457)),"")</f>
        <v>3340</v>
      </c>
      <c r="I2458" s="30">
        <f t="shared" si="190"/>
        <v>140</v>
      </c>
      <c r="J2458" s="31">
        <f t="shared" si="191"/>
        <v>0</v>
      </c>
      <c r="K2458" s="29">
        <f t="shared" si="192"/>
        <v>3200</v>
      </c>
      <c r="L2458" s="31" t="str">
        <f t="shared" si="193"/>
        <v/>
      </c>
      <c r="M2458" s="31" t="str">
        <f t="shared" si="194"/>
        <v/>
      </c>
    </row>
    <row r="2459" spans="1:13" x14ac:dyDescent="0.15">
      <c r="A2459" s="163" t="s">
        <v>210</v>
      </c>
      <c r="B2459" s="163">
        <v>42339.901402719908</v>
      </c>
      <c r="C2459" s="164" t="s">
        <v>487</v>
      </c>
      <c r="D2459" s="164" t="s">
        <v>13</v>
      </c>
      <c r="E2459" s="165">
        <v>100</v>
      </c>
      <c r="F2459" s="166">
        <v>0</v>
      </c>
      <c r="G2459" s="227">
        <f>IF($B$2,IF(ROWS(B$6:$B2459) = 1,$B2459-Start_Date,$B2459-$B2458),"")</f>
        <v>2.7174282411579043E-2</v>
      </c>
      <c r="H2459" s="29">
        <f>IF($B$2,IF(ROWS(B$6:$B2459) = 1,IF(COUNTIFS(R_Schedule_Times,"&lt;"&amp;B2459),INDEX(R_Schedule_Amounts,MATCH(B2459,R_Schedule_Times,1)),Starting_Cash),IF(COUNTIFS(R_Schedule_Times,"&gt;"&amp;B2458,R_Schedule_Times,"&lt;"&amp;B2459),INDEX(R_Schedule_Amounts,MATCH(B2459,R_Schedule_Times,1)),K2458)),"")</f>
        <v>3200</v>
      </c>
      <c r="I2459" s="30">
        <f t="shared" si="190"/>
        <v>100</v>
      </c>
      <c r="J2459" s="31">
        <f t="shared" si="191"/>
        <v>0</v>
      </c>
      <c r="K2459" s="29">
        <f t="shared" si="192"/>
        <v>3100</v>
      </c>
      <c r="L2459" s="31" t="str">
        <f t="shared" si="193"/>
        <v/>
      </c>
      <c r="M2459" s="31" t="str">
        <f t="shared" si="194"/>
        <v/>
      </c>
    </row>
    <row r="2460" spans="1:13" x14ac:dyDescent="0.15">
      <c r="A2460" s="163" t="s">
        <v>210</v>
      </c>
      <c r="B2460" s="163">
        <v>42339.935043738427</v>
      </c>
      <c r="C2460" s="164" t="s">
        <v>1965</v>
      </c>
      <c r="D2460" s="164" t="s">
        <v>13</v>
      </c>
      <c r="E2460" s="165">
        <v>100</v>
      </c>
      <c r="F2460" s="166">
        <v>0</v>
      </c>
      <c r="G2460" s="227">
        <f>IF($B$2,IF(ROWS(B$6:$B2460) = 1,$B2460-Start_Date,$B2460-$B2459),"")</f>
        <v>3.3641018519119825E-2</v>
      </c>
      <c r="H2460" s="29">
        <f>IF($B$2,IF(ROWS(B$6:$B2460) = 1,IF(COUNTIFS(R_Schedule_Times,"&lt;"&amp;B2460),INDEX(R_Schedule_Amounts,MATCH(B2460,R_Schedule_Times,1)),Starting_Cash),IF(COUNTIFS(R_Schedule_Times,"&gt;"&amp;B2459,R_Schedule_Times,"&lt;"&amp;B2460),INDEX(R_Schedule_Amounts,MATCH(B2460,R_Schedule_Times,1)),K2459)),"")</f>
        <v>3100</v>
      </c>
      <c r="I2460" s="30">
        <f t="shared" si="190"/>
        <v>100</v>
      </c>
      <c r="J2460" s="31">
        <f t="shared" si="191"/>
        <v>0</v>
      </c>
      <c r="K2460" s="29">
        <f t="shared" si="192"/>
        <v>3000</v>
      </c>
      <c r="L2460" s="31" t="str">
        <f t="shared" si="193"/>
        <v/>
      </c>
      <c r="M2460" s="31" t="str">
        <f t="shared" si="194"/>
        <v/>
      </c>
    </row>
    <row r="2461" spans="1:13" x14ac:dyDescent="0.15">
      <c r="A2461" s="163" t="s">
        <v>210</v>
      </c>
      <c r="B2461" s="163">
        <v>42340.21249111111</v>
      </c>
      <c r="C2461" s="164" t="s">
        <v>237</v>
      </c>
      <c r="D2461" s="164" t="s">
        <v>13</v>
      </c>
      <c r="E2461" s="165">
        <v>20</v>
      </c>
      <c r="F2461" s="166">
        <v>0</v>
      </c>
      <c r="G2461" s="227">
        <f>IF($B$2,IF(ROWS(B$6:$B2461) = 1,$B2461-Start_Date,$B2461-$B2460),"")</f>
        <v>0.27744737268221797</v>
      </c>
      <c r="H2461" s="29">
        <f>IF($B$2,IF(ROWS(B$6:$B2461) = 1,IF(COUNTIFS(R_Schedule_Times,"&lt;"&amp;B2461),INDEX(R_Schedule_Amounts,MATCH(B2461,R_Schedule_Times,1)),Starting_Cash),IF(COUNTIFS(R_Schedule_Times,"&gt;"&amp;B2460,R_Schedule_Times,"&lt;"&amp;B2461),INDEX(R_Schedule_Amounts,MATCH(B2461,R_Schedule_Times,1)),K2460)),"")</f>
        <v>3000</v>
      </c>
      <c r="I2461" s="30">
        <f t="shared" si="190"/>
        <v>20</v>
      </c>
      <c r="J2461" s="31">
        <f t="shared" si="191"/>
        <v>0</v>
      </c>
      <c r="K2461" s="29">
        <f t="shared" si="192"/>
        <v>2980</v>
      </c>
      <c r="L2461" s="31" t="str">
        <f t="shared" si="193"/>
        <v/>
      </c>
      <c r="M2461" s="31" t="str">
        <f t="shared" si="194"/>
        <v/>
      </c>
    </row>
    <row r="2462" spans="1:13" x14ac:dyDescent="0.15">
      <c r="A2462" s="163" t="s">
        <v>210</v>
      </c>
      <c r="B2462" s="163">
        <v>42340.268408865741</v>
      </c>
      <c r="C2462" s="164" t="s">
        <v>123</v>
      </c>
      <c r="D2462" s="164" t="s">
        <v>13</v>
      </c>
      <c r="E2462" s="165">
        <v>40</v>
      </c>
      <c r="F2462" s="166">
        <v>0</v>
      </c>
      <c r="G2462" s="227">
        <f>IF($B$2,IF(ROWS(B$6:$B2462) = 1,$B2462-Start_Date,$B2462-$B2461),"")</f>
        <v>5.5917754631082062E-2</v>
      </c>
      <c r="H2462" s="29">
        <f>IF($B$2,IF(ROWS(B$6:$B2462) = 1,IF(COUNTIFS(R_Schedule_Times,"&lt;"&amp;B2462),INDEX(R_Schedule_Amounts,MATCH(B2462,R_Schedule_Times,1)),Starting_Cash),IF(COUNTIFS(R_Schedule_Times,"&gt;"&amp;B2461,R_Schedule_Times,"&lt;"&amp;B2462),INDEX(R_Schedule_Amounts,MATCH(B2462,R_Schedule_Times,1)),K2461)),"")</f>
        <v>2980</v>
      </c>
      <c r="I2462" s="30">
        <f t="shared" si="190"/>
        <v>40</v>
      </c>
      <c r="J2462" s="31">
        <f t="shared" si="191"/>
        <v>0</v>
      </c>
      <c r="K2462" s="29">
        <f t="shared" si="192"/>
        <v>2940</v>
      </c>
      <c r="L2462" s="31" t="str">
        <f t="shared" si="193"/>
        <v/>
      </c>
      <c r="M2462" s="31" t="str">
        <f t="shared" si="194"/>
        <v/>
      </c>
    </row>
    <row r="2463" spans="1:13" x14ac:dyDescent="0.15">
      <c r="A2463" s="163" t="s">
        <v>210</v>
      </c>
      <c r="B2463" s="163">
        <v>42340.294525185185</v>
      </c>
      <c r="C2463" s="164" t="s">
        <v>2201</v>
      </c>
      <c r="D2463" s="164" t="s">
        <v>13</v>
      </c>
      <c r="E2463" s="165">
        <v>100</v>
      </c>
      <c r="F2463" s="166">
        <v>0</v>
      </c>
      <c r="G2463" s="227">
        <f>IF($B$2,IF(ROWS(B$6:$B2463) = 1,$B2463-Start_Date,$B2463-$B2462),"")</f>
        <v>2.6116319444554392E-2</v>
      </c>
      <c r="H2463" s="29">
        <f>IF($B$2,IF(ROWS(B$6:$B2463) = 1,IF(COUNTIFS(R_Schedule_Times,"&lt;"&amp;B2463),INDEX(R_Schedule_Amounts,MATCH(B2463,R_Schedule_Times,1)),Starting_Cash),IF(COUNTIFS(R_Schedule_Times,"&gt;"&amp;B2462,R_Schedule_Times,"&lt;"&amp;B2463),INDEX(R_Schedule_Amounts,MATCH(B2463,R_Schedule_Times,1)),K2462)),"")</f>
        <v>2940</v>
      </c>
      <c r="I2463" s="30">
        <f t="shared" si="190"/>
        <v>100</v>
      </c>
      <c r="J2463" s="31">
        <f t="shared" si="191"/>
        <v>0</v>
      </c>
      <c r="K2463" s="29">
        <f t="shared" si="192"/>
        <v>2840</v>
      </c>
      <c r="L2463" s="31" t="str">
        <f t="shared" si="193"/>
        <v/>
      </c>
      <c r="M2463" s="31" t="str">
        <f t="shared" si="194"/>
        <v/>
      </c>
    </row>
    <row r="2464" spans="1:13" x14ac:dyDescent="0.15">
      <c r="A2464" s="163" t="s">
        <v>210</v>
      </c>
      <c r="B2464" s="163">
        <v>42340.305667604167</v>
      </c>
      <c r="C2464" s="164" t="s">
        <v>2202</v>
      </c>
      <c r="D2464" s="164" t="s">
        <v>13</v>
      </c>
      <c r="E2464" s="165">
        <v>100</v>
      </c>
      <c r="F2464" s="166">
        <v>0</v>
      </c>
      <c r="G2464" s="227">
        <f>IF($B$2,IF(ROWS(B$6:$B2464) = 1,$B2464-Start_Date,$B2464-$B2463),"")</f>
        <v>1.1142418981762603E-2</v>
      </c>
      <c r="H2464" s="29">
        <f>IF($B$2,IF(ROWS(B$6:$B2464) = 1,IF(COUNTIFS(R_Schedule_Times,"&lt;"&amp;B2464),INDEX(R_Schedule_Amounts,MATCH(B2464,R_Schedule_Times,1)),Starting_Cash),IF(COUNTIFS(R_Schedule_Times,"&gt;"&amp;B2463,R_Schedule_Times,"&lt;"&amp;B2464),INDEX(R_Schedule_Amounts,MATCH(B2464,R_Schedule_Times,1)),K2463)),"")</f>
        <v>2840</v>
      </c>
      <c r="I2464" s="30">
        <f t="shared" si="190"/>
        <v>100</v>
      </c>
      <c r="J2464" s="31">
        <f t="shared" si="191"/>
        <v>0</v>
      </c>
      <c r="K2464" s="29">
        <f t="shared" si="192"/>
        <v>2740</v>
      </c>
      <c r="L2464" s="31" t="str">
        <f t="shared" si="193"/>
        <v/>
      </c>
      <c r="M2464" s="31" t="str">
        <f t="shared" si="194"/>
        <v/>
      </c>
    </row>
    <row r="2465" spans="1:13" x14ac:dyDescent="0.15">
      <c r="A2465" s="163" t="s">
        <v>210</v>
      </c>
      <c r="B2465" s="163">
        <v>42340.312733425926</v>
      </c>
      <c r="C2465" s="164" t="s">
        <v>2203</v>
      </c>
      <c r="D2465" s="164" t="s">
        <v>13</v>
      </c>
      <c r="E2465" s="165">
        <v>100</v>
      </c>
      <c r="F2465" s="166">
        <v>0</v>
      </c>
      <c r="G2465" s="227">
        <f>IF($B$2,IF(ROWS(B$6:$B2465) = 1,$B2465-Start_Date,$B2465-$B2464),"")</f>
        <v>7.0658217591699213E-3</v>
      </c>
      <c r="H2465" s="29">
        <f>IF($B$2,IF(ROWS(B$6:$B2465) = 1,IF(COUNTIFS(R_Schedule_Times,"&lt;"&amp;B2465),INDEX(R_Schedule_Amounts,MATCH(B2465,R_Schedule_Times,1)),Starting_Cash),IF(COUNTIFS(R_Schedule_Times,"&gt;"&amp;B2464,R_Schedule_Times,"&lt;"&amp;B2465),INDEX(R_Schedule_Amounts,MATCH(B2465,R_Schedule_Times,1)),K2464)),"")</f>
        <v>2740</v>
      </c>
      <c r="I2465" s="30">
        <f t="shared" si="190"/>
        <v>100</v>
      </c>
      <c r="J2465" s="31">
        <f t="shared" si="191"/>
        <v>0</v>
      </c>
      <c r="K2465" s="29">
        <f t="shared" si="192"/>
        <v>2640</v>
      </c>
      <c r="L2465" s="31" t="str">
        <f t="shared" si="193"/>
        <v/>
      </c>
      <c r="M2465" s="31" t="str">
        <f t="shared" si="194"/>
        <v/>
      </c>
    </row>
    <row r="2466" spans="1:13" x14ac:dyDescent="0.15">
      <c r="A2466" s="163" t="s">
        <v>210</v>
      </c>
      <c r="B2466" s="163">
        <v>42340.344480381944</v>
      </c>
      <c r="C2466" s="164" t="s">
        <v>2204</v>
      </c>
      <c r="D2466" s="164" t="s">
        <v>13</v>
      </c>
      <c r="E2466" s="165">
        <v>40</v>
      </c>
      <c r="F2466" s="166">
        <v>0</v>
      </c>
      <c r="G2466" s="227">
        <f>IF($B$2,IF(ROWS(B$6:$B2466) = 1,$B2466-Start_Date,$B2466-$B2465),"")</f>
        <v>3.1746956017741468E-2</v>
      </c>
      <c r="H2466" s="29">
        <f>IF($B$2,IF(ROWS(B$6:$B2466) = 1,IF(COUNTIFS(R_Schedule_Times,"&lt;"&amp;B2466),INDEX(R_Schedule_Amounts,MATCH(B2466,R_Schedule_Times,1)),Starting_Cash),IF(COUNTIFS(R_Schedule_Times,"&gt;"&amp;B2465,R_Schedule_Times,"&lt;"&amp;B2466),INDEX(R_Schedule_Amounts,MATCH(B2466,R_Schedule_Times,1)),K2465)),"")</f>
        <v>2640</v>
      </c>
      <c r="I2466" s="30">
        <f t="shared" si="190"/>
        <v>40</v>
      </c>
      <c r="J2466" s="31">
        <f t="shared" si="191"/>
        <v>0</v>
      </c>
      <c r="K2466" s="29">
        <f t="shared" si="192"/>
        <v>2600</v>
      </c>
      <c r="L2466" s="31" t="str">
        <f t="shared" si="193"/>
        <v/>
      </c>
      <c r="M2466" s="31" t="str">
        <f t="shared" si="194"/>
        <v/>
      </c>
    </row>
    <row r="2467" spans="1:13" x14ac:dyDescent="0.15">
      <c r="A2467" s="163" t="s">
        <v>210</v>
      </c>
      <c r="B2467" s="163">
        <v>42340.350955555557</v>
      </c>
      <c r="C2467" s="164" t="s">
        <v>2205</v>
      </c>
      <c r="D2467" s="164" t="s">
        <v>13</v>
      </c>
      <c r="E2467" s="165">
        <v>100</v>
      </c>
      <c r="F2467" s="166">
        <v>0</v>
      </c>
      <c r="G2467" s="227">
        <f>IF($B$2,IF(ROWS(B$6:$B2467) = 1,$B2467-Start_Date,$B2467-$B2466),"")</f>
        <v>6.4751736135804094E-3</v>
      </c>
      <c r="H2467" s="29">
        <f>IF($B$2,IF(ROWS(B$6:$B2467) = 1,IF(COUNTIFS(R_Schedule_Times,"&lt;"&amp;B2467),INDEX(R_Schedule_Amounts,MATCH(B2467,R_Schedule_Times,1)),Starting_Cash),IF(COUNTIFS(R_Schedule_Times,"&gt;"&amp;B2466,R_Schedule_Times,"&lt;"&amp;B2467),INDEX(R_Schedule_Amounts,MATCH(B2467,R_Schedule_Times,1)),K2466)),"")</f>
        <v>2600</v>
      </c>
      <c r="I2467" s="30">
        <f t="shared" si="190"/>
        <v>100</v>
      </c>
      <c r="J2467" s="31">
        <f t="shared" si="191"/>
        <v>0</v>
      </c>
      <c r="K2467" s="29">
        <f t="shared" si="192"/>
        <v>2500</v>
      </c>
      <c r="L2467" s="31" t="str">
        <f t="shared" si="193"/>
        <v/>
      </c>
      <c r="M2467" s="31" t="str">
        <f t="shared" si="194"/>
        <v/>
      </c>
    </row>
    <row r="2468" spans="1:13" x14ac:dyDescent="0.15">
      <c r="A2468" s="163" t="s">
        <v>210</v>
      </c>
      <c r="B2468" s="163">
        <v>42340.424955486109</v>
      </c>
      <c r="C2468" s="164" t="s">
        <v>2206</v>
      </c>
      <c r="D2468" s="164" t="s">
        <v>13</v>
      </c>
      <c r="E2468" s="165">
        <v>40</v>
      </c>
      <c r="F2468" s="166">
        <v>0</v>
      </c>
      <c r="G2468" s="227">
        <f>IF($B$2,IF(ROWS(B$6:$B2468) = 1,$B2468-Start_Date,$B2468-$B2467),"")</f>
        <v>7.3999930551508442E-2</v>
      </c>
      <c r="H2468" s="29">
        <f>IF($B$2,IF(ROWS(B$6:$B2468) = 1,IF(COUNTIFS(R_Schedule_Times,"&lt;"&amp;B2468),INDEX(R_Schedule_Amounts,MATCH(B2468,R_Schedule_Times,1)),Starting_Cash),IF(COUNTIFS(R_Schedule_Times,"&gt;"&amp;B2467,R_Schedule_Times,"&lt;"&amp;B2468),INDEX(R_Schedule_Amounts,MATCH(B2468,R_Schedule_Times,1)),K2467)),"")</f>
        <v>2500</v>
      </c>
      <c r="I2468" s="30">
        <f t="shared" si="190"/>
        <v>40</v>
      </c>
      <c r="J2468" s="31">
        <f t="shared" si="191"/>
        <v>0</v>
      </c>
      <c r="K2468" s="29">
        <f t="shared" si="192"/>
        <v>2460</v>
      </c>
      <c r="L2468" s="31" t="str">
        <f t="shared" si="193"/>
        <v/>
      </c>
      <c r="M2468" s="31" t="str">
        <f t="shared" si="194"/>
        <v/>
      </c>
    </row>
    <row r="2469" spans="1:13" x14ac:dyDescent="0.15">
      <c r="A2469" s="163" t="s">
        <v>210</v>
      </c>
      <c r="B2469" s="163">
        <v>42340.432163217592</v>
      </c>
      <c r="C2469" s="164" t="s">
        <v>14</v>
      </c>
      <c r="D2469" s="164" t="s">
        <v>13</v>
      </c>
      <c r="E2469" s="165">
        <v>300</v>
      </c>
      <c r="F2469" s="166">
        <v>3.5</v>
      </c>
      <c r="G2469" s="227">
        <f>IF($B$2,IF(ROWS(B$6:$B2469) = 1,$B2469-Start_Date,$B2469-$B2468),"")</f>
        <v>7.2077314835041761E-3</v>
      </c>
      <c r="H2469" s="29">
        <f>IF($B$2,IF(ROWS(B$6:$B2469) = 1,IF(COUNTIFS(R_Schedule_Times,"&lt;"&amp;B2469),INDEX(R_Schedule_Amounts,MATCH(B2469,R_Schedule_Times,1)),Starting_Cash),IF(COUNTIFS(R_Schedule_Times,"&gt;"&amp;B2468,R_Schedule_Times,"&lt;"&amp;B2469),INDEX(R_Schedule_Amounts,MATCH(B2469,R_Schedule_Times,1)),K2468)),"")</f>
        <v>2460</v>
      </c>
      <c r="I2469" s="30">
        <f t="shared" si="190"/>
        <v>300</v>
      </c>
      <c r="J2469" s="31">
        <f t="shared" si="191"/>
        <v>3.5</v>
      </c>
      <c r="K2469" s="29">
        <f t="shared" si="192"/>
        <v>2160</v>
      </c>
      <c r="L2469" s="31" t="str">
        <f t="shared" si="193"/>
        <v/>
      </c>
      <c r="M2469" s="31" t="str">
        <f t="shared" si="194"/>
        <v/>
      </c>
    </row>
    <row r="2470" spans="1:13" x14ac:dyDescent="0.15">
      <c r="A2470" s="163" t="s">
        <v>210</v>
      </c>
      <c r="B2470" s="163">
        <v>42340.441872557873</v>
      </c>
      <c r="C2470" s="164" t="s">
        <v>2207</v>
      </c>
      <c r="D2470" s="164" t="s">
        <v>13</v>
      </c>
      <c r="E2470" s="165">
        <v>200</v>
      </c>
      <c r="F2470" s="166">
        <v>0</v>
      </c>
      <c r="G2470" s="227">
        <f>IF($B$2,IF(ROWS(B$6:$B2470) = 1,$B2470-Start_Date,$B2470-$B2469),"")</f>
        <v>9.7093402800965123E-3</v>
      </c>
      <c r="H2470" s="29">
        <f>IF($B$2,IF(ROWS(B$6:$B2470) = 1,IF(COUNTIFS(R_Schedule_Times,"&lt;"&amp;B2470),INDEX(R_Schedule_Amounts,MATCH(B2470,R_Schedule_Times,1)),Starting_Cash),IF(COUNTIFS(R_Schedule_Times,"&gt;"&amp;B2469,R_Schedule_Times,"&lt;"&amp;B2470),INDEX(R_Schedule_Amounts,MATCH(B2470,R_Schedule_Times,1)),K2469)),"")</f>
        <v>2160</v>
      </c>
      <c r="I2470" s="30">
        <f t="shared" si="190"/>
        <v>200</v>
      </c>
      <c r="J2470" s="31">
        <f t="shared" si="191"/>
        <v>0</v>
      </c>
      <c r="K2470" s="29">
        <f t="shared" si="192"/>
        <v>1960</v>
      </c>
      <c r="L2470" s="31" t="str">
        <f t="shared" si="193"/>
        <v/>
      </c>
      <c r="M2470" s="31" t="str">
        <f t="shared" si="194"/>
        <v/>
      </c>
    </row>
    <row r="2471" spans="1:13" x14ac:dyDescent="0.15">
      <c r="A2471" s="163" t="s">
        <v>210</v>
      </c>
      <c r="B2471" s="163">
        <v>42340.452628865743</v>
      </c>
      <c r="C2471" s="164" t="s">
        <v>14</v>
      </c>
      <c r="D2471" s="164" t="s">
        <v>13</v>
      </c>
      <c r="E2471" s="165">
        <v>120</v>
      </c>
      <c r="F2471" s="166">
        <v>3.5</v>
      </c>
      <c r="G2471" s="227">
        <f>IF($B$2,IF(ROWS(B$6:$B2471) = 1,$B2471-Start_Date,$B2471-$B2470),"")</f>
        <v>1.0756307870906312E-2</v>
      </c>
      <c r="H2471" s="29">
        <f>IF($B$2,IF(ROWS(B$6:$B2471) = 1,IF(COUNTIFS(R_Schedule_Times,"&lt;"&amp;B2471),INDEX(R_Schedule_Amounts,MATCH(B2471,R_Schedule_Times,1)),Starting_Cash),IF(COUNTIFS(R_Schedule_Times,"&gt;"&amp;B2470,R_Schedule_Times,"&lt;"&amp;B2471),INDEX(R_Schedule_Amounts,MATCH(B2471,R_Schedule_Times,1)),K2470)),"")</f>
        <v>1960</v>
      </c>
      <c r="I2471" s="30">
        <f t="shared" si="190"/>
        <v>120</v>
      </c>
      <c r="J2471" s="31">
        <f t="shared" si="191"/>
        <v>3.5</v>
      </c>
      <c r="K2471" s="29">
        <f t="shared" si="192"/>
        <v>1840</v>
      </c>
      <c r="L2471" s="31" t="str">
        <f t="shared" si="193"/>
        <v/>
      </c>
      <c r="M2471" s="31" t="str">
        <f t="shared" si="194"/>
        <v/>
      </c>
    </row>
    <row r="2472" spans="1:13" x14ac:dyDescent="0.15">
      <c r="A2472" s="163" t="s">
        <v>210</v>
      </c>
      <c r="B2472" s="163">
        <v>42340.463737719911</v>
      </c>
      <c r="C2472" s="164" t="s">
        <v>2208</v>
      </c>
      <c r="D2472" s="164" t="s">
        <v>13</v>
      </c>
      <c r="E2472" s="165">
        <v>200</v>
      </c>
      <c r="F2472" s="166">
        <v>0</v>
      </c>
      <c r="G2472" s="227">
        <f>IF($B$2,IF(ROWS(B$6:$B2472) = 1,$B2472-Start_Date,$B2472-$B2471),"")</f>
        <v>1.1108854167105164E-2</v>
      </c>
      <c r="H2472" s="29">
        <f>IF($B$2,IF(ROWS(B$6:$B2472) = 1,IF(COUNTIFS(R_Schedule_Times,"&lt;"&amp;B2472),INDEX(R_Schedule_Amounts,MATCH(B2472,R_Schedule_Times,1)),Starting_Cash),IF(COUNTIFS(R_Schedule_Times,"&gt;"&amp;B2471,R_Schedule_Times,"&lt;"&amp;B2472),INDEX(R_Schedule_Amounts,MATCH(B2472,R_Schedule_Times,1)),K2471)),"")</f>
        <v>1840</v>
      </c>
      <c r="I2472" s="30">
        <f t="shared" si="190"/>
        <v>200</v>
      </c>
      <c r="J2472" s="31">
        <f t="shared" si="191"/>
        <v>0</v>
      </c>
      <c r="K2472" s="29">
        <f t="shared" si="192"/>
        <v>1640</v>
      </c>
      <c r="L2472" s="31" t="str">
        <f t="shared" si="193"/>
        <v/>
      </c>
      <c r="M2472" s="31" t="str">
        <f t="shared" si="194"/>
        <v/>
      </c>
    </row>
    <row r="2473" spans="1:13" x14ac:dyDescent="0.15">
      <c r="A2473" s="163" t="s">
        <v>210</v>
      </c>
      <c r="B2473" s="163">
        <v>42340.496116805552</v>
      </c>
      <c r="C2473" s="164" t="s">
        <v>2050</v>
      </c>
      <c r="D2473" s="164" t="s">
        <v>13</v>
      </c>
      <c r="E2473" s="165">
        <v>100</v>
      </c>
      <c r="F2473" s="166">
        <v>0</v>
      </c>
      <c r="G2473" s="227">
        <f>IF($B$2,IF(ROWS(B$6:$B2473) = 1,$B2473-Start_Date,$B2473-$B2472),"")</f>
        <v>3.2379085641878191E-2</v>
      </c>
      <c r="H2473" s="29">
        <f>IF($B$2,IF(ROWS(B$6:$B2473) = 1,IF(COUNTIFS(R_Schedule_Times,"&lt;"&amp;B2473),INDEX(R_Schedule_Amounts,MATCH(B2473,R_Schedule_Times,1)),Starting_Cash),IF(COUNTIFS(R_Schedule_Times,"&gt;"&amp;B2472,R_Schedule_Times,"&lt;"&amp;B2473),INDEX(R_Schedule_Amounts,MATCH(B2473,R_Schedule_Times,1)),K2472)),"")</f>
        <v>1640</v>
      </c>
      <c r="I2473" s="30">
        <f t="shared" si="190"/>
        <v>100</v>
      </c>
      <c r="J2473" s="31">
        <f t="shared" si="191"/>
        <v>0</v>
      </c>
      <c r="K2473" s="29">
        <f t="shared" si="192"/>
        <v>1540</v>
      </c>
      <c r="L2473" s="31" t="str">
        <f t="shared" si="193"/>
        <v/>
      </c>
      <c r="M2473" s="31" t="str">
        <f t="shared" si="194"/>
        <v/>
      </c>
    </row>
    <row r="2474" spans="1:13" x14ac:dyDescent="0.15">
      <c r="A2474" s="163" t="s">
        <v>210</v>
      </c>
      <c r="B2474" s="163">
        <v>42340.498421805554</v>
      </c>
      <c r="C2474" s="164" t="s">
        <v>2209</v>
      </c>
      <c r="D2474" s="164" t="s">
        <v>13</v>
      </c>
      <c r="E2474" s="165">
        <v>100</v>
      </c>
      <c r="F2474" s="166">
        <v>0</v>
      </c>
      <c r="G2474" s="227">
        <f>IF($B$2,IF(ROWS(B$6:$B2474) = 1,$B2474-Start_Date,$B2474-$B2473),"")</f>
        <v>2.3050000017974526E-3</v>
      </c>
      <c r="H2474" s="29">
        <f>IF($B$2,IF(ROWS(B$6:$B2474) = 1,IF(COUNTIFS(R_Schedule_Times,"&lt;"&amp;B2474),INDEX(R_Schedule_Amounts,MATCH(B2474,R_Schedule_Times,1)),Starting_Cash),IF(COUNTIFS(R_Schedule_Times,"&gt;"&amp;B2473,R_Schedule_Times,"&lt;"&amp;B2474),INDEX(R_Schedule_Amounts,MATCH(B2474,R_Schedule_Times,1)),K2473)),"")</f>
        <v>1540</v>
      </c>
      <c r="I2474" s="30">
        <f t="shared" si="190"/>
        <v>100</v>
      </c>
      <c r="J2474" s="31">
        <f t="shared" si="191"/>
        <v>0</v>
      </c>
      <c r="K2474" s="29">
        <f t="shared" si="192"/>
        <v>1440</v>
      </c>
      <c r="L2474" s="31" t="str">
        <f t="shared" si="193"/>
        <v/>
      </c>
      <c r="M2474" s="31" t="str">
        <f t="shared" si="194"/>
        <v/>
      </c>
    </row>
    <row r="2475" spans="1:13" x14ac:dyDescent="0.15">
      <c r="A2475" s="163" t="s">
        <v>210</v>
      </c>
      <c r="B2475" s="163">
        <v>42340.527725694446</v>
      </c>
      <c r="C2475" s="164" t="s">
        <v>1117</v>
      </c>
      <c r="D2475" s="164" t="s">
        <v>13</v>
      </c>
      <c r="E2475" s="165">
        <v>40</v>
      </c>
      <c r="F2475" s="166">
        <v>0</v>
      </c>
      <c r="G2475" s="227">
        <f>IF($B$2,IF(ROWS(B$6:$B2475) = 1,$B2475-Start_Date,$B2475-$B2474),"")</f>
        <v>2.9303888892172836E-2</v>
      </c>
      <c r="H2475" s="29">
        <f>IF($B$2,IF(ROWS(B$6:$B2475) = 1,IF(COUNTIFS(R_Schedule_Times,"&lt;"&amp;B2475),INDEX(R_Schedule_Amounts,MATCH(B2475,R_Schedule_Times,1)),Starting_Cash),IF(COUNTIFS(R_Schedule_Times,"&gt;"&amp;B2474,R_Schedule_Times,"&lt;"&amp;B2475),INDEX(R_Schedule_Amounts,MATCH(B2475,R_Schedule_Times,1)),K2474)),"")</f>
        <v>1440</v>
      </c>
      <c r="I2475" s="30">
        <f t="shared" si="190"/>
        <v>40</v>
      </c>
      <c r="J2475" s="31">
        <f t="shared" si="191"/>
        <v>0</v>
      </c>
      <c r="K2475" s="29">
        <f t="shared" si="192"/>
        <v>1400</v>
      </c>
      <c r="L2475" s="31" t="str">
        <f t="shared" si="193"/>
        <v/>
      </c>
      <c r="M2475" s="31" t="str">
        <f t="shared" si="194"/>
        <v/>
      </c>
    </row>
    <row r="2476" spans="1:13" x14ac:dyDescent="0.15">
      <c r="A2476" s="163" t="s">
        <v>210</v>
      </c>
      <c r="B2476" s="163">
        <v>42340.530590439812</v>
      </c>
      <c r="C2476" s="164" t="s">
        <v>2210</v>
      </c>
      <c r="D2476" s="164" t="s">
        <v>13</v>
      </c>
      <c r="E2476" s="165">
        <v>20</v>
      </c>
      <c r="F2476" s="166">
        <v>0</v>
      </c>
      <c r="G2476" s="227">
        <f>IF($B$2,IF(ROWS(B$6:$B2476) = 1,$B2476-Start_Date,$B2476-$B2475),"")</f>
        <v>2.8647453655139543E-3</v>
      </c>
      <c r="H2476" s="29">
        <f>IF($B$2,IF(ROWS(B$6:$B2476) = 1,IF(COUNTIFS(R_Schedule_Times,"&lt;"&amp;B2476),INDEX(R_Schedule_Amounts,MATCH(B2476,R_Schedule_Times,1)),Starting_Cash),IF(COUNTIFS(R_Schedule_Times,"&gt;"&amp;B2475,R_Schedule_Times,"&lt;"&amp;B2476),INDEX(R_Schedule_Amounts,MATCH(B2476,R_Schedule_Times,1)),K2475)),"")</f>
        <v>1400</v>
      </c>
      <c r="I2476" s="30">
        <f t="shared" si="190"/>
        <v>20</v>
      </c>
      <c r="J2476" s="31">
        <f t="shared" si="191"/>
        <v>0</v>
      </c>
      <c r="K2476" s="29">
        <f t="shared" si="192"/>
        <v>1380</v>
      </c>
      <c r="L2476" s="31" t="str">
        <f t="shared" si="193"/>
        <v/>
      </c>
      <c r="M2476" s="31" t="str">
        <f t="shared" si="194"/>
        <v/>
      </c>
    </row>
    <row r="2477" spans="1:13" x14ac:dyDescent="0.15">
      <c r="A2477" s="163" t="s">
        <v>210</v>
      </c>
      <c r="B2477" s="163">
        <v>42340.535677129628</v>
      </c>
      <c r="C2477" s="164" t="s">
        <v>2211</v>
      </c>
      <c r="D2477" s="164" t="s">
        <v>13</v>
      </c>
      <c r="E2477" s="165">
        <v>100</v>
      </c>
      <c r="F2477" s="166">
        <v>0</v>
      </c>
      <c r="G2477" s="227">
        <f>IF($B$2,IF(ROWS(B$6:$B2477) = 1,$B2477-Start_Date,$B2477-$B2476),"")</f>
        <v>5.0866898163803853E-3</v>
      </c>
      <c r="H2477" s="29">
        <f>IF($B$2,IF(ROWS(B$6:$B2477) = 1,IF(COUNTIFS(R_Schedule_Times,"&lt;"&amp;B2477),INDEX(R_Schedule_Amounts,MATCH(B2477,R_Schedule_Times,1)),Starting_Cash),IF(COUNTIFS(R_Schedule_Times,"&gt;"&amp;B2476,R_Schedule_Times,"&lt;"&amp;B2477),INDEX(R_Schedule_Amounts,MATCH(B2477,R_Schedule_Times,1)),K2476)),"")</f>
        <v>1380</v>
      </c>
      <c r="I2477" s="30">
        <f t="shared" si="190"/>
        <v>100</v>
      </c>
      <c r="J2477" s="31">
        <f t="shared" si="191"/>
        <v>0</v>
      </c>
      <c r="K2477" s="29">
        <f t="shared" si="192"/>
        <v>1280</v>
      </c>
      <c r="L2477" s="31" t="str">
        <f t="shared" si="193"/>
        <v/>
      </c>
      <c r="M2477" s="31" t="str">
        <f t="shared" si="194"/>
        <v/>
      </c>
    </row>
    <row r="2478" spans="1:13" x14ac:dyDescent="0.15">
      <c r="A2478" s="163" t="s">
        <v>210</v>
      </c>
      <c r="B2478" s="163">
        <v>42340.539484930552</v>
      </c>
      <c r="C2478" s="164" t="s">
        <v>2212</v>
      </c>
      <c r="D2478" s="164" t="s">
        <v>13</v>
      </c>
      <c r="E2478" s="165">
        <v>40</v>
      </c>
      <c r="F2478" s="166">
        <v>0</v>
      </c>
      <c r="G2478" s="227">
        <f>IF($B$2,IF(ROWS(B$6:$B2478) = 1,$B2478-Start_Date,$B2478-$B2477),"")</f>
        <v>3.807800923823379E-3</v>
      </c>
      <c r="H2478" s="29">
        <f>IF($B$2,IF(ROWS(B$6:$B2478) = 1,IF(COUNTIFS(R_Schedule_Times,"&lt;"&amp;B2478),INDEX(R_Schedule_Amounts,MATCH(B2478,R_Schedule_Times,1)),Starting_Cash),IF(COUNTIFS(R_Schedule_Times,"&gt;"&amp;B2477,R_Schedule_Times,"&lt;"&amp;B2478),INDEX(R_Schedule_Amounts,MATCH(B2478,R_Schedule_Times,1)),K2477)),"")</f>
        <v>1280</v>
      </c>
      <c r="I2478" s="30">
        <f t="shared" si="190"/>
        <v>40</v>
      </c>
      <c r="J2478" s="31">
        <f t="shared" si="191"/>
        <v>0</v>
      </c>
      <c r="K2478" s="29">
        <f t="shared" si="192"/>
        <v>1240</v>
      </c>
      <c r="L2478" s="31" t="str">
        <f t="shared" si="193"/>
        <v/>
      </c>
      <c r="M2478" s="31" t="str">
        <f t="shared" si="194"/>
        <v/>
      </c>
    </row>
    <row r="2479" spans="1:13" x14ac:dyDescent="0.15">
      <c r="A2479" s="163" t="s">
        <v>210</v>
      </c>
      <c r="B2479" s="163">
        <v>42340.579230601848</v>
      </c>
      <c r="C2479" s="164" t="s">
        <v>2213</v>
      </c>
      <c r="D2479" s="164" t="s">
        <v>13</v>
      </c>
      <c r="E2479" s="165">
        <v>200</v>
      </c>
      <c r="F2479" s="166">
        <v>0</v>
      </c>
      <c r="G2479" s="227">
        <f>IF($B$2,IF(ROWS(B$6:$B2479) = 1,$B2479-Start_Date,$B2479-$B2478),"")</f>
        <v>3.9745671296259388E-2</v>
      </c>
      <c r="H2479" s="29">
        <f>IF($B$2,IF(ROWS(B$6:$B2479) = 1,IF(COUNTIFS(R_Schedule_Times,"&lt;"&amp;B2479),INDEX(R_Schedule_Amounts,MATCH(B2479,R_Schedule_Times,1)),Starting_Cash),IF(COUNTIFS(R_Schedule_Times,"&gt;"&amp;B2478,R_Schedule_Times,"&lt;"&amp;B2479),INDEX(R_Schedule_Amounts,MATCH(B2479,R_Schedule_Times,1)),K2478)),"")</f>
        <v>1240</v>
      </c>
      <c r="I2479" s="30">
        <f t="shared" si="190"/>
        <v>200</v>
      </c>
      <c r="J2479" s="31">
        <f t="shared" si="191"/>
        <v>0</v>
      </c>
      <c r="K2479" s="29">
        <f t="shared" si="192"/>
        <v>1040</v>
      </c>
      <c r="L2479" s="31" t="str">
        <f t="shared" si="193"/>
        <v/>
      </c>
      <c r="M2479" s="31" t="str">
        <f t="shared" si="194"/>
        <v/>
      </c>
    </row>
    <row r="2480" spans="1:13" x14ac:dyDescent="0.15">
      <c r="A2480" s="163" t="s">
        <v>210</v>
      </c>
      <c r="B2480" s="163">
        <v>42340.598303564817</v>
      </c>
      <c r="C2480" s="164" t="s">
        <v>1436</v>
      </c>
      <c r="D2480" s="164" t="s">
        <v>13</v>
      </c>
      <c r="E2480" s="165">
        <v>40</v>
      </c>
      <c r="F2480" s="166">
        <v>0</v>
      </c>
      <c r="G2480" s="227">
        <f>IF($B$2,IF(ROWS(B$6:$B2480) = 1,$B2480-Start_Date,$B2480-$B2479),"")</f>
        <v>1.9072962968493812E-2</v>
      </c>
      <c r="H2480" s="29">
        <f>IF($B$2,IF(ROWS(B$6:$B2480) = 1,IF(COUNTIFS(R_Schedule_Times,"&lt;"&amp;B2480),INDEX(R_Schedule_Amounts,MATCH(B2480,R_Schedule_Times,1)),Starting_Cash),IF(COUNTIFS(R_Schedule_Times,"&gt;"&amp;B2479,R_Schedule_Times,"&lt;"&amp;B2480),INDEX(R_Schedule_Amounts,MATCH(B2480,R_Schedule_Times,1)),K2479)),"")</f>
        <v>1040</v>
      </c>
      <c r="I2480" s="30">
        <f t="shared" si="190"/>
        <v>40</v>
      </c>
      <c r="J2480" s="31">
        <f t="shared" si="191"/>
        <v>0</v>
      </c>
      <c r="K2480" s="29">
        <f t="shared" si="192"/>
        <v>1000</v>
      </c>
      <c r="L2480" s="31" t="str">
        <f t="shared" si="193"/>
        <v/>
      </c>
      <c r="M2480" s="31" t="str">
        <f t="shared" si="194"/>
        <v/>
      </c>
    </row>
    <row r="2481" spans="1:13" x14ac:dyDescent="0.15">
      <c r="A2481" s="163" t="s">
        <v>210</v>
      </c>
      <c r="B2481" s="163">
        <v>42340.625114965274</v>
      </c>
      <c r="C2481" s="164" t="s">
        <v>2214</v>
      </c>
      <c r="D2481" s="164" t="s">
        <v>13</v>
      </c>
      <c r="E2481" s="165">
        <v>100</v>
      </c>
      <c r="F2481" s="166">
        <v>0</v>
      </c>
      <c r="G2481" s="227">
        <f>IF($B$2,IF(ROWS(B$6:$B2481) = 1,$B2481-Start_Date,$B2481-$B2480),"")</f>
        <v>2.6811400457518175E-2</v>
      </c>
      <c r="H2481" s="29">
        <f>IF($B$2,IF(ROWS(B$6:$B2481) = 1,IF(COUNTIFS(R_Schedule_Times,"&lt;"&amp;B2481),INDEX(R_Schedule_Amounts,MATCH(B2481,R_Schedule_Times,1)),Starting_Cash),IF(COUNTIFS(R_Schedule_Times,"&gt;"&amp;B2480,R_Schedule_Times,"&lt;"&amp;B2481),INDEX(R_Schedule_Amounts,MATCH(B2481,R_Schedule_Times,1)),K2480)),"")</f>
        <v>1000</v>
      </c>
      <c r="I2481" s="30">
        <f t="shared" si="190"/>
        <v>100</v>
      </c>
      <c r="J2481" s="31">
        <f t="shared" si="191"/>
        <v>0</v>
      </c>
      <c r="K2481" s="29">
        <f t="shared" si="192"/>
        <v>900</v>
      </c>
      <c r="L2481" s="31" t="str">
        <f t="shared" si="193"/>
        <v/>
      </c>
      <c r="M2481" s="31" t="str">
        <f t="shared" si="194"/>
        <v/>
      </c>
    </row>
    <row r="2482" spans="1:13" x14ac:dyDescent="0.15">
      <c r="A2482" s="163" t="s">
        <v>210</v>
      </c>
      <c r="B2482" s="163">
        <v>42340.649849293979</v>
      </c>
      <c r="C2482" s="164" t="s">
        <v>14</v>
      </c>
      <c r="D2482" s="164" t="s">
        <v>13</v>
      </c>
      <c r="E2482" s="165">
        <v>100</v>
      </c>
      <c r="F2482" s="166">
        <v>3.5</v>
      </c>
      <c r="G2482" s="227">
        <f>IF($B$2,IF(ROWS(B$6:$B2482) = 1,$B2482-Start_Date,$B2482-$B2481),"")</f>
        <v>2.4734328704653308E-2</v>
      </c>
      <c r="H2482" s="29">
        <f>IF($B$2,IF(ROWS(B$6:$B2482) = 1,IF(COUNTIFS(R_Schedule_Times,"&lt;"&amp;B2482),INDEX(R_Schedule_Amounts,MATCH(B2482,R_Schedule_Times,1)),Starting_Cash),IF(COUNTIFS(R_Schedule_Times,"&gt;"&amp;B2481,R_Schedule_Times,"&lt;"&amp;B2482),INDEX(R_Schedule_Amounts,MATCH(B2482,R_Schedule_Times,1)),K2481)),"")</f>
        <v>900</v>
      </c>
      <c r="I2482" s="30">
        <f t="shared" si="190"/>
        <v>100</v>
      </c>
      <c r="J2482" s="31">
        <f t="shared" si="191"/>
        <v>3.5</v>
      </c>
      <c r="K2482" s="29">
        <f t="shared" si="192"/>
        <v>800</v>
      </c>
      <c r="L2482" s="31" t="str">
        <f t="shared" si="193"/>
        <v/>
      </c>
      <c r="M2482" s="31" t="str">
        <f t="shared" si="194"/>
        <v/>
      </c>
    </row>
    <row r="2483" spans="1:13" x14ac:dyDescent="0.15">
      <c r="A2483" s="163" t="s">
        <v>210</v>
      </c>
      <c r="B2483" s="163">
        <v>42340.684034571757</v>
      </c>
      <c r="C2483" s="164" t="s">
        <v>326</v>
      </c>
      <c r="D2483" s="164" t="s">
        <v>13</v>
      </c>
      <c r="E2483" s="165">
        <v>40</v>
      </c>
      <c r="F2483" s="166">
        <v>0</v>
      </c>
      <c r="G2483" s="227">
        <f>IF($B$2,IF(ROWS(B$6:$B2483) = 1,$B2483-Start_Date,$B2483-$B2482),"")</f>
        <v>3.4185277778306045E-2</v>
      </c>
      <c r="H2483" s="29">
        <f>IF($B$2,IF(ROWS(B$6:$B2483) = 1,IF(COUNTIFS(R_Schedule_Times,"&lt;"&amp;B2483),INDEX(R_Schedule_Amounts,MATCH(B2483,R_Schedule_Times,1)),Starting_Cash),IF(COUNTIFS(R_Schedule_Times,"&gt;"&amp;B2482,R_Schedule_Times,"&lt;"&amp;B2483),INDEX(R_Schedule_Amounts,MATCH(B2483,R_Schedule_Times,1)),K2482)),"")</f>
        <v>800</v>
      </c>
      <c r="I2483" s="30">
        <f t="shared" si="190"/>
        <v>40</v>
      </c>
      <c r="J2483" s="31">
        <f t="shared" si="191"/>
        <v>0</v>
      </c>
      <c r="K2483" s="29">
        <f t="shared" si="192"/>
        <v>760</v>
      </c>
      <c r="L2483" s="31" t="str">
        <f t="shared" si="193"/>
        <v/>
      </c>
      <c r="M2483" s="31" t="str">
        <f t="shared" si="194"/>
        <v/>
      </c>
    </row>
    <row r="2484" spans="1:13" x14ac:dyDescent="0.15">
      <c r="A2484" s="163" t="s">
        <v>210</v>
      </c>
      <c r="B2484" s="163">
        <v>42340.688226956016</v>
      </c>
      <c r="C2484" s="164" t="s">
        <v>2215</v>
      </c>
      <c r="D2484" s="164" t="s">
        <v>13</v>
      </c>
      <c r="E2484" s="165">
        <v>100</v>
      </c>
      <c r="F2484" s="166">
        <v>0</v>
      </c>
      <c r="G2484" s="227">
        <f>IF($B$2,IF(ROWS(B$6:$B2484) = 1,$B2484-Start_Date,$B2484-$B2483),"")</f>
        <v>4.1923842582036741E-3</v>
      </c>
      <c r="H2484" s="29">
        <f>IF($B$2,IF(ROWS(B$6:$B2484) = 1,IF(COUNTIFS(R_Schedule_Times,"&lt;"&amp;B2484),INDEX(R_Schedule_Amounts,MATCH(B2484,R_Schedule_Times,1)),Starting_Cash),IF(COUNTIFS(R_Schedule_Times,"&gt;"&amp;B2483,R_Schedule_Times,"&lt;"&amp;B2484),INDEX(R_Schedule_Amounts,MATCH(B2484,R_Schedule_Times,1)),K2483)),"")</f>
        <v>760</v>
      </c>
      <c r="I2484" s="30">
        <f t="shared" si="190"/>
        <v>100</v>
      </c>
      <c r="J2484" s="31">
        <f t="shared" si="191"/>
        <v>0</v>
      </c>
      <c r="K2484" s="29">
        <f t="shared" si="192"/>
        <v>660</v>
      </c>
      <c r="L2484" s="31" t="str">
        <f t="shared" si="193"/>
        <v/>
      </c>
      <c r="M2484" s="31" t="str">
        <f t="shared" si="194"/>
        <v/>
      </c>
    </row>
    <row r="2485" spans="1:13" x14ac:dyDescent="0.15">
      <c r="A2485" s="163" t="s">
        <v>210</v>
      </c>
      <c r="B2485" s="163">
        <v>42340.70965434028</v>
      </c>
      <c r="C2485" s="164" t="s">
        <v>2216</v>
      </c>
      <c r="D2485" s="164" t="s">
        <v>15</v>
      </c>
      <c r="E2485" s="165">
        <v>60</v>
      </c>
      <c r="F2485" s="166">
        <v>1.8</v>
      </c>
      <c r="G2485" s="227">
        <f>IF($B$2,IF(ROWS(B$6:$B2485) = 1,$B2485-Start_Date,$B2485-$B2484),"")</f>
        <v>2.1427384264825378E-2</v>
      </c>
      <c r="H2485" s="29">
        <f>IF($B$2,IF(ROWS(B$6:$B2485) = 1,IF(COUNTIFS(R_Schedule_Times,"&lt;"&amp;B2485),INDEX(R_Schedule_Amounts,MATCH(B2485,R_Schedule_Times,1)),Starting_Cash),IF(COUNTIFS(R_Schedule_Times,"&gt;"&amp;B2484,R_Schedule_Times,"&lt;"&amp;B2485),INDEX(R_Schedule_Amounts,MATCH(B2485,R_Schedule_Times,1)),K2484)),"")</f>
        <v>20000</v>
      </c>
      <c r="I2485" s="30">
        <f t="shared" si="190"/>
        <v>60</v>
      </c>
      <c r="J2485" s="31">
        <f t="shared" si="191"/>
        <v>1.8</v>
      </c>
      <c r="K2485" s="29">
        <f t="shared" si="192"/>
        <v>19940</v>
      </c>
      <c r="L2485" s="31" t="str">
        <f t="shared" si="193"/>
        <v/>
      </c>
      <c r="M2485" s="31" t="str">
        <f t="shared" si="194"/>
        <v/>
      </c>
    </row>
    <row r="2486" spans="1:13" x14ac:dyDescent="0.15">
      <c r="A2486" s="163" t="s">
        <v>210</v>
      </c>
      <c r="B2486" s="163">
        <v>42340.770842430553</v>
      </c>
      <c r="C2486" s="164" t="s">
        <v>2217</v>
      </c>
      <c r="D2486" s="164" t="s">
        <v>13</v>
      </c>
      <c r="E2486" s="165">
        <v>500</v>
      </c>
      <c r="F2486" s="166">
        <v>0</v>
      </c>
      <c r="G2486" s="227">
        <f>IF($B$2,IF(ROWS(B$6:$B2486) = 1,$B2486-Start_Date,$B2486-$B2485),"")</f>
        <v>6.1188090272480622E-2</v>
      </c>
      <c r="H2486" s="29">
        <f>IF($B$2,IF(ROWS(B$6:$B2486) = 1,IF(COUNTIFS(R_Schedule_Times,"&lt;"&amp;B2486),INDEX(R_Schedule_Amounts,MATCH(B2486,R_Schedule_Times,1)),Starting_Cash),IF(COUNTIFS(R_Schedule_Times,"&gt;"&amp;B2485,R_Schedule_Times,"&lt;"&amp;B2486),INDEX(R_Schedule_Amounts,MATCH(B2486,R_Schedule_Times,1)),K2485)),"")</f>
        <v>19940</v>
      </c>
      <c r="I2486" s="30">
        <f t="shared" si="190"/>
        <v>500</v>
      </c>
      <c r="J2486" s="31">
        <f t="shared" si="191"/>
        <v>0</v>
      </c>
      <c r="K2486" s="29">
        <f t="shared" si="192"/>
        <v>19440</v>
      </c>
      <c r="L2486" s="31" t="str">
        <f t="shared" si="193"/>
        <v/>
      </c>
      <c r="M2486" s="31" t="str">
        <f t="shared" si="194"/>
        <v/>
      </c>
    </row>
    <row r="2487" spans="1:13" x14ac:dyDescent="0.15">
      <c r="A2487" s="163" t="s">
        <v>210</v>
      </c>
      <c r="B2487" s="163">
        <v>42340.787161886576</v>
      </c>
      <c r="C2487" s="164" t="s">
        <v>2218</v>
      </c>
      <c r="D2487" s="164" t="s">
        <v>13</v>
      </c>
      <c r="E2487" s="165">
        <v>100</v>
      </c>
      <c r="F2487" s="166">
        <v>0</v>
      </c>
      <c r="G2487" s="227">
        <f>IF($B$2,IF(ROWS(B$6:$B2487) = 1,$B2487-Start_Date,$B2487-$B2486),"")</f>
        <v>1.631945602275664E-2</v>
      </c>
      <c r="H2487" s="29">
        <f>IF($B$2,IF(ROWS(B$6:$B2487) = 1,IF(COUNTIFS(R_Schedule_Times,"&lt;"&amp;B2487),INDEX(R_Schedule_Amounts,MATCH(B2487,R_Schedule_Times,1)),Starting_Cash),IF(COUNTIFS(R_Schedule_Times,"&gt;"&amp;B2486,R_Schedule_Times,"&lt;"&amp;B2487),INDEX(R_Schedule_Amounts,MATCH(B2487,R_Schedule_Times,1)),K2486)),"")</f>
        <v>19440</v>
      </c>
      <c r="I2487" s="30">
        <f t="shared" si="190"/>
        <v>100</v>
      </c>
      <c r="J2487" s="31">
        <f t="shared" si="191"/>
        <v>0</v>
      </c>
      <c r="K2487" s="29">
        <f t="shared" si="192"/>
        <v>19340</v>
      </c>
      <c r="L2487" s="31" t="str">
        <f t="shared" si="193"/>
        <v/>
      </c>
      <c r="M2487" s="31" t="str">
        <f t="shared" si="194"/>
        <v/>
      </c>
    </row>
    <row r="2488" spans="1:13" x14ac:dyDescent="0.15">
      <c r="A2488" s="163" t="s">
        <v>210</v>
      </c>
      <c r="B2488" s="163">
        <v>42341.210116215276</v>
      </c>
      <c r="C2488" s="164" t="s">
        <v>488</v>
      </c>
      <c r="D2488" s="164" t="s">
        <v>13</v>
      </c>
      <c r="E2488" s="165">
        <v>40</v>
      </c>
      <c r="F2488" s="166">
        <v>0</v>
      </c>
      <c r="G2488" s="227">
        <f>IF($B$2,IF(ROWS(B$6:$B2488) = 1,$B2488-Start_Date,$B2488-$B2487),"")</f>
        <v>0.42295432870014338</v>
      </c>
      <c r="H2488" s="29">
        <f>IF($B$2,IF(ROWS(B$6:$B2488) = 1,IF(COUNTIFS(R_Schedule_Times,"&lt;"&amp;B2488),INDEX(R_Schedule_Amounts,MATCH(B2488,R_Schedule_Times,1)),Starting_Cash),IF(COUNTIFS(R_Schedule_Times,"&gt;"&amp;B2487,R_Schedule_Times,"&lt;"&amp;B2488),INDEX(R_Schedule_Amounts,MATCH(B2488,R_Schedule_Times,1)),K2487)),"")</f>
        <v>19340</v>
      </c>
      <c r="I2488" s="30">
        <f t="shared" si="190"/>
        <v>40</v>
      </c>
      <c r="J2488" s="31">
        <f t="shared" si="191"/>
        <v>0</v>
      </c>
      <c r="K2488" s="29">
        <f t="shared" si="192"/>
        <v>19300</v>
      </c>
      <c r="L2488" s="31" t="str">
        <f t="shared" si="193"/>
        <v/>
      </c>
      <c r="M2488" s="31" t="str">
        <f t="shared" si="194"/>
        <v/>
      </c>
    </row>
    <row r="2489" spans="1:13" x14ac:dyDescent="0.15">
      <c r="A2489" s="163" t="s">
        <v>210</v>
      </c>
      <c r="B2489" s="163">
        <v>42341.337940138888</v>
      </c>
      <c r="C2489" s="164" t="s">
        <v>180</v>
      </c>
      <c r="D2489" s="164" t="s">
        <v>13</v>
      </c>
      <c r="E2489" s="165">
        <v>120</v>
      </c>
      <c r="F2489" s="166">
        <v>0</v>
      </c>
      <c r="G2489" s="227">
        <f>IF($B$2,IF(ROWS(B$6:$B2489) = 1,$B2489-Start_Date,$B2489-$B2488),"")</f>
        <v>0.12782392361259554</v>
      </c>
      <c r="H2489" s="29">
        <f>IF($B$2,IF(ROWS(B$6:$B2489) = 1,IF(COUNTIFS(R_Schedule_Times,"&lt;"&amp;B2489),INDEX(R_Schedule_Amounts,MATCH(B2489,R_Schedule_Times,1)),Starting_Cash),IF(COUNTIFS(R_Schedule_Times,"&gt;"&amp;B2488,R_Schedule_Times,"&lt;"&amp;B2489),INDEX(R_Schedule_Amounts,MATCH(B2489,R_Schedule_Times,1)),K2488)),"")</f>
        <v>19300</v>
      </c>
      <c r="I2489" s="30">
        <f t="shared" si="190"/>
        <v>120</v>
      </c>
      <c r="J2489" s="31">
        <f t="shared" si="191"/>
        <v>0</v>
      </c>
      <c r="K2489" s="29">
        <f t="shared" si="192"/>
        <v>19180</v>
      </c>
      <c r="L2489" s="31" t="str">
        <f t="shared" si="193"/>
        <v/>
      </c>
      <c r="M2489" s="31" t="str">
        <f t="shared" si="194"/>
        <v/>
      </c>
    </row>
    <row r="2490" spans="1:13" x14ac:dyDescent="0.15">
      <c r="A2490" s="163" t="s">
        <v>210</v>
      </c>
      <c r="B2490" s="163">
        <v>42341.356976180556</v>
      </c>
      <c r="C2490" s="164" t="s">
        <v>14</v>
      </c>
      <c r="D2490" s="164" t="s">
        <v>15</v>
      </c>
      <c r="E2490" s="165">
        <v>40</v>
      </c>
      <c r="F2490" s="166">
        <v>3.7</v>
      </c>
      <c r="G2490" s="227">
        <f>IF($B$2,IF(ROWS(B$6:$B2490) = 1,$B2490-Start_Date,$B2490-$B2489),"")</f>
        <v>1.9036041667277459E-2</v>
      </c>
      <c r="H2490" s="29">
        <f>IF($B$2,IF(ROWS(B$6:$B2490) = 1,IF(COUNTIFS(R_Schedule_Times,"&lt;"&amp;B2490),INDEX(R_Schedule_Amounts,MATCH(B2490,R_Schedule_Times,1)),Starting_Cash),IF(COUNTIFS(R_Schedule_Times,"&gt;"&amp;B2489,R_Schedule_Times,"&lt;"&amp;B2490),INDEX(R_Schedule_Amounts,MATCH(B2490,R_Schedule_Times,1)),K2489)),"")</f>
        <v>19180</v>
      </c>
      <c r="I2490" s="30">
        <f t="shared" si="190"/>
        <v>40</v>
      </c>
      <c r="J2490" s="31">
        <f t="shared" si="191"/>
        <v>3.7</v>
      </c>
      <c r="K2490" s="29">
        <f t="shared" si="192"/>
        <v>19140</v>
      </c>
      <c r="L2490" s="31" t="str">
        <f t="shared" si="193"/>
        <v/>
      </c>
      <c r="M2490" s="31" t="str">
        <f t="shared" si="194"/>
        <v/>
      </c>
    </row>
    <row r="2491" spans="1:13" x14ac:dyDescent="0.15">
      <c r="A2491" s="163" t="s">
        <v>210</v>
      </c>
      <c r="B2491" s="163">
        <v>42341.358037847225</v>
      </c>
      <c r="C2491" s="164" t="s">
        <v>240</v>
      </c>
      <c r="D2491" s="164" t="s">
        <v>13</v>
      </c>
      <c r="E2491" s="165">
        <v>100</v>
      </c>
      <c r="F2491" s="166">
        <v>0</v>
      </c>
      <c r="G2491" s="227">
        <f>IF($B$2,IF(ROWS(B$6:$B2491) = 1,$B2491-Start_Date,$B2491-$B2490),"")</f>
        <v>1.0616666695568711E-3</v>
      </c>
      <c r="H2491" s="29">
        <f>IF($B$2,IF(ROWS(B$6:$B2491) = 1,IF(COUNTIFS(R_Schedule_Times,"&lt;"&amp;B2491),INDEX(R_Schedule_Amounts,MATCH(B2491,R_Schedule_Times,1)),Starting_Cash),IF(COUNTIFS(R_Schedule_Times,"&gt;"&amp;B2490,R_Schedule_Times,"&lt;"&amp;B2491),INDEX(R_Schedule_Amounts,MATCH(B2491,R_Schedule_Times,1)),K2490)),"")</f>
        <v>19140</v>
      </c>
      <c r="I2491" s="30">
        <f t="shared" si="190"/>
        <v>100</v>
      </c>
      <c r="J2491" s="31">
        <f t="shared" si="191"/>
        <v>0</v>
      </c>
      <c r="K2491" s="29">
        <f t="shared" si="192"/>
        <v>19040</v>
      </c>
      <c r="L2491" s="31" t="str">
        <f t="shared" si="193"/>
        <v/>
      </c>
      <c r="M2491" s="31" t="str">
        <f t="shared" si="194"/>
        <v/>
      </c>
    </row>
    <row r="2492" spans="1:13" x14ac:dyDescent="0.15">
      <c r="A2492" s="163" t="s">
        <v>210</v>
      </c>
      <c r="B2492" s="163">
        <v>42341.360176435184</v>
      </c>
      <c r="C2492" s="164" t="s">
        <v>2219</v>
      </c>
      <c r="D2492" s="164" t="s">
        <v>13</v>
      </c>
      <c r="E2492" s="165">
        <v>160</v>
      </c>
      <c r="F2492" s="166">
        <v>0</v>
      </c>
      <c r="G2492" s="227">
        <f>IF($B$2,IF(ROWS(B$6:$B2492) = 1,$B2492-Start_Date,$B2492-$B2491),"")</f>
        <v>2.1385879590525292E-3</v>
      </c>
      <c r="H2492" s="29">
        <f>IF($B$2,IF(ROWS(B$6:$B2492) = 1,IF(COUNTIFS(R_Schedule_Times,"&lt;"&amp;B2492),INDEX(R_Schedule_Amounts,MATCH(B2492,R_Schedule_Times,1)),Starting_Cash),IF(COUNTIFS(R_Schedule_Times,"&gt;"&amp;B2491,R_Schedule_Times,"&lt;"&amp;B2492),INDEX(R_Schedule_Amounts,MATCH(B2492,R_Schedule_Times,1)),K2491)),"")</f>
        <v>19040</v>
      </c>
      <c r="I2492" s="30">
        <f t="shared" si="190"/>
        <v>160</v>
      </c>
      <c r="J2492" s="31">
        <f t="shared" si="191"/>
        <v>0</v>
      </c>
      <c r="K2492" s="29">
        <f t="shared" si="192"/>
        <v>18880</v>
      </c>
      <c r="L2492" s="31" t="str">
        <f t="shared" si="193"/>
        <v/>
      </c>
      <c r="M2492" s="31" t="str">
        <f t="shared" si="194"/>
        <v/>
      </c>
    </row>
    <row r="2493" spans="1:13" x14ac:dyDescent="0.15">
      <c r="A2493" s="163" t="s">
        <v>210</v>
      </c>
      <c r="B2493" s="163">
        <v>42341.366154918978</v>
      </c>
      <c r="C2493" s="164" t="s">
        <v>2220</v>
      </c>
      <c r="D2493" s="164" t="s">
        <v>13</v>
      </c>
      <c r="E2493" s="165">
        <v>60</v>
      </c>
      <c r="F2493" s="166">
        <v>0</v>
      </c>
      <c r="G2493" s="227">
        <f>IF($B$2,IF(ROWS(B$6:$B2493) = 1,$B2493-Start_Date,$B2493-$B2492),"")</f>
        <v>5.9784837940242141E-3</v>
      </c>
      <c r="H2493" s="29">
        <f>IF($B$2,IF(ROWS(B$6:$B2493) = 1,IF(COUNTIFS(R_Schedule_Times,"&lt;"&amp;B2493),INDEX(R_Schedule_Amounts,MATCH(B2493,R_Schedule_Times,1)),Starting_Cash),IF(COUNTIFS(R_Schedule_Times,"&gt;"&amp;B2492,R_Schedule_Times,"&lt;"&amp;B2493),INDEX(R_Schedule_Amounts,MATCH(B2493,R_Schedule_Times,1)),K2492)),"")</f>
        <v>18880</v>
      </c>
      <c r="I2493" s="30">
        <f t="shared" si="190"/>
        <v>60</v>
      </c>
      <c r="J2493" s="31">
        <f t="shared" si="191"/>
        <v>0</v>
      </c>
      <c r="K2493" s="29">
        <f t="shared" si="192"/>
        <v>18820</v>
      </c>
      <c r="L2493" s="31" t="str">
        <f t="shared" si="193"/>
        <v/>
      </c>
      <c r="M2493" s="31" t="str">
        <f t="shared" si="194"/>
        <v/>
      </c>
    </row>
    <row r="2494" spans="1:13" x14ac:dyDescent="0.15">
      <c r="A2494" s="163" t="s">
        <v>210</v>
      </c>
      <c r="B2494" s="163">
        <v>42341.389461412036</v>
      </c>
      <c r="C2494" s="164" t="s">
        <v>2221</v>
      </c>
      <c r="D2494" s="164" t="s">
        <v>13</v>
      </c>
      <c r="E2494" s="165">
        <v>100</v>
      </c>
      <c r="F2494" s="166">
        <v>0</v>
      </c>
      <c r="G2494" s="227">
        <f>IF($B$2,IF(ROWS(B$6:$B2494) = 1,$B2494-Start_Date,$B2494-$B2493),"")</f>
        <v>2.3306493058043998E-2</v>
      </c>
      <c r="H2494" s="29">
        <f>IF($B$2,IF(ROWS(B$6:$B2494) = 1,IF(COUNTIFS(R_Schedule_Times,"&lt;"&amp;B2494),INDEX(R_Schedule_Amounts,MATCH(B2494,R_Schedule_Times,1)),Starting_Cash),IF(COUNTIFS(R_Schedule_Times,"&gt;"&amp;B2493,R_Schedule_Times,"&lt;"&amp;B2494),INDEX(R_Schedule_Amounts,MATCH(B2494,R_Schedule_Times,1)),K2493)),"")</f>
        <v>18820</v>
      </c>
      <c r="I2494" s="30">
        <f t="shared" si="190"/>
        <v>100</v>
      </c>
      <c r="J2494" s="31">
        <f t="shared" si="191"/>
        <v>0</v>
      </c>
      <c r="K2494" s="29">
        <f t="shared" si="192"/>
        <v>18720</v>
      </c>
      <c r="L2494" s="31" t="str">
        <f t="shared" si="193"/>
        <v/>
      </c>
      <c r="M2494" s="31" t="str">
        <f t="shared" si="194"/>
        <v/>
      </c>
    </row>
    <row r="2495" spans="1:13" x14ac:dyDescent="0.15">
      <c r="A2495" s="163" t="s">
        <v>210</v>
      </c>
      <c r="B2495" s="163">
        <v>42341.427380810186</v>
      </c>
      <c r="C2495" s="164" t="s">
        <v>489</v>
      </c>
      <c r="D2495" s="164" t="s">
        <v>13</v>
      </c>
      <c r="E2495" s="165">
        <v>500</v>
      </c>
      <c r="F2495" s="166">
        <v>0</v>
      </c>
      <c r="G2495" s="227">
        <f>IF($B$2,IF(ROWS(B$6:$B2495) = 1,$B2495-Start_Date,$B2495-$B2494),"")</f>
        <v>3.7919398149824701E-2</v>
      </c>
      <c r="H2495" s="29">
        <f>IF($B$2,IF(ROWS(B$6:$B2495) = 1,IF(COUNTIFS(R_Schedule_Times,"&lt;"&amp;B2495),INDEX(R_Schedule_Amounts,MATCH(B2495,R_Schedule_Times,1)),Starting_Cash),IF(COUNTIFS(R_Schedule_Times,"&gt;"&amp;B2494,R_Schedule_Times,"&lt;"&amp;B2495),INDEX(R_Schedule_Amounts,MATCH(B2495,R_Schedule_Times,1)),K2494)),"")</f>
        <v>18720</v>
      </c>
      <c r="I2495" s="30">
        <f t="shared" si="190"/>
        <v>500</v>
      </c>
      <c r="J2495" s="31">
        <f t="shared" si="191"/>
        <v>0</v>
      </c>
      <c r="K2495" s="29">
        <f t="shared" si="192"/>
        <v>18220</v>
      </c>
      <c r="L2495" s="31" t="str">
        <f t="shared" si="193"/>
        <v/>
      </c>
      <c r="M2495" s="31" t="str">
        <f t="shared" si="194"/>
        <v/>
      </c>
    </row>
    <row r="2496" spans="1:13" x14ac:dyDescent="0.15">
      <c r="A2496" s="163" t="s">
        <v>210</v>
      </c>
      <c r="B2496" s="163">
        <v>42341.463452349541</v>
      </c>
      <c r="C2496" s="164" t="s">
        <v>1683</v>
      </c>
      <c r="D2496" s="164" t="s">
        <v>13</v>
      </c>
      <c r="E2496" s="165">
        <v>100</v>
      </c>
      <c r="F2496" s="166">
        <v>0</v>
      </c>
      <c r="G2496" s="227">
        <f>IF($B$2,IF(ROWS(B$6:$B2496) = 1,$B2496-Start_Date,$B2496-$B2495),"")</f>
        <v>3.6071539354452398E-2</v>
      </c>
      <c r="H2496" s="29">
        <f>IF($B$2,IF(ROWS(B$6:$B2496) = 1,IF(COUNTIFS(R_Schedule_Times,"&lt;"&amp;B2496),INDEX(R_Schedule_Amounts,MATCH(B2496,R_Schedule_Times,1)),Starting_Cash),IF(COUNTIFS(R_Schedule_Times,"&gt;"&amp;B2495,R_Schedule_Times,"&lt;"&amp;B2496),INDEX(R_Schedule_Amounts,MATCH(B2496,R_Schedule_Times,1)),K2495)),"")</f>
        <v>18220</v>
      </c>
      <c r="I2496" s="30">
        <f t="shared" si="190"/>
        <v>100</v>
      </c>
      <c r="J2496" s="31">
        <f t="shared" si="191"/>
        <v>0</v>
      </c>
      <c r="K2496" s="29">
        <f t="shared" si="192"/>
        <v>18120</v>
      </c>
      <c r="L2496" s="31" t="str">
        <f t="shared" si="193"/>
        <v/>
      </c>
      <c r="M2496" s="31" t="str">
        <f t="shared" si="194"/>
        <v/>
      </c>
    </row>
    <row r="2497" spans="1:13" x14ac:dyDescent="0.15">
      <c r="A2497" s="163" t="s">
        <v>210</v>
      </c>
      <c r="B2497" s="163">
        <v>42341.471247002315</v>
      </c>
      <c r="C2497" s="164" t="s">
        <v>2222</v>
      </c>
      <c r="D2497" s="164" t="s">
        <v>13</v>
      </c>
      <c r="E2497" s="165">
        <v>80</v>
      </c>
      <c r="F2497" s="166">
        <v>0</v>
      </c>
      <c r="G2497" s="227">
        <f>IF($B$2,IF(ROWS(B$6:$B2497) = 1,$B2497-Start_Date,$B2497-$B2496),"")</f>
        <v>7.794652774464339E-3</v>
      </c>
      <c r="H2497" s="29">
        <f>IF($B$2,IF(ROWS(B$6:$B2497) = 1,IF(COUNTIFS(R_Schedule_Times,"&lt;"&amp;B2497),INDEX(R_Schedule_Amounts,MATCH(B2497,R_Schedule_Times,1)),Starting_Cash),IF(COUNTIFS(R_Schedule_Times,"&gt;"&amp;B2496,R_Schedule_Times,"&lt;"&amp;B2497),INDEX(R_Schedule_Amounts,MATCH(B2497,R_Schedule_Times,1)),K2496)),"")</f>
        <v>18120</v>
      </c>
      <c r="I2497" s="30">
        <f t="shared" si="190"/>
        <v>80</v>
      </c>
      <c r="J2497" s="31">
        <f t="shared" si="191"/>
        <v>0</v>
      </c>
      <c r="K2497" s="29">
        <f t="shared" si="192"/>
        <v>18040</v>
      </c>
      <c r="L2497" s="31" t="str">
        <f t="shared" si="193"/>
        <v/>
      </c>
      <c r="M2497" s="31" t="str">
        <f t="shared" si="194"/>
        <v/>
      </c>
    </row>
    <row r="2498" spans="1:13" x14ac:dyDescent="0.15">
      <c r="A2498" s="163" t="s">
        <v>210</v>
      </c>
      <c r="B2498" s="163">
        <v>42341.474841828705</v>
      </c>
      <c r="C2498" s="164" t="s">
        <v>2223</v>
      </c>
      <c r="D2498" s="164" t="s">
        <v>13</v>
      </c>
      <c r="E2498" s="165">
        <v>100</v>
      </c>
      <c r="F2498" s="166">
        <v>0</v>
      </c>
      <c r="G2498" s="227">
        <f>IF($B$2,IF(ROWS(B$6:$B2498) = 1,$B2498-Start_Date,$B2498-$B2497),"")</f>
        <v>3.5948263903264888E-3</v>
      </c>
      <c r="H2498" s="29">
        <f>IF($B$2,IF(ROWS(B$6:$B2498) = 1,IF(COUNTIFS(R_Schedule_Times,"&lt;"&amp;B2498),INDEX(R_Schedule_Amounts,MATCH(B2498,R_Schedule_Times,1)),Starting_Cash),IF(COUNTIFS(R_Schedule_Times,"&gt;"&amp;B2497,R_Schedule_Times,"&lt;"&amp;B2498),INDEX(R_Schedule_Amounts,MATCH(B2498,R_Schedule_Times,1)),K2497)),"")</f>
        <v>18040</v>
      </c>
      <c r="I2498" s="30">
        <f t="shared" si="190"/>
        <v>100</v>
      </c>
      <c r="J2498" s="31">
        <f t="shared" si="191"/>
        <v>0</v>
      </c>
      <c r="K2498" s="29">
        <f t="shared" si="192"/>
        <v>17940</v>
      </c>
      <c r="L2498" s="31" t="str">
        <f t="shared" si="193"/>
        <v/>
      </c>
      <c r="M2498" s="31" t="str">
        <f t="shared" si="194"/>
        <v/>
      </c>
    </row>
    <row r="2499" spans="1:13" x14ac:dyDescent="0.15">
      <c r="A2499" s="163" t="s">
        <v>210</v>
      </c>
      <c r="B2499" s="163">
        <v>42341.482641608796</v>
      </c>
      <c r="C2499" s="164" t="s">
        <v>14</v>
      </c>
      <c r="D2499" s="164" t="s">
        <v>13</v>
      </c>
      <c r="E2499" s="165">
        <v>100</v>
      </c>
      <c r="F2499" s="166">
        <v>3.5</v>
      </c>
      <c r="G2499" s="227">
        <f>IF($B$2,IF(ROWS(B$6:$B2499) = 1,$B2499-Start_Date,$B2499-$B2498),"")</f>
        <v>7.7997800908633508E-3</v>
      </c>
      <c r="H2499" s="29">
        <f>IF($B$2,IF(ROWS(B$6:$B2499) = 1,IF(COUNTIFS(R_Schedule_Times,"&lt;"&amp;B2499),INDEX(R_Schedule_Amounts,MATCH(B2499,R_Schedule_Times,1)),Starting_Cash),IF(COUNTIFS(R_Schedule_Times,"&gt;"&amp;B2498,R_Schedule_Times,"&lt;"&amp;B2499),INDEX(R_Schedule_Amounts,MATCH(B2499,R_Schedule_Times,1)),K2498)),"")</f>
        <v>17940</v>
      </c>
      <c r="I2499" s="30">
        <f t="shared" si="190"/>
        <v>100</v>
      </c>
      <c r="J2499" s="31">
        <f t="shared" si="191"/>
        <v>3.5</v>
      </c>
      <c r="K2499" s="29">
        <f t="shared" si="192"/>
        <v>17840</v>
      </c>
      <c r="L2499" s="31" t="str">
        <f t="shared" si="193"/>
        <v/>
      </c>
      <c r="M2499" s="31" t="str">
        <f t="shared" si="194"/>
        <v/>
      </c>
    </row>
    <row r="2500" spans="1:13" x14ac:dyDescent="0.15">
      <c r="A2500" s="163" t="s">
        <v>210</v>
      </c>
      <c r="B2500" s="163">
        <v>42341.484439016203</v>
      </c>
      <c r="C2500" s="164" t="s">
        <v>2224</v>
      </c>
      <c r="D2500" s="164" t="s">
        <v>13</v>
      </c>
      <c r="E2500" s="165">
        <v>40</v>
      </c>
      <c r="F2500" s="166">
        <v>0</v>
      </c>
      <c r="G2500" s="227">
        <f>IF($B$2,IF(ROWS(B$6:$B2500) = 1,$B2500-Start_Date,$B2500-$B2499),"")</f>
        <v>1.7974074071389623E-3</v>
      </c>
      <c r="H2500" s="29">
        <f>IF($B$2,IF(ROWS(B$6:$B2500) = 1,IF(COUNTIFS(R_Schedule_Times,"&lt;"&amp;B2500),INDEX(R_Schedule_Amounts,MATCH(B2500,R_Schedule_Times,1)),Starting_Cash),IF(COUNTIFS(R_Schedule_Times,"&gt;"&amp;B2499,R_Schedule_Times,"&lt;"&amp;B2500),INDEX(R_Schedule_Amounts,MATCH(B2500,R_Schedule_Times,1)),K2499)),"")</f>
        <v>17840</v>
      </c>
      <c r="I2500" s="30">
        <f t="shared" si="190"/>
        <v>40</v>
      </c>
      <c r="J2500" s="31">
        <f t="shared" si="191"/>
        <v>0</v>
      </c>
      <c r="K2500" s="29">
        <f t="shared" si="192"/>
        <v>17800</v>
      </c>
      <c r="L2500" s="31" t="str">
        <f t="shared" si="193"/>
        <v/>
      </c>
      <c r="M2500" s="31" t="str">
        <f t="shared" si="194"/>
        <v/>
      </c>
    </row>
    <row r="2501" spans="1:13" x14ac:dyDescent="0.15">
      <c r="A2501" s="163" t="s">
        <v>210</v>
      </c>
      <c r="B2501" s="163">
        <v>42341.488795393518</v>
      </c>
      <c r="C2501" s="164" t="s">
        <v>2225</v>
      </c>
      <c r="D2501" s="164" t="s">
        <v>13</v>
      </c>
      <c r="E2501" s="165">
        <v>200</v>
      </c>
      <c r="F2501" s="166">
        <v>0</v>
      </c>
      <c r="G2501" s="227">
        <f>IF($B$2,IF(ROWS(B$6:$B2501) = 1,$B2501-Start_Date,$B2501-$B2500),"")</f>
        <v>4.3563773142523132E-3</v>
      </c>
      <c r="H2501" s="29">
        <f>IF($B$2,IF(ROWS(B$6:$B2501) = 1,IF(COUNTIFS(R_Schedule_Times,"&lt;"&amp;B2501),INDEX(R_Schedule_Amounts,MATCH(B2501,R_Schedule_Times,1)),Starting_Cash),IF(COUNTIFS(R_Schedule_Times,"&gt;"&amp;B2500,R_Schedule_Times,"&lt;"&amp;B2501),INDEX(R_Schedule_Amounts,MATCH(B2501,R_Schedule_Times,1)),K2500)),"")</f>
        <v>17800</v>
      </c>
      <c r="I2501" s="30">
        <f t="shared" si="190"/>
        <v>200</v>
      </c>
      <c r="J2501" s="31">
        <f t="shared" si="191"/>
        <v>0</v>
      </c>
      <c r="K2501" s="29">
        <f t="shared" si="192"/>
        <v>17600</v>
      </c>
      <c r="L2501" s="31" t="str">
        <f t="shared" si="193"/>
        <v/>
      </c>
      <c r="M2501" s="31" t="str">
        <f t="shared" si="194"/>
        <v/>
      </c>
    </row>
    <row r="2502" spans="1:13" x14ac:dyDescent="0.15">
      <c r="A2502" s="163" t="s">
        <v>210</v>
      </c>
      <c r="B2502" s="163">
        <v>42341.492984398152</v>
      </c>
      <c r="C2502" s="164" t="s">
        <v>14</v>
      </c>
      <c r="D2502" s="164" t="s">
        <v>13</v>
      </c>
      <c r="E2502" s="165">
        <v>200</v>
      </c>
      <c r="F2502" s="166">
        <v>3.5</v>
      </c>
      <c r="G2502" s="227">
        <f>IF($B$2,IF(ROWS(B$6:$B2502) = 1,$B2502-Start_Date,$B2502-$B2501),"")</f>
        <v>4.1890046340995468E-3</v>
      </c>
      <c r="H2502" s="29">
        <f>IF($B$2,IF(ROWS(B$6:$B2502) = 1,IF(COUNTIFS(R_Schedule_Times,"&lt;"&amp;B2502),INDEX(R_Schedule_Amounts,MATCH(B2502,R_Schedule_Times,1)),Starting_Cash),IF(COUNTIFS(R_Schedule_Times,"&gt;"&amp;B2501,R_Schedule_Times,"&lt;"&amp;B2502),INDEX(R_Schedule_Amounts,MATCH(B2502,R_Schedule_Times,1)),K2501)),"")</f>
        <v>17600</v>
      </c>
      <c r="I2502" s="30">
        <f t="shared" si="190"/>
        <v>200</v>
      </c>
      <c r="J2502" s="31">
        <f t="shared" si="191"/>
        <v>3.5</v>
      </c>
      <c r="K2502" s="29">
        <f t="shared" si="192"/>
        <v>17400</v>
      </c>
      <c r="L2502" s="31" t="str">
        <f t="shared" si="193"/>
        <v/>
      </c>
      <c r="M2502" s="31" t="str">
        <f t="shared" si="194"/>
        <v/>
      </c>
    </row>
    <row r="2503" spans="1:13" x14ac:dyDescent="0.15">
      <c r="A2503" s="163" t="s">
        <v>210</v>
      </c>
      <c r="B2503" s="163">
        <v>42341.494303414351</v>
      </c>
      <c r="C2503" s="164" t="s">
        <v>2226</v>
      </c>
      <c r="D2503" s="164" t="s">
        <v>13</v>
      </c>
      <c r="E2503" s="165">
        <v>100</v>
      </c>
      <c r="F2503" s="166">
        <v>0</v>
      </c>
      <c r="G2503" s="227">
        <f>IF($B$2,IF(ROWS(B$6:$B2503) = 1,$B2503-Start_Date,$B2503-$B2502),"")</f>
        <v>1.3190161989768967E-3</v>
      </c>
      <c r="H2503" s="29">
        <f>IF($B$2,IF(ROWS(B$6:$B2503) = 1,IF(COUNTIFS(R_Schedule_Times,"&lt;"&amp;B2503),INDEX(R_Schedule_Amounts,MATCH(B2503,R_Schedule_Times,1)),Starting_Cash),IF(COUNTIFS(R_Schedule_Times,"&gt;"&amp;B2502,R_Schedule_Times,"&lt;"&amp;B2503),INDEX(R_Schedule_Amounts,MATCH(B2503,R_Schedule_Times,1)),K2502)),"")</f>
        <v>17400</v>
      </c>
      <c r="I2503" s="30">
        <f t="shared" ref="I2503:I2566" si="195">IF($B$2,IF(H2503&gt;=E2503,E2503,0),"")</f>
        <v>100</v>
      </c>
      <c r="J2503" s="31">
        <f t="shared" ref="J2503:J2566" si="196">IF($B$2,IF(H2503&gt;=E2503,F2503,0),"")</f>
        <v>0</v>
      </c>
      <c r="K2503" s="29">
        <f t="shared" ref="K2503:K2566" si="197">IF($B$2,ABS(I2503-H2503),"")</f>
        <v>17300</v>
      </c>
      <c r="L2503" s="31" t="str">
        <f t="shared" ref="L2503:L2566" si="198">IF($B$2,IF(H2503&lt;E2503,"YES",""),"")</f>
        <v/>
      </c>
      <c r="M2503" s="31" t="str">
        <f t="shared" ref="M2503:M2566" si="199">IF($B$2,IF(L2503="YES",F2503,""),"")</f>
        <v/>
      </c>
    </row>
    <row r="2504" spans="1:13" x14ac:dyDescent="0.15">
      <c r="A2504" s="163" t="s">
        <v>210</v>
      </c>
      <c r="B2504" s="163">
        <v>42341.501088391204</v>
      </c>
      <c r="C2504" s="164" t="s">
        <v>2227</v>
      </c>
      <c r="D2504" s="164" t="s">
        <v>13</v>
      </c>
      <c r="E2504" s="165">
        <v>100</v>
      </c>
      <c r="F2504" s="166">
        <v>0</v>
      </c>
      <c r="G2504" s="227">
        <f>IF($B$2,IF(ROWS(B$6:$B2504) = 1,$B2504-Start_Date,$B2504-$B2503),"")</f>
        <v>6.7849768529413268E-3</v>
      </c>
      <c r="H2504" s="29">
        <f>IF($B$2,IF(ROWS(B$6:$B2504) = 1,IF(COUNTIFS(R_Schedule_Times,"&lt;"&amp;B2504),INDEX(R_Schedule_Amounts,MATCH(B2504,R_Schedule_Times,1)),Starting_Cash),IF(COUNTIFS(R_Schedule_Times,"&gt;"&amp;B2503,R_Schedule_Times,"&lt;"&amp;B2504),INDEX(R_Schedule_Amounts,MATCH(B2504,R_Schedule_Times,1)),K2503)),"")</f>
        <v>17300</v>
      </c>
      <c r="I2504" s="30">
        <f t="shared" si="195"/>
        <v>100</v>
      </c>
      <c r="J2504" s="31">
        <f t="shared" si="196"/>
        <v>0</v>
      </c>
      <c r="K2504" s="29">
        <f t="shared" si="197"/>
        <v>17200</v>
      </c>
      <c r="L2504" s="31" t="str">
        <f t="shared" si="198"/>
        <v/>
      </c>
      <c r="M2504" s="31" t="str">
        <f t="shared" si="199"/>
        <v/>
      </c>
    </row>
    <row r="2505" spans="1:13" x14ac:dyDescent="0.15">
      <c r="A2505" s="163" t="s">
        <v>210</v>
      </c>
      <c r="B2505" s="163">
        <v>42341.513251620374</v>
      </c>
      <c r="C2505" s="164" t="s">
        <v>1647</v>
      </c>
      <c r="D2505" s="164" t="s">
        <v>13</v>
      </c>
      <c r="E2505" s="165">
        <v>20</v>
      </c>
      <c r="F2505" s="166">
        <v>0</v>
      </c>
      <c r="G2505" s="227">
        <f>IF($B$2,IF(ROWS(B$6:$B2505) = 1,$B2505-Start_Date,$B2505-$B2504),"")</f>
        <v>1.2163229170255363E-2</v>
      </c>
      <c r="H2505" s="29">
        <f>IF($B$2,IF(ROWS(B$6:$B2505) = 1,IF(COUNTIFS(R_Schedule_Times,"&lt;"&amp;B2505),INDEX(R_Schedule_Amounts,MATCH(B2505,R_Schedule_Times,1)),Starting_Cash),IF(COUNTIFS(R_Schedule_Times,"&gt;"&amp;B2504,R_Schedule_Times,"&lt;"&amp;B2505),INDEX(R_Schedule_Amounts,MATCH(B2505,R_Schedule_Times,1)),K2504)),"")</f>
        <v>17200</v>
      </c>
      <c r="I2505" s="30">
        <f t="shared" si="195"/>
        <v>20</v>
      </c>
      <c r="J2505" s="31">
        <f t="shared" si="196"/>
        <v>0</v>
      </c>
      <c r="K2505" s="29">
        <f t="shared" si="197"/>
        <v>17180</v>
      </c>
      <c r="L2505" s="31" t="str">
        <f t="shared" si="198"/>
        <v/>
      </c>
      <c r="M2505" s="31" t="str">
        <f t="shared" si="199"/>
        <v/>
      </c>
    </row>
    <row r="2506" spans="1:13" x14ac:dyDescent="0.15">
      <c r="A2506" s="163" t="s">
        <v>210</v>
      </c>
      <c r="B2506" s="163">
        <v>42341.520791273149</v>
      </c>
      <c r="C2506" s="164" t="s">
        <v>2228</v>
      </c>
      <c r="D2506" s="164" t="s">
        <v>13</v>
      </c>
      <c r="E2506" s="165">
        <v>120</v>
      </c>
      <c r="F2506" s="166">
        <v>0</v>
      </c>
      <c r="G2506" s="227">
        <f>IF($B$2,IF(ROWS(B$6:$B2506) = 1,$B2506-Start_Date,$B2506-$B2505),"")</f>
        <v>7.5396527754492126E-3</v>
      </c>
      <c r="H2506" s="29">
        <f>IF($B$2,IF(ROWS(B$6:$B2506) = 1,IF(COUNTIFS(R_Schedule_Times,"&lt;"&amp;B2506),INDEX(R_Schedule_Amounts,MATCH(B2506,R_Schedule_Times,1)),Starting_Cash),IF(COUNTIFS(R_Schedule_Times,"&gt;"&amp;B2505,R_Schedule_Times,"&lt;"&amp;B2506),INDEX(R_Schedule_Amounts,MATCH(B2506,R_Schedule_Times,1)),K2505)),"")</f>
        <v>17180</v>
      </c>
      <c r="I2506" s="30">
        <f t="shared" si="195"/>
        <v>120</v>
      </c>
      <c r="J2506" s="31">
        <f t="shared" si="196"/>
        <v>0</v>
      </c>
      <c r="K2506" s="29">
        <f t="shared" si="197"/>
        <v>17060</v>
      </c>
      <c r="L2506" s="31" t="str">
        <f t="shared" si="198"/>
        <v/>
      </c>
      <c r="M2506" s="31" t="str">
        <f t="shared" si="199"/>
        <v/>
      </c>
    </row>
    <row r="2507" spans="1:13" x14ac:dyDescent="0.15">
      <c r="A2507" s="163" t="s">
        <v>210</v>
      </c>
      <c r="B2507" s="163">
        <v>42341.521316030092</v>
      </c>
      <c r="C2507" s="164" t="s">
        <v>2229</v>
      </c>
      <c r="D2507" s="164" t="s">
        <v>13</v>
      </c>
      <c r="E2507" s="165">
        <v>20</v>
      </c>
      <c r="F2507" s="166">
        <v>0</v>
      </c>
      <c r="G2507" s="227">
        <f>IF($B$2,IF(ROWS(B$6:$B2507) = 1,$B2507-Start_Date,$B2507-$B2506),"")</f>
        <v>5.2475694246822968E-4</v>
      </c>
      <c r="H2507" s="29">
        <f>IF($B$2,IF(ROWS(B$6:$B2507) = 1,IF(COUNTIFS(R_Schedule_Times,"&lt;"&amp;B2507),INDEX(R_Schedule_Amounts,MATCH(B2507,R_Schedule_Times,1)),Starting_Cash),IF(COUNTIFS(R_Schedule_Times,"&gt;"&amp;B2506,R_Schedule_Times,"&lt;"&amp;B2507),INDEX(R_Schedule_Amounts,MATCH(B2507,R_Schedule_Times,1)),K2506)),"")</f>
        <v>17060</v>
      </c>
      <c r="I2507" s="30">
        <f t="shared" si="195"/>
        <v>20</v>
      </c>
      <c r="J2507" s="31">
        <f t="shared" si="196"/>
        <v>0</v>
      </c>
      <c r="K2507" s="29">
        <f t="shared" si="197"/>
        <v>17040</v>
      </c>
      <c r="L2507" s="31" t="str">
        <f t="shared" si="198"/>
        <v/>
      </c>
      <c r="M2507" s="31" t="str">
        <f t="shared" si="199"/>
        <v/>
      </c>
    </row>
    <row r="2508" spans="1:13" x14ac:dyDescent="0.15">
      <c r="A2508" s="163" t="s">
        <v>210</v>
      </c>
      <c r="B2508" s="163">
        <v>42341.531278807874</v>
      </c>
      <c r="C2508" s="164" t="s">
        <v>2230</v>
      </c>
      <c r="D2508" s="164" t="s">
        <v>13</v>
      </c>
      <c r="E2508" s="165">
        <v>60</v>
      </c>
      <c r="F2508" s="166">
        <v>0</v>
      </c>
      <c r="G2508" s="227">
        <f>IF($B$2,IF(ROWS(B$6:$B2508) = 1,$B2508-Start_Date,$B2508-$B2507),"")</f>
        <v>9.962777781765908E-3</v>
      </c>
      <c r="H2508" s="29">
        <f>IF($B$2,IF(ROWS(B$6:$B2508) = 1,IF(COUNTIFS(R_Schedule_Times,"&lt;"&amp;B2508),INDEX(R_Schedule_Amounts,MATCH(B2508,R_Schedule_Times,1)),Starting_Cash),IF(COUNTIFS(R_Schedule_Times,"&gt;"&amp;B2507,R_Schedule_Times,"&lt;"&amp;B2508),INDEX(R_Schedule_Amounts,MATCH(B2508,R_Schedule_Times,1)),K2507)),"")</f>
        <v>17040</v>
      </c>
      <c r="I2508" s="30">
        <f t="shared" si="195"/>
        <v>60</v>
      </c>
      <c r="J2508" s="31">
        <f t="shared" si="196"/>
        <v>0</v>
      </c>
      <c r="K2508" s="29">
        <f t="shared" si="197"/>
        <v>16980</v>
      </c>
      <c r="L2508" s="31" t="str">
        <f t="shared" si="198"/>
        <v/>
      </c>
      <c r="M2508" s="31" t="str">
        <f t="shared" si="199"/>
        <v/>
      </c>
    </row>
    <row r="2509" spans="1:13" x14ac:dyDescent="0.15">
      <c r="A2509" s="163" t="s">
        <v>210</v>
      </c>
      <c r="B2509" s="163">
        <v>42341.537747685186</v>
      </c>
      <c r="C2509" s="164" t="s">
        <v>2231</v>
      </c>
      <c r="D2509" s="164" t="s">
        <v>13</v>
      </c>
      <c r="E2509" s="165">
        <v>100</v>
      </c>
      <c r="F2509" s="166">
        <v>0</v>
      </c>
      <c r="G2509" s="227">
        <f>IF($B$2,IF(ROWS(B$6:$B2509) = 1,$B2509-Start_Date,$B2509-$B2508),"")</f>
        <v>6.4688773127272725E-3</v>
      </c>
      <c r="H2509" s="29">
        <f>IF($B$2,IF(ROWS(B$6:$B2509) = 1,IF(COUNTIFS(R_Schedule_Times,"&lt;"&amp;B2509),INDEX(R_Schedule_Amounts,MATCH(B2509,R_Schedule_Times,1)),Starting_Cash),IF(COUNTIFS(R_Schedule_Times,"&gt;"&amp;B2508,R_Schedule_Times,"&lt;"&amp;B2509),INDEX(R_Schedule_Amounts,MATCH(B2509,R_Schedule_Times,1)),K2508)),"")</f>
        <v>16980</v>
      </c>
      <c r="I2509" s="30">
        <f t="shared" si="195"/>
        <v>100</v>
      </c>
      <c r="J2509" s="31">
        <f t="shared" si="196"/>
        <v>0</v>
      </c>
      <c r="K2509" s="29">
        <f t="shared" si="197"/>
        <v>16880</v>
      </c>
      <c r="L2509" s="31" t="str">
        <f t="shared" si="198"/>
        <v/>
      </c>
      <c r="M2509" s="31" t="str">
        <f t="shared" si="199"/>
        <v/>
      </c>
    </row>
    <row r="2510" spans="1:13" x14ac:dyDescent="0.15">
      <c r="A2510" s="163" t="s">
        <v>210</v>
      </c>
      <c r="B2510" s="163">
        <v>42341.545138055553</v>
      </c>
      <c r="C2510" s="164" t="s">
        <v>461</v>
      </c>
      <c r="D2510" s="164" t="s">
        <v>13</v>
      </c>
      <c r="E2510" s="165">
        <v>40</v>
      </c>
      <c r="F2510" s="166">
        <v>0</v>
      </c>
      <c r="G2510" s="227">
        <f>IF($B$2,IF(ROWS(B$6:$B2510) = 1,$B2510-Start_Date,$B2510-$B2509),"")</f>
        <v>7.3903703669202514E-3</v>
      </c>
      <c r="H2510" s="29">
        <f>IF($B$2,IF(ROWS(B$6:$B2510) = 1,IF(COUNTIFS(R_Schedule_Times,"&lt;"&amp;B2510),INDEX(R_Schedule_Amounts,MATCH(B2510,R_Schedule_Times,1)),Starting_Cash),IF(COUNTIFS(R_Schedule_Times,"&gt;"&amp;B2509,R_Schedule_Times,"&lt;"&amp;B2510),INDEX(R_Schedule_Amounts,MATCH(B2510,R_Schedule_Times,1)),K2509)),"")</f>
        <v>16880</v>
      </c>
      <c r="I2510" s="30">
        <f t="shared" si="195"/>
        <v>40</v>
      </c>
      <c r="J2510" s="31">
        <f t="shared" si="196"/>
        <v>0</v>
      </c>
      <c r="K2510" s="29">
        <f t="shared" si="197"/>
        <v>16840</v>
      </c>
      <c r="L2510" s="31" t="str">
        <f t="shared" si="198"/>
        <v/>
      </c>
      <c r="M2510" s="31" t="str">
        <f t="shared" si="199"/>
        <v/>
      </c>
    </row>
    <row r="2511" spans="1:13" x14ac:dyDescent="0.15">
      <c r="A2511" s="163" t="s">
        <v>210</v>
      </c>
      <c r="B2511" s="163">
        <v>42341.546085277776</v>
      </c>
      <c r="C2511" s="164" t="s">
        <v>2232</v>
      </c>
      <c r="D2511" s="164" t="s">
        <v>13</v>
      </c>
      <c r="E2511" s="165">
        <v>100</v>
      </c>
      <c r="F2511" s="166">
        <v>0</v>
      </c>
      <c r="G2511" s="227">
        <f>IF($B$2,IF(ROWS(B$6:$B2511) = 1,$B2511-Start_Date,$B2511-$B2510),"")</f>
        <v>9.4722222274867818E-4</v>
      </c>
      <c r="H2511" s="29">
        <f>IF($B$2,IF(ROWS(B$6:$B2511) = 1,IF(COUNTIFS(R_Schedule_Times,"&lt;"&amp;B2511),INDEX(R_Schedule_Amounts,MATCH(B2511,R_Schedule_Times,1)),Starting_Cash),IF(COUNTIFS(R_Schedule_Times,"&gt;"&amp;B2510,R_Schedule_Times,"&lt;"&amp;B2511),INDEX(R_Schedule_Amounts,MATCH(B2511,R_Schedule_Times,1)),K2510)),"")</f>
        <v>16840</v>
      </c>
      <c r="I2511" s="30">
        <f t="shared" si="195"/>
        <v>100</v>
      </c>
      <c r="J2511" s="31">
        <f t="shared" si="196"/>
        <v>0</v>
      </c>
      <c r="K2511" s="29">
        <f t="shared" si="197"/>
        <v>16740</v>
      </c>
      <c r="L2511" s="31" t="str">
        <f t="shared" si="198"/>
        <v/>
      </c>
      <c r="M2511" s="31" t="str">
        <f t="shared" si="199"/>
        <v/>
      </c>
    </row>
    <row r="2512" spans="1:13" x14ac:dyDescent="0.15">
      <c r="A2512" s="163" t="s">
        <v>210</v>
      </c>
      <c r="B2512" s="163">
        <v>42341.584736481484</v>
      </c>
      <c r="C2512" s="164" t="s">
        <v>2233</v>
      </c>
      <c r="D2512" s="164" t="s">
        <v>13</v>
      </c>
      <c r="E2512" s="165">
        <v>140</v>
      </c>
      <c r="F2512" s="166">
        <v>0</v>
      </c>
      <c r="G2512" s="227">
        <f>IF($B$2,IF(ROWS(B$6:$B2512) = 1,$B2512-Start_Date,$B2512-$B2511),"")</f>
        <v>3.8651203707559034E-2</v>
      </c>
      <c r="H2512" s="29">
        <f>IF($B$2,IF(ROWS(B$6:$B2512) = 1,IF(COUNTIFS(R_Schedule_Times,"&lt;"&amp;B2512),INDEX(R_Schedule_Amounts,MATCH(B2512,R_Schedule_Times,1)),Starting_Cash),IF(COUNTIFS(R_Schedule_Times,"&gt;"&amp;B2511,R_Schedule_Times,"&lt;"&amp;B2512),INDEX(R_Schedule_Amounts,MATCH(B2512,R_Schedule_Times,1)),K2511)),"")</f>
        <v>16740</v>
      </c>
      <c r="I2512" s="30">
        <f t="shared" si="195"/>
        <v>140</v>
      </c>
      <c r="J2512" s="31">
        <f t="shared" si="196"/>
        <v>0</v>
      </c>
      <c r="K2512" s="29">
        <f t="shared" si="197"/>
        <v>16600</v>
      </c>
      <c r="L2512" s="31" t="str">
        <f t="shared" si="198"/>
        <v/>
      </c>
      <c r="M2512" s="31" t="str">
        <f t="shared" si="199"/>
        <v/>
      </c>
    </row>
    <row r="2513" spans="1:13" x14ac:dyDescent="0.15">
      <c r="A2513" s="163" t="s">
        <v>210</v>
      </c>
      <c r="B2513" s="163">
        <v>42341.59280972222</v>
      </c>
      <c r="C2513" s="164" t="s">
        <v>2234</v>
      </c>
      <c r="D2513" s="164" t="s">
        <v>13</v>
      </c>
      <c r="E2513" s="165">
        <v>40</v>
      </c>
      <c r="F2513" s="166">
        <v>0</v>
      </c>
      <c r="G2513" s="227">
        <f>IF($B$2,IF(ROWS(B$6:$B2513) = 1,$B2513-Start_Date,$B2513-$B2512),"")</f>
        <v>8.0732407368486747E-3</v>
      </c>
      <c r="H2513" s="29">
        <f>IF($B$2,IF(ROWS(B$6:$B2513) = 1,IF(COUNTIFS(R_Schedule_Times,"&lt;"&amp;B2513),INDEX(R_Schedule_Amounts,MATCH(B2513,R_Schedule_Times,1)),Starting_Cash),IF(COUNTIFS(R_Schedule_Times,"&gt;"&amp;B2512,R_Schedule_Times,"&lt;"&amp;B2513),INDEX(R_Schedule_Amounts,MATCH(B2513,R_Schedule_Times,1)),K2512)),"")</f>
        <v>16600</v>
      </c>
      <c r="I2513" s="30">
        <f t="shared" si="195"/>
        <v>40</v>
      </c>
      <c r="J2513" s="31">
        <f t="shared" si="196"/>
        <v>0</v>
      </c>
      <c r="K2513" s="29">
        <f t="shared" si="197"/>
        <v>16560</v>
      </c>
      <c r="L2513" s="31" t="str">
        <f t="shared" si="198"/>
        <v/>
      </c>
      <c r="M2513" s="31" t="str">
        <f t="shared" si="199"/>
        <v/>
      </c>
    </row>
    <row r="2514" spans="1:13" x14ac:dyDescent="0.15">
      <c r="A2514" s="163" t="s">
        <v>210</v>
      </c>
      <c r="B2514" s="163">
        <v>42341.602890416667</v>
      </c>
      <c r="C2514" s="164" t="s">
        <v>2235</v>
      </c>
      <c r="D2514" s="164" t="s">
        <v>13</v>
      </c>
      <c r="E2514" s="165">
        <v>60</v>
      </c>
      <c r="F2514" s="166">
        <v>0</v>
      </c>
      <c r="G2514" s="227">
        <f>IF($B$2,IF(ROWS(B$6:$B2514) = 1,$B2514-Start_Date,$B2514-$B2513),"")</f>
        <v>1.0080694446514826E-2</v>
      </c>
      <c r="H2514" s="29">
        <f>IF($B$2,IF(ROWS(B$6:$B2514) = 1,IF(COUNTIFS(R_Schedule_Times,"&lt;"&amp;B2514),INDEX(R_Schedule_Amounts,MATCH(B2514,R_Schedule_Times,1)),Starting_Cash),IF(COUNTIFS(R_Schedule_Times,"&gt;"&amp;B2513,R_Schedule_Times,"&lt;"&amp;B2514),INDEX(R_Schedule_Amounts,MATCH(B2514,R_Schedule_Times,1)),K2513)),"")</f>
        <v>16560</v>
      </c>
      <c r="I2514" s="30">
        <f t="shared" si="195"/>
        <v>60</v>
      </c>
      <c r="J2514" s="31">
        <f t="shared" si="196"/>
        <v>0</v>
      </c>
      <c r="K2514" s="29">
        <f t="shared" si="197"/>
        <v>16500</v>
      </c>
      <c r="L2514" s="31" t="str">
        <f t="shared" si="198"/>
        <v/>
      </c>
      <c r="M2514" s="31" t="str">
        <f t="shared" si="199"/>
        <v/>
      </c>
    </row>
    <row r="2515" spans="1:13" x14ac:dyDescent="0.15">
      <c r="A2515" s="163" t="s">
        <v>210</v>
      </c>
      <c r="B2515" s="163">
        <v>42341.610796273148</v>
      </c>
      <c r="C2515" s="164" t="s">
        <v>2236</v>
      </c>
      <c r="D2515" s="164" t="s">
        <v>13</v>
      </c>
      <c r="E2515" s="165">
        <v>100</v>
      </c>
      <c r="F2515" s="166">
        <v>0</v>
      </c>
      <c r="G2515" s="227">
        <f>IF($B$2,IF(ROWS(B$6:$B2515) = 1,$B2515-Start_Date,$B2515-$B2514),"")</f>
        <v>7.9058564806473441E-3</v>
      </c>
      <c r="H2515" s="29">
        <f>IF($B$2,IF(ROWS(B$6:$B2515) = 1,IF(COUNTIFS(R_Schedule_Times,"&lt;"&amp;B2515),INDEX(R_Schedule_Amounts,MATCH(B2515,R_Schedule_Times,1)),Starting_Cash),IF(COUNTIFS(R_Schedule_Times,"&gt;"&amp;B2514,R_Schedule_Times,"&lt;"&amp;B2515),INDEX(R_Schedule_Amounts,MATCH(B2515,R_Schedule_Times,1)),K2514)),"")</f>
        <v>16500</v>
      </c>
      <c r="I2515" s="30">
        <f t="shared" si="195"/>
        <v>100</v>
      </c>
      <c r="J2515" s="31">
        <f t="shared" si="196"/>
        <v>0</v>
      </c>
      <c r="K2515" s="29">
        <f t="shared" si="197"/>
        <v>16400</v>
      </c>
      <c r="L2515" s="31" t="str">
        <f t="shared" si="198"/>
        <v/>
      </c>
      <c r="M2515" s="31" t="str">
        <f t="shared" si="199"/>
        <v/>
      </c>
    </row>
    <row r="2516" spans="1:13" x14ac:dyDescent="0.15">
      <c r="A2516" s="163" t="s">
        <v>210</v>
      </c>
      <c r="B2516" s="163">
        <v>42341.62467005787</v>
      </c>
      <c r="C2516" s="164" t="s">
        <v>2237</v>
      </c>
      <c r="D2516" s="164" t="s">
        <v>13</v>
      </c>
      <c r="E2516" s="165">
        <v>20</v>
      </c>
      <c r="F2516" s="166">
        <v>0</v>
      </c>
      <c r="G2516" s="227">
        <f>IF($B$2,IF(ROWS(B$6:$B2516) = 1,$B2516-Start_Date,$B2516-$B2515),"")</f>
        <v>1.3873784722818527E-2</v>
      </c>
      <c r="H2516" s="29">
        <f>IF($B$2,IF(ROWS(B$6:$B2516) = 1,IF(COUNTIFS(R_Schedule_Times,"&lt;"&amp;B2516),INDEX(R_Schedule_Amounts,MATCH(B2516,R_Schedule_Times,1)),Starting_Cash),IF(COUNTIFS(R_Schedule_Times,"&gt;"&amp;B2515,R_Schedule_Times,"&lt;"&amp;B2516),INDEX(R_Schedule_Amounts,MATCH(B2516,R_Schedule_Times,1)),K2515)),"")</f>
        <v>16400</v>
      </c>
      <c r="I2516" s="30">
        <f t="shared" si="195"/>
        <v>20</v>
      </c>
      <c r="J2516" s="31">
        <f t="shared" si="196"/>
        <v>0</v>
      </c>
      <c r="K2516" s="29">
        <f t="shared" si="197"/>
        <v>16380</v>
      </c>
      <c r="L2516" s="31" t="str">
        <f t="shared" si="198"/>
        <v/>
      </c>
      <c r="M2516" s="31" t="str">
        <f t="shared" si="199"/>
        <v/>
      </c>
    </row>
    <row r="2517" spans="1:13" x14ac:dyDescent="0.15">
      <c r="A2517" s="163" t="s">
        <v>210</v>
      </c>
      <c r="B2517" s="163">
        <v>42341.626441527776</v>
      </c>
      <c r="C2517" s="164" t="s">
        <v>1356</v>
      </c>
      <c r="D2517" s="164" t="s">
        <v>13</v>
      </c>
      <c r="E2517" s="165">
        <v>100</v>
      </c>
      <c r="F2517" s="166">
        <v>0</v>
      </c>
      <c r="G2517" s="227">
        <f>IF($B$2,IF(ROWS(B$6:$B2517) = 1,$B2517-Start_Date,$B2517-$B2516),"")</f>
        <v>1.7714699060888961E-3</v>
      </c>
      <c r="H2517" s="29">
        <f>IF($B$2,IF(ROWS(B$6:$B2517) = 1,IF(COUNTIFS(R_Schedule_Times,"&lt;"&amp;B2517),INDEX(R_Schedule_Amounts,MATCH(B2517,R_Schedule_Times,1)),Starting_Cash),IF(COUNTIFS(R_Schedule_Times,"&gt;"&amp;B2516,R_Schedule_Times,"&lt;"&amp;B2517),INDEX(R_Schedule_Amounts,MATCH(B2517,R_Schedule_Times,1)),K2516)),"")</f>
        <v>16380</v>
      </c>
      <c r="I2517" s="30">
        <f t="shared" si="195"/>
        <v>100</v>
      </c>
      <c r="J2517" s="31">
        <f t="shared" si="196"/>
        <v>0</v>
      </c>
      <c r="K2517" s="29">
        <f t="shared" si="197"/>
        <v>16280</v>
      </c>
      <c r="L2517" s="31" t="str">
        <f t="shared" si="198"/>
        <v/>
      </c>
      <c r="M2517" s="31" t="str">
        <f t="shared" si="199"/>
        <v/>
      </c>
    </row>
    <row r="2518" spans="1:13" x14ac:dyDescent="0.15">
      <c r="A2518" s="163" t="s">
        <v>210</v>
      </c>
      <c r="B2518" s="163">
        <v>42341.68099966435</v>
      </c>
      <c r="C2518" s="164" t="s">
        <v>1140</v>
      </c>
      <c r="D2518" s="164" t="s">
        <v>13</v>
      </c>
      <c r="E2518" s="165">
        <v>40</v>
      </c>
      <c r="F2518" s="166">
        <v>0</v>
      </c>
      <c r="G2518" s="227">
        <f>IF($B$2,IF(ROWS(B$6:$B2518) = 1,$B2518-Start_Date,$B2518-$B2517),"")</f>
        <v>5.4558136573177762E-2</v>
      </c>
      <c r="H2518" s="29">
        <f>IF($B$2,IF(ROWS(B$6:$B2518) = 1,IF(COUNTIFS(R_Schedule_Times,"&lt;"&amp;B2518),INDEX(R_Schedule_Amounts,MATCH(B2518,R_Schedule_Times,1)),Starting_Cash),IF(COUNTIFS(R_Schedule_Times,"&gt;"&amp;B2517,R_Schedule_Times,"&lt;"&amp;B2518),INDEX(R_Schedule_Amounts,MATCH(B2518,R_Schedule_Times,1)),K2517)),"")</f>
        <v>16280</v>
      </c>
      <c r="I2518" s="30">
        <f t="shared" si="195"/>
        <v>40</v>
      </c>
      <c r="J2518" s="31">
        <f t="shared" si="196"/>
        <v>0</v>
      </c>
      <c r="K2518" s="29">
        <f t="shared" si="197"/>
        <v>16240</v>
      </c>
      <c r="L2518" s="31" t="str">
        <f t="shared" si="198"/>
        <v/>
      </c>
      <c r="M2518" s="31" t="str">
        <f t="shared" si="199"/>
        <v/>
      </c>
    </row>
    <row r="2519" spans="1:13" x14ac:dyDescent="0.15">
      <c r="A2519" s="163" t="s">
        <v>210</v>
      </c>
      <c r="B2519" s="163">
        <v>42341.688406064815</v>
      </c>
      <c r="C2519" s="164" t="s">
        <v>1686</v>
      </c>
      <c r="D2519" s="164" t="s">
        <v>13</v>
      </c>
      <c r="E2519" s="165">
        <v>100</v>
      </c>
      <c r="F2519" s="166">
        <v>0</v>
      </c>
      <c r="G2519" s="227">
        <f>IF($B$2,IF(ROWS(B$6:$B2519) = 1,$B2519-Start_Date,$B2519-$B2518),"")</f>
        <v>7.4064004656975158E-3</v>
      </c>
      <c r="H2519" s="29">
        <f>IF($B$2,IF(ROWS(B$6:$B2519) = 1,IF(COUNTIFS(R_Schedule_Times,"&lt;"&amp;B2519),INDEX(R_Schedule_Amounts,MATCH(B2519,R_Schedule_Times,1)),Starting_Cash),IF(COUNTIFS(R_Schedule_Times,"&gt;"&amp;B2518,R_Schedule_Times,"&lt;"&amp;B2519),INDEX(R_Schedule_Amounts,MATCH(B2519,R_Schedule_Times,1)),K2518)),"")</f>
        <v>16240</v>
      </c>
      <c r="I2519" s="30">
        <f t="shared" si="195"/>
        <v>100</v>
      </c>
      <c r="J2519" s="31">
        <f t="shared" si="196"/>
        <v>0</v>
      </c>
      <c r="K2519" s="29">
        <f t="shared" si="197"/>
        <v>16140</v>
      </c>
      <c r="L2519" s="31" t="str">
        <f t="shared" si="198"/>
        <v/>
      </c>
      <c r="M2519" s="31" t="str">
        <f t="shared" si="199"/>
        <v/>
      </c>
    </row>
    <row r="2520" spans="1:13" x14ac:dyDescent="0.15">
      <c r="A2520" s="163" t="s">
        <v>210</v>
      </c>
      <c r="B2520" s="163">
        <v>42341.694381504632</v>
      </c>
      <c r="C2520" s="164" t="s">
        <v>2238</v>
      </c>
      <c r="D2520" s="164" t="s">
        <v>13</v>
      </c>
      <c r="E2520" s="165">
        <v>120</v>
      </c>
      <c r="F2520" s="166">
        <v>0</v>
      </c>
      <c r="G2520" s="227">
        <f>IF($B$2,IF(ROWS(B$6:$B2520) = 1,$B2520-Start_Date,$B2520-$B2519),"")</f>
        <v>5.9754398171207868E-3</v>
      </c>
      <c r="H2520" s="29">
        <f>IF($B$2,IF(ROWS(B$6:$B2520) = 1,IF(COUNTIFS(R_Schedule_Times,"&lt;"&amp;B2520),INDEX(R_Schedule_Amounts,MATCH(B2520,R_Schedule_Times,1)),Starting_Cash),IF(COUNTIFS(R_Schedule_Times,"&gt;"&amp;B2519,R_Schedule_Times,"&lt;"&amp;B2520),INDEX(R_Schedule_Amounts,MATCH(B2520,R_Schedule_Times,1)),K2519)),"")</f>
        <v>16140</v>
      </c>
      <c r="I2520" s="30">
        <f t="shared" si="195"/>
        <v>120</v>
      </c>
      <c r="J2520" s="31">
        <f t="shared" si="196"/>
        <v>0</v>
      </c>
      <c r="K2520" s="29">
        <f t="shared" si="197"/>
        <v>16020</v>
      </c>
      <c r="L2520" s="31" t="str">
        <f t="shared" si="198"/>
        <v/>
      </c>
      <c r="M2520" s="31" t="str">
        <f t="shared" si="199"/>
        <v/>
      </c>
    </row>
    <row r="2521" spans="1:13" x14ac:dyDescent="0.15">
      <c r="A2521" s="163" t="s">
        <v>210</v>
      </c>
      <c r="B2521" s="163">
        <v>42341.709521481484</v>
      </c>
      <c r="C2521" s="164" t="s">
        <v>2239</v>
      </c>
      <c r="D2521" s="164" t="s">
        <v>13</v>
      </c>
      <c r="E2521" s="165">
        <v>100</v>
      </c>
      <c r="F2521" s="166">
        <v>0</v>
      </c>
      <c r="G2521" s="227">
        <f>IF($B$2,IF(ROWS(B$6:$B2521) = 1,$B2521-Start_Date,$B2521-$B2520),"")</f>
        <v>1.5139976851060055E-2</v>
      </c>
      <c r="H2521" s="29">
        <f>IF($B$2,IF(ROWS(B$6:$B2521) = 1,IF(COUNTIFS(R_Schedule_Times,"&lt;"&amp;B2521),INDEX(R_Schedule_Amounts,MATCH(B2521,R_Schedule_Times,1)),Starting_Cash),IF(COUNTIFS(R_Schedule_Times,"&gt;"&amp;B2520,R_Schedule_Times,"&lt;"&amp;B2521),INDEX(R_Schedule_Amounts,MATCH(B2521,R_Schedule_Times,1)),K2520)),"")</f>
        <v>16020</v>
      </c>
      <c r="I2521" s="30">
        <f t="shared" si="195"/>
        <v>100</v>
      </c>
      <c r="J2521" s="31">
        <f t="shared" si="196"/>
        <v>0</v>
      </c>
      <c r="K2521" s="29">
        <f t="shared" si="197"/>
        <v>15920</v>
      </c>
      <c r="L2521" s="31" t="str">
        <f t="shared" si="198"/>
        <v/>
      </c>
      <c r="M2521" s="31" t="str">
        <f t="shared" si="199"/>
        <v/>
      </c>
    </row>
    <row r="2522" spans="1:13" x14ac:dyDescent="0.15">
      <c r="A2522" s="163" t="s">
        <v>210</v>
      </c>
      <c r="B2522" s="163">
        <v>42341.735793495369</v>
      </c>
      <c r="C2522" s="164" t="s">
        <v>14</v>
      </c>
      <c r="D2522" s="164" t="s">
        <v>15</v>
      </c>
      <c r="E2522" s="165">
        <v>20</v>
      </c>
      <c r="F2522" s="166">
        <v>3.1</v>
      </c>
      <c r="G2522" s="227">
        <f>IF($B$2,IF(ROWS(B$6:$B2522) = 1,$B2522-Start_Date,$B2522-$B2521),"")</f>
        <v>2.6272013885318302E-2</v>
      </c>
      <c r="H2522" s="29">
        <f>IF($B$2,IF(ROWS(B$6:$B2522) = 1,IF(COUNTIFS(R_Schedule_Times,"&lt;"&amp;B2522),INDEX(R_Schedule_Amounts,MATCH(B2522,R_Schedule_Times,1)),Starting_Cash),IF(COUNTIFS(R_Schedule_Times,"&gt;"&amp;B2521,R_Schedule_Times,"&lt;"&amp;B2522),INDEX(R_Schedule_Amounts,MATCH(B2522,R_Schedule_Times,1)),K2521)),"")</f>
        <v>15920</v>
      </c>
      <c r="I2522" s="30">
        <f t="shared" si="195"/>
        <v>20</v>
      </c>
      <c r="J2522" s="31">
        <f t="shared" si="196"/>
        <v>3.1</v>
      </c>
      <c r="K2522" s="29">
        <f t="shared" si="197"/>
        <v>15900</v>
      </c>
      <c r="L2522" s="31" t="str">
        <f t="shared" si="198"/>
        <v/>
      </c>
      <c r="M2522" s="31" t="str">
        <f t="shared" si="199"/>
        <v/>
      </c>
    </row>
    <row r="2523" spans="1:13" x14ac:dyDescent="0.15">
      <c r="A2523" s="163" t="s">
        <v>210</v>
      </c>
      <c r="B2523" s="163">
        <v>42341.746007442132</v>
      </c>
      <c r="C2523" s="164" t="s">
        <v>2240</v>
      </c>
      <c r="D2523" s="164" t="s">
        <v>13</v>
      </c>
      <c r="E2523" s="165">
        <v>200</v>
      </c>
      <c r="F2523" s="166">
        <v>0</v>
      </c>
      <c r="G2523" s="227">
        <f>IF($B$2,IF(ROWS(B$6:$B2523) = 1,$B2523-Start_Date,$B2523-$B2522),"")</f>
        <v>1.0213946763542481E-2</v>
      </c>
      <c r="H2523" s="29">
        <f>IF($B$2,IF(ROWS(B$6:$B2523) = 1,IF(COUNTIFS(R_Schedule_Times,"&lt;"&amp;B2523),INDEX(R_Schedule_Amounts,MATCH(B2523,R_Schedule_Times,1)),Starting_Cash),IF(COUNTIFS(R_Schedule_Times,"&gt;"&amp;B2522,R_Schedule_Times,"&lt;"&amp;B2523),INDEX(R_Schedule_Amounts,MATCH(B2523,R_Schedule_Times,1)),K2522)),"")</f>
        <v>15900</v>
      </c>
      <c r="I2523" s="30">
        <f t="shared" si="195"/>
        <v>200</v>
      </c>
      <c r="J2523" s="31">
        <f t="shared" si="196"/>
        <v>0</v>
      </c>
      <c r="K2523" s="29">
        <f t="shared" si="197"/>
        <v>15700</v>
      </c>
      <c r="L2523" s="31" t="str">
        <f t="shared" si="198"/>
        <v/>
      </c>
      <c r="M2523" s="31" t="str">
        <f t="shared" si="199"/>
        <v/>
      </c>
    </row>
    <row r="2524" spans="1:13" x14ac:dyDescent="0.15">
      <c r="A2524" s="163" t="s">
        <v>210</v>
      </c>
      <c r="B2524" s="163">
        <v>42341.746854872683</v>
      </c>
      <c r="C2524" s="164" t="s">
        <v>2241</v>
      </c>
      <c r="D2524" s="164" t="s">
        <v>13</v>
      </c>
      <c r="E2524" s="165">
        <v>100</v>
      </c>
      <c r="F2524" s="166">
        <v>0</v>
      </c>
      <c r="G2524" s="227">
        <f>IF($B$2,IF(ROWS(B$6:$B2524) = 1,$B2524-Start_Date,$B2524-$B2523),"")</f>
        <v>8.4743055049329996E-4</v>
      </c>
      <c r="H2524" s="29">
        <f>IF($B$2,IF(ROWS(B$6:$B2524) = 1,IF(COUNTIFS(R_Schedule_Times,"&lt;"&amp;B2524),INDEX(R_Schedule_Amounts,MATCH(B2524,R_Schedule_Times,1)),Starting_Cash),IF(COUNTIFS(R_Schedule_Times,"&gt;"&amp;B2523,R_Schedule_Times,"&lt;"&amp;B2524),INDEX(R_Schedule_Amounts,MATCH(B2524,R_Schedule_Times,1)),K2523)),"")</f>
        <v>15700</v>
      </c>
      <c r="I2524" s="30">
        <f t="shared" si="195"/>
        <v>100</v>
      </c>
      <c r="J2524" s="31">
        <f t="shared" si="196"/>
        <v>0</v>
      </c>
      <c r="K2524" s="29">
        <f t="shared" si="197"/>
        <v>15600</v>
      </c>
      <c r="L2524" s="31" t="str">
        <f t="shared" si="198"/>
        <v/>
      </c>
      <c r="M2524" s="31" t="str">
        <f t="shared" si="199"/>
        <v/>
      </c>
    </row>
    <row r="2525" spans="1:13" x14ac:dyDescent="0.15">
      <c r="A2525" s="163" t="s">
        <v>210</v>
      </c>
      <c r="B2525" s="163">
        <v>42341.762582187497</v>
      </c>
      <c r="C2525" s="164" t="s">
        <v>2242</v>
      </c>
      <c r="D2525" s="164" t="s">
        <v>13</v>
      </c>
      <c r="E2525" s="165">
        <v>100</v>
      </c>
      <c r="F2525" s="166">
        <v>0</v>
      </c>
      <c r="G2525" s="227">
        <f>IF($B$2,IF(ROWS(B$6:$B2525) = 1,$B2525-Start_Date,$B2525-$B2524),"")</f>
        <v>1.572731481428491E-2</v>
      </c>
      <c r="H2525" s="29">
        <f>IF($B$2,IF(ROWS(B$6:$B2525) = 1,IF(COUNTIFS(R_Schedule_Times,"&lt;"&amp;B2525),INDEX(R_Schedule_Amounts,MATCH(B2525,R_Schedule_Times,1)),Starting_Cash),IF(COUNTIFS(R_Schedule_Times,"&gt;"&amp;B2524,R_Schedule_Times,"&lt;"&amp;B2525),INDEX(R_Schedule_Amounts,MATCH(B2525,R_Schedule_Times,1)),K2524)),"")</f>
        <v>15600</v>
      </c>
      <c r="I2525" s="30">
        <f t="shared" si="195"/>
        <v>100</v>
      </c>
      <c r="J2525" s="31">
        <f t="shared" si="196"/>
        <v>0</v>
      </c>
      <c r="K2525" s="29">
        <f t="shared" si="197"/>
        <v>15500</v>
      </c>
      <c r="L2525" s="31" t="str">
        <f t="shared" si="198"/>
        <v/>
      </c>
      <c r="M2525" s="31" t="str">
        <f t="shared" si="199"/>
        <v/>
      </c>
    </row>
    <row r="2526" spans="1:13" x14ac:dyDescent="0.15">
      <c r="A2526" s="163" t="s">
        <v>210</v>
      </c>
      <c r="B2526" s="163">
        <v>42341.768803368053</v>
      </c>
      <c r="C2526" s="164" t="s">
        <v>2243</v>
      </c>
      <c r="D2526" s="164" t="s">
        <v>13</v>
      </c>
      <c r="E2526" s="165">
        <v>240</v>
      </c>
      <c r="F2526" s="166">
        <v>0</v>
      </c>
      <c r="G2526" s="227">
        <f>IF($B$2,IF(ROWS(B$6:$B2526) = 1,$B2526-Start_Date,$B2526-$B2525),"")</f>
        <v>6.2211805561673827E-3</v>
      </c>
      <c r="H2526" s="29">
        <f>IF($B$2,IF(ROWS(B$6:$B2526) = 1,IF(COUNTIFS(R_Schedule_Times,"&lt;"&amp;B2526),INDEX(R_Schedule_Amounts,MATCH(B2526,R_Schedule_Times,1)),Starting_Cash),IF(COUNTIFS(R_Schedule_Times,"&gt;"&amp;B2525,R_Schedule_Times,"&lt;"&amp;B2526),INDEX(R_Schedule_Amounts,MATCH(B2526,R_Schedule_Times,1)),K2525)),"")</f>
        <v>15500</v>
      </c>
      <c r="I2526" s="30">
        <f t="shared" si="195"/>
        <v>240</v>
      </c>
      <c r="J2526" s="31">
        <f t="shared" si="196"/>
        <v>0</v>
      </c>
      <c r="K2526" s="29">
        <f t="shared" si="197"/>
        <v>15260</v>
      </c>
      <c r="L2526" s="31" t="str">
        <f t="shared" si="198"/>
        <v/>
      </c>
      <c r="M2526" s="31" t="str">
        <f t="shared" si="199"/>
        <v/>
      </c>
    </row>
    <row r="2527" spans="1:13" x14ac:dyDescent="0.15">
      <c r="A2527" s="163" t="s">
        <v>210</v>
      </c>
      <c r="B2527" s="163">
        <v>42341.777944004629</v>
      </c>
      <c r="C2527" s="164" t="s">
        <v>2244</v>
      </c>
      <c r="D2527" s="164" t="s">
        <v>13</v>
      </c>
      <c r="E2527" s="165">
        <v>20</v>
      </c>
      <c r="F2527" s="166">
        <v>0</v>
      </c>
      <c r="G2527" s="227">
        <f>IF($B$2,IF(ROWS(B$6:$B2527) = 1,$B2527-Start_Date,$B2527-$B2526),"")</f>
        <v>9.1406365754664876E-3</v>
      </c>
      <c r="H2527" s="29">
        <f>IF($B$2,IF(ROWS(B$6:$B2527) = 1,IF(COUNTIFS(R_Schedule_Times,"&lt;"&amp;B2527),INDEX(R_Schedule_Amounts,MATCH(B2527,R_Schedule_Times,1)),Starting_Cash),IF(COUNTIFS(R_Schedule_Times,"&gt;"&amp;B2526,R_Schedule_Times,"&lt;"&amp;B2527),INDEX(R_Schedule_Amounts,MATCH(B2527,R_Schedule_Times,1)),K2526)),"")</f>
        <v>15260</v>
      </c>
      <c r="I2527" s="30">
        <f t="shared" si="195"/>
        <v>20</v>
      </c>
      <c r="J2527" s="31">
        <f t="shared" si="196"/>
        <v>0</v>
      </c>
      <c r="K2527" s="29">
        <f t="shared" si="197"/>
        <v>15240</v>
      </c>
      <c r="L2527" s="31" t="str">
        <f t="shared" si="198"/>
        <v/>
      </c>
      <c r="M2527" s="31" t="str">
        <f t="shared" si="199"/>
        <v/>
      </c>
    </row>
    <row r="2528" spans="1:13" x14ac:dyDescent="0.15">
      <c r="A2528" s="163" t="s">
        <v>210</v>
      </c>
      <c r="B2528" s="163">
        <v>42341.799634895833</v>
      </c>
      <c r="C2528" s="164" t="s">
        <v>1762</v>
      </c>
      <c r="D2528" s="164" t="s">
        <v>13</v>
      </c>
      <c r="E2528" s="165">
        <v>100</v>
      </c>
      <c r="F2528" s="166">
        <v>0</v>
      </c>
      <c r="G2528" s="227">
        <f>IF($B$2,IF(ROWS(B$6:$B2528) = 1,$B2528-Start_Date,$B2528-$B2527),"")</f>
        <v>2.1690891204343643E-2</v>
      </c>
      <c r="H2528" s="29">
        <f>IF($B$2,IF(ROWS(B$6:$B2528) = 1,IF(COUNTIFS(R_Schedule_Times,"&lt;"&amp;B2528),INDEX(R_Schedule_Amounts,MATCH(B2528,R_Schedule_Times,1)),Starting_Cash),IF(COUNTIFS(R_Schedule_Times,"&gt;"&amp;B2527,R_Schedule_Times,"&lt;"&amp;B2528),INDEX(R_Schedule_Amounts,MATCH(B2528,R_Schedule_Times,1)),K2527)),"")</f>
        <v>15240</v>
      </c>
      <c r="I2528" s="30">
        <f t="shared" si="195"/>
        <v>100</v>
      </c>
      <c r="J2528" s="31">
        <f t="shared" si="196"/>
        <v>0</v>
      </c>
      <c r="K2528" s="29">
        <f t="shared" si="197"/>
        <v>15140</v>
      </c>
      <c r="L2528" s="31" t="str">
        <f t="shared" si="198"/>
        <v/>
      </c>
      <c r="M2528" s="31" t="str">
        <f t="shared" si="199"/>
        <v/>
      </c>
    </row>
    <row r="2529" spans="1:13" x14ac:dyDescent="0.15">
      <c r="A2529" s="163" t="s">
        <v>210</v>
      </c>
      <c r="B2529" s="163">
        <v>42341.832434004631</v>
      </c>
      <c r="C2529" s="164" t="s">
        <v>14</v>
      </c>
      <c r="D2529" s="164" t="s">
        <v>13</v>
      </c>
      <c r="E2529" s="165">
        <v>200</v>
      </c>
      <c r="F2529" s="166">
        <v>3.5</v>
      </c>
      <c r="G2529" s="227">
        <f>IF($B$2,IF(ROWS(B$6:$B2529) = 1,$B2529-Start_Date,$B2529-$B2528),"")</f>
        <v>3.2799108797917143E-2</v>
      </c>
      <c r="H2529" s="29">
        <f>IF($B$2,IF(ROWS(B$6:$B2529) = 1,IF(COUNTIFS(R_Schedule_Times,"&lt;"&amp;B2529),INDEX(R_Schedule_Amounts,MATCH(B2529,R_Schedule_Times,1)),Starting_Cash),IF(COUNTIFS(R_Schedule_Times,"&gt;"&amp;B2528,R_Schedule_Times,"&lt;"&amp;B2529),INDEX(R_Schedule_Amounts,MATCH(B2529,R_Schedule_Times,1)),K2528)),"")</f>
        <v>15140</v>
      </c>
      <c r="I2529" s="30">
        <f t="shared" si="195"/>
        <v>200</v>
      </c>
      <c r="J2529" s="31">
        <f t="shared" si="196"/>
        <v>3.5</v>
      </c>
      <c r="K2529" s="29">
        <f t="shared" si="197"/>
        <v>14940</v>
      </c>
      <c r="L2529" s="31" t="str">
        <f t="shared" si="198"/>
        <v/>
      </c>
      <c r="M2529" s="31" t="str">
        <f t="shared" si="199"/>
        <v/>
      </c>
    </row>
    <row r="2530" spans="1:13" x14ac:dyDescent="0.15">
      <c r="A2530" s="163" t="s">
        <v>210</v>
      </c>
      <c r="B2530" s="163">
        <v>42341.882222384258</v>
      </c>
      <c r="C2530" s="164" t="s">
        <v>14</v>
      </c>
      <c r="D2530" s="164" t="s">
        <v>13</v>
      </c>
      <c r="E2530" s="165">
        <v>100</v>
      </c>
      <c r="F2530" s="166">
        <v>3.5</v>
      </c>
      <c r="G2530" s="227">
        <f>IF($B$2,IF(ROWS(B$6:$B2530) = 1,$B2530-Start_Date,$B2530-$B2529),"")</f>
        <v>4.9788379626988899E-2</v>
      </c>
      <c r="H2530" s="29">
        <f>IF($B$2,IF(ROWS(B$6:$B2530) = 1,IF(COUNTIFS(R_Schedule_Times,"&lt;"&amp;B2530),INDEX(R_Schedule_Amounts,MATCH(B2530,R_Schedule_Times,1)),Starting_Cash),IF(COUNTIFS(R_Schedule_Times,"&gt;"&amp;B2529,R_Schedule_Times,"&lt;"&amp;B2530),INDEX(R_Schedule_Amounts,MATCH(B2530,R_Schedule_Times,1)),K2529)),"")</f>
        <v>14940</v>
      </c>
      <c r="I2530" s="30">
        <f t="shared" si="195"/>
        <v>100</v>
      </c>
      <c r="J2530" s="31">
        <f t="shared" si="196"/>
        <v>3.5</v>
      </c>
      <c r="K2530" s="29">
        <f t="shared" si="197"/>
        <v>14840</v>
      </c>
      <c r="L2530" s="31" t="str">
        <f t="shared" si="198"/>
        <v/>
      </c>
      <c r="M2530" s="31" t="str">
        <f t="shared" si="199"/>
        <v/>
      </c>
    </row>
    <row r="2531" spans="1:13" x14ac:dyDescent="0.15">
      <c r="A2531" s="163" t="s">
        <v>210</v>
      </c>
      <c r="B2531" s="163">
        <v>42341.949714629627</v>
      </c>
      <c r="C2531" s="164" t="s">
        <v>2245</v>
      </c>
      <c r="D2531" s="164" t="s">
        <v>13</v>
      </c>
      <c r="E2531" s="165">
        <v>180</v>
      </c>
      <c r="F2531" s="166">
        <v>0</v>
      </c>
      <c r="G2531" s="227">
        <f>IF($B$2,IF(ROWS(B$6:$B2531) = 1,$B2531-Start_Date,$B2531-$B2530),"")</f>
        <v>6.749224536906695E-2</v>
      </c>
      <c r="H2531" s="29">
        <f>IF($B$2,IF(ROWS(B$6:$B2531) = 1,IF(COUNTIFS(R_Schedule_Times,"&lt;"&amp;B2531),INDEX(R_Schedule_Amounts,MATCH(B2531,R_Schedule_Times,1)),Starting_Cash),IF(COUNTIFS(R_Schedule_Times,"&gt;"&amp;B2530,R_Schedule_Times,"&lt;"&amp;B2531),INDEX(R_Schedule_Amounts,MATCH(B2531,R_Schedule_Times,1)),K2530)),"")</f>
        <v>14840</v>
      </c>
      <c r="I2531" s="30">
        <f t="shared" si="195"/>
        <v>180</v>
      </c>
      <c r="J2531" s="31">
        <f t="shared" si="196"/>
        <v>0</v>
      </c>
      <c r="K2531" s="29">
        <f t="shared" si="197"/>
        <v>14660</v>
      </c>
      <c r="L2531" s="31" t="str">
        <f t="shared" si="198"/>
        <v/>
      </c>
      <c r="M2531" s="31" t="str">
        <f t="shared" si="199"/>
        <v/>
      </c>
    </row>
    <row r="2532" spans="1:13" x14ac:dyDescent="0.15">
      <c r="A2532" s="163" t="s">
        <v>210</v>
      </c>
      <c r="B2532" s="163">
        <v>42341.992547268521</v>
      </c>
      <c r="C2532" s="164" t="s">
        <v>2246</v>
      </c>
      <c r="D2532" s="164" t="s">
        <v>13</v>
      </c>
      <c r="E2532" s="165">
        <v>40</v>
      </c>
      <c r="F2532" s="166">
        <v>0</v>
      </c>
      <c r="G2532" s="227">
        <f>IF($B$2,IF(ROWS(B$6:$B2532) = 1,$B2532-Start_Date,$B2532-$B2531),"")</f>
        <v>4.2832638893742114E-2</v>
      </c>
      <c r="H2532" s="29">
        <f>IF($B$2,IF(ROWS(B$6:$B2532) = 1,IF(COUNTIFS(R_Schedule_Times,"&lt;"&amp;B2532),INDEX(R_Schedule_Amounts,MATCH(B2532,R_Schedule_Times,1)),Starting_Cash),IF(COUNTIFS(R_Schedule_Times,"&gt;"&amp;B2531,R_Schedule_Times,"&lt;"&amp;B2532),INDEX(R_Schedule_Amounts,MATCH(B2532,R_Schedule_Times,1)),K2531)),"")</f>
        <v>14660</v>
      </c>
      <c r="I2532" s="30">
        <f t="shared" si="195"/>
        <v>40</v>
      </c>
      <c r="J2532" s="31">
        <f t="shared" si="196"/>
        <v>0</v>
      </c>
      <c r="K2532" s="29">
        <f t="shared" si="197"/>
        <v>14620</v>
      </c>
      <c r="L2532" s="31" t="str">
        <f t="shared" si="198"/>
        <v/>
      </c>
      <c r="M2532" s="31" t="str">
        <f t="shared" si="199"/>
        <v/>
      </c>
    </row>
    <row r="2533" spans="1:13" x14ac:dyDescent="0.15">
      <c r="A2533" s="163" t="s">
        <v>210</v>
      </c>
      <c r="B2533" s="163">
        <v>42342.228577731483</v>
      </c>
      <c r="C2533" s="164" t="s">
        <v>2247</v>
      </c>
      <c r="D2533" s="164" t="s">
        <v>13</v>
      </c>
      <c r="E2533" s="165">
        <v>200</v>
      </c>
      <c r="F2533" s="166">
        <v>0</v>
      </c>
      <c r="G2533" s="227">
        <f>IF($B$2,IF(ROWS(B$6:$B2533) = 1,$B2533-Start_Date,$B2533-$B2532),"")</f>
        <v>0.23603046296193497</v>
      </c>
      <c r="H2533" s="29">
        <f>IF($B$2,IF(ROWS(B$6:$B2533) = 1,IF(COUNTIFS(R_Schedule_Times,"&lt;"&amp;B2533),INDEX(R_Schedule_Amounts,MATCH(B2533,R_Schedule_Times,1)),Starting_Cash),IF(COUNTIFS(R_Schedule_Times,"&gt;"&amp;B2532,R_Schedule_Times,"&lt;"&amp;B2533),INDEX(R_Schedule_Amounts,MATCH(B2533,R_Schedule_Times,1)),K2532)),"")</f>
        <v>14620</v>
      </c>
      <c r="I2533" s="30">
        <f t="shared" si="195"/>
        <v>200</v>
      </c>
      <c r="J2533" s="31">
        <f t="shared" si="196"/>
        <v>0</v>
      </c>
      <c r="K2533" s="29">
        <f t="shared" si="197"/>
        <v>14420</v>
      </c>
      <c r="L2533" s="31" t="str">
        <f t="shared" si="198"/>
        <v/>
      </c>
      <c r="M2533" s="31" t="str">
        <f t="shared" si="199"/>
        <v/>
      </c>
    </row>
    <row r="2534" spans="1:13" x14ac:dyDescent="0.15">
      <c r="A2534" s="163" t="s">
        <v>210</v>
      </c>
      <c r="B2534" s="163">
        <v>42342.248184502314</v>
      </c>
      <c r="C2534" s="164" t="s">
        <v>2248</v>
      </c>
      <c r="D2534" s="164" t="s">
        <v>13</v>
      </c>
      <c r="E2534" s="165">
        <v>40</v>
      </c>
      <c r="F2534" s="166">
        <v>0</v>
      </c>
      <c r="G2534" s="227">
        <f>IF($B$2,IF(ROWS(B$6:$B2534) = 1,$B2534-Start_Date,$B2534-$B2533),"")</f>
        <v>1.9606770831160247E-2</v>
      </c>
      <c r="H2534" s="29">
        <f>IF($B$2,IF(ROWS(B$6:$B2534) = 1,IF(COUNTIFS(R_Schedule_Times,"&lt;"&amp;B2534),INDEX(R_Schedule_Amounts,MATCH(B2534,R_Schedule_Times,1)),Starting_Cash),IF(COUNTIFS(R_Schedule_Times,"&gt;"&amp;B2533,R_Schedule_Times,"&lt;"&amp;B2534),INDEX(R_Schedule_Amounts,MATCH(B2534,R_Schedule_Times,1)),K2533)),"")</f>
        <v>14420</v>
      </c>
      <c r="I2534" s="30">
        <f t="shared" si="195"/>
        <v>40</v>
      </c>
      <c r="J2534" s="31">
        <f t="shared" si="196"/>
        <v>0</v>
      </c>
      <c r="K2534" s="29">
        <f t="shared" si="197"/>
        <v>14380</v>
      </c>
      <c r="L2534" s="31" t="str">
        <f t="shared" si="198"/>
        <v/>
      </c>
      <c r="M2534" s="31" t="str">
        <f t="shared" si="199"/>
        <v/>
      </c>
    </row>
    <row r="2535" spans="1:13" x14ac:dyDescent="0.15">
      <c r="A2535" s="163" t="s">
        <v>210</v>
      </c>
      <c r="B2535" s="163">
        <v>42342.292099699072</v>
      </c>
      <c r="C2535" s="164" t="s">
        <v>14</v>
      </c>
      <c r="D2535" s="164" t="s">
        <v>13</v>
      </c>
      <c r="E2535" s="165">
        <v>100</v>
      </c>
      <c r="F2535" s="166">
        <v>3.5</v>
      </c>
      <c r="G2535" s="227">
        <f>IF($B$2,IF(ROWS(B$6:$B2535) = 1,$B2535-Start_Date,$B2535-$B2534),"")</f>
        <v>4.3915196758462116E-2</v>
      </c>
      <c r="H2535" s="29">
        <f>IF($B$2,IF(ROWS(B$6:$B2535) = 1,IF(COUNTIFS(R_Schedule_Times,"&lt;"&amp;B2535),INDEX(R_Schedule_Amounts,MATCH(B2535,R_Schedule_Times,1)),Starting_Cash),IF(COUNTIFS(R_Schedule_Times,"&gt;"&amp;B2534,R_Schedule_Times,"&lt;"&amp;B2535),INDEX(R_Schedule_Amounts,MATCH(B2535,R_Schedule_Times,1)),K2534)),"")</f>
        <v>14380</v>
      </c>
      <c r="I2535" s="30">
        <f t="shared" si="195"/>
        <v>100</v>
      </c>
      <c r="J2535" s="31">
        <f t="shared" si="196"/>
        <v>3.5</v>
      </c>
      <c r="K2535" s="29">
        <f t="shared" si="197"/>
        <v>14280</v>
      </c>
      <c r="L2535" s="31" t="str">
        <f t="shared" si="198"/>
        <v/>
      </c>
      <c r="M2535" s="31" t="str">
        <f t="shared" si="199"/>
        <v/>
      </c>
    </row>
    <row r="2536" spans="1:13" x14ac:dyDescent="0.15">
      <c r="A2536" s="163" t="s">
        <v>210</v>
      </c>
      <c r="B2536" s="163">
        <v>42342.32318042824</v>
      </c>
      <c r="C2536" s="164" t="s">
        <v>2249</v>
      </c>
      <c r="D2536" s="164" t="s">
        <v>13</v>
      </c>
      <c r="E2536" s="165">
        <v>100</v>
      </c>
      <c r="F2536" s="166">
        <v>0</v>
      </c>
      <c r="G2536" s="227">
        <f>IF($B$2,IF(ROWS(B$6:$B2536) = 1,$B2536-Start_Date,$B2536-$B2535),"")</f>
        <v>3.1080729168024845E-2</v>
      </c>
      <c r="H2536" s="29">
        <f>IF($B$2,IF(ROWS(B$6:$B2536) = 1,IF(COUNTIFS(R_Schedule_Times,"&lt;"&amp;B2536),INDEX(R_Schedule_Amounts,MATCH(B2536,R_Schedule_Times,1)),Starting_Cash),IF(COUNTIFS(R_Schedule_Times,"&gt;"&amp;B2535,R_Schedule_Times,"&lt;"&amp;B2536),INDEX(R_Schedule_Amounts,MATCH(B2536,R_Schedule_Times,1)),K2535)),"")</f>
        <v>14280</v>
      </c>
      <c r="I2536" s="30">
        <f t="shared" si="195"/>
        <v>100</v>
      </c>
      <c r="J2536" s="31">
        <f t="shared" si="196"/>
        <v>0</v>
      </c>
      <c r="K2536" s="29">
        <f t="shared" si="197"/>
        <v>14180</v>
      </c>
      <c r="L2536" s="31" t="str">
        <f t="shared" si="198"/>
        <v/>
      </c>
      <c r="M2536" s="31" t="str">
        <f t="shared" si="199"/>
        <v/>
      </c>
    </row>
    <row r="2537" spans="1:13" x14ac:dyDescent="0.15">
      <c r="A2537" s="163" t="s">
        <v>210</v>
      </c>
      <c r="B2537" s="163">
        <v>42342.323900949072</v>
      </c>
      <c r="C2537" s="164" t="s">
        <v>2250</v>
      </c>
      <c r="D2537" s="164" t="s">
        <v>13</v>
      </c>
      <c r="E2537" s="165">
        <v>100</v>
      </c>
      <c r="F2537" s="166">
        <v>0</v>
      </c>
      <c r="G2537" s="227">
        <f>IF($B$2,IF(ROWS(B$6:$B2537) = 1,$B2537-Start_Date,$B2537-$B2536),"")</f>
        <v>7.2052083123708144E-4</v>
      </c>
      <c r="H2537" s="29">
        <f>IF($B$2,IF(ROWS(B$6:$B2537) = 1,IF(COUNTIFS(R_Schedule_Times,"&lt;"&amp;B2537),INDEX(R_Schedule_Amounts,MATCH(B2537,R_Schedule_Times,1)),Starting_Cash),IF(COUNTIFS(R_Schedule_Times,"&gt;"&amp;B2536,R_Schedule_Times,"&lt;"&amp;B2537),INDEX(R_Schedule_Amounts,MATCH(B2537,R_Schedule_Times,1)),K2536)),"")</f>
        <v>14180</v>
      </c>
      <c r="I2537" s="30">
        <f t="shared" si="195"/>
        <v>100</v>
      </c>
      <c r="J2537" s="31">
        <f t="shared" si="196"/>
        <v>0</v>
      </c>
      <c r="K2537" s="29">
        <f t="shared" si="197"/>
        <v>14080</v>
      </c>
      <c r="L2537" s="31" t="str">
        <f t="shared" si="198"/>
        <v/>
      </c>
      <c r="M2537" s="31" t="str">
        <f t="shared" si="199"/>
        <v/>
      </c>
    </row>
    <row r="2538" spans="1:13" x14ac:dyDescent="0.15">
      <c r="A2538" s="163" t="s">
        <v>210</v>
      </c>
      <c r="B2538" s="163">
        <v>42342.327367731479</v>
      </c>
      <c r="C2538" s="164" t="s">
        <v>2251</v>
      </c>
      <c r="D2538" s="164" t="s">
        <v>13</v>
      </c>
      <c r="E2538" s="165">
        <v>60</v>
      </c>
      <c r="F2538" s="166">
        <v>0</v>
      </c>
      <c r="G2538" s="227">
        <f>IF($B$2,IF(ROWS(B$6:$B2538) = 1,$B2538-Start_Date,$B2538-$B2537),"")</f>
        <v>3.46678240748588E-3</v>
      </c>
      <c r="H2538" s="29">
        <f>IF($B$2,IF(ROWS(B$6:$B2538) = 1,IF(COUNTIFS(R_Schedule_Times,"&lt;"&amp;B2538),INDEX(R_Schedule_Amounts,MATCH(B2538,R_Schedule_Times,1)),Starting_Cash),IF(COUNTIFS(R_Schedule_Times,"&gt;"&amp;B2537,R_Schedule_Times,"&lt;"&amp;B2538),INDEX(R_Schedule_Amounts,MATCH(B2538,R_Schedule_Times,1)),K2537)),"")</f>
        <v>14080</v>
      </c>
      <c r="I2538" s="30">
        <f t="shared" si="195"/>
        <v>60</v>
      </c>
      <c r="J2538" s="31">
        <f t="shared" si="196"/>
        <v>0</v>
      </c>
      <c r="K2538" s="29">
        <f t="shared" si="197"/>
        <v>14020</v>
      </c>
      <c r="L2538" s="31" t="str">
        <f t="shared" si="198"/>
        <v/>
      </c>
      <c r="M2538" s="31" t="str">
        <f t="shared" si="199"/>
        <v/>
      </c>
    </row>
    <row r="2539" spans="1:13" x14ac:dyDescent="0.15">
      <c r="A2539" s="163" t="s">
        <v>210</v>
      </c>
      <c r="B2539" s="163">
        <v>42342.33791746528</v>
      </c>
      <c r="C2539" s="164" t="s">
        <v>462</v>
      </c>
      <c r="D2539" s="164" t="s">
        <v>13</v>
      </c>
      <c r="E2539" s="165">
        <v>200</v>
      </c>
      <c r="F2539" s="166">
        <v>0</v>
      </c>
      <c r="G2539" s="227">
        <f>IF($B$2,IF(ROWS(B$6:$B2539) = 1,$B2539-Start_Date,$B2539-$B2538),"")</f>
        <v>1.0549733800871763E-2</v>
      </c>
      <c r="H2539" s="29">
        <f>IF($B$2,IF(ROWS(B$6:$B2539) = 1,IF(COUNTIFS(R_Schedule_Times,"&lt;"&amp;B2539),INDEX(R_Schedule_Amounts,MATCH(B2539,R_Schedule_Times,1)),Starting_Cash),IF(COUNTIFS(R_Schedule_Times,"&gt;"&amp;B2538,R_Schedule_Times,"&lt;"&amp;B2539),INDEX(R_Schedule_Amounts,MATCH(B2539,R_Schedule_Times,1)),K2538)),"")</f>
        <v>14020</v>
      </c>
      <c r="I2539" s="30">
        <f t="shared" si="195"/>
        <v>200</v>
      </c>
      <c r="J2539" s="31">
        <f t="shared" si="196"/>
        <v>0</v>
      </c>
      <c r="K2539" s="29">
        <f t="shared" si="197"/>
        <v>13820</v>
      </c>
      <c r="L2539" s="31" t="str">
        <f t="shared" si="198"/>
        <v/>
      </c>
      <c r="M2539" s="31" t="str">
        <f t="shared" si="199"/>
        <v/>
      </c>
    </row>
    <row r="2540" spans="1:13" x14ac:dyDescent="0.15">
      <c r="A2540" s="163" t="s">
        <v>210</v>
      </c>
      <c r="B2540" s="163">
        <v>42342.367168912038</v>
      </c>
      <c r="C2540" s="164" t="s">
        <v>2252</v>
      </c>
      <c r="D2540" s="164" t="s">
        <v>13</v>
      </c>
      <c r="E2540" s="165">
        <v>40</v>
      </c>
      <c r="F2540" s="166">
        <v>0</v>
      </c>
      <c r="G2540" s="227">
        <f>IF($B$2,IF(ROWS(B$6:$B2540) = 1,$B2540-Start_Date,$B2540-$B2539),"")</f>
        <v>2.9251446758280508E-2</v>
      </c>
      <c r="H2540" s="29">
        <f>IF($B$2,IF(ROWS(B$6:$B2540) = 1,IF(COUNTIFS(R_Schedule_Times,"&lt;"&amp;B2540),INDEX(R_Schedule_Amounts,MATCH(B2540,R_Schedule_Times,1)),Starting_Cash),IF(COUNTIFS(R_Schedule_Times,"&gt;"&amp;B2539,R_Schedule_Times,"&lt;"&amp;B2540),INDEX(R_Schedule_Amounts,MATCH(B2540,R_Schedule_Times,1)),K2539)),"")</f>
        <v>13820</v>
      </c>
      <c r="I2540" s="30">
        <f t="shared" si="195"/>
        <v>40</v>
      </c>
      <c r="J2540" s="31">
        <f t="shared" si="196"/>
        <v>0</v>
      </c>
      <c r="K2540" s="29">
        <f t="shared" si="197"/>
        <v>13780</v>
      </c>
      <c r="L2540" s="31" t="str">
        <f t="shared" si="198"/>
        <v/>
      </c>
      <c r="M2540" s="31" t="str">
        <f t="shared" si="199"/>
        <v/>
      </c>
    </row>
    <row r="2541" spans="1:13" x14ac:dyDescent="0.15">
      <c r="A2541" s="163" t="s">
        <v>210</v>
      </c>
      <c r="B2541" s="163">
        <v>42342.377134479168</v>
      </c>
      <c r="C2541" s="164" t="s">
        <v>2253</v>
      </c>
      <c r="D2541" s="164" t="s">
        <v>13</v>
      </c>
      <c r="E2541" s="165">
        <v>40</v>
      </c>
      <c r="F2541" s="166">
        <v>0</v>
      </c>
      <c r="G2541" s="227">
        <f>IF($B$2,IF(ROWS(B$6:$B2541) = 1,$B2541-Start_Date,$B2541-$B2540),"")</f>
        <v>9.9655671292566694E-3</v>
      </c>
      <c r="H2541" s="29">
        <f>IF($B$2,IF(ROWS(B$6:$B2541) = 1,IF(COUNTIFS(R_Schedule_Times,"&lt;"&amp;B2541),INDEX(R_Schedule_Amounts,MATCH(B2541,R_Schedule_Times,1)),Starting_Cash),IF(COUNTIFS(R_Schedule_Times,"&gt;"&amp;B2540,R_Schedule_Times,"&lt;"&amp;B2541),INDEX(R_Schedule_Amounts,MATCH(B2541,R_Schedule_Times,1)),K2540)),"")</f>
        <v>13780</v>
      </c>
      <c r="I2541" s="30">
        <f t="shared" si="195"/>
        <v>40</v>
      </c>
      <c r="J2541" s="31">
        <f t="shared" si="196"/>
        <v>0</v>
      </c>
      <c r="K2541" s="29">
        <f t="shared" si="197"/>
        <v>13740</v>
      </c>
      <c r="L2541" s="31" t="str">
        <f t="shared" si="198"/>
        <v/>
      </c>
      <c r="M2541" s="31" t="str">
        <f t="shared" si="199"/>
        <v/>
      </c>
    </row>
    <row r="2542" spans="1:13" x14ac:dyDescent="0.15">
      <c r="A2542" s="163" t="s">
        <v>210</v>
      </c>
      <c r="B2542" s="163">
        <v>42342.419131087961</v>
      </c>
      <c r="C2542" s="164" t="s">
        <v>2254</v>
      </c>
      <c r="D2542" s="164" t="s">
        <v>13</v>
      </c>
      <c r="E2542" s="165">
        <v>20</v>
      </c>
      <c r="F2542" s="166">
        <v>0</v>
      </c>
      <c r="G2542" s="227">
        <f>IF($B$2,IF(ROWS(B$6:$B2542) = 1,$B2542-Start_Date,$B2542-$B2541),"")</f>
        <v>4.1996608793851919E-2</v>
      </c>
      <c r="H2542" s="29">
        <f>IF($B$2,IF(ROWS(B$6:$B2542) = 1,IF(COUNTIFS(R_Schedule_Times,"&lt;"&amp;B2542),INDEX(R_Schedule_Amounts,MATCH(B2542,R_Schedule_Times,1)),Starting_Cash),IF(COUNTIFS(R_Schedule_Times,"&gt;"&amp;B2541,R_Schedule_Times,"&lt;"&amp;B2542),INDEX(R_Schedule_Amounts,MATCH(B2542,R_Schedule_Times,1)),K2541)),"")</f>
        <v>13740</v>
      </c>
      <c r="I2542" s="30">
        <f t="shared" si="195"/>
        <v>20</v>
      </c>
      <c r="J2542" s="31">
        <f t="shared" si="196"/>
        <v>0</v>
      </c>
      <c r="K2542" s="29">
        <f t="shared" si="197"/>
        <v>13720</v>
      </c>
      <c r="L2542" s="31" t="str">
        <f t="shared" si="198"/>
        <v/>
      </c>
      <c r="M2542" s="31" t="str">
        <f t="shared" si="199"/>
        <v/>
      </c>
    </row>
    <row r="2543" spans="1:13" x14ac:dyDescent="0.15">
      <c r="A2543" s="163" t="s">
        <v>210</v>
      </c>
      <c r="B2543" s="163">
        <v>42342.431580173608</v>
      </c>
      <c r="C2543" s="164" t="s">
        <v>125</v>
      </c>
      <c r="D2543" s="164" t="s">
        <v>13</v>
      </c>
      <c r="E2543" s="165">
        <v>100</v>
      </c>
      <c r="F2543" s="166">
        <v>0</v>
      </c>
      <c r="G2543" s="227">
        <f>IF($B$2,IF(ROWS(B$6:$B2543) = 1,$B2543-Start_Date,$B2543-$B2542),"")</f>
        <v>1.2449085646949243E-2</v>
      </c>
      <c r="H2543" s="29">
        <f>IF($B$2,IF(ROWS(B$6:$B2543) = 1,IF(COUNTIFS(R_Schedule_Times,"&lt;"&amp;B2543),INDEX(R_Schedule_Amounts,MATCH(B2543,R_Schedule_Times,1)),Starting_Cash),IF(COUNTIFS(R_Schedule_Times,"&gt;"&amp;B2542,R_Schedule_Times,"&lt;"&amp;B2543),INDEX(R_Schedule_Amounts,MATCH(B2543,R_Schedule_Times,1)),K2542)),"")</f>
        <v>13720</v>
      </c>
      <c r="I2543" s="30">
        <f t="shared" si="195"/>
        <v>100</v>
      </c>
      <c r="J2543" s="31">
        <f t="shared" si="196"/>
        <v>0</v>
      </c>
      <c r="K2543" s="29">
        <f t="shared" si="197"/>
        <v>13620</v>
      </c>
      <c r="L2543" s="31" t="str">
        <f t="shared" si="198"/>
        <v/>
      </c>
      <c r="M2543" s="31" t="str">
        <f t="shared" si="199"/>
        <v/>
      </c>
    </row>
    <row r="2544" spans="1:13" x14ac:dyDescent="0.15">
      <c r="A2544" s="163" t="s">
        <v>210</v>
      </c>
      <c r="B2544" s="163">
        <v>42342.433088796293</v>
      </c>
      <c r="C2544" s="164" t="s">
        <v>2255</v>
      </c>
      <c r="D2544" s="164" t="s">
        <v>13</v>
      </c>
      <c r="E2544" s="165">
        <v>500</v>
      </c>
      <c r="F2544" s="166">
        <v>0</v>
      </c>
      <c r="G2544" s="227">
        <f>IF($B$2,IF(ROWS(B$6:$B2544) = 1,$B2544-Start_Date,$B2544-$B2543),"")</f>
        <v>1.5086226849234663E-3</v>
      </c>
      <c r="H2544" s="29">
        <f>IF($B$2,IF(ROWS(B$6:$B2544) = 1,IF(COUNTIFS(R_Schedule_Times,"&lt;"&amp;B2544),INDEX(R_Schedule_Amounts,MATCH(B2544,R_Schedule_Times,1)),Starting_Cash),IF(COUNTIFS(R_Schedule_Times,"&gt;"&amp;B2543,R_Schedule_Times,"&lt;"&amp;B2544),INDEX(R_Schedule_Amounts,MATCH(B2544,R_Schedule_Times,1)),K2543)),"")</f>
        <v>13620</v>
      </c>
      <c r="I2544" s="30">
        <f t="shared" si="195"/>
        <v>500</v>
      </c>
      <c r="J2544" s="31">
        <f t="shared" si="196"/>
        <v>0</v>
      </c>
      <c r="K2544" s="29">
        <f t="shared" si="197"/>
        <v>13120</v>
      </c>
      <c r="L2544" s="31" t="str">
        <f t="shared" si="198"/>
        <v/>
      </c>
      <c r="M2544" s="31" t="str">
        <f t="shared" si="199"/>
        <v/>
      </c>
    </row>
    <row r="2545" spans="1:13" x14ac:dyDescent="0.15">
      <c r="A2545" s="163" t="s">
        <v>210</v>
      </c>
      <c r="B2545" s="163">
        <v>42342.435630023145</v>
      </c>
      <c r="C2545" s="164" t="s">
        <v>2256</v>
      </c>
      <c r="D2545" s="164" t="s">
        <v>13</v>
      </c>
      <c r="E2545" s="165">
        <v>500</v>
      </c>
      <c r="F2545" s="166">
        <v>0</v>
      </c>
      <c r="G2545" s="227">
        <f>IF($B$2,IF(ROWS(B$6:$B2545) = 1,$B2545-Start_Date,$B2545-$B2544),"")</f>
        <v>2.5412268514628522E-3</v>
      </c>
      <c r="H2545" s="29">
        <f>IF($B$2,IF(ROWS(B$6:$B2545) = 1,IF(COUNTIFS(R_Schedule_Times,"&lt;"&amp;B2545),INDEX(R_Schedule_Amounts,MATCH(B2545,R_Schedule_Times,1)),Starting_Cash),IF(COUNTIFS(R_Schedule_Times,"&gt;"&amp;B2544,R_Schedule_Times,"&lt;"&amp;B2545),INDEX(R_Schedule_Amounts,MATCH(B2545,R_Schedule_Times,1)),K2544)),"")</f>
        <v>13120</v>
      </c>
      <c r="I2545" s="30">
        <f t="shared" si="195"/>
        <v>500</v>
      </c>
      <c r="J2545" s="31">
        <f t="shared" si="196"/>
        <v>0</v>
      </c>
      <c r="K2545" s="29">
        <f t="shared" si="197"/>
        <v>12620</v>
      </c>
      <c r="L2545" s="31" t="str">
        <f t="shared" si="198"/>
        <v/>
      </c>
      <c r="M2545" s="31" t="str">
        <f t="shared" si="199"/>
        <v/>
      </c>
    </row>
    <row r="2546" spans="1:13" x14ac:dyDescent="0.15">
      <c r="A2546" s="163" t="s">
        <v>210</v>
      </c>
      <c r="B2546" s="163">
        <v>42342.439914178241</v>
      </c>
      <c r="C2546" s="164" t="s">
        <v>490</v>
      </c>
      <c r="D2546" s="164" t="s">
        <v>13</v>
      </c>
      <c r="E2546" s="165">
        <v>100</v>
      </c>
      <c r="F2546" s="166">
        <v>0</v>
      </c>
      <c r="G2546" s="227">
        <f>IF($B$2,IF(ROWS(B$6:$B2546) = 1,$B2546-Start_Date,$B2546-$B2545),"")</f>
        <v>4.2841550966841169E-3</v>
      </c>
      <c r="H2546" s="29">
        <f>IF($B$2,IF(ROWS(B$6:$B2546) = 1,IF(COUNTIFS(R_Schedule_Times,"&lt;"&amp;B2546),INDEX(R_Schedule_Amounts,MATCH(B2546,R_Schedule_Times,1)),Starting_Cash),IF(COUNTIFS(R_Schedule_Times,"&gt;"&amp;B2545,R_Schedule_Times,"&lt;"&amp;B2546),INDEX(R_Schedule_Amounts,MATCH(B2546,R_Schedule_Times,1)),K2545)),"")</f>
        <v>12620</v>
      </c>
      <c r="I2546" s="30">
        <f t="shared" si="195"/>
        <v>100</v>
      </c>
      <c r="J2546" s="31">
        <f t="shared" si="196"/>
        <v>0</v>
      </c>
      <c r="K2546" s="29">
        <f t="shared" si="197"/>
        <v>12520</v>
      </c>
      <c r="L2546" s="31" t="str">
        <f t="shared" si="198"/>
        <v/>
      </c>
      <c r="M2546" s="31" t="str">
        <f t="shared" si="199"/>
        <v/>
      </c>
    </row>
    <row r="2547" spans="1:13" x14ac:dyDescent="0.15">
      <c r="A2547" s="163" t="s">
        <v>210</v>
      </c>
      <c r="B2547" s="163">
        <v>42342.455885555559</v>
      </c>
      <c r="C2547" s="164" t="s">
        <v>2257</v>
      </c>
      <c r="D2547" s="164" t="s">
        <v>13</v>
      </c>
      <c r="E2547" s="165">
        <v>140</v>
      </c>
      <c r="F2547" s="166">
        <v>0</v>
      </c>
      <c r="G2547" s="227">
        <f>IF($B$2,IF(ROWS(B$6:$B2547) = 1,$B2547-Start_Date,$B2547-$B2546),"")</f>
        <v>1.5971377317328006E-2</v>
      </c>
      <c r="H2547" s="29">
        <f>IF($B$2,IF(ROWS(B$6:$B2547) = 1,IF(COUNTIFS(R_Schedule_Times,"&lt;"&amp;B2547),INDEX(R_Schedule_Amounts,MATCH(B2547,R_Schedule_Times,1)),Starting_Cash),IF(COUNTIFS(R_Schedule_Times,"&gt;"&amp;B2546,R_Schedule_Times,"&lt;"&amp;B2547),INDEX(R_Schedule_Amounts,MATCH(B2547,R_Schedule_Times,1)),K2546)),"")</f>
        <v>12520</v>
      </c>
      <c r="I2547" s="30">
        <f t="shared" si="195"/>
        <v>140</v>
      </c>
      <c r="J2547" s="31">
        <f t="shared" si="196"/>
        <v>0</v>
      </c>
      <c r="K2547" s="29">
        <f t="shared" si="197"/>
        <v>12380</v>
      </c>
      <c r="L2547" s="31" t="str">
        <f t="shared" si="198"/>
        <v/>
      </c>
      <c r="M2547" s="31" t="str">
        <f t="shared" si="199"/>
        <v/>
      </c>
    </row>
    <row r="2548" spans="1:13" x14ac:dyDescent="0.15">
      <c r="A2548" s="163" t="s">
        <v>210</v>
      </c>
      <c r="B2548" s="163">
        <v>42342.493440231483</v>
      </c>
      <c r="C2548" s="164" t="s">
        <v>14</v>
      </c>
      <c r="D2548" s="164" t="s">
        <v>13</v>
      </c>
      <c r="E2548" s="165">
        <v>100</v>
      </c>
      <c r="F2548" s="166">
        <v>3.5</v>
      </c>
      <c r="G2548" s="227">
        <f>IF($B$2,IF(ROWS(B$6:$B2548) = 1,$B2548-Start_Date,$B2548-$B2547),"")</f>
        <v>3.7554675924184266E-2</v>
      </c>
      <c r="H2548" s="29">
        <f>IF($B$2,IF(ROWS(B$6:$B2548) = 1,IF(COUNTIFS(R_Schedule_Times,"&lt;"&amp;B2548),INDEX(R_Schedule_Amounts,MATCH(B2548,R_Schedule_Times,1)),Starting_Cash),IF(COUNTIFS(R_Schedule_Times,"&gt;"&amp;B2547,R_Schedule_Times,"&lt;"&amp;B2548),INDEX(R_Schedule_Amounts,MATCH(B2548,R_Schedule_Times,1)),K2547)),"")</f>
        <v>12380</v>
      </c>
      <c r="I2548" s="30">
        <f t="shared" si="195"/>
        <v>100</v>
      </c>
      <c r="J2548" s="31">
        <f t="shared" si="196"/>
        <v>3.5</v>
      </c>
      <c r="K2548" s="29">
        <f t="shared" si="197"/>
        <v>12280</v>
      </c>
      <c r="L2548" s="31" t="str">
        <f t="shared" si="198"/>
        <v/>
      </c>
      <c r="M2548" s="31" t="str">
        <f t="shared" si="199"/>
        <v/>
      </c>
    </row>
    <row r="2549" spans="1:13" x14ac:dyDescent="0.15">
      <c r="A2549" s="163" t="s">
        <v>210</v>
      </c>
      <c r="B2549" s="163">
        <v>42342.494434039349</v>
      </c>
      <c r="C2549" s="164" t="s">
        <v>2258</v>
      </c>
      <c r="D2549" s="164" t="s">
        <v>13</v>
      </c>
      <c r="E2549" s="165">
        <v>100</v>
      </c>
      <c r="F2549" s="166">
        <v>0</v>
      </c>
      <c r="G2549" s="227">
        <f>IF($B$2,IF(ROWS(B$6:$B2549) = 1,$B2549-Start_Date,$B2549-$B2548),"")</f>
        <v>9.9380786559777334E-4</v>
      </c>
      <c r="H2549" s="29">
        <f>IF($B$2,IF(ROWS(B$6:$B2549) = 1,IF(COUNTIFS(R_Schedule_Times,"&lt;"&amp;B2549),INDEX(R_Schedule_Amounts,MATCH(B2549,R_Schedule_Times,1)),Starting_Cash),IF(COUNTIFS(R_Schedule_Times,"&gt;"&amp;B2548,R_Schedule_Times,"&lt;"&amp;B2549),INDEX(R_Schedule_Amounts,MATCH(B2549,R_Schedule_Times,1)),K2548)),"")</f>
        <v>12280</v>
      </c>
      <c r="I2549" s="30">
        <f t="shared" si="195"/>
        <v>100</v>
      </c>
      <c r="J2549" s="31">
        <f t="shared" si="196"/>
        <v>0</v>
      </c>
      <c r="K2549" s="29">
        <f t="shared" si="197"/>
        <v>12180</v>
      </c>
      <c r="L2549" s="31" t="str">
        <f t="shared" si="198"/>
        <v/>
      </c>
      <c r="M2549" s="31" t="str">
        <f t="shared" si="199"/>
        <v/>
      </c>
    </row>
    <row r="2550" spans="1:13" x14ac:dyDescent="0.15">
      <c r="A2550" s="163" t="s">
        <v>210</v>
      </c>
      <c r="B2550" s="163">
        <v>42342.500695127317</v>
      </c>
      <c r="C2550" s="164" t="s">
        <v>2259</v>
      </c>
      <c r="D2550" s="164" t="s">
        <v>13</v>
      </c>
      <c r="E2550" s="165">
        <v>40</v>
      </c>
      <c r="F2550" s="166">
        <v>0</v>
      </c>
      <c r="G2550" s="227">
        <f>IF($B$2,IF(ROWS(B$6:$B2550) = 1,$B2550-Start_Date,$B2550-$B2549),"")</f>
        <v>6.2610879685962573E-3</v>
      </c>
      <c r="H2550" s="29">
        <f>IF($B$2,IF(ROWS(B$6:$B2550) = 1,IF(COUNTIFS(R_Schedule_Times,"&lt;"&amp;B2550),INDEX(R_Schedule_Amounts,MATCH(B2550,R_Schedule_Times,1)),Starting_Cash),IF(COUNTIFS(R_Schedule_Times,"&gt;"&amp;B2549,R_Schedule_Times,"&lt;"&amp;B2550),INDEX(R_Schedule_Amounts,MATCH(B2550,R_Schedule_Times,1)),K2549)),"")</f>
        <v>12180</v>
      </c>
      <c r="I2550" s="30">
        <f t="shared" si="195"/>
        <v>40</v>
      </c>
      <c r="J2550" s="31">
        <f t="shared" si="196"/>
        <v>0</v>
      </c>
      <c r="K2550" s="29">
        <f t="shared" si="197"/>
        <v>12140</v>
      </c>
      <c r="L2550" s="31" t="str">
        <f t="shared" si="198"/>
        <v/>
      </c>
      <c r="M2550" s="31" t="str">
        <f t="shared" si="199"/>
        <v/>
      </c>
    </row>
    <row r="2551" spans="1:13" x14ac:dyDescent="0.15">
      <c r="A2551" s="163" t="s">
        <v>210</v>
      </c>
      <c r="B2551" s="163">
        <v>42342.501513831019</v>
      </c>
      <c r="C2551" s="164" t="s">
        <v>2260</v>
      </c>
      <c r="D2551" s="164" t="s">
        <v>13</v>
      </c>
      <c r="E2551" s="165">
        <v>40</v>
      </c>
      <c r="F2551" s="166">
        <v>0</v>
      </c>
      <c r="G2551" s="227">
        <f>IF($B$2,IF(ROWS(B$6:$B2551) = 1,$B2551-Start_Date,$B2551-$B2550),"")</f>
        <v>8.1870370195247233E-4</v>
      </c>
      <c r="H2551" s="29">
        <f>IF($B$2,IF(ROWS(B$6:$B2551) = 1,IF(COUNTIFS(R_Schedule_Times,"&lt;"&amp;B2551),INDEX(R_Schedule_Amounts,MATCH(B2551,R_Schedule_Times,1)),Starting_Cash),IF(COUNTIFS(R_Schedule_Times,"&gt;"&amp;B2550,R_Schedule_Times,"&lt;"&amp;B2551),INDEX(R_Schedule_Amounts,MATCH(B2551,R_Schedule_Times,1)),K2550)),"")</f>
        <v>12140</v>
      </c>
      <c r="I2551" s="30">
        <f t="shared" si="195"/>
        <v>40</v>
      </c>
      <c r="J2551" s="31">
        <f t="shared" si="196"/>
        <v>0</v>
      </c>
      <c r="K2551" s="29">
        <f t="shared" si="197"/>
        <v>12100</v>
      </c>
      <c r="L2551" s="31" t="str">
        <f t="shared" si="198"/>
        <v/>
      </c>
      <c r="M2551" s="31" t="str">
        <f t="shared" si="199"/>
        <v/>
      </c>
    </row>
    <row r="2552" spans="1:13" x14ac:dyDescent="0.15">
      <c r="A2552" s="163" t="s">
        <v>210</v>
      </c>
      <c r="B2552" s="163">
        <v>42342.503791539355</v>
      </c>
      <c r="C2552" s="164" t="s">
        <v>2261</v>
      </c>
      <c r="D2552" s="164" t="s">
        <v>13</v>
      </c>
      <c r="E2552" s="165">
        <v>60</v>
      </c>
      <c r="F2552" s="166">
        <v>0</v>
      </c>
      <c r="G2552" s="227">
        <f>IF($B$2,IF(ROWS(B$6:$B2552) = 1,$B2552-Start_Date,$B2552-$B2551),"")</f>
        <v>2.2777083358960226E-3</v>
      </c>
      <c r="H2552" s="29">
        <f>IF($B$2,IF(ROWS(B$6:$B2552) = 1,IF(COUNTIFS(R_Schedule_Times,"&lt;"&amp;B2552),INDEX(R_Schedule_Amounts,MATCH(B2552,R_Schedule_Times,1)),Starting_Cash),IF(COUNTIFS(R_Schedule_Times,"&gt;"&amp;B2551,R_Schedule_Times,"&lt;"&amp;B2552),INDEX(R_Schedule_Amounts,MATCH(B2552,R_Schedule_Times,1)),K2551)),"")</f>
        <v>12100</v>
      </c>
      <c r="I2552" s="30">
        <f t="shared" si="195"/>
        <v>60</v>
      </c>
      <c r="J2552" s="31">
        <f t="shared" si="196"/>
        <v>0</v>
      </c>
      <c r="K2552" s="29">
        <f t="shared" si="197"/>
        <v>12040</v>
      </c>
      <c r="L2552" s="31" t="str">
        <f t="shared" si="198"/>
        <v/>
      </c>
      <c r="M2552" s="31" t="str">
        <f t="shared" si="199"/>
        <v/>
      </c>
    </row>
    <row r="2553" spans="1:13" x14ac:dyDescent="0.15">
      <c r="A2553" s="163" t="s">
        <v>210</v>
      </c>
      <c r="B2553" s="163">
        <v>42342.516404930553</v>
      </c>
      <c r="C2553" s="164" t="s">
        <v>2262</v>
      </c>
      <c r="D2553" s="164" t="s">
        <v>13</v>
      </c>
      <c r="E2553" s="165">
        <v>20</v>
      </c>
      <c r="F2553" s="166">
        <v>0</v>
      </c>
      <c r="G2553" s="227">
        <f>IF($B$2,IF(ROWS(B$6:$B2553) = 1,$B2553-Start_Date,$B2553-$B2552),"")</f>
        <v>1.2613391198101453E-2</v>
      </c>
      <c r="H2553" s="29">
        <f>IF($B$2,IF(ROWS(B$6:$B2553) = 1,IF(COUNTIFS(R_Schedule_Times,"&lt;"&amp;B2553),INDEX(R_Schedule_Amounts,MATCH(B2553,R_Schedule_Times,1)),Starting_Cash),IF(COUNTIFS(R_Schedule_Times,"&gt;"&amp;B2552,R_Schedule_Times,"&lt;"&amp;B2553),INDEX(R_Schedule_Amounts,MATCH(B2553,R_Schedule_Times,1)),K2552)),"")</f>
        <v>12040</v>
      </c>
      <c r="I2553" s="30">
        <f t="shared" si="195"/>
        <v>20</v>
      </c>
      <c r="J2553" s="31">
        <f t="shared" si="196"/>
        <v>0</v>
      </c>
      <c r="K2553" s="29">
        <f t="shared" si="197"/>
        <v>12020</v>
      </c>
      <c r="L2553" s="31" t="str">
        <f t="shared" si="198"/>
        <v/>
      </c>
      <c r="M2553" s="31" t="str">
        <f t="shared" si="199"/>
        <v/>
      </c>
    </row>
    <row r="2554" spans="1:13" x14ac:dyDescent="0.15">
      <c r="A2554" s="163" t="s">
        <v>210</v>
      </c>
      <c r="B2554" s="163">
        <v>42342.517388831016</v>
      </c>
      <c r="C2554" s="164" t="s">
        <v>2263</v>
      </c>
      <c r="D2554" s="164" t="s">
        <v>13</v>
      </c>
      <c r="E2554" s="165">
        <v>60</v>
      </c>
      <c r="F2554" s="166">
        <v>0</v>
      </c>
      <c r="G2554" s="227">
        <f>IF($B$2,IF(ROWS(B$6:$B2554) = 1,$B2554-Start_Date,$B2554-$B2553),"")</f>
        <v>9.839004633249715E-4</v>
      </c>
      <c r="H2554" s="29">
        <f>IF($B$2,IF(ROWS(B$6:$B2554) = 1,IF(COUNTIFS(R_Schedule_Times,"&lt;"&amp;B2554),INDEX(R_Schedule_Amounts,MATCH(B2554,R_Schedule_Times,1)),Starting_Cash),IF(COUNTIFS(R_Schedule_Times,"&gt;"&amp;B2553,R_Schedule_Times,"&lt;"&amp;B2554),INDEX(R_Schedule_Amounts,MATCH(B2554,R_Schedule_Times,1)),K2553)),"")</f>
        <v>12020</v>
      </c>
      <c r="I2554" s="30">
        <f t="shared" si="195"/>
        <v>60</v>
      </c>
      <c r="J2554" s="31">
        <f t="shared" si="196"/>
        <v>0</v>
      </c>
      <c r="K2554" s="29">
        <f t="shared" si="197"/>
        <v>11960</v>
      </c>
      <c r="L2554" s="31" t="str">
        <f t="shared" si="198"/>
        <v/>
      </c>
      <c r="M2554" s="31" t="str">
        <f t="shared" si="199"/>
        <v/>
      </c>
    </row>
    <row r="2555" spans="1:13" x14ac:dyDescent="0.15">
      <c r="A2555" s="163" t="s">
        <v>210</v>
      </c>
      <c r="B2555" s="163">
        <v>42342.520195694444</v>
      </c>
      <c r="C2555" s="164" t="s">
        <v>2264</v>
      </c>
      <c r="D2555" s="164" t="s">
        <v>13</v>
      </c>
      <c r="E2555" s="165">
        <v>420</v>
      </c>
      <c r="F2555" s="166">
        <v>0</v>
      </c>
      <c r="G2555" s="227">
        <f>IF($B$2,IF(ROWS(B$6:$B2555) = 1,$B2555-Start_Date,$B2555-$B2554),"")</f>
        <v>2.8068634273950011E-3</v>
      </c>
      <c r="H2555" s="29">
        <f>IF($B$2,IF(ROWS(B$6:$B2555) = 1,IF(COUNTIFS(R_Schedule_Times,"&lt;"&amp;B2555),INDEX(R_Schedule_Amounts,MATCH(B2555,R_Schedule_Times,1)),Starting_Cash),IF(COUNTIFS(R_Schedule_Times,"&gt;"&amp;B2554,R_Schedule_Times,"&lt;"&amp;B2555),INDEX(R_Schedule_Amounts,MATCH(B2555,R_Schedule_Times,1)),K2554)),"")</f>
        <v>11960</v>
      </c>
      <c r="I2555" s="30">
        <f t="shared" si="195"/>
        <v>420</v>
      </c>
      <c r="J2555" s="31">
        <f t="shared" si="196"/>
        <v>0</v>
      </c>
      <c r="K2555" s="29">
        <f t="shared" si="197"/>
        <v>11540</v>
      </c>
      <c r="L2555" s="31" t="str">
        <f t="shared" si="198"/>
        <v/>
      </c>
      <c r="M2555" s="31" t="str">
        <f t="shared" si="199"/>
        <v/>
      </c>
    </row>
    <row r="2556" spans="1:13" x14ac:dyDescent="0.15">
      <c r="A2556" s="163" t="s">
        <v>210</v>
      </c>
      <c r="B2556" s="163">
        <v>42342.525738275464</v>
      </c>
      <c r="C2556" s="164" t="s">
        <v>491</v>
      </c>
      <c r="D2556" s="164" t="s">
        <v>13</v>
      </c>
      <c r="E2556" s="165">
        <v>40</v>
      </c>
      <c r="F2556" s="166">
        <v>0</v>
      </c>
      <c r="G2556" s="227">
        <f>IF($B$2,IF(ROWS(B$6:$B2556) = 1,$B2556-Start_Date,$B2556-$B2555),"")</f>
        <v>5.5425810205633752E-3</v>
      </c>
      <c r="H2556" s="29">
        <f>IF($B$2,IF(ROWS(B$6:$B2556) = 1,IF(COUNTIFS(R_Schedule_Times,"&lt;"&amp;B2556),INDEX(R_Schedule_Amounts,MATCH(B2556,R_Schedule_Times,1)),Starting_Cash),IF(COUNTIFS(R_Schedule_Times,"&gt;"&amp;B2555,R_Schedule_Times,"&lt;"&amp;B2556),INDEX(R_Schedule_Amounts,MATCH(B2556,R_Schedule_Times,1)),K2555)),"")</f>
        <v>11540</v>
      </c>
      <c r="I2556" s="30">
        <f t="shared" si="195"/>
        <v>40</v>
      </c>
      <c r="J2556" s="31">
        <f t="shared" si="196"/>
        <v>0</v>
      </c>
      <c r="K2556" s="29">
        <f t="shared" si="197"/>
        <v>11500</v>
      </c>
      <c r="L2556" s="31" t="str">
        <f t="shared" si="198"/>
        <v/>
      </c>
      <c r="M2556" s="31" t="str">
        <f t="shared" si="199"/>
        <v/>
      </c>
    </row>
    <row r="2557" spans="1:13" x14ac:dyDescent="0.15">
      <c r="A2557" s="163" t="s">
        <v>210</v>
      </c>
      <c r="B2557" s="163">
        <v>42342.531009918981</v>
      </c>
      <c r="C2557" s="164" t="s">
        <v>2265</v>
      </c>
      <c r="D2557" s="164" t="s">
        <v>13</v>
      </c>
      <c r="E2557" s="165">
        <v>120</v>
      </c>
      <c r="F2557" s="166">
        <v>0</v>
      </c>
      <c r="G2557" s="227">
        <f>IF($B$2,IF(ROWS(B$6:$B2557) = 1,$B2557-Start_Date,$B2557-$B2556),"")</f>
        <v>5.2716435166075826E-3</v>
      </c>
      <c r="H2557" s="29">
        <f>IF($B$2,IF(ROWS(B$6:$B2557) = 1,IF(COUNTIFS(R_Schedule_Times,"&lt;"&amp;B2557),INDEX(R_Schedule_Amounts,MATCH(B2557,R_Schedule_Times,1)),Starting_Cash),IF(COUNTIFS(R_Schedule_Times,"&gt;"&amp;B2556,R_Schedule_Times,"&lt;"&amp;B2557),INDEX(R_Schedule_Amounts,MATCH(B2557,R_Schedule_Times,1)),K2556)),"")</f>
        <v>11500</v>
      </c>
      <c r="I2557" s="30">
        <f t="shared" si="195"/>
        <v>120</v>
      </c>
      <c r="J2557" s="31">
        <f t="shared" si="196"/>
        <v>0</v>
      </c>
      <c r="K2557" s="29">
        <f t="shared" si="197"/>
        <v>11380</v>
      </c>
      <c r="L2557" s="31" t="str">
        <f t="shared" si="198"/>
        <v/>
      </c>
      <c r="M2557" s="31" t="str">
        <f t="shared" si="199"/>
        <v/>
      </c>
    </row>
    <row r="2558" spans="1:13" x14ac:dyDescent="0.15">
      <c r="A2558" s="163" t="s">
        <v>210</v>
      </c>
      <c r="B2558" s="163">
        <v>42342.544171527778</v>
      </c>
      <c r="C2558" s="164" t="s">
        <v>173</v>
      </c>
      <c r="D2558" s="164" t="s">
        <v>13</v>
      </c>
      <c r="E2558" s="165">
        <v>200</v>
      </c>
      <c r="F2558" s="166">
        <v>0</v>
      </c>
      <c r="G2558" s="227">
        <f>IF($B$2,IF(ROWS(B$6:$B2558) = 1,$B2558-Start_Date,$B2558-$B2557),"")</f>
        <v>1.3161608796508517E-2</v>
      </c>
      <c r="H2558" s="29">
        <f>IF($B$2,IF(ROWS(B$6:$B2558) = 1,IF(COUNTIFS(R_Schedule_Times,"&lt;"&amp;B2558),INDEX(R_Schedule_Amounts,MATCH(B2558,R_Schedule_Times,1)),Starting_Cash),IF(COUNTIFS(R_Schedule_Times,"&gt;"&amp;B2557,R_Schedule_Times,"&lt;"&amp;B2558),INDEX(R_Schedule_Amounts,MATCH(B2558,R_Schedule_Times,1)),K2557)),"")</f>
        <v>11380</v>
      </c>
      <c r="I2558" s="30">
        <f t="shared" si="195"/>
        <v>200</v>
      </c>
      <c r="J2558" s="31">
        <f t="shared" si="196"/>
        <v>0</v>
      </c>
      <c r="K2558" s="29">
        <f t="shared" si="197"/>
        <v>11180</v>
      </c>
      <c r="L2558" s="31" t="str">
        <f t="shared" si="198"/>
        <v/>
      </c>
      <c r="M2558" s="31" t="str">
        <f t="shared" si="199"/>
        <v/>
      </c>
    </row>
    <row r="2559" spans="1:13" x14ac:dyDescent="0.15">
      <c r="A2559" s="163" t="s">
        <v>210</v>
      </c>
      <c r="B2559" s="163">
        <v>42342.563352083336</v>
      </c>
      <c r="C2559" s="164" t="s">
        <v>2266</v>
      </c>
      <c r="D2559" s="164" t="s">
        <v>13</v>
      </c>
      <c r="E2559" s="165">
        <v>40</v>
      </c>
      <c r="F2559" s="166">
        <v>0</v>
      </c>
      <c r="G2559" s="227">
        <f>IF($B$2,IF(ROWS(B$6:$B2559) = 1,$B2559-Start_Date,$B2559-$B2558),"")</f>
        <v>1.9180555558705237E-2</v>
      </c>
      <c r="H2559" s="29">
        <f>IF($B$2,IF(ROWS(B$6:$B2559) = 1,IF(COUNTIFS(R_Schedule_Times,"&lt;"&amp;B2559),INDEX(R_Schedule_Amounts,MATCH(B2559,R_Schedule_Times,1)),Starting_Cash),IF(COUNTIFS(R_Schedule_Times,"&gt;"&amp;B2558,R_Schedule_Times,"&lt;"&amp;B2559),INDEX(R_Schedule_Amounts,MATCH(B2559,R_Schedule_Times,1)),K2558)),"")</f>
        <v>11180</v>
      </c>
      <c r="I2559" s="30">
        <f t="shared" si="195"/>
        <v>40</v>
      </c>
      <c r="J2559" s="31">
        <f t="shared" si="196"/>
        <v>0</v>
      </c>
      <c r="K2559" s="29">
        <f t="shared" si="197"/>
        <v>11140</v>
      </c>
      <c r="L2559" s="31" t="str">
        <f t="shared" si="198"/>
        <v/>
      </c>
      <c r="M2559" s="31" t="str">
        <f t="shared" si="199"/>
        <v/>
      </c>
    </row>
    <row r="2560" spans="1:13" x14ac:dyDescent="0.15">
      <c r="A2560" s="163" t="s">
        <v>210</v>
      </c>
      <c r="B2560" s="163">
        <v>42342.57272152778</v>
      </c>
      <c r="C2560" s="164" t="s">
        <v>2267</v>
      </c>
      <c r="D2560" s="164" t="s">
        <v>13</v>
      </c>
      <c r="E2560" s="165">
        <v>100</v>
      </c>
      <c r="F2560" s="166">
        <v>0</v>
      </c>
      <c r="G2560" s="227">
        <f>IF($B$2,IF(ROWS(B$6:$B2560) = 1,$B2560-Start_Date,$B2560-$B2559),"")</f>
        <v>9.3694444440188818E-3</v>
      </c>
      <c r="H2560" s="29">
        <f>IF($B$2,IF(ROWS(B$6:$B2560) = 1,IF(COUNTIFS(R_Schedule_Times,"&lt;"&amp;B2560),INDEX(R_Schedule_Amounts,MATCH(B2560,R_Schedule_Times,1)),Starting_Cash),IF(COUNTIFS(R_Schedule_Times,"&gt;"&amp;B2559,R_Schedule_Times,"&lt;"&amp;B2560),INDEX(R_Schedule_Amounts,MATCH(B2560,R_Schedule_Times,1)),K2559)),"")</f>
        <v>11140</v>
      </c>
      <c r="I2560" s="30">
        <f t="shared" si="195"/>
        <v>100</v>
      </c>
      <c r="J2560" s="31">
        <f t="shared" si="196"/>
        <v>0</v>
      </c>
      <c r="K2560" s="29">
        <f t="shared" si="197"/>
        <v>11040</v>
      </c>
      <c r="L2560" s="31" t="str">
        <f t="shared" si="198"/>
        <v/>
      </c>
      <c r="M2560" s="31" t="str">
        <f t="shared" si="199"/>
        <v/>
      </c>
    </row>
    <row r="2561" spans="1:13" x14ac:dyDescent="0.15">
      <c r="A2561" s="163" t="s">
        <v>210</v>
      </c>
      <c r="B2561" s="163">
        <v>42342.576440428238</v>
      </c>
      <c r="C2561" s="164" t="s">
        <v>78</v>
      </c>
      <c r="D2561" s="164" t="s">
        <v>13</v>
      </c>
      <c r="E2561" s="165">
        <v>80</v>
      </c>
      <c r="F2561" s="166">
        <v>0</v>
      </c>
      <c r="G2561" s="227">
        <f>IF($B$2,IF(ROWS(B$6:$B2561) = 1,$B2561-Start_Date,$B2561-$B2560),"")</f>
        <v>3.7189004578976892E-3</v>
      </c>
      <c r="H2561" s="29">
        <f>IF($B$2,IF(ROWS(B$6:$B2561) = 1,IF(COUNTIFS(R_Schedule_Times,"&lt;"&amp;B2561),INDEX(R_Schedule_Amounts,MATCH(B2561,R_Schedule_Times,1)),Starting_Cash),IF(COUNTIFS(R_Schedule_Times,"&gt;"&amp;B2560,R_Schedule_Times,"&lt;"&amp;B2561),INDEX(R_Schedule_Amounts,MATCH(B2561,R_Schedule_Times,1)),K2560)),"")</f>
        <v>11040</v>
      </c>
      <c r="I2561" s="30">
        <f t="shared" si="195"/>
        <v>80</v>
      </c>
      <c r="J2561" s="31">
        <f t="shared" si="196"/>
        <v>0</v>
      </c>
      <c r="K2561" s="29">
        <f t="shared" si="197"/>
        <v>10960</v>
      </c>
      <c r="L2561" s="31" t="str">
        <f t="shared" si="198"/>
        <v/>
      </c>
      <c r="M2561" s="31" t="str">
        <f t="shared" si="199"/>
        <v/>
      </c>
    </row>
    <row r="2562" spans="1:13" x14ac:dyDescent="0.15">
      <c r="A2562" s="163" t="s">
        <v>210</v>
      </c>
      <c r="B2562" s="163">
        <v>42342.584912245373</v>
      </c>
      <c r="C2562" s="164" t="s">
        <v>492</v>
      </c>
      <c r="D2562" s="164" t="s">
        <v>13</v>
      </c>
      <c r="E2562" s="165">
        <v>60</v>
      </c>
      <c r="F2562" s="166">
        <v>0</v>
      </c>
      <c r="G2562" s="227">
        <f>IF($B$2,IF(ROWS(B$6:$B2562) = 1,$B2562-Start_Date,$B2562-$B2561),"")</f>
        <v>8.4718171347049065E-3</v>
      </c>
      <c r="H2562" s="29">
        <f>IF($B$2,IF(ROWS(B$6:$B2562) = 1,IF(COUNTIFS(R_Schedule_Times,"&lt;"&amp;B2562),INDEX(R_Schedule_Amounts,MATCH(B2562,R_Schedule_Times,1)),Starting_Cash),IF(COUNTIFS(R_Schedule_Times,"&gt;"&amp;B2561,R_Schedule_Times,"&lt;"&amp;B2562),INDEX(R_Schedule_Amounts,MATCH(B2562,R_Schedule_Times,1)),K2561)),"")</f>
        <v>10960</v>
      </c>
      <c r="I2562" s="30">
        <f t="shared" si="195"/>
        <v>60</v>
      </c>
      <c r="J2562" s="31">
        <f t="shared" si="196"/>
        <v>0</v>
      </c>
      <c r="K2562" s="29">
        <f t="shared" si="197"/>
        <v>10900</v>
      </c>
      <c r="L2562" s="31" t="str">
        <f t="shared" si="198"/>
        <v/>
      </c>
      <c r="M2562" s="31" t="str">
        <f t="shared" si="199"/>
        <v/>
      </c>
    </row>
    <row r="2563" spans="1:13" x14ac:dyDescent="0.15">
      <c r="A2563" s="163" t="s">
        <v>210</v>
      </c>
      <c r="B2563" s="163">
        <v>42342.590073078703</v>
      </c>
      <c r="C2563" s="164" t="s">
        <v>2268</v>
      </c>
      <c r="D2563" s="164" t="s">
        <v>13</v>
      </c>
      <c r="E2563" s="165">
        <v>100</v>
      </c>
      <c r="F2563" s="166">
        <v>0</v>
      </c>
      <c r="G2563" s="227">
        <f>IF($B$2,IF(ROWS(B$6:$B2563) = 1,$B2563-Start_Date,$B2563-$B2562),"")</f>
        <v>5.1608333305921406E-3</v>
      </c>
      <c r="H2563" s="29">
        <f>IF($B$2,IF(ROWS(B$6:$B2563) = 1,IF(COUNTIFS(R_Schedule_Times,"&lt;"&amp;B2563),INDEX(R_Schedule_Amounts,MATCH(B2563,R_Schedule_Times,1)),Starting_Cash),IF(COUNTIFS(R_Schedule_Times,"&gt;"&amp;B2562,R_Schedule_Times,"&lt;"&amp;B2563),INDEX(R_Schedule_Amounts,MATCH(B2563,R_Schedule_Times,1)),K2562)),"")</f>
        <v>10900</v>
      </c>
      <c r="I2563" s="30">
        <f t="shared" si="195"/>
        <v>100</v>
      </c>
      <c r="J2563" s="31">
        <f t="shared" si="196"/>
        <v>0</v>
      </c>
      <c r="K2563" s="29">
        <f t="shared" si="197"/>
        <v>10800</v>
      </c>
      <c r="L2563" s="31" t="str">
        <f t="shared" si="198"/>
        <v/>
      </c>
      <c r="M2563" s="31" t="str">
        <f t="shared" si="199"/>
        <v/>
      </c>
    </row>
    <row r="2564" spans="1:13" x14ac:dyDescent="0.15">
      <c r="A2564" s="163" t="s">
        <v>210</v>
      </c>
      <c r="B2564" s="163">
        <v>42342.597341400462</v>
      </c>
      <c r="C2564" s="164" t="s">
        <v>14</v>
      </c>
      <c r="D2564" s="164" t="s">
        <v>13</v>
      </c>
      <c r="E2564" s="165">
        <v>80</v>
      </c>
      <c r="F2564" s="166">
        <v>3.5</v>
      </c>
      <c r="G2564" s="227">
        <f>IF($B$2,IF(ROWS(B$6:$B2564) = 1,$B2564-Start_Date,$B2564-$B2563),"")</f>
        <v>7.2683217586018145E-3</v>
      </c>
      <c r="H2564" s="29">
        <f>IF($B$2,IF(ROWS(B$6:$B2564) = 1,IF(COUNTIFS(R_Schedule_Times,"&lt;"&amp;B2564),INDEX(R_Schedule_Amounts,MATCH(B2564,R_Schedule_Times,1)),Starting_Cash),IF(COUNTIFS(R_Schedule_Times,"&gt;"&amp;B2563,R_Schedule_Times,"&lt;"&amp;B2564),INDEX(R_Schedule_Amounts,MATCH(B2564,R_Schedule_Times,1)),K2563)),"")</f>
        <v>10800</v>
      </c>
      <c r="I2564" s="30">
        <f t="shared" si="195"/>
        <v>80</v>
      </c>
      <c r="J2564" s="31">
        <f t="shared" si="196"/>
        <v>3.5</v>
      </c>
      <c r="K2564" s="29">
        <f t="shared" si="197"/>
        <v>10720</v>
      </c>
      <c r="L2564" s="31" t="str">
        <f t="shared" si="198"/>
        <v/>
      </c>
      <c r="M2564" s="31" t="str">
        <f t="shared" si="199"/>
        <v/>
      </c>
    </row>
    <row r="2565" spans="1:13" x14ac:dyDescent="0.15">
      <c r="A2565" s="163" t="s">
        <v>210</v>
      </c>
      <c r="B2565" s="163">
        <v>42342.605268263891</v>
      </c>
      <c r="C2565" s="164" t="s">
        <v>2269</v>
      </c>
      <c r="D2565" s="164" t="s">
        <v>13</v>
      </c>
      <c r="E2565" s="165">
        <v>60</v>
      </c>
      <c r="F2565" s="166">
        <v>0</v>
      </c>
      <c r="G2565" s="227">
        <f>IF($B$2,IF(ROWS(B$6:$B2565) = 1,$B2565-Start_Date,$B2565-$B2564),"")</f>
        <v>7.9268634290201589E-3</v>
      </c>
      <c r="H2565" s="29">
        <f>IF($B$2,IF(ROWS(B$6:$B2565) = 1,IF(COUNTIFS(R_Schedule_Times,"&lt;"&amp;B2565),INDEX(R_Schedule_Amounts,MATCH(B2565,R_Schedule_Times,1)),Starting_Cash),IF(COUNTIFS(R_Schedule_Times,"&gt;"&amp;B2564,R_Schedule_Times,"&lt;"&amp;B2565),INDEX(R_Schedule_Amounts,MATCH(B2565,R_Schedule_Times,1)),K2564)),"")</f>
        <v>10720</v>
      </c>
      <c r="I2565" s="30">
        <f t="shared" si="195"/>
        <v>60</v>
      </c>
      <c r="J2565" s="31">
        <f t="shared" si="196"/>
        <v>0</v>
      </c>
      <c r="K2565" s="29">
        <f t="shared" si="197"/>
        <v>10660</v>
      </c>
      <c r="L2565" s="31" t="str">
        <f t="shared" si="198"/>
        <v/>
      </c>
      <c r="M2565" s="31" t="str">
        <f t="shared" si="199"/>
        <v/>
      </c>
    </row>
    <row r="2566" spans="1:13" x14ac:dyDescent="0.15">
      <c r="A2566" s="163" t="s">
        <v>210</v>
      </c>
      <c r="B2566" s="163">
        <v>42342.607437048609</v>
      </c>
      <c r="C2566" s="164" t="s">
        <v>14</v>
      </c>
      <c r="D2566" s="164" t="s">
        <v>13</v>
      </c>
      <c r="E2566" s="165">
        <v>60</v>
      </c>
      <c r="F2566" s="166">
        <v>3.5</v>
      </c>
      <c r="G2566" s="227">
        <f>IF($B$2,IF(ROWS(B$6:$B2566) = 1,$B2566-Start_Date,$B2566-$B2565),"")</f>
        <v>2.168784718378447E-3</v>
      </c>
      <c r="H2566" s="29">
        <f>IF($B$2,IF(ROWS(B$6:$B2566) = 1,IF(COUNTIFS(R_Schedule_Times,"&lt;"&amp;B2566),INDEX(R_Schedule_Amounts,MATCH(B2566,R_Schedule_Times,1)),Starting_Cash),IF(COUNTIFS(R_Schedule_Times,"&gt;"&amp;B2565,R_Schedule_Times,"&lt;"&amp;B2566),INDEX(R_Schedule_Amounts,MATCH(B2566,R_Schedule_Times,1)),K2565)),"")</f>
        <v>10660</v>
      </c>
      <c r="I2566" s="30">
        <f t="shared" si="195"/>
        <v>60</v>
      </c>
      <c r="J2566" s="31">
        <f t="shared" si="196"/>
        <v>3.5</v>
      </c>
      <c r="K2566" s="29">
        <f t="shared" si="197"/>
        <v>10600</v>
      </c>
      <c r="L2566" s="31" t="str">
        <f t="shared" si="198"/>
        <v/>
      </c>
      <c r="M2566" s="31" t="str">
        <f t="shared" si="199"/>
        <v/>
      </c>
    </row>
    <row r="2567" spans="1:13" x14ac:dyDescent="0.15">
      <c r="A2567" s="163" t="s">
        <v>210</v>
      </c>
      <c r="B2567" s="163">
        <v>42342.622975416663</v>
      </c>
      <c r="C2567" s="164" t="s">
        <v>14</v>
      </c>
      <c r="D2567" s="164" t="s">
        <v>13</v>
      </c>
      <c r="E2567" s="165">
        <v>40</v>
      </c>
      <c r="F2567" s="166">
        <v>3.5</v>
      </c>
      <c r="G2567" s="227">
        <f>IF($B$2,IF(ROWS(B$6:$B2567) = 1,$B2567-Start_Date,$B2567-$B2566),"")</f>
        <v>1.5538368053967133E-2</v>
      </c>
      <c r="H2567" s="29">
        <f>IF($B$2,IF(ROWS(B$6:$B2567) = 1,IF(COUNTIFS(R_Schedule_Times,"&lt;"&amp;B2567),INDEX(R_Schedule_Amounts,MATCH(B2567,R_Schedule_Times,1)),Starting_Cash),IF(COUNTIFS(R_Schedule_Times,"&gt;"&amp;B2566,R_Schedule_Times,"&lt;"&amp;B2567),INDEX(R_Schedule_Amounts,MATCH(B2567,R_Schedule_Times,1)),K2566)),"")</f>
        <v>10600</v>
      </c>
      <c r="I2567" s="30">
        <f t="shared" ref="I2567:I2630" si="200">IF($B$2,IF(H2567&gt;=E2567,E2567,0),"")</f>
        <v>40</v>
      </c>
      <c r="J2567" s="31">
        <f t="shared" ref="J2567:J2630" si="201">IF($B$2,IF(H2567&gt;=E2567,F2567,0),"")</f>
        <v>3.5</v>
      </c>
      <c r="K2567" s="29">
        <f t="shared" ref="K2567:K2630" si="202">IF($B$2,ABS(I2567-H2567),"")</f>
        <v>10560</v>
      </c>
      <c r="L2567" s="31" t="str">
        <f t="shared" ref="L2567:L2630" si="203">IF($B$2,IF(H2567&lt;E2567,"YES",""),"")</f>
        <v/>
      </c>
      <c r="M2567" s="31" t="str">
        <f t="shared" ref="M2567:M2630" si="204">IF($B$2,IF(L2567="YES",F2567,""),"")</f>
        <v/>
      </c>
    </row>
    <row r="2568" spans="1:13" x14ac:dyDescent="0.15">
      <c r="A2568" s="163" t="s">
        <v>210</v>
      </c>
      <c r="B2568" s="163">
        <v>42342.646370439812</v>
      </c>
      <c r="C2568" s="164" t="s">
        <v>14</v>
      </c>
      <c r="D2568" s="164" t="s">
        <v>15</v>
      </c>
      <c r="E2568" s="165">
        <v>200</v>
      </c>
      <c r="F2568" s="166">
        <v>8.5</v>
      </c>
      <c r="G2568" s="227">
        <f>IF($B$2,IF(ROWS(B$6:$B2568) = 1,$B2568-Start_Date,$B2568-$B2567),"")</f>
        <v>2.3395023148623295E-2</v>
      </c>
      <c r="H2568" s="29">
        <f>IF($B$2,IF(ROWS(B$6:$B2568) = 1,IF(COUNTIFS(R_Schedule_Times,"&lt;"&amp;B2568),INDEX(R_Schedule_Amounts,MATCH(B2568,R_Schedule_Times,1)),Starting_Cash),IF(COUNTIFS(R_Schedule_Times,"&gt;"&amp;B2567,R_Schedule_Times,"&lt;"&amp;B2568),INDEX(R_Schedule_Amounts,MATCH(B2568,R_Schedule_Times,1)),K2567)),"")</f>
        <v>10560</v>
      </c>
      <c r="I2568" s="30">
        <f t="shared" si="200"/>
        <v>200</v>
      </c>
      <c r="J2568" s="31">
        <f t="shared" si="201"/>
        <v>8.5</v>
      </c>
      <c r="K2568" s="29">
        <f t="shared" si="202"/>
        <v>10360</v>
      </c>
      <c r="L2568" s="31" t="str">
        <f t="shared" si="203"/>
        <v/>
      </c>
      <c r="M2568" s="31" t="str">
        <f t="shared" si="204"/>
        <v/>
      </c>
    </row>
    <row r="2569" spans="1:13" x14ac:dyDescent="0.15">
      <c r="A2569" s="163" t="s">
        <v>210</v>
      </c>
      <c r="B2569" s="163">
        <v>42342.720287326389</v>
      </c>
      <c r="C2569" s="164" t="s">
        <v>2270</v>
      </c>
      <c r="D2569" s="164" t="s">
        <v>13</v>
      </c>
      <c r="E2569" s="165">
        <v>40</v>
      </c>
      <c r="F2569" s="166">
        <v>0</v>
      </c>
      <c r="G2569" s="227">
        <f>IF($B$2,IF(ROWS(B$6:$B2569) = 1,$B2569-Start_Date,$B2569-$B2568),"")</f>
        <v>7.3916886576625984E-2</v>
      </c>
      <c r="H2569" s="29">
        <f>IF($B$2,IF(ROWS(B$6:$B2569) = 1,IF(COUNTIFS(R_Schedule_Times,"&lt;"&amp;B2569),INDEX(R_Schedule_Amounts,MATCH(B2569,R_Schedule_Times,1)),Starting_Cash),IF(COUNTIFS(R_Schedule_Times,"&gt;"&amp;B2568,R_Schedule_Times,"&lt;"&amp;B2569),INDEX(R_Schedule_Amounts,MATCH(B2569,R_Schedule_Times,1)),K2568)),"")</f>
        <v>10360</v>
      </c>
      <c r="I2569" s="30">
        <f t="shared" si="200"/>
        <v>40</v>
      </c>
      <c r="J2569" s="31">
        <f t="shared" si="201"/>
        <v>0</v>
      </c>
      <c r="K2569" s="29">
        <f t="shared" si="202"/>
        <v>10320</v>
      </c>
      <c r="L2569" s="31" t="str">
        <f t="shared" si="203"/>
        <v/>
      </c>
      <c r="M2569" s="31" t="str">
        <f t="shared" si="204"/>
        <v/>
      </c>
    </row>
    <row r="2570" spans="1:13" x14ac:dyDescent="0.15">
      <c r="A2570" s="163" t="s">
        <v>210</v>
      </c>
      <c r="B2570" s="163">
        <v>42342.723312662034</v>
      </c>
      <c r="C2570" s="164" t="s">
        <v>493</v>
      </c>
      <c r="D2570" s="164" t="s">
        <v>13</v>
      </c>
      <c r="E2570" s="165">
        <v>60</v>
      </c>
      <c r="F2570" s="166">
        <v>0</v>
      </c>
      <c r="G2570" s="227">
        <f>IF($B$2,IF(ROWS(B$6:$B2570) = 1,$B2570-Start_Date,$B2570-$B2569),"")</f>
        <v>3.0253356453613378E-3</v>
      </c>
      <c r="H2570" s="29">
        <f>IF($B$2,IF(ROWS(B$6:$B2570) = 1,IF(COUNTIFS(R_Schedule_Times,"&lt;"&amp;B2570),INDEX(R_Schedule_Amounts,MATCH(B2570,R_Schedule_Times,1)),Starting_Cash),IF(COUNTIFS(R_Schedule_Times,"&gt;"&amp;B2569,R_Schedule_Times,"&lt;"&amp;B2570),INDEX(R_Schedule_Amounts,MATCH(B2570,R_Schedule_Times,1)),K2569)),"")</f>
        <v>10320</v>
      </c>
      <c r="I2570" s="30">
        <f t="shared" si="200"/>
        <v>60</v>
      </c>
      <c r="J2570" s="31">
        <f t="shared" si="201"/>
        <v>0</v>
      </c>
      <c r="K2570" s="29">
        <f t="shared" si="202"/>
        <v>10260</v>
      </c>
      <c r="L2570" s="31" t="str">
        <f t="shared" si="203"/>
        <v/>
      </c>
      <c r="M2570" s="31" t="str">
        <f t="shared" si="204"/>
        <v/>
      </c>
    </row>
    <row r="2571" spans="1:13" x14ac:dyDescent="0.15">
      <c r="A2571" s="163" t="s">
        <v>210</v>
      </c>
      <c r="B2571" s="163">
        <v>42342.727541678243</v>
      </c>
      <c r="C2571" s="164" t="s">
        <v>1623</v>
      </c>
      <c r="D2571" s="164" t="s">
        <v>13</v>
      </c>
      <c r="E2571" s="165">
        <v>140</v>
      </c>
      <c r="F2571" s="166">
        <v>0</v>
      </c>
      <c r="G2571" s="227">
        <f>IF($B$2,IF(ROWS(B$6:$B2571) = 1,$B2571-Start_Date,$B2571-$B2570),"")</f>
        <v>4.229016209137626E-3</v>
      </c>
      <c r="H2571" s="29">
        <f>IF($B$2,IF(ROWS(B$6:$B2571) = 1,IF(COUNTIFS(R_Schedule_Times,"&lt;"&amp;B2571),INDEX(R_Schedule_Amounts,MATCH(B2571,R_Schedule_Times,1)),Starting_Cash),IF(COUNTIFS(R_Schedule_Times,"&gt;"&amp;B2570,R_Schedule_Times,"&lt;"&amp;B2571),INDEX(R_Schedule_Amounts,MATCH(B2571,R_Schedule_Times,1)),K2570)),"")</f>
        <v>10260</v>
      </c>
      <c r="I2571" s="30">
        <f t="shared" si="200"/>
        <v>140</v>
      </c>
      <c r="J2571" s="31">
        <f t="shared" si="201"/>
        <v>0</v>
      </c>
      <c r="K2571" s="29">
        <f t="shared" si="202"/>
        <v>10120</v>
      </c>
      <c r="L2571" s="31" t="str">
        <f t="shared" si="203"/>
        <v/>
      </c>
      <c r="M2571" s="31" t="str">
        <f t="shared" si="204"/>
        <v/>
      </c>
    </row>
    <row r="2572" spans="1:13" x14ac:dyDescent="0.15">
      <c r="A2572" s="163" t="s">
        <v>210</v>
      </c>
      <c r="B2572" s="163">
        <v>42342.73486866898</v>
      </c>
      <c r="C2572" s="164" t="s">
        <v>980</v>
      </c>
      <c r="D2572" s="164" t="s">
        <v>13</v>
      </c>
      <c r="E2572" s="165">
        <v>500</v>
      </c>
      <c r="F2572" s="166">
        <v>0</v>
      </c>
      <c r="G2572" s="227">
        <f>IF($B$2,IF(ROWS(B$6:$B2572) = 1,$B2572-Start_Date,$B2572-$B2571),"")</f>
        <v>7.326990737055894E-3</v>
      </c>
      <c r="H2572" s="29">
        <f>IF($B$2,IF(ROWS(B$6:$B2572) = 1,IF(COUNTIFS(R_Schedule_Times,"&lt;"&amp;B2572),INDEX(R_Schedule_Amounts,MATCH(B2572,R_Schedule_Times,1)),Starting_Cash),IF(COUNTIFS(R_Schedule_Times,"&gt;"&amp;B2571,R_Schedule_Times,"&lt;"&amp;B2572),INDEX(R_Schedule_Amounts,MATCH(B2572,R_Schedule_Times,1)),K2571)),"")</f>
        <v>10120</v>
      </c>
      <c r="I2572" s="30">
        <f t="shared" si="200"/>
        <v>500</v>
      </c>
      <c r="J2572" s="31">
        <f t="shared" si="201"/>
        <v>0</v>
      </c>
      <c r="K2572" s="29">
        <f t="shared" si="202"/>
        <v>9620</v>
      </c>
      <c r="L2572" s="31" t="str">
        <f t="shared" si="203"/>
        <v/>
      </c>
      <c r="M2572" s="31" t="str">
        <f t="shared" si="204"/>
        <v/>
      </c>
    </row>
    <row r="2573" spans="1:13" x14ac:dyDescent="0.15">
      <c r="A2573" s="163" t="s">
        <v>210</v>
      </c>
      <c r="B2573" s="163">
        <v>42342.745306122684</v>
      </c>
      <c r="C2573" s="164" t="s">
        <v>1479</v>
      </c>
      <c r="D2573" s="164" t="s">
        <v>13</v>
      </c>
      <c r="E2573" s="165">
        <v>20</v>
      </c>
      <c r="F2573" s="166">
        <v>0</v>
      </c>
      <c r="G2573" s="227">
        <f>IF($B$2,IF(ROWS(B$6:$B2573) = 1,$B2573-Start_Date,$B2573-$B2572),"")</f>
        <v>1.0437453704071231E-2</v>
      </c>
      <c r="H2573" s="29">
        <f>IF($B$2,IF(ROWS(B$6:$B2573) = 1,IF(COUNTIFS(R_Schedule_Times,"&lt;"&amp;B2573),INDEX(R_Schedule_Amounts,MATCH(B2573,R_Schedule_Times,1)),Starting_Cash),IF(COUNTIFS(R_Schedule_Times,"&gt;"&amp;B2572,R_Schedule_Times,"&lt;"&amp;B2573),INDEX(R_Schedule_Amounts,MATCH(B2573,R_Schedule_Times,1)),K2572)),"")</f>
        <v>9620</v>
      </c>
      <c r="I2573" s="30">
        <f t="shared" si="200"/>
        <v>20</v>
      </c>
      <c r="J2573" s="31">
        <f t="shared" si="201"/>
        <v>0</v>
      </c>
      <c r="K2573" s="29">
        <f t="shared" si="202"/>
        <v>9600</v>
      </c>
      <c r="L2573" s="31" t="str">
        <f t="shared" si="203"/>
        <v/>
      </c>
      <c r="M2573" s="31" t="str">
        <f t="shared" si="204"/>
        <v/>
      </c>
    </row>
    <row r="2574" spans="1:13" x14ac:dyDescent="0.15">
      <c r="A2574" s="163" t="s">
        <v>210</v>
      </c>
      <c r="B2574" s="163">
        <v>42342.746978437499</v>
      </c>
      <c r="C2574" s="164" t="s">
        <v>494</v>
      </c>
      <c r="D2574" s="164" t="s">
        <v>13</v>
      </c>
      <c r="E2574" s="165">
        <v>40</v>
      </c>
      <c r="F2574" s="166">
        <v>0</v>
      </c>
      <c r="G2574" s="227">
        <f>IF($B$2,IF(ROWS(B$6:$B2574) = 1,$B2574-Start_Date,$B2574-$B2573),"")</f>
        <v>1.6723148146411404E-3</v>
      </c>
      <c r="H2574" s="29">
        <f>IF($B$2,IF(ROWS(B$6:$B2574) = 1,IF(COUNTIFS(R_Schedule_Times,"&lt;"&amp;B2574),INDEX(R_Schedule_Amounts,MATCH(B2574,R_Schedule_Times,1)),Starting_Cash),IF(COUNTIFS(R_Schedule_Times,"&gt;"&amp;B2573,R_Schedule_Times,"&lt;"&amp;B2574),INDEX(R_Schedule_Amounts,MATCH(B2574,R_Schedule_Times,1)),K2573)),"")</f>
        <v>9600</v>
      </c>
      <c r="I2574" s="30">
        <f t="shared" si="200"/>
        <v>40</v>
      </c>
      <c r="J2574" s="31">
        <f t="shared" si="201"/>
        <v>0</v>
      </c>
      <c r="K2574" s="29">
        <f t="shared" si="202"/>
        <v>9560</v>
      </c>
      <c r="L2574" s="31" t="str">
        <f t="shared" si="203"/>
        <v/>
      </c>
      <c r="M2574" s="31" t="str">
        <f t="shared" si="204"/>
        <v/>
      </c>
    </row>
    <row r="2575" spans="1:13" x14ac:dyDescent="0.15">
      <c r="A2575" s="163" t="s">
        <v>210</v>
      </c>
      <c r="B2575" s="163">
        <v>42342.785959259258</v>
      </c>
      <c r="C2575" s="164" t="s">
        <v>2271</v>
      </c>
      <c r="D2575" s="164" t="s">
        <v>13</v>
      </c>
      <c r="E2575" s="165">
        <v>200</v>
      </c>
      <c r="F2575" s="166">
        <v>0</v>
      </c>
      <c r="G2575" s="227">
        <f>IF($B$2,IF(ROWS(B$6:$B2575) = 1,$B2575-Start_Date,$B2575-$B2574),"")</f>
        <v>3.8980821758741513E-2</v>
      </c>
      <c r="H2575" s="29">
        <f>IF($B$2,IF(ROWS(B$6:$B2575) = 1,IF(COUNTIFS(R_Schedule_Times,"&lt;"&amp;B2575),INDEX(R_Schedule_Amounts,MATCH(B2575,R_Schedule_Times,1)),Starting_Cash),IF(COUNTIFS(R_Schedule_Times,"&gt;"&amp;B2574,R_Schedule_Times,"&lt;"&amp;B2575),INDEX(R_Schedule_Amounts,MATCH(B2575,R_Schedule_Times,1)),K2574)),"")</f>
        <v>9560</v>
      </c>
      <c r="I2575" s="30">
        <f t="shared" si="200"/>
        <v>200</v>
      </c>
      <c r="J2575" s="31">
        <f t="shared" si="201"/>
        <v>0</v>
      </c>
      <c r="K2575" s="29">
        <f t="shared" si="202"/>
        <v>9360</v>
      </c>
      <c r="L2575" s="31" t="str">
        <f t="shared" si="203"/>
        <v/>
      </c>
      <c r="M2575" s="31" t="str">
        <f t="shared" si="204"/>
        <v/>
      </c>
    </row>
    <row r="2576" spans="1:13" x14ac:dyDescent="0.15">
      <c r="A2576" s="163" t="s">
        <v>210</v>
      </c>
      <c r="B2576" s="163">
        <v>42342.865338414354</v>
      </c>
      <c r="C2576" s="164" t="s">
        <v>2272</v>
      </c>
      <c r="D2576" s="164" t="s">
        <v>15</v>
      </c>
      <c r="E2576" s="165">
        <v>100</v>
      </c>
      <c r="F2576" s="166">
        <v>3</v>
      </c>
      <c r="G2576" s="227">
        <f>IF($B$2,IF(ROWS(B$6:$B2576) = 1,$B2576-Start_Date,$B2576-$B2575),"")</f>
        <v>7.93791550968308E-2</v>
      </c>
      <c r="H2576" s="29">
        <f>IF($B$2,IF(ROWS(B$6:$B2576) = 1,IF(COUNTIFS(R_Schedule_Times,"&lt;"&amp;B2576),INDEX(R_Schedule_Amounts,MATCH(B2576,R_Schedule_Times,1)),Starting_Cash),IF(COUNTIFS(R_Schedule_Times,"&gt;"&amp;B2575,R_Schedule_Times,"&lt;"&amp;B2576),INDEX(R_Schedule_Amounts,MATCH(B2576,R_Schedule_Times,1)),K2575)),"")</f>
        <v>9360</v>
      </c>
      <c r="I2576" s="30">
        <f t="shared" si="200"/>
        <v>100</v>
      </c>
      <c r="J2576" s="31">
        <f t="shared" si="201"/>
        <v>3</v>
      </c>
      <c r="K2576" s="29">
        <f t="shared" si="202"/>
        <v>9260</v>
      </c>
      <c r="L2576" s="31" t="str">
        <f t="shared" si="203"/>
        <v/>
      </c>
      <c r="M2576" s="31" t="str">
        <f t="shared" si="204"/>
        <v/>
      </c>
    </row>
    <row r="2577" spans="1:13" x14ac:dyDescent="0.15">
      <c r="A2577" s="163" t="s">
        <v>210</v>
      </c>
      <c r="B2577" s="163">
        <v>42342.875151469911</v>
      </c>
      <c r="C2577" s="164" t="s">
        <v>393</v>
      </c>
      <c r="D2577" s="164" t="s">
        <v>13</v>
      </c>
      <c r="E2577" s="165">
        <v>60</v>
      </c>
      <c r="F2577" s="166">
        <v>0</v>
      </c>
      <c r="G2577" s="227">
        <f>IF($B$2,IF(ROWS(B$6:$B2577) = 1,$B2577-Start_Date,$B2577-$B2576),"")</f>
        <v>9.8130555561510846E-3</v>
      </c>
      <c r="H2577" s="29">
        <f>IF($B$2,IF(ROWS(B$6:$B2577) = 1,IF(COUNTIFS(R_Schedule_Times,"&lt;"&amp;B2577),INDEX(R_Schedule_Amounts,MATCH(B2577,R_Schedule_Times,1)),Starting_Cash),IF(COUNTIFS(R_Schedule_Times,"&gt;"&amp;B2576,R_Schedule_Times,"&lt;"&amp;B2577),INDEX(R_Schedule_Amounts,MATCH(B2577,R_Schedule_Times,1)),K2576)),"")</f>
        <v>9260</v>
      </c>
      <c r="I2577" s="30">
        <f t="shared" si="200"/>
        <v>60</v>
      </c>
      <c r="J2577" s="31">
        <f t="shared" si="201"/>
        <v>0</v>
      </c>
      <c r="K2577" s="29">
        <f t="shared" si="202"/>
        <v>9200</v>
      </c>
      <c r="L2577" s="31" t="str">
        <f t="shared" si="203"/>
        <v/>
      </c>
      <c r="M2577" s="31" t="str">
        <f t="shared" si="204"/>
        <v/>
      </c>
    </row>
    <row r="2578" spans="1:13" x14ac:dyDescent="0.15">
      <c r="A2578" s="163" t="s">
        <v>210</v>
      </c>
      <c r="B2578" s="163">
        <v>42342.909473136577</v>
      </c>
      <c r="C2578" s="164" t="s">
        <v>589</v>
      </c>
      <c r="D2578" s="164" t="s">
        <v>13</v>
      </c>
      <c r="E2578" s="165">
        <v>60</v>
      </c>
      <c r="F2578" s="166">
        <v>0</v>
      </c>
      <c r="G2578" s="227">
        <f>IF($B$2,IF(ROWS(B$6:$B2578) = 1,$B2578-Start_Date,$B2578-$B2577),"")</f>
        <v>3.4321666666073725E-2</v>
      </c>
      <c r="H2578" s="29">
        <f>IF($B$2,IF(ROWS(B$6:$B2578) = 1,IF(COUNTIFS(R_Schedule_Times,"&lt;"&amp;B2578),INDEX(R_Schedule_Amounts,MATCH(B2578,R_Schedule_Times,1)),Starting_Cash),IF(COUNTIFS(R_Schedule_Times,"&gt;"&amp;B2577,R_Schedule_Times,"&lt;"&amp;B2578),INDEX(R_Schedule_Amounts,MATCH(B2578,R_Schedule_Times,1)),K2577)),"")</f>
        <v>9200</v>
      </c>
      <c r="I2578" s="30">
        <f t="shared" si="200"/>
        <v>60</v>
      </c>
      <c r="J2578" s="31">
        <f t="shared" si="201"/>
        <v>0</v>
      </c>
      <c r="K2578" s="29">
        <f t="shared" si="202"/>
        <v>9140</v>
      </c>
      <c r="L2578" s="31" t="str">
        <f t="shared" si="203"/>
        <v/>
      </c>
      <c r="M2578" s="31" t="str">
        <f t="shared" si="204"/>
        <v/>
      </c>
    </row>
    <row r="2579" spans="1:13" x14ac:dyDescent="0.15">
      <c r="A2579" s="163" t="s">
        <v>210</v>
      </c>
      <c r="B2579" s="163">
        <v>42342.919211585649</v>
      </c>
      <c r="C2579" s="164" t="s">
        <v>2273</v>
      </c>
      <c r="D2579" s="164" t="s">
        <v>13</v>
      </c>
      <c r="E2579" s="165">
        <v>60</v>
      </c>
      <c r="F2579" s="166">
        <v>0</v>
      </c>
      <c r="G2579" s="227">
        <f>IF($B$2,IF(ROWS(B$6:$B2579) = 1,$B2579-Start_Date,$B2579-$B2578),"")</f>
        <v>9.7384490727563389E-3</v>
      </c>
      <c r="H2579" s="29">
        <f>IF($B$2,IF(ROWS(B$6:$B2579) = 1,IF(COUNTIFS(R_Schedule_Times,"&lt;"&amp;B2579),INDEX(R_Schedule_Amounts,MATCH(B2579,R_Schedule_Times,1)),Starting_Cash),IF(COUNTIFS(R_Schedule_Times,"&gt;"&amp;B2578,R_Schedule_Times,"&lt;"&amp;B2579),INDEX(R_Schedule_Amounts,MATCH(B2579,R_Schedule_Times,1)),K2578)),"")</f>
        <v>9140</v>
      </c>
      <c r="I2579" s="30">
        <f t="shared" si="200"/>
        <v>60</v>
      </c>
      <c r="J2579" s="31">
        <f t="shared" si="201"/>
        <v>0</v>
      </c>
      <c r="K2579" s="29">
        <f t="shared" si="202"/>
        <v>9080</v>
      </c>
      <c r="L2579" s="31" t="str">
        <f t="shared" si="203"/>
        <v/>
      </c>
      <c r="M2579" s="31" t="str">
        <f t="shared" si="204"/>
        <v/>
      </c>
    </row>
    <row r="2580" spans="1:13" x14ac:dyDescent="0.15">
      <c r="A2580" s="163" t="s">
        <v>210</v>
      </c>
      <c r="B2580" s="163">
        <v>42342.931181736109</v>
      </c>
      <c r="C2580" s="164" t="s">
        <v>2274</v>
      </c>
      <c r="D2580" s="164" t="s">
        <v>13</v>
      </c>
      <c r="E2580" s="165">
        <v>20</v>
      </c>
      <c r="F2580" s="166">
        <v>0</v>
      </c>
      <c r="G2580" s="227">
        <f>IF($B$2,IF(ROWS(B$6:$B2580) = 1,$B2580-Start_Date,$B2580-$B2579),"")</f>
        <v>1.197015045909211E-2</v>
      </c>
      <c r="H2580" s="29">
        <f>IF($B$2,IF(ROWS(B$6:$B2580) = 1,IF(COUNTIFS(R_Schedule_Times,"&lt;"&amp;B2580),INDEX(R_Schedule_Amounts,MATCH(B2580,R_Schedule_Times,1)),Starting_Cash),IF(COUNTIFS(R_Schedule_Times,"&gt;"&amp;B2579,R_Schedule_Times,"&lt;"&amp;B2580),INDEX(R_Schedule_Amounts,MATCH(B2580,R_Schedule_Times,1)),K2579)),"")</f>
        <v>9080</v>
      </c>
      <c r="I2580" s="30">
        <f t="shared" si="200"/>
        <v>20</v>
      </c>
      <c r="J2580" s="31">
        <f t="shared" si="201"/>
        <v>0</v>
      </c>
      <c r="K2580" s="29">
        <f t="shared" si="202"/>
        <v>9060</v>
      </c>
      <c r="L2580" s="31" t="str">
        <f t="shared" si="203"/>
        <v/>
      </c>
      <c r="M2580" s="31" t="str">
        <f t="shared" si="204"/>
        <v/>
      </c>
    </row>
    <row r="2581" spans="1:13" x14ac:dyDescent="0.15">
      <c r="A2581" s="163" t="s">
        <v>210</v>
      </c>
      <c r="B2581" s="163">
        <v>42343.297218993059</v>
      </c>
      <c r="C2581" s="164" t="s">
        <v>14</v>
      </c>
      <c r="D2581" s="164" t="s">
        <v>13</v>
      </c>
      <c r="E2581" s="165">
        <v>100</v>
      </c>
      <c r="F2581" s="166">
        <v>3.5</v>
      </c>
      <c r="G2581" s="227">
        <f>IF($B$2,IF(ROWS(B$6:$B2581) = 1,$B2581-Start_Date,$B2581-$B2580),"")</f>
        <v>0.36603725695022149</v>
      </c>
      <c r="H2581" s="29">
        <f>IF($B$2,IF(ROWS(B$6:$B2581) = 1,IF(COUNTIFS(R_Schedule_Times,"&lt;"&amp;B2581),INDEX(R_Schedule_Amounts,MATCH(B2581,R_Schedule_Times,1)),Starting_Cash),IF(COUNTIFS(R_Schedule_Times,"&gt;"&amp;B2580,R_Schedule_Times,"&lt;"&amp;B2581),INDEX(R_Schedule_Amounts,MATCH(B2581,R_Schedule_Times,1)),K2580)),"")</f>
        <v>9060</v>
      </c>
      <c r="I2581" s="30">
        <f t="shared" si="200"/>
        <v>100</v>
      </c>
      <c r="J2581" s="31">
        <f t="shared" si="201"/>
        <v>3.5</v>
      </c>
      <c r="K2581" s="29">
        <f t="shared" si="202"/>
        <v>8960</v>
      </c>
      <c r="L2581" s="31" t="str">
        <f t="shared" si="203"/>
        <v/>
      </c>
      <c r="M2581" s="31" t="str">
        <f t="shared" si="204"/>
        <v/>
      </c>
    </row>
    <row r="2582" spans="1:13" x14ac:dyDescent="0.15">
      <c r="A2582" s="163" t="s">
        <v>210</v>
      </c>
      <c r="B2582" s="163">
        <v>42343.38722138889</v>
      </c>
      <c r="C2582" s="164" t="s">
        <v>2275</v>
      </c>
      <c r="D2582" s="164" t="s">
        <v>13</v>
      </c>
      <c r="E2582" s="165">
        <v>200</v>
      </c>
      <c r="F2582" s="166">
        <v>0</v>
      </c>
      <c r="G2582" s="227">
        <f>IF($B$2,IF(ROWS(B$6:$B2582) = 1,$B2582-Start_Date,$B2582-$B2581),"")</f>
        <v>9.0002395831106696E-2</v>
      </c>
      <c r="H2582" s="29">
        <f>IF($B$2,IF(ROWS(B$6:$B2582) = 1,IF(COUNTIFS(R_Schedule_Times,"&lt;"&amp;B2582),INDEX(R_Schedule_Amounts,MATCH(B2582,R_Schedule_Times,1)),Starting_Cash),IF(COUNTIFS(R_Schedule_Times,"&gt;"&amp;B2581,R_Schedule_Times,"&lt;"&amp;B2582),INDEX(R_Schedule_Amounts,MATCH(B2582,R_Schedule_Times,1)),K2581)),"")</f>
        <v>8960</v>
      </c>
      <c r="I2582" s="30">
        <f t="shared" si="200"/>
        <v>200</v>
      </c>
      <c r="J2582" s="31">
        <f t="shared" si="201"/>
        <v>0</v>
      </c>
      <c r="K2582" s="29">
        <f t="shared" si="202"/>
        <v>8760</v>
      </c>
      <c r="L2582" s="31" t="str">
        <f t="shared" si="203"/>
        <v/>
      </c>
      <c r="M2582" s="31" t="str">
        <f t="shared" si="204"/>
        <v/>
      </c>
    </row>
    <row r="2583" spans="1:13" x14ac:dyDescent="0.15">
      <c r="A2583" s="163" t="s">
        <v>210</v>
      </c>
      <c r="B2583" s="163">
        <v>42343.405346932872</v>
      </c>
      <c r="C2583" s="164" t="s">
        <v>1533</v>
      </c>
      <c r="D2583" s="164" t="s">
        <v>13</v>
      </c>
      <c r="E2583" s="165">
        <v>100</v>
      </c>
      <c r="F2583" s="166">
        <v>0</v>
      </c>
      <c r="G2583" s="227">
        <f>IF($B$2,IF(ROWS(B$6:$B2583) = 1,$B2583-Start_Date,$B2583-$B2582),"")</f>
        <v>1.8125543982023373E-2</v>
      </c>
      <c r="H2583" s="29">
        <f>IF($B$2,IF(ROWS(B$6:$B2583) = 1,IF(COUNTIFS(R_Schedule_Times,"&lt;"&amp;B2583),INDEX(R_Schedule_Amounts,MATCH(B2583,R_Schedule_Times,1)),Starting_Cash),IF(COUNTIFS(R_Schedule_Times,"&gt;"&amp;B2582,R_Schedule_Times,"&lt;"&amp;B2583),INDEX(R_Schedule_Amounts,MATCH(B2583,R_Schedule_Times,1)),K2582)),"")</f>
        <v>8760</v>
      </c>
      <c r="I2583" s="30">
        <f t="shared" si="200"/>
        <v>100</v>
      </c>
      <c r="J2583" s="31">
        <f t="shared" si="201"/>
        <v>0</v>
      </c>
      <c r="K2583" s="29">
        <f t="shared" si="202"/>
        <v>8660</v>
      </c>
      <c r="L2583" s="31" t="str">
        <f t="shared" si="203"/>
        <v/>
      </c>
      <c r="M2583" s="31" t="str">
        <f t="shared" si="204"/>
        <v/>
      </c>
    </row>
    <row r="2584" spans="1:13" x14ac:dyDescent="0.15">
      <c r="A2584" s="163" t="s">
        <v>210</v>
      </c>
      <c r="B2584" s="163">
        <v>42343.41579540509</v>
      </c>
      <c r="C2584" s="164" t="s">
        <v>337</v>
      </c>
      <c r="D2584" s="164" t="s">
        <v>13</v>
      </c>
      <c r="E2584" s="165">
        <v>60</v>
      </c>
      <c r="F2584" s="166">
        <v>0</v>
      </c>
      <c r="G2584" s="227">
        <f>IF($B$2,IF(ROWS(B$6:$B2584) = 1,$B2584-Start_Date,$B2584-$B2583),"")</f>
        <v>1.0448472217831295E-2</v>
      </c>
      <c r="H2584" s="29">
        <f>IF($B$2,IF(ROWS(B$6:$B2584) = 1,IF(COUNTIFS(R_Schedule_Times,"&lt;"&amp;B2584),INDEX(R_Schedule_Amounts,MATCH(B2584,R_Schedule_Times,1)),Starting_Cash),IF(COUNTIFS(R_Schedule_Times,"&gt;"&amp;B2583,R_Schedule_Times,"&lt;"&amp;B2584),INDEX(R_Schedule_Amounts,MATCH(B2584,R_Schedule_Times,1)),K2583)),"")</f>
        <v>8660</v>
      </c>
      <c r="I2584" s="30">
        <f t="shared" si="200"/>
        <v>60</v>
      </c>
      <c r="J2584" s="31">
        <f t="shared" si="201"/>
        <v>0</v>
      </c>
      <c r="K2584" s="29">
        <f t="shared" si="202"/>
        <v>8600</v>
      </c>
      <c r="L2584" s="31" t="str">
        <f t="shared" si="203"/>
        <v/>
      </c>
      <c r="M2584" s="31" t="str">
        <f t="shared" si="204"/>
        <v/>
      </c>
    </row>
    <row r="2585" spans="1:13" x14ac:dyDescent="0.15">
      <c r="A2585" s="163" t="s">
        <v>210</v>
      </c>
      <c r="B2585" s="163">
        <v>42343.419392685188</v>
      </c>
      <c r="C2585" s="164" t="s">
        <v>2276</v>
      </c>
      <c r="D2585" s="164" t="s">
        <v>13</v>
      </c>
      <c r="E2585" s="165">
        <v>20</v>
      </c>
      <c r="F2585" s="166">
        <v>0</v>
      </c>
      <c r="G2585" s="227">
        <f>IF($B$2,IF(ROWS(B$6:$B2585) = 1,$B2585-Start_Date,$B2585-$B2584),"")</f>
        <v>3.5972800978925079E-3</v>
      </c>
      <c r="H2585" s="29">
        <f>IF($B$2,IF(ROWS(B$6:$B2585) = 1,IF(COUNTIFS(R_Schedule_Times,"&lt;"&amp;B2585),INDEX(R_Schedule_Amounts,MATCH(B2585,R_Schedule_Times,1)),Starting_Cash),IF(COUNTIFS(R_Schedule_Times,"&gt;"&amp;B2584,R_Schedule_Times,"&lt;"&amp;B2585),INDEX(R_Schedule_Amounts,MATCH(B2585,R_Schedule_Times,1)),K2584)),"")</f>
        <v>8600</v>
      </c>
      <c r="I2585" s="30">
        <f t="shared" si="200"/>
        <v>20</v>
      </c>
      <c r="J2585" s="31">
        <f t="shared" si="201"/>
        <v>0</v>
      </c>
      <c r="K2585" s="29">
        <f t="shared" si="202"/>
        <v>8580</v>
      </c>
      <c r="L2585" s="31" t="str">
        <f t="shared" si="203"/>
        <v/>
      </c>
      <c r="M2585" s="31" t="str">
        <f t="shared" si="204"/>
        <v/>
      </c>
    </row>
    <row r="2586" spans="1:13" x14ac:dyDescent="0.15">
      <c r="A2586" s="163" t="s">
        <v>210</v>
      </c>
      <c r="B2586" s="163">
        <v>42343.426257638886</v>
      </c>
      <c r="C2586" s="164" t="s">
        <v>2277</v>
      </c>
      <c r="D2586" s="164" t="s">
        <v>13</v>
      </c>
      <c r="E2586" s="165">
        <v>60</v>
      </c>
      <c r="F2586" s="166">
        <v>0</v>
      </c>
      <c r="G2586" s="227">
        <f>IF($B$2,IF(ROWS(B$6:$B2586) = 1,$B2586-Start_Date,$B2586-$B2585),"")</f>
        <v>6.8649536988232285E-3</v>
      </c>
      <c r="H2586" s="29">
        <f>IF($B$2,IF(ROWS(B$6:$B2586) = 1,IF(COUNTIFS(R_Schedule_Times,"&lt;"&amp;B2586),INDEX(R_Schedule_Amounts,MATCH(B2586,R_Schedule_Times,1)),Starting_Cash),IF(COUNTIFS(R_Schedule_Times,"&gt;"&amp;B2585,R_Schedule_Times,"&lt;"&amp;B2586),INDEX(R_Schedule_Amounts,MATCH(B2586,R_Schedule_Times,1)),K2585)),"")</f>
        <v>8580</v>
      </c>
      <c r="I2586" s="30">
        <f t="shared" si="200"/>
        <v>60</v>
      </c>
      <c r="J2586" s="31">
        <f t="shared" si="201"/>
        <v>0</v>
      </c>
      <c r="K2586" s="29">
        <f t="shared" si="202"/>
        <v>8520</v>
      </c>
      <c r="L2586" s="31" t="str">
        <f t="shared" si="203"/>
        <v/>
      </c>
      <c r="M2586" s="31" t="str">
        <f t="shared" si="204"/>
        <v/>
      </c>
    </row>
    <row r="2587" spans="1:13" x14ac:dyDescent="0.15">
      <c r="A2587" s="163" t="s">
        <v>210</v>
      </c>
      <c r="B2587" s="163">
        <v>42343.427776805554</v>
      </c>
      <c r="C2587" s="164" t="s">
        <v>2278</v>
      </c>
      <c r="D2587" s="164" t="s">
        <v>13</v>
      </c>
      <c r="E2587" s="165">
        <v>40</v>
      </c>
      <c r="F2587" s="166">
        <v>0</v>
      </c>
      <c r="G2587" s="227">
        <f>IF($B$2,IF(ROWS(B$6:$B2587) = 1,$B2587-Start_Date,$B2587-$B2586),"")</f>
        <v>1.5191666680038907E-3</v>
      </c>
      <c r="H2587" s="29">
        <f>IF($B$2,IF(ROWS(B$6:$B2587) = 1,IF(COUNTIFS(R_Schedule_Times,"&lt;"&amp;B2587),INDEX(R_Schedule_Amounts,MATCH(B2587,R_Schedule_Times,1)),Starting_Cash),IF(COUNTIFS(R_Schedule_Times,"&gt;"&amp;B2586,R_Schedule_Times,"&lt;"&amp;B2587),INDEX(R_Schedule_Amounts,MATCH(B2587,R_Schedule_Times,1)),K2586)),"")</f>
        <v>8520</v>
      </c>
      <c r="I2587" s="30">
        <f t="shared" si="200"/>
        <v>40</v>
      </c>
      <c r="J2587" s="31">
        <f t="shared" si="201"/>
        <v>0</v>
      </c>
      <c r="K2587" s="29">
        <f t="shared" si="202"/>
        <v>8480</v>
      </c>
      <c r="L2587" s="31" t="str">
        <f t="shared" si="203"/>
        <v/>
      </c>
      <c r="M2587" s="31" t="str">
        <f t="shared" si="204"/>
        <v/>
      </c>
    </row>
    <row r="2588" spans="1:13" x14ac:dyDescent="0.15">
      <c r="A2588" s="163" t="s">
        <v>210</v>
      </c>
      <c r="B2588" s="163">
        <v>42343.444197546298</v>
      </c>
      <c r="C2588" s="164" t="s">
        <v>2279</v>
      </c>
      <c r="D2588" s="164" t="s">
        <v>13</v>
      </c>
      <c r="E2588" s="165">
        <v>120</v>
      </c>
      <c r="F2588" s="166">
        <v>0</v>
      </c>
      <c r="G2588" s="227">
        <f>IF($B$2,IF(ROWS(B$6:$B2588) = 1,$B2588-Start_Date,$B2588-$B2587),"")</f>
        <v>1.6420740743342321E-2</v>
      </c>
      <c r="H2588" s="29">
        <f>IF($B$2,IF(ROWS(B$6:$B2588) = 1,IF(COUNTIFS(R_Schedule_Times,"&lt;"&amp;B2588),INDEX(R_Schedule_Amounts,MATCH(B2588,R_Schedule_Times,1)),Starting_Cash),IF(COUNTIFS(R_Schedule_Times,"&gt;"&amp;B2587,R_Schedule_Times,"&lt;"&amp;B2588),INDEX(R_Schedule_Amounts,MATCH(B2588,R_Schedule_Times,1)),K2587)),"")</f>
        <v>8480</v>
      </c>
      <c r="I2588" s="30">
        <f t="shared" si="200"/>
        <v>120</v>
      </c>
      <c r="J2588" s="31">
        <f t="shared" si="201"/>
        <v>0</v>
      </c>
      <c r="K2588" s="29">
        <f t="shared" si="202"/>
        <v>8360</v>
      </c>
      <c r="L2588" s="31" t="str">
        <f t="shared" si="203"/>
        <v/>
      </c>
      <c r="M2588" s="31" t="str">
        <f t="shared" si="204"/>
        <v/>
      </c>
    </row>
    <row r="2589" spans="1:13" x14ac:dyDescent="0.15">
      <c r="A2589" s="163" t="s">
        <v>210</v>
      </c>
      <c r="B2589" s="163">
        <v>42343.445366307868</v>
      </c>
      <c r="C2589" s="164" t="s">
        <v>2280</v>
      </c>
      <c r="D2589" s="164" t="s">
        <v>13</v>
      </c>
      <c r="E2589" s="165">
        <v>20</v>
      </c>
      <c r="F2589" s="166">
        <v>0</v>
      </c>
      <c r="G2589" s="227">
        <f>IF($B$2,IF(ROWS(B$6:$B2589) = 1,$B2589-Start_Date,$B2589-$B2588),"")</f>
        <v>1.1687615697155707E-3</v>
      </c>
      <c r="H2589" s="29">
        <f>IF($B$2,IF(ROWS(B$6:$B2589) = 1,IF(COUNTIFS(R_Schedule_Times,"&lt;"&amp;B2589),INDEX(R_Schedule_Amounts,MATCH(B2589,R_Schedule_Times,1)),Starting_Cash),IF(COUNTIFS(R_Schedule_Times,"&gt;"&amp;B2588,R_Schedule_Times,"&lt;"&amp;B2589),INDEX(R_Schedule_Amounts,MATCH(B2589,R_Schedule_Times,1)),K2588)),"")</f>
        <v>8360</v>
      </c>
      <c r="I2589" s="30">
        <f t="shared" si="200"/>
        <v>20</v>
      </c>
      <c r="J2589" s="31">
        <f t="shared" si="201"/>
        <v>0</v>
      </c>
      <c r="K2589" s="29">
        <f t="shared" si="202"/>
        <v>8340</v>
      </c>
      <c r="L2589" s="31" t="str">
        <f t="shared" si="203"/>
        <v/>
      </c>
      <c r="M2589" s="31" t="str">
        <f t="shared" si="204"/>
        <v/>
      </c>
    </row>
    <row r="2590" spans="1:13" x14ac:dyDescent="0.15">
      <c r="A2590" s="163" t="s">
        <v>210</v>
      </c>
      <c r="B2590" s="163">
        <v>42343.446717905092</v>
      </c>
      <c r="C2590" s="164" t="s">
        <v>14</v>
      </c>
      <c r="D2590" s="164" t="s">
        <v>13</v>
      </c>
      <c r="E2590" s="165">
        <v>100</v>
      </c>
      <c r="F2590" s="166">
        <v>3.5</v>
      </c>
      <c r="G2590" s="227">
        <f>IF($B$2,IF(ROWS(B$6:$B2590) = 1,$B2590-Start_Date,$B2590-$B2589),"")</f>
        <v>1.3515972241293639E-3</v>
      </c>
      <c r="H2590" s="29">
        <f>IF($B$2,IF(ROWS(B$6:$B2590) = 1,IF(COUNTIFS(R_Schedule_Times,"&lt;"&amp;B2590),INDEX(R_Schedule_Amounts,MATCH(B2590,R_Schedule_Times,1)),Starting_Cash),IF(COUNTIFS(R_Schedule_Times,"&gt;"&amp;B2589,R_Schedule_Times,"&lt;"&amp;B2590),INDEX(R_Schedule_Amounts,MATCH(B2590,R_Schedule_Times,1)),K2589)),"")</f>
        <v>8340</v>
      </c>
      <c r="I2590" s="30">
        <f t="shared" si="200"/>
        <v>100</v>
      </c>
      <c r="J2590" s="31">
        <f t="shared" si="201"/>
        <v>3.5</v>
      </c>
      <c r="K2590" s="29">
        <f t="shared" si="202"/>
        <v>8240</v>
      </c>
      <c r="L2590" s="31" t="str">
        <f t="shared" si="203"/>
        <v/>
      </c>
      <c r="M2590" s="31" t="str">
        <f t="shared" si="204"/>
        <v/>
      </c>
    </row>
    <row r="2591" spans="1:13" x14ac:dyDescent="0.15">
      <c r="A2591" s="163" t="s">
        <v>210</v>
      </c>
      <c r="B2591" s="163">
        <v>42343.457747129629</v>
      </c>
      <c r="C2591" s="164" t="s">
        <v>2281</v>
      </c>
      <c r="D2591" s="164" t="s">
        <v>13</v>
      </c>
      <c r="E2591" s="165">
        <v>500</v>
      </c>
      <c r="F2591" s="166">
        <v>0</v>
      </c>
      <c r="G2591" s="227">
        <f>IF($B$2,IF(ROWS(B$6:$B2591) = 1,$B2591-Start_Date,$B2591-$B2590),"")</f>
        <v>1.1029224537196569E-2</v>
      </c>
      <c r="H2591" s="29">
        <f>IF($B$2,IF(ROWS(B$6:$B2591) = 1,IF(COUNTIFS(R_Schedule_Times,"&lt;"&amp;B2591),INDEX(R_Schedule_Amounts,MATCH(B2591,R_Schedule_Times,1)),Starting_Cash),IF(COUNTIFS(R_Schedule_Times,"&gt;"&amp;B2590,R_Schedule_Times,"&lt;"&amp;B2591),INDEX(R_Schedule_Amounts,MATCH(B2591,R_Schedule_Times,1)),K2590)),"")</f>
        <v>8240</v>
      </c>
      <c r="I2591" s="30">
        <f t="shared" si="200"/>
        <v>500</v>
      </c>
      <c r="J2591" s="31">
        <f t="shared" si="201"/>
        <v>0</v>
      </c>
      <c r="K2591" s="29">
        <f t="shared" si="202"/>
        <v>7740</v>
      </c>
      <c r="L2591" s="31" t="str">
        <f t="shared" si="203"/>
        <v/>
      </c>
      <c r="M2591" s="31" t="str">
        <f t="shared" si="204"/>
        <v/>
      </c>
    </row>
    <row r="2592" spans="1:13" x14ac:dyDescent="0.15">
      <c r="A2592" s="163" t="s">
        <v>210</v>
      </c>
      <c r="B2592" s="163">
        <v>42343.464317997685</v>
      </c>
      <c r="C2592" s="164" t="s">
        <v>2282</v>
      </c>
      <c r="D2592" s="164" t="s">
        <v>13</v>
      </c>
      <c r="E2592" s="165">
        <v>120</v>
      </c>
      <c r="F2592" s="166">
        <v>0</v>
      </c>
      <c r="G2592" s="227">
        <f>IF($B$2,IF(ROWS(B$6:$B2592) = 1,$B2592-Start_Date,$B2592-$B2591),"")</f>
        <v>6.5708680558600463E-3</v>
      </c>
      <c r="H2592" s="29">
        <f>IF($B$2,IF(ROWS(B$6:$B2592) = 1,IF(COUNTIFS(R_Schedule_Times,"&lt;"&amp;B2592),INDEX(R_Schedule_Amounts,MATCH(B2592,R_Schedule_Times,1)),Starting_Cash),IF(COUNTIFS(R_Schedule_Times,"&gt;"&amp;B2591,R_Schedule_Times,"&lt;"&amp;B2592),INDEX(R_Schedule_Amounts,MATCH(B2592,R_Schedule_Times,1)),K2591)),"")</f>
        <v>7740</v>
      </c>
      <c r="I2592" s="30">
        <f t="shared" si="200"/>
        <v>120</v>
      </c>
      <c r="J2592" s="31">
        <f t="shared" si="201"/>
        <v>0</v>
      </c>
      <c r="K2592" s="29">
        <f t="shared" si="202"/>
        <v>7620</v>
      </c>
      <c r="L2592" s="31" t="str">
        <f t="shared" si="203"/>
        <v/>
      </c>
      <c r="M2592" s="31" t="str">
        <f t="shared" si="204"/>
        <v/>
      </c>
    </row>
    <row r="2593" spans="1:13" x14ac:dyDescent="0.15">
      <c r="A2593" s="163" t="s">
        <v>210</v>
      </c>
      <c r="B2593" s="163">
        <v>42343.469832326387</v>
      </c>
      <c r="C2593" s="164" t="s">
        <v>2283</v>
      </c>
      <c r="D2593" s="164" t="s">
        <v>13</v>
      </c>
      <c r="E2593" s="165">
        <v>20</v>
      </c>
      <c r="F2593" s="166">
        <v>0</v>
      </c>
      <c r="G2593" s="227">
        <f>IF($B$2,IF(ROWS(B$6:$B2593) = 1,$B2593-Start_Date,$B2593-$B2592),"")</f>
        <v>5.514328702702187E-3</v>
      </c>
      <c r="H2593" s="29">
        <f>IF($B$2,IF(ROWS(B$6:$B2593) = 1,IF(COUNTIFS(R_Schedule_Times,"&lt;"&amp;B2593),INDEX(R_Schedule_Amounts,MATCH(B2593,R_Schedule_Times,1)),Starting_Cash),IF(COUNTIFS(R_Schedule_Times,"&gt;"&amp;B2592,R_Schedule_Times,"&lt;"&amp;B2593),INDEX(R_Schedule_Amounts,MATCH(B2593,R_Schedule_Times,1)),K2592)),"")</f>
        <v>7620</v>
      </c>
      <c r="I2593" s="30">
        <f t="shared" si="200"/>
        <v>20</v>
      </c>
      <c r="J2593" s="31">
        <f t="shared" si="201"/>
        <v>0</v>
      </c>
      <c r="K2593" s="29">
        <f t="shared" si="202"/>
        <v>7600</v>
      </c>
      <c r="L2593" s="31" t="str">
        <f t="shared" si="203"/>
        <v/>
      </c>
      <c r="M2593" s="31" t="str">
        <f t="shared" si="204"/>
        <v/>
      </c>
    </row>
    <row r="2594" spans="1:13" x14ac:dyDescent="0.15">
      <c r="A2594" s="163" t="s">
        <v>210</v>
      </c>
      <c r="B2594" s="163">
        <v>42343.496303425927</v>
      </c>
      <c r="C2594" s="164" t="s">
        <v>2284</v>
      </c>
      <c r="D2594" s="164" t="s">
        <v>13</v>
      </c>
      <c r="E2594" s="165">
        <v>100</v>
      </c>
      <c r="F2594" s="166">
        <v>0</v>
      </c>
      <c r="G2594" s="227">
        <f>IF($B$2,IF(ROWS(B$6:$B2594) = 1,$B2594-Start_Date,$B2594-$B2593),"")</f>
        <v>2.6471099539776333E-2</v>
      </c>
      <c r="H2594" s="29">
        <f>IF($B$2,IF(ROWS(B$6:$B2594) = 1,IF(COUNTIFS(R_Schedule_Times,"&lt;"&amp;B2594),INDEX(R_Schedule_Amounts,MATCH(B2594,R_Schedule_Times,1)),Starting_Cash),IF(COUNTIFS(R_Schedule_Times,"&gt;"&amp;B2593,R_Schedule_Times,"&lt;"&amp;B2594),INDEX(R_Schedule_Amounts,MATCH(B2594,R_Schedule_Times,1)),K2593)),"")</f>
        <v>7600</v>
      </c>
      <c r="I2594" s="30">
        <f t="shared" si="200"/>
        <v>100</v>
      </c>
      <c r="J2594" s="31">
        <f t="shared" si="201"/>
        <v>0</v>
      </c>
      <c r="K2594" s="29">
        <f t="shared" si="202"/>
        <v>7500</v>
      </c>
      <c r="L2594" s="31" t="str">
        <f t="shared" si="203"/>
        <v/>
      </c>
      <c r="M2594" s="31" t="str">
        <f t="shared" si="204"/>
        <v/>
      </c>
    </row>
    <row r="2595" spans="1:13" x14ac:dyDescent="0.15">
      <c r="A2595" s="163" t="s">
        <v>210</v>
      </c>
      <c r="B2595" s="163">
        <v>42343.501144513888</v>
      </c>
      <c r="C2595" s="164" t="s">
        <v>80</v>
      </c>
      <c r="D2595" s="164" t="s">
        <v>13</v>
      </c>
      <c r="E2595" s="165">
        <v>200</v>
      </c>
      <c r="F2595" s="166">
        <v>0</v>
      </c>
      <c r="G2595" s="227">
        <f>IF($B$2,IF(ROWS(B$6:$B2595) = 1,$B2595-Start_Date,$B2595-$B2594),"")</f>
        <v>4.8410879608127289E-3</v>
      </c>
      <c r="H2595" s="29">
        <f>IF($B$2,IF(ROWS(B$6:$B2595) = 1,IF(COUNTIFS(R_Schedule_Times,"&lt;"&amp;B2595),INDEX(R_Schedule_Amounts,MATCH(B2595,R_Schedule_Times,1)),Starting_Cash),IF(COUNTIFS(R_Schedule_Times,"&gt;"&amp;B2594,R_Schedule_Times,"&lt;"&amp;B2595),INDEX(R_Schedule_Amounts,MATCH(B2595,R_Schedule_Times,1)),K2594)),"")</f>
        <v>7500</v>
      </c>
      <c r="I2595" s="30">
        <f t="shared" si="200"/>
        <v>200</v>
      </c>
      <c r="J2595" s="31">
        <f t="shared" si="201"/>
        <v>0</v>
      </c>
      <c r="K2595" s="29">
        <f t="shared" si="202"/>
        <v>7300</v>
      </c>
      <c r="L2595" s="31" t="str">
        <f t="shared" si="203"/>
        <v/>
      </c>
      <c r="M2595" s="31" t="str">
        <f t="shared" si="204"/>
        <v/>
      </c>
    </row>
    <row r="2596" spans="1:13" x14ac:dyDescent="0.15">
      <c r="A2596" s="163" t="s">
        <v>210</v>
      </c>
      <c r="B2596" s="163">
        <v>42343.533809942128</v>
      </c>
      <c r="C2596" s="164" t="s">
        <v>2285</v>
      </c>
      <c r="D2596" s="164" t="s">
        <v>13</v>
      </c>
      <c r="E2596" s="165">
        <v>60</v>
      </c>
      <c r="F2596" s="166">
        <v>0</v>
      </c>
      <c r="G2596" s="227">
        <f>IF($B$2,IF(ROWS(B$6:$B2596) = 1,$B2596-Start_Date,$B2596-$B2595),"")</f>
        <v>3.266542823985219E-2</v>
      </c>
      <c r="H2596" s="29">
        <f>IF($B$2,IF(ROWS(B$6:$B2596) = 1,IF(COUNTIFS(R_Schedule_Times,"&lt;"&amp;B2596),INDEX(R_Schedule_Amounts,MATCH(B2596,R_Schedule_Times,1)),Starting_Cash),IF(COUNTIFS(R_Schedule_Times,"&gt;"&amp;B2595,R_Schedule_Times,"&lt;"&amp;B2596),INDEX(R_Schedule_Amounts,MATCH(B2596,R_Schedule_Times,1)),K2595)),"")</f>
        <v>7300</v>
      </c>
      <c r="I2596" s="30">
        <f t="shared" si="200"/>
        <v>60</v>
      </c>
      <c r="J2596" s="31">
        <f t="shared" si="201"/>
        <v>0</v>
      </c>
      <c r="K2596" s="29">
        <f t="shared" si="202"/>
        <v>7240</v>
      </c>
      <c r="L2596" s="31" t="str">
        <f t="shared" si="203"/>
        <v/>
      </c>
      <c r="M2596" s="31" t="str">
        <f t="shared" si="204"/>
        <v/>
      </c>
    </row>
    <row r="2597" spans="1:13" x14ac:dyDescent="0.15">
      <c r="A2597" s="163" t="s">
        <v>210</v>
      </c>
      <c r="B2597" s="163">
        <v>42343.56433695602</v>
      </c>
      <c r="C2597" s="164" t="s">
        <v>2286</v>
      </c>
      <c r="D2597" s="164" t="s">
        <v>13</v>
      </c>
      <c r="E2597" s="165">
        <v>60</v>
      </c>
      <c r="F2597" s="166">
        <v>0</v>
      </c>
      <c r="G2597" s="227">
        <f>IF($B$2,IF(ROWS(B$6:$B2597) = 1,$B2597-Start_Date,$B2597-$B2596),"")</f>
        <v>3.0527013892424293E-2</v>
      </c>
      <c r="H2597" s="29">
        <f>IF($B$2,IF(ROWS(B$6:$B2597) = 1,IF(COUNTIFS(R_Schedule_Times,"&lt;"&amp;B2597),INDEX(R_Schedule_Amounts,MATCH(B2597,R_Schedule_Times,1)),Starting_Cash),IF(COUNTIFS(R_Schedule_Times,"&gt;"&amp;B2596,R_Schedule_Times,"&lt;"&amp;B2597),INDEX(R_Schedule_Amounts,MATCH(B2597,R_Schedule_Times,1)),K2596)),"")</f>
        <v>7240</v>
      </c>
      <c r="I2597" s="30">
        <f t="shared" si="200"/>
        <v>60</v>
      </c>
      <c r="J2597" s="31">
        <f t="shared" si="201"/>
        <v>0</v>
      </c>
      <c r="K2597" s="29">
        <f t="shared" si="202"/>
        <v>7180</v>
      </c>
      <c r="L2597" s="31" t="str">
        <f t="shared" si="203"/>
        <v/>
      </c>
      <c r="M2597" s="31" t="str">
        <f t="shared" si="204"/>
        <v/>
      </c>
    </row>
    <row r="2598" spans="1:13" x14ac:dyDescent="0.15">
      <c r="A2598" s="163" t="s">
        <v>210</v>
      </c>
      <c r="B2598" s="163">
        <v>42343.565213761576</v>
      </c>
      <c r="C2598" s="164" t="s">
        <v>14</v>
      </c>
      <c r="D2598" s="164" t="s">
        <v>13</v>
      </c>
      <c r="E2598" s="165">
        <v>300</v>
      </c>
      <c r="F2598" s="166">
        <v>3.5</v>
      </c>
      <c r="G2598" s="227">
        <f>IF($B$2,IF(ROWS(B$6:$B2598) = 1,$B2598-Start_Date,$B2598-$B2597),"")</f>
        <v>8.7680555589031428E-4</v>
      </c>
      <c r="H2598" s="29">
        <f>IF($B$2,IF(ROWS(B$6:$B2598) = 1,IF(COUNTIFS(R_Schedule_Times,"&lt;"&amp;B2598),INDEX(R_Schedule_Amounts,MATCH(B2598,R_Schedule_Times,1)),Starting_Cash),IF(COUNTIFS(R_Schedule_Times,"&gt;"&amp;B2597,R_Schedule_Times,"&lt;"&amp;B2598),INDEX(R_Schedule_Amounts,MATCH(B2598,R_Schedule_Times,1)),K2597)),"")</f>
        <v>7180</v>
      </c>
      <c r="I2598" s="30">
        <f t="shared" si="200"/>
        <v>300</v>
      </c>
      <c r="J2598" s="31">
        <f t="shared" si="201"/>
        <v>3.5</v>
      </c>
      <c r="K2598" s="29">
        <f t="shared" si="202"/>
        <v>6880</v>
      </c>
      <c r="L2598" s="31" t="str">
        <f t="shared" si="203"/>
        <v/>
      </c>
      <c r="M2598" s="31" t="str">
        <f t="shared" si="204"/>
        <v/>
      </c>
    </row>
    <row r="2599" spans="1:13" x14ac:dyDescent="0.15">
      <c r="A2599" s="163" t="s">
        <v>210</v>
      </c>
      <c r="B2599" s="163">
        <v>42343.5852452662</v>
      </c>
      <c r="C2599" s="164" t="s">
        <v>14</v>
      </c>
      <c r="D2599" s="164" t="s">
        <v>15</v>
      </c>
      <c r="E2599" s="165">
        <v>20</v>
      </c>
      <c r="F2599" s="166">
        <v>3.1</v>
      </c>
      <c r="G2599" s="227">
        <f>IF($B$2,IF(ROWS(B$6:$B2599) = 1,$B2599-Start_Date,$B2599-$B2598),"")</f>
        <v>2.0031504624057561E-2</v>
      </c>
      <c r="H2599" s="29">
        <f>IF($B$2,IF(ROWS(B$6:$B2599) = 1,IF(COUNTIFS(R_Schedule_Times,"&lt;"&amp;B2599),INDEX(R_Schedule_Amounts,MATCH(B2599,R_Schedule_Times,1)),Starting_Cash),IF(COUNTIFS(R_Schedule_Times,"&gt;"&amp;B2598,R_Schedule_Times,"&lt;"&amp;B2599),INDEX(R_Schedule_Amounts,MATCH(B2599,R_Schedule_Times,1)),K2598)),"")</f>
        <v>6880</v>
      </c>
      <c r="I2599" s="30">
        <f t="shared" si="200"/>
        <v>20</v>
      </c>
      <c r="J2599" s="31">
        <f t="shared" si="201"/>
        <v>3.1</v>
      </c>
      <c r="K2599" s="29">
        <f t="shared" si="202"/>
        <v>6860</v>
      </c>
      <c r="L2599" s="31" t="str">
        <f t="shared" si="203"/>
        <v/>
      </c>
      <c r="M2599" s="31" t="str">
        <f t="shared" si="204"/>
        <v/>
      </c>
    </row>
    <row r="2600" spans="1:13" x14ac:dyDescent="0.15">
      <c r="A2600" s="163" t="s">
        <v>210</v>
      </c>
      <c r="B2600" s="163">
        <v>42343.587410891203</v>
      </c>
      <c r="C2600" s="164" t="s">
        <v>2287</v>
      </c>
      <c r="D2600" s="164" t="s">
        <v>13</v>
      </c>
      <c r="E2600" s="165">
        <v>200</v>
      </c>
      <c r="F2600" s="166">
        <v>0</v>
      </c>
      <c r="G2600" s="227">
        <f>IF($B$2,IF(ROWS(B$6:$B2600) = 1,$B2600-Start_Date,$B2600-$B2599),"")</f>
        <v>2.1656250028172508E-3</v>
      </c>
      <c r="H2600" s="29">
        <f>IF($B$2,IF(ROWS(B$6:$B2600) = 1,IF(COUNTIFS(R_Schedule_Times,"&lt;"&amp;B2600),INDEX(R_Schedule_Amounts,MATCH(B2600,R_Schedule_Times,1)),Starting_Cash),IF(COUNTIFS(R_Schedule_Times,"&gt;"&amp;B2599,R_Schedule_Times,"&lt;"&amp;B2600),INDEX(R_Schedule_Amounts,MATCH(B2600,R_Schedule_Times,1)),K2599)),"")</f>
        <v>6860</v>
      </c>
      <c r="I2600" s="30">
        <f t="shared" si="200"/>
        <v>200</v>
      </c>
      <c r="J2600" s="31">
        <f t="shared" si="201"/>
        <v>0</v>
      </c>
      <c r="K2600" s="29">
        <f t="shared" si="202"/>
        <v>6660</v>
      </c>
      <c r="L2600" s="31" t="str">
        <f t="shared" si="203"/>
        <v/>
      </c>
      <c r="M2600" s="31" t="str">
        <f t="shared" si="204"/>
        <v/>
      </c>
    </row>
    <row r="2601" spans="1:13" x14ac:dyDescent="0.15">
      <c r="A2601" s="163" t="s">
        <v>210</v>
      </c>
      <c r="B2601" s="163">
        <v>42343.625775335648</v>
      </c>
      <c r="C2601" s="164" t="s">
        <v>2288</v>
      </c>
      <c r="D2601" s="164" t="s">
        <v>13</v>
      </c>
      <c r="E2601" s="165">
        <v>120</v>
      </c>
      <c r="F2601" s="166">
        <v>0</v>
      </c>
      <c r="G2601" s="227">
        <f>IF($B$2,IF(ROWS(B$6:$B2601) = 1,$B2601-Start_Date,$B2601-$B2600),"")</f>
        <v>3.8364444444596302E-2</v>
      </c>
      <c r="H2601" s="29">
        <f>IF($B$2,IF(ROWS(B$6:$B2601) = 1,IF(COUNTIFS(R_Schedule_Times,"&lt;"&amp;B2601),INDEX(R_Schedule_Amounts,MATCH(B2601,R_Schedule_Times,1)),Starting_Cash),IF(COUNTIFS(R_Schedule_Times,"&gt;"&amp;B2600,R_Schedule_Times,"&lt;"&amp;B2601),INDEX(R_Schedule_Amounts,MATCH(B2601,R_Schedule_Times,1)),K2600)),"")</f>
        <v>6660</v>
      </c>
      <c r="I2601" s="30">
        <f t="shared" si="200"/>
        <v>120</v>
      </c>
      <c r="J2601" s="31">
        <f t="shared" si="201"/>
        <v>0</v>
      </c>
      <c r="K2601" s="29">
        <f t="shared" si="202"/>
        <v>6540</v>
      </c>
      <c r="L2601" s="31" t="str">
        <f t="shared" si="203"/>
        <v/>
      </c>
      <c r="M2601" s="31" t="str">
        <f t="shared" si="204"/>
        <v/>
      </c>
    </row>
    <row r="2602" spans="1:13" x14ac:dyDescent="0.15">
      <c r="A2602" s="163" t="s">
        <v>210</v>
      </c>
      <c r="B2602" s="163">
        <v>42343.642934513889</v>
      </c>
      <c r="C2602" s="164" t="s">
        <v>1340</v>
      </c>
      <c r="D2602" s="164" t="s">
        <v>13</v>
      </c>
      <c r="E2602" s="165">
        <v>80</v>
      </c>
      <c r="F2602" s="166">
        <v>0</v>
      </c>
      <c r="G2602" s="227">
        <f>IF($B$2,IF(ROWS(B$6:$B2602) = 1,$B2602-Start_Date,$B2602-$B2601),"")</f>
        <v>1.7159178241854534E-2</v>
      </c>
      <c r="H2602" s="29">
        <f>IF($B$2,IF(ROWS(B$6:$B2602) = 1,IF(COUNTIFS(R_Schedule_Times,"&lt;"&amp;B2602),INDEX(R_Schedule_Amounts,MATCH(B2602,R_Schedule_Times,1)),Starting_Cash),IF(COUNTIFS(R_Schedule_Times,"&gt;"&amp;B2601,R_Schedule_Times,"&lt;"&amp;B2602),INDEX(R_Schedule_Amounts,MATCH(B2602,R_Schedule_Times,1)),K2601)),"")</f>
        <v>6540</v>
      </c>
      <c r="I2602" s="30">
        <f t="shared" si="200"/>
        <v>80</v>
      </c>
      <c r="J2602" s="31">
        <f t="shared" si="201"/>
        <v>0</v>
      </c>
      <c r="K2602" s="29">
        <f t="shared" si="202"/>
        <v>6460</v>
      </c>
      <c r="L2602" s="31" t="str">
        <f t="shared" si="203"/>
        <v/>
      </c>
      <c r="M2602" s="31" t="str">
        <f t="shared" si="204"/>
        <v/>
      </c>
    </row>
    <row r="2603" spans="1:13" x14ac:dyDescent="0.15">
      <c r="A2603" s="163" t="s">
        <v>210</v>
      </c>
      <c r="B2603" s="163">
        <v>42343.657096122683</v>
      </c>
      <c r="C2603" s="164" t="s">
        <v>2289</v>
      </c>
      <c r="D2603" s="164" t="s">
        <v>13</v>
      </c>
      <c r="E2603" s="165">
        <v>80</v>
      </c>
      <c r="F2603" s="166">
        <v>0</v>
      </c>
      <c r="G2603" s="227">
        <f>IF($B$2,IF(ROWS(B$6:$B2603) = 1,$B2603-Start_Date,$B2603-$B2602),"")</f>
        <v>1.4161608793074265E-2</v>
      </c>
      <c r="H2603" s="29">
        <f>IF($B$2,IF(ROWS(B$6:$B2603) = 1,IF(COUNTIFS(R_Schedule_Times,"&lt;"&amp;B2603),INDEX(R_Schedule_Amounts,MATCH(B2603,R_Schedule_Times,1)),Starting_Cash),IF(COUNTIFS(R_Schedule_Times,"&gt;"&amp;B2602,R_Schedule_Times,"&lt;"&amp;B2603),INDEX(R_Schedule_Amounts,MATCH(B2603,R_Schedule_Times,1)),K2602)),"")</f>
        <v>6460</v>
      </c>
      <c r="I2603" s="30">
        <f t="shared" si="200"/>
        <v>80</v>
      </c>
      <c r="J2603" s="31">
        <f t="shared" si="201"/>
        <v>0</v>
      </c>
      <c r="K2603" s="29">
        <f t="shared" si="202"/>
        <v>6380</v>
      </c>
      <c r="L2603" s="31" t="str">
        <f t="shared" si="203"/>
        <v/>
      </c>
      <c r="M2603" s="31" t="str">
        <f t="shared" si="204"/>
        <v/>
      </c>
    </row>
    <row r="2604" spans="1:13" x14ac:dyDescent="0.15">
      <c r="A2604" s="163" t="s">
        <v>210</v>
      </c>
      <c r="B2604" s="163">
        <v>42343.667492384258</v>
      </c>
      <c r="C2604" s="164" t="s">
        <v>2290</v>
      </c>
      <c r="D2604" s="164" t="s">
        <v>13</v>
      </c>
      <c r="E2604" s="165">
        <v>20</v>
      </c>
      <c r="F2604" s="166">
        <v>0</v>
      </c>
      <c r="G2604" s="227">
        <f>IF($B$2,IF(ROWS(B$6:$B2604) = 1,$B2604-Start_Date,$B2604-$B2603),"")</f>
        <v>1.039626157580642E-2</v>
      </c>
      <c r="H2604" s="29">
        <f>IF($B$2,IF(ROWS(B$6:$B2604) = 1,IF(COUNTIFS(R_Schedule_Times,"&lt;"&amp;B2604),INDEX(R_Schedule_Amounts,MATCH(B2604,R_Schedule_Times,1)),Starting_Cash),IF(COUNTIFS(R_Schedule_Times,"&gt;"&amp;B2603,R_Schedule_Times,"&lt;"&amp;B2604),INDEX(R_Schedule_Amounts,MATCH(B2604,R_Schedule_Times,1)),K2603)),"")</f>
        <v>6380</v>
      </c>
      <c r="I2604" s="30">
        <f t="shared" si="200"/>
        <v>20</v>
      </c>
      <c r="J2604" s="31">
        <f t="shared" si="201"/>
        <v>0</v>
      </c>
      <c r="K2604" s="29">
        <f t="shared" si="202"/>
        <v>6360</v>
      </c>
      <c r="L2604" s="31" t="str">
        <f t="shared" si="203"/>
        <v/>
      </c>
      <c r="M2604" s="31" t="str">
        <f t="shared" si="204"/>
        <v/>
      </c>
    </row>
    <row r="2605" spans="1:13" x14ac:dyDescent="0.15">
      <c r="A2605" s="163" t="s">
        <v>210</v>
      </c>
      <c r="B2605" s="163">
        <v>42343.696656874999</v>
      </c>
      <c r="C2605" s="164" t="s">
        <v>1516</v>
      </c>
      <c r="D2605" s="164" t="s">
        <v>13</v>
      </c>
      <c r="E2605" s="165">
        <v>100</v>
      </c>
      <c r="F2605" s="166">
        <v>0</v>
      </c>
      <c r="G2605" s="227">
        <f>IF($B$2,IF(ROWS(B$6:$B2605) = 1,$B2605-Start_Date,$B2605-$B2604),"")</f>
        <v>2.9164490741095506E-2</v>
      </c>
      <c r="H2605" s="29">
        <f>IF($B$2,IF(ROWS(B$6:$B2605) = 1,IF(COUNTIFS(R_Schedule_Times,"&lt;"&amp;B2605),INDEX(R_Schedule_Amounts,MATCH(B2605,R_Schedule_Times,1)),Starting_Cash),IF(COUNTIFS(R_Schedule_Times,"&gt;"&amp;B2604,R_Schedule_Times,"&lt;"&amp;B2605),INDEX(R_Schedule_Amounts,MATCH(B2605,R_Schedule_Times,1)),K2604)),"")</f>
        <v>6360</v>
      </c>
      <c r="I2605" s="30">
        <f t="shared" si="200"/>
        <v>100</v>
      </c>
      <c r="J2605" s="31">
        <f t="shared" si="201"/>
        <v>0</v>
      </c>
      <c r="K2605" s="29">
        <f t="shared" si="202"/>
        <v>6260</v>
      </c>
      <c r="L2605" s="31" t="str">
        <f t="shared" si="203"/>
        <v/>
      </c>
      <c r="M2605" s="31" t="str">
        <f t="shared" si="204"/>
        <v/>
      </c>
    </row>
    <row r="2606" spans="1:13" x14ac:dyDescent="0.15">
      <c r="A2606" s="163" t="s">
        <v>210</v>
      </c>
      <c r="B2606" s="163">
        <v>42343.719304027778</v>
      </c>
      <c r="C2606" s="164" t="s">
        <v>2291</v>
      </c>
      <c r="D2606" s="164" t="s">
        <v>13</v>
      </c>
      <c r="E2606" s="165">
        <v>100</v>
      </c>
      <c r="F2606" s="166">
        <v>0</v>
      </c>
      <c r="G2606" s="227">
        <f>IF($B$2,IF(ROWS(B$6:$B2606) = 1,$B2606-Start_Date,$B2606-$B2605),"")</f>
        <v>2.2647152778517921E-2</v>
      </c>
      <c r="H2606" s="29">
        <f>IF($B$2,IF(ROWS(B$6:$B2606) = 1,IF(COUNTIFS(R_Schedule_Times,"&lt;"&amp;B2606),INDEX(R_Schedule_Amounts,MATCH(B2606,R_Schedule_Times,1)),Starting_Cash),IF(COUNTIFS(R_Schedule_Times,"&gt;"&amp;B2605,R_Schedule_Times,"&lt;"&amp;B2606),INDEX(R_Schedule_Amounts,MATCH(B2606,R_Schedule_Times,1)),K2605)),"")</f>
        <v>6260</v>
      </c>
      <c r="I2606" s="30">
        <f t="shared" si="200"/>
        <v>100</v>
      </c>
      <c r="J2606" s="31">
        <f t="shared" si="201"/>
        <v>0</v>
      </c>
      <c r="K2606" s="29">
        <f t="shared" si="202"/>
        <v>6160</v>
      </c>
      <c r="L2606" s="31" t="str">
        <f t="shared" si="203"/>
        <v/>
      </c>
      <c r="M2606" s="31" t="str">
        <f t="shared" si="204"/>
        <v/>
      </c>
    </row>
    <row r="2607" spans="1:13" x14ac:dyDescent="0.15">
      <c r="A2607" s="163" t="s">
        <v>210</v>
      </c>
      <c r="B2607" s="163">
        <v>42343.722788287036</v>
      </c>
      <c r="C2607" s="164" t="s">
        <v>1529</v>
      </c>
      <c r="D2607" s="164" t="s">
        <v>13</v>
      </c>
      <c r="E2607" s="165">
        <v>20</v>
      </c>
      <c r="F2607" s="166">
        <v>0</v>
      </c>
      <c r="G2607" s="227">
        <f>IF($B$2,IF(ROWS(B$6:$B2607) = 1,$B2607-Start_Date,$B2607-$B2606),"")</f>
        <v>3.4842592576751485E-3</v>
      </c>
      <c r="H2607" s="29">
        <f>IF($B$2,IF(ROWS(B$6:$B2607) = 1,IF(COUNTIFS(R_Schedule_Times,"&lt;"&amp;B2607),INDEX(R_Schedule_Amounts,MATCH(B2607,R_Schedule_Times,1)),Starting_Cash),IF(COUNTIFS(R_Schedule_Times,"&gt;"&amp;B2606,R_Schedule_Times,"&lt;"&amp;B2607),INDEX(R_Schedule_Amounts,MATCH(B2607,R_Schedule_Times,1)),K2606)),"")</f>
        <v>6160</v>
      </c>
      <c r="I2607" s="30">
        <f t="shared" si="200"/>
        <v>20</v>
      </c>
      <c r="J2607" s="31">
        <f t="shared" si="201"/>
        <v>0</v>
      </c>
      <c r="K2607" s="29">
        <f t="shared" si="202"/>
        <v>6140</v>
      </c>
      <c r="L2607" s="31" t="str">
        <f t="shared" si="203"/>
        <v/>
      </c>
      <c r="M2607" s="31" t="str">
        <f t="shared" si="204"/>
        <v/>
      </c>
    </row>
    <row r="2608" spans="1:13" x14ac:dyDescent="0.15">
      <c r="A2608" s="163" t="s">
        <v>210</v>
      </c>
      <c r="B2608" s="163">
        <v>42343.723749363424</v>
      </c>
      <c r="C2608" s="164" t="s">
        <v>2292</v>
      </c>
      <c r="D2608" s="164" t="s">
        <v>13</v>
      </c>
      <c r="E2608" s="165">
        <v>60</v>
      </c>
      <c r="F2608" s="166">
        <v>0</v>
      </c>
      <c r="G2608" s="227">
        <f>IF($B$2,IF(ROWS(B$6:$B2608) = 1,$B2608-Start_Date,$B2608-$B2607),"")</f>
        <v>9.6107638819376007E-4</v>
      </c>
      <c r="H2608" s="29">
        <f>IF($B$2,IF(ROWS(B$6:$B2608) = 1,IF(COUNTIFS(R_Schedule_Times,"&lt;"&amp;B2608),INDEX(R_Schedule_Amounts,MATCH(B2608,R_Schedule_Times,1)),Starting_Cash),IF(COUNTIFS(R_Schedule_Times,"&gt;"&amp;B2607,R_Schedule_Times,"&lt;"&amp;B2608),INDEX(R_Schedule_Amounts,MATCH(B2608,R_Schedule_Times,1)),K2607)),"")</f>
        <v>6140</v>
      </c>
      <c r="I2608" s="30">
        <f t="shared" si="200"/>
        <v>60</v>
      </c>
      <c r="J2608" s="31">
        <f t="shared" si="201"/>
        <v>0</v>
      </c>
      <c r="K2608" s="29">
        <f t="shared" si="202"/>
        <v>6080</v>
      </c>
      <c r="L2608" s="31" t="str">
        <f t="shared" si="203"/>
        <v/>
      </c>
      <c r="M2608" s="31" t="str">
        <f t="shared" si="204"/>
        <v/>
      </c>
    </row>
    <row r="2609" spans="1:13" x14ac:dyDescent="0.15">
      <c r="A2609" s="163" t="s">
        <v>210</v>
      </c>
      <c r="B2609" s="163">
        <v>42343.733890844909</v>
      </c>
      <c r="C2609" s="164" t="s">
        <v>2293</v>
      </c>
      <c r="D2609" s="164" t="s">
        <v>13</v>
      </c>
      <c r="E2609" s="165">
        <v>100</v>
      </c>
      <c r="F2609" s="166">
        <v>0</v>
      </c>
      <c r="G2609" s="227">
        <f>IF($B$2,IF(ROWS(B$6:$B2609) = 1,$B2609-Start_Date,$B2609-$B2608),"")</f>
        <v>1.0141481485334225E-2</v>
      </c>
      <c r="H2609" s="29">
        <f>IF($B$2,IF(ROWS(B$6:$B2609) = 1,IF(COUNTIFS(R_Schedule_Times,"&lt;"&amp;B2609),INDEX(R_Schedule_Amounts,MATCH(B2609,R_Schedule_Times,1)),Starting_Cash),IF(COUNTIFS(R_Schedule_Times,"&gt;"&amp;B2608,R_Schedule_Times,"&lt;"&amp;B2609),INDEX(R_Schedule_Amounts,MATCH(B2609,R_Schedule_Times,1)),K2608)),"")</f>
        <v>6080</v>
      </c>
      <c r="I2609" s="30">
        <f t="shared" si="200"/>
        <v>100</v>
      </c>
      <c r="J2609" s="31">
        <f t="shared" si="201"/>
        <v>0</v>
      </c>
      <c r="K2609" s="29">
        <f t="shared" si="202"/>
        <v>5980</v>
      </c>
      <c r="L2609" s="31" t="str">
        <f t="shared" si="203"/>
        <v/>
      </c>
      <c r="M2609" s="31" t="str">
        <f t="shared" si="204"/>
        <v/>
      </c>
    </row>
    <row r="2610" spans="1:13" x14ac:dyDescent="0.15">
      <c r="A2610" s="163" t="s">
        <v>210</v>
      </c>
      <c r="B2610" s="163">
        <v>42343.771248310186</v>
      </c>
      <c r="C2610" s="164" t="s">
        <v>616</v>
      </c>
      <c r="D2610" s="164" t="s">
        <v>13</v>
      </c>
      <c r="E2610" s="165">
        <v>40</v>
      </c>
      <c r="F2610" s="166">
        <v>0</v>
      </c>
      <c r="G2610" s="227">
        <f>IF($B$2,IF(ROWS(B$6:$B2610) = 1,$B2610-Start_Date,$B2610-$B2609),"")</f>
        <v>3.7357465276727453E-2</v>
      </c>
      <c r="H2610" s="29">
        <f>IF($B$2,IF(ROWS(B$6:$B2610) = 1,IF(COUNTIFS(R_Schedule_Times,"&lt;"&amp;B2610),INDEX(R_Schedule_Amounts,MATCH(B2610,R_Schedule_Times,1)),Starting_Cash),IF(COUNTIFS(R_Schedule_Times,"&gt;"&amp;B2609,R_Schedule_Times,"&lt;"&amp;B2610),INDEX(R_Schedule_Amounts,MATCH(B2610,R_Schedule_Times,1)),K2609)),"")</f>
        <v>5980</v>
      </c>
      <c r="I2610" s="30">
        <f t="shared" si="200"/>
        <v>40</v>
      </c>
      <c r="J2610" s="31">
        <f t="shared" si="201"/>
        <v>0</v>
      </c>
      <c r="K2610" s="29">
        <f t="shared" si="202"/>
        <v>5940</v>
      </c>
      <c r="L2610" s="31" t="str">
        <f t="shared" si="203"/>
        <v/>
      </c>
      <c r="M2610" s="31" t="str">
        <f t="shared" si="204"/>
        <v/>
      </c>
    </row>
    <row r="2611" spans="1:13" x14ac:dyDescent="0.15">
      <c r="A2611" s="163" t="s">
        <v>210</v>
      </c>
      <c r="B2611" s="163">
        <v>42343.789892881941</v>
      </c>
      <c r="C2611" s="164" t="s">
        <v>14</v>
      </c>
      <c r="D2611" s="164" t="s">
        <v>13</v>
      </c>
      <c r="E2611" s="165">
        <v>40</v>
      </c>
      <c r="F2611" s="166">
        <v>3.5</v>
      </c>
      <c r="G2611" s="227">
        <f>IF($B$2,IF(ROWS(B$6:$B2611) = 1,$B2611-Start_Date,$B2611-$B2610),"")</f>
        <v>1.8644571755430661E-2</v>
      </c>
      <c r="H2611" s="29">
        <f>IF($B$2,IF(ROWS(B$6:$B2611) = 1,IF(COUNTIFS(R_Schedule_Times,"&lt;"&amp;B2611),INDEX(R_Schedule_Amounts,MATCH(B2611,R_Schedule_Times,1)),Starting_Cash),IF(COUNTIFS(R_Schedule_Times,"&gt;"&amp;B2610,R_Schedule_Times,"&lt;"&amp;B2611),INDEX(R_Schedule_Amounts,MATCH(B2611,R_Schedule_Times,1)),K2610)),"")</f>
        <v>5940</v>
      </c>
      <c r="I2611" s="30">
        <f t="shared" si="200"/>
        <v>40</v>
      </c>
      <c r="J2611" s="31">
        <f t="shared" si="201"/>
        <v>3.5</v>
      </c>
      <c r="K2611" s="29">
        <f t="shared" si="202"/>
        <v>5900</v>
      </c>
      <c r="L2611" s="31" t="str">
        <f t="shared" si="203"/>
        <v/>
      </c>
      <c r="M2611" s="31" t="str">
        <f t="shared" si="204"/>
        <v/>
      </c>
    </row>
    <row r="2612" spans="1:13" x14ac:dyDescent="0.15">
      <c r="A2612" s="163" t="s">
        <v>210</v>
      </c>
      <c r="B2612" s="163">
        <v>42343.790856678243</v>
      </c>
      <c r="C2612" s="164" t="s">
        <v>2057</v>
      </c>
      <c r="D2612" s="164" t="s">
        <v>13</v>
      </c>
      <c r="E2612" s="165">
        <v>100</v>
      </c>
      <c r="F2612" s="166">
        <v>0</v>
      </c>
      <c r="G2612" s="227">
        <f>IF($B$2,IF(ROWS(B$6:$B2612) = 1,$B2612-Start_Date,$B2612-$B2611),"")</f>
        <v>9.6379630122100934E-4</v>
      </c>
      <c r="H2612" s="29">
        <f>IF($B$2,IF(ROWS(B$6:$B2612) = 1,IF(COUNTIFS(R_Schedule_Times,"&lt;"&amp;B2612),INDEX(R_Schedule_Amounts,MATCH(B2612,R_Schedule_Times,1)),Starting_Cash),IF(COUNTIFS(R_Schedule_Times,"&gt;"&amp;B2611,R_Schedule_Times,"&lt;"&amp;B2612),INDEX(R_Schedule_Amounts,MATCH(B2612,R_Schedule_Times,1)),K2611)),"")</f>
        <v>5900</v>
      </c>
      <c r="I2612" s="30">
        <f t="shared" si="200"/>
        <v>100</v>
      </c>
      <c r="J2612" s="31">
        <f t="shared" si="201"/>
        <v>0</v>
      </c>
      <c r="K2612" s="29">
        <f t="shared" si="202"/>
        <v>5800</v>
      </c>
      <c r="L2612" s="31" t="str">
        <f t="shared" si="203"/>
        <v/>
      </c>
      <c r="M2612" s="31" t="str">
        <f t="shared" si="204"/>
        <v/>
      </c>
    </row>
    <row r="2613" spans="1:13" x14ac:dyDescent="0.15">
      <c r="A2613" s="163" t="s">
        <v>210</v>
      </c>
      <c r="B2613" s="163">
        <v>42343.823907314814</v>
      </c>
      <c r="C2613" s="164" t="s">
        <v>580</v>
      </c>
      <c r="D2613" s="164" t="s">
        <v>13</v>
      </c>
      <c r="E2613" s="165">
        <v>100</v>
      </c>
      <c r="F2613" s="166">
        <v>0</v>
      </c>
      <c r="G2613" s="227">
        <f>IF($B$2,IF(ROWS(B$6:$B2613) = 1,$B2613-Start_Date,$B2613-$B2612),"")</f>
        <v>3.3050636571715586E-2</v>
      </c>
      <c r="H2613" s="29">
        <f>IF($B$2,IF(ROWS(B$6:$B2613) = 1,IF(COUNTIFS(R_Schedule_Times,"&lt;"&amp;B2613),INDEX(R_Schedule_Amounts,MATCH(B2613,R_Schedule_Times,1)),Starting_Cash),IF(COUNTIFS(R_Schedule_Times,"&gt;"&amp;B2612,R_Schedule_Times,"&lt;"&amp;B2613),INDEX(R_Schedule_Amounts,MATCH(B2613,R_Schedule_Times,1)),K2612)),"")</f>
        <v>5800</v>
      </c>
      <c r="I2613" s="30">
        <f t="shared" si="200"/>
        <v>100</v>
      </c>
      <c r="J2613" s="31">
        <f t="shared" si="201"/>
        <v>0</v>
      </c>
      <c r="K2613" s="29">
        <f t="shared" si="202"/>
        <v>5700</v>
      </c>
      <c r="L2613" s="31" t="str">
        <f t="shared" si="203"/>
        <v/>
      </c>
      <c r="M2613" s="31" t="str">
        <f t="shared" si="204"/>
        <v/>
      </c>
    </row>
    <row r="2614" spans="1:13" x14ac:dyDescent="0.15">
      <c r="A2614" s="163" t="s">
        <v>210</v>
      </c>
      <c r="B2614" s="163">
        <v>42343.86499238426</v>
      </c>
      <c r="C2614" s="164" t="s">
        <v>2294</v>
      </c>
      <c r="D2614" s="164" t="s">
        <v>13</v>
      </c>
      <c r="E2614" s="165">
        <v>100</v>
      </c>
      <c r="F2614" s="166">
        <v>0</v>
      </c>
      <c r="G2614" s="227">
        <f>IF($B$2,IF(ROWS(B$6:$B2614) = 1,$B2614-Start_Date,$B2614-$B2613),"")</f>
        <v>4.1085069446125999E-2</v>
      </c>
      <c r="H2614" s="29">
        <f>IF($B$2,IF(ROWS(B$6:$B2614) = 1,IF(COUNTIFS(R_Schedule_Times,"&lt;"&amp;B2614),INDEX(R_Schedule_Amounts,MATCH(B2614,R_Schedule_Times,1)),Starting_Cash),IF(COUNTIFS(R_Schedule_Times,"&gt;"&amp;B2613,R_Schedule_Times,"&lt;"&amp;B2614),INDEX(R_Schedule_Amounts,MATCH(B2614,R_Schedule_Times,1)),K2613)),"")</f>
        <v>5700</v>
      </c>
      <c r="I2614" s="30">
        <f t="shared" si="200"/>
        <v>100</v>
      </c>
      <c r="J2614" s="31">
        <f t="shared" si="201"/>
        <v>0</v>
      </c>
      <c r="K2614" s="29">
        <f t="shared" si="202"/>
        <v>5600</v>
      </c>
      <c r="L2614" s="31" t="str">
        <f t="shared" si="203"/>
        <v/>
      </c>
      <c r="M2614" s="31" t="str">
        <f t="shared" si="204"/>
        <v/>
      </c>
    </row>
    <row r="2615" spans="1:13" x14ac:dyDescent="0.15">
      <c r="A2615" s="163" t="s">
        <v>210</v>
      </c>
      <c r="B2615" s="163">
        <v>42343.892040150466</v>
      </c>
      <c r="C2615" s="164" t="s">
        <v>2295</v>
      </c>
      <c r="D2615" s="164" t="s">
        <v>13</v>
      </c>
      <c r="E2615" s="165">
        <v>40</v>
      </c>
      <c r="F2615" s="166">
        <v>0</v>
      </c>
      <c r="G2615" s="227">
        <f>IF($B$2,IF(ROWS(B$6:$B2615) = 1,$B2615-Start_Date,$B2615-$B2614),"")</f>
        <v>2.704776620521443E-2</v>
      </c>
      <c r="H2615" s="29">
        <f>IF($B$2,IF(ROWS(B$6:$B2615) = 1,IF(COUNTIFS(R_Schedule_Times,"&lt;"&amp;B2615),INDEX(R_Schedule_Amounts,MATCH(B2615,R_Schedule_Times,1)),Starting_Cash),IF(COUNTIFS(R_Schedule_Times,"&gt;"&amp;B2614,R_Schedule_Times,"&lt;"&amp;B2615),INDEX(R_Schedule_Amounts,MATCH(B2615,R_Schedule_Times,1)),K2614)),"")</f>
        <v>5600</v>
      </c>
      <c r="I2615" s="30">
        <f t="shared" si="200"/>
        <v>40</v>
      </c>
      <c r="J2615" s="31">
        <f t="shared" si="201"/>
        <v>0</v>
      </c>
      <c r="K2615" s="29">
        <f t="shared" si="202"/>
        <v>5560</v>
      </c>
      <c r="L2615" s="31" t="str">
        <f t="shared" si="203"/>
        <v/>
      </c>
      <c r="M2615" s="31" t="str">
        <f t="shared" si="204"/>
        <v/>
      </c>
    </row>
    <row r="2616" spans="1:13" x14ac:dyDescent="0.15">
      <c r="A2616" s="163" t="s">
        <v>210</v>
      </c>
      <c r="B2616" s="163">
        <v>42343.907696261573</v>
      </c>
      <c r="C2616" s="164" t="s">
        <v>573</v>
      </c>
      <c r="D2616" s="164" t="s">
        <v>13</v>
      </c>
      <c r="E2616" s="165">
        <v>500</v>
      </c>
      <c r="F2616" s="166">
        <v>0</v>
      </c>
      <c r="G2616" s="227">
        <f>IF($B$2,IF(ROWS(B$6:$B2616) = 1,$B2616-Start_Date,$B2616-$B2615),"")</f>
        <v>1.5656111107091419E-2</v>
      </c>
      <c r="H2616" s="29">
        <f>IF($B$2,IF(ROWS(B$6:$B2616) = 1,IF(COUNTIFS(R_Schedule_Times,"&lt;"&amp;B2616),INDEX(R_Schedule_Amounts,MATCH(B2616,R_Schedule_Times,1)),Starting_Cash),IF(COUNTIFS(R_Schedule_Times,"&gt;"&amp;B2615,R_Schedule_Times,"&lt;"&amp;B2616),INDEX(R_Schedule_Amounts,MATCH(B2616,R_Schedule_Times,1)),K2615)),"")</f>
        <v>5560</v>
      </c>
      <c r="I2616" s="30">
        <f t="shared" si="200"/>
        <v>500</v>
      </c>
      <c r="J2616" s="31">
        <f t="shared" si="201"/>
        <v>0</v>
      </c>
      <c r="K2616" s="29">
        <f t="shared" si="202"/>
        <v>5060</v>
      </c>
      <c r="L2616" s="31" t="str">
        <f t="shared" si="203"/>
        <v/>
      </c>
      <c r="M2616" s="31" t="str">
        <f t="shared" si="204"/>
        <v/>
      </c>
    </row>
    <row r="2617" spans="1:13" x14ac:dyDescent="0.15">
      <c r="A2617" s="163" t="s">
        <v>210</v>
      </c>
      <c r="B2617" s="163">
        <v>42343.911501562499</v>
      </c>
      <c r="C2617" s="164" t="s">
        <v>2296</v>
      </c>
      <c r="D2617" s="164" t="s">
        <v>15</v>
      </c>
      <c r="E2617" s="165">
        <v>40</v>
      </c>
      <c r="F2617" s="166">
        <v>1.2</v>
      </c>
      <c r="G2617" s="227">
        <f>IF($B$2,IF(ROWS(B$6:$B2617) = 1,$B2617-Start_Date,$B2617-$B2616),"")</f>
        <v>3.8053009266150184E-3</v>
      </c>
      <c r="H2617" s="29">
        <f>IF($B$2,IF(ROWS(B$6:$B2617) = 1,IF(COUNTIFS(R_Schedule_Times,"&lt;"&amp;B2617),INDEX(R_Schedule_Amounts,MATCH(B2617,R_Schedule_Times,1)),Starting_Cash),IF(COUNTIFS(R_Schedule_Times,"&gt;"&amp;B2616,R_Schedule_Times,"&lt;"&amp;B2617),INDEX(R_Schedule_Amounts,MATCH(B2617,R_Schedule_Times,1)),K2616)),"")</f>
        <v>5060</v>
      </c>
      <c r="I2617" s="30">
        <f t="shared" si="200"/>
        <v>40</v>
      </c>
      <c r="J2617" s="31">
        <f t="shared" si="201"/>
        <v>1.2</v>
      </c>
      <c r="K2617" s="29">
        <f t="shared" si="202"/>
        <v>5020</v>
      </c>
      <c r="L2617" s="31" t="str">
        <f t="shared" si="203"/>
        <v/>
      </c>
      <c r="M2617" s="31" t="str">
        <f t="shared" si="204"/>
        <v/>
      </c>
    </row>
    <row r="2618" spans="1:13" x14ac:dyDescent="0.15">
      <c r="A2618" s="163" t="s">
        <v>210</v>
      </c>
      <c r="B2618" s="163">
        <v>42344.340523749997</v>
      </c>
      <c r="C2618" s="164" t="s">
        <v>2236</v>
      </c>
      <c r="D2618" s="164" t="s">
        <v>13</v>
      </c>
      <c r="E2618" s="165">
        <v>200</v>
      </c>
      <c r="F2618" s="166">
        <v>0</v>
      </c>
      <c r="G2618" s="227">
        <f>IF($B$2,IF(ROWS(B$6:$B2618) = 1,$B2618-Start_Date,$B2618-$B2617),"")</f>
        <v>0.42902218749804888</v>
      </c>
      <c r="H2618" s="29">
        <f>IF($B$2,IF(ROWS(B$6:$B2618) = 1,IF(COUNTIFS(R_Schedule_Times,"&lt;"&amp;B2618),INDEX(R_Schedule_Amounts,MATCH(B2618,R_Schedule_Times,1)),Starting_Cash),IF(COUNTIFS(R_Schedule_Times,"&gt;"&amp;B2617,R_Schedule_Times,"&lt;"&amp;B2618),INDEX(R_Schedule_Amounts,MATCH(B2618,R_Schedule_Times,1)),K2617)),"")</f>
        <v>5020</v>
      </c>
      <c r="I2618" s="30">
        <f t="shared" si="200"/>
        <v>200</v>
      </c>
      <c r="J2618" s="31">
        <f t="shared" si="201"/>
        <v>0</v>
      </c>
      <c r="K2618" s="29">
        <f t="shared" si="202"/>
        <v>4820</v>
      </c>
      <c r="L2618" s="31" t="str">
        <f t="shared" si="203"/>
        <v/>
      </c>
      <c r="M2618" s="31" t="str">
        <f t="shared" si="204"/>
        <v/>
      </c>
    </row>
    <row r="2619" spans="1:13" x14ac:dyDescent="0.15">
      <c r="A2619" s="163" t="s">
        <v>210</v>
      </c>
      <c r="B2619" s="163">
        <v>42344.427993055557</v>
      </c>
      <c r="C2619" s="164" t="s">
        <v>1451</v>
      </c>
      <c r="D2619" s="164" t="s">
        <v>13</v>
      </c>
      <c r="E2619" s="165">
        <v>180</v>
      </c>
      <c r="F2619" s="166">
        <v>0</v>
      </c>
      <c r="G2619" s="227">
        <f>IF($B$2,IF(ROWS(B$6:$B2619) = 1,$B2619-Start_Date,$B2619-$B2618),"")</f>
        <v>8.7469305559352506E-2</v>
      </c>
      <c r="H2619" s="29">
        <f>IF($B$2,IF(ROWS(B$6:$B2619) = 1,IF(COUNTIFS(R_Schedule_Times,"&lt;"&amp;B2619),INDEX(R_Schedule_Amounts,MATCH(B2619,R_Schedule_Times,1)),Starting_Cash),IF(COUNTIFS(R_Schedule_Times,"&gt;"&amp;B2618,R_Schedule_Times,"&lt;"&amp;B2619),INDEX(R_Schedule_Amounts,MATCH(B2619,R_Schedule_Times,1)),K2618)),"")</f>
        <v>4820</v>
      </c>
      <c r="I2619" s="30">
        <f t="shared" si="200"/>
        <v>180</v>
      </c>
      <c r="J2619" s="31">
        <f t="shared" si="201"/>
        <v>0</v>
      </c>
      <c r="K2619" s="29">
        <f t="shared" si="202"/>
        <v>4640</v>
      </c>
      <c r="L2619" s="31" t="str">
        <f t="shared" si="203"/>
        <v/>
      </c>
      <c r="M2619" s="31" t="str">
        <f t="shared" si="204"/>
        <v/>
      </c>
    </row>
    <row r="2620" spans="1:13" x14ac:dyDescent="0.15">
      <c r="A2620" s="163" t="s">
        <v>210</v>
      </c>
      <c r="B2620" s="163">
        <v>42344.436180671299</v>
      </c>
      <c r="C2620" s="164" t="s">
        <v>2297</v>
      </c>
      <c r="D2620" s="164" t="s">
        <v>13</v>
      </c>
      <c r="E2620" s="165">
        <v>80</v>
      </c>
      <c r="F2620" s="166">
        <v>0</v>
      </c>
      <c r="G2620" s="227">
        <f>IF($B$2,IF(ROWS(B$6:$B2620) = 1,$B2620-Start_Date,$B2620-$B2619),"")</f>
        <v>8.1876157419173978E-3</v>
      </c>
      <c r="H2620" s="29">
        <f>IF($B$2,IF(ROWS(B$6:$B2620) = 1,IF(COUNTIFS(R_Schedule_Times,"&lt;"&amp;B2620),INDEX(R_Schedule_Amounts,MATCH(B2620,R_Schedule_Times,1)),Starting_Cash),IF(COUNTIFS(R_Schedule_Times,"&gt;"&amp;B2619,R_Schedule_Times,"&lt;"&amp;B2620),INDEX(R_Schedule_Amounts,MATCH(B2620,R_Schedule_Times,1)),K2619)),"")</f>
        <v>4640</v>
      </c>
      <c r="I2620" s="30">
        <f t="shared" si="200"/>
        <v>80</v>
      </c>
      <c r="J2620" s="31">
        <f t="shared" si="201"/>
        <v>0</v>
      </c>
      <c r="K2620" s="29">
        <f t="shared" si="202"/>
        <v>4560</v>
      </c>
      <c r="L2620" s="31" t="str">
        <f t="shared" si="203"/>
        <v/>
      </c>
      <c r="M2620" s="31" t="str">
        <f t="shared" si="204"/>
        <v/>
      </c>
    </row>
    <row r="2621" spans="1:13" x14ac:dyDescent="0.15">
      <c r="A2621" s="163" t="s">
        <v>210</v>
      </c>
      <c r="B2621" s="163">
        <v>42344.459513622685</v>
      </c>
      <c r="C2621" s="164" t="s">
        <v>2298</v>
      </c>
      <c r="D2621" s="164" t="s">
        <v>13</v>
      </c>
      <c r="E2621" s="165">
        <v>60</v>
      </c>
      <c r="F2621" s="166">
        <v>0</v>
      </c>
      <c r="G2621" s="227">
        <f>IF($B$2,IF(ROWS(B$6:$B2621) = 1,$B2621-Start_Date,$B2621-$B2620),"")</f>
        <v>2.3332951386692002E-2</v>
      </c>
      <c r="H2621" s="29">
        <f>IF($B$2,IF(ROWS(B$6:$B2621) = 1,IF(COUNTIFS(R_Schedule_Times,"&lt;"&amp;B2621),INDEX(R_Schedule_Amounts,MATCH(B2621,R_Schedule_Times,1)),Starting_Cash),IF(COUNTIFS(R_Schedule_Times,"&gt;"&amp;B2620,R_Schedule_Times,"&lt;"&amp;B2621),INDEX(R_Schedule_Amounts,MATCH(B2621,R_Schedule_Times,1)),K2620)),"")</f>
        <v>4560</v>
      </c>
      <c r="I2621" s="30">
        <f t="shared" si="200"/>
        <v>60</v>
      </c>
      <c r="J2621" s="31">
        <f t="shared" si="201"/>
        <v>0</v>
      </c>
      <c r="K2621" s="29">
        <f t="shared" si="202"/>
        <v>4500</v>
      </c>
      <c r="L2621" s="31" t="str">
        <f t="shared" si="203"/>
        <v/>
      </c>
      <c r="M2621" s="31" t="str">
        <f t="shared" si="204"/>
        <v/>
      </c>
    </row>
    <row r="2622" spans="1:13" x14ac:dyDescent="0.15">
      <c r="A2622" s="163" t="s">
        <v>210</v>
      </c>
      <c r="B2622" s="163">
        <v>42344.476286956022</v>
      </c>
      <c r="C2622" s="164" t="s">
        <v>1724</v>
      </c>
      <c r="D2622" s="164" t="s">
        <v>13</v>
      </c>
      <c r="E2622" s="165">
        <v>100</v>
      </c>
      <c r="F2622" s="166">
        <v>0</v>
      </c>
      <c r="G2622" s="227">
        <f>IF($B$2,IF(ROWS(B$6:$B2622) = 1,$B2622-Start_Date,$B2622-$B2621),"")</f>
        <v>1.6773333336459473E-2</v>
      </c>
      <c r="H2622" s="29">
        <f>IF($B$2,IF(ROWS(B$6:$B2622) = 1,IF(COUNTIFS(R_Schedule_Times,"&lt;"&amp;B2622),INDEX(R_Schedule_Amounts,MATCH(B2622,R_Schedule_Times,1)),Starting_Cash),IF(COUNTIFS(R_Schedule_Times,"&gt;"&amp;B2621,R_Schedule_Times,"&lt;"&amp;B2622),INDEX(R_Schedule_Amounts,MATCH(B2622,R_Schedule_Times,1)),K2621)),"")</f>
        <v>4500</v>
      </c>
      <c r="I2622" s="30">
        <f t="shared" si="200"/>
        <v>100</v>
      </c>
      <c r="J2622" s="31">
        <f t="shared" si="201"/>
        <v>0</v>
      </c>
      <c r="K2622" s="29">
        <f t="shared" si="202"/>
        <v>4400</v>
      </c>
      <c r="L2622" s="31" t="str">
        <f t="shared" si="203"/>
        <v/>
      </c>
      <c r="M2622" s="31" t="str">
        <f t="shared" si="204"/>
        <v/>
      </c>
    </row>
    <row r="2623" spans="1:13" x14ac:dyDescent="0.15">
      <c r="A2623" s="163" t="s">
        <v>210</v>
      </c>
      <c r="B2623" s="163">
        <v>42344.490215497688</v>
      </c>
      <c r="C2623" s="164" t="s">
        <v>2299</v>
      </c>
      <c r="D2623" s="164" t="s">
        <v>13</v>
      </c>
      <c r="E2623" s="165">
        <v>80</v>
      </c>
      <c r="F2623" s="166">
        <v>0</v>
      </c>
      <c r="G2623" s="227">
        <f>IF($B$2,IF(ROWS(B$6:$B2623) = 1,$B2623-Start_Date,$B2623-$B2622),"")</f>
        <v>1.3928541666246019E-2</v>
      </c>
      <c r="H2623" s="29">
        <f>IF($B$2,IF(ROWS(B$6:$B2623) = 1,IF(COUNTIFS(R_Schedule_Times,"&lt;"&amp;B2623),INDEX(R_Schedule_Amounts,MATCH(B2623,R_Schedule_Times,1)),Starting_Cash),IF(COUNTIFS(R_Schedule_Times,"&gt;"&amp;B2622,R_Schedule_Times,"&lt;"&amp;B2623),INDEX(R_Schedule_Amounts,MATCH(B2623,R_Schedule_Times,1)),K2622)),"")</f>
        <v>4400</v>
      </c>
      <c r="I2623" s="30">
        <f t="shared" si="200"/>
        <v>80</v>
      </c>
      <c r="J2623" s="31">
        <f t="shared" si="201"/>
        <v>0</v>
      </c>
      <c r="K2623" s="29">
        <f t="shared" si="202"/>
        <v>4320</v>
      </c>
      <c r="L2623" s="31" t="str">
        <f t="shared" si="203"/>
        <v/>
      </c>
      <c r="M2623" s="31" t="str">
        <f t="shared" si="204"/>
        <v/>
      </c>
    </row>
    <row r="2624" spans="1:13" x14ac:dyDescent="0.15">
      <c r="A2624" s="163" t="s">
        <v>210</v>
      </c>
      <c r="B2624" s="163">
        <v>42344.502327627313</v>
      </c>
      <c r="C2624" s="164" t="s">
        <v>2300</v>
      </c>
      <c r="D2624" s="164" t="s">
        <v>13</v>
      </c>
      <c r="E2624" s="165">
        <v>40</v>
      </c>
      <c r="F2624" s="166">
        <v>0</v>
      </c>
      <c r="G2624" s="227">
        <f>IF($B$2,IF(ROWS(B$6:$B2624) = 1,$B2624-Start_Date,$B2624-$B2623),"")</f>
        <v>1.2112129625165835E-2</v>
      </c>
      <c r="H2624" s="29">
        <f>IF($B$2,IF(ROWS(B$6:$B2624) = 1,IF(COUNTIFS(R_Schedule_Times,"&lt;"&amp;B2624),INDEX(R_Schedule_Amounts,MATCH(B2624,R_Schedule_Times,1)),Starting_Cash),IF(COUNTIFS(R_Schedule_Times,"&gt;"&amp;B2623,R_Schedule_Times,"&lt;"&amp;B2624),INDEX(R_Schedule_Amounts,MATCH(B2624,R_Schedule_Times,1)),K2623)),"")</f>
        <v>4320</v>
      </c>
      <c r="I2624" s="30">
        <f t="shared" si="200"/>
        <v>40</v>
      </c>
      <c r="J2624" s="31">
        <f t="shared" si="201"/>
        <v>0</v>
      </c>
      <c r="K2624" s="29">
        <f t="shared" si="202"/>
        <v>4280</v>
      </c>
      <c r="L2624" s="31" t="str">
        <f t="shared" si="203"/>
        <v/>
      </c>
      <c r="M2624" s="31" t="str">
        <f t="shared" si="204"/>
        <v/>
      </c>
    </row>
    <row r="2625" spans="1:13" x14ac:dyDescent="0.15">
      <c r="A2625" s="163" t="s">
        <v>210</v>
      </c>
      <c r="B2625" s="163">
        <v>42344.506165115738</v>
      </c>
      <c r="C2625" s="164" t="s">
        <v>957</v>
      </c>
      <c r="D2625" s="164" t="s">
        <v>13</v>
      </c>
      <c r="E2625" s="165">
        <v>100</v>
      </c>
      <c r="F2625" s="166">
        <v>0</v>
      </c>
      <c r="G2625" s="227">
        <f>IF($B$2,IF(ROWS(B$6:$B2625) = 1,$B2625-Start_Date,$B2625-$B2624),"")</f>
        <v>3.8374884243239649E-3</v>
      </c>
      <c r="H2625" s="29">
        <f>IF($B$2,IF(ROWS(B$6:$B2625) = 1,IF(COUNTIFS(R_Schedule_Times,"&lt;"&amp;B2625),INDEX(R_Schedule_Amounts,MATCH(B2625,R_Schedule_Times,1)),Starting_Cash),IF(COUNTIFS(R_Schedule_Times,"&gt;"&amp;B2624,R_Schedule_Times,"&lt;"&amp;B2625),INDEX(R_Schedule_Amounts,MATCH(B2625,R_Schedule_Times,1)),K2624)),"")</f>
        <v>4280</v>
      </c>
      <c r="I2625" s="30">
        <f t="shared" si="200"/>
        <v>100</v>
      </c>
      <c r="J2625" s="31">
        <f t="shared" si="201"/>
        <v>0</v>
      </c>
      <c r="K2625" s="29">
        <f t="shared" si="202"/>
        <v>4180</v>
      </c>
      <c r="L2625" s="31" t="str">
        <f t="shared" si="203"/>
        <v/>
      </c>
      <c r="M2625" s="31" t="str">
        <f t="shared" si="204"/>
        <v/>
      </c>
    </row>
    <row r="2626" spans="1:13" x14ac:dyDescent="0.15">
      <c r="A2626" s="163" t="s">
        <v>210</v>
      </c>
      <c r="B2626" s="163">
        <v>42344.506749803244</v>
      </c>
      <c r="C2626" s="164" t="s">
        <v>495</v>
      </c>
      <c r="D2626" s="164" t="s">
        <v>13</v>
      </c>
      <c r="E2626" s="165">
        <v>40</v>
      </c>
      <c r="F2626" s="166">
        <v>0</v>
      </c>
      <c r="G2626" s="227">
        <f>IF($B$2,IF(ROWS(B$6:$B2626) = 1,$B2626-Start_Date,$B2626-$B2625),"")</f>
        <v>5.8468750648899004E-4</v>
      </c>
      <c r="H2626" s="29">
        <f>IF($B$2,IF(ROWS(B$6:$B2626) = 1,IF(COUNTIFS(R_Schedule_Times,"&lt;"&amp;B2626),INDEX(R_Schedule_Amounts,MATCH(B2626,R_Schedule_Times,1)),Starting_Cash),IF(COUNTIFS(R_Schedule_Times,"&gt;"&amp;B2625,R_Schedule_Times,"&lt;"&amp;B2626),INDEX(R_Schedule_Amounts,MATCH(B2626,R_Schedule_Times,1)),K2625)),"")</f>
        <v>4180</v>
      </c>
      <c r="I2626" s="30">
        <f t="shared" si="200"/>
        <v>40</v>
      </c>
      <c r="J2626" s="31">
        <f t="shared" si="201"/>
        <v>0</v>
      </c>
      <c r="K2626" s="29">
        <f t="shared" si="202"/>
        <v>4140</v>
      </c>
      <c r="L2626" s="31" t="str">
        <f t="shared" si="203"/>
        <v/>
      </c>
      <c r="M2626" s="31" t="str">
        <f t="shared" si="204"/>
        <v/>
      </c>
    </row>
    <row r="2627" spans="1:13" x14ac:dyDescent="0.15">
      <c r="A2627" s="163" t="s">
        <v>210</v>
      </c>
      <c r="B2627" s="163">
        <v>42344.5102921875</v>
      </c>
      <c r="C2627" s="164" t="s">
        <v>2301</v>
      </c>
      <c r="D2627" s="164" t="s">
        <v>13</v>
      </c>
      <c r="E2627" s="165">
        <v>20</v>
      </c>
      <c r="F2627" s="166">
        <v>0</v>
      </c>
      <c r="G2627" s="227">
        <f>IF($B$2,IF(ROWS(B$6:$B2627) = 1,$B2627-Start_Date,$B2627-$B2626),"")</f>
        <v>3.5423842564341612E-3</v>
      </c>
      <c r="H2627" s="29">
        <f>IF($B$2,IF(ROWS(B$6:$B2627) = 1,IF(COUNTIFS(R_Schedule_Times,"&lt;"&amp;B2627),INDEX(R_Schedule_Amounts,MATCH(B2627,R_Schedule_Times,1)),Starting_Cash),IF(COUNTIFS(R_Schedule_Times,"&gt;"&amp;B2626,R_Schedule_Times,"&lt;"&amp;B2627),INDEX(R_Schedule_Amounts,MATCH(B2627,R_Schedule_Times,1)),K2626)),"")</f>
        <v>4140</v>
      </c>
      <c r="I2627" s="30">
        <f t="shared" si="200"/>
        <v>20</v>
      </c>
      <c r="J2627" s="31">
        <f t="shared" si="201"/>
        <v>0</v>
      </c>
      <c r="K2627" s="29">
        <f t="shared" si="202"/>
        <v>4120</v>
      </c>
      <c r="L2627" s="31" t="str">
        <f t="shared" si="203"/>
        <v/>
      </c>
      <c r="M2627" s="31" t="str">
        <f t="shared" si="204"/>
        <v/>
      </c>
    </row>
    <row r="2628" spans="1:13" x14ac:dyDescent="0.15">
      <c r="A2628" s="163" t="s">
        <v>210</v>
      </c>
      <c r="B2628" s="163">
        <v>42344.51200466435</v>
      </c>
      <c r="C2628" s="164" t="s">
        <v>2302</v>
      </c>
      <c r="D2628" s="164" t="s">
        <v>15</v>
      </c>
      <c r="E2628" s="165">
        <v>300</v>
      </c>
      <c r="F2628" s="166">
        <v>9</v>
      </c>
      <c r="G2628" s="227">
        <f>IF($B$2,IF(ROWS(B$6:$B2628) = 1,$B2628-Start_Date,$B2628-$B2627),"")</f>
        <v>1.7124768492067233E-3</v>
      </c>
      <c r="H2628" s="29">
        <f>IF($B$2,IF(ROWS(B$6:$B2628) = 1,IF(COUNTIFS(R_Schedule_Times,"&lt;"&amp;B2628),INDEX(R_Schedule_Amounts,MATCH(B2628,R_Schedule_Times,1)),Starting_Cash),IF(COUNTIFS(R_Schedule_Times,"&gt;"&amp;B2627,R_Schedule_Times,"&lt;"&amp;B2628),INDEX(R_Schedule_Amounts,MATCH(B2628,R_Schedule_Times,1)),K2627)),"")</f>
        <v>4120</v>
      </c>
      <c r="I2628" s="30">
        <f t="shared" si="200"/>
        <v>300</v>
      </c>
      <c r="J2628" s="31">
        <f t="shared" si="201"/>
        <v>9</v>
      </c>
      <c r="K2628" s="29">
        <f t="shared" si="202"/>
        <v>3820</v>
      </c>
      <c r="L2628" s="31" t="str">
        <f t="shared" si="203"/>
        <v/>
      </c>
      <c r="M2628" s="31" t="str">
        <f t="shared" si="204"/>
        <v/>
      </c>
    </row>
    <row r="2629" spans="1:13" x14ac:dyDescent="0.15">
      <c r="A2629" s="163" t="s">
        <v>210</v>
      </c>
      <c r="B2629" s="163">
        <v>42344.518948124998</v>
      </c>
      <c r="C2629" s="164" t="s">
        <v>171</v>
      </c>
      <c r="D2629" s="164" t="s">
        <v>13</v>
      </c>
      <c r="E2629" s="165">
        <v>60</v>
      </c>
      <c r="F2629" s="166">
        <v>0</v>
      </c>
      <c r="G2629" s="227">
        <f>IF($B$2,IF(ROWS(B$6:$B2629) = 1,$B2629-Start_Date,$B2629-$B2628),"")</f>
        <v>6.9434606484719552E-3</v>
      </c>
      <c r="H2629" s="29">
        <f>IF($B$2,IF(ROWS(B$6:$B2629) = 1,IF(COUNTIFS(R_Schedule_Times,"&lt;"&amp;B2629),INDEX(R_Schedule_Amounts,MATCH(B2629,R_Schedule_Times,1)),Starting_Cash),IF(COUNTIFS(R_Schedule_Times,"&gt;"&amp;B2628,R_Schedule_Times,"&lt;"&amp;B2629),INDEX(R_Schedule_Amounts,MATCH(B2629,R_Schedule_Times,1)),K2628)),"")</f>
        <v>3820</v>
      </c>
      <c r="I2629" s="30">
        <f t="shared" si="200"/>
        <v>60</v>
      </c>
      <c r="J2629" s="31">
        <f t="shared" si="201"/>
        <v>0</v>
      </c>
      <c r="K2629" s="29">
        <f t="shared" si="202"/>
        <v>3760</v>
      </c>
      <c r="L2629" s="31" t="str">
        <f t="shared" si="203"/>
        <v/>
      </c>
      <c r="M2629" s="31" t="str">
        <f t="shared" si="204"/>
        <v/>
      </c>
    </row>
    <row r="2630" spans="1:13" x14ac:dyDescent="0.15">
      <c r="A2630" s="163" t="s">
        <v>210</v>
      </c>
      <c r="B2630" s="163">
        <v>42344.529458622688</v>
      </c>
      <c r="C2630" s="164" t="s">
        <v>2303</v>
      </c>
      <c r="D2630" s="164" t="s">
        <v>13</v>
      </c>
      <c r="E2630" s="165">
        <v>40</v>
      </c>
      <c r="F2630" s="166">
        <v>0</v>
      </c>
      <c r="G2630" s="227">
        <f>IF($B$2,IF(ROWS(B$6:$B2630) = 1,$B2630-Start_Date,$B2630-$B2629),"")</f>
        <v>1.0510497690120246E-2</v>
      </c>
      <c r="H2630" s="29">
        <f>IF($B$2,IF(ROWS(B$6:$B2630) = 1,IF(COUNTIFS(R_Schedule_Times,"&lt;"&amp;B2630),INDEX(R_Schedule_Amounts,MATCH(B2630,R_Schedule_Times,1)),Starting_Cash),IF(COUNTIFS(R_Schedule_Times,"&gt;"&amp;B2629,R_Schedule_Times,"&lt;"&amp;B2630),INDEX(R_Schedule_Amounts,MATCH(B2630,R_Schedule_Times,1)),K2629)),"")</f>
        <v>3760</v>
      </c>
      <c r="I2630" s="30">
        <f t="shared" si="200"/>
        <v>40</v>
      </c>
      <c r="J2630" s="31">
        <f t="shared" si="201"/>
        <v>0</v>
      </c>
      <c r="K2630" s="29">
        <f t="shared" si="202"/>
        <v>3720</v>
      </c>
      <c r="L2630" s="31" t="str">
        <f t="shared" si="203"/>
        <v/>
      </c>
      <c r="M2630" s="31" t="str">
        <f t="shared" si="204"/>
        <v/>
      </c>
    </row>
    <row r="2631" spans="1:13" x14ac:dyDescent="0.15">
      <c r="A2631" s="163" t="s">
        <v>210</v>
      </c>
      <c r="B2631" s="163">
        <v>42344.547751053244</v>
      </c>
      <c r="C2631" s="164" t="s">
        <v>14</v>
      </c>
      <c r="D2631" s="164" t="s">
        <v>13</v>
      </c>
      <c r="E2631" s="165">
        <v>80</v>
      </c>
      <c r="F2631" s="166">
        <v>3.5</v>
      </c>
      <c r="G2631" s="227">
        <f>IF($B$2,IF(ROWS(B$6:$B2631) = 1,$B2631-Start_Date,$B2631-$B2630),"")</f>
        <v>1.8292430555447936E-2</v>
      </c>
      <c r="H2631" s="29">
        <f>IF($B$2,IF(ROWS(B$6:$B2631) = 1,IF(COUNTIFS(R_Schedule_Times,"&lt;"&amp;B2631),INDEX(R_Schedule_Amounts,MATCH(B2631,R_Schedule_Times,1)),Starting_Cash),IF(COUNTIFS(R_Schedule_Times,"&gt;"&amp;B2630,R_Schedule_Times,"&lt;"&amp;B2631),INDEX(R_Schedule_Amounts,MATCH(B2631,R_Schedule_Times,1)),K2630)),"")</f>
        <v>3720</v>
      </c>
      <c r="I2631" s="30">
        <f t="shared" ref="I2631:I2694" si="205">IF($B$2,IF(H2631&gt;=E2631,E2631,0),"")</f>
        <v>80</v>
      </c>
      <c r="J2631" s="31">
        <f t="shared" ref="J2631:J2694" si="206">IF($B$2,IF(H2631&gt;=E2631,F2631,0),"")</f>
        <v>3.5</v>
      </c>
      <c r="K2631" s="29">
        <f t="shared" ref="K2631:K2694" si="207">IF($B$2,ABS(I2631-H2631),"")</f>
        <v>3640</v>
      </c>
      <c r="L2631" s="31" t="str">
        <f t="shared" ref="L2631:L2694" si="208">IF($B$2,IF(H2631&lt;E2631,"YES",""),"")</f>
        <v/>
      </c>
      <c r="M2631" s="31" t="str">
        <f t="shared" ref="M2631:M2694" si="209">IF($B$2,IF(L2631="YES",F2631,""),"")</f>
        <v/>
      </c>
    </row>
    <row r="2632" spans="1:13" x14ac:dyDescent="0.15">
      <c r="A2632" s="163" t="s">
        <v>210</v>
      </c>
      <c r="B2632" s="163">
        <v>42344.563600567133</v>
      </c>
      <c r="C2632" s="164" t="s">
        <v>841</v>
      </c>
      <c r="D2632" s="164" t="s">
        <v>13</v>
      </c>
      <c r="E2632" s="165">
        <v>80</v>
      </c>
      <c r="F2632" s="166">
        <v>0</v>
      </c>
      <c r="G2632" s="227">
        <f>IF($B$2,IF(ROWS(B$6:$B2632) = 1,$B2632-Start_Date,$B2632-$B2631),"")</f>
        <v>1.5849513889406808E-2</v>
      </c>
      <c r="H2632" s="29">
        <f>IF($B$2,IF(ROWS(B$6:$B2632) = 1,IF(COUNTIFS(R_Schedule_Times,"&lt;"&amp;B2632),INDEX(R_Schedule_Amounts,MATCH(B2632,R_Schedule_Times,1)),Starting_Cash),IF(COUNTIFS(R_Schedule_Times,"&gt;"&amp;B2631,R_Schedule_Times,"&lt;"&amp;B2632),INDEX(R_Schedule_Amounts,MATCH(B2632,R_Schedule_Times,1)),K2631)),"")</f>
        <v>3640</v>
      </c>
      <c r="I2632" s="30">
        <f t="shared" si="205"/>
        <v>80</v>
      </c>
      <c r="J2632" s="31">
        <f t="shared" si="206"/>
        <v>0</v>
      </c>
      <c r="K2632" s="29">
        <f t="shared" si="207"/>
        <v>3560</v>
      </c>
      <c r="L2632" s="31" t="str">
        <f t="shared" si="208"/>
        <v/>
      </c>
      <c r="M2632" s="31" t="str">
        <f t="shared" si="209"/>
        <v/>
      </c>
    </row>
    <row r="2633" spans="1:13" x14ac:dyDescent="0.15">
      <c r="A2633" s="163" t="s">
        <v>210</v>
      </c>
      <c r="B2633" s="163">
        <v>42344.611959467591</v>
      </c>
      <c r="C2633" s="164" t="s">
        <v>14</v>
      </c>
      <c r="D2633" s="164" t="s">
        <v>13</v>
      </c>
      <c r="E2633" s="165">
        <v>80</v>
      </c>
      <c r="F2633" s="166">
        <v>3.5</v>
      </c>
      <c r="G2633" s="227">
        <f>IF($B$2,IF(ROWS(B$6:$B2633) = 1,$B2633-Start_Date,$B2633-$B2632),"")</f>
        <v>4.8358900457969867E-2</v>
      </c>
      <c r="H2633" s="29">
        <f>IF($B$2,IF(ROWS(B$6:$B2633) = 1,IF(COUNTIFS(R_Schedule_Times,"&lt;"&amp;B2633),INDEX(R_Schedule_Amounts,MATCH(B2633,R_Schedule_Times,1)),Starting_Cash),IF(COUNTIFS(R_Schedule_Times,"&gt;"&amp;B2632,R_Schedule_Times,"&lt;"&amp;B2633),INDEX(R_Schedule_Amounts,MATCH(B2633,R_Schedule_Times,1)),K2632)),"")</f>
        <v>3560</v>
      </c>
      <c r="I2633" s="30">
        <f t="shared" si="205"/>
        <v>80</v>
      </c>
      <c r="J2633" s="31">
        <f t="shared" si="206"/>
        <v>3.5</v>
      </c>
      <c r="K2633" s="29">
        <f t="shared" si="207"/>
        <v>3480</v>
      </c>
      <c r="L2633" s="31" t="str">
        <f t="shared" si="208"/>
        <v/>
      </c>
      <c r="M2633" s="31" t="str">
        <f t="shared" si="209"/>
        <v/>
      </c>
    </row>
    <row r="2634" spans="1:13" x14ac:dyDescent="0.15">
      <c r="A2634" s="163" t="s">
        <v>210</v>
      </c>
      <c r="B2634" s="163">
        <v>42344.61457943287</v>
      </c>
      <c r="C2634" s="164" t="s">
        <v>14</v>
      </c>
      <c r="D2634" s="164" t="s">
        <v>13</v>
      </c>
      <c r="E2634" s="165">
        <v>140</v>
      </c>
      <c r="F2634" s="166">
        <v>3.5</v>
      </c>
      <c r="G2634" s="227">
        <f>IF($B$2,IF(ROWS(B$6:$B2634) = 1,$B2634-Start_Date,$B2634-$B2633),"")</f>
        <v>2.6199652784271166E-3</v>
      </c>
      <c r="H2634" s="29">
        <f>IF($B$2,IF(ROWS(B$6:$B2634) = 1,IF(COUNTIFS(R_Schedule_Times,"&lt;"&amp;B2634),INDEX(R_Schedule_Amounts,MATCH(B2634,R_Schedule_Times,1)),Starting_Cash),IF(COUNTIFS(R_Schedule_Times,"&gt;"&amp;B2633,R_Schedule_Times,"&lt;"&amp;B2634),INDEX(R_Schedule_Amounts,MATCH(B2634,R_Schedule_Times,1)),K2633)),"")</f>
        <v>3480</v>
      </c>
      <c r="I2634" s="30">
        <f t="shared" si="205"/>
        <v>140</v>
      </c>
      <c r="J2634" s="31">
        <f t="shared" si="206"/>
        <v>3.5</v>
      </c>
      <c r="K2634" s="29">
        <f t="shared" si="207"/>
        <v>3340</v>
      </c>
      <c r="L2634" s="31" t="str">
        <f t="shared" si="208"/>
        <v/>
      </c>
      <c r="M2634" s="31" t="str">
        <f t="shared" si="209"/>
        <v/>
      </c>
    </row>
    <row r="2635" spans="1:13" x14ac:dyDescent="0.15">
      <c r="A2635" s="163" t="s">
        <v>210</v>
      </c>
      <c r="B2635" s="163">
        <v>42344.617397268521</v>
      </c>
      <c r="C2635" s="164" t="s">
        <v>2304</v>
      </c>
      <c r="D2635" s="164" t="s">
        <v>13</v>
      </c>
      <c r="E2635" s="165">
        <v>20</v>
      </c>
      <c r="F2635" s="166">
        <v>0</v>
      </c>
      <c r="G2635" s="227">
        <f>IF($B$2,IF(ROWS(B$6:$B2635) = 1,$B2635-Start_Date,$B2635-$B2634),"")</f>
        <v>2.8178356515127234E-3</v>
      </c>
      <c r="H2635" s="29">
        <f>IF($B$2,IF(ROWS(B$6:$B2635) = 1,IF(COUNTIFS(R_Schedule_Times,"&lt;"&amp;B2635),INDEX(R_Schedule_Amounts,MATCH(B2635,R_Schedule_Times,1)),Starting_Cash),IF(COUNTIFS(R_Schedule_Times,"&gt;"&amp;B2634,R_Schedule_Times,"&lt;"&amp;B2635),INDEX(R_Schedule_Amounts,MATCH(B2635,R_Schedule_Times,1)),K2634)),"")</f>
        <v>3340</v>
      </c>
      <c r="I2635" s="30">
        <f t="shared" si="205"/>
        <v>20</v>
      </c>
      <c r="J2635" s="31">
        <f t="shared" si="206"/>
        <v>0</v>
      </c>
      <c r="K2635" s="29">
        <f t="shared" si="207"/>
        <v>3320</v>
      </c>
      <c r="L2635" s="31" t="str">
        <f t="shared" si="208"/>
        <v/>
      </c>
      <c r="M2635" s="31" t="str">
        <f t="shared" si="209"/>
        <v/>
      </c>
    </row>
    <row r="2636" spans="1:13" x14ac:dyDescent="0.15">
      <c r="A2636" s="163" t="s">
        <v>210</v>
      </c>
      <c r="B2636" s="163">
        <v>42344.618350891207</v>
      </c>
      <c r="C2636" s="164" t="s">
        <v>1366</v>
      </c>
      <c r="D2636" s="164" t="s">
        <v>13</v>
      </c>
      <c r="E2636" s="165">
        <v>200</v>
      </c>
      <c r="F2636" s="166">
        <v>0</v>
      </c>
      <c r="G2636" s="227">
        <f>IF($B$2,IF(ROWS(B$6:$B2636) = 1,$B2636-Start_Date,$B2636-$B2635),"")</f>
        <v>9.5362268621101975E-4</v>
      </c>
      <c r="H2636" s="29">
        <f>IF($B$2,IF(ROWS(B$6:$B2636) = 1,IF(COUNTIFS(R_Schedule_Times,"&lt;"&amp;B2636),INDEX(R_Schedule_Amounts,MATCH(B2636,R_Schedule_Times,1)),Starting_Cash),IF(COUNTIFS(R_Schedule_Times,"&gt;"&amp;B2635,R_Schedule_Times,"&lt;"&amp;B2636),INDEX(R_Schedule_Amounts,MATCH(B2636,R_Schedule_Times,1)),K2635)),"")</f>
        <v>3320</v>
      </c>
      <c r="I2636" s="30">
        <f t="shared" si="205"/>
        <v>200</v>
      </c>
      <c r="J2636" s="31">
        <f t="shared" si="206"/>
        <v>0</v>
      </c>
      <c r="K2636" s="29">
        <f t="shared" si="207"/>
        <v>3120</v>
      </c>
      <c r="L2636" s="31" t="str">
        <f t="shared" si="208"/>
        <v/>
      </c>
      <c r="M2636" s="31" t="str">
        <f t="shared" si="209"/>
        <v/>
      </c>
    </row>
    <row r="2637" spans="1:13" x14ac:dyDescent="0.15">
      <c r="A2637" s="163" t="s">
        <v>210</v>
      </c>
      <c r="B2637" s="163">
        <v>42344.632712453706</v>
      </c>
      <c r="C2637" s="164" t="s">
        <v>2305</v>
      </c>
      <c r="D2637" s="164" t="s">
        <v>13</v>
      </c>
      <c r="E2637" s="165">
        <v>100</v>
      </c>
      <c r="F2637" s="166">
        <v>0</v>
      </c>
      <c r="G2637" s="227">
        <f>IF($B$2,IF(ROWS(B$6:$B2637) = 1,$B2637-Start_Date,$B2637-$B2636),"")</f>
        <v>1.4361562498379499E-2</v>
      </c>
      <c r="H2637" s="29">
        <f>IF($B$2,IF(ROWS(B$6:$B2637) = 1,IF(COUNTIFS(R_Schedule_Times,"&lt;"&amp;B2637),INDEX(R_Schedule_Amounts,MATCH(B2637,R_Schedule_Times,1)),Starting_Cash),IF(COUNTIFS(R_Schedule_Times,"&gt;"&amp;B2636,R_Schedule_Times,"&lt;"&amp;B2637),INDEX(R_Schedule_Amounts,MATCH(B2637,R_Schedule_Times,1)),K2636)),"")</f>
        <v>3120</v>
      </c>
      <c r="I2637" s="30">
        <f t="shared" si="205"/>
        <v>100</v>
      </c>
      <c r="J2637" s="31">
        <f t="shared" si="206"/>
        <v>0</v>
      </c>
      <c r="K2637" s="29">
        <f t="shared" si="207"/>
        <v>3020</v>
      </c>
      <c r="L2637" s="31" t="str">
        <f t="shared" si="208"/>
        <v/>
      </c>
      <c r="M2637" s="31" t="str">
        <f t="shared" si="209"/>
        <v/>
      </c>
    </row>
    <row r="2638" spans="1:13" x14ac:dyDescent="0.15">
      <c r="A2638" s="163" t="s">
        <v>210</v>
      </c>
      <c r="B2638" s="163">
        <v>42344.649900729164</v>
      </c>
      <c r="C2638" s="164" t="s">
        <v>14</v>
      </c>
      <c r="D2638" s="164" t="s">
        <v>13</v>
      </c>
      <c r="E2638" s="165">
        <v>80</v>
      </c>
      <c r="F2638" s="166">
        <v>3.5</v>
      </c>
      <c r="G2638" s="227">
        <f>IF($B$2,IF(ROWS(B$6:$B2638) = 1,$B2638-Start_Date,$B2638-$B2637),"")</f>
        <v>1.7188275458465796E-2</v>
      </c>
      <c r="H2638" s="29">
        <f>IF($B$2,IF(ROWS(B$6:$B2638) = 1,IF(COUNTIFS(R_Schedule_Times,"&lt;"&amp;B2638),INDEX(R_Schedule_Amounts,MATCH(B2638,R_Schedule_Times,1)),Starting_Cash),IF(COUNTIFS(R_Schedule_Times,"&gt;"&amp;B2637,R_Schedule_Times,"&lt;"&amp;B2638),INDEX(R_Schedule_Amounts,MATCH(B2638,R_Schedule_Times,1)),K2637)),"")</f>
        <v>3020</v>
      </c>
      <c r="I2638" s="30">
        <f t="shared" si="205"/>
        <v>80</v>
      </c>
      <c r="J2638" s="31">
        <f t="shared" si="206"/>
        <v>3.5</v>
      </c>
      <c r="K2638" s="29">
        <f t="shared" si="207"/>
        <v>2940</v>
      </c>
      <c r="L2638" s="31" t="str">
        <f t="shared" si="208"/>
        <v/>
      </c>
      <c r="M2638" s="31" t="str">
        <f t="shared" si="209"/>
        <v/>
      </c>
    </row>
    <row r="2639" spans="1:13" x14ac:dyDescent="0.15">
      <c r="A2639" s="163" t="s">
        <v>210</v>
      </c>
      <c r="B2639" s="163">
        <v>42344.654932662037</v>
      </c>
      <c r="C2639" s="164" t="s">
        <v>496</v>
      </c>
      <c r="D2639" s="164" t="s">
        <v>13</v>
      </c>
      <c r="E2639" s="165">
        <v>60</v>
      </c>
      <c r="F2639" s="166">
        <v>0</v>
      </c>
      <c r="G2639" s="227">
        <f>IF($B$2,IF(ROWS(B$6:$B2639) = 1,$B2639-Start_Date,$B2639-$B2638),"")</f>
        <v>5.0319328729528934E-3</v>
      </c>
      <c r="H2639" s="29">
        <f>IF($B$2,IF(ROWS(B$6:$B2639) = 1,IF(COUNTIFS(R_Schedule_Times,"&lt;"&amp;B2639),INDEX(R_Schedule_Amounts,MATCH(B2639,R_Schedule_Times,1)),Starting_Cash),IF(COUNTIFS(R_Schedule_Times,"&gt;"&amp;B2638,R_Schedule_Times,"&lt;"&amp;B2639),INDEX(R_Schedule_Amounts,MATCH(B2639,R_Schedule_Times,1)),K2638)),"")</f>
        <v>2940</v>
      </c>
      <c r="I2639" s="30">
        <f t="shared" si="205"/>
        <v>60</v>
      </c>
      <c r="J2639" s="31">
        <f t="shared" si="206"/>
        <v>0</v>
      </c>
      <c r="K2639" s="29">
        <f t="shared" si="207"/>
        <v>2880</v>
      </c>
      <c r="L2639" s="31" t="str">
        <f t="shared" si="208"/>
        <v/>
      </c>
      <c r="M2639" s="31" t="str">
        <f t="shared" si="209"/>
        <v/>
      </c>
    </row>
    <row r="2640" spans="1:13" x14ac:dyDescent="0.15">
      <c r="A2640" s="163" t="s">
        <v>210</v>
      </c>
      <c r="B2640" s="163">
        <v>42344.662753634257</v>
      </c>
      <c r="C2640" s="164" t="s">
        <v>14</v>
      </c>
      <c r="D2640" s="164" t="s">
        <v>13</v>
      </c>
      <c r="E2640" s="165">
        <v>60</v>
      </c>
      <c r="F2640" s="166">
        <v>3.5</v>
      </c>
      <c r="G2640" s="227">
        <f>IF($B$2,IF(ROWS(B$6:$B2640) = 1,$B2640-Start_Date,$B2640-$B2639),"")</f>
        <v>7.8209722196334042E-3</v>
      </c>
      <c r="H2640" s="29">
        <f>IF($B$2,IF(ROWS(B$6:$B2640) = 1,IF(COUNTIFS(R_Schedule_Times,"&lt;"&amp;B2640),INDEX(R_Schedule_Amounts,MATCH(B2640,R_Schedule_Times,1)),Starting_Cash),IF(COUNTIFS(R_Schedule_Times,"&gt;"&amp;B2639,R_Schedule_Times,"&lt;"&amp;B2640),INDEX(R_Schedule_Amounts,MATCH(B2640,R_Schedule_Times,1)),K2639)),"")</f>
        <v>2880</v>
      </c>
      <c r="I2640" s="30">
        <f t="shared" si="205"/>
        <v>60</v>
      </c>
      <c r="J2640" s="31">
        <f t="shared" si="206"/>
        <v>3.5</v>
      </c>
      <c r="K2640" s="29">
        <f t="shared" si="207"/>
        <v>2820</v>
      </c>
      <c r="L2640" s="31" t="str">
        <f t="shared" si="208"/>
        <v/>
      </c>
      <c r="M2640" s="31" t="str">
        <f t="shared" si="209"/>
        <v/>
      </c>
    </row>
    <row r="2641" spans="1:13" x14ac:dyDescent="0.15">
      <c r="A2641" s="163" t="s">
        <v>210</v>
      </c>
      <c r="B2641" s="163">
        <v>42344.684629594907</v>
      </c>
      <c r="C2641" s="164" t="s">
        <v>14</v>
      </c>
      <c r="D2641" s="164" t="s">
        <v>13</v>
      </c>
      <c r="E2641" s="165">
        <v>20</v>
      </c>
      <c r="F2641" s="166">
        <v>3.5</v>
      </c>
      <c r="G2641" s="227">
        <f>IF($B$2,IF(ROWS(B$6:$B2641) = 1,$B2641-Start_Date,$B2641-$B2640),"")</f>
        <v>2.1875960650504567E-2</v>
      </c>
      <c r="H2641" s="29">
        <f>IF($B$2,IF(ROWS(B$6:$B2641) = 1,IF(COUNTIFS(R_Schedule_Times,"&lt;"&amp;B2641),INDEX(R_Schedule_Amounts,MATCH(B2641,R_Schedule_Times,1)),Starting_Cash),IF(COUNTIFS(R_Schedule_Times,"&gt;"&amp;B2640,R_Schedule_Times,"&lt;"&amp;B2641),INDEX(R_Schedule_Amounts,MATCH(B2641,R_Schedule_Times,1)),K2640)),"")</f>
        <v>2820</v>
      </c>
      <c r="I2641" s="30">
        <f t="shared" si="205"/>
        <v>20</v>
      </c>
      <c r="J2641" s="31">
        <f t="shared" si="206"/>
        <v>3.5</v>
      </c>
      <c r="K2641" s="29">
        <f t="shared" si="207"/>
        <v>2800</v>
      </c>
      <c r="L2641" s="31" t="str">
        <f t="shared" si="208"/>
        <v/>
      </c>
      <c r="M2641" s="31" t="str">
        <f t="shared" si="209"/>
        <v/>
      </c>
    </row>
    <row r="2642" spans="1:13" x14ac:dyDescent="0.15">
      <c r="A2642" s="163" t="s">
        <v>210</v>
      </c>
      <c r="B2642" s="163">
        <v>42344.688300486108</v>
      </c>
      <c r="C2642" s="164" t="s">
        <v>2306</v>
      </c>
      <c r="D2642" s="164" t="s">
        <v>13</v>
      </c>
      <c r="E2642" s="165">
        <v>100</v>
      </c>
      <c r="F2642" s="166">
        <v>0</v>
      </c>
      <c r="G2642" s="227">
        <f>IF($B$2,IF(ROWS(B$6:$B2642) = 1,$B2642-Start_Date,$B2642-$B2641),"")</f>
        <v>3.6708912011818029E-3</v>
      </c>
      <c r="H2642" s="29">
        <f>IF($B$2,IF(ROWS(B$6:$B2642) = 1,IF(COUNTIFS(R_Schedule_Times,"&lt;"&amp;B2642),INDEX(R_Schedule_Amounts,MATCH(B2642,R_Schedule_Times,1)),Starting_Cash),IF(COUNTIFS(R_Schedule_Times,"&gt;"&amp;B2641,R_Schedule_Times,"&lt;"&amp;B2642),INDEX(R_Schedule_Amounts,MATCH(B2642,R_Schedule_Times,1)),K2641)),"")</f>
        <v>2800</v>
      </c>
      <c r="I2642" s="30">
        <f t="shared" si="205"/>
        <v>100</v>
      </c>
      <c r="J2642" s="31">
        <f t="shared" si="206"/>
        <v>0</v>
      </c>
      <c r="K2642" s="29">
        <f t="shared" si="207"/>
        <v>2700</v>
      </c>
      <c r="L2642" s="31" t="str">
        <f t="shared" si="208"/>
        <v/>
      </c>
      <c r="M2642" s="31" t="str">
        <f t="shared" si="209"/>
        <v/>
      </c>
    </row>
    <row r="2643" spans="1:13" x14ac:dyDescent="0.15">
      <c r="A2643" s="163" t="s">
        <v>210</v>
      </c>
      <c r="B2643" s="163">
        <v>42344.743108645831</v>
      </c>
      <c r="C2643" s="164" t="s">
        <v>2307</v>
      </c>
      <c r="D2643" s="164" t="s">
        <v>13</v>
      </c>
      <c r="E2643" s="165">
        <v>200</v>
      </c>
      <c r="F2643" s="166">
        <v>0</v>
      </c>
      <c r="G2643" s="227">
        <f>IF($B$2,IF(ROWS(B$6:$B2643) = 1,$B2643-Start_Date,$B2643-$B2642),"")</f>
        <v>5.4808159722597338E-2</v>
      </c>
      <c r="H2643" s="29">
        <f>IF($B$2,IF(ROWS(B$6:$B2643) = 1,IF(COUNTIFS(R_Schedule_Times,"&lt;"&amp;B2643),INDEX(R_Schedule_Amounts,MATCH(B2643,R_Schedule_Times,1)),Starting_Cash),IF(COUNTIFS(R_Schedule_Times,"&gt;"&amp;B2642,R_Schedule_Times,"&lt;"&amp;B2643),INDEX(R_Schedule_Amounts,MATCH(B2643,R_Schedule_Times,1)),K2642)),"")</f>
        <v>2700</v>
      </c>
      <c r="I2643" s="30">
        <f t="shared" si="205"/>
        <v>200</v>
      </c>
      <c r="J2643" s="31">
        <f t="shared" si="206"/>
        <v>0</v>
      </c>
      <c r="K2643" s="29">
        <f t="shared" si="207"/>
        <v>2500</v>
      </c>
      <c r="L2643" s="31" t="str">
        <f t="shared" si="208"/>
        <v/>
      </c>
      <c r="M2643" s="31" t="str">
        <f t="shared" si="209"/>
        <v/>
      </c>
    </row>
    <row r="2644" spans="1:13" x14ac:dyDescent="0.15">
      <c r="A2644" s="163" t="s">
        <v>210</v>
      </c>
      <c r="B2644" s="163">
        <v>42344.765153900466</v>
      </c>
      <c r="C2644" s="164" t="s">
        <v>2308</v>
      </c>
      <c r="D2644" s="164" t="s">
        <v>13</v>
      </c>
      <c r="E2644" s="165">
        <v>40</v>
      </c>
      <c r="F2644" s="166">
        <v>0</v>
      </c>
      <c r="G2644" s="227">
        <f>IF($B$2,IF(ROWS(B$6:$B2644) = 1,$B2644-Start_Date,$B2644-$B2643),"")</f>
        <v>2.204525463457685E-2</v>
      </c>
      <c r="H2644" s="29">
        <f>IF($B$2,IF(ROWS(B$6:$B2644) = 1,IF(COUNTIFS(R_Schedule_Times,"&lt;"&amp;B2644),INDEX(R_Schedule_Amounts,MATCH(B2644,R_Schedule_Times,1)),Starting_Cash),IF(COUNTIFS(R_Schedule_Times,"&gt;"&amp;B2643,R_Schedule_Times,"&lt;"&amp;B2644),INDEX(R_Schedule_Amounts,MATCH(B2644,R_Schedule_Times,1)),K2643)),"")</f>
        <v>2500</v>
      </c>
      <c r="I2644" s="30">
        <f t="shared" si="205"/>
        <v>40</v>
      </c>
      <c r="J2644" s="31">
        <f t="shared" si="206"/>
        <v>0</v>
      </c>
      <c r="K2644" s="29">
        <f t="shared" si="207"/>
        <v>2460</v>
      </c>
      <c r="L2644" s="31" t="str">
        <f t="shared" si="208"/>
        <v/>
      </c>
      <c r="M2644" s="31" t="str">
        <f t="shared" si="209"/>
        <v/>
      </c>
    </row>
    <row r="2645" spans="1:13" x14ac:dyDescent="0.15">
      <c r="A2645" s="163" t="s">
        <v>210</v>
      </c>
      <c r="B2645" s="163">
        <v>42344.766266863429</v>
      </c>
      <c r="C2645" s="164" t="s">
        <v>2309</v>
      </c>
      <c r="D2645" s="164" t="s">
        <v>13</v>
      </c>
      <c r="E2645" s="165">
        <v>80</v>
      </c>
      <c r="F2645" s="166">
        <v>0</v>
      </c>
      <c r="G2645" s="227">
        <f>IF($B$2,IF(ROWS(B$6:$B2645) = 1,$B2645-Start_Date,$B2645-$B2644),"")</f>
        <v>1.1129629638162442E-3</v>
      </c>
      <c r="H2645" s="29">
        <f>IF($B$2,IF(ROWS(B$6:$B2645) = 1,IF(COUNTIFS(R_Schedule_Times,"&lt;"&amp;B2645),INDEX(R_Schedule_Amounts,MATCH(B2645,R_Schedule_Times,1)),Starting_Cash),IF(COUNTIFS(R_Schedule_Times,"&gt;"&amp;B2644,R_Schedule_Times,"&lt;"&amp;B2645),INDEX(R_Schedule_Amounts,MATCH(B2645,R_Schedule_Times,1)),K2644)),"")</f>
        <v>2460</v>
      </c>
      <c r="I2645" s="30">
        <f t="shared" si="205"/>
        <v>80</v>
      </c>
      <c r="J2645" s="31">
        <f t="shared" si="206"/>
        <v>0</v>
      </c>
      <c r="K2645" s="29">
        <f t="shared" si="207"/>
        <v>2380</v>
      </c>
      <c r="L2645" s="31" t="str">
        <f t="shared" si="208"/>
        <v/>
      </c>
      <c r="M2645" s="31" t="str">
        <f t="shared" si="209"/>
        <v/>
      </c>
    </row>
    <row r="2646" spans="1:13" x14ac:dyDescent="0.15">
      <c r="A2646" s="163" t="s">
        <v>210</v>
      </c>
      <c r="B2646" s="163">
        <v>42344.773598020831</v>
      </c>
      <c r="C2646" s="164" t="s">
        <v>2310</v>
      </c>
      <c r="D2646" s="164" t="s">
        <v>13</v>
      </c>
      <c r="E2646" s="165">
        <v>40</v>
      </c>
      <c r="F2646" s="166">
        <v>0</v>
      </c>
      <c r="G2646" s="227">
        <f>IF($B$2,IF(ROWS(B$6:$B2646) = 1,$B2646-Start_Date,$B2646-$B2645),"")</f>
        <v>7.3311574014951475E-3</v>
      </c>
      <c r="H2646" s="29">
        <f>IF($B$2,IF(ROWS(B$6:$B2646) = 1,IF(COUNTIFS(R_Schedule_Times,"&lt;"&amp;B2646),INDEX(R_Schedule_Amounts,MATCH(B2646,R_Schedule_Times,1)),Starting_Cash),IF(COUNTIFS(R_Schedule_Times,"&gt;"&amp;B2645,R_Schedule_Times,"&lt;"&amp;B2646),INDEX(R_Schedule_Amounts,MATCH(B2646,R_Schedule_Times,1)),K2645)),"")</f>
        <v>2380</v>
      </c>
      <c r="I2646" s="30">
        <f t="shared" si="205"/>
        <v>40</v>
      </c>
      <c r="J2646" s="31">
        <f t="shared" si="206"/>
        <v>0</v>
      </c>
      <c r="K2646" s="29">
        <f t="shared" si="207"/>
        <v>2340</v>
      </c>
      <c r="L2646" s="31" t="str">
        <f t="shared" si="208"/>
        <v/>
      </c>
      <c r="M2646" s="31" t="str">
        <f t="shared" si="209"/>
        <v/>
      </c>
    </row>
    <row r="2647" spans="1:13" x14ac:dyDescent="0.15">
      <c r="A2647" s="163" t="s">
        <v>210</v>
      </c>
      <c r="B2647" s="163">
        <v>42344.820643194442</v>
      </c>
      <c r="C2647" s="164" t="s">
        <v>14</v>
      </c>
      <c r="D2647" s="164" t="s">
        <v>13</v>
      </c>
      <c r="E2647" s="165">
        <v>80</v>
      </c>
      <c r="F2647" s="166">
        <v>3.5</v>
      </c>
      <c r="G2647" s="227">
        <f>IF($B$2,IF(ROWS(B$6:$B2647) = 1,$B2647-Start_Date,$B2647-$B2646),"")</f>
        <v>4.704517361096805E-2</v>
      </c>
      <c r="H2647" s="29">
        <f>IF($B$2,IF(ROWS(B$6:$B2647) = 1,IF(COUNTIFS(R_Schedule_Times,"&lt;"&amp;B2647),INDEX(R_Schedule_Amounts,MATCH(B2647,R_Schedule_Times,1)),Starting_Cash),IF(COUNTIFS(R_Schedule_Times,"&gt;"&amp;B2646,R_Schedule_Times,"&lt;"&amp;B2647),INDEX(R_Schedule_Amounts,MATCH(B2647,R_Schedule_Times,1)),K2646)),"")</f>
        <v>2340</v>
      </c>
      <c r="I2647" s="30">
        <f t="shared" si="205"/>
        <v>80</v>
      </c>
      <c r="J2647" s="31">
        <f t="shared" si="206"/>
        <v>3.5</v>
      </c>
      <c r="K2647" s="29">
        <f t="shared" si="207"/>
        <v>2260</v>
      </c>
      <c r="L2647" s="31" t="str">
        <f t="shared" si="208"/>
        <v/>
      </c>
      <c r="M2647" s="31" t="str">
        <f t="shared" si="209"/>
        <v/>
      </c>
    </row>
    <row r="2648" spans="1:13" x14ac:dyDescent="0.15">
      <c r="A2648" s="163" t="s">
        <v>210</v>
      </c>
      <c r="B2648" s="163">
        <v>42344.831108009261</v>
      </c>
      <c r="C2648" s="164" t="s">
        <v>2311</v>
      </c>
      <c r="D2648" s="164" t="s">
        <v>13</v>
      </c>
      <c r="E2648" s="165">
        <v>40</v>
      </c>
      <c r="F2648" s="166">
        <v>0</v>
      </c>
      <c r="G2648" s="227">
        <f>IF($B$2,IF(ROWS(B$6:$B2648) = 1,$B2648-Start_Date,$B2648-$B2647),"")</f>
        <v>1.0464814818988089E-2</v>
      </c>
      <c r="H2648" s="29">
        <f>IF($B$2,IF(ROWS(B$6:$B2648) = 1,IF(COUNTIFS(R_Schedule_Times,"&lt;"&amp;B2648),INDEX(R_Schedule_Amounts,MATCH(B2648,R_Schedule_Times,1)),Starting_Cash),IF(COUNTIFS(R_Schedule_Times,"&gt;"&amp;B2647,R_Schedule_Times,"&lt;"&amp;B2648),INDEX(R_Schedule_Amounts,MATCH(B2648,R_Schedule_Times,1)),K2647)),"")</f>
        <v>2260</v>
      </c>
      <c r="I2648" s="30">
        <f t="shared" si="205"/>
        <v>40</v>
      </c>
      <c r="J2648" s="31">
        <f t="shared" si="206"/>
        <v>0</v>
      </c>
      <c r="K2648" s="29">
        <f t="shared" si="207"/>
        <v>2220</v>
      </c>
      <c r="L2648" s="31" t="str">
        <f t="shared" si="208"/>
        <v/>
      </c>
      <c r="M2648" s="31" t="str">
        <f t="shared" si="209"/>
        <v/>
      </c>
    </row>
    <row r="2649" spans="1:13" x14ac:dyDescent="0.15">
      <c r="A2649" s="163" t="s">
        <v>210</v>
      </c>
      <c r="B2649" s="163">
        <v>42345.267749652776</v>
      </c>
      <c r="C2649" s="164" t="s">
        <v>2312</v>
      </c>
      <c r="D2649" s="164" t="s">
        <v>13</v>
      </c>
      <c r="E2649" s="165">
        <v>200</v>
      </c>
      <c r="F2649" s="166">
        <v>0</v>
      </c>
      <c r="G2649" s="227">
        <f>IF($B$2,IF(ROWS(B$6:$B2649) = 1,$B2649-Start_Date,$B2649-$B2648),"")</f>
        <v>0.43664164351503132</v>
      </c>
      <c r="H2649" s="29">
        <f>IF($B$2,IF(ROWS(B$6:$B2649) = 1,IF(COUNTIFS(R_Schedule_Times,"&lt;"&amp;B2649),INDEX(R_Schedule_Amounts,MATCH(B2649,R_Schedule_Times,1)),Starting_Cash),IF(COUNTIFS(R_Schedule_Times,"&gt;"&amp;B2648,R_Schedule_Times,"&lt;"&amp;B2649),INDEX(R_Schedule_Amounts,MATCH(B2649,R_Schedule_Times,1)),K2648)),"")</f>
        <v>11000</v>
      </c>
      <c r="I2649" s="30">
        <f t="shared" si="205"/>
        <v>200</v>
      </c>
      <c r="J2649" s="31">
        <f t="shared" si="206"/>
        <v>0</v>
      </c>
      <c r="K2649" s="29">
        <f t="shared" si="207"/>
        <v>10800</v>
      </c>
      <c r="L2649" s="31" t="str">
        <f t="shared" si="208"/>
        <v/>
      </c>
      <c r="M2649" s="31" t="str">
        <f t="shared" si="209"/>
        <v/>
      </c>
    </row>
    <row r="2650" spans="1:13" x14ac:dyDescent="0.15">
      <c r="A2650" s="163" t="s">
        <v>210</v>
      </c>
      <c r="B2650" s="163">
        <v>42345.296620868059</v>
      </c>
      <c r="C2650" s="164" t="s">
        <v>497</v>
      </c>
      <c r="D2650" s="164" t="s">
        <v>13</v>
      </c>
      <c r="E2650" s="165">
        <v>40</v>
      </c>
      <c r="F2650" s="166">
        <v>0</v>
      </c>
      <c r="G2650" s="227">
        <f>IF($B$2,IF(ROWS(B$6:$B2650) = 1,$B2650-Start_Date,$B2650-$B2649),"")</f>
        <v>2.887121528328862E-2</v>
      </c>
      <c r="H2650" s="29">
        <f>IF($B$2,IF(ROWS(B$6:$B2650) = 1,IF(COUNTIFS(R_Schedule_Times,"&lt;"&amp;B2650),INDEX(R_Schedule_Amounts,MATCH(B2650,R_Schedule_Times,1)),Starting_Cash),IF(COUNTIFS(R_Schedule_Times,"&gt;"&amp;B2649,R_Schedule_Times,"&lt;"&amp;B2650),INDEX(R_Schedule_Amounts,MATCH(B2650,R_Schedule_Times,1)),K2649)),"")</f>
        <v>10800</v>
      </c>
      <c r="I2650" s="30">
        <f t="shared" si="205"/>
        <v>40</v>
      </c>
      <c r="J2650" s="31">
        <f t="shared" si="206"/>
        <v>0</v>
      </c>
      <c r="K2650" s="29">
        <f t="shared" si="207"/>
        <v>10760</v>
      </c>
      <c r="L2650" s="31" t="str">
        <f t="shared" si="208"/>
        <v/>
      </c>
      <c r="M2650" s="31" t="str">
        <f t="shared" si="209"/>
        <v/>
      </c>
    </row>
    <row r="2651" spans="1:13" x14ac:dyDescent="0.15">
      <c r="A2651" s="163" t="s">
        <v>210</v>
      </c>
      <c r="B2651" s="163">
        <v>42345.306855613424</v>
      </c>
      <c r="C2651" s="164" t="s">
        <v>394</v>
      </c>
      <c r="D2651" s="164" t="s">
        <v>13</v>
      </c>
      <c r="E2651" s="165">
        <v>60</v>
      </c>
      <c r="F2651" s="166">
        <v>0</v>
      </c>
      <c r="G2651" s="227">
        <f>IF($B$2,IF(ROWS(B$6:$B2651) = 1,$B2651-Start_Date,$B2651-$B2650),"")</f>
        <v>1.0234745364869013E-2</v>
      </c>
      <c r="H2651" s="29">
        <f>IF($B$2,IF(ROWS(B$6:$B2651) = 1,IF(COUNTIFS(R_Schedule_Times,"&lt;"&amp;B2651),INDEX(R_Schedule_Amounts,MATCH(B2651,R_Schedule_Times,1)),Starting_Cash),IF(COUNTIFS(R_Schedule_Times,"&gt;"&amp;B2650,R_Schedule_Times,"&lt;"&amp;B2651),INDEX(R_Schedule_Amounts,MATCH(B2651,R_Schedule_Times,1)),K2650)),"")</f>
        <v>10760</v>
      </c>
      <c r="I2651" s="30">
        <f t="shared" si="205"/>
        <v>60</v>
      </c>
      <c r="J2651" s="31">
        <f t="shared" si="206"/>
        <v>0</v>
      </c>
      <c r="K2651" s="29">
        <f t="shared" si="207"/>
        <v>10700</v>
      </c>
      <c r="L2651" s="31" t="str">
        <f t="shared" si="208"/>
        <v/>
      </c>
      <c r="M2651" s="31" t="str">
        <f t="shared" si="209"/>
        <v/>
      </c>
    </row>
    <row r="2652" spans="1:13" x14ac:dyDescent="0.15">
      <c r="A2652" s="163" t="s">
        <v>210</v>
      </c>
      <c r="B2652" s="163">
        <v>42345.318924664352</v>
      </c>
      <c r="C2652" s="164" t="s">
        <v>999</v>
      </c>
      <c r="D2652" s="164" t="s">
        <v>13</v>
      </c>
      <c r="E2652" s="165">
        <v>60</v>
      </c>
      <c r="F2652" s="166">
        <v>0</v>
      </c>
      <c r="G2652" s="227">
        <f>IF($B$2,IF(ROWS(B$6:$B2652) = 1,$B2652-Start_Date,$B2652-$B2651),"")</f>
        <v>1.2069050928403158E-2</v>
      </c>
      <c r="H2652" s="29">
        <f>IF($B$2,IF(ROWS(B$6:$B2652) = 1,IF(COUNTIFS(R_Schedule_Times,"&lt;"&amp;B2652),INDEX(R_Schedule_Amounts,MATCH(B2652,R_Schedule_Times,1)),Starting_Cash),IF(COUNTIFS(R_Schedule_Times,"&gt;"&amp;B2651,R_Schedule_Times,"&lt;"&amp;B2652),INDEX(R_Schedule_Amounts,MATCH(B2652,R_Schedule_Times,1)),K2651)),"")</f>
        <v>10700</v>
      </c>
      <c r="I2652" s="30">
        <f t="shared" si="205"/>
        <v>60</v>
      </c>
      <c r="J2652" s="31">
        <f t="shared" si="206"/>
        <v>0</v>
      </c>
      <c r="K2652" s="29">
        <f t="shared" si="207"/>
        <v>10640</v>
      </c>
      <c r="L2652" s="31" t="str">
        <f t="shared" si="208"/>
        <v/>
      </c>
      <c r="M2652" s="31" t="str">
        <f t="shared" si="209"/>
        <v/>
      </c>
    </row>
    <row r="2653" spans="1:13" x14ac:dyDescent="0.15">
      <c r="A2653" s="163" t="s">
        <v>210</v>
      </c>
      <c r="B2653" s="163">
        <v>42345.355186550929</v>
      </c>
      <c r="C2653" s="164" t="s">
        <v>498</v>
      </c>
      <c r="D2653" s="164" t="s">
        <v>13</v>
      </c>
      <c r="E2653" s="165">
        <v>140</v>
      </c>
      <c r="F2653" s="166">
        <v>0</v>
      </c>
      <c r="G2653" s="227">
        <f>IF($B$2,IF(ROWS(B$6:$B2653) = 1,$B2653-Start_Date,$B2653-$B2652),"")</f>
        <v>3.6261886576539837E-2</v>
      </c>
      <c r="H2653" s="29">
        <f>IF($B$2,IF(ROWS(B$6:$B2653) = 1,IF(COUNTIFS(R_Schedule_Times,"&lt;"&amp;B2653),INDEX(R_Schedule_Amounts,MATCH(B2653,R_Schedule_Times,1)),Starting_Cash),IF(COUNTIFS(R_Schedule_Times,"&gt;"&amp;B2652,R_Schedule_Times,"&lt;"&amp;B2653),INDEX(R_Schedule_Amounts,MATCH(B2653,R_Schedule_Times,1)),K2652)),"")</f>
        <v>10640</v>
      </c>
      <c r="I2653" s="30">
        <f t="shared" si="205"/>
        <v>140</v>
      </c>
      <c r="J2653" s="31">
        <f t="shared" si="206"/>
        <v>0</v>
      </c>
      <c r="K2653" s="29">
        <f t="shared" si="207"/>
        <v>10500</v>
      </c>
      <c r="L2653" s="31" t="str">
        <f t="shared" si="208"/>
        <v/>
      </c>
      <c r="M2653" s="31" t="str">
        <f t="shared" si="209"/>
        <v/>
      </c>
    </row>
    <row r="2654" spans="1:13" x14ac:dyDescent="0.15">
      <c r="A2654" s="163" t="s">
        <v>210</v>
      </c>
      <c r="B2654" s="163">
        <v>42345.367085185186</v>
      </c>
      <c r="C2654" s="164" t="s">
        <v>950</v>
      </c>
      <c r="D2654" s="164" t="s">
        <v>13</v>
      </c>
      <c r="E2654" s="165">
        <v>200</v>
      </c>
      <c r="F2654" s="166">
        <v>0</v>
      </c>
      <c r="G2654" s="227">
        <f>IF($B$2,IF(ROWS(B$6:$B2654) = 1,$B2654-Start_Date,$B2654-$B2653),"")</f>
        <v>1.1898634256795049E-2</v>
      </c>
      <c r="H2654" s="29">
        <f>IF($B$2,IF(ROWS(B$6:$B2654) = 1,IF(COUNTIFS(R_Schedule_Times,"&lt;"&amp;B2654),INDEX(R_Schedule_Amounts,MATCH(B2654,R_Schedule_Times,1)),Starting_Cash),IF(COUNTIFS(R_Schedule_Times,"&gt;"&amp;B2653,R_Schedule_Times,"&lt;"&amp;B2654),INDEX(R_Schedule_Amounts,MATCH(B2654,R_Schedule_Times,1)),K2653)),"")</f>
        <v>10500</v>
      </c>
      <c r="I2654" s="30">
        <f t="shared" si="205"/>
        <v>200</v>
      </c>
      <c r="J2654" s="31">
        <f t="shared" si="206"/>
        <v>0</v>
      </c>
      <c r="K2654" s="29">
        <f t="shared" si="207"/>
        <v>10300</v>
      </c>
      <c r="L2654" s="31" t="str">
        <f t="shared" si="208"/>
        <v/>
      </c>
      <c r="M2654" s="31" t="str">
        <f t="shared" si="209"/>
        <v/>
      </c>
    </row>
    <row r="2655" spans="1:13" x14ac:dyDescent="0.15">
      <c r="A2655" s="163" t="s">
        <v>210</v>
      </c>
      <c r="B2655" s="163">
        <v>42345.376564953702</v>
      </c>
      <c r="C2655" s="164" t="s">
        <v>2313</v>
      </c>
      <c r="D2655" s="164" t="s">
        <v>13</v>
      </c>
      <c r="E2655" s="165">
        <v>140</v>
      </c>
      <c r="F2655" s="166">
        <v>0</v>
      </c>
      <c r="G2655" s="227">
        <f>IF($B$2,IF(ROWS(B$6:$B2655) = 1,$B2655-Start_Date,$B2655-$B2654),"")</f>
        <v>9.4797685160301626E-3</v>
      </c>
      <c r="H2655" s="29">
        <f>IF($B$2,IF(ROWS(B$6:$B2655) = 1,IF(COUNTIFS(R_Schedule_Times,"&lt;"&amp;B2655),INDEX(R_Schedule_Amounts,MATCH(B2655,R_Schedule_Times,1)),Starting_Cash),IF(COUNTIFS(R_Schedule_Times,"&gt;"&amp;B2654,R_Schedule_Times,"&lt;"&amp;B2655),INDEX(R_Schedule_Amounts,MATCH(B2655,R_Schedule_Times,1)),K2654)),"")</f>
        <v>10300</v>
      </c>
      <c r="I2655" s="30">
        <f t="shared" si="205"/>
        <v>140</v>
      </c>
      <c r="J2655" s="31">
        <f t="shared" si="206"/>
        <v>0</v>
      </c>
      <c r="K2655" s="29">
        <f t="shared" si="207"/>
        <v>10160</v>
      </c>
      <c r="L2655" s="31" t="str">
        <f t="shared" si="208"/>
        <v/>
      </c>
      <c r="M2655" s="31" t="str">
        <f t="shared" si="209"/>
        <v/>
      </c>
    </row>
    <row r="2656" spans="1:13" x14ac:dyDescent="0.15">
      <c r="A2656" s="163" t="s">
        <v>210</v>
      </c>
      <c r="B2656" s="163">
        <v>42345.380465601855</v>
      </c>
      <c r="C2656" s="164" t="s">
        <v>2314</v>
      </c>
      <c r="D2656" s="164" t="s">
        <v>15</v>
      </c>
      <c r="E2656" s="165">
        <v>100</v>
      </c>
      <c r="F2656" s="166">
        <v>3</v>
      </c>
      <c r="G2656" s="227">
        <f>IF($B$2,IF(ROWS(B$6:$B2656) = 1,$B2656-Start_Date,$B2656-$B2655),"")</f>
        <v>3.9006481529213488E-3</v>
      </c>
      <c r="H2656" s="29">
        <f>IF($B$2,IF(ROWS(B$6:$B2656) = 1,IF(COUNTIFS(R_Schedule_Times,"&lt;"&amp;B2656),INDEX(R_Schedule_Amounts,MATCH(B2656,R_Schedule_Times,1)),Starting_Cash),IF(COUNTIFS(R_Schedule_Times,"&gt;"&amp;B2655,R_Schedule_Times,"&lt;"&amp;B2656),INDEX(R_Schedule_Amounts,MATCH(B2656,R_Schedule_Times,1)),K2655)),"")</f>
        <v>10160</v>
      </c>
      <c r="I2656" s="30">
        <f t="shared" si="205"/>
        <v>100</v>
      </c>
      <c r="J2656" s="31">
        <f t="shared" si="206"/>
        <v>3</v>
      </c>
      <c r="K2656" s="29">
        <f t="shared" si="207"/>
        <v>10060</v>
      </c>
      <c r="L2656" s="31" t="str">
        <f t="shared" si="208"/>
        <v/>
      </c>
      <c r="M2656" s="31" t="str">
        <f t="shared" si="209"/>
        <v/>
      </c>
    </row>
    <row r="2657" spans="1:13" x14ac:dyDescent="0.15">
      <c r="A2657" s="163" t="s">
        <v>210</v>
      </c>
      <c r="B2657" s="163">
        <v>42345.402201053243</v>
      </c>
      <c r="C2657" s="164" t="s">
        <v>2315</v>
      </c>
      <c r="D2657" s="164" t="s">
        <v>13</v>
      </c>
      <c r="E2657" s="165">
        <v>100</v>
      </c>
      <c r="F2657" s="166">
        <v>0</v>
      </c>
      <c r="G2657" s="227">
        <f>IF($B$2,IF(ROWS(B$6:$B2657) = 1,$B2657-Start_Date,$B2657-$B2656),"")</f>
        <v>2.1735451387939975E-2</v>
      </c>
      <c r="H2657" s="29">
        <f>IF($B$2,IF(ROWS(B$6:$B2657) = 1,IF(COUNTIFS(R_Schedule_Times,"&lt;"&amp;B2657),INDEX(R_Schedule_Amounts,MATCH(B2657,R_Schedule_Times,1)),Starting_Cash),IF(COUNTIFS(R_Schedule_Times,"&gt;"&amp;B2656,R_Schedule_Times,"&lt;"&amp;B2657),INDEX(R_Schedule_Amounts,MATCH(B2657,R_Schedule_Times,1)),K2656)),"")</f>
        <v>10060</v>
      </c>
      <c r="I2657" s="30">
        <f t="shared" si="205"/>
        <v>100</v>
      </c>
      <c r="J2657" s="31">
        <f t="shared" si="206"/>
        <v>0</v>
      </c>
      <c r="K2657" s="29">
        <f t="shared" si="207"/>
        <v>9960</v>
      </c>
      <c r="L2657" s="31" t="str">
        <f t="shared" si="208"/>
        <v/>
      </c>
      <c r="M2657" s="31" t="str">
        <f t="shared" si="209"/>
        <v/>
      </c>
    </row>
    <row r="2658" spans="1:13" x14ac:dyDescent="0.15">
      <c r="A2658" s="163" t="s">
        <v>210</v>
      </c>
      <c r="B2658" s="163">
        <v>42345.420376261573</v>
      </c>
      <c r="C2658" s="164" t="s">
        <v>2316</v>
      </c>
      <c r="D2658" s="164" t="s">
        <v>13</v>
      </c>
      <c r="E2658" s="165">
        <v>40</v>
      </c>
      <c r="F2658" s="166">
        <v>0</v>
      </c>
      <c r="G2658" s="227">
        <f>IF($B$2,IF(ROWS(B$6:$B2658) = 1,$B2658-Start_Date,$B2658-$B2657),"")</f>
        <v>1.8175208329921588E-2</v>
      </c>
      <c r="H2658" s="29">
        <f>IF($B$2,IF(ROWS(B$6:$B2658) = 1,IF(COUNTIFS(R_Schedule_Times,"&lt;"&amp;B2658),INDEX(R_Schedule_Amounts,MATCH(B2658,R_Schedule_Times,1)),Starting_Cash),IF(COUNTIFS(R_Schedule_Times,"&gt;"&amp;B2657,R_Schedule_Times,"&lt;"&amp;B2658),INDEX(R_Schedule_Amounts,MATCH(B2658,R_Schedule_Times,1)),K2657)),"")</f>
        <v>9960</v>
      </c>
      <c r="I2658" s="30">
        <f t="shared" si="205"/>
        <v>40</v>
      </c>
      <c r="J2658" s="31">
        <f t="shared" si="206"/>
        <v>0</v>
      </c>
      <c r="K2658" s="29">
        <f t="shared" si="207"/>
        <v>9920</v>
      </c>
      <c r="L2658" s="31" t="str">
        <f t="shared" si="208"/>
        <v/>
      </c>
      <c r="M2658" s="31" t="str">
        <f t="shared" si="209"/>
        <v/>
      </c>
    </row>
    <row r="2659" spans="1:13" x14ac:dyDescent="0.15">
      <c r="A2659" s="163" t="s">
        <v>210</v>
      </c>
      <c r="B2659" s="163">
        <v>42345.423325185184</v>
      </c>
      <c r="C2659" s="164" t="s">
        <v>2317</v>
      </c>
      <c r="D2659" s="164" t="s">
        <v>13</v>
      </c>
      <c r="E2659" s="165">
        <v>20</v>
      </c>
      <c r="F2659" s="166">
        <v>0</v>
      </c>
      <c r="G2659" s="227">
        <f>IF($B$2,IF(ROWS(B$6:$B2659) = 1,$B2659-Start_Date,$B2659-$B2658),"")</f>
        <v>2.9489236112567596E-3</v>
      </c>
      <c r="H2659" s="29">
        <f>IF($B$2,IF(ROWS(B$6:$B2659) = 1,IF(COUNTIFS(R_Schedule_Times,"&lt;"&amp;B2659),INDEX(R_Schedule_Amounts,MATCH(B2659,R_Schedule_Times,1)),Starting_Cash),IF(COUNTIFS(R_Schedule_Times,"&gt;"&amp;B2658,R_Schedule_Times,"&lt;"&amp;B2659),INDEX(R_Schedule_Amounts,MATCH(B2659,R_Schedule_Times,1)),K2658)),"")</f>
        <v>9920</v>
      </c>
      <c r="I2659" s="30">
        <f t="shared" si="205"/>
        <v>20</v>
      </c>
      <c r="J2659" s="31">
        <f t="shared" si="206"/>
        <v>0</v>
      </c>
      <c r="K2659" s="29">
        <f t="shared" si="207"/>
        <v>9900</v>
      </c>
      <c r="L2659" s="31" t="str">
        <f t="shared" si="208"/>
        <v/>
      </c>
      <c r="M2659" s="31" t="str">
        <f t="shared" si="209"/>
        <v/>
      </c>
    </row>
    <row r="2660" spans="1:13" x14ac:dyDescent="0.15">
      <c r="A2660" s="163" t="s">
        <v>210</v>
      </c>
      <c r="B2660" s="163">
        <v>42345.428644085645</v>
      </c>
      <c r="C2660" s="164" t="s">
        <v>2284</v>
      </c>
      <c r="D2660" s="164" t="s">
        <v>13</v>
      </c>
      <c r="E2660" s="165">
        <v>40</v>
      </c>
      <c r="F2660" s="166">
        <v>0</v>
      </c>
      <c r="G2660" s="227">
        <f>IF($B$2,IF(ROWS(B$6:$B2660) = 1,$B2660-Start_Date,$B2660-$B2659),"")</f>
        <v>5.3189004611340351E-3</v>
      </c>
      <c r="H2660" s="29">
        <f>IF($B$2,IF(ROWS(B$6:$B2660) = 1,IF(COUNTIFS(R_Schedule_Times,"&lt;"&amp;B2660),INDEX(R_Schedule_Amounts,MATCH(B2660,R_Schedule_Times,1)),Starting_Cash),IF(COUNTIFS(R_Schedule_Times,"&gt;"&amp;B2659,R_Schedule_Times,"&lt;"&amp;B2660),INDEX(R_Schedule_Amounts,MATCH(B2660,R_Schedule_Times,1)),K2659)),"")</f>
        <v>9900</v>
      </c>
      <c r="I2660" s="30">
        <f t="shared" si="205"/>
        <v>40</v>
      </c>
      <c r="J2660" s="31">
        <f t="shared" si="206"/>
        <v>0</v>
      </c>
      <c r="K2660" s="29">
        <f t="shared" si="207"/>
        <v>9860</v>
      </c>
      <c r="L2660" s="31" t="str">
        <f t="shared" si="208"/>
        <v/>
      </c>
      <c r="M2660" s="31" t="str">
        <f t="shared" si="209"/>
        <v/>
      </c>
    </row>
    <row r="2661" spans="1:13" x14ac:dyDescent="0.15">
      <c r="A2661" s="163" t="s">
        <v>210</v>
      </c>
      <c r="B2661" s="163">
        <v>42345.459692592594</v>
      </c>
      <c r="C2661" s="164" t="s">
        <v>2318</v>
      </c>
      <c r="D2661" s="164" t="s">
        <v>13</v>
      </c>
      <c r="E2661" s="165">
        <v>40</v>
      </c>
      <c r="F2661" s="166">
        <v>0</v>
      </c>
      <c r="G2661" s="227">
        <f>IF($B$2,IF(ROWS(B$6:$B2661) = 1,$B2661-Start_Date,$B2661-$B2660),"")</f>
        <v>3.1048506949446164E-2</v>
      </c>
      <c r="H2661" s="29">
        <f>IF($B$2,IF(ROWS(B$6:$B2661) = 1,IF(COUNTIFS(R_Schedule_Times,"&lt;"&amp;B2661),INDEX(R_Schedule_Amounts,MATCH(B2661,R_Schedule_Times,1)),Starting_Cash),IF(COUNTIFS(R_Schedule_Times,"&gt;"&amp;B2660,R_Schedule_Times,"&lt;"&amp;B2661),INDEX(R_Schedule_Amounts,MATCH(B2661,R_Schedule_Times,1)),K2660)),"")</f>
        <v>9860</v>
      </c>
      <c r="I2661" s="30">
        <f t="shared" si="205"/>
        <v>40</v>
      </c>
      <c r="J2661" s="31">
        <f t="shared" si="206"/>
        <v>0</v>
      </c>
      <c r="K2661" s="29">
        <f t="shared" si="207"/>
        <v>9820</v>
      </c>
      <c r="L2661" s="31" t="str">
        <f t="shared" si="208"/>
        <v/>
      </c>
      <c r="M2661" s="31" t="str">
        <f t="shared" si="209"/>
        <v/>
      </c>
    </row>
    <row r="2662" spans="1:13" x14ac:dyDescent="0.15">
      <c r="A2662" s="163" t="s">
        <v>210</v>
      </c>
      <c r="B2662" s="163">
        <v>42345.494098113428</v>
      </c>
      <c r="C2662" s="164" t="s">
        <v>246</v>
      </c>
      <c r="D2662" s="164" t="s">
        <v>13</v>
      </c>
      <c r="E2662" s="165">
        <v>80</v>
      </c>
      <c r="F2662" s="166">
        <v>0</v>
      </c>
      <c r="G2662" s="227">
        <f>IF($B$2,IF(ROWS(B$6:$B2662) = 1,$B2662-Start_Date,$B2662-$B2661),"")</f>
        <v>3.4405520833388437E-2</v>
      </c>
      <c r="H2662" s="29">
        <f>IF($B$2,IF(ROWS(B$6:$B2662) = 1,IF(COUNTIFS(R_Schedule_Times,"&lt;"&amp;B2662),INDEX(R_Schedule_Amounts,MATCH(B2662,R_Schedule_Times,1)),Starting_Cash),IF(COUNTIFS(R_Schedule_Times,"&gt;"&amp;B2661,R_Schedule_Times,"&lt;"&amp;B2662),INDEX(R_Schedule_Amounts,MATCH(B2662,R_Schedule_Times,1)),K2661)),"")</f>
        <v>9820</v>
      </c>
      <c r="I2662" s="30">
        <f t="shared" si="205"/>
        <v>80</v>
      </c>
      <c r="J2662" s="31">
        <f t="shared" si="206"/>
        <v>0</v>
      </c>
      <c r="K2662" s="29">
        <f t="shared" si="207"/>
        <v>9740</v>
      </c>
      <c r="L2662" s="31" t="str">
        <f t="shared" si="208"/>
        <v/>
      </c>
      <c r="M2662" s="31" t="str">
        <f t="shared" si="209"/>
        <v/>
      </c>
    </row>
    <row r="2663" spans="1:13" x14ac:dyDescent="0.15">
      <c r="A2663" s="163" t="s">
        <v>210</v>
      </c>
      <c r="B2663" s="163">
        <v>42345.495434999997</v>
      </c>
      <c r="C2663" s="164" t="s">
        <v>1808</v>
      </c>
      <c r="D2663" s="164" t="s">
        <v>13</v>
      </c>
      <c r="E2663" s="165">
        <v>100</v>
      </c>
      <c r="F2663" s="166">
        <v>0</v>
      </c>
      <c r="G2663" s="227">
        <f>IF($B$2,IF(ROWS(B$6:$B2663) = 1,$B2663-Start_Date,$B2663-$B2662),"")</f>
        <v>1.3368865693337284E-3</v>
      </c>
      <c r="H2663" s="29">
        <f>IF($B$2,IF(ROWS(B$6:$B2663) = 1,IF(COUNTIFS(R_Schedule_Times,"&lt;"&amp;B2663),INDEX(R_Schedule_Amounts,MATCH(B2663,R_Schedule_Times,1)),Starting_Cash),IF(COUNTIFS(R_Schedule_Times,"&gt;"&amp;B2662,R_Schedule_Times,"&lt;"&amp;B2663),INDEX(R_Schedule_Amounts,MATCH(B2663,R_Schedule_Times,1)),K2662)),"")</f>
        <v>9740</v>
      </c>
      <c r="I2663" s="30">
        <f t="shared" si="205"/>
        <v>100</v>
      </c>
      <c r="J2663" s="31">
        <f t="shared" si="206"/>
        <v>0</v>
      </c>
      <c r="K2663" s="29">
        <f t="shared" si="207"/>
        <v>9640</v>
      </c>
      <c r="L2663" s="31" t="str">
        <f t="shared" si="208"/>
        <v/>
      </c>
      <c r="M2663" s="31" t="str">
        <f t="shared" si="209"/>
        <v/>
      </c>
    </row>
    <row r="2664" spans="1:13" x14ac:dyDescent="0.15">
      <c r="A2664" s="163" t="s">
        <v>210</v>
      </c>
      <c r="B2664" s="163">
        <v>42345.501651921295</v>
      </c>
      <c r="C2664" s="164" t="s">
        <v>1575</v>
      </c>
      <c r="D2664" s="164" t="s">
        <v>13</v>
      </c>
      <c r="E2664" s="165">
        <v>80</v>
      </c>
      <c r="F2664" s="166">
        <v>0</v>
      </c>
      <c r="G2664" s="227">
        <f>IF($B$2,IF(ROWS(B$6:$B2664) = 1,$B2664-Start_Date,$B2664-$B2663),"")</f>
        <v>6.2169212978915311E-3</v>
      </c>
      <c r="H2664" s="29">
        <f>IF($B$2,IF(ROWS(B$6:$B2664) = 1,IF(COUNTIFS(R_Schedule_Times,"&lt;"&amp;B2664),INDEX(R_Schedule_Amounts,MATCH(B2664,R_Schedule_Times,1)),Starting_Cash),IF(COUNTIFS(R_Schedule_Times,"&gt;"&amp;B2663,R_Schedule_Times,"&lt;"&amp;B2664),INDEX(R_Schedule_Amounts,MATCH(B2664,R_Schedule_Times,1)),K2663)),"")</f>
        <v>9640</v>
      </c>
      <c r="I2664" s="30">
        <f t="shared" si="205"/>
        <v>80</v>
      </c>
      <c r="J2664" s="31">
        <f t="shared" si="206"/>
        <v>0</v>
      </c>
      <c r="K2664" s="29">
        <f t="shared" si="207"/>
        <v>9560</v>
      </c>
      <c r="L2664" s="31" t="str">
        <f t="shared" si="208"/>
        <v/>
      </c>
      <c r="M2664" s="31" t="str">
        <f t="shared" si="209"/>
        <v/>
      </c>
    </row>
    <row r="2665" spans="1:13" x14ac:dyDescent="0.15">
      <c r="A2665" s="163" t="s">
        <v>210</v>
      </c>
      <c r="B2665" s="163">
        <v>42345.522928715276</v>
      </c>
      <c r="C2665" s="164" t="s">
        <v>187</v>
      </c>
      <c r="D2665" s="164" t="s">
        <v>13</v>
      </c>
      <c r="E2665" s="165">
        <v>140</v>
      </c>
      <c r="F2665" s="166">
        <v>0</v>
      </c>
      <c r="G2665" s="227">
        <f>IF($B$2,IF(ROWS(B$6:$B2665) = 1,$B2665-Start_Date,$B2665-$B2664),"")</f>
        <v>2.1276793981087394E-2</v>
      </c>
      <c r="H2665" s="29">
        <f>IF($B$2,IF(ROWS(B$6:$B2665) = 1,IF(COUNTIFS(R_Schedule_Times,"&lt;"&amp;B2665),INDEX(R_Schedule_Amounts,MATCH(B2665,R_Schedule_Times,1)),Starting_Cash),IF(COUNTIFS(R_Schedule_Times,"&gt;"&amp;B2664,R_Schedule_Times,"&lt;"&amp;B2665),INDEX(R_Schedule_Amounts,MATCH(B2665,R_Schedule_Times,1)),K2664)),"")</f>
        <v>9560</v>
      </c>
      <c r="I2665" s="30">
        <f t="shared" si="205"/>
        <v>140</v>
      </c>
      <c r="J2665" s="31">
        <f t="shared" si="206"/>
        <v>0</v>
      </c>
      <c r="K2665" s="29">
        <f t="shared" si="207"/>
        <v>9420</v>
      </c>
      <c r="L2665" s="31" t="str">
        <f t="shared" si="208"/>
        <v/>
      </c>
      <c r="M2665" s="31" t="str">
        <f t="shared" si="209"/>
        <v/>
      </c>
    </row>
    <row r="2666" spans="1:13" x14ac:dyDescent="0.15">
      <c r="A2666" s="163" t="s">
        <v>210</v>
      </c>
      <c r="B2666" s="163">
        <v>42345.52546513889</v>
      </c>
      <c r="C2666" s="164" t="s">
        <v>2319</v>
      </c>
      <c r="D2666" s="164" t="s">
        <v>13</v>
      </c>
      <c r="E2666" s="165">
        <v>100</v>
      </c>
      <c r="F2666" s="166">
        <v>0</v>
      </c>
      <c r="G2666" s="227">
        <f>IF($B$2,IF(ROWS(B$6:$B2666) = 1,$B2666-Start_Date,$B2666-$B2665),"")</f>
        <v>2.5364236134919338E-3</v>
      </c>
      <c r="H2666" s="29">
        <f>IF($B$2,IF(ROWS(B$6:$B2666) = 1,IF(COUNTIFS(R_Schedule_Times,"&lt;"&amp;B2666),INDEX(R_Schedule_Amounts,MATCH(B2666,R_Schedule_Times,1)),Starting_Cash),IF(COUNTIFS(R_Schedule_Times,"&gt;"&amp;B2665,R_Schedule_Times,"&lt;"&amp;B2666),INDEX(R_Schedule_Amounts,MATCH(B2666,R_Schedule_Times,1)),K2665)),"")</f>
        <v>9420</v>
      </c>
      <c r="I2666" s="30">
        <f t="shared" si="205"/>
        <v>100</v>
      </c>
      <c r="J2666" s="31">
        <f t="shared" si="206"/>
        <v>0</v>
      </c>
      <c r="K2666" s="29">
        <f t="shared" si="207"/>
        <v>9320</v>
      </c>
      <c r="L2666" s="31" t="str">
        <f t="shared" si="208"/>
        <v/>
      </c>
      <c r="M2666" s="31" t="str">
        <f t="shared" si="209"/>
        <v/>
      </c>
    </row>
    <row r="2667" spans="1:13" x14ac:dyDescent="0.15">
      <c r="A2667" s="163" t="s">
        <v>210</v>
      </c>
      <c r="B2667" s="163">
        <v>42345.532159236114</v>
      </c>
      <c r="C2667" s="164" t="s">
        <v>2320</v>
      </c>
      <c r="D2667" s="164" t="s">
        <v>13</v>
      </c>
      <c r="E2667" s="165">
        <v>40</v>
      </c>
      <c r="F2667" s="166">
        <v>0</v>
      </c>
      <c r="G2667" s="227">
        <f>IF($B$2,IF(ROWS(B$6:$B2667) = 1,$B2667-Start_Date,$B2667-$B2666),"")</f>
        <v>6.6940972246811725E-3</v>
      </c>
      <c r="H2667" s="29">
        <f>IF($B$2,IF(ROWS(B$6:$B2667) = 1,IF(COUNTIFS(R_Schedule_Times,"&lt;"&amp;B2667),INDEX(R_Schedule_Amounts,MATCH(B2667,R_Schedule_Times,1)),Starting_Cash),IF(COUNTIFS(R_Schedule_Times,"&gt;"&amp;B2666,R_Schedule_Times,"&lt;"&amp;B2667),INDEX(R_Schedule_Amounts,MATCH(B2667,R_Schedule_Times,1)),K2666)),"")</f>
        <v>9320</v>
      </c>
      <c r="I2667" s="30">
        <f t="shared" si="205"/>
        <v>40</v>
      </c>
      <c r="J2667" s="31">
        <f t="shared" si="206"/>
        <v>0</v>
      </c>
      <c r="K2667" s="29">
        <f t="shared" si="207"/>
        <v>9280</v>
      </c>
      <c r="L2667" s="31" t="str">
        <f t="shared" si="208"/>
        <v/>
      </c>
      <c r="M2667" s="31" t="str">
        <f t="shared" si="209"/>
        <v/>
      </c>
    </row>
    <row r="2668" spans="1:13" x14ac:dyDescent="0.15">
      <c r="A2668" s="163" t="s">
        <v>210</v>
      </c>
      <c r="B2668" s="163">
        <v>42345.533126342591</v>
      </c>
      <c r="C2668" s="164" t="s">
        <v>2321</v>
      </c>
      <c r="D2668" s="164" t="s">
        <v>13</v>
      </c>
      <c r="E2668" s="165">
        <v>20</v>
      </c>
      <c r="F2668" s="166">
        <v>0</v>
      </c>
      <c r="G2668" s="227">
        <f>IF($B$2,IF(ROWS(B$6:$B2668) = 1,$B2668-Start_Date,$B2668-$B2667),"")</f>
        <v>9.6710647630970925E-4</v>
      </c>
      <c r="H2668" s="29">
        <f>IF($B$2,IF(ROWS(B$6:$B2668) = 1,IF(COUNTIFS(R_Schedule_Times,"&lt;"&amp;B2668),INDEX(R_Schedule_Amounts,MATCH(B2668,R_Schedule_Times,1)),Starting_Cash),IF(COUNTIFS(R_Schedule_Times,"&gt;"&amp;B2667,R_Schedule_Times,"&lt;"&amp;B2668),INDEX(R_Schedule_Amounts,MATCH(B2668,R_Schedule_Times,1)),K2667)),"")</f>
        <v>9280</v>
      </c>
      <c r="I2668" s="30">
        <f t="shared" si="205"/>
        <v>20</v>
      </c>
      <c r="J2668" s="31">
        <f t="shared" si="206"/>
        <v>0</v>
      </c>
      <c r="K2668" s="29">
        <f t="shared" si="207"/>
        <v>9260</v>
      </c>
      <c r="L2668" s="31" t="str">
        <f t="shared" si="208"/>
        <v/>
      </c>
      <c r="M2668" s="31" t="str">
        <f t="shared" si="209"/>
        <v/>
      </c>
    </row>
    <row r="2669" spans="1:13" x14ac:dyDescent="0.15">
      <c r="A2669" s="163" t="s">
        <v>210</v>
      </c>
      <c r="B2669" s="163">
        <v>42345.534145844904</v>
      </c>
      <c r="C2669" s="164" t="s">
        <v>2322</v>
      </c>
      <c r="D2669" s="164" t="s">
        <v>13</v>
      </c>
      <c r="E2669" s="165">
        <v>40</v>
      </c>
      <c r="F2669" s="166">
        <v>0</v>
      </c>
      <c r="G2669" s="227">
        <f>IF($B$2,IF(ROWS(B$6:$B2669) = 1,$B2669-Start_Date,$B2669-$B2668),"")</f>
        <v>1.0195023132837377E-3</v>
      </c>
      <c r="H2669" s="29">
        <f>IF($B$2,IF(ROWS(B$6:$B2669) = 1,IF(COUNTIFS(R_Schedule_Times,"&lt;"&amp;B2669),INDEX(R_Schedule_Amounts,MATCH(B2669,R_Schedule_Times,1)),Starting_Cash),IF(COUNTIFS(R_Schedule_Times,"&gt;"&amp;B2668,R_Schedule_Times,"&lt;"&amp;B2669),INDEX(R_Schedule_Amounts,MATCH(B2669,R_Schedule_Times,1)),K2668)),"")</f>
        <v>9260</v>
      </c>
      <c r="I2669" s="30">
        <f t="shared" si="205"/>
        <v>40</v>
      </c>
      <c r="J2669" s="31">
        <f t="shared" si="206"/>
        <v>0</v>
      </c>
      <c r="K2669" s="29">
        <f t="shared" si="207"/>
        <v>9220</v>
      </c>
      <c r="L2669" s="31" t="str">
        <f t="shared" si="208"/>
        <v/>
      </c>
      <c r="M2669" s="31" t="str">
        <f t="shared" si="209"/>
        <v/>
      </c>
    </row>
    <row r="2670" spans="1:13" x14ac:dyDescent="0.15">
      <c r="A2670" s="163" t="s">
        <v>210</v>
      </c>
      <c r="B2670" s="163">
        <v>42345.559791458334</v>
      </c>
      <c r="C2670" s="164" t="s">
        <v>645</v>
      </c>
      <c r="D2670" s="164" t="s">
        <v>13</v>
      </c>
      <c r="E2670" s="165">
        <v>100</v>
      </c>
      <c r="F2670" s="166">
        <v>0</v>
      </c>
      <c r="G2670" s="227">
        <f>IF($B$2,IF(ROWS(B$6:$B2670) = 1,$B2670-Start_Date,$B2670-$B2669),"")</f>
        <v>2.564561343024252E-2</v>
      </c>
      <c r="H2670" s="29">
        <f>IF($B$2,IF(ROWS(B$6:$B2670) = 1,IF(COUNTIFS(R_Schedule_Times,"&lt;"&amp;B2670),INDEX(R_Schedule_Amounts,MATCH(B2670,R_Schedule_Times,1)),Starting_Cash),IF(COUNTIFS(R_Schedule_Times,"&gt;"&amp;B2669,R_Schedule_Times,"&lt;"&amp;B2670),INDEX(R_Schedule_Amounts,MATCH(B2670,R_Schedule_Times,1)),K2669)),"")</f>
        <v>9220</v>
      </c>
      <c r="I2670" s="30">
        <f t="shared" si="205"/>
        <v>100</v>
      </c>
      <c r="J2670" s="31">
        <f t="shared" si="206"/>
        <v>0</v>
      </c>
      <c r="K2670" s="29">
        <f t="shared" si="207"/>
        <v>9120</v>
      </c>
      <c r="L2670" s="31" t="str">
        <f t="shared" si="208"/>
        <v/>
      </c>
      <c r="M2670" s="31" t="str">
        <f t="shared" si="209"/>
        <v/>
      </c>
    </row>
    <row r="2671" spans="1:13" x14ac:dyDescent="0.15">
      <c r="A2671" s="163" t="s">
        <v>210</v>
      </c>
      <c r="B2671" s="163">
        <v>42345.563084687499</v>
      </c>
      <c r="C2671" s="164" t="s">
        <v>2323</v>
      </c>
      <c r="D2671" s="164" t="s">
        <v>13</v>
      </c>
      <c r="E2671" s="165">
        <v>140</v>
      </c>
      <c r="F2671" s="166">
        <v>0</v>
      </c>
      <c r="G2671" s="227">
        <f>IF($B$2,IF(ROWS(B$6:$B2671) = 1,$B2671-Start_Date,$B2671-$B2670),"")</f>
        <v>3.2932291651377454E-3</v>
      </c>
      <c r="H2671" s="29">
        <f>IF($B$2,IF(ROWS(B$6:$B2671) = 1,IF(COUNTIFS(R_Schedule_Times,"&lt;"&amp;B2671),INDEX(R_Schedule_Amounts,MATCH(B2671,R_Schedule_Times,1)),Starting_Cash),IF(COUNTIFS(R_Schedule_Times,"&gt;"&amp;B2670,R_Schedule_Times,"&lt;"&amp;B2671),INDEX(R_Schedule_Amounts,MATCH(B2671,R_Schedule_Times,1)),K2670)),"")</f>
        <v>9120</v>
      </c>
      <c r="I2671" s="30">
        <f t="shared" si="205"/>
        <v>140</v>
      </c>
      <c r="J2671" s="31">
        <f t="shared" si="206"/>
        <v>0</v>
      </c>
      <c r="K2671" s="29">
        <f t="shared" si="207"/>
        <v>8980</v>
      </c>
      <c r="L2671" s="31" t="str">
        <f t="shared" si="208"/>
        <v/>
      </c>
      <c r="M2671" s="31" t="str">
        <f t="shared" si="209"/>
        <v/>
      </c>
    </row>
    <row r="2672" spans="1:13" x14ac:dyDescent="0.15">
      <c r="A2672" s="163" t="s">
        <v>210</v>
      </c>
      <c r="B2672" s="163">
        <v>42345.589612557873</v>
      </c>
      <c r="C2672" s="164" t="s">
        <v>14</v>
      </c>
      <c r="D2672" s="164" t="s">
        <v>13</v>
      </c>
      <c r="E2672" s="165">
        <v>60</v>
      </c>
      <c r="F2672" s="166">
        <v>3.5</v>
      </c>
      <c r="G2672" s="227">
        <f>IF($B$2,IF(ROWS(B$6:$B2672) = 1,$B2672-Start_Date,$B2672-$B2671),"")</f>
        <v>2.6527870373683982E-2</v>
      </c>
      <c r="H2672" s="29">
        <f>IF($B$2,IF(ROWS(B$6:$B2672) = 1,IF(COUNTIFS(R_Schedule_Times,"&lt;"&amp;B2672),INDEX(R_Schedule_Amounts,MATCH(B2672,R_Schedule_Times,1)),Starting_Cash),IF(COUNTIFS(R_Schedule_Times,"&gt;"&amp;B2671,R_Schedule_Times,"&lt;"&amp;B2672),INDEX(R_Schedule_Amounts,MATCH(B2672,R_Schedule_Times,1)),K2671)),"")</f>
        <v>8980</v>
      </c>
      <c r="I2672" s="30">
        <f t="shared" si="205"/>
        <v>60</v>
      </c>
      <c r="J2672" s="31">
        <f t="shared" si="206"/>
        <v>3.5</v>
      </c>
      <c r="K2672" s="29">
        <f t="shared" si="207"/>
        <v>8920</v>
      </c>
      <c r="L2672" s="31" t="str">
        <f t="shared" si="208"/>
        <v/>
      </c>
      <c r="M2672" s="31" t="str">
        <f t="shared" si="209"/>
        <v/>
      </c>
    </row>
    <row r="2673" spans="1:13" x14ac:dyDescent="0.15">
      <c r="A2673" s="163" t="s">
        <v>210</v>
      </c>
      <c r="B2673" s="163">
        <v>42345.622262303237</v>
      </c>
      <c r="C2673" s="164" t="s">
        <v>2324</v>
      </c>
      <c r="D2673" s="164" t="s">
        <v>13</v>
      </c>
      <c r="E2673" s="165">
        <v>100</v>
      </c>
      <c r="F2673" s="166">
        <v>0</v>
      </c>
      <c r="G2673" s="227">
        <f>IF($B$2,IF(ROWS(B$6:$B2673) = 1,$B2673-Start_Date,$B2673-$B2672),"")</f>
        <v>3.264974536432419E-2</v>
      </c>
      <c r="H2673" s="29">
        <f>IF($B$2,IF(ROWS(B$6:$B2673) = 1,IF(COUNTIFS(R_Schedule_Times,"&lt;"&amp;B2673),INDEX(R_Schedule_Amounts,MATCH(B2673,R_Schedule_Times,1)),Starting_Cash),IF(COUNTIFS(R_Schedule_Times,"&gt;"&amp;B2672,R_Schedule_Times,"&lt;"&amp;B2673),INDEX(R_Schedule_Amounts,MATCH(B2673,R_Schedule_Times,1)),K2672)),"")</f>
        <v>8920</v>
      </c>
      <c r="I2673" s="30">
        <f t="shared" si="205"/>
        <v>100</v>
      </c>
      <c r="J2673" s="31">
        <f t="shared" si="206"/>
        <v>0</v>
      </c>
      <c r="K2673" s="29">
        <f t="shared" si="207"/>
        <v>8820</v>
      </c>
      <c r="L2673" s="31" t="str">
        <f t="shared" si="208"/>
        <v/>
      </c>
      <c r="M2673" s="31" t="str">
        <f t="shared" si="209"/>
        <v/>
      </c>
    </row>
    <row r="2674" spans="1:13" x14ac:dyDescent="0.15">
      <c r="A2674" s="163" t="s">
        <v>210</v>
      </c>
      <c r="B2674" s="163">
        <v>42345.652460451391</v>
      </c>
      <c r="C2674" s="164" t="s">
        <v>2325</v>
      </c>
      <c r="D2674" s="164" t="s">
        <v>13</v>
      </c>
      <c r="E2674" s="165">
        <v>40</v>
      </c>
      <c r="F2674" s="166">
        <v>0</v>
      </c>
      <c r="G2674" s="227">
        <f>IF($B$2,IF(ROWS(B$6:$B2674) = 1,$B2674-Start_Date,$B2674-$B2673),"")</f>
        <v>3.0198148153431248E-2</v>
      </c>
      <c r="H2674" s="29">
        <f>IF($B$2,IF(ROWS(B$6:$B2674) = 1,IF(COUNTIFS(R_Schedule_Times,"&lt;"&amp;B2674),INDEX(R_Schedule_Amounts,MATCH(B2674,R_Schedule_Times,1)),Starting_Cash),IF(COUNTIFS(R_Schedule_Times,"&gt;"&amp;B2673,R_Schedule_Times,"&lt;"&amp;B2674),INDEX(R_Schedule_Amounts,MATCH(B2674,R_Schedule_Times,1)),K2673)),"")</f>
        <v>8820</v>
      </c>
      <c r="I2674" s="30">
        <f t="shared" si="205"/>
        <v>40</v>
      </c>
      <c r="J2674" s="31">
        <f t="shared" si="206"/>
        <v>0</v>
      </c>
      <c r="K2674" s="29">
        <f t="shared" si="207"/>
        <v>8780</v>
      </c>
      <c r="L2674" s="31" t="str">
        <f t="shared" si="208"/>
        <v/>
      </c>
      <c r="M2674" s="31" t="str">
        <f t="shared" si="209"/>
        <v/>
      </c>
    </row>
    <row r="2675" spans="1:13" x14ac:dyDescent="0.15">
      <c r="A2675" s="163" t="s">
        <v>210</v>
      </c>
      <c r="B2675" s="163">
        <v>42345.663119108794</v>
      </c>
      <c r="C2675" s="164" t="s">
        <v>499</v>
      </c>
      <c r="D2675" s="164" t="s">
        <v>13</v>
      </c>
      <c r="E2675" s="165">
        <v>400</v>
      </c>
      <c r="F2675" s="166">
        <v>0</v>
      </c>
      <c r="G2675" s="227">
        <f>IF($B$2,IF(ROWS(B$6:$B2675) = 1,$B2675-Start_Date,$B2675-$B2674),"")</f>
        <v>1.0658657403837424E-2</v>
      </c>
      <c r="H2675" s="29">
        <f>IF($B$2,IF(ROWS(B$6:$B2675) = 1,IF(COUNTIFS(R_Schedule_Times,"&lt;"&amp;B2675),INDEX(R_Schedule_Amounts,MATCH(B2675,R_Schedule_Times,1)),Starting_Cash),IF(COUNTIFS(R_Schedule_Times,"&gt;"&amp;B2674,R_Schedule_Times,"&lt;"&amp;B2675),INDEX(R_Schedule_Amounts,MATCH(B2675,R_Schedule_Times,1)),K2674)),"")</f>
        <v>8780</v>
      </c>
      <c r="I2675" s="30">
        <f t="shared" si="205"/>
        <v>400</v>
      </c>
      <c r="J2675" s="31">
        <f t="shared" si="206"/>
        <v>0</v>
      </c>
      <c r="K2675" s="29">
        <f t="shared" si="207"/>
        <v>8380</v>
      </c>
      <c r="L2675" s="31" t="str">
        <f t="shared" si="208"/>
        <v/>
      </c>
      <c r="M2675" s="31" t="str">
        <f t="shared" si="209"/>
        <v/>
      </c>
    </row>
    <row r="2676" spans="1:13" x14ac:dyDescent="0.15">
      <c r="A2676" s="163" t="s">
        <v>210</v>
      </c>
      <c r="B2676" s="163">
        <v>42345.689911608795</v>
      </c>
      <c r="C2676" s="164" t="s">
        <v>2326</v>
      </c>
      <c r="D2676" s="164" t="s">
        <v>13</v>
      </c>
      <c r="E2676" s="165">
        <v>40</v>
      </c>
      <c r="F2676" s="166">
        <v>0</v>
      </c>
      <c r="G2676" s="227">
        <f>IF($B$2,IF(ROWS(B$6:$B2676) = 1,$B2676-Start_Date,$B2676-$B2675),"")</f>
        <v>2.6792500000738073E-2</v>
      </c>
      <c r="H2676" s="29">
        <f>IF($B$2,IF(ROWS(B$6:$B2676) = 1,IF(COUNTIFS(R_Schedule_Times,"&lt;"&amp;B2676),INDEX(R_Schedule_Amounts,MATCH(B2676,R_Schedule_Times,1)),Starting_Cash),IF(COUNTIFS(R_Schedule_Times,"&gt;"&amp;B2675,R_Schedule_Times,"&lt;"&amp;B2676),INDEX(R_Schedule_Amounts,MATCH(B2676,R_Schedule_Times,1)),K2675)),"")</f>
        <v>8380</v>
      </c>
      <c r="I2676" s="30">
        <f t="shared" si="205"/>
        <v>40</v>
      </c>
      <c r="J2676" s="31">
        <f t="shared" si="206"/>
        <v>0</v>
      </c>
      <c r="K2676" s="29">
        <f t="shared" si="207"/>
        <v>8340</v>
      </c>
      <c r="L2676" s="31" t="str">
        <f t="shared" si="208"/>
        <v/>
      </c>
      <c r="M2676" s="31" t="str">
        <f t="shared" si="209"/>
        <v/>
      </c>
    </row>
    <row r="2677" spans="1:13" x14ac:dyDescent="0.15">
      <c r="A2677" s="163" t="s">
        <v>210</v>
      </c>
      <c r="B2677" s="163">
        <v>42345.693938275464</v>
      </c>
      <c r="C2677" s="164" t="s">
        <v>2163</v>
      </c>
      <c r="D2677" s="164" t="s">
        <v>13</v>
      </c>
      <c r="E2677" s="165">
        <v>120</v>
      </c>
      <c r="F2677" s="166">
        <v>0</v>
      </c>
      <c r="G2677" s="227">
        <f>IF($B$2,IF(ROWS(B$6:$B2677) = 1,$B2677-Start_Date,$B2677-$B2676),"")</f>
        <v>4.0266666692332365E-3</v>
      </c>
      <c r="H2677" s="29">
        <f>IF($B$2,IF(ROWS(B$6:$B2677) = 1,IF(COUNTIFS(R_Schedule_Times,"&lt;"&amp;B2677),INDEX(R_Schedule_Amounts,MATCH(B2677,R_Schedule_Times,1)),Starting_Cash),IF(COUNTIFS(R_Schedule_Times,"&gt;"&amp;B2676,R_Schedule_Times,"&lt;"&amp;B2677),INDEX(R_Schedule_Amounts,MATCH(B2677,R_Schedule_Times,1)),K2676)),"")</f>
        <v>8340</v>
      </c>
      <c r="I2677" s="30">
        <f t="shared" si="205"/>
        <v>120</v>
      </c>
      <c r="J2677" s="31">
        <f t="shared" si="206"/>
        <v>0</v>
      </c>
      <c r="K2677" s="29">
        <f t="shared" si="207"/>
        <v>8220</v>
      </c>
      <c r="L2677" s="31" t="str">
        <f t="shared" si="208"/>
        <v/>
      </c>
      <c r="M2677" s="31" t="str">
        <f t="shared" si="209"/>
        <v/>
      </c>
    </row>
    <row r="2678" spans="1:13" x14ac:dyDescent="0.15">
      <c r="A2678" s="163" t="s">
        <v>210</v>
      </c>
      <c r="B2678" s="163">
        <v>42345.723436296299</v>
      </c>
      <c r="C2678" s="164" t="s">
        <v>2327</v>
      </c>
      <c r="D2678" s="164" t="s">
        <v>13</v>
      </c>
      <c r="E2678" s="165">
        <v>40</v>
      </c>
      <c r="F2678" s="166">
        <v>0</v>
      </c>
      <c r="G2678" s="227">
        <f>IF($B$2,IF(ROWS(B$6:$B2678) = 1,$B2678-Start_Date,$B2678-$B2677),"")</f>
        <v>2.9498020834580529E-2</v>
      </c>
      <c r="H2678" s="29">
        <f>IF($B$2,IF(ROWS(B$6:$B2678) = 1,IF(COUNTIFS(R_Schedule_Times,"&lt;"&amp;B2678),INDEX(R_Schedule_Amounts,MATCH(B2678,R_Schedule_Times,1)),Starting_Cash),IF(COUNTIFS(R_Schedule_Times,"&gt;"&amp;B2677,R_Schedule_Times,"&lt;"&amp;B2678),INDEX(R_Schedule_Amounts,MATCH(B2678,R_Schedule_Times,1)),K2677)),"")</f>
        <v>8220</v>
      </c>
      <c r="I2678" s="30">
        <f t="shared" si="205"/>
        <v>40</v>
      </c>
      <c r="J2678" s="31">
        <f t="shared" si="206"/>
        <v>0</v>
      </c>
      <c r="K2678" s="29">
        <f t="shared" si="207"/>
        <v>8180</v>
      </c>
      <c r="L2678" s="31" t="str">
        <f t="shared" si="208"/>
        <v/>
      </c>
      <c r="M2678" s="31" t="str">
        <f t="shared" si="209"/>
        <v/>
      </c>
    </row>
    <row r="2679" spans="1:13" x14ac:dyDescent="0.15">
      <c r="A2679" s="163" t="s">
        <v>210</v>
      </c>
      <c r="B2679" s="163">
        <v>42345.731372858798</v>
      </c>
      <c r="C2679" s="164" t="s">
        <v>2328</v>
      </c>
      <c r="D2679" s="164" t="s">
        <v>13</v>
      </c>
      <c r="E2679" s="165">
        <v>100</v>
      </c>
      <c r="F2679" s="166">
        <v>0</v>
      </c>
      <c r="G2679" s="227">
        <f>IF($B$2,IF(ROWS(B$6:$B2679) = 1,$B2679-Start_Date,$B2679-$B2678),"")</f>
        <v>7.9365624987985939E-3</v>
      </c>
      <c r="H2679" s="29">
        <f>IF($B$2,IF(ROWS(B$6:$B2679) = 1,IF(COUNTIFS(R_Schedule_Times,"&lt;"&amp;B2679),INDEX(R_Schedule_Amounts,MATCH(B2679,R_Schedule_Times,1)),Starting_Cash),IF(COUNTIFS(R_Schedule_Times,"&gt;"&amp;B2678,R_Schedule_Times,"&lt;"&amp;B2679),INDEX(R_Schedule_Amounts,MATCH(B2679,R_Schedule_Times,1)),K2678)),"")</f>
        <v>8180</v>
      </c>
      <c r="I2679" s="30">
        <f t="shared" si="205"/>
        <v>100</v>
      </c>
      <c r="J2679" s="31">
        <f t="shared" si="206"/>
        <v>0</v>
      </c>
      <c r="K2679" s="29">
        <f t="shared" si="207"/>
        <v>8080</v>
      </c>
      <c r="L2679" s="31" t="str">
        <f t="shared" si="208"/>
        <v/>
      </c>
      <c r="M2679" s="31" t="str">
        <f t="shared" si="209"/>
        <v/>
      </c>
    </row>
    <row r="2680" spans="1:13" x14ac:dyDescent="0.15">
      <c r="A2680" s="163" t="s">
        <v>210</v>
      </c>
      <c r="B2680" s="163">
        <v>42345.73384497685</v>
      </c>
      <c r="C2680" s="164" t="s">
        <v>2329</v>
      </c>
      <c r="D2680" s="164" t="s">
        <v>13</v>
      </c>
      <c r="E2680" s="165">
        <v>300</v>
      </c>
      <c r="F2680" s="166">
        <v>0</v>
      </c>
      <c r="G2680" s="227">
        <f>IF($B$2,IF(ROWS(B$6:$B2680) = 1,$B2680-Start_Date,$B2680-$B2679),"")</f>
        <v>2.472118052537553E-3</v>
      </c>
      <c r="H2680" s="29">
        <f>IF($B$2,IF(ROWS(B$6:$B2680) = 1,IF(COUNTIFS(R_Schedule_Times,"&lt;"&amp;B2680),INDEX(R_Schedule_Amounts,MATCH(B2680,R_Schedule_Times,1)),Starting_Cash),IF(COUNTIFS(R_Schedule_Times,"&gt;"&amp;B2679,R_Schedule_Times,"&lt;"&amp;B2680),INDEX(R_Schedule_Amounts,MATCH(B2680,R_Schedule_Times,1)),K2679)),"")</f>
        <v>8080</v>
      </c>
      <c r="I2680" s="30">
        <f t="shared" si="205"/>
        <v>300</v>
      </c>
      <c r="J2680" s="31">
        <f t="shared" si="206"/>
        <v>0</v>
      </c>
      <c r="K2680" s="29">
        <f t="shared" si="207"/>
        <v>7780</v>
      </c>
      <c r="L2680" s="31" t="str">
        <f t="shared" si="208"/>
        <v/>
      </c>
      <c r="M2680" s="31" t="str">
        <f t="shared" si="209"/>
        <v/>
      </c>
    </row>
    <row r="2681" spans="1:13" x14ac:dyDescent="0.15">
      <c r="A2681" s="163" t="s">
        <v>210</v>
      </c>
      <c r="B2681" s="163">
        <v>42345.74576528935</v>
      </c>
      <c r="C2681" s="164" t="s">
        <v>2330</v>
      </c>
      <c r="D2681" s="164" t="s">
        <v>13</v>
      </c>
      <c r="E2681" s="165">
        <v>100</v>
      </c>
      <c r="F2681" s="166">
        <v>0</v>
      </c>
      <c r="G2681" s="227">
        <f>IF($B$2,IF(ROWS(B$6:$B2681) = 1,$B2681-Start_Date,$B2681-$B2680),"")</f>
        <v>1.1920312499569263E-2</v>
      </c>
      <c r="H2681" s="29">
        <f>IF($B$2,IF(ROWS(B$6:$B2681) = 1,IF(COUNTIFS(R_Schedule_Times,"&lt;"&amp;B2681),INDEX(R_Schedule_Amounts,MATCH(B2681,R_Schedule_Times,1)),Starting_Cash),IF(COUNTIFS(R_Schedule_Times,"&gt;"&amp;B2680,R_Schedule_Times,"&lt;"&amp;B2681),INDEX(R_Schedule_Amounts,MATCH(B2681,R_Schedule_Times,1)),K2680)),"")</f>
        <v>7780</v>
      </c>
      <c r="I2681" s="30">
        <f t="shared" si="205"/>
        <v>100</v>
      </c>
      <c r="J2681" s="31">
        <f t="shared" si="206"/>
        <v>0</v>
      </c>
      <c r="K2681" s="29">
        <f t="shared" si="207"/>
        <v>7680</v>
      </c>
      <c r="L2681" s="31" t="str">
        <f t="shared" si="208"/>
        <v/>
      </c>
      <c r="M2681" s="31" t="str">
        <f t="shared" si="209"/>
        <v/>
      </c>
    </row>
    <row r="2682" spans="1:13" x14ac:dyDescent="0.15">
      <c r="A2682" s="163" t="s">
        <v>210</v>
      </c>
      <c r="B2682" s="163">
        <v>42345.74673673611</v>
      </c>
      <c r="C2682" s="164" t="s">
        <v>14</v>
      </c>
      <c r="D2682" s="164" t="s">
        <v>13</v>
      </c>
      <c r="E2682" s="165">
        <v>20</v>
      </c>
      <c r="F2682" s="166">
        <v>3.5</v>
      </c>
      <c r="G2682" s="227">
        <f>IF($B$2,IF(ROWS(B$6:$B2682) = 1,$B2682-Start_Date,$B2682-$B2681),"")</f>
        <v>9.714467596495524E-4</v>
      </c>
      <c r="H2682" s="29">
        <f>IF($B$2,IF(ROWS(B$6:$B2682) = 1,IF(COUNTIFS(R_Schedule_Times,"&lt;"&amp;B2682),INDEX(R_Schedule_Amounts,MATCH(B2682,R_Schedule_Times,1)),Starting_Cash),IF(COUNTIFS(R_Schedule_Times,"&gt;"&amp;B2681,R_Schedule_Times,"&lt;"&amp;B2682),INDEX(R_Schedule_Amounts,MATCH(B2682,R_Schedule_Times,1)),K2681)),"")</f>
        <v>7680</v>
      </c>
      <c r="I2682" s="30">
        <f t="shared" si="205"/>
        <v>20</v>
      </c>
      <c r="J2682" s="31">
        <f t="shared" si="206"/>
        <v>3.5</v>
      </c>
      <c r="K2682" s="29">
        <f t="shared" si="207"/>
        <v>7660</v>
      </c>
      <c r="L2682" s="31" t="str">
        <f t="shared" si="208"/>
        <v/>
      </c>
      <c r="M2682" s="31" t="str">
        <f t="shared" si="209"/>
        <v/>
      </c>
    </row>
    <row r="2683" spans="1:13" x14ac:dyDescent="0.15">
      <c r="A2683" s="163" t="s">
        <v>210</v>
      </c>
      <c r="B2683" s="163">
        <v>42345.75748172454</v>
      </c>
      <c r="C2683" s="164" t="s">
        <v>81</v>
      </c>
      <c r="D2683" s="164" t="s">
        <v>13</v>
      </c>
      <c r="E2683" s="165">
        <v>100</v>
      </c>
      <c r="F2683" s="166">
        <v>0</v>
      </c>
      <c r="G2683" s="227">
        <f>IF($B$2,IF(ROWS(B$6:$B2683) = 1,$B2683-Start_Date,$B2683-$B2682),"")</f>
        <v>1.0744988430815283E-2</v>
      </c>
      <c r="H2683" s="29">
        <f>IF($B$2,IF(ROWS(B$6:$B2683) = 1,IF(COUNTIFS(R_Schedule_Times,"&lt;"&amp;B2683),INDEX(R_Schedule_Amounts,MATCH(B2683,R_Schedule_Times,1)),Starting_Cash),IF(COUNTIFS(R_Schedule_Times,"&gt;"&amp;B2682,R_Schedule_Times,"&lt;"&amp;B2683),INDEX(R_Schedule_Amounts,MATCH(B2683,R_Schedule_Times,1)),K2682)),"")</f>
        <v>7660</v>
      </c>
      <c r="I2683" s="30">
        <f t="shared" si="205"/>
        <v>100</v>
      </c>
      <c r="J2683" s="31">
        <f t="shared" si="206"/>
        <v>0</v>
      </c>
      <c r="K2683" s="29">
        <f t="shared" si="207"/>
        <v>7560</v>
      </c>
      <c r="L2683" s="31" t="str">
        <f t="shared" si="208"/>
        <v/>
      </c>
      <c r="M2683" s="31" t="str">
        <f t="shared" si="209"/>
        <v/>
      </c>
    </row>
    <row r="2684" spans="1:13" x14ac:dyDescent="0.15">
      <c r="A2684" s="163" t="s">
        <v>210</v>
      </c>
      <c r="B2684" s="163">
        <v>42345.759177199077</v>
      </c>
      <c r="C2684" s="164" t="s">
        <v>2331</v>
      </c>
      <c r="D2684" s="164" t="s">
        <v>13</v>
      </c>
      <c r="E2684" s="165">
        <v>200</v>
      </c>
      <c r="F2684" s="166">
        <v>0</v>
      </c>
      <c r="G2684" s="227">
        <f>IF($B$2,IF(ROWS(B$6:$B2684) = 1,$B2684-Start_Date,$B2684-$B2683),"")</f>
        <v>1.6954745369730517E-3</v>
      </c>
      <c r="H2684" s="29">
        <f>IF($B$2,IF(ROWS(B$6:$B2684) = 1,IF(COUNTIFS(R_Schedule_Times,"&lt;"&amp;B2684),INDEX(R_Schedule_Amounts,MATCH(B2684,R_Schedule_Times,1)),Starting_Cash),IF(COUNTIFS(R_Schedule_Times,"&gt;"&amp;B2683,R_Schedule_Times,"&lt;"&amp;B2684),INDEX(R_Schedule_Amounts,MATCH(B2684,R_Schedule_Times,1)),K2683)),"")</f>
        <v>7560</v>
      </c>
      <c r="I2684" s="30">
        <f t="shared" si="205"/>
        <v>200</v>
      </c>
      <c r="J2684" s="31">
        <f t="shared" si="206"/>
        <v>0</v>
      </c>
      <c r="K2684" s="29">
        <f t="shared" si="207"/>
        <v>7360</v>
      </c>
      <c r="L2684" s="31" t="str">
        <f t="shared" si="208"/>
        <v/>
      </c>
      <c r="M2684" s="31" t="str">
        <f t="shared" si="209"/>
        <v/>
      </c>
    </row>
    <row r="2685" spans="1:13" x14ac:dyDescent="0.15">
      <c r="A2685" s="163" t="s">
        <v>210</v>
      </c>
      <c r="B2685" s="163">
        <v>42345.767203993055</v>
      </c>
      <c r="C2685" s="164" t="s">
        <v>2332</v>
      </c>
      <c r="D2685" s="164" t="s">
        <v>13</v>
      </c>
      <c r="E2685" s="165">
        <v>40</v>
      </c>
      <c r="F2685" s="166">
        <v>0</v>
      </c>
      <c r="G2685" s="227">
        <f>IF($B$2,IF(ROWS(B$6:$B2685) = 1,$B2685-Start_Date,$B2685-$B2684),"")</f>
        <v>8.0267939774785191E-3</v>
      </c>
      <c r="H2685" s="29">
        <f>IF($B$2,IF(ROWS(B$6:$B2685) = 1,IF(COUNTIFS(R_Schedule_Times,"&lt;"&amp;B2685),INDEX(R_Schedule_Amounts,MATCH(B2685,R_Schedule_Times,1)),Starting_Cash),IF(COUNTIFS(R_Schedule_Times,"&gt;"&amp;B2684,R_Schedule_Times,"&lt;"&amp;B2685),INDEX(R_Schedule_Amounts,MATCH(B2685,R_Schedule_Times,1)),K2684)),"")</f>
        <v>7360</v>
      </c>
      <c r="I2685" s="30">
        <f t="shared" si="205"/>
        <v>40</v>
      </c>
      <c r="J2685" s="31">
        <f t="shared" si="206"/>
        <v>0</v>
      </c>
      <c r="K2685" s="29">
        <f t="shared" si="207"/>
        <v>7320</v>
      </c>
      <c r="L2685" s="31" t="str">
        <f t="shared" si="208"/>
        <v/>
      </c>
      <c r="M2685" s="31" t="str">
        <f t="shared" si="209"/>
        <v/>
      </c>
    </row>
    <row r="2686" spans="1:13" x14ac:dyDescent="0.15">
      <c r="A2686" s="163" t="s">
        <v>210</v>
      </c>
      <c r="B2686" s="163">
        <v>42345.7691671875</v>
      </c>
      <c r="C2686" s="164" t="s">
        <v>2333</v>
      </c>
      <c r="D2686" s="164" t="s">
        <v>13</v>
      </c>
      <c r="E2686" s="165">
        <v>40</v>
      </c>
      <c r="F2686" s="166">
        <v>0</v>
      </c>
      <c r="G2686" s="227">
        <f>IF($B$2,IF(ROWS(B$6:$B2686) = 1,$B2686-Start_Date,$B2686-$B2685),"")</f>
        <v>1.9631944451248273E-3</v>
      </c>
      <c r="H2686" s="29">
        <f>IF($B$2,IF(ROWS(B$6:$B2686) = 1,IF(COUNTIFS(R_Schedule_Times,"&lt;"&amp;B2686),INDEX(R_Schedule_Amounts,MATCH(B2686,R_Schedule_Times,1)),Starting_Cash),IF(COUNTIFS(R_Schedule_Times,"&gt;"&amp;B2685,R_Schedule_Times,"&lt;"&amp;B2686),INDEX(R_Schedule_Amounts,MATCH(B2686,R_Schedule_Times,1)),K2685)),"")</f>
        <v>7320</v>
      </c>
      <c r="I2686" s="30">
        <f t="shared" si="205"/>
        <v>40</v>
      </c>
      <c r="J2686" s="31">
        <f t="shared" si="206"/>
        <v>0</v>
      </c>
      <c r="K2686" s="29">
        <f t="shared" si="207"/>
        <v>7280</v>
      </c>
      <c r="L2686" s="31" t="str">
        <f t="shared" si="208"/>
        <v/>
      </c>
      <c r="M2686" s="31" t="str">
        <f t="shared" si="209"/>
        <v/>
      </c>
    </row>
    <row r="2687" spans="1:13" x14ac:dyDescent="0.15">
      <c r="A2687" s="163" t="s">
        <v>210</v>
      </c>
      <c r="B2687" s="163">
        <v>42345.769986087966</v>
      </c>
      <c r="C2687" s="164" t="s">
        <v>1488</v>
      </c>
      <c r="D2687" s="164" t="s">
        <v>13</v>
      </c>
      <c r="E2687" s="165">
        <v>100</v>
      </c>
      <c r="F2687" s="166">
        <v>0</v>
      </c>
      <c r="G2687" s="227">
        <f>IF($B$2,IF(ROWS(B$6:$B2687) = 1,$B2687-Start_Date,$B2687-$B2686),"")</f>
        <v>8.1890046567423269E-4</v>
      </c>
      <c r="H2687" s="29">
        <f>IF($B$2,IF(ROWS(B$6:$B2687) = 1,IF(COUNTIFS(R_Schedule_Times,"&lt;"&amp;B2687),INDEX(R_Schedule_Amounts,MATCH(B2687,R_Schedule_Times,1)),Starting_Cash),IF(COUNTIFS(R_Schedule_Times,"&gt;"&amp;B2686,R_Schedule_Times,"&lt;"&amp;B2687),INDEX(R_Schedule_Amounts,MATCH(B2687,R_Schedule_Times,1)),K2686)),"")</f>
        <v>7280</v>
      </c>
      <c r="I2687" s="30">
        <f t="shared" si="205"/>
        <v>100</v>
      </c>
      <c r="J2687" s="31">
        <f t="shared" si="206"/>
        <v>0</v>
      </c>
      <c r="K2687" s="29">
        <f t="shared" si="207"/>
        <v>7180</v>
      </c>
      <c r="L2687" s="31" t="str">
        <f t="shared" si="208"/>
        <v/>
      </c>
      <c r="M2687" s="31" t="str">
        <f t="shared" si="209"/>
        <v/>
      </c>
    </row>
    <row r="2688" spans="1:13" x14ac:dyDescent="0.15">
      <c r="A2688" s="163" t="s">
        <v>210</v>
      </c>
      <c r="B2688" s="163">
        <v>42345.775795497684</v>
      </c>
      <c r="C2688" s="164" t="s">
        <v>2250</v>
      </c>
      <c r="D2688" s="164" t="s">
        <v>13</v>
      </c>
      <c r="E2688" s="165">
        <v>500</v>
      </c>
      <c r="F2688" s="166">
        <v>0</v>
      </c>
      <c r="G2688" s="227">
        <f>IF($B$2,IF(ROWS(B$6:$B2688) = 1,$B2688-Start_Date,$B2688-$B2687),"")</f>
        <v>5.8094097184948623E-3</v>
      </c>
      <c r="H2688" s="29">
        <f>IF($B$2,IF(ROWS(B$6:$B2688) = 1,IF(COUNTIFS(R_Schedule_Times,"&lt;"&amp;B2688),INDEX(R_Schedule_Amounts,MATCH(B2688,R_Schedule_Times,1)),Starting_Cash),IF(COUNTIFS(R_Schedule_Times,"&gt;"&amp;B2687,R_Schedule_Times,"&lt;"&amp;B2688),INDEX(R_Schedule_Amounts,MATCH(B2688,R_Schedule_Times,1)),K2687)),"")</f>
        <v>7180</v>
      </c>
      <c r="I2688" s="30">
        <f t="shared" si="205"/>
        <v>500</v>
      </c>
      <c r="J2688" s="31">
        <f t="shared" si="206"/>
        <v>0</v>
      </c>
      <c r="K2688" s="29">
        <f t="shared" si="207"/>
        <v>6680</v>
      </c>
      <c r="L2688" s="31" t="str">
        <f t="shared" si="208"/>
        <v/>
      </c>
      <c r="M2688" s="31" t="str">
        <f t="shared" si="209"/>
        <v/>
      </c>
    </row>
    <row r="2689" spans="1:13" x14ac:dyDescent="0.15">
      <c r="A2689" s="163" t="s">
        <v>210</v>
      </c>
      <c r="B2689" s="163">
        <v>42345.879678506943</v>
      </c>
      <c r="C2689" s="164" t="s">
        <v>263</v>
      </c>
      <c r="D2689" s="164" t="s">
        <v>13</v>
      </c>
      <c r="E2689" s="165">
        <v>40</v>
      </c>
      <c r="F2689" s="166">
        <v>0</v>
      </c>
      <c r="G2689" s="227">
        <f>IF($B$2,IF(ROWS(B$6:$B2689) = 1,$B2689-Start_Date,$B2689-$B2688),"")</f>
        <v>0.10388300925842486</v>
      </c>
      <c r="H2689" s="29">
        <f>IF($B$2,IF(ROWS(B$6:$B2689) = 1,IF(COUNTIFS(R_Schedule_Times,"&lt;"&amp;B2689),INDEX(R_Schedule_Amounts,MATCH(B2689,R_Schedule_Times,1)),Starting_Cash),IF(COUNTIFS(R_Schedule_Times,"&gt;"&amp;B2688,R_Schedule_Times,"&lt;"&amp;B2689),INDEX(R_Schedule_Amounts,MATCH(B2689,R_Schedule_Times,1)),K2688)),"")</f>
        <v>6680</v>
      </c>
      <c r="I2689" s="30">
        <f t="shared" si="205"/>
        <v>40</v>
      </c>
      <c r="J2689" s="31">
        <f t="shared" si="206"/>
        <v>0</v>
      </c>
      <c r="K2689" s="29">
        <f t="shared" si="207"/>
        <v>6640</v>
      </c>
      <c r="L2689" s="31" t="str">
        <f t="shared" si="208"/>
        <v/>
      </c>
      <c r="M2689" s="31" t="str">
        <f t="shared" si="209"/>
        <v/>
      </c>
    </row>
    <row r="2690" spans="1:13" x14ac:dyDescent="0.15">
      <c r="A2690" s="163" t="s">
        <v>210</v>
      </c>
      <c r="B2690" s="163">
        <v>42346.299824212962</v>
      </c>
      <c r="C2690" s="164" t="s">
        <v>2334</v>
      </c>
      <c r="D2690" s="164" t="s">
        <v>13</v>
      </c>
      <c r="E2690" s="165">
        <v>100</v>
      </c>
      <c r="F2690" s="166">
        <v>0</v>
      </c>
      <c r="G2690" s="227">
        <f>IF($B$2,IF(ROWS(B$6:$B2690) = 1,$B2690-Start_Date,$B2690-$B2689),"")</f>
        <v>0.42014570601895684</v>
      </c>
      <c r="H2690" s="29">
        <f>IF($B$2,IF(ROWS(B$6:$B2690) = 1,IF(COUNTIFS(R_Schedule_Times,"&lt;"&amp;B2690),INDEX(R_Schedule_Amounts,MATCH(B2690,R_Schedule_Times,1)),Starting_Cash),IF(COUNTIFS(R_Schedule_Times,"&gt;"&amp;B2689,R_Schedule_Times,"&lt;"&amp;B2690),INDEX(R_Schedule_Amounts,MATCH(B2690,R_Schedule_Times,1)),K2689)),"")</f>
        <v>6640</v>
      </c>
      <c r="I2690" s="30">
        <f t="shared" si="205"/>
        <v>100</v>
      </c>
      <c r="J2690" s="31">
        <f t="shared" si="206"/>
        <v>0</v>
      </c>
      <c r="K2690" s="29">
        <f t="shared" si="207"/>
        <v>6540</v>
      </c>
      <c r="L2690" s="31" t="str">
        <f t="shared" si="208"/>
        <v/>
      </c>
      <c r="M2690" s="31" t="str">
        <f t="shared" si="209"/>
        <v/>
      </c>
    </row>
    <row r="2691" spans="1:13" x14ac:dyDescent="0.15">
      <c r="A2691" s="163" t="s">
        <v>210</v>
      </c>
      <c r="B2691" s="163">
        <v>42346.313632291669</v>
      </c>
      <c r="C2691" s="164" t="s">
        <v>2335</v>
      </c>
      <c r="D2691" s="164" t="s">
        <v>13</v>
      </c>
      <c r="E2691" s="165">
        <v>200</v>
      </c>
      <c r="F2691" s="166">
        <v>0</v>
      </c>
      <c r="G2691" s="227">
        <f>IF($B$2,IF(ROWS(B$6:$B2691) = 1,$B2691-Start_Date,$B2691-$B2690),"")</f>
        <v>1.3808078707370441E-2</v>
      </c>
      <c r="H2691" s="29">
        <f>IF($B$2,IF(ROWS(B$6:$B2691) = 1,IF(COUNTIFS(R_Schedule_Times,"&lt;"&amp;B2691),INDEX(R_Schedule_Amounts,MATCH(B2691,R_Schedule_Times,1)),Starting_Cash),IF(COUNTIFS(R_Schedule_Times,"&gt;"&amp;B2690,R_Schedule_Times,"&lt;"&amp;B2691),INDEX(R_Schedule_Amounts,MATCH(B2691,R_Schedule_Times,1)),K2690)),"")</f>
        <v>6540</v>
      </c>
      <c r="I2691" s="30">
        <f t="shared" si="205"/>
        <v>200</v>
      </c>
      <c r="J2691" s="31">
        <f t="shared" si="206"/>
        <v>0</v>
      </c>
      <c r="K2691" s="29">
        <f t="shared" si="207"/>
        <v>6340</v>
      </c>
      <c r="L2691" s="31" t="str">
        <f t="shared" si="208"/>
        <v/>
      </c>
      <c r="M2691" s="31" t="str">
        <f t="shared" si="209"/>
        <v/>
      </c>
    </row>
    <row r="2692" spans="1:13" x14ac:dyDescent="0.15">
      <c r="A2692" s="163" t="s">
        <v>210</v>
      </c>
      <c r="B2692" s="163">
        <v>42346.364125694447</v>
      </c>
      <c r="C2692" s="164" t="s">
        <v>2336</v>
      </c>
      <c r="D2692" s="164" t="s">
        <v>13</v>
      </c>
      <c r="E2692" s="165">
        <v>200</v>
      </c>
      <c r="F2692" s="166">
        <v>0</v>
      </c>
      <c r="G2692" s="227">
        <f>IF($B$2,IF(ROWS(B$6:$B2692) = 1,$B2692-Start_Date,$B2692-$B2691),"")</f>
        <v>5.0493402777647134E-2</v>
      </c>
      <c r="H2692" s="29">
        <f>IF($B$2,IF(ROWS(B$6:$B2692) = 1,IF(COUNTIFS(R_Schedule_Times,"&lt;"&amp;B2692),INDEX(R_Schedule_Amounts,MATCH(B2692,R_Schedule_Times,1)),Starting_Cash),IF(COUNTIFS(R_Schedule_Times,"&gt;"&amp;B2691,R_Schedule_Times,"&lt;"&amp;B2692),INDEX(R_Schedule_Amounts,MATCH(B2692,R_Schedule_Times,1)),K2691)),"")</f>
        <v>6340</v>
      </c>
      <c r="I2692" s="30">
        <f t="shared" si="205"/>
        <v>200</v>
      </c>
      <c r="J2692" s="31">
        <f t="shared" si="206"/>
        <v>0</v>
      </c>
      <c r="K2692" s="29">
        <f t="shared" si="207"/>
        <v>6140</v>
      </c>
      <c r="L2692" s="31" t="str">
        <f t="shared" si="208"/>
        <v/>
      </c>
      <c r="M2692" s="31" t="str">
        <f t="shared" si="209"/>
        <v/>
      </c>
    </row>
    <row r="2693" spans="1:13" x14ac:dyDescent="0.15">
      <c r="A2693" s="163" t="s">
        <v>210</v>
      </c>
      <c r="B2693" s="163">
        <v>42346.410294293979</v>
      </c>
      <c r="C2693" s="164" t="s">
        <v>2337</v>
      </c>
      <c r="D2693" s="164" t="s">
        <v>13</v>
      </c>
      <c r="E2693" s="165">
        <v>20</v>
      </c>
      <c r="F2693" s="166">
        <v>0</v>
      </c>
      <c r="G2693" s="227">
        <f>IF($B$2,IF(ROWS(B$6:$B2693) = 1,$B2693-Start_Date,$B2693-$B2692),"")</f>
        <v>4.6168599532393273E-2</v>
      </c>
      <c r="H2693" s="29">
        <f>IF($B$2,IF(ROWS(B$6:$B2693) = 1,IF(COUNTIFS(R_Schedule_Times,"&lt;"&amp;B2693),INDEX(R_Schedule_Amounts,MATCH(B2693,R_Schedule_Times,1)),Starting_Cash),IF(COUNTIFS(R_Schedule_Times,"&gt;"&amp;B2692,R_Schedule_Times,"&lt;"&amp;B2693),INDEX(R_Schedule_Amounts,MATCH(B2693,R_Schedule_Times,1)),K2692)),"")</f>
        <v>6140</v>
      </c>
      <c r="I2693" s="30">
        <f t="shared" si="205"/>
        <v>20</v>
      </c>
      <c r="J2693" s="31">
        <f t="shared" si="206"/>
        <v>0</v>
      </c>
      <c r="K2693" s="29">
        <f t="shared" si="207"/>
        <v>6120</v>
      </c>
      <c r="L2693" s="31" t="str">
        <f t="shared" si="208"/>
        <v/>
      </c>
      <c r="M2693" s="31" t="str">
        <f t="shared" si="209"/>
        <v/>
      </c>
    </row>
    <row r="2694" spans="1:13" x14ac:dyDescent="0.15">
      <c r="A2694" s="163" t="s">
        <v>210</v>
      </c>
      <c r="B2694" s="163">
        <v>42346.415238310183</v>
      </c>
      <c r="C2694" s="164" t="s">
        <v>2338</v>
      </c>
      <c r="D2694" s="164" t="s">
        <v>13</v>
      </c>
      <c r="E2694" s="165">
        <v>40</v>
      </c>
      <c r="F2694" s="166">
        <v>0</v>
      </c>
      <c r="G2694" s="227">
        <f>IF($B$2,IF(ROWS(B$6:$B2694) = 1,$B2694-Start_Date,$B2694-$B2693),"")</f>
        <v>4.9440162038081326E-3</v>
      </c>
      <c r="H2694" s="29">
        <f>IF($B$2,IF(ROWS(B$6:$B2694) = 1,IF(COUNTIFS(R_Schedule_Times,"&lt;"&amp;B2694),INDEX(R_Schedule_Amounts,MATCH(B2694,R_Schedule_Times,1)),Starting_Cash),IF(COUNTIFS(R_Schedule_Times,"&gt;"&amp;B2693,R_Schedule_Times,"&lt;"&amp;B2694),INDEX(R_Schedule_Amounts,MATCH(B2694,R_Schedule_Times,1)),K2693)),"")</f>
        <v>6120</v>
      </c>
      <c r="I2694" s="30">
        <f t="shared" si="205"/>
        <v>40</v>
      </c>
      <c r="J2694" s="31">
        <f t="shared" si="206"/>
        <v>0</v>
      </c>
      <c r="K2694" s="29">
        <f t="shared" si="207"/>
        <v>6080</v>
      </c>
      <c r="L2694" s="31" t="str">
        <f t="shared" si="208"/>
        <v/>
      </c>
      <c r="M2694" s="31" t="str">
        <f t="shared" si="209"/>
        <v/>
      </c>
    </row>
    <row r="2695" spans="1:13" x14ac:dyDescent="0.15">
      <c r="A2695" s="163" t="s">
        <v>210</v>
      </c>
      <c r="B2695" s="163">
        <v>42346.42590425926</v>
      </c>
      <c r="C2695" s="164" t="s">
        <v>2339</v>
      </c>
      <c r="D2695" s="164" t="s">
        <v>13</v>
      </c>
      <c r="E2695" s="165">
        <v>200</v>
      </c>
      <c r="F2695" s="166">
        <v>0</v>
      </c>
      <c r="G2695" s="227">
        <f>IF($B$2,IF(ROWS(B$6:$B2695) = 1,$B2695-Start_Date,$B2695-$B2694),"")</f>
        <v>1.0665949077520054E-2</v>
      </c>
      <c r="H2695" s="29">
        <f>IF($B$2,IF(ROWS(B$6:$B2695) = 1,IF(COUNTIFS(R_Schedule_Times,"&lt;"&amp;B2695),INDEX(R_Schedule_Amounts,MATCH(B2695,R_Schedule_Times,1)),Starting_Cash),IF(COUNTIFS(R_Schedule_Times,"&gt;"&amp;B2694,R_Schedule_Times,"&lt;"&amp;B2695),INDEX(R_Schedule_Amounts,MATCH(B2695,R_Schedule_Times,1)),K2694)),"")</f>
        <v>6080</v>
      </c>
      <c r="I2695" s="30">
        <f t="shared" ref="I2695:I2758" si="210">IF($B$2,IF(H2695&gt;=E2695,E2695,0),"")</f>
        <v>200</v>
      </c>
      <c r="J2695" s="31">
        <f t="shared" ref="J2695:J2758" si="211">IF($B$2,IF(H2695&gt;=E2695,F2695,0),"")</f>
        <v>0</v>
      </c>
      <c r="K2695" s="29">
        <f t="shared" ref="K2695:K2758" si="212">IF($B$2,ABS(I2695-H2695),"")</f>
        <v>5880</v>
      </c>
      <c r="L2695" s="31" t="str">
        <f t="shared" ref="L2695:L2758" si="213">IF($B$2,IF(H2695&lt;E2695,"YES",""),"")</f>
        <v/>
      </c>
      <c r="M2695" s="31" t="str">
        <f t="shared" ref="M2695:M2758" si="214">IF($B$2,IF(L2695="YES",F2695,""),"")</f>
        <v/>
      </c>
    </row>
    <row r="2696" spans="1:13" x14ac:dyDescent="0.15">
      <c r="A2696" s="163" t="s">
        <v>210</v>
      </c>
      <c r="B2696" s="163">
        <v>42346.445984745369</v>
      </c>
      <c r="C2696" s="164" t="s">
        <v>105</v>
      </c>
      <c r="D2696" s="164" t="s">
        <v>13</v>
      </c>
      <c r="E2696" s="165">
        <v>20</v>
      </c>
      <c r="F2696" s="166">
        <v>0</v>
      </c>
      <c r="G2696" s="227">
        <f>IF($B$2,IF(ROWS(B$6:$B2696) = 1,$B2696-Start_Date,$B2696-$B2695),"")</f>
        <v>2.008048610878177E-2</v>
      </c>
      <c r="H2696" s="29">
        <f>IF($B$2,IF(ROWS(B$6:$B2696) = 1,IF(COUNTIFS(R_Schedule_Times,"&lt;"&amp;B2696),INDEX(R_Schedule_Amounts,MATCH(B2696,R_Schedule_Times,1)),Starting_Cash),IF(COUNTIFS(R_Schedule_Times,"&gt;"&amp;B2695,R_Schedule_Times,"&lt;"&amp;B2696),INDEX(R_Schedule_Amounts,MATCH(B2696,R_Schedule_Times,1)),K2695)),"")</f>
        <v>5880</v>
      </c>
      <c r="I2696" s="30">
        <f t="shared" si="210"/>
        <v>20</v>
      </c>
      <c r="J2696" s="31">
        <f t="shared" si="211"/>
        <v>0</v>
      </c>
      <c r="K2696" s="29">
        <f t="shared" si="212"/>
        <v>5860</v>
      </c>
      <c r="L2696" s="31" t="str">
        <f t="shared" si="213"/>
        <v/>
      </c>
      <c r="M2696" s="31" t="str">
        <f t="shared" si="214"/>
        <v/>
      </c>
    </row>
    <row r="2697" spans="1:13" x14ac:dyDescent="0.15">
      <c r="A2697" s="163" t="s">
        <v>210</v>
      </c>
      <c r="B2697" s="163">
        <v>42346.470529560182</v>
      </c>
      <c r="C2697" s="164" t="s">
        <v>1474</v>
      </c>
      <c r="D2697" s="164" t="s">
        <v>13</v>
      </c>
      <c r="E2697" s="165">
        <v>40</v>
      </c>
      <c r="F2697" s="166">
        <v>0</v>
      </c>
      <c r="G2697" s="227">
        <f>IF($B$2,IF(ROWS(B$6:$B2697) = 1,$B2697-Start_Date,$B2697-$B2696),"")</f>
        <v>2.4544814812543336E-2</v>
      </c>
      <c r="H2697" s="29">
        <f>IF($B$2,IF(ROWS(B$6:$B2697) = 1,IF(COUNTIFS(R_Schedule_Times,"&lt;"&amp;B2697),INDEX(R_Schedule_Amounts,MATCH(B2697,R_Schedule_Times,1)),Starting_Cash),IF(COUNTIFS(R_Schedule_Times,"&gt;"&amp;B2696,R_Schedule_Times,"&lt;"&amp;B2697),INDEX(R_Schedule_Amounts,MATCH(B2697,R_Schedule_Times,1)),K2696)),"")</f>
        <v>5860</v>
      </c>
      <c r="I2697" s="30">
        <f t="shared" si="210"/>
        <v>40</v>
      </c>
      <c r="J2697" s="31">
        <f t="shared" si="211"/>
        <v>0</v>
      </c>
      <c r="K2697" s="29">
        <f t="shared" si="212"/>
        <v>5820</v>
      </c>
      <c r="L2697" s="31" t="str">
        <f t="shared" si="213"/>
        <v/>
      </c>
      <c r="M2697" s="31" t="str">
        <f t="shared" si="214"/>
        <v/>
      </c>
    </row>
    <row r="2698" spans="1:13" x14ac:dyDescent="0.15">
      <c r="A2698" s="163" t="s">
        <v>210</v>
      </c>
      <c r="B2698" s="163">
        <v>42346.487358113423</v>
      </c>
      <c r="C2698" s="164" t="s">
        <v>2340</v>
      </c>
      <c r="D2698" s="164" t="s">
        <v>13</v>
      </c>
      <c r="E2698" s="165">
        <v>60</v>
      </c>
      <c r="F2698" s="166">
        <v>0</v>
      </c>
      <c r="G2698" s="227">
        <f>IF($B$2,IF(ROWS(B$6:$B2698) = 1,$B2698-Start_Date,$B2698-$B2697),"")</f>
        <v>1.6828553241793998E-2</v>
      </c>
      <c r="H2698" s="29">
        <f>IF($B$2,IF(ROWS(B$6:$B2698) = 1,IF(COUNTIFS(R_Schedule_Times,"&lt;"&amp;B2698),INDEX(R_Schedule_Amounts,MATCH(B2698,R_Schedule_Times,1)),Starting_Cash),IF(COUNTIFS(R_Schedule_Times,"&gt;"&amp;B2697,R_Schedule_Times,"&lt;"&amp;B2698),INDEX(R_Schedule_Amounts,MATCH(B2698,R_Schedule_Times,1)),K2697)),"")</f>
        <v>5820</v>
      </c>
      <c r="I2698" s="30">
        <f t="shared" si="210"/>
        <v>60</v>
      </c>
      <c r="J2698" s="31">
        <f t="shared" si="211"/>
        <v>0</v>
      </c>
      <c r="K2698" s="29">
        <f t="shared" si="212"/>
        <v>5760</v>
      </c>
      <c r="L2698" s="31" t="str">
        <f t="shared" si="213"/>
        <v/>
      </c>
      <c r="M2698" s="31" t="str">
        <f t="shared" si="214"/>
        <v/>
      </c>
    </row>
    <row r="2699" spans="1:13" x14ac:dyDescent="0.15">
      <c r="A2699" s="163" t="s">
        <v>210</v>
      </c>
      <c r="B2699" s="163">
        <v>42346.489075995371</v>
      </c>
      <c r="C2699" s="164" t="s">
        <v>14</v>
      </c>
      <c r="D2699" s="164" t="s">
        <v>13</v>
      </c>
      <c r="E2699" s="165">
        <v>20</v>
      </c>
      <c r="F2699" s="166">
        <v>3.5</v>
      </c>
      <c r="G2699" s="227">
        <f>IF($B$2,IF(ROWS(B$6:$B2699) = 1,$B2699-Start_Date,$B2699-$B2698),"")</f>
        <v>1.7178819471155293E-3</v>
      </c>
      <c r="H2699" s="29">
        <f>IF($B$2,IF(ROWS(B$6:$B2699) = 1,IF(COUNTIFS(R_Schedule_Times,"&lt;"&amp;B2699),INDEX(R_Schedule_Amounts,MATCH(B2699,R_Schedule_Times,1)),Starting_Cash),IF(COUNTIFS(R_Schedule_Times,"&gt;"&amp;B2698,R_Schedule_Times,"&lt;"&amp;B2699),INDEX(R_Schedule_Amounts,MATCH(B2699,R_Schedule_Times,1)),K2698)),"")</f>
        <v>5760</v>
      </c>
      <c r="I2699" s="30">
        <f t="shared" si="210"/>
        <v>20</v>
      </c>
      <c r="J2699" s="31">
        <f t="shared" si="211"/>
        <v>3.5</v>
      </c>
      <c r="K2699" s="29">
        <f t="shared" si="212"/>
        <v>5740</v>
      </c>
      <c r="L2699" s="31" t="str">
        <f t="shared" si="213"/>
        <v/>
      </c>
      <c r="M2699" s="31" t="str">
        <f t="shared" si="214"/>
        <v/>
      </c>
    </row>
    <row r="2700" spans="1:13" x14ac:dyDescent="0.15">
      <c r="A2700" s="163" t="s">
        <v>210</v>
      </c>
      <c r="B2700" s="163">
        <v>42346.504715289353</v>
      </c>
      <c r="C2700" s="164" t="s">
        <v>2341</v>
      </c>
      <c r="D2700" s="164" t="s">
        <v>13</v>
      </c>
      <c r="E2700" s="165">
        <v>100</v>
      </c>
      <c r="F2700" s="166">
        <v>0</v>
      </c>
      <c r="G2700" s="227">
        <f>IF($B$2,IF(ROWS(B$6:$B2700) = 1,$B2700-Start_Date,$B2700-$B2699),"")</f>
        <v>1.5639293982530944E-2</v>
      </c>
      <c r="H2700" s="29">
        <f>IF($B$2,IF(ROWS(B$6:$B2700) = 1,IF(COUNTIFS(R_Schedule_Times,"&lt;"&amp;B2700),INDEX(R_Schedule_Amounts,MATCH(B2700,R_Schedule_Times,1)),Starting_Cash),IF(COUNTIFS(R_Schedule_Times,"&gt;"&amp;B2699,R_Schedule_Times,"&lt;"&amp;B2700),INDEX(R_Schedule_Amounts,MATCH(B2700,R_Schedule_Times,1)),K2699)),"")</f>
        <v>5740</v>
      </c>
      <c r="I2700" s="30">
        <f t="shared" si="210"/>
        <v>100</v>
      </c>
      <c r="J2700" s="31">
        <f t="shared" si="211"/>
        <v>0</v>
      </c>
      <c r="K2700" s="29">
        <f t="shared" si="212"/>
        <v>5640</v>
      </c>
      <c r="L2700" s="31" t="str">
        <f t="shared" si="213"/>
        <v/>
      </c>
      <c r="M2700" s="31" t="str">
        <f t="shared" si="214"/>
        <v/>
      </c>
    </row>
    <row r="2701" spans="1:13" x14ac:dyDescent="0.15">
      <c r="A2701" s="163" t="s">
        <v>210</v>
      </c>
      <c r="B2701" s="163">
        <v>42346.512803506943</v>
      </c>
      <c r="C2701" s="164" t="s">
        <v>2342</v>
      </c>
      <c r="D2701" s="164" t="s">
        <v>13</v>
      </c>
      <c r="E2701" s="165">
        <v>100</v>
      </c>
      <c r="F2701" s="166">
        <v>0</v>
      </c>
      <c r="G2701" s="227">
        <f>IF($B$2,IF(ROWS(B$6:$B2701) = 1,$B2701-Start_Date,$B2701-$B2700),"")</f>
        <v>8.0882175898295827E-3</v>
      </c>
      <c r="H2701" s="29">
        <f>IF($B$2,IF(ROWS(B$6:$B2701) = 1,IF(COUNTIFS(R_Schedule_Times,"&lt;"&amp;B2701),INDEX(R_Schedule_Amounts,MATCH(B2701,R_Schedule_Times,1)),Starting_Cash),IF(COUNTIFS(R_Schedule_Times,"&gt;"&amp;B2700,R_Schedule_Times,"&lt;"&amp;B2701),INDEX(R_Schedule_Amounts,MATCH(B2701,R_Schedule_Times,1)),K2700)),"")</f>
        <v>5640</v>
      </c>
      <c r="I2701" s="30">
        <f t="shared" si="210"/>
        <v>100</v>
      </c>
      <c r="J2701" s="31">
        <f t="shared" si="211"/>
        <v>0</v>
      </c>
      <c r="K2701" s="29">
        <f t="shared" si="212"/>
        <v>5540</v>
      </c>
      <c r="L2701" s="31" t="str">
        <f t="shared" si="213"/>
        <v/>
      </c>
      <c r="M2701" s="31" t="str">
        <f t="shared" si="214"/>
        <v/>
      </c>
    </row>
    <row r="2702" spans="1:13" x14ac:dyDescent="0.15">
      <c r="A2702" s="163" t="s">
        <v>210</v>
      </c>
      <c r="B2702" s="163">
        <v>42346.528621331017</v>
      </c>
      <c r="C2702" s="164" t="s">
        <v>2343</v>
      </c>
      <c r="D2702" s="164" t="s">
        <v>13</v>
      </c>
      <c r="E2702" s="165">
        <v>80</v>
      </c>
      <c r="F2702" s="166">
        <v>0</v>
      </c>
      <c r="G2702" s="227">
        <f>IF($B$2,IF(ROWS(B$6:$B2702) = 1,$B2702-Start_Date,$B2702-$B2701),"")</f>
        <v>1.5817824074474629E-2</v>
      </c>
      <c r="H2702" s="29">
        <f>IF($B$2,IF(ROWS(B$6:$B2702) = 1,IF(COUNTIFS(R_Schedule_Times,"&lt;"&amp;B2702),INDEX(R_Schedule_Amounts,MATCH(B2702,R_Schedule_Times,1)),Starting_Cash),IF(COUNTIFS(R_Schedule_Times,"&gt;"&amp;B2701,R_Schedule_Times,"&lt;"&amp;B2702),INDEX(R_Schedule_Amounts,MATCH(B2702,R_Schedule_Times,1)),K2701)),"")</f>
        <v>5540</v>
      </c>
      <c r="I2702" s="30">
        <f t="shared" si="210"/>
        <v>80</v>
      </c>
      <c r="J2702" s="31">
        <f t="shared" si="211"/>
        <v>0</v>
      </c>
      <c r="K2702" s="29">
        <f t="shared" si="212"/>
        <v>5460</v>
      </c>
      <c r="L2702" s="31" t="str">
        <f t="shared" si="213"/>
        <v/>
      </c>
      <c r="M2702" s="31" t="str">
        <f t="shared" si="214"/>
        <v/>
      </c>
    </row>
    <row r="2703" spans="1:13" x14ac:dyDescent="0.15">
      <c r="A2703" s="163" t="s">
        <v>210</v>
      </c>
      <c r="B2703" s="163">
        <v>42346.536214930558</v>
      </c>
      <c r="C2703" s="164" t="s">
        <v>14</v>
      </c>
      <c r="D2703" s="164" t="s">
        <v>13</v>
      </c>
      <c r="E2703" s="165">
        <v>80</v>
      </c>
      <c r="F2703" s="166">
        <v>3.5</v>
      </c>
      <c r="G2703" s="227">
        <f>IF($B$2,IF(ROWS(B$6:$B2703) = 1,$B2703-Start_Date,$B2703-$B2702),"")</f>
        <v>7.5935995409963652E-3</v>
      </c>
      <c r="H2703" s="29">
        <f>IF($B$2,IF(ROWS(B$6:$B2703) = 1,IF(COUNTIFS(R_Schedule_Times,"&lt;"&amp;B2703),INDEX(R_Schedule_Amounts,MATCH(B2703,R_Schedule_Times,1)),Starting_Cash),IF(COUNTIFS(R_Schedule_Times,"&gt;"&amp;B2702,R_Schedule_Times,"&lt;"&amp;B2703),INDEX(R_Schedule_Amounts,MATCH(B2703,R_Schedule_Times,1)),K2702)),"")</f>
        <v>5460</v>
      </c>
      <c r="I2703" s="30">
        <f t="shared" si="210"/>
        <v>80</v>
      </c>
      <c r="J2703" s="31">
        <f t="shared" si="211"/>
        <v>3.5</v>
      </c>
      <c r="K2703" s="29">
        <f t="shared" si="212"/>
        <v>5380</v>
      </c>
      <c r="L2703" s="31" t="str">
        <f t="shared" si="213"/>
        <v/>
      </c>
      <c r="M2703" s="31" t="str">
        <f t="shared" si="214"/>
        <v/>
      </c>
    </row>
    <row r="2704" spans="1:13" x14ac:dyDescent="0.15">
      <c r="A2704" s="163" t="s">
        <v>210</v>
      </c>
      <c r="B2704" s="163">
        <v>42346.544359918982</v>
      </c>
      <c r="C2704" s="164" t="s">
        <v>2344</v>
      </c>
      <c r="D2704" s="164" t="s">
        <v>13</v>
      </c>
      <c r="E2704" s="165">
        <v>500</v>
      </c>
      <c r="F2704" s="166">
        <v>0</v>
      </c>
      <c r="G2704" s="227">
        <f>IF($B$2,IF(ROWS(B$6:$B2704) = 1,$B2704-Start_Date,$B2704-$B2703),"")</f>
        <v>8.1449884237372316E-3</v>
      </c>
      <c r="H2704" s="29">
        <f>IF($B$2,IF(ROWS(B$6:$B2704) = 1,IF(COUNTIFS(R_Schedule_Times,"&lt;"&amp;B2704),INDEX(R_Schedule_Amounts,MATCH(B2704,R_Schedule_Times,1)),Starting_Cash),IF(COUNTIFS(R_Schedule_Times,"&gt;"&amp;B2703,R_Schedule_Times,"&lt;"&amp;B2704),INDEX(R_Schedule_Amounts,MATCH(B2704,R_Schedule_Times,1)),K2703)),"")</f>
        <v>5380</v>
      </c>
      <c r="I2704" s="30">
        <f t="shared" si="210"/>
        <v>500</v>
      </c>
      <c r="J2704" s="31">
        <f t="shared" si="211"/>
        <v>0</v>
      </c>
      <c r="K2704" s="29">
        <f t="shared" si="212"/>
        <v>4880</v>
      </c>
      <c r="L2704" s="31" t="str">
        <f t="shared" si="213"/>
        <v/>
      </c>
      <c r="M2704" s="31" t="str">
        <f t="shared" si="214"/>
        <v/>
      </c>
    </row>
    <row r="2705" spans="1:13" x14ac:dyDescent="0.15">
      <c r="A2705" s="163" t="s">
        <v>210</v>
      </c>
      <c r="B2705" s="163">
        <v>42346.556741377317</v>
      </c>
      <c r="C2705" s="164" t="s">
        <v>2345</v>
      </c>
      <c r="D2705" s="164" t="s">
        <v>13</v>
      </c>
      <c r="E2705" s="165">
        <v>60</v>
      </c>
      <c r="F2705" s="166">
        <v>0</v>
      </c>
      <c r="G2705" s="227">
        <f>IF($B$2,IF(ROWS(B$6:$B2705) = 1,$B2705-Start_Date,$B2705-$B2704),"")</f>
        <v>1.2381458334857598E-2</v>
      </c>
      <c r="H2705" s="29">
        <f>IF($B$2,IF(ROWS(B$6:$B2705) = 1,IF(COUNTIFS(R_Schedule_Times,"&lt;"&amp;B2705),INDEX(R_Schedule_Amounts,MATCH(B2705,R_Schedule_Times,1)),Starting_Cash),IF(COUNTIFS(R_Schedule_Times,"&gt;"&amp;B2704,R_Schedule_Times,"&lt;"&amp;B2705),INDEX(R_Schedule_Amounts,MATCH(B2705,R_Schedule_Times,1)),K2704)),"")</f>
        <v>4880</v>
      </c>
      <c r="I2705" s="30">
        <f t="shared" si="210"/>
        <v>60</v>
      </c>
      <c r="J2705" s="31">
        <f t="shared" si="211"/>
        <v>0</v>
      </c>
      <c r="K2705" s="29">
        <f t="shared" si="212"/>
        <v>4820</v>
      </c>
      <c r="L2705" s="31" t="str">
        <f t="shared" si="213"/>
        <v/>
      </c>
      <c r="M2705" s="31" t="str">
        <f t="shared" si="214"/>
        <v/>
      </c>
    </row>
    <row r="2706" spans="1:13" x14ac:dyDescent="0.15">
      <c r="A2706" s="163" t="s">
        <v>210</v>
      </c>
      <c r="B2706" s="163">
        <v>42346.569091574071</v>
      </c>
      <c r="C2706" s="164" t="s">
        <v>2346</v>
      </c>
      <c r="D2706" s="164" t="s">
        <v>13</v>
      </c>
      <c r="E2706" s="165">
        <v>20</v>
      </c>
      <c r="F2706" s="166">
        <v>0</v>
      </c>
      <c r="G2706" s="227">
        <f>IF($B$2,IF(ROWS(B$6:$B2706) = 1,$B2706-Start_Date,$B2706-$B2705),"")</f>
        <v>1.235019675368676E-2</v>
      </c>
      <c r="H2706" s="29">
        <f>IF($B$2,IF(ROWS(B$6:$B2706) = 1,IF(COUNTIFS(R_Schedule_Times,"&lt;"&amp;B2706),INDEX(R_Schedule_Amounts,MATCH(B2706,R_Schedule_Times,1)),Starting_Cash),IF(COUNTIFS(R_Schedule_Times,"&gt;"&amp;B2705,R_Schedule_Times,"&lt;"&amp;B2706),INDEX(R_Schedule_Amounts,MATCH(B2706,R_Schedule_Times,1)),K2705)),"")</f>
        <v>4820</v>
      </c>
      <c r="I2706" s="30">
        <f t="shared" si="210"/>
        <v>20</v>
      </c>
      <c r="J2706" s="31">
        <f t="shared" si="211"/>
        <v>0</v>
      </c>
      <c r="K2706" s="29">
        <f t="shared" si="212"/>
        <v>4800</v>
      </c>
      <c r="L2706" s="31" t="str">
        <f t="shared" si="213"/>
        <v/>
      </c>
      <c r="M2706" s="31" t="str">
        <f t="shared" si="214"/>
        <v/>
      </c>
    </row>
    <row r="2707" spans="1:13" x14ac:dyDescent="0.15">
      <c r="A2707" s="163" t="s">
        <v>210</v>
      </c>
      <c r="B2707" s="163">
        <v>42346.572078182871</v>
      </c>
      <c r="C2707" s="164" t="s">
        <v>500</v>
      </c>
      <c r="D2707" s="164" t="s">
        <v>13</v>
      </c>
      <c r="E2707" s="165">
        <v>60</v>
      </c>
      <c r="F2707" s="166">
        <v>0</v>
      </c>
      <c r="G2707" s="227">
        <f>IF($B$2,IF(ROWS(B$6:$B2707) = 1,$B2707-Start_Date,$B2707-$B2706),"")</f>
        <v>2.9866088007111102E-3</v>
      </c>
      <c r="H2707" s="29">
        <f>IF($B$2,IF(ROWS(B$6:$B2707) = 1,IF(COUNTIFS(R_Schedule_Times,"&lt;"&amp;B2707),INDEX(R_Schedule_Amounts,MATCH(B2707,R_Schedule_Times,1)),Starting_Cash),IF(COUNTIFS(R_Schedule_Times,"&gt;"&amp;B2706,R_Schedule_Times,"&lt;"&amp;B2707),INDEX(R_Schedule_Amounts,MATCH(B2707,R_Schedule_Times,1)),K2706)),"")</f>
        <v>4800</v>
      </c>
      <c r="I2707" s="30">
        <f t="shared" si="210"/>
        <v>60</v>
      </c>
      <c r="J2707" s="31">
        <f t="shared" si="211"/>
        <v>0</v>
      </c>
      <c r="K2707" s="29">
        <f t="shared" si="212"/>
        <v>4740</v>
      </c>
      <c r="L2707" s="31" t="str">
        <f t="shared" si="213"/>
        <v/>
      </c>
      <c r="M2707" s="31" t="str">
        <f t="shared" si="214"/>
        <v/>
      </c>
    </row>
    <row r="2708" spans="1:13" x14ac:dyDescent="0.15">
      <c r="A2708" s="163" t="s">
        <v>210</v>
      </c>
      <c r="B2708" s="163">
        <v>42346.630571527778</v>
      </c>
      <c r="C2708" s="164" t="s">
        <v>501</v>
      </c>
      <c r="D2708" s="164" t="s">
        <v>13</v>
      </c>
      <c r="E2708" s="165">
        <v>40</v>
      </c>
      <c r="F2708" s="166">
        <v>0</v>
      </c>
      <c r="G2708" s="227">
        <f>IF($B$2,IF(ROWS(B$6:$B2708) = 1,$B2708-Start_Date,$B2708-$B2707),"")</f>
        <v>5.8493344906310085E-2</v>
      </c>
      <c r="H2708" s="29">
        <f>IF($B$2,IF(ROWS(B$6:$B2708) = 1,IF(COUNTIFS(R_Schedule_Times,"&lt;"&amp;B2708),INDEX(R_Schedule_Amounts,MATCH(B2708,R_Schedule_Times,1)),Starting_Cash),IF(COUNTIFS(R_Schedule_Times,"&gt;"&amp;B2707,R_Schedule_Times,"&lt;"&amp;B2708),INDEX(R_Schedule_Amounts,MATCH(B2708,R_Schedule_Times,1)),K2707)),"")</f>
        <v>4740</v>
      </c>
      <c r="I2708" s="30">
        <f t="shared" si="210"/>
        <v>40</v>
      </c>
      <c r="J2708" s="31">
        <f t="shared" si="211"/>
        <v>0</v>
      </c>
      <c r="K2708" s="29">
        <f t="shared" si="212"/>
        <v>4700</v>
      </c>
      <c r="L2708" s="31" t="str">
        <f t="shared" si="213"/>
        <v/>
      </c>
      <c r="M2708" s="31" t="str">
        <f t="shared" si="214"/>
        <v/>
      </c>
    </row>
    <row r="2709" spans="1:13" x14ac:dyDescent="0.15">
      <c r="A2709" s="163" t="s">
        <v>210</v>
      </c>
      <c r="B2709" s="163">
        <v>42346.634661736112</v>
      </c>
      <c r="C2709" s="164" t="s">
        <v>1410</v>
      </c>
      <c r="D2709" s="164" t="s">
        <v>13</v>
      </c>
      <c r="E2709" s="165">
        <v>100</v>
      </c>
      <c r="F2709" s="166">
        <v>0</v>
      </c>
      <c r="G2709" s="227">
        <f>IF($B$2,IF(ROWS(B$6:$B2709) = 1,$B2709-Start_Date,$B2709-$B2708),"")</f>
        <v>4.0902083346736617E-3</v>
      </c>
      <c r="H2709" s="29">
        <f>IF($B$2,IF(ROWS(B$6:$B2709) = 1,IF(COUNTIFS(R_Schedule_Times,"&lt;"&amp;B2709),INDEX(R_Schedule_Amounts,MATCH(B2709,R_Schedule_Times,1)),Starting_Cash),IF(COUNTIFS(R_Schedule_Times,"&gt;"&amp;B2708,R_Schedule_Times,"&lt;"&amp;B2709),INDEX(R_Schedule_Amounts,MATCH(B2709,R_Schedule_Times,1)),K2708)),"")</f>
        <v>4700</v>
      </c>
      <c r="I2709" s="30">
        <f t="shared" si="210"/>
        <v>100</v>
      </c>
      <c r="J2709" s="31">
        <f t="shared" si="211"/>
        <v>0</v>
      </c>
      <c r="K2709" s="29">
        <f t="shared" si="212"/>
        <v>4600</v>
      </c>
      <c r="L2709" s="31" t="str">
        <f t="shared" si="213"/>
        <v/>
      </c>
      <c r="M2709" s="31" t="str">
        <f t="shared" si="214"/>
        <v/>
      </c>
    </row>
    <row r="2710" spans="1:13" x14ac:dyDescent="0.15">
      <c r="A2710" s="163" t="s">
        <v>210</v>
      </c>
      <c r="B2710" s="163">
        <v>42346.646717615738</v>
      </c>
      <c r="C2710" s="164" t="s">
        <v>2347</v>
      </c>
      <c r="D2710" s="164" t="s">
        <v>13</v>
      </c>
      <c r="E2710" s="165">
        <v>100</v>
      </c>
      <c r="F2710" s="166">
        <v>0</v>
      </c>
      <c r="G2710" s="227">
        <f>IF($B$2,IF(ROWS(B$6:$B2710) = 1,$B2710-Start_Date,$B2710-$B2709),"")</f>
        <v>1.2055879626132082E-2</v>
      </c>
      <c r="H2710" s="29">
        <f>IF($B$2,IF(ROWS(B$6:$B2710) = 1,IF(COUNTIFS(R_Schedule_Times,"&lt;"&amp;B2710),INDEX(R_Schedule_Amounts,MATCH(B2710,R_Schedule_Times,1)),Starting_Cash),IF(COUNTIFS(R_Schedule_Times,"&gt;"&amp;B2709,R_Schedule_Times,"&lt;"&amp;B2710),INDEX(R_Schedule_Amounts,MATCH(B2710,R_Schedule_Times,1)),K2709)),"")</f>
        <v>4600</v>
      </c>
      <c r="I2710" s="30">
        <f t="shared" si="210"/>
        <v>100</v>
      </c>
      <c r="J2710" s="31">
        <f t="shared" si="211"/>
        <v>0</v>
      </c>
      <c r="K2710" s="29">
        <f t="shared" si="212"/>
        <v>4500</v>
      </c>
      <c r="L2710" s="31" t="str">
        <f t="shared" si="213"/>
        <v/>
      </c>
      <c r="M2710" s="31" t="str">
        <f t="shared" si="214"/>
        <v/>
      </c>
    </row>
    <row r="2711" spans="1:13" x14ac:dyDescent="0.15">
      <c r="A2711" s="163" t="s">
        <v>210</v>
      </c>
      <c r="B2711" s="163">
        <v>42346.651820694446</v>
      </c>
      <c r="C2711" s="164" t="s">
        <v>264</v>
      </c>
      <c r="D2711" s="164" t="s">
        <v>13</v>
      </c>
      <c r="E2711" s="165">
        <v>60</v>
      </c>
      <c r="F2711" s="166">
        <v>0</v>
      </c>
      <c r="G2711" s="227">
        <f>IF($B$2,IF(ROWS(B$6:$B2711) = 1,$B2711-Start_Date,$B2711-$B2710),"")</f>
        <v>5.1030787071795203E-3</v>
      </c>
      <c r="H2711" s="29">
        <f>IF($B$2,IF(ROWS(B$6:$B2711) = 1,IF(COUNTIFS(R_Schedule_Times,"&lt;"&amp;B2711),INDEX(R_Schedule_Amounts,MATCH(B2711,R_Schedule_Times,1)),Starting_Cash),IF(COUNTIFS(R_Schedule_Times,"&gt;"&amp;B2710,R_Schedule_Times,"&lt;"&amp;B2711),INDEX(R_Schedule_Amounts,MATCH(B2711,R_Schedule_Times,1)),K2710)),"")</f>
        <v>4500</v>
      </c>
      <c r="I2711" s="30">
        <f t="shared" si="210"/>
        <v>60</v>
      </c>
      <c r="J2711" s="31">
        <f t="shared" si="211"/>
        <v>0</v>
      </c>
      <c r="K2711" s="29">
        <f t="shared" si="212"/>
        <v>4440</v>
      </c>
      <c r="L2711" s="31" t="str">
        <f t="shared" si="213"/>
        <v/>
      </c>
      <c r="M2711" s="31" t="str">
        <f t="shared" si="214"/>
        <v/>
      </c>
    </row>
    <row r="2712" spans="1:13" x14ac:dyDescent="0.15">
      <c r="A2712" s="163" t="s">
        <v>210</v>
      </c>
      <c r="B2712" s="163">
        <v>42346.664087314814</v>
      </c>
      <c r="C2712" s="164" t="s">
        <v>2348</v>
      </c>
      <c r="D2712" s="164" t="s">
        <v>13</v>
      </c>
      <c r="E2712" s="165">
        <v>20</v>
      </c>
      <c r="F2712" s="166">
        <v>0</v>
      </c>
      <c r="G2712" s="227">
        <f>IF($B$2,IF(ROWS(B$6:$B2712) = 1,$B2712-Start_Date,$B2712-$B2711),"")</f>
        <v>1.2266620367881842E-2</v>
      </c>
      <c r="H2712" s="29">
        <f>IF($B$2,IF(ROWS(B$6:$B2712) = 1,IF(COUNTIFS(R_Schedule_Times,"&lt;"&amp;B2712),INDEX(R_Schedule_Amounts,MATCH(B2712,R_Schedule_Times,1)),Starting_Cash),IF(COUNTIFS(R_Schedule_Times,"&gt;"&amp;B2711,R_Schedule_Times,"&lt;"&amp;B2712),INDEX(R_Schedule_Amounts,MATCH(B2712,R_Schedule_Times,1)),K2711)),"")</f>
        <v>4440</v>
      </c>
      <c r="I2712" s="30">
        <f t="shared" si="210"/>
        <v>20</v>
      </c>
      <c r="J2712" s="31">
        <f t="shared" si="211"/>
        <v>0</v>
      </c>
      <c r="K2712" s="29">
        <f t="shared" si="212"/>
        <v>4420</v>
      </c>
      <c r="L2712" s="31" t="str">
        <f t="shared" si="213"/>
        <v/>
      </c>
      <c r="M2712" s="31" t="str">
        <f t="shared" si="214"/>
        <v/>
      </c>
    </row>
    <row r="2713" spans="1:13" x14ac:dyDescent="0.15">
      <c r="A2713" s="163" t="s">
        <v>210</v>
      </c>
      <c r="B2713" s="163">
        <v>42346.66645271991</v>
      </c>
      <c r="C2713" s="164" t="s">
        <v>14</v>
      </c>
      <c r="D2713" s="164" t="s">
        <v>13</v>
      </c>
      <c r="E2713" s="165">
        <v>100</v>
      </c>
      <c r="F2713" s="166">
        <v>3.5</v>
      </c>
      <c r="G2713" s="227">
        <f>IF($B$2,IF(ROWS(B$6:$B2713) = 1,$B2713-Start_Date,$B2713-$B2712),"")</f>
        <v>2.3654050964978524E-3</v>
      </c>
      <c r="H2713" s="29">
        <f>IF($B$2,IF(ROWS(B$6:$B2713) = 1,IF(COUNTIFS(R_Schedule_Times,"&lt;"&amp;B2713),INDEX(R_Schedule_Amounts,MATCH(B2713,R_Schedule_Times,1)),Starting_Cash),IF(COUNTIFS(R_Schedule_Times,"&gt;"&amp;B2712,R_Schedule_Times,"&lt;"&amp;B2713),INDEX(R_Schedule_Amounts,MATCH(B2713,R_Schedule_Times,1)),K2712)),"")</f>
        <v>4420</v>
      </c>
      <c r="I2713" s="30">
        <f t="shared" si="210"/>
        <v>100</v>
      </c>
      <c r="J2713" s="31">
        <f t="shared" si="211"/>
        <v>3.5</v>
      </c>
      <c r="K2713" s="29">
        <f t="shared" si="212"/>
        <v>4320</v>
      </c>
      <c r="L2713" s="31" t="str">
        <f t="shared" si="213"/>
        <v/>
      </c>
      <c r="M2713" s="31" t="str">
        <f t="shared" si="214"/>
        <v/>
      </c>
    </row>
    <row r="2714" spans="1:13" x14ac:dyDescent="0.15">
      <c r="A2714" s="163" t="s">
        <v>210</v>
      </c>
      <c r="B2714" s="163">
        <v>42346.673953541664</v>
      </c>
      <c r="C2714" s="164" t="s">
        <v>1617</v>
      </c>
      <c r="D2714" s="164" t="s">
        <v>13</v>
      </c>
      <c r="E2714" s="165">
        <v>60</v>
      </c>
      <c r="F2714" s="166">
        <v>0</v>
      </c>
      <c r="G2714" s="227">
        <f>IF($B$2,IF(ROWS(B$6:$B2714) = 1,$B2714-Start_Date,$B2714-$B2713),"")</f>
        <v>7.5008217536378652E-3</v>
      </c>
      <c r="H2714" s="29">
        <f>IF($B$2,IF(ROWS(B$6:$B2714) = 1,IF(COUNTIFS(R_Schedule_Times,"&lt;"&amp;B2714),INDEX(R_Schedule_Amounts,MATCH(B2714,R_Schedule_Times,1)),Starting_Cash),IF(COUNTIFS(R_Schedule_Times,"&gt;"&amp;B2713,R_Schedule_Times,"&lt;"&amp;B2714),INDEX(R_Schedule_Amounts,MATCH(B2714,R_Schedule_Times,1)),K2713)),"")</f>
        <v>4320</v>
      </c>
      <c r="I2714" s="30">
        <f t="shared" si="210"/>
        <v>60</v>
      </c>
      <c r="J2714" s="31">
        <f t="shared" si="211"/>
        <v>0</v>
      </c>
      <c r="K2714" s="29">
        <f t="shared" si="212"/>
        <v>4260</v>
      </c>
      <c r="L2714" s="31" t="str">
        <f t="shared" si="213"/>
        <v/>
      </c>
      <c r="M2714" s="31" t="str">
        <f t="shared" si="214"/>
        <v/>
      </c>
    </row>
    <row r="2715" spans="1:13" x14ac:dyDescent="0.15">
      <c r="A2715" s="163" t="s">
        <v>210</v>
      </c>
      <c r="B2715" s="163">
        <v>42346.688175173615</v>
      </c>
      <c r="C2715" s="164" t="s">
        <v>2349</v>
      </c>
      <c r="D2715" s="164" t="s">
        <v>15</v>
      </c>
      <c r="E2715" s="165">
        <v>200</v>
      </c>
      <c r="F2715" s="166">
        <v>6</v>
      </c>
      <c r="G2715" s="227">
        <f>IF($B$2,IF(ROWS(B$6:$B2715) = 1,$B2715-Start_Date,$B2715-$B2714),"")</f>
        <v>1.4221631950931624E-2</v>
      </c>
      <c r="H2715" s="29">
        <f>IF($B$2,IF(ROWS(B$6:$B2715) = 1,IF(COUNTIFS(R_Schedule_Times,"&lt;"&amp;B2715),INDEX(R_Schedule_Amounts,MATCH(B2715,R_Schedule_Times,1)),Starting_Cash),IF(COUNTIFS(R_Schedule_Times,"&gt;"&amp;B2714,R_Schedule_Times,"&lt;"&amp;B2715),INDEX(R_Schedule_Amounts,MATCH(B2715,R_Schedule_Times,1)),K2714)),"")</f>
        <v>4260</v>
      </c>
      <c r="I2715" s="30">
        <f t="shared" si="210"/>
        <v>200</v>
      </c>
      <c r="J2715" s="31">
        <f t="shared" si="211"/>
        <v>6</v>
      </c>
      <c r="K2715" s="29">
        <f t="shared" si="212"/>
        <v>4060</v>
      </c>
      <c r="L2715" s="31" t="str">
        <f t="shared" si="213"/>
        <v/>
      </c>
      <c r="M2715" s="31" t="str">
        <f t="shared" si="214"/>
        <v/>
      </c>
    </row>
    <row r="2716" spans="1:13" x14ac:dyDescent="0.15">
      <c r="A2716" s="163" t="s">
        <v>210</v>
      </c>
      <c r="B2716" s="163">
        <v>42346.696181412037</v>
      </c>
      <c r="C2716" s="164" t="s">
        <v>502</v>
      </c>
      <c r="D2716" s="164" t="s">
        <v>13</v>
      </c>
      <c r="E2716" s="165">
        <v>60</v>
      </c>
      <c r="F2716" s="166">
        <v>0</v>
      </c>
      <c r="G2716" s="227">
        <f>IF($B$2,IF(ROWS(B$6:$B2716) = 1,$B2716-Start_Date,$B2716-$B2715),"")</f>
        <v>8.0062384222401306E-3</v>
      </c>
      <c r="H2716" s="29">
        <f>IF($B$2,IF(ROWS(B$6:$B2716) = 1,IF(COUNTIFS(R_Schedule_Times,"&lt;"&amp;B2716),INDEX(R_Schedule_Amounts,MATCH(B2716,R_Schedule_Times,1)),Starting_Cash),IF(COUNTIFS(R_Schedule_Times,"&gt;"&amp;B2715,R_Schedule_Times,"&lt;"&amp;B2716),INDEX(R_Schedule_Amounts,MATCH(B2716,R_Schedule_Times,1)),K2715)),"")</f>
        <v>4060</v>
      </c>
      <c r="I2716" s="30">
        <f t="shared" si="210"/>
        <v>60</v>
      </c>
      <c r="J2716" s="31">
        <f t="shared" si="211"/>
        <v>0</v>
      </c>
      <c r="K2716" s="29">
        <f t="shared" si="212"/>
        <v>4000</v>
      </c>
      <c r="L2716" s="31" t="str">
        <f t="shared" si="213"/>
        <v/>
      </c>
      <c r="M2716" s="31" t="str">
        <f t="shared" si="214"/>
        <v/>
      </c>
    </row>
    <row r="2717" spans="1:13" x14ac:dyDescent="0.15">
      <c r="A2717" s="163" t="s">
        <v>210</v>
      </c>
      <c r="B2717" s="163">
        <v>42346.718764490739</v>
      </c>
      <c r="C2717" s="164" t="s">
        <v>503</v>
      </c>
      <c r="D2717" s="164" t="s">
        <v>13</v>
      </c>
      <c r="E2717" s="165">
        <v>40</v>
      </c>
      <c r="F2717" s="166">
        <v>0</v>
      </c>
      <c r="G2717" s="227">
        <f>IF($B$2,IF(ROWS(B$6:$B2717) = 1,$B2717-Start_Date,$B2717-$B2716),"")</f>
        <v>2.2583078702155035E-2</v>
      </c>
      <c r="H2717" s="29">
        <f>IF($B$2,IF(ROWS(B$6:$B2717) = 1,IF(COUNTIFS(R_Schedule_Times,"&lt;"&amp;B2717),INDEX(R_Schedule_Amounts,MATCH(B2717,R_Schedule_Times,1)),Starting_Cash),IF(COUNTIFS(R_Schedule_Times,"&gt;"&amp;B2716,R_Schedule_Times,"&lt;"&amp;B2717),INDEX(R_Schedule_Amounts,MATCH(B2717,R_Schedule_Times,1)),K2716)),"")</f>
        <v>4000</v>
      </c>
      <c r="I2717" s="30">
        <f t="shared" si="210"/>
        <v>40</v>
      </c>
      <c r="J2717" s="31">
        <f t="shared" si="211"/>
        <v>0</v>
      </c>
      <c r="K2717" s="29">
        <f t="shared" si="212"/>
        <v>3960</v>
      </c>
      <c r="L2717" s="31" t="str">
        <f t="shared" si="213"/>
        <v/>
      </c>
      <c r="M2717" s="31" t="str">
        <f t="shared" si="214"/>
        <v/>
      </c>
    </row>
    <row r="2718" spans="1:13" x14ac:dyDescent="0.15">
      <c r="A2718" s="163" t="s">
        <v>210</v>
      </c>
      <c r="B2718" s="163">
        <v>42346.723006932873</v>
      </c>
      <c r="C2718" s="164" t="s">
        <v>1070</v>
      </c>
      <c r="D2718" s="164" t="s">
        <v>13</v>
      </c>
      <c r="E2718" s="165">
        <v>40</v>
      </c>
      <c r="F2718" s="166">
        <v>0</v>
      </c>
      <c r="G2718" s="227">
        <f>IF($B$2,IF(ROWS(B$6:$B2718) = 1,$B2718-Start_Date,$B2718-$B2717),"")</f>
        <v>4.2424421335454099E-3</v>
      </c>
      <c r="H2718" s="29">
        <f>IF($B$2,IF(ROWS(B$6:$B2718) = 1,IF(COUNTIFS(R_Schedule_Times,"&lt;"&amp;B2718),INDEX(R_Schedule_Amounts,MATCH(B2718,R_Schedule_Times,1)),Starting_Cash),IF(COUNTIFS(R_Schedule_Times,"&gt;"&amp;B2717,R_Schedule_Times,"&lt;"&amp;B2718),INDEX(R_Schedule_Amounts,MATCH(B2718,R_Schedule_Times,1)),K2717)),"")</f>
        <v>3960</v>
      </c>
      <c r="I2718" s="30">
        <f t="shared" si="210"/>
        <v>40</v>
      </c>
      <c r="J2718" s="31">
        <f t="shared" si="211"/>
        <v>0</v>
      </c>
      <c r="K2718" s="29">
        <f t="shared" si="212"/>
        <v>3920</v>
      </c>
      <c r="L2718" s="31" t="str">
        <f t="shared" si="213"/>
        <v/>
      </c>
      <c r="M2718" s="31" t="str">
        <f t="shared" si="214"/>
        <v/>
      </c>
    </row>
    <row r="2719" spans="1:13" x14ac:dyDescent="0.15">
      <c r="A2719" s="163" t="s">
        <v>210</v>
      </c>
      <c r="B2719" s="163">
        <v>42346.727641527781</v>
      </c>
      <c r="C2719" s="164" t="s">
        <v>1155</v>
      </c>
      <c r="D2719" s="164" t="s">
        <v>13</v>
      </c>
      <c r="E2719" s="165">
        <v>20</v>
      </c>
      <c r="F2719" s="166">
        <v>0</v>
      </c>
      <c r="G2719" s="227">
        <f>IF($B$2,IF(ROWS(B$6:$B2719) = 1,$B2719-Start_Date,$B2719-$B2718),"")</f>
        <v>4.6345949085662141E-3</v>
      </c>
      <c r="H2719" s="29">
        <f>IF($B$2,IF(ROWS(B$6:$B2719) = 1,IF(COUNTIFS(R_Schedule_Times,"&lt;"&amp;B2719),INDEX(R_Schedule_Amounts,MATCH(B2719,R_Schedule_Times,1)),Starting_Cash),IF(COUNTIFS(R_Schedule_Times,"&gt;"&amp;B2718,R_Schedule_Times,"&lt;"&amp;B2719),INDEX(R_Schedule_Amounts,MATCH(B2719,R_Schedule_Times,1)),K2718)),"")</f>
        <v>3920</v>
      </c>
      <c r="I2719" s="30">
        <f t="shared" si="210"/>
        <v>20</v>
      </c>
      <c r="J2719" s="31">
        <f t="shared" si="211"/>
        <v>0</v>
      </c>
      <c r="K2719" s="29">
        <f t="shared" si="212"/>
        <v>3900</v>
      </c>
      <c r="L2719" s="31" t="str">
        <f t="shared" si="213"/>
        <v/>
      </c>
      <c r="M2719" s="31" t="str">
        <f t="shared" si="214"/>
        <v/>
      </c>
    </row>
    <row r="2720" spans="1:13" x14ac:dyDescent="0.15">
      <c r="A2720" s="163" t="s">
        <v>210</v>
      </c>
      <c r="B2720" s="163">
        <v>42346.730590798608</v>
      </c>
      <c r="C2720" s="164" t="s">
        <v>803</v>
      </c>
      <c r="D2720" s="164" t="s">
        <v>13</v>
      </c>
      <c r="E2720" s="165">
        <v>100</v>
      </c>
      <c r="F2720" s="166">
        <v>0</v>
      </c>
      <c r="G2720" s="227">
        <f>IF($B$2,IF(ROWS(B$6:$B2720) = 1,$B2720-Start_Date,$B2720-$B2719),"")</f>
        <v>2.9492708272300661E-3</v>
      </c>
      <c r="H2720" s="29">
        <f>IF($B$2,IF(ROWS(B$6:$B2720) = 1,IF(COUNTIFS(R_Schedule_Times,"&lt;"&amp;B2720),INDEX(R_Schedule_Amounts,MATCH(B2720,R_Schedule_Times,1)),Starting_Cash),IF(COUNTIFS(R_Schedule_Times,"&gt;"&amp;B2719,R_Schedule_Times,"&lt;"&amp;B2720),INDEX(R_Schedule_Amounts,MATCH(B2720,R_Schedule_Times,1)),K2719)),"")</f>
        <v>3900</v>
      </c>
      <c r="I2720" s="30">
        <f t="shared" si="210"/>
        <v>100</v>
      </c>
      <c r="J2720" s="31">
        <f t="shared" si="211"/>
        <v>0</v>
      </c>
      <c r="K2720" s="29">
        <f t="shared" si="212"/>
        <v>3800</v>
      </c>
      <c r="L2720" s="31" t="str">
        <f t="shared" si="213"/>
        <v/>
      </c>
      <c r="M2720" s="31" t="str">
        <f t="shared" si="214"/>
        <v/>
      </c>
    </row>
    <row r="2721" spans="1:13" x14ac:dyDescent="0.15">
      <c r="A2721" s="163" t="s">
        <v>210</v>
      </c>
      <c r="B2721" s="163">
        <v>42346.764093680555</v>
      </c>
      <c r="C2721" s="164" t="s">
        <v>504</v>
      </c>
      <c r="D2721" s="164" t="s">
        <v>13</v>
      </c>
      <c r="E2721" s="165">
        <v>500</v>
      </c>
      <c r="F2721" s="166">
        <v>0</v>
      </c>
      <c r="G2721" s="227">
        <f>IF($B$2,IF(ROWS(B$6:$B2721) = 1,$B2721-Start_Date,$B2721-$B2720),"")</f>
        <v>3.3502881946333218E-2</v>
      </c>
      <c r="H2721" s="29">
        <f>IF($B$2,IF(ROWS(B$6:$B2721) = 1,IF(COUNTIFS(R_Schedule_Times,"&lt;"&amp;B2721),INDEX(R_Schedule_Amounts,MATCH(B2721,R_Schedule_Times,1)),Starting_Cash),IF(COUNTIFS(R_Schedule_Times,"&gt;"&amp;B2720,R_Schedule_Times,"&lt;"&amp;B2721),INDEX(R_Schedule_Amounts,MATCH(B2721,R_Schedule_Times,1)),K2720)),"")</f>
        <v>3800</v>
      </c>
      <c r="I2721" s="30">
        <f t="shared" si="210"/>
        <v>500</v>
      </c>
      <c r="J2721" s="31">
        <f t="shared" si="211"/>
        <v>0</v>
      </c>
      <c r="K2721" s="29">
        <f t="shared" si="212"/>
        <v>3300</v>
      </c>
      <c r="L2721" s="31" t="str">
        <f t="shared" si="213"/>
        <v/>
      </c>
      <c r="M2721" s="31" t="str">
        <f t="shared" si="214"/>
        <v/>
      </c>
    </row>
    <row r="2722" spans="1:13" x14ac:dyDescent="0.15">
      <c r="A2722" s="163" t="s">
        <v>210</v>
      </c>
      <c r="B2722" s="163">
        <v>42346.764815879629</v>
      </c>
      <c r="C2722" s="164" t="s">
        <v>2350</v>
      </c>
      <c r="D2722" s="164" t="s">
        <v>13</v>
      </c>
      <c r="E2722" s="165">
        <v>40</v>
      </c>
      <c r="F2722" s="166">
        <v>0</v>
      </c>
      <c r="G2722" s="227">
        <f>IF($B$2,IF(ROWS(B$6:$B2722) = 1,$B2722-Start_Date,$B2722-$B2721),"")</f>
        <v>7.2219907451653853E-4</v>
      </c>
      <c r="H2722" s="29">
        <f>IF($B$2,IF(ROWS(B$6:$B2722) = 1,IF(COUNTIFS(R_Schedule_Times,"&lt;"&amp;B2722),INDEX(R_Schedule_Amounts,MATCH(B2722,R_Schedule_Times,1)),Starting_Cash),IF(COUNTIFS(R_Schedule_Times,"&gt;"&amp;B2721,R_Schedule_Times,"&lt;"&amp;B2722),INDEX(R_Schedule_Amounts,MATCH(B2722,R_Schedule_Times,1)),K2721)),"")</f>
        <v>3300</v>
      </c>
      <c r="I2722" s="30">
        <f t="shared" si="210"/>
        <v>40</v>
      </c>
      <c r="J2722" s="31">
        <f t="shared" si="211"/>
        <v>0</v>
      </c>
      <c r="K2722" s="29">
        <f t="shared" si="212"/>
        <v>3260</v>
      </c>
      <c r="L2722" s="31" t="str">
        <f t="shared" si="213"/>
        <v/>
      </c>
      <c r="M2722" s="31" t="str">
        <f t="shared" si="214"/>
        <v/>
      </c>
    </row>
    <row r="2723" spans="1:13" x14ac:dyDescent="0.15">
      <c r="A2723" s="163" t="s">
        <v>210</v>
      </c>
      <c r="B2723" s="163">
        <v>42346.766885879631</v>
      </c>
      <c r="C2723" s="164" t="s">
        <v>2351</v>
      </c>
      <c r="D2723" s="164" t="s">
        <v>13</v>
      </c>
      <c r="E2723" s="165">
        <v>100</v>
      </c>
      <c r="F2723" s="166">
        <v>0</v>
      </c>
      <c r="G2723" s="227">
        <f>IF($B$2,IF(ROWS(B$6:$B2723) = 1,$B2723-Start_Date,$B2723-$B2722),"")</f>
        <v>2.0700000022770837E-3</v>
      </c>
      <c r="H2723" s="29">
        <f>IF($B$2,IF(ROWS(B$6:$B2723) = 1,IF(COUNTIFS(R_Schedule_Times,"&lt;"&amp;B2723),INDEX(R_Schedule_Amounts,MATCH(B2723,R_Schedule_Times,1)),Starting_Cash),IF(COUNTIFS(R_Schedule_Times,"&gt;"&amp;B2722,R_Schedule_Times,"&lt;"&amp;B2723),INDEX(R_Schedule_Amounts,MATCH(B2723,R_Schedule_Times,1)),K2722)),"")</f>
        <v>3260</v>
      </c>
      <c r="I2723" s="30">
        <f t="shared" si="210"/>
        <v>100</v>
      </c>
      <c r="J2723" s="31">
        <f t="shared" si="211"/>
        <v>0</v>
      </c>
      <c r="K2723" s="29">
        <f t="shared" si="212"/>
        <v>3160</v>
      </c>
      <c r="L2723" s="31" t="str">
        <f t="shared" si="213"/>
        <v/>
      </c>
      <c r="M2723" s="31" t="str">
        <f t="shared" si="214"/>
        <v/>
      </c>
    </row>
    <row r="2724" spans="1:13" x14ac:dyDescent="0.15">
      <c r="A2724" s="163" t="s">
        <v>210</v>
      </c>
      <c r="B2724" s="163">
        <v>42346.769852986108</v>
      </c>
      <c r="C2724" s="164" t="s">
        <v>2352</v>
      </c>
      <c r="D2724" s="164" t="s">
        <v>13</v>
      </c>
      <c r="E2724" s="165">
        <v>140</v>
      </c>
      <c r="F2724" s="166">
        <v>0</v>
      </c>
      <c r="G2724" s="227">
        <f>IF($B$2,IF(ROWS(B$6:$B2724) = 1,$B2724-Start_Date,$B2724-$B2723),"")</f>
        <v>2.9671064767171629E-3</v>
      </c>
      <c r="H2724" s="29">
        <f>IF($B$2,IF(ROWS(B$6:$B2724) = 1,IF(COUNTIFS(R_Schedule_Times,"&lt;"&amp;B2724),INDEX(R_Schedule_Amounts,MATCH(B2724,R_Schedule_Times,1)),Starting_Cash),IF(COUNTIFS(R_Schedule_Times,"&gt;"&amp;B2723,R_Schedule_Times,"&lt;"&amp;B2724),INDEX(R_Schedule_Amounts,MATCH(B2724,R_Schedule_Times,1)),K2723)),"")</f>
        <v>3160</v>
      </c>
      <c r="I2724" s="30">
        <f t="shared" si="210"/>
        <v>140</v>
      </c>
      <c r="J2724" s="31">
        <f t="shared" si="211"/>
        <v>0</v>
      </c>
      <c r="K2724" s="29">
        <f t="shared" si="212"/>
        <v>3020</v>
      </c>
      <c r="L2724" s="31" t="str">
        <f t="shared" si="213"/>
        <v/>
      </c>
      <c r="M2724" s="31" t="str">
        <f t="shared" si="214"/>
        <v/>
      </c>
    </row>
    <row r="2725" spans="1:13" x14ac:dyDescent="0.15">
      <c r="A2725" s="163" t="s">
        <v>210</v>
      </c>
      <c r="B2725" s="163">
        <v>42346.807730925924</v>
      </c>
      <c r="C2725" s="164" t="s">
        <v>2353</v>
      </c>
      <c r="D2725" s="164" t="s">
        <v>13</v>
      </c>
      <c r="E2725" s="165">
        <v>100</v>
      </c>
      <c r="F2725" s="166">
        <v>0</v>
      </c>
      <c r="G2725" s="227">
        <f>IF($B$2,IF(ROWS(B$6:$B2725) = 1,$B2725-Start_Date,$B2725-$B2724),"")</f>
        <v>3.787793981609866E-2</v>
      </c>
      <c r="H2725" s="29">
        <f>IF($B$2,IF(ROWS(B$6:$B2725) = 1,IF(COUNTIFS(R_Schedule_Times,"&lt;"&amp;B2725),INDEX(R_Schedule_Amounts,MATCH(B2725,R_Schedule_Times,1)),Starting_Cash),IF(COUNTIFS(R_Schedule_Times,"&gt;"&amp;B2724,R_Schedule_Times,"&lt;"&amp;B2725),INDEX(R_Schedule_Amounts,MATCH(B2725,R_Schedule_Times,1)),K2724)),"")</f>
        <v>3020</v>
      </c>
      <c r="I2725" s="30">
        <f t="shared" si="210"/>
        <v>100</v>
      </c>
      <c r="J2725" s="31">
        <f t="shared" si="211"/>
        <v>0</v>
      </c>
      <c r="K2725" s="29">
        <f t="shared" si="212"/>
        <v>2920</v>
      </c>
      <c r="L2725" s="31" t="str">
        <f t="shared" si="213"/>
        <v/>
      </c>
      <c r="M2725" s="31" t="str">
        <f t="shared" si="214"/>
        <v/>
      </c>
    </row>
    <row r="2726" spans="1:13" x14ac:dyDescent="0.15">
      <c r="A2726" s="163" t="s">
        <v>210</v>
      </c>
      <c r="B2726" s="163">
        <v>42346.856201469905</v>
      </c>
      <c r="C2726" s="164" t="s">
        <v>2354</v>
      </c>
      <c r="D2726" s="164" t="s">
        <v>13</v>
      </c>
      <c r="E2726" s="165">
        <v>200</v>
      </c>
      <c r="F2726" s="166">
        <v>0</v>
      </c>
      <c r="G2726" s="227">
        <f>IF($B$2,IF(ROWS(B$6:$B2726) = 1,$B2726-Start_Date,$B2726-$B2725),"")</f>
        <v>4.8470543981238734E-2</v>
      </c>
      <c r="H2726" s="29">
        <f>IF($B$2,IF(ROWS(B$6:$B2726) = 1,IF(COUNTIFS(R_Schedule_Times,"&lt;"&amp;B2726),INDEX(R_Schedule_Amounts,MATCH(B2726,R_Schedule_Times,1)),Starting_Cash),IF(COUNTIFS(R_Schedule_Times,"&gt;"&amp;B2725,R_Schedule_Times,"&lt;"&amp;B2726),INDEX(R_Schedule_Amounts,MATCH(B2726,R_Schedule_Times,1)),K2725)),"")</f>
        <v>2920</v>
      </c>
      <c r="I2726" s="30">
        <f t="shared" si="210"/>
        <v>200</v>
      </c>
      <c r="J2726" s="31">
        <f t="shared" si="211"/>
        <v>0</v>
      </c>
      <c r="K2726" s="29">
        <f t="shared" si="212"/>
        <v>2720</v>
      </c>
      <c r="L2726" s="31" t="str">
        <f t="shared" si="213"/>
        <v/>
      </c>
      <c r="M2726" s="31" t="str">
        <f t="shared" si="214"/>
        <v/>
      </c>
    </row>
    <row r="2727" spans="1:13" x14ac:dyDescent="0.15">
      <c r="A2727" s="163" t="s">
        <v>210</v>
      </c>
      <c r="B2727" s="163">
        <v>42346.970825011573</v>
      </c>
      <c r="C2727" s="164" t="s">
        <v>14</v>
      </c>
      <c r="D2727" s="164" t="s">
        <v>13</v>
      </c>
      <c r="E2727" s="165">
        <v>200</v>
      </c>
      <c r="F2727" s="166">
        <v>3.5</v>
      </c>
      <c r="G2727" s="227">
        <f>IF($B$2,IF(ROWS(B$6:$B2727) = 1,$B2727-Start_Date,$B2727-$B2726),"")</f>
        <v>0.11462354166724253</v>
      </c>
      <c r="H2727" s="29">
        <f>IF($B$2,IF(ROWS(B$6:$B2727) = 1,IF(COUNTIFS(R_Schedule_Times,"&lt;"&amp;B2727),INDEX(R_Schedule_Amounts,MATCH(B2727,R_Schedule_Times,1)),Starting_Cash),IF(COUNTIFS(R_Schedule_Times,"&gt;"&amp;B2726,R_Schedule_Times,"&lt;"&amp;B2727),INDEX(R_Schedule_Amounts,MATCH(B2727,R_Schedule_Times,1)),K2726)),"")</f>
        <v>2720</v>
      </c>
      <c r="I2727" s="30">
        <f t="shared" si="210"/>
        <v>200</v>
      </c>
      <c r="J2727" s="31">
        <f t="shared" si="211"/>
        <v>3.5</v>
      </c>
      <c r="K2727" s="29">
        <f t="shared" si="212"/>
        <v>2520</v>
      </c>
      <c r="L2727" s="31" t="str">
        <f t="shared" si="213"/>
        <v/>
      </c>
      <c r="M2727" s="31" t="str">
        <f t="shared" si="214"/>
        <v/>
      </c>
    </row>
    <row r="2728" spans="1:13" x14ac:dyDescent="0.15">
      <c r="A2728" s="163" t="s">
        <v>210</v>
      </c>
      <c r="B2728" s="163">
        <v>42346.974913506943</v>
      </c>
      <c r="C2728" s="164" t="s">
        <v>79</v>
      </c>
      <c r="D2728" s="164" t="s">
        <v>13</v>
      </c>
      <c r="E2728" s="165">
        <v>40</v>
      </c>
      <c r="F2728" s="166">
        <v>0</v>
      </c>
      <c r="G2728" s="227">
        <f>IF($B$2,IF(ROWS(B$6:$B2728) = 1,$B2728-Start_Date,$B2728-$B2727),"")</f>
        <v>4.0884953705244698E-3</v>
      </c>
      <c r="H2728" s="29">
        <f>IF($B$2,IF(ROWS(B$6:$B2728) = 1,IF(COUNTIFS(R_Schedule_Times,"&lt;"&amp;B2728),INDEX(R_Schedule_Amounts,MATCH(B2728,R_Schedule_Times,1)),Starting_Cash),IF(COUNTIFS(R_Schedule_Times,"&gt;"&amp;B2727,R_Schedule_Times,"&lt;"&amp;B2728),INDEX(R_Schedule_Amounts,MATCH(B2728,R_Schedule_Times,1)),K2727)),"")</f>
        <v>2520</v>
      </c>
      <c r="I2728" s="30">
        <f t="shared" si="210"/>
        <v>40</v>
      </c>
      <c r="J2728" s="31">
        <f t="shared" si="211"/>
        <v>0</v>
      </c>
      <c r="K2728" s="29">
        <f t="shared" si="212"/>
        <v>2480</v>
      </c>
      <c r="L2728" s="31" t="str">
        <f t="shared" si="213"/>
        <v/>
      </c>
      <c r="M2728" s="31" t="str">
        <f t="shared" si="214"/>
        <v/>
      </c>
    </row>
    <row r="2729" spans="1:13" x14ac:dyDescent="0.15">
      <c r="A2729" s="163" t="s">
        <v>210</v>
      </c>
      <c r="B2729" s="163">
        <v>42347.054134641206</v>
      </c>
      <c r="C2729" s="164" t="s">
        <v>329</v>
      </c>
      <c r="D2729" s="164" t="s">
        <v>13</v>
      </c>
      <c r="E2729" s="165">
        <v>80</v>
      </c>
      <c r="F2729" s="166">
        <v>0</v>
      </c>
      <c r="G2729" s="227">
        <f>IF($B$2,IF(ROWS(B$6:$B2729) = 1,$B2729-Start_Date,$B2729-$B2728),"")</f>
        <v>7.9221134263207205E-2</v>
      </c>
      <c r="H2729" s="29">
        <f>IF($B$2,IF(ROWS(B$6:$B2729) = 1,IF(COUNTIFS(R_Schedule_Times,"&lt;"&amp;B2729),INDEX(R_Schedule_Amounts,MATCH(B2729,R_Schedule_Times,1)),Starting_Cash),IF(COUNTIFS(R_Schedule_Times,"&gt;"&amp;B2728,R_Schedule_Times,"&lt;"&amp;B2729),INDEX(R_Schedule_Amounts,MATCH(B2729,R_Schedule_Times,1)),K2728)),"")</f>
        <v>2480</v>
      </c>
      <c r="I2729" s="30">
        <f t="shared" si="210"/>
        <v>80</v>
      </c>
      <c r="J2729" s="31">
        <f t="shared" si="211"/>
        <v>0</v>
      </c>
      <c r="K2729" s="29">
        <f t="shared" si="212"/>
        <v>2400</v>
      </c>
      <c r="L2729" s="31" t="str">
        <f t="shared" si="213"/>
        <v/>
      </c>
      <c r="M2729" s="31" t="str">
        <f t="shared" si="214"/>
        <v/>
      </c>
    </row>
    <row r="2730" spans="1:13" x14ac:dyDescent="0.15">
      <c r="A2730" s="163" t="s">
        <v>210</v>
      </c>
      <c r="B2730" s="163">
        <v>42347.318427245373</v>
      </c>
      <c r="C2730" s="164" t="s">
        <v>2207</v>
      </c>
      <c r="D2730" s="164" t="s">
        <v>13</v>
      </c>
      <c r="E2730" s="165">
        <v>60</v>
      </c>
      <c r="F2730" s="166">
        <v>0</v>
      </c>
      <c r="G2730" s="227">
        <f>IF($B$2,IF(ROWS(B$6:$B2730) = 1,$B2730-Start_Date,$B2730-$B2729),"")</f>
        <v>0.26429260416625766</v>
      </c>
      <c r="H2730" s="29">
        <f>IF($B$2,IF(ROWS(B$6:$B2730) = 1,IF(COUNTIFS(R_Schedule_Times,"&lt;"&amp;B2730),INDEX(R_Schedule_Amounts,MATCH(B2730,R_Schedule_Times,1)),Starting_Cash),IF(COUNTIFS(R_Schedule_Times,"&gt;"&amp;B2729,R_Schedule_Times,"&lt;"&amp;B2730),INDEX(R_Schedule_Amounts,MATCH(B2730,R_Schedule_Times,1)),K2729)),"")</f>
        <v>2400</v>
      </c>
      <c r="I2730" s="30">
        <f t="shared" si="210"/>
        <v>60</v>
      </c>
      <c r="J2730" s="31">
        <f t="shared" si="211"/>
        <v>0</v>
      </c>
      <c r="K2730" s="29">
        <f t="shared" si="212"/>
        <v>2340</v>
      </c>
      <c r="L2730" s="31" t="str">
        <f t="shared" si="213"/>
        <v/>
      </c>
      <c r="M2730" s="31" t="str">
        <f t="shared" si="214"/>
        <v/>
      </c>
    </row>
    <row r="2731" spans="1:13" x14ac:dyDescent="0.15">
      <c r="A2731" s="163" t="s">
        <v>210</v>
      </c>
      <c r="B2731" s="163">
        <v>42347.349303090275</v>
      </c>
      <c r="C2731" s="164" t="s">
        <v>2355</v>
      </c>
      <c r="D2731" s="164" t="s">
        <v>13</v>
      </c>
      <c r="E2731" s="165">
        <v>40</v>
      </c>
      <c r="F2731" s="166">
        <v>0</v>
      </c>
      <c r="G2731" s="227">
        <f>IF($B$2,IF(ROWS(B$6:$B2731) = 1,$B2731-Start_Date,$B2731-$B2730),"")</f>
        <v>3.0875844902766403E-2</v>
      </c>
      <c r="H2731" s="29">
        <f>IF($B$2,IF(ROWS(B$6:$B2731) = 1,IF(COUNTIFS(R_Schedule_Times,"&lt;"&amp;B2731),INDEX(R_Schedule_Amounts,MATCH(B2731,R_Schedule_Times,1)),Starting_Cash),IF(COUNTIFS(R_Schedule_Times,"&gt;"&amp;B2730,R_Schedule_Times,"&lt;"&amp;B2731),INDEX(R_Schedule_Amounts,MATCH(B2731,R_Schedule_Times,1)),K2730)),"")</f>
        <v>2340</v>
      </c>
      <c r="I2731" s="30">
        <f t="shared" si="210"/>
        <v>40</v>
      </c>
      <c r="J2731" s="31">
        <f t="shared" si="211"/>
        <v>0</v>
      </c>
      <c r="K2731" s="29">
        <f t="shared" si="212"/>
        <v>2300</v>
      </c>
      <c r="L2731" s="31" t="str">
        <f t="shared" si="213"/>
        <v/>
      </c>
      <c r="M2731" s="31" t="str">
        <f t="shared" si="214"/>
        <v/>
      </c>
    </row>
    <row r="2732" spans="1:13" x14ac:dyDescent="0.15">
      <c r="A2732" s="163" t="s">
        <v>210</v>
      </c>
      <c r="B2732" s="163">
        <v>42347.362791238425</v>
      </c>
      <c r="C2732" s="164" t="s">
        <v>2356</v>
      </c>
      <c r="D2732" s="164" t="s">
        <v>13</v>
      </c>
      <c r="E2732" s="165">
        <v>60</v>
      </c>
      <c r="F2732" s="166">
        <v>0</v>
      </c>
      <c r="G2732" s="227">
        <f>IF($B$2,IF(ROWS(B$6:$B2732) = 1,$B2732-Start_Date,$B2732-$B2731),"")</f>
        <v>1.3488148149917834E-2</v>
      </c>
      <c r="H2732" s="29">
        <f>IF($B$2,IF(ROWS(B$6:$B2732) = 1,IF(COUNTIFS(R_Schedule_Times,"&lt;"&amp;B2732),INDEX(R_Schedule_Amounts,MATCH(B2732,R_Schedule_Times,1)),Starting_Cash),IF(COUNTIFS(R_Schedule_Times,"&gt;"&amp;B2731,R_Schedule_Times,"&lt;"&amp;B2732),INDEX(R_Schedule_Amounts,MATCH(B2732,R_Schedule_Times,1)),K2731)),"")</f>
        <v>2300</v>
      </c>
      <c r="I2732" s="30">
        <f t="shared" si="210"/>
        <v>60</v>
      </c>
      <c r="J2732" s="31">
        <f t="shared" si="211"/>
        <v>0</v>
      </c>
      <c r="K2732" s="29">
        <f t="shared" si="212"/>
        <v>2240</v>
      </c>
      <c r="L2732" s="31" t="str">
        <f t="shared" si="213"/>
        <v/>
      </c>
      <c r="M2732" s="31" t="str">
        <f t="shared" si="214"/>
        <v/>
      </c>
    </row>
    <row r="2733" spans="1:13" x14ac:dyDescent="0.15">
      <c r="A2733" s="163" t="s">
        <v>210</v>
      </c>
      <c r="B2733" s="163">
        <v>42347.363355266207</v>
      </c>
      <c r="C2733" s="164" t="s">
        <v>1077</v>
      </c>
      <c r="D2733" s="164" t="s">
        <v>13</v>
      </c>
      <c r="E2733" s="165">
        <v>300</v>
      </c>
      <c r="F2733" s="166">
        <v>0</v>
      </c>
      <c r="G2733" s="227">
        <f>IF($B$2,IF(ROWS(B$6:$B2733) = 1,$B2733-Start_Date,$B2733-$B2732),"")</f>
        <v>5.640277813654393E-4</v>
      </c>
      <c r="H2733" s="29">
        <f>IF($B$2,IF(ROWS(B$6:$B2733) = 1,IF(COUNTIFS(R_Schedule_Times,"&lt;"&amp;B2733),INDEX(R_Schedule_Amounts,MATCH(B2733,R_Schedule_Times,1)),Starting_Cash),IF(COUNTIFS(R_Schedule_Times,"&gt;"&amp;B2732,R_Schedule_Times,"&lt;"&amp;B2733),INDEX(R_Schedule_Amounts,MATCH(B2733,R_Schedule_Times,1)),K2732)),"")</f>
        <v>2240</v>
      </c>
      <c r="I2733" s="30">
        <f t="shared" si="210"/>
        <v>300</v>
      </c>
      <c r="J2733" s="31">
        <f t="shared" si="211"/>
        <v>0</v>
      </c>
      <c r="K2733" s="29">
        <f t="shared" si="212"/>
        <v>1940</v>
      </c>
      <c r="L2733" s="31" t="str">
        <f t="shared" si="213"/>
        <v/>
      </c>
      <c r="M2733" s="31" t="str">
        <f t="shared" si="214"/>
        <v/>
      </c>
    </row>
    <row r="2734" spans="1:13" x14ac:dyDescent="0.15">
      <c r="A2734" s="163" t="s">
        <v>210</v>
      </c>
      <c r="B2734" s="163">
        <v>42347.369281585648</v>
      </c>
      <c r="C2734" s="164" t="s">
        <v>2357</v>
      </c>
      <c r="D2734" s="164" t="s">
        <v>13</v>
      </c>
      <c r="E2734" s="165">
        <v>20</v>
      </c>
      <c r="F2734" s="166">
        <v>0</v>
      </c>
      <c r="G2734" s="227">
        <f>IF($B$2,IF(ROWS(B$6:$B2734) = 1,$B2734-Start_Date,$B2734-$B2733),"")</f>
        <v>5.9263194416416809E-3</v>
      </c>
      <c r="H2734" s="29">
        <f>IF($B$2,IF(ROWS(B$6:$B2734) = 1,IF(COUNTIFS(R_Schedule_Times,"&lt;"&amp;B2734),INDEX(R_Schedule_Amounts,MATCH(B2734,R_Schedule_Times,1)),Starting_Cash),IF(COUNTIFS(R_Schedule_Times,"&gt;"&amp;B2733,R_Schedule_Times,"&lt;"&amp;B2734),INDEX(R_Schedule_Amounts,MATCH(B2734,R_Schedule_Times,1)),K2733)),"")</f>
        <v>1940</v>
      </c>
      <c r="I2734" s="30">
        <f t="shared" si="210"/>
        <v>20</v>
      </c>
      <c r="J2734" s="31">
        <f t="shared" si="211"/>
        <v>0</v>
      </c>
      <c r="K2734" s="29">
        <f t="shared" si="212"/>
        <v>1920</v>
      </c>
      <c r="L2734" s="31" t="str">
        <f t="shared" si="213"/>
        <v/>
      </c>
      <c r="M2734" s="31" t="str">
        <f t="shared" si="214"/>
        <v/>
      </c>
    </row>
    <row r="2735" spans="1:13" x14ac:dyDescent="0.15">
      <c r="A2735" s="163" t="s">
        <v>210</v>
      </c>
      <c r="B2735" s="163">
        <v>42347.376958391207</v>
      </c>
      <c r="C2735" s="164" t="s">
        <v>2189</v>
      </c>
      <c r="D2735" s="164" t="s">
        <v>13</v>
      </c>
      <c r="E2735" s="165">
        <v>20</v>
      </c>
      <c r="F2735" s="166">
        <v>0</v>
      </c>
      <c r="G2735" s="227">
        <f>IF($B$2,IF(ROWS(B$6:$B2735) = 1,$B2735-Start_Date,$B2735-$B2734),"")</f>
        <v>7.6768055587308481E-3</v>
      </c>
      <c r="H2735" s="29">
        <f>IF($B$2,IF(ROWS(B$6:$B2735) = 1,IF(COUNTIFS(R_Schedule_Times,"&lt;"&amp;B2735),INDEX(R_Schedule_Amounts,MATCH(B2735,R_Schedule_Times,1)),Starting_Cash),IF(COUNTIFS(R_Schedule_Times,"&gt;"&amp;B2734,R_Schedule_Times,"&lt;"&amp;B2735),INDEX(R_Schedule_Amounts,MATCH(B2735,R_Schedule_Times,1)),K2734)),"")</f>
        <v>1920</v>
      </c>
      <c r="I2735" s="30">
        <f t="shared" si="210"/>
        <v>20</v>
      </c>
      <c r="J2735" s="31">
        <f t="shared" si="211"/>
        <v>0</v>
      </c>
      <c r="K2735" s="29">
        <f t="shared" si="212"/>
        <v>1900</v>
      </c>
      <c r="L2735" s="31" t="str">
        <f t="shared" si="213"/>
        <v/>
      </c>
      <c r="M2735" s="31" t="str">
        <f t="shared" si="214"/>
        <v/>
      </c>
    </row>
    <row r="2736" spans="1:13" x14ac:dyDescent="0.15">
      <c r="A2736" s="163" t="s">
        <v>210</v>
      </c>
      <c r="B2736" s="163">
        <v>42347.405968148145</v>
      </c>
      <c r="C2736" s="164" t="s">
        <v>1353</v>
      </c>
      <c r="D2736" s="164" t="s">
        <v>13</v>
      </c>
      <c r="E2736" s="165">
        <v>40</v>
      </c>
      <c r="F2736" s="166">
        <v>0</v>
      </c>
      <c r="G2736" s="227">
        <f>IF($B$2,IF(ROWS(B$6:$B2736) = 1,$B2736-Start_Date,$B2736-$B2735),"")</f>
        <v>2.9009756937739439E-2</v>
      </c>
      <c r="H2736" s="29">
        <f>IF($B$2,IF(ROWS(B$6:$B2736) = 1,IF(COUNTIFS(R_Schedule_Times,"&lt;"&amp;B2736),INDEX(R_Schedule_Amounts,MATCH(B2736,R_Schedule_Times,1)),Starting_Cash),IF(COUNTIFS(R_Schedule_Times,"&gt;"&amp;B2735,R_Schedule_Times,"&lt;"&amp;B2736),INDEX(R_Schedule_Amounts,MATCH(B2736,R_Schedule_Times,1)),K2735)),"")</f>
        <v>1900</v>
      </c>
      <c r="I2736" s="30">
        <f t="shared" si="210"/>
        <v>40</v>
      </c>
      <c r="J2736" s="31">
        <f t="shared" si="211"/>
        <v>0</v>
      </c>
      <c r="K2736" s="29">
        <f t="shared" si="212"/>
        <v>1860</v>
      </c>
      <c r="L2736" s="31" t="str">
        <f t="shared" si="213"/>
        <v/>
      </c>
      <c r="M2736" s="31" t="str">
        <f t="shared" si="214"/>
        <v/>
      </c>
    </row>
    <row r="2737" spans="1:13" x14ac:dyDescent="0.15">
      <c r="A2737" s="163" t="s">
        <v>210</v>
      </c>
      <c r="B2737" s="163">
        <v>42347.437606481479</v>
      </c>
      <c r="C2737" s="164" t="s">
        <v>1851</v>
      </c>
      <c r="D2737" s="164" t="s">
        <v>13</v>
      </c>
      <c r="E2737" s="165">
        <v>100</v>
      </c>
      <c r="F2737" s="166">
        <v>0</v>
      </c>
      <c r="G2737" s="227">
        <f>IF($B$2,IF(ROWS(B$6:$B2737) = 1,$B2737-Start_Date,$B2737-$B2736),"")</f>
        <v>3.1638333333830815E-2</v>
      </c>
      <c r="H2737" s="29">
        <f>IF($B$2,IF(ROWS(B$6:$B2737) = 1,IF(COUNTIFS(R_Schedule_Times,"&lt;"&amp;B2737),INDEX(R_Schedule_Amounts,MATCH(B2737,R_Schedule_Times,1)),Starting_Cash),IF(COUNTIFS(R_Schedule_Times,"&gt;"&amp;B2736,R_Schedule_Times,"&lt;"&amp;B2737),INDEX(R_Schedule_Amounts,MATCH(B2737,R_Schedule_Times,1)),K2736)),"")</f>
        <v>1860</v>
      </c>
      <c r="I2737" s="30">
        <f t="shared" si="210"/>
        <v>100</v>
      </c>
      <c r="J2737" s="31">
        <f t="shared" si="211"/>
        <v>0</v>
      </c>
      <c r="K2737" s="29">
        <f t="shared" si="212"/>
        <v>1760</v>
      </c>
      <c r="L2737" s="31" t="str">
        <f t="shared" si="213"/>
        <v/>
      </c>
      <c r="M2737" s="31" t="str">
        <f t="shared" si="214"/>
        <v/>
      </c>
    </row>
    <row r="2738" spans="1:13" x14ac:dyDescent="0.15">
      <c r="A2738" s="163" t="s">
        <v>210</v>
      </c>
      <c r="B2738" s="163">
        <v>42347.502313657409</v>
      </c>
      <c r="C2738" s="164" t="s">
        <v>2358</v>
      </c>
      <c r="D2738" s="164" t="s">
        <v>13</v>
      </c>
      <c r="E2738" s="165">
        <v>200</v>
      </c>
      <c r="F2738" s="166">
        <v>0</v>
      </c>
      <c r="G2738" s="227">
        <f>IF($B$2,IF(ROWS(B$6:$B2738) = 1,$B2738-Start_Date,$B2738-$B2737),"")</f>
        <v>6.470717593037989E-2</v>
      </c>
      <c r="H2738" s="29">
        <f>IF($B$2,IF(ROWS(B$6:$B2738) = 1,IF(COUNTIFS(R_Schedule_Times,"&lt;"&amp;B2738),INDEX(R_Schedule_Amounts,MATCH(B2738,R_Schedule_Times,1)),Starting_Cash),IF(COUNTIFS(R_Schedule_Times,"&gt;"&amp;B2737,R_Schedule_Times,"&lt;"&amp;B2738),INDEX(R_Schedule_Amounts,MATCH(B2738,R_Schedule_Times,1)),K2737)),"")</f>
        <v>1760</v>
      </c>
      <c r="I2738" s="30">
        <f t="shared" si="210"/>
        <v>200</v>
      </c>
      <c r="J2738" s="31">
        <f t="shared" si="211"/>
        <v>0</v>
      </c>
      <c r="K2738" s="29">
        <f t="shared" si="212"/>
        <v>1560</v>
      </c>
      <c r="L2738" s="31" t="str">
        <f t="shared" si="213"/>
        <v/>
      </c>
      <c r="M2738" s="31" t="str">
        <f t="shared" si="214"/>
        <v/>
      </c>
    </row>
    <row r="2739" spans="1:13" x14ac:dyDescent="0.15">
      <c r="A2739" s="163" t="s">
        <v>210</v>
      </c>
      <c r="B2739" s="163">
        <v>42347.532450555555</v>
      </c>
      <c r="C2739" s="164" t="s">
        <v>2359</v>
      </c>
      <c r="D2739" s="164" t="s">
        <v>13</v>
      </c>
      <c r="E2739" s="165">
        <v>40</v>
      </c>
      <c r="F2739" s="166">
        <v>0</v>
      </c>
      <c r="G2739" s="227">
        <f>IF($B$2,IF(ROWS(B$6:$B2739) = 1,$B2739-Start_Date,$B2739-$B2738),"")</f>
        <v>3.0136898145428859E-2</v>
      </c>
      <c r="H2739" s="29">
        <f>IF($B$2,IF(ROWS(B$6:$B2739) = 1,IF(COUNTIFS(R_Schedule_Times,"&lt;"&amp;B2739),INDEX(R_Schedule_Amounts,MATCH(B2739,R_Schedule_Times,1)),Starting_Cash),IF(COUNTIFS(R_Schedule_Times,"&gt;"&amp;B2738,R_Schedule_Times,"&lt;"&amp;B2739),INDEX(R_Schedule_Amounts,MATCH(B2739,R_Schedule_Times,1)),K2738)),"")</f>
        <v>1560</v>
      </c>
      <c r="I2739" s="30">
        <f t="shared" si="210"/>
        <v>40</v>
      </c>
      <c r="J2739" s="31">
        <f t="shared" si="211"/>
        <v>0</v>
      </c>
      <c r="K2739" s="29">
        <f t="shared" si="212"/>
        <v>1520</v>
      </c>
      <c r="L2739" s="31" t="str">
        <f t="shared" si="213"/>
        <v/>
      </c>
      <c r="M2739" s="31" t="str">
        <f t="shared" si="214"/>
        <v/>
      </c>
    </row>
    <row r="2740" spans="1:13" x14ac:dyDescent="0.15">
      <c r="A2740" s="163" t="s">
        <v>210</v>
      </c>
      <c r="B2740" s="163">
        <v>42347.55993891204</v>
      </c>
      <c r="C2740" s="164" t="s">
        <v>2360</v>
      </c>
      <c r="D2740" s="164" t="s">
        <v>13</v>
      </c>
      <c r="E2740" s="165">
        <v>80</v>
      </c>
      <c r="F2740" s="166">
        <v>0</v>
      </c>
      <c r="G2740" s="227">
        <f>IF($B$2,IF(ROWS(B$6:$B2740) = 1,$B2740-Start_Date,$B2740-$B2739),"")</f>
        <v>2.7488356485264376E-2</v>
      </c>
      <c r="H2740" s="29">
        <f>IF($B$2,IF(ROWS(B$6:$B2740) = 1,IF(COUNTIFS(R_Schedule_Times,"&lt;"&amp;B2740),INDEX(R_Schedule_Amounts,MATCH(B2740,R_Schedule_Times,1)),Starting_Cash),IF(COUNTIFS(R_Schedule_Times,"&gt;"&amp;B2739,R_Schedule_Times,"&lt;"&amp;B2740),INDEX(R_Schedule_Amounts,MATCH(B2740,R_Schedule_Times,1)),K2739)),"")</f>
        <v>1520</v>
      </c>
      <c r="I2740" s="30">
        <f t="shared" si="210"/>
        <v>80</v>
      </c>
      <c r="J2740" s="31">
        <f t="shared" si="211"/>
        <v>0</v>
      </c>
      <c r="K2740" s="29">
        <f t="shared" si="212"/>
        <v>1440</v>
      </c>
      <c r="L2740" s="31" t="str">
        <f t="shared" si="213"/>
        <v/>
      </c>
      <c r="M2740" s="31" t="str">
        <f t="shared" si="214"/>
        <v/>
      </c>
    </row>
    <row r="2741" spans="1:13" x14ac:dyDescent="0.15">
      <c r="A2741" s="163" t="s">
        <v>210</v>
      </c>
      <c r="B2741" s="163">
        <v>42347.560515393518</v>
      </c>
      <c r="C2741" s="164" t="s">
        <v>2361</v>
      </c>
      <c r="D2741" s="164" t="s">
        <v>13</v>
      </c>
      <c r="E2741" s="165">
        <v>60</v>
      </c>
      <c r="F2741" s="166">
        <v>0</v>
      </c>
      <c r="G2741" s="227">
        <f>IF($B$2,IF(ROWS(B$6:$B2741) = 1,$B2741-Start_Date,$B2741-$B2740),"")</f>
        <v>5.7648147776490077E-4</v>
      </c>
      <c r="H2741" s="29">
        <f>IF($B$2,IF(ROWS(B$6:$B2741) = 1,IF(COUNTIFS(R_Schedule_Times,"&lt;"&amp;B2741),INDEX(R_Schedule_Amounts,MATCH(B2741,R_Schedule_Times,1)),Starting_Cash),IF(COUNTIFS(R_Schedule_Times,"&gt;"&amp;B2740,R_Schedule_Times,"&lt;"&amp;B2741),INDEX(R_Schedule_Amounts,MATCH(B2741,R_Schedule_Times,1)),K2740)),"")</f>
        <v>1440</v>
      </c>
      <c r="I2741" s="30">
        <f t="shared" si="210"/>
        <v>60</v>
      </c>
      <c r="J2741" s="31">
        <f t="shared" si="211"/>
        <v>0</v>
      </c>
      <c r="K2741" s="29">
        <f t="shared" si="212"/>
        <v>1380</v>
      </c>
      <c r="L2741" s="31" t="str">
        <f t="shared" si="213"/>
        <v/>
      </c>
      <c r="M2741" s="31" t="str">
        <f t="shared" si="214"/>
        <v/>
      </c>
    </row>
    <row r="2742" spans="1:13" x14ac:dyDescent="0.15">
      <c r="A2742" s="163" t="s">
        <v>210</v>
      </c>
      <c r="B2742" s="163">
        <v>42347.592872905094</v>
      </c>
      <c r="C2742" s="164" t="s">
        <v>2362</v>
      </c>
      <c r="D2742" s="164" t="s">
        <v>13</v>
      </c>
      <c r="E2742" s="165">
        <v>100</v>
      </c>
      <c r="F2742" s="166">
        <v>0</v>
      </c>
      <c r="G2742" s="227">
        <f>IF($B$2,IF(ROWS(B$6:$B2742) = 1,$B2742-Start_Date,$B2742-$B2741),"")</f>
        <v>3.2357511576265097E-2</v>
      </c>
      <c r="H2742" s="29">
        <f>IF($B$2,IF(ROWS(B$6:$B2742) = 1,IF(COUNTIFS(R_Schedule_Times,"&lt;"&amp;B2742),INDEX(R_Schedule_Amounts,MATCH(B2742,R_Schedule_Times,1)),Starting_Cash),IF(COUNTIFS(R_Schedule_Times,"&gt;"&amp;B2741,R_Schedule_Times,"&lt;"&amp;B2742),INDEX(R_Schedule_Amounts,MATCH(B2742,R_Schedule_Times,1)),K2741)),"")</f>
        <v>1380</v>
      </c>
      <c r="I2742" s="30">
        <f t="shared" si="210"/>
        <v>100</v>
      </c>
      <c r="J2742" s="31">
        <f t="shared" si="211"/>
        <v>0</v>
      </c>
      <c r="K2742" s="29">
        <f t="shared" si="212"/>
        <v>1280</v>
      </c>
      <c r="L2742" s="31" t="str">
        <f t="shared" si="213"/>
        <v/>
      </c>
      <c r="M2742" s="31" t="str">
        <f t="shared" si="214"/>
        <v/>
      </c>
    </row>
    <row r="2743" spans="1:13" x14ac:dyDescent="0.15">
      <c r="A2743" s="163" t="s">
        <v>210</v>
      </c>
      <c r="B2743" s="163">
        <v>42347.600298437501</v>
      </c>
      <c r="C2743" s="164" t="s">
        <v>178</v>
      </c>
      <c r="D2743" s="164" t="s">
        <v>13</v>
      </c>
      <c r="E2743" s="165">
        <v>40</v>
      </c>
      <c r="F2743" s="166">
        <v>0</v>
      </c>
      <c r="G2743" s="227">
        <f>IF($B$2,IF(ROWS(B$6:$B2743) = 1,$B2743-Start_Date,$B2743-$B2742),"")</f>
        <v>7.4255324070691131E-3</v>
      </c>
      <c r="H2743" s="29">
        <f>IF($B$2,IF(ROWS(B$6:$B2743) = 1,IF(COUNTIFS(R_Schedule_Times,"&lt;"&amp;B2743),INDEX(R_Schedule_Amounts,MATCH(B2743,R_Schedule_Times,1)),Starting_Cash),IF(COUNTIFS(R_Schedule_Times,"&gt;"&amp;B2742,R_Schedule_Times,"&lt;"&amp;B2743),INDEX(R_Schedule_Amounts,MATCH(B2743,R_Schedule_Times,1)),K2742)),"")</f>
        <v>1280</v>
      </c>
      <c r="I2743" s="30">
        <f t="shared" si="210"/>
        <v>40</v>
      </c>
      <c r="J2743" s="31">
        <f t="shared" si="211"/>
        <v>0</v>
      </c>
      <c r="K2743" s="29">
        <f t="shared" si="212"/>
        <v>1240</v>
      </c>
      <c r="L2743" s="31" t="str">
        <f t="shared" si="213"/>
        <v/>
      </c>
      <c r="M2743" s="31" t="str">
        <f t="shared" si="214"/>
        <v/>
      </c>
    </row>
    <row r="2744" spans="1:13" x14ac:dyDescent="0.15">
      <c r="A2744" s="163" t="s">
        <v>210</v>
      </c>
      <c r="B2744" s="163">
        <v>42347.611445856484</v>
      </c>
      <c r="C2744" s="164" t="s">
        <v>2363</v>
      </c>
      <c r="D2744" s="164" t="s">
        <v>13</v>
      </c>
      <c r="E2744" s="165">
        <v>80</v>
      </c>
      <c r="F2744" s="166">
        <v>0</v>
      </c>
      <c r="G2744" s="227">
        <f>IF($B$2,IF(ROWS(B$6:$B2744) = 1,$B2744-Start_Date,$B2744-$B2743),"")</f>
        <v>1.1147418983455282E-2</v>
      </c>
      <c r="H2744" s="29">
        <f>IF($B$2,IF(ROWS(B$6:$B2744) = 1,IF(COUNTIFS(R_Schedule_Times,"&lt;"&amp;B2744),INDEX(R_Schedule_Amounts,MATCH(B2744,R_Schedule_Times,1)),Starting_Cash),IF(COUNTIFS(R_Schedule_Times,"&gt;"&amp;B2743,R_Schedule_Times,"&lt;"&amp;B2744),INDEX(R_Schedule_Amounts,MATCH(B2744,R_Schedule_Times,1)),K2743)),"")</f>
        <v>1240</v>
      </c>
      <c r="I2744" s="30">
        <f t="shared" si="210"/>
        <v>80</v>
      </c>
      <c r="J2744" s="31">
        <f t="shared" si="211"/>
        <v>0</v>
      </c>
      <c r="K2744" s="29">
        <f t="shared" si="212"/>
        <v>1160</v>
      </c>
      <c r="L2744" s="31" t="str">
        <f t="shared" si="213"/>
        <v/>
      </c>
      <c r="M2744" s="31" t="str">
        <f t="shared" si="214"/>
        <v/>
      </c>
    </row>
    <row r="2745" spans="1:13" x14ac:dyDescent="0.15">
      <c r="A2745" s="163" t="s">
        <v>210</v>
      </c>
      <c r="B2745" s="163">
        <v>42347.647925046294</v>
      </c>
      <c r="C2745" s="164" t="s">
        <v>2364</v>
      </c>
      <c r="D2745" s="164" t="s">
        <v>13</v>
      </c>
      <c r="E2745" s="165">
        <v>60</v>
      </c>
      <c r="F2745" s="166">
        <v>0</v>
      </c>
      <c r="G2745" s="227">
        <f>IF($B$2,IF(ROWS(B$6:$B2745) = 1,$B2745-Start_Date,$B2745-$B2744),"")</f>
        <v>3.6479189810052048E-2</v>
      </c>
      <c r="H2745" s="29">
        <f>IF($B$2,IF(ROWS(B$6:$B2745) = 1,IF(COUNTIFS(R_Schedule_Times,"&lt;"&amp;B2745),INDEX(R_Schedule_Amounts,MATCH(B2745,R_Schedule_Times,1)),Starting_Cash),IF(COUNTIFS(R_Schedule_Times,"&gt;"&amp;B2744,R_Schedule_Times,"&lt;"&amp;B2745),INDEX(R_Schedule_Amounts,MATCH(B2745,R_Schedule_Times,1)),K2744)),"")</f>
        <v>1160</v>
      </c>
      <c r="I2745" s="30">
        <f t="shared" si="210"/>
        <v>60</v>
      </c>
      <c r="J2745" s="31">
        <f t="shared" si="211"/>
        <v>0</v>
      </c>
      <c r="K2745" s="29">
        <f t="shared" si="212"/>
        <v>1100</v>
      </c>
      <c r="L2745" s="31" t="str">
        <f t="shared" si="213"/>
        <v/>
      </c>
      <c r="M2745" s="31" t="str">
        <f t="shared" si="214"/>
        <v/>
      </c>
    </row>
    <row r="2746" spans="1:13" x14ac:dyDescent="0.15">
      <c r="A2746" s="163" t="s">
        <v>210</v>
      </c>
      <c r="B2746" s="163">
        <v>42347.6814556713</v>
      </c>
      <c r="C2746" s="164" t="s">
        <v>122</v>
      </c>
      <c r="D2746" s="164" t="s">
        <v>13</v>
      </c>
      <c r="E2746" s="165">
        <v>500</v>
      </c>
      <c r="F2746" s="166">
        <v>0</v>
      </c>
      <c r="G2746" s="227">
        <f>IF($B$2,IF(ROWS(B$6:$B2746) = 1,$B2746-Start_Date,$B2746-$B2745),"")</f>
        <v>3.3530625005369075E-2</v>
      </c>
      <c r="H2746" s="29">
        <f>IF($B$2,IF(ROWS(B$6:$B2746) = 1,IF(COUNTIFS(R_Schedule_Times,"&lt;"&amp;B2746),INDEX(R_Schedule_Amounts,MATCH(B2746,R_Schedule_Times,1)),Starting_Cash),IF(COUNTIFS(R_Schedule_Times,"&gt;"&amp;B2745,R_Schedule_Times,"&lt;"&amp;B2746),INDEX(R_Schedule_Amounts,MATCH(B2746,R_Schedule_Times,1)),K2745)),"")</f>
        <v>1100</v>
      </c>
      <c r="I2746" s="30">
        <f t="shared" si="210"/>
        <v>500</v>
      </c>
      <c r="J2746" s="31">
        <f t="shared" si="211"/>
        <v>0</v>
      </c>
      <c r="K2746" s="29">
        <f t="shared" si="212"/>
        <v>600</v>
      </c>
      <c r="L2746" s="31" t="str">
        <f t="shared" si="213"/>
        <v/>
      </c>
      <c r="M2746" s="31" t="str">
        <f t="shared" si="214"/>
        <v/>
      </c>
    </row>
    <row r="2747" spans="1:13" x14ac:dyDescent="0.15">
      <c r="A2747" s="163" t="s">
        <v>210</v>
      </c>
      <c r="B2747" s="163">
        <v>42347.690341747686</v>
      </c>
      <c r="C2747" s="164" t="s">
        <v>119</v>
      </c>
      <c r="D2747" s="164" t="s">
        <v>13</v>
      </c>
      <c r="E2747" s="165">
        <v>100</v>
      </c>
      <c r="F2747" s="166">
        <v>0</v>
      </c>
      <c r="G2747" s="227">
        <f>IF($B$2,IF(ROWS(B$6:$B2747) = 1,$B2747-Start_Date,$B2747-$B2746),"")</f>
        <v>8.8860763862612657E-3</v>
      </c>
      <c r="H2747" s="29">
        <f>IF($B$2,IF(ROWS(B$6:$B2747) = 1,IF(COUNTIFS(R_Schedule_Times,"&lt;"&amp;B2747),INDEX(R_Schedule_Amounts,MATCH(B2747,R_Schedule_Times,1)),Starting_Cash),IF(COUNTIFS(R_Schedule_Times,"&gt;"&amp;B2746,R_Schedule_Times,"&lt;"&amp;B2747),INDEX(R_Schedule_Amounts,MATCH(B2747,R_Schedule_Times,1)),K2746)),"")</f>
        <v>600</v>
      </c>
      <c r="I2747" s="30">
        <f t="shared" si="210"/>
        <v>100</v>
      </c>
      <c r="J2747" s="31">
        <f t="shared" si="211"/>
        <v>0</v>
      </c>
      <c r="K2747" s="29">
        <f t="shared" si="212"/>
        <v>500</v>
      </c>
      <c r="L2747" s="31" t="str">
        <f t="shared" si="213"/>
        <v/>
      </c>
      <c r="M2747" s="31" t="str">
        <f t="shared" si="214"/>
        <v/>
      </c>
    </row>
    <row r="2748" spans="1:13" x14ac:dyDescent="0.15">
      <c r="A2748" s="163" t="s">
        <v>210</v>
      </c>
      <c r="B2748" s="163">
        <v>42347.695963240738</v>
      </c>
      <c r="C2748" s="164" t="s">
        <v>2365</v>
      </c>
      <c r="D2748" s="164" t="s">
        <v>13</v>
      </c>
      <c r="E2748" s="165">
        <v>200</v>
      </c>
      <c r="F2748" s="166">
        <v>0</v>
      </c>
      <c r="G2748" s="227">
        <f>IF($B$2,IF(ROWS(B$6:$B2748) = 1,$B2748-Start_Date,$B2748-$B2747),"")</f>
        <v>5.621493051876314E-3</v>
      </c>
      <c r="H2748" s="29">
        <f>IF($B$2,IF(ROWS(B$6:$B2748) = 1,IF(COUNTIFS(R_Schedule_Times,"&lt;"&amp;B2748),INDEX(R_Schedule_Amounts,MATCH(B2748,R_Schedule_Times,1)),Starting_Cash),IF(COUNTIFS(R_Schedule_Times,"&gt;"&amp;B2747,R_Schedule_Times,"&lt;"&amp;B2748),INDEX(R_Schedule_Amounts,MATCH(B2748,R_Schedule_Times,1)),K2747)),"")</f>
        <v>500</v>
      </c>
      <c r="I2748" s="30">
        <f t="shared" si="210"/>
        <v>200</v>
      </c>
      <c r="J2748" s="31">
        <f t="shared" si="211"/>
        <v>0</v>
      </c>
      <c r="K2748" s="29">
        <f t="shared" si="212"/>
        <v>300</v>
      </c>
      <c r="L2748" s="31" t="str">
        <f t="shared" si="213"/>
        <v/>
      </c>
      <c r="M2748" s="31" t="str">
        <f t="shared" si="214"/>
        <v/>
      </c>
    </row>
    <row r="2749" spans="1:13" x14ac:dyDescent="0.15">
      <c r="A2749" s="163" t="s">
        <v>210</v>
      </c>
      <c r="B2749" s="163">
        <v>42347.709894375002</v>
      </c>
      <c r="C2749" s="164" t="s">
        <v>14</v>
      </c>
      <c r="D2749" s="164" t="s">
        <v>13</v>
      </c>
      <c r="E2749" s="165">
        <v>140</v>
      </c>
      <c r="F2749" s="166">
        <v>3.5</v>
      </c>
      <c r="G2749" s="227">
        <f>IF($B$2,IF(ROWS(B$6:$B2749) = 1,$B2749-Start_Date,$B2749-$B2748),"")</f>
        <v>1.3931134264566936E-2</v>
      </c>
      <c r="H2749" s="29">
        <f>IF($B$2,IF(ROWS(B$6:$B2749) = 1,IF(COUNTIFS(R_Schedule_Times,"&lt;"&amp;B2749),INDEX(R_Schedule_Amounts,MATCH(B2749,R_Schedule_Times,1)),Starting_Cash),IF(COUNTIFS(R_Schedule_Times,"&gt;"&amp;B2748,R_Schedule_Times,"&lt;"&amp;B2749),INDEX(R_Schedule_Amounts,MATCH(B2749,R_Schedule_Times,1)),K2748)),"")</f>
        <v>20000</v>
      </c>
      <c r="I2749" s="30">
        <f t="shared" si="210"/>
        <v>140</v>
      </c>
      <c r="J2749" s="31">
        <f t="shared" si="211"/>
        <v>3.5</v>
      </c>
      <c r="K2749" s="29">
        <f t="shared" si="212"/>
        <v>19860</v>
      </c>
      <c r="L2749" s="31" t="str">
        <f t="shared" si="213"/>
        <v/>
      </c>
      <c r="M2749" s="31" t="str">
        <f t="shared" si="214"/>
        <v/>
      </c>
    </row>
    <row r="2750" spans="1:13" x14ac:dyDescent="0.15">
      <c r="A2750" s="163" t="s">
        <v>210</v>
      </c>
      <c r="B2750" s="163">
        <v>42347.719583321756</v>
      </c>
      <c r="C2750" s="164" t="s">
        <v>2366</v>
      </c>
      <c r="D2750" s="164" t="s">
        <v>13</v>
      </c>
      <c r="E2750" s="165">
        <v>400</v>
      </c>
      <c r="F2750" s="166">
        <v>0</v>
      </c>
      <c r="G2750" s="227">
        <f>IF($B$2,IF(ROWS(B$6:$B2750) = 1,$B2750-Start_Date,$B2750-$B2749),"")</f>
        <v>9.6889467531582341E-3</v>
      </c>
      <c r="H2750" s="29">
        <f>IF($B$2,IF(ROWS(B$6:$B2750) = 1,IF(COUNTIFS(R_Schedule_Times,"&lt;"&amp;B2750),INDEX(R_Schedule_Amounts,MATCH(B2750,R_Schedule_Times,1)),Starting_Cash),IF(COUNTIFS(R_Schedule_Times,"&gt;"&amp;B2749,R_Schedule_Times,"&lt;"&amp;B2750),INDEX(R_Schedule_Amounts,MATCH(B2750,R_Schedule_Times,1)),K2749)),"")</f>
        <v>19860</v>
      </c>
      <c r="I2750" s="30">
        <f t="shared" si="210"/>
        <v>400</v>
      </c>
      <c r="J2750" s="31">
        <f t="shared" si="211"/>
        <v>0</v>
      </c>
      <c r="K2750" s="29">
        <f t="shared" si="212"/>
        <v>19460</v>
      </c>
      <c r="L2750" s="31" t="str">
        <f t="shared" si="213"/>
        <v/>
      </c>
      <c r="M2750" s="31" t="str">
        <f t="shared" si="214"/>
        <v/>
      </c>
    </row>
    <row r="2751" spans="1:13" x14ac:dyDescent="0.15">
      <c r="A2751" s="163" t="s">
        <v>210</v>
      </c>
      <c r="B2751" s="163">
        <v>42347.729018784725</v>
      </c>
      <c r="C2751" s="164" t="s">
        <v>14</v>
      </c>
      <c r="D2751" s="164" t="s">
        <v>13</v>
      </c>
      <c r="E2751" s="165">
        <v>60</v>
      </c>
      <c r="F2751" s="166">
        <v>3.5</v>
      </c>
      <c r="G2751" s="227">
        <f>IF($B$2,IF(ROWS(B$6:$B2751) = 1,$B2751-Start_Date,$B2751-$B2750),"")</f>
        <v>9.4354629691224545E-3</v>
      </c>
      <c r="H2751" s="29">
        <f>IF($B$2,IF(ROWS(B$6:$B2751) = 1,IF(COUNTIFS(R_Schedule_Times,"&lt;"&amp;B2751),INDEX(R_Schedule_Amounts,MATCH(B2751,R_Schedule_Times,1)),Starting_Cash),IF(COUNTIFS(R_Schedule_Times,"&gt;"&amp;B2750,R_Schedule_Times,"&lt;"&amp;B2751),INDEX(R_Schedule_Amounts,MATCH(B2751,R_Schedule_Times,1)),K2750)),"")</f>
        <v>19460</v>
      </c>
      <c r="I2751" s="30">
        <f t="shared" si="210"/>
        <v>60</v>
      </c>
      <c r="J2751" s="31">
        <f t="shared" si="211"/>
        <v>3.5</v>
      </c>
      <c r="K2751" s="29">
        <f t="shared" si="212"/>
        <v>19400</v>
      </c>
      <c r="L2751" s="31" t="str">
        <f t="shared" si="213"/>
        <v/>
      </c>
      <c r="M2751" s="31" t="str">
        <f t="shared" si="214"/>
        <v/>
      </c>
    </row>
    <row r="2752" spans="1:13" x14ac:dyDescent="0.15">
      <c r="A2752" s="163" t="s">
        <v>210</v>
      </c>
      <c r="B2752" s="163">
        <v>42347.734223611114</v>
      </c>
      <c r="C2752" s="164" t="s">
        <v>2367</v>
      </c>
      <c r="D2752" s="164" t="s">
        <v>13</v>
      </c>
      <c r="E2752" s="165">
        <v>20</v>
      </c>
      <c r="F2752" s="166">
        <v>0</v>
      </c>
      <c r="G2752" s="227">
        <f>IF($B$2,IF(ROWS(B$6:$B2752) = 1,$B2752-Start_Date,$B2752-$B2751),"")</f>
        <v>5.2048263896722347E-3</v>
      </c>
      <c r="H2752" s="29">
        <f>IF($B$2,IF(ROWS(B$6:$B2752) = 1,IF(COUNTIFS(R_Schedule_Times,"&lt;"&amp;B2752),INDEX(R_Schedule_Amounts,MATCH(B2752,R_Schedule_Times,1)),Starting_Cash),IF(COUNTIFS(R_Schedule_Times,"&gt;"&amp;B2751,R_Schedule_Times,"&lt;"&amp;B2752),INDEX(R_Schedule_Amounts,MATCH(B2752,R_Schedule_Times,1)),K2751)),"")</f>
        <v>19400</v>
      </c>
      <c r="I2752" s="30">
        <f t="shared" si="210"/>
        <v>20</v>
      </c>
      <c r="J2752" s="31">
        <f t="shared" si="211"/>
        <v>0</v>
      </c>
      <c r="K2752" s="29">
        <f t="shared" si="212"/>
        <v>19380</v>
      </c>
      <c r="L2752" s="31" t="str">
        <f t="shared" si="213"/>
        <v/>
      </c>
      <c r="M2752" s="31" t="str">
        <f t="shared" si="214"/>
        <v/>
      </c>
    </row>
    <row r="2753" spans="1:13" x14ac:dyDescent="0.15">
      <c r="A2753" s="163" t="s">
        <v>210</v>
      </c>
      <c r="B2753" s="163">
        <v>42347.74107452546</v>
      </c>
      <c r="C2753" s="164" t="s">
        <v>611</v>
      </c>
      <c r="D2753" s="164" t="s">
        <v>13</v>
      </c>
      <c r="E2753" s="165">
        <v>100</v>
      </c>
      <c r="F2753" s="166">
        <v>0</v>
      </c>
      <c r="G2753" s="227">
        <f>IF($B$2,IF(ROWS(B$6:$B2753) = 1,$B2753-Start_Date,$B2753-$B2752),"")</f>
        <v>6.8509143457049504E-3</v>
      </c>
      <c r="H2753" s="29">
        <f>IF($B$2,IF(ROWS(B$6:$B2753) = 1,IF(COUNTIFS(R_Schedule_Times,"&lt;"&amp;B2753),INDEX(R_Schedule_Amounts,MATCH(B2753,R_Schedule_Times,1)),Starting_Cash),IF(COUNTIFS(R_Schedule_Times,"&gt;"&amp;B2752,R_Schedule_Times,"&lt;"&amp;B2753),INDEX(R_Schedule_Amounts,MATCH(B2753,R_Schedule_Times,1)),K2752)),"")</f>
        <v>19380</v>
      </c>
      <c r="I2753" s="30">
        <f t="shared" si="210"/>
        <v>100</v>
      </c>
      <c r="J2753" s="31">
        <f t="shared" si="211"/>
        <v>0</v>
      </c>
      <c r="K2753" s="29">
        <f t="shared" si="212"/>
        <v>19280</v>
      </c>
      <c r="L2753" s="31" t="str">
        <f t="shared" si="213"/>
        <v/>
      </c>
      <c r="M2753" s="31" t="str">
        <f t="shared" si="214"/>
        <v/>
      </c>
    </row>
    <row r="2754" spans="1:13" x14ac:dyDescent="0.15">
      <c r="A2754" s="163" t="s">
        <v>210</v>
      </c>
      <c r="B2754" s="163">
        <v>42347.777666620372</v>
      </c>
      <c r="C2754" s="164" t="s">
        <v>1487</v>
      </c>
      <c r="D2754" s="164" t="s">
        <v>13</v>
      </c>
      <c r="E2754" s="165">
        <v>200</v>
      </c>
      <c r="F2754" s="166">
        <v>0</v>
      </c>
      <c r="G2754" s="227">
        <f>IF($B$2,IF(ROWS(B$6:$B2754) = 1,$B2754-Start_Date,$B2754-$B2753),"")</f>
        <v>3.6592094911611639E-2</v>
      </c>
      <c r="H2754" s="29">
        <f>IF($B$2,IF(ROWS(B$6:$B2754) = 1,IF(COUNTIFS(R_Schedule_Times,"&lt;"&amp;B2754),INDEX(R_Schedule_Amounts,MATCH(B2754,R_Schedule_Times,1)),Starting_Cash),IF(COUNTIFS(R_Schedule_Times,"&gt;"&amp;B2753,R_Schedule_Times,"&lt;"&amp;B2754),INDEX(R_Schedule_Amounts,MATCH(B2754,R_Schedule_Times,1)),K2753)),"")</f>
        <v>19280</v>
      </c>
      <c r="I2754" s="30">
        <f t="shared" si="210"/>
        <v>200</v>
      </c>
      <c r="J2754" s="31">
        <f t="shared" si="211"/>
        <v>0</v>
      </c>
      <c r="K2754" s="29">
        <f t="shared" si="212"/>
        <v>19080</v>
      </c>
      <c r="L2754" s="31" t="str">
        <f t="shared" si="213"/>
        <v/>
      </c>
      <c r="M2754" s="31" t="str">
        <f t="shared" si="214"/>
        <v/>
      </c>
    </row>
    <row r="2755" spans="1:13" x14ac:dyDescent="0.15">
      <c r="A2755" s="163" t="s">
        <v>210</v>
      </c>
      <c r="B2755" s="163">
        <v>42347.778838865743</v>
      </c>
      <c r="C2755" s="164" t="s">
        <v>2368</v>
      </c>
      <c r="D2755" s="164" t="s">
        <v>13</v>
      </c>
      <c r="E2755" s="165">
        <v>100</v>
      </c>
      <c r="F2755" s="166">
        <v>0</v>
      </c>
      <c r="G2755" s="227">
        <f>IF($B$2,IF(ROWS(B$6:$B2755) = 1,$B2755-Start_Date,$B2755-$B2754),"")</f>
        <v>1.1722453709808178E-3</v>
      </c>
      <c r="H2755" s="29">
        <f>IF($B$2,IF(ROWS(B$6:$B2755) = 1,IF(COUNTIFS(R_Schedule_Times,"&lt;"&amp;B2755),INDEX(R_Schedule_Amounts,MATCH(B2755,R_Schedule_Times,1)),Starting_Cash),IF(COUNTIFS(R_Schedule_Times,"&gt;"&amp;B2754,R_Schedule_Times,"&lt;"&amp;B2755),INDEX(R_Schedule_Amounts,MATCH(B2755,R_Schedule_Times,1)),K2754)),"")</f>
        <v>19080</v>
      </c>
      <c r="I2755" s="30">
        <f t="shared" si="210"/>
        <v>100</v>
      </c>
      <c r="J2755" s="31">
        <f t="shared" si="211"/>
        <v>0</v>
      </c>
      <c r="K2755" s="29">
        <f t="shared" si="212"/>
        <v>18980</v>
      </c>
      <c r="L2755" s="31" t="str">
        <f t="shared" si="213"/>
        <v/>
      </c>
      <c r="M2755" s="31" t="str">
        <f t="shared" si="214"/>
        <v/>
      </c>
    </row>
    <row r="2756" spans="1:13" x14ac:dyDescent="0.15">
      <c r="A2756" s="163" t="s">
        <v>210</v>
      </c>
      <c r="B2756" s="163">
        <v>42347.786052199073</v>
      </c>
      <c r="C2756" s="164" t="s">
        <v>14</v>
      </c>
      <c r="D2756" s="164" t="s">
        <v>13</v>
      </c>
      <c r="E2756" s="165">
        <v>100</v>
      </c>
      <c r="F2756" s="166">
        <v>3.5</v>
      </c>
      <c r="G2756" s="227">
        <f>IF($B$2,IF(ROWS(B$6:$B2756) = 1,$B2756-Start_Date,$B2756-$B2755),"")</f>
        <v>7.2133333305828273E-3</v>
      </c>
      <c r="H2756" s="29">
        <f>IF($B$2,IF(ROWS(B$6:$B2756) = 1,IF(COUNTIFS(R_Schedule_Times,"&lt;"&amp;B2756),INDEX(R_Schedule_Amounts,MATCH(B2756,R_Schedule_Times,1)),Starting_Cash),IF(COUNTIFS(R_Schedule_Times,"&gt;"&amp;B2755,R_Schedule_Times,"&lt;"&amp;B2756),INDEX(R_Schedule_Amounts,MATCH(B2756,R_Schedule_Times,1)),K2755)),"")</f>
        <v>18980</v>
      </c>
      <c r="I2756" s="30">
        <f t="shared" si="210"/>
        <v>100</v>
      </c>
      <c r="J2756" s="31">
        <f t="shared" si="211"/>
        <v>3.5</v>
      </c>
      <c r="K2756" s="29">
        <f t="shared" si="212"/>
        <v>18880</v>
      </c>
      <c r="L2756" s="31" t="str">
        <f t="shared" si="213"/>
        <v/>
      </c>
      <c r="M2756" s="31" t="str">
        <f t="shared" si="214"/>
        <v/>
      </c>
    </row>
    <row r="2757" spans="1:13" x14ac:dyDescent="0.15">
      <c r="A2757" s="163" t="s">
        <v>210</v>
      </c>
      <c r="B2757" s="163">
        <v>42347.789323194447</v>
      </c>
      <c r="C2757" s="164" t="s">
        <v>2369</v>
      </c>
      <c r="D2757" s="164" t="s">
        <v>13</v>
      </c>
      <c r="E2757" s="165">
        <v>100</v>
      </c>
      <c r="F2757" s="166">
        <v>0</v>
      </c>
      <c r="G2757" s="227">
        <f>IF($B$2,IF(ROWS(B$6:$B2757) = 1,$B2757-Start_Date,$B2757-$B2756),"")</f>
        <v>3.2709953738958575E-3</v>
      </c>
      <c r="H2757" s="29">
        <f>IF($B$2,IF(ROWS(B$6:$B2757) = 1,IF(COUNTIFS(R_Schedule_Times,"&lt;"&amp;B2757),INDEX(R_Schedule_Amounts,MATCH(B2757,R_Schedule_Times,1)),Starting_Cash),IF(COUNTIFS(R_Schedule_Times,"&gt;"&amp;B2756,R_Schedule_Times,"&lt;"&amp;B2757),INDEX(R_Schedule_Amounts,MATCH(B2757,R_Schedule_Times,1)),K2756)),"")</f>
        <v>18880</v>
      </c>
      <c r="I2757" s="30">
        <f t="shared" si="210"/>
        <v>100</v>
      </c>
      <c r="J2757" s="31">
        <f t="shared" si="211"/>
        <v>0</v>
      </c>
      <c r="K2757" s="29">
        <f t="shared" si="212"/>
        <v>18780</v>
      </c>
      <c r="L2757" s="31" t="str">
        <f t="shared" si="213"/>
        <v/>
      </c>
      <c r="M2757" s="31" t="str">
        <f t="shared" si="214"/>
        <v/>
      </c>
    </row>
    <row r="2758" spans="1:13" x14ac:dyDescent="0.15">
      <c r="A2758" s="163" t="s">
        <v>210</v>
      </c>
      <c r="B2758" s="163">
        <v>42347.838198206016</v>
      </c>
      <c r="C2758" s="164" t="s">
        <v>505</v>
      </c>
      <c r="D2758" s="164" t="s">
        <v>13</v>
      </c>
      <c r="E2758" s="165">
        <v>500</v>
      </c>
      <c r="F2758" s="166">
        <v>0</v>
      </c>
      <c r="G2758" s="227">
        <f>IF($B$2,IF(ROWS(B$6:$B2758) = 1,$B2758-Start_Date,$B2758-$B2757),"")</f>
        <v>4.887501156918006E-2</v>
      </c>
      <c r="H2758" s="29">
        <f>IF($B$2,IF(ROWS(B$6:$B2758) = 1,IF(COUNTIFS(R_Schedule_Times,"&lt;"&amp;B2758),INDEX(R_Schedule_Amounts,MATCH(B2758,R_Schedule_Times,1)),Starting_Cash),IF(COUNTIFS(R_Schedule_Times,"&gt;"&amp;B2757,R_Schedule_Times,"&lt;"&amp;B2758),INDEX(R_Schedule_Amounts,MATCH(B2758,R_Schedule_Times,1)),K2757)),"")</f>
        <v>18780</v>
      </c>
      <c r="I2758" s="30">
        <f t="shared" si="210"/>
        <v>500</v>
      </c>
      <c r="J2758" s="31">
        <f t="shared" si="211"/>
        <v>0</v>
      </c>
      <c r="K2758" s="29">
        <f t="shared" si="212"/>
        <v>18280</v>
      </c>
      <c r="L2758" s="31" t="str">
        <f t="shared" si="213"/>
        <v/>
      </c>
      <c r="M2758" s="31" t="str">
        <f t="shared" si="214"/>
        <v/>
      </c>
    </row>
    <row r="2759" spans="1:13" x14ac:dyDescent="0.15">
      <c r="A2759" s="163" t="s">
        <v>210</v>
      </c>
      <c r="B2759" s="163">
        <v>42348.211485520835</v>
      </c>
      <c r="C2759" s="164" t="s">
        <v>917</v>
      </c>
      <c r="D2759" s="164" t="s">
        <v>13</v>
      </c>
      <c r="E2759" s="165">
        <v>100</v>
      </c>
      <c r="F2759" s="166">
        <v>0</v>
      </c>
      <c r="G2759" s="227">
        <f>IF($B$2,IF(ROWS(B$6:$B2759) = 1,$B2759-Start_Date,$B2759-$B2758),"")</f>
        <v>0.37328731481829891</v>
      </c>
      <c r="H2759" s="29">
        <f>IF($B$2,IF(ROWS(B$6:$B2759) = 1,IF(COUNTIFS(R_Schedule_Times,"&lt;"&amp;B2759),INDEX(R_Schedule_Amounts,MATCH(B2759,R_Schedule_Times,1)),Starting_Cash),IF(COUNTIFS(R_Schedule_Times,"&gt;"&amp;B2758,R_Schedule_Times,"&lt;"&amp;B2759),INDEX(R_Schedule_Amounts,MATCH(B2759,R_Schedule_Times,1)),K2758)),"")</f>
        <v>18280</v>
      </c>
      <c r="I2759" s="30">
        <f t="shared" ref="I2759:I2822" si="215">IF($B$2,IF(H2759&gt;=E2759,E2759,0),"")</f>
        <v>100</v>
      </c>
      <c r="J2759" s="31">
        <f t="shared" ref="J2759:J2822" si="216">IF($B$2,IF(H2759&gt;=E2759,F2759,0),"")</f>
        <v>0</v>
      </c>
      <c r="K2759" s="29">
        <f t="shared" ref="K2759:K2822" si="217">IF($B$2,ABS(I2759-H2759),"")</f>
        <v>18180</v>
      </c>
      <c r="L2759" s="31" t="str">
        <f t="shared" ref="L2759:L2822" si="218">IF($B$2,IF(H2759&lt;E2759,"YES",""),"")</f>
        <v/>
      </c>
      <c r="M2759" s="31" t="str">
        <f t="shared" ref="M2759:M2822" si="219">IF($B$2,IF(L2759="YES",F2759,""),"")</f>
        <v/>
      </c>
    </row>
    <row r="2760" spans="1:13" x14ac:dyDescent="0.15">
      <c r="A2760" s="163" t="s">
        <v>210</v>
      </c>
      <c r="B2760" s="163">
        <v>42348.306480162035</v>
      </c>
      <c r="C2760" s="164" t="s">
        <v>2370</v>
      </c>
      <c r="D2760" s="164" t="s">
        <v>13</v>
      </c>
      <c r="E2760" s="165">
        <v>40</v>
      </c>
      <c r="F2760" s="166">
        <v>0</v>
      </c>
      <c r="G2760" s="227">
        <f>IF($B$2,IF(ROWS(B$6:$B2760) = 1,$B2760-Start_Date,$B2760-$B2759),"")</f>
        <v>9.4994641200173646E-2</v>
      </c>
      <c r="H2760" s="29">
        <f>IF($B$2,IF(ROWS(B$6:$B2760) = 1,IF(COUNTIFS(R_Schedule_Times,"&lt;"&amp;B2760),INDEX(R_Schedule_Amounts,MATCH(B2760,R_Schedule_Times,1)),Starting_Cash),IF(COUNTIFS(R_Schedule_Times,"&gt;"&amp;B2759,R_Schedule_Times,"&lt;"&amp;B2760),INDEX(R_Schedule_Amounts,MATCH(B2760,R_Schedule_Times,1)),K2759)),"")</f>
        <v>18180</v>
      </c>
      <c r="I2760" s="30">
        <f t="shared" si="215"/>
        <v>40</v>
      </c>
      <c r="J2760" s="31">
        <f t="shared" si="216"/>
        <v>0</v>
      </c>
      <c r="K2760" s="29">
        <f t="shared" si="217"/>
        <v>18140</v>
      </c>
      <c r="L2760" s="31" t="str">
        <f t="shared" si="218"/>
        <v/>
      </c>
      <c r="M2760" s="31" t="str">
        <f t="shared" si="219"/>
        <v/>
      </c>
    </row>
    <row r="2761" spans="1:13" x14ac:dyDescent="0.15">
      <c r="A2761" s="163" t="s">
        <v>210</v>
      </c>
      <c r="B2761" s="163">
        <v>42348.31545681713</v>
      </c>
      <c r="C2761" s="164" t="s">
        <v>318</v>
      </c>
      <c r="D2761" s="164" t="s">
        <v>13</v>
      </c>
      <c r="E2761" s="165">
        <v>100</v>
      </c>
      <c r="F2761" s="166">
        <v>0</v>
      </c>
      <c r="G2761" s="227">
        <f>IF($B$2,IF(ROWS(B$6:$B2761) = 1,$B2761-Start_Date,$B2761-$B2760),"")</f>
        <v>8.9766550954664126E-3</v>
      </c>
      <c r="H2761" s="29">
        <f>IF($B$2,IF(ROWS(B$6:$B2761) = 1,IF(COUNTIFS(R_Schedule_Times,"&lt;"&amp;B2761),INDEX(R_Schedule_Amounts,MATCH(B2761,R_Schedule_Times,1)),Starting_Cash),IF(COUNTIFS(R_Schedule_Times,"&gt;"&amp;B2760,R_Schedule_Times,"&lt;"&amp;B2761),INDEX(R_Schedule_Amounts,MATCH(B2761,R_Schedule_Times,1)),K2760)),"")</f>
        <v>18140</v>
      </c>
      <c r="I2761" s="30">
        <f t="shared" si="215"/>
        <v>100</v>
      </c>
      <c r="J2761" s="31">
        <f t="shared" si="216"/>
        <v>0</v>
      </c>
      <c r="K2761" s="29">
        <f t="shared" si="217"/>
        <v>18040</v>
      </c>
      <c r="L2761" s="31" t="str">
        <f t="shared" si="218"/>
        <v/>
      </c>
      <c r="M2761" s="31" t="str">
        <f t="shared" si="219"/>
        <v/>
      </c>
    </row>
    <row r="2762" spans="1:13" x14ac:dyDescent="0.15">
      <c r="A2762" s="163" t="s">
        <v>210</v>
      </c>
      <c r="B2762" s="163">
        <v>42348.320391967594</v>
      </c>
      <c r="C2762" s="164" t="s">
        <v>2371</v>
      </c>
      <c r="D2762" s="164" t="s">
        <v>13</v>
      </c>
      <c r="E2762" s="165">
        <v>180</v>
      </c>
      <c r="F2762" s="166">
        <v>0</v>
      </c>
      <c r="G2762" s="227">
        <f>IF($B$2,IF(ROWS(B$6:$B2762) = 1,$B2762-Start_Date,$B2762-$B2761),"")</f>
        <v>4.9351504640071653E-3</v>
      </c>
      <c r="H2762" s="29">
        <f>IF($B$2,IF(ROWS(B$6:$B2762) = 1,IF(COUNTIFS(R_Schedule_Times,"&lt;"&amp;B2762),INDEX(R_Schedule_Amounts,MATCH(B2762,R_Schedule_Times,1)),Starting_Cash),IF(COUNTIFS(R_Schedule_Times,"&gt;"&amp;B2761,R_Schedule_Times,"&lt;"&amp;B2762),INDEX(R_Schedule_Amounts,MATCH(B2762,R_Schedule_Times,1)),K2761)),"")</f>
        <v>18040</v>
      </c>
      <c r="I2762" s="30">
        <f t="shared" si="215"/>
        <v>180</v>
      </c>
      <c r="J2762" s="31">
        <f t="shared" si="216"/>
        <v>0</v>
      </c>
      <c r="K2762" s="29">
        <f t="shared" si="217"/>
        <v>17860</v>
      </c>
      <c r="L2762" s="31" t="str">
        <f t="shared" si="218"/>
        <v/>
      </c>
      <c r="M2762" s="31" t="str">
        <f t="shared" si="219"/>
        <v/>
      </c>
    </row>
    <row r="2763" spans="1:13" x14ac:dyDescent="0.15">
      <c r="A2763" s="163" t="s">
        <v>210</v>
      </c>
      <c r="B2763" s="163">
        <v>42348.326488449071</v>
      </c>
      <c r="C2763" s="164" t="s">
        <v>2372</v>
      </c>
      <c r="D2763" s="164" t="s">
        <v>15</v>
      </c>
      <c r="E2763" s="165">
        <v>100</v>
      </c>
      <c r="F2763" s="166">
        <v>3</v>
      </c>
      <c r="G2763" s="227">
        <f>IF($B$2,IF(ROWS(B$6:$B2763) = 1,$B2763-Start_Date,$B2763-$B2762),"")</f>
        <v>6.0964814765611663E-3</v>
      </c>
      <c r="H2763" s="29">
        <f>IF($B$2,IF(ROWS(B$6:$B2763) = 1,IF(COUNTIFS(R_Schedule_Times,"&lt;"&amp;B2763),INDEX(R_Schedule_Amounts,MATCH(B2763,R_Schedule_Times,1)),Starting_Cash),IF(COUNTIFS(R_Schedule_Times,"&gt;"&amp;B2762,R_Schedule_Times,"&lt;"&amp;B2763),INDEX(R_Schedule_Amounts,MATCH(B2763,R_Schedule_Times,1)),K2762)),"")</f>
        <v>17860</v>
      </c>
      <c r="I2763" s="30">
        <f t="shared" si="215"/>
        <v>100</v>
      </c>
      <c r="J2763" s="31">
        <f t="shared" si="216"/>
        <v>3</v>
      </c>
      <c r="K2763" s="29">
        <f t="shared" si="217"/>
        <v>17760</v>
      </c>
      <c r="L2763" s="31" t="str">
        <f t="shared" si="218"/>
        <v/>
      </c>
      <c r="M2763" s="31" t="str">
        <f t="shared" si="219"/>
        <v/>
      </c>
    </row>
    <row r="2764" spans="1:13" x14ac:dyDescent="0.15">
      <c r="A2764" s="163" t="s">
        <v>210</v>
      </c>
      <c r="B2764" s="163">
        <v>42348.336837557872</v>
      </c>
      <c r="C2764" s="164" t="s">
        <v>1141</v>
      </c>
      <c r="D2764" s="164" t="s">
        <v>13</v>
      </c>
      <c r="E2764" s="165">
        <v>40</v>
      </c>
      <c r="F2764" s="166">
        <v>0</v>
      </c>
      <c r="G2764" s="227">
        <f>IF($B$2,IF(ROWS(B$6:$B2764) = 1,$B2764-Start_Date,$B2764-$B2763),"")</f>
        <v>1.034910880116513E-2</v>
      </c>
      <c r="H2764" s="29">
        <f>IF($B$2,IF(ROWS(B$6:$B2764) = 1,IF(COUNTIFS(R_Schedule_Times,"&lt;"&amp;B2764),INDEX(R_Schedule_Amounts,MATCH(B2764,R_Schedule_Times,1)),Starting_Cash),IF(COUNTIFS(R_Schedule_Times,"&gt;"&amp;B2763,R_Schedule_Times,"&lt;"&amp;B2764),INDEX(R_Schedule_Amounts,MATCH(B2764,R_Schedule_Times,1)),K2763)),"")</f>
        <v>17760</v>
      </c>
      <c r="I2764" s="30">
        <f t="shared" si="215"/>
        <v>40</v>
      </c>
      <c r="J2764" s="31">
        <f t="shared" si="216"/>
        <v>0</v>
      </c>
      <c r="K2764" s="29">
        <f t="shared" si="217"/>
        <v>17720</v>
      </c>
      <c r="L2764" s="31" t="str">
        <f t="shared" si="218"/>
        <v/>
      </c>
      <c r="M2764" s="31" t="str">
        <f t="shared" si="219"/>
        <v/>
      </c>
    </row>
    <row r="2765" spans="1:13" x14ac:dyDescent="0.15">
      <c r="A2765" s="163" t="s">
        <v>210</v>
      </c>
      <c r="B2765" s="163">
        <v>42348.338936805558</v>
      </c>
      <c r="C2765" s="164" t="s">
        <v>2373</v>
      </c>
      <c r="D2765" s="164" t="s">
        <v>13</v>
      </c>
      <c r="E2765" s="165">
        <v>20</v>
      </c>
      <c r="F2765" s="166">
        <v>0</v>
      </c>
      <c r="G2765" s="227">
        <f>IF($B$2,IF(ROWS(B$6:$B2765) = 1,$B2765-Start_Date,$B2765-$B2764),"")</f>
        <v>2.0992476856918074E-3</v>
      </c>
      <c r="H2765" s="29">
        <f>IF($B$2,IF(ROWS(B$6:$B2765) = 1,IF(COUNTIFS(R_Schedule_Times,"&lt;"&amp;B2765),INDEX(R_Schedule_Amounts,MATCH(B2765,R_Schedule_Times,1)),Starting_Cash),IF(COUNTIFS(R_Schedule_Times,"&gt;"&amp;B2764,R_Schedule_Times,"&lt;"&amp;B2765),INDEX(R_Schedule_Amounts,MATCH(B2765,R_Schedule_Times,1)),K2764)),"")</f>
        <v>17720</v>
      </c>
      <c r="I2765" s="30">
        <f t="shared" si="215"/>
        <v>20</v>
      </c>
      <c r="J2765" s="31">
        <f t="shared" si="216"/>
        <v>0</v>
      </c>
      <c r="K2765" s="29">
        <f t="shared" si="217"/>
        <v>17700</v>
      </c>
      <c r="L2765" s="31" t="str">
        <f t="shared" si="218"/>
        <v/>
      </c>
      <c r="M2765" s="31" t="str">
        <f t="shared" si="219"/>
        <v/>
      </c>
    </row>
    <row r="2766" spans="1:13" x14ac:dyDescent="0.15">
      <c r="A2766" s="163" t="s">
        <v>210</v>
      </c>
      <c r="B2766" s="163">
        <v>42348.346648240738</v>
      </c>
      <c r="C2766" s="164" t="s">
        <v>2374</v>
      </c>
      <c r="D2766" s="164" t="s">
        <v>13</v>
      </c>
      <c r="E2766" s="165">
        <v>20</v>
      </c>
      <c r="F2766" s="166">
        <v>0</v>
      </c>
      <c r="G2766" s="227">
        <f>IF($B$2,IF(ROWS(B$6:$B2766) = 1,$B2766-Start_Date,$B2766-$B2765),"")</f>
        <v>7.711435180681292E-3</v>
      </c>
      <c r="H2766" s="29">
        <f>IF($B$2,IF(ROWS(B$6:$B2766) = 1,IF(COUNTIFS(R_Schedule_Times,"&lt;"&amp;B2766),INDEX(R_Schedule_Amounts,MATCH(B2766,R_Schedule_Times,1)),Starting_Cash),IF(COUNTIFS(R_Schedule_Times,"&gt;"&amp;B2765,R_Schedule_Times,"&lt;"&amp;B2766),INDEX(R_Schedule_Amounts,MATCH(B2766,R_Schedule_Times,1)),K2765)),"")</f>
        <v>17700</v>
      </c>
      <c r="I2766" s="30">
        <f t="shared" si="215"/>
        <v>20</v>
      </c>
      <c r="J2766" s="31">
        <f t="shared" si="216"/>
        <v>0</v>
      </c>
      <c r="K2766" s="29">
        <f t="shared" si="217"/>
        <v>17680</v>
      </c>
      <c r="L2766" s="31" t="str">
        <f t="shared" si="218"/>
        <v/>
      </c>
      <c r="M2766" s="31" t="str">
        <f t="shared" si="219"/>
        <v/>
      </c>
    </row>
    <row r="2767" spans="1:13" x14ac:dyDescent="0.15">
      <c r="A2767" s="163" t="s">
        <v>210</v>
      </c>
      <c r="B2767" s="163">
        <v>42348.360966064814</v>
      </c>
      <c r="C2767" s="164" t="s">
        <v>299</v>
      </c>
      <c r="D2767" s="164" t="s">
        <v>13</v>
      </c>
      <c r="E2767" s="165">
        <v>180</v>
      </c>
      <c r="F2767" s="166">
        <v>0</v>
      </c>
      <c r="G2767" s="227">
        <f>IF($B$2,IF(ROWS(B$6:$B2767) = 1,$B2767-Start_Date,$B2767-$B2766),"")</f>
        <v>1.4317824075988028E-2</v>
      </c>
      <c r="H2767" s="29">
        <f>IF($B$2,IF(ROWS(B$6:$B2767) = 1,IF(COUNTIFS(R_Schedule_Times,"&lt;"&amp;B2767),INDEX(R_Schedule_Amounts,MATCH(B2767,R_Schedule_Times,1)),Starting_Cash),IF(COUNTIFS(R_Schedule_Times,"&gt;"&amp;B2766,R_Schedule_Times,"&lt;"&amp;B2767),INDEX(R_Schedule_Amounts,MATCH(B2767,R_Schedule_Times,1)),K2766)),"")</f>
        <v>17680</v>
      </c>
      <c r="I2767" s="30">
        <f t="shared" si="215"/>
        <v>180</v>
      </c>
      <c r="J2767" s="31">
        <f t="shared" si="216"/>
        <v>0</v>
      </c>
      <c r="K2767" s="29">
        <f t="shared" si="217"/>
        <v>17500</v>
      </c>
      <c r="L2767" s="31" t="str">
        <f t="shared" si="218"/>
        <v/>
      </c>
      <c r="M2767" s="31" t="str">
        <f t="shared" si="219"/>
        <v/>
      </c>
    </row>
    <row r="2768" spans="1:13" x14ac:dyDescent="0.15">
      <c r="A2768" s="163" t="s">
        <v>210</v>
      </c>
      <c r="B2768" s="163">
        <v>42348.362550069447</v>
      </c>
      <c r="C2768" s="164" t="s">
        <v>2375</v>
      </c>
      <c r="D2768" s="164" t="s">
        <v>13</v>
      </c>
      <c r="E2768" s="165">
        <v>80</v>
      </c>
      <c r="F2768" s="166">
        <v>0</v>
      </c>
      <c r="G2768" s="227">
        <f>IF($B$2,IF(ROWS(B$6:$B2768) = 1,$B2768-Start_Date,$B2768-$B2767),"")</f>
        <v>1.5840046326047741E-3</v>
      </c>
      <c r="H2768" s="29">
        <f>IF($B$2,IF(ROWS(B$6:$B2768) = 1,IF(COUNTIFS(R_Schedule_Times,"&lt;"&amp;B2768),INDEX(R_Schedule_Amounts,MATCH(B2768,R_Schedule_Times,1)),Starting_Cash),IF(COUNTIFS(R_Schedule_Times,"&gt;"&amp;B2767,R_Schedule_Times,"&lt;"&amp;B2768),INDEX(R_Schedule_Amounts,MATCH(B2768,R_Schedule_Times,1)),K2767)),"")</f>
        <v>17500</v>
      </c>
      <c r="I2768" s="30">
        <f t="shared" si="215"/>
        <v>80</v>
      </c>
      <c r="J2768" s="31">
        <f t="shared" si="216"/>
        <v>0</v>
      </c>
      <c r="K2768" s="29">
        <f t="shared" si="217"/>
        <v>17420</v>
      </c>
      <c r="L2768" s="31" t="str">
        <f t="shared" si="218"/>
        <v/>
      </c>
      <c r="M2768" s="31" t="str">
        <f t="shared" si="219"/>
        <v/>
      </c>
    </row>
    <row r="2769" spans="1:13" x14ac:dyDescent="0.15">
      <c r="A2769" s="163" t="s">
        <v>210</v>
      </c>
      <c r="B2769" s="163">
        <v>42348.386280266204</v>
      </c>
      <c r="C2769" s="164" t="s">
        <v>2066</v>
      </c>
      <c r="D2769" s="164" t="s">
        <v>13</v>
      </c>
      <c r="E2769" s="165">
        <v>20</v>
      </c>
      <c r="F2769" s="166">
        <v>0</v>
      </c>
      <c r="G2769" s="227">
        <f>IF($B$2,IF(ROWS(B$6:$B2769) = 1,$B2769-Start_Date,$B2769-$B2768),"")</f>
        <v>2.3730196757242084E-2</v>
      </c>
      <c r="H2769" s="29">
        <f>IF($B$2,IF(ROWS(B$6:$B2769) = 1,IF(COUNTIFS(R_Schedule_Times,"&lt;"&amp;B2769),INDEX(R_Schedule_Amounts,MATCH(B2769,R_Schedule_Times,1)),Starting_Cash),IF(COUNTIFS(R_Schedule_Times,"&gt;"&amp;B2768,R_Schedule_Times,"&lt;"&amp;B2769),INDEX(R_Schedule_Amounts,MATCH(B2769,R_Schedule_Times,1)),K2768)),"")</f>
        <v>17420</v>
      </c>
      <c r="I2769" s="30">
        <f t="shared" si="215"/>
        <v>20</v>
      </c>
      <c r="J2769" s="31">
        <f t="shared" si="216"/>
        <v>0</v>
      </c>
      <c r="K2769" s="29">
        <f t="shared" si="217"/>
        <v>17400</v>
      </c>
      <c r="L2769" s="31" t="str">
        <f t="shared" si="218"/>
        <v/>
      </c>
      <c r="M2769" s="31" t="str">
        <f t="shared" si="219"/>
        <v/>
      </c>
    </row>
    <row r="2770" spans="1:13" x14ac:dyDescent="0.15">
      <c r="A2770" s="163" t="s">
        <v>210</v>
      </c>
      <c r="B2770" s="163">
        <v>42348.398291631944</v>
      </c>
      <c r="C2770" s="164" t="s">
        <v>1486</v>
      </c>
      <c r="D2770" s="164" t="s">
        <v>13</v>
      </c>
      <c r="E2770" s="165">
        <v>100</v>
      </c>
      <c r="F2770" s="166">
        <v>0</v>
      </c>
      <c r="G2770" s="227">
        <f>IF($B$2,IF(ROWS(B$6:$B2770) = 1,$B2770-Start_Date,$B2770-$B2769),"")</f>
        <v>1.201136573945405E-2</v>
      </c>
      <c r="H2770" s="29">
        <f>IF($B$2,IF(ROWS(B$6:$B2770) = 1,IF(COUNTIFS(R_Schedule_Times,"&lt;"&amp;B2770),INDEX(R_Schedule_Amounts,MATCH(B2770,R_Schedule_Times,1)),Starting_Cash),IF(COUNTIFS(R_Schedule_Times,"&gt;"&amp;B2769,R_Schedule_Times,"&lt;"&amp;B2770),INDEX(R_Schedule_Amounts,MATCH(B2770,R_Schedule_Times,1)),K2769)),"")</f>
        <v>17400</v>
      </c>
      <c r="I2770" s="30">
        <f t="shared" si="215"/>
        <v>100</v>
      </c>
      <c r="J2770" s="31">
        <f t="shared" si="216"/>
        <v>0</v>
      </c>
      <c r="K2770" s="29">
        <f t="shared" si="217"/>
        <v>17300</v>
      </c>
      <c r="L2770" s="31" t="str">
        <f t="shared" si="218"/>
        <v/>
      </c>
      <c r="M2770" s="31" t="str">
        <f t="shared" si="219"/>
        <v/>
      </c>
    </row>
    <row r="2771" spans="1:13" x14ac:dyDescent="0.15">
      <c r="A2771" s="163" t="s">
        <v>210</v>
      </c>
      <c r="B2771" s="163">
        <v>42348.425810393521</v>
      </c>
      <c r="C2771" s="164" t="s">
        <v>14</v>
      </c>
      <c r="D2771" s="164" t="s">
        <v>13</v>
      </c>
      <c r="E2771" s="165">
        <v>100</v>
      </c>
      <c r="F2771" s="166">
        <v>3.5</v>
      </c>
      <c r="G2771" s="227">
        <f>IF($B$2,IF(ROWS(B$6:$B2771) = 1,$B2771-Start_Date,$B2771-$B2770),"")</f>
        <v>2.7518761577084661E-2</v>
      </c>
      <c r="H2771" s="29">
        <f>IF($B$2,IF(ROWS(B$6:$B2771) = 1,IF(COUNTIFS(R_Schedule_Times,"&lt;"&amp;B2771),INDEX(R_Schedule_Amounts,MATCH(B2771,R_Schedule_Times,1)),Starting_Cash),IF(COUNTIFS(R_Schedule_Times,"&gt;"&amp;B2770,R_Schedule_Times,"&lt;"&amp;B2771),INDEX(R_Schedule_Amounts,MATCH(B2771,R_Schedule_Times,1)),K2770)),"")</f>
        <v>17300</v>
      </c>
      <c r="I2771" s="30">
        <f t="shared" si="215"/>
        <v>100</v>
      </c>
      <c r="J2771" s="31">
        <f t="shared" si="216"/>
        <v>3.5</v>
      </c>
      <c r="K2771" s="29">
        <f t="shared" si="217"/>
        <v>17200</v>
      </c>
      <c r="L2771" s="31" t="str">
        <f t="shared" si="218"/>
        <v/>
      </c>
      <c r="M2771" s="31" t="str">
        <f t="shared" si="219"/>
        <v/>
      </c>
    </row>
    <row r="2772" spans="1:13" x14ac:dyDescent="0.15">
      <c r="A2772" s="163" t="s">
        <v>210</v>
      </c>
      <c r="B2772" s="163">
        <v>42348.43727603009</v>
      </c>
      <c r="C2772" s="164" t="s">
        <v>251</v>
      </c>
      <c r="D2772" s="164" t="s">
        <v>13</v>
      </c>
      <c r="E2772" s="165">
        <v>80</v>
      </c>
      <c r="F2772" s="166">
        <v>0</v>
      </c>
      <c r="G2772" s="227">
        <f>IF($B$2,IF(ROWS(B$6:$B2772) = 1,$B2772-Start_Date,$B2772-$B2771),"")</f>
        <v>1.146563656948274E-2</v>
      </c>
      <c r="H2772" s="29">
        <f>IF($B$2,IF(ROWS(B$6:$B2772) = 1,IF(COUNTIFS(R_Schedule_Times,"&lt;"&amp;B2772),INDEX(R_Schedule_Amounts,MATCH(B2772,R_Schedule_Times,1)),Starting_Cash),IF(COUNTIFS(R_Schedule_Times,"&gt;"&amp;B2771,R_Schedule_Times,"&lt;"&amp;B2772),INDEX(R_Schedule_Amounts,MATCH(B2772,R_Schedule_Times,1)),K2771)),"")</f>
        <v>17200</v>
      </c>
      <c r="I2772" s="30">
        <f t="shared" si="215"/>
        <v>80</v>
      </c>
      <c r="J2772" s="31">
        <f t="shared" si="216"/>
        <v>0</v>
      </c>
      <c r="K2772" s="29">
        <f t="shared" si="217"/>
        <v>17120</v>
      </c>
      <c r="L2772" s="31" t="str">
        <f t="shared" si="218"/>
        <v/>
      </c>
      <c r="M2772" s="31" t="str">
        <f t="shared" si="219"/>
        <v/>
      </c>
    </row>
    <row r="2773" spans="1:13" x14ac:dyDescent="0.15">
      <c r="A2773" s="163" t="s">
        <v>210</v>
      </c>
      <c r="B2773" s="163">
        <v>42348.473573206022</v>
      </c>
      <c r="C2773" s="164" t="s">
        <v>2376</v>
      </c>
      <c r="D2773" s="164" t="s">
        <v>13</v>
      </c>
      <c r="E2773" s="165">
        <v>80</v>
      </c>
      <c r="F2773" s="166">
        <v>0</v>
      </c>
      <c r="G2773" s="227">
        <f>IF($B$2,IF(ROWS(B$6:$B2773) = 1,$B2773-Start_Date,$B2773-$B2772),"")</f>
        <v>3.6297175931395032E-2</v>
      </c>
      <c r="H2773" s="29">
        <f>IF($B$2,IF(ROWS(B$6:$B2773) = 1,IF(COUNTIFS(R_Schedule_Times,"&lt;"&amp;B2773),INDEX(R_Schedule_Amounts,MATCH(B2773,R_Schedule_Times,1)),Starting_Cash),IF(COUNTIFS(R_Schedule_Times,"&gt;"&amp;B2772,R_Schedule_Times,"&lt;"&amp;B2773),INDEX(R_Schedule_Amounts,MATCH(B2773,R_Schedule_Times,1)),K2772)),"")</f>
        <v>17120</v>
      </c>
      <c r="I2773" s="30">
        <f t="shared" si="215"/>
        <v>80</v>
      </c>
      <c r="J2773" s="31">
        <f t="shared" si="216"/>
        <v>0</v>
      </c>
      <c r="K2773" s="29">
        <f t="shared" si="217"/>
        <v>17040</v>
      </c>
      <c r="L2773" s="31" t="str">
        <f t="shared" si="218"/>
        <v/>
      </c>
      <c r="M2773" s="31" t="str">
        <f t="shared" si="219"/>
        <v/>
      </c>
    </row>
    <row r="2774" spans="1:13" x14ac:dyDescent="0.15">
      <c r="A2774" s="163" t="s">
        <v>210</v>
      </c>
      <c r="B2774" s="163">
        <v>42348.475819953703</v>
      </c>
      <c r="C2774" s="164" t="s">
        <v>506</v>
      </c>
      <c r="D2774" s="164" t="s">
        <v>13</v>
      </c>
      <c r="E2774" s="165">
        <v>80</v>
      </c>
      <c r="F2774" s="166">
        <v>0</v>
      </c>
      <c r="G2774" s="227">
        <f>IF($B$2,IF(ROWS(B$6:$B2774) = 1,$B2774-Start_Date,$B2774-$B2773),"")</f>
        <v>2.2467476810561493E-3</v>
      </c>
      <c r="H2774" s="29">
        <f>IF($B$2,IF(ROWS(B$6:$B2774) = 1,IF(COUNTIFS(R_Schedule_Times,"&lt;"&amp;B2774),INDEX(R_Schedule_Amounts,MATCH(B2774,R_Schedule_Times,1)),Starting_Cash),IF(COUNTIFS(R_Schedule_Times,"&gt;"&amp;B2773,R_Schedule_Times,"&lt;"&amp;B2774),INDEX(R_Schedule_Amounts,MATCH(B2774,R_Schedule_Times,1)),K2773)),"")</f>
        <v>17040</v>
      </c>
      <c r="I2774" s="30">
        <f t="shared" si="215"/>
        <v>80</v>
      </c>
      <c r="J2774" s="31">
        <f t="shared" si="216"/>
        <v>0</v>
      </c>
      <c r="K2774" s="29">
        <f t="shared" si="217"/>
        <v>16960</v>
      </c>
      <c r="L2774" s="31" t="str">
        <f t="shared" si="218"/>
        <v/>
      </c>
      <c r="M2774" s="31" t="str">
        <f t="shared" si="219"/>
        <v/>
      </c>
    </row>
    <row r="2775" spans="1:13" x14ac:dyDescent="0.15">
      <c r="A2775" s="163" t="s">
        <v>210</v>
      </c>
      <c r="B2775" s="163">
        <v>42348.476556875001</v>
      </c>
      <c r="C2775" s="164" t="s">
        <v>2377</v>
      </c>
      <c r="D2775" s="164" t="s">
        <v>13</v>
      </c>
      <c r="E2775" s="165">
        <v>60</v>
      </c>
      <c r="F2775" s="166">
        <v>0</v>
      </c>
      <c r="G2775" s="227">
        <f>IF($B$2,IF(ROWS(B$6:$B2775) = 1,$B2775-Start_Date,$B2775-$B2774),"")</f>
        <v>7.3692129808478057E-4</v>
      </c>
      <c r="H2775" s="29">
        <f>IF($B$2,IF(ROWS(B$6:$B2775) = 1,IF(COUNTIFS(R_Schedule_Times,"&lt;"&amp;B2775),INDEX(R_Schedule_Amounts,MATCH(B2775,R_Schedule_Times,1)),Starting_Cash),IF(COUNTIFS(R_Schedule_Times,"&gt;"&amp;B2774,R_Schedule_Times,"&lt;"&amp;B2775),INDEX(R_Schedule_Amounts,MATCH(B2775,R_Schedule_Times,1)),K2774)),"")</f>
        <v>16960</v>
      </c>
      <c r="I2775" s="30">
        <f t="shared" si="215"/>
        <v>60</v>
      </c>
      <c r="J2775" s="31">
        <f t="shared" si="216"/>
        <v>0</v>
      </c>
      <c r="K2775" s="29">
        <f t="shared" si="217"/>
        <v>16900</v>
      </c>
      <c r="L2775" s="31" t="str">
        <f t="shared" si="218"/>
        <v/>
      </c>
      <c r="M2775" s="31" t="str">
        <f t="shared" si="219"/>
        <v/>
      </c>
    </row>
    <row r="2776" spans="1:13" x14ac:dyDescent="0.15">
      <c r="A2776" s="163" t="s">
        <v>210</v>
      </c>
      <c r="B2776" s="163">
        <v>42348.48072053241</v>
      </c>
      <c r="C2776" s="164" t="s">
        <v>1832</v>
      </c>
      <c r="D2776" s="164" t="s">
        <v>13</v>
      </c>
      <c r="E2776" s="165">
        <v>40</v>
      </c>
      <c r="F2776" s="166">
        <v>0</v>
      </c>
      <c r="G2776" s="227">
        <f>IF($B$2,IF(ROWS(B$6:$B2776) = 1,$B2776-Start_Date,$B2776-$B2775),"")</f>
        <v>4.1636574096628465E-3</v>
      </c>
      <c r="H2776" s="29">
        <f>IF($B$2,IF(ROWS(B$6:$B2776) = 1,IF(COUNTIFS(R_Schedule_Times,"&lt;"&amp;B2776),INDEX(R_Schedule_Amounts,MATCH(B2776,R_Schedule_Times,1)),Starting_Cash),IF(COUNTIFS(R_Schedule_Times,"&gt;"&amp;B2775,R_Schedule_Times,"&lt;"&amp;B2776),INDEX(R_Schedule_Amounts,MATCH(B2776,R_Schedule_Times,1)),K2775)),"")</f>
        <v>16900</v>
      </c>
      <c r="I2776" s="30">
        <f t="shared" si="215"/>
        <v>40</v>
      </c>
      <c r="J2776" s="31">
        <f t="shared" si="216"/>
        <v>0</v>
      </c>
      <c r="K2776" s="29">
        <f t="shared" si="217"/>
        <v>16860</v>
      </c>
      <c r="L2776" s="31" t="str">
        <f t="shared" si="218"/>
        <v/>
      </c>
      <c r="M2776" s="31" t="str">
        <f t="shared" si="219"/>
        <v/>
      </c>
    </row>
    <row r="2777" spans="1:13" x14ac:dyDescent="0.15">
      <c r="A2777" s="163" t="s">
        <v>210</v>
      </c>
      <c r="B2777" s="163">
        <v>42348.491667939816</v>
      </c>
      <c r="C2777" s="164" t="s">
        <v>2378</v>
      </c>
      <c r="D2777" s="164" t="s">
        <v>13</v>
      </c>
      <c r="E2777" s="165">
        <v>80</v>
      </c>
      <c r="F2777" s="166">
        <v>0</v>
      </c>
      <c r="G2777" s="227">
        <f>IF($B$2,IF(ROWS(B$6:$B2777) = 1,$B2777-Start_Date,$B2777-$B2776),"")</f>
        <v>1.0947407405183185E-2</v>
      </c>
      <c r="H2777" s="29">
        <f>IF($B$2,IF(ROWS(B$6:$B2777) = 1,IF(COUNTIFS(R_Schedule_Times,"&lt;"&amp;B2777),INDEX(R_Schedule_Amounts,MATCH(B2777,R_Schedule_Times,1)),Starting_Cash),IF(COUNTIFS(R_Schedule_Times,"&gt;"&amp;B2776,R_Schedule_Times,"&lt;"&amp;B2777),INDEX(R_Schedule_Amounts,MATCH(B2777,R_Schedule_Times,1)),K2776)),"")</f>
        <v>16860</v>
      </c>
      <c r="I2777" s="30">
        <f t="shared" si="215"/>
        <v>80</v>
      </c>
      <c r="J2777" s="31">
        <f t="shared" si="216"/>
        <v>0</v>
      </c>
      <c r="K2777" s="29">
        <f t="shared" si="217"/>
        <v>16780</v>
      </c>
      <c r="L2777" s="31" t="str">
        <f t="shared" si="218"/>
        <v/>
      </c>
      <c r="M2777" s="31" t="str">
        <f t="shared" si="219"/>
        <v/>
      </c>
    </row>
    <row r="2778" spans="1:13" x14ac:dyDescent="0.15">
      <c r="A2778" s="163" t="s">
        <v>210</v>
      </c>
      <c r="B2778" s="163">
        <v>42348.497177824072</v>
      </c>
      <c r="C2778" s="164" t="s">
        <v>317</v>
      </c>
      <c r="D2778" s="164" t="s">
        <v>13</v>
      </c>
      <c r="E2778" s="165">
        <v>100</v>
      </c>
      <c r="F2778" s="166">
        <v>0</v>
      </c>
      <c r="G2778" s="227">
        <f>IF($B$2,IF(ROWS(B$6:$B2778) = 1,$B2778-Start_Date,$B2778-$B2777),"")</f>
        <v>5.5098842567531392E-3</v>
      </c>
      <c r="H2778" s="29">
        <f>IF($B$2,IF(ROWS(B$6:$B2778) = 1,IF(COUNTIFS(R_Schedule_Times,"&lt;"&amp;B2778),INDEX(R_Schedule_Amounts,MATCH(B2778,R_Schedule_Times,1)),Starting_Cash),IF(COUNTIFS(R_Schedule_Times,"&gt;"&amp;B2777,R_Schedule_Times,"&lt;"&amp;B2778),INDEX(R_Schedule_Amounts,MATCH(B2778,R_Schedule_Times,1)),K2777)),"")</f>
        <v>16780</v>
      </c>
      <c r="I2778" s="30">
        <f t="shared" si="215"/>
        <v>100</v>
      </c>
      <c r="J2778" s="31">
        <f t="shared" si="216"/>
        <v>0</v>
      </c>
      <c r="K2778" s="29">
        <f t="shared" si="217"/>
        <v>16680</v>
      </c>
      <c r="L2778" s="31" t="str">
        <f t="shared" si="218"/>
        <v/>
      </c>
      <c r="M2778" s="31" t="str">
        <f t="shared" si="219"/>
        <v/>
      </c>
    </row>
    <row r="2779" spans="1:13" x14ac:dyDescent="0.15">
      <c r="A2779" s="163" t="s">
        <v>210</v>
      </c>
      <c r="B2779" s="163">
        <v>42348.502549155091</v>
      </c>
      <c r="C2779" s="164" t="s">
        <v>254</v>
      </c>
      <c r="D2779" s="164" t="s">
        <v>13</v>
      </c>
      <c r="E2779" s="165">
        <v>100</v>
      </c>
      <c r="F2779" s="166">
        <v>0</v>
      </c>
      <c r="G2779" s="227">
        <f>IF($B$2,IF(ROWS(B$6:$B2779) = 1,$B2779-Start_Date,$B2779-$B2778),"")</f>
        <v>5.3713310189777985E-3</v>
      </c>
      <c r="H2779" s="29">
        <f>IF($B$2,IF(ROWS(B$6:$B2779) = 1,IF(COUNTIFS(R_Schedule_Times,"&lt;"&amp;B2779),INDEX(R_Schedule_Amounts,MATCH(B2779,R_Schedule_Times,1)),Starting_Cash),IF(COUNTIFS(R_Schedule_Times,"&gt;"&amp;B2778,R_Schedule_Times,"&lt;"&amp;B2779),INDEX(R_Schedule_Amounts,MATCH(B2779,R_Schedule_Times,1)),K2778)),"")</f>
        <v>16680</v>
      </c>
      <c r="I2779" s="30">
        <f t="shared" si="215"/>
        <v>100</v>
      </c>
      <c r="J2779" s="31">
        <f t="shared" si="216"/>
        <v>0</v>
      </c>
      <c r="K2779" s="29">
        <f t="shared" si="217"/>
        <v>16580</v>
      </c>
      <c r="L2779" s="31" t="str">
        <f t="shared" si="218"/>
        <v/>
      </c>
      <c r="M2779" s="31" t="str">
        <f t="shared" si="219"/>
        <v/>
      </c>
    </row>
    <row r="2780" spans="1:13" x14ac:dyDescent="0.15">
      <c r="A2780" s="163" t="s">
        <v>210</v>
      </c>
      <c r="B2780" s="163">
        <v>42348.51778292824</v>
      </c>
      <c r="C2780" s="164" t="s">
        <v>660</v>
      </c>
      <c r="D2780" s="164" t="s">
        <v>13</v>
      </c>
      <c r="E2780" s="165">
        <v>80</v>
      </c>
      <c r="F2780" s="166">
        <v>0</v>
      </c>
      <c r="G2780" s="227">
        <f>IF($B$2,IF(ROWS(B$6:$B2780) = 1,$B2780-Start_Date,$B2780-$B2779),"")</f>
        <v>1.5233773148793261E-2</v>
      </c>
      <c r="H2780" s="29">
        <f>IF($B$2,IF(ROWS(B$6:$B2780) = 1,IF(COUNTIFS(R_Schedule_Times,"&lt;"&amp;B2780),INDEX(R_Schedule_Amounts,MATCH(B2780,R_Schedule_Times,1)),Starting_Cash),IF(COUNTIFS(R_Schedule_Times,"&gt;"&amp;B2779,R_Schedule_Times,"&lt;"&amp;B2780),INDEX(R_Schedule_Amounts,MATCH(B2780,R_Schedule_Times,1)),K2779)),"")</f>
        <v>16580</v>
      </c>
      <c r="I2780" s="30">
        <f t="shared" si="215"/>
        <v>80</v>
      </c>
      <c r="J2780" s="31">
        <f t="shared" si="216"/>
        <v>0</v>
      </c>
      <c r="K2780" s="29">
        <f t="shared" si="217"/>
        <v>16500</v>
      </c>
      <c r="L2780" s="31" t="str">
        <f t="shared" si="218"/>
        <v/>
      </c>
      <c r="M2780" s="31" t="str">
        <f t="shared" si="219"/>
        <v/>
      </c>
    </row>
    <row r="2781" spans="1:13" x14ac:dyDescent="0.15">
      <c r="A2781" s="163" t="s">
        <v>210</v>
      </c>
      <c r="B2781" s="163">
        <v>42348.527832754633</v>
      </c>
      <c r="C2781" s="164" t="s">
        <v>437</v>
      </c>
      <c r="D2781" s="164" t="s">
        <v>13</v>
      </c>
      <c r="E2781" s="165">
        <v>20</v>
      </c>
      <c r="F2781" s="166">
        <v>0</v>
      </c>
      <c r="G2781" s="227">
        <f>IF($B$2,IF(ROWS(B$6:$B2781) = 1,$B2781-Start_Date,$B2781-$B2780),"")</f>
        <v>1.0049826392787509E-2</v>
      </c>
      <c r="H2781" s="29">
        <f>IF($B$2,IF(ROWS(B$6:$B2781) = 1,IF(COUNTIFS(R_Schedule_Times,"&lt;"&amp;B2781),INDEX(R_Schedule_Amounts,MATCH(B2781,R_Schedule_Times,1)),Starting_Cash),IF(COUNTIFS(R_Schedule_Times,"&gt;"&amp;B2780,R_Schedule_Times,"&lt;"&amp;B2781),INDEX(R_Schedule_Amounts,MATCH(B2781,R_Schedule_Times,1)),K2780)),"")</f>
        <v>16500</v>
      </c>
      <c r="I2781" s="30">
        <f t="shared" si="215"/>
        <v>20</v>
      </c>
      <c r="J2781" s="31">
        <f t="shared" si="216"/>
        <v>0</v>
      </c>
      <c r="K2781" s="29">
        <f t="shared" si="217"/>
        <v>16480</v>
      </c>
      <c r="L2781" s="31" t="str">
        <f t="shared" si="218"/>
        <v/>
      </c>
      <c r="M2781" s="31" t="str">
        <f t="shared" si="219"/>
        <v/>
      </c>
    </row>
    <row r="2782" spans="1:13" x14ac:dyDescent="0.15">
      <c r="A2782" s="163" t="s">
        <v>210</v>
      </c>
      <c r="B2782" s="163">
        <v>42348.533567615741</v>
      </c>
      <c r="C2782" s="164" t="s">
        <v>2379</v>
      </c>
      <c r="D2782" s="164" t="s">
        <v>13</v>
      </c>
      <c r="E2782" s="165">
        <v>200</v>
      </c>
      <c r="F2782" s="166">
        <v>0</v>
      </c>
      <c r="G2782" s="227">
        <f>IF($B$2,IF(ROWS(B$6:$B2782) = 1,$B2782-Start_Date,$B2782-$B2781),"")</f>
        <v>5.7348611080669798E-3</v>
      </c>
      <c r="H2782" s="29">
        <f>IF($B$2,IF(ROWS(B$6:$B2782) = 1,IF(COUNTIFS(R_Schedule_Times,"&lt;"&amp;B2782),INDEX(R_Schedule_Amounts,MATCH(B2782,R_Schedule_Times,1)),Starting_Cash),IF(COUNTIFS(R_Schedule_Times,"&gt;"&amp;B2781,R_Schedule_Times,"&lt;"&amp;B2782),INDEX(R_Schedule_Amounts,MATCH(B2782,R_Schedule_Times,1)),K2781)),"")</f>
        <v>16480</v>
      </c>
      <c r="I2782" s="30">
        <f t="shared" si="215"/>
        <v>200</v>
      </c>
      <c r="J2782" s="31">
        <f t="shared" si="216"/>
        <v>0</v>
      </c>
      <c r="K2782" s="29">
        <f t="shared" si="217"/>
        <v>16280</v>
      </c>
      <c r="L2782" s="31" t="str">
        <f t="shared" si="218"/>
        <v/>
      </c>
      <c r="M2782" s="31" t="str">
        <f t="shared" si="219"/>
        <v/>
      </c>
    </row>
    <row r="2783" spans="1:13" x14ac:dyDescent="0.15">
      <c r="A2783" s="163" t="s">
        <v>210</v>
      </c>
      <c r="B2783" s="163">
        <v>42348.581546909722</v>
      </c>
      <c r="C2783" s="164" t="s">
        <v>2380</v>
      </c>
      <c r="D2783" s="164" t="s">
        <v>13</v>
      </c>
      <c r="E2783" s="165">
        <v>40</v>
      </c>
      <c r="F2783" s="166">
        <v>0</v>
      </c>
      <c r="G2783" s="227">
        <f>IF($B$2,IF(ROWS(B$6:$B2783) = 1,$B2783-Start_Date,$B2783-$B2782),"")</f>
        <v>4.797929398046108E-2</v>
      </c>
      <c r="H2783" s="29">
        <f>IF($B$2,IF(ROWS(B$6:$B2783) = 1,IF(COUNTIFS(R_Schedule_Times,"&lt;"&amp;B2783),INDEX(R_Schedule_Amounts,MATCH(B2783,R_Schedule_Times,1)),Starting_Cash),IF(COUNTIFS(R_Schedule_Times,"&gt;"&amp;B2782,R_Schedule_Times,"&lt;"&amp;B2783),INDEX(R_Schedule_Amounts,MATCH(B2783,R_Schedule_Times,1)),K2782)),"")</f>
        <v>16280</v>
      </c>
      <c r="I2783" s="30">
        <f t="shared" si="215"/>
        <v>40</v>
      </c>
      <c r="J2783" s="31">
        <f t="shared" si="216"/>
        <v>0</v>
      </c>
      <c r="K2783" s="29">
        <f t="shared" si="217"/>
        <v>16240</v>
      </c>
      <c r="L2783" s="31" t="str">
        <f t="shared" si="218"/>
        <v/>
      </c>
      <c r="M2783" s="31" t="str">
        <f t="shared" si="219"/>
        <v/>
      </c>
    </row>
    <row r="2784" spans="1:13" x14ac:dyDescent="0.15">
      <c r="A2784" s="163" t="s">
        <v>210</v>
      </c>
      <c r="B2784" s="163">
        <v>42348.585344513886</v>
      </c>
      <c r="C2784" s="164" t="s">
        <v>2381</v>
      </c>
      <c r="D2784" s="164" t="s">
        <v>13</v>
      </c>
      <c r="E2784" s="165">
        <v>40</v>
      </c>
      <c r="F2784" s="166">
        <v>0</v>
      </c>
      <c r="G2784" s="227">
        <f>IF($B$2,IF(ROWS(B$6:$B2784) = 1,$B2784-Start_Date,$B2784-$B2783),"")</f>
        <v>3.7976041639922187E-3</v>
      </c>
      <c r="H2784" s="29">
        <f>IF($B$2,IF(ROWS(B$6:$B2784) = 1,IF(COUNTIFS(R_Schedule_Times,"&lt;"&amp;B2784),INDEX(R_Schedule_Amounts,MATCH(B2784,R_Schedule_Times,1)),Starting_Cash),IF(COUNTIFS(R_Schedule_Times,"&gt;"&amp;B2783,R_Schedule_Times,"&lt;"&amp;B2784),INDEX(R_Schedule_Amounts,MATCH(B2784,R_Schedule_Times,1)),K2783)),"")</f>
        <v>16240</v>
      </c>
      <c r="I2784" s="30">
        <f t="shared" si="215"/>
        <v>40</v>
      </c>
      <c r="J2784" s="31">
        <f t="shared" si="216"/>
        <v>0</v>
      </c>
      <c r="K2784" s="29">
        <f t="shared" si="217"/>
        <v>16200</v>
      </c>
      <c r="L2784" s="31" t="str">
        <f t="shared" si="218"/>
        <v/>
      </c>
      <c r="M2784" s="31" t="str">
        <f t="shared" si="219"/>
        <v/>
      </c>
    </row>
    <row r="2785" spans="1:13" x14ac:dyDescent="0.15">
      <c r="A2785" s="163" t="s">
        <v>210</v>
      </c>
      <c r="B2785" s="163">
        <v>42348.612230868057</v>
      </c>
      <c r="C2785" s="164" t="s">
        <v>2382</v>
      </c>
      <c r="D2785" s="164" t="s">
        <v>13</v>
      </c>
      <c r="E2785" s="165">
        <v>140</v>
      </c>
      <c r="F2785" s="166">
        <v>0</v>
      </c>
      <c r="G2785" s="227">
        <f>IF($B$2,IF(ROWS(B$6:$B2785) = 1,$B2785-Start_Date,$B2785-$B2784),"")</f>
        <v>2.6886354171438143E-2</v>
      </c>
      <c r="H2785" s="29">
        <f>IF($B$2,IF(ROWS(B$6:$B2785) = 1,IF(COUNTIFS(R_Schedule_Times,"&lt;"&amp;B2785),INDEX(R_Schedule_Amounts,MATCH(B2785,R_Schedule_Times,1)),Starting_Cash),IF(COUNTIFS(R_Schedule_Times,"&gt;"&amp;B2784,R_Schedule_Times,"&lt;"&amp;B2785),INDEX(R_Schedule_Amounts,MATCH(B2785,R_Schedule_Times,1)),K2784)),"")</f>
        <v>16200</v>
      </c>
      <c r="I2785" s="30">
        <f t="shared" si="215"/>
        <v>140</v>
      </c>
      <c r="J2785" s="31">
        <f t="shared" si="216"/>
        <v>0</v>
      </c>
      <c r="K2785" s="29">
        <f t="shared" si="217"/>
        <v>16060</v>
      </c>
      <c r="L2785" s="31" t="str">
        <f t="shared" si="218"/>
        <v/>
      </c>
      <c r="M2785" s="31" t="str">
        <f t="shared" si="219"/>
        <v/>
      </c>
    </row>
    <row r="2786" spans="1:13" x14ac:dyDescent="0.15">
      <c r="A2786" s="163" t="s">
        <v>210</v>
      </c>
      <c r="B2786" s="163">
        <v>42348.623362048609</v>
      </c>
      <c r="C2786" s="164" t="s">
        <v>454</v>
      </c>
      <c r="D2786" s="164" t="s">
        <v>13</v>
      </c>
      <c r="E2786" s="165">
        <v>80</v>
      </c>
      <c r="F2786" s="166">
        <v>0</v>
      </c>
      <c r="G2786" s="227">
        <f>IF($B$2,IF(ROWS(B$6:$B2786) = 1,$B2786-Start_Date,$B2786-$B2785),"")</f>
        <v>1.113118055218365E-2</v>
      </c>
      <c r="H2786" s="29">
        <f>IF($B$2,IF(ROWS(B$6:$B2786) = 1,IF(COUNTIFS(R_Schedule_Times,"&lt;"&amp;B2786),INDEX(R_Schedule_Amounts,MATCH(B2786,R_Schedule_Times,1)),Starting_Cash),IF(COUNTIFS(R_Schedule_Times,"&gt;"&amp;B2785,R_Schedule_Times,"&lt;"&amp;B2786),INDEX(R_Schedule_Amounts,MATCH(B2786,R_Schedule_Times,1)),K2785)),"")</f>
        <v>16060</v>
      </c>
      <c r="I2786" s="30">
        <f t="shared" si="215"/>
        <v>80</v>
      </c>
      <c r="J2786" s="31">
        <f t="shared" si="216"/>
        <v>0</v>
      </c>
      <c r="K2786" s="29">
        <f t="shared" si="217"/>
        <v>15980</v>
      </c>
      <c r="L2786" s="31" t="str">
        <f t="shared" si="218"/>
        <v/>
      </c>
      <c r="M2786" s="31" t="str">
        <f t="shared" si="219"/>
        <v/>
      </c>
    </row>
    <row r="2787" spans="1:13" x14ac:dyDescent="0.15">
      <c r="A2787" s="163" t="s">
        <v>210</v>
      </c>
      <c r="B2787" s="163">
        <v>42348.625125196762</v>
      </c>
      <c r="C2787" s="164" t="s">
        <v>2249</v>
      </c>
      <c r="D2787" s="164" t="s">
        <v>13</v>
      </c>
      <c r="E2787" s="165">
        <v>20</v>
      </c>
      <c r="F2787" s="166">
        <v>0</v>
      </c>
      <c r="G2787" s="227">
        <f>IF($B$2,IF(ROWS(B$6:$B2787) = 1,$B2787-Start_Date,$B2787-$B2786),"")</f>
        <v>1.7631481532589532E-3</v>
      </c>
      <c r="H2787" s="29">
        <f>IF($B$2,IF(ROWS(B$6:$B2787) = 1,IF(COUNTIFS(R_Schedule_Times,"&lt;"&amp;B2787),INDEX(R_Schedule_Amounts,MATCH(B2787,R_Schedule_Times,1)),Starting_Cash),IF(COUNTIFS(R_Schedule_Times,"&gt;"&amp;B2786,R_Schedule_Times,"&lt;"&amp;B2787),INDEX(R_Schedule_Amounts,MATCH(B2787,R_Schedule_Times,1)),K2786)),"")</f>
        <v>15980</v>
      </c>
      <c r="I2787" s="30">
        <f t="shared" si="215"/>
        <v>20</v>
      </c>
      <c r="J2787" s="31">
        <f t="shared" si="216"/>
        <v>0</v>
      </c>
      <c r="K2787" s="29">
        <f t="shared" si="217"/>
        <v>15960</v>
      </c>
      <c r="L2787" s="31" t="str">
        <f t="shared" si="218"/>
        <v/>
      </c>
      <c r="M2787" s="31" t="str">
        <f t="shared" si="219"/>
        <v/>
      </c>
    </row>
    <row r="2788" spans="1:13" x14ac:dyDescent="0.15">
      <c r="A2788" s="163" t="s">
        <v>210</v>
      </c>
      <c r="B2788" s="163">
        <v>42348.634547615744</v>
      </c>
      <c r="C2788" s="164" t="s">
        <v>2383</v>
      </c>
      <c r="D2788" s="164" t="s">
        <v>13</v>
      </c>
      <c r="E2788" s="165">
        <v>360</v>
      </c>
      <c r="F2788" s="166">
        <v>0</v>
      </c>
      <c r="G2788" s="227">
        <f>IF($B$2,IF(ROWS(B$6:$B2788) = 1,$B2788-Start_Date,$B2788-$B2787),"")</f>
        <v>9.422418981557712E-3</v>
      </c>
      <c r="H2788" s="29">
        <f>IF($B$2,IF(ROWS(B$6:$B2788) = 1,IF(COUNTIFS(R_Schedule_Times,"&lt;"&amp;B2788),INDEX(R_Schedule_Amounts,MATCH(B2788,R_Schedule_Times,1)),Starting_Cash),IF(COUNTIFS(R_Schedule_Times,"&gt;"&amp;B2787,R_Schedule_Times,"&lt;"&amp;B2788),INDEX(R_Schedule_Amounts,MATCH(B2788,R_Schedule_Times,1)),K2787)),"")</f>
        <v>15960</v>
      </c>
      <c r="I2788" s="30">
        <f t="shared" si="215"/>
        <v>360</v>
      </c>
      <c r="J2788" s="31">
        <f t="shared" si="216"/>
        <v>0</v>
      </c>
      <c r="K2788" s="29">
        <f t="shared" si="217"/>
        <v>15600</v>
      </c>
      <c r="L2788" s="31" t="str">
        <f t="shared" si="218"/>
        <v/>
      </c>
      <c r="M2788" s="31" t="str">
        <f t="shared" si="219"/>
        <v/>
      </c>
    </row>
    <row r="2789" spans="1:13" x14ac:dyDescent="0.15">
      <c r="A2789" s="163" t="s">
        <v>210</v>
      </c>
      <c r="B2789" s="163">
        <v>42348.649554108793</v>
      </c>
      <c r="C2789" s="164" t="s">
        <v>1180</v>
      </c>
      <c r="D2789" s="164" t="s">
        <v>13</v>
      </c>
      <c r="E2789" s="165">
        <v>20</v>
      </c>
      <c r="F2789" s="166">
        <v>0</v>
      </c>
      <c r="G2789" s="227">
        <f>IF($B$2,IF(ROWS(B$6:$B2789) = 1,$B2789-Start_Date,$B2789-$B2788),"")</f>
        <v>1.5006493049440905E-2</v>
      </c>
      <c r="H2789" s="29">
        <f>IF($B$2,IF(ROWS(B$6:$B2789) = 1,IF(COUNTIFS(R_Schedule_Times,"&lt;"&amp;B2789),INDEX(R_Schedule_Amounts,MATCH(B2789,R_Schedule_Times,1)),Starting_Cash),IF(COUNTIFS(R_Schedule_Times,"&gt;"&amp;B2788,R_Schedule_Times,"&lt;"&amp;B2789),INDEX(R_Schedule_Amounts,MATCH(B2789,R_Schedule_Times,1)),K2788)),"")</f>
        <v>15600</v>
      </c>
      <c r="I2789" s="30">
        <f t="shared" si="215"/>
        <v>20</v>
      </c>
      <c r="J2789" s="31">
        <f t="shared" si="216"/>
        <v>0</v>
      </c>
      <c r="K2789" s="29">
        <f t="shared" si="217"/>
        <v>15580</v>
      </c>
      <c r="L2789" s="31" t="str">
        <f t="shared" si="218"/>
        <v/>
      </c>
      <c r="M2789" s="31" t="str">
        <f t="shared" si="219"/>
        <v/>
      </c>
    </row>
    <row r="2790" spans="1:13" x14ac:dyDescent="0.15">
      <c r="A2790" s="163" t="s">
        <v>210</v>
      </c>
      <c r="B2790" s="163">
        <v>42348.67597989583</v>
      </c>
      <c r="C2790" s="164" t="s">
        <v>14</v>
      </c>
      <c r="D2790" s="164" t="s">
        <v>13</v>
      </c>
      <c r="E2790" s="165">
        <v>40</v>
      </c>
      <c r="F2790" s="166">
        <v>3.5</v>
      </c>
      <c r="G2790" s="227">
        <f>IF($B$2,IF(ROWS(B$6:$B2790) = 1,$B2790-Start_Date,$B2790-$B2789),"")</f>
        <v>2.642578703671461E-2</v>
      </c>
      <c r="H2790" s="29">
        <f>IF($B$2,IF(ROWS(B$6:$B2790) = 1,IF(COUNTIFS(R_Schedule_Times,"&lt;"&amp;B2790),INDEX(R_Schedule_Amounts,MATCH(B2790,R_Schedule_Times,1)),Starting_Cash),IF(COUNTIFS(R_Schedule_Times,"&gt;"&amp;B2789,R_Schedule_Times,"&lt;"&amp;B2790),INDEX(R_Schedule_Amounts,MATCH(B2790,R_Schedule_Times,1)),K2789)),"")</f>
        <v>15580</v>
      </c>
      <c r="I2790" s="30">
        <f t="shared" si="215"/>
        <v>40</v>
      </c>
      <c r="J2790" s="31">
        <f t="shared" si="216"/>
        <v>3.5</v>
      </c>
      <c r="K2790" s="29">
        <f t="shared" si="217"/>
        <v>15540</v>
      </c>
      <c r="L2790" s="31" t="str">
        <f t="shared" si="218"/>
        <v/>
      </c>
      <c r="M2790" s="31" t="str">
        <f t="shared" si="219"/>
        <v/>
      </c>
    </row>
    <row r="2791" spans="1:13" x14ac:dyDescent="0.15">
      <c r="A2791" s="163" t="s">
        <v>210</v>
      </c>
      <c r="B2791" s="163">
        <v>42348.685938125003</v>
      </c>
      <c r="C2791" s="164" t="s">
        <v>795</v>
      </c>
      <c r="D2791" s="164" t="s">
        <v>13</v>
      </c>
      <c r="E2791" s="165">
        <v>80</v>
      </c>
      <c r="F2791" s="166">
        <v>0</v>
      </c>
      <c r="G2791" s="227">
        <f>IF($B$2,IF(ROWS(B$6:$B2791) = 1,$B2791-Start_Date,$B2791-$B2790),"")</f>
        <v>9.9582291732076555E-3</v>
      </c>
      <c r="H2791" s="29">
        <f>IF($B$2,IF(ROWS(B$6:$B2791) = 1,IF(COUNTIFS(R_Schedule_Times,"&lt;"&amp;B2791),INDEX(R_Schedule_Amounts,MATCH(B2791,R_Schedule_Times,1)),Starting_Cash),IF(COUNTIFS(R_Schedule_Times,"&gt;"&amp;B2790,R_Schedule_Times,"&lt;"&amp;B2791),INDEX(R_Schedule_Amounts,MATCH(B2791,R_Schedule_Times,1)),K2790)),"")</f>
        <v>15540</v>
      </c>
      <c r="I2791" s="30">
        <f t="shared" si="215"/>
        <v>80</v>
      </c>
      <c r="J2791" s="31">
        <f t="shared" si="216"/>
        <v>0</v>
      </c>
      <c r="K2791" s="29">
        <f t="shared" si="217"/>
        <v>15460</v>
      </c>
      <c r="L2791" s="31" t="str">
        <f t="shared" si="218"/>
        <v/>
      </c>
      <c r="M2791" s="31" t="str">
        <f t="shared" si="219"/>
        <v/>
      </c>
    </row>
    <row r="2792" spans="1:13" x14ac:dyDescent="0.15">
      <c r="A2792" s="163" t="s">
        <v>210</v>
      </c>
      <c r="B2792" s="163">
        <v>42348.721546967594</v>
      </c>
      <c r="C2792" s="164" t="s">
        <v>14</v>
      </c>
      <c r="D2792" s="164" t="s">
        <v>13</v>
      </c>
      <c r="E2792" s="165">
        <v>40</v>
      </c>
      <c r="F2792" s="166">
        <v>3.5</v>
      </c>
      <c r="G2792" s="227">
        <f>IF($B$2,IF(ROWS(B$6:$B2792) = 1,$B2792-Start_Date,$B2792-$B2791),"")</f>
        <v>3.5608842590590939E-2</v>
      </c>
      <c r="H2792" s="29">
        <f>IF($B$2,IF(ROWS(B$6:$B2792) = 1,IF(COUNTIFS(R_Schedule_Times,"&lt;"&amp;B2792),INDEX(R_Schedule_Amounts,MATCH(B2792,R_Schedule_Times,1)),Starting_Cash),IF(COUNTIFS(R_Schedule_Times,"&gt;"&amp;B2791,R_Schedule_Times,"&lt;"&amp;B2792),INDEX(R_Schedule_Amounts,MATCH(B2792,R_Schedule_Times,1)),K2791)),"")</f>
        <v>15460</v>
      </c>
      <c r="I2792" s="30">
        <f t="shared" si="215"/>
        <v>40</v>
      </c>
      <c r="J2792" s="31">
        <f t="shared" si="216"/>
        <v>3.5</v>
      </c>
      <c r="K2792" s="29">
        <f t="shared" si="217"/>
        <v>15420</v>
      </c>
      <c r="L2792" s="31" t="str">
        <f t="shared" si="218"/>
        <v/>
      </c>
      <c r="M2792" s="31" t="str">
        <f t="shared" si="219"/>
        <v/>
      </c>
    </row>
    <row r="2793" spans="1:13" x14ac:dyDescent="0.15">
      <c r="A2793" s="163" t="s">
        <v>210</v>
      </c>
      <c r="B2793" s="163">
        <v>42348.765736759262</v>
      </c>
      <c r="C2793" s="164" t="s">
        <v>14</v>
      </c>
      <c r="D2793" s="164" t="s">
        <v>13</v>
      </c>
      <c r="E2793" s="165">
        <v>100</v>
      </c>
      <c r="F2793" s="166">
        <v>3.5</v>
      </c>
      <c r="G2793" s="227">
        <f>IF($B$2,IF(ROWS(B$6:$B2793) = 1,$B2793-Start_Date,$B2793-$B2792),"")</f>
        <v>4.418979166803183E-2</v>
      </c>
      <c r="H2793" s="29">
        <f>IF($B$2,IF(ROWS(B$6:$B2793) = 1,IF(COUNTIFS(R_Schedule_Times,"&lt;"&amp;B2793),INDEX(R_Schedule_Amounts,MATCH(B2793,R_Schedule_Times,1)),Starting_Cash),IF(COUNTIFS(R_Schedule_Times,"&gt;"&amp;B2792,R_Schedule_Times,"&lt;"&amp;B2793),INDEX(R_Schedule_Amounts,MATCH(B2793,R_Schedule_Times,1)),K2792)),"")</f>
        <v>15420</v>
      </c>
      <c r="I2793" s="30">
        <f t="shared" si="215"/>
        <v>100</v>
      </c>
      <c r="J2793" s="31">
        <f t="shared" si="216"/>
        <v>3.5</v>
      </c>
      <c r="K2793" s="29">
        <f t="shared" si="217"/>
        <v>15320</v>
      </c>
      <c r="L2793" s="31" t="str">
        <f t="shared" si="218"/>
        <v/>
      </c>
      <c r="M2793" s="31" t="str">
        <f t="shared" si="219"/>
        <v/>
      </c>
    </row>
    <row r="2794" spans="1:13" x14ac:dyDescent="0.15">
      <c r="A2794" s="163" t="s">
        <v>210</v>
      </c>
      <c r="B2794" s="163">
        <v>42348.772181747685</v>
      </c>
      <c r="C2794" s="164" t="s">
        <v>2384</v>
      </c>
      <c r="D2794" s="164" t="s">
        <v>13</v>
      </c>
      <c r="E2794" s="165">
        <v>40</v>
      </c>
      <c r="F2794" s="166">
        <v>0</v>
      </c>
      <c r="G2794" s="227">
        <f>IF($B$2,IF(ROWS(B$6:$B2794) = 1,$B2794-Start_Date,$B2794-$B2793),"")</f>
        <v>6.4449884230270982E-3</v>
      </c>
      <c r="H2794" s="29">
        <f>IF($B$2,IF(ROWS(B$6:$B2794) = 1,IF(COUNTIFS(R_Schedule_Times,"&lt;"&amp;B2794),INDEX(R_Schedule_Amounts,MATCH(B2794,R_Schedule_Times,1)),Starting_Cash),IF(COUNTIFS(R_Schedule_Times,"&gt;"&amp;B2793,R_Schedule_Times,"&lt;"&amp;B2794),INDEX(R_Schedule_Amounts,MATCH(B2794,R_Schedule_Times,1)),K2793)),"")</f>
        <v>15320</v>
      </c>
      <c r="I2794" s="30">
        <f t="shared" si="215"/>
        <v>40</v>
      </c>
      <c r="J2794" s="31">
        <f t="shared" si="216"/>
        <v>0</v>
      </c>
      <c r="K2794" s="29">
        <f t="shared" si="217"/>
        <v>15280</v>
      </c>
      <c r="L2794" s="31" t="str">
        <f t="shared" si="218"/>
        <v/>
      </c>
      <c r="M2794" s="31" t="str">
        <f t="shared" si="219"/>
        <v/>
      </c>
    </row>
    <row r="2795" spans="1:13" x14ac:dyDescent="0.15">
      <c r="A2795" s="163" t="s">
        <v>210</v>
      </c>
      <c r="B2795" s="163">
        <v>42348.778540879626</v>
      </c>
      <c r="C2795" s="164" t="s">
        <v>14</v>
      </c>
      <c r="D2795" s="164" t="s">
        <v>13</v>
      </c>
      <c r="E2795" s="165">
        <v>80</v>
      </c>
      <c r="F2795" s="166">
        <v>3.5</v>
      </c>
      <c r="G2795" s="227">
        <f>IF($B$2,IF(ROWS(B$6:$B2795) = 1,$B2795-Start_Date,$B2795-$B2794),"")</f>
        <v>6.3591319412807934E-3</v>
      </c>
      <c r="H2795" s="29">
        <f>IF($B$2,IF(ROWS(B$6:$B2795) = 1,IF(COUNTIFS(R_Schedule_Times,"&lt;"&amp;B2795),INDEX(R_Schedule_Amounts,MATCH(B2795,R_Schedule_Times,1)),Starting_Cash),IF(COUNTIFS(R_Schedule_Times,"&gt;"&amp;B2794,R_Schedule_Times,"&lt;"&amp;B2795),INDEX(R_Schedule_Amounts,MATCH(B2795,R_Schedule_Times,1)),K2794)),"")</f>
        <v>15280</v>
      </c>
      <c r="I2795" s="30">
        <f t="shared" si="215"/>
        <v>80</v>
      </c>
      <c r="J2795" s="31">
        <f t="shared" si="216"/>
        <v>3.5</v>
      </c>
      <c r="K2795" s="29">
        <f t="shared" si="217"/>
        <v>15200</v>
      </c>
      <c r="L2795" s="31" t="str">
        <f t="shared" si="218"/>
        <v/>
      </c>
      <c r="M2795" s="31" t="str">
        <f t="shared" si="219"/>
        <v/>
      </c>
    </row>
    <row r="2796" spans="1:13" x14ac:dyDescent="0.15">
      <c r="A2796" s="163" t="s">
        <v>210</v>
      </c>
      <c r="B2796" s="163">
        <v>42348.785784884261</v>
      </c>
      <c r="C2796" s="164" t="s">
        <v>2385</v>
      </c>
      <c r="D2796" s="164" t="s">
        <v>13</v>
      </c>
      <c r="E2796" s="165">
        <v>60</v>
      </c>
      <c r="F2796" s="166">
        <v>0</v>
      </c>
      <c r="G2796" s="227">
        <f>IF($B$2,IF(ROWS(B$6:$B2796) = 1,$B2796-Start_Date,$B2796-$B2795),"")</f>
        <v>7.2440046351402998E-3</v>
      </c>
      <c r="H2796" s="29">
        <f>IF($B$2,IF(ROWS(B$6:$B2796) = 1,IF(COUNTIFS(R_Schedule_Times,"&lt;"&amp;B2796),INDEX(R_Schedule_Amounts,MATCH(B2796,R_Schedule_Times,1)),Starting_Cash),IF(COUNTIFS(R_Schedule_Times,"&gt;"&amp;B2795,R_Schedule_Times,"&lt;"&amp;B2796),INDEX(R_Schedule_Amounts,MATCH(B2796,R_Schedule_Times,1)),K2795)),"")</f>
        <v>15200</v>
      </c>
      <c r="I2796" s="30">
        <f t="shared" si="215"/>
        <v>60</v>
      </c>
      <c r="J2796" s="31">
        <f t="shared" si="216"/>
        <v>0</v>
      </c>
      <c r="K2796" s="29">
        <f t="shared" si="217"/>
        <v>15140</v>
      </c>
      <c r="L2796" s="31" t="str">
        <f t="shared" si="218"/>
        <v/>
      </c>
      <c r="M2796" s="31" t="str">
        <f t="shared" si="219"/>
        <v/>
      </c>
    </row>
    <row r="2797" spans="1:13" x14ac:dyDescent="0.15">
      <c r="A2797" s="163" t="s">
        <v>210</v>
      </c>
      <c r="B2797" s="163">
        <v>42348.830291226855</v>
      </c>
      <c r="C2797" s="164" t="s">
        <v>2386</v>
      </c>
      <c r="D2797" s="164" t="s">
        <v>13</v>
      </c>
      <c r="E2797" s="165">
        <v>100</v>
      </c>
      <c r="F2797" s="166">
        <v>0</v>
      </c>
      <c r="G2797" s="227">
        <f>IF($B$2,IF(ROWS(B$6:$B2797) = 1,$B2797-Start_Date,$B2797-$B2796),"")</f>
        <v>4.4506342594104353E-2</v>
      </c>
      <c r="H2797" s="29">
        <f>IF($B$2,IF(ROWS(B$6:$B2797) = 1,IF(COUNTIFS(R_Schedule_Times,"&lt;"&amp;B2797),INDEX(R_Schedule_Amounts,MATCH(B2797,R_Schedule_Times,1)),Starting_Cash),IF(COUNTIFS(R_Schedule_Times,"&gt;"&amp;B2796,R_Schedule_Times,"&lt;"&amp;B2797),INDEX(R_Schedule_Amounts,MATCH(B2797,R_Schedule_Times,1)),K2796)),"")</f>
        <v>15140</v>
      </c>
      <c r="I2797" s="30">
        <f t="shared" si="215"/>
        <v>100</v>
      </c>
      <c r="J2797" s="31">
        <f t="shared" si="216"/>
        <v>0</v>
      </c>
      <c r="K2797" s="29">
        <f t="shared" si="217"/>
        <v>15040</v>
      </c>
      <c r="L2797" s="31" t="str">
        <f t="shared" si="218"/>
        <v/>
      </c>
      <c r="M2797" s="31" t="str">
        <f t="shared" si="219"/>
        <v/>
      </c>
    </row>
    <row r="2798" spans="1:13" x14ac:dyDescent="0.15">
      <c r="A2798" s="163" t="s">
        <v>210</v>
      </c>
      <c r="B2798" s="163">
        <v>42348.836641932867</v>
      </c>
      <c r="C2798" s="164" t="s">
        <v>2387</v>
      </c>
      <c r="D2798" s="164" t="s">
        <v>13</v>
      </c>
      <c r="E2798" s="165">
        <v>20</v>
      </c>
      <c r="F2798" s="166">
        <v>0</v>
      </c>
      <c r="G2798" s="227">
        <f>IF($B$2,IF(ROWS(B$6:$B2798) = 1,$B2798-Start_Date,$B2798-$B2797),"")</f>
        <v>6.3507060112897307E-3</v>
      </c>
      <c r="H2798" s="29">
        <f>IF($B$2,IF(ROWS(B$6:$B2798) = 1,IF(COUNTIFS(R_Schedule_Times,"&lt;"&amp;B2798),INDEX(R_Schedule_Amounts,MATCH(B2798,R_Schedule_Times,1)),Starting_Cash),IF(COUNTIFS(R_Schedule_Times,"&gt;"&amp;B2797,R_Schedule_Times,"&lt;"&amp;B2798),INDEX(R_Schedule_Amounts,MATCH(B2798,R_Schedule_Times,1)),K2797)),"")</f>
        <v>15040</v>
      </c>
      <c r="I2798" s="30">
        <f t="shared" si="215"/>
        <v>20</v>
      </c>
      <c r="J2798" s="31">
        <f t="shared" si="216"/>
        <v>0</v>
      </c>
      <c r="K2798" s="29">
        <f t="shared" si="217"/>
        <v>15020</v>
      </c>
      <c r="L2798" s="31" t="str">
        <f t="shared" si="218"/>
        <v/>
      </c>
      <c r="M2798" s="31" t="str">
        <f t="shared" si="219"/>
        <v/>
      </c>
    </row>
    <row r="2799" spans="1:13" x14ac:dyDescent="0.15">
      <c r="A2799" s="163" t="s">
        <v>210</v>
      </c>
      <c r="B2799" s="163">
        <v>42348.839463113429</v>
      </c>
      <c r="C2799" s="164" t="s">
        <v>2388</v>
      </c>
      <c r="D2799" s="164" t="s">
        <v>13</v>
      </c>
      <c r="E2799" s="165">
        <v>100</v>
      </c>
      <c r="F2799" s="166">
        <v>0</v>
      </c>
      <c r="G2799" s="227">
        <f>IF($B$2,IF(ROWS(B$6:$B2799) = 1,$B2799-Start_Date,$B2799-$B2798),"")</f>
        <v>2.8211805620230734E-3</v>
      </c>
      <c r="H2799" s="29">
        <f>IF($B$2,IF(ROWS(B$6:$B2799) = 1,IF(COUNTIFS(R_Schedule_Times,"&lt;"&amp;B2799),INDEX(R_Schedule_Amounts,MATCH(B2799,R_Schedule_Times,1)),Starting_Cash),IF(COUNTIFS(R_Schedule_Times,"&gt;"&amp;B2798,R_Schedule_Times,"&lt;"&amp;B2799),INDEX(R_Schedule_Amounts,MATCH(B2799,R_Schedule_Times,1)),K2798)),"")</f>
        <v>15020</v>
      </c>
      <c r="I2799" s="30">
        <f t="shared" si="215"/>
        <v>100</v>
      </c>
      <c r="J2799" s="31">
        <f t="shared" si="216"/>
        <v>0</v>
      </c>
      <c r="K2799" s="29">
        <f t="shared" si="217"/>
        <v>14920</v>
      </c>
      <c r="L2799" s="31" t="str">
        <f t="shared" si="218"/>
        <v/>
      </c>
      <c r="M2799" s="31" t="str">
        <f t="shared" si="219"/>
        <v/>
      </c>
    </row>
    <row r="2800" spans="1:13" x14ac:dyDescent="0.15">
      <c r="A2800" s="163" t="s">
        <v>210</v>
      </c>
      <c r="B2800" s="163">
        <v>42348.871190625003</v>
      </c>
      <c r="C2800" s="164" t="s">
        <v>600</v>
      </c>
      <c r="D2800" s="164" t="s">
        <v>13</v>
      </c>
      <c r="E2800" s="165">
        <v>40</v>
      </c>
      <c r="F2800" s="166">
        <v>0</v>
      </c>
      <c r="G2800" s="227">
        <f>IF($B$2,IF(ROWS(B$6:$B2800) = 1,$B2800-Start_Date,$B2800-$B2799),"")</f>
        <v>3.1727511573990341E-2</v>
      </c>
      <c r="H2800" s="29">
        <f>IF($B$2,IF(ROWS(B$6:$B2800) = 1,IF(COUNTIFS(R_Schedule_Times,"&lt;"&amp;B2800),INDEX(R_Schedule_Amounts,MATCH(B2800,R_Schedule_Times,1)),Starting_Cash),IF(COUNTIFS(R_Schedule_Times,"&gt;"&amp;B2799,R_Schedule_Times,"&lt;"&amp;B2800),INDEX(R_Schedule_Amounts,MATCH(B2800,R_Schedule_Times,1)),K2799)),"")</f>
        <v>14920</v>
      </c>
      <c r="I2800" s="30">
        <f t="shared" si="215"/>
        <v>40</v>
      </c>
      <c r="J2800" s="31">
        <f t="shared" si="216"/>
        <v>0</v>
      </c>
      <c r="K2800" s="29">
        <f t="shared" si="217"/>
        <v>14880</v>
      </c>
      <c r="L2800" s="31" t="str">
        <f t="shared" si="218"/>
        <v/>
      </c>
      <c r="M2800" s="31" t="str">
        <f t="shared" si="219"/>
        <v/>
      </c>
    </row>
    <row r="2801" spans="1:13" x14ac:dyDescent="0.15">
      <c r="A2801" s="163" t="s">
        <v>210</v>
      </c>
      <c r="B2801" s="163">
        <v>42348.876077499997</v>
      </c>
      <c r="C2801" s="164" t="s">
        <v>14</v>
      </c>
      <c r="D2801" s="164" t="s">
        <v>13</v>
      </c>
      <c r="E2801" s="165">
        <v>200</v>
      </c>
      <c r="F2801" s="166">
        <v>3.5</v>
      </c>
      <c r="G2801" s="227">
        <f>IF($B$2,IF(ROWS(B$6:$B2801) = 1,$B2801-Start_Date,$B2801-$B2800),"")</f>
        <v>4.8868749945540912E-3</v>
      </c>
      <c r="H2801" s="29">
        <f>IF($B$2,IF(ROWS(B$6:$B2801) = 1,IF(COUNTIFS(R_Schedule_Times,"&lt;"&amp;B2801),INDEX(R_Schedule_Amounts,MATCH(B2801,R_Schedule_Times,1)),Starting_Cash),IF(COUNTIFS(R_Schedule_Times,"&gt;"&amp;B2800,R_Schedule_Times,"&lt;"&amp;B2801),INDEX(R_Schedule_Amounts,MATCH(B2801,R_Schedule_Times,1)),K2800)),"")</f>
        <v>14880</v>
      </c>
      <c r="I2801" s="30">
        <f t="shared" si="215"/>
        <v>200</v>
      </c>
      <c r="J2801" s="31">
        <f t="shared" si="216"/>
        <v>3.5</v>
      </c>
      <c r="K2801" s="29">
        <f t="shared" si="217"/>
        <v>14680</v>
      </c>
      <c r="L2801" s="31" t="str">
        <f t="shared" si="218"/>
        <v/>
      </c>
      <c r="M2801" s="31" t="str">
        <f t="shared" si="219"/>
        <v/>
      </c>
    </row>
    <row r="2802" spans="1:13" x14ac:dyDescent="0.15">
      <c r="A2802" s="163" t="s">
        <v>210</v>
      </c>
      <c r="B2802" s="163">
        <v>42348.928633101852</v>
      </c>
      <c r="C2802" s="164" t="s">
        <v>2389</v>
      </c>
      <c r="D2802" s="164" t="s">
        <v>13</v>
      </c>
      <c r="E2802" s="165">
        <v>40</v>
      </c>
      <c r="F2802" s="166">
        <v>0</v>
      </c>
      <c r="G2802" s="227">
        <f>IF($B$2,IF(ROWS(B$6:$B2802) = 1,$B2802-Start_Date,$B2802-$B2801),"")</f>
        <v>5.2555601854692213E-2</v>
      </c>
      <c r="H2802" s="29">
        <f>IF($B$2,IF(ROWS(B$6:$B2802) = 1,IF(COUNTIFS(R_Schedule_Times,"&lt;"&amp;B2802),INDEX(R_Schedule_Amounts,MATCH(B2802,R_Schedule_Times,1)),Starting_Cash),IF(COUNTIFS(R_Schedule_Times,"&gt;"&amp;B2801,R_Schedule_Times,"&lt;"&amp;B2802),INDEX(R_Schedule_Amounts,MATCH(B2802,R_Schedule_Times,1)),K2801)),"")</f>
        <v>14680</v>
      </c>
      <c r="I2802" s="30">
        <f t="shared" si="215"/>
        <v>40</v>
      </c>
      <c r="J2802" s="31">
        <f t="shared" si="216"/>
        <v>0</v>
      </c>
      <c r="K2802" s="29">
        <f t="shared" si="217"/>
        <v>14640</v>
      </c>
      <c r="L2802" s="31" t="str">
        <f t="shared" si="218"/>
        <v/>
      </c>
      <c r="M2802" s="31" t="str">
        <f t="shared" si="219"/>
        <v/>
      </c>
    </row>
    <row r="2803" spans="1:13" x14ac:dyDescent="0.15">
      <c r="A2803" s="163" t="s">
        <v>210</v>
      </c>
      <c r="B2803" s="163">
        <v>42349.337031215277</v>
      </c>
      <c r="C2803" s="164" t="s">
        <v>2390</v>
      </c>
      <c r="D2803" s="164" t="s">
        <v>13</v>
      </c>
      <c r="E2803" s="165">
        <v>40</v>
      </c>
      <c r="F2803" s="166">
        <v>0</v>
      </c>
      <c r="G2803" s="227">
        <f>IF($B$2,IF(ROWS(B$6:$B2803) = 1,$B2803-Start_Date,$B2803-$B2802),"")</f>
        <v>0.40839811342448229</v>
      </c>
      <c r="H2803" s="29">
        <f>IF($B$2,IF(ROWS(B$6:$B2803) = 1,IF(COUNTIFS(R_Schedule_Times,"&lt;"&amp;B2803),INDEX(R_Schedule_Amounts,MATCH(B2803,R_Schedule_Times,1)),Starting_Cash),IF(COUNTIFS(R_Schedule_Times,"&gt;"&amp;B2802,R_Schedule_Times,"&lt;"&amp;B2803),INDEX(R_Schedule_Amounts,MATCH(B2803,R_Schedule_Times,1)),K2802)),"")</f>
        <v>14640</v>
      </c>
      <c r="I2803" s="30">
        <f t="shared" si="215"/>
        <v>40</v>
      </c>
      <c r="J2803" s="31">
        <f t="shared" si="216"/>
        <v>0</v>
      </c>
      <c r="K2803" s="29">
        <f t="shared" si="217"/>
        <v>14600</v>
      </c>
      <c r="L2803" s="31" t="str">
        <f t="shared" si="218"/>
        <v/>
      </c>
      <c r="M2803" s="31" t="str">
        <f t="shared" si="219"/>
        <v/>
      </c>
    </row>
    <row r="2804" spans="1:13" x14ac:dyDescent="0.15">
      <c r="A2804" s="163" t="s">
        <v>210</v>
      </c>
      <c r="B2804" s="163">
        <v>42349.35147400463</v>
      </c>
      <c r="C2804" s="164" t="s">
        <v>2391</v>
      </c>
      <c r="D2804" s="164" t="s">
        <v>13</v>
      </c>
      <c r="E2804" s="165">
        <v>20</v>
      </c>
      <c r="F2804" s="166">
        <v>0</v>
      </c>
      <c r="G2804" s="227">
        <f>IF($B$2,IF(ROWS(B$6:$B2804) = 1,$B2804-Start_Date,$B2804-$B2803),"")</f>
        <v>1.4442789353779517E-2</v>
      </c>
      <c r="H2804" s="29">
        <f>IF($B$2,IF(ROWS(B$6:$B2804) = 1,IF(COUNTIFS(R_Schedule_Times,"&lt;"&amp;B2804),INDEX(R_Schedule_Amounts,MATCH(B2804,R_Schedule_Times,1)),Starting_Cash),IF(COUNTIFS(R_Schedule_Times,"&gt;"&amp;B2803,R_Schedule_Times,"&lt;"&amp;B2804),INDEX(R_Schedule_Amounts,MATCH(B2804,R_Schedule_Times,1)),K2803)),"")</f>
        <v>14600</v>
      </c>
      <c r="I2804" s="30">
        <f t="shared" si="215"/>
        <v>20</v>
      </c>
      <c r="J2804" s="31">
        <f t="shared" si="216"/>
        <v>0</v>
      </c>
      <c r="K2804" s="29">
        <f t="shared" si="217"/>
        <v>14580</v>
      </c>
      <c r="L2804" s="31" t="str">
        <f t="shared" si="218"/>
        <v/>
      </c>
      <c r="M2804" s="31" t="str">
        <f t="shared" si="219"/>
        <v/>
      </c>
    </row>
    <row r="2805" spans="1:13" x14ac:dyDescent="0.15">
      <c r="A2805" s="163" t="s">
        <v>210</v>
      </c>
      <c r="B2805" s="163">
        <v>42349.367207268515</v>
      </c>
      <c r="C2805" s="164" t="s">
        <v>507</v>
      </c>
      <c r="D2805" s="164" t="s">
        <v>13</v>
      </c>
      <c r="E2805" s="165">
        <v>60</v>
      </c>
      <c r="F2805" s="166">
        <v>0</v>
      </c>
      <c r="G2805" s="227">
        <f>IF($B$2,IF(ROWS(B$6:$B2805) = 1,$B2805-Start_Date,$B2805-$B2804),"")</f>
        <v>1.5733263884612825E-2</v>
      </c>
      <c r="H2805" s="29">
        <f>IF($B$2,IF(ROWS(B$6:$B2805) = 1,IF(COUNTIFS(R_Schedule_Times,"&lt;"&amp;B2805),INDEX(R_Schedule_Amounts,MATCH(B2805,R_Schedule_Times,1)),Starting_Cash),IF(COUNTIFS(R_Schedule_Times,"&gt;"&amp;B2804,R_Schedule_Times,"&lt;"&amp;B2805),INDEX(R_Schedule_Amounts,MATCH(B2805,R_Schedule_Times,1)),K2804)),"")</f>
        <v>14580</v>
      </c>
      <c r="I2805" s="30">
        <f t="shared" si="215"/>
        <v>60</v>
      </c>
      <c r="J2805" s="31">
        <f t="shared" si="216"/>
        <v>0</v>
      </c>
      <c r="K2805" s="29">
        <f t="shared" si="217"/>
        <v>14520</v>
      </c>
      <c r="L2805" s="31" t="str">
        <f t="shared" si="218"/>
        <v/>
      </c>
      <c r="M2805" s="31" t="str">
        <f t="shared" si="219"/>
        <v/>
      </c>
    </row>
    <row r="2806" spans="1:13" x14ac:dyDescent="0.15">
      <c r="A2806" s="163" t="s">
        <v>210</v>
      </c>
      <c r="B2806" s="163">
        <v>42349.385254155095</v>
      </c>
      <c r="C2806" s="164" t="s">
        <v>2392</v>
      </c>
      <c r="D2806" s="164" t="s">
        <v>13</v>
      </c>
      <c r="E2806" s="165">
        <v>120</v>
      </c>
      <c r="F2806" s="166">
        <v>0</v>
      </c>
      <c r="G2806" s="227">
        <f>IF($B$2,IF(ROWS(B$6:$B2806) = 1,$B2806-Start_Date,$B2806-$B2805),"")</f>
        <v>1.80468865801231E-2</v>
      </c>
      <c r="H2806" s="29">
        <f>IF($B$2,IF(ROWS(B$6:$B2806) = 1,IF(COUNTIFS(R_Schedule_Times,"&lt;"&amp;B2806),INDEX(R_Schedule_Amounts,MATCH(B2806,R_Schedule_Times,1)),Starting_Cash),IF(COUNTIFS(R_Schedule_Times,"&gt;"&amp;B2805,R_Schedule_Times,"&lt;"&amp;B2806),INDEX(R_Schedule_Amounts,MATCH(B2806,R_Schedule_Times,1)),K2805)),"")</f>
        <v>14520</v>
      </c>
      <c r="I2806" s="30">
        <f t="shared" si="215"/>
        <v>120</v>
      </c>
      <c r="J2806" s="31">
        <f t="shared" si="216"/>
        <v>0</v>
      </c>
      <c r="K2806" s="29">
        <f t="shared" si="217"/>
        <v>14400</v>
      </c>
      <c r="L2806" s="31" t="str">
        <f t="shared" si="218"/>
        <v/>
      </c>
      <c r="M2806" s="31" t="str">
        <f t="shared" si="219"/>
        <v/>
      </c>
    </row>
    <row r="2807" spans="1:13" x14ac:dyDescent="0.15">
      <c r="A2807" s="163" t="s">
        <v>210</v>
      </c>
      <c r="B2807" s="163">
        <v>42349.392113194444</v>
      </c>
      <c r="C2807" s="164" t="s">
        <v>380</v>
      </c>
      <c r="D2807" s="164" t="s">
        <v>13</v>
      </c>
      <c r="E2807" s="165">
        <v>500</v>
      </c>
      <c r="F2807" s="166">
        <v>0</v>
      </c>
      <c r="G2807" s="227">
        <f>IF($B$2,IF(ROWS(B$6:$B2807) = 1,$B2807-Start_Date,$B2807-$B2806),"")</f>
        <v>6.8590393493650481E-3</v>
      </c>
      <c r="H2807" s="29">
        <f>IF($B$2,IF(ROWS(B$6:$B2807) = 1,IF(COUNTIFS(R_Schedule_Times,"&lt;"&amp;B2807),INDEX(R_Schedule_Amounts,MATCH(B2807,R_Schedule_Times,1)),Starting_Cash),IF(COUNTIFS(R_Schedule_Times,"&gt;"&amp;B2806,R_Schedule_Times,"&lt;"&amp;B2807),INDEX(R_Schedule_Amounts,MATCH(B2807,R_Schedule_Times,1)),K2806)),"")</f>
        <v>14400</v>
      </c>
      <c r="I2807" s="30">
        <f t="shared" si="215"/>
        <v>500</v>
      </c>
      <c r="J2807" s="31">
        <f t="shared" si="216"/>
        <v>0</v>
      </c>
      <c r="K2807" s="29">
        <f t="shared" si="217"/>
        <v>13900</v>
      </c>
      <c r="L2807" s="31" t="str">
        <f t="shared" si="218"/>
        <v/>
      </c>
      <c r="M2807" s="31" t="str">
        <f t="shared" si="219"/>
        <v/>
      </c>
    </row>
    <row r="2808" spans="1:13" x14ac:dyDescent="0.15">
      <c r="A2808" s="163" t="s">
        <v>210</v>
      </c>
      <c r="B2808" s="163">
        <v>42349.399245891203</v>
      </c>
      <c r="C2808" s="164" t="s">
        <v>2393</v>
      </c>
      <c r="D2808" s="164" t="s">
        <v>13</v>
      </c>
      <c r="E2808" s="165">
        <v>40</v>
      </c>
      <c r="F2808" s="166">
        <v>0</v>
      </c>
      <c r="G2808" s="227">
        <f>IF($B$2,IF(ROWS(B$6:$B2808) = 1,$B2808-Start_Date,$B2808-$B2807),"")</f>
        <v>7.1326967590721324E-3</v>
      </c>
      <c r="H2808" s="29">
        <f>IF($B$2,IF(ROWS(B$6:$B2808) = 1,IF(COUNTIFS(R_Schedule_Times,"&lt;"&amp;B2808),INDEX(R_Schedule_Amounts,MATCH(B2808,R_Schedule_Times,1)),Starting_Cash),IF(COUNTIFS(R_Schedule_Times,"&gt;"&amp;B2807,R_Schedule_Times,"&lt;"&amp;B2808),INDEX(R_Schedule_Amounts,MATCH(B2808,R_Schedule_Times,1)),K2807)),"")</f>
        <v>13900</v>
      </c>
      <c r="I2808" s="30">
        <f t="shared" si="215"/>
        <v>40</v>
      </c>
      <c r="J2808" s="31">
        <f t="shared" si="216"/>
        <v>0</v>
      </c>
      <c r="K2808" s="29">
        <f t="shared" si="217"/>
        <v>13860</v>
      </c>
      <c r="L2808" s="31" t="str">
        <f t="shared" si="218"/>
        <v/>
      </c>
      <c r="M2808" s="31" t="str">
        <f t="shared" si="219"/>
        <v/>
      </c>
    </row>
    <row r="2809" spans="1:13" x14ac:dyDescent="0.15">
      <c r="A2809" s="163" t="s">
        <v>210</v>
      </c>
      <c r="B2809" s="163">
        <v>42349.418588668981</v>
      </c>
      <c r="C2809" s="164" t="s">
        <v>2394</v>
      </c>
      <c r="D2809" s="164" t="s">
        <v>13</v>
      </c>
      <c r="E2809" s="165">
        <v>200</v>
      </c>
      <c r="F2809" s="166">
        <v>0</v>
      </c>
      <c r="G2809" s="227">
        <f>IF($B$2,IF(ROWS(B$6:$B2809) = 1,$B2809-Start_Date,$B2809-$B2808),"")</f>
        <v>1.9342777777637821E-2</v>
      </c>
      <c r="H2809" s="29">
        <f>IF($B$2,IF(ROWS(B$6:$B2809) = 1,IF(COUNTIFS(R_Schedule_Times,"&lt;"&amp;B2809),INDEX(R_Schedule_Amounts,MATCH(B2809,R_Schedule_Times,1)),Starting_Cash),IF(COUNTIFS(R_Schedule_Times,"&gt;"&amp;B2808,R_Schedule_Times,"&lt;"&amp;B2809),INDEX(R_Schedule_Amounts,MATCH(B2809,R_Schedule_Times,1)),K2808)),"")</f>
        <v>13860</v>
      </c>
      <c r="I2809" s="30">
        <f t="shared" si="215"/>
        <v>200</v>
      </c>
      <c r="J2809" s="31">
        <f t="shared" si="216"/>
        <v>0</v>
      </c>
      <c r="K2809" s="29">
        <f t="shared" si="217"/>
        <v>13660</v>
      </c>
      <c r="L2809" s="31" t="str">
        <f t="shared" si="218"/>
        <v/>
      </c>
      <c r="M2809" s="31" t="str">
        <f t="shared" si="219"/>
        <v/>
      </c>
    </row>
    <row r="2810" spans="1:13" x14ac:dyDescent="0.15">
      <c r="A2810" s="163" t="s">
        <v>210</v>
      </c>
      <c r="B2810" s="163">
        <v>42349.452997430555</v>
      </c>
      <c r="C2810" s="164" t="s">
        <v>1148</v>
      </c>
      <c r="D2810" s="164" t="s">
        <v>13</v>
      </c>
      <c r="E2810" s="165">
        <v>40</v>
      </c>
      <c r="F2810" s="166">
        <v>0</v>
      </c>
      <c r="G2810" s="227">
        <f>IF($B$2,IF(ROWS(B$6:$B2810) = 1,$B2810-Start_Date,$B2810-$B2809),"")</f>
        <v>3.4408761574013624E-2</v>
      </c>
      <c r="H2810" s="29">
        <f>IF($B$2,IF(ROWS(B$6:$B2810) = 1,IF(COUNTIFS(R_Schedule_Times,"&lt;"&amp;B2810),INDEX(R_Schedule_Amounts,MATCH(B2810,R_Schedule_Times,1)),Starting_Cash),IF(COUNTIFS(R_Schedule_Times,"&gt;"&amp;B2809,R_Schedule_Times,"&lt;"&amp;B2810),INDEX(R_Schedule_Amounts,MATCH(B2810,R_Schedule_Times,1)),K2809)),"")</f>
        <v>13660</v>
      </c>
      <c r="I2810" s="30">
        <f t="shared" si="215"/>
        <v>40</v>
      </c>
      <c r="J2810" s="31">
        <f t="shared" si="216"/>
        <v>0</v>
      </c>
      <c r="K2810" s="29">
        <f t="shared" si="217"/>
        <v>13620</v>
      </c>
      <c r="L2810" s="31" t="str">
        <f t="shared" si="218"/>
        <v/>
      </c>
      <c r="M2810" s="31" t="str">
        <f t="shared" si="219"/>
        <v/>
      </c>
    </row>
    <row r="2811" spans="1:13" x14ac:dyDescent="0.15">
      <c r="A2811" s="163" t="s">
        <v>210</v>
      </c>
      <c r="B2811" s="163">
        <v>42349.465904444442</v>
      </c>
      <c r="C2811" s="164" t="s">
        <v>1007</v>
      </c>
      <c r="D2811" s="164" t="s">
        <v>13</v>
      </c>
      <c r="E2811" s="165">
        <v>100</v>
      </c>
      <c r="F2811" s="166">
        <v>0</v>
      </c>
      <c r="G2811" s="227">
        <f>IF($B$2,IF(ROWS(B$6:$B2811) = 1,$B2811-Start_Date,$B2811-$B2810),"")</f>
        <v>1.290701388643356E-2</v>
      </c>
      <c r="H2811" s="29">
        <f>IF($B$2,IF(ROWS(B$6:$B2811) = 1,IF(COUNTIFS(R_Schedule_Times,"&lt;"&amp;B2811),INDEX(R_Schedule_Amounts,MATCH(B2811,R_Schedule_Times,1)),Starting_Cash),IF(COUNTIFS(R_Schedule_Times,"&gt;"&amp;B2810,R_Schedule_Times,"&lt;"&amp;B2811),INDEX(R_Schedule_Amounts,MATCH(B2811,R_Schedule_Times,1)),K2810)),"")</f>
        <v>13620</v>
      </c>
      <c r="I2811" s="30">
        <f t="shared" si="215"/>
        <v>100</v>
      </c>
      <c r="J2811" s="31">
        <f t="shared" si="216"/>
        <v>0</v>
      </c>
      <c r="K2811" s="29">
        <f t="shared" si="217"/>
        <v>13520</v>
      </c>
      <c r="L2811" s="31" t="str">
        <f t="shared" si="218"/>
        <v/>
      </c>
      <c r="M2811" s="31" t="str">
        <f t="shared" si="219"/>
        <v/>
      </c>
    </row>
    <row r="2812" spans="1:13" x14ac:dyDescent="0.15">
      <c r="A2812" s="163" t="s">
        <v>210</v>
      </c>
      <c r="B2812" s="163">
        <v>42349.480012129628</v>
      </c>
      <c r="C2812" s="164" t="s">
        <v>2395</v>
      </c>
      <c r="D2812" s="164" t="s">
        <v>13</v>
      </c>
      <c r="E2812" s="165">
        <v>100</v>
      </c>
      <c r="F2812" s="166">
        <v>0</v>
      </c>
      <c r="G2812" s="227">
        <f>IF($B$2,IF(ROWS(B$6:$B2812) = 1,$B2812-Start_Date,$B2812-$B2811),"")</f>
        <v>1.4107685186900198E-2</v>
      </c>
      <c r="H2812" s="29">
        <f>IF($B$2,IF(ROWS(B$6:$B2812) = 1,IF(COUNTIFS(R_Schedule_Times,"&lt;"&amp;B2812),INDEX(R_Schedule_Amounts,MATCH(B2812,R_Schedule_Times,1)),Starting_Cash),IF(COUNTIFS(R_Schedule_Times,"&gt;"&amp;B2811,R_Schedule_Times,"&lt;"&amp;B2812),INDEX(R_Schedule_Amounts,MATCH(B2812,R_Schedule_Times,1)),K2811)),"")</f>
        <v>13520</v>
      </c>
      <c r="I2812" s="30">
        <f t="shared" si="215"/>
        <v>100</v>
      </c>
      <c r="J2812" s="31">
        <f t="shared" si="216"/>
        <v>0</v>
      </c>
      <c r="K2812" s="29">
        <f t="shared" si="217"/>
        <v>13420</v>
      </c>
      <c r="L2812" s="31" t="str">
        <f t="shared" si="218"/>
        <v/>
      </c>
      <c r="M2812" s="31" t="str">
        <f t="shared" si="219"/>
        <v/>
      </c>
    </row>
    <row r="2813" spans="1:13" x14ac:dyDescent="0.15">
      <c r="A2813" s="163" t="s">
        <v>210</v>
      </c>
      <c r="B2813" s="163">
        <v>42349.483706099534</v>
      </c>
      <c r="C2813" s="164" t="s">
        <v>613</v>
      </c>
      <c r="D2813" s="164" t="s">
        <v>13</v>
      </c>
      <c r="E2813" s="165">
        <v>100</v>
      </c>
      <c r="F2813" s="166">
        <v>0</v>
      </c>
      <c r="G2813" s="227">
        <f>IF($B$2,IF(ROWS(B$6:$B2813) = 1,$B2813-Start_Date,$B2813-$B2812),"")</f>
        <v>3.6939699057256803E-3</v>
      </c>
      <c r="H2813" s="29">
        <f>IF($B$2,IF(ROWS(B$6:$B2813) = 1,IF(COUNTIFS(R_Schedule_Times,"&lt;"&amp;B2813),INDEX(R_Schedule_Amounts,MATCH(B2813,R_Schedule_Times,1)),Starting_Cash),IF(COUNTIFS(R_Schedule_Times,"&gt;"&amp;B2812,R_Schedule_Times,"&lt;"&amp;B2813),INDEX(R_Schedule_Amounts,MATCH(B2813,R_Schedule_Times,1)),K2812)),"")</f>
        <v>13420</v>
      </c>
      <c r="I2813" s="30">
        <f t="shared" si="215"/>
        <v>100</v>
      </c>
      <c r="J2813" s="31">
        <f t="shared" si="216"/>
        <v>0</v>
      </c>
      <c r="K2813" s="29">
        <f t="shared" si="217"/>
        <v>13320</v>
      </c>
      <c r="L2813" s="31" t="str">
        <f t="shared" si="218"/>
        <v/>
      </c>
      <c r="M2813" s="31" t="str">
        <f t="shared" si="219"/>
        <v/>
      </c>
    </row>
    <row r="2814" spans="1:13" x14ac:dyDescent="0.15">
      <c r="A2814" s="163" t="s">
        <v>210</v>
      </c>
      <c r="B2814" s="163">
        <v>42349.48980949074</v>
      </c>
      <c r="C2814" s="164" t="s">
        <v>2396</v>
      </c>
      <c r="D2814" s="164" t="s">
        <v>13</v>
      </c>
      <c r="E2814" s="165">
        <v>20</v>
      </c>
      <c r="F2814" s="166">
        <v>0</v>
      </c>
      <c r="G2814" s="227">
        <f>IF($B$2,IF(ROWS(B$6:$B2814) = 1,$B2814-Start_Date,$B2814-$B2813),"")</f>
        <v>6.1033912061247975E-3</v>
      </c>
      <c r="H2814" s="29">
        <f>IF($B$2,IF(ROWS(B$6:$B2814) = 1,IF(COUNTIFS(R_Schedule_Times,"&lt;"&amp;B2814),INDEX(R_Schedule_Amounts,MATCH(B2814,R_Schedule_Times,1)),Starting_Cash),IF(COUNTIFS(R_Schedule_Times,"&gt;"&amp;B2813,R_Schedule_Times,"&lt;"&amp;B2814),INDEX(R_Schedule_Amounts,MATCH(B2814,R_Schedule_Times,1)),K2813)),"")</f>
        <v>13320</v>
      </c>
      <c r="I2814" s="30">
        <f t="shared" si="215"/>
        <v>20</v>
      </c>
      <c r="J2814" s="31">
        <f t="shared" si="216"/>
        <v>0</v>
      </c>
      <c r="K2814" s="29">
        <f t="shared" si="217"/>
        <v>13300</v>
      </c>
      <c r="L2814" s="31" t="str">
        <f t="shared" si="218"/>
        <v/>
      </c>
      <c r="M2814" s="31" t="str">
        <f t="shared" si="219"/>
        <v/>
      </c>
    </row>
    <row r="2815" spans="1:13" x14ac:dyDescent="0.15">
      <c r="A2815" s="163" t="s">
        <v>210</v>
      </c>
      <c r="B2815" s="163">
        <v>42349.506185243059</v>
      </c>
      <c r="C2815" s="164" t="s">
        <v>92</v>
      </c>
      <c r="D2815" s="164" t="s">
        <v>13</v>
      </c>
      <c r="E2815" s="165">
        <v>100</v>
      </c>
      <c r="F2815" s="166">
        <v>0</v>
      </c>
      <c r="G2815" s="227">
        <f>IF($B$2,IF(ROWS(B$6:$B2815) = 1,$B2815-Start_Date,$B2815-$B2814),"")</f>
        <v>1.6375752318708692E-2</v>
      </c>
      <c r="H2815" s="29">
        <f>IF($B$2,IF(ROWS(B$6:$B2815) = 1,IF(COUNTIFS(R_Schedule_Times,"&lt;"&amp;B2815),INDEX(R_Schedule_Amounts,MATCH(B2815,R_Schedule_Times,1)),Starting_Cash),IF(COUNTIFS(R_Schedule_Times,"&gt;"&amp;B2814,R_Schedule_Times,"&lt;"&amp;B2815),INDEX(R_Schedule_Amounts,MATCH(B2815,R_Schedule_Times,1)),K2814)),"")</f>
        <v>13300</v>
      </c>
      <c r="I2815" s="30">
        <f t="shared" si="215"/>
        <v>100</v>
      </c>
      <c r="J2815" s="31">
        <f t="shared" si="216"/>
        <v>0</v>
      </c>
      <c r="K2815" s="29">
        <f t="shared" si="217"/>
        <v>13200</v>
      </c>
      <c r="L2815" s="31" t="str">
        <f t="shared" si="218"/>
        <v/>
      </c>
      <c r="M2815" s="31" t="str">
        <f t="shared" si="219"/>
        <v/>
      </c>
    </row>
    <row r="2816" spans="1:13" x14ac:dyDescent="0.15">
      <c r="A2816" s="163" t="s">
        <v>210</v>
      </c>
      <c r="B2816" s="163">
        <v>42349.512673657409</v>
      </c>
      <c r="C2816" s="164" t="s">
        <v>2397</v>
      </c>
      <c r="D2816" s="164" t="s">
        <v>13</v>
      </c>
      <c r="E2816" s="165">
        <v>100</v>
      </c>
      <c r="F2816" s="166">
        <v>0</v>
      </c>
      <c r="G2816" s="227">
        <f>IF($B$2,IF(ROWS(B$6:$B2816) = 1,$B2816-Start_Date,$B2816-$B2815),"")</f>
        <v>6.4884143503149971E-3</v>
      </c>
      <c r="H2816" s="29">
        <f>IF($B$2,IF(ROWS(B$6:$B2816) = 1,IF(COUNTIFS(R_Schedule_Times,"&lt;"&amp;B2816),INDEX(R_Schedule_Amounts,MATCH(B2816,R_Schedule_Times,1)),Starting_Cash),IF(COUNTIFS(R_Schedule_Times,"&gt;"&amp;B2815,R_Schedule_Times,"&lt;"&amp;B2816),INDEX(R_Schedule_Amounts,MATCH(B2816,R_Schedule_Times,1)),K2815)),"")</f>
        <v>13200</v>
      </c>
      <c r="I2816" s="30">
        <f t="shared" si="215"/>
        <v>100</v>
      </c>
      <c r="J2816" s="31">
        <f t="shared" si="216"/>
        <v>0</v>
      </c>
      <c r="K2816" s="29">
        <f t="shared" si="217"/>
        <v>13100</v>
      </c>
      <c r="L2816" s="31" t="str">
        <f t="shared" si="218"/>
        <v/>
      </c>
      <c r="M2816" s="31" t="str">
        <f t="shared" si="219"/>
        <v/>
      </c>
    </row>
    <row r="2817" spans="1:13" x14ac:dyDescent="0.15">
      <c r="A2817" s="163" t="s">
        <v>210</v>
      </c>
      <c r="B2817" s="163">
        <v>42349.51398747685</v>
      </c>
      <c r="C2817" s="164" t="s">
        <v>256</v>
      </c>
      <c r="D2817" s="164" t="s">
        <v>13</v>
      </c>
      <c r="E2817" s="165">
        <v>160</v>
      </c>
      <c r="F2817" s="166">
        <v>0</v>
      </c>
      <c r="G2817" s="227">
        <f>IF($B$2,IF(ROWS(B$6:$B2817) = 1,$B2817-Start_Date,$B2817-$B2816),"")</f>
        <v>1.3138194408384152E-3</v>
      </c>
      <c r="H2817" s="29">
        <f>IF($B$2,IF(ROWS(B$6:$B2817) = 1,IF(COUNTIFS(R_Schedule_Times,"&lt;"&amp;B2817),INDEX(R_Schedule_Amounts,MATCH(B2817,R_Schedule_Times,1)),Starting_Cash),IF(COUNTIFS(R_Schedule_Times,"&gt;"&amp;B2816,R_Schedule_Times,"&lt;"&amp;B2817),INDEX(R_Schedule_Amounts,MATCH(B2817,R_Schedule_Times,1)),K2816)),"")</f>
        <v>13100</v>
      </c>
      <c r="I2817" s="30">
        <f t="shared" si="215"/>
        <v>160</v>
      </c>
      <c r="J2817" s="31">
        <f t="shared" si="216"/>
        <v>0</v>
      </c>
      <c r="K2817" s="29">
        <f t="shared" si="217"/>
        <v>12940</v>
      </c>
      <c r="L2817" s="31" t="str">
        <f t="shared" si="218"/>
        <v/>
      </c>
      <c r="M2817" s="31" t="str">
        <f t="shared" si="219"/>
        <v/>
      </c>
    </row>
    <row r="2818" spans="1:13" x14ac:dyDescent="0.15">
      <c r="A2818" s="163" t="s">
        <v>210</v>
      </c>
      <c r="B2818" s="163">
        <v>42349.515877534723</v>
      </c>
      <c r="C2818" s="164" t="s">
        <v>2398</v>
      </c>
      <c r="D2818" s="164" t="s">
        <v>15</v>
      </c>
      <c r="E2818" s="165">
        <v>200</v>
      </c>
      <c r="F2818" s="166">
        <v>6</v>
      </c>
      <c r="G2818" s="227">
        <f>IF($B$2,IF(ROWS(B$6:$B2818) = 1,$B2818-Start_Date,$B2818-$B2817),"")</f>
        <v>1.8900578725151718E-3</v>
      </c>
      <c r="H2818" s="29">
        <f>IF($B$2,IF(ROWS(B$6:$B2818) = 1,IF(COUNTIFS(R_Schedule_Times,"&lt;"&amp;B2818),INDEX(R_Schedule_Amounts,MATCH(B2818,R_Schedule_Times,1)),Starting_Cash),IF(COUNTIFS(R_Schedule_Times,"&gt;"&amp;B2817,R_Schedule_Times,"&lt;"&amp;B2818),INDEX(R_Schedule_Amounts,MATCH(B2818,R_Schedule_Times,1)),K2817)),"")</f>
        <v>12940</v>
      </c>
      <c r="I2818" s="30">
        <f t="shared" si="215"/>
        <v>200</v>
      </c>
      <c r="J2818" s="31">
        <f t="shared" si="216"/>
        <v>6</v>
      </c>
      <c r="K2818" s="29">
        <f t="shared" si="217"/>
        <v>12740</v>
      </c>
      <c r="L2818" s="31" t="str">
        <f t="shared" si="218"/>
        <v/>
      </c>
      <c r="M2818" s="31" t="str">
        <f t="shared" si="219"/>
        <v/>
      </c>
    </row>
    <row r="2819" spans="1:13" x14ac:dyDescent="0.15">
      <c r="A2819" s="163" t="s">
        <v>210</v>
      </c>
      <c r="B2819" s="163">
        <v>42349.530967951388</v>
      </c>
      <c r="C2819" s="164" t="s">
        <v>2399</v>
      </c>
      <c r="D2819" s="164" t="s">
        <v>13</v>
      </c>
      <c r="E2819" s="165">
        <v>80</v>
      </c>
      <c r="F2819" s="166">
        <v>0</v>
      </c>
      <c r="G2819" s="227">
        <f>IF($B$2,IF(ROWS(B$6:$B2819) = 1,$B2819-Start_Date,$B2819-$B2818),"")</f>
        <v>1.5090416665771045E-2</v>
      </c>
      <c r="H2819" s="29">
        <f>IF($B$2,IF(ROWS(B$6:$B2819) = 1,IF(COUNTIFS(R_Schedule_Times,"&lt;"&amp;B2819),INDEX(R_Schedule_Amounts,MATCH(B2819,R_Schedule_Times,1)),Starting_Cash),IF(COUNTIFS(R_Schedule_Times,"&gt;"&amp;B2818,R_Schedule_Times,"&lt;"&amp;B2819),INDEX(R_Schedule_Amounts,MATCH(B2819,R_Schedule_Times,1)),K2818)),"")</f>
        <v>12740</v>
      </c>
      <c r="I2819" s="30">
        <f t="shared" si="215"/>
        <v>80</v>
      </c>
      <c r="J2819" s="31">
        <f t="shared" si="216"/>
        <v>0</v>
      </c>
      <c r="K2819" s="29">
        <f t="shared" si="217"/>
        <v>12660</v>
      </c>
      <c r="L2819" s="31" t="str">
        <f t="shared" si="218"/>
        <v/>
      </c>
      <c r="M2819" s="31" t="str">
        <f t="shared" si="219"/>
        <v/>
      </c>
    </row>
    <row r="2820" spans="1:13" x14ac:dyDescent="0.15">
      <c r="A2820" s="163" t="s">
        <v>210</v>
      </c>
      <c r="B2820" s="163">
        <v>42349.53261318287</v>
      </c>
      <c r="C2820" s="164" t="s">
        <v>2400</v>
      </c>
      <c r="D2820" s="164" t="s">
        <v>13</v>
      </c>
      <c r="E2820" s="165">
        <v>80</v>
      </c>
      <c r="F2820" s="166">
        <v>0</v>
      </c>
      <c r="G2820" s="227">
        <f>IF($B$2,IF(ROWS(B$6:$B2820) = 1,$B2820-Start_Date,$B2820-$B2819),"")</f>
        <v>1.6452314812340774E-3</v>
      </c>
      <c r="H2820" s="29">
        <f>IF($B$2,IF(ROWS(B$6:$B2820) = 1,IF(COUNTIFS(R_Schedule_Times,"&lt;"&amp;B2820),INDEX(R_Schedule_Amounts,MATCH(B2820,R_Schedule_Times,1)),Starting_Cash),IF(COUNTIFS(R_Schedule_Times,"&gt;"&amp;B2819,R_Schedule_Times,"&lt;"&amp;B2820),INDEX(R_Schedule_Amounts,MATCH(B2820,R_Schedule_Times,1)),K2819)),"")</f>
        <v>12660</v>
      </c>
      <c r="I2820" s="30">
        <f t="shared" si="215"/>
        <v>80</v>
      </c>
      <c r="J2820" s="31">
        <f t="shared" si="216"/>
        <v>0</v>
      </c>
      <c r="K2820" s="29">
        <f t="shared" si="217"/>
        <v>12580</v>
      </c>
      <c r="L2820" s="31" t="str">
        <f t="shared" si="218"/>
        <v/>
      </c>
      <c r="M2820" s="31" t="str">
        <f t="shared" si="219"/>
        <v/>
      </c>
    </row>
    <row r="2821" spans="1:13" x14ac:dyDescent="0.15">
      <c r="A2821" s="163" t="s">
        <v>210</v>
      </c>
      <c r="B2821" s="163">
        <v>42349.542067245369</v>
      </c>
      <c r="C2821" s="164" t="s">
        <v>1470</v>
      </c>
      <c r="D2821" s="164" t="s">
        <v>13</v>
      </c>
      <c r="E2821" s="165">
        <v>80</v>
      </c>
      <c r="F2821" s="166">
        <v>0</v>
      </c>
      <c r="G2821" s="227">
        <f>IF($B$2,IF(ROWS(B$6:$B2821) = 1,$B2821-Start_Date,$B2821-$B2820),"")</f>
        <v>9.4540624995715916E-3</v>
      </c>
      <c r="H2821" s="29">
        <f>IF($B$2,IF(ROWS(B$6:$B2821) = 1,IF(COUNTIFS(R_Schedule_Times,"&lt;"&amp;B2821),INDEX(R_Schedule_Amounts,MATCH(B2821,R_Schedule_Times,1)),Starting_Cash),IF(COUNTIFS(R_Schedule_Times,"&gt;"&amp;B2820,R_Schedule_Times,"&lt;"&amp;B2821),INDEX(R_Schedule_Amounts,MATCH(B2821,R_Schedule_Times,1)),K2820)),"")</f>
        <v>12580</v>
      </c>
      <c r="I2821" s="30">
        <f t="shared" si="215"/>
        <v>80</v>
      </c>
      <c r="J2821" s="31">
        <f t="shared" si="216"/>
        <v>0</v>
      </c>
      <c r="K2821" s="29">
        <f t="shared" si="217"/>
        <v>12500</v>
      </c>
      <c r="L2821" s="31" t="str">
        <f t="shared" si="218"/>
        <v/>
      </c>
      <c r="M2821" s="31" t="str">
        <f t="shared" si="219"/>
        <v/>
      </c>
    </row>
    <row r="2822" spans="1:13" x14ac:dyDescent="0.15">
      <c r="A2822" s="163" t="s">
        <v>210</v>
      </c>
      <c r="B2822" s="163">
        <v>42349.590659456022</v>
      </c>
      <c r="C2822" s="164" t="s">
        <v>2401</v>
      </c>
      <c r="D2822" s="164" t="s">
        <v>13</v>
      </c>
      <c r="E2822" s="165">
        <v>40</v>
      </c>
      <c r="F2822" s="166">
        <v>0</v>
      </c>
      <c r="G2822" s="227">
        <f>IF($B$2,IF(ROWS(B$6:$B2822) = 1,$B2822-Start_Date,$B2822-$B2821),"")</f>
        <v>4.859221065271413E-2</v>
      </c>
      <c r="H2822" s="29">
        <f>IF($B$2,IF(ROWS(B$6:$B2822) = 1,IF(COUNTIFS(R_Schedule_Times,"&lt;"&amp;B2822),INDEX(R_Schedule_Amounts,MATCH(B2822,R_Schedule_Times,1)),Starting_Cash),IF(COUNTIFS(R_Schedule_Times,"&gt;"&amp;B2821,R_Schedule_Times,"&lt;"&amp;B2822),INDEX(R_Schedule_Amounts,MATCH(B2822,R_Schedule_Times,1)),K2821)),"")</f>
        <v>12500</v>
      </c>
      <c r="I2822" s="30">
        <f t="shared" si="215"/>
        <v>40</v>
      </c>
      <c r="J2822" s="31">
        <f t="shared" si="216"/>
        <v>0</v>
      </c>
      <c r="K2822" s="29">
        <f t="shared" si="217"/>
        <v>12460</v>
      </c>
      <c r="L2822" s="31" t="str">
        <f t="shared" si="218"/>
        <v/>
      </c>
      <c r="M2822" s="31" t="str">
        <f t="shared" si="219"/>
        <v/>
      </c>
    </row>
    <row r="2823" spans="1:13" x14ac:dyDescent="0.15">
      <c r="A2823" s="163" t="s">
        <v>210</v>
      </c>
      <c r="B2823" s="163">
        <v>42349.592908715276</v>
      </c>
      <c r="C2823" s="164" t="s">
        <v>2402</v>
      </c>
      <c r="D2823" s="164" t="s">
        <v>13</v>
      </c>
      <c r="E2823" s="165">
        <v>240</v>
      </c>
      <c r="F2823" s="166">
        <v>0</v>
      </c>
      <c r="G2823" s="227">
        <f>IF($B$2,IF(ROWS(B$6:$B2823) = 1,$B2823-Start_Date,$B2823-$B2822),"")</f>
        <v>2.2492592543130741E-3</v>
      </c>
      <c r="H2823" s="29">
        <f>IF($B$2,IF(ROWS(B$6:$B2823) = 1,IF(COUNTIFS(R_Schedule_Times,"&lt;"&amp;B2823),INDEX(R_Schedule_Amounts,MATCH(B2823,R_Schedule_Times,1)),Starting_Cash),IF(COUNTIFS(R_Schedule_Times,"&gt;"&amp;B2822,R_Schedule_Times,"&lt;"&amp;B2823),INDEX(R_Schedule_Amounts,MATCH(B2823,R_Schedule_Times,1)),K2822)),"")</f>
        <v>12460</v>
      </c>
      <c r="I2823" s="30">
        <f t="shared" ref="I2823:I2886" si="220">IF($B$2,IF(H2823&gt;=E2823,E2823,0),"")</f>
        <v>240</v>
      </c>
      <c r="J2823" s="31">
        <f t="shared" ref="J2823:J2886" si="221">IF($B$2,IF(H2823&gt;=E2823,F2823,0),"")</f>
        <v>0</v>
      </c>
      <c r="K2823" s="29">
        <f t="shared" ref="K2823:K2886" si="222">IF($B$2,ABS(I2823-H2823),"")</f>
        <v>12220</v>
      </c>
      <c r="L2823" s="31" t="str">
        <f t="shared" ref="L2823:L2886" si="223">IF($B$2,IF(H2823&lt;E2823,"YES",""),"")</f>
        <v/>
      </c>
      <c r="M2823" s="31" t="str">
        <f t="shared" ref="M2823:M2886" si="224">IF($B$2,IF(L2823="YES",F2823,""),"")</f>
        <v/>
      </c>
    </row>
    <row r="2824" spans="1:13" x14ac:dyDescent="0.15">
      <c r="A2824" s="163" t="s">
        <v>210</v>
      </c>
      <c r="B2824" s="163">
        <v>42349.603411504628</v>
      </c>
      <c r="C2824" s="164" t="s">
        <v>14</v>
      </c>
      <c r="D2824" s="164" t="s">
        <v>13</v>
      </c>
      <c r="E2824" s="165">
        <v>40</v>
      </c>
      <c r="F2824" s="166">
        <v>3.5</v>
      </c>
      <c r="G2824" s="227">
        <f>IF($B$2,IF(ROWS(B$6:$B2824) = 1,$B2824-Start_Date,$B2824-$B2823),"")</f>
        <v>1.0502789351448882E-2</v>
      </c>
      <c r="H2824" s="29">
        <f>IF($B$2,IF(ROWS(B$6:$B2824) = 1,IF(COUNTIFS(R_Schedule_Times,"&lt;"&amp;B2824),INDEX(R_Schedule_Amounts,MATCH(B2824,R_Schedule_Times,1)),Starting_Cash),IF(COUNTIFS(R_Schedule_Times,"&gt;"&amp;B2823,R_Schedule_Times,"&lt;"&amp;B2824),INDEX(R_Schedule_Amounts,MATCH(B2824,R_Schedule_Times,1)),K2823)),"")</f>
        <v>12220</v>
      </c>
      <c r="I2824" s="30">
        <f t="shared" si="220"/>
        <v>40</v>
      </c>
      <c r="J2824" s="31">
        <f t="shared" si="221"/>
        <v>3.5</v>
      </c>
      <c r="K2824" s="29">
        <f t="shared" si="222"/>
        <v>12180</v>
      </c>
      <c r="L2824" s="31" t="str">
        <f t="shared" si="223"/>
        <v/>
      </c>
      <c r="M2824" s="31" t="str">
        <f t="shared" si="224"/>
        <v/>
      </c>
    </row>
    <row r="2825" spans="1:13" x14ac:dyDescent="0.15">
      <c r="A2825" s="163" t="s">
        <v>210</v>
      </c>
      <c r="B2825" s="163">
        <v>42349.60597527778</v>
      </c>
      <c r="C2825" s="164" t="s">
        <v>2403</v>
      </c>
      <c r="D2825" s="164" t="s">
        <v>13</v>
      </c>
      <c r="E2825" s="165">
        <v>120</v>
      </c>
      <c r="F2825" s="166">
        <v>0</v>
      </c>
      <c r="G2825" s="227">
        <f>IF($B$2,IF(ROWS(B$6:$B2825) = 1,$B2825-Start_Date,$B2825-$B2824),"")</f>
        <v>2.563773152360227E-3</v>
      </c>
      <c r="H2825" s="29">
        <f>IF($B$2,IF(ROWS(B$6:$B2825) = 1,IF(COUNTIFS(R_Schedule_Times,"&lt;"&amp;B2825),INDEX(R_Schedule_Amounts,MATCH(B2825,R_Schedule_Times,1)),Starting_Cash),IF(COUNTIFS(R_Schedule_Times,"&gt;"&amp;B2824,R_Schedule_Times,"&lt;"&amp;B2825),INDEX(R_Schedule_Amounts,MATCH(B2825,R_Schedule_Times,1)),K2824)),"")</f>
        <v>12180</v>
      </c>
      <c r="I2825" s="30">
        <f t="shared" si="220"/>
        <v>120</v>
      </c>
      <c r="J2825" s="31">
        <f t="shared" si="221"/>
        <v>0</v>
      </c>
      <c r="K2825" s="29">
        <f t="shared" si="222"/>
        <v>12060</v>
      </c>
      <c r="L2825" s="31" t="str">
        <f t="shared" si="223"/>
        <v/>
      </c>
      <c r="M2825" s="31" t="str">
        <f t="shared" si="224"/>
        <v/>
      </c>
    </row>
    <row r="2826" spans="1:13" x14ac:dyDescent="0.15">
      <c r="A2826" s="163" t="s">
        <v>210</v>
      </c>
      <c r="B2826" s="163">
        <v>42349.64198197917</v>
      </c>
      <c r="C2826" s="164" t="s">
        <v>2404</v>
      </c>
      <c r="D2826" s="164" t="s">
        <v>13</v>
      </c>
      <c r="E2826" s="165">
        <v>20</v>
      </c>
      <c r="F2826" s="166">
        <v>0</v>
      </c>
      <c r="G2826" s="227">
        <f>IF($B$2,IF(ROWS(B$6:$B2826) = 1,$B2826-Start_Date,$B2826-$B2825),"")</f>
        <v>3.6006701389851514E-2</v>
      </c>
      <c r="H2826" s="29">
        <f>IF($B$2,IF(ROWS(B$6:$B2826) = 1,IF(COUNTIFS(R_Schedule_Times,"&lt;"&amp;B2826),INDEX(R_Schedule_Amounts,MATCH(B2826,R_Schedule_Times,1)),Starting_Cash),IF(COUNTIFS(R_Schedule_Times,"&gt;"&amp;B2825,R_Schedule_Times,"&lt;"&amp;B2826),INDEX(R_Schedule_Amounts,MATCH(B2826,R_Schedule_Times,1)),K2825)),"")</f>
        <v>12060</v>
      </c>
      <c r="I2826" s="30">
        <f t="shared" si="220"/>
        <v>20</v>
      </c>
      <c r="J2826" s="31">
        <f t="shared" si="221"/>
        <v>0</v>
      </c>
      <c r="K2826" s="29">
        <f t="shared" si="222"/>
        <v>12040</v>
      </c>
      <c r="L2826" s="31" t="str">
        <f t="shared" si="223"/>
        <v/>
      </c>
      <c r="M2826" s="31" t="str">
        <f t="shared" si="224"/>
        <v/>
      </c>
    </row>
    <row r="2827" spans="1:13" x14ac:dyDescent="0.15">
      <c r="A2827" s="163" t="s">
        <v>210</v>
      </c>
      <c r="B2827" s="163">
        <v>42349.674822696761</v>
      </c>
      <c r="C2827" s="164" t="s">
        <v>128</v>
      </c>
      <c r="D2827" s="164" t="s">
        <v>13</v>
      </c>
      <c r="E2827" s="165">
        <v>100</v>
      </c>
      <c r="F2827" s="166">
        <v>0</v>
      </c>
      <c r="G2827" s="227">
        <f>IF($B$2,IF(ROWS(B$6:$B2827) = 1,$B2827-Start_Date,$B2827-$B2826),"")</f>
        <v>3.2840717591170687E-2</v>
      </c>
      <c r="H2827" s="29">
        <f>IF($B$2,IF(ROWS(B$6:$B2827) = 1,IF(COUNTIFS(R_Schedule_Times,"&lt;"&amp;B2827),INDEX(R_Schedule_Amounts,MATCH(B2827,R_Schedule_Times,1)),Starting_Cash),IF(COUNTIFS(R_Schedule_Times,"&gt;"&amp;B2826,R_Schedule_Times,"&lt;"&amp;B2827),INDEX(R_Schedule_Amounts,MATCH(B2827,R_Schedule_Times,1)),K2826)),"")</f>
        <v>12040</v>
      </c>
      <c r="I2827" s="30">
        <f t="shared" si="220"/>
        <v>100</v>
      </c>
      <c r="J2827" s="31">
        <f t="shared" si="221"/>
        <v>0</v>
      </c>
      <c r="K2827" s="29">
        <f t="shared" si="222"/>
        <v>11940</v>
      </c>
      <c r="L2827" s="31" t="str">
        <f t="shared" si="223"/>
        <v/>
      </c>
      <c r="M2827" s="31" t="str">
        <f t="shared" si="224"/>
        <v/>
      </c>
    </row>
    <row r="2828" spans="1:13" x14ac:dyDescent="0.15">
      <c r="A2828" s="163" t="s">
        <v>210</v>
      </c>
      <c r="B2828" s="163">
        <v>42349.680248287033</v>
      </c>
      <c r="C2828" s="164" t="s">
        <v>2405</v>
      </c>
      <c r="D2828" s="164" t="s">
        <v>13</v>
      </c>
      <c r="E2828" s="165">
        <v>20</v>
      </c>
      <c r="F2828" s="166">
        <v>0</v>
      </c>
      <c r="G2828" s="227">
        <f>IF($B$2,IF(ROWS(B$6:$B2828) = 1,$B2828-Start_Date,$B2828-$B2827),"")</f>
        <v>5.4255902723525651E-3</v>
      </c>
      <c r="H2828" s="29">
        <f>IF($B$2,IF(ROWS(B$6:$B2828) = 1,IF(COUNTIFS(R_Schedule_Times,"&lt;"&amp;B2828),INDEX(R_Schedule_Amounts,MATCH(B2828,R_Schedule_Times,1)),Starting_Cash),IF(COUNTIFS(R_Schedule_Times,"&gt;"&amp;B2827,R_Schedule_Times,"&lt;"&amp;B2828),INDEX(R_Schedule_Amounts,MATCH(B2828,R_Schedule_Times,1)),K2827)),"")</f>
        <v>11940</v>
      </c>
      <c r="I2828" s="30">
        <f t="shared" si="220"/>
        <v>20</v>
      </c>
      <c r="J2828" s="31">
        <f t="shared" si="221"/>
        <v>0</v>
      </c>
      <c r="K2828" s="29">
        <f t="shared" si="222"/>
        <v>11920</v>
      </c>
      <c r="L2828" s="31" t="str">
        <f t="shared" si="223"/>
        <v/>
      </c>
      <c r="M2828" s="31" t="str">
        <f t="shared" si="224"/>
        <v/>
      </c>
    </row>
    <row r="2829" spans="1:13" x14ac:dyDescent="0.15">
      <c r="A2829" s="163" t="s">
        <v>210</v>
      </c>
      <c r="B2829" s="163">
        <v>42349.697402962964</v>
      </c>
      <c r="C2829" s="164" t="s">
        <v>2406</v>
      </c>
      <c r="D2829" s="164" t="s">
        <v>13</v>
      </c>
      <c r="E2829" s="165">
        <v>200</v>
      </c>
      <c r="F2829" s="166">
        <v>0</v>
      </c>
      <c r="G2829" s="227">
        <f>IF($B$2,IF(ROWS(B$6:$B2829) = 1,$B2829-Start_Date,$B2829-$B2828),"")</f>
        <v>1.715467593021458E-2</v>
      </c>
      <c r="H2829" s="29">
        <f>IF($B$2,IF(ROWS(B$6:$B2829) = 1,IF(COUNTIFS(R_Schedule_Times,"&lt;"&amp;B2829),INDEX(R_Schedule_Amounts,MATCH(B2829,R_Schedule_Times,1)),Starting_Cash),IF(COUNTIFS(R_Schedule_Times,"&gt;"&amp;B2828,R_Schedule_Times,"&lt;"&amp;B2829),INDEX(R_Schedule_Amounts,MATCH(B2829,R_Schedule_Times,1)),K2828)),"")</f>
        <v>11920</v>
      </c>
      <c r="I2829" s="30">
        <f t="shared" si="220"/>
        <v>200</v>
      </c>
      <c r="J2829" s="31">
        <f t="shared" si="221"/>
        <v>0</v>
      </c>
      <c r="K2829" s="29">
        <f t="shared" si="222"/>
        <v>11720</v>
      </c>
      <c r="L2829" s="31" t="str">
        <f t="shared" si="223"/>
        <v/>
      </c>
      <c r="M2829" s="31" t="str">
        <f t="shared" si="224"/>
        <v/>
      </c>
    </row>
    <row r="2830" spans="1:13" x14ac:dyDescent="0.15">
      <c r="A2830" s="163" t="s">
        <v>210</v>
      </c>
      <c r="B2830" s="163">
        <v>42349.705884895833</v>
      </c>
      <c r="C2830" s="164" t="s">
        <v>1342</v>
      </c>
      <c r="D2830" s="164" t="s">
        <v>13</v>
      </c>
      <c r="E2830" s="165">
        <v>60</v>
      </c>
      <c r="F2830" s="166">
        <v>0</v>
      </c>
      <c r="G2830" s="227">
        <f>IF($B$2,IF(ROWS(B$6:$B2830) = 1,$B2830-Start_Date,$B2830-$B2829),"")</f>
        <v>8.4819328694720753E-3</v>
      </c>
      <c r="H2830" s="29">
        <f>IF($B$2,IF(ROWS(B$6:$B2830) = 1,IF(COUNTIFS(R_Schedule_Times,"&lt;"&amp;B2830),INDEX(R_Schedule_Amounts,MATCH(B2830,R_Schedule_Times,1)),Starting_Cash),IF(COUNTIFS(R_Schedule_Times,"&gt;"&amp;B2829,R_Schedule_Times,"&lt;"&amp;B2830),INDEX(R_Schedule_Amounts,MATCH(B2830,R_Schedule_Times,1)),K2829)),"")</f>
        <v>11720</v>
      </c>
      <c r="I2830" s="30">
        <f t="shared" si="220"/>
        <v>60</v>
      </c>
      <c r="J2830" s="31">
        <f t="shared" si="221"/>
        <v>0</v>
      </c>
      <c r="K2830" s="29">
        <f t="shared" si="222"/>
        <v>11660</v>
      </c>
      <c r="L2830" s="31" t="str">
        <f t="shared" si="223"/>
        <v/>
      </c>
      <c r="M2830" s="31" t="str">
        <f t="shared" si="224"/>
        <v/>
      </c>
    </row>
    <row r="2831" spans="1:13" x14ac:dyDescent="0.15">
      <c r="A2831" s="163" t="s">
        <v>210</v>
      </c>
      <c r="B2831" s="163">
        <v>42349.712511967591</v>
      </c>
      <c r="C2831" s="164" t="s">
        <v>2407</v>
      </c>
      <c r="D2831" s="164" t="s">
        <v>13</v>
      </c>
      <c r="E2831" s="165">
        <v>60</v>
      </c>
      <c r="F2831" s="166">
        <v>0</v>
      </c>
      <c r="G2831" s="227">
        <f>IF($B$2,IF(ROWS(B$6:$B2831) = 1,$B2831-Start_Date,$B2831-$B2830),"")</f>
        <v>6.6270717579755001E-3</v>
      </c>
      <c r="H2831" s="29">
        <f>IF($B$2,IF(ROWS(B$6:$B2831) = 1,IF(COUNTIFS(R_Schedule_Times,"&lt;"&amp;B2831),INDEX(R_Schedule_Amounts,MATCH(B2831,R_Schedule_Times,1)),Starting_Cash),IF(COUNTIFS(R_Schedule_Times,"&gt;"&amp;B2830,R_Schedule_Times,"&lt;"&amp;B2831),INDEX(R_Schedule_Amounts,MATCH(B2831,R_Schedule_Times,1)),K2830)),"")</f>
        <v>11660</v>
      </c>
      <c r="I2831" s="30">
        <f t="shared" si="220"/>
        <v>60</v>
      </c>
      <c r="J2831" s="31">
        <f t="shared" si="221"/>
        <v>0</v>
      </c>
      <c r="K2831" s="29">
        <f t="shared" si="222"/>
        <v>11600</v>
      </c>
      <c r="L2831" s="31" t="str">
        <f t="shared" si="223"/>
        <v/>
      </c>
      <c r="M2831" s="31" t="str">
        <f t="shared" si="224"/>
        <v/>
      </c>
    </row>
    <row r="2832" spans="1:13" x14ac:dyDescent="0.15">
      <c r="A2832" s="163" t="s">
        <v>210</v>
      </c>
      <c r="B2832" s="163">
        <v>42349.752851180558</v>
      </c>
      <c r="C2832" s="164" t="s">
        <v>508</v>
      </c>
      <c r="D2832" s="164" t="s">
        <v>13</v>
      </c>
      <c r="E2832" s="165">
        <v>20</v>
      </c>
      <c r="F2832" s="166">
        <v>0</v>
      </c>
      <c r="G2832" s="227">
        <f>IF($B$2,IF(ROWS(B$6:$B2832) = 1,$B2832-Start_Date,$B2832-$B2831),"")</f>
        <v>4.0339212966500781E-2</v>
      </c>
      <c r="H2832" s="29">
        <f>IF($B$2,IF(ROWS(B$6:$B2832) = 1,IF(COUNTIFS(R_Schedule_Times,"&lt;"&amp;B2832),INDEX(R_Schedule_Amounts,MATCH(B2832,R_Schedule_Times,1)),Starting_Cash),IF(COUNTIFS(R_Schedule_Times,"&gt;"&amp;B2831,R_Schedule_Times,"&lt;"&amp;B2832),INDEX(R_Schedule_Amounts,MATCH(B2832,R_Schedule_Times,1)),K2831)),"")</f>
        <v>11600</v>
      </c>
      <c r="I2832" s="30">
        <f t="shared" si="220"/>
        <v>20</v>
      </c>
      <c r="J2832" s="31">
        <f t="shared" si="221"/>
        <v>0</v>
      </c>
      <c r="K2832" s="29">
        <f t="shared" si="222"/>
        <v>11580</v>
      </c>
      <c r="L2832" s="31" t="str">
        <f t="shared" si="223"/>
        <v/>
      </c>
      <c r="M2832" s="31" t="str">
        <f t="shared" si="224"/>
        <v/>
      </c>
    </row>
    <row r="2833" spans="1:13" x14ac:dyDescent="0.15">
      <c r="A2833" s="163" t="s">
        <v>210</v>
      </c>
      <c r="B2833" s="163">
        <v>42349.767392997688</v>
      </c>
      <c r="C2833" s="164" t="s">
        <v>2408</v>
      </c>
      <c r="D2833" s="164" t="s">
        <v>13</v>
      </c>
      <c r="E2833" s="165">
        <v>40</v>
      </c>
      <c r="F2833" s="166">
        <v>0</v>
      </c>
      <c r="G2833" s="227">
        <f>IF($B$2,IF(ROWS(B$6:$B2833) = 1,$B2833-Start_Date,$B2833-$B2832),"")</f>
        <v>1.454181713052094E-2</v>
      </c>
      <c r="H2833" s="29">
        <f>IF($B$2,IF(ROWS(B$6:$B2833) = 1,IF(COUNTIFS(R_Schedule_Times,"&lt;"&amp;B2833),INDEX(R_Schedule_Amounts,MATCH(B2833,R_Schedule_Times,1)),Starting_Cash),IF(COUNTIFS(R_Schedule_Times,"&gt;"&amp;B2832,R_Schedule_Times,"&lt;"&amp;B2833),INDEX(R_Schedule_Amounts,MATCH(B2833,R_Schedule_Times,1)),K2832)),"")</f>
        <v>11580</v>
      </c>
      <c r="I2833" s="30">
        <f t="shared" si="220"/>
        <v>40</v>
      </c>
      <c r="J2833" s="31">
        <f t="shared" si="221"/>
        <v>0</v>
      </c>
      <c r="K2833" s="29">
        <f t="shared" si="222"/>
        <v>11540</v>
      </c>
      <c r="L2833" s="31" t="str">
        <f t="shared" si="223"/>
        <v/>
      </c>
      <c r="M2833" s="31" t="str">
        <f t="shared" si="224"/>
        <v/>
      </c>
    </row>
    <row r="2834" spans="1:13" x14ac:dyDescent="0.15">
      <c r="A2834" s="163" t="s">
        <v>210</v>
      </c>
      <c r="B2834" s="163">
        <v>42349.767934374999</v>
      </c>
      <c r="C2834" s="164" t="s">
        <v>509</v>
      </c>
      <c r="D2834" s="164" t="s">
        <v>13</v>
      </c>
      <c r="E2834" s="165">
        <v>40</v>
      </c>
      <c r="F2834" s="166">
        <v>0</v>
      </c>
      <c r="G2834" s="227">
        <f>IF($B$2,IF(ROWS(B$6:$B2834) = 1,$B2834-Start_Date,$B2834-$B2833),"")</f>
        <v>5.4137731058290228E-4</v>
      </c>
      <c r="H2834" s="29">
        <f>IF($B$2,IF(ROWS(B$6:$B2834) = 1,IF(COUNTIFS(R_Schedule_Times,"&lt;"&amp;B2834),INDEX(R_Schedule_Amounts,MATCH(B2834,R_Schedule_Times,1)),Starting_Cash),IF(COUNTIFS(R_Schedule_Times,"&gt;"&amp;B2833,R_Schedule_Times,"&lt;"&amp;B2834),INDEX(R_Schedule_Amounts,MATCH(B2834,R_Schedule_Times,1)),K2833)),"")</f>
        <v>11540</v>
      </c>
      <c r="I2834" s="30">
        <f t="shared" si="220"/>
        <v>40</v>
      </c>
      <c r="J2834" s="31">
        <f t="shared" si="221"/>
        <v>0</v>
      </c>
      <c r="K2834" s="29">
        <f t="shared" si="222"/>
        <v>11500</v>
      </c>
      <c r="L2834" s="31" t="str">
        <f t="shared" si="223"/>
        <v/>
      </c>
      <c r="M2834" s="31" t="str">
        <f t="shared" si="224"/>
        <v/>
      </c>
    </row>
    <row r="2835" spans="1:13" x14ac:dyDescent="0.15">
      <c r="A2835" s="163" t="s">
        <v>210</v>
      </c>
      <c r="B2835" s="163">
        <v>42349.769601863423</v>
      </c>
      <c r="C2835" s="164" t="s">
        <v>1164</v>
      </c>
      <c r="D2835" s="164" t="s">
        <v>13</v>
      </c>
      <c r="E2835" s="165">
        <v>100</v>
      </c>
      <c r="F2835" s="166">
        <v>0</v>
      </c>
      <c r="G2835" s="227">
        <f>IF($B$2,IF(ROWS(B$6:$B2835) = 1,$B2835-Start_Date,$B2835-$B2834),"")</f>
        <v>1.6674884245730937E-3</v>
      </c>
      <c r="H2835" s="29">
        <f>IF($B$2,IF(ROWS(B$6:$B2835) = 1,IF(COUNTIFS(R_Schedule_Times,"&lt;"&amp;B2835),INDEX(R_Schedule_Amounts,MATCH(B2835,R_Schedule_Times,1)),Starting_Cash),IF(COUNTIFS(R_Schedule_Times,"&gt;"&amp;B2834,R_Schedule_Times,"&lt;"&amp;B2835),INDEX(R_Schedule_Amounts,MATCH(B2835,R_Schedule_Times,1)),K2834)),"")</f>
        <v>11500</v>
      </c>
      <c r="I2835" s="30">
        <f t="shared" si="220"/>
        <v>100</v>
      </c>
      <c r="J2835" s="31">
        <f t="shared" si="221"/>
        <v>0</v>
      </c>
      <c r="K2835" s="29">
        <f t="shared" si="222"/>
        <v>11400</v>
      </c>
      <c r="L2835" s="31" t="str">
        <f t="shared" si="223"/>
        <v/>
      </c>
      <c r="M2835" s="31" t="str">
        <f t="shared" si="224"/>
        <v/>
      </c>
    </row>
    <row r="2836" spans="1:13" x14ac:dyDescent="0.15">
      <c r="A2836" s="163" t="s">
        <v>210</v>
      </c>
      <c r="B2836" s="163">
        <v>42349.780833078701</v>
      </c>
      <c r="C2836" s="164" t="s">
        <v>2409</v>
      </c>
      <c r="D2836" s="164" t="s">
        <v>13</v>
      </c>
      <c r="E2836" s="165">
        <v>60</v>
      </c>
      <c r="F2836" s="166">
        <v>0</v>
      </c>
      <c r="G2836" s="227">
        <f>IF($B$2,IF(ROWS(B$6:$B2836) = 1,$B2836-Start_Date,$B2836-$B2835),"")</f>
        <v>1.123121527780313E-2</v>
      </c>
      <c r="H2836" s="29">
        <f>IF($B$2,IF(ROWS(B$6:$B2836) = 1,IF(COUNTIFS(R_Schedule_Times,"&lt;"&amp;B2836),INDEX(R_Schedule_Amounts,MATCH(B2836,R_Schedule_Times,1)),Starting_Cash),IF(COUNTIFS(R_Schedule_Times,"&gt;"&amp;B2835,R_Schedule_Times,"&lt;"&amp;B2836),INDEX(R_Schedule_Amounts,MATCH(B2836,R_Schedule_Times,1)),K2835)),"")</f>
        <v>11400</v>
      </c>
      <c r="I2836" s="30">
        <f t="shared" si="220"/>
        <v>60</v>
      </c>
      <c r="J2836" s="31">
        <f t="shared" si="221"/>
        <v>0</v>
      </c>
      <c r="K2836" s="29">
        <f t="shared" si="222"/>
        <v>11340</v>
      </c>
      <c r="L2836" s="31" t="str">
        <f t="shared" si="223"/>
        <v/>
      </c>
      <c r="M2836" s="31" t="str">
        <f t="shared" si="224"/>
        <v/>
      </c>
    </row>
    <row r="2837" spans="1:13" x14ac:dyDescent="0.15">
      <c r="A2837" s="163" t="s">
        <v>210</v>
      </c>
      <c r="B2837" s="163">
        <v>42349.79064939815</v>
      </c>
      <c r="C2837" s="164" t="s">
        <v>510</v>
      </c>
      <c r="D2837" s="164" t="s">
        <v>13</v>
      </c>
      <c r="E2837" s="165">
        <v>200</v>
      </c>
      <c r="F2837" s="166">
        <v>0</v>
      </c>
      <c r="G2837" s="227">
        <f>IF($B$2,IF(ROWS(B$6:$B2837) = 1,$B2837-Start_Date,$B2837-$B2836),"")</f>
        <v>9.8163194488734007E-3</v>
      </c>
      <c r="H2837" s="29">
        <f>IF($B$2,IF(ROWS(B$6:$B2837) = 1,IF(COUNTIFS(R_Schedule_Times,"&lt;"&amp;B2837),INDEX(R_Schedule_Amounts,MATCH(B2837,R_Schedule_Times,1)),Starting_Cash),IF(COUNTIFS(R_Schedule_Times,"&gt;"&amp;B2836,R_Schedule_Times,"&lt;"&amp;B2837),INDEX(R_Schedule_Amounts,MATCH(B2837,R_Schedule_Times,1)),K2836)),"")</f>
        <v>11340</v>
      </c>
      <c r="I2837" s="30">
        <f t="shared" si="220"/>
        <v>200</v>
      </c>
      <c r="J2837" s="31">
        <f t="shared" si="221"/>
        <v>0</v>
      </c>
      <c r="K2837" s="29">
        <f t="shared" si="222"/>
        <v>11140</v>
      </c>
      <c r="L2837" s="31" t="str">
        <f t="shared" si="223"/>
        <v/>
      </c>
      <c r="M2837" s="31" t="str">
        <f t="shared" si="224"/>
        <v/>
      </c>
    </row>
    <row r="2838" spans="1:13" x14ac:dyDescent="0.15">
      <c r="A2838" s="163" t="s">
        <v>210</v>
      </c>
      <c r="B2838" s="163">
        <v>42349.804859467593</v>
      </c>
      <c r="C2838" s="164" t="s">
        <v>2410</v>
      </c>
      <c r="D2838" s="164" t="s">
        <v>13</v>
      </c>
      <c r="E2838" s="165">
        <v>100</v>
      </c>
      <c r="F2838" s="166">
        <v>0</v>
      </c>
      <c r="G2838" s="227">
        <f>IF($B$2,IF(ROWS(B$6:$B2838) = 1,$B2838-Start_Date,$B2838-$B2837),"")</f>
        <v>1.4210069442924578E-2</v>
      </c>
      <c r="H2838" s="29">
        <f>IF($B$2,IF(ROWS(B$6:$B2838) = 1,IF(COUNTIFS(R_Schedule_Times,"&lt;"&amp;B2838),INDEX(R_Schedule_Amounts,MATCH(B2838,R_Schedule_Times,1)),Starting_Cash),IF(COUNTIFS(R_Schedule_Times,"&gt;"&amp;B2837,R_Schedule_Times,"&lt;"&amp;B2838),INDEX(R_Schedule_Amounts,MATCH(B2838,R_Schedule_Times,1)),K2837)),"")</f>
        <v>11140</v>
      </c>
      <c r="I2838" s="30">
        <f t="shared" si="220"/>
        <v>100</v>
      </c>
      <c r="J2838" s="31">
        <f t="shared" si="221"/>
        <v>0</v>
      </c>
      <c r="K2838" s="29">
        <f t="shared" si="222"/>
        <v>11040</v>
      </c>
      <c r="L2838" s="31" t="str">
        <f t="shared" si="223"/>
        <v/>
      </c>
      <c r="M2838" s="31" t="str">
        <f t="shared" si="224"/>
        <v/>
      </c>
    </row>
    <row r="2839" spans="1:13" x14ac:dyDescent="0.15">
      <c r="A2839" s="163" t="s">
        <v>210</v>
      </c>
      <c r="B2839" s="163">
        <v>42349.806290902779</v>
      </c>
      <c r="C2839" s="164" t="s">
        <v>2207</v>
      </c>
      <c r="D2839" s="164" t="s">
        <v>13</v>
      </c>
      <c r="E2839" s="165">
        <v>40</v>
      </c>
      <c r="F2839" s="166">
        <v>0</v>
      </c>
      <c r="G2839" s="227">
        <f>IF($B$2,IF(ROWS(B$6:$B2839) = 1,$B2839-Start_Date,$B2839-$B2838),"")</f>
        <v>1.431435186532326E-3</v>
      </c>
      <c r="H2839" s="29">
        <f>IF($B$2,IF(ROWS(B$6:$B2839) = 1,IF(COUNTIFS(R_Schedule_Times,"&lt;"&amp;B2839),INDEX(R_Schedule_Amounts,MATCH(B2839,R_Schedule_Times,1)),Starting_Cash),IF(COUNTIFS(R_Schedule_Times,"&gt;"&amp;B2838,R_Schedule_Times,"&lt;"&amp;B2839),INDEX(R_Schedule_Amounts,MATCH(B2839,R_Schedule_Times,1)),K2838)),"")</f>
        <v>11040</v>
      </c>
      <c r="I2839" s="30">
        <f t="shared" si="220"/>
        <v>40</v>
      </c>
      <c r="J2839" s="31">
        <f t="shared" si="221"/>
        <v>0</v>
      </c>
      <c r="K2839" s="29">
        <f t="shared" si="222"/>
        <v>11000</v>
      </c>
      <c r="L2839" s="31" t="str">
        <f t="shared" si="223"/>
        <v/>
      </c>
      <c r="M2839" s="31" t="str">
        <f t="shared" si="224"/>
        <v/>
      </c>
    </row>
    <row r="2840" spans="1:13" x14ac:dyDescent="0.15">
      <c r="A2840" s="163" t="s">
        <v>210</v>
      </c>
      <c r="B2840" s="163">
        <v>42349.808298391203</v>
      </c>
      <c r="C2840" s="164" t="s">
        <v>1713</v>
      </c>
      <c r="D2840" s="164" t="s">
        <v>13</v>
      </c>
      <c r="E2840" s="165">
        <v>80</v>
      </c>
      <c r="F2840" s="166">
        <v>0</v>
      </c>
      <c r="G2840" s="227">
        <f>IF($B$2,IF(ROWS(B$6:$B2840) = 1,$B2840-Start_Date,$B2840-$B2839),"")</f>
        <v>2.0074884232599288E-3</v>
      </c>
      <c r="H2840" s="29">
        <f>IF($B$2,IF(ROWS(B$6:$B2840) = 1,IF(COUNTIFS(R_Schedule_Times,"&lt;"&amp;B2840),INDEX(R_Schedule_Amounts,MATCH(B2840,R_Schedule_Times,1)),Starting_Cash),IF(COUNTIFS(R_Schedule_Times,"&gt;"&amp;B2839,R_Schedule_Times,"&lt;"&amp;B2840),INDEX(R_Schedule_Amounts,MATCH(B2840,R_Schedule_Times,1)),K2839)),"")</f>
        <v>11000</v>
      </c>
      <c r="I2840" s="30">
        <f t="shared" si="220"/>
        <v>80</v>
      </c>
      <c r="J2840" s="31">
        <f t="shared" si="221"/>
        <v>0</v>
      </c>
      <c r="K2840" s="29">
        <f t="shared" si="222"/>
        <v>10920</v>
      </c>
      <c r="L2840" s="31" t="str">
        <f t="shared" si="223"/>
        <v/>
      </c>
      <c r="M2840" s="31" t="str">
        <f t="shared" si="224"/>
        <v/>
      </c>
    </row>
    <row r="2841" spans="1:13" x14ac:dyDescent="0.15">
      <c r="A2841" s="163" t="s">
        <v>210</v>
      </c>
      <c r="B2841" s="163">
        <v>42349.823703043985</v>
      </c>
      <c r="C2841" s="164" t="s">
        <v>511</v>
      </c>
      <c r="D2841" s="164" t="s">
        <v>13</v>
      </c>
      <c r="E2841" s="165">
        <v>60</v>
      </c>
      <c r="F2841" s="166">
        <v>0</v>
      </c>
      <c r="G2841" s="227">
        <f>IF($B$2,IF(ROWS(B$6:$B2841) = 1,$B2841-Start_Date,$B2841-$B2840),"")</f>
        <v>1.5404652782308403E-2</v>
      </c>
      <c r="H2841" s="29">
        <f>IF($B$2,IF(ROWS(B$6:$B2841) = 1,IF(COUNTIFS(R_Schedule_Times,"&lt;"&amp;B2841),INDEX(R_Schedule_Amounts,MATCH(B2841,R_Schedule_Times,1)),Starting_Cash),IF(COUNTIFS(R_Schedule_Times,"&gt;"&amp;B2840,R_Schedule_Times,"&lt;"&amp;B2841),INDEX(R_Schedule_Amounts,MATCH(B2841,R_Schedule_Times,1)),K2840)),"")</f>
        <v>10920</v>
      </c>
      <c r="I2841" s="30">
        <f t="shared" si="220"/>
        <v>60</v>
      </c>
      <c r="J2841" s="31">
        <f t="shared" si="221"/>
        <v>0</v>
      </c>
      <c r="K2841" s="29">
        <f t="shared" si="222"/>
        <v>10860</v>
      </c>
      <c r="L2841" s="31" t="str">
        <f t="shared" si="223"/>
        <v/>
      </c>
      <c r="M2841" s="31" t="str">
        <f t="shared" si="224"/>
        <v/>
      </c>
    </row>
    <row r="2842" spans="1:13" x14ac:dyDescent="0.15">
      <c r="A2842" s="163" t="s">
        <v>210</v>
      </c>
      <c r="B2842" s="163">
        <v>42349.833267465277</v>
      </c>
      <c r="C2842" s="164" t="s">
        <v>2411</v>
      </c>
      <c r="D2842" s="164" t="s">
        <v>13</v>
      </c>
      <c r="E2842" s="165">
        <v>40</v>
      </c>
      <c r="F2842" s="166">
        <v>0</v>
      </c>
      <c r="G2842" s="227">
        <f>IF($B$2,IF(ROWS(B$6:$B2842) = 1,$B2842-Start_Date,$B2842-$B2841),"")</f>
        <v>9.5644212924526073E-3</v>
      </c>
      <c r="H2842" s="29">
        <f>IF($B$2,IF(ROWS(B$6:$B2842) = 1,IF(COUNTIFS(R_Schedule_Times,"&lt;"&amp;B2842),INDEX(R_Schedule_Amounts,MATCH(B2842,R_Schedule_Times,1)),Starting_Cash),IF(COUNTIFS(R_Schedule_Times,"&gt;"&amp;B2841,R_Schedule_Times,"&lt;"&amp;B2842),INDEX(R_Schedule_Amounts,MATCH(B2842,R_Schedule_Times,1)),K2841)),"")</f>
        <v>10860</v>
      </c>
      <c r="I2842" s="30">
        <f t="shared" si="220"/>
        <v>40</v>
      </c>
      <c r="J2842" s="31">
        <f t="shared" si="221"/>
        <v>0</v>
      </c>
      <c r="K2842" s="29">
        <f t="shared" si="222"/>
        <v>10820</v>
      </c>
      <c r="L2842" s="31" t="str">
        <f t="shared" si="223"/>
        <v/>
      </c>
      <c r="M2842" s="31" t="str">
        <f t="shared" si="224"/>
        <v/>
      </c>
    </row>
    <row r="2843" spans="1:13" x14ac:dyDescent="0.15">
      <c r="A2843" s="163" t="s">
        <v>210</v>
      </c>
      <c r="B2843" s="163">
        <v>42349.852807962961</v>
      </c>
      <c r="C2843" s="164" t="s">
        <v>512</v>
      </c>
      <c r="D2843" s="164" t="s">
        <v>13</v>
      </c>
      <c r="E2843" s="165">
        <v>100</v>
      </c>
      <c r="F2843" s="166">
        <v>0</v>
      </c>
      <c r="G2843" s="227">
        <f>IF($B$2,IF(ROWS(B$6:$B2843) = 1,$B2843-Start_Date,$B2843-$B2842),"")</f>
        <v>1.9540497683919966E-2</v>
      </c>
      <c r="H2843" s="29">
        <f>IF($B$2,IF(ROWS(B$6:$B2843) = 1,IF(COUNTIFS(R_Schedule_Times,"&lt;"&amp;B2843),INDEX(R_Schedule_Amounts,MATCH(B2843,R_Schedule_Times,1)),Starting_Cash),IF(COUNTIFS(R_Schedule_Times,"&gt;"&amp;B2842,R_Schedule_Times,"&lt;"&amp;B2843),INDEX(R_Schedule_Amounts,MATCH(B2843,R_Schedule_Times,1)),K2842)),"")</f>
        <v>10820</v>
      </c>
      <c r="I2843" s="30">
        <f t="shared" si="220"/>
        <v>100</v>
      </c>
      <c r="J2843" s="31">
        <f t="shared" si="221"/>
        <v>0</v>
      </c>
      <c r="K2843" s="29">
        <f t="shared" si="222"/>
        <v>10720</v>
      </c>
      <c r="L2843" s="31" t="str">
        <f t="shared" si="223"/>
        <v/>
      </c>
      <c r="M2843" s="31" t="str">
        <f t="shared" si="224"/>
        <v/>
      </c>
    </row>
    <row r="2844" spans="1:13" x14ac:dyDescent="0.15">
      <c r="A2844" s="163" t="s">
        <v>210</v>
      </c>
      <c r="B2844" s="163">
        <v>42349.900168807872</v>
      </c>
      <c r="C2844" s="164" t="s">
        <v>14</v>
      </c>
      <c r="D2844" s="164" t="s">
        <v>13</v>
      </c>
      <c r="E2844" s="165">
        <v>40</v>
      </c>
      <c r="F2844" s="166">
        <v>3.5</v>
      </c>
      <c r="G2844" s="227">
        <f>IF($B$2,IF(ROWS(B$6:$B2844) = 1,$B2844-Start_Date,$B2844-$B2843),"")</f>
        <v>4.7360844910144806E-2</v>
      </c>
      <c r="H2844" s="29">
        <f>IF($B$2,IF(ROWS(B$6:$B2844) = 1,IF(COUNTIFS(R_Schedule_Times,"&lt;"&amp;B2844),INDEX(R_Schedule_Amounts,MATCH(B2844,R_Schedule_Times,1)),Starting_Cash),IF(COUNTIFS(R_Schedule_Times,"&gt;"&amp;B2843,R_Schedule_Times,"&lt;"&amp;B2844),INDEX(R_Schedule_Amounts,MATCH(B2844,R_Schedule_Times,1)),K2843)),"")</f>
        <v>10720</v>
      </c>
      <c r="I2844" s="30">
        <f t="shared" si="220"/>
        <v>40</v>
      </c>
      <c r="J2844" s="31">
        <f t="shared" si="221"/>
        <v>3.5</v>
      </c>
      <c r="K2844" s="29">
        <f t="shared" si="222"/>
        <v>10680</v>
      </c>
      <c r="L2844" s="31" t="str">
        <f t="shared" si="223"/>
        <v/>
      </c>
      <c r="M2844" s="31" t="str">
        <f t="shared" si="224"/>
        <v/>
      </c>
    </row>
    <row r="2845" spans="1:13" x14ac:dyDescent="0.15">
      <c r="A2845" s="163" t="s">
        <v>210</v>
      </c>
      <c r="B2845" s="163">
        <v>42349.970196909722</v>
      </c>
      <c r="C2845" s="164" t="s">
        <v>2412</v>
      </c>
      <c r="D2845" s="164" t="s">
        <v>13</v>
      </c>
      <c r="E2845" s="165">
        <v>100</v>
      </c>
      <c r="F2845" s="166">
        <v>0</v>
      </c>
      <c r="G2845" s="227">
        <f>IF($B$2,IF(ROWS(B$6:$B2845) = 1,$B2845-Start_Date,$B2845-$B2844),"")</f>
        <v>7.0028101850766689E-2</v>
      </c>
      <c r="H2845" s="29">
        <f>IF($B$2,IF(ROWS(B$6:$B2845) = 1,IF(COUNTIFS(R_Schedule_Times,"&lt;"&amp;B2845),INDEX(R_Schedule_Amounts,MATCH(B2845,R_Schedule_Times,1)),Starting_Cash),IF(COUNTIFS(R_Schedule_Times,"&gt;"&amp;B2844,R_Schedule_Times,"&lt;"&amp;B2845),INDEX(R_Schedule_Amounts,MATCH(B2845,R_Schedule_Times,1)),K2844)),"")</f>
        <v>10680</v>
      </c>
      <c r="I2845" s="30">
        <f t="shared" si="220"/>
        <v>100</v>
      </c>
      <c r="J2845" s="31">
        <f t="shared" si="221"/>
        <v>0</v>
      </c>
      <c r="K2845" s="29">
        <f t="shared" si="222"/>
        <v>10580</v>
      </c>
      <c r="L2845" s="31" t="str">
        <f t="shared" si="223"/>
        <v/>
      </c>
      <c r="M2845" s="31" t="str">
        <f t="shared" si="224"/>
        <v/>
      </c>
    </row>
    <row r="2846" spans="1:13" x14ac:dyDescent="0.15">
      <c r="A2846" s="163" t="s">
        <v>210</v>
      </c>
      <c r="B2846" s="163">
        <v>42350.033891145831</v>
      </c>
      <c r="C2846" s="164" t="s">
        <v>1038</v>
      </c>
      <c r="D2846" s="164" t="s">
        <v>13</v>
      </c>
      <c r="E2846" s="165">
        <v>100</v>
      </c>
      <c r="F2846" s="166">
        <v>0</v>
      </c>
      <c r="G2846" s="227">
        <f>IF($B$2,IF(ROWS(B$6:$B2846) = 1,$B2846-Start_Date,$B2846-$B2845),"")</f>
        <v>6.3694236108858604E-2</v>
      </c>
      <c r="H2846" s="29">
        <f>IF($B$2,IF(ROWS(B$6:$B2846) = 1,IF(COUNTIFS(R_Schedule_Times,"&lt;"&amp;B2846),INDEX(R_Schedule_Amounts,MATCH(B2846,R_Schedule_Times,1)),Starting_Cash),IF(COUNTIFS(R_Schedule_Times,"&gt;"&amp;B2845,R_Schedule_Times,"&lt;"&amp;B2846),INDEX(R_Schedule_Amounts,MATCH(B2846,R_Schedule_Times,1)),K2845)),"")</f>
        <v>10580</v>
      </c>
      <c r="I2846" s="30">
        <f t="shared" si="220"/>
        <v>100</v>
      </c>
      <c r="J2846" s="31">
        <f t="shared" si="221"/>
        <v>0</v>
      </c>
      <c r="K2846" s="29">
        <f t="shared" si="222"/>
        <v>10480</v>
      </c>
      <c r="L2846" s="31" t="str">
        <f t="shared" si="223"/>
        <v/>
      </c>
      <c r="M2846" s="31" t="str">
        <f t="shared" si="224"/>
        <v/>
      </c>
    </row>
    <row r="2847" spans="1:13" x14ac:dyDescent="0.15">
      <c r="A2847" s="163" t="s">
        <v>210</v>
      </c>
      <c r="B2847" s="163">
        <v>42350.294463506943</v>
      </c>
      <c r="C2847" s="164" t="s">
        <v>2413</v>
      </c>
      <c r="D2847" s="164" t="s">
        <v>13</v>
      </c>
      <c r="E2847" s="165">
        <v>20</v>
      </c>
      <c r="F2847" s="166">
        <v>0</v>
      </c>
      <c r="G2847" s="227">
        <f>IF($B$2,IF(ROWS(B$6:$B2847) = 1,$B2847-Start_Date,$B2847-$B2846),"")</f>
        <v>0.26057236111228121</v>
      </c>
      <c r="H2847" s="29">
        <f>IF($B$2,IF(ROWS(B$6:$B2847) = 1,IF(COUNTIFS(R_Schedule_Times,"&lt;"&amp;B2847),INDEX(R_Schedule_Amounts,MATCH(B2847,R_Schedule_Times,1)),Starting_Cash),IF(COUNTIFS(R_Schedule_Times,"&gt;"&amp;B2846,R_Schedule_Times,"&lt;"&amp;B2847),INDEX(R_Schedule_Amounts,MATCH(B2847,R_Schedule_Times,1)),K2846)),"")</f>
        <v>10480</v>
      </c>
      <c r="I2847" s="30">
        <f t="shared" si="220"/>
        <v>20</v>
      </c>
      <c r="J2847" s="31">
        <f t="shared" si="221"/>
        <v>0</v>
      </c>
      <c r="K2847" s="29">
        <f t="shared" si="222"/>
        <v>10460</v>
      </c>
      <c r="L2847" s="31" t="str">
        <f t="shared" si="223"/>
        <v/>
      </c>
      <c r="M2847" s="31" t="str">
        <f t="shared" si="224"/>
        <v/>
      </c>
    </row>
    <row r="2848" spans="1:13" x14ac:dyDescent="0.15">
      <c r="A2848" s="163" t="s">
        <v>210</v>
      </c>
      <c r="B2848" s="163">
        <v>42350.299390439817</v>
      </c>
      <c r="C2848" s="164" t="s">
        <v>513</v>
      </c>
      <c r="D2848" s="164" t="s">
        <v>13</v>
      </c>
      <c r="E2848" s="165">
        <v>100</v>
      </c>
      <c r="F2848" s="166">
        <v>0</v>
      </c>
      <c r="G2848" s="227">
        <f>IF($B$2,IF(ROWS(B$6:$B2848) = 1,$B2848-Start_Date,$B2848-$B2847),"")</f>
        <v>4.9269328737864271E-3</v>
      </c>
      <c r="H2848" s="29">
        <f>IF($B$2,IF(ROWS(B$6:$B2848) = 1,IF(COUNTIFS(R_Schedule_Times,"&lt;"&amp;B2848),INDEX(R_Schedule_Amounts,MATCH(B2848,R_Schedule_Times,1)),Starting_Cash),IF(COUNTIFS(R_Schedule_Times,"&gt;"&amp;B2847,R_Schedule_Times,"&lt;"&amp;B2848),INDEX(R_Schedule_Amounts,MATCH(B2848,R_Schedule_Times,1)),K2847)),"")</f>
        <v>10460</v>
      </c>
      <c r="I2848" s="30">
        <f t="shared" si="220"/>
        <v>100</v>
      </c>
      <c r="J2848" s="31">
        <f t="shared" si="221"/>
        <v>0</v>
      </c>
      <c r="K2848" s="29">
        <f t="shared" si="222"/>
        <v>10360</v>
      </c>
      <c r="L2848" s="31" t="str">
        <f t="shared" si="223"/>
        <v/>
      </c>
      <c r="M2848" s="31" t="str">
        <f t="shared" si="224"/>
        <v/>
      </c>
    </row>
    <row r="2849" spans="1:13" x14ac:dyDescent="0.15">
      <c r="A2849" s="163" t="s">
        <v>210</v>
      </c>
      <c r="B2849" s="163">
        <v>42350.315292476851</v>
      </c>
      <c r="C2849" s="164" t="s">
        <v>2414</v>
      </c>
      <c r="D2849" s="164" t="s">
        <v>13</v>
      </c>
      <c r="E2849" s="165">
        <v>200</v>
      </c>
      <c r="F2849" s="166">
        <v>0</v>
      </c>
      <c r="G2849" s="227">
        <f>IF($B$2,IF(ROWS(B$6:$B2849) = 1,$B2849-Start_Date,$B2849-$B2848),"")</f>
        <v>1.5902037033811212E-2</v>
      </c>
      <c r="H2849" s="29">
        <f>IF($B$2,IF(ROWS(B$6:$B2849) = 1,IF(COUNTIFS(R_Schedule_Times,"&lt;"&amp;B2849),INDEX(R_Schedule_Amounts,MATCH(B2849,R_Schedule_Times,1)),Starting_Cash),IF(COUNTIFS(R_Schedule_Times,"&gt;"&amp;B2848,R_Schedule_Times,"&lt;"&amp;B2849),INDEX(R_Schedule_Amounts,MATCH(B2849,R_Schedule_Times,1)),K2848)),"")</f>
        <v>10360</v>
      </c>
      <c r="I2849" s="30">
        <f t="shared" si="220"/>
        <v>200</v>
      </c>
      <c r="J2849" s="31">
        <f t="shared" si="221"/>
        <v>0</v>
      </c>
      <c r="K2849" s="29">
        <f t="shared" si="222"/>
        <v>10160</v>
      </c>
      <c r="L2849" s="31" t="str">
        <f t="shared" si="223"/>
        <v/>
      </c>
      <c r="M2849" s="31" t="str">
        <f t="shared" si="224"/>
        <v/>
      </c>
    </row>
    <row r="2850" spans="1:13" x14ac:dyDescent="0.15">
      <c r="A2850" s="163" t="s">
        <v>210</v>
      </c>
      <c r="B2850" s="163">
        <v>42350.319239525466</v>
      </c>
      <c r="C2850" s="164" t="s">
        <v>2415</v>
      </c>
      <c r="D2850" s="164" t="s">
        <v>13</v>
      </c>
      <c r="E2850" s="165">
        <v>60</v>
      </c>
      <c r="F2850" s="166">
        <v>0</v>
      </c>
      <c r="G2850" s="227">
        <f>IF($B$2,IF(ROWS(B$6:$B2850) = 1,$B2850-Start_Date,$B2850-$B2849),"")</f>
        <v>3.9470486153732054E-3</v>
      </c>
      <c r="H2850" s="29">
        <f>IF($B$2,IF(ROWS(B$6:$B2850) = 1,IF(COUNTIFS(R_Schedule_Times,"&lt;"&amp;B2850),INDEX(R_Schedule_Amounts,MATCH(B2850,R_Schedule_Times,1)),Starting_Cash),IF(COUNTIFS(R_Schedule_Times,"&gt;"&amp;B2849,R_Schedule_Times,"&lt;"&amp;B2850),INDEX(R_Schedule_Amounts,MATCH(B2850,R_Schedule_Times,1)),K2849)),"")</f>
        <v>10160</v>
      </c>
      <c r="I2850" s="30">
        <f t="shared" si="220"/>
        <v>60</v>
      </c>
      <c r="J2850" s="31">
        <f t="shared" si="221"/>
        <v>0</v>
      </c>
      <c r="K2850" s="29">
        <f t="shared" si="222"/>
        <v>10100</v>
      </c>
      <c r="L2850" s="31" t="str">
        <f t="shared" si="223"/>
        <v/>
      </c>
      <c r="M2850" s="31" t="str">
        <f t="shared" si="224"/>
        <v/>
      </c>
    </row>
    <row r="2851" spans="1:13" x14ac:dyDescent="0.15">
      <c r="A2851" s="163" t="s">
        <v>210</v>
      </c>
      <c r="B2851" s="163">
        <v>42350.381026354167</v>
      </c>
      <c r="C2851" s="164" t="s">
        <v>1872</v>
      </c>
      <c r="D2851" s="164" t="s">
        <v>13</v>
      </c>
      <c r="E2851" s="165">
        <v>100</v>
      </c>
      <c r="F2851" s="166">
        <v>0</v>
      </c>
      <c r="G2851" s="227">
        <f>IF($B$2,IF(ROWS(B$6:$B2851) = 1,$B2851-Start_Date,$B2851-$B2850),"")</f>
        <v>6.1786828700860497E-2</v>
      </c>
      <c r="H2851" s="29">
        <f>IF($B$2,IF(ROWS(B$6:$B2851) = 1,IF(COUNTIFS(R_Schedule_Times,"&lt;"&amp;B2851),INDEX(R_Schedule_Amounts,MATCH(B2851,R_Schedule_Times,1)),Starting_Cash),IF(COUNTIFS(R_Schedule_Times,"&gt;"&amp;B2850,R_Schedule_Times,"&lt;"&amp;B2851),INDEX(R_Schedule_Amounts,MATCH(B2851,R_Schedule_Times,1)),K2850)),"")</f>
        <v>10100</v>
      </c>
      <c r="I2851" s="30">
        <f t="shared" si="220"/>
        <v>100</v>
      </c>
      <c r="J2851" s="31">
        <f t="shared" si="221"/>
        <v>0</v>
      </c>
      <c r="K2851" s="29">
        <f t="shared" si="222"/>
        <v>10000</v>
      </c>
      <c r="L2851" s="31" t="str">
        <f t="shared" si="223"/>
        <v/>
      </c>
      <c r="M2851" s="31" t="str">
        <f t="shared" si="224"/>
        <v/>
      </c>
    </row>
    <row r="2852" spans="1:13" x14ac:dyDescent="0.15">
      <c r="A2852" s="163" t="s">
        <v>210</v>
      </c>
      <c r="B2852" s="163">
        <v>42350.414017743053</v>
      </c>
      <c r="C2852" s="164" t="s">
        <v>2416</v>
      </c>
      <c r="D2852" s="164" t="s">
        <v>13</v>
      </c>
      <c r="E2852" s="165">
        <v>120</v>
      </c>
      <c r="F2852" s="166">
        <v>0</v>
      </c>
      <c r="G2852" s="227">
        <f>IF($B$2,IF(ROWS(B$6:$B2852) = 1,$B2852-Start_Date,$B2852-$B2851),"")</f>
        <v>3.2991388885420747E-2</v>
      </c>
      <c r="H2852" s="29">
        <f>IF($B$2,IF(ROWS(B$6:$B2852) = 1,IF(COUNTIFS(R_Schedule_Times,"&lt;"&amp;B2852),INDEX(R_Schedule_Amounts,MATCH(B2852,R_Schedule_Times,1)),Starting_Cash),IF(COUNTIFS(R_Schedule_Times,"&gt;"&amp;B2851,R_Schedule_Times,"&lt;"&amp;B2852),INDEX(R_Schedule_Amounts,MATCH(B2852,R_Schedule_Times,1)),K2851)),"")</f>
        <v>10000</v>
      </c>
      <c r="I2852" s="30">
        <f t="shared" si="220"/>
        <v>120</v>
      </c>
      <c r="J2852" s="31">
        <f t="shared" si="221"/>
        <v>0</v>
      </c>
      <c r="K2852" s="29">
        <f t="shared" si="222"/>
        <v>9880</v>
      </c>
      <c r="L2852" s="31" t="str">
        <f t="shared" si="223"/>
        <v/>
      </c>
      <c r="M2852" s="31" t="str">
        <f t="shared" si="224"/>
        <v/>
      </c>
    </row>
    <row r="2853" spans="1:13" x14ac:dyDescent="0.15">
      <c r="A2853" s="163" t="s">
        <v>210</v>
      </c>
      <c r="B2853" s="163">
        <v>42350.425613865744</v>
      </c>
      <c r="C2853" s="164" t="s">
        <v>514</v>
      </c>
      <c r="D2853" s="164" t="s">
        <v>13</v>
      </c>
      <c r="E2853" s="165">
        <v>200</v>
      </c>
      <c r="F2853" s="166">
        <v>0</v>
      </c>
      <c r="G2853" s="227">
        <f>IF($B$2,IF(ROWS(B$6:$B2853) = 1,$B2853-Start_Date,$B2853-$B2852),"")</f>
        <v>1.1596122691116761E-2</v>
      </c>
      <c r="H2853" s="29">
        <f>IF($B$2,IF(ROWS(B$6:$B2853) = 1,IF(COUNTIFS(R_Schedule_Times,"&lt;"&amp;B2853),INDEX(R_Schedule_Amounts,MATCH(B2853,R_Schedule_Times,1)),Starting_Cash),IF(COUNTIFS(R_Schedule_Times,"&gt;"&amp;B2852,R_Schedule_Times,"&lt;"&amp;B2853),INDEX(R_Schedule_Amounts,MATCH(B2853,R_Schedule_Times,1)),K2852)),"")</f>
        <v>9880</v>
      </c>
      <c r="I2853" s="30">
        <f t="shared" si="220"/>
        <v>200</v>
      </c>
      <c r="J2853" s="31">
        <f t="shared" si="221"/>
        <v>0</v>
      </c>
      <c r="K2853" s="29">
        <f t="shared" si="222"/>
        <v>9680</v>
      </c>
      <c r="L2853" s="31" t="str">
        <f t="shared" si="223"/>
        <v/>
      </c>
      <c r="M2853" s="31" t="str">
        <f t="shared" si="224"/>
        <v/>
      </c>
    </row>
    <row r="2854" spans="1:13" x14ac:dyDescent="0.15">
      <c r="A2854" s="163" t="s">
        <v>210</v>
      </c>
      <c r="B2854" s="163">
        <v>42350.449739687501</v>
      </c>
      <c r="C2854" s="164" t="s">
        <v>179</v>
      </c>
      <c r="D2854" s="164" t="s">
        <v>13</v>
      </c>
      <c r="E2854" s="165">
        <v>40</v>
      </c>
      <c r="F2854" s="166">
        <v>0</v>
      </c>
      <c r="G2854" s="227">
        <f>IF($B$2,IF(ROWS(B$6:$B2854) = 1,$B2854-Start_Date,$B2854-$B2853),"")</f>
        <v>2.4125821757479571E-2</v>
      </c>
      <c r="H2854" s="29">
        <f>IF($B$2,IF(ROWS(B$6:$B2854) = 1,IF(COUNTIFS(R_Schedule_Times,"&lt;"&amp;B2854),INDEX(R_Schedule_Amounts,MATCH(B2854,R_Schedule_Times,1)),Starting_Cash),IF(COUNTIFS(R_Schedule_Times,"&gt;"&amp;B2853,R_Schedule_Times,"&lt;"&amp;B2854),INDEX(R_Schedule_Amounts,MATCH(B2854,R_Schedule_Times,1)),K2853)),"")</f>
        <v>9680</v>
      </c>
      <c r="I2854" s="30">
        <f t="shared" si="220"/>
        <v>40</v>
      </c>
      <c r="J2854" s="31">
        <f t="shared" si="221"/>
        <v>0</v>
      </c>
      <c r="K2854" s="29">
        <f t="shared" si="222"/>
        <v>9640</v>
      </c>
      <c r="L2854" s="31" t="str">
        <f t="shared" si="223"/>
        <v/>
      </c>
      <c r="M2854" s="31" t="str">
        <f t="shared" si="224"/>
        <v/>
      </c>
    </row>
    <row r="2855" spans="1:13" x14ac:dyDescent="0.15">
      <c r="A2855" s="163" t="s">
        <v>210</v>
      </c>
      <c r="B2855" s="163">
        <v>42350.455813703702</v>
      </c>
      <c r="C2855" s="164" t="s">
        <v>2417</v>
      </c>
      <c r="D2855" s="164" t="s">
        <v>13</v>
      </c>
      <c r="E2855" s="165">
        <v>100</v>
      </c>
      <c r="F2855" s="166">
        <v>0</v>
      </c>
      <c r="G2855" s="227">
        <f>IF($B$2,IF(ROWS(B$6:$B2855) = 1,$B2855-Start_Date,$B2855-$B2854),"")</f>
        <v>6.0740162007277831E-3</v>
      </c>
      <c r="H2855" s="29">
        <f>IF($B$2,IF(ROWS(B$6:$B2855) = 1,IF(COUNTIFS(R_Schedule_Times,"&lt;"&amp;B2855),INDEX(R_Schedule_Amounts,MATCH(B2855,R_Schedule_Times,1)),Starting_Cash),IF(COUNTIFS(R_Schedule_Times,"&gt;"&amp;B2854,R_Schedule_Times,"&lt;"&amp;B2855),INDEX(R_Schedule_Amounts,MATCH(B2855,R_Schedule_Times,1)),K2854)),"")</f>
        <v>9640</v>
      </c>
      <c r="I2855" s="30">
        <f t="shared" si="220"/>
        <v>100</v>
      </c>
      <c r="J2855" s="31">
        <f t="shared" si="221"/>
        <v>0</v>
      </c>
      <c r="K2855" s="29">
        <f t="shared" si="222"/>
        <v>9540</v>
      </c>
      <c r="L2855" s="31" t="str">
        <f t="shared" si="223"/>
        <v/>
      </c>
      <c r="M2855" s="31" t="str">
        <f t="shared" si="224"/>
        <v/>
      </c>
    </row>
    <row r="2856" spans="1:13" x14ac:dyDescent="0.15">
      <c r="A2856" s="163" t="s">
        <v>210</v>
      </c>
      <c r="B2856" s="163">
        <v>42350.481844421294</v>
      </c>
      <c r="C2856" s="164" t="s">
        <v>2418</v>
      </c>
      <c r="D2856" s="164" t="s">
        <v>13</v>
      </c>
      <c r="E2856" s="165">
        <v>40</v>
      </c>
      <c r="F2856" s="166">
        <v>0</v>
      </c>
      <c r="G2856" s="227">
        <f>IF($B$2,IF(ROWS(B$6:$B2856) = 1,$B2856-Start_Date,$B2856-$B2855),"")</f>
        <v>2.6030717592220753E-2</v>
      </c>
      <c r="H2856" s="29">
        <f>IF($B$2,IF(ROWS(B$6:$B2856) = 1,IF(COUNTIFS(R_Schedule_Times,"&lt;"&amp;B2856),INDEX(R_Schedule_Amounts,MATCH(B2856,R_Schedule_Times,1)),Starting_Cash),IF(COUNTIFS(R_Schedule_Times,"&gt;"&amp;B2855,R_Schedule_Times,"&lt;"&amp;B2856),INDEX(R_Schedule_Amounts,MATCH(B2856,R_Schedule_Times,1)),K2855)),"")</f>
        <v>9540</v>
      </c>
      <c r="I2856" s="30">
        <f t="shared" si="220"/>
        <v>40</v>
      </c>
      <c r="J2856" s="31">
        <f t="shared" si="221"/>
        <v>0</v>
      </c>
      <c r="K2856" s="29">
        <f t="shared" si="222"/>
        <v>9500</v>
      </c>
      <c r="L2856" s="31" t="str">
        <f t="shared" si="223"/>
        <v/>
      </c>
      <c r="M2856" s="31" t="str">
        <f t="shared" si="224"/>
        <v/>
      </c>
    </row>
    <row r="2857" spans="1:13" x14ac:dyDescent="0.15">
      <c r="A2857" s="163" t="s">
        <v>210</v>
      </c>
      <c r="B2857" s="163">
        <v>42350.492379953706</v>
      </c>
      <c r="C2857" s="164" t="s">
        <v>14</v>
      </c>
      <c r="D2857" s="164" t="s">
        <v>13</v>
      </c>
      <c r="E2857" s="165">
        <v>60</v>
      </c>
      <c r="F2857" s="166">
        <v>3.5</v>
      </c>
      <c r="G2857" s="227">
        <f>IF($B$2,IF(ROWS(B$6:$B2857) = 1,$B2857-Start_Date,$B2857-$B2856),"")</f>
        <v>1.0535532412177417E-2</v>
      </c>
      <c r="H2857" s="29">
        <f>IF($B$2,IF(ROWS(B$6:$B2857) = 1,IF(COUNTIFS(R_Schedule_Times,"&lt;"&amp;B2857),INDEX(R_Schedule_Amounts,MATCH(B2857,R_Schedule_Times,1)),Starting_Cash),IF(COUNTIFS(R_Schedule_Times,"&gt;"&amp;B2856,R_Schedule_Times,"&lt;"&amp;B2857),INDEX(R_Schedule_Amounts,MATCH(B2857,R_Schedule_Times,1)),K2856)),"")</f>
        <v>9500</v>
      </c>
      <c r="I2857" s="30">
        <f t="shared" si="220"/>
        <v>60</v>
      </c>
      <c r="J2857" s="31">
        <f t="shared" si="221"/>
        <v>3.5</v>
      </c>
      <c r="K2857" s="29">
        <f t="shared" si="222"/>
        <v>9440</v>
      </c>
      <c r="L2857" s="31" t="str">
        <f t="shared" si="223"/>
        <v/>
      </c>
      <c r="M2857" s="31" t="str">
        <f t="shared" si="224"/>
        <v/>
      </c>
    </row>
    <row r="2858" spans="1:13" x14ac:dyDescent="0.15">
      <c r="A2858" s="163" t="s">
        <v>210</v>
      </c>
      <c r="B2858" s="163">
        <v>42350.513815740742</v>
      </c>
      <c r="C2858" s="164" t="s">
        <v>1392</v>
      </c>
      <c r="D2858" s="164" t="s">
        <v>13</v>
      </c>
      <c r="E2858" s="165">
        <v>500</v>
      </c>
      <c r="F2858" s="166">
        <v>0</v>
      </c>
      <c r="G2858" s="227">
        <f>IF($B$2,IF(ROWS(B$6:$B2858) = 1,$B2858-Start_Date,$B2858-$B2857),"")</f>
        <v>2.1435787035443354E-2</v>
      </c>
      <c r="H2858" s="29">
        <f>IF($B$2,IF(ROWS(B$6:$B2858) = 1,IF(COUNTIFS(R_Schedule_Times,"&lt;"&amp;B2858),INDEX(R_Schedule_Amounts,MATCH(B2858,R_Schedule_Times,1)),Starting_Cash),IF(COUNTIFS(R_Schedule_Times,"&gt;"&amp;B2857,R_Schedule_Times,"&lt;"&amp;B2858),INDEX(R_Schedule_Amounts,MATCH(B2858,R_Schedule_Times,1)),K2857)),"")</f>
        <v>9440</v>
      </c>
      <c r="I2858" s="30">
        <f t="shared" si="220"/>
        <v>500</v>
      </c>
      <c r="J2858" s="31">
        <f t="shared" si="221"/>
        <v>0</v>
      </c>
      <c r="K2858" s="29">
        <f t="shared" si="222"/>
        <v>8940</v>
      </c>
      <c r="L2858" s="31" t="str">
        <f t="shared" si="223"/>
        <v/>
      </c>
      <c r="M2858" s="31" t="str">
        <f t="shared" si="224"/>
        <v/>
      </c>
    </row>
    <row r="2859" spans="1:13" x14ac:dyDescent="0.15">
      <c r="A2859" s="163" t="s">
        <v>210</v>
      </c>
      <c r="B2859" s="163">
        <v>42350.515544513888</v>
      </c>
      <c r="C2859" s="164" t="s">
        <v>2419</v>
      </c>
      <c r="D2859" s="164" t="s">
        <v>13</v>
      </c>
      <c r="E2859" s="165">
        <v>40</v>
      </c>
      <c r="F2859" s="166">
        <v>0</v>
      </c>
      <c r="G2859" s="227">
        <f>IF($B$2,IF(ROWS(B$6:$B2859) = 1,$B2859-Start_Date,$B2859-$B2858),"")</f>
        <v>1.7287731461692601E-3</v>
      </c>
      <c r="H2859" s="29">
        <f>IF($B$2,IF(ROWS(B$6:$B2859) = 1,IF(COUNTIFS(R_Schedule_Times,"&lt;"&amp;B2859),INDEX(R_Schedule_Amounts,MATCH(B2859,R_Schedule_Times,1)),Starting_Cash),IF(COUNTIFS(R_Schedule_Times,"&gt;"&amp;B2858,R_Schedule_Times,"&lt;"&amp;B2859),INDEX(R_Schedule_Amounts,MATCH(B2859,R_Schedule_Times,1)),K2858)),"")</f>
        <v>8940</v>
      </c>
      <c r="I2859" s="30">
        <f t="shared" si="220"/>
        <v>40</v>
      </c>
      <c r="J2859" s="31">
        <f t="shared" si="221"/>
        <v>0</v>
      </c>
      <c r="K2859" s="29">
        <f t="shared" si="222"/>
        <v>8900</v>
      </c>
      <c r="L2859" s="31" t="str">
        <f t="shared" si="223"/>
        <v/>
      </c>
      <c r="M2859" s="31" t="str">
        <f t="shared" si="224"/>
        <v/>
      </c>
    </row>
    <row r="2860" spans="1:13" x14ac:dyDescent="0.15">
      <c r="A2860" s="163" t="s">
        <v>210</v>
      </c>
      <c r="B2860" s="163">
        <v>42350.519874097219</v>
      </c>
      <c r="C2860" s="164" t="s">
        <v>2420</v>
      </c>
      <c r="D2860" s="164" t="s">
        <v>13</v>
      </c>
      <c r="E2860" s="165">
        <v>60</v>
      </c>
      <c r="F2860" s="166">
        <v>0</v>
      </c>
      <c r="G2860" s="227">
        <f>IF($B$2,IF(ROWS(B$6:$B2860) = 1,$B2860-Start_Date,$B2860-$B2859),"")</f>
        <v>4.329583331127651E-3</v>
      </c>
      <c r="H2860" s="29">
        <f>IF($B$2,IF(ROWS(B$6:$B2860) = 1,IF(COUNTIFS(R_Schedule_Times,"&lt;"&amp;B2860),INDEX(R_Schedule_Amounts,MATCH(B2860,R_Schedule_Times,1)),Starting_Cash),IF(COUNTIFS(R_Schedule_Times,"&gt;"&amp;B2859,R_Schedule_Times,"&lt;"&amp;B2860),INDEX(R_Schedule_Amounts,MATCH(B2860,R_Schedule_Times,1)),K2859)),"")</f>
        <v>8900</v>
      </c>
      <c r="I2860" s="30">
        <f t="shared" si="220"/>
        <v>60</v>
      </c>
      <c r="J2860" s="31">
        <f t="shared" si="221"/>
        <v>0</v>
      </c>
      <c r="K2860" s="29">
        <f t="shared" si="222"/>
        <v>8840</v>
      </c>
      <c r="L2860" s="31" t="str">
        <f t="shared" si="223"/>
        <v/>
      </c>
      <c r="M2860" s="31" t="str">
        <f t="shared" si="224"/>
        <v/>
      </c>
    </row>
    <row r="2861" spans="1:13" x14ac:dyDescent="0.15">
      <c r="A2861" s="163" t="s">
        <v>210</v>
      </c>
      <c r="B2861" s="163">
        <v>42350.522604166668</v>
      </c>
      <c r="C2861" s="164" t="s">
        <v>1879</v>
      </c>
      <c r="D2861" s="164" t="s">
        <v>13</v>
      </c>
      <c r="E2861" s="165">
        <v>40</v>
      </c>
      <c r="F2861" s="166">
        <v>0</v>
      </c>
      <c r="G2861" s="227">
        <f>IF($B$2,IF(ROWS(B$6:$B2861) = 1,$B2861-Start_Date,$B2861-$B2860),"")</f>
        <v>2.7300694491714239E-3</v>
      </c>
      <c r="H2861" s="29">
        <f>IF($B$2,IF(ROWS(B$6:$B2861) = 1,IF(COUNTIFS(R_Schedule_Times,"&lt;"&amp;B2861),INDEX(R_Schedule_Amounts,MATCH(B2861,R_Schedule_Times,1)),Starting_Cash),IF(COUNTIFS(R_Schedule_Times,"&gt;"&amp;B2860,R_Schedule_Times,"&lt;"&amp;B2861),INDEX(R_Schedule_Amounts,MATCH(B2861,R_Schedule_Times,1)),K2860)),"")</f>
        <v>8840</v>
      </c>
      <c r="I2861" s="30">
        <f t="shared" si="220"/>
        <v>40</v>
      </c>
      <c r="J2861" s="31">
        <f t="shared" si="221"/>
        <v>0</v>
      </c>
      <c r="K2861" s="29">
        <f t="shared" si="222"/>
        <v>8800</v>
      </c>
      <c r="L2861" s="31" t="str">
        <f t="shared" si="223"/>
        <v/>
      </c>
      <c r="M2861" s="31" t="str">
        <f t="shared" si="224"/>
        <v/>
      </c>
    </row>
    <row r="2862" spans="1:13" x14ac:dyDescent="0.15">
      <c r="A2862" s="163" t="s">
        <v>210</v>
      </c>
      <c r="B2862" s="163">
        <v>42350.52874465278</v>
      </c>
      <c r="C2862" s="164" t="s">
        <v>1617</v>
      </c>
      <c r="D2862" s="164" t="s">
        <v>13</v>
      </c>
      <c r="E2862" s="165">
        <v>100</v>
      </c>
      <c r="F2862" s="166">
        <v>0</v>
      </c>
      <c r="G2862" s="227">
        <f>IF($B$2,IF(ROWS(B$6:$B2862) = 1,$B2862-Start_Date,$B2862-$B2861),"")</f>
        <v>6.1404861116898246E-3</v>
      </c>
      <c r="H2862" s="29">
        <f>IF($B$2,IF(ROWS(B$6:$B2862) = 1,IF(COUNTIFS(R_Schedule_Times,"&lt;"&amp;B2862),INDEX(R_Schedule_Amounts,MATCH(B2862,R_Schedule_Times,1)),Starting_Cash),IF(COUNTIFS(R_Schedule_Times,"&gt;"&amp;B2861,R_Schedule_Times,"&lt;"&amp;B2862),INDEX(R_Schedule_Amounts,MATCH(B2862,R_Schedule_Times,1)),K2861)),"")</f>
        <v>8800</v>
      </c>
      <c r="I2862" s="30">
        <f t="shared" si="220"/>
        <v>100</v>
      </c>
      <c r="J2862" s="31">
        <f t="shared" si="221"/>
        <v>0</v>
      </c>
      <c r="K2862" s="29">
        <f t="shared" si="222"/>
        <v>8700</v>
      </c>
      <c r="L2862" s="31" t="str">
        <f t="shared" si="223"/>
        <v/>
      </c>
      <c r="M2862" s="31" t="str">
        <f t="shared" si="224"/>
        <v/>
      </c>
    </row>
    <row r="2863" spans="1:13" x14ac:dyDescent="0.15">
      <c r="A2863" s="163" t="s">
        <v>210</v>
      </c>
      <c r="B2863" s="163">
        <v>42350.544902499998</v>
      </c>
      <c r="C2863" s="164" t="s">
        <v>2421</v>
      </c>
      <c r="D2863" s="164" t="s">
        <v>13</v>
      </c>
      <c r="E2863" s="165">
        <v>80</v>
      </c>
      <c r="F2863" s="166">
        <v>0</v>
      </c>
      <c r="G2863" s="227">
        <f>IF($B$2,IF(ROWS(B$6:$B2863) = 1,$B2863-Start_Date,$B2863-$B2862),"")</f>
        <v>1.6157847217982635E-2</v>
      </c>
      <c r="H2863" s="29">
        <f>IF($B$2,IF(ROWS(B$6:$B2863) = 1,IF(COUNTIFS(R_Schedule_Times,"&lt;"&amp;B2863),INDEX(R_Schedule_Amounts,MATCH(B2863,R_Schedule_Times,1)),Starting_Cash),IF(COUNTIFS(R_Schedule_Times,"&gt;"&amp;B2862,R_Schedule_Times,"&lt;"&amp;B2863),INDEX(R_Schedule_Amounts,MATCH(B2863,R_Schedule_Times,1)),K2862)),"")</f>
        <v>8700</v>
      </c>
      <c r="I2863" s="30">
        <f t="shared" si="220"/>
        <v>80</v>
      </c>
      <c r="J2863" s="31">
        <f t="shared" si="221"/>
        <v>0</v>
      </c>
      <c r="K2863" s="29">
        <f t="shared" si="222"/>
        <v>8620</v>
      </c>
      <c r="L2863" s="31" t="str">
        <f t="shared" si="223"/>
        <v/>
      </c>
      <c r="M2863" s="31" t="str">
        <f t="shared" si="224"/>
        <v/>
      </c>
    </row>
    <row r="2864" spans="1:13" x14ac:dyDescent="0.15">
      <c r="A2864" s="163" t="s">
        <v>210</v>
      </c>
      <c r="B2864" s="163">
        <v>42350.615358460651</v>
      </c>
      <c r="C2864" s="164" t="s">
        <v>2422</v>
      </c>
      <c r="D2864" s="164" t="s">
        <v>13</v>
      </c>
      <c r="E2864" s="165">
        <v>80</v>
      </c>
      <c r="F2864" s="166">
        <v>0</v>
      </c>
      <c r="G2864" s="227">
        <f>IF($B$2,IF(ROWS(B$6:$B2864) = 1,$B2864-Start_Date,$B2864-$B2863),"")</f>
        <v>7.0455960652907379E-2</v>
      </c>
      <c r="H2864" s="29">
        <f>IF($B$2,IF(ROWS(B$6:$B2864) = 1,IF(COUNTIFS(R_Schedule_Times,"&lt;"&amp;B2864),INDEX(R_Schedule_Amounts,MATCH(B2864,R_Schedule_Times,1)),Starting_Cash),IF(COUNTIFS(R_Schedule_Times,"&gt;"&amp;B2863,R_Schedule_Times,"&lt;"&amp;B2864),INDEX(R_Schedule_Amounts,MATCH(B2864,R_Schedule_Times,1)),K2863)),"")</f>
        <v>8620</v>
      </c>
      <c r="I2864" s="30">
        <f t="shared" si="220"/>
        <v>80</v>
      </c>
      <c r="J2864" s="31">
        <f t="shared" si="221"/>
        <v>0</v>
      </c>
      <c r="K2864" s="29">
        <f t="shared" si="222"/>
        <v>8540</v>
      </c>
      <c r="L2864" s="31" t="str">
        <f t="shared" si="223"/>
        <v/>
      </c>
      <c r="M2864" s="31" t="str">
        <f t="shared" si="224"/>
        <v/>
      </c>
    </row>
    <row r="2865" spans="1:13" x14ac:dyDescent="0.15">
      <c r="A2865" s="163" t="s">
        <v>210</v>
      </c>
      <c r="B2865" s="163">
        <v>42350.616447037035</v>
      </c>
      <c r="C2865" s="164" t="s">
        <v>2423</v>
      </c>
      <c r="D2865" s="164" t="s">
        <v>13</v>
      </c>
      <c r="E2865" s="165">
        <v>100</v>
      </c>
      <c r="F2865" s="166">
        <v>0</v>
      </c>
      <c r="G2865" s="227">
        <f>IF($B$2,IF(ROWS(B$6:$B2865) = 1,$B2865-Start_Date,$B2865-$B2864),"")</f>
        <v>1.0885763840633444E-3</v>
      </c>
      <c r="H2865" s="29">
        <f>IF($B$2,IF(ROWS(B$6:$B2865) = 1,IF(COUNTIFS(R_Schedule_Times,"&lt;"&amp;B2865),INDEX(R_Schedule_Amounts,MATCH(B2865,R_Schedule_Times,1)),Starting_Cash),IF(COUNTIFS(R_Schedule_Times,"&gt;"&amp;B2864,R_Schedule_Times,"&lt;"&amp;B2865),INDEX(R_Schedule_Amounts,MATCH(B2865,R_Schedule_Times,1)),K2864)),"")</f>
        <v>8540</v>
      </c>
      <c r="I2865" s="30">
        <f t="shared" si="220"/>
        <v>100</v>
      </c>
      <c r="J2865" s="31">
        <f t="shared" si="221"/>
        <v>0</v>
      </c>
      <c r="K2865" s="29">
        <f t="shared" si="222"/>
        <v>8440</v>
      </c>
      <c r="L2865" s="31" t="str">
        <f t="shared" si="223"/>
        <v/>
      </c>
      <c r="M2865" s="31" t="str">
        <f t="shared" si="224"/>
        <v/>
      </c>
    </row>
    <row r="2866" spans="1:13" x14ac:dyDescent="0.15">
      <c r="A2866" s="163" t="s">
        <v>210</v>
      </c>
      <c r="B2866" s="163">
        <v>42350.630690543985</v>
      </c>
      <c r="C2866" s="164" t="s">
        <v>2424</v>
      </c>
      <c r="D2866" s="164" t="s">
        <v>13</v>
      </c>
      <c r="E2866" s="165">
        <v>100</v>
      </c>
      <c r="F2866" s="166">
        <v>0</v>
      </c>
      <c r="G2866" s="227">
        <f>IF($B$2,IF(ROWS(B$6:$B2866) = 1,$B2866-Start_Date,$B2866-$B2865),"")</f>
        <v>1.4243506950151641E-2</v>
      </c>
      <c r="H2866" s="29">
        <f>IF($B$2,IF(ROWS(B$6:$B2866) = 1,IF(COUNTIFS(R_Schedule_Times,"&lt;"&amp;B2866),INDEX(R_Schedule_Amounts,MATCH(B2866,R_Schedule_Times,1)),Starting_Cash),IF(COUNTIFS(R_Schedule_Times,"&gt;"&amp;B2865,R_Schedule_Times,"&lt;"&amp;B2866),INDEX(R_Schedule_Amounts,MATCH(B2866,R_Schedule_Times,1)),K2865)),"")</f>
        <v>8440</v>
      </c>
      <c r="I2866" s="30">
        <f t="shared" si="220"/>
        <v>100</v>
      </c>
      <c r="J2866" s="31">
        <f t="shared" si="221"/>
        <v>0</v>
      </c>
      <c r="K2866" s="29">
        <f t="shared" si="222"/>
        <v>8340</v>
      </c>
      <c r="L2866" s="31" t="str">
        <f t="shared" si="223"/>
        <v/>
      </c>
      <c r="M2866" s="31" t="str">
        <f t="shared" si="224"/>
        <v/>
      </c>
    </row>
    <row r="2867" spans="1:13" x14ac:dyDescent="0.15">
      <c r="A2867" s="163" t="s">
        <v>210</v>
      </c>
      <c r="B2867" s="163">
        <v>42350.634857789351</v>
      </c>
      <c r="C2867" s="164" t="s">
        <v>2425</v>
      </c>
      <c r="D2867" s="164" t="s">
        <v>13</v>
      </c>
      <c r="E2867" s="165">
        <v>100</v>
      </c>
      <c r="F2867" s="166">
        <v>0</v>
      </c>
      <c r="G2867" s="227">
        <f>IF($B$2,IF(ROWS(B$6:$B2867) = 1,$B2867-Start_Date,$B2867-$B2866),"")</f>
        <v>4.1672453662613407E-3</v>
      </c>
      <c r="H2867" s="29">
        <f>IF($B$2,IF(ROWS(B$6:$B2867) = 1,IF(COUNTIFS(R_Schedule_Times,"&lt;"&amp;B2867),INDEX(R_Schedule_Amounts,MATCH(B2867,R_Schedule_Times,1)),Starting_Cash),IF(COUNTIFS(R_Schedule_Times,"&gt;"&amp;B2866,R_Schedule_Times,"&lt;"&amp;B2867),INDEX(R_Schedule_Amounts,MATCH(B2867,R_Schedule_Times,1)),K2866)),"")</f>
        <v>8340</v>
      </c>
      <c r="I2867" s="30">
        <f t="shared" si="220"/>
        <v>100</v>
      </c>
      <c r="J2867" s="31">
        <f t="shared" si="221"/>
        <v>0</v>
      </c>
      <c r="K2867" s="29">
        <f t="shared" si="222"/>
        <v>8240</v>
      </c>
      <c r="L2867" s="31" t="str">
        <f t="shared" si="223"/>
        <v/>
      </c>
      <c r="M2867" s="31" t="str">
        <f t="shared" si="224"/>
        <v/>
      </c>
    </row>
    <row r="2868" spans="1:13" x14ac:dyDescent="0.15">
      <c r="A2868" s="163" t="s">
        <v>210</v>
      </c>
      <c r="B2868" s="163">
        <v>42350.656315925924</v>
      </c>
      <c r="C2868" s="164" t="s">
        <v>14</v>
      </c>
      <c r="D2868" s="164" t="s">
        <v>13</v>
      </c>
      <c r="E2868" s="165">
        <v>100</v>
      </c>
      <c r="F2868" s="166">
        <v>3.5</v>
      </c>
      <c r="G2868" s="227">
        <f>IF($B$2,IF(ROWS(B$6:$B2868) = 1,$B2868-Start_Date,$B2868-$B2867),"")</f>
        <v>2.1458136572618969E-2</v>
      </c>
      <c r="H2868" s="29">
        <f>IF($B$2,IF(ROWS(B$6:$B2868) = 1,IF(COUNTIFS(R_Schedule_Times,"&lt;"&amp;B2868),INDEX(R_Schedule_Amounts,MATCH(B2868,R_Schedule_Times,1)),Starting_Cash),IF(COUNTIFS(R_Schedule_Times,"&gt;"&amp;B2867,R_Schedule_Times,"&lt;"&amp;B2868),INDEX(R_Schedule_Amounts,MATCH(B2868,R_Schedule_Times,1)),K2867)),"")</f>
        <v>8240</v>
      </c>
      <c r="I2868" s="30">
        <f t="shared" si="220"/>
        <v>100</v>
      </c>
      <c r="J2868" s="31">
        <f t="shared" si="221"/>
        <v>3.5</v>
      </c>
      <c r="K2868" s="29">
        <f t="shared" si="222"/>
        <v>8140</v>
      </c>
      <c r="L2868" s="31" t="str">
        <f t="shared" si="223"/>
        <v/>
      </c>
      <c r="M2868" s="31" t="str">
        <f t="shared" si="224"/>
        <v/>
      </c>
    </row>
    <row r="2869" spans="1:13" x14ac:dyDescent="0.15">
      <c r="A2869" s="163" t="s">
        <v>210</v>
      </c>
      <c r="B2869" s="163">
        <v>42350.67838795139</v>
      </c>
      <c r="C2869" s="164" t="s">
        <v>1331</v>
      </c>
      <c r="D2869" s="164" t="s">
        <v>13</v>
      </c>
      <c r="E2869" s="165">
        <v>100</v>
      </c>
      <c r="F2869" s="166">
        <v>0</v>
      </c>
      <c r="G2869" s="227">
        <f>IF($B$2,IF(ROWS(B$6:$B2869) = 1,$B2869-Start_Date,$B2869-$B2868),"")</f>
        <v>2.2072025465604383E-2</v>
      </c>
      <c r="H2869" s="29">
        <f>IF($B$2,IF(ROWS(B$6:$B2869) = 1,IF(COUNTIFS(R_Schedule_Times,"&lt;"&amp;B2869),INDEX(R_Schedule_Amounts,MATCH(B2869,R_Schedule_Times,1)),Starting_Cash),IF(COUNTIFS(R_Schedule_Times,"&gt;"&amp;B2868,R_Schedule_Times,"&lt;"&amp;B2869),INDEX(R_Schedule_Amounts,MATCH(B2869,R_Schedule_Times,1)),K2868)),"")</f>
        <v>8140</v>
      </c>
      <c r="I2869" s="30">
        <f t="shared" si="220"/>
        <v>100</v>
      </c>
      <c r="J2869" s="31">
        <f t="shared" si="221"/>
        <v>0</v>
      </c>
      <c r="K2869" s="29">
        <f t="shared" si="222"/>
        <v>8040</v>
      </c>
      <c r="L2869" s="31" t="str">
        <f t="shared" si="223"/>
        <v/>
      </c>
      <c r="M2869" s="31" t="str">
        <f t="shared" si="224"/>
        <v/>
      </c>
    </row>
    <row r="2870" spans="1:13" x14ac:dyDescent="0.15">
      <c r="A2870" s="163" t="s">
        <v>210</v>
      </c>
      <c r="B2870" s="163">
        <v>42350.685558715275</v>
      </c>
      <c r="C2870" s="164" t="s">
        <v>2426</v>
      </c>
      <c r="D2870" s="164" t="s">
        <v>13</v>
      </c>
      <c r="E2870" s="165">
        <v>200</v>
      </c>
      <c r="F2870" s="166">
        <v>0</v>
      </c>
      <c r="G2870" s="227">
        <f>IF($B$2,IF(ROWS(B$6:$B2870) = 1,$B2870-Start_Date,$B2870-$B2869),"")</f>
        <v>7.1707638853695244E-3</v>
      </c>
      <c r="H2870" s="29">
        <f>IF($B$2,IF(ROWS(B$6:$B2870) = 1,IF(COUNTIFS(R_Schedule_Times,"&lt;"&amp;B2870),INDEX(R_Schedule_Amounts,MATCH(B2870,R_Schedule_Times,1)),Starting_Cash),IF(COUNTIFS(R_Schedule_Times,"&gt;"&amp;B2869,R_Schedule_Times,"&lt;"&amp;B2870),INDEX(R_Schedule_Amounts,MATCH(B2870,R_Schedule_Times,1)),K2869)),"")</f>
        <v>8040</v>
      </c>
      <c r="I2870" s="30">
        <f t="shared" si="220"/>
        <v>200</v>
      </c>
      <c r="J2870" s="31">
        <f t="shared" si="221"/>
        <v>0</v>
      </c>
      <c r="K2870" s="29">
        <f t="shared" si="222"/>
        <v>7840</v>
      </c>
      <c r="L2870" s="31" t="str">
        <f t="shared" si="223"/>
        <v/>
      </c>
      <c r="M2870" s="31" t="str">
        <f t="shared" si="224"/>
        <v/>
      </c>
    </row>
    <row r="2871" spans="1:13" x14ac:dyDescent="0.15">
      <c r="A2871" s="163" t="s">
        <v>210</v>
      </c>
      <c r="B2871" s="163">
        <v>42350.706161585651</v>
      </c>
      <c r="C2871" s="164" t="s">
        <v>2427</v>
      </c>
      <c r="D2871" s="164" t="s">
        <v>13</v>
      </c>
      <c r="E2871" s="165">
        <v>100</v>
      </c>
      <c r="F2871" s="166">
        <v>0</v>
      </c>
      <c r="G2871" s="227">
        <f>IF($B$2,IF(ROWS(B$6:$B2871) = 1,$B2871-Start_Date,$B2871-$B2870),"")</f>
        <v>2.060287037602393E-2</v>
      </c>
      <c r="H2871" s="29">
        <f>IF($B$2,IF(ROWS(B$6:$B2871) = 1,IF(COUNTIFS(R_Schedule_Times,"&lt;"&amp;B2871),INDEX(R_Schedule_Amounts,MATCH(B2871,R_Schedule_Times,1)),Starting_Cash),IF(COUNTIFS(R_Schedule_Times,"&gt;"&amp;B2870,R_Schedule_Times,"&lt;"&amp;B2871),INDEX(R_Schedule_Amounts,MATCH(B2871,R_Schedule_Times,1)),K2870)),"")</f>
        <v>7840</v>
      </c>
      <c r="I2871" s="30">
        <f t="shared" si="220"/>
        <v>100</v>
      </c>
      <c r="J2871" s="31">
        <f t="shared" si="221"/>
        <v>0</v>
      </c>
      <c r="K2871" s="29">
        <f t="shared" si="222"/>
        <v>7740</v>
      </c>
      <c r="L2871" s="31" t="str">
        <f t="shared" si="223"/>
        <v/>
      </c>
      <c r="M2871" s="31" t="str">
        <f t="shared" si="224"/>
        <v/>
      </c>
    </row>
    <row r="2872" spans="1:13" x14ac:dyDescent="0.15">
      <c r="A2872" s="163" t="s">
        <v>210</v>
      </c>
      <c r="B2872" s="163">
        <v>42350.710021261577</v>
      </c>
      <c r="C2872" s="164" t="s">
        <v>2428</v>
      </c>
      <c r="D2872" s="164" t="s">
        <v>13</v>
      </c>
      <c r="E2872" s="165">
        <v>80</v>
      </c>
      <c r="F2872" s="166">
        <v>0</v>
      </c>
      <c r="G2872" s="227">
        <f>IF($B$2,IF(ROWS(B$6:$B2872) = 1,$B2872-Start_Date,$B2872-$B2871),"")</f>
        <v>3.8596759259235114E-3</v>
      </c>
      <c r="H2872" s="29">
        <f>IF($B$2,IF(ROWS(B$6:$B2872) = 1,IF(COUNTIFS(R_Schedule_Times,"&lt;"&amp;B2872),INDEX(R_Schedule_Amounts,MATCH(B2872,R_Schedule_Times,1)),Starting_Cash),IF(COUNTIFS(R_Schedule_Times,"&gt;"&amp;B2871,R_Schedule_Times,"&lt;"&amp;B2872),INDEX(R_Schedule_Amounts,MATCH(B2872,R_Schedule_Times,1)),K2871)),"")</f>
        <v>7740</v>
      </c>
      <c r="I2872" s="30">
        <f t="shared" si="220"/>
        <v>80</v>
      </c>
      <c r="J2872" s="31">
        <f t="shared" si="221"/>
        <v>0</v>
      </c>
      <c r="K2872" s="29">
        <f t="shared" si="222"/>
        <v>7660</v>
      </c>
      <c r="L2872" s="31" t="str">
        <f t="shared" si="223"/>
        <v/>
      </c>
      <c r="M2872" s="31" t="str">
        <f t="shared" si="224"/>
        <v/>
      </c>
    </row>
    <row r="2873" spans="1:13" x14ac:dyDescent="0.15">
      <c r="A2873" s="163" t="s">
        <v>210</v>
      </c>
      <c r="B2873" s="163">
        <v>42350.748950208334</v>
      </c>
      <c r="C2873" s="164" t="s">
        <v>515</v>
      </c>
      <c r="D2873" s="164" t="s">
        <v>13</v>
      </c>
      <c r="E2873" s="165">
        <v>60</v>
      </c>
      <c r="F2873" s="166">
        <v>0</v>
      </c>
      <c r="G2873" s="227">
        <f>IF($B$2,IF(ROWS(B$6:$B2873) = 1,$B2873-Start_Date,$B2873-$B2872),"")</f>
        <v>3.892894675664138E-2</v>
      </c>
      <c r="H2873" s="29">
        <f>IF($B$2,IF(ROWS(B$6:$B2873) = 1,IF(COUNTIFS(R_Schedule_Times,"&lt;"&amp;B2873),INDEX(R_Schedule_Amounts,MATCH(B2873,R_Schedule_Times,1)),Starting_Cash),IF(COUNTIFS(R_Schedule_Times,"&gt;"&amp;B2872,R_Schedule_Times,"&lt;"&amp;B2873),INDEX(R_Schedule_Amounts,MATCH(B2873,R_Schedule_Times,1)),K2872)),"")</f>
        <v>7660</v>
      </c>
      <c r="I2873" s="30">
        <f t="shared" si="220"/>
        <v>60</v>
      </c>
      <c r="J2873" s="31">
        <f t="shared" si="221"/>
        <v>0</v>
      </c>
      <c r="K2873" s="29">
        <f t="shared" si="222"/>
        <v>7600</v>
      </c>
      <c r="L2873" s="31" t="str">
        <f t="shared" si="223"/>
        <v/>
      </c>
      <c r="M2873" s="31" t="str">
        <f t="shared" si="224"/>
        <v/>
      </c>
    </row>
    <row r="2874" spans="1:13" x14ac:dyDescent="0.15">
      <c r="A2874" s="163" t="s">
        <v>210</v>
      </c>
      <c r="B2874" s="163">
        <v>42350.756622025459</v>
      </c>
      <c r="C2874" s="164" t="s">
        <v>2429</v>
      </c>
      <c r="D2874" s="164" t="s">
        <v>13</v>
      </c>
      <c r="E2874" s="165">
        <v>200</v>
      </c>
      <c r="F2874" s="166">
        <v>0</v>
      </c>
      <c r="G2874" s="227">
        <f>IF($B$2,IF(ROWS(B$6:$B2874) = 1,$B2874-Start_Date,$B2874-$B2873),"")</f>
        <v>7.6718171258107759E-3</v>
      </c>
      <c r="H2874" s="29">
        <f>IF($B$2,IF(ROWS(B$6:$B2874) = 1,IF(COUNTIFS(R_Schedule_Times,"&lt;"&amp;B2874),INDEX(R_Schedule_Amounts,MATCH(B2874,R_Schedule_Times,1)),Starting_Cash),IF(COUNTIFS(R_Schedule_Times,"&gt;"&amp;B2873,R_Schedule_Times,"&lt;"&amp;B2874),INDEX(R_Schedule_Amounts,MATCH(B2874,R_Schedule_Times,1)),K2873)),"")</f>
        <v>7600</v>
      </c>
      <c r="I2874" s="30">
        <f t="shared" si="220"/>
        <v>200</v>
      </c>
      <c r="J2874" s="31">
        <f t="shared" si="221"/>
        <v>0</v>
      </c>
      <c r="K2874" s="29">
        <f t="shared" si="222"/>
        <v>7400</v>
      </c>
      <c r="L2874" s="31" t="str">
        <f t="shared" si="223"/>
        <v/>
      </c>
      <c r="M2874" s="31" t="str">
        <f t="shared" si="224"/>
        <v/>
      </c>
    </row>
    <row r="2875" spans="1:13" x14ac:dyDescent="0.15">
      <c r="A2875" s="163" t="s">
        <v>210</v>
      </c>
      <c r="B2875" s="163">
        <v>42350.758331562502</v>
      </c>
      <c r="C2875" s="164" t="s">
        <v>1149</v>
      </c>
      <c r="D2875" s="164" t="s">
        <v>13</v>
      </c>
      <c r="E2875" s="165">
        <v>100</v>
      </c>
      <c r="F2875" s="166">
        <v>0</v>
      </c>
      <c r="G2875" s="227">
        <f>IF($B$2,IF(ROWS(B$6:$B2875) = 1,$B2875-Start_Date,$B2875-$B2874),"")</f>
        <v>1.7095370421884581E-3</v>
      </c>
      <c r="H2875" s="29">
        <f>IF($B$2,IF(ROWS(B$6:$B2875) = 1,IF(COUNTIFS(R_Schedule_Times,"&lt;"&amp;B2875),INDEX(R_Schedule_Amounts,MATCH(B2875,R_Schedule_Times,1)),Starting_Cash),IF(COUNTIFS(R_Schedule_Times,"&gt;"&amp;B2874,R_Schedule_Times,"&lt;"&amp;B2875),INDEX(R_Schedule_Amounts,MATCH(B2875,R_Schedule_Times,1)),K2874)),"")</f>
        <v>7400</v>
      </c>
      <c r="I2875" s="30">
        <f t="shared" si="220"/>
        <v>100</v>
      </c>
      <c r="J2875" s="31">
        <f t="shared" si="221"/>
        <v>0</v>
      </c>
      <c r="K2875" s="29">
        <f t="shared" si="222"/>
        <v>7300</v>
      </c>
      <c r="L2875" s="31" t="str">
        <f t="shared" si="223"/>
        <v/>
      </c>
      <c r="M2875" s="31" t="str">
        <f t="shared" si="224"/>
        <v/>
      </c>
    </row>
    <row r="2876" spans="1:13" x14ac:dyDescent="0.15">
      <c r="A2876" s="163" t="s">
        <v>210</v>
      </c>
      <c r="B2876" s="163">
        <v>42350.77195678241</v>
      </c>
      <c r="C2876" s="164" t="s">
        <v>1938</v>
      </c>
      <c r="D2876" s="164" t="s">
        <v>13</v>
      </c>
      <c r="E2876" s="165">
        <v>40</v>
      </c>
      <c r="F2876" s="166">
        <v>0</v>
      </c>
      <c r="G2876" s="227">
        <f>IF($B$2,IF(ROWS(B$6:$B2876) = 1,$B2876-Start_Date,$B2876-$B2875),"")</f>
        <v>1.3625219908135477E-2</v>
      </c>
      <c r="H2876" s="29">
        <f>IF($B$2,IF(ROWS(B$6:$B2876) = 1,IF(COUNTIFS(R_Schedule_Times,"&lt;"&amp;B2876),INDEX(R_Schedule_Amounts,MATCH(B2876,R_Schedule_Times,1)),Starting_Cash),IF(COUNTIFS(R_Schedule_Times,"&gt;"&amp;B2875,R_Schedule_Times,"&lt;"&amp;B2876),INDEX(R_Schedule_Amounts,MATCH(B2876,R_Schedule_Times,1)),K2875)),"")</f>
        <v>7300</v>
      </c>
      <c r="I2876" s="30">
        <f t="shared" si="220"/>
        <v>40</v>
      </c>
      <c r="J2876" s="31">
        <f t="shared" si="221"/>
        <v>0</v>
      </c>
      <c r="K2876" s="29">
        <f t="shared" si="222"/>
        <v>7260</v>
      </c>
      <c r="L2876" s="31" t="str">
        <f t="shared" si="223"/>
        <v/>
      </c>
      <c r="M2876" s="31" t="str">
        <f t="shared" si="224"/>
        <v/>
      </c>
    </row>
    <row r="2877" spans="1:13" x14ac:dyDescent="0.15">
      <c r="A2877" s="163" t="s">
        <v>210</v>
      </c>
      <c r="B2877" s="163">
        <v>42350.786500868053</v>
      </c>
      <c r="C2877" s="164" t="s">
        <v>2430</v>
      </c>
      <c r="D2877" s="164" t="s">
        <v>13</v>
      </c>
      <c r="E2877" s="165">
        <v>160</v>
      </c>
      <c r="F2877" s="166">
        <v>0</v>
      </c>
      <c r="G2877" s="227">
        <f>IF($B$2,IF(ROWS(B$6:$B2877) = 1,$B2877-Start_Date,$B2877-$B2876),"")</f>
        <v>1.4544085643137805E-2</v>
      </c>
      <c r="H2877" s="29">
        <f>IF($B$2,IF(ROWS(B$6:$B2877) = 1,IF(COUNTIFS(R_Schedule_Times,"&lt;"&amp;B2877),INDEX(R_Schedule_Amounts,MATCH(B2877,R_Schedule_Times,1)),Starting_Cash),IF(COUNTIFS(R_Schedule_Times,"&gt;"&amp;B2876,R_Schedule_Times,"&lt;"&amp;B2877),INDEX(R_Schedule_Amounts,MATCH(B2877,R_Schedule_Times,1)),K2876)),"")</f>
        <v>7260</v>
      </c>
      <c r="I2877" s="30">
        <f t="shared" si="220"/>
        <v>160</v>
      </c>
      <c r="J2877" s="31">
        <f t="shared" si="221"/>
        <v>0</v>
      </c>
      <c r="K2877" s="29">
        <f t="shared" si="222"/>
        <v>7100</v>
      </c>
      <c r="L2877" s="31" t="str">
        <f t="shared" si="223"/>
        <v/>
      </c>
      <c r="M2877" s="31" t="str">
        <f t="shared" si="224"/>
        <v/>
      </c>
    </row>
    <row r="2878" spans="1:13" x14ac:dyDescent="0.15">
      <c r="A2878" s="163" t="s">
        <v>210</v>
      </c>
      <c r="B2878" s="163">
        <v>42350.790065046298</v>
      </c>
      <c r="C2878" s="164" t="s">
        <v>14</v>
      </c>
      <c r="D2878" s="164" t="s">
        <v>13</v>
      </c>
      <c r="E2878" s="165">
        <v>60</v>
      </c>
      <c r="F2878" s="166">
        <v>3.5</v>
      </c>
      <c r="G2878" s="227">
        <f>IF($B$2,IF(ROWS(B$6:$B2878) = 1,$B2878-Start_Date,$B2878-$B2877),"")</f>
        <v>3.5641782451421022E-3</v>
      </c>
      <c r="H2878" s="29">
        <f>IF($B$2,IF(ROWS(B$6:$B2878) = 1,IF(COUNTIFS(R_Schedule_Times,"&lt;"&amp;B2878),INDEX(R_Schedule_Amounts,MATCH(B2878,R_Schedule_Times,1)),Starting_Cash),IF(COUNTIFS(R_Schedule_Times,"&gt;"&amp;B2877,R_Schedule_Times,"&lt;"&amp;B2878),INDEX(R_Schedule_Amounts,MATCH(B2878,R_Schedule_Times,1)),K2877)),"")</f>
        <v>7100</v>
      </c>
      <c r="I2878" s="30">
        <f t="shared" si="220"/>
        <v>60</v>
      </c>
      <c r="J2878" s="31">
        <f t="shared" si="221"/>
        <v>3.5</v>
      </c>
      <c r="K2878" s="29">
        <f t="shared" si="222"/>
        <v>7040</v>
      </c>
      <c r="L2878" s="31" t="str">
        <f t="shared" si="223"/>
        <v/>
      </c>
      <c r="M2878" s="31" t="str">
        <f t="shared" si="224"/>
        <v/>
      </c>
    </row>
    <row r="2879" spans="1:13" x14ac:dyDescent="0.15">
      <c r="A2879" s="163" t="s">
        <v>210</v>
      </c>
      <c r="B2879" s="163">
        <v>42350.802912974534</v>
      </c>
      <c r="C2879" s="164" t="s">
        <v>1494</v>
      </c>
      <c r="D2879" s="164" t="s">
        <v>13</v>
      </c>
      <c r="E2879" s="165">
        <v>400</v>
      </c>
      <c r="F2879" s="166">
        <v>0</v>
      </c>
      <c r="G2879" s="227">
        <f>IF($B$2,IF(ROWS(B$6:$B2879) = 1,$B2879-Start_Date,$B2879-$B2878),"")</f>
        <v>1.2847928235714789E-2</v>
      </c>
      <c r="H2879" s="29">
        <f>IF($B$2,IF(ROWS(B$6:$B2879) = 1,IF(COUNTIFS(R_Schedule_Times,"&lt;"&amp;B2879),INDEX(R_Schedule_Amounts,MATCH(B2879,R_Schedule_Times,1)),Starting_Cash),IF(COUNTIFS(R_Schedule_Times,"&gt;"&amp;B2878,R_Schedule_Times,"&lt;"&amp;B2879),INDEX(R_Schedule_Amounts,MATCH(B2879,R_Schedule_Times,1)),K2878)),"")</f>
        <v>7040</v>
      </c>
      <c r="I2879" s="30">
        <f t="shared" si="220"/>
        <v>400</v>
      </c>
      <c r="J2879" s="31">
        <f t="shared" si="221"/>
        <v>0</v>
      </c>
      <c r="K2879" s="29">
        <f t="shared" si="222"/>
        <v>6640</v>
      </c>
      <c r="L2879" s="31" t="str">
        <f t="shared" si="223"/>
        <v/>
      </c>
      <c r="M2879" s="31" t="str">
        <f t="shared" si="224"/>
        <v/>
      </c>
    </row>
    <row r="2880" spans="1:13" x14ac:dyDescent="0.15">
      <c r="A2880" s="163" t="s">
        <v>210</v>
      </c>
      <c r="B2880" s="163">
        <v>42350.828061203705</v>
      </c>
      <c r="C2880" s="164" t="s">
        <v>2067</v>
      </c>
      <c r="D2880" s="164" t="s">
        <v>13</v>
      </c>
      <c r="E2880" s="165">
        <v>320</v>
      </c>
      <c r="F2880" s="166">
        <v>0</v>
      </c>
      <c r="G2880" s="227">
        <f>IF($B$2,IF(ROWS(B$6:$B2880) = 1,$B2880-Start_Date,$B2880-$B2879),"")</f>
        <v>2.5148229171463754E-2</v>
      </c>
      <c r="H2880" s="29">
        <f>IF($B$2,IF(ROWS(B$6:$B2880) = 1,IF(COUNTIFS(R_Schedule_Times,"&lt;"&amp;B2880),INDEX(R_Schedule_Amounts,MATCH(B2880,R_Schedule_Times,1)),Starting_Cash),IF(COUNTIFS(R_Schedule_Times,"&gt;"&amp;B2879,R_Schedule_Times,"&lt;"&amp;B2880),INDEX(R_Schedule_Amounts,MATCH(B2880,R_Schedule_Times,1)),K2879)),"")</f>
        <v>6640</v>
      </c>
      <c r="I2880" s="30">
        <f t="shared" si="220"/>
        <v>320</v>
      </c>
      <c r="J2880" s="31">
        <f t="shared" si="221"/>
        <v>0</v>
      </c>
      <c r="K2880" s="29">
        <f t="shared" si="222"/>
        <v>6320</v>
      </c>
      <c r="L2880" s="31" t="str">
        <f t="shared" si="223"/>
        <v/>
      </c>
      <c r="M2880" s="31" t="str">
        <f t="shared" si="224"/>
        <v/>
      </c>
    </row>
    <row r="2881" spans="1:13" x14ac:dyDescent="0.15">
      <c r="A2881" s="163" t="s">
        <v>210</v>
      </c>
      <c r="B2881" s="163">
        <v>42350.877060775463</v>
      </c>
      <c r="C2881" s="164" t="s">
        <v>1236</v>
      </c>
      <c r="D2881" s="164" t="s">
        <v>13</v>
      </c>
      <c r="E2881" s="165">
        <v>100</v>
      </c>
      <c r="F2881" s="166">
        <v>0</v>
      </c>
      <c r="G2881" s="227">
        <f>IF($B$2,IF(ROWS(B$6:$B2881) = 1,$B2881-Start_Date,$B2881-$B2880),"")</f>
        <v>4.8999571758031379E-2</v>
      </c>
      <c r="H2881" s="29">
        <f>IF($B$2,IF(ROWS(B$6:$B2881) = 1,IF(COUNTIFS(R_Schedule_Times,"&lt;"&amp;B2881),INDEX(R_Schedule_Amounts,MATCH(B2881,R_Schedule_Times,1)),Starting_Cash),IF(COUNTIFS(R_Schedule_Times,"&gt;"&amp;B2880,R_Schedule_Times,"&lt;"&amp;B2881),INDEX(R_Schedule_Amounts,MATCH(B2881,R_Schedule_Times,1)),K2880)),"")</f>
        <v>6320</v>
      </c>
      <c r="I2881" s="30">
        <f t="shared" si="220"/>
        <v>100</v>
      </c>
      <c r="J2881" s="31">
        <f t="shared" si="221"/>
        <v>0</v>
      </c>
      <c r="K2881" s="29">
        <f t="shared" si="222"/>
        <v>6220</v>
      </c>
      <c r="L2881" s="31" t="str">
        <f t="shared" si="223"/>
        <v/>
      </c>
      <c r="M2881" s="31" t="str">
        <f t="shared" si="224"/>
        <v/>
      </c>
    </row>
    <row r="2882" spans="1:13" x14ac:dyDescent="0.15">
      <c r="A2882" s="163" t="s">
        <v>210</v>
      </c>
      <c r="B2882" s="163">
        <v>42350.882062488425</v>
      </c>
      <c r="C2882" s="164" t="s">
        <v>2431</v>
      </c>
      <c r="D2882" s="164" t="s">
        <v>13</v>
      </c>
      <c r="E2882" s="165">
        <v>40</v>
      </c>
      <c r="F2882" s="166">
        <v>0</v>
      </c>
      <c r="G2882" s="227">
        <f>IF($B$2,IF(ROWS(B$6:$B2882) = 1,$B2882-Start_Date,$B2882-$B2881),"")</f>
        <v>5.0017129615298472E-3</v>
      </c>
      <c r="H2882" s="29">
        <f>IF($B$2,IF(ROWS(B$6:$B2882) = 1,IF(COUNTIFS(R_Schedule_Times,"&lt;"&amp;B2882),INDEX(R_Schedule_Amounts,MATCH(B2882,R_Schedule_Times,1)),Starting_Cash),IF(COUNTIFS(R_Schedule_Times,"&gt;"&amp;B2881,R_Schedule_Times,"&lt;"&amp;B2882),INDEX(R_Schedule_Amounts,MATCH(B2882,R_Schedule_Times,1)),K2881)),"")</f>
        <v>6220</v>
      </c>
      <c r="I2882" s="30">
        <f t="shared" si="220"/>
        <v>40</v>
      </c>
      <c r="J2882" s="31">
        <f t="shared" si="221"/>
        <v>0</v>
      </c>
      <c r="K2882" s="29">
        <f t="shared" si="222"/>
        <v>6180</v>
      </c>
      <c r="L2882" s="31" t="str">
        <f t="shared" si="223"/>
        <v/>
      </c>
      <c r="M2882" s="31" t="str">
        <f t="shared" si="224"/>
        <v/>
      </c>
    </row>
    <row r="2883" spans="1:13" x14ac:dyDescent="0.15">
      <c r="A2883" s="163" t="s">
        <v>210</v>
      </c>
      <c r="B2883" s="163">
        <v>42350.88963982639</v>
      </c>
      <c r="C2883" s="164" t="s">
        <v>2432</v>
      </c>
      <c r="D2883" s="164" t="s">
        <v>13</v>
      </c>
      <c r="E2883" s="165">
        <v>20</v>
      </c>
      <c r="F2883" s="166">
        <v>0</v>
      </c>
      <c r="G2883" s="227">
        <f>IF($B$2,IF(ROWS(B$6:$B2883) = 1,$B2883-Start_Date,$B2883-$B2882),"")</f>
        <v>7.5773379649035633E-3</v>
      </c>
      <c r="H2883" s="29">
        <f>IF($B$2,IF(ROWS(B$6:$B2883) = 1,IF(COUNTIFS(R_Schedule_Times,"&lt;"&amp;B2883),INDEX(R_Schedule_Amounts,MATCH(B2883,R_Schedule_Times,1)),Starting_Cash),IF(COUNTIFS(R_Schedule_Times,"&gt;"&amp;B2882,R_Schedule_Times,"&lt;"&amp;B2883),INDEX(R_Schedule_Amounts,MATCH(B2883,R_Schedule_Times,1)),K2882)),"")</f>
        <v>6180</v>
      </c>
      <c r="I2883" s="30">
        <f t="shared" si="220"/>
        <v>20</v>
      </c>
      <c r="J2883" s="31">
        <f t="shared" si="221"/>
        <v>0</v>
      </c>
      <c r="K2883" s="29">
        <f t="shared" si="222"/>
        <v>6160</v>
      </c>
      <c r="L2883" s="31" t="str">
        <f t="shared" si="223"/>
        <v/>
      </c>
      <c r="M2883" s="31" t="str">
        <f t="shared" si="224"/>
        <v/>
      </c>
    </row>
    <row r="2884" spans="1:13" x14ac:dyDescent="0.15">
      <c r="A2884" s="163" t="s">
        <v>210</v>
      </c>
      <c r="B2884" s="163">
        <v>42350.89050616898</v>
      </c>
      <c r="C2884" s="164" t="s">
        <v>14</v>
      </c>
      <c r="D2884" s="164" t="s">
        <v>13</v>
      </c>
      <c r="E2884" s="165">
        <v>100</v>
      </c>
      <c r="F2884" s="166">
        <v>3.5</v>
      </c>
      <c r="G2884" s="227">
        <f>IF($B$2,IF(ROWS(B$6:$B2884) = 1,$B2884-Start_Date,$B2884-$B2883),"")</f>
        <v>8.6634259059792385E-4</v>
      </c>
      <c r="H2884" s="29">
        <f>IF($B$2,IF(ROWS(B$6:$B2884) = 1,IF(COUNTIFS(R_Schedule_Times,"&lt;"&amp;B2884),INDEX(R_Schedule_Amounts,MATCH(B2884,R_Schedule_Times,1)),Starting_Cash),IF(COUNTIFS(R_Schedule_Times,"&gt;"&amp;B2883,R_Schedule_Times,"&lt;"&amp;B2884),INDEX(R_Schedule_Amounts,MATCH(B2884,R_Schedule_Times,1)),K2883)),"")</f>
        <v>6160</v>
      </c>
      <c r="I2884" s="30">
        <f t="shared" si="220"/>
        <v>100</v>
      </c>
      <c r="J2884" s="31">
        <f t="shared" si="221"/>
        <v>3.5</v>
      </c>
      <c r="K2884" s="29">
        <f t="shared" si="222"/>
        <v>6060</v>
      </c>
      <c r="L2884" s="31" t="str">
        <f t="shared" si="223"/>
        <v/>
      </c>
      <c r="M2884" s="31" t="str">
        <f t="shared" si="224"/>
        <v/>
      </c>
    </row>
    <row r="2885" spans="1:13" x14ac:dyDescent="0.15">
      <c r="A2885" s="163" t="s">
        <v>210</v>
      </c>
      <c r="B2885" s="163">
        <v>42350.928551261575</v>
      </c>
      <c r="C2885" s="164" t="s">
        <v>2433</v>
      </c>
      <c r="D2885" s="164" t="s">
        <v>13</v>
      </c>
      <c r="E2885" s="165">
        <v>100</v>
      </c>
      <c r="F2885" s="166">
        <v>0</v>
      </c>
      <c r="G2885" s="227">
        <f>IF($B$2,IF(ROWS(B$6:$B2885) = 1,$B2885-Start_Date,$B2885-$B2884),"")</f>
        <v>3.8045092594984453E-2</v>
      </c>
      <c r="H2885" s="29">
        <f>IF($B$2,IF(ROWS(B$6:$B2885) = 1,IF(COUNTIFS(R_Schedule_Times,"&lt;"&amp;B2885),INDEX(R_Schedule_Amounts,MATCH(B2885,R_Schedule_Times,1)),Starting_Cash),IF(COUNTIFS(R_Schedule_Times,"&gt;"&amp;B2884,R_Schedule_Times,"&lt;"&amp;B2885),INDEX(R_Schedule_Amounts,MATCH(B2885,R_Schedule_Times,1)),K2884)),"")</f>
        <v>6060</v>
      </c>
      <c r="I2885" s="30">
        <f t="shared" si="220"/>
        <v>100</v>
      </c>
      <c r="J2885" s="31">
        <f t="shared" si="221"/>
        <v>0</v>
      </c>
      <c r="K2885" s="29">
        <f t="shared" si="222"/>
        <v>5960</v>
      </c>
      <c r="L2885" s="31" t="str">
        <f t="shared" si="223"/>
        <v/>
      </c>
      <c r="M2885" s="31" t="str">
        <f t="shared" si="224"/>
        <v/>
      </c>
    </row>
    <row r="2886" spans="1:13" x14ac:dyDescent="0.15">
      <c r="A2886" s="163" t="s">
        <v>210</v>
      </c>
      <c r="B2886" s="163">
        <v>42350.975275023149</v>
      </c>
      <c r="C2886" s="164" t="s">
        <v>2434</v>
      </c>
      <c r="D2886" s="164" t="s">
        <v>13</v>
      </c>
      <c r="E2886" s="165">
        <v>120</v>
      </c>
      <c r="F2886" s="166">
        <v>0</v>
      </c>
      <c r="G2886" s="227">
        <f>IF($B$2,IF(ROWS(B$6:$B2886) = 1,$B2886-Start_Date,$B2886-$B2885),"")</f>
        <v>4.6723761573957745E-2</v>
      </c>
      <c r="H2886" s="29">
        <f>IF($B$2,IF(ROWS(B$6:$B2886) = 1,IF(COUNTIFS(R_Schedule_Times,"&lt;"&amp;B2886),INDEX(R_Schedule_Amounts,MATCH(B2886,R_Schedule_Times,1)),Starting_Cash),IF(COUNTIFS(R_Schedule_Times,"&gt;"&amp;B2885,R_Schedule_Times,"&lt;"&amp;B2886),INDEX(R_Schedule_Amounts,MATCH(B2886,R_Schedule_Times,1)),K2885)),"")</f>
        <v>5960</v>
      </c>
      <c r="I2886" s="30">
        <f t="shared" si="220"/>
        <v>120</v>
      </c>
      <c r="J2886" s="31">
        <f t="shared" si="221"/>
        <v>0</v>
      </c>
      <c r="K2886" s="29">
        <f t="shared" si="222"/>
        <v>5840</v>
      </c>
      <c r="L2886" s="31" t="str">
        <f t="shared" si="223"/>
        <v/>
      </c>
      <c r="M2886" s="31" t="str">
        <f t="shared" si="224"/>
        <v/>
      </c>
    </row>
    <row r="2887" spans="1:13" x14ac:dyDescent="0.15">
      <c r="A2887" s="163" t="s">
        <v>210</v>
      </c>
      <c r="B2887" s="163">
        <v>42351.020971053244</v>
      </c>
      <c r="C2887" s="164" t="s">
        <v>2435</v>
      </c>
      <c r="D2887" s="164" t="s">
        <v>13</v>
      </c>
      <c r="E2887" s="165">
        <v>40</v>
      </c>
      <c r="F2887" s="166">
        <v>0</v>
      </c>
      <c r="G2887" s="227">
        <f>IF($B$2,IF(ROWS(B$6:$B2887) = 1,$B2887-Start_Date,$B2887-$B2886),"")</f>
        <v>4.5696030094404705E-2</v>
      </c>
      <c r="H2887" s="29">
        <f>IF($B$2,IF(ROWS(B$6:$B2887) = 1,IF(COUNTIFS(R_Schedule_Times,"&lt;"&amp;B2887),INDEX(R_Schedule_Amounts,MATCH(B2887,R_Schedule_Times,1)),Starting_Cash),IF(COUNTIFS(R_Schedule_Times,"&gt;"&amp;B2886,R_Schedule_Times,"&lt;"&amp;B2887),INDEX(R_Schedule_Amounts,MATCH(B2887,R_Schedule_Times,1)),K2886)),"")</f>
        <v>5840</v>
      </c>
      <c r="I2887" s="30">
        <f t="shared" ref="I2887:I2950" si="225">IF($B$2,IF(H2887&gt;=E2887,E2887,0),"")</f>
        <v>40</v>
      </c>
      <c r="J2887" s="31">
        <f t="shared" ref="J2887:J2950" si="226">IF($B$2,IF(H2887&gt;=E2887,F2887,0),"")</f>
        <v>0</v>
      </c>
      <c r="K2887" s="29">
        <f t="shared" ref="K2887:K2950" si="227">IF($B$2,ABS(I2887-H2887),"")</f>
        <v>5800</v>
      </c>
      <c r="L2887" s="31" t="str">
        <f t="shared" ref="L2887:L2950" si="228">IF($B$2,IF(H2887&lt;E2887,"YES",""),"")</f>
        <v/>
      </c>
      <c r="M2887" s="31" t="str">
        <f t="shared" ref="M2887:M2950" si="229">IF($B$2,IF(L2887="YES",F2887,""),"")</f>
        <v/>
      </c>
    </row>
    <row r="2888" spans="1:13" x14ac:dyDescent="0.15">
      <c r="A2888" s="163" t="s">
        <v>210</v>
      </c>
      <c r="B2888" s="163">
        <v>42351.041490243057</v>
      </c>
      <c r="C2888" s="164" t="s">
        <v>2436</v>
      </c>
      <c r="D2888" s="164" t="s">
        <v>13</v>
      </c>
      <c r="E2888" s="165">
        <v>200</v>
      </c>
      <c r="F2888" s="166">
        <v>0</v>
      </c>
      <c r="G2888" s="227">
        <f>IF($B$2,IF(ROWS(B$6:$B2888) = 1,$B2888-Start_Date,$B2888-$B2887),"")</f>
        <v>2.0519189813057892E-2</v>
      </c>
      <c r="H2888" s="29">
        <f>IF($B$2,IF(ROWS(B$6:$B2888) = 1,IF(COUNTIFS(R_Schedule_Times,"&lt;"&amp;B2888),INDEX(R_Schedule_Amounts,MATCH(B2888,R_Schedule_Times,1)),Starting_Cash),IF(COUNTIFS(R_Schedule_Times,"&gt;"&amp;B2887,R_Schedule_Times,"&lt;"&amp;B2888),INDEX(R_Schedule_Amounts,MATCH(B2888,R_Schedule_Times,1)),K2887)),"")</f>
        <v>5800</v>
      </c>
      <c r="I2888" s="30">
        <f t="shared" si="225"/>
        <v>200</v>
      </c>
      <c r="J2888" s="31">
        <f t="shared" si="226"/>
        <v>0</v>
      </c>
      <c r="K2888" s="29">
        <f t="shared" si="227"/>
        <v>5600</v>
      </c>
      <c r="L2888" s="31" t="str">
        <f t="shared" si="228"/>
        <v/>
      </c>
      <c r="M2888" s="31" t="str">
        <f t="shared" si="229"/>
        <v/>
      </c>
    </row>
    <row r="2889" spans="1:13" x14ac:dyDescent="0.15">
      <c r="A2889" s="163" t="s">
        <v>210</v>
      </c>
      <c r="B2889" s="163">
        <v>42351.071072685183</v>
      </c>
      <c r="C2889" s="164" t="s">
        <v>789</v>
      </c>
      <c r="D2889" s="164" t="s">
        <v>13</v>
      </c>
      <c r="E2889" s="165">
        <v>200</v>
      </c>
      <c r="F2889" s="166">
        <v>0</v>
      </c>
      <c r="G2889" s="227">
        <f>IF($B$2,IF(ROWS(B$6:$B2889) = 1,$B2889-Start_Date,$B2889-$B2888),"")</f>
        <v>2.9582442126411479E-2</v>
      </c>
      <c r="H2889" s="29">
        <f>IF($B$2,IF(ROWS(B$6:$B2889) = 1,IF(COUNTIFS(R_Schedule_Times,"&lt;"&amp;B2889),INDEX(R_Schedule_Amounts,MATCH(B2889,R_Schedule_Times,1)),Starting_Cash),IF(COUNTIFS(R_Schedule_Times,"&gt;"&amp;B2888,R_Schedule_Times,"&lt;"&amp;B2889),INDEX(R_Schedule_Amounts,MATCH(B2889,R_Schedule_Times,1)),K2888)),"")</f>
        <v>5600</v>
      </c>
      <c r="I2889" s="30">
        <f t="shared" si="225"/>
        <v>200</v>
      </c>
      <c r="J2889" s="31">
        <f t="shared" si="226"/>
        <v>0</v>
      </c>
      <c r="K2889" s="29">
        <f t="shared" si="227"/>
        <v>5400</v>
      </c>
      <c r="L2889" s="31" t="str">
        <f t="shared" si="228"/>
        <v/>
      </c>
      <c r="M2889" s="31" t="str">
        <f t="shared" si="229"/>
        <v/>
      </c>
    </row>
    <row r="2890" spans="1:13" x14ac:dyDescent="0.15">
      <c r="A2890" s="163" t="s">
        <v>210</v>
      </c>
      <c r="B2890" s="163">
        <v>42351.346195219907</v>
      </c>
      <c r="C2890" s="164" t="s">
        <v>2031</v>
      </c>
      <c r="D2890" s="164" t="s">
        <v>13</v>
      </c>
      <c r="E2890" s="165">
        <v>100</v>
      </c>
      <c r="F2890" s="166">
        <v>0</v>
      </c>
      <c r="G2890" s="227">
        <f>IF($B$2,IF(ROWS(B$6:$B2890) = 1,$B2890-Start_Date,$B2890-$B2889),"")</f>
        <v>0.27512253472377779</v>
      </c>
      <c r="H2890" s="29">
        <f>IF($B$2,IF(ROWS(B$6:$B2890) = 1,IF(COUNTIFS(R_Schedule_Times,"&lt;"&amp;B2890),INDEX(R_Schedule_Amounts,MATCH(B2890,R_Schedule_Times,1)),Starting_Cash),IF(COUNTIFS(R_Schedule_Times,"&gt;"&amp;B2889,R_Schedule_Times,"&lt;"&amp;B2890),INDEX(R_Schedule_Amounts,MATCH(B2890,R_Schedule_Times,1)),K2889)),"")</f>
        <v>5400</v>
      </c>
      <c r="I2890" s="30">
        <f t="shared" si="225"/>
        <v>100</v>
      </c>
      <c r="J2890" s="31">
        <f t="shared" si="226"/>
        <v>0</v>
      </c>
      <c r="K2890" s="29">
        <f t="shared" si="227"/>
        <v>5300</v>
      </c>
      <c r="L2890" s="31" t="str">
        <f t="shared" si="228"/>
        <v/>
      </c>
      <c r="M2890" s="31" t="str">
        <f t="shared" si="229"/>
        <v/>
      </c>
    </row>
    <row r="2891" spans="1:13" x14ac:dyDescent="0.15">
      <c r="A2891" s="163" t="s">
        <v>210</v>
      </c>
      <c r="B2891" s="163">
        <v>42351.413789722224</v>
      </c>
      <c r="C2891" s="164" t="s">
        <v>2437</v>
      </c>
      <c r="D2891" s="164" t="s">
        <v>13</v>
      </c>
      <c r="E2891" s="165">
        <v>100</v>
      </c>
      <c r="F2891" s="166">
        <v>0</v>
      </c>
      <c r="G2891" s="227">
        <f>IF($B$2,IF(ROWS(B$6:$B2891) = 1,$B2891-Start_Date,$B2891-$B2890),"")</f>
        <v>6.7594502317660954E-2</v>
      </c>
      <c r="H2891" s="29">
        <f>IF($B$2,IF(ROWS(B$6:$B2891) = 1,IF(COUNTIFS(R_Schedule_Times,"&lt;"&amp;B2891),INDEX(R_Schedule_Amounts,MATCH(B2891,R_Schedule_Times,1)),Starting_Cash),IF(COUNTIFS(R_Schedule_Times,"&gt;"&amp;B2890,R_Schedule_Times,"&lt;"&amp;B2891),INDEX(R_Schedule_Amounts,MATCH(B2891,R_Schedule_Times,1)),K2890)),"")</f>
        <v>5300</v>
      </c>
      <c r="I2891" s="30">
        <f t="shared" si="225"/>
        <v>100</v>
      </c>
      <c r="J2891" s="31">
        <f t="shared" si="226"/>
        <v>0</v>
      </c>
      <c r="K2891" s="29">
        <f t="shared" si="227"/>
        <v>5200</v>
      </c>
      <c r="L2891" s="31" t="str">
        <f t="shared" si="228"/>
        <v/>
      </c>
      <c r="M2891" s="31" t="str">
        <f t="shared" si="229"/>
        <v/>
      </c>
    </row>
    <row r="2892" spans="1:13" x14ac:dyDescent="0.15">
      <c r="A2892" s="163" t="s">
        <v>210</v>
      </c>
      <c r="B2892" s="163">
        <v>42351.42483236111</v>
      </c>
      <c r="C2892" s="164" t="s">
        <v>2438</v>
      </c>
      <c r="D2892" s="164" t="s">
        <v>13</v>
      </c>
      <c r="E2892" s="165">
        <v>100</v>
      </c>
      <c r="F2892" s="166">
        <v>0</v>
      </c>
      <c r="G2892" s="227">
        <f>IF($B$2,IF(ROWS(B$6:$B2892) = 1,$B2892-Start_Date,$B2892-$B2891),"")</f>
        <v>1.1042638885555789E-2</v>
      </c>
      <c r="H2892" s="29">
        <f>IF($B$2,IF(ROWS(B$6:$B2892) = 1,IF(COUNTIFS(R_Schedule_Times,"&lt;"&amp;B2892),INDEX(R_Schedule_Amounts,MATCH(B2892,R_Schedule_Times,1)),Starting_Cash),IF(COUNTIFS(R_Schedule_Times,"&gt;"&amp;B2891,R_Schedule_Times,"&lt;"&amp;B2892),INDEX(R_Schedule_Amounts,MATCH(B2892,R_Schedule_Times,1)),K2891)),"")</f>
        <v>5200</v>
      </c>
      <c r="I2892" s="30">
        <f t="shared" si="225"/>
        <v>100</v>
      </c>
      <c r="J2892" s="31">
        <f t="shared" si="226"/>
        <v>0</v>
      </c>
      <c r="K2892" s="29">
        <f t="shared" si="227"/>
        <v>5100</v>
      </c>
      <c r="L2892" s="31" t="str">
        <f t="shared" si="228"/>
        <v/>
      </c>
      <c r="M2892" s="31" t="str">
        <f t="shared" si="229"/>
        <v/>
      </c>
    </row>
    <row r="2893" spans="1:13" x14ac:dyDescent="0.15">
      <c r="A2893" s="163" t="s">
        <v>210</v>
      </c>
      <c r="B2893" s="163">
        <v>42351.46955065972</v>
      </c>
      <c r="C2893" s="164" t="s">
        <v>916</v>
      </c>
      <c r="D2893" s="164" t="s">
        <v>13</v>
      </c>
      <c r="E2893" s="165">
        <v>100</v>
      </c>
      <c r="F2893" s="166">
        <v>0</v>
      </c>
      <c r="G2893" s="227">
        <f>IF($B$2,IF(ROWS(B$6:$B2893) = 1,$B2893-Start_Date,$B2893-$B2892),"")</f>
        <v>4.471829860995058E-2</v>
      </c>
      <c r="H2893" s="29">
        <f>IF($B$2,IF(ROWS(B$6:$B2893) = 1,IF(COUNTIFS(R_Schedule_Times,"&lt;"&amp;B2893),INDEX(R_Schedule_Amounts,MATCH(B2893,R_Schedule_Times,1)),Starting_Cash),IF(COUNTIFS(R_Schedule_Times,"&gt;"&amp;B2892,R_Schedule_Times,"&lt;"&amp;B2893),INDEX(R_Schedule_Amounts,MATCH(B2893,R_Schedule_Times,1)),K2892)),"")</f>
        <v>5100</v>
      </c>
      <c r="I2893" s="30">
        <f t="shared" si="225"/>
        <v>100</v>
      </c>
      <c r="J2893" s="31">
        <f t="shared" si="226"/>
        <v>0</v>
      </c>
      <c r="K2893" s="29">
        <f t="shared" si="227"/>
        <v>5000</v>
      </c>
      <c r="L2893" s="31" t="str">
        <f t="shared" si="228"/>
        <v/>
      </c>
      <c r="M2893" s="31" t="str">
        <f t="shared" si="229"/>
        <v/>
      </c>
    </row>
    <row r="2894" spans="1:13" x14ac:dyDescent="0.15">
      <c r="A2894" s="163" t="s">
        <v>210</v>
      </c>
      <c r="B2894" s="163">
        <v>42351.51223216435</v>
      </c>
      <c r="C2894" s="164" t="s">
        <v>2439</v>
      </c>
      <c r="D2894" s="164" t="s">
        <v>15</v>
      </c>
      <c r="E2894" s="165">
        <v>20</v>
      </c>
      <c r="F2894" s="166">
        <v>0.6</v>
      </c>
      <c r="G2894" s="227">
        <f>IF($B$2,IF(ROWS(B$6:$B2894) = 1,$B2894-Start_Date,$B2894-$B2893),"")</f>
        <v>4.2681504630309064E-2</v>
      </c>
      <c r="H2894" s="29">
        <f>IF($B$2,IF(ROWS(B$6:$B2894) = 1,IF(COUNTIFS(R_Schedule_Times,"&lt;"&amp;B2894),INDEX(R_Schedule_Amounts,MATCH(B2894,R_Schedule_Times,1)),Starting_Cash),IF(COUNTIFS(R_Schedule_Times,"&gt;"&amp;B2893,R_Schedule_Times,"&lt;"&amp;B2894),INDEX(R_Schedule_Amounts,MATCH(B2894,R_Schedule_Times,1)),K2893)),"")</f>
        <v>5000</v>
      </c>
      <c r="I2894" s="30">
        <f t="shared" si="225"/>
        <v>20</v>
      </c>
      <c r="J2894" s="31">
        <f t="shared" si="226"/>
        <v>0.6</v>
      </c>
      <c r="K2894" s="29">
        <f t="shared" si="227"/>
        <v>4980</v>
      </c>
      <c r="L2894" s="31" t="str">
        <f t="shared" si="228"/>
        <v/>
      </c>
      <c r="M2894" s="31" t="str">
        <f t="shared" si="229"/>
        <v/>
      </c>
    </row>
    <row r="2895" spans="1:13" x14ac:dyDescent="0.15">
      <c r="A2895" s="163" t="s">
        <v>210</v>
      </c>
      <c r="B2895" s="163">
        <v>42351.517375138887</v>
      </c>
      <c r="C2895" s="164" t="s">
        <v>2283</v>
      </c>
      <c r="D2895" s="164" t="s">
        <v>13</v>
      </c>
      <c r="E2895" s="165">
        <v>200</v>
      </c>
      <c r="F2895" s="166">
        <v>0</v>
      </c>
      <c r="G2895" s="227">
        <f>IF($B$2,IF(ROWS(B$6:$B2895) = 1,$B2895-Start_Date,$B2895-$B2894),"")</f>
        <v>5.142974536283873E-3</v>
      </c>
      <c r="H2895" s="29">
        <f>IF($B$2,IF(ROWS(B$6:$B2895) = 1,IF(COUNTIFS(R_Schedule_Times,"&lt;"&amp;B2895),INDEX(R_Schedule_Amounts,MATCH(B2895,R_Schedule_Times,1)),Starting_Cash),IF(COUNTIFS(R_Schedule_Times,"&gt;"&amp;B2894,R_Schedule_Times,"&lt;"&amp;B2895),INDEX(R_Schedule_Amounts,MATCH(B2895,R_Schedule_Times,1)),K2894)),"")</f>
        <v>4980</v>
      </c>
      <c r="I2895" s="30">
        <f t="shared" si="225"/>
        <v>200</v>
      </c>
      <c r="J2895" s="31">
        <f t="shared" si="226"/>
        <v>0</v>
      </c>
      <c r="K2895" s="29">
        <f t="shared" si="227"/>
        <v>4780</v>
      </c>
      <c r="L2895" s="31" t="str">
        <f t="shared" si="228"/>
        <v/>
      </c>
      <c r="M2895" s="31" t="str">
        <f t="shared" si="229"/>
        <v/>
      </c>
    </row>
    <row r="2896" spans="1:13" x14ac:dyDescent="0.15">
      <c r="A2896" s="163" t="s">
        <v>210</v>
      </c>
      <c r="B2896" s="163">
        <v>42351.523096041667</v>
      </c>
      <c r="C2896" s="164" t="s">
        <v>14</v>
      </c>
      <c r="D2896" s="164" t="s">
        <v>13</v>
      </c>
      <c r="E2896" s="165">
        <v>100</v>
      </c>
      <c r="F2896" s="166">
        <v>3.5</v>
      </c>
      <c r="G2896" s="227">
        <f>IF($B$2,IF(ROWS(B$6:$B2896) = 1,$B2896-Start_Date,$B2896-$B2895),"")</f>
        <v>5.7209027800126933E-3</v>
      </c>
      <c r="H2896" s="29">
        <f>IF($B$2,IF(ROWS(B$6:$B2896) = 1,IF(COUNTIFS(R_Schedule_Times,"&lt;"&amp;B2896),INDEX(R_Schedule_Amounts,MATCH(B2896,R_Schedule_Times,1)),Starting_Cash),IF(COUNTIFS(R_Schedule_Times,"&gt;"&amp;B2895,R_Schedule_Times,"&lt;"&amp;B2896),INDEX(R_Schedule_Amounts,MATCH(B2896,R_Schedule_Times,1)),K2895)),"")</f>
        <v>4780</v>
      </c>
      <c r="I2896" s="30">
        <f t="shared" si="225"/>
        <v>100</v>
      </c>
      <c r="J2896" s="31">
        <f t="shared" si="226"/>
        <v>3.5</v>
      </c>
      <c r="K2896" s="29">
        <f t="shared" si="227"/>
        <v>4680</v>
      </c>
      <c r="L2896" s="31" t="str">
        <f t="shared" si="228"/>
        <v/>
      </c>
      <c r="M2896" s="31" t="str">
        <f t="shared" si="229"/>
        <v/>
      </c>
    </row>
    <row r="2897" spans="1:13" x14ac:dyDescent="0.15">
      <c r="A2897" s="163" t="s">
        <v>210</v>
      </c>
      <c r="B2897" s="163">
        <v>42351.537936319444</v>
      </c>
      <c r="C2897" s="164" t="s">
        <v>14</v>
      </c>
      <c r="D2897" s="164" t="s">
        <v>13</v>
      </c>
      <c r="E2897" s="165">
        <v>100</v>
      </c>
      <c r="F2897" s="166">
        <v>3.5</v>
      </c>
      <c r="G2897" s="227">
        <f>IF($B$2,IF(ROWS(B$6:$B2897) = 1,$B2897-Start_Date,$B2897-$B2896),"")</f>
        <v>1.48402777776937E-2</v>
      </c>
      <c r="H2897" s="29">
        <f>IF($B$2,IF(ROWS(B$6:$B2897) = 1,IF(COUNTIFS(R_Schedule_Times,"&lt;"&amp;B2897),INDEX(R_Schedule_Amounts,MATCH(B2897,R_Schedule_Times,1)),Starting_Cash),IF(COUNTIFS(R_Schedule_Times,"&gt;"&amp;B2896,R_Schedule_Times,"&lt;"&amp;B2897),INDEX(R_Schedule_Amounts,MATCH(B2897,R_Schedule_Times,1)),K2896)),"")</f>
        <v>4680</v>
      </c>
      <c r="I2897" s="30">
        <f t="shared" si="225"/>
        <v>100</v>
      </c>
      <c r="J2897" s="31">
        <f t="shared" si="226"/>
        <v>3.5</v>
      </c>
      <c r="K2897" s="29">
        <f t="shared" si="227"/>
        <v>4580</v>
      </c>
      <c r="L2897" s="31" t="str">
        <f t="shared" si="228"/>
        <v/>
      </c>
      <c r="M2897" s="31" t="str">
        <f t="shared" si="229"/>
        <v/>
      </c>
    </row>
    <row r="2898" spans="1:13" x14ac:dyDescent="0.15">
      <c r="A2898" s="163" t="s">
        <v>210</v>
      </c>
      <c r="B2898" s="163">
        <v>42351.547081111108</v>
      </c>
      <c r="C2898" s="164" t="s">
        <v>2440</v>
      </c>
      <c r="D2898" s="164" t="s">
        <v>13</v>
      </c>
      <c r="E2898" s="165">
        <v>20</v>
      </c>
      <c r="F2898" s="166">
        <v>0</v>
      </c>
      <c r="G2898" s="227">
        <f>IF($B$2,IF(ROWS(B$6:$B2898) = 1,$B2898-Start_Date,$B2898-$B2897),"")</f>
        <v>9.1447916638571769E-3</v>
      </c>
      <c r="H2898" s="29">
        <f>IF($B$2,IF(ROWS(B$6:$B2898) = 1,IF(COUNTIFS(R_Schedule_Times,"&lt;"&amp;B2898),INDEX(R_Schedule_Amounts,MATCH(B2898,R_Schedule_Times,1)),Starting_Cash),IF(COUNTIFS(R_Schedule_Times,"&gt;"&amp;B2897,R_Schedule_Times,"&lt;"&amp;B2898),INDEX(R_Schedule_Amounts,MATCH(B2898,R_Schedule_Times,1)),K2897)),"")</f>
        <v>4580</v>
      </c>
      <c r="I2898" s="30">
        <f t="shared" si="225"/>
        <v>20</v>
      </c>
      <c r="J2898" s="31">
        <f t="shared" si="226"/>
        <v>0</v>
      </c>
      <c r="K2898" s="29">
        <f t="shared" si="227"/>
        <v>4560</v>
      </c>
      <c r="L2898" s="31" t="str">
        <f t="shared" si="228"/>
        <v/>
      </c>
      <c r="M2898" s="31" t="str">
        <f t="shared" si="229"/>
        <v/>
      </c>
    </row>
    <row r="2899" spans="1:13" x14ac:dyDescent="0.15">
      <c r="A2899" s="163" t="s">
        <v>210</v>
      </c>
      <c r="B2899" s="163">
        <v>42351.548542199074</v>
      </c>
      <c r="C2899" s="164" t="s">
        <v>2441</v>
      </c>
      <c r="D2899" s="164" t="s">
        <v>13</v>
      </c>
      <c r="E2899" s="165">
        <v>140</v>
      </c>
      <c r="F2899" s="166">
        <v>0</v>
      </c>
      <c r="G2899" s="227">
        <f>IF($B$2,IF(ROWS(B$6:$B2899) = 1,$B2899-Start_Date,$B2899-$B2898),"")</f>
        <v>1.461087966163177E-3</v>
      </c>
      <c r="H2899" s="29">
        <f>IF($B$2,IF(ROWS(B$6:$B2899) = 1,IF(COUNTIFS(R_Schedule_Times,"&lt;"&amp;B2899),INDEX(R_Schedule_Amounts,MATCH(B2899,R_Schedule_Times,1)),Starting_Cash),IF(COUNTIFS(R_Schedule_Times,"&gt;"&amp;B2898,R_Schedule_Times,"&lt;"&amp;B2899),INDEX(R_Schedule_Amounts,MATCH(B2899,R_Schedule_Times,1)),K2898)),"")</f>
        <v>4560</v>
      </c>
      <c r="I2899" s="30">
        <f t="shared" si="225"/>
        <v>140</v>
      </c>
      <c r="J2899" s="31">
        <f t="shared" si="226"/>
        <v>0</v>
      </c>
      <c r="K2899" s="29">
        <f t="shared" si="227"/>
        <v>4420</v>
      </c>
      <c r="L2899" s="31" t="str">
        <f t="shared" si="228"/>
        <v/>
      </c>
      <c r="M2899" s="31" t="str">
        <f t="shared" si="229"/>
        <v/>
      </c>
    </row>
    <row r="2900" spans="1:13" x14ac:dyDescent="0.15">
      <c r="A2900" s="163" t="s">
        <v>210</v>
      </c>
      <c r="B2900" s="163">
        <v>42351.550688738425</v>
      </c>
      <c r="C2900" s="164" t="s">
        <v>2442</v>
      </c>
      <c r="D2900" s="164" t="s">
        <v>13</v>
      </c>
      <c r="E2900" s="165">
        <v>80</v>
      </c>
      <c r="F2900" s="166">
        <v>0</v>
      </c>
      <c r="G2900" s="227">
        <f>IF($B$2,IF(ROWS(B$6:$B2900) = 1,$B2900-Start_Date,$B2900-$B2899),"")</f>
        <v>2.1465393510879949E-3</v>
      </c>
      <c r="H2900" s="29">
        <f>IF($B$2,IF(ROWS(B$6:$B2900) = 1,IF(COUNTIFS(R_Schedule_Times,"&lt;"&amp;B2900),INDEX(R_Schedule_Amounts,MATCH(B2900,R_Schedule_Times,1)),Starting_Cash),IF(COUNTIFS(R_Schedule_Times,"&gt;"&amp;B2899,R_Schedule_Times,"&lt;"&amp;B2900),INDEX(R_Schedule_Amounts,MATCH(B2900,R_Schedule_Times,1)),K2899)),"")</f>
        <v>4420</v>
      </c>
      <c r="I2900" s="30">
        <f t="shared" si="225"/>
        <v>80</v>
      </c>
      <c r="J2900" s="31">
        <f t="shared" si="226"/>
        <v>0</v>
      </c>
      <c r="K2900" s="29">
        <f t="shared" si="227"/>
        <v>4340</v>
      </c>
      <c r="L2900" s="31" t="str">
        <f t="shared" si="228"/>
        <v/>
      </c>
      <c r="M2900" s="31" t="str">
        <f t="shared" si="229"/>
        <v/>
      </c>
    </row>
    <row r="2901" spans="1:13" x14ac:dyDescent="0.15">
      <c r="A2901" s="163" t="s">
        <v>210</v>
      </c>
      <c r="B2901" s="163">
        <v>42351.554219305559</v>
      </c>
      <c r="C2901" s="164" t="s">
        <v>2443</v>
      </c>
      <c r="D2901" s="164" t="s">
        <v>13</v>
      </c>
      <c r="E2901" s="165">
        <v>20</v>
      </c>
      <c r="F2901" s="166">
        <v>0</v>
      </c>
      <c r="G2901" s="227">
        <f>IF($B$2,IF(ROWS(B$6:$B2901) = 1,$B2901-Start_Date,$B2901-$B2900),"")</f>
        <v>3.5305671335663646E-3</v>
      </c>
      <c r="H2901" s="29">
        <f>IF($B$2,IF(ROWS(B$6:$B2901) = 1,IF(COUNTIFS(R_Schedule_Times,"&lt;"&amp;B2901),INDEX(R_Schedule_Amounts,MATCH(B2901,R_Schedule_Times,1)),Starting_Cash),IF(COUNTIFS(R_Schedule_Times,"&gt;"&amp;B2900,R_Schedule_Times,"&lt;"&amp;B2901),INDEX(R_Schedule_Amounts,MATCH(B2901,R_Schedule_Times,1)),K2900)),"")</f>
        <v>4340</v>
      </c>
      <c r="I2901" s="30">
        <f t="shared" si="225"/>
        <v>20</v>
      </c>
      <c r="J2901" s="31">
        <f t="shared" si="226"/>
        <v>0</v>
      </c>
      <c r="K2901" s="29">
        <f t="shared" si="227"/>
        <v>4320</v>
      </c>
      <c r="L2901" s="31" t="str">
        <f t="shared" si="228"/>
        <v/>
      </c>
      <c r="M2901" s="31" t="str">
        <f t="shared" si="229"/>
        <v/>
      </c>
    </row>
    <row r="2902" spans="1:13" x14ac:dyDescent="0.15">
      <c r="A2902" s="163" t="s">
        <v>210</v>
      </c>
      <c r="B2902" s="163">
        <v>42351.576045590278</v>
      </c>
      <c r="C2902" s="164" t="s">
        <v>2444</v>
      </c>
      <c r="D2902" s="164" t="s">
        <v>13</v>
      </c>
      <c r="E2902" s="165">
        <v>200</v>
      </c>
      <c r="F2902" s="166">
        <v>0</v>
      </c>
      <c r="G2902" s="227">
        <f>IF($B$2,IF(ROWS(B$6:$B2902) = 1,$B2902-Start_Date,$B2902-$B2901),"")</f>
        <v>2.182628471928183E-2</v>
      </c>
      <c r="H2902" s="29">
        <f>IF($B$2,IF(ROWS(B$6:$B2902) = 1,IF(COUNTIFS(R_Schedule_Times,"&lt;"&amp;B2902),INDEX(R_Schedule_Amounts,MATCH(B2902,R_Schedule_Times,1)),Starting_Cash),IF(COUNTIFS(R_Schedule_Times,"&gt;"&amp;B2901,R_Schedule_Times,"&lt;"&amp;B2902),INDEX(R_Schedule_Amounts,MATCH(B2902,R_Schedule_Times,1)),K2901)),"")</f>
        <v>4320</v>
      </c>
      <c r="I2902" s="30">
        <f t="shared" si="225"/>
        <v>200</v>
      </c>
      <c r="J2902" s="31">
        <f t="shared" si="226"/>
        <v>0</v>
      </c>
      <c r="K2902" s="29">
        <f t="shared" si="227"/>
        <v>4120</v>
      </c>
      <c r="L2902" s="31" t="str">
        <f t="shared" si="228"/>
        <v/>
      </c>
      <c r="M2902" s="31" t="str">
        <f t="shared" si="229"/>
        <v/>
      </c>
    </row>
    <row r="2903" spans="1:13" x14ac:dyDescent="0.15">
      <c r="A2903" s="163" t="s">
        <v>210</v>
      </c>
      <c r="B2903" s="163">
        <v>42351.611177511571</v>
      </c>
      <c r="C2903" s="164" t="s">
        <v>2445</v>
      </c>
      <c r="D2903" s="164" t="s">
        <v>13</v>
      </c>
      <c r="E2903" s="165">
        <v>200</v>
      </c>
      <c r="F2903" s="166">
        <v>0</v>
      </c>
      <c r="G2903" s="227">
        <f>IF($B$2,IF(ROWS(B$6:$B2903) = 1,$B2903-Start_Date,$B2903-$B2902),"")</f>
        <v>3.5131921293213964E-2</v>
      </c>
      <c r="H2903" s="29">
        <f>IF($B$2,IF(ROWS(B$6:$B2903) = 1,IF(COUNTIFS(R_Schedule_Times,"&lt;"&amp;B2903),INDEX(R_Schedule_Amounts,MATCH(B2903,R_Schedule_Times,1)),Starting_Cash),IF(COUNTIFS(R_Schedule_Times,"&gt;"&amp;B2902,R_Schedule_Times,"&lt;"&amp;B2903),INDEX(R_Schedule_Amounts,MATCH(B2903,R_Schedule_Times,1)),K2902)),"")</f>
        <v>4120</v>
      </c>
      <c r="I2903" s="30">
        <f t="shared" si="225"/>
        <v>200</v>
      </c>
      <c r="J2903" s="31">
        <f t="shared" si="226"/>
        <v>0</v>
      </c>
      <c r="K2903" s="29">
        <f t="shared" si="227"/>
        <v>3920</v>
      </c>
      <c r="L2903" s="31" t="str">
        <f t="shared" si="228"/>
        <v/>
      </c>
      <c r="M2903" s="31" t="str">
        <f t="shared" si="229"/>
        <v/>
      </c>
    </row>
    <row r="2904" spans="1:13" x14ac:dyDescent="0.15">
      <c r="A2904" s="163" t="s">
        <v>210</v>
      </c>
      <c r="B2904" s="163">
        <v>42351.616649444448</v>
      </c>
      <c r="C2904" s="164" t="s">
        <v>2446</v>
      </c>
      <c r="D2904" s="164" t="s">
        <v>13</v>
      </c>
      <c r="E2904" s="165">
        <v>100</v>
      </c>
      <c r="F2904" s="166">
        <v>0</v>
      </c>
      <c r="G2904" s="227">
        <f>IF($B$2,IF(ROWS(B$6:$B2904) = 1,$B2904-Start_Date,$B2904-$B2903),"")</f>
        <v>5.4719328763894737E-3</v>
      </c>
      <c r="H2904" s="29">
        <f>IF($B$2,IF(ROWS(B$6:$B2904) = 1,IF(COUNTIFS(R_Schedule_Times,"&lt;"&amp;B2904),INDEX(R_Schedule_Amounts,MATCH(B2904,R_Schedule_Times,1)),Starting_Cash),IF(COUNTIFS(R_Schedule_Times,"&gt;"&amp;B2903,R_Schedule_Times,"&lt;"&amp;B2904),INDEX(R_Schedule_Amounts,MATCH(B2904,R_Schedule_Times,1)),K2903)),"")</f>
        <v>3920</v>
      </c>
      <c r="I2904" s="30">
        <f t="shared" si="225"/>
        <v>100</v>
      </c>
      <c r="J2904" s="31">
        <f t="shared" si="226"/>
        <v>0</v>
      </c>
      <c r="K2904" s="29">
        <f t="shared" si="227"/>
        <v>3820</v>
      </c>
      <c r="L2904" s="31" t="str">
        <f t="shared" si="228"/>
        <v/>
      </c>
      <c r="M2904" s="31" t="str">
        <f t="shared" si="229"/>
        <v/>
      </c>
    </row>
    <row r="2905" spans="1:13" x14ac:dyDescent="0.15">
      <c r="A2905" s="163" t="s">
        <v>210</v>
      </c>
      <c r="B2905" s="163">
        <v>42351.623925324071</v>
      </c>
      <c r="C2905" s="164" t="s">
        <v>1782</v>
      </c>
      <c r="D2905" s="164" t="s">
        <v>13</v>
      </c>
      <c r="E2905" s="165">
        <v>40</v>
      </c>
      <c r="F2905" s="166">
        <v>0</v>
      </c>
      <c r="G2905" s="227">
        <f>IF($B$2,IF(ROWS(B$6:$B2905) = 1,$B2905-Start_Date,$B2905-$B2904),"")</f>
        <v>7.2758796231937595E-3</v>
      </c>
      <c r="H2905" s="29">
        <f>IF($B$2,IF(ROWS(B$6:$B2905) = 1,IF(COUNTIFS(R_Schedule_Times,"&lt;"&amp;B2905),INDEX(R_Schedule_Amounts,MATCH(B2905,R_Schedule_Times,1)),Starting_Cash),IF(COUNTIFS(R_Schedule_Times,"&gt;"&amp;B2904,R_Schedule_Times,"&lt;"&amp;B2905),INDEX(R_Schedule_Amounts,MATCH(B2905,R_Schedule_Times,1)),K2904)),"")</f>
        <v>3820</v>
      </c>
      <c r="I2905" s="30">
        <f t="shared" si="225"/>
        <v>40</v>
      </c>
      <c r="J2905" s="31">
        <f t="shared" si="226"/>
        <v>0</v>
      </c>
      <c r="K2905" s="29">
        <f t="shared" si="227"/>
        <v>3780</v>
      </c>
      <c r="L2905" s="31" t="str">
        <f t="shared" si="228"/>
        <v/>
      </c>
      <c r="M2905" s="31" t="str">
        <f t="shared" si="229"/>
        <v/>
      </c>
    </row>
    <row r="2906" spans="1:13" x14ac:dyDescent="0.15">
      <c r="A2906" s="163" t="s">
        <v>210</v>
      </c>
      <c r="B2906" s="163">
        <v>42351.62510996528</v>
      </c>
      <c r="C2906" s="164" t="s">
        <v>2447</v>
      </c>
      <c r="D2906" s="164" t="s">
        <v>13</v>
      </c>
      <c r="E2906" s="165">
        <v>80</v>
      </c>
      <c r="F2906" s="166">
        <v>0</v>
      </c>
      <c r="G2906" s="227">
        <f>IF($B$2,IF(ROWS(B$6:$B2906) = 1,$B2906-Start_Date,$B2906-$B2905),"")</f>
        <v>1.1846412089653313E-3</v>
      </c>
      <c r="H2906" s="29">
        <f>IF($B$2,IF(ROWS(B$6:$B2906) = 1,IF(COUNTIFS(R_Schedule_Times,"&lt;"&amp;B2906),INDEX(R_Schedule_Amounts,MATCH(B2906,R_Schedule_Times,1)),Starting_Cash),IF(COUNTIFS(R_Schedule_Times,"&gt;"&amp;B2905,R_Schedule_Times,"&lt;"&amp;B2906),INDEX(R_Schedule_Amounts,MATCH(B2906,R_Schedule_Times,1)),K2905)),"")</f>
        <v>3780</v>
      </c>
      <c r="I2906" s="30">
        <f t="shared" si="225"/>
        <v>80</v>
      </c>
      <c r="J2906" s="31">
        <f t="shared" si="226"/>
        <v>0</v>
      </c>
      <c r="K2906" s="29">
        <f t="shared" si="227"/>
        <v>3700</v>
      </c>
      <c r="L2906" s="31" t="str">
        <f t="shared" si="228"/>
        <v/>
      </c>
      <c r="M2906" s="31" t="str">
        <f t="shared" si="229"/>
        <v/>
      </c>
    </row>
    <row r="2907" spans="1:13" x14ac:dyDescent="0.15">
      <c r="A2907" s="163" t="s">
        <v>210</v>
      </c>
      <c r="B2907" s="163">
        <v>42351.635906319447</v>
      </c>
      <c r="C2907" s="164" t="s">
        <v>2448</v>
      </c>
      <c r="D2907" s="164" t="s">
        <v>13</v>
      </c>
      <c r="E2907" s="165">
        <v>20</v>
      </c>
      <c r="F2907" s="166">
        <v>0</v>
      </c>
      <c r="G2907" s="227">
        <f>IF($B$2,IF(ROWS(B$6:$B2907) = 1,$B2907-Start_Date,$B2907-$B2906),"")</f>
        <v>1.0796354166814126E-2</v>
      </c>
      <c r="H2907" s="29">
        <f>IF($B$2,IF(ROWS(B$6:$B2907) = 1,IF(COUNTIFS(R_Schedule_Times,"&lt;"&amp;B2907),INDEX(R_Schedule_Amounts,MATCH(B2907,R_Schedule_Times,1)),Starting_Cash),IF(COUNTIFS(R_Schedule_Times,"&gt;"&amp;B2906,R_Schedule_Times,"&lt;"&amp;B2907),INDEX(R_Schedule_Amounts,MATCH(B2907,R_Schedule_Times,1)),K2906)),"")</f>
        <v>3700</v>
      </c>
      <c r="I2907" s="30">
        <f t="shared" si="225"/>
        <v>20</v>
      </c>
      <c r="J2907" s="31">
        <f t="shared" si="226"/>
        <v>0</v>
      </c>
      <c r="K2907" s="29">
        <f t="shared" si="227"/>
        <v>3680</v>
      </c>
      <c r="L2907" s="31" t="str">
        <f t="shared" si="228"/>
        <v/>
      </c>
      <c r="M2907" s="31" t="str">
        <f t="shared" si="229"/>
        <v/>
      </c>
    </row>
    <row r="2908" spans="1:13" x14ac:dyDescent="0.15">
      <c r="A2908" s="163" t="s">
        <v>210</v>
      </c>
      <c r="B2908" s="163">
        <v>42351.636917303244</v>
      </c>
      <c r="C2908" s="164" t="s">
        <v>2449</v>
      </c>
      <c r="D2908" s="164" t="s">
        <v>13</v>
      </c>
      <c r="E2908" s="165">
        <v>100</v>
      </c>
      <c r="F2908" s="166">
        <v>0</v>
      </c>
      <c r="G2908" s="227">
        <f>IF($B$2,IF(ROWS(B$6:$B2908) = 1,$B2908-Start_Date,$B2908-$B2907),"")</f>
        <v>1.0109837967320345E-3</v>
      </c>
      <c r="H2908" s="29">
        <f>IF($B$2,IF(ROWS(B$6:$B2908) = 1,IF(COUNTIFS(R_Schedule_Times,"&lt;"&amp;B2908),INDEX(R_Schedule_Amounts,MATCH(B2908,R_Schedule_Times,1)),Starting_Cash),IF(COUNTIFS(R_Schedule_Times,"&gt;"&amp;B2907,R_Schedule_Times,"&lt;"&amp;B2908),INDEX(R_Schedule_Amounts,MATCH(B2908,R_Schedule_Times,1)),K2907)),"")</f>
        <v>3680</v>
      </c>
      <c r="I2908" s="30">
        <f t="shared" si="225"/>
        <v>100</v>
      </c>
      <c r="J2908" s="31">
        <f t="shared" si="226"/>
        <v>0</v>
      </c>
      <c r="K2908" s="29">
        <f t="shared" si="227"/>
        <v>3580</v>
      </c>
      <c r="L2908" s="31" t="str">
        <f t="shared" si="228"/>
        <v/>
      </c>
      <c r="M2908" s="31" t="str">
        <f t="shared" si="229"/>
        <v/>
      </c>
    </row>
    <row r="2909" spans="1:13" x14ac:dyDescent="0.15">
      <c r="A2909" s="163" t="s">
        <v>210</v>
      </c>
      <c r="B2909" s="163">
        <v>42351.640638078701</v>
      </c>
      <c r="C2909" s="164" t="s">
        <v>14</v>
      </c>
      <c r="D2909" s="164" t="s">
        <v>13</v>
      </c>
      <c r="E2909" s="165">
        <v>200</v>
      </c>
      <c r="F2909" s="166">
        <v>3.5</v>
      </c>
      <c r="G2909" s="227">
        <f>IF($B$2,IF(ROWS(B$6:$B2909) = 1,$B2909-Start_Date,$B2909-$B2908),"")</f>
        <v>3.720775457622949E-3</v>
      </c>
      <c r="H2909" s="29">
        <f>IF($B$2,IF(ROWS(B$6:$B2909) = 1,IF(COUNTIFS(R_Schedule_Times,"&lt;"&amp;B2909),INDEX(R_Schedule_Amounts,MATCH(B2909,R_Schedule_Times,1)),Starting_Cash),IF(COUNTIFS(R_Schedule_Times,"&gt;"&amp;B2908,R_Schedule_Times,"&lt;"&amp;B2909),INDEX(R_Schedule_Amounts,MATCH(B2909,R_Schedule_Times,1)),K2908)),"")</f>
        <v>3580</v>
      </c>
      <c r="I2909" s="30">
        <f t="shared" si="225"/>
        <v>200</v>
      </c>
      <c r="J2909" s="31">
        <f t="shared" si="226"/>
        <v>3.5</v>
      </c>
      <c r="K2909" s="29">
        <f t="shared" si="227"/>
        <v>3380</v>
      </c>
      <c r="L2909" s="31" t="str">
        <f t="shared" si="228"/>
        <v/>
      </c>
      <c r="M2909" s="31" t="str">
        <f t="shared" si="229"/>
        <v/>
      </c>
    </row>
    <row r="2910" spans="1:13" x14ac:dyDescent="0.15">
      <c r="A2910" s="163" t="s">
        <v>210</v>
      </c>
      <c r="B2910" s="163">
        <v>42351.647221331019</v>
      </c>
      <c r="C2910" s="164" t="s">
        <v>2450</v>
      </c>
      <c r="D2910" s="164" t="s">
        <v>13</v>
      </c>
      <c r="E2910" s="165">
        <v>40</v>
      </c>
      <c r="F2910" s="166">
        <v>0</v>
      </c>
      <c r="G2910" s="227">
        <f>IF($B$2,IF(ROWS(B$6:$B2910) = 1,$B2910-Start_Date,$B2910-$B2909),"")</f>
        <v>6.5832523177959956E-3</v>
      </c>
      <c r="H2910" s="29">
        <f>IF($B$2,IF(ROWS(B$6:$B2910) = 1,IF(COUNTIFS(R_Schedule_Times,"&lt;"&amp;B2910),INDEX(R_Schedule_Amounts,MATCH(B2910,R_Schedule_Times,1)),Starting_Cash),IF(COUNTIFS(R_Schedule_Times,"&gt;"&amp;B2909,R_Schedule_Times,"&lt;"&amp;B2910),INDEX(R_Schedule_Amounts,MATCH(B2910,R_Schedule_Times,1)),K2909)),"")</f>
        <v>3380</v>
      </c>
      <c r="I2910" s="30">
        <f t="shared" si="225"/>
        <v>40</v>
      </c>
      <c r="J2910" s="31">
        <f t="shared" si="226"/>
        <v>0</v>
      </c>
      <c r="K2910" s="29">
        <f t="shared" si="227"/>
        <v>3340</v>
      </c>
      <c r="L2910" s="31" t="str">
        <f t="shared" si="228"/>
        <v/>
      </c>
      <c r="M2910" s="31" t="str">
        <f t="shared" si="229"/>
        <v/>
      </c>
    </row>
    <row r="2911" spans="1:13" x14ac:dyDescent="0.15">
      <c r="A2911" s="163" t="s">
        <v>210</v>
      </c>
      <c r="B2911" s="163">
        <v>42351.671871203704</v>
      </c>
      <c r="C2911" s="164" t="s">
        <v>2451</v>
      </c>
      <c r="D2911" s="164" t="s">
        <v>13</v>
      </c>
      <c r="E2911" s="165">
        <v>40</v>
      </c>
      <c r="F2911" s="166">
        <v>0</v>
      </c>
      <c r="G2911" s="227">
        <f>IF($B$2,IF(ROWS(B$6:$B2911) = 1,$B2911-Start_Date,$B2911-$B2910),"")</f>
        <v>2.4649872684676666E-2</v>
      </c>
      <c r="H2911" s="29">
        <f>IF($B$2,IF(ROWS(B$6:$B2911) = 1,IF(COUNTIFS(R_Schedule_Times,"&lt;"&amp;B2911),INDEX(R_Schedule_Amounts,MATCH(B2911,R_Schedule_Times,1)),Starting_Cash),IF(COUNTIFS(R_Schedule_Times,"&gt;"&amp;B2910,R_Schedule_Times,"&lt;"&amp;B2911),INDEX(R_Schedule_Amounts,MATCH(B2911,R_Schedule_Times,1)),K2910)),"")</f>
        <v>3340</v>
      </c>
      <c r="I2911" s="30">
        <f t="shared" si="225"/>
        <v>40</v>
      </c>
      <c r="J2911" s="31">
        <f t="shared" si="226"/>
        <v>0</v>
      </c>
      <c r="K2911" s="29">
        <f t="shared" si="227"/>
        <v>3300</v>
      </c>
      <c r="L2911" s="31" t="str">
        <f t="shared" si="228"/>
        <v/>
      </c>
      <c r="M2911" s="31" t="str">
        <f t="shared" si="229"/>
        <v/>
      </c>
    </row>
    <row r="2912" spans="1:13" x14ac:dyDescent="0.15">
      <c r="A2912" s="163" t="s">
        <v>210</v>
      </c>
      <c r="B2912" s="163">
        <v>42351.694263020836</v>
      </c>
      <c r="C2912" s="164" t="s">
        <v>2452</v>
      </c>
      <c r="D2912" s="164" t="s">
        <v>13</v>
      </c>
      <c r="E2912" s="165">
        <v>200</v>
      </c>
      <c r="F2912" s="166">
        <v>0</v>
      </c>
      <c r="G2912" s="227">
        <f>IF($B$2,IF(ROWS(B$6:$B2912) = 1,$B2912-Start_Date,$B2912-$B2911),"")</f>
        <v>2.2391817132302094E-2</v>
      </c>
      <c r="H2912" s="29">
        <f>IF($B$2,IF(ROWS(B$6:$B2912) = 1,IF(COUNTIFS(R_Schedule_Times,"&lt;"&amp;B2912),INDEX(R_Schedule_Amounts,MATCH(B2912,R_Schedule_Times,1)),Starting_Cash),IF(COUNTIFS(R_Schedule_Times,"&gt;"&amp;B2911,R_Schedule_Times,"&lt;"&amp;B2912),INDEX(R_Schedule_Amounts,MATCH(B2912,R_Schedule_Times,1)),K2911)),"")</f>
        <v>3300</v>
      </c>
      <c r="I2912" s="30">
        <f t="shared" si="225"/>
        <v>200</v>
      </c>
      <c r="J2912" s="31">
        <f t="shared" si="226"/>
        <v>0</v>
      </c>
      <c r="K2912" s="29">
        <f t="shared" si="227"/>
        <v>3100</v>
      </c>
      <c r="L2912" s="31" t="str">
        <f t="shared" si="228"/>
        <v/>
      </c>
      <c r="M2912" s="31" t="str">
        <f t="shared" si="229"/>
        <v/>
      </c>
    </row>
    <row r="2913" spans="1:13" x14ac:dyDescent="0.15">
      <c r="A2913" s="163" t="s">
        <v>210</v>
      </c>
      <c r="B2913" s="163">
        <v>42351.695688194442</v>
      </c>
      <c r="C2913" s="164" t="s">
        <v>2453</v>
      </c>
      <c r="D2913" s="164" t="s">
        <v>13</v>
      </c>
      <c r="E2913" s="165">
        <v>40</v>
      </c>
      <c r="F2913" s="166">
        <v>0</v>
      </c>
      <c r="G2913" s="227">
        <f>IF($B$2,IF(ROWS(B$6:$B2913) = 1,$B2913-Start_Date,$B2913-$B2912),"")</f>
        <v>1.425173606548924E-3</v>
      </c>
      <c r="H2913" s="29">
        <f>IF($B$2,IF(ROWS(B$6:$B2913) = 1,IF(COUNTIFS(R_Schedule_Times,"&lt;"&amp;B2913),INDEX(R_Schedule_Amounts,MATCH(B2913,R_Schedule_Times,1)),Starting_Cash),IF(COUNTIFS(R_Schedule_Times,"&gt;"&amp;B2912,R_Schedule_Times,"&lt;"&amp;B2913),INDEX(R_Schedule_Amounts,MATCH(B2913,R_Schedule_Times,1)),K2912)),"")</f>
        <v>3100</v>
      </c>
      <c r="I2913" s="30">
        <f t="shared" si="225"/>
        <v>40</v>
      </c>
      <c r="J2913" s="31">
        <f t="shared" si="226"/>
        <v>0</v>
      </c>
      <c r="K2913" s="29">
        <f t="shared" si="227"/>
        <v>3060</v>
      </c>
      <c r="L2913" s="31" t="str">
        <f t="shared" si="228"/>
        <v/>
      </c>
      <c r="M2913" s="31" t="str">
        <f t="shared" si="229"/>
        <v/>
      </c>
    </row>
    <row r="2914" spans="1:13" x14ac:dyDescent="0.15">
      <c r="A2914" s="163" t="s">
        <v>210</v>
      </c>
      <c r="B2914" s="163">
        <v>42351.696853738424</v>
      </c>
      <c r="C2914" s="164" t="s">
        <v>1940</v>
      </c>
      <c r="D2914" s="164" t="s">
        <v>13</v>
      </c>
      <c r="E2914" s="165">
        <v>80</v>
      </c>
      <c r="F2914" s="166">
        <v>0</v>
      </c>
      <c r="G2914" s="227">
        <f>IF($B$2,IF(ROWS(B$6:$B2914) = 1,$B2914-Start_Date,$B2914-$B2913),"")</f>
        <v>1.1655439811875112E-3</v>
      </c>
      <c r="H2914" s="29">
        <f>IF($B$2,IF(ROWS(B$6:$B2914) = 1,IF(COUNTIFS(R_Schedule_Times,"&lt;"&amp;B2914),INDEX(R_Schedule_Amounts,MATCH(B2914,R_Schedule_Times,1)),Starting_Cash),IF(COUNTIFS(R_Schedule_Times,"&gt;"&amp;B2913,R_Schedule_Times,"&lt;"&amp;B2914),INDEX(R_Schedule_Amounts,MATCH(B2914,R_Schedule_Times,1)),K2913)),"")</f>
        <v>3060</v>
      </c>
      <c r="I2914" s="30">
        <f t="shared" si="225"/>
        <v>80</v>
      </c>
      <c r="J2914" s="31">
        <f t="shared" si="226"/>
        <v>0</v>
      </c>
      <c r="K2914" s="29">
        <f t="shared" si="227"/>
        <v>2980</v>
      </c>
      <c r="L2914" s="31" t="str">
        <f t="shared" si="228"/>
        <v/>
      </c>
      <c r="M2914" s="31" t="str">
        <f t="shared" si="229"/>
        <v/>
      </c>
    </row>
    <row r="2915" spans="1:13" x14ac:dyDescent="0.15">
      <c r="A2915" s="163" t="s">
        <v>210</v>
      </c>
      <c r="B2915" s="163">
        <v>42351.698483958331</v>
      </c>
      <c r="C2915" s="164" t="s">
        <v>2454</v>
      </c>
      <c r="D2915" s="164" t="s">
        <v>13</v>
      </c>
      <c r="E2915" s="165">
        <v>40</v>
      </c>
      <c r="F2915" s="166">
        <v>0</v>
      </c>
      <c r="G2915" s="227">
        <f>IF($B$2,IF(ROWS(B$6:$B2915) = 1,$B2915-Start_Date,$B2915-$B2914),"")</f>
        <v>1.6302199073834345E-3</v>
      </c>
      <c r="H2915" s="29">
        <f>IF($B$2,IF(ROWS(B$6:$B2915) = 1,IF(COUNTIFS(R_Schedule_Times,"&lt;"&amp;B2915),INDEX(R_Schedule_Amounts,MATCH(B2915,R_Schedule_Times,1)),Starting_Cash),IF(COUNTIFS(R_Schedule_Times,"&gt;"&amp;B2914,R_Schedule_Times,"&lt;"&amp;B2915),INDEX(R_Schedule_Amounts,MATCH(B2915,R_Schedule_Times,1)),K2914)),"")</f>
        <v>2980</v>
      </c>
      <c r="I2915" s="30">
        <f t="shared" si="225"/>
        <v>40</v>
      </c>
      <c r="J2915" s="31">
        <f t="shared" si="226"/>
        <v>0</v>
      </c>
      <c r="K2915" s="29">
        <f t="shared" si="227"/>
        <v>2940</v>
      </c>
      <c r="L2915" s="31" t="str">
        <f t="shared" si="228"/>
        <v/>
      </c>
      <c r="M2915" s="31" t="str">
        <f t="shared" si="229"/>
        <v/>
      </c>
    </row>
    <row r="2916" spans="1:13" x14ac:dyDescent="0.15">
      <c r="A2916" s="163" t="s">
        <v>210</v>
      </c>
      <c r="B2916" s="163">
        <v>42351.707370914351</v>
      </c>
      <c r="C2916" s="164" t="s">
        <v>2455</v>
      </c>
      <c r="D2916" s="164" t="s">
        <v>13</v>
      </c>
      <c r="E2916" s="165">
        <v>40</v>
      </c>
      <c r="F2916" s="166">
        <v>0</v>
      </c>
      <c r="G2916" s="227">
        <f>IF($B$2,IF(ROWS(B$6:$B2916) = 1,$B2916-Start_Date,$B2916-$B2915),"")</f>
        <v>8.88695602043299E-3</v>
      </c>
      <c r="H2916" s="29">
        <f>IF($B$2,IF(ROWS(B$6:$B2916) = 1,IF(COUNTIFS(R_Schedule_Times,"&lt;"&amp;B2916),INDEX(R_Schedule_Amounts,MATCH(B2916,R_Schedule_Times,1)),Starting_Cash),IF(COUNTIFS(R_Schedule_Times,"&gt;"&amp;B2915,R_Schedule_Times,"&lt;"&amp;B2916),INDEX(R_Schedule_Amounts,MATCH(B2916,R_Schedule_Times,1)),K2915)),"")</f>
        <v>2940</v>
      </c>
      <c r="I2916" s="30">
        <f t="shared" si="225"/>
        <v>40</v>
      </c>
      <c r="J2916" s="31">
        <f t="shared" si="226"/>
        <v>0</v>
      </c>
      <c r="K2916" s="29">
        <f t="shared" si="227"/>
        <v>2900</v>
      </c>
      <c r="L2916" s="31" t="str">
        <f t="shared" si="228"/>
        <v/>
      </c>
      <c r="M2916" s="31" t="str">
        <f t="shared" si="229"/>
        <v/>
      </c>
    </row>
    <row r="2917" spans="1:13" x14ac:dyDescent="0.15">
      <c r="A2917" s="163" t="s">
        <v>210</v>
      </c>
      <c r="B2917" s="163">
        <v>42351.713775694443</v>
      </c>
      <c r="C2917" s="164" t="s">
        <v>2456</v>
      </c>
      <c r="D2917" s="164" t="s">
        <v>13</v>
      </c>
      <c r="E2917" s="165">
        <v>40</v>
      </c>
      <c r="F2917" s="166">
        <v>0</v>
      </c>
      <c r="G2917" s="227">
        <f>IF($B$2,IF(ROWS(B$6:$B2917) = 1,$B2917-Start_Date,$B2917-$B2916),"")</f>
        <v>6.4047800915432163E-3</v>
      </c>
      <c r="H2917" s="29">
        <f>IF($B$2,IF(ROWS(B$6:$B2917) = 1,IF(COUNTIFS(R_Schedule_Times,"&lt;"&amp;B2917),INDEX(R_Schedule_Amounts,MATCH(B2917,R_Schedule_Times,1)),Starting_Cash),IF(COUNTIFS(R_Schedule_Times,"&gt;"&amp;B2916,R_Schedule_Times,"&lt;"&amp;B2917),INDEX(R_Schedule_Amounts,MATCH(B2917,R_Schedule_Times,1)),K2916)),"")</f>
        <v>2900</v>
      </c>
      <c r="I2917" s="30">
        <f t="shared" si="225"/>
        <v>40</v>
      </c>
      <c r="J2917" s="31">
        <f t="shared" si="226"/>
        <v>0</v>
      </c>
      <c r="K2917" s="29">
        <f t="shared" si="227"/>
        <v>2860</v>
      </c>
      <c r="L2917" s="31" t="str">
        <f t="shared" si="228"/>
        <v/>
      </c>
      <c r="M2917" s="31" t="str">
        <f t="shared" si="229"/>
        <v/>
      </c>
    </row>
    <row r="2918" spans="1:13" x14ac:dyDescent="0.15">
      <c r="A2918" s="163" t="s">
        <v>210</v>
      </c>
      <c r="B2918" s="163">
        <v>42351.733696759256</v>
      </c>
      <c r="C2918" s="164" t="s">
        <v>832</v>
      </c>
      <c r="D2918" s="164" t="s">
        <v>13</v>
      </c>
      <c r="E2918" s="165">
        <v>80</v>
      </c>
      <c r="F2918" s="166">
        <v>0</v>
      </c>
      <c r="G2918" s="227">
        <f>IF($B$2,IF(ROWS(B$6:$B2918) = 1,$B2918-Start_Date,$B2918-$B2917),"")</f>
        <v>1.9921064813388512E-2</v>
      </c>
      <c r="H2918" s="29">
        <f>IF($B$2,IF(ROWS(B$6:$B2918) = 1,IF(COUNTIFS(R_Schedule_Times,"&lt;"&amp;B2918),INDEX(R_Schedule_Amounts,MATCH(B2918,R_Schedule_Times,1)),Starting_Cash),IF(COUNTIFS(R_Schedule_Times,"&gt;"&amp;B2917,R_Schedule_Times,"&lt;"&amp;B2918),INDEX(R_Schedule_Amounts,MATCH(B2918,R_Schedule_Times,1)),K2917)),"")</f>
        <v>2860</v>
      </c>
      <c r="I2918" s="30">
        <f t="shared" si="225"/>
        <v>80</v>
      </c>
      <c r="J2918" s="31">
        <f t="shared" si="226"/>
        <v>0</v>
      </c>
      <c r="K2918" s="29">
        <f t="shared" si="227"/>
        <v>2780</v>
      </c>
      <c r="L2918" s="31" t="str">
        <f t="shared" si="228"/>
        <v/>
      </c>
      <c r="M2918" s="31" t="str">
        <f t="shared" si="229"/>
        <v/>
      </c>
    </row>
    <row r="2919" spans="1:13" x14ac:dyDescent="0.15">
      <c r="A2919" s="163" t="s">
        <v>210</v>
      </c>
      <c r="B2919" s="163">
        <v>42351.736754016201</v>
      </c>
      <c r="C2919" s="164" t="s">
        <v>1318</v>
      </c>
      <c r="D2919" s="164" t="s">
        <v>13</v>
      </c>
      <c r="E2919" s="165">
        <v>100</v>
      </c>
      <c r="F2919" s="166">
        <v>0</v>
      </c>
      <c r="G2919" s="227">
        <f>IF($B$2,IF(ROWS(B$6:$B2919) = 1,$B2919-Start_Date,$B2919-$B2918),"")</f>
        <v>3.0572569448850118E-3</v>
      </c>
      <c r="H2919" s="29">
        <f>IF($B$2,IF(ROWS(B$6:$B2919) = 1,IF(COUNTIFS(R_Schedule_Times,"&lt;"&amp;B2919),INDEX(R_Schedule_Amounts,MATCH(B2919,R_Schedule_Times,1)),Starting_Cash),IF(COUNTIFS(R_Schedule_Times,"&gt;"&amp;B2918,R_Schedule_Times,"&lt;"&amp;B2919),INDEX(R_Schedule_Amounts,MATCH(B2919,R_Schedule_Times,1)),K2918)),"")</f>
        <v>2780</v>
      </c>
      <c r="I2919" s="30">
        <f t="shared" si="225"/>
        <v>100</v>
      </c>
      <c r="J2919" s="31">
        <f t="shared" si="226"/>
        <v>0</v>
      </c>
      <c r="K2919" s="29">
        <f t="shared" si="227"/>
        <v>2680</v>
      </c>
      <c r="L2919" s="31" t="str">
        <f t="shared" si="228"/>
        <v/>
      </c>
      <c r="M2919" s="31" t="str">
        <f t="shared" si="229"/>
        <v/>
      </c>
    </row>
    <row r="2920" spans="1:13" x14ac:dyDescent="0.15">
      <c r="A2920" s="163" t="s">
        <v>210</v>
      </c>
      <c r="B2920" s="163">
        <v>42351.783912604165</v>
      </c>
      <c r="C2920" s="164" t="s">
        <v>2457</v>
      </c>
      <c r="D2920" s="164" t="s">
        <v>13</v>
      </c>
      <c r="E2920" s="165">
        <v>200</v>
      </c>
      <c r="F2920" s="166">
        <v>0</v>
      </c>
      <c r="G2920" s="227">
        <f>IF($B$2,IF(ROWS(B$6:$B2920) = 1,$B2920-Start_Date,$B2920-$B2919),"")</f>
        <v>4.7158587964077014E-2</v>
      </c>
      <c r="H2920" s="29">
        <f>IF($B$2,IF(ROWS(B$6:$B2920) = 1,IF(COUNTIFS(R_Schedule_Times,"&lt;"&amp;B2920),INDEX(R_Schedule_Amounts,MATCH(B2920,R_Schedule_Times,1)),Starting_Cash),IF(COUNTIFS(R_Schedule_Times,"&gt;"&amp;B2919,R_Schedule_Times,"&lt;"&amp;B2920),INDEX(R_Schedule_Amounts,MATCH(B2920,R_Schedule_Times,1)),K2919)),"")</f>
        <v>2680</v>
      </c>
      <c r="I2920" s="30">
        <f t="shared" si="225"/>
        <v>200</v>
      </c>
      <c r="J2920" s="31">
        <f t="shared" si="226"/>
        <v>0</v>
      </c>
      <c r="K2920" s="29">
        <f t="shared" si="227"/>
        <v>2480</v>
      </c>
      <c r="L2920" s="31" t="str">
        <f t="shared" si="228"/>
        <v/>
      </c>
      <c r="M2920" s="31" t="str">
        <f t="shared" si="229"/>
        <v/>
      </c>
    </row>
    <row r="2921" spans="1:13" x14ac:dyDescent="0.15">
      <c r="A2921" s="163" t="s">
        <v>210</v>
      </c>
      <c r="B2921" s="163">
        <v>42352.294528182872</v>
      </c>
      <c r="C2921" s="164" t="s">
        <v>2458</v>
      </c>
      <c r="D2921" s="164" t="s">
        <v>13</v>
      </c>
      <c r="E2921" s="165">
        <v>80</v>
      </c>
      <c r="F2921" s="166">
        <v>0</v>
      </c>
      <c r="G2921" s="227">
        <f>IF($B$2,IF(ROWS(B$6:$B2921) = 1,$B2921-Start_Date,$B2921-$B2920),"")</f>
        <v>0.51061557870707475</v>
      </c>
      <c r="H2921" s="29">
        <f>IF($B$2,IF(ROWS(B$6:$B2921) = 1,IF(COUNTIFS(R_Schedule_Times,"&lt;"&amp;B2921),INDEX(R_Schedule_Amounts,MATCH(B2921,R_Schedule_Times,1)),Starting_Cash),IF(COUNTIFS(R_Schedule_Times,"&gt;"&amp;B2920,R_Schedule_Times,"&lt;"&amp;B2921),INDEX(R_Schedule_Amounts,MATCH(B2921,R_Schedule_Times,1)),K2920)),"")</f>
        <v>11000</v>
      </c>
      <c r="I2921" s="30">
        <f t="shared" si="225"/>
        <v>80</v>
      </c>
      <c r="J2921" s="31">
        <f t="shared" si="226"/>
        <v>0</v>
      </c>
      <c r="K2921" s="29">
        <f t="shared" si="227"/>
        <v>10920</v>
      </c>
      <c r="L2921" s="31" t="str">
        <f t="shared" si="228"/>
        <v/>
      </c>
      <c r="M2921" s="31" t="str">
        <f t="shared" si="229"/>
        <v/>
      </c>
    </row>
    <row r="2922" spans="1:13" x14ac:dyDescent="0.15">
      <c r="A2922" s="163" t="s">
        <v>210</v>
      </c>
      <c r="B2922" s="163">
        <v>42352.313328553239</v>
      </c>
      <c r="C2922" s="164" t="s">
        <v>260</v>
      </c>
      <c r="D2922" s="164" t="s">
        <v>13</v>
      </c>
      <c r="E2922" s="165">
        <v>40</v>
      </c>
      <c r="F2922" s="166">
        <v>0</v>
      </c>
      <c r="G2922" s="227">
        <f>IF($B$2,IF(ROWS(B$6:$B2922) = 1,$B2922-Start_Date,$B2922-$B2921),"")</f>
        <v>1.8800370366079733E-2</v>
      </c>
      <c r="H2922" s="29">
        <f>IF($B$2,IF(ROWS(B$6:$B2922) = 1,IF(COUNTIFS(R_Schedule_Times,"&lt;"&amp;B2922),INDEX(R_Schedule_Amounts,MATCH(B2922,R_Schedule_Times,1)),Starting_Cash),IF(COUNTIFS(R_Schedule_Times,"&gt;"&amp;B2921,R_Schedule_Times,"&lt;"&amp;B2922),INDEX(R_Schedule_Amounts,MATCH(B2922,R_Schedule_Times,1)),K2921)),"")</f>
        <v>10920</v>
      </c>
      <c r="I2922" s="30">
        <f t="shared" si="225"/>
        <v>40</v>
      </c>
      <c r="J2922" s="31">
        <f t="shared" si="226"/>
        <v>0</v>
      </c>
      <c r="K2922" s="29">
        <f t="shared" si="227"/>
        <v>10880</v>
      </c>
      <c r="L2922" s="31" t="str">
        <f t="shared" si="228"/>
        <v/>
      </c>
      <c r="M2922" s="31" t="str">
        <f t="shared" si="229"/>
        <v/>
      </c>
    </row>
    <row r="2923" spans="1:13" x14ac:dyDescent="0.15">
      <c r="A2923" s="163" t="s">
        <v>210</v>
      </c>
      <c r="B2923" s="163">
        <v>42352.322404074075</v>
      </c>
      <c r="C2923" s="164" t="s">
        <v>191</v>
      </c>
      <c r="D2923" s="164" t="s">
        <v>13</v>
      </c>
      <c r="E2923" s="165">
        <v>220</v>
      </c>
      <c r="F2923" s="166">
        <v>0</v>
      </c>
      <c r="G2923" s="227">
        <f>IF($B$2,IF(ROWS(B$6:$B2923) = 1,$B2923-Start_Date,$B2923-$B2922),"")</f>
        <v>9.0755208366317675E-3</v>
      </c>
      <c r="H2923" s="29">
        <f>IF($B$2,IF(ROWS(B$6:$B2923) = 1,IF(COUNTIFS(R_Schedule_Times,"&lt;"&amp;B2923),INDEX(R_Schedule_Amounts,MATCH(B2923,R_Schedule_Times,1)),Starting_Cash),IF(COUNTIFS(R_Schedule_Times,"&gt;"&amp;B2922,R_Schedule_Times,"&lt;"&amp;B2923),INDEX(R_Schedule_Amounts,MATCH(B2923,R_Schedule_Times,1)),K2922)),"")</f>
        <v>10880</v>
      </c>
      <c r="I2923" s="30">
        <f t="shared" si="225"/>
        <v>220</v>
      </c>
      <c r="J2923" s="31">
        <f t="shared" si="226"/>
        <v>0</v>
      </c>
      <c r="K2923" s="29">
        <f t="shared" si="227"/>
        <v>10660</v>
      </c>
      <c r="L2923" s="31" t="str">
        <f t="shared" si="228"/>
        <v/>
      </c>
      <c r="M2923" s="31" t="str">
        <f t="shared" si="229"/>
        <v/>
      </c>
    </row>
    <row r="2924" spans="1:13" x14ac:dyDescent="0.15">
      <c r="A2924" s="163" t="s">
        <v>210</v>
      </c>
      <c r="B2924" s="163">
        <v>42352.370152951386</v>
      </c>
      <c r="C2924" s="164" t="s">
        <v>516</v>
      </c>
      <c r="D2924" s="164" t="s">
        <v>13</v>
      </c>
      <c r="E2924" s="165">
        <v>20</v>
      </c>
      <c r="F2924" s="166">
        <v>0</v>
      </c>
      <c r="G2924" s="227">
        <f>IF($B$2,IF(ROWS(B$6:$B2924) = 1,$B2924-Start_Date,$B2924-$B2923),"")</f>
        <v>4.7748877310368698E-2</v>
      </c>
      <c r="H2924" s="29">
        <f>IF($B$2,IF(ROWS(B$6:$B2924) = 1,IF(COUNTIFS(R_Schedule_Times,"&lt;"&amp;B2924),INDEX(R_Schedule_Amounts,MATCH(B2924,R_Schedule_Times,1)),Starting_Cash),IF(COUNTIFS(R_Schedule_Times,"&gt;"&amp;B2923,R_Schedule_Times,"&lt;"&amp;B2924),INDEX(R_Schedule_Amounts,MATCH(B2924,R_Schedule_Times,1)),K2923)),"")</f>
        <v>10660</v>
      </c>
      <c r="I2924" s="30">
        <f t="shared" si="225"/>
        <v>20</v>
      </c>
      <c r="J2924" s="31">
        <f t="shared" si="226"/>
        <v>0</v>
      </c>
      <c r="K2924" s="29">
        <f t="shared" si="227"/>
        <v>10640</v>
      </c>
      <c r="L2924" s="31" t="str">
        <f t="shared" si="228"/>
        <v/>
      </c>
      <c r="M2924" s="31" t="str">
        <f t="shared" si="229"/>
        <v/>
      </c>
    </row>
    <row r="2925" spans="1:13" x14ac:dyDescent="0.15">
      <c r="A2925" s="163" t="s">
        <v>210</v>
      </c>
      <c r="B2925" s="163">
        <v>42352.396774236113</v>
      </c>
      <c r="C2925" s="164" t="s">
        <v>2459</v>
      </c>
      <c r="D2925" s="164" t="s">
        <v>13</v>
      </c>
      <c r="E2925" s="165">
        <v>100</v>
      </c>
      <c r="F2925" s="166">
        <v>0</v>
      </c>
      <c r="G2925" s="227">
        <f>IF($B$2,IF(ROWS(B$6:$B2925) = 1,$B2925-Start_Date,$B2925-$B2924),"")</f>
        <v>2.6621284727298189E-2</v>
      </c>
      <c r="H2925" s="29">
        <f>IF($B$2,IF(ROWS(B$6:$B2925) = 1,IF(COUNTIFS(R_Schedule_Times,"&lt;"&amp;B2925),INDEX(R_Schedule_Amounts,MATCH(B2925,R_Schedule_Times,1)),Starting_Cash),IF(COUNTIFS(R_Schedule_Times,"&gt;"&amp;B2924,R_Schedule_Times,"&lt;"&amp;B2925),INDEX(R_Schedule_Amounts,MATCH(B2925,R_Schedule_Times,1)),K2924)),"")</f>
        <v>10640</v>
      </c>
      <c r="I2925" s="30">
        <f t="shared" si="225"/>
        <v>100</v>
      </c>
      <c r="J2925" s="31">
        <f t="shared" si="226"/>
        <v>0</v>
      </c>
      <c r="K2925" s="29">
        <f t="shared" si="227"/>
        <v>10540</v>
      </c>
      <c r="L2925" s="31" t="str">
        <f t="shared" si="228"/>
        <v/>
      </c>
      <c r="M2925" s="31" t="str">
        <f t="shared" si="229"/>
        <v/>
      </c>
    </row>
    <row r="2926" spans="1:13" x14ac:dyDescent="0.15">
      <c r="A2926" s="163" t="s">
        <v>210</v>
      </c>
      <c r="B2926" s="163">
        <v>42352.424942638892</v>
      </c>
      <c r="C2926" s="164" t="s">
        <v>2376</v>
      </c>
      <c r="D2926" s="164" t="s">
        <v>13</v>
      </c>
      <c r="E2926" s="165">
        <v>40</v>
      </c>
      <c r="F2926" s="166">
        <v>0</v>
      </c>
      <c r="G2926" s="227">
        <f>IF($B$2,IF(ROWS(B$6:$B2926) = 1,$B2926-Start_Date,$B2926-$B2925),"")</f>
        <v>2.8168402779556345E-2</v>
      </c>
      <c r="H2926" s="29">
        <f>IF($B$2,IF(ROWS(B$6:$B2926) = 1,IF(COUNTIFS(R_Schedule_Times,"&lt;"&amp;B2926),INDEX(R_Schedule_Amounts,MATCH(B2926,R_Schedule_Times,1)),Starting_Cash),IF(COUNTIFS(R_Schedule_Times,"&gt;"&amp;B2925,R_Schedule_Times,"&lt;"&amp;B2926),INDEX(R_Schedule_Amounts,MATCH(B2926,R_Schedule_Times,1)),K2925)),"")</f>
        <v>10540</v>
      </c>
      <c r="I2926" s="30">
        <f t="shared" si="225"/>
        <v>40</v>
      </c>
      <c r="J2926" s="31">
        <f t="shared" si="226"/>
        <v>0</v>
      </c>
      <c r="K2926" s="29">
        <f t="shared" si="227"/>
        <v>10500</v>
      </c>
      <c r="L2926" s="31" t="str">
        <f t="shared" si="228"/>
        <v/>
      </c>
      <c r="M2926" s="31" t="str">
        <f t="shared" si="229"/>
        <v/>
      </c>
    </row>
    <row r="2927" spans="1:13" x14ac:dyDescent="0.15">
      <c r="A2927" s="163" t="s">
        <v>210</v>
      </c>
      <c r="B2927" s="163">
        <v>42352.430021782406</v>
      </c>
      <c r="C2927" s="164" t="s">
        <v>517</v>
      </c>
      <c r="D2927" s="164" t="s">
        <v>13</v>
      </c>
      <c r="E2927" s="165">
        <v>80</v>
      </c>
      <c r="F2927" s="166">
        <v>0</v>
      </c>
      <c r="G2927" s="227">
        <f>IF($B$2,IF(ROWS(B$6:$B2927) = 1,$B2927-Start_Date,$B2927-$B2926),"")</f>
        <v>5.0791435132850893E-3</v>
      </c>
      <c r="H2927" s="29">
        <f>IF($B$2,IF(ROWS(B$6:$B2927) = 1,IF(COUNTIFS(R_Schedule_Times,"&lt;"&amp;B2927),INDEX(R_Schedule_Amounts,MATCH(B2927,R_Schedule_Times,1)),Starting_Cash),IF(COUNTIFS(R_Schedule_Times,"&gt;"&amp;B2926,R_Schedule_Times,"&lt;"&amp;B2927),INDEX(R_Schedule_Amounts,MATCH(B2927,R_Schedule_Times,1)),K2926)),"")</f>
        <v>10500</v>
      </c>
      <c r="I2927" s="30">
        <f t="shared" si="225"/>
        <v>80</v>
      </c>
      <c r="J2927" s="31">
        <f t="shared" si="226"/>
        <v>0</v>
      </c>
      <c r="K2927" s="29">
        <f t="shared" si="227"/>
        <v>10420</v>
      </c>
      <c r="L2927" s="31" t="str">
        <f t="shared" si="228"/>
        <v/>
      </c>
      <c r="M2927" s="31" t="str">
        <f t="shared" si="229"/>
        <v/>
      </c>
    </row>
    <row r="2928" spans="1:13" x14ac:dyDescent="0.15">
      <c r="A2928" s="163" t="s">
        <v>210</v>
      </c>
      <c r="B2928" s="163">
        <v>42352.45348369213</v>
      </c>
      <c r="C2928" s="164" t="s">
        <v>518</v>
      </c>
      <c r="D2928" s="164" t="s">
        <v>13</v>
      </c>
      <c r="E2928" s="165">
        <v>80</v>
      </c>
      <c r="F2928" s="166">
        <v>0</v>
      </c>
      <c r="G2928" s="227">
        <f>IF($B$2,IF(ROWS(B$6:$B2928) = 1,$B2928-Start_Date,$B2928-$B2927),"")</f>
        <v>2.346190972457407E-2</v>
      </c>
      <c r="H2928" s="29">
        <f>IF($B$2,IF(ROWS(B$6:$B2928) = 1,IF(COUNTIFS(R_Schedule_Times,"&lt;"&amp;B2928),INDEX(R_Schedule_Amounts,MATCH(B2928,R_Schedule_Times,1)),Starting_Cash),IF(COUNTIFS(R_Schedule_Times,"&gt;"&amp;B2927,R_Schedule_Times,"&lt;"&amp;B2928),INDEX(R_Schedule_Amounts,MATCH(B2928,R_Schedule_Times,1)),K2927)),"")</f>
        <v>10420</v>
      </c>
      <c r="I2928" s="30">
        <f t="shared" si="225"/>
        <v>80</v>
      </c>
      <c r="J2928" s="31">
        <f t="shared" si="226"/>
        <v>0</v>
      </c>
      <c r="K2928" s="29">
        <f t="shared" si="227"/>
        <v>10340</v>
      </c>
      <c r="L2928" s="31" t="str">
        <f t="shared" si="228"/>
        <v/>
      </c>
      <c r="M2928" s="31" t="str">
        <f t="shared" si="229"/>
        <v/>
      </c>
    </row>
    <row r="2929" spans="1:13" x14ac:dyDescent="0.15">
      <c r="A2929" s="163" t="s">
        <v>210</v>
      </c>
      <c r="B2929" s="163">
        <v>42352.462604131942</v>
      </c>
      <c r="C2929" s="164" t="s">
        <v>650</v>
      </c>
      <c r="D2929" s="164" t="s">
        <v>13</v>
      </c>
      <c r="E2929" s="165">
        <v>40</v>
      </c>
      <c r="F2929" s="166">
        <v>0</v>
      </c>
      <c r="G2929" s="227">
        <f>IF($B$2,IF(ROWS(B$6:$B2929) = 1,$B2929-Start_Date,$B2929-$B2928),"")</f>
        <v>9.1204398122499697E-3</v>
      </c>
      <c r="H2929" s="29">
        <f>IF($B$2,IF(ROWS(B$6:$B2929) = 1,IF(COUNTIFS(R_Schedule_Times,"&lt;"&amp;B2929),INDEX(R_Schedule_Amounts,MATCH(B2929,R_Schedule_Times,1)),Starting_Cash),IF(COUNTIFS(R_Schedule_Times,"&gt;"&amp;B2928,R_Schedule_Times,"&lt;"&amp;B2929),INDEX(R_Schedule_Amounts,MATCH(B2929,R_Schedule_Times,1)),K2928)),"")</f>
        <v>10340</v>
      </c>
      <c r="I2929" s="30">
        <f t="shared" si="225"/>
        <v>40</v>
      </c>
      <c r="J2929" s="31">
        <f t="shared" si="226"/>
        <v>0</v>
      </c>
      <c r="K2929" s="29">
        <f t="shared" si="227"/>
        <v>10300</v>
      </c>
      <c r="L2929" s="31" t="str">
        <f t="shared" si="228"/>
        <v/>
      </c>
      <c r="M2929" s="31" t="str">
        <f t="shared" si="229"/>
        <v/>
      </c>
    </row>
    <row r="2930" spans="1:13" x14ac:dyDescent="0.15">
      <c r="A2930" s="163" t="s">
        <v>210</v>
      </c>
      <c r="B2930" s="163">
        <v>42352.479827905096</v>
      </c>
      <c r="C2930" s="164" t="s">
        <v>519</v>
      </c>
      <c r="D2930" s="164" t="s">
        <v>13</v>
      </c>
      <c r="E2930" s="165">
        <v>40</v>
      </c>
      <c r="F2930" s="166">
        <v>0</v>
      </c>
      <c r="G2930" s="227">
        <f>IF($B$2,IF(ROWS(B$6:$B2930) = 1,$B2930-Start_Date,$B2930-$B2929),"")</f>
        <v>1.7223773153091315E-2</v>
      </c>
      <c r="H2930" s="29">
        <f>IF($B$2,IF(ROWS(B$6:$B2930) = 1,IF(COUNTIFS(R_Schedule_Times,"&lt;"&amp;B2930),INDEX(R_Schedule_Amounts,MATCH(B2930,R_Schedule_Times,1)),Starting_Cash),IF(COUNTIFS(R_Schedule_Times,"&gt;"&amp;B2929,R_Schedule_Times,"&lt;"&amp;B2930),INDEX(R_Schedule_Amounts,MATCH(B2930,R_Schedule_Times,1)),K2929)),"")</f>
        <v>10300</v>
      </c>
      <c r="I2930" s="30">
        <f t="shared" si="225"/>
        <v>40</v>
      </c>
      <c r="J2930" s="31">
        <f t="shared" si="226"/>
        <v>0</v>
      </c>
      <c r="K2930" s="29">
        <f t="shared" si="227"/>
        <v>10260</v>
      </c>
      <c r="L2930" s="31" t="str">
        <f t="shared" si="228"/>
        <v/>
      </c>
      <c r="M2930" s="31" t="str">
        <f t="shared" si="229"/>
        <v/>
      </c>
    </row>
    <row r="2931" spans="1:13" x14ac:dyDescent="0.15">
      <c r="A2931" s="163" t="s">
        <v>210</v>
      </c>
      <c r="B2931" s="163">
        <v>42352.481305497684</v>
      </c>
      <c r="C2931" s="164" t="s">
        <v>1302</v>
      </c>
      <c r="D2931" s="164" t="s">
        <v>13</v>
      </c>
      <c r="E2931" s="165">
        <v>180</v>
      </c>
      <c r="F2931" s="166">
        <v>0</v>
      </c>
      <c r="G2931" s="227">
        <f>IF($B$2,IF(ROWS(B$6:$B2931) = 1,$B2931-Start_Date,$B2931-$B2930),"")</f>
        <v>1.4775925883441232E-3</v>
      </c>
      <c r="H2931" s="29">
        <f>IF($B$2,IF(ROWS(B$6:$B2931) = 1,IF(COUNTIFS(R_Schedule_Times,"&lt;"&amp;B2931),INDEX(R_Schedule_Amounts,MATCH(B2931,R_Schedule_Times,1)),Starting_Cash),IF(COUNTIFS(R_Schedule_Times,"&gt;"&amp;B2930,R_Schedule_Times,"&lt;"&amp;B2931),INDEX(R_Schedule_Amounts,MATCH(B2931,R_Schedule_Times,1)),K2930)),"")</f>
        <v>10260</v>
      </c>
      <c r="I2931" s="30">
        <f t="shared" si="225"/>
        <v>180</v>
      </c>
      <c r="J2931" s="31">
        <f t="shared" si="226"/>
        <v>0</v>
      </c>
      <c r="K2931" s="29">
        <f t="shared" si="227"/>
        <v>10080</v>
      </c>
      <c r="L2931" s="31" t="str">
        <f t="shared" si="228"/>
        <v/>
      </c>
      <c r="M2931" s="31" t="str">
        <f t="shared" si="229"/>
        <v/>
      </c>
    </row>
    <row r="2932" spans="1:13" x14ac:dyDescent="0.15">
      <c r="A2932" s="163" t="s">
        <v>210</v>
      </c>
      <c r="B2932" s="163">
        <v>42352.483990081018</v>
      </c>
      <c r="C2932" s="164" t="s">
        <v>2460</v>
      </c>
      <c r="D2932" s="164" t="s">
        <v>13</v>
      </c>
      <c r="E2932" s="165">
        <v>40</v>
      </c>
      <c r="F2932" s="166">
        <v>0</v>
      </c>
      <c r="G2932" s="227">
        <f>IF($B$2,IF(ROWS(B$6:$B2932) = 1,$B2932-Start_Date,$B2932-$B2931),"")</f>
        <v>2.6845833344850689E-3</v>
      </c>
      <c r="H2932" s="29">
        <f>IF($B$2,IF(ROWS(B$6:$B2932) = 1,IF(COUNTIFS(R_Schedule_Times,"&lt;"&amp;B2932),INDEX(R_Schedule_Amounts,MATCH(B2932,R_Schedule_Times,1)),Starting_Cash),IF(COUNTIFS(R_Schedule_Times,"&gt;"&amp;B2931,R_Schedule_Times,"&lt;"&amp;B2932),INDEX(R_Schedule_Amounts,MATCH(B2932,R_Schedule_Times,1)),K2931)),"")</f>
        <v>10080</v>
      </c>
      <c r="I2932" s="30">
        <f t="shared" si="225"/>
        <v>40</v>
      </c>
      <c r="J2932" s="31">
        <f t="shared" si="226"/>
        <v>0</v>
      </c>
      <c r="K2932" s="29">
        <f t="shared" si="227"/>
        <v>10040</v>
      </c>
      <c r="L2932" s="31" t="str">
        <f t="shared" si="228"/>
        <v/>
      </c>
      <c r="M2932" s="31" t="str">
        <f t="shared" si="229"/>
        <v/>
      </c>
    </row>
    <row r="2933" spans="1:13" x14ac:dyDescent="0.15">
      <c r="A2933" s="163" t="s">
        <v>210</v>
      </c>
      <c r="B2933" s="163">
        <v>42352.491485810184</v>
      </c>
      <c r="C2933" s="164" t="s">
        <v>699</v>
      </c>
      <c r="D2933" s="164" t="s">
        <v>13</v>
      </c>
      <c r="E2933" s="165">
        <v>40</v>
      </c>
      <c r="F2933" s="166">
        <v>0</v>
      </c>
      <c r="G2933" s="227">
        <f>IF($B$2,IF(ROWS(B$6:$B2933) = 1,$B2933-Start_Date,$B2933-$B2932),"")</f>
        <v>7.4957291653845459E-3</v>
      </c>
      <c r="H2933" s="29">
        <f>IF($B$2,IF(ROWS(B$6:$B2933) = 1,IF(COUNTIFS(R_Schedule_Times,"&lt;"&amp;B2933),INDEX(R_Schedule_Amounts,MATCH(B2933,R_Schedule_Times,1)),Starting_Cash),IF(COUNTIFS(R_Schedule_Times,"&gt;"&amp;B2932,R_Schedule_Times,"&lt;"&amp;B2933),INDEX(R_Schedule_Amounts,MATCH(B2933,R_Schedule_Times,1)),K2932)),"")</f>
        <v>10040</v>
      </c>
      <c r="I2933" s="30">
        <f t="shared" si="225"/>
        <v>40</v>
      </c>
      <c r="J2933" s="31">
        <f t="shared" si="226"/>
        <v>0</v>
      </c>
      <c r="K2933" s="29">
        <f t="shared" si="227"/>
        <v>10000</v>
      </c>
      <c r="L2933" s="31" t="str">
        <f t="shared" si="228"/>
        <v/>
      </c>
      <c r="M2933" s="31" t="str">
        <f t="shared" si="229"/>
        <v/>
      </c>
    </row>
    <row r="2934" spans="1:13" x14ac:dyDescent="0.15">
      <c r="A2934" s="163" t="s">
        <v>210</v>
      </c>
      <c r="B2934" s="163">
        <v>42352.492689386578</v>
      </c>
      <c r="C2934" s="164" t="s">
        <v>14</v>
      </c>
      <c r="D2934" s="164" t="s">
        <v>13</v>
      </c>
      <c r="E2934" s="165">
        <v>100</v>
      </c>
      <c r="F2934" s="166">
        <v>3.5</v>
      </c>
      <c r="G2934" s="227">
        <f>IF($B$2,IF(ROWS(B$6:$B2934) = 1,$B2934-Start_Date,$B2934-$B2933),"")</f>
        <v>1.2035763938911259E-3</v>
      </c>
      <c r="H2934" s="29">
        <f>IF($B$2,IF(ROWS(B$6:$B2934) = 1,IF(COUNTIFS(R_Schedule_Times,"&lt;"&amp;B2934),INDEX(R_Schedule_Amounts,MATCH(B2934,R_Schedule_Times,1)),Starting_Cash),IF(COUNTIFS(R_Schedule_Times,"&gt;"&amp;B2933,R_Schedule_Times,"&lt;"&amp;B2934),INDEX(R_Schedule_Amounts,MATCH(B2934,R_Schedule_Times,1)),K2933)),"")</f>
        <v>10000</v>
      </c>
      <c r="I2934" s="30">
        <f t="shared" si="225"/>
        <v>100</v>
      </c>
      <c r="J2934" s="31">
        <f t="shared" si="226"/>
        <v>3.5</v>
      </c>
      <c r="K2934" s="29">
        <f t="shared" si="227"/>
        <v>9900</v>
      </c>
      <c r="L2934" s="31" t="str">
        <f t="shared" si="228"/>
        <v/>
      </c>
      <c r="M2934" s="31" t="str">
        <f t="shared" si="229"/>
        <v/>
      </c>
    </row>
    <row r="2935" spans="1:13" x14ac:dyDescent="0.15">
      <c r="A2935" s="163" t="s">
        <v>210</v>
      </c>
      <c r="B2935" s="163">
        <v>42352.497973437501</v>
      </c>
      <c r="C2935" s="164" t="s">
        <v>2461</v>
      </c>
      <c r="D2935" s="164" t="s">
        <v>13</v>
      </c>
      <c r="E2935" s="165">
        <v>60</v>
      </c>
      <c r="F2935" s="166">
        <v>0</v>
      </c>
      <c r="G2935" s="227">
        <f>IF($B$2,IF(ROWS(B$6:$B2935) = 1,$B2935-Start_Date,$B2935-$B2934),"")</f>
        <v>5.2840509233647026E-3</v>
      </c>
      <c r="H2935" s="29">
        <f>IF($B$2,IF(ROWS(B$6:$B2935) = 1,IF(COUNTIFS(R_Schedule_Times,"&lt;"&amp;B2935),INDEX(R_Schedule_Amounts,MATCH(B2935,R_Schedule_Times,1)),Starting_Cash),IF(COUNTIFS(R_Schedule_Times,"&gt;"&amp;B2934,R_Schedule_Times,"&lt;"&amp;B2935),INDEX(R_Schedule_Amounts,MATCH(B2935,R_Schedule_Times,1)),K2934)),"")</f>
        <v>9900</v>
      </c>
      <c r="I2935" s="30">
        <f t="shared" si="225"/>
        <v>60</v>
      </c>
      <c r="J2935" s="31">
        <f t="shared" si="226"/>
        <v>0</v>
      </c>
      <c r="K2935" s="29">
        <f t="shared" si="227"/>
        <v>9840</v>
      </c>
      <c r="L2935" s="31" t="str">
        <f t="shared" si="228"/>
        <v/>
      </c>
      <c r="M2935" s="31" t="str">
        <f t="shared" si="229"/>
        <v/>
      </c>
    </row>
    <row r="2936" spans="1:13" x14ac:dyDescent="0.15">
      <c r="A2936" s="163" t="s">
        <v>210</v>
      </c>
      <c r="B2936" s="163">
        <v>42352.503632685184</v>
      </c>
      <c r="C2936" s="164" t="s">
        <v>2462</v>
      </c>
      <c r="D2936" s="164" t="s">
        <v>13</v>
      </c>
      <c r="E2936" s="165">
        <v>40</v>
      </c>
      <c r="F2936" s="166">
        <v>0</v>
      </c>
      <c r="G2936" s="227">
        <f>IF($B$2,IF(ROWS(B$6:$B2936) = 1,$B2936-Start_Date,$B2936-$B2935),"")</f>
        <v>5.6592476830701344E-3</v>
      </c>
      <c r="H2936" s="29">
        <f>IF($B$2,IF(ROWS(B$6:$B2936) = 1,IF(COUNTIFS(R_Schedule_Times,"&lt;"&amp;B2936),INDEX(R_Schedule_Amounts,MATCH(B2936,R_Schedule_Times,1)),Starting_Cash),IF(COUNTIFS(R_Schedule_Times,"&gt;"&amp;B2935,R_Schedule_Times,"&lt;"&amp;B2936),INDEX(R_Schedule_Amounts,MATCH(B2936,R_Schedule_Times,1)),K2935)),"")</f>
        <v>9840</v>
      </c>
      <c r="I2936" s="30">
        <f t="shared" si="225"/>
        <v>40</v>
      </c>
      <c r="J2936" s="31">
        <f t="shared" si="226"/>
        <v>0</v>
      </c>
      <c r="K2936" s="29">
        <f t="shared" si="227"/>
        <v>9800</v>
      </c>
      <c r="L2936" s="31" t="str">
        <f t="shared" si="228"/>
        <v/>
      </c>
      <c r="M2936" s="31" t="str">
        <f t="shared" si="229"/>
        <v/>
      </c>
    </row>
    <row r="2937" spans="1:13" x14ac:dyDescent="0.15">
      <c r="A2937" s="163" t="s">
        <v>210</v>
      </c>
      <c r="B2937" s="163">
        <v>42352.506366608795</v>
      </c>
      <c r="C2937" s="164" t="s">
        <v>2463</v>
      </c>
      <c r="D2937" s="164" t="s">
        <v>13</v>
      </c>
      <c r="E2937" s="165">
        <v>40</v>
      </c>
      <c r="F2937" s="166">
        <v>0</v>
      </c>
      <c r="G2937" s="227">
        <f>IF($B$2,IF(ROWS(B$6:$B2937) = 1,$B2937-Start_Date,$B2937-$B2936),"")</f>
        <v>2.7339236112311482E-3</v>
      </c>
      <c r="H2937" s="29">
        <f>IF($B$2,IF(ROWS(B$6:$B2937) = 1,IF(COUNTIFS(R_Schedule_Times,"&lt;"&amp;B2937),INDEX(R_Schedule_Amounts,MATCH(B2937,R_Schedule_Times,1)),Starting_Cash),IF(COUNTIFS(R_Schedule_Times,"&gt;"&amp;B2936,R_Schedule_Times,"&lt;"&amp;B2937),INDEX(R_Schedule_Amounts,MATCH(B2937,R_Schedule_Times,1)),K2936)),"")</f>
        <v>9800</v>
      </c>
      <c r="I2937" s="30">
        <f t="shared" si="225"/>
        <v>40</v>
      </c>
      <c r="J2937" s="31">
        <f t="shared" si="226"/>
        <v>0</v>
      </c>
      <c r="K2937" s="29">
        <f t="shared" si="227"/>
        <v>9760</v>
      </c>
      <c r="L2937" s="31" t="str">
        <f t="shared" si="228"/>
        <v/>
      </c>
      <c r="M2937" s="31" t="str">
        <f t="shared" si="229"/>
        <v/>
      </c>
    </row>
    <row r="2938" spans="1:13" x14ac:dyDescent="0.15">
      <c r="A2938" s="163" t="s">
        <v>210</v>
      </c>
      <c r="B2938" s="163">
        <v>42352.508408402777</v>
      </c>
      <c r="C2938" s="164" t="s">
        <v>14</v>
      </c>
      <c r="D2938" s="164" t="s">
        <v>15</v>
      </c>
      <c r="E2938" s="165">
        <v>20</v>
      </c>
      <c r="F2938" s="166">
        <v>3.1</v>
      </c>
      <c r="G2938" s="227">
        <f>IF($B$2,IF(ROWS(B$6:$B2938) = 1,$B2938-Start_Date,$B2938-$B2937),"")</f>
        <v>2.0417939813341945E-3</v>
      </c>
      <c r="H2938" s="29">
        <f>IF($B$2,IF(ROWS(B$6:$B2938) = 1,IF(COUNTIFS(R_Schedule_Times,"&lt;"&amp;B2938),INDEX(R_Schedule_Amounts,MATCH(B2938,R_Schedule_Times,1)),Starting_Cash),IF(COUNTIFS(R_Schedule_Times,"&gt;"&amp;B2937,R_Schedule_Times,"&lt;"&amp;B2938),INDEX(R_Schedule_Amounts,MATCH(B2938,R_Schedule_Times,1)),K2937)),"")</f>
        <v>9760</v>
      </c>
      <c r="I2938" s="30">
        <f t="shared" si="225"/>
        <v>20</v>
      </c>
      <c r="J2938" s="31">
        <f t="shared" si="226"/>
        <v>3.1</v>
      </c>
      <c r="K2938" s="29">
        <f t="shared" si="227"/>
        <v>9740</v>
      </c>
      <c r="L2938" s="31" t="str">
        <f t="shared" si="228"/>
        <v/>
      </c>
      <c r="M2938" s="31" t="str">
        <f t="shared" si="229"/>
        <v/>
      </c>
    </row>
    <row r="2939" spans="1:13" x14ac:dyDescent="0.15">
      <c r="A2939" s="163" t="s">
        <v>210</v>
      </c>
      <c r="B2939" s="163">
        <v>42352.515714884263</v>
      </c>
      <c r="C2939" s="164" t="s">
        <v>520</v>
      </c>
      <c r="D2939" s="164" t="s">
        <v>13</v>
      </c>
      <c r="E2939" s="165">
        <v>40</v>
      </c>
      <c r="F2939" s="166">
        <v>0</v>
      </c>
      <c r="G2939" s="227">
        <f>IF($B$2,IF(ROWS(B$6:$B2939) = 1,$B2939-Start_Date,$B2939-$B2938),"")</f>
        <v>7.3064814860117622E-3</v>
      </c>
      <c r="H2939" s="29">
        <f>IF($B$2,IF(ROWS(B$6:$B2939) = 1,IF(COUNTIFS(R_Schedule_Times,"&lt;"&amp;B2939),INDEX(R_Schedule_Amounts,MATCH(B2939,R_Schedule_Times,1)),Starting_Cash),IF(COUNTIFS(R_Schedule_Times,"&gt;"&amp;B2938,R_Schedule_Times,"&lt;"&amp;B2939),INDEX(R_Schedule_Amounts,MATCH(B2939,R_Schedule_Times,1)),K2938)),"")</f>
        <v>9740</v>
      </c>
      <c r="I2939" s="30">
        <f t="shared" si="225"/>
        <v>40</v>
      </c>
      <c r="J2939" s="31">
        <f t="shared" si="226"/>
        <v>0</v>
      </c>
      <c r="K2939" s="29">
        <f t="shared" si="227"/>
        <v>9700</v>
      </c>
      <c r="L2939" s="31" t="str">
        <f t="shared" si="228"/>
        <v/>
      </c>
      <c r="M2939" s="31" t="str">
        <f t="shared" si="229"/>
        <v/>
      </c>
    </row>
    <row r="2940" spans="1:13" x14ac:dyDescent="0.15">
      <c r="A2940" s="163" t="s">
        <v>210</v>
      </c>
      <c r="B2940" s="163">
        <v>42352.553552141202</v>
      </c>
      <c r="C2940" s="164" t="s">
        <v>2464</v>
      </c>
      <c r="D2940" s="164" t="s">
        <v>13</v>
      </c>
      <c r="E2940" s="165">
        <v>80</v>
      </c>
      <c r="F2940" s="166">
        <v>0</v>
      </c>
      <c r="G2940" s="227">
        <f>IF($B$2,IF(ROWS(B$6:$B2940) = 1,$B2940-Start_Date,$B2940-$B2939),"")</f>
        <v>3.7837256939383224E-2</v>
      </c>
      <c r="H2940" s="29">
        <f>IF($B$2,IF(ROWS(B$6:$B2940) = 1,IF(COUNTIFS(R_Schedule_Times,"&lt;"&amp;B2940),INDEX(R_Schedule_Amounts,MATCH(B2940,R_Schedule_Times,1)),Starting_Cash),IF(COUNTIFS(R_Schedule_Times,"&gt;"&amp;B2939,R_Schedule_Times,"&lt;"&amp;B2940),INDEX(R_Schedule_Amounts,MATCH(B2940,R_Schedule_Times,1)),K2939)),"")</f>
        <v>9700</v>
      </c>
      <c r="I2940" s="30">
        <f t="shared" si="225"/>
        <v>80</v>
      </c>
      <c r="J2940" s="31">
        <f t="shared" si="226"/>
        <v>0</v>
      </c>
      <c r="K2940" s="29">
        <f t="shared" si="227"/>
        <v>9620</v>
      </c>
      <c r="L2940" s="31" t="str">
        <f t="shared" si="228"/>
        <v/>
      </c>
      <c r="M2940" s="31" t="str">
        <f t="shared" si="229"/>
        <v/>
      </c>
    </row>
    <row r="2941" spans="1:13" x14ac:dyDescent="0.15">
      <c r="A2941" s="163" t="s">
        <v>210</v>
      </c>
      <c r="B2941" s="163">
        <v>42352.558157233798</v>
      </c>
      <c r="C2941" s="164" t="s">
        <v>2465</v>
      </c>
      <c r="D2941" s="164" t="s">
        <v>13</v>
      </c>
      <c r="E2941" s="165">
        <v>20</v>
      </c>
      <c r="F2941" s="166">
        <v>0</v>
      </c>
      <c r="G2941" s="227">
        <f>IF($B$2,IF(ROWS(B$6:$B2941) = 1,$B2941-Start_Date,$B2941-$B2940),"")</f>
        <v>4.6050925957388245E-3</v>
      </c>
      <c r="H2941" s="29">
        <f>IF($B$2,IF(ROWS(B$6:$B2941) = 1,IF(COUNTIFS(R_Schedule_Times,"&lt;"&amp;B2941),INDEX(R_Schedule_Amounts,MATCH(B2941,R_Schedule_Times,1)),Starting_Cash),IF(COUNTIFS(R_Schedule_Times,"&gt;"&amp;B2940,R_Schedule_Times,"&lt;"&amp;B2941),INDEX(R_Schedule_Amounts,MATCH(B2941,R_Schedule_Times,1)),K2940)),"")</f>
        <v>9620</v>
      </c>
      <c r="I2941" s="30">
        <f t="shared" si="225"/>
        <v>20</v>
      </c>
      <c r="J2941" s="31">
        <f t="shared" si="226"/>
        <v>0</v>
      </c>
      <c r="K2941" s="29">
        <f t="shared" si="227"/>
        <v>9600</v>
      </c>
      <c r="L2941" s="31" t="str">
        <f t="shared" si="228"/>
        <v/>
      </c>
      <c r="M2941" s="31" t="str">
        <f t="shared" si="229"/>
        <v/>
      </c>
    </row>
    <row r="2942" spans="1:13" x14ac:dyDescent="0.15">
      <c r="A2942" s="163" t="s">
        <v>210</v>
      </c>
      <c r="B2942" s="163">
        <v>42352.586941180554</v>
      </c>
      <c r="C2942" s="164" t="s">
        <v>2466</v>
      </c>
      <c r="D2942" s="164" t="s">
        <v>13</v>
      </c>
      <c r="E2942" s="165">
        <v>60</v>
      </c>
      <c r="F2942" s="166">
        <v>0</v>
      </c>
      <c r="G2942" s="227">
        <f>IF($B$2,IF(ROWS(B$6:$B2942) = 1,$B2942-Start_Date,$B2942-$B2941),"")</f>
        <v>2.8783946756448131E-2</v>
      </c>
      <c r="H2942" s="29">
        <f>IF($B$2,IF(ROWS(B$6:$B2942) = 1,IF(COUNTIFS(R_Schedule_Times,"&lt;"&amp;B2942),INDEX(R_Schedule_Amounts,MATCH(B2942,R_Schedule_Times,1)),Starting_Cash),IF(COUNTIFS(R_Schedule_Times,"&gt;"&amp;B2941,R_Schedule_Times,"&lt;"&amp;B2942),INDEX(R_Schedule_Amounts,MATCH(B2942,R_Schedule_Times,1)),K2941)),"")</f>
        <v>9600</v>
      </c>
      <c r="I2942" s="30">
        <f t="shared" si="225"/>
        <v>60</v>
      </c>
      <c r="J2942" s="31">
        <f t="shared" si="226"/>
        <v>0</v>
      </c>
      <c r="K2942" s="29">
        <f t="shared" si="227"/>
        <v>9540</v>
      </c>
      <c r="L2942" s="31" t="str">
        <f t="shared" si="228"/>
        <v/>
      </c>
      <c r="M2942" s="31" t="str">
        <f t="shared" si="229"/>
        <v/>
      </c>
    </row>
    <row r="2943" spans="1:13" x14ac:dyDescent="0.15">
      <c r="A2943" s="163" t="s">
        <v>210</v>
      </c>
      <c r="B2943" s="163">
        <v>42352.605790335649</v>
      </c>
      <c r="C2943" s="164" t="s">
        <v>2467</v>
      </c>
      <c r="D2943" s="164" t="s">
        <v>13</v>
      </c>
      <c r="E2943" s="165">
        <v>40</v>
      </c>
      <c r="F2943" s="166">
        <v>0</v>
      </c>
      <c r="G2943" s="227">
        <f>IF($B$2,IF(ROWS(B$6:$B2943) = 1,$B2943-Start_Date,$B2943-$B2942),"")</f>
        <v>1.8849155094358139E-2</v>
      </c>
      <c r="H2943" s="29">
        <f>IF($B$2,IF(ROWS(B$6:$B2943) = 1,IF(COUNTIFS(R_Schedule_Times,"&lt;"&amp;B2943),INDEX(R_Schedule_Amounts,MATCH(B2943,R_Schedule_Times,1)),Starting_Cash),IF(COUNTIFS(R_Schedule_Times,"&gt;"&amp;B2942,R_Schedule_Times,"&lt;"&amp;B2943),INDEX(R_Schedule_Amounts,MATCH(B2943,R_Schedule_Times,1)),K2942)),"")</f>
        <v>9540</v>
      </c>
      <c r="I2943" s="30">
        <f t="shared" si="225"/>
        <v>40</v>
      </c>
      <c r="J2943" s="31">
        <f t="shared" si="226"/>
        <v>0</v>
      </c>
      <c r="K2943" s="29">
        <f t="shared" si="227"/>
        <v>9500</v>
      </c>
      <c r="L2943" s="31" t="str">
        <f t="shared" si="228"/>
        <v/>
      </c>
      <c r="M2943" s="31" t="str">
        <f t="shared" si="229"/>
        <v/>
      </c>
    </row>
    <row r="2944" spans="1:13" x14ac:dyDescent="0.15">
      <c r="A2944" s="163" t="s">
        <v>210</v>
      </c>
      <c r="B2944" s="163">
        <v>42352.615299826386</v>
      </c>
      <c r="C2944" s="164" t="s">
        <v>71</v>
      </c>
      <c r="D2944" s="164" t="s">
        <v>13</v>
      </c>
      <c r="E2944" s="165">
        <v>100</v>
      </c>
      <c r="F2944" s="166">
        <v>0</v>
      </c>
      <c r="G2944" s="227">
        <f>IF($B$2,IF(ROWS(B$6:$B2944) = 1,$B2944-Start_Date,$B2944-$B2943),"")</f>
        <v>9.5094907374004833E-3</v>
      </c>
      <c r="H2944" s="29">
        <f>IF($B$2,IF(ROWS(B$6:$B2944) = 1,IF(COUNTIFS(R_Schedule_Times,"&lt;"&amp;B2944),INDEX(R_Schedule_Amounts,MATCH(B2944,R_Schedule_Times,1)),Starting_Cash),IF(COUNTIFS(R_Schedule_Times,"&gt;"&amp;B2943,R_Schedule_Times,"&lt;"&amp;B2944),INDEX(R_Schedule_Amounts,MATCH(B2944,R_Schedule_Times,1)),K2943)),"")</f>
        <v>9500</v>
      </c>
      <c r="I2944" s="30">
        <f t="shared" si="225"/>
        <v>100</v>
      </c>
      <c r="J2944" s="31">
        <f t="shared" si="226"/>
        <v>0</v>
      </c>
      <c r="K2944" s="29">
        <f t="shared" si="227"/>
        <v>9400</v>
      </c>
      <c r="L2944" s="31" t="str">
        <f t="shared" si="228"/>
        <v/>
      </c>
      <c r="M2944" s="31" t="str">
        <f t="shared" si="229"/>
        <v/>
      </c>
    </row>
    <row r="2945" spans="1:13" x14ac:dyDescent="0.15">
      <c r="A2945" s="163" t="s">
        <v>210</v>
      </c>
      <c r="B2945" s="163">
        <v>42352.635018587964</v>
      </c>
      <c r="C2945" s="164" t="s">
        <v>447</v>
      </c>
      <c r="D2945" s="164" t="s">
        <v>13</v>
      </c>
      <c r="E2945" s="165">
        <v>80</v>
      </c>
      <c r="F2945" s="166">
        <v>0</v>
      </c>
      <c r="G2945" s="227">
        <f>IF($B$2,IF(ROWS(B$6:$B2945) = 1,$B2945-Start_Date,$B2945-$B2944),"")</f>
        <v>1.9718761577678379E-2</v>
      </c>
      <c r="H2945" s="29">
        <f>IF($B$2,IF(ROWS(B$6:$B2945) = 1,IF(COUNTIFS(R_Schedule_Times,"&lt;"&amp;B2945),INDEX(R_Schedule_Amounts,MATCH(B2945,R_Schedule_Times,1)),Starting_Cash),IF(COUNTIFS(R_Schedule_Times,"&gt;"&amp;B2944,R_Schedule_Times,"&lt;"&amp;B2945),INDEX(R_Schedule_Amounts,MATCH(B2945,R_Schedule_Times,1)),K2944)),"")</f>
        <v>9400</v>
      </c>
      <c r="I2945" s="30">
        <f t="shared" si="225"/>
        <v>80</v>
      </c>
      <c r="J2945" s="31">
        <f t="shared" si="226"/>
        <v>0</v>
      </c>
      <c r="K2945" s="29">
        <f t="shared" si="227"/>
        <v>9320</v>
      </c>
      <c r="L2945" s="31" t="str">
        <f t="shared" si="228"/>
        <v/>
      </c>
      <c r="M2945" s="31" t="str">
        <f t="shared" si="229"/>
        <v/>
      </c>
    </row>
    <row r="2946" spans="1:13" x14ac:dyDescent="0.15">
      <c r="A2946" s="163" t="s">
        <v>210</v>
      </c>
      <c r="B2946" s="163">
        <v>42352.653618101853</v>
      </c>
      <c r="C2946" s="164" t="s">
        <v>2468</v>
      </c>
      <c r="D2946" s="164" t="s">
        <v>13</v>
      </c>
      <c r="E2946" s="165">
        <v>120</v>
      </c>
      <c r="F2946" s="166">
        <v>0</v>
      </c>
      <c r="G2946" s="227">
        <f>IF($B$2,IF(ROWS(B$6:$B2946) = 1,$B2946-Start_Date,$B2946-$B2945),"")</f>
        <v>1.8599513889057562E-2</v>
      </c>
      <c r="H2946" s="29">
        <f>IF($B$2,IF(ROWS(B$6:$B2946) = 1,IF(COUNTIFS(R_Schedule_Times,"&lt;"&amp;B2946),INDEX(R_Schedule_Amounts,MATCH(B2946,R_Schedule_Times,1)),Starting_Cash),IF(COUNTIFS(R_Schedule_Times,"&gt;"&amp;B2945,R_Schedule_Times,"&lt;"&amp;B2946),INDEX(R_Schedule_Amounts,MATCH(B2946,R_Schedule_Times,1)),K2945)),"")</f>
        <v>9320</v>
      </c>
      <c r="I2946" s="30">
        <f t="shared" si="225"/>
        <v>120</v>
      </c>
      <c r="J2946" s="31">
        <f t="shared" si="226"/>
        <v>0</v>
      </c>
      <c r="K2946" s="29">
        <f t="shared" si="227"/>
        <v>9200</v>
      </c>
      <c r="L2946" s="31" t="str">
        <f t="shared" si="228"/>
        <v/>
      </c>
      <c r="M2946" s="31" t="str">
        <f t="shared" si="229"/>
        <v/>
      </c>
    </row>
    <row r="2947" spans="1:13" x14ac:dyDescent="0.15">
      <c r="A2947" s="163" t="s">
        <v>210</v>
      </c>
      <c r="B2947" s="163">
        <v>42352.656983831017</v>
      </c>
      <c r="C2947" s="164" t="s">
        <v>521</v>
      </c>
      <c r="D2947" s="164" t="s">
        <v>13</v>
      </c>
      <c r="E2947" s="165">
        <v>40</v>
      </c>
      <c r="F2947" s="166">
        <v>0</v>
      </c>
      <c r="G2947" s="227">
        <f>IF($B$2,IF(ROWS(B$6:$B2947) = 1,$B2947-Start_Date,$B2947-$B2946),"")</f>
        <v>3.3657291642157361E-3</v>
      </c>
      <c r="H2947" s="29">
        <f>IF($B$2,IF(ROWS(B$6:$B2947) = 1,IF(COUNTIFS(R_Schedule_Times,"&lt;"&amp;B2947),INDEX(R_Schedule_Amounts,MATCH(B2947,R_Schedule_Times,1)),Starting_Cash),IF(COUNTIFS(R_Schedule_Times,"&gt;"&amp;B2946,R_Schedule_Times,"&lt;"&amp;B2947),INDEX(R_Schedule_Amounts,MATCH(B2947,R_Schedule_Times,1)),K2946)),"")</f>
        <v>9200</v>
      </c>
      <c r="I2947" s="30">
        <f t="shared" si="225"/>
        <v>40</v>
      </c>
      <c r="J2947" s="31">
        <f t="shared" si="226"/>
        <v>0</v>
      </c>
      <c r="K2947" s="29">
        <f t="shared" si="227"/>
        <v>9160</v>
      </c>
      <c r="L2947" s="31" t="str">
        <f t="shared" si="228"/>
        <v/>
      </c>
      <c r="M2947" s="31" t="str">
        <f t="shared" si="229"/>
        <v/>
      </c>
    </row>
    <row r="2948" spans="1:13" x14ac:dyDescent="0.15">
      <c r="A2948" s="163" t="s">
        <v>210</v>
      </c>
      <c r="B2948" s="163">
        <v>42352.673275682871</v>
      </c>
      <c r="C2948" s="164" t="s">
        <v>2469</v>
      </c>
      <c r="D2948" s="164" t="s">
        <v>13</v>
      </c>
      <c r="E2948" s="165">
        <v>100</v>
      </c>
      <c r="F2948" s="166">
        <v>0</v>
      </c>
      <c r="G2948" s="227">
        <f>IF($B$2,IF(ROWS(B$6:$B2948) = 1,$B2948-Start_Date,$B2948-$B2947),"")</f>
        <v>1.6291851854475681E-2</v>
      </c>
      <c r="H2948" s="29">
        <f>IF($B$2,IF(ROWS(B$6:$B2948) = 1,IF(COUNTIFS(R_Schedule_Times,"&lt;"&amp;B2948),INDEX(R_Schedule_Amounts,MATCH(B2948,R_Schedule_Times,1)),Starting_Cash),IF(COUNTIFS(R_Schedule_Times,"&gt;"&amp;B2947,R_Schedule_Times,"&lt;"&amp;B2948),INDEX(R_Schedule_Amounts,MATCH(B2948,R_Schedule_Times,1)),K2947)),"")</f>
        <v>9160</v>
      </c>
      <c r="I2948" s="30">
        <f t="shared" si="225"/>
        <v>100</v>
      </c>
      <c r="J2948" s="31">
        <f t="shared" si="226"/>
        <v>0</v>
      </c>
      <c r="K2948" s="29">
        <f t="shared" si="227"/>
        <v>9060</v>
      </c>
      <c r="L2948" s="31" t="str">
        <f t="shared" si="228"/>
        <v/>
      </c>
      <c r="M2948" s="31" t="str">
        <f t="shared" si="229"/>
        <v/>
      </c>
    </row>
    <row r="2949" spans="1:13" x14ac:dyDescent="0.15">
      <c r="A2949" s="163" t="s">
        <v>210</v>
      </c>
      <c r="B2949" s="163">
        <v>42352.676304363427</v>
      </c>
      <c r="C2949" s="164" t="s">
        <v>505</v>
      </c>
      <c r="D2949" s="164" t="s">
        <v>13</v>
      </c>
      <c r="E2949" s="165">
        <v>40</v>
      </c>
      <c r="F2949" s="166">
        <v>0</v>
      </c>
      <c r="G2949" s="227">
        <f>IF($B$2,IF(ROWS(B$6:$B2949) = 1,$B2949-Start_Date,$B2949-$B2948),"")</f>
        <v>3.0286805558716878E-3</v>
      </c>
      <c r="H2949" s="29">
        <f>IF($B$2,IF(ROWS(B$6:$B2949) = 1,IF(COUNTIFS(R_Schedule_Times,"&lt;"&amp;B2949),INDEX(R_Schedule_Amounts,MATCH(B2949,R_Schedule_Times,1)),Starting_Cash),IF(COUNTIFS(R_Schedule_Times,"&gt;"&amp;B2948,R_Schedule_Times,"&lt;"&amp;B2949),INDEX(R_Schedule_Amounts,MATCH(B2949,R_Schedule_Times,1)),K2948)),"")</f>
        <v>9060</v>
      </c>
      <c r="I2949" s="30">
        <f t="shared" si="225"/>
        <v>40</v>
      </c>
      <c r="J2949" s="31">
        <f t="shared" si="226"/>
        <v>0</v>
      </c>
      <c r="K2949" s="29">
        <f t="shared" si="227"/>
        <v>9020</v>
      </c>
      <c r="L2949" s="31" t="str">
        <f t="shared" si="228"/>
        <v/>
      </c>
      <c r="M2949" s="31" t="str">
        <f t="shared" si="229"/>
        <v/>
      </c>
    </row>
    <row r="2950" spans="1:13" x14ac:dyDescent="0.15">
      <c r="A2950" s="163" t="s">
        <v>210</v>
      </c>
      <c r="B2950" s="163">
        <v>42352.681608587962</v>
      </c>
      <c r="C2950" s="164" t="s">
        <v>14</v>
      </c>
      <c r="D2950" s="164" t="s">
        <v>15</v>
      </c>
      <c r="E2950" s="165">
        <v>100</v>
      </c>
      <c r="F2950" s="166">
        <v>5.5</v>
      </c>
      <c r="G2950" s="227">
        <f>IF($B$2,IF(ROWS(B$6:$B2950) = 1,$B2950-Start_Date,$B2950-$B2949),"")</f>
        <v>5.3042245344840921E-3</v>
      </c>
      <c r="H2950" s="29">
        <f>IF($B$2,IF(ROWS(B$6:$B2950) = 1,IF(COUNTIFS(R_Schedule_Times,"&lt;"&amp;B2950),INDEX(R_Schedule_Amounts,MATCH(B2950,R_Schedule_Times,1)),Starting_Cash),IF(COUNTIFS(R_Schedule_Times,"&gt;"&amp;B2949,R_Schedule_Times,"&lt;"&amp;B2950),INDEX(R_Schedule_Amounts,MATCH(B2950,R_Schedule_Times,1)),K2949)),"")</f>
        <v>9020</v>
      </c>
      <c r="I2950" s="30">
        <f t="shared" si="225"/>
        <v>100</v>
      </c>
      <c r="J2950" s="31">
        <f t="shared" si="226"/>
        <v>5.5</v>
      </c>
      <c r="K2950" s="29">
        <f t="shared" si="227"/>
        <v>8920</v>
      </c>
      <c r="L2950" s="31" t="str">
        <f t="shared" si="228"/>
        <v/>
      </c>
      <c r="M2950" s="31" t="str">
        <f t="shared" si="229"/>
        <v/>
      </c>
    </row>
    <row r="2951" spans="1:13" x14ac:dyDescent="0.15">
      <c r="A2951" s="163" t="s">
        <v>210</v>
      </c>
      <c r="B2951" s="163">
        <v>42352.690423773151</v>
      </c>
      <c r="C2951" s="164" t="s">
        <v>522</v>
      </c>
      <c r="D2951" s="164" t="s">
        <v>13</v>
      </c>
      <c r="E2951" s="165">
        <v>200</v>
      </c>
      <c r="F2951" s="166">
        <v>0</v>
      </c>
      <c r="G2951" s="227">
        <f>IF($B$2,IF(ROWS(B$6:$B2951) = 1,$B2951-Start_Date,$B2951-$B2950),"")</f>
        <v>8.8151851887232624E-3</v>
      </c>
      <c r="H2951" s="29">
        <f>IF($B$2,IF(ROWS(B$6:$B2951) = 1,IF(COUNTIFS(R_Schedule_Times,"&lt;"&amp;B2951),INDEX(R_Schedule_Amounts,MATCH(B2951,R_Schedule_Times,1)),Starting_Cash),IF(COUNTIFS(R_Schedule_Times,"&gt;"&amp;B2950,R_Schedule_Times,"&lt;"&amp;B2951),INDEX(R_Schedule_Amounts,MATCH(B2951,R_Schedule_Times,1)),K2950)),"")</f>
        <v>8920</v>
      </c>
      <c r="I2951" s="30">
        <f t="shared" ref="I2951:I3014" si="230">IF($B$2,IF(H2951&gt;=E2951,E2951,0),"")</f>
        <v>200</v>
      </c>
      <c r="J2951" s="31">
        <f t="shared" ref="J2951:J3014" si="231">IF($B$2,IF(H2951&gt;=E2951,F2951,0),"")</f>
        <v>0</v>
      </c>
      <c r="K2951" s="29">
        <f t="shared" ref="K2951:K3014" si="232">IF($B$2,ABS(I2951-H2951),"")</f>
        <v>8720</v>
      </c>
      <c r="L2951" s="31" t="str">
        <f t="shared" ref="L2951:L3014" si="233">IF($B$2,IF(H2951&lt;E2951,"YES",""),"")</f>
        <v/>
      </c>
      <c r="M2951" s="31" t="str">
        <f t="shared" ref="M2951:M3014" si="234">IF($B$2,IF(L2951="YES",F2951,""),"")</f>
        <v/>
      </c>
    </row>
    <row r="2952" spans="1:13" x14ac:dyDescent="0.15">
      <c r="A2952" s="163" t="s">
        <v>210</v>
      </c>
      <c r="B2952" s="163">
        <v>42352.730079120367</v>
      </c>
      <c r="C2952" s="164" t="s">
        <v>2470</v>
      </c>
      <c r="D2952" s="164" t="s">
        <v>13</v>
      </c>
      <c r="E2952" s="165">
        <v>200</v>
      </c>
      <c r="F2952" s="166">
        <v>0</v>
      </c>
      <c r="G2952" s="227">
        <f>IF($B$2,IF(ROWS(B$6:$B2952) = 1,$B2952-Start_Date,$B2952-$B2951),"")</f>
        <v>3.9655347216466907E-2</v>
      </c>
      <c r="H2952" s="29">
        <f>IF($B$2,IF(ROWS(B$6:$B2952) = 1,IF(COUNTIFS(R_Schedule_Times,"&lt;"&amp;B2952),INDEX(R_Schedule_Amounts,MATCH(B2952,R_Schedule_Times,1)),Starting_Cash),IF(COUNTIFS(R_Schedule_Times,"&gt;"&amp;B2951,R_Schedule_Times,"&lt;"&amp;B2952),INDEX(R_Schedule_Amounts,MATCH(B2952,R_Schedule_Times,1)),K2951)),"")</f>
        <v>8720</v>
      </c>
      <c r="I2952" s="30">
        <f t="shared" si="230"/>
        <v>200</v>
      </c>
      <c r="J2952" s="31">
        <f t="shared" si="231"/>
        <v>0</v>
      </c>
      <c r="K2952" s="29">
        <f t="shared" si="232"/>
        <v>8520</v>
      </c>
      <c r="L2952" s="31" t="str">
        <f t="shared" si="233"/>
        <v/>
      </c>
      <c r="M2952" s="31" t="str">
        <f t="shared" si="234"/>
        <v/>
      </c>
    </row>
    <row r="2953" spans="1:13" x14ac:dyDescent="0.15">
      <c r="A2953" s="163" t="s">
        <v>210</v>
      </c>
      <c r="B2953" s="163">
        <v>42352.732368576391</v>
      </c>
      <c r="C2953" s="164" t="s">
        <v>2260</v>
      </c>
      <c r="D2953" s="164" t="s">
        <v>13</v>
      </c>
      <c r="E2953" s="165">
        <v>40</v>
      </c>
      <c r="F2953" s="166">
        <v>0</v>
      </c>
      <c r="G2953" s="227">
        <f>IF($B$2,IF(ROWS(B$6:$B2953) = 1,$B2953-Start_Date,$B2953-$B2952),"")</f>
        <v>2.289456024300307E-3</v>
      </c>
      <c r="H2953" s="29">
        <f>IF($B$2,IF(ROWS(B$6:$B2953) = 1,IF(COUNTIFS(R_Schedule_Times,"&lt;"&amp;B2953),INDEX(R_Schedule_Amounts,MATCH(B2953,R_Schedule_Times,1)),Starting_Cash),IF(COUNTIFS(R_Schedule_Times,"&gt;"&amp;B2952,R_Schedule_Times,"&lt;"&amp;B2953),INDEX(R_Schedule_Amounts,MATCH(B2953,R_Schedule_Times,1)),K2952)),"")</f>
        <v>8520</v>
      </c>
      <c r="I2953" s="30">
        <f t="shared" si="230"/>
        <v>40</v>
      </c>
      <c r="J2953" s="31">
        <f t="shared" si="231"/>
        <v>0</v>
      </c>
      <c r="K2953" s="29">
        <f t="shared" si="232"/>
        <v>8480</v>
      </c>
      <c r="L2953" s="31" t="str">
        <f t="shared" si="233"/>
        <v/>
      </c>
      <c r="M2953" s="31" t="str">
        <f t="shared" si="234"/>
        <v/>
      </c>
    </row>
    <row r="2954" spans="1:13" x14ac:dyDescent="0.15">
      <c r="A2954" s="163" t="s">
        <v>210</v>
      </c>
      <c r="B2954" s="163">
        <v>42352.740090706022</v>
      </c>
      <c r="C2954" s="164" t="s">
        <v>2471</v>
      </c>
      <c r="D2954" s="164" t="s">
        <v>13</v>
      </c>
      <c r="E2954" s="165">
        <v>60</v>
      </c>
      <c r="F2954" s="166">
        <v>0</v>
      </c>
      <c r="G2954" s="227">
        <f>IF($B$2,IF(ROWS(B$6:$B2954) = 1,$B2954-Start_Date,$B2954-$B2953),"")</f>
        <v>7.7221296305651776E-3</v>
      </c>
      <c r="H2954" s="29">
        <f>IF($B$2,IF(ROWS(B$6:$B2954) = 1,IF(COUNTIFS(R_Schedule_Times,"&lt;"&amp;B2954),INDEX(R_Schedule_Amounts,MATCH(B2954,R_Schedule_Times,1)),Starting_Cash),IF(COUNTIFS(R_Schedule_Times,"&gt;"&amp;B2953,R_Schedule_Times,"&lt;"&amp;B2954),INDEX(R_Schedule_Amounts,MATCH(B2954,R_Schedule_Times,1)),K2953)),"")</f>
        <v>8480</v>
      </c>
      <c r="I2954" s="30">
        <f t="shared" si="230"/>
        <v>60</v>
      </c>
      <c r="J2954" s="31">
        <f t="shared" si="231"/>
        <v>0</v>
      </c>
      <c r="K2954" s="29">
        <f t="shared" si="232"/>
        <v>8420</v>
      </c>
      <c r="L2954" s="31" t="str">
        <f t="shared" si="233"/>
        <v/>
      </c>
      <c r="M2954" s="31" t="str">
        <f t="shared" si="234"/>
        <v/>
      </c>
    </row>
    <row r="2955" spans="1:13" x14ac:dyDescent="0.15">
      <c r="A2955" s="163" t="s">
        <v>210</v>
      </c>
      <c r="B2955" s="163">
        <v>42352.750636423611</v>
      </c>
      <c r="C2955" s="164" t="s">
        <v>2472</v>
      </c>
      <c r="D2955" s="164" t="s">
        <v>13</v>
      </c>
      <c r="E2955" s="165">
        <v>40</v>
      </c>
      <c r="F2955" s="166">
        <v>0</v>
      </c>
      <c r="G2955" s="227">
        <f>IF($B$2,IF(ROWS(B$6:$B2955) = 1,$B2955-Start_Date,$B2955-$B2954),"")</f>
        <v>1.0545717588684056E-2</v>
      </c>
      <c r="H2955" s="29">
        <f>IF($B$2,IF(ROWS(B$6:$B2955) = 1,IF(COUNTIFS(R_Schedule_Times,"&lt;"&amp;B2955),INDEX(R_Schedule_Amounts,MATCH(B2955,R_Schedule_Times,1)),Starting_Cash),IF(COUNTIFS(R_Schedule_Times,"&gt;"&amp;B2954,R_Schedule_Times,"&lt;"&amp;B2955),INDEX(R_Schedule_Amounts,MATCH(B2955,R_Schedule_Times,1)),K2954)),"")</f>
        <v>8420</v>
      </c>
      <c r="I2955" s="30">
        <f t="shared" si="230"/>
        <v>40</v>
      </c>
      <c r="J2955" s="31">
        <f t="shared" si="231"/>
        <v>0</v>
      </c>
      <c r="K2955" s="29">
        <f t="shared" si="232"/>
        <v>8380</v>
      </c>
      <c r="L2955" s="31" t="str">
        <f t="shared" si="233"/>
        <v/>
      </c>
      <c r="M2955" s="31" t="str">
        <f t="shared" si="234"/>
        <v/>
      </c>
    </row>
    <row r="2956" spans="1:13" x14ac:dyDescent="0.15">
      <c r="A2956" s="163" t="s">
        <v>210</v>
      </c>
      <c r="B2956" s="163">
        <v>42352.75121707176</v>
      </c>
      <c r="C2956" s="164" t="s">
        <v>2473</v>
      </c>
      <c r="D2956" s="164" t="s">
        <v>13</v>
      </c>
      <c r="E2956" s="165">
        <v>40</v>
      </c>
      <c r="F2956" s="166">
        <v>0</v>
      </c>
      <c r="G2956" s="227">
        <f>IF($B$2,IF(ROWS(B$6:$B2956) = 1,$B2956-Start_Date,$B2956-$B2955),"")</f>
        <v>5.806481494801119E-4</v>
      </c>
      <c r="H2956" s="29">
        <f>IF($B$2,IF(ROWS(B$6:$B2956) = 1,IF(COUNTIFS(R_Schedule_Times,"&lt;"&amp;B2956),INDEX(R_Schedule_Amounts,MATCH(B2956,R_Schedule_Times,1)),Starting_Cash),IF(COUNTIFS(R_Schedule_Times,"&gt;"&amp;B2955,R_Schedule_Times,"&lt;"&amp;B2956),INDEX(R_Schedule_Amounts,MATCH(B2956,R_Schedule_Times,1)),K2955)),"")</f>
        <v>8380</v>
      </c>
      <c r="I2956" s="30">
        <f t="shared" si="230"/>
        <v>40</v>
      </c>
      <c r="J2956" s="31">
        <f t="shared" si="231"/>
        <v>0</v>
      </c>
      <c r="K2956" s="29">
        <f t="shared" si="232"/>
        <v>8340</v>
      </c>
      <c r="L2956" s="31" t="str">
        <f t="shared" si="233"/>
        <v/>
      </c>
      <c r="M2956" s="31" t="str">
        <f t="shared" si="234"/>
        <v/>
      </c>
    </row>
    <row r="2957" spans="1:13" x14ac:dyDescent="0.15">
      <c r="A2957" s="163" t="s">
        <v>210</v>
      </c>
      <c r="B2957" s="163">
        <v>42352.756100625003</v>
      </c>
      <c r="C2957" s="164" t="s">
        <v>166</v>
      </c>
      <c r="D2957" s="164" t="s">
        <v>13</v>
      </c>
      <c r="E2957" s="165">
        <v>100</v>
      </c>
      <c r="F2957" s="166">
        <v>0</v>
      </c>
      <c r="G2957" s="227">
        <f>IF($B$2,IF(ROWS(B$6:$B2957) = 1,$B2957-Start_Date,$B2957-$B2956),"")</f>
        <v>4.8835532434168272E-3</v>
      </c>
      <c r="H2957" s="29">
        <f>IF($B$2,IF(ROWS(B$6:$B2957) = 1,IF(COUNTIFS(R_Schedule_Times,"&lt;"&amp;B2957),INDEX(R_Schedule_Amounts,MATCH(B2957,R_Schedule_Times,1)),Starting_Cash),IF(COUNTIFS(R_Schedule_Times,"&gt;"&amp;B2956,R_Schedule_Times,"&lt;"&amp;B2957),INDEX(R_Schedule_Amounts,MATCH(B2957,R_Schedule_Times,1)),K2956)),"")</f>
        <v>8340</v>
      </c>
      <c r="I2957" s="30">
        <f t="shared" si="230"/>
        <v>100</v>
      </c>
      <c r="J2957" s="31">
        <f t="shared" si="231"/>
        <v>0</v>
      </c>
      <c r="K2957" s="29">
        <f t="shared" si="232"/>
        <v>8240</v>
      </c>
      <c r="L2957" s="31" t="str">
        <f t="shared" si="233"/>
        <v/>
      </c>
      <c r="M2957" s="31" t="str">
        <f t="shared" si="234"/>
        <v/>
      </c>
    </row>
    <row r="2958" spans="1:13" x14ac:dyDescent="0.15">
      <c r="A2958" s="163" t="s">
        <v>210</v>
      </c>
      <c r="B2958" s="163">
        <v>42352.763586562498</v>
      </c>
      <c r="C2958" s="164" t="s">
        <v>14</v>
      </c>
      <c r="D2958" s="164" t="s">
        <v>13</v>
      </c>
      <c r="E2958" s="165">
        <v>40</v>
      </c>
      <c r="F2958" s="166">
        <v>3.5</v>
      </c>
      <c r="G2958" s="227">
        <f>IF($B$2,IF(ROWS(B$6:$B2958) = 1,$B2958-Start_Date,$B2958-$B2957),"")</f>
        <v>7.4859374944935553E-3</v>
      </c>
      <c r="H2958" s="29">
        <f>IF($B$2,IF(ROWS(B$6:$B2958) = 1,IF(COUNTIFS(R_Schedule_Times,"&lt;"&amp;B2958),INDEX(R_Schedule_Amounts,MATCH(B2958,R_Schedule_Times,1)),Starting_Cash),IF(COUNTIFS(R_Schedule_Times,"&gt;"&amp;B2957,R_Schedule_Times,"&lt;"&amp;B2958),INDEX(R_Schedule_Amounts,MATCH(B2958,R_Schedule_Times,1)),K2957)),"")</f>
        <v>8240</v>
      </c>
      <c r="I2958" s="30">
        <f t="shared" si="230"/>
        <v>40</v>
      </c>
      <c r="J2958" s="31">
        <f t="shared" si="231"/>
        <v>3.5</v>
      </c>
      <c r="K2958" s="29">
        <f t="shared" si="232"/>
        <v>8200</v>
      </c>
      <c r="L2958" s="31" t="str">
        <f t="shared" si="233"/>
        <v/>
      </c>
      <c r="M2958" s="31" t="str">
        <f t="shared" si="234"/>
        <v/>
      </c>
    </row>
    <row r="2959" spans="1:13" x14ac:dyDescent="0.15">
      <c r="A2959" s="163" t="s">
        <v>210</v>
      </c>
      <c r="B2959" s="163">
        <v>42352.764655115738</v>
      </c>
      <c r="C2959" s="164" t="s">
        <v>14</v>
      </c>
      <c r="D2959" s="164" t="s">
        <v>13</v>
      </c>
      <c r="E2959" s="165">
        <v>100</v>
      </c>
      <c r="F2959" s="166">
        <v>3.5</v>
      </c>
      <c r="G2959" s="227">
        <f>IF($B$2,IF(ROWS(B$6:$B2959) = 1,$B2959-Start_Date,$B2959-$B2958),"")</f>
        <v>1.0685532397474162E-3</v>
      </c>
      <c r="H2959" s="29">
        <f>IF($B$2,IF(ROWS(B$6:$B2959) = 1,IF(COUNTIFS(R_Schedule_Times,"&lt;"&amp;B2959),INDEX(R_Schedule_Amounts,MATCH(B2959,R_Schedule_Times,1)),Starting_Cash),IF(COUNTIFS(R_Schedule_Times,"&gt;"&amp;B2958,R_Schedule_Times,"&lt;"&amp;B2959),INDEX(R_Schedule_Amounts,MATCH(B2959,R_Schedule_Times,1)),K2958)),"")</f>
        <v>8200</v>
      </c>
      <c r="I2959" s="30">
        <f t="shared" si="230"/>
        <v>100</v>
      </c>
      <c r="J2959" s="31">
        <f t="shared" si="231"/>
        <v>3.5</v>
      </c>
      <c r="K2959" s="29">
        <f t="shared" si="232"/>
        <v>8100</v>
      </c>
      <c r="L2959" s="31" t="str">
        <f t="shared" si="233"/>
        <v/>
      </c>
      <c r="M2959" s="31" t="str">
        <f t="shared" si="234"/>
        <v/>
      </c>
    </row>
    <row r="2960" spans="1:13" x14ac:dyDescent="0.15">
      <c r="A2960" s="163" t="s">
        <v>210</v>
      </c>
      <c r="B2960" s="163">
        <v>42352.778577187499</v>
      </c>
      <c r="C2960" s="164" t="s">
        <v>966</v>
      </c>
      <c r="D2960" s="164" t="s">
        <v>13</v>
      </c>
      <c r="E2960" s="165">
        <v>100</v>
      </c>
      <c r="F2960" s="166">
        <v>0</v>
      </c>
      <c r="G2960" s="227">
        <f>IF($B$2,IF(ROWS(B$6:$B2960) = 1,$B2960-Start_Date,$B2960-$B2959),"")</f>
        <v>1.3922071761044208E-2</v>
      </c>
      <c r="H2960" s="29">
        <f>IF($B$2,IF(ROWS(B$6:$B2960) = 1,IF(COUNTIFS(R_Schedule_Times,"&lt;"&amp;B2960),INDEX(R_Schedule_Amounts,MATCH(B2960,R_Schedule_Times,1)),Starting_Cash),IF(COUNTIFS(R_Schedule_Times,"&gt;"&amp;B2959,R_Schedule_Times,"&lt;"&amp;B2960),INDEX(R_Schedule_Amounts,MATCH(B2960,R_Schedule_Times,1)),K2959)),"")</f>
        <v>8100</v>
      </c>
      <c r="I2960" s="30">
        <f t="shared" si="230"/>
        <v>100</v>
      </c>
      <c r="J2960" s="31">
        <f t="shared" si="231"/>
        <v>0</v>
      </c>
      <c r="K2960" s="29">
        <f t="shared" si="232"/>
        <v>8000</v>
      </c>
      <c r="L2960" s="31" t="str">
        <f t="shared" si="233"/>
        <v/>
      </c>
      <c r="M2960" s="31" t="str">
        <f t="shared" si="234"/>
        <v/>
      </c>
    </row>
    <row r="2961" spans="1:13" x14ac:dyDescent="0.15">
      <c r="A2961" s="163" t="s">
        <v>210</v>
      </c>
      <c r="B2961" s="163">
        <v>42352.779304224539</v>
      </c>
      <c r="C2961" s="164" t="s">
        <v>14</v>
      </c>
      <c r="D2961" s="164" t="s">
        <v>13</v>
      </c>
      <c r="E2961" s="165">
        <v>120</v>
      </c>
      <c r="F2961" s="166">
        <v>3.5</v>
      </c>
      <c r="G2961" s="227">
        <f>IF($B$2,IF(ROWS(B$6:$B2961) = 1,$B2961-Start_Date,$B2961-$B2960),"")</f>
        <v>7.2703704063314945E-4</v>
      </c>
      <c r="H2961" s="29">
        <f>IF($B$2,IF(ROWS(B$6:$B2961) = 1,IF(COUNTIFS(R_Schedule_Times,"&lt;"&amp;B2961),INDEX(R_Schedule_Amounts,MATCH(B2961,R_Schedule_Times,1)),Starting_Cash),IF(COUNTIFS(R_Schedule_Times,"&gt;"&amp;B2960,R_Schedule_Times,"&lt;"&amp;B2961),INDEX(R_Schedule_Amounts,MATCH(B2961,R_Schedule_Times,1)),K2960)),"")</f>
        <v>8000</v>
      </c>
      <c r="I2961" s="30">
        <f t="shared" si="230"/>
        <v>120</v>
      </c>
      <c r="J2961" s="31">
        <f t="shared" si="231"/>
        <v>3.5</v>
      </c>
      <c r="K2961" s="29">
        <f t="shared" si="232"/>
        <v>7880</v>
      </c>
      <c r="L2961" s="31" t="str">
        <f t="shared" si="233"/>
        <v/>
      </c>
      <c r="M2961" s="31" t="str">
        <f t="shared" si="234"/>
        <v/>
      </c>
    </row>
    <row r="2962" spans="1:13" x14ac:dyDescent="0.15">
      <c r="A2962" s="163" t="s">
        <v>210</v>
      </c>
      <c r="B2962" s="163">
        <v>42352.816009525464</v>
      </c>
      <c r="C2962" s="164" t="s">
        <v>2474</v>
      </c>
      <c r="D2962" s="164" t="s">
        <v>13</v>
      </c>
      <c r="E2962" s="165">
        <v>40</v>
      </c>
      <c r="F2962" s="166">
        <v>0</v>
      </c>
      <c r="G2962" s="227">
        <f>IF($B$2,IF(ROWS(B$6:$B2962) = 1,$B2962-Start_Date,$B2962-$B2961),"")</f>
        <v>3.6705300924950279E-2</v>
      </c>
      <c r="H2962" s="29">
        <f>IF($B$2,IF(ROWS(B$6:$B2962) = 1,IF(COUNTIFS(R_Schedule_Times,"&lt;"&amp;B2962),INDEX(R_Schedule_Amounts,MATCH(B2962,R_Schedule_Times,1)),Starting_Cash),IF(COUNTIFS(R_Schedule_Times,"&gt;"&amp;B2961,R_Schedule_Times,"&lt;"&amp;B2962),INDEX(R_Schedule_Amounts,MATCH(B2962,R_Schedule_Times,1)),K2961)),"")</f>
        <v>7880</v>
      </c>
      <c r="I2962" s="30">
        <f t="shared" si="230"/>
        <v>40</v>
      </c>
      <c r="J2962" s="31">
        <f t="shared" si="231"/>
        <v>0</v>
      </c>
      <c r="K2962" s="29">
        <f t="shared" si="232"/>
        <v>7840</v>
      </c>
      <c r="L2962" s="31" t="str">
        <f t="shared" si="233"/>
        <v/>
      </c>
      <c r="M2962" s="31" t="str">
        <f t="shared" si="234"/>
        <v/>
      </c>
    </row>
    <row r="2963" spans="1:13" x14ac:dyDescent="0.15">
      <c r="A2963" s="163" t="s">
        <v>210</v>
      </c>
      <c r="B2963" s="163">
        <v>42352.81964371528</v>
      </c>
      <c r="C2963" s="164" t="s">
        <v>2475</v>
      </c>
      <c r="D2963" s="164" t="s">
        <v>13</v>
      </c>
      <c r="E2963" s="165">
        <v>40</v>
      </c>
      <c r="F2963" s="166">
        <v>0</v>
      </c>
      <c r="G2963" s="227">
        <f>IF($B$2,IF(ROWS(B$6:$B2963) = 1,$B2963-Start_Date,$B2963-$B2962),"")</f>
        <v>3.6341898157843389E-3</v>
      </c>
      <c r="H2963" s="29">
        <f>IF($B$2,IF(ROWS(B$6:$B2963) = 1,IF(COUNTIFS(R_Schedule_Times,"&lt;"&amp;B2963),INDEX(R_Schedule_Amounts,MATCH(B2963,R_Schedule_Times,1)),Starting_Cash),IF(COUNTIFS(R_Schedule_Times,"&gt;"&amp;B2962,R_Schedule_Times,"&lt;"&amp;B2963),INDEX(R_Schedule_Amounts,MATCH(B2963,R_Schedule_Times,1)),K2962)),"")</f>
        <v>7840</v>
      </c>
      <c r="I2963" s="30">
        <f t="shared" si="230"/>
        <v>40</v>
      </c>
      <c r="J2963" s="31">
        <f t="shared" si="231"/>
        <v>0</v>
      </c>
      <c r="K2963" s="29">
        <f t="shared" si="232"/>
        <v>7800</v>
      </c>
      <c r="L2963" s="31" t="str">
        <f t="shared" si="233"/>
        <v/>
      </c>
      <c r="M2963" s="31" t="str">
        <f t="shared" si="234"/>
        <v/>
      </c>
    </row>
    <row r="2964" spans="1:13" x14ac:dyDescent="0.15">
      <c r="A2964" s="163" t="s">
        <v>210</v>
      </c>
      <c r="B2964" s="163">
        <v>42352.824127372682</v>
      </c>
      <c r="C2964" s="164" t="s">
        <v>2476</v>
      </c>
      <c r="D2964" s="164" t="s">
        <v>13</v>
      </c>
      <c r="E2964" s="165">
        <v>400</v>
      </c>
      <c r="F2964" s="166">
        <v>0</v>
      </c>
      <c r="G2964" s="227">
        <f>IF($B$2,IF(ROWS(B$6:$B2964) = 1,$B2964-Start_Date,$B2964-$B2963),"")</f>
        <v>4.4836574015789665E-3</v>
      </c>
      <c r="H2964" s="29">
        <f>IF($B$2,IF(ROWS(B$6:$B2964) = 1,IF(COUNTIFS(R_Schedule_Times,"&lt;"&amp;B2964),INDEX(R_Schedule_Amounts,MATCH(B2964,R_Schedule_Times,1)),Starting_Cash),IF(COUNTIFS(R_Schedule_Times,"&gt;"&amp;B2963,R_Schedule_Times,"&lt;"&amp;B2964),INDEX(R_Schedule_Amounts,MATCH(B2964,R_Schedule_Times,1)),K2963)),"")</f>
        <v>7800</v>
      </c>
      <c r="I2964" s="30">
        <f t="shared" si="230"/>
        <v>400</v>
      </c>
      <c r="J2964" s="31">
        <f t="shared" si="231"/>
        <v>0</v>
      </c>
      <c r="K2964" s="29">
        <f t="shared" si="232"/>
        <v>7400</v>
      </c>
      <c r="L2964" s="31" t="str">
        <f t="shared" si="233"/>
        <v/>
      </c>
      <c r="M2964" s="31" t="str">
        <f t="shared" si="234"/>
        <v/>
      </c>
    </row>
    <row r="2965" spans="1:13" x14ac:dyDescent="0.15">
      <c r="A2965" s="163" t="s">
        <v>210</v>
      </c>
      <c r="B2965" s="163">
        <v>42352.943265902781</v>
      </c>
      <c r="C2965" s="164" t="s">
        <v>2477</v>
      </c>
      <c r="D2965" s="164" t="s">
        <v>13</v>
      </c>
      <c r="E2965" s="165">
        <v>80</v>
      </c>
      <c r="F2965" s="166">
        <v>0</v>
      </c>
      <c r="G2965" s="227">
        <f>IF($B$2,IF(ROWS(B$6:$B2965) = 1,$B2965-Start_Date,$B2965-$B2964),"")</f>
        <v>0.11913853009900777</v>
      </c>
      <c r="H2965" s="29">
        <f>IF($B$2,IF(ROWS(B$6:$B2965) = 1,IF(COUNTIFS(R_Schedule_Times,"&lt;"&amp;B2965),INDEX(R_Schedule_Amounts,MATCH(B2965,R_Schedule_Times,1)),Starting_Cash),IF(COUNTIFS(R_Schedule_Times,"&gt;"&amp;B2964,R_Schedule_Times,"&lt;"&amp;B2965),INDEX(R_Schedule_Amounts,MATCH(B2965,R_Schedule_Times,1)),K2964)),"")</f>
        <v>7400</v>
      </c>
      <c r="I2965" s="30">
        <f t="shared" si="230"/>
        <v>80</v>
      </c>
      <c r="J2965" s="31">
        <f t="shared" si="231"/>
        <v>0</v>
      </c>
      <c r="K2965" s="29">
        <f t="shared" si="232"/>
        <v>7320</v>
      </c>
      <c r="L2965" s="31" t="str">
        <f t="shared" si="233"/>
        <v/>
      </c>
      <c r="M2965" s="31" t="str">
        <f t="shared" si="234"/>
        <v/>
      </c>
    </row>
    <row r="2966" spans="1:13" x14ac:dyDescent="0.15">
      <c r="A2966" s="163" t="s">
        <v>210</v>
      </c>
      <c r="B2966" s="163">
        <v>42352.984597905095</v>
      </c>
      <c r="C2966" s="164" t="s">
        <v>2478</v>
      </c>
      <c r="D2966" s="164" t="s">
        <v>13</v>
      </c>
      <c r="E2966" s="165">
        <v>40</v>
      </c>
      <c r="F2966" s="166">
        <v>0</v>
      </c>
      <c r="G2966" s="227">
        <f>IF($B$2,IF(ROWS(B$6:$B2966) = 1,$B2966-Start_Date,$B2966-$B2965),"")</f>
        <v>4.1332002314447891E-2</v>
      </c>
      <c r="H2966" s="29">
        <f>IF($B$2,IF(ROWS(B$6:$B2966) = 1,IF(COUNTIFS(R_Schedule_Times,"&lt;"&amp;B2966),INDEX(R_Schedule_Amounts,MATCH(B2966,R_Schedule_Times,1)),Starting_Cash),IF(COUNTIFS(R_Schedule_Times,"&gt;"&amp;B2965,R_Schedule_Times,"&lt;"&amp;B2966),INDEX(R_Schedule_Amounts,MATCH(B2966,R_Schedule_Times,1)),K2965)),"")</f>
        <v>7320</v>
      </c>
      <c r="I2966" s="30">
        <f t="shared" si="230"/>
        <v>40</v>
      </c>
      <c r="J2966" s="31">
        <f t="shared" si="231"/>
        <v>0</v>
      </c>
      <c r="K2966" s="29">
        <f t="shared" si="232"/>
        <v>7280</v>
      </c>
      <c r="L2966" s="31" t="str">
        <f t="shared" si="233"/>
        <v/>
      </c>
      <c r="M2966" s="31" t="str">
        <f t="shared" si="234"/>
        <v/>
      </c>
    </row>
    <row r="2967" spans="1:13" x14ac:dyDescent="0.15">
      <c r="A2967" s="163" t="s">
        <v>210</v>
      </c>
      <c r="B2967" s="163">
        <v>42353.290935347221</v>
      </c>
      <c r="C2967" s="164" t="s">
        <v>2479</v>
      </c>
      <c r="D2967" s="164" t="s">
        <v>15</v>
      </c>
      <c r="E2967" s="165">
        <v>120</v>
      </c>
      <c r="F2967" s="166">
        <v>3.6</v>
      </c>
      <c r="G2967" s="227">
        <f>IF($B$2,IF(ROWS(B$6:$B2967) = 1,$B2967-Start_Date,$B2967-$B2966),"")</f>
        <v>0.3063374421253684</v>
      </c>
      <c r="H2967" s="29">
        <f>IF($B$2,IF(ROWS(B$6:$B2967) = 1,IF(COUNTIFS(R_Schedule_Times,"&lt;"&amp;B2967),INDEX(R_Schedule_Amounts,MATCH(B2967,R_Schedule_Times,1)),Starting_Cash),IF(COUNTIFS(R_Schedule_Times,"&gt;"&amp;B2966,R_Schedule_Times,"&lt;"&amp;B2967),INDEX(R_Schedule_Amounts,MATCH(B2967,R_Schedule_Times,1)),K2966)),"")</f>
        <v>7280</v>
      </c>
      <c r="I2967" s="30">
        <f t="shared" si="230"/>
        <v>120</v>
      </c>
      <c r="J2967" s="31">
        <f t="shared" si="231"/>
        <v>3.6</v>
      </c>
      <c r="K2967" s="29">
        <f t="shared" si="232"/>
        <v>7160</v>
      </c>
      <c r="L2967" s="31" t="str">
        <f t="shared" si="233"/>
        <v/>
      </c>
      <c r="M2967" s="31" t="str">
        <f t="shared" si="234"/>
        <v/>
      </c>
    </row>
    <row r="2968" spans="1:13" x14ac:dyDescent="0.15">
      <c r="A2968" s="163" t="s">
        <v>210</v>
      </c>
      <c r="B2968" s="163">
        <v>42353.292267349534</v>
      </c>
      <c r="C2968" s="164" t="s">
        <v>2480</v>
      </c>
      <c r="D2968" s="164" t="s">
        <v>13</v>
      </c>
      <c r="E2968" s="165">
        <v>40</v>
      </c>
      <c r="F2968" s="166">
        <v>0</v>
      </c>
      <c r="G2968" s="227">
        <f>IF($B$2,IF(ROWS(B$6:$B2968) = 1,$B2968-Start_Date,$B2968-$B2967),"")</f>
        <v>1.3320023135747761E-3</v>
      </c>
      <c r="H2968" s="29">
        <f>IF($B$2,IF(ROWS(B$6:$B2968) = 1,IF(COUNTIFS(R_Schedule_Times,"&lt;"&amp;B2968),INDEX(R_Schedule_Amounts,MATCH(B2968,R_Schedule_Times,1)),Starting_Cash),IF(COUNTIFS(R_Schedule_Times,"&gt;"&amp;B2967,R_Schedule_Times,"&lt;"&amp;B2968),INDEX(R_Schedule_Amounts,MATCH(B2968,R_Schedule_Times,1)),K2967)),"")</f>
        <v>7160</v>
      </c>
      <c r="I2968" s="30">
        <f t="shared" si="230"/>
        <v>40</v>
      </c>
      <c r="J2968" s="31">
        <f t="shared" si="231"/>
        <v>0</v>
      </c>
      <c r="K2968" s="29">
        <f t="shared" si="232"/>
        <v>7120</v>
      </c>
      <c r="L2968" s="31" t="str">
        <f t="shared" si="233"/>
        <v/>
      </c>
      <c r="M2968" s="31" t="str">
        <f t="shared" si="234"/>
        <v/>
      </c>
    </row>
    <row r="2969" spans="1:13" x14ac:dyDescent="0.15">
      <c r="A2969" s="163" t="s">
        <v>210</v>
      </c>
      <c r="B2969" s="163">
        <v>42353.294893368053</v>
      </c>
      <c r="C2969" s="164" t="s">
        <v>851</v>
      </c>
      <c r="D2969" s="164" t="s">
        <v>13</v>
      </c>
      <c r="E2969" s="165">
        <v>40</v>
      </c>
      <c r="F2969" s="166">
        <v>0</v>
      </c>
      <c r="G2969" s="227">
        <f>IF($B$2,IF(ROWS(B$6:$B2969) = 1,$B2969-Start_Date,$B2969-$B2968),"")</f>
        <v>2.6260185186401941E-3</v>
      </c>
      <c r="H2969" s="29">
        <f>IF($B$2,IF(ROWS(B$6:$B2969) = 1,IF(COUNTIFS(R_Schedule_Times,"&lt;"&amp;B2969),INDEX(R_Schedule_Amounts,MATCH(B2969,R_Schedule_Times,1)),Starting_Cash),IF(COUNTIFS(R_Schedule_Times,"&gt;"&amp;B2968,R_Schedule_Times,"&lt;"&amp;B2969),INDEX(R_Schedule_Amounts,MATCH(B2969,R_Schedule_Times,1)),K2968)),"")</f>
        <v>7120</v>
      </c>
      <c r="I2969" s="30">
        <f t="shared" si="230"/>
        <v>40</v>
      </c>
      <c r="J2969" s="31">
        <f t="shared" si="231"/>
        <v>0</v>
      </c>
      <c r="K2969" s="29">
        <f t="shared" si="232"/>
        <v>7080</v>
      </c>
      <c r="L2969" s="31" t="str">
        <f t="shared" si="233"/>
        <v/>
      </c>
      <c r="M2969" s="31" t="str">
        <f t="shared" si="234"/>
        <v/>
      </c>
    </row>
    <row r="2970" spans="1:13" x14ac:dyDescent="0.15">
      <c r="A2970" s="163" t="s">
        <v>210</v>
      </c>
      <c r="B2970" s="163">
        <v>42353.323940011571</v>
      </c>
      <c r="C2970" s="164" t="s">
        <v>2481</v>
      </c>
      <c r="D2970" s="164" t="s">
        <v>13</v>
      </c>
      <c r="E2970" s="165">
        <v>20</v>
      </c>
      <c r="F2970" s="166">
        <v>0</v>
      </c>
      <c r="G2970" s="227">
        <f>IF($B$2,IF(ROWS(B$6:$B2970) = 1,$B2970-Start_Date,$B2970-$B2969),"")</f>
        <v>2.9046643518086057E-2</v>
      </c>
      <c r="H2970" s="29">
        <f>IF($B$2,IF(ROWS(B$6:$B2970) = 1,IF(COUNTIFS(R_Schedule_Times,"&lt;"&amp;B2970),INDEX(R_Schedule_Amounts,MATCH(B2970,R_Schedule_Times,1)),Starting_Cash),IF(COUNTIFS(R_Schedule_Times,"&gt;"&amp;B2969,R_Schedule_Times,"&lt;"&amp;B2970),INDEX(R_Schedule_Amounts,MATCH(B2970,R_Schedule_Times,1)),K2969)),"")</f>
        <v>7080</v>
      </c>
      <c r="I2970" s="30">
        <f t="shared" si="230"/>
        <v>20</v>
      </c>
      <c r="J2970" s="31">
        <f t="shared" si="231"/>
        <v>0</v>
      </c>
      <c r="K2970" s="29">
        <f t="shared" si="232"/>
        <v>7060</v>
      </c>
      <c r="L2970" s="31" t="str">
        <f t="shared" si="233"/>
        <v/>
      </c>
      <c r="M2970" s="31" t="str">
        <f t="shared" si="234"/>
        <v/>
      </c>
    </row>
    <row r="2971" spans="1:13" x14ac:dyDescent="0.15">
      <c r="A2971" s="163" t="s">
        <v>210</v>
      </c>
      <c r="B2971" s="163">
        <v>42353.325714305553</v>
      </c>
      <c r="C2971" s="164" t="s">
        <v>2482</v>
      </c>
      <c r="D2971" s="164" t="s">
        <v>13</v>
      </c>
      <c r="E2971" s="165">
        <v>40</v>
      </c>
      <c r="F2971" s="166">
        <v>0</v>
      </c>
      <c r="G2971" s="227">
        <f>IF($B$2,IF(ROWS(B$6:$B2971) = 1,$B2971-Start_Date,$B2971-$B2970),"")</f>
        <v>1.77429398172535E-3</v>
      </c>
      <c r="H2971" s="29">
        <f>IF($B$2,IF(ROWS(B$6:$B2971) = 1,IF(COUNTIFS(R_Schedule_Times,"&lt;"&amp;B2971),INDEX(R_Schedule_Amounts,MATCH(B2971,R_Schedule_Times,1)),Starting_Cash),IF(COUNTIFS(R_Schedule_Times,"&gt;"&amp;B2970,R_Schedule_Times,"&lt;"&amp;B2971),INDEX(R_Schedule_Amounts,MATCH(B2971,R_Schedule_Times,1)),K2970)),"")</f>
        <v>7060</v>
      </c>
      <c r="I2971" s="30">
        <f t="shared" si="230"/>
        <v>40</v>
      </c>
      <c r="J2971" s="31">
        <f t="shared" si="231"/>
        <v>0</v>
      </c>
      <c r="K2971" s="29">
        <f t="shared" si="232"/>
        <v>7020</v>
      </c>
      <c r="L2971" s="31" t="str">
        <f t="shared" si="233"/>
        <v/>
      </c>
      <c r="M2971" s="31" t="str">
        <f t="shared" si="234"/>
        <v/>
      </c>
    </row>
    <row r="2972" spans="1:13" x14ac:dyDescent="0.15">
      <c r="A2972" s="163" t="s">
        <v>210</v>
      </c>
      <c r="B2972" s="163">
        <v>42353.333961886572</v>
      </c>
      <c r="C2972" s="164" t="s">
        <v>2483</v>
      </c>
      <c r="D2972" s="164" t="s">
        <v>13</v>
      </c>
      <c r="E2972" s="165">
        <v>40</v>
      </c>
      <c r="F2972" s="166">
        <v>0</v>
      </c>
      <c r="G2972" s="227">
        <f>IF($B$2,IF(ROWS(B$6:$B2972) = 1,$B2972-Start_Date,$B2972-$B2971),"")</f>
        <v>8.2475810195319355E-3</v>
      </c>
      <c r="H2972" s="29">
        <f>IF($B$2,IF(ROWS(B$6:$B2972) = 1,IF(COUNTIFS(R_Schedule_Times,"&lt;"&amp;B2972),INDEX(R_Schedule_Amounts,MATCH(B2972,R_Schedule_Times,1)),Starting_Cash),IF(COUNTIFS(R_Schedule_Times,"&gt;"&amp;B2971,R_Schedule_Times,"&lt;"&amp;B2972),INDEX(R_Schedule_Amounts,MATCH(B2972,R_Schedule_Times,1)),K2971)),"")</f>
        <v>7020</v>
      </c>
      <c r="I2972" s="30">
        <f t="shared" si="230"/>
        <v>40</v>
      </c>
      <c r="J2972" s="31">
        <f t="shared" si="231"/>
        <v>0</v>
      </c>
      <c r="K2972" s="29">
        <f t="shared" si="232"/>
        <v>6980</v>
      </c>
      <c r="L2972" s="31" t="str">
        <f t="shared" si="233"/>
        <v/>
      </c>
      <c r="M2972" s="31" t="str">
        <f t="shared" si="234"/>
        <v/>
      </c>
    </row>
    <row r="2973" spans="1:13" x14ac:dyDescent="0.15">
      <c r="A2973" s="163" t="s">
        <v>210</v>
      </c>
      <c r="B2973" s="163">
        <v>42353.341257488428</v>
      </c>
      <c r="C2973" s="164" t="s">
        <v>731</v>
      </c>
      <c r="D2973" s="164" t="s">
        <v>13</v>
      </c>
      <c r="E2973" s="165">
        <v>60</v>
      </c>
      <c r="F2973" s="166">
        <v>0</v>
      </c>
      <c r="G2973" s="227">
        <f>IF($B$2,IF(ROWS(B$6:$B2973) = 1,$B2973-Start_Date,$B2973-$B2972),"")</f>
        <v>7.2956018557306379E-3</v>
      </c>
      <c r="H2973" s="29">
        <f>IF($B$2,IF(ROWS(B$6:$B2973) = 1,IF(COUNTIFS(R_Schedule_Times,"&lt;"&amp;B2973),INDEX(R_Schedule_Amounts,MATCH(B2973,R_Schedule_Times,1)),Starting_Cash),IF(COUNTIFS(R_Schedule_Times,"&gt;"&amp;B2972,R_Schedule_Times,"&lt;"&amp;B2973),INDEX(R_Schedule_Amounts,MATCH(B2973,R_Schedule_Times,1)),K2972)),"")</f>
        <v>6980</v>
      </c>
      <c r="I2973" s="30">
        <f t="shared" si="230"/>
        <v>60</v>
      </c>
      <c r="J2973" s="31">
        <f t="shared" si="231"/>
        <v>0</v>
      </c>
      <c r="K2973" s="29">
        <f t="shared" si="232"/>
        <v>6920</v>
      </c>
      <c r="L2973" s="31" t="str">
        <f t="shared" si="233"/>
        <v/>
      </c>
      <c r="M2973" s="31" t="str">
        <f t="shared" si="234"/>
        <v/>
      </c>
    </row>
    <row r="2974" spans="1:13" x14ac:dyDescent="0.15">
      <c r="A2974" s="163" t="s">
        <v>210</v>
      </c>
      <c r="B2974" s="163">
        <v>42353.363880567129</v>
      </c>
      <c r="C2974" s="164" t="s">
        <v>2484</v>
      </c>
      <c r="D2974" s="164" t="s">
        <v>13</v>
      </c>
      <c r="E2974" s="165">
        <v>200</v>
      </c>
      <c r="F2974" s="166">
        <v>0</v>
      </c>
      <c r="G2974" s="227">
        <f>IF($B$2,IF(ROWS(B$6:$B2974) = 1,$B2974-Start_Date,$B2974-$B2973),"")</f>
        <v>2.262307870114455E-2</v>
      </c>
      <c r="H2974" s="29">
        <f>IF($B$2,IF(ROWS(B$6:$B2974) = 1,IF(COUNTIFS(R_Schedule_Times,"&lt;"&amp;B2974),INDEX(R_Schedule_Amounts,MATCH(B2974,R_Schedule_Times,1)),Starting_Cash),IF(COUNTIFS(R_Schedule_Times,"&gt;"&amp;B2973,R_Schedule_Times,"&lt;"&amp;B2974),INDEX(R_Schedule_Amounts,MATCH(B2974,R_Schedule_Times,1)),K2973)),"")</f>
        <v>6920</v>
      </c>
      <c r="I2974" s="30">
        <f t="shared" si="230"/>
        <v>200</v>
      </c>
      <c r="J2974" s="31">
        <f t="shared" si="231"/>
        <v>0</v>
      </c>
      <c r="K2974" s="29">
        <f t="shared" si="232"/>
        <v>6720</v>
      </c>
      <c r="L2974" s="31" t="str">
        <f t="shared" si="233"/>
        <v/>
      </c>
      <c r="M2974" s="31" t="str">
        <f t="shared" si="234"/>
        <v/>
      </c>
    </row>
    <row r="2975" spans="1:13" x14ac:dyDescent="0.15">
      <c r="A2975" s="163" t="s">
        <v>210</v>
      </c>
      <c r="B2975" s="163">
        <v>42353.371482881943</v>
      </c>
      <c r="C2975" s="164" t="s">
        <v>2338</v>
      </c>
      <c r="D2975" s="164" t="s">
        <v>13</v>
      </c>
      <c r="E2975" s="165">
        <v>20</v>
      </c>
      <c r="F2975" s="166">
        <v>0</v>
      </c>
      <c r="G2975" s="227">
        <f>IF($B$2,IF(ROWS(B$6:$B2975) = 1,$B2975-Start_Date,$B2975-$B2974),"")</f>
        <v>7.6023148139938712E-3</v>
      </c>
      <c r="H2975" s="29">
        <f>IF($B$2,IF(ROWS(B$6:$B2975) = 1,IF(COUNTIFS(R_Schedule_Times,"&lt;"&amp;B2975),INDEX(R_Schedule_Amounts,MATCH(B2975,R_Schedule_Times,1)),Starting_Cash),IF(COUNTIFS(R_Schedule_Times,"&gt;"&amp;B2974,R_Schedule_Times,"&lt;"&amp;B2975),INDEX(R_Schedule_Amounts,MATCH(B2975,R_Schedule_Times,1)),K2974)),"")</f>
        <v>6720</v>
      </c>
      <c r="I2975" s="30">
        <f t="shared" si="230"/>
        <v>20</v>
      </c>
      <c r="J2975" s="31">
        <f t="shared" si="231"/>
        <v>0</v>
      </c>
      <c r="K2975" s="29">
        <f t="shared" si="232"/>
        <v>6700</v>
      </c>
      <c r="L2975" s="31" t="str">
        <f t="shared" si="233"/>
        <v/>
      </c>
      <c r="M2975" s="31" t="str">
        <f t="shared" si="234"/>
        <v/>
      </c>
    </row>
    <row r="2976" spans="1:13" x14ac:dyDescent="0.15">
      <c r="A2976" s="163" t="s">
        <v>210</v>
      </c>
      <c r="B2976" s="163">
        <v>42353.383103287037</v>
      </c>
      <c r="C2976" s="164" t="s">
        <v>523</v>
      </c>
      <c r="D2976" s="164" t="s">
        <v>13</v>
      </c>
      <c r="E2976" s="165">
        <v>120</v>
      </c>
      <c r="F2976" s="166">
        <v>0</v>
      </c>
      <c r="G2976" s="227">
        <f>IF($B$2,IF(ROWS(B$6:$B2976) = 1,$B2976-Start_Date,$B2976-$B2975),"")</f>
        <v>1.1620405093708541E-2</v>
      </c>
      <c r="H2976" s="29">
        <f>IF($B$2,IF(ROWS(B$6:$B2976) = 1,IF(COUNTIFS(R_Schedule_Times,"&lt;"&amp;B2976),INDEX(R_Schedule_Amounts,MATCH(B2976,R_Schedule_Times,1)),Starting_Cash),IF(COUNTIFS(R_Schedule_Times,"&gt;"&amp;B2975,R_Schedule_Times,"&lt;"&amp;B2976),INDEX(R_Schedule_Amounts,MATCH(B2976,R_Schedule_Times,1)),K2975)),"")</f>
        <v>6700</v>
      </c>
      <c r="I2976" s="30">
        <f t="shared" si="230"/>
        <v>120</v>
      </c>
      <c r="J2976" s="31">
        <f t="shared" si="231"/>
        <v>0</v>
      </c>
      <c r="K2976" s="29">
        <f t="shared" si="232"/>
        <v>6580</v>
      </c>
      <c r="L2976" s="31" t="str">
        <f t="shared" si="233"/>
        <v/>
      </c>
      <c r="M2976" s="31" t="str">
        <f t="shared" si="234"/>
        <v/>
      </c>
    </row>
    <row r="2977" spans="1:13" x14ac:dyDescent="0.15">
      <c r="A2977" s="163" t="s">
        <v>210</v>
      </c>
      <c r="B2977" s="163">
        <v>42353.389700219908</v>
      </c>
      <c r="C2977" s="164" t="s">
        <v>267</v>
      </c>
      <c r="D2977" s="164" t="s">
        <v>13</v>
      </c>
      <c r="E2977" s="165">
        <v>200</v>
      </c>
      <c r="F2977" s="166">
        <v>0</v>
      </c>
      <c r="G2977" s="227">
        <f>IF($B$2,IF(ROWS(B$6:$B2977) = 1,$B2977-Start_Date,$B2977-$B2976),"")</f>
        <v>6.5969328716164455E-3</v>
      </c>
      <c r="H2977" s="29">
        <f>IF($B$2,IF(ROWS(B$6:$B2977) = 1,IF(COUNTIFS(R_Schedule_Times,"&lt;"&amp;B2977),INDEX(R_Schedule_Amounts,MATCH(B2977,R_Schedule_Times,1)),Starting_Cash),IF(COUNTIFS(R_Schedule_Times,"&gt;"&amp;B2976,R_Schedule_Times,"&lt;"&amp;B2977),INDEX(R_Schedule_Amounts,MATCH(B2977,R_Schedule_Times,1)),K2976)),"")</f>
        <v>6580</v>
      </c>
      <c r="I2977" s="30">
        <f t="shared" si="230"/>
        <v>200</v>
      </c>
      <c r="J2977" s="31">
        <f t="shared" si="231"/>
        <v>0</v>
      </c>
      <c r="K2977" s="29">
        <f t="shared" si="232"/>
        <v>6380</v>
      </c>
      <c r="L2977" s="31" t="str">
        <f t="shared" si="233"/>
        <v/>
      </c>
      <c r="M2977" s="31" t="str">
        <f t="shared" si="234"/>
        <v/>
      </c>
    </row>
    <row r="2978" spans="1:13" x14ac:dyDescent="0.15">
      <c r="A2978" s="163" t="s">
        <v>210</v>
      </c>
      <c r="B2978" s="163">
        <v>42353.426153796296</v>
      </c>
      <c r="C2978" s="164" t="s">
        <v>2485</v>
      </c>
      <c r="D2978" s="164" t="s">
        <v>13</v>
      </c>
      <c r="E2978" s="165">
        <v>100</v>
      </c>
      <c r="F2978" s="166">
        <v>0</v>
      </c>
      <c r="G2978" s="227">
        <f>IF($B$2,IF(ROWS(B$6:$B2978) = 1,$B2978-Start_Date,$B2978-$B2977),"")</f>
        <v>3.6453576387430076E-2</v>
      </c>
      <c r="H2978" s="29">
        <f>IF($B$2,IF(ROWS(B$6:$B2978) = 1,IF(COUNTIFS(R_Schedule_Times,"&lt;"&amp;B2978),INDEX(R_Schedule_Amounts,MATCH(B2978,R_Schedule_Times,1)),Starting_Cash),IF(COUNTIFS(R_Schedule_Times,"&gt;"&amp;B2977,R_Schedule_Times,"&lt;"&amp;B2978),INDEX(R_Schedule_Amounts,MATCH(B2978,R_Schedule_Times,1)),K2977)),"")</f>
        <v>6380</v>
      </c>
      <c r="I2978" s="30">
        <f t="shared" si="230"/>
        <v>100</v>
      </c>
      <c r="J2978" s="31">
        <f t="shared" si="231"/>
        <v>0</v>
      </c>
      <c r="K2978" s="29">
        <f t="shared" si="232"/>
        <v>6280</v>
      </c>
      <c r="L2978" s="31" t="str">
        <f t="shared" si="233"/>
        <v/>
      </c>
      <c r="M2978" s="31" t="str">
        <f t="shared" si="234"/>
        <v/>
      </c>
    </row>
    <row r="2979" spans="1:13" x14ac:dyDescent="0.15">
      <c r="A2979" s="163" t="s">
        <v>210</v>
      </c>
      <c r="B2979" s="163">
        <v>42353.442011284722</v>
      </c>
      <c r="C2979" s="164" t="s">
        <v>170</v>
      </c>
      <c r="D2979" s="164" t="s">
        <v>13</v>
      </c>
      <c r="E2979" s="165">
        <v>60</v>
      </c>
      <c r="F2979" s="166">
        <v>0</v>
      </c>
      <c r="G2979" s="227">
        <f>IF($B$2,IF(ROWS(B$6:$B2979) = 1,$B2979-Start_Date,$B2979-$B2978),"")</f>
        <v>1.5857488426263444E-2</v>
      </c>
      <c r="H2979" s="29">
        <f>IF($B$2,IF(ROWS(B$6:$B2979) = 1,IF(COUNTIFS(R_Schedule_Times,"&lt;"&amp;B2979),INDEX(R_Schedule_Amounts,MATCH(B2979,R_Schedule_Times,1)),Starting_Cash),IF(COUNTIFS(R_Schedule_Times,"&gt;"&amp;B2978,R_Schedule_Times,"&lt;"&amp;B2979),INDEX(R_Schedule_Amounts,MATCH(B2979,R_Schedule_Times,1)),K2978)),"")</f>
        <v>6280</v>
      </c>
      <c r="I2979" s="30">
        <f t="shared" si="230"/>
        <v>60</v>
      </c>
      <c r="J2979" s="31">
        <f t="shared" si="231"/>
        <v>0</v>
      </c>
      <c r="K2979" s="29">
        <f t="shared" si="232"/>
        <v>6220</v>
      </c>
      <c r="L2979" s="31" t="str">
        <f t="shared" si="233"/>
        <v/>
      </c>
      <c r="M2979" s="31" t="str">
        <f t="shared" si="234"/>
        <v/>
      </c>
    </row>
    <row r="2980" spans="1:13" x14ac:dyDescent="0.15">
      <c r="A2980" s="163" t="s">
        <v>210</v>
      </c>
      <c r="B2980" s="163">
        <v>42353.448660011571</v>
      </c>
      <c r="C2980" s="164" t="s">
        <v>610</v>
      </c>
      <c r="D2980" s="164" t="s">
        <v>13</v>
      </c>
      <c r="E2980" s="165">
        <v>500</v>
      </c>
      <c r="F2980" s="166">
        <v>0</v>
      </c>
      <c r="G2980" s="227">
        <f>IF($B$2,IF(ROWS(B$6:$B2980) = 1,$B2980-Start_Date,$B2980-$B2979),"")</f>
        <v>6.6487268486525863E-3</v>
      </c>
      <c r="H2980" s="29">
        <f>IF($B$2,IF(ROWS(B$6:$B2980) = 1,IF(COUNTIFS(R_Schedule_Times,"&lt;"&amp;B2980),INDEX(R_Schedule_Amounts,MATCH(B2980,R_Schedule_Times,1)),Starting_Cash),IF(COUNTIFS(R_Schedule_Times,"&gt;"&amp;B2979,R_Schedule_Times,"&lt;"&amp;B2980),INDEX(R_Schedule_Amounts,MATCH(B2980,R_Schedule_Times,1)),K2979)),"")</f>
        <v>6220</v>
      </c>
      <c r="I2980" s="30">
        <f t="shared" si="230"/>
        <v>500</v>
      </c>
      <c r="J2980" s="31">
        <f t="shared" si="231"/>
        <v>0</v>
      </c>
      <c r="K2980" s="29">
        <f t="shared" si="232"/>
        <v>5720</v>
      </c>
      <c r="L2980" s="31" t="str">
        <f t="shared" si="233"/>
        <v/>
      </c>
      <c r="M2980" s="31" t="str">
        <f t="shared" si="234"/>
        <v/>
      </c>
    </row>
    <row r="2981" spans="1:13" x14ac:dyDescent="0.15">
      <c r="A2981" s="163" t="s">
        <v>210</v>
      </c>
      <c r="B2981" s="163">
        <v>42353.462040752318</v>
      </c>
      <c r="C2981" s="164" t="s">
        <v>2486</v>
      </c>
      <c r="D2981" s="164" t="s">
        <v>13</v>
      </c>
      <c r="E2981" s="165">
        <v>40</v>
      </c>
      <c r="F2981" s="166">
        <v>0</v>
      </c>
      <c r="G2981" s="227">
        <f>IF($B$2,IF(ROWS(B$6:$B2981) = 1,$B2981-Start_Date,$B2981-$B2980),"")</f>
        <v>1.3380740747379605E-2</v>
      </c>
      <c r="H2981" s="29">
        <f>IF($B$2,IF(ROWS(B$6:$B2981) = 1,IF(COUNTIFS(R_Schedule_Times,"&lt;"&amp;B2981),INDEX(R_Schedule_Amounts,MATCH(B2981,R_Schedule_Times,1)),Starting_Cash),IF(COUNTIFS(R_Schedule_Times,"&gt;"&amp;B2980,R_Schedule_Times,"&lt;"&amp;B2981),INDEX(R_Schedule_Amounts,MATCH(B2981,R_Schedule_Times,1)),K2980)),"")</f>
        <v>5720</v>
      </c>
      <c r="I2981" s="30">
        <f t="shared" si="230"/>
        <v>40</v>
      </c>
      <c r="J2981" s="31">
        <f t="shared" si="231"/>
        <v>0</v>
      </c>
      <c r="K2981" s="29">
        <f t="shared" si="232"/>
        <v>5680</v>
      </c>
      <c r="L2981" s="31" t="str">
        <f t="shared" si="233"/>
        <v/>
      </c>
      <c r="M2981" s="31" t="str">
        <f t="shared" si="234"/>
        <v/>
      </c>
    </row>
    <row r="2982" spans="1:13" x14ac:dyDescent="0.15">
      <c r="A2982" s="163" t="s">
        <v>210</v>
      </c>
      <c r="B2982" s="163">
        <v>42353.464208136575</v>
      </c>
      <c r="C2982" s="164" t="s">
        <v>2487</v>
      </c>
      <c r="D2982" s="164" t="s">
        <v>13</v>
      </c>
      <c r="E2982" s="165">
        <v>40</v>
      </c>
      <c r="F2982" s="166">
        <v>0</v>
      </c>
      <c r="G2982" s="227">
        <f>IF($B$2,IF(ROWS(B$6:$B2982) = 1,$B2982-Start_Date,$B2982-$B2981),"")</f>
        <v>2.1673842566087842E-3</v>
      </c>
      <c r="H2982" s="29">
        <f>IF($B$2,IF(ROWS(B$6:$B2982) = 1,IF(COUNTIFS(R_Schedule_Times,"&lt;"&amp;B2982),INDEX(R_Schedule_Amounts,MATCH(B2982,R_Schedule_Times,1)),Starting_Cash),IF(COUNTIFS(R_Schedule_Times,"&gt;"&amp;B2981,R_Schedule_Times,"&lt;"&amp;B2982),INDEX(R_Schedule_Amounts,MATCH(B2982,R_Schedule_Times,1)),K2981)),"")</f>
        <v>5680</v>
      </c>
      <c r="I2982" s="30">
        <f t="shared" si="230"/>
        <v>40</v>
      </c>
      <c r="J2982" s="31">
        <f t="shared" si="231"/>
        <v>0</v>
      </c>
      <c r="K2982" s="29">
        <f t="shared" si="232"/>
        <v>5640</v>
      </c>
      <c r="L2982" s="31" t="str">
        <f t="shared" si="233"/>
        <v/>
      </c>
      <c r="M2982" s="31" t="str">
        <f t="shared" si="234"/>
        <v/>
      </c>
    </row>
    <row r="2983" spans="1:13" x14ac:dyDescent="0.15">
      <c r="A2983" s="163" t="s">
        <v>210</v>
      </c>
      <c r="B2983" s="163">
        <v>42353.470571979167</v>
      </c>
      <c r="C2983" s="164" t="s">
        <v>2488</v>
      </c>
      <c r="D2983" s="164" t="s">
        <v>13</v>
      </c>
      <c r="E2983" s="165">
        <v>20</v>
      </c>
      <c r="F2983" s="166">
        <v>0</v>
      </c>
      <c r="G2983" s="227">
        <f>IF($B$2,IF(ROWS(B$6:$B2983) = 1,$B2983-Start_Date,$B2983-$B2982),"")</f>
        <v>6.3638425926910713E-3</v>
      </c>
      <c r="H2983" s="29">
        <f>IF($B$2,IF(ROWS(B$6:$B2983) = 1,IF(COUNTIFS(R_Schedule_Times,"&lt;"&amp;B2983),INDEX(R_Schedule_Amounts,MATCH(B2983,R_Schedule_Times,1)),Starting_Cash),IF(COUNTIFS(R_Schedule_Times,"&gt;"&amp;B2982,R_Schedule_Times,"&lt;"&amp;B2983),INDEX(R_Schedule_Amounts,MATCH(B2983,R_Schedule_Times,1)),K2982)),"")</f>
        <v>5640</v>
      </c>
      <c r="I2983" s="30">
        <f t="shared" si="230"/>
        <v>20</v>
      </c>
      <c r="J2983" s="31">
        <f t="shared" si="231"/>
        <v>0</v>
      </c>
      <c r="K2983" s="29">
        <f t="shared" si="232"/>
        <v>5620</v>
      </c>
      <c r="L2983" s="31" t="str">
        <f t="shared" si="233"/>
        <v/>
      </c>
      <c r="M2983" s="31" t="str">
        <f t="shared" si="234"/>
        <v/>
      </c>
    </row>
    <row r="2984" spans="1:13" x14ac:dyDescent="0.15">
      <c r="A2984" s="163" t="s">
        <v>210</v>
      </c>
      <c r="B2984" s="163">
        <v>42353.473876759257</v>
      </c>
      <c r="C2984" s="164" t="s">
        <v>2489</v>
      </c>
      <c r="D2984" s="164" t="s">
        <v>13</v>
      </c>
      <c r="E2984" s="165">
        <v>60</v>
      </c>
      <c r="F2984" s="166">
        <v>0</v>
      </c>
      <c r="G2984" s="227">
        <f>IF($B$2,IF(ROWS(B$6:$B2984) = 1,$B2984-Start_Date,$B2984-$B2983),"")</f>
        <v>3.3047800898202695E-3</v>
      </c>
      <c r="H2984" s="29">
        <f>IF($B$2,IF(ROWS(B$6:$B2984) = 1,IF(COUNTIFS(R_Schedule_Times,"&lt;"&amp;B2984),INDEX(R_Schedule_Amounts,MATCH(B2984,R_Schedule_Times,1)),Starting_Cash),IF(COUNTIFS(R_Schedule_Times,"&gt;"&amp;B2983,R_Schedule_Times,"&lt;"&amp;B2984),INDEX(R_Schedule_Amounts,MATCH(B2984,R_Schedule_Times,1)),K2983)),"")</f>
        <v>5620</v>
      </c>
      <c r="I2984" s="30">
        <f t="shared" si="230"/>
        <v>60</v>
      </c>
      <c r="J2984" s="31">
        <f t="shared" si="231"/>
        <v>0</v>
      </c>
      <c r="K2984" s="29">
        <f t="shared" si="232"/>
        <v>5560</v>
      </c>
      <c r="L2984" s="31" t="str">
        <f t="shared" si="233"/>
        <v/>
      </c>
      <c r="M2984" s="31" t="str">
        <f t="shared" si="234"/>
        <v/>
      </c>
    </row>
    <row r="2985" spans="1:13" x14ac:dyDescent="0.15">
      <c r="A2985" s="163" t="s">
        <v>210</v>
      </c>
      <c r="B2985" s="163">
        <v>42353.481544768518</v>
      </c>
      <c r="C2985" s="164" t="s">
        <v>2490</v>
      </c>
      <c r="D2985" s="164" t="s">
        <v>13</v>
      </c>
      <c r="E2985" s="165">
        <v>100</v>
      </c>
      <c r="F2985" s="166">
        <v>0</v>
      </c>
      <c r="G2985" s="227">
        <f>IF($B$2,IF(ROWS(B$6:$B2985) = 1,$B2985-Start_Date,$B2985-$B2984),"")</f>
        <v>7.6680092606693506E-3</v>
      </c>
      <c r="H2985" s="29">
        <f>IF($B$2,IF(ROWS(B$6:$B2985) = 1,IF(COUNTIFS(R_Schedule_Times,"&lt;"&amp;B2985),INDEX(R_Schedule_Amounts,MATCH(B2985,R_Schedule_Times,1)),Starting_Cash),IF(COUNTIFS(R_Schedule_Times,"&gt;"&amp;B2984,R_Schedule_Times,"&lt;"&amp;B2985),INDEX(R_Schedule_Amounts,MATCH(B2985,R_Schedule_Times,1)),K2984)),"")</f>
        <v>5560</v>
      </c>
      <c r="I2985" s="30">
        <f t="shared" si="230"/>
        <v>100</v>
      </c>
      <c r="J2985" s="31">
        <f t="shared" si="231"/>
        <v>0</v>
      </c>
      <c r="K2985" s="29">
        <f t="shared" si="232"/>
        <v>5460</v>
      </c>
      <c r="L2985" s="31" t="str">
        <f t="shared" si="233"/>
        <v/>
      </c>
      <c r="M2985" s="31" t="str">
        <f t="shared" si="234"/>
        <v/>
      </c>
    </row>
    <row r="2986" spans="1:13" x14ac:dyDescent="0.15">
      <c r="A2986" s="163" t="s">
        <v>210</v>
      </c>
      <c r="B2986" s="163">
        <v>42353.487391388888</v>
      </c>
      <c r="C2986" s="164" t="s">
        <v>127</v>
      </c>
      <c r="D2986" s="164" t="s">
        <v>13</v>
      </c>
      <c r="E2986" s="165">
        <v>20</v>
      </c>
      <c r="F2986" s="166">
        <v>0</v>
      </c>
      <c r="G2986" s="227">
        <f>IF($B$2,IF(ROWS(B$6:$B2986) = 1,$B2986-Start_Date,$B2986-$B2985),"")</f>
        <v>5.8466203699936159E-3</v>
      </c>
      <c r="H2986" s="29">
        <f>IF($B$2,IF(ROWS(B$6:$B2986) = 1,IF(COUNTIFS(R_Schedule_Times,"&lt;"&amp;B2986),INDEX(R_Schedule_Amounts,MATCH(B2986,R_Schedule_Times,1)),Starting_Cash),IF(COUNTIFS(R_Schedule_Times,"&gt;"&amp;B2985,R_Schedule_Times,"&lt;"&amp;B2986),INDEX(R_Schedule_Amounts,MATCH(B2986,R_Schedule_Times,1)),K2985)),"")</f>
        <v>5460</v>
      </c>
      <c r="I2986" s="30">
        <f t="shared" si="230"/>
        <v>20</v>
      </c>
      <c r="J2986" s="31">
        <f t="shared" si="231"/>
        <v>0</v>
      </c>
      <c r="K2986" s="29">
        <f t="shared" si="232"/>
        <v>5440</v>
      </c>
      <c r="L2986" s="31" t="str">
        <f t="shared" si="233"/>
        <v/>
      </c>
      <c r="M2986" s="31" t="str">
        <f t="shared" si="234"/>
        <v/>
      </c>
    </row>
    <row r="2987" spans="1:13" x14ac:dyDescent="0.15">
      <c r="A2987" s="163" t="s">
        <v>210</v>
      </c>
      <c r="B2987" s="163">
        <v>42353.490639212963</v>
      </c>
      <c r="C2987" s="164" t="s">
        <v>2491</v>
      </c>
      <c r="D2987" s="164" t="s">
        <v>15</v>
      </c>
      <c r="E2987" s="165">
        <v>20</v>
      </c>
      <c r="F2987" s="166">
        <v>0.6</v>
      </c>
      <c r="G2987" s="227">
        <f>IF($B$2,IF(ROWS(B$6:$B2987) = 1,$B2987-Start_Date,$B2987-$B2986),"")</f>
        <v>3.247824075515382E-3</v>
      </c>
      <c r="H2987" s="29">
        <f>IF($B$2,IF(ROWS(B$6:$B2987) = 1,IF(COUNTIFS(R_Schedule_Times,"&lt;"&amp;B2987),INDEX(R_Schedule_Amounts,MATCH(B2987,R_Schedule_Times,1)),Starting_Cash),IF(COUNTIFS(R_Schedule_Times,"&gt;"&amp;B2986,R_Schedule_Times,"&lt;"&amp;B2987),INDEX(R_Schedule_Amounts,MATCH(B2987,R_Schedule_Times,1)),K2986)),"")</f>
        <v>5440</v>
      </c>
      <c r="I2987" s="30">
        <f t="shared" si="230"/>
        <v>20</v>
      </c>
      <c r="J2987" s="31">
        <f t="shared" si="231"/>
        <v>0.6</v>
      </c>
      <c r="K2987" s="29">
        <f t="shared" si="232"/>
        <v>5420</v>
      </c>
      <c r="L2987" s="31" t="str">
        <f t="shared" si="233"/>
        <v/>
      </c>
      <c r="M2987" s="31" t="str">
        <f t="shared" si="234"/>
        <v/>
      </c>
    </row>
    <row r="2988" spans="1:13" x14ac:dyDescent="0.15">
      <c r="A2988" s="163" t="s">
        <v>210</v>
      </c>
      <c r="B2988" s="163">
        <v>42353.509205127317</v>
      </c>
      <c r="C2988" s="164" t="s">
        <v>2492</v>
      </c>
      <c r="D2988" s="164" t="s">
        <v>13</v>
      </c>
      <c r="E2988" s="165">
        <v>60</v>
      </c>
      <c r="F2988" s="166">
        <v>0</v>
      </c>
      <c r="G2988" s="227">
        <f>IF($B$2,IF(ROWS(B$6:$B2988) = 1,$B2988-Start_Date,$B2988-$B2987),"")</f>
        <v>1.8565914353530388E-2</v>
      </c>
      <c r="H2988" s="29">
        <f>IF($B$2,IF(ROWS(B$6:$B2988) = 1,IF(COUNTIFS(R_Schedule_Times,"&lt;"&amp;B2988),INDEX(R_Schedule_Amounts,MATCH(B2988,R_Schedule_Times,1)),Starting_Cash),IF(COUNTIFS(R_Schedule_Times,"&gt;"&amp;B2987,R_Schedule_Times,"&lt;"&amp;B2988),INDEX(R_Schedule_Amounts,MATCH(B2988,R_Schedule_Times,1)),K2987)),"")</f>
        <v>5420</v>
      </c>
      <c r="I2988" s="30">
        <f t="shared" si="230"/>
        <v>60</v>
      </c>
      <c r="J2988" s="31">
        <f t="shared" si="231"/>
        <v>0</v>
      </c>
      <c r="K2988" s="29">
        <f t="shared" si="232"/>
        <v>5360</v>
      </c>
      <c r="L2988" s="31" t="str">
        <f t="shared" si="233"/>
        <v/>
      </c>
      <c r="M2988" s="31" t="str">
        <f t="shared" si="234"/>
        <v/>
      </c>
    </row>
    <row r="2989" spans="1:13" x14ac:dyDescent="0.15">
      <c r="A2989" s="163" t="s">
        <v>210</v>
      </c>
      <c r="B2989" s="163">
        <v>42353.559471527777</v>
      </c>
      <c r="C2989" s="164" t="s">
        <v>230</v>
      </c>
      <c r="D2989" s="164" t="s">
        <v>13</v>
      </c>
      <c r="E2989" s="165">
        <v>40</v>
      </c>
      <c r="F2989" s="166">
        <v>0</v>
      </c>
      <c r="G2989" s="227">
        <f>IF($B$2,IF(ROWS(B$6:$B2989) = 1,$B2989-Start_Date,$B2989-$B2988),"")</f>
        <v>5.0266400459804572E-2</v>
      </c>
      <c r="H2989" s="29">
        <f>IF($B$2,IF(ROWS(B$6:$B2989) = 1,IF(COUNTIFS(R_Schedule_Times,"&lt;"&amp;B2989),INDEX(R_Schedule_Amounts,MATCH(B2989,R_Schedule_Times,1)),Starting_Cash),IF(COUNTIFS(R_Schedule_Times,"&gt;"&amp;B2988,R_Schedule_Times,"&lt;"&amp;B2989),INDEX(R_Schedule_Amounts,MATCH(B2989,R_Schedule_Times,1)),K2988)),"")</f>
        <v>5360</v>
      </c>
      <c r="I2989" s="30">
        <f t="shared" si="230"/>
        <v>40</v>
      </c>
      <c r="J2989" s="31">
        <f t="shared" si="231"/>
        <v>0</v>
      </c>
      <c r="K2989" s="29">
        <f t="shared" si="232"/>
        <v>5320</v>
      </c>
      <c r="L2989" s="31" t="str">
        <f t="shared" si="233"/>
        <v/>
      </c>
      <c r="M2989" s="31" t="str">
        <f t="shared" si="234"/>
        <v/>
      </c>
    </row>
    <row r="2990" spans="1:13" x14ac:dyDescent="0.15">
      <c r="A2990" s="163" t="s">
        <v>210</v>
      </c>
      <c r="B2990" s="163">
        <v>42353.579338425923</v>
      </c>
      <c r="C2990" s="164" t="s">
        <v>2493</v>
      </c>
      <c r="D2990" s="164" t="s">
        <v>13</v>
      </c>
      <c r="E2990" s="165">
        <v>200</v>
      </c>
      <c r="F2990" s="166">
        <v>0</v>
      </c>
      <c r="G2990" s="227">
        <f>IF($B$2,IF(ROWS(B$6:$B2990) = 1,$B2990-Start_Date,$B2990-$B2989),"")</f>
        <v>1.9866898146574385E-2</v>
      </c>
      <c r="H2990" s="29">
        <f>IF($B$2,IF(ROWS(B$6:$B2990) = 1,IF(COUNTIFS(R_Schedule_Times,"&lt;"&amp;B2990),INDEX(R_Schedule_Amounts,MATCH(B2990,R_Schedule_Times,1)),Starting_Cash),IF(COUNTIFS(R_Schedule_Times,"&gt;"&amp;B2989,R_Schedule_Times,"&lt;"&amp;B2990),INDEX(R_Schedule_Amounts,MATCH(B2990,R_Schedule_Times,1)),K2989)),"")</f>
        <v>5320</v>
      </c>
      <c r="I2990" s="30">
        <f t="shared" si="230"/>
        <v>200</v>
      </c>
      <c r="J2990" s="31">
        <f t="shared" si="231"/>
        <v>0</v>
      </c>
      <c r="K2990" s="29">
        <f t="shared" si="232"/>
        <v>5120</v>
      </c>
      <c r="L2990" s="31" t="str">
        <f t="shared" si="233"/>
        <v/>
      </c>
      <c r="M2990" s="31" t="str">
        <f t="shared" si="234"/>
        <v/>
      </c>
    </row>
    <row r="2991" spans="1:13" x14ac:dyDescent="0.15">
      <c r="A2991" s="163" t="s">
        <v>210</v>
      </c>
      <c r="B2991" s="163">
        <v>42353.582501574077</v>
      </c>
      <c r="C2991" s="164" t="s">
        <v>2494</v>
      </c>
      <c r="D2991" s="164" t="s">
        <v>13</v>
      </c>
      <c r="E2991" s="165">
        <v>60</v>
      </c>
      <c r="F2991" s="166">
        <v>0</v>
      </c>
      <c r="G2991" s="227">
        <f>IF($B$2,IF(ROWS(B$6:$B2991) = 1,$B2991-Start_Date,$B2991-$B2990),"")</f>
        <v>3.1631481542717665E-3</v>
      </c>
      <c r="H2991" s="29">
        <f>IF($B$2,IF(ROWS(B$6:$B2991) = 1,IF(COUNTIFS(R_Schedule_Times,"&lt;"&amp;B2991),INDEX(R_Schedule_Amounts,MATCH(B2991,R_Schedule_Times,1)),Starting_Cash),IF(COUNTIFS(R_Schedule_Times,"&gt;"&amp;B2990,R_Schedule_Times,"&lt;"&amp;B2991),INDEX(R_Schedule_Amounts,MATCH(B2991,R_Schedule_Times,1)),K2990)),"")</f>
        <v>5120</v>
      </c>
      <c r="I2991" s="30">
        <f t="shared" si="230"/>
        <v>60</v>
      </c>
      <c r="J2991" s="31">
        <f t="shared" si="231"/>
        <v>0</v>
      </c>
      <c r="K2991" s="29">
        <f t="shared" si="232"/>
        <v>5060</v>
      </c>
      <c r="L2991" s="31" t="str">
        <f t="shared" si="233"/>
        <v/>
      </c>
      <c r="M2991" s="31" t="str">
        <f t="shared" si="234"/>
        <v/>
      </c>
    </row>
    <row r="2992" spans="1:13" x14ac:dyDescent="0.15">
      <c r="A2992" s="163" t="s">
        <v>210</v>
      </c>
      <c r="B2992" s="163">
        <v>42353.594295300929</v>
      </c>
      <c r="C2992" s="164" t="s">
        <v>524</v>
      </c>
      <c r="D2992" s="164" t="s">
        <v>13</v>
      </c>
      <c r="E2992" s="165">
        <v>40</v>
      </c>
      <c r="F2992" s="166">
        <v>0</v>
      </c>
      <c r="G2992" s="227">
        <f>IF($B$2,IF(ROWS(B$6:$B2992) = 1,$B2992-Start_Date,$B2992-$B2991),"")</f>
        <v>1.1793726851465181E-2</v>
      </c>
      <c r="H2992" s="29">
        <f>IF($B$2,IF(ROWS(B$6:$B2992) = 1,IF(COUNTIFS(R_Schedule_Times,"&lt;"&amp;B2992),INDEX(R_Schedule_Amounts,MATCH(B2992,R_Schedule_Times,1)),Starting_Cash),IF(COUNTIFS(R_Schedule_Times,"&gt;"&amp;B2991,R_Schedule_Times,"&lt;"&amp;B2992),INDEX(R_Schedule_Amounts,MATCH(B2992,R_Schedule_Times,1)),K2991)),"")</f>
        <v>5060</v>
      </c>
      <c r="I2992" s="30">
        <f t="shared" si="230"/>
        <v>40</v>
      </c>
      <c r="J2992" s="31">
        <f t="shared" si="231"/>
        <v>0</v>
      </c>
      <c r="K2992" s="29">
        <f t="shared" si="232"/>
        <v>5020</v>
      </c>
      <c r="L2992" s="31" t="str">
        <f t="shared" si="233"/>
        <v/>
      </c>
      <c r="M2992" s="31" t="str">
        <f t="shared" si="234"/>
        <v/>
      </c>
    </row>
    <row r="2993" spans="1:13" x14ac:dyDescent="0.15">
      <c r="A2993" s="163" t="s">
        <v>210</v>
      </c>
      <c r="B2993" s="163">
        <v>42353.598439409725</v>
      </c>
      <c r="C2993" s="164" t="s">
        <v>500</v>
      </c>
      <c r="D2993" s="164" t="s">
        <v>13</v>
      </c>
      <c r="E2993" s="165">
        <v>400</v>
      </c>
      <c r="F2993" s="166">
        <v>0</v>
      </c>
      <c r="G2993" s="227">
        <f>IF($B$2,IF(ROWS(B$6:$B2993) = 1,$B2993-Start_Date,$B2993-$B2992),"")</f>
        <v>4.1441087960265577E-3</v>
      </c>
      <c r="H2993" s="29">
        <f>IF($B$2,IF(ROWS(B$6:$B2993) = 1,IF(COUNTIFS(R_Schedule_Times,"&lt;"&amp;B2993),INDEX(R_Schedule_Amounts,MATCH(B2993,R_Schedule_Times,1)),Starting_Cash),IF(COUNTIFS(R_Schedule_Times,"&gt;"&amp;B2992,R_Schedule_Times,"&lt;"&amp;B2993),INDEX(R_Schedule_Amounts,MATCH(B2993,R_Schedule_Times,1)),K2992)),"")</f>
        <v>5020</v>
      </c>
      <c r="I2993" s="30">
        <f t="shared" si="230"/>
        <v>400</v>
      </c>
      <c r="J2993" s="31">
        <f t="shared" si="231"/>
        <v>0</v>
      </c>
      <c r="K2993" s="29">
        <f t="shared" si="232"/>
        <v>4620</v>
      </c>
      <c r="L2993" s="31" t="str">
        <f t="shared" si="233"/>
        <v/>
      </c>
      <c r="M2993" s="31" t="str">
        <f t="shared" si="234"/>
        <v/>
      </c>
    </row>
    <row r="2994" spans="1:13" x14ac:dyDescent="0.15">
      <c r="A2994" s="163" t="s">
        <v>210</v>
      </c>
      <c r="B2994" s="163">
        <v>42353.601055231484</v>
      </c>
      <c r="C2994" s="164" t="s">
        <v>2368</v>
      </c>
      <c r="D2994" s="164" t="s">
        <v>13</v>
      </c>
      <c r="E2994" s="165">
        <v>40</v>
      </c>
      <c r="F2994" s="166">
        <v>0</v>
      </c>
      <c r="G2994" s="227">
        <f>IF($B$2,IF(ROWS(B$6:$B2994) = 1,$B2994-Start_Date,$B2994-$B2993),"")</f>
        <v>2.6158217588090338E-3</v>
      </c>
      <c r="H2994" s="29">
        <f>IF($B$2,IF(ROWS(B$6:$B2994) = 1,IF(COUNTIFS(R_Schedule_Times,"&lt;"&amp;B2994),INDEX(R_Schedule_Amounts,MATCH(B2994,R_Schedule_Times,1)),Starting_Cash),IF(COUNTIFS(R_Schedule_Times,"&gt;"&amp;B2993,R_Schedule_Times,"&lt;"&amp;B2994),INDEX(R_Schedule_Amounts,MATCH(B2994,R_Schedule_Times,1)),K2993)),"")</f>
        <v>4620</v>
      </c>
      <c r="I2994" s="30">
        <f t="shared" si="230"/>
        <v>40</v>
      </c>
      <c r="J2994" s="31">
        <f t="shared" si="231"/>
        <v>0</v>
      </c>
      <c r="K2994" s="29">
        <f t="shared" si="232"/>
        <v>4580</v>
      </c>
      <c r="L2994" s="31" t="str">
        <f t="shared" si="233"/>
        <v/>
      </c>
      <c r="M2994" s="31" t="str">
        <f t="shared" si="234"/>
        <v/>
      </c>
    </row>
    <row r="2995" spans="1:13" x14ac:dyDescent="0.15">
      <c r="A2995" s="163" t="s">
        <v>210</v>
      </c>
      <c r="B2995" s="163">
        <v>42353.60910883102</v>
      </c>
      <c r="C2995" s="164" t="s">
        <v>837</v>
      </c>
      <c r="D2995" s="164" t="s">
        <v>13</v>
      </c>
      <c r="E2995" s="165">
        <v>100</v>
      </c>
      <c r="F2995" s="166">
        <v>0</v>
      </c>
      <c r="G2995" s="227">
        <f>IF($B$2,IF(ROWS(B$6:$B2995) = 1,$B2995-Start_Date,$B2995-$B2994),"")</f>
        <v>8.0535995366517454E-3</v>
      </c>
      <c r="H2995" s="29">
        <f>IF($B$2,IF(ROWS(B$6:$B2995) = 1,IF(COUNTIFS(R_Schedule_Times,"&lt;"&amp;B2995),INDEX(R_Schedule_Amounts,MATCH(B2995,R_Schedule_Times,1)),Starting_Cash),IF(COUNTIFS(R_Schedule_Times,"&gt;"&amp;B2994,R_Schedule_Times,"&lt;"&amp;B2995),INDEX(R_Schedule_Amounts,MATCH(B2995,R_Schedule_Times,1)),K2994)),"")</f>
        <v>4580</v>
      </c>
      <c r="I2995" s="30">
        <f t="shared" si="230"/>
        <v>100</v>
      </c>
      <c r="J2995" s="31">
        <f t="shared" si="231"/>
        <v>0</v>
      </c>
      <c r="K2995" s="29">
        <f t="shared" si="232"/>
        <v>4480</v>
      </c>
      <c r="L2995" s="31" t="str">
        <f t="shared" si="233"/>
        <v/>
      </c>
      <c r="M2995" s="31" t="str">
        <f t="shared" si="234"/>
        <v/>
      </c>
    </row>
    <row r="2996" spans="1:13" x14ac:dyDescent="0.15">
      <c r="A2996" s="163" t="s">
        <v>210</v>
      </c>
      <c r="B2996" s="163">
        <v>42353.619338842589</v>
      </c>
      <c r="C2996" s="164" t="s">
        <v>1361</v>
      </c>
      <c r="D2996" s="164" t="s">
        <v>13</v>
      </c>
      <c r="E2996" s="165">
        <v>100</v>
      </c>
      <c r="F2996" s="166">
        <v>0</v>
      </c>
      <c r="G2996" s="227">
        <f>IF($B$2,IF(ROWS(B$6:$B2996) = 1,$B2996-Start_Date,$B2996-$B2995),"")</f>
        <v>1.0230011568637565E-2</v>
      </c>
      <c r="H2996" s="29">
        <f>IF($B$2,IF(ROWS(B$6:$B2996) = 1,IF(COUNTIFS(R_Schedule_Times,"&lt;"&amp;B2996),INDEX(R_Schedule_Amounts,MATCH(B2996,R_Schedule_Times,1)),Starting_Cash),IF(COUNTIFS(R_Schedule_Times,"&gt;"&amp;B2995,R_Schedule_Times,"&lt;"&amp;B2996),INDEX(R_Schedule_Amounts,MATCH(B2996,R_Schedule_Times,1)),K2995)),"")</f>
        <v>4480</v>
      </c>
      <c r="I2996" s="30">
        <f t="shared" si="230"/>
        <v>100</v>
      </c>
      <c r="J2996" s="31">
        <f t="shared" si="231"/>
        <v>0</v>
      </c>
      <c r="K2996" s="29">
        <f t="shared" si="232"/>
        <v>4380</v>
      </c>
      <c r="L2996" s="31" t="str">
        <f t="shared" si="233"/>
        <v/>
      </c>
      <c r="M2996" s="31" t="str">
        <f t="shared" si="234"/>
        <v/>
      </c>
    </row>
    <row r="2997" spans="1:13" x14ac:dyDescent="0.15">
      <c r="A2997" s="163" t="s">
        <v>210</v>
      </c>
      <c r="B2997" s="163">
        <v>42353.622284224541</v>
      </c>
      <c r="C2997" s="164" t="s">
        <v>14</v>
      </c>
      <c r="D2997" s="164" t="s">
        <v>13</v>
      </c>
      <c r="E2997" s="165">
        <v>100</v>
      </c>
      <c r="F2997" s="166">
        <v>3.5</v>
      </c>
      <c r="G2997" s="227">
        <f>IF($B$2,IF(ROWS(B$6:$B2997) = 1,$B2997-Start_Date,$B2997-$B2996),"")</f>
        <v>2.9453819515765645E-3</v>
      </c>
      <c r="H2997" s="29">
        <f>IF($B$2,IF(ROWS(B$6:$B2997) = 1,IF(COUNTIFS(R_Schedule_Times,"&lt;"&amp;B2997),INDEX(R_Schedule_Amounts,MATCH(B2997,R_Schedule_Times,1)),Starting_Cash),IF(COUNTIFS(R_Schedule_Times,"&gt;"&amp;B2996,R_Schedule_Times,"&lt;"&amp;B2997),INDEX(R_Schedule_Amounts,MATCH(B2997,R_Schedule_Times,1)),K2996)),"")</f>
        <v>4380</v>
      </c>
      <c r="I2997" s="30">
        <f t="shared" si="230"/>
        <v>100</v>
      </c>
      <c r="J2997" s="31">
        <f t="shared" si="231"/>
        <v>3.5</v>
      </c>
      <c r="K2997" s="29">
        <f t="shared" si="232"/>
        <v>4280</v>
      </c>
      <c r="L2997" s="31" t="str">
        <f t="shared" si="233"/>
        <v/>
      </c>
      <c r="M2997" s="31" t="str">
        <f t="shared" si="234"/>
        <v/>
      </c>
    </row>
    <row r="2998" spans="1:13" x14ac:dyDescent="0.15">
      <c r="A2998" s="163" t="s">
        <v>210</v>
      </c>
      <c r="B2998" s="163">
        <v>42353.626168553237</v>
      </c>
      <c r="C2998" s="164" t="s">
        <v>14</v>
      </c>
      <c r="D2998" s="164" t="s">
        <v>13</v>
      </c>
      <c r="E2998" s="165">
        <v>120</v>
      </c>
      <c r="F2998" s="166">
        <v>3.5</v>
      </c>
      <c r="G2998" s="227">
        <f>IF($B$2,IF(ROWS(B$6:$B2998) = 1,$B2998-Start_Date,$B2998-$B2997),"")</f>
        <v>3.884328696585726E-3</v>
      </c>
      <c r="H2998" s="29">
        <f>IF($B$2,IF(ROWS(B$6:$B2998) = 1,IF(COUNTIFS(R_Schedule_Times,"&lt;"&amp;B2998),INDEX(R_Schedule_Amounts,MATCH(B2998,R_Schedule_Times,1)),Starting_Cash),IF(COUNTIFS(R_Schedule_Times,"&gt;"&amp;B2997,R_Schedule_Times,"&lt;"&amp;B2998),INDEX(R_Schedule_Amounts,MATCH(B2998,R_Schedule_Times,1)),K2997)),"")</f>
        <v>4280</v>
      </c>
      <c r="I2998" s="30">
        <f t="shared" si="230"/>
        <v>120</v>
      </c>
      <c r="J2998" s="31">
        <f t="shared" si="231"/>
        <v>3.5</v>
      </c>
      <c r="K2998" s="29">
        <f t="shared" si="232"/>
        <v>4160</v>
      </c>
      <c r="L2998" s="31" t="str">
        <f t="shared" si="233"/>
        <v/>
      </c>
      <c r="M2998" s="31" t="str">
        <f t="shared" si="234"/>
        <v/>
      </c>
    </row>
    <row r="2999" spans="1:13" x14ac:dyDescent="0.15">
      <c r="A2999" s="163" t="s">
        <v>210</v>
      </c>
      <c r="B2999" s="163">
        <v>42353.631471967594</v>
      </c>
      <c r="C2999" s="164" t="s">
        <v>2495</v>
      </c>
      <c r="D2999" s="164" t="s">
        <v>13</v>
      </c>
      <c r="E2999" s="165">
        <v>140</v>
      </c>
      <c r="F2999" s="166">
        <v>0</v>
      </c>
      <c r="G2999" s="227">
        <f>IF($B$2,IF(ROWS(B$6:$B2999) = 1,$B2999-Start_Date,$B2999-$B2998),"")</f>
        <v>5.3034143566037528E-3</v>
      </c>
      <c r="H2999" s="29">
        <f>IF($B$2,IF(ROWS(B$6:$B2999) = 1,IF(COUNTIFS(R_Schedule_Times,"&lt;"&amp;B2999),INDEX(R_Schedule_Amounts,MATCH(B2999,R_Schedule_Times,1)),Starting_Cash),IF(COUNTIFS(R_Schedule_Times,"&gt;"&amp;B2998,R_Schedule_Times,"&lt;"&amp;B2999),INDEX(R_Schedule_Amounts,MATCH(B2999,R_Schedule_Times,1)),K2998)),"")</f>
        <v>4160</v>
      </c>
      <c r="I2999" s="30">
        <f t="shared" si="230"/>
        <v>140</v>
      </c>
      <c r="J2999" s="31">
        <f t="shared" si="231"/>
        <v>0</v>
      </c>
      <c r="K2999" s="29">
        <f t="shared" si="232"/>
        <v>4020</v>
      </c>
      <c r="L2999" s="31" t="str">
        <f t="shared" si="233"/>
        <v/>
      </c>
      <c r="M2999" s="31" t="str">
        <f t="shared" si="234"/>
        <v/>
      </c>
    </row>
    <row r="3000" spans="1:13" x14ac:dyDescent="0.15">
      <c r="A3000" s="163" t="s">
        <v>210</v>
      </c>
      <c r="B3000" s="163">
        <v>42353.651172106482</v>
      </c>
      <c r="C3000" s="164" t="s">
        <v>525</v>
      </c>
      <c r="D3000" s="164" t="s">
        <v>13</v>
      </c>
      <c r="E3000" s="165">
        <v>120</v>
      </c>
      <c r="F3000" s="166">
        <v>0</v>
      </c>
      <c r="G3000" s="227">
        <f>IF($B$2,IF(ROWS(B$6:$B3000) = 1,$B3000-Start_Date,$B3000-$B2999),"")</f>
        <v>1.9700138887856156E-2</v>
      </c>
      <c r="H3000" s="29">
        <f>IF($B$2,IF(ROWS(B$6:$B3000) = 1,IF(COUNTIFS(R_Schedule_Times,"&lt;"&amp;B3000),INDEX(R_Schedule_Amounts,MATCH(B3000,R_Schedule_Times,1)),Starting_Cash),IF(COUNTIFS(R_Schedule_Times,"&gt;"&amp;B2999,R_Schedule_Times,"&lt;"&amp;B3000),INDEX(R_Schedule_Amounts,MATCH(B3000,R_Schedule_Times,1)),K2999)),"")</f>
        <v>4020</v>
      </c>
      <c r="I3000" s="30">
        <f t="shared" si="230"/>
        <v>120</v>
      </c>
      <c r="J3000" s="31">
        <f t="shared" si="231"/>
        <v>0</v>
      </c>
      <c r="K3000" s="29">
        <f t="shared" si="232"/>
        <v>3900</v>
      </c>
      <c r="L3000" s="31" t="str">
        <f t="shared" si="233"/>
        <v/>
      </c>
      <c r="M3000" s="31" t="str">
        <f t="shared" si="234"/>
        <v/>
      </c>
    </row>
    <row r="3001" spans="1:13" x14ac:dyDescent="0.15">
      <c r="A3001" s="163" t="s">
        <v>210</v>
      </c>
      <c r="B3001" s="163">
        <v>42353.663382824074</v>
      </c>
      <c r="C3001" s="164" t="s">
        <v>2496</v>
      </c>
      <c r="D3001" s="164" t="s">
        <v>13</v>
      </c>
      <c r="E3001" s="165">
        <v>200</v>
      </c>
      <c r="F3001" s="166">
        <v>0</v>
      </c>
      <c r="G3001" s="227">
        <f>IF($B$2,IF(ROWS(B$6:$B3001) = 1,$B3001-Start_Date,$B3001-$B3000),"")</f>
        <v>1.2210717592097353E-2</v>
      </c>
      <c r="H3001" s="29">
        <f>IF($B$2,IF(ROWS(B$6:$B3001) = 1,IF(COUNTIFS(R_Schedule_Times,"&lt;"&amp;B3001),INDEX(R_Schedule_Amounts,MATCH(B3001,R_Schedule_Times,1)),Starting_Cash),IF(COUNTIFS(R_Schedule_Times,"&gt;"&amp;B3000,R_Schedule_Times,"&lt;"&amp;B3001),INDEX(R_Schedule_Amounts,MATCH(B3001,R_Schedule_Times,1)),K3000)),"")</f>
        <v>3900</v>
      </c>
      <c r="I3001" s="30">
        <f t="shared" si="230"/>
        <v>200</v>
      </c>
      <c r="J3001" s="31">
        <f t="shared" si="231"/>
        <v>0</v>
      </c>
      <c r="K3001" s="29">
        <f t="shared" si="232"/>
        <v>3700</v>
      </c>
      <c r="L3001" s="31" t="str">
        <f t="shared" si="233"/>
        <v/>
      </c>
      <c r="M3001" s="31" t="str">
        <f t="shared" si="234"/>
        <v/>
      </c>
    </row>
    <row r="3002" spans="1:13" x14ac:dyDescent="0.15">
      <c r="A3002" s="163" t="s">
        <v>210</v>
      </c>
      <c r="B3002" s="163">
        <v>42353.676412638888</v>
      </c>
      <c r="C3002" s="164" t="s">
        <v>2497</v>
      </c>
      <c r="D3002" s="164" t="s">
        <v>13</v>
      </c>
      <c r="E3002" s="165">
        <v>100</v>
      </c>
      <c r="F3002" s="166">
        <v>0</v>
      </c>
      <c r="G3002" s="227">
        <f>IF($B$2,IF(ROWS(B$6:$B3002) = 1,$B3002-Start_Date,$B3002-$B3001),"")</f>
        <v>1.3029814814217389E-2</v>
      </c>
      <c r="H3002" s="29">
        <f>IF($B$2,IF(ROWS(B$6:$B3002) = 1,IF(COUNTIFS(R_Schedule_Times,"&lt;"&amp;B3002),INDEX(R_Schedule_Amounts,MATCH(B3002,R_Schedule_Times,1)),Starting_Cash),IF(COUNTIFS(R_Schedule_Times,"&gt;"&amp;B3001,R_Schedule_Times,"&lt;"&amp;B3002),INDEX(R_Schedule_Amounts,MATCH(B3002,R_Schedule_Times,1)),K3001)),"")</f>
        <v>3700</v>
      </c>
      <c r="I3002" s="30">
        <f t="shared" si="230"/>
        <v>100</v>
      </c>
      <c r="J3002" s="31">
        <f t="shared" si="231"/>
        <v>0</v>
      </c>
      <c r="K3002" s="29">
        <f t="shared" si="232"/>
        <v>3600</v>
      </c>
      <c r="L3002" s="31" t="str">
        <f t="shared" si="233"/>
        <v/>
      </c>
      <c r="M3002" s="31" t="str">
        <f t="shared" si="234"/>
        <v/>
      </c>
    </row>
    <row r="3003" spans="1:13" x14ac:dyDescent="0.15">
      <c r="A3003" s="163" t="s">
        <v>210</v>
      </c>
      <c r="B3003" s="163">
        <v>42353.758113032411</v>
      </c>
      <c r="C3003" s="164" t="s">
        <v>1428</v>
      </c>
      <c r="D3003" s="164" t="s">
        <v>13</v>
      </c>
      <c r="E3003" s="165">
        <v>200</v>
      </c>
      <c r="F3003" s="166">
        <v>0</v>
      </c>
      <c r="G3003" s="227">
        <f>IF($B$2,IF(ROWS(B$6:$B3003) = 1,$B3003-Start_Date,$B3003-$B3002),"")</f>
        <v>8.1700393522623926E-2</v>
      </c>
      <c r="H3003" s="29">
        <f>IF($B$2,IF(ROWS(B$6:$B3003) = 1,IF(COUNTIFS(R_Schedule_Times,"&lt;"&amp;B3003),INDEX(R_Schedule_Amounts,MATCH(B3003,R_Schedule_Times,1)),Starting_Cash),IF(COUNTIFS(R_Schedule_Times,"&gt;"&amp;B3002,R_Schedule_Times,"&lt;"&amp;B3003),INDEX(R_Schedule_Amounts,MATCH(B3003,R_Schedule_Times,1)),K3002)),"")</f>
        <v>3600</v>
      </c>
      <c r="I3003" s="30">
        <f t="shared" si="230"/>
        <v>200</v>
      </c>
      <c r="J3003" s="31">
        <f t="shared" si="231"/>
        <v>0</v>
      </c>
      <c r="K3003" s="29">
        <f t="shared" si="232"/>
        <v>3400</v>
      </c>
      <c r="L3003" s="31" t="str">
        <f t="shared" si="233"/>
        <v/>
      </c>
      <c r="M3003" s="31" t="str">
        <f t="shared" si="234"/>
        <v/>
      </c>
    </row>
    <row r="3004" spans="1:13" x14ac:dyDescent="0.15">
      <c r="A3004" s="163" t="s">
        <v>210</v>
      </c>
      <c r="B3004" s="163">
        <v>42353.76481202546</v>
      </c>
      <c r="C3004" s="164" t="s">
        <v>2498</v>
      </c>
      <c r="D3004" s="164" t="s">
        <v>13</v>
      </c>
      <c r="E3004" s="165">
        <v>500</v>
      </c>
      <c r="F3004" s="166">
        <v>0</v>
      </c>
      <c r="G3004" s="227">
        <f>IF($B$2,IF(ROWS(B$6:$B3004) = 1,$B3004-Start_Date,$B3004-$B3003),"")</f>
        <v>6.6989930492127314E-3</v>
      </c>
      <c r="H3004" s="29">
        <f>IF($B$2,IF(ROWS(B$6:$B3004) = 1,IF(COUNTIFS(R_Schedule_Times,"&lt;"&amp;B3004),INDEX(R_Schedule_Amounts,MATCH(B3004,R_Schedule_Times,1)),Starting_Cash),IF(COUNTIFS(R_Schedule_Times,"&gt;"&amp;B3003,R_Schedule_Times,"&lt;"&amp;B3004),INDEX(R_Schedule_Amounts,MATCH(B3004,R_Schedule_Times,1)),K3003)),"")</f>
        <v>3400</v>
      </c>
      <c r="I3004" s="30">
        <f t="shared" si="230"/>
        <v>500</v>
      </c>
      <c r="J3004" s="31">
        <f t="shared" si="231"/>
        <v>0</v>
      </c>
      <c r="K3004" s="29">
        <f t="shared" si="232"/>
        <v>2900</v>
      </c>
      <c r="L3004" s="31" t="str">
        <f t="shared" si="233"/>
        <v/>
      </c>
      <c r="M3004" s="31" t="str">
        <f t="shared" si="234"/>
        <v/>
      </c>
    </row>
    <row r="3005" spans="1:13" x14ac:dyDescent="0.15">
      <c r="A3005" s="163" t="s">
        <v>210</v>
      </c>
      <c r="B3005" s="163">
        <v>42353.766132245371</v>
      </c>
      <c r="C3005" s="164" t="s">
        <v>2499</v>
      </c>
      <c r="D3005" s="164" t="s">
        <v>13</v>
      </c>
      <c r="E3005" s="165">
        <v>100</v>
      </c>
      <c r="F3005" s="166">
        <v>0</v>
      </c>
      <c r="G3005" s="227">
        <f>IF($B$2,IF(ROWS(B$6:$B3005) = 1,$B3005-Start_Date,$B3005-$B3004),"")</f>
        <v>1.3202199115767144E-3</v>
      </c>
      <c r="H3005" s="29">
        <f>IF($B$2,IF(ROWS(B$6:$B3005) = 1,IF(COUNTIFS(R_Schedule_Times,"&lt;"&amp;B3005),INDEX(R_Schedule_Amounts,MATCH(B3005,R_Schedule_Times,1)),Starting_Cash),IF(COUNTIFS(R_Schedule_Times,"&gt;"&amp;B3004,R_Schedule_Times,"&lt;"&amp;B3005),INDEX(R_Schedule_Amounts,MATCH(B3005,R_Schedule_Times,1)),K3004)),"")</f>
        <v>2900</v>
      </c>
      <c r="I3005" s="30">
        <f t="shared" si="230"/>
        <v>100</v>
      </c>
      <c r="J3005" s="31">
        <f t="shared" si="231"/>
        <v>0</v>
      </c>
      <c r="K3005" s="29">
        <f t="shared" si="232"/>
        <v>2800</v>
      </c>
      <c r="L3005" s="31" t="str">
        <f t="shared" si="233"/>
        <v/>
      </c>
      <c r="M3005" s="31" t="str">
        <f t="shared" si="234"/>
        <v/>
      </c>
    </row>
    <row r="3006" spans="1:13" x14ac:dyDescent="0.15">
      <c r="A3006" s="163" t="s">
        <v>210</v>
      </c>
      <c r="B3006" s="163">
        <v>42353.767412465277</v>
      </c>
      <c r="C3006" s="164" t="s">
        <v>2500</v>
      </c>
      <c r="D3006" s="164" t="s">
        <v>13</v>
      </c>
      <c r="E3006" s="165">
        <v>100</v>
      </c>
      <c r="F3006" s="166">
        <v>0</v>
      </c>
      <c r="G3006" s="227">
        <f>IF($B$2,IF(ROWS(B$6:$B3006) = 1,$B3006-Start_Date,$B3006-$B3005),"")</f>
        <v>1.2802199053112417E-3</v>
      </c>
      <c r="H3006" s="29">
        <f>IF($B$2,IF(ROWS(B$6:$B3006) = 1,IF(COUNTIFS(R_Schedule_Times,"&lt;"&amp;B3006),INDEX(R_Schedule_Amounts,MATCH(B3006,R_Schedule_Times,1)),Starting_Cash),IF(COUNTIFS(R_Schedule_Times,"&gt;"&amp;B3005,R_Schedule_Times,"&lt;"&amp;B3006),INDEX(R_Schedule_Amounts,MATCH(B3006,R_Schedule_Times,1)),K3005)),"")</f>
        <v>2800</v>
      </c>
      <c r="I3006" s="30">
        <f t="shared" si="230"/>
        <v>100</v>
      </c>
      <c r="J3006" s="31">
        <f t="shared" si="231"/>
        <v>0</v>
      </c>
      <c r="K3006" s="29">
        <f t="shared" si="232"/>
        <v>2700</v>
      </c>
      <c r="L3006" s="31" t="str">
        <f t="shared" si="233"/>
        <v/>
      </c>
      <c r="M3006" s="31" t="str">
        <f t="shared" si="234"/>
        <v/>
      </c>
    </row>
    <row r="3007" spans="1:13" x14ac:dyDescent="0.15">
      <c r="A3007" s="163" t="s">
        <v>210</v>
      </c>
      <c r="B3007" s="163">
        <v>42353.775952592594</v>
      </c>
      <c r="C3007" s="164" t="s">
        <v>1622</v>
      </c>
      <c r="D3007" s="164" t="s">
        <v>13</v>
      </c>
      <c r="E3007" s="165">
        <v>100</v>
      </c>
      <c r="F3007" s="166">
        <v>0</v>
      </c>
      <c r="G3007" s="227">
        <f>IF($B$2,IF(ROWS(B$6:$B3007) = 1,$B3007-Start_Date,$B3007-$B3006),"")</f>
        <v>8.5401273172465153E-3</v>
      </c>
      <c r="H3007" s="29">
        <f>IF($B$2,IF(ROWS(B$6:$B3007) = 1,IF(COUNTIFS(R_Schedule_Times,"&lt;"&amp;B3007),INDEX(R_Schedule_Amounts,MATCH(B3007,R_Schedule_Times,1)),Starting_Cash),IF(COUNTIFS(R_Schedule_Times,"&gt;"&amp;B3006,R_Schedule_Times,"&lt;"&amp;B3007),INDEX(R_Schedule_Amounts,MATCH(B3007,R_Schedule_Times,1)),K3006)),"")</f>
        <v>2700</v>
      </c>
      <c r="I3007" s="30">
        <f t="shared" si="230"/>
        <v>100</v>
      </c>
      <c r="J3007" s="31">
        <f t="shared" si="231"/>
        <v>0</v>
      </c>
      <c r="K3007" s="29">
        <f t="shared" si="232"/>
        <v>2600</v>
      </c>
      <c r="L3007" s="31" t="str">
        <f t="shared" si="233"/>
        <v/>
      </c>
      <c r="M3007" s="31" t="str">
        <f t="shared" si="234"/>
        <v/>
      </c>
    </row>
    <row r="3008" spans="1:13" x14ac:dyDescent="0.15">
      <c r="A3008" s="163" t="s">
        <v>210</v>
      </c>
      <c r="B3008" s="163">
        <v>42353.781257129631</v>
      </c>
      <c r="C3008" s="164" t="s">
        <v>2501</v>
      </c>
      <c r="D3008" s="164" t="s">
        <v>13</v>
      </c>
      <c r="E3008" s="165">
        <v>100</v>
      </c>
      <c r="F3008" s="166">
        <v>0</v>
      </c>
      <c r="G3008" s="227">
        <f>IF($B$2,IF(ROWS(B$6:$B3008) = 1,$B3008-Start_Date,$B3008-$B3007),"")</f>
        <v>5.3045370368636213E-3</v>
      </c>
      <c r="H3008" s="29">
        <f>IF($B$2,IF(ROWS(B$6:$B3008) = 1,IF(COUNTIFS(R_Schedule_Times,"&lt;"&amp;B3008),INDEX(R_Schedule_Amounts,MATCH(B3008,R_Schedule_Times,1)),Starting_Cash),IF(COUNTIFS(R_Schedule_Times,"&gt;"&amp;B3007,R_Schedule_Times,"&lt;"&amp;B3008),INDEX(R_Schedule_Amounts,MATCH(B3008,R_Schedule_Times,1)),K3007)),"")</f>
        <v>2600</v>
      </c>
      <c r="I3008" s="30">
        <f t="shared" si="230"/>
        <v>100</v>
      </c>
      <c r="J3008" s="31">
        <f t="shared" si="231"/>
        <v>0</v>
      </c>
      <c r="K3008" s="29">
        <f t="shared" si="232"/>
        <v>2500</v>
      </c>
      <c r="L3008" s="31" t="str">
        <f t="shared" si="233"/>
        <v/>
      </c>
      <c r="M3008" s="31" t="str">
        <f t="shared" si="234"/>
        <v/>
      </c>
    </row>
    <row r="3009" spans="1:13" x14ac:dyDescent="0.15">
      <c r="A3009" s="163" t="s">
        <v>210</v>
      </c>
      <c r="B3009" s="163">
        <v>42353.783561736112</v>
      </c>
      <c r="C3009" s="164" t="s">
        <v>2502</v>
      </c>
      <c r="D3009" s="164" t="s">
        <v>13</v>
      </c>
      <c r="E3009" s="165">
        <v>120</v>
      </c>
      <c r="F3009" s="166">
        <v>0</v>
      </c>
      <c r="G3009" s="227">
        <f>IF($B$2,IF(ROWS(B$6:$B3009) = 1,$B3009-Start_Date,$B3009-$B3008),"")</f>
        <v>2.3046064816298895E-3</v>
      </c>
      <c r="H3009" s="29">
        <f>IF($B$2,IF(ROWS(B$6:$B3009) = 1,IF(COUNTIFS(R_Schedule_Times,"&lt;"&amp;B3009),INDEX(R_Schedule_Amounts,MATCH(B3009,R_Schedule_Times,1)),Starting_Cash),IF(COUNTIFS(R_Schedule_Times,"&gt;"&amp;B3008,R_Schedule_Times,"&lt;"&amp;B3009),INDEX(R_Schedule_Amounts,MATCH(B3009,R_Schedule_Times,1)),K3008)),"")</f>
        <v>2500</v>
      </c>
      <c r="I3009" s="30">
        <f t="shared" si="230"/>
        <v>120</v>
      </c>
      <c r="J3009" s="31">
        <f t="shared" si="231"/>
        <v>0</v>
      </c>
      <c r="K3009" s="29">
        <f t="shared" si="232"/>
        <v>2380</v>
      </c>
      <c r="L3009" s="31" t="str">
        <f t="shared" si="233"/>
        <v/>
      </c>
      <c r="M3009" s="31" t="str">
        <f t="shared" si="234"/>
        <v/>
      </c>
    </row>
    <row r="3010" spans="1:13" x14ac:dyDescent="0.15">
      <c r="A3010" s="163" t="s">
        <v>210</v>
      </c>
      <c r="B3010" s="163">
        <v>42353.784063599538</v>
      </c>
      <c r="C3010" s="164" t="s">
        <v>2503</v>
      </c>
      <c r="D3010" s="164" t="s">
        <v>13</v>
      </c>
      <c r="E3010" s="165">
        <v>80</v>
      </c>
      <c r="F3010" s="166">
        <v>0</v>
      </c>
      <c r="G3010" s="227">
        <f>IF($B$2,IF(ROWS(B$6:$B3010) = 1,$B3010-Start_Date,$B3010-$B3009),"")</f>
        <v>5.0186342559754848E-4</v>
      </c>
      <c r="H3010" s="29">
        <f>IF($B$2,IF(ROWS(B$6:$B3010) = 1,IF(COUNTIFS(R_Schedule_Times,"&lt;"&amp;B3010),INDEX(R_Schedule_Amounts,MATCH(B3010,R_Schedule_Times,1)),Starting_Cash),IF(COUNTIFS(R_Schedule_Times,"&gt;"&amp;B3009,R_Schedule_Times,"&lt;"&amp;B3010),INDEX(R_Schedule_Amounts,MATCH(B3010,R_Schedule_Times,1)),K3009)),"")</f>
        <v>2380</v>
      </c>
      <c r="I3010" s="30">
        <f t="shared" si="230"/>
        <v>80</v>
      </c>
      <c r="J3010" s="31">
        <f t="shared" si="231"/>
        <v>0</v>
      </c>
      <c r="K3010" s="29">
        <f t="shared" si="232"/>
        <v>2300</v>
      </c>
      <c r="L3010" s="31" t="str">
        <f t="shared" si="233"/>
        <v/>
      </c>
      <c r="M3010" s="31" t="str">
        <f t="shared" si="234"/>
        <v/>
      </c>
    </row>
    <row r="3011" spans="1:13" x14ac:dyDescent="0.15">
      <c r="A3011" s="163" t="s">
        <v>210</v>
      </c>
      <c r="B3011" s="163">
        <v>42353.787262986109</v>
      </c>
      <c r="C3011" s="164" t="s">
        <v>14</v>
      </c>
      <c r="D3011" s="164" t="s">
        <v>15</v>
      </c>
      <c r="E3011" s="165">
        <v>100</v>
      </c>
      <c r="F3011" s="166">
        <v>5.5</v>
      </c>
      <c r="G3011" s="227">
        <f>IF($B$2,IF(ROWS(B$6:$B3011) = 1,$B3011-Start_Date,$B3011-$B3010),"")</f>
        <v>3.1993865704862401E-3</v>
      </c>
      <c r="H3011" s="29">
        <f>IF($B$2,IF(ROWS(B$6:$B3011) = 1,IF(COUNTIFS(R_Schedule_Times,"&lt;"&amp;B3011),INDEX(R_Schedule_Amounts,MATCH(B3011,R_Schedule_Times,1)),Starting_Cash),IF(COUNTIFS(R_Schedule_Times,"&gt;"&amp;B3010,R_Schedule_Times,"&lt;"&amp;B3011),INDEX(R_Schedule_Amounts,MATCH(B3011,R_Schedule_Times,1)),K3010)),"")</f>
        <v>2300</v>
      </c>
      <c r="I3011" s="30">
        <f t="shared" si="230"/>
        <v>100</v>
      </c>
      <c r="J3011" s="31">
        <f t="shared" si="231"/>
        <v>5.5</v>
      </c>
      <c r="K3011" s="29">
        <f t="shared" si="232"/>
        <v>2200</v>
      </c>
      <c r="L3011" s="31" t="str">
        <f t="shared" si="233"/>
        <v/>
      </c>
      <c r="M3011" s="31" t="str">
        <f t="shared" si="234"/>
        <v/>
      </c>
    </row>
    <row r="3012" spans="1:13" x14ac:dyDescent="0.15">
      <c r="A3012" s="163" t="s">
        <v>210</v>
      </c>
      <c r="B3012" s="163">
        <v>42353.80159787037</v>
      </c>
      <c r="C3012" s="164" t="s">
        <v>14</v>
      </c>
      <c r="D3012" s="164" t="s">
        <v>13</v>
      </c>
      <c r="E3012" s="165">
        <v>100</v>
      </c>
      <c r="F3012" s="166">
        <v>3.5</v>
      </c>
      <c r="G3012" s="227">
        <f>IF($B$2,IF(ROWS(B$6:$B3012) = 1,$B3012-Start_Date,$B3012-$B3011),"")</f>
        <v>1.4334884261188563E-2</v>
      </c>
      <c r="H3012" s="29">
        <f>IF($B$2,IF(ROWS(B$6:$B3012) = 1,IF(COUNTIFS(R_Schedule_Times,"&lt;"&amp;B3012),INDEX(R_Schedule_Amounts,MATCH(B3012,R_Schedule_Times,1)),Starting_Cash),IF(COUNTIFS(R_Schedule_Times,"&gt;"&amp;B3011,R_Schedule_Times,"&lt;"&amp;B3012),INDEX(R_Schedule_Amounts,MATCH(B3012,R_Schedule_Times,1)),K3011)),"")</f>
        <v>2200</v>
      </c>
      <c r="I3012" s="30">
        <f t="shared" si="230"/>
        <v>100</v>
      </c>
      <c r="J3012" s="31">
        <f t="shared" si="231"/>
        <v>3.5</v>
      </c>
      <c r="K3012" s="29">
        <f t="shared" si="232"/>
        <v>2100</v>
      </c>
      <c r="L3012" s="31" t="str">
        <f t="shared" si="233"/>
        <v/>
      </c>
      <c r="M3012" s="31" t="str">
        <f t="shared" si="234"/>
        <v/>
      </c>
    </row>
    <row r="3013" spans="1:13" x14ac:dyDescent="0.15">
      <c r="A3013" s="163" t="s">
        <v>210</v>
      </c>
      <c r="B3013" s="163">
        <v>42353.848017349534</v>
      </c>
      <c r="C3013" s="164" t="s">
        <v>1069</v>
      </c>
      <c r="D3013" s="164" t="s">
        <v>13</v>
      </c>
      <c r="E3013" s="165">
        <v>100</v>
      </c>
      <c r="F3013" s="166">
        <v>0</v>
      </c>
      <c r="G3013" s="227">
        <f>IF($B$2,IF(ROWS(B$6:$B3013) = 1,$B3013-Start_Date,$B3013-$B3012),"")</f>
        <v>4.6419479163887445E-2</v>
      </c>
      <c r="H3013" s="29">
        <f>IF($B$2,IF(ROWS(B$6:$B3013) = 1,IF(COUNTIFS(R_Schedule_Times,"&lt;"&amp;B3013),INDEX(R_Schedule_Amounts,MATCH(B3013,R_Schedule_Times,1)),Starting_Cash),IF(COUNTIFS(R_Schedule_Times,"&gt;"&amp;B3012,R_Schedule_Times,"&lt;"&amp;B3013),INDEX(R_Schedule_Amounts,MATCH(B3013,R_Schedule_Times,1)),K3012)),"")</f>
        <v>2100</v>
      </c>
      <c r="I3013" s="30">
        <f t="shared" si="230"/>
        <v>100</v>
      </c>
      <c r="J3013" s="31">
        <f t="shared" si="231"/>
        <v>0</v>
      </c>
      <c r="K3013" s="29">
        <f t="shared" si="232"/>
        <v>2000</v>
      </c>
      <c r="L3013" s="31" t="str">
        <f t="shared" si="233"/>
        <v/>
      </c>
      <c r="M3013" s="31" t="str">
        <f t="shared" si="234"/>
        <v/>
      </c>
    </row>
    <row r="3014" spans="1:13" x14ac:dyDescent="0.15">
      <c r="A3014" s="163" t="s">
        <v>210</v>
      </c>
      <c r="B3014" s="163">
        <v>42353.902370949072</v>
      </c>
      <c r="C3014" s="164" t="s">
        <v>14</v>
      </c>
      <c r="D3014" s="164" t="s">
        <v>13</v>
      </c>
      <c r="E3014" s="165">
        <v>60</v>
      </c>
      <c r="F3014" s="166">
        <v>3.5</v>
      </c>
      <c r="G3014" s="227">
        <f>IF($B$2,IF(ROWS(B$6:$B3014) = 1,$B3014-Start_Date,$B3014-$B3013),"")</f>
        <v>5.4353599538444541E-2</v>
      </c>
      <c r="H3014" s="29">
        <f>IF($B$2,IF(ROWS(B$6:$B3014) = 1,IF(COUNTIFS(R_Schedule_Times,"&lt;"&amp;B3014),INDEX(R_Schedule_Amounts,MATCH(B3014,R_Schedule_Times,1)),Starting_Cash),IF(COUNTIFS(R_Schedule_Times,"&gt;"&amp;B3013,R_Schedule_Times,"&lt;"&amp;B3014),INDEX(R_Schedule_Amounts,MATCH(B3014,R_Schedule_Times,1)),K3013)),"")</f>
        <v>2000</v>
      </c>
      <c r="I3014" s="30">
        <f t="shared" si="230"/>
        <v>60</v>
      </c>
      <c r="J3014" s="31">
        <f t="shared" si="231"/>
        <v>3.5</v>
      </c>
      <c r="K3014" s="29">
        <f t="shared" si="232"/>
        <v>1940</v>
      </c>
      <c r="L3014" s="31" t="str">
        <f t="shared" si="233"/>
        <v/>
      </c>
      <c r="M3014" s="31" t="str">
        <f t="shared" si="234"/>
        <v/>
      </c>
    </row>
    <row r="3015" spans="1:13" x14ac:dyDescent="0.15">
      <c r="A3015" s="163" t="s">
        <v>210</v>
      </c>
      <c r="B3015" s="163">
        <v>42353.929878657407</v>
      </c>
      <c r="C3015" s="164" t="s">
        <v>2504</v>
      </c>
      <c r="D3015" s="164" t="s">
        <v>13</v>
      </c>
      <c r="E3015" s="165">
        <v>100</v>
      </c>
      <c r="F3015" s="166">
        <v>0</v>
      </c>
      <c r="G3015" s="227">
        <f>IF($B$2,IF(ROWS(B$6:$B3015) = 1,$B3015-Start_Date,$B3015-$B3014),"")</f>
        <v>2.7507708335178904E-2</v>
      </c>
      <c r="H3015" s="29">
        <f>IF($B$2,IF(ROWS(B$6:$B3015) = 1,IF(COUNTIFS(R_Schedule_Times,"&lt;"&amp;B3015),INDEX(R_Schedule_Amounts,MATCH(B3015,R_Schedule_Times,1)),Starting_Cash),IF(COUNTIFS(R_Schedule_Times,"&gt;"&amp;B3014,R_Schedule_Times,"&lt;"&amp;B3015),INDEX(R_Schedule_Amounts,MATCH(B3015,R_Schedule_Times,1)),K3014)),"")</f>
        <v>1940</v>
      </c>
      <c r="I3015" s="30">
        <f t="shared" ref="I3015:I3078" si="235">IF($B$2,IF(H3015&gt;=E3015,E3015,0),"")</f>
        <v>100</v>
      </c>
      <c r="J3015" s="31">
        <f t="shared" ref="J3015:J3078" si="236">IF($B$2,IF(H3015&gt;=E3015,F3015,0),"")</f>
        <v>0</v>
      </c>
      <c r="K3015" s="29">
        <f t="shared" ref="K3015:K3078" si="237">IF($B$2,ABS(I3015-H3015),"")</f>
        <v>1840</v>
      </c>
      <c r="L3015" s="31" t="str">
        <f t="shared" ref="L3015:L3078" si="238">IF($B$2,IF(H3015&lt;E3015,"YES",""),"")</f>
        <v/>
      </c>
      <c r="M3015" s="31" t="str">
        <f t="shared" ref="M3015:M3078" si="239">IF($B$2,IF(L3015="YES",F3015,""),"")</f>
        <v/>
      </c>
    </row>
    <row r="3016" spans="1:13" x14ac:dyDescent="0.15">
      <c r="A3016" s="163" t="s">
        <v>210</v>
      </c>
      <c r="B3016" s="163">
        <v>42353.934473356479</v>
      </c>
      <c r="C3016" s="164" t="s">
        <v>186</v>
      </c>
      <c r="D3016" s="164" t="s">
        <v>13</v>
      </c>
      <c r="E3016" s="165">
        <v>40</v>
      </c>
      <c r="F3016" s="166">
        <v>0</v>
      </c>
      <c r="G3016" s="227">
        <f>IF($B$2,IF(ROWS(B$6:$B3016) = 1,$B3016-Start_Date,$B3016-$B3015),"")</f>
        <v>4.5946990721859038E-3</v>
      </c>
      <c r="H3016" s="29">
        <f>IF($B$2,IF(ROWS(B$6:$B3016) = 1,IF(COUNTIFS(R_Schedule_Times,"&lt;"&amp;B3016),INDEX(R_Schedule_Amounts,MATCH(B3016,R_Schedule_Times,1)),Starting_Cash),IF(COUNTIFS(R_Schedule_Times,"&gt;"&amp;B3015,R_Schedule_Times,"&lt;"&amp;B3016),INDEX(R_Schedule_Amounts,MATCH(B3016,R_Schedule_Times,1)),K3015)),"")</f>
        <v>1840</v>
      </c>
      <c r="I3016" s="30">
        <f t="shared" si="235"/>
        <v>40</v>
      </c>
      <c r="J3016" s="31">
        <f t="shared" si="236"/>
        <v>0</v>
      </c>
      <c r="K3016" s="29">
        <f t="shared" si="237"/>
        <v>1800</v>
      </c>
      <c r="L3016" s="31" t="str">
        <f t="shared" si="238"/>
        <v/>
      </c>
      <c r="M3016" s="31" t="str">
        <f t="shared" si="239"/>
        <v/>
      </c>
    </row>
    <row r="3017" spans="1:13" x14ac:dyDescent="0.15">
      <c r="A3017" s="163" t="s">
        <v>210</v>
      </c>
      <c r="B3017" s="163">
        <v>42354.259042743055</v>
      </c>
      <c r="C3017" s="164" t="s">
        <v>2505</v>
      </c>
      <c r="D3017" s="164" t="s">
        <v>13</v>
      </c>
      <c r="E3017" s="165">
        <v>80</v>
      </c>
      <c r="F3017" s="166">
        <v>0</v>
      </c>
      <c r="G3017" s="227">
        <f>IF($B$2,IF(ROWS(B$6:$B3017) = 1,$B3017-Start_Date,$B3017-$B3016),"")</f>
        <v>0.32456938657560386</v>
      </c>
      <c r="H3017" s="29">
        <f>IF($B$2,IF(ROWS(B$6:$B3017) = 1,IF(COUNTIFS(R_Schedule_Times,"&lt;"&amp;B3017),INDEX(R_Schedule_Amounts,MATCH(B3017,R_Schedule_Times,1)),Starting_Cash),IF(COUNTIFS(R_Schedule_Times,"&gt;"&amp;B3016,R_Schedule_Times,"&lt;"&amp;B3017),INDEX(R_Schedule_Amounts,MATCH(B3017,R_Schedule_Times,1)),K3016)),"")</f>
        <v>1800</v>
      </c>
      <c r="I3017" s="30">
        <f t="shared" si="235"/>
        <v>80</v>
      </c>
      <c r="J3017" s="31">
        <f t="shared" si="236"/>
        <v>0</v>
      </c>
      <c r="K3017" s="29">
        <f t="shared" si="237"/>
        <v>1720</v>
      </c>
      <c r="L3017" s="31" t="str">
        <f t="shared" si="238"/>
        <v/>
      </c>
      <c r="M3017" s="31" t="str">
        <f t="shared" si="239"/>
        <v/>
      </c>
    </row>
    <row r="3018" spans="1:13" x14ac:dyDescent="0.15">
      <c r="A3018" s="163" t="s">
        <v>210</v>
      </c>
      <c r="B3018" s="163">
        <v>42354.327565844906</v>
      </c>
      <c r="C3018" s="164" t="s">
        <v>526</v>
      </c>
      <c r="D3018" s="164" t="s">
        <v>13</v>
      </c>
      <c r="E3018" s="165">
        <v>100</v>
      </c>
      <c r="F3018" s="166">
        <v>0</v>
      </c>
      <c r="G3018" s="227">
        <f>IF($B$2,IF(ROWS(B$6:$B3018) = 1,$B3018-Start_Date,$B3018-$B3017),"")</f>
        <v>6.8523101850587409E-2</v>
      </c>
      <c r="H3018" s="29">
        <f>IF($B$2,IF(ROWS(B$6:$B3018) = 1,IF(COUNTIFS(R_Schedule_Times,"&lt;"&amp;B3018),INDEX(R_Schedule_Amounts,MATCH(B3018,R_Schedule_Times,1)),Starting_Cash),IF(COUNTIFS(R_Schedule_Times,"&gt;"&amp;B3017,R_Schedule_Times,"&lt;"&amp;B3018),INDEX(R_Schedule_Amounts,MATCH(B3018,R_Schedule_Times,1)),K3017)),"")</f>
        <v>1720</v>
      </c>
      <c r="I3018" s="30">
        <f t="shared" si="235"/>
        <v>100</v>
      </c>
      <c r="J3018" s="31">
        <f t="shared" si="236"/>
        <v>0</v>
      </c>
      <c r="K3018" s="29">
        <f t="shared" si="237"/>
        <v>1620</v>
      </c>
      <c r="L3018" s="31" t="str">
        <f t="shared" si="238"/>
        <v/>
      </c>
      <c r="M3018" s="31" t="str">
        <f t="shared" si="239"/>
        <v/>
      </c>
    </row>
    <row r="3019" spans="1:13" x14ac:dyDescent="0.15">
      <c r="A3019" s="163" t="s">
        <v>210</v>
      </c>
      <c r="B3019" s="163">
        <v>42354.334612488427</v>
      </c>
      <c r="C3019" s="164" t="s">
        <v>2506</v>
      </c>
      <c r="D3019" s="164" t="s">
        <v>13</v>
      </c>
      <c r="E3019" s="165">
        <v>500</v>
      </c>
      <c r="F3019" s="166">
        <v>0</v>
      </c>
      <c r="G3019" s="227">
        <f>IF($B$2,IF(ROWS(B$6:$B3019) = 1,$B3019-Start_Date,$B3019-$B3018),"")</f>
        <v>7.0466435208800249E-3</v>
      </c>
      <c r="H3019" s="29">
        <f>IF($B$2,IF(ROWS(B$6:$B3019) = 1,IF(COUNTIFS(R_Schedule_Times,"&lt;"&amp;B3019),INDEX(R_Schedule_Amounts,MATCH(B3019,R_Schedule_Times,1)),Starting_Cash),IF(COUNTIFS(R_Schedule_Times,"&gt;"&amp;B3018,R_Schedule_Times,"&lt;"&amp;B3019),INDEX(R_Schedule_Amounts,MATCH(B3019,R_Schedule_Times,1)),K3018)),"")</f>
        <v>1620</v>
      </c>
      <c r="I3019" s="30">
        <f t="shared" si="235"/>
        <v>500</v>
      </c>
      <c r="J3019" s="31">
        <f t="shared" si="236"/>
        <v>0</v>
      </c>
      <c r="K3019" s="29">
        <f t="shared" si="237"/>
        <v>1120</v>
      </c>
      <c r="L3019" s="31" t="str">
        <f t="shared" si="238"/>
        <v/>
      </c>
      <c r="M3019" s="31" t="str">
        <f t="shared" si="239"/>
        <v/>
      </c>
    </row>
    <row r="3020" spans="1:13" x14ac:dyDescent="0.15">
      <c r="A3020" s="163" t="s">
        <v>210</v>
      </c>
      <c r="B3020" s="163">
        <v>42354.361735358798</v>
      </c>
      <c r="C3020" s="164" t="s">
        <v>527</v>
      </c>
      <c r="D3020" s="164" t="s">
        <v>13</v>
      </c>
      <c r="E3020" s="165">
        <v>40</v>
      </c>
      <c r="F3020" s="166">
        <v>0</v>
      </c>
      <c r="G3020" s="227">
        <f>IF($B$2,IF(ROWS(B$6:$B3020) = 1,$B3020-Start_Date,$B3020-$B3019),"")</f>
        <v>2.7122870371385943E-2</v>
      </c>
      <c r="H3020" s="29">
        <f>IF($B$2,IF(ROWS(B$6:$B3020) = 1,IF(COUNTIFS(R_Schedule_Times,"&lt;"&amp;B3020),INDEX(R_Schedule_Amounts,MATCH(B3020,R_Schedule_Times,1)),Starting_Cash),IF(COUNTIFS(R_Schedule_Times,"&gt;"&amp;B3019,R_Schedule_Times,"&lt;"&amp;B3020),INDEX(R_Schedule_Amounts,MATCH(B3020,R_Schedule_Times,1)),K3019)),"")</f>
        <v>1120</v>
      </c>
      <c r="I3020" s="30">
        <f t="shared" si="235"/>
        <v>40</v>
      </c>
      <c r="J3020" s="31">
        <f t="shared" si="236"/>
        <v>0</v>
      </c>
      <c r="K3020" s="29">
        <f t="shared" si="237"/>
        <v>1080</v>
      </c>
      <c r="L3020" s="31" t="str">
        <f t="shared" si="238"/>
        <v/>
      </c>
      <c r="M3020" s="31" t="str">
        <f t="shared" si="239"/>
        <v/>
      </c>
    </row>
    <row r="3021" spans="1:13" x14ac:dyDescent="0.15">
      <c r="A3021" s="163" t="s">
        <v>210</v>
      </c>
      <c r="B3021" s="163">
        <v>42354.36509446759</v>
      </c>
      <c r="C3021" s="164" t="s">
        <v>2507</v>
      </c>
      <c r="D3021" s="164" t="s">
        <v>13</v>
      </c>
      <c r="E3021" s="165">
        <v>160</v>
      </c>
      <c r="F3021" s="166">
        <v>0</v>
      </c>
      <c r="G3021" s="227">
        <f>IF($B$2,IF(ROWS(B$6:$B3021) = 1,$B3021-Start_Date,$B3021-$B3020),"")</f>
        <v>3.3591087922104634E-3</v>
      </c>
      <c r="H3021" s="29">
        <f>IF($B$2,IF(ROWS(B$6:$B3021) = 1,IF(COUNTIFS(R_Schedule_Times,"&lt;"&amp;B3021),INDEX(R_Schedule_Amounts,MATCH(B3021,R_Schedule_Times,1)),Starting_Cash),IF(COUNTIFS(R_Schedule_Times,"&gt;"&amp;B3020,R_Schedule_Times,"&lt;"&amp;B3021),INDEX(R_Schedule_Amounts,MATCH(B3021,R_Schedule_Times,1)),K3020)),"")</f>
        <v>1080</v>
      </c>
      <c r="I3021" s="30">
        <f t="shared" si="235"/>
        <v>160</v>
      </c>
      <c r="J3021" s="31">
        <f t="shared" si="236"/>
        <v>0</v>
      </c>
      <c r="K3021" s="29">
        <f t="shared" si="237"/>
        <v>920</v>
      </c>
      <c r="L3021" s="31" t="str">
        <f t="shared" si="238"/>
        <v/>
      </c>
      <c r="M3021" s="31" t="str">
        <f t="shared" si="239"/>
        <v/>
      </c>
    </row>
    <row r="3022" spans="1:13" x14ac:dyDescent="0.15">
      <c r="A3022" s="163" t="s">
        <v>210</v>
      </c>
      <c r="B3022" s="163">
        <v>42354.372173090276</v>
      </c>
      <c r="C3022" s="164" t="s">
        <v>2508</v>
      </c>
      <c r="D3022" s="164" t="s">
        <v>13</v>
      </c>
      <c r="E3022" s="165">
        <v>40</v>
      </c>
      <c r="F3022" s="166">
        <v>0</v>
      </c>
      <c r="G3022" s="227">
        <f>IF($B$2,IF(ROWS(B$6:$B3022) = 1,$B3022-Start_Date,$B3022-$B3021),"")</f>
        <v>7.0786226860946044E-3</v>
      </c>
      <c r="H3022" s="29">
        <f>IF($B$2,IF(ROWS(B$6:$B3022) = 1,IF(COUNTIFS(R_Schedule_Times,"&lt;"&amp;B3022),INDEX(R_Schedule_Amounts,MATCH(B3022,R_Schedule_Times,1)),Starting_Cash),IF(COUNTIFS(R_Schedule_Times,"&gt;"&amp;B3021,R_Schedule_Times,"&lt;"&amp;B3022),INDEX(R_Schedule_Amounts,MATCH(B3022,R_Schedule_Times,1)),K3021)),"")</f>
        <v>920</v>
      </c>
      <c r="I3022" s="30">
        <f t="shared" si="235"/>
        <v>40</v>
      </c>
      <c r="J3022" s="31">
        <f t="shared" si="236"/>
        <v>0</v>
      </c>
      <c r="K3022" s="29">
        <f t="shared" si="237"/>
        <v>880</v>
      </c>
      <c r="L3022" s="31" t="str">
        <f t="shared" si="238"/>
        <v/>
      </c>
      <c r="M3022" s="31" t="str">
        <f t="shared" si="239"/>
        <v/>
      </c>
    </row>
    <row r="3023" spans="1:13" x14ac:dyDescent="0.15">
      <c r="A3023" s="163" t="s">
        <v>210</v>
      </c>
      <c r="B3023" s="163">
        <v>42354.419414351854</v>
      </c>
      <c r="C3023" s="164" t="s">
        <v>2509</v>
      </c>
      <c r="D3023" s="164" t="s">
        <v>13</v>
      </c>
      <c r="E3023" s="165">
        <v>120</v>
      </c>
      <c r="F3023" s="166">
        <v>0</v>
      </c>
      <c r="G3023" s="227">
        <f>IF($B$2,IF(ROWS(B$6:$B3023) = 1,$B3023-Start_Date,$B3023-$B3022),"")</f>
        <v>4.7241261578164995E-2</v>
      </c>
      <c r="H3023" s="29">
        <f>IF($B$2,IF(ROWS(B$6:$B3023) = 1,IF(COUNTIFS(R_Schedule_Times,"&lt;"&amp;B3023),INDEX(R_Schedule_Amounts,MATCH(B3023,R_Schedule_Times,1)),Starting_Cash),IF(COUNTIFS(R_Schedule_Times,"&gt;"&amp;B3022,R_Schedule_Times,"&lt;"&amp;B3023),INDEX(R_Schedule_Amounts,MATCH(B3023,R_Schedule_Times,1)),K3022)),"")</f>
        <v>880</v>
      </c>
      <c r="I3023" s="30">
        <f t="shared" si="235"/>
        <v>120</v>
      </c>
      <c r="J3023" s="31">
        <f t="shared" si="236"/>
        <v>0</v>
      </c>
      <c r="K3023" s="29">
        <f t="shared" si="237"/>
        <v>760</v>
      </c>
      <c r="L3023" s="31" t="str">
        <f t="shared" si="238"/>
        <v/>
      </c>
      <c r="M3023" s="31" t="str">
        <f t="shared" si="239"/>
        <v/>
      </c>
    </row>
    <row r="3024" spans="1:13" x14ac:dyDescent="0.15">
      <c r="A3024" s="163" t="s">
        <v>210</v>
      </c>
      <c r="B3024" s="163">
        <v>42354.420334062503</v>
      </c>
      <c r="C3024" s="164" t="s">
        <v>2510</v>
      </c>
      <c r="D3024" s="164" t="s">
        <v>13</v>
      </c>
      <c r="E3024" s="165">
        <v>40</v>
      </c>
      <c r="F3024" s="166">
        <v>0</v>
      </c>
      <c r="G3024" s="227">
        <f>IF($B$2,IF(ROWS(B$6:$B3024) = 1,$B3024-Start_Date,$B3024-$B3023),"")</f>
        <v>9.1971064830431715E-4</v>
      </c>
      <c r="H3024" s="29">
        <f>IF($B$2,IF(ROWS(B$6:$B3024) = 1,IF(COUNTIFS(R_Schedule_Times,"&lt;"&amp;B3024),INDEX(R_Schedule_Amounts,MATCH(B3024,R_Schedule_Times,1)),Starting_Cash),IF(COUNTIFS(R_Schedule_Times,"&gt;"&amp;B3023,R_Schedule_Times,"&lt;"&amp;B3024),INDEX(R_Schedule_Amounts,MATCH(B3024,R_Schedule_Times,1)),K3023)),"")</f>
        <v>760</v>
      </c>
      <c r="I3024" s="30">
        <f t="shared" si="235"/>
        <v>40</v>
      </c>
      <c r="J3024" s="31">
        <f t="shared" si="236"/>
        <v>0</v>
      </c>
      <c r="K3024" s="29">
        <f t="shared" si="237"/>
        <v>720</v>
      </c>
      <c r="L3024" s="31" t="str">
        <f t="shared" si="238"/>
        <v/>
      </c>
      <c r="M3024" s="31" t="str">
        <f t="shared" si="239"/>
        <v/>
      </c>
    </row>
    <row r="3025" spans="1:13" x14ac:dyDescent="0.15">
      <c r="A3025" s="163" t="s">
        <v>210</v>
      </c>
      <c r="B3025" s="163">
        <v>42354.438057303239</v>
      </c>
      <c r="C3025" s="164" t="s">
        <v>2511</v>
      </c>
      <c r="D3025" s="164" t="s">
        <v>13</v>
      </c>
      <c r="E3025" s="165">
        <v>200</v>
      </c>
      <c r="F3025" s="166">
        <v>0</v>
      </c>
      <c r="G3025" s="227">
        <f>IF($B$2,IF(ROWS(B$6:$B3025) = 1,$B3025-Start_Date,$B3025-$B3024),"")</f>
        <v>1.772324073681375E-2</v>
      </c>
      <c r="H3025" s="29">
        <f>IF($B$2,IF(ROWS(B$6:$B3025) = 1,IF(COUNTIFS(R_Schedule_Times,"&lt;"&amp;B3025),INDEX(R_Schedule_Amounts,MATCH(B3025,R_Schedule_Times,1)),Starting_Cash),IF(COUNTIFS(R_Schedule_Times,"&gt;"&amp;B3024,R_Schedule_Times,"&lt;"&amp;B3025),INDEX(R_Schedule_Amounts,MATCH(B3025,R_Schedule_Times,1)),K3024)),"")</f>
        <v>720</v>
      </c>
      <c r="I3025" s="30">
        <f t="shared" si="235"/>
        <v>200</v>
      </c>
      <c r="J3025" s="31">
        <f t="shared" si="236"/>
        <v>0</v>
      </c>
      <c r="K3025" s="29">
        <f t="shared" si="237"/>
        <v>520</v>
      </c>
      <c r="L3025" s="31" t="str">
        <f t="shared" si="238"/>
        <v/>
      </c>
      <c r="M3025" s="31" t="str">
        <f t="shared" si="239"/>
        <v/>
      </c>
    </row>
    <row r="3026" spans="1:13" x14ac:dyDescent="0.15">
      <c r="A3026" s="163" t="s">
        <v>210</v>
      </c>
      <c r="B3026" s="163">
        <v>42354.464065451386</v>
      </c>
      <c r="C3026" s="164" t="s">
        <v>2512</v>
      </c>
      <c r="D3026" s="164" t="s">
        <v>13</v>
      </c>
      <c r="E3026" s="165">
        <v>60</v>
      </c>
      <c r="F3026" s="166">
        <v>0</v>
      </c>
      <c r="G3026" s="227">
        <f>IF($B$2,IF(ROWS(B$6:$B3026) = 1,$B3026-Start_Date,$B3026-$B3025),"")</f>
        <v>2.6008148146502208E-2</v>
      </c>
      <c r="H3026" s="29">
        <f>IF($B$2,IF(ROWS(B$6:$B3026) = 1,IF(COUNTIFS(R_Schedule_Times,"&lt;"&amp;B3026),INDEX(R_Schedule_Amounts,MATCH(B3026,R_Schedule_Times,1)),Starting_Cash),IF(COUNTIFS(R_Schedule_Times,"&gt;"&amp;B3025,R_Schedule_Times,"&lt;"&amp;B3026),INDEX(R_Schedule_Amounts,MATCH(B3026,R_Schedule_Times,1)),K3025)),"")</f>
        <v>520</v>
      </c>
      <c r="I3026" s="30">
        <f t="shared" si="235"/>
        <v>60</v>
      </c>
      <c r="J3026" s="31">
        <f t="shared" si="236"/>
        <v>0</v>
      </c>
      <c r="K3026" s="29">
        <f t="shared" si="237"/>
        <v>460</v>
      </c>
      <c r="L3026" s="31" t="str">
        <f t="shared" si="238"/>
        <v/>
      </c>
      <c r="M3026" s="31" t="str">
        <f t="shared" si="239"/>
        <v/>
      </c>
    </row>
    <row r="3027" spans="1:13" x14ac:dyDescent="0.15">
      <c r="A3027" s="163" t="s">
        <v>210</v>
      </c>
      <c r="B3027" s="163">
        <v>42354.46524755787</v>
      </c>
      <c r="C3027" s="164" t="s">
        <v>14</v>
      </c>
      <c r="D3027" s="164" t="s">
        <v>13</v>
      </c>
      <c r="E3027" s="165">
        <v>40</v>
      </c>
      <c r="F3027" s="166">
        <v>3.5</v>
      </c>
      <c r="G3027" s="227">
        <f>IF($B$2,IF(ROWS(B$6:$B3027) = 1,$B3027-Start_Date,$B3027-$B3026),"")</f>
        <v>1.1821064836112782E-3</v>
      </c>
      <c r="H3027" s="29">
        <f>IF($B$2,IF(ROWS(B$6:$B3027) = 1,IF(COUNTIFS(R_Schedule_Times,"&lt;"&amp;B3027),INDEX(R_Schedule_Amounts,MATCH(B3027,R_Schedule_Times,1)),Starting_Cash),IF(COUNTIFS(R_Schedule_Times,"&gt;"&amp;B3026,R_Schedule_Times,"&lt;"&amp;B3027),INDEX(R_Schedule_Amounts,MATCH(B3027,R_Schedule_Times,1)),K3026)),"")</f>
        <v>460</v>
      </c>
      <c r="I3027" s="30">
        <f t="shared" si="235"/>
        <v>40</v>
      </c>
      <c r="J3027" s="31">
        <f t="shared" si="236"/>
        <v>3.5</v>
      </c>
      <c r="K3027" s="29">
        <f t="shared" si="237"/>
        <v>420</v>
      </c>
      <c r="L3027" s="31" t="str">
        <f t="shared" si="238"/>
        <v/>
      </c>
      <c r="M3027" s="31" t="str">
        <f t="shared" si="239"/>
        <v/>
      </c>
    </row>
    <row r="3028" spans="1:13" x14ac:dyDescent="0.15">
      <c r="A3028" s="163" t="s">
        <v>210</v>
      </c>
      <c r="B3028" s="163">
        <v>42354.476632442129</v>
      </c>
      <c r="C3028" s="164" t="s">
        <v>14</v>
      </c>
      <c r="D3028" s="164" t="s">
        <v>13</v>
      </c>
      <c r="E3028" s="165">
        <v>200</v>
      </c>
      <c r="F3028" s="166">
        <v>3.5</v>
      </c>
      <c r="G3028" s="227">
        <f>IF($B$2,IF(ROWS(B$6:$B3028) = 1,$B3028-Start_Date,$B3028-$B3027),"")</f>
        <v>1.1384884259314276E-2</v>
      </c>
      <c r="H3028" s="29">
        <f>IF($B$2,IF(ROWS(B$6:$B3028) = 1,IF(COUNTIFS(R_Schedule_Times,"&lt;"&amp;B3028),INDEX(R_Schedule_Amounts,MATCH(B3028,R_Schedule_Times,1)),Starting_Cash),IF(COUNTIFS(R_Schedule_Times,"&gt;"&amp;B3027,R_Schedule_Times,"&lt;"&amp;B3028),INDEX(R_Schedule_Amounts,MATCH(B3028,R_Schedule_Times,1)),K3027)),"")</f>
        <v>420</v>
      </c>
      <c r="I3028" s="30">
        <f t="shared" si="235"/>
        <v>200</v>
      </c>
      <c r="J3028" s="31">
        <f t="shared" si="236"/>
        <v>3.5</v>
      </c>
      <c r="K3028" s="29">
        <f t="shared" si="237"/>
        <v>220</v>
      </c>
      <c r="L3028" s="31" t="str">
        <f t="shared" si="238"/>
        <v/>
      </c>
      <c r="M3028" s="31" t="str">
        <f t="shared" si="239"/>
        <v/>
      </c>
    </row>
    <row r="3029" spans="1:13" x14ac:dyDescent="0.15">
      <c r="A3029" s="163" t="s">
        <v>210</v>
      </c>
      <c r="B3029" s="163">
        <v>42354.516115486113</v>
      </c>
      <c r="C3029" s="164" t="s">
        <v>1074</v>
      </c>
      <c r="D3029" s="164" t="s">
        <v>13</v>
      </c>
      <c r="E3029" s="165">
        <v>100</v>
      </c>
      <c r="F3029" s="166">
        <v>0</v>
      </c>
      <c r="G3029" s="227">
        <f>IF($B$2,IF(ROWS(B$6:$B3029) = 1,$B3029-Start_Date,$B3029-$B3028),"")</f>
        <v>3.948304398363689E-2</v>
      </c>
      <c r="H3029" s="29">
        <f>IF($B$2,IF(ROWS(B$6:$B3029) = 1,IF(COUNTIFS(R_Schedule_Times,"&lt;"&amp;B3029),INDEX(R_Schedule_Amounts,MATCH(B3029,R_Schedule_Times,1)),Starting_Cash),IF(COUNTIFS(R_Schedule_Times,"&gt;"&amp;B3028,R_Schedule_Times,"&lt;"&amp;B3029),INDEX(R_Schedule_Amounts,MATCH(B3029,R_Schedule_Times,1)),K3028)),"")</f>
        <v>220</v>
      </c>
      <c r="I3029" s="30">
        <f t="shared" si="235"/>
        <v>100</v>
      </c>
      <c r="J3029" s="31">
        <f t="shared" si="236"/>
        <v>0</v>
      </c>
      <c r="K3029" s="29">
        <f t="shared" si="237"/>
        <v>120</v>
      </c>
      <c r="L3029" s="31" t="str">
        <f t="shared" si="238"/>
        <v/>
      </c>
      <c r="M3029" s="31" t="str">
        <f t="shared" si="239"/>
        <v/>
      </c>
    </row>
    <row r="3030" spans="1:13" x14ac:dyDescent="0.15">
      <c r="A3030" s="163" t="s">
        <v>210</v>
      </c>
      <c r="B3030" s="163">
        <v>42354.519908136572</v>
      </c>
      <c r="C3030" s="164" t="s">
        <v>2513</v>
      </c>
      <c r="D3030" s="164" t="s">
        <v>13</v>
      </c>
      <c r="E3030" s="165">
        <v>200</v>
      </c>
      <c r="F3030" s="166">
        <v>0</v>
      </c>
      <c r="G3030" s="227">
        <f>IF($B$2,IF(ROWS(B$6:$B3030) = 1,$B3030-Start_Date,$B3030-$B3029),"")</f>
        <v>3.7926504592178389E-3</v>
      </c>
      <c r="H3030" s="29">
        <f>IF($B$2,IF(ROWS(B$6:$B3030) = 1,IF(COUNTIFS(R_Schedule_Times,"&lt;"&amp;B3030),INDEX(R_Schedule_Amounts,MATCH(B3030,R_Schedule_Times,1)),Starting_Cash),IF(COUNTIFS(R_Schedule_Times,"&gt;"&amp;B3029,R_Schedule_Times,"&lt;"&amp;B3030),INDEX(R_Schedule_Amounts,MATCH(B3030,R_Schedule_Times,1)),K3029)),"")</f>
        <v>120</v>
      </c>
      <c r="I3030" s="30">
        <f t="shared" si="235"/>
        <v>0</v>
      </c>
      <c r="J3030" s="31">
        <f t="shared" si="236"/>
        <v>0</v>
      </c>
      <c r="K3030" s="29">
        <f t="shared" si="237"/>
        <v>120</v>
      </c>
      <c r="L3030" s="31" t="str">
        <f t="shared" si="238"/>
        <v>YES</v>
      </c>
      <c r="M3030" s="31">
        <f t="shared" si="239"/>
        <v>0</v>
      </c>
    </row>
    <row r="3031" spans="1:13" x14ac:dyDescent="0.15">
      <c r="A3031" s="163" t="s">
        <v>210</v>
      </c>
      <c r="B3031" s="163">
        <v>42354.535774386575</v>
      </c>
      <c r="C3031" s="164" t="s">
        <v>2514</v>
      </c>
      <c r="D3031" s="164" t="s">
        <v>13</v>
      </c>
      <c r="E3031" s="165">
        <v>180</v>
      </c>
      <c r="F3031" s="166">
        <v>0</v>
      </c>
      <c r="G3031" s="227">
        <f>IF($B$2,IF(ROWS(B$6:$B3031) = 1,$B3031-Start_Date,$B3031-$B3030),"")</f>
        <v>1.5866250003455207E-2</v>
      </c>
      <c r="H3031" s="29">
        <f>IF($B$2,IF(ROWS(B$6:$B3031) = 1,IF(COUNTIFS(R_Schedule_Times,"&lt;"&amp;B3031),INDEX(R_Schedule_Amounts,MATCH(B3031,R_Schedule_Times,1)),Starting_Cash),IF(COUNTIFS(R_Schedule_Times,"&gt;"&amp;B3030,R_Schedule_Times,"&lt;"&amp;B3031),INDEX(R_Schedule_Amounts,MATCH(B3031,R_Schedule_Times,1)),K3030)),"")</f>
        <v>120</v>
      </c>
      <c r="I3031" s="30">
        <f t="shared" si="235"/>
        <v>0</v>
      </c>
      <c r="J3031" s="31">
        <f t="shared" si="236"/>
        <v>0</v>
      </c>
      <c r="K3031" s="29">
        <f t="shared" si="237"/>
        <v>120</v>
      </c>
      <c r="L3031" s="31" t="str">
        <f t="shared" si="238"/>
        <v>YES</v>
      </c>
      <c r="M3031" s="31">
        <f t="shared" si="239"/>
        <v>0</v>
      </c>
    </row>
    <row r="3032" spans="1:13" x14ac:dyDescent="0.15">
      <c r="A3032" s="163" t="s">
        <v>210</v>
      </c>
      <c r="B3032" s="163">
        <v>42354.546020069443</v>
      </c>
      <c r="C3032" s="164" t="s">
        <v>14</v>
      </c>
      <c r="D3032" s="164" t="s">
        <v>13</v>
      </c>
      <c r="E3032" s="165">
        <v>40</v>
      </c>
      <c r="F3032" s="166">
        <v>3.5</v>
      </c>
      <c r="G3032" s="227">
        <f>IF($B$2,IF(ROWS(B$6:$B3032) = 1,$B3032-Start_Date,$B3032-$B3031),"")</f>
        <v>1.0245682868117001E-2</v>
      </c>
      <c r="H3032" s="29">
        <f>IF($B$2,IF(ROWS(B$6:$B3032) = 1,IF(COUNTIFS(R_Schedule_Times,"&lt;"&amp;B3032),INDEX(R_Schedule_Amounts,MATCH(B3032,R_Schedule_Times,1)),Starting_Cash),IF(COUNTIFS(R_Schedule_Times,"&gt;"&amp;B3031,R_Schedule_Times,"&lt;"&amp;B3032),INDEX(R_Schedule_Amounts,MATCH(B3032,R_Schedule_Times,1)),K3031)),"")</f>
        <v>120</v>
      </c>
      <c r="I3032" s="30">
        <f t="shared" si="235"/>
        <v>40</v>
      </c>
      <c r="J3032" s="31">
        <f t="shared" si="236"/>
        <v>3.5</v>
      </c>
      <c r="K3032" s="29">
        <f t="shared" si="237"/>
        <v>80</v>
      </c>
      <c r="L3032" s="31" t="str">
        <f t="shared" si="238"/>
        <v/>
      </c>
      <c r="M3032" s="31" t="str">
        <f t="shared" si="239"/>
        <v/>
      </c>
    </row>
    <row r="3033" spans="1:13" x14ac:dyDescent="0.15">
      <c r="A3033" s="163" t="s">
        <v>210</v>
      </c>
      <c r="B3033" s="163">
        <v>42354.556803310188</v>
      </c>
      <c r="C3033" s="164" t="s">
        <v>384</v>
      </c>
      <c r="D3033" s="164" t="s">
        <v>13</v>
      </c>
      <c r="E3033" s="165">
        <v>140</v>
      </c>
      <c r="F3033" s="166">
        <v>0</v>
      </c>
      <c r="G3033" s="227">
        <f>IF($B$2,IF(ROWS(B$6:$B3033) = 1,$B3033-Start_Date,$B3033-$B3032),"")</f>
        <v>1.0783240744785871E-2</v>
      </c>
      <c r="H3033" s="29">
        <f>IF($B$2,IF(ROWS(B$6:$B3033) = 1,IF(COUNTIFS(R_Schedule_Times,"&lt;"&amp;B3033),INDEX(R_Schedule_Amounts,MATCH(B3033,R_Schedule_Times,1)),Starting_Cash),IF(COUNTIFS(R_Schedule_Times,"&gt;"&amp;B3032,R_Schedule_Times,"&lt;"&amp;B3033),INDEX(R_Schedule_Amounts,MATCH(B3033,R_Schedule_Times,1)),K3032)),"")</f>
        <v>80</v>
      </c>
      <c r="I3033" s="30">
        <f t="shared" si="235"/>
        <v>0</v>
      </c>
      <c r="J3033" s="31">
        <f t="shared" si="236"/>
        <v>0</v>
      </c>
      <c r="K3033" s="29">
        <f t="shared" si="237"/>
        <v>80</v>
      </c>
      <c r="L3033" s="31" t="str">
        <f t="shared" si="238"/>
        <v>YES</v>
      </c>
      <c r="M3033" s="31">
        <f t="shared" si="239"/>
        <v>0</v>
      </c>
    </row>
    <row r="3034" spans="1:13" x14ac:dyDescent="0.15">
      <c r="A3034" s="163" t="s">
        <v>210</v>
      </c>
      <c r="B3034" s="163">
        <v>42354.563750312504</v>
      </c>
      <c r="C3034" s="164" t="s">
        <v>2515</v>
      </c>
      <c r="D3034" s="164" t="s">
        <v>13</v>
      </c>
      <c r="E3034" s="165">
        <v>80</v>
      </c>
      <c r="F3034" s="166">
        <v>0</v>
      </c>
      <c r="G3034" s="227">
        <f>IF($B$2,IF(ROWS(B$6:$B3034) = 1,$B3034-Start_Date,$B3034-$B3033),"")</f>
        <v>6.947002315428108E-3</v>
      </c>
      <c r="H3034" s="29">
        <f>IF($B$2,IF(ROWS(B$6:$B3034) = 1,IF(COUNTIFS(R_Schedule_Times,"&lt;"&amp;B3034),INDEX(R_Schedule_Amounts,MATCH(B3034,R_Schedule_Times,1)),Starting_Cash),IF(COUNTIFS(R_Schedule_Times,"&gt;"&amp;B3033,R_Schedule_Times,"&lt;"&amp;B3034),INDEX(R_Schedule_Amounts,MATCH(B3034,R_Schedule_Times,1)),K3033)),"")</f>
        <v>80</v>
      </c>
      <c r="I3034" s="30">
        <f t="shared" si="235"/>
        <v>80</v>
      </c>
      <c r="J3034" s="31">
        <f t="shared" si="236"/>
        <v>0</v>
      </c>
      <c r="K3034" s="29">
        <f t="shared" si="237"/>
        <v>0</v>
      </c>
      <c r="L3034" s="31" t="str">
        <f t="shared" si="238"/>
        <v/>
      </c>
      <c r="M3034" s="31" t="str">
        <f t="shared" si="239"/>
        <v/>
      </c>
    </row>
    <row r="3035" spans="1:13" x14ac:dyDescent="0.15">
      <c r="A3035" s="163" t="s">
        <v>210</v>
      </c>
      <c r="B3035" s="163">
        <v>42354.569931192127</v>
      </c>
      <c r="C3035" s="164" t="s">
        <v>301</v>
      </c>
      <c r="D3035" s="164" t="s">
        <v>13</v>
      </c>
      <c r="E3035" s="165">
        <v>200</v>
      </c>
      <c r="F3035" s="166">
        <v>0</v>
      </c>
      <c r="G3035" s="227">
        <f>IF($B$2,IF(ROWS(B$6:$B3035) = 1,$B3035-Start_Date,$B3035-$B3034),"")</f>
        <v>6.1808796235709451E-3</v>
      </c>
      <c r="H3035" s="29">
        <f>IF($B$2,IF(ROWS(B$6:$B3035) = 1,IF(COUNTIFS(R_Schedule_Times,"&lt;"&amp;B3035),INDEX(R_Schedule_Amounts,MATCH(B3035,R_Schedule_Times,1)),Starting_Cash),IF(COUNTIFS(R_Schedule_Times,"&gt;"&amp;B3034,R_Schedule_Times,"&lt;"&amp;B3035),INDEX(R_Schedule_Amounts,MATCH(B3035,R_Schedule_Times,1)),K3034)),"")</f>
        <v>0</v>
      </c>
      <c r="I3035" s="30">
        <f t="shared" si="235"/>
        <v>0</v>
      </c>
      <c r="J3035" s="31">
        <f t="shared" si="236"/>
        <v>0</v>
      </c>
      <c r="K3035" s="29">
        <f t="shared" si="237"/>
        <v>0</v>
      </c>
      <c r="L3035" s="31" t="str">
        <f t="shared" si="238"/>
        <v>YES</v>
      </c>
      <c r="M3035" s="31">
        <f t="shared" si="239"/>
        <v>0</v>
      </c>
    </row>
    <row r="3036" spans="1:13" x14ac:dyDescent="0.15">
      <c r="A3036" s="163" t="s">
        <v>210</v>
      </c>
      <c r="B3036" s="163">
        <v>42354.581788564814</v>
      </c>
      <c r="C3036" s="164" t="s">
        <v>2516</v>
      </c>
      <c r="D3036" s="164" t="s">
        <v>13</v>
      </c>
      <c r="E3036" s="165">
        <v>20</v>
      </c>
      <c r="F3036" s="166">
        <v>0</v>
      </c>
      <c r="G3036" s="227">
        <f>IF($B$2,IF(ROWS(B$6:$B3036) = 1,$B3036-Start_Date,$B3036-$B3035),"")</f>
        <v>1.1857372686790768E-2</v>
      </c>
      <c r="H3036" s="29">
        <f>IF($B$2,IF(ROWS(B$6:$B3036) = 1,IF(COUNTIFS(R_Schedule_Times,"&lt;"&amp;B3036),INDEX(R_Schedule_Amounts,MATCH(B3036,R_Schedule_Times,1)),Starting_Cash),IF(COUNTIFS(R_Schedule_Times,"&gt;"&amp;B3035,R_Schedule_Times,"&lt;"&amp;B3036),INDEX(R_Schedule_Amounts,MATCH(B3036,R_Schedule_Times,1)),K3035)),"")</f>
        <v>0</v>
      </c>
      <c r="I3036" s="30">
        <f t="shared" si="235"/>
        <v>0</v>
      </c>
      <c r="J3036" s="31">
        <f t="shared" si="236"/>
        <v>0</v>
      </c>
      <c r="K3036" s="29">
        <f t="shared" si="237"/>
        <v>0</v>
      </c>
      <c r="L3036" s="31" t="str">
        <f t="shared" si="238"/>
        <v>YES</v>
      </c>
      <c r="M3036" s="31">
        <f t="shared" si="239"/>
        <v>0</v>
      </c>
    </row>
    <row r="3037" spans="1:13" x14ac:dyDescent="0.15">
      <c r="A3037" s="163" t="s">
        <v>210</v>
      </c>
      <c r="B3037" s="163">
        <v>42354.589818900466</v>
      </c>
      <c r="C3037" s="164" t="s">
        <v>253</v>
      </c>
      <c r="D3037" s="164" t="s">
        <v>13</v>
      </c>
      <c r="E3037" s="165">
        <v>100</v>
      </c>
      <c r="F3037" s="166">
        <v>0</v>
      </c>
      <c r="G3037" s="227">
        <f>IF($B$2,IF(ROWS(B$6:$B3037) = 1,$B3037-Start_Date,$B3037-$B3036),"")</f>
        <v>8.0303356517106295E-3</v>
      </c>
      <c r="H3037" s="29">
        <f>IF($B$2,IF(ROWS(B$6:$B3037) = 1,IF(COUNTIFS(R_Schedule_Times,"&lt;"&amp;B3037),INDEX(R_Schedule_Amounts,MATCH(B3037,R_Schedule_Times,1)),Starting_Cash),IF(COUNTIFS(R_Schedule_Times,"&gt;"&amp;B3036,R_Schedule_Times,"&lt;"&amp;B3037),INDEX(R_Schedule_Amounts,MATCH(B3037,R_Schedule_Times,1)),K3036)),"")</f>
        <v>0</v>
      </c>
      <c r="I3037" s="30">
        <f t="shared" si="235"/>
        <v>0</v>
      </c>
      <c r="J3037" s="31">
        <f t="shared" si="236"/>
        <v>0</v>
      </c>
      <c r="K3037" s="29">
        <f t="shared" si="237"/>
        <v>0</v>
      </c>
      <c r="L3037" s="31" t="str">
        <f t="shared" si="238"/>
        <v>YES</v>
      </c>
      <c r="M3037" s="31">
        <f t="shared" si="239"/>
        <v>0</v>
      </c>
    </row>
    <row r="3038" spans="1:13" x14ac:dyDescent="0.15">
      <c r="A3038" s="163" t="s">
        <v>210</v>
      </c>
      <c r="B3038" s="163">
        <v>42354.602331921298</v>
      </c>
      <c r="C3038" s="164" t="s">
        <v>2195</v>
      </c>
      <c r="D3038" s="164" t="s">
        <v>13</v>
      </c>
      <c r="E3038" s="165">
        <v>100</v>
      </c>
      <c r="F3038" s="166">
        <v>0</v>
      </c>
      <c r="G3038" s="227">
        <f>IF($B$2,IF(ROWS(B$6:$B3038) = 1,$B3038-Start_Date,$B3038-$B3037),"")</f>
        <v>1.2513020832557231E-2</v>
      </c>
      <c r="H3038" s="29">
        <f>IF($B$2,IF(ROWS(B$6:$B3038) = 1,IF(COUNTIFS(R_Schedule_Times,"&lt;"&amp;B3038),INDEX(R_Schedule_Amounts,MATCH(B3038,R_Schedule_Times,1)),Starting_Cash),IF(COUNTIFS(R_Schedule_Times,"&gt;"&amp;B3037,R_Schedule_Times,"&lt;"&amp;B3038),INDEX(R_Schedule_Amounts,MATCH(B3038,R_Schedule_Times,1)),K3037)),"")</f>
        <v>0</v>
      </c>
      <c r="I3038" s="30">
        <f t="shared" si="235"/>
        <v>0</v>
      </c>
      <c r="J3038" s="31">
        <f t="shared" si="236"/>
        <v>0</v>
      </c>
      <c r="K3038" s="29">
        <f t="shared" si="237"/>
        <v>0</v>
      </c>
      <c r="L3038" s="31" t="str">
        <f t="shared" si="238"/>
        <v>YES</v>
      </c>
      <c r="M3038" s="31">
        <f t="shared" si="239"/>
        <v>0</v>
      </c>
    </row>
    <row r="3039" spans="1:13" x14ac:dyDescent="0.15">
      <c r="A3039" s="163" t="s">
        <v>210</v>
      </c>
      <c r="B3039" s="163">
        <v>42354.628817060184</v>
      </c>
      <c r="C3039" s="164" t="s">
        <v>14</v>
      </c>
      <c r="D3039" s="164" t="s">
        <v>13</v>
      </c>
      <c r="E3039" s="165">
        <v>100</v>
      </c>
      <c r="F3039" s="166">
        <v>3.5</v>
      </c>
      <c r="G3039" s="227">
        <f>IF($B$2,IF(ROWS(B$6:$B3039) = 1,$B3039-Start_Date,$B3039-$B3038),"")</f>
        <v>2.6485138885618653E-2</v>
      </c>
      <c r="H3039" s="29">
        <f>IF($B$2,IF(ROWS(B$6:$B3039) = 1,IF(COUNTIFS(R_Schedule_Times,"&lt;"&amp;B3039),INDEX(R_Schedule_Amounts,MATCH(B3039,R_Schedule_Times,1)),Starting_Cash),IF(COUNTIFS(R_Schedule_Times,"&gt;"&amp;B3038,R_Schedule_Times,"&lt;"&amp;B3039),INDEX(R_Schedule_Amounts,MATCH(B3039,R_Schedule_Times,1)),K3038)),"")</f>
        <v>0</v>
      </c>
      <c r="I3039" s="30">
        <f t="shared" si="235"/>
        <v>0</v>
      </c>
      <c r="J3039" s="31">
        <f t="shared" si="236"/>
        <v>0</v>
      </c>
      <c r="K3039" s="29">
        <f t="shared" si="237"/>
        <v>0</v>
      </c>
      <c r="L3039" s="31" t="str">
        <f t="shared" si="238"/>
        <v>YES</v>
      </c>
      <c r="M3039" s="31">
        <f t="shared" si="239"/>
        <v>3.5</v>
      </c>
    </row>
    <row r="3040" spans="1:13" x14ac:dyDescent="0.15">
      <c r="A3040" s="163" t="s">
        <v>210</v>
      </c>
      <c r="B3040" s="163">
        <v>42354.636074942129</v>
      </c>
      <c r="C3040" s="164" t="s">
        <v>2517</v>
      </c>
      <c r="D3040" s="164" t="s">
        <v>13</v>
      </c>
      <c r="E3040" s="165">
        <v>100</v>
      </c>
      <c r="F3040" s="166">
        <v>0</v>
      </c>
      <c r="G3040" s="227">
        <f>IF($B$2,IF(ROWS(B$6:$B3040) = 1,$B3040-Start_Date,$B3040-$B3039),"")</f>
        <v>7.2578819454065524E-3</v>
      </c>
      <c r="H3040" s="29">
        <f>IF($B$2,IF(ROWS(B$6:$B3040) = 1,IF(COUNTIFS(R_Schedule_Times,"&lt;"&amp;B3040),INDEX(R_Schedule_Amounts,MATCH(B3040,R_Schedule_Times,1)),Starting_Cash),IF(COUNTIFS(R_Schedule_Times,"&gt;"&amp;B3039,R_Schedule_Times,"&lt;"&amp;B3040),INDEX(R_Schedule_Amounts,MATCH(B3040,R_Schedule_Times,1)),K3039)),"")</f>
        <v>0</v>
      </c>
      <c r="I3040" s="30">
        <f t="shared" si="235"/>
        <v>0</v>
      </c>
      <c r="J3040" s="31">
        <f t="shared" si="236"/>
        <v>0</v>
      </c>
      <c r="K3040" s="29">
        <f t="shared" si="237"/>
        <v>0</v>
      </c>
      <c r="L3040" s="31" t="str">
        <f t="shared" si="238"/>
        <v>YES</v>
      </c>
      <c r="M3040" s="31">
        <f t="shared" si="239"/>
        <v>0</v>
      </c>
    </row>
    <row r="3041" spans="1:13" x14ac:dyDescent="0.15">
      <c r="A3041" s="163" t="s">
        <v>210</v>
      </c>
      <c r="B3041" s="163">
        <v>42354.643493831019</v>
      </c>
      <c r="C3041" s="164" t="s">
        <v>1010</v>
      </c>
      <c r="D3041" s="164" t="s">
        <v>13</v>
      </c>
      <c r="E3041" s="165">
        <v>100</v>
      </c>
      <c r="F3041" s="166">
        <v>0</v>
      </c>
      <c r="G3041" s="227">
        <f>IF($B$2,IF(ROWS(B$6:$B3041) = 1,$B3041-Start_Date,$B3041-$B3040),"")</f>
        <v>7.4188888902426697E-3</v>
      </c>
      <c r="H3041" s="29">
        <f>IF($B$2,IF(ROWS(B$6:$B3041) = 1,IF(COUNTIFS(R_Schedule_Times,"&lt;"&amp;B3041),INDEX(R_Schedule_Amounts,MATCH(B3041,R_Schedule_Times,1)),Starting_Cash),IF(COUNTIFS(R_Schedule_Times,"&gt;"&amp;B3040,R_Schedule_Times,"&lt;"&amp;B3041),INDEX(R_Schedule_Amounts,MATCH(B3041,R_Schedule_Times,1)),K3040)),"")</f>
        <v>0</v>
      </c>
      <c r="I3041" s="30">
        <f t="shared" si="235"/>
        <v>0</v>
      </c>
      <c r="J3041" s="31">
        <f t="shared" si="236"/>
        <v>0</v>
      </c>
      <c r="K3041" s="29">
        <f t="shared" si="237"/>
        <v>0</v>
      </c>
      <c r="L3041" s="31" t="str">
        <f t="shared" si="238"/>
        <v>YES</v>
      </c>
      <c r="M3041" s="31">
        <f t="shared" si="239"/>
        <v>0</v>
      </c>
    </row>
    <row r="3042" spans="1:13" x14ac:dyDescent="0.15">
      <c r="A3042" s="163" t="s">
        <v>210</v>
      </c>
      <c r="B3042" s="163">
        <v>42354.692625115742</v>
      </c>
      <c r="C3042" s="164" t="s">
        <v>2518</v>
      </c>
      <c r="D3042" s="164" t="s">
        <v>13</v>
      </c>
      <c r="E3042" s="165">
        <v>80</v>
      </c>
      <c r="F3042" s="166">
        <v>0</v>
      </c>
      <c r="G3042" s="227">
        <f>IF($B$2,IF(ROWS(B$6:$B3042) = 1,$B3042-Start_Date,$B3042-$B3041),"")</f>
        <v>4.9131284722534474E-2</v>
      </c>
      <c r="H3042" s="29">
        <f>IF($B$2,IF(ROWS(B$6:$B3042) = 1,IF(COUNTIFS(R_Schedule_Times,"&lt;"&amp;B3042),INDEX(R_Schedule_Amounts,MATCH(B3042,R_Schedule_Times,1)),Starting_Cash),IF(COUNTIFS(R_Schedule_Times,"&gt;"&amp;B3041,R_Schedule_Times,"&lt;"&amp;B3042),INDEX(R_Schedule_Amounts,MATCH(B3042,R_Schedule_Times,1)),K3041)),"")</f>
        <v>0</v>
      </c>
      <c r="I3042" s="30">
        <f t="shared" si="235"/>
        <v>0</v>
      </c>
      <c r="J3042" s="31">
        <f t="shared" si="236"/>
        <v>0</v>
      </c>
      <c r="K3042" s="29">
        <f t="shared" si="237"/>
        <v>0</v>
      </c>
      <c r="L3042" s="31" t="str">
        <f t="shared" si="238"/>
        <v>YES</v>
      </c>
      <c r="M3042" s="31">
        <f t="shared" si="239"/>
        <v>0</v>
      </c>
    </row>
    <row r="3043" spans="1:13" x14ac:dyDescent="0.15">
      <c r="A3043" s="163" t="s">
        <v>210</v>
      </c>
      <c r="B3043" s="163">
        <v>42354.703636273145</v>
      </c>
      <c r="C3043" s="164" t="s">
        <v>2519</v>
      </c>
      <c r="D3043" s="164" t="s">
        <v>13</v>
      </c>
      <c r="E3043" s="165">
        <v>100</v>
      </c>
      <c r="F3043" s="166">
        <v>0</v>
      </c>
      <c r="G3043" s="227">
        <f>IF($B$2,IF(ROWS(B$6:$B3043) = 1,$B3043-Start_Date,$B3043-$B3042),"")</f>
        <v>1.1011157403117977E-2</v>
      </c>
      <c r="H3043" s="29">
        <f>IF($B$2,IF(ROWS(B$6:$B3043) = 1,IF(COUNTIFS(R_Schedule_Times,"&lt;"&amp;B3043),INDEX(R_Schedule_Amounts,MATCH(B3043,R_Schedule_Times,1)),Starting_Cash),IF(COUNTIFS(R_Schedule_Times,"&gt;"&amp;B3042,R_Schedule_Times,"&lt;"&amp;B3043),INDEX(R_Schedule_Amounts,MATCH(B3043,R_Schedule_Times,1)),K3042)),"")</f>
        <v>0</v>
      </c>
      <c r="I3043" s="30">
        <f t="shared" si="235"/>
        <v>0</v>
      </c>
      <c r="J3043" s="31">
        <f t="shared" si="236"/>
        <v>0</v>
      </c>
      <c r="K3043" s="29">
        <f t="shared" si="237"/>
        <v>0</v>
      </c>
      <c r="L3043" s="31" t="str">
        <f t="shared" si="238"/>
        <v>YES</v>
      </c>
      <c r="M3043" s="31">
        <f t="shared" si="239"/>
        <v>0</v>
      </c>
    </row>
    <row r="3044" spans="1:13" x14ac:dyDescent="0.15">
      <c r="A3044" s="163" t="s">
        <v>210</v>
      </c>
      <c r="B3044" s="163">
        <v>42354.716119606484</v>
      </c>
      <c r="C3044" s="164" t="s">
        <v>2520</v>
      </c>
      <c r="D3044" s="164" t="s">
        <v>13</v>
      </c>
      <c r="E3044" s="165">
        <v>200</v>
      </c>
      <c r="F3044" s="166">
        <v>0</v>
      </c>
      <c r="G3044" s="227">
        <f>IF($B$2,IF(ROWS(B$6:$B3044) = 1,$B3044-Start_Date,$B3044-$B3043),"")</f>
        <v>1.2483333339332603E-2</v>
      </c>
      <c r="H3044" s="29">
        <f>IF($B$2,IF(ROWS(B$6:$B3044) = 1,IF(COUNTIFS(R_Schedule_Times,"&lt;"&amp;B3044),INDEX(R_Schedule_Amounts,MATCH(B3044,R_Schedule_Times,1)),Starting_Cash),IF(COUNTIFS(R_Schedule_Times,"&gt;"&amp;B3043,R_Schedule_Times,"&lt;"&amp;B3044),INDEX(R_Schedule_Amounts,MATCH(B3044,R_Schedule_Times,1)),K3043)),"")</f>
        <v>20000</v>
      </c>
      <c r="I3044" s="30">
        <f t="shared" si="235"/>
        <v>200</v>
      </c>
      <c r="J3044" s="31">
        <f t="shared" si="236"/>
        <v>0</v>
      </c>
      <c r="K3044" s="29">
        <f t="shared" si="237"/>
        <v>19800</v>
      </c>
      <c r="L3044" s="31" t="str">
        <f t="shared" si="238"/>
        <v/>
      </c>
      <c r="M3044" s="31" t="str">
        <f t="shared" si="239"/>
        <v/>
      </c>
    </row>
    <row r="3045" spans="1:13" x14ac:dyDescent="0.15">
      <c r="A3045" s="163" t="s">
        <v>210</v>
      </c>
      <c r="B3045" s="163">
        <v>42354.722485138889</v>
      </c>
      <c r="C3045" s="164" t="s">
        <v>2521</v>
      </c>
      <c r="D3045" s="164" t="s">
        <v>13</v>
      </c>
      <c r="E3045" s="165">
        <v>40</v>
      </c>
      <c r="F3045" s="166">
        <v>0</v>
      </c>
      <c r="G3045" s="227">
        <f>IF($B$2,IF(ROWS(B$6:$B3045) = 1,$B3045-Start_Date,$B3045-$B3044),"")</f>
        <v>6.365532404743135E-3</v>
      </c>
      <c r="H3045" s="29">
        <f>IF($B$2,IF(ROWS(B$6:$B3045) = 1,IF(COUNTIFS(R_Schedule_Times,"&lt;"&amp;B3045),INDEX(R_Schedule_Amounts,MATCH(B3045,R_Schedule_Times,1)),Starting_Cash),IF(COUNTIFS(R_Schedule_Times,"&gt;"&amp;B3044,R_Schedule_Times,"&lt;"&amp;B3045),INDEX(R_Schedule_Amounts,MATCH(B3045,R_Schedule_Times,1)),K3044)),"")</f>
        <v>19800</v>
      </c>
      <c r="I3045" s="30">
        <f t="shared" si="235"/>
        <v>40</v>
      </c>
      <c r="J3045" s="31">
        <f t="shared" si="236"/>
        <v>0</v>
      </c>
      <c r="K3045" s="29">
        <f t="shared" si="237"/>
        <v>19760</v>
      </c>
      <c r="L3045" s="31" t="str">
        <f t="shared" si="238"/>
        <v/>
      </c>
      <c r="M3045" s="31" t="str">
        <f t="shared" si="239"/>
        <v/>
      </c>
    </row>
    <row r="3046" spans="1:13" x14ac:dyDescent="0.15">
      <c r="A3046" s="163" t="s">
        <v>210</v>
      </c>
      <c r="B3046" s="163">
        <v>42354.725807777781</v>
      </c>
      <c r="C3046" s="164" t="s">
        <v>2176</v>
      </c>
      <c r="D3046" s="164" t="s">
        <v>13</v>
      </c>
      <c r="E3046" s="165">
        <v>100</v>
      </c>
      <c r="F3046" s="166">
        <v>0</v>
      </c>
      <c r="G3046" s="227">
        <f>IF($B$2,IF(ROWS(B$6:$B3046) = 1,$B3046-Start_Date,$B3046-$B3045),"")</f>
        <v>3.3226388914044946E-3</v>
      </c>
      <c r="H3046" s="29">
        <f>IF($B$2,IF(ROWS(B$6:$B3046) = 1,IF(COUNTIFS(R_Schedule_Times,"&lt;"&amp;B3046),INDEX(R_Schedule_Amounts,MATCH(B3046,R_Schedule_Times,1)),Starting_Cash),IF(COUNTIFS(R_Schedule_Times,"&gt;"&amp;B3045,R_Schedule_Times,"&lt;"&amp;B3046),INDEX(R_Schedule_Amounts,MATCH(B3046,R_Schedule_Times,1)),K3045)),"")</f>
        <v>19760</v>
      </c>
      <c r="I3046" s="30">
        <f t="shared" si="235"/>
        <v>100</v>
      </c>
      <c r="J3046" s="31">
        <f t="shared" si="236"/>
        <v>0</v>
      </c>
      <c r="K3046" s="29">
        <f t="shared" si="237"/>
        <v>19660</v>
      </c>
      <c r="L3046" s="31" t="str">
        <f t="shared" si="238"/>
        <v/>
      </c>
      <c r="M3046" s="31" t="str">
        <f t="shared" si="239"/>
        <v/>
      </c>
    </row>
    <row r="3047" spans="1:13" x14ac:dyDescent="0.15">
      <c r="A3047" s="163" t="s">
        <v>210</v>
      </c>
      <c r="B3047" s="163">
        <v>42354.740406180557</v>
      </c>
      <c r="C3047" s="164" t="s">
        <v>2522</v>
      </c>
      <c r="D3047" s="164" t="s">
        <v>13</v>
      </c>
      <c r="E3047" s="165">
        <v>100</v>
      </c>
      <c r="F3047" s="166">
        <v>0</v>
      </c>
      <c r="G3047" s="227">
        <f>IF($B$2,IF(ROWS(B$6:$B3047) = 1,$B3047-Start_Date,$B3047-$B3046),"")</f>
        <v>1.4598402776755393E-2</v>
      </c>
      <c r="H3047" s="29">
        <f>IF($B$2,IF(ROWS(B$6:$B3047) = 1,IF(COUNTIFS(R_Schedule_Times,"&lt;"&amp;B3047),INDEX(R_Schedule_Amounts,MATCH(B3047,R_Schedule_Times,1)),Starting_Cash),IF(COUNTIFS(R_Schedule_Times,"&gt;"&amp;B3046,R_Schedule_Times,"&lt;"&amp;B3047),INDEX(R_Schedule_Amounts,MATCH(B3047,R_Schedule_Times,1)),K3046)),"")</f>
        <v>19660</v>
      </c>
      <c r="I3047" s="30">
        <f t="shared" si="235"/>
        <v>100</v>
      </c>
      <c r="J3047" s="31">
        <f t="shared" si="236"/>
        <v>0</v>
      </c>
      <c r="K3047" s="29">
        <f t="shared" si="237"/>
        <v>19560</v>
      </c>
      <c r="L3047" s="31" t="str">
        <f t="shared" si="238"/>
        <v/>
      </c>
      <c r="M3047" s="31" t="str">
        <f t="shared" si="239"/>
        <v/>
      </c>
    </row>
    <row r="3048" spans="1:13" x14ac:dyDescent="0.15">
      <c r="A3048" s="163" t="s">
        <v>210</v>
      </c>
      <c r="B3048" s="163">
        <v>42354.744857916667</v>
      </c>
      <c r="C3048" s="164" t="s">
        <v>2523</v>
      </c>
      <c r="D3048" s="164" t="s">
        <v>13</v>
      </c>
      <c r="E3048" s="165">
        <v>80</v>
      </c>
      <c r="F3048" s="166">
        <v>0</v>
      </c>
      <c r="G3048" s="227">
        <f>IF($B$2,IF(ROWS(B$6:$B3048) = 1,$B3048-Start_Date,$B3048-$B3047),"")</f>
        <v>4.4517361093312502E-3</v>
      </c>
      <c r="H3048" s="29">
        <f>IF($B$2,IF(ROWS(B$6:$B3048) = 1,IF(COUNTIFS(R_Schedule_Times,"&lt;"&amp;B3048),INDEX(R_Schedule_Amounts,MATCH(B3048,R_Schedule_Times,1)),Starting_Cash),IF(COUNTIFS(R_Schedule_Times,"&gt;"&amp;B3047,R_Schedule_Times,"&lt;"&amp;B3048),INDEX(R_Schedule_Amounts,MATCH(B3048,R_Schedule_Times,1)),K3047)),"")</f>
        <v>19560</v>
      </c>
      <c r="I3048" s="30">
        <f t="shared" si="235"/>
        <v>80</v>
      </c>
      <c r="J3048" s="31">
        <f t="shared" si="236"/>
        <v>0</v>
      </c>
      <c r="K3048" s="29">
        <f t="shared" si="237"/>
        <v>19480</v>
      </c>
      <c r="L3048" s="31" t="str">
        <f t="shared" si="238"/>
        <v/>
      </c>
      <c r="M3048" s="31" t="str">
        <f t="shared" si="239"/>
        <v/>
      </c>
    </row>
    <row r="3049" spans="1:13" x14ac:dyDescent="0.15">
      <c r="A3049" s="163" t="s">
        <v>210</v>
      </c>
      <c r="B3049" s="163">
        <v>42354.768213136573</v>
      </c>
      <c r="C3049" s="164" t="s">
        <v>2524</v>
      </c>
      <c r="D3049" s="164" t="s">
        <v>13</v>
      </c>
      <c r="E3049" s="165">
        <v>80</v>
      </c>
      <c r="F3049" s="166">
        <v>0</v>
      </c>
      <c r="G3049" s="227">
        <f>IF($B$2,IF(ROWS(B$6:$B3049) = 1,$B3049-Start_Date,$B3049-$B3048),"")</f>
        <v>2.3355219906079583E-2</v>
      </c>
      <c r="H3049" s="29">
        <f>IF($B$2,IF(ROWS(B$6:$B3049) = 1,IF(COUNTIFS(R_Schedule_Times,"&lt;"&amp;B3049),INDEX(R_Schedule_Amounts,MATCH(B3049,R_Schedule_Times,1)),Starting_Cash),IF(COUNTIFS(R_Schedule_Times,"&gt;"&amp;B3048,R_Schedule_Times,"&lt;"&amp;B3049),INDEX(R_Schedule_Amounts,MATCH(B3049,R_Schedule_Times,1)),K3048)),"")</f>
        <v>19480</v>
      </c>
      <c r="I3049" s="30">
        <f t="shared" si="235"/>
        <v>80</v>
      </c>
      <c r="J3049" s="31">
        <f t="shared" si="236"/>
        <v>0</v>
      </c>
      <c r="K3049" s="29">
        <f t="shared" si="237"/>
        <v>19400</v>
      </c>
      <c r="L3049" s="31" t="str">
        <f t="shared" si="238"/>
        <v/>
      </c>
      <c r="M3049" s="31" t="str">
        <f t="shared" si="239"/>
        <v/>
      </c>
    </row>
    <row r="3050" spans="1:13" x14ac:dyDescent="0.15">
      <c r="A3050" s="163" t="s">
        <v>210</v>
      </c>
      <c r="B3050" s="163">
        <v>42354.78080320602</v>
      </c>
      <c r="C3050" s="164" t="s">
        <v>528</v>
      </c>
      <c r="D3050" s="164" t="s">
        <v>13</v>
      </c>
      <c r="E3050" s="165">
        <v>60</v>
      </c>
      <c r="F3050" s="166">
        <v>0</v>
      </c>
      <c r="G3050" s="227">
        <f>IF($B$2,IF(ROWS(B$6:$B3050) = 1,$B3050-Start_Date,$B3050-$B3049),"")</f>
        <v>1.2590069447469432E-2</v>
      </c>
      <c r="H3050" s="29">
        <f>IF($B$2,IF(ROWS(B$6:$B3050) = 1,IF(COUNTIFS(R_Schedule_Times,"&lt;"&amp;B3050),INDEX(R_Schedule_Amounts,MATCH(B3050,R_Schedule_Times,1)),Starting_Cash),IF(COUNTIFS(R_Schedule_Times,"&gt;"&amp;B3049,R_Schedule_Times,"&lt;"&amp;B3050),INDEX(R_Schedule_Amounts,MATCH(B3050,R_Schedule_Times,1)),K3049)),"")</f>
        <v>19400</v>
      </c>
      <c r="I3050" s="30">
        <f t="shared" si="235"/>
        <v>60</v>
      </c>
      <c r="J3050" s="31">
        <f t="shared" si="236"/>
        <v>0</v>
      </c>
      <c r="K3050" s="29">
        <f t="shared" si="237"/>
        <v>19340</v>
      </c>
      <c r="L3050" s="31" t="str">
        <f t="shared" si="238"/>
        <v/>
      </c>
      <c r="M3050" s="31" t="str">
        <f t="shared" si="239"/>
        <v/>
      </c>
    </row>
    <row r="3051" spans="1:13" x14ac:dyDescent="0.15">
      <c r="A3051" s="163" t="s">
        <v>210</v>
      </c>
      <c r="B3051" s="163">
        <v>42354.787186793983</v>
      </c>
      <c r="C3051" s="164" t="s">
        <v>2525</v>
      </c>
      <c r="D3051" s="164" t="s">
        <v>13</v>
      </c>
      <c r="E3051" s="165">
        <v>40</v>
      </c>
      <c r="F3051" s="166">
        <v>0</v>
      </c>
      <c r="G3051" s="227">
        <f>IF($B$2,IF(ROWS(B$6:$B3051) = 1,$B3051-Start_Date,$B3051-$B3050),"")</f>
        <v>6.3835879627731629E-3</v>
      </c>
      <c r="H3051" s="29">
        <f>IF($B$2,IF(ROWS(B$6:$B3051) = 1,IF(COUNTIFS(R_Schedule_Times,"&lt;"&amp;B3051),INDEX(R_Schedule_Amounts,MATCH(B3051,R_Schedule_Times,1)),Starting_Cash),IF(COUNTIFS(R_Schedule_Times,"&gt;"&amp;B3050,R_Schedule_Times,"&lt;"&amp;B3051),INDEX(R_Schedule_Amounts,MATCH(B3051,R_Schedule_Times,1)),K3050)),"")</f>
        <v>19340</v>
      </c>
      <c r="I3051" s="30">
        <f t="shared" si="235"/>
        <v>40</v>
      </c>
      <c r="J3051" s="31">
        <f t="shared" si="236"/>
        <v>0</v>
      </c>
      <c r="K3051" s="29">
        <f t="shared" si="237"/>
        <v>19300</v>
      </c>
      <c r="L3051" s="31" t="str">
        <f t="shared" si="238"/>
        <v/>
      </c>
      <c r="M3051" s="31" t="str">
        <f t="shared" si="239"/>
        <v/>
      </c>
    </row>
    <row r="3052" spans="1:13" x14ac:dyDescent="0.15">
      <c r="A3052" s="163" t="s">
        <v>210</v>
      </c>
      <c r="B3052" s="163">
        <v>42354.7903371875</v>
      </c>
      <c r="C3052" s="164" t="s">
        <v>14</v>
      </c>
      <c r="D3052" s="164" t="s">
        <v>13</v>
      </c>
      <c r="E3052" s="165">
        <v>100</v>
      </c>
      <c r="F3052" s="166">
        <v>3.5</v>
      </c>
      <c r="G3052" s="227">
        <f>IF($B$2,IF(ROWS(B$6:$B3052) = 1,$B3052-Start_Date,$B3052-$B3051),"")</f>
        <v>3.1503935169894248E-3</v>
      </c>
      <c r="H3052" s="29">
        <f>IF($B$2,IF(ROWS(B$6:$B3052) = 1,IF(COUNTIFS(R_Schedule_Times,"&lt;"&amp;B3052),INDEX(R_Schedule_Amounts,MATCH(B3052,R_Schedule_Times,1)),Starting_Cash),IF(COUNTIFS(R_Schedule_Times,"&gt;"&amp;B3051,R_Schedule_Times,"&lt;"&amp;B3052),INDEX(R_Schedule_Amounts,MATCH(B3052,R_Schedule_Times,1)),K3051)),"")</f>
        <v>19300</v>
      </c>
      <c r="I3052" s="30">
        <f t="shared" si="235"/>
        <v>100</v>
      </c>
      <c r="J3052" s="31">
        <f t="shared" si="236"/>
        <v>3.5</v>
      </c>
      <c r="K3052" s="29">
        <f t="shared" si="237"/>
        <v>19200</v>
      </c>
      <c r="L3052" s="31" t="str">
        <f t="shared" si="238"/>
        <v/>
      </c>
      <c r="M3052" s="31" t="str">
        <f t="shared" si="239"/>
        <v/>
      </c>
    </row>
    <row r="3053" spans="1:13" x14ac:dyDescent="0.15">
      <c r="A3053" s="163" t="s">
        <v>210</v>
      </c>
      <c r="B3053" s="163">
        <v>42355.007269016205</v>
      </c>
      <c r="C3053" s="164" t="s">
        <v>2526</v>
      </c>
      <c r="D3053" s="164" t="s">
        <v>13</v>
      </c>
      <c r="E3053" s="165">
        <v>40</v>
      </c>
      <c r="F3053" s="166">
        <v>0</v>
      </c>
      <c r="G3053" s="227">
        <f>IF($B$2,IF(ROWS(B$6:$B3053) = 1,$B3053-Start_Date,$B3053-$B3052),"")</f>
        <v>0.21693182870512828</v>
      </c>
      <c r="H3053" s="29">
        <f>IF($B$2,IF(ROWS(B$6:$B3053) = 1,IF(COUNTIFS(R_Schedule_Times,"&lt;"&amp;B3053),INDEX(R_Schedule_Amounts,MATCH(B3053,R_Schedule_Times,1)),Starting_Cash),IF(COUNTIFS(R_Schedule_Times,"&gt;"&amp;B3052,R_Schedule_Times,"&lt;"&amp;B3053),INDEX(R_Schedule_Amounts,MATCH(B3053,R_Schedule_Times,1)),K3052)),"")</f>
        <v>19200</v>
      </c>
      <c r="I3053" s="30">
        <f t="shared" si="235"/>
        <v>40</v>
      </c>
      <c r="J3053" s="31">
        <f t="shared" si="236"/>
        <v>0</v>
      </c>
      <c r="K3053" s="29">
        <f t="shared" si="237"/>
        <v>19160</v>
      </c>
      <c r="L3053" s="31" t="str">
        <f t="shared" si="238"/>
        <v/>
      </c>
      <c r="M3053" s="31" t="str">
        <f t="shared" si="239"/>
        <v/>
      </c>
    </row>
    <row r="3054" spans="1:13" x14ac:dyDescent="0.15">
      <c r="A3054" s="163" t="s">
        <v>210</v>
      </c>
      <c r="B3054" s="163">
        <v>42355.225175208332</v>
      </c>
      <c r="C3054" s="164" t="s">
        <v>1116</v>
      </c>
      <c r="D3054" s="164" t="s">
        <v>13</v>
      </c>
      <c r="E3054" s="165">
        <v>100</v>
      </c>
      <c r="F3054" s="166">
        <v>0</v>
      </c>
      <c r="G3054" s="227">
        <f>IF($B$2,IF(ROWS(B$6:$B3054) = 1,$B3054-Start_Date,$B3054-$B3053),"")</f>
        <v>0.21790619212697493</v>
      </c>
      <c r="H3054" s="29">
        <f>IF($B$2,IF(ROWS(B$6:$B3054) = 1,IF(COUNTIFS(R_Schedule_Times,"&lt;"&amp;B3054),INDEX(R_Schedule_Amounts,MATCH(B3054,R_Schedule_Times,1)),Starting_Cash),IF(COUNTIFS(R_Schedule_Times,"&gt;"&amp;B3053,R_Schedule_Times,"&lt;"&amp;B3054),INDEX(R_Schedule_Amounts,MATCH(B3054,R_Schedule_Times,1)),K3053)),"")</f>
        <v>19160</v>
      </c>
      <c r="I3054" s="30">
        <f t="shared" si="235"/>
        <v>100</v>
      </c>
      <c r="J3054" s="31">
        <f t="shared" si="236"/>
        <v>0</v>
      </c>
      <c r="K3054" s="29">
        <f t="shared" si="237"/>
        <v>19060</v>
      </c>
      <c r="L3054" s="31" t="str">
        <f t="shared" si="238"/>
        <v/>
      </c>
      <c r="M3054" s="31" t="str">
        <f t="shared" si="239"/>
        <v/>
      </c>
    </row>
    <row r="3055" spans="1:13" x14ac:dyDescent="0.15">
      <c r="A3055" s="163" t="s">
        <v>210</v>
      </c>
      <c r="B3055" s="163">
        <v>42355.240193414349</v>
      </c>
      <c r="C3055" s="164" t="s">
        <v>1809</v>
      </c>
      <c r="D3055" s="164" t="s">
        <v>13</v>
      </c>
      <c r="E3055" s="165">
        <v>100</v>
      </c>
      <c r="F3055" s="166">
        <v>0</v>
      </c>
      <c r="G3055" s="227">
        <f>IF($B$2,IF(ROWS(B$6:$B3055) = 1,$B3055-Start_Date,$B3055-$B3054),"")</f>
        <v>1.5018206016975455E-2</v>
      </c>
      <c r="H3055" s="29">
        <f>IF($B$2,IF(ROWS(B$6:$B3055) = 1,IF(COUNTIFS(R_Schedule_Times,"&lt;"&amp;B3055),INDEX(R_Schedule_Amounts,MATCH(B3055,R_Schedule_Times,1)),Starting_Cash),IF(COUNTIFS(R_Schedule_Times,"&gt;"&amp;B3054,R_Schedule_Times,"&lt;"&amp;B3055),INDEX(R_Schedule_Amounts,MATCH(B3055,R_Schedule_Times,1)),K3054)),"")</f>
        <v>19060</v>
      </c>
      <c r="I3055" s="30">
        <f t="shared" si="235"/>
        <v>100</v>
      </c>
      <c r="J3055" s="31">
        <f t="shared" si="236"/>
        <v>0</v>
      </c>
      <c r="K3055" s="29">
        <f t="shared" si="237"/>
        <v>18960</v>
      </c>
      <c r="L3055" s="31" t="str">
        <f t="shared" si="238"/>
        <v/>
      </c>
      <c r="M3055" s="31" t="str">
        <f t="shared" si="239"/>
        <v/>
      </c>
    </row>
    <row r="3056" spans="1:13" x14ac:dyDescent="0.15">
      <c r="A3056" s="163" t="s">
        <v>210</v>
      </c>
      <c r="B3056" s="163">
        <v>42355.350386817132</v>
      </c>
      <c r="C3056" s="164" t="s">
        <v>2512</v>
      </c>
      <c r="D3056" s="164" t="s">
        <v>13</v>
      </c>
      <c r="E3056" s="165">
        <v>40</v>
      </c>
      <c r="F3056" s="166">
        <v>0</v>
      </c>
      <c r="G3056" s="227">
        <f>IF($B$2,IF(ROWS(B$6:$B3056) = 1,$B3056-Start_Date,$B3056-$B3055),"")</f>
        <v>0.11019340278289746</v>
      </c>
      <c r="H3056" s="29">
        <f>IF($B$2,IF(ROWS(B$6:$B3056) = 1,IF(COUNTIFS(R_Schedule_Times,"&lt;"&amp;B3056),INDEX(R_Schedule_Amounts,MATCH(B3056,R_Schedule_Times,1)),Starting_Cash),IF(COUNTIFS(R_Schedule_Times,"&gt;"&amp;B3055,R_Schedule_Times,"&lt;"&amp;B3056),INDEX(R_Schedule_Amounts,MATCH(B3056,R_Schedule_Times,1)),K3055)),"")</f>
        <v>18960</v>
      </c>
      <c r="I3056" s="30">
        <f t="shared" si="235"/>
        <v>40</v>
      </c>
      <c r="J3056" s="31">
        <f t="shared" si="236"/>
        <v>0</v>
      </c>
      <c r="K3056" s="29">
        <f t="shared" si="237"/>
        <v>18920</v>
      </c>
      <c r="L3056" s="31" t="str">
        <f t="shared" si="238"/>
        <v/>
      </c>
      <c r="M3056" s="31" t="str">
        <f t="shared" si="239"/>
        <v/>
      </c>
    </row>
    <row r="3057" spans="1:13" x14ac:dyDescent="0.15">
      <c r="A3057" s="163" t="s">
        <v>210</v>
      </c>
      <c r="B3057" s="163">
        <v>42355.381934016201</v>
      </c>
      <c r="C3057" s="164" t="s">
        <v>2527</v>
      </c>
      <c r="D3057" s="164" t="s">
        <v>13</v>
      </c>
      <c r="E3057" s="165">
        <v>60</v>
      </c>
      <c r="F3057" s="166">
        <v>0</v>
      </c>
      <c r="G3057" s="227">
        <f>IF($B$2,IF(ROWS(B$6:$B3057) = 1,$B3057-Start_Date,$B3057-$B3056),"")</f>
        <v>3.1547199068882037E-2</v>
      </c>
      <c r="H3057" s="29">
        <f>IF($B$2,IF(ROWS(B$6:$B3057) = 1,IF(COUNTIFS(R_Schedule_Times,"&lt;"&amp;B3057),INDEX(R_Schedule_Amounts,MATCH(B3057,R_Schedule_Times,1)),Starting_Cash),IF(COUNTIFS(R_Schedule_Times,"&gt;"&amp;B3056,R_Schedule_Times,"&lt;"&amp;B3057),INDEX(R_Schedule_Amounts,MATCH(B3057,R_Schedule_Times,1)),K3056)),"")</f>
        <v>18920</v>
      </c>
      <c r="I3057" s="30">
        <f t="shared" si="235"/>
        <v>60</v>
      </c>
      <c r="J3057" s="31">
        <f t="shared" si="236"/>
        <v>0</v>
      </c>
      <c r="K3057" s="29">
        <f t="shared" si="237"/>
        <v>18860</v>
      </c>
      <c r="L3057" s="31" t="str">
        <f t="shared" si="238"/>
        <v/>
      </c>
      <c r="M3057" s="31" t="str">
        <f t="shared" si="239"/>
        <v/>
      </c>
    </row>
    <row r="3058" spans="1:13" x14ac:dyDescent="0.15">
      <c r="A3058" s="163" t="s">
        <v>210</v>
      </c>
      <c r="B3058" s="163">
        <v>42355.444687581017</v>
      </c>
      <c r="C3058" s="164" t="s">
        <v>2528</v>
      </c>
      <c r="D3058" s="164" t="s">
        <v>13</v>
      </c>
      <c r="E3058" s="165">
        <v>100</v>
      </c>
      <c r="F3058" s="166">
        <v>0</v>
      </c>
      <c r="G3058" s="227">
        <f>IF($B$2,IF(ROWS(B$6:$B3058) = 1,$B3058-Start_Date,$B3058-$B3057),"")</f>
        <v>6.2753564816375729E-2</v>
      </c>
      <c r="H3058" s="29">
        <f>IF($B$2,IF(ROWS(B$6:$B3058) = 1,IF(COUNTIFS(R_Schedule_Times,"&lt;"&amp;B3058),INDEX(R_Schedule_Amounts,MATCH(B3058,R_Schedule_Times,1)),Starting_Cash),IF(COUNTIFS(R_Schedule_Times,"&gt;"&amp;B3057,R_Schedule_Times,"&lt;"&amp;B3058),INDEX(R_Schedule_Amounts,MATCH(B3058,R_Schedule_Times,1)),K3057)),"")</f>
        <v>18860</v>
      </c>
      <c r="I3058" s="30">
        <f t="shared" si="235"/>
        <v>100</v>
      </c>
      <c r="J3058" s="31">
        <f t="shared" si="236"/>
        <v>0</v>
      </c>
      <c r="K3058" s="29">
        <f t="shared" si="237"/>
        <v>18760</v>
      </c>
      <c r="L3058" s="31" t="str">
        <f t="shared" si="238"/>
        <v/>
      </c>
      <c r="M3058" s="31" t="str">
        <f t="shared" si="239"/>
        <v/>
      </c>
    </row>
    <row r="3059" spans="1:13" x14ac:dyDescent="0.15">
      <c r="A3059" s="163" t="s">
        <v>210</v>
      </c>
      <c r="B3059" s="163">
        <v>42355.458601840277</v>
      </c>
      <c r="C3059" s="164" t="s">
        <v>2529</v>
      </c>
      <c r="D3059" s="164" t="s">
        <v>13</v>
      </c>
      <c r="E3059" s="165">
        <v>100</v>
      </c>
      <c r="F3059" s="166">
        <v>0</v>
      </c>
      <c r="G3059" s="227">
        <f>IF($B$2,IF(ROWS(B$6:$B3059) = 1,$B3059-Start_Date,$B3059-$B3058),"")</f>
        <v>1.3914259259763639E-2</v>
      </c>
      <c r="H3059" s="29">
        <f>IF($B$2,IF(ROWS(B$6:$B3059) = 1,IF(COUNTIFS(R_Schedule_Times,"&lt;"&amp;B3059),INDEX(R_Schedule_Amounts,MATCH(B3059,R_Schedule_Times,1)),Starting_Cash),IF(COUNTIFS(R_Schedule_Times,"&gt;"&amp;B3058,R_Schedule_Times,"&lt;"&amp;B3059),INDEX(R_Schedule_Amounts,MATCH(B3059,R_Schedule_Times,1)),K3058)),"")</f>
        <v>18760</v>
      </c>
      <c r="I3059" s="30">
        <f t="shared" si="235"/>
        <v>100</v>
      </c>
      <c r="J3059" s="31">
        <f t="shared" si="236"/>
        <v>0</v>
      </c>
      <c r="K3059" s="29">
        <f t="shared" si="237"/>
        <v>18660</v>
      </c>
      <c r="L3059" s="31" t="str">
        <f t="shared" si="238"/>
        <v/>
      </c>
      <c r="M3059" s="31" t="str">
        <f t="shared" si="239"/>
        <v/>
      </c>
    </row>
    <row r="3060" spans="1:13" x14ac:dyDescent="0.15">
      <c r="A3060" s="163" t="s">
        <v>210</v>
      </c>
      <c r="B3060" s="163">
        <v>42355.472026504627</v>
      </c>
      <c r="C3060" s="164" t="s">
        <v>1872</v>
      </c>
      <c r="D3060" s="164" t="s">
        <v>13</v>
      </c>
      <c r="E3060" s="165">
        <v>100</v>
      </c>
      <c r="F3060" s="166">
        <v>0</v>
      </c>
      <c r="G3060" s="227">
        <f>IF($B$2,IF(ROWS(B$6:$B3060) = 1,$B3060-Start_Date,$B3060-$B3059),"")</f>
        <v>1.3424664350168314E-2</v>
      </c>
      <c r="H3060" s="29">
        <f>IF($B$2,IF(ROWS(B$6:$B3060) = 1,IF(COUNTIFS(R_Schedule_Times,"&lt;"&amp;B3060),INDEX(R_Schedule_Amounts,MATCH(B3060,R_Schedule_Times,1)),Starting_Cash),IF(COUNTIFS(R_Schedule_Times,"&gt;"&amp;B3059,R_Schedule_Times,"&lt;"&amp;B3060),INDEX(R_Schedule_Amounts,MATCH(B3060,R_Schedule_Times,1)),K3059)),"")</f>
        <v>18660</v>
      </c>
      <c r="I3060" s="30">
        <f t="shared" si="235"/>
        <v>100</v>
      </c>
      <c r="J3060" s="31">
        <f t="shared" si="236"/>
        <v>0</v>
      </c>
      <c r="K3060" s="29">
        <f t="shared" si="237"/>
        <v>18560</v>
      </c>
      <c r="L3060" s="31" t="str">
        <f t="shared" si="238"/>
        <v/>
      </c>
      <c r="M3060" s="31" t="str">
        <f t="shared" si="239"/>
        <v/>
      </c>
    </row>
    <row r="3061" spans="1:13" x14ac:dyDescent="0.15">
      <c r="A3061" s="163" t="s">
        <v>210</v>
      </c>
      <c r="B3061" s="163">
        <v>42355.487728460648</v>
      </c>
      <c r="C3061" s="164" t="s">
        <v>529</v>
      </c>
      <c r="D3061" s="164" t="s">
        <v>13</v>
      </c>
      <c r="E3061" s="165">
        <v>40</v>
      </c>
      <c r="F3061" s="166">
        <v>0</v>
      </c>
      <c r="G3061" s="227">
        <f>IF($B$2,IF(ROWS(B$6:$B3061) = 1,$B3061-Start_Date,$B3061-$B3060),"")</f>
        <v>1.5701956021075603E-2</v>
      </c>
      <c r="H3061" s="29">
        <f>IF($B$2,IF(ROWS(B$6:$B3061) = 1,IF(COUNTIFS(R_Schedule_Times,"&lt;"&amp;B3061),INDEX(R_Schedule_Amounts,MATCH(B3061,R_Schedule_Times,1)),Starting_Cash),IF(COUNTIFS(R_Schedule_Times,"&gt;"&amp;B3060,R_Schedule_Times,"&lt;"&amp;B3061),INDEX(R_Schedule_Amounts,MATCH(B3061,R_Schedule_Times,1)),K3060)),"")</f>
        <v>18560</v>
      </c>
      <c r="I3061" s="30">
        <f t="shared" si="235"/>
        <v>40</v>
      </c>
      <c r="J3061" s="31">
        <f t="shared" si="236"/>
        <v>0</v>
      </c>
      <c r="K3061" s="29">
        <f t="shared" si="237"/>
        <v>18520</v>
      </c>
      <c r="L3061" s="31" t="str">
        <f t="shared" si="238"/>
        <v/>
      </c>
      <c r="M3061" s="31" t="str">
        <f t="shared" si="239"/>
        <v/>
      </c>
    </row>
    <row r="3062" spans="1:13" x14ac:dyDescent="0.15">
      <c r="A3062" s="163" t="s">
        <v>210</v>
      </c>
      <c r="B3062" s="163">
        <v>42355.498423923615</v>
      </c>
      <c r="C3062" s="164" t="s">
        <v>2530</v>
      </c>
      <c r="D3062" s="164" t="s">
        <v>13</v>
      </c>
      <c r="E3062" s="165">
        <v>60</v>
      </c>
      <c r="F3062" s="166">
        <v>0</v>
      </c>
      <c r="G3062" s="227">
        <f>IF($B$2,IF(ROWS(B$6:$B3062) = 1,$B3062-Start_Date,$B3062-$B3061),"")</f>
        <v>1.0695462966396008E-2</v>
      </c>
      <c r="H3062" s="29">
        <f>IF($B$2,IF(ROWS(B$6:$B3062) = 1,IF(COUNTIFS(R_Schedule_Times,"&lt;"&amp;B3062),INDEX(R_Schedule_Amounts,MATCH(B3062,R_Schedule_Times,1)),Starting_Cash),IF(COUNTIFS(R_Schedule_Times,"&gt;"&amp;B3061,R_Schedule_Times,"&lt;"&amp;B3062),INDEX(R_Schedule_Amounts,MATCH(B3062,R_Schedule_Times,1)),K3061)),"")</f>
        <v>18520</v>
      </c>
      <c r="I3062" s="30">
        <f t="shared" si="235"/>
        <v>60</v>
      </c>
      <c r="J3062" s="31">
        <f t="shared" si="236"/>
        <v>0</v>
      </c>
      <c r="K3062" s="29">
        <f t="shared" si="237"/>
        <v>18460</v>
      </c>
      <c r="L3062" s="31" t="str">
        <f t="shared" si="238"/>
        <v/>
      </c>
      <c r="M3062" s="31" t="str">
        <f t="shared" si="239"/>
        <v/>
      </c>
    </row>
    <row r="3063" spans="1:13" x14ac:dyDescent="0.15">
      <c r="A3063" s="163" t="s">
        <v>210</v>
      </c>
      <c r="B3063" s="163">
        <v>42355.501217129633</v>
      </c>
      <c r="C3063" s="164" t="s">
        <v>2531</v>
      </c>
      <c r="D3063" s="164" t="s">
        <v>13</v>
      </c>
      <c r="E3063" s="165">
        <v>60</v>
      </c>
      <c r="F3063" s="166">
        <v>0</v>
      </c>
      <c r="G3063" s="227">
        <f>IF($B$2,IF(ROWS(B$6:$B3063) = 1,$B3063-Start_Date,$B3063-$B3062),"")</f>
        <v>2.7932060183957219E-3</v>
      </c>
      <c r="H3063" s="29">
        <f>IF($B$2,IF(ROWS(B$6:$B3063) = 1,IF(COUNTIFS(R_Schedule_Times,"&lt;"&amp;B3063),INDEX(R_Schedule_Amounts,MATCH(B3063,R_Schedule_Times,1)),Starting_Cash),IF(COUNTIFS(R_Schedule_Times,"&gt;"&amp;B3062,R_Schedule_Times,"&lt;"&amp;B3063),INDEX(R_Schedule_Amounts,MATCH(B3063,R_Schedule_Times,1)),K3062)),"")</f>
        <v>18460</v>
      </c>
      <c r="I3063" s="30">
        <f t="shared" si="235"/>
        <v>60</v>
      </c>
      <c r="J3063" s="31">
        <f t="shared" si="236"/>
        <v>0</v>
      </c>
      <c r="K3063" s="29">
        <f t="shared" si="237"/>
        <v>18400</v>
      </c>
      <c r="L3063" s="31" t="str">
        <f t="shared" si="238"/>
        <v/>
      </c>
      <c r="M3063" s="31" t="str">
        <f t="shared" si="239"/>
        <v/>
      </c>
    </row>
    <row r="3064" spans="1:13" x14ac:dyDescent="0.15">
      <c r="A3064" s="163" t="s">
        <v>210</v>
      </c>
      <c r="B3064" s="163">
        <v>42355.508706875</v>
      </c>
      <c r="C3064" s="164" t="s">
        <v>2532</v>
      </c>
      <c r="D3064" s="164" t="s">
        <v>13</v>
      </c>
      <c r="E3064" s="165">
        <v>60</v>
      </c>
      <c r="F3064" s="166">
        <v>0</v>
      </c>
      <c r="G3064" s="227">
        <f>IF($B$2,IF(ROWS(B$6:$B3064) = 1,$B3064-Start_Date,$B3064-$B3063),"")</f>
        <v>7.4897453669109382E-3</v>
      </c>
      <c r="H3064" s="29">
        <f>IF($B$2,IF(ROWS(B$6:$B3064) = 1,IF(COUNTIFS(R_Schedule_Times,"&lt;"&amp;B3064),INDEX(R_Schedule_Amounts,MATCH(B3064,R_Schedule_Times,1)),Starting_Cash),IF(COUNTIFS(R_Schedule_Times,"&gt;"&amp;B3063,R_Schedule_Times,"&lt;"&amp;B3064),INDEX(R_Schedule_Amounts,MATCH(B3064,R_Schedule_Times,1)),K3063)),"")</f>
        <v>18400</v>
      </c>
      <c r="I3064" s="30">
        <f t="shared" si="235"/>
        <v>60</v>
      </c>
      <c r="J3064" s="31">
        <f t="shared" si="236"/>
        <v>0</v>
      </c>
      <c r="K3064" s="29">
        <f t="shared" si="237"/>
        <v>18340</v>
      </c>
      <c r="L3064" s="31" t="str">
        <f t="shared" si="238"/>
        <v/>
      </c>
      <c r="M3064" s="31" t="str">
        <f t="shared" si="239"/>
        <v/>
      </c>
    </row>
    <row r="3065" spans="1:13" x14ac:dyDescent="0.15">
      <c r="A3065" s="163" t="s">
        <v>210</v>
      </c>
      <c r="B3065" s="163">
        <v>42355.515976805553</v>
      </c>
      <c r="C3065" s="164" t="s">
        <v>14</v>
      </c>
      <c r="D3065" s="164" t="s">
        <v>15</v>
      </c>
      <c r="E3065" s="165">
        <v>120</v>
      </c>
      <c r="F3065" s="166">
        <v>6.1</v>
      </c>
      <c r="G3065" s="227">
        <f>IF($B$2,IF(ROWS(B$6:$B3065) = 1,$B3065-Start_Date,$B3065-$B3064),"")</f>
        <v>7.2699305528658442E-3</v>
      </c>
      <c r="H3065" s="29">
        <f>IF($B$2,IF(ROWS(B$6:$B3065) = 1,IF(COUNTIFS(R_Schedule_Times,"&lt;"&amp;B3065),INDEX(R_Schedule_Amounts,MATCH(B3065,R_Schedule_Times,1)),Starting_Cash),IF(COUNTIFS(R_Schedule_Times,"&gt;"&amp;B3064,R_Schedule_Times,"&lt;"&amp;B3065),INDEX(R_Schedule_Amounts,MATCH(B3065,R_Schedule_Times,1)),K3064)),"")</f>
        <v>18340</v>
      </c>
      <c r="I3065" s="30">
        <f t="shared" si="235"/>
        <v>120</v>
      </c>
      <c r="J3065" s="31">
        <f t="shared" si="236"/>
        <v>6.1</v>
      </c>
      <c r="K3065" s="29">
        <f t="shared" si="237"/>
        <v>18220</v>
      </c>
      <c r="L3065" s="31" t="str">
        <f t="shared" si="238"/>
        <v/>
      </c>
      <c r="M3065" s="31" t="str">
        <f t="shared" si="239"/>
        <v/>
      </c>
    </row>
    <row r="3066" spans="1:13" x14ac:dyDescent="0.15">
      <c r="A3066" s="163" t="s">
        <v>210</v>
      </c>
      <c r="B3066" s="163">
        <v>42355.533339421294</v>
      </c>
      <c r="C3066" s="164" t="s">
        <v>2533</v>
      </c>
      <c r="D3066" s="164" t="s">
        <v>15</v>
      </c>
      <c r="E3066" s="165">
        <v>20</v>
      </c>
      <c r="F3066" s="166">
        <v>0.6</v>
      </c>
      <c r="G3066" s="227">
        <f>IF($B$2,IF(ROWS(B$6:$B3066) = 1,$B3066-Start_Date,$B3066-$B3065),"")</f>
        <v>1.7362615741149057E-2</v>
      </c>
      <c r="H3066" s="29">
        <f>IF($B$2,IF(ROWS(B$6:$B3066) = 1,IF(COUNTIFS(R_Schedule_Times,"&lt;"&amp;B3066),INDEX(R_Schedule_Amounts,MATCH(B3066,R_Schedule_Times,1)),Starting_Cash),IF(COUNTIFS(R_Schedule_Times,"&gt;"&amp;B3065,R_Schedule_Times,"&lt;"&amp;B3066),INDEX(R_Schedule_Amounts,MATCH(B3066,R_Schedule_Times,1)),K3065)),"")</f>
        <v>18220</v>
      </c>
      <c r="I3066" s="30">
        <f t="shared" si="235"/>
        <v>20</v>
      </c>
      <c r="J3066" s="31">
        <f t="shared" si="236"/>
        <v>0.6</v>
      </c>
      <c r="K3066" s="29">
        <f t="shared" si="237"/>
        <v>18200</v>
      </c>
      <c r="L3066" s="31" t="str">
        <f t="shared" si="238"/>
        <v/>
      </c>
      <c r="M3066" s="31" t="str">
        <f t="shared" si="239"/>
        <v/>
      </c>
    </row>
    <row r="3067" spans="1:13" x14ac:dyDescent="0.15">
      <c r="A3067" s="163" t="s">
        <v>210</v>
      </c>
      <c r="B3067" s="163">
        <v>42355.539425150462</v>
      </c>
      <c r="C3067" s="164" t="s">
        <v>530</v>
      </c>
      <c r="D3067" s="164" t="s">
        <v>13</v>
      </c>
      <c r="E3067" s="165">
        <v>100</v>
      </c>
      <c r="F3067" s="166">
        <v>0</v>
      </c>
      <c r="G3067" s="227">
        <f>IF($B$2,IF(ROWS(B$6:$B3067) = 1,$B3067-Start_Date,$B3067-$B3066),"")</f>
        <v>6.0857291682623327E-3</v>
      </c>
      <c r="H3067" s="29">
        <f>IF($B$2,IF(ROWS(B$6:$B3067) = 1,IF(COUNTIFS(R_Schedule_Times,"&lt;"&amp;B3067),INDEX(R_Schedule_Amounts,MATCH(B3067,R_Schedule_Times,1)),Starting_Cash),IF(COUNTIFS(R_Schedule_Times,"&gt;"&amp;B3066,R_Schedule_Times,"&lt;"&amp;B3067),INDEX(R_Schedule_Amounts,MATCH(B3067,R_Schedule_Times,1)),K3066)),"")</f>
        <v>18200</v>
      </c>
      <c r="I3067" s="30">
        <f t="shared" si="235"/>
        <v>100</v>
      </c>
      <c r="J3067" s="31">
        <f t="shared" si="236"/>
        <v>0</v>
      </c>
      <c r="K3067" s="29">
        <f t="shared" si="237"/>
        <v>18100</v>
      </c>
      <c r="L3067" s="31" t="str">
        <f t="shared" si="238"/>
        <v/>
      </c>
      <c r="M3067" s="31" t="str">
        <f t="shared" si="239"/>
        <v/>
      </c>
    </row>
    <row r="3068" spans="1:13" x14ac:dyDescent="0.15">
      <c r="A3068" s="163" t="s">
        <v>210</v>
      </c>
      <c r="B3068" s="163">
        <v>42355.559288159726</v>
      </c>
      <c r="C3068" s="164" t="s">
        <v>1042</v>
      </c>
      <c r="D3068" s="164" t="s">
        <v>13</v>
      </c>
      <c r="E3068" s="165">
        <v>40</v>
      </c>
      <c r="F3068" s="166">
        <v>0</v>
      </c>
      <c r="G3068" s="227">
        <f>IF($B$2,IF(ROWS(B$6:$B3068) = 1,$B3068-Start_Date,$B3068-$B3067),"")</f>
        <v>1.9863009263644926E-2</v>
      </c>
      <c r="H3068" s="29">
        <f>IF($B$2,IF(ROWS(B$6:$B3068) = 1,IF(COUNTIFS(R_Schedule_Times,"&lt;"&amp;B3068),INDEX(R_Schedule_Amounts,MATCH(B3068,R_Schedule_Times,1)),Starting_Cash),IF(COUNTIFS(R_Schedule_Times,"&gt;"&amp;B3067,R_Schedule_Times,"&lt;"&amp;B3068),INDEX(R_Schedule_Amounts,MATCH(B3068,R_Schedule_Times,1)),K3067)),"")</f>
        <v>18100</v>
      </c>
      <c r="I3068" s="30">
        <f t="shared" si="235"/>
        <v>40</v>
      </c>
      <c r="J3068" s="31">
        <f t="shared" si="236"/>
        <v>0</v>
      </c>
      <c r="K3068" s="29">
        <f t="shared" si="237"/>
        <v>18060</v>
      </c>
      <c r="L3068" s="31" t="str">
        <f t="shared" si="238"/>
        <v/>
      </c>
      <c r="M3068" s="31" t="str">
        <f t="shared" si="239"/>
        <v/>
      </c>
    </row>
    <row r="3069" spans="1:13" x14ac:dyDescent="0.15">
      <c r="A3069" s="163" t="s">
        <v>210</v>
      </c>
      <c r="B3069" s="163">
        <v>42355.58526320602</v>
      </c>
      <c r="C3069" s="164" t="s">
        <v>14</v>
      </c>
      <c r="D3069" s="164" t="s">
        <v>15</v>
      </c>
      <c r="E3069" s="165">
        <v>20</v>
      </c>
      <c r="F3069" s="166">
        <v>3.1</v>
      </c>
      <c r="G3069" s="227">
        <f>IF($B$2,IF(ROWS(B$6:$B3069) = 1,$B3069-Start_Date,$B3069-$B3068),"")</f>
        <v>2.5975046293751802E-2</v>
      </c>
      <c r="H3069" s="29">
        <f>IF($B$2,IF(ROWS(B$6:$B3069) = 1,IF(COUNTIFS(R_Schedule_Times,"&lt;"&amp;B3069),INDEX(R_Schedule_Amounts,MATCH(B3069,R_Schedule_Times,1)),Starting_Cash),IF(COUNTIFS(R_Schedule_Times,"&gt;"&amp;B3068,R_Schedule_Times,"&lt;"&amp;B3069),INDEX(R_Schedule_Amounts,MATCH(B3069,R_Schedule_Times,1)),K3068)),"")</f>
        <v>18060</v>
      </c>
      <c r="I3069" s="30">
        <f t="shared" si="235"/>
        <v>20</v>
      </c>
      <c r="J3069" s="31">
        <f t="shared" si="236"/>
        <v>3.1</v>
      </c>
      <c r="K3069" s="29">
        <f t="shared" si="237"/>
        <v>18040</v>
      </c>
      <c r="L3069" s="31" t="str">
        <f t="shared" si="238"/>
        <v/>
      </c>
      <c r="M3069" s="31" t="str">
        <f t="shared" si="239"/>
        <v/>
      </c>
    </row>
    <row r="3070" spans="1:13" x14ac:dyDescent="0.15">
      <c r="A3070" s="163" t="s">
        <v>210</v>
      </c>
      <c r="B3070" s="163">
        <v>42355.603648310185</v>
      </c>
      <c r="C3070" s="164" t="s">
        <v>395</v>
      </c>
      <c r="D3070" s="164" t="s">
        <v>13</v>
      </c>
      <c r="E3070" s="165">
        <v>40</v>
      </c>
      <c r="F3070" s="166">
        <v>0</v>
      </c>
      <c r="G3070" s="227">
        <f>IF($B$2,IF(ROWS(B$6:$B3070) = 1,$B3070-Start_Date,$B3070-$B3069),"")</f>
        <v>1.8385104165645316E-2</v>
      </c>
      <c r="H3070" s="29">
        <f>IF($B$2,IF(ROWS(B$6:$B3070) = 1,IF(COUNTIFS(R_Schedule_Times,"&lt;"&amp;B3070),INDEX(R_Schedule_Amounts,MATCH(B3070,R_Schedule_Times,1)),Starting_Cash),IF(COUNTIFS(R_Schedule_Times,"&gt;"&amp;B3069,R_Schedule_Times,"&lt;"&amp;B3070),INDEX(R_Schedule_Amounts,MATCH(B3070,R_Schedule_Times,1)),K3069)),"")</f>
        <v>18040</v>
      </c>
      <c r="I3070" s="30">
        <f t="shared" si="235"/>
        <v>40</v>
      </c>
      <c r="J3070" s="31">
        <f t="shared" si="236"/>
        <v>0</v>
      </c>
      <c r="K3070" s="29">
        <f t="shared" si="237"/>
        <v>18000</v>
      </c>
      <c r="L3070" s="31" t="str">
        <f t="shared" si="238"/>
        <v/>
      </c>
      <c r="M3070" s="31" t="str">
        <f t="shared" si="239"/>
        <v/>
      </c>
    </row>
    <row r="3071" spans="1:13" x14ac:dyDescent="0.15">
      <c r="A3071" s="163" t="s">
        <v>210</v>
      </c>
      <c r="B3071" s="163">
        <v>42355.612007025462</v>
      </c>
      <c r="C3071" s="164" t="s">
        <v>14</v>
      </c>
      <c r="D3071" s="164" t="s">
        <v>13</v>
      </c>
      <c r="E3071" s="165">
        <v>200</v>
      </c>
      <c r="F3071" s="166">
        <v>3.5</v>
      </c>
      <c r="G3071" s="227">
        <f>IF($B$2,IF(ROWS(B$6:$B3071) = 1,$B3071-Start_Date,$B3071-$B3070),"")</f>
        <v>8.3587152766995132E-3</v>
      </c>
      <c r="H3071" s="29">
        <f>IF($B$2,IF(ROWS(B$6:$B3071) = 1,IF(COUNTIFS(R_Schedule_Times,"&lt;"&amp;B3071),INDEX(R_Schedule_Amounts,MATCH(B3071,R_Schedule_Times,1)),Starting_Cash),IF(COUNTIFS(R_Schedule_Times,"&gt;"&amp;B3070,R_Schedule_Times,"&lt;"&amp;B3071),INDEX(R_Schedule_Amounts,MATCH(B3071,R_Schedule_Times,1)),K3070)),"")</f>
        <v>18000</v>
      </c>
      <c r="I3071" s="30">
        <f t="shared" si="235"/>
        <v>200</v>
      </c>
      <c r="J3071" s="31">
        <f t="shared" si="236"/>
        <v>3.5</v>
      </c>
      <c r="K3071" s="29">
        <f t="shared" si="237"/>
        <v>17800</v>
      </c>
      <c r="L3071" s="31" t="str">
        <f t="shared" si="238"/>
        <v/>
      </c>
      <c r="M3071" s="31" t="str">
        <f t="shared" si="239"/>
        <v/>
      </c>
    </row>
    <row r="3072" spans="1:13" x14ac:dyDescent="0.15">
      <c r="A3072" s="163" t="s">
        <v>210</v>
      </c>
      <c r="B3072" s="163">
        <v>42355.629343819448</v>
      </c>
      <c r="C3072" s="164" t="s">
        <v>2534</v>
      </c>
      <c r="D3072" s="164" t="s">
        <v>13</v>
      </c>
      <c r="E3072" s="165">
        <v>40</v>
      </c>
      <c r="F3072" s="166">
        <v>0</v>
      </c>
      <c r="G3072" s="227">
        <f>IF($B$2,IF(ROWS(B$6:$B3072) = 1,$B3072-Start_Date,$B3072-$B3071),"")</f>
        <v>1.7336793986032717E-2</v>
      </c>
      <c r="H3072" s="29">
        <f>IF($B$2,IF(ROWS(B$6:$B3072) = 1,IF(COUNTIFS(R_Schedule_Times,"&lt;"&amp;B3072),INDEX(R_Schedule_Amounts,MATCH(B3072,R_Schedule_Times,1)),Starting_Cash),IF(COUNTIFS(R_Schedule_Times,"&gt;"&amp;B3071,R_Schedule_Times,"&lt;"&amp;B3072),INDEX(R_Schedule_Amounts,MATCH(B3072,R_Schedule_Times,1)),K3071)),"")</f>
        <v>17800</v>
      </c>
      <c r="I3072" s="30">
        <f t="shared" si="235"/>
        <v>40</v>
      </c>
      <c r="J3072" s="31">
        <f t="shared" si="236"/>
        <v>0</v>
      </c>
      <c r="K3072" s="29">
        <f t="shared" si="237"/>
        <v>17760</v>
      </c>
      <c r="L3072" s="31" t="str">
        <f t="shared" si="238"/>
        <v/>
      </c>
      <c r="M3072" s="31" t="str">
        <f t="shared" si="239"/>
        <v/>
      </c>
    </row>
    <row r="3073" spans="1:13" x14ac:dyDescent="0.15">
      <c r="A3073" s="163" t="s">
        <v>210</v>
      </c>
      <c r="B3073" s="163">
        <v>42355.633010613426</v>
      </c>
      <c r="C3073" s="164" t="s">
        <v>2535</v>
      </c>
      <c r="D3073" s="164" t="s">
        <v>13</v>
      </c>
      <c r="E3073" s="165">
        <v>20</v>
      </c>
      <c r="F3073" s="166">
        <v>0</v>
      </c>
      <c r="G3073" s="227">
        <f>IF($B$2,IF(ROWS(B$6:$B3073) = 1,$B3073-Start_Date,$B3073-$B3072),"")</f>
        <v>3.6667939784820192E-3</v>
      </c>
      <c r="H3073" s="29">
        <f>IF($B$2,IF(ROWS(B$6:$B3073) = 1,IF(COUNTIFS(R_Schedule_Times,"&lt;"&amp;B3073),INDEX(R_Schedule_Amounts,MATCH(B3073,R_Schedule_Times,1)),Starting_Cash),IF(COUNTIFS(R_Schedule_Times,"&gt;"&amp;B3072,R_Schedule_Times,"&lt;"&amp;B3073),INDEX(R_Schedule_Amounts,MATCH(B3073,R_Schedule_Times,1)),K3072)),"")</f>
        <v>17760</v>
      </c>
      <c r="I3073" s="30">
        <f t="shared" si="235"/>
        <v>20</v>
      </c>
      <c r="J3073" s="31">
        <f t="shared" si="236"/>
        <v>0</v>
      </c>
      <c r="K3073" s="29">
        <f t="shared" si="237"/>
        <v>17740</v>
      </c>
      <c r="L3073" s="31" t="str">
        <f t="shared" si="238"/>
        <v/>
      </c>
      <c r="M3073" s="31" t="str">
        <f t="shared" si="239"/>
        <v/>
      </c>
    </row>
    <row r="3074" spans="1:13" x14ac:dyDescent="0.15">
      <c r="A3074" s="163" t="s">
        <v>210</v>
      </c>
      <c r="B3074" s="163">
        <v>42355.658716203703</v>
      </c>
      <c r="C3074" s="164" t="s">
        <v>1440</v>
      </c>
      <c r="D3074" s="164" t="s">
        <v>13</v>
      </c>
      <c r="E3074" s="165">
        <v>60</v>
      </c>
      <c r="F3074" s="166">
        <v>0</v>
      </c>
      <c r="G3074" s="227">
        <f>IF($B$2,IF(ROWS(B$6:$B3074) = 1,$B3074-Start_Date,$B3074-$B3073),"")</f>
        <v>2.5705590276629664E-2</v>
      </c>
      <c r="H3074" s="29">
        <f>IF($B$2,IF(ROWS(B$6:$B3074) = 1,IF(COUNTIFS(R_Schedule_Times,"&lt;"&amp;B3074),INDEX(R_Schedule_Amounts,MATCH(B3074,R_Schedule_Times,1)),Starting_Cash),IF(COUNTIFS(R_Schedule_Times,"&gt;"&amp;B3073,R_Schedule_Times,"&lt;"&amp;B3074),INDEX(R_Schedule_Amounts,MATCH(B3074,R_Schedule_Times,1)),K3073)),"")</f>
        <v>17740</v>
      </c>
      <c r="I3074" s="30">
        <f t="shared" si="235"/>
        <v>60</v>
      </c>
      <c r="J3074" s="31">
        <f t="shared" si="236"/>
        <v>0</v>
      </c>
      <c r="K3074" s="29">
        <f t="shared" si="237"/>
        <v>17680</v>
      </c>
      <c r="L3074" s="31" t="str">
        <f t="shared" si="238"/>
        <v/>
      </c>
      <c r="M3074" s="31" t="str">
        <f t="shared" si="239"/>
        <v/>
      </c>
    </row>
    <row r="3075" spans="1:13" x14ac:dyDescent="0.15">
      <c r="A3075" s="163" t="s">
        <v>210</v>
      </c>
      <c r="B3075" s="163">
        <v>42355.660539212964</v>
      </c>
      <c r="C3075" s="164" t="s">
        <v>2536</v>
      </c>
      <c r="D3075" s="164" t="s">
        <v>13</v>
      </c>
      <c r="E3075" s="165">
        <v>20</v>
      </c>
      <c r="F3075" s="166">
        <v>0</v>
      </c>
      <c r="G3075" s="227">
        <f>IF($B$2,IF(ROWS(B$6:$B3075) = 1,$B3075-Start_Date,$B3075-$B3074),"")</f>
        <v>1.8230092609883286E-3</v>
      </c>
      <c r="H3075" s="29">
        <f>IF($B$2,IF(ROWS(B$6:$B3075) = 1,IF(COUNTIFS(R_Schedule_Times,"&lt;"&amp;B3075),INDEX(R_Schedule_Amounts,MATCH(B3075,R_Schedule_Times,1)),Starting_Cash),IF(COUNTIFS(R_Schedule_Times,"&gt;"&amp;B3074,R_Schedule_Times,"&lt;"&amp;B3075),INDEX(R_Schedule_Amounts,MATCH(B3075,R_Schedule_Times,1)),K3074)),"")</f>
        <v>17680</v>
      </c>
      <c r="I3075" s="30">
        <f t="shared" si="235"/>
        <v>20</v>
      </c>
      <c r="J3075" s="31">
        <f t="shared" si="236"/>
        <v>0</v>
      </c>
      <c r="K3075" s="29">
        <f t="shared" si="237"/>
        <v>17660</v>
      </c>
      <c r="L3075" s="31" t="str">
        <f t="shared" si="238"/>
        <v/>
      </c>
      <c r="M3075" s="31" t="str">
        <f t="shared" si="239"/>
        <v/>
      </c>
    </row>
    <row r="3076" spans="1:13" x14ac:dyDescent="0.15">
      <c r="A3076" s="163" t="s">
        <v>210</v>
      </c>
      <c r="B3076" s="163">
        <v>42355.677173865741</v>
      </c>
      <c r="C3076" s="164" t="s">
        <v>14</v>
      </c>
      <c r="D3076" s="164" t="s">
        <v>13</v>
      </c>
      <c r="E3076" s="165">
        <v>40</v>
      </c>
      <c r="F3076" s="166">
        <v>3.5</v>
      </c>
      <c r="G3076" s="227">
        <f>IF($B$2,IF(ROWS(B$6:$B3076) = 1,$B3076-Start_Date,$B3076-$B3075),"")</f>
        <v>1.6634652776701842E-2</v>
      </c>
      <c r="H3076" s="29">
        <f>IF($B$2,IF(ROWS(B$6:$B3076) = 1,IF(COUNTIFS(R_Schedule_Times,"&lt;"&amp;B3076),INDEX(R_Schedule_Amounts,MATCH(B3076,R_Schedule_Times,1)),Starting_Cash),IF(COUNTIFS(R_Schedule_Times,"&gt;"&amp;B3075,R_Schedule_Times,"&lt;"&amp;B3076),INDEX(R_Schedule_Amounts,MATCH(B3076,R_Schedule_Times,1)),K3075)),"")</f>
        <v>17660</v>
      </c>
      <c r="I3076" s="30">
        <f t="shared" si="235"/>
        <v>40</v>
      </c>
      <c r="J3076" s="31">
        <f t="shared" si="236"/>
        <v>3.5</v>
      </c>
      <c r="K3076" s="29">
        <f t="shared" si="237"/>
        <v>17620</v>
      </c>
      <c r="L3076" s="31" t="str">
        <f t="shared" si="238"/>
        <v/>
      </c>
      <c r="M3076" s="31" t="str">
        <f t="shared" si="239"/>
        <v/>
      </c>
    </row>
    <row r="3077" spans="1:13" x14ac:dyDescent="0.15">
      <c r="A3077" s="163" t="s">
        <v>210</v>
      </c>
      <c r="B3077" s="163">
        <v>42355.686002106479</v>
      </c>
      <c r="C3077" s="164" t="s">
        <v>2537</v>
      </c>
      <c r="D3077" s="164" t="s">
        <v>13</v>
      </c>
      <c r="E3077" s="165">
        <v>40</v>
      </c>
      <c r="F3077" s="166">
        <v>0</v>
      </c>
      <c r="G3077" s="227">
        <f>IF($B$2,IF(ROWS(B$6:$B3077) = 1,$B3077-Start_Date,$B3077-$B3076),"")</f>
        <v>8.8282407377846539E-3</v>
      </c>
      <c r="H3077" s="29">
        <f>IF($B$2,IF(ROWS(B$6:$B3077) = 1,IF(COUNTIFS(R_Schedule_Times,"&lt;"&amp;B3077),INDEX(R_Schedule_Amounts,MATCH(B3077,R_Schedule_Times,1)),Starting_Cash),IF(COUNTIFS(R_Schedule_Times,"&gt;"&amp;B3076,R_Schedule_Times,"&lt;"&amp;B3077),INDEX(R_Schedule_Amounts,MATCH(B3077,R_Schedule_Times,1)),K3076)),"")</f>
        <v>17620</v>
      </c>
      <c r="I3077" s="30">
        <f t="shared" si="235"/>
        <v>40</v>
      </c>
      <c r="J3077" s="31">
        <f t="shared" si="236"/>
        <v>0</v>
      </c>
      <c r="K3077" s="29">
        <f t="shared" si="237"/>
        <v>17580</v>
      </c>
      <c r="L3077" s="31" t="str">
        <f t="shared" si="238"/>
        <v/>
      </c>
      <c r="M3077" s="31" t="str">
        <f t="shared" si="239"/>
        <v/>
      </c>
    </row>
    <row r="3078" spans="1:13" x14ac:dyDescent="0.15">
      <c r="A3078" s="163" t="s">
        <v>210</v>
      </c>
      <c r="B3078" s="163">
        <v>42355.705053287034</v>
      </c>
      <c r="C3078" s="164" t="s">
        <v>14</v>
      </c>
      <c r="D3078" s="164" t="s">
        <v>13</v>
      </c>
      <c r="E3078" s="165">
        <v>100</v>
      </c>
      <c r="F3078" s="166">
        <v>3.5</v>
      </c>
      <c r="G3078" s="227">
        <f>IF($B$2,IF(ROWS(B$6:$B3078) = 1,$B3078-Start_Date,$B3078-$B3077),"")</f>
        <v>1.9051180555834435E-2</v>
      </c>
      <c r="H3078" s="29">
        <f>IF($B$2,IF(ROWS(B$6:$B3078) = 1,IF(COUNTIFS(R_Schedule_Times,"&lt;"&amp;B3078),INDEX(R_Schedule_Amounts,MATCH(B3078,R_Schedule_Times,1)),Starting_Cash),IF(COUNTIFS(R_Schedule_Times,"&gt;"&amp;B3077,R_Schedule_Times,"&lt;"&amp;B3078),INDEX(R_Schedule_Amounts,MATCH(B3078,R_Schedule_Times,1)),K3077)),"")</f>
        <v>17580</v>
      </c>
      <c r="I3078" s="30">
        <f t="shared" si="235"/>
        <v>100</v>
      </c>
      <c r="J3078" s="31">
        <f t="shared" si="236"/>
        <v>3.5</v>
      </c>
      <c r="K3078" s="29">
        <f t="shared" si="237"/>
        <v>17480</v>
      </c>
      <c r="L3078" s="31" t="str">
        <f t="shared" si="238"/>
        <v/>
      </c>
      <c r="M3078" s="31" t="str">
        <f t="shared" si="239"/>
        <v/>
      </c>
    </row>
    <row r="3079" spans="1:13" x14ac:dyDescent="0.15">
      <c r="A3079" s="163" t="s">
        <v>210</v>
      </c>
      <c r="B3079" s="163">
        <v>42355.705663541667</v>
      </c>
      <c r="C3079" s="164" t="s">
        <v>2538</v>
      </c>
      <c r="D3079" s="164" t="s">
        <v>13</v>
      </c>
      <c r="E3079" s="165">
        <v>40</v>
      </c>
      <c r="F3079" s="166">
        <v>0</v>
      </c>
      <c r="G3079" s="227">
        <f>IF($B$2,IF(ROWS(B$6:$B3079) = 1,$B3079-Start_Date,$B3079-$B3078),"")</f>
        <v>6.1025463219266385E-4</v>
      </c>
      <c r="H3079" s="29">
        <f>IF($B$2,IF(ROWS(B$6:$B3079) = 1,IF(COUNTIFS(R_Schedule_Times,"&lt;"&amp;B3079),INDEX(R_Schedule_Amounts,MATCH(B3079,R_Schedule_Times,1)),Starting_Cash),IF(COUNTIFS(R_Schedule_Times,"&gt;"&amp;B3078,R_Schedule_Times,"&lt;"&amp;B3079),INDEX(R_Schedule_Amounts,MATCH(B3079,R_Schedule_Times,1)),K3078)),"")</f>
        <v>17480</v>
      </c>
      <c r="I3079" s="30">
        <f t="shared" ref="I3079:I3142" si="240">IF($B$2,IF(H3079&gt;=E3079,E3079,0),"")</f>
        <v>40</v>
      </c>
      <c r="J3079" s="31">
        <f t="shared" ref="J3079:J3142" si="241">IF($B$2,IF(H3079&gt;=E3079,F3079,0),"")</f>
        <v>0</v>
      </c>
      <c r="K3079" s="29">
        <f t="shared" ref="K3079:K3142" si="242">IF($B$2,ABS(I3079-H3079),"")</f>
        <v>17440</v>
      </c>
      <c r="L3079" s="31" t="str">
        <f t="shared" ref="L3079:L3142" si="243">IF($B$2,IF(H3079&lt;E3079,"YES",""),"")</f>
        <v/>
      </c>
      <c r="M3079" s="31" t="str">
        <f t="shared" ref="M3079:M3142" si="244">IF($B$2,IF(L3079="YES",F3079,""),"")</f>
        <v/>
      </c>
    </row>
    <row r="3080" spans="1:13" x14ac:dyDescent="0.15">
      <c r="A3080" s="163" t="s">
        <v>210</v>
      </c>
      <c r="B3080" s="163">
        <v>42355.70627840278</v>
      </c>
      <c r="C3080" s="164" t="s">
        <v>531</v>
      </c>
      <c r="D3080" s="164" t="s">
        <v>13</v>
      </c>
      <c r="E3080" s="165">
        <v>100</v>
      </c>
      <c r="F3080" s="166">
        <v>0</v>
      </c>
      <c r="G3080" s="227">
        <f>IF($B$2,IF(ROWS(B$6:$B3080) = 1,$B3080-Start_Date,$B3080-$B3079),"")</f>
        <v>6.1486111371777952E-4</v>
      </c>
      <c r="H3080" s="29">
        <f>IF($B$2,IF(ROWS(B$6:$B3080) = 1,IF(COUNTIFS(R_Schedule_Times,"&lt;"&amp;B3080),INDEX(R_Schedule_Amounts,MATCH(B3080,R_Schedule_Times,1)),Starting_Cash),IF(COUNTIFS(R_Schedule_Times,"&gt;"&amp;B3079,R_Schedule_Times,"&lt;"&amp;B3080),INDEX(R_Schedule_Amounts,MATCH(B3080,R_Schedule_Times,1)),K3079)),"")</f>
        <v>17440</v>
      </c>
      <c r="I3080" s="30">
        <f t="shared" si="240"/>
        <v>100</v>
      </c>
      <c r="J3080" s="31">
        <f t="shared" si="241"/>
        <v>0</v>
      </c>
      <c r="K3080" s="29">
        <f t="shared" si="242"/>
        <v>17340</v>
      </c>
      <c r="L3080" s="31" t="str">
        <f t="shared" si="243"/>
        <v/>
      </c>
      <c r="M3080" s="31" t="str">
        <f t="shared" si="244"/>
        <v/>
      </c>
    </row>
    <row r="3081" spans="1:13" x14ac:dyDescent="0.15">
      <c r="A3081" s="163" t="s">
        <v>210</v>
      </c>
      <c r="B3081" s="163">
        <v>42355.709911493053</v>
      </c>
      <c r="C3081" s="164" t="s">
        <v>2025</v>
      </c>
      <c r="D3081" s="164" t="s">
        <v>13</v>
      </c>
      <c r="E3081" s="165">
        <v>120</v>
      </c>
      <c r="F3081" s="166">
        <v>0</v>
      </c>
      <c r="G3081" s="227">
        <f>IF($B$2,IF(ROWS(B$6:$B3081) = 1,$B3081-Start_Date,$B3081-$B3080),"")</f>
        <v>3.6330902730696835E-3</v>
      </c>
      <c r="H3081" s="29">
        <f>IF($B$2,IF(ROWS(B$6:$B3081) = 1,IF(COUNTIFS(R_Schedule_Times,"&lt;"&amp;B3081),INDEX(R_Schedule_Amounts,MATCH(B3081,R_Schedule_Times,1)),Starting_Cash),IF(COUNTIFS(R_Schedule_Times,"&gt;"&amp;B3080,R_Schedule_Times,"&lt;"&amp;B3081),INDEX(R_Schedule_Amounts,MATCH(B3081,R_Schedule_Times,1)),K3080)),"")</f>
        <v>17340</v>
      </c>
      <c r="I3081" s="30">
        <f t="shared" si="240"/>
        <v>120</v>
      </c>
      <c r="J3081" s="31">
        <f t="shared" si="241"/>
        <v>0</v>
      </c>
      <c r="K3081" s="29">
        <f t="shared" si="242"/>
        <v>17220</v>
      </c>
      <c r="L3081" s="31" t="str">
        <f t="shared" si="243"/>
        <v/>
      </c>
      <c r="M3081" s="31" t="str">
        <f t="shared" si="244"/>
        <v/>
      </c>
    </row>
    <row r="3082" spans="1:13" x14ac:dyDescent="0.15">
      <c r="A3082" s="163" t="s">
        <v>210</v>
      </c>
      <c r="B3082" s="163">
        <v>42355.710544861111</v>
      </c>
      <c r="C3082" s="164" t="s">
        <v>176</v>
      </c>
      <c r="D3082" s="164" t="s">
        <v>13</v>
      </c>
      <c r="E3082" s="165">
        <v>60</v>
      </c>
      <c r="F3082" s="166">
        <v>0</v>
      </c>
      <c r="G3082" s="227">
        <f>IF($B$2,IF(ROWS(B$6:$B3082) = 1,$B3082-Start_Date,$B3082-$B3081),"")</f>
        <v>6.3336805760627612E-4</v>
      </c>
      <c r="H3082" s="29">
        <f>IF($B$2,IF(ROWS(B$6:$B3082) = 1,IF(COUNTIFS(R_Schedule_Times,"&lt;"&amp;B3082),INDEX(R_Schedule_Amounts,MATCH(B3082,R_Schedule_Times,1)),Starting_Cash),IF(COUNTIFS(R_Schedule_Times,"&gt;"&amp;B3081,R_Schedule_Times,"&lt;"&amp;B3082),INDEX(R_Schedule_Amounts,MATCH(B3082,R_Schedule_Times,1)),K3081)),"")</f>
        <v>17220</v>
      </c>
      <c r="I3082" s="30">
        <f t="shared" si="240"/>
        <v>60</v>
      </c>
      <c r="J3082" s="31">
        <f t="shared" si="241"/>
        <v>0</v>
      </c>
      <c r="K3082" s="29">
        <f t="shared" si="242"/>
        <v>17160</v>
      </c>
      <c r="L3082" s="31" t="str">
        <f t="shared" si="243"/>
        <v/>
      </c>
      <c r="M3082" s="31" t="str">
        <f t="shared" si="244"/>
        <v/>
      </c>
    </row>
    <row r="3083" spans="1:13" x14ac:dyDescent="0.15">
      <c r="A3083" s="163" t="s">
        <v>210</v>
      </c>
      <c r="B3083" s="163">
        <v>42355.711235775459</v>
      </c>
      <c r="C3083" s="164" t="s">
        <v>14</v>
      </c>
      <c r="D3083" s="164" t="s">
        <v>13</v>
      </c>
      <c r="E3083" s="165">
        <v>120</v>
      </c>
      <c r="F3083" s="166">
        <v>3.5</v>
      </c>
      <c r="G3083" s="227">
        <f>IF($B$2,IF(ROWS(B$6:$B3083) = 1,$B3083-Start_Date,$B3083-$B3082),"")</f>
        <v>6.9091434852452949E-4</v>
      </c>
      <c r="H3083" s="29">
        <f>IF($B$2,IF(ROWS(B$6:$B3083) = 1,IF(COUNTIFS(R_Schedule_Times,"&lt;"&amp;B3083),INDEX(R_Schedule_Amounts,MATCH(B3083,R_Schedule_Times,1)),Starting_Cash),IF(COUNTIFS(R_Schedule_Times,"&gt;"&amp;B3082,R_Schedule_Times,"&lt;"&amp;B3083),INDEX(R_Schedule_Amounts,MATCH(B3083,R_Schedule_Times,1)),K3082)),"")</f>
        <v>17160</v>
      </c>
      <c r="I3083" s="30">
        <f t="shared" si="240"/>
        <v>120</v>
      </c>
      <c r="J3083" s="31">
        <f t="shared" si="241"/>
        <v>3.5</v>
      </c>
      <c r="K3083" s="29">
        <f t="shared" si="242"/>
        <v>17040</v>
      </c>
      <c r="L3083" s="31" t="str">
        <f t="shared" si="243"/>
        <v/>
      </c>
      <c r="M3083" s="31" t="str">
        <f t="shared" si="244"/>
        <v/>
      </c>
    </row>
    <row r="3084" spans="1:13" x14ac:dyDescent="0.15">
      <c r="A3084" s="163" t="s">
        <v>210</v>
      </c>
      <c r="B3084" s="163">
        <v>42355.735051574076</v>
      </c>
      <c r="C3084" s="164" t="s">
        <v>14</v>
      </c>
      <c r="D3084" s="164" t="s">
        <v>13</v>
      </c>
      <c r="E3084" s="165">
        <v>120</v>
      </c>
      <c r="F3084" s="166">
        <v>3.5</v>
      </c>
      <c r="G3084" s="227">
        <f>IF($B$2,IF(ROWS(B$6:$B3084) = 1,$B3084-Start_Date,$B3084-$B3083),"")</f>
        <v>2.381579861685168E-2</v>
      </c>
      <c r="H3084" s="29">
        <f>IF($B$2,IF(ROWS(B$6:$B3084) = 1,IF(COUNTIFS(R_Schedule_Times,"&lt;"&amp;B3084),INDEX(R_Schedule_Amounts,MATCH(B3084,R_Schedule_Times,1)),Starting_Cash),IF(COUNTIFS(R_Schedule_Times,"&gt;"&amp;B3083,R_Schedule_Times,"&lt;"&amp;B3084),INDEX(R_Schedule_Amounts,MATCH(B3084,R_Schedule_Times,1)),K3083)),"")</f>
        <v>17040</v>
      </c>
      <c r="I3084" s="30">
        <f t="shared" si="240"/>
        <v>120</v>
      </c>
      <c r="J3084" s="31">
        <f t="shared" si="241"/>
        <v>3.5</v>
      </c>
      <c r="K3084" s="29">
        <f t="shared" si="242"/>
        <v>16920</v>
      </c>
      <c r="L3084" s="31" t="str">
        <f t="shared" si="243"/>
        <v/>
      </c>
      <c r="M3084" s="31" t="str">
        <f t="shared" si="244"/>
        <v/>
      </c>
    </row>
    <row r="3085" spans="1:13" x14ac:dyDescent="0.15">
      <c r="A3085" s="163" t="s">
        <v>210</v>
      </c>
      <c r="B3085" s="163">
        <v>42355.761604594911</v>
      </c>
      <c r="C3085" s="164" t="s">
        <v>2539</v>
      </c>
      <c r="D3085" s="164" t="s">
        <v>13</v>
      </c>
      <c r="E3085" s="165">
        <v>40</v>
      </c>
      <c r="F3085" s="166">
        <v>0</v>
      </c>
      <c r="G3085" s="227">
        <f>IF($B$2,IF(ROWS(B$6:$B3085) = 1,$B3085-Start_Date,$B3085-$B3084),"")</f>
        <v>2.6553020834398922E-2</v>
      </c>
      <c r="H3085" s="29">
        <f>IF($B$2,IF(ROWS(B$6:$B3085) = 1,IF(COUNTIFS(R_Schedule_Times,"&lt;"&amp;B3085),INDEX(R_Schedule_Amounts,MATCH(B3085,R_Schedule_Times,1)),Starting_Cash),IF(COUNTIFS(R_Schedule_Times,"&gt;"&amp;B3084,R_Schedule_Times,"&lt;"&amp;B3085),INDEX(R_Schedule_Amounts,MATCH(B3085,R_Schedule_Times,1)),K3084)),"")</f>
        <v>16920</v>
      </c>
      <c r="I3085" s="30">
        <f t="shared" si="240"/>
        <v>40</v>
      </c>
      <c r="J3085" s="31">
        <f t="shared" si="241"/>
        <v>0</v>
      </c>
      <c r="K3085" s="29">
        <f t="shared" si="242"/>
        <v>16880</v>
      </c>
      <c r="L3085" s="31" t="str">
        <f t="shared" si="243"/>
        <v/>
      </c>
      <c r="M3085" s="31" t="str">
        <f t="shared" si="244"/>
        <v/>
      </c>
    </row>
    <row r="3086" spans="1:13" x14ac:dyDescent="0.15">
      <c r="A3086" s="163" t="s">
        <v>210</v>
      </c>
      <c r="B3086" s="163">
        <v>42355.782540023145</v>
      </c>
      <c r="C3086" s="164" t="s">
        <v>532</v>
      </c>
      <c r="D3086" s="164" t="s">
        <v>13</v>
      </c>
      <c r="E3086" s="165">
        <v>100</v>
      </c>
      <c r="F3086" s="166">
        <v>0</v>
      </c>
      <c r="G3086" s="227">
        <f>IF($B$2,IF(ROWS(B$6:$B3086) = 1,$B3086-Start_Date,$B3086-$B3085),"")</f>
        <v>2.0935428234224673E-2</v>
      </c>
      <c r="H3086" s="29">
        <f>IF($B$2,IF(ROWS(B$6:$B3086) = 1,IF(COUNTIFS(R_Schedule_Times,"&lt;"&amp;B3086),INDEX(R_Schedule_Amounts,MATCH(B3086,R_Schedule_Times,1)),Starting_Cash),IF(COUNTIFS(R_Schedule_Times,"&gt;"&amp;B3085,R_Schedule_Times,"&lt;"&amp;B3086),INDEX(R_Schedule_Amounts,MATCH(B3086,R_Schedule_Times,1)),K3085)),"")</f>
        <v>16880</v>
      </c>
      <c r="I3086" s="30">
        <f t="shared" si="240"/>
        <v>100</v>
      </c>
      <c r="J3086" s="31">
        <f t="shared" si="241"/>
        <v>0</v>
      </c>
      <c r="K3086" s="29">
        <f t="shared" si="242"/>
        <v>16780</v>
      </c>
      <c r="L3086" s="31" t="str">
        <f t="shared" si="243"/>
        <v/>
      </c>
      <c r="M3086" s="31" t="str">
        <f t="shared" si="244"/>
        <v/>
      </c>
    </row>
    <row r="3087" spans="1:13" x14ac:dyDescent="0.15">
      <c r="A3087" s="163" t="s">
        <v>210</v>
      </c>
      <c r="B3087" s="163">
        <v>42355.791424444447</v>
      </c>
      <c r="C3087" s="164" t="s">
        <v>533</v>
      </c>
      <c r="D3087" s="164" t="s">
        <v>13</v>
      </c>
      <c r="E3087" s="165">
        <v>100</v>
      </c>
      <c r="F3087" s="166">
        <v>0</v>
      </c>
      <c r="G3087" s="227">
        <f>IF($B$2,IF(ROWS(B$6:$B3087) = 1,$B3087-Start_Date,$B3087-$B3086),"")</f>
        <v>8.8844213023548946E-3</v>
      </c>
      <c r="H3087" s="29">
        <f>IF($B$2,IF(ROWS(B$6:$B3087) = 1,IF(COUNTIFS(R_Schedule_Times,"&lt;"&amp;B3087),INDEX(R_Schedule_Amounts,MATCH(B3087,R_Schedule_Times,1)),Starting_Cash),IF(COUNTIFS(R_Schedule_Times,"&gt;"&amp;B3086,R_Schedule_Times,"&lt;"&amp;B3087),INDEX(R_Schedule_Amounts,MATCH(B3087,R_Schedule_Times,1)),K3086)),"")</f>
        <v>16780</v>
      </c>
      <c r="I3087" s="30">
        <f t="shared" si="240"/>
        <v>100</v>
      </c>
      <c r="J3087" s="31">
        <f t="shared" si="241"/>
        <v>0</v>
      </c>
      <c r="K3087" s="29">
        <f t="shared" si="242"/>
        <v>16680</v>
      </c>
      <c r="L3087" s="31" t="str">
        <f t="shared" si="243"/>
        <v/>
      </c>
      <c r="M3087" s="31" t="str">
        <f t="shared" si="244"/>
        <v/>
      </c>
    </row>
    <row r="3088" spans="1:13" x14ac:dyDescent="0.15">
      <c r="A3088" s="163" t="s">
        <v>210</v>
      </c>
      <c r="B3088" s="163">
        <v>42355.837376597221</v>
      </c>
      <c r="C3088" s="164" t="s">
        <v>2540</v>
      </c>
      <c r="D3088" s="164" t="s">
        <v>13</v>
      </c>
      <c r="E3088" s="165">
        <v>80</v>
      </c>
      <c r="F3088" s="166">
        <v>0</v>
      </c>
      <c r="G3088" s="227">
        <f>IF($B$2,IF(ROWS(B$6:$B3088) = 1,$B3088-Start_Date,$B3088-$B3087),"")</f>
        <v>4.59521527736797E-2</v>
      </c>
      <c r="H3088" s="29">
        <f>IF($B$2,IF(ROWS(B$6:$B3088) = 1,IF(COUNTIFS(R_Schedule_Times,"&lt;"&amp;B3088),INDEX(R_Schedule_Amounts,MATCH(B3088,R_Schedule_Times,1)),Starting_Cash),IF(COUNTIFS(R_Schedule_Times,"&gt;"&amp;B3087,R_Schedule_Times,"&lt;"&amp;B3088),INDEX(R_Schedule_Amounts,MATCH(B3088,R_Schedule_Times,1)),K3087)),"")</f>
        <v>16680</v>
      </c>
      <c r="I3088" s="30">
        <f t="shared" si="240"/>
        <v>80</v>
      </c>
      <c r="J3088" s="31">
        <f t="shared" si="241"/>
        <v>0</v>
      </c>
      <c r="K3088" s="29">
        <f t="shared" si="242"/>
        <v>16600</v>
      </c>
      <c r="L3088" s="31" t="str">
        <f t="shared" si="243"/>
        <v/>
      </c>
      <c r="M3088" s="31" t="str">
        <f t="shared" si="244"/>
        <v/>
      </c>
    </row>
    <row r="3089" spans="1:13" x14ac:dyDescent="0.15">
      <c r="A3089" s="163" t="s">
        <v>210</v>
      </c>
      <c r="B3089" s="163">
        <v>42355.851909375</v>
      </c>
      <c r="C3089" s="164" t="s">
        <v>534</v>
      </c>
      <c r="D3089" s="164" t="s">
        <v>13</v>
      </c>
      <c r="E3089" s="165">
        <v>60</v>
      </c>
      <c r="F3089" s="166">
        <v>0</v>
      </c>
      <c r="G3089" s="227">
        <f>IF($B$2,IF(ROWS(B$6:$B3089) = 1,$B3089-Start_Date,$B3089-$B3088),"")</f>
        <v>1.4532777779095341E-2</v>
      </c>
      <c r="H3089" s="29">
        <f>IF($B$2,IF(ROWS(B$6:$B3089) = 1,IF(COUNTIFS(R_Schedule_Times,"&lt;"&amp;B3089),INDEX(R_Schedule_Amounts,MATCH(B3089,R_Schedule_Times,1)),Starting_Cash),IF(COUNTIFS(R_Schedule_Times,"&gt;"&amp;B3088,R_Schedule_Times,"&lt;"&amp;B3089),INDEX(R_Schedule_Amounts,MATCH(B3089,R_Schedule_Times,1)),K3088)),"")</f>
        <v>16600</v>
      </c>
      <c r="I3089" s="30">
        <f t="shared" si="240"/>
        <v>60</v>
      </c>
      <c r="J3089" s="31">
        <f t="shared" si="241"/>
        <v>0</v>
      </c>
      <c r="K3089" s="29">
        <f t="shared" si="242"/>
        <v>16540</v>
      </c>
      <c r="L3089" s="31" t="str">
        <f t="shared" si="243"/>
        <v/>
      </c>
      <c r="M3089" s="31" t="str">
        <f t="shared" si="244"/>
        <v/>
      </c>
    </row>
    <row r="3090" spans="1:13" x14ac:dyDescent="0.15">
      <c r="A3090" s="163" t="s">
        <v>210</v>
      </c>
      <c r="B3090" s="163">
        <v>42355.992578194448</v>
      </c>
      <c r="C3090" s="164" t="s">
        <v>2541</v>
      </c>
      <c r="D3090" s="164" t="s">
        <v>13</v>
      </c>
      <c r="E3090" s="165">
        <v>40</v>
      </c>
      <c r="F3090" s="166">
        <v>0</v>
      </c>
      <c r="G3090" s="227">
        <f>IF($B$2,IF(ROWS(B$6:$B3090) = 1,$B3090-Start_Date,$B3090-$B3089),"")</f>
        <v>0.14066881944745546</v>
      </c>
      <c r="H3090" s="29">
        <f>IF($B$2,IF(ROWS(B$6:$B3090) = 1,IF(COUNTIFS(R_Schedule_Times,"&lt;"&amp;B3090),INDEX(R_Schedule_Amounts,MATCH(B3090,R_Schedule_Times,1)),Starting_Cash),IF(COUNTIFS(R_Schedule_Times,"&gt;"&amp;B3089,R_Schedule_Times,"&lt;"&amp;B3090),INDEX(R_Schedule_Amounts,MATCH(B3090,R_Schedule_Times,1)),K3089)),"")</f>
        <v>16540</v>
      </c>
      <c r="I3090" s="30">
        <f t="shared" si="240"/>
        <v>40</v>
      </c>
      <c r="J3090" s="31">
        <f t="shared" si="241"/>
        <v>0</v>
      </c>
      <c r="K3090" s="29">
        <f t="shared" si="242"/>
        <v>16500</v>
      </c>
      <c r="L3090" s="31" t="str">
        <f t="shared" si="243"/>
        <v/>
      </c>
      <c r="M3090" s="31" t="str">
        <f t="shared" si="244"/>
        <v/>
      </c>
    </row>
    <row r="3091" spans="1:13" x14ac:dyDescent="0.15">
      <c r="A3091" s="163" t="s">
        <v>210</v>
      </c>
      <c r="B3091" s="163">
        <v>42356.072770416664</v>
      </c>
      <c r="C3091" s="164" t="s">
        <v>2542</v>
      </c>
      <c r="D3091" s="164" t="s">
        <v>13</v>
      </c>
      <c r="E3091" s="165">
        <v>200</v>
      </c>
      <c r="F3091" s="166">
        <v>0</v>
      </c>
      <c r="G3091" s="227">
        <f>IF($B$2,IF(ROWS(B$6:$B3091) = 1,$B3091-Start_Date,$B3091-$B3090),"")</f>
        <v>8.0192222216282971E-2</v>
      </c>
      <c r="H3091" s="29">
        <f>IF($B$2,IF(ROWS(B$6:$B3091) = 1,IF(COUNTIFS(R_Schedule_Times,"&lt;"&amp;B3091),INDEX(R_Schedule_Amounts,MATCH(B3091,R_Schedule_Times,1)),Starting_Cash),IF(COUNTIFS(R_Schedule_Times,"&gt;"&amp;B3090,R_Schedule_Times,"&lt;"&amp;B3091),INDEX(R_Schedule_Amounts,MATCH(B3091,R_Schedule_Times,1)),K3090)),"")</f>
        <v>16500</v>
      </c>
      <c r="I3091" s="30">
        <f t="shared" si="240"/>
        <v>200</v>
      </c>
      <c r="J3091" s="31">
        <f t="shared" si="241"/>
        <v>0</v>
      </c>
      <c r="K3091" s="29">
        <f t="shared" si="242"/>
        <v>16300</v>
      </c>
      <c r="L3091" s="31" t="str">
        <f t="shared" si="243"/>
        <v/>
      </c>
      <c r="M3091" s="31" t="str">
        <f t="shared" si="244"/>
        <v/>
      </c>
    </row>
    <row r="3092" spans="1:13" x14ac:dyDescent="0.15">
      <c r="A3092" s="163" t="s">
        <v>210</v>
      </c>
      <c r="B3092" s="163">
        <v>42356.218194803238</v>
      </c>
      <c r="C3092" s="164" t="s">
        <v>310</v>
      </c>
      <c r="D3092" s="164" t="s">
        <v>13</v>
      </c>
      <c r="E3092" s="165">
        <v>60</v>
      </c>
      <c r="F3092" s="166">
        <v>0</v>
      </c>
      <c r="G3092" s="227">
        <f>IF($B$2,IF(ROWS(B$6:$B3092) = 1,$B3092-Start_Date,$B3092-$B3091),"")</f>
        <v>0.14542438657372259</v>
      </c>
      <c r="H3092" s="29">
        <f>IF($B$2,IF(ROWS(B$6:$B3092) = 1,IF(COUNTIFS(R_Schedule_Times,"&lt;"&amp;B3092),INDEX(R_Schedule_Amounts,MATCH(B3092,R_Schedule_Times,1)),Starting_Cash),IF(COUNTIFS(R_Schedule_Times,"&gt;"&amp;B3091,R_Schedule_Times,"&lt;"&amp;B3092),INDEX(R_Schedule_Amounts,MATCH(B3092,R_Schedule_Times,1)),K3091)),"")</f>
        <v>16300</v>
      </c>
      <c r="I3092" s="30">
        <f t="shared" si="240"/>
        <v>60</v>
      </c>
      <c r="J3092" s="31">
        <f t="shared" si="241"/>
        <v>0</v>
      </c>
      <c r="K3092" s="29">
        <f t="shared" si="242"/>
        <v>16240</v>
      </c>
      <c r="L3092" s="31" t="str">
        <f t="shared" si="243"/>
        <v/>
      </c>
      <c r="M3092" s="31" t="str">
        <f t="shared" si="244"/>
        <v/>
      </c>
    </row>
    <row r="3093" spans="1:13" x14ac:dyDescent="0.15">
      <c r="A3093" s="163" t="s">
        <v>210</v>
      </c>
      <c r="B3093" s="163">
        <v>42356.260797881943</v>
      </c>
      <c r="C3093" s="164" t="s">
        <v>2543</v>
      </c>
      <c r="D3093" s="164" t="s">
        <v>13</v>
      </c>
      <c r="E3093" s="165">
        <v>100</v>
      </c>
      <c r="F3093" s="166">
        <v>0</v>
      </c>
      <c r="G3093" s="227">
        <f>IF($B$2,IF(ROWS(B$6:$B3093) = 1,$B3093-Start_Date,$B3093-$B3092),"")</f>
        <v>4.2603078705724329E-2</v>
      </c>
      <c r="H3093" s="29">
        <f>IF($B$2,IF(ROWS(B$6:$B3093) = 1,IF(COUNTIFS(R_Schedule_Times,"&lt;"&amp;B3093),INDEX(R_Schedule_Amounts,MATCH(B3093,R_Schedule_Times,1)),Starting_Cash),IF(COUNTIFS(R_Schedule_Times,"&gt;"&amp;B3092,R_Schedule_Times,"&lt;"&amp;B3093),INDEX(R_Schedule_Amounts,MATCH(B3093,R_Schedule_Times,1)),K3092)),"")</f>
        <v>16240</v>
      </c>
      <c r="I3093" s="30">
        <f t="shared" si="240"/>
        <v>100</v>
      </c>
      <c r="J3093" s="31">
        <f t="shared" si="241"/>
        <v>0</v>
      </c>
      <c r="K3093" s="29">
        <f t="shared" si="242"/>
        <v>16140</v>
      </c>
      <c r="L3093" s="31" t="str">
        <f t="shared" si="243"/>
        <v/>
      </c>
      <c r="M3093" s="31" t="str">
        <f t="shared" si="244"/>
        <v/>
      </c>
    </row>
    <row r="3094" spans="1:13" x14ac:dyDescent="0.15">
      <c r="A3094" s="163" t="s">
        <v>210</v>
      </c>
      <c r="B3094" s="163">
        <v>42356.318024502318</v>
      </c>
      <c r="C3094" s="164" t="s">
        <v>2544</v>
      </c>
      <c r="D3094" s="164" t="s">
        <v>13</v>
      </c>
      <c r="E3094" s="165">
        <v>100</v>
      </c>
      <c r="F3094" s="166">
        <v>0</v>
      </c>
      <c r="G3094" s="227">
        <f>IF($B$2,IF(ROWS(B$6:$B3094) = 1,$B3094-Start_Date,$B3094-$B3093),"")</f>
        <v>5.7226620374422055E-2</v>
      </c>
      <c r="H3094" s="29">
        <f>IF($B$2,IF(ROWS(B$6:$B3094) = 1,IF(COUNTIFS(R_Schedule_Times,"&lt;"&amp;B3094),INDEX(R_Schedule_Amounts,MATCH(B3094,R_Schedule_Times,1)),Starting_Cash),IF(COUNTIFS(R_Schedule_Times,"&gt;"&amp;B3093,R_Schedule_Times,"&lt;"&amp;B3094),INDEX(R_Schedule_Amounts,MATCH(B3094,R_Schedule_Times,1)),K3093)),"")</f>
        <v>16140</v>
      </c>
      <c r="I3094" s="30">
        <f t="shared" si="240"/>
        <v>100</v>
      </c>
      <c r="J3094" s="31">
        <f t="shared" si="241"/>
        <v>0</v>
      </c>
      <c r="K3094" s="29">
        <f t="shared" si="242"/>
        <v>16040</v>
      </c>
      <c r="L3094" s="31" t="str">
        <f t="shared" si="243"/>
        <v/>
      </c>
      <c r="M3094" s="31" t="str">
        <f t="shared" si="244"/>
        <v/>
      </c>
    </row>
    <row r="3095" spans="1:13" x14ac:dyDescent="0.15">
      <c r="A3095" s="163" t="s">
        <v>210</v>
      </c>
      <c r="B3095" s="163">
        <v>42356.368098981482</v>
      </c>
      <c r="C3095" s="164" t="s">
        <v>2257</v>
      </c>
      <c r="D3095" s="164" t="s">
        <v>13</v>
      </c>
      <c r="E3095" s="165">
        <v>40</v>
      </c>
      <c r="F3095" s="166">
        <v>0</v>
      </c>
      <c r="G3095" s="227">
        <f>IF($B$2,IF(ROWS(B$6:$B3095) = 1,$B3095-Start_Date,$B3095-$B3094),"")</f>
        <v>5.0074479164322838E-2</v>
      </c>
      <c r="H3095" s="29">
        <f>IF($B$2,IF(ROWS(B$6:$B3095) = 1,IF(COUNTIFS(R_Schedule_Times,"&lt;"&amp;B3095),INDEX(R_Schedule_Amounts,MATCH(B3095,R_Schedule_Times,1)),Starting_Cash),IF(COUNTIFS(R_Schedule_Times,"&gt;"&amp;B3094,R_Schedule_Times,"&lt;"&amp;B3095),INDEX(R_Schedule_Amounts,MATCH(B3095,R_Schedule_Times,1)),K3094)),"")</f>
        <v>16040</v>
      </c>
      <c r="I3095" s="30">
        <f t="shared" si="240"/>
        <v>40</v>
      </c>
      <c r="J3095" s="31">
        <f t="shared" si="241"/>
        <v>0</v>
      </c>
      <c r="K3095" s="29">
        <f t="shared" si="242"/>
        <v>16000</v>
      </c>
      <c r="L3095" s="31" t="str">
        <f t="shared" si="243"/>
        <v/>
      </c>
      <c r="M3095" s="31" t="str">
        <f t="shared" si="244"/>
        <v/>
      </c>
    </row>
    <row r="3096" spans="1:13" x14ac:dyDescent="0.15">
      <c r="A3096" s="163" t="s">
        <v>210</v>
      </c>
      <c r="B3096" s="163">
        <v>42356.370333125</v>
      </c>
      <c r="C3096" s="164" t="s">
        <v>2545</v>
      </c>
      <c r="D3096" s="164" t="s">
        <v>13</v>
      </c>
      <c r="E3096" s="165">
        <v>100</v>
      </c>
      <c r="F3096" s="166">
        <v>0</v>
      </c>
      <c r="G3096" s="227">
        <f>IF($B$2,IF(ROWS(B$6:$B3096) = 1,$B3096-Start_Date,$B3096-$B3095),"")</f>
        <v>2.2341435178532265E-3</v>
      </c>
      <c r="H3096" s="29">
        <f>IF($B$2,IF(ROWS(B$6:$B3096) = 1,IF(COUNTIFS(R_Schedule_Times,"&lt;"&amp;B3096),INDEX(R_Schedule_Amounts,MATCH(B3096,R_Schedule_Times,1)),Starting_Cash),IF(COUNTIFS(R_Schedule_Times,"&gt;"&amp;B3095,R_Schedule_Times,"&lt;"&amp;B3096),INDEX(R_Schedule_Amounts,MATCH(B3096,R_Schedule_Times,1)),K3095)),"")</f>
        <v>16000</v>
      </c>
      <c r="I3096" s="30">
        <f t="shared" si="240"/>
        <v>100</v>
      </c>
      <c r="J3096" s="31">
        <f t="shared" si="241"/>
        <v>0</v>
      </c>
      <c r="K3096" s="29">
        <f t="shared" si="242"/>
        <v>15900</v>
      </c>
      <c r="L3096" s="31" t="str">
        <f t="shared" si="243"/>
        <v/>
      </c>
      <c r="M3096" s="31" t="str">
        <f t="shared" si="244"/>
        <v/>
      </c>
    </row>
    <row r="3097" spans="1:13" x14ac:dyDescent="0.15">
      <c r="A3097" s="163" t="s">
        <v>210</v>
      </c>
      <c r="B3097" s="163">
        <v>42356.372309768522</v>
      </c>
      <c r="C3097" s="164" t="s">
        <v>2546</v>
      </c>
      <c r="D3097" s="164" t="s">
        <v>13</v>
      </c>
      <c r="E3097" s="165">
        <v>200</v>
      </c>
      <c r="F3097" s="166">
        <v>0</v>
      </c>
      <c r="G3097" s="227">
        <f>IF($B$2,IF(ROWS(B$6:$B3097) = 1,$B3097-Start_Date,$B3097-$B3096),"")</f>
        <v>1.9766435216297396E-3</v>
      </c>
      <c r="H3097" s="29">
        <f>IF($B$2,IF(ROWS(B$6:$B3097) = 1,IF(COUNTIFS(R_Schedule_Times,"&lt;"&amp;B3097),INDEX(R_Schedule_Amounts,MATCH(B3097,R_Schedule_Times,1)),Starting_Cash),IF(COUNTIFS(R_Schedule_Times,"&gt;"&amp;B3096,R_Schedule_Times,"&lt;"&amp;B3097),INDEX(R_Schedule_Amounts,MATCH(B3097,R_Schedule_Times,1)),K3096)),"")</f>
        <v>15900</v>
      </c>
      <c r="I3097" s="30">
        <f t="shared" si="240"/>
        <v>200</v>
      </c>
      <c r="J3097" s="31">
        <f t="shared" si="241"/>
        <v>0</v>
      </c>
      <c r="K3097" s="29">
        <f t="shared" si="242"/>
        <v>15700</v>
      </c>
      <c r="L3097" s="31" t="str">
        <f t="shared" si="243"/>
        <v/>
      </c>
      <c r="M3097" s="31" t="str">
        <f t="shared" si="244"/>
        <v/>
      </c>
    </row>
    <row r="3098" spans="1:13" x14ac:dyDescent="0.15">
      <c r="A3098" s="163" t="s">
        <v>210</v>
      </c>
      <c r="B3098" s="163">
        <v>42356.385648194446</v>
      </c>
      <c r="C3098" s="164" t="s">
        <v>2547</v>
      </c>
      <c r="D3098" s="164" t="s">
        <v>13</v>
      </c>
      <c r="E3098" s="165">
        <v>40</v>
      </c>
      <c r="F3098" s="166">
        <v>0</v>
      </c>
      <c r="G3098" s="227">
        <f>IF($B$2,IF(ROWS(B$6:$B3098) = 1,$B3098-Start_Date,$B3098-$B3097),"")</f>
        <v>1.333842592430301E-2</v>
      </c>
      <c r="H3098" s="29">
        <f>IF($B$2,IF(ROWS(B$6:$B3098) = 1,IF(COUNTIFS(R_Schedule_Times,"&lt;"&amp;B3098),INDEX(R_Schedule_Amounts,MATCH(B3098,R_Schedule_Times,1)),Starting_Cash),IF(COUNTIFS(R_Schedule_Times,"&gt;"&amp;B3097,R_Schedule_Times,"&lt;"&amp;B3098),INDEX(R_Schedule_Amounts,MATCH(B3098,R_Schedule_Times,1)),K3097)),"")</f>
        <v>15700</v>
      </c>
      <c r="I3098" s="30">
        <f t="shared" si="240"/>
        <v>40</v>
      </c>
      <c r="J3098" s="31">
        <f t="shared" si="241"/>
        <v>0</v>
      </c>
      <c r="K3098" s="29">
        <f t="shared" si="242"/>
        <v>15660</v>
      </c>
      <c r="L3098" s="31" t="str">
        <f t="shared" si="243"/>
        <v/>
      </c>
      <c r="M3098" s="31" t="str">
        <f t="shared" si="244"/>
        <v/>
      </c>
    </row>
    <row r="3099" spans="1:13" x14ac:dyDescent="0.15">
      <c r="A3099" s="163" t="s">
        <v>210</v>
      </c>
      <c r="B3099" s="163">
        <v>42356.393309143517</v>
      </c>
      <c r="C3099" s="164" t="s">
        <v>2548</v>
      </c>
      <c r="D3099" s="164" t="s">
        <v>13</v>
      </c>
      <c r="E3099" s="165">
        <v>200</v>
      </c>
      <c r="F3099" s="166">
        <v>0</v>
      </c>
      <c r="G3099" s="227">
        <f>IF($B$2,IF(ROWS(B$6:$B3099) = 1,$B3099-Start_Date,$B3099-$B3098),"")</f>
        <v>7.6609490715782158E-3</v>
      </c>
      <c r="H3099" s="29">
        <f>IF($B$2,IF(ROWS(B$6:$B3099) = 1,IF(COUNTIFS(R_Schedule_Times,"&lt;"&amp;B3099),INDEX(R_Schedule_Amounts,MATCH(B3099,R_Schedule_Times,1)),Starting_Cash),IF(COUNTIFS(R_Schedule_Times,"&gt;"&amp;B3098,R_Schedule_Times,"&lt;"&amp;B3099),INDEX(R_Schedule_Amounts,MATCH(B3099,R_Schedule_Times,1)),K3098)),"")</f>
        <v>15660</v>
      </c>
      <c r="I3099" s="30">
        <f t="shared" si="240"/>
        <v>200</v>
      </c>
      <c r="J3099" s="31">
        <f t="shared" si="241"/>
        <v>0</v>
      </c>
      <c r="K3099" s="29">
        <f t="shared" si="242"/>
        <v>15460</v>
      </c>
      <c r="L3099" s="31" t="str">
        <f t="shared" si="243"/>
        <v/>
      </c>
      <c r="M3099" s="31" t="str">
        <f t="shared" si="244"/>
        <v/>
      </c>
    </row>
    <row r="3100" spans="1:13" x14ac:dyDescent="0.15">
      <c r="A3100" s="163" t="s">
        <v>210</v>
      </c>
      <c r="B3100" s="163">
        <v>42356.417577777778</v>
      </c>
      <c r="C3100" s="164" t="s">
        <v>1850</v>
      </c>
      <c r="D3100" s="164" t="s">
        <v>13</v>
      </c>
      <c r="E3100" s="165">
        <v>20</v>
      </c>
      <c r="F3100" s="166">
        <v>0</v>
      </c>
      <c r="G3100" s="227">
        <f>IF($B$2,IF(ROWS(B$6:$B3100) = 1,$B3100-Start_Date,$B3100-$B3099),"")</f>
        <v>2.4268634260806721E-2</v>
      </c>
      <c r="H3100" s="29">
        <f>IF($B$2,IF(ROWS(B$6:$B3100) = 1,IF(COUNTIFS(R_Schedule_Times,"&lt;"&amp;B3100),INDEX(R_Schedule_Amounts,MATCH(B3100,R_Schedule_Times,1)),Starting_Cash),IF(COUNTIFS(R_Schedule_Times,"&gt;"&amp;B3099,R_Schedule_Times,"&lt;"&amp;B3100),INDEX(R_Schedule_Amounts,MATCH(B3100,R_Schedule_Times,1)),K3099)),"")</f>
        <v>15460</v>
      </c>
      <c r="I3100" s="30">
        <f t="shared" si="240"/>
        <v>20</v>
      </c>
      <c r="J3100" s="31">
        <f t="shared" si="241"/>
        <v>0</v>
      </c>
      <c r="K3100" s="29">
        <f t="shared" si="242"/>
        <v>15440</v>
      </c>
      <c r="L3100" s="31" t="str">
        <f t="shared" si="243"/>
        <v/>
      </c>
      <c r="M3100" s="31" t="str">
        <f t="shared" si="244"/>
        <v/>
      </c>
    </row>
    <row r="3101" spans="1:13" x14ac:dyDescent="0.15">
      <c r="A3101" s="163" t="s">
        <v>210</v>
      </c>
      <c r="B3101" s="163">
        <v>42356.422420868053</v>
      </c>
      <c r="C3101" s="164" t="s">
        <v>2549</v>
      </c>
      <c r="D3101" s="164" t="s">
        <v>13</v>
      </c>
      <c r="E3101" s="165">
        <v>100</v>
      </c>
      <c r="F3101" s="166">
        <v>0</v>
      </c>
      <c r="G3101" s="227">
        <f>IF($B$2,IF(ROWS(B$6:$B3101) = 1,$B3101-Start_Date,$B3101-$B3100),"")</f>
        <v>4.8430902752443217E-3</v>
      </c>
      <c r="H3101" s="29">
        <f>IF($B$2,IF(ROWS(B$6:$B3101) = 1,IF(COUNTIFS(R_Schedule_Times,"&lt;"&amp;B3101),INDEX(R_Schedule_Amounts,MATCH(B3101,R_Schedule_Times,1)),Starting_Cash),IF(COUNTIFS(R_Schedule_Times,"&gt;"&amp;B3100,R_Schedule_Times,"&lt;"&amp;B3101),INDEX(R_Schedule_Amounts,MATCH(B3101,R_Schedule_Times,1)),K3100)),"")</f>
        <v>15440</v>
      </c>
      <c r="I3101" s="30">
        <f t="shared" si="240"/>
        <v>100</v>
      </c>
      <c r="J3101" s="31">
        <f t="shared" si="241"/>
        <v>0</v>
      </c>
      <c r="K3101" s="29">
        <f t="shared" si="242"/>
        <v>15340</v>
      </c>
      <c r="L3101" s="31" t="str">
        <f t="shared" si="243"/>
        <v/>
      </c>
      <c r="M3101" s="31" t="str">
        <f t="shared" si="244"/>
        <v/>
      </c>
    </row>
    <row r="3102" spans="1:13" x14ac:dyDescent="0.15">
      <c r="A3102" s="163" t="s">
        <v>210</v>
      </c>
      <c r="B3102" s="163">
        <v>42356.456407141202</v>
      </c>
      <c r="C3102" s="164" t="s">
        <v>1563</v>
      </c>
      <c r="D3102" s="164" t="s">
        <v>13</v>
      </c>
      <c r="E3102" s="165">
        <v>100</v>
      </c>
      <c r="F3102" s="166">
        <v>0</v>
      </c>
      <c r="G3102" s="227">
        <f>IF($B$2,IF(ROWS(B$6:$B3102) = 1,$B3102-Start_Date,$B3102-$B3101),"")</f>
        <v>3.3986273148912005E-2</v>
      </c>
      <c r="H3102" s="29">
        <f>IF($B$2,IF(ROWS(B$6:$B3102) = 1,IF(COUNTIFS(R_Schedule_Times,"&lt;"&amp;B3102),INDEX(R_Schedule_Amounts,MATCH(B3102,R_Schedule_Times,1)),Starting_Cash),IF(COUNTIFS(R_Schedule_Times,"&gt;"&amp;B3101,R_Schedule_Times,"&lt;"&amp;B3102),INDEX(R_Schedule_Amounts,MATCH(B3102,R_Schedule_Times,1)),K3101)),"")</f>
        <v>15340</v>
      </c>
      <c r="I3102" s="30">
        <f t="shared" si="240"/>
        <v>100</v>
      </c>
      <c r="J3102" s="31">
        <f t="shared" si="241"/>
        <v>0</v>
      </c>
      <c r="K3102" s="29">
        <f t="shared" si="242"/>
        <v>15240</v>
      </c>
      <c r="L3102" s="31" t="str">
        <f t="shared" si="243"/>
        <v/>
      </c>
      <c r="M3102" s="31" t="str">
        <f t="shared" si="244"/>
        <v/>
      </c>
    </row>
    <row r="3103" spans="1:13" x14ac:dyDescent="0.15">
      <c r="A3103" s="163" t="s">
        <v>210</v>
      </c>
      <c r="B3103" s="163">
        <v>42356.46286861111</v>
      </c>
      <c r="C3103" s="164" t="s">
        <v>2550</v>
      </c>
      <c r="D3103" s="164" t="s">
        <v>13</v>
      </c>
      <c r="E3103" s="165">
        <v>200</v>
      </c>
      <c r="F3103" s="166">
        <v>0</v>
      </c>
      <c r="G3103" s="227">
        <f>IF($B$2,IF(ROWS(B$6:$B3103) = 1,$B3103-Start_Date,$B3103-$B3102),"")</f>
        <v>6.4614699076628312E-3</v>
      </c>
      <c r="H3103" s="29">
        <f>IF($B$2,IF(ROWS(B$6:$B3103) = 1,IF(COUNTIFS(R_Schedule_Times,"&lt;"&amp;B3103),INDEX(R_Schedule_Amounts,MATCH(B3103,R_Schedule_Times,1)),Starting_Cash),IF(COUNTIFS(R_Schedule_Times,"&gt;"&amp;B3102,R_Schedule_Times,"&lt;"&amp;B3103),INDEX(R_Schedule_Amounts,MATCH(B3103,R_Schedule_Times,1)),K3102)),"")</f>
        <v>15240</v>
      </c>
      <c r="I3103" s="30">
        <f t="shared" si="240"/>
        <v>200</v>
      </c>
      <c r="J3103" s="31">
        <f t="shared" si="241"/>
        <v>0</v>
      </c>
      <c r="K3103" s="29">
        <f t="shared" si="242"/>
        <v>15040</v>
      </c>
      <c r="L3103" s="31" t="str">
        <f t="shared" si="243"/>
        <v/>
      </c>
      <c r="M3103" s="31" t="str">
        <f t="shared" si="244"/>
        <v/>
      </c>
    </row>
    <row r="3104" spans="1:13" x14ac:dyDescent="0.15">
      <c r="A3104" s="163" t="s">
        <v>210</v>
      </c>
      <c r="B3104" s="163">
        <v>42356.474944409725</v>
      </c>
      <c r="C3104" s="164" t="s">
        <v>2551</v>
      </c>
      <c r="D3104" s="164" t="s">
        <v>13</v>
      </c>
      <c r="E3104" s="165">
        <v>100</v>
      </c>
      <c r="F3104" s="166">
        <v>0</v>
      </c>
      <c r="G3104" s="227">
        <f>IF($B$2,IF(ROWS(B$6:$B3104) = 1,$B3104-Start_Date,$B3104-$B3103),"")</f>
        <v>1.2075798615114763E-2</v>
      </c>
      <c r="H3104" s="29">
        <f>IF($B$2,IF(ROWS(B$6:$B3104) = 1,IF(COUNTIFS(R_Schedule_Times,"&lt;"&amp;B3104),INDEX(R_Schedule_Amounts,MATCH(B3104,R_Schedule_Times,1)),Starting_Cash),IF(COUNTIFS(R_Schedule_Times,"&gt;"&amp;B3103,R_Schedule_Times,"&lt;"&amp;B3104),INDEX(R_Schedule_Amounts,MATCH(B3104,R_Schedule_Times,1)),K3103)),"")</f>
        <v>15040</v>
      </c>
      <c r="I3104" s="30">
        <f t="shared" si="240"/>
        <v>100</v>
      </c>
      <c r="J3104" s="31">
        <f t="shared" si="241"/>
        <v>0</v>
      </c>
      <c r="K3104" s="29">
        <f t="shared" si="242"/>
        <v>14940</v>
      </c>
      <c r="L3104" s="31" t="str">
        <f t="shared" si="243"/>
        <v/>
      </c>
      <c r="M3104" s="31" t="str">
        <f t="shared" si="244"/>
        <v/>
      </c>
    </row>
    <row r="3105" spans="1:13" x14ac:dyDescent="0.15">
      <c r="A3105" s="163" t="s">
        <v>210</v>
      </c>
      <c r="B3105" s="163">
        <v>42356.480699363427</v>
      </c>
      <c r="C3105" s="164" t="s">
        <v>2552</v>
      </c>
      <c r="D3105" s="164" t="s">
        <v>13</v>
      </c>
      <c r="E3105" s="165">
        <v>40</v>
      </c>
      <c r="F3105" s="166">
        <v>0</v>
      </c>
      <c r="G3105" s="227">
        <f>IF($B$2,IF(ROWS(B$6:$B3105) = 1,$B3105-Start_Date,$B3105-$B3104),"")</f>
        <v>5.7549537013983354E-3</v>
      </c>
      <c r="H3105" s="29">
        <f>IF($B$2,IF(ROWS(B$6:$B3105) = 1,IF(COUNTIFS(R_Schedule_Times,"&lt;"&amp;B3105),INDEX(R_Schedule_Amounts,MATCH(B3105,R_Schedule_Times,1)),Starting_Cash),IF(COUNTIFS(R_Schedule_Times,"&gt;"&amp;B3104,R_Schedule_Times,"&lt;"&amp;B3105),INDEX(R_Schedule_Amounts,MATCH(B3105,R_Schedule_Times,1)),K3104)),"")</f>
        <v>14940</v>
      </c>
      <c r="I3105" s="30">
        <f t="shared" si="240"/>
        <v>40</v>
      </c>
      <c r="J3105" s="31">
        <f t="shared" si="241"/>
        <v>0</v>
      </c>
      <c r="K3105" s="29">
        <f t="shared" si="242"/>
        <v>14900</v>
      </c>
      <c r="L3105" s="31" t="str">
        <f t="shared" si="243"/>
        <v/>
      </c>
      <c r="M3105" s="31" t="str">
        <f t="shared" si="244"/>
        <v/>
      </c>
    </row>
    <row r="3106" spans="1:13" x14ac:dyDescent="0.15">
      <c r="A3106" s="163" t="s">
        <v>210</v>
      </c>
      <c r="B3106" s="163">
        <v>42356.500321828702</v>
      </c>
      <c r="C3106" s="164" t="s">
        <v>2553</v>
      </c>
      <c r="D3106" s="164" t="s">
        <v>13</v>
      </c>
      <c r="E3106" s="165">
        <v>80</v>
      </c>
      <c r="F3106" s="166">
        <v>0</v>
      </c>
      <c r="G3106" s="227">
        <f>IF($B$2,IF(ROWS(B$6:$B3106) = 1,$B3106-Start_Date,$B3106-$B3105),"")</f>
        <v>1.9622465275460854E-2</v>
      </c>
      <c r="H3106" s="29">
        <f>IF($B$2,IF(ROWS(B$6:$B3106) = 1,IF(COUNTIFS(R_Schedule_Times,"&lt;"&amp;B3106),INDEX(R_Schedule_Amounts,MATCH(B3106,R_Schedule_Times,1)),Starting_Cash),IF(COUNTIFS(R_Schedule_Times,"&gt;"&amp;B3105,R_Schedule_Times,"&lt;"&amp;B3106),INDEX(R_Schedule_Amounts,MATCH(B3106,R_Schedule_Times,1)),K3105)),"")</f>
        <v>14900</v>
      </c>
      <c r="I3106" s="30">
        <f t="shared" si="240"/>
        <v>80</v>
      </c>
      <c r="J3106" s="31">
        <f t="shared" si="241"/>
        <v>0</v>
      </c>
      <c r="K3106" s="29">
        <f t="shared" si="242"/>
        <v>14820</v>
      </c>
      <c r="L3106" s="31" t="str">
        <f t="shared" si="243"/>
        <v/>
      </c>
      <c r="M3106" s="31" t="str">
        <f t="shared" si="244"/>
        <v/>
      </c>
    </row>
    <row r="3107" spans="1:13" x14ac:dyDescent="0.15">
      <c r="A3107" s="163" t="s">
        <v>210</v>
      </c>
      <c r="B3107" s="163">
        <v>42356.505464930553</v>
      </c>
      <c r="C3107" s="164" t="s">
        <v>2554</v>
      </c>
      <c r="D3107" s="164" t="s">
        <v>13</v>
      </c>
      <c r="E3107" s="165">
        <v>40</v>
      </c>
      <c r="F3107" s="166">
        <v>0</v>
      </c>
      <c r="G3107" s="227">
        <f>IF($B$2,IF(ROWS(B$6:$B3107) = 1,$B3107-Start_Date,$B3107-$B3106),"")</f>
        <v>5.143101850990206E-3</v>
      </c>
      <c r="H3107" s="29">
        <f>IF($B$2,IF(ROWS(B$6:$B3107) = 1,IF(COUNTIFS(R_Schedule_Times,"&lt;"&amp;B3107),INDEX(R_Schedule_Amounts,MATCH(B3107,R_Schedule_Times,1)),Starting_Cash),IF(COUNTIFS(R_Schedule_Times,"&gt;"&amp;B3106,R_Schedule_Times,"&lt;"&amp;B3107),INDEX(R_Schedule_Amounts,MATCH(B3107,R_Schedule_Times,1)),K3106)),"")</f>
        <v>14820</v>
      </c>
      <c r="I3107" s="30">
        <f t="shared" si="240"/>
        <v>40</v>
      </c>
      <c r="J3107" s="31">
        <f t="shared" si="241"/>
        <v>0</v>
      </c>
      <c r="K3107" s="29">
        <f t="shared" si="242"/>
        <v>14780</v>
      </c>
      <c r="L3107" s="31" t="str">
        <f t="shared" si="243"/>
        <v/>
      </c>
      <c r="M3107" s="31" t="str">
        <f t="shared" si="244"/>
        <v/>
      </c>
    </row>
    <row r="3108" spans="1:13" x14ac:dyDescent="0.15">
      <c r="A3108" s="163" t="s">
        <v>210</v>
      </c>
      <c r="B3108" s="163">
        <v>42356.517644652777</v>
      </c>
      <c r="C3108" s="164" t="s">
        <v>261</v>
      </c>
      <c r="D3108" s="164" t="s">
        <v>13</v>
      </c>
      <c r="E3108" s="165">
        <v>100</v>
      </c>
      <c r="F3108" s="166">
        <v>0</v>
      </c>
      <c r="G3108" s="227">
        <f>IF($B$2,IF(ROWS(B$6:$B3108) = 1,$B3108-Start_Date,$B3108-$B3107),"")</f>
        <v>1.2179722223663703E-2</v>
      </c>
      <c r="H3108" s="29">
        <f>IF($B$2,IF(ROWS(B$6:$B3108) = 1,IF(COUNTIFS(R_Schedule_Times,"&lt;"&amp;B3108),INDEX(R_Schedule_Amounts,MATCH(B3108,R_Schedule_Times,1)),Starting_Cash),IF(COUNTIFS(R_Schedule_Times,"&gt;"&amp;B3107,R_Schedule_Times,"&lt;"&amp;B3108),INDEX(R_Schedule_Amounts,MATCH(B3108,R_Schedule_Times,1)),K3107)),"")</f>
        <v>14780</v>
      </c>
      <c r="I3108" s="30">
        <f t="shared" si="240"/>
        <v>100</v>
      </c>
      <c r="J3108" s="31">
        <f t="shared" si="241"/>
        <v>0</v>
      </c>
      <c r="K3108" s="29">
        <f t="shared" si="242"/>
        <v>14680</v>
      </c>
      <c r="L3108" s="31" t="str">
        <f t="shared" si="243"/>
        <v/>
      </c>
      <c r="M3108" s="31" t="str">
        <f t="shared" si="244"/>
        <v/>
      </c>
    </row>
    <row r="3109" spans="1:13" x14ac:dyDescent="0.15">
      <c r="A3109" s="163" t="s">
        <v>210</v>
      </c>
      <c r="B3109" s="163">
        <v>42356.535023020835</v>
      </c>
      <c r="C3109" s="164" t="s">
        <v>2555</v>
      </c>
      <c r="D3109" s="164" t="s">
        <v>13</v>
      </c>
      <c r="E3109" s="165">
        <v>20</v>
      </c>
      <c r="F3109" s="166">
        <v>0</v>
      </c>
      <c r="G3109" s="227">
        <f>IF($B$2,IF(ROWS(B$6:$B3109) = 1,$B3109-Start_Date,$B3109-$B3108),"")</f>
        <v>1.7378368058416527E-2</v>
      </c>
      <c r="H3109" s="29">
        <f>IF($B$2,IF(ROWS(B$6:$B3109) = 1,IF(COUNTIFS(R_Schedule_Times,"&lt;"&amp;B3109),INDEX(R_Schedule_Amounts,MATCH(B3109,R_Schedule_Times,1)),Starting_Cash),IF(COUNTIFS(R_Schedule_Times,"&gt;"&amp;B3108,R_Schedule_Times,"&lt;"&amp;B3109),INDEX(R_Schedule_Amounts,MATCH(B3109,R_Schedule_Times,1)),K3108)),"")</f>
        <v>14680</v>
      </c>
      <c r="I3109" s="30">
        <f t="shared" si="240"/>
        <v>20</v>
      </c>
      <c r="J3109" s="31">
        <f t="shared" si="241"/>
        <v>0</v>
      </c>
      <c r="K3109" s="29">
        <f t="shared" si="242"/>
        <v>14660</v>
      </c>
      <c r="L3109" s="31" t="str">
        <f t="shared" si="243"/>
        <v/>
      </c>
      <c r="M3109" s="31" t="str">
        <f t="shared" si="244"/>
        <v/>
      </c>
    </row>
    <row r="3110" spans="1:13" x14ac:dyDescent="0.15">
      <c r="A3110" s="163" t="s">
        <v>210</v>
      </c>
      <c r="B3110" s="163">
        <v>42356.537534976851</v>
      </c>
      <c r="C3110" s="164" t="s">
        <v>1576</v>
      </c>
      <c r="D3110" s="164" t="s">
        <v>13</v>
      </c>
      <c r="E3110" s="165">
        <v>100</v>
      </c>
      <c r="F3110" s="166">
        <v>0</v>
      </c>
      <c r="G3110" s="227">
        <f>IF($B$2,IF(ROWS(B$6:$B3110) = 1,$B3110-Start_Date,$B3110-$B3109),"")</f>
        <v>2.5119560159510002E-3</v>
      </c>
      <c r="H3110" s="29">
        <f>IF($B$2,IF(ROWS(B$6:$B3110) = 1,IF(COUNTIFS(R_Schedule_Times,"&lt;"&amp;B3110),INDEX(R_Schedule_Amounts,MATCH(B3110,R_Schedule_Times,1)),Starting_Cash),IF(COUNTIFS(R_Schedule_Times,"&gt;"&amp;B3109,R_Schedule_Times,"&lt;"&amp;B3110),INDEX(R_Schedule_Amounts,MATCH(B3110,R_Schedule_Times,1)),K3109)),"")</f>
        <v>14660</v>
      </c>
      <c r="I3110" s="30">
        <f t="shared" si="240"/>
        <v>100</v>
      </c>
      <c r="J3110" s="31">
        <f t="shared" si="241"/>
        <v>0</v>
      </c>
      <c r="K3110" s="29">
        <f t="shared" si="242"/>
        <v>14560</v>
      </c>
      <c r="L3110" s="31" t="str">
        <f t="shared" si="243"/>
        <v/>
      </c>
      <c r="M3110" s="31" t="str">
        <f t="shared" si="244"/>
        <v/>
      </c>
    </row>
    <row r="3111" spans="1:13" x14ac:dyDescent="0.15">
      <c r="A3111" s="163" t="s">
        <v>210</v>
      </c>
      <c r="B3111" s="163">
        <v>42356.552220138889</v>
      </c>
      <c r="C3111" s="164" t="s">
        <v>14</v>
      </c>
      <c r="D3111" s="164" t="s">
        <v>13</v>
      </c>
      <c r="E3111" s="165">
        <v>100</v>
      </c>
      <c r="F3111" s="166">
        <v>3.5</v>
      </c>
      <c r="G3111" s="227">
        <f>IF($B$2,IF(ROWS(B$6:$B3111) = 1,$B3111-Start_Date,$B3111-$B3110),"")</f>
        <v>1.4685162037494592E-2</v>
      </c>
      <c r="H3111" s="29">
        <f>IF($B$2,IF(ROWS(B$6:$B3111) = 1,IF(COUNTIFS(R_Schedule_Times,"&lt;"&amp;B3111),INDEX(R_Schedule_Amounts,MATCH(B3111,R_Schedule_Times,1)),Starting_Cash),IF(COUNTIFS(R_Schedule_Times,"&gt;"&amp;B3110,R_Schedule_Times,"&lt;"&amp;B3111),INDEX(R_Schedule_Amounts,MATCH(B3111,R_Schedule_Times,1)),K3110)),"")</f>
        <v>14560</v>
      </c>
      <c r="I3111" s="30">
        <f t="shared" si="240"/>
        <v>100</v>
      </c>
      <c r="J3111" s="31">
        <f t="shared" si="241"/>
        <v>3.5</v>
      </c>
      <c r="K3111" s="29">
        <f t="shared" si="242"/>
        <v>14460</v>
      </c>
      <c r="L3111" s="31" t="str">
        <f t="shared" si="243"/>
        <v/>
      </c>
      <c r="M3111" s="31" t="str">
        <f t="shared" si="244"/>
        <v/>
      </c>
    </row>
    <row r="3112" spans="1:13" x14ac:dyDescent="0.15">
      <c r="A3112" s="163" t="s">
        <v>210</v>
      </c>
      <c r="B3112" s="163">
        <v>42356.56765394676</v>
      </c>
      <c r="C3112" s="164" t="s">
        <v>1474</v>
      </c>
      <c r="D3112" s="164" t="s">
        <v>13</v>
      </c>
      <c r="E3112" s="165">
        <v>100</v>
      </c>
      <c r="F3112" s="166">
        <v>0</v>
      </c>
      <c r="G3112" s="227">
        <f>IF($B$2,IF(ROWS(B$6:$B3112) = 1,$B3112-Start_Date,$B3112-$B3111),"")</f>
        <v>1.5433807871886529E-2</v>
      </c>
      <c r="H3112" s="29">
        <f>IF($B$2,IF(ROWS(B$6:$B3112) = 1,IF(COUNTIFS(R_Schedule_Times,"&lt;"&amp;B3112),INDEX(R_Schedule_Amounts,MATCH(B3112,R_Schedule_Times,1)),Starting_Cash),IF(COUNTIFS(R_Schedule_Times,"&gt;"&amp;B3111,R_Schedule_Times,"&lt;"&amp;B3112),INDEX(R_Schedule_Amounts,MATCH(B3112,R_Schedule_Times,1)),K3111)),"")</f>
        <v>14460</v>
      </c>
      <c r="I3112" s="30">
        <f t="shared" si="240"/>
        <v>100</v>
      </c>
      <c r="J3112" s="31">
        <f t="shared" si="241"/>
        <v>0</v>
      </c>
      <c r="K3112" s="29">
        <f t="shared" si="242"/>
        <v>14360</v>
      </c>
      <c r="L3112" s="31" t="str">
        <f t="shared" si="243"/>
        <v/>
      </c>
      <c r="M3112" s="31" t="str">
        <f t="shared" si="244"/>
        <v/>
      </c>
    </row>
    <row r="3113" spans="1:13" x14ac:dyDescent="0.15">
      <c r="A3113" s="163" t="s">
        <v>210</v>
      </c>
      <c r="B3113" s="163">
        <v>42356.581588333334</v>
      </c>
      <c r="C3113" s="164" t="s">
        <v>2556</v>
      </c>
      <c r="D3113" s="164" t="s">
        <v>13</v>
      </c>
      <c r="E3113" s="165">
        <v>20</v>
      </c>
      <c r="F3113" s="166">
        <v>0</v>
      </c>
      <c r="G3113" s="227">
        <f>IF($B$2,IF(ROWS(B$6:$B3113) = 1,$B3113-Start_Date,$B3113-$B3112),"")</f>
        <v>1.393438657396473E-2</v>
      </c>
      <c r="H3113" s="29">
        <f>IF($B$2,IF(ROWS(B$6:$B3113) = 1,IF(COUNTIFS(R_Schedule_Times,"&lt;"&amp;B3113),INDEX(R_Schedule_Amounts,MATCH(B3113,R_Schedule_Times,1)),Starting_Cash),IF(COUNTIFS(R_Schedule_Times,"&gt;"&amp;B3112,R_Schedule_Times,"&lt;"&amp;B3113),INDEX(R_Schedule_Amounts,MATCH(B3113,R_Schedule_Times,1)),K3112)),"")</f>
        <v>14360</v>
      </c>
      <c r="I3113" s="30">
        <f t="shared" si="240"/>
        <v>20</v>
      </c>
      <c r="J3113" s="31">
        <f t="shared" si="241"/>
        <v>0</v>
      </c>
      <c r="K3113" s="29">
        <f t="shared" si="242"/>
        <v>14340</v>
      </c>
      <c r="L3113" s="31" t="str">
        <f t="shared" si="243"/>
        <v/>
      </c>
      <c r="M3113" s="31" t="str">
        <f t="shared" si="244"/>
        <v/>
      </c>
    </row>
    <row r="3114" spans="1:13" x14ac:dyDescent="0.15">
      <c r="A3114" s="163" t="s">
        <v>210</v>
      </c>
      <c r="B3114" s="163">
        <v>42356.585788067132</v>
      </c>
      <c r="C3114" s="164" t="s">
        <v>2557</v>
      </c>
      <c r="D3114" s="164" t="s">
        <v>13</v>
      </c>
      <c r="E3114" s="165">
        <v>40</v>
      </c>
      <c r="F3114" s="166">
        <v>0</v>
      </c>
      <c r="G3114" s="227">
        <f>IF($B$2,IF(ROWS(B$6:$B3114) = 1,$B3114-Start_Date,$B3114-$B3113),"")</f>
        <v>4.1997337975772098E-3</v>
      </c>
      <c r="H3114" s="29">
        <f>IF($B$2,IF(ROWS(B$6:$B3114) = 1,IF(COUNTIFS(R_Schedule_Times,"&lt;"&amp;B3114),INDEX(R_Schedule_Amounts,MATCH(B3114,R_Schedule_Times,1)),Starting_Cash),IF(COUNTIFS(R_Schedule_Times,"&gt;"&amp;B3113,R_Schedule_Times,"&lt;"&amp;B3114),INDEX(R_Schedule_Amounts,MATCH(B3114,R_Schedule_Times,1)),K3113)),"")</f>
        <v>14340</v>
      </c>
      <c r="I3114" s="30">
        <f t="shared" si="240"/>
        <v>40</v>
      </c>
      <c r="J3114" s="31">
        <f t="shared" si="241"/>
        <v>0</v>
      </c>
      <c r="K3114" s="29">
        <f t="shared" si="242"/>
        <v>14300</v>
      </c>
      <c r="L3114" s="31" t="str">
        <f t="shared" si="243"/>
        <v/>
      </c>
      <c r="M3114" s="31" t="str">
        <f t="shared" si="244"/>
        <v/>
      </c>
    </row>
    <row r="3115" spans="1:13" x14ac:dyDescent="0.15">
      <c r="A3115" s="163" t="s">
        <v>210</v>
      </c>
      <c r="B3115" s="163">
        <v>42356.606307071757</v>
      </c>
      <c r="C3115" s="164" t="s">
        <v>2558</v>
      </c>
      <c r="D3115" s="164" t="s">
        <v>13</v>
      </c>
      <c r="E3115" s="165">
        <v>80</v>
      </c>
      <c r="F3115" s="166">
        <v>0</v>
      </c>
      <c r="G3115" s="227">
        <f>IF($B$2,IF(ROWS(B$6:$B3115) = 1,$B3115-Start_Date,$B3115-$B3114),"")</f>
        <v>2.0519004625384696E-2</v>
      </c>
      <c r="H3115" s="29">
        <f>IF($B$2,IF(ROWS(B$6:$B3115) = 1,IF(COUNTIFS(R_Schedule_Times,"&lt;"&amp;B3115),INDEX(R_Schedule_Amounts,MATCH(B3115,R_Schedule_Times,1)),Starting_Cash),IF(COUNTIFS(R_Schedule_Times,"&gt;"&amp;B3114,R_Schedule_Times,"&lt;"&amp;B3115),INDEX(R_Schedule_Amounts,MATCH(B3115,R_Schedule_Times,1)),K3114)),"")</f>
        <v>14300</v>
      </c>
      <c r="I3115" s="30">
        <f t="shared" si="240"/>
        <v>80</v>
      </c>
      <c r="J3115" s="31">
        <f t="shared" si="241"/>
        <v>0</v>
      </c>
      <c r="K3115" s="29">
        <f t="shared" si="242"/>
        <v>14220</v>
      </c>
      <c r="L3115" s="31" t="str">
        <f t="shared" si="243"/>
        <v/>
      </c>
      <c r="M3115" s="31" t="str">
        <f t="shared" si="244"/>
        <v/>
      </c>
    </row>
    <row r="3116" spans="1:13" x14ac:dyDescent="0.15">
      <c r="A3116" s="163" t="s">
        <v>210</v>
      </c>
      <c r="B3116" s="163">
        <v>42356.622338310182</v>
      </c>
      <c r="C3116" s="164" t="s">
        <v>1001</v>
      </c>
      <c r="D3116" s="164" t="s">
        <v>13</v>
      </c>
      <c r="E3116" s="165">
        <v>20</v>
      </c>
      <c r="F3116" s="166">
        <v>0</v>
      </c>
      <c r="G3116" s="227">
        <f>IF($B$2,IF(ROWS(B$6:$B3116) = 1,$B3116-Start_Date,$B3116-$B3115),"")</f>
        <v>1.6031238425057381E-2</v>
      </c>
      <c r="H3116" s="29">
        <f>IF($B$2,IF(ROWS(B$6:$B3116) = 1,IF(COUNTIFS(R_Schedule_Times,"&lt;"&amp;B3116),INDEX(R_Schedule_Amounts,MATCH(B3116,R_Schedule_Times,1)),Starting_Cash),IF(COUNTIFS(R_Schedule_Times,"&gt;"&amp;B3115,R_Schedule_Times,"&lt;"&amp;B3116),INDEX(R_Schedule_Amounts,MATCH(B3116,R_Schedule_Times,1)),K3115)),"")</f>
        <v>14220</v>
      </c>
      <c r="I3116" s="30">
        <f t="shared" si="240"/>
        <v>20</v>
      </c>
      <c r="J3116" s="31">
        <f t="shared" si="241"/>
        <v>0</v>
      </c>
      <c r="K3116" s="29">
        <f t="shared" si="242"/>
        <v>14200</v>
      </c>
      <c r="L3116" s="31" t="str">
        <f t="shared" si="243"/>
        <v/>
      </c>
      <c r="M3116" s="31" t="str">
        <f t="shared" si="244"/>
        <v/>
      </c>
    </row>
    <row r="3117" spans="1:13" x14ac:dyDescent="0.15">
      <c r="A3117" s="163" t="s">
        <v>210</v>
      </c>
      <c r="B3117" s="163">
        <v>42356.644972881943</v>
      </c>
      <c r="C3117" s="164" t="s">
        <v>2559</v>
      </c>
      <c r="D3117" s="164" t="s">
        <v>13</v>
      </c>
      <c r="E3117" s="165">
        <v>500</v>
      </c>
      <c r="F3117" s="166">
        <v>0</v>
      </c>
      <c r="G3117" s="227">
        <f>IF($B$2,IF(ROWS(B$6:$B3117) = 1,$B3117-Start_Date,$B3117-$B3116),"")</f>
        <v>2.2634571760136168E-2</v>
      </c>
      <c r="H3117" s="29">
        <f>IF($B$2,IF(ROWS(B$6:$B3117) = 1,IF(COUNTIFS(R_Schedule_Times,"&lt;"&amp;B3117),INDEX(R_Schedule_Amounts,MATCH(B3117,R_Schedule_Times,1)),Starting_Cash),IF(COUNTIFS(R_Schedule_Times,"&gt;"&amp;B3116,R_Schedule_Times,"&lt;"&amp;B3117),INDEX(R_Schedule_Amounts,MATCH(B3117,R_Schedule_Times,1)),K3116)),"")</f>
        <v>14200</v>
      </c>
      <c r="I3117" s="30">
        <f t="shared" si="240"/>
        <v>500</v>
      </c>
      <c r="J3117" s="31">
        <f t="shared" si="241"/>
        <v>0</v>
      </c>
      <c r="K3117" s="29">
        <f t="shared" si="242"/>
        <v>13700</v>
      </c>
      <c r="L3117" s="31" t="str">
        <f t="shared" si="243"/>
        <v/>
      </c>
      <c r="M3117" s="31" t="str">
        <f t="shared" si="244"/>
        <v/>
      </c>
    </row>
    <row r="3118" spans="1:13" x14ac:dyDescent="0.15">
      <c r="A3118" s="163" t="s">
        <v>210</v>
      </c>
      <c r="B3118" s="163">
        <v>42356.647007511572</v>
      </c>
      <c r="C3118" s="164" t="s">
        <v>2560</v>
      </c>
      <c r="D3118" s="164" t="s">
        <v>13</v>
      </c>
      <c r="E3118" s="165">
        <v>100</v>
      </c>
      <c r="F3118" s="166">
        <v>0</v>
      </c>
      <c r="G3118" s="227">
        <f>IF($B$2,IF(ROWS(B$6:$B3118) = 1,$B3118-Start_Date,$B3118-$B3117),"")</f>
        <v>2.0346296296338551E-3</v>
      </c>
      <c r="H3118" s="29">
        <f>IF($B$2,IF(ROWS(B$6:$B3118) = 1,IF(COUNTIFS(R_Schedule_Times,"&lt;"&amp;B3118),INDEX(R_Schedule_Amounts,MATCH(B3118,R_Schedule_Times,1)),Starting_Cash),IF(COUNTIFS(R_Schedule_Times,"&gt;"&amp;B3117,R_Schedule_Times,"&lt;"&amp;B3118),INDEX(R_Schedule_Amounts,MATCH(B3118,R_Schedule_Times,1)),K3117)),"")</f>
        <v>13700</v>
      </c>
      <c r="I3118" s="30">
        <f t="shared" si="240"/>
        <v>100</v>
      </c>
      <c r="J3118" s="31">
        <f t="shared" si="241"/>
        <v>0</v>
      </c>
      <c r="K3118" s="29">
        <f t="shared" si="242"/>
        <v>13600</v>
      </c>
      <c r="L3118" s="31" t="str">
        <f t="shared" si="243"/>
        <v/>
      </c>
      <c r="M3118" s="31" t="str">
        <f t="shared" si="244"/>
        <v/>
      </c>
    </row>
    <row r="3119" spans="1:13" x14ac:dyDescent="0.15">
      <c r="A3119" s="163" t="s">
        <v>210</v>
      </c>
      <c r="B3119" s="163">
        <v>42356.647641585645</v>
      </c>
      <c r="C3119" s="164" t="s">
        <v>535</v>
      </c>
      <c r="D3119" s="164" t="s">
        <v>13</v>
      </c>
      <c r="E3119" s="165">
        <v>40</v>
      </c>
      <c r="F3119" s="166">
        <v>0</v>
      </c>
      <c r="G3119" s="227">
        <f>IF($B$2,IF(ROWS(B$6:$B3119) = 1,$B3119-Start_Date,$B3119-$B3118),"")</f>
        <v>6.340740728774108E-4</v>
      </c>
      <c r="H3119" s="29">
        <f>IF($B$2,IF(ROWS(B$6:$B3119) = 1,IF(COUNTIFS(R_Schedule_Times,"&lt;"&amp;B3119),INDEX(R_Schedule_Amounts,MATCH(B3119,R_Schedule_Times,1)),Starting_Cash),IF(COUNTIFS(R_Schedule_Times,"&gt;"&amp;B3118,R_Schedule_Times,"&lt;"&amp;B3119),INDEX(R_Schedule_Amounts,MATCH(B3119,R_Schedule_Times,1)),K3118)),"")</f>
        <v>13600</v>
      </c>
      <c r="I3119" s="30">
        <f t="shared" si="240"/>
        <v>40</v>
      </c>
      <c r="J3119" s="31">
        <f t="shared" si="241"/>
        <v>0</v>
      </c>
      <c r="K3119" s="29">
        <f t="shared" si="242"/>
        <v>13560</v>
      </c>
      <c r="L3119" s="31" t="str">
        <f t="shared" si="243"/>
        <v/>
      </c>
      <c r="M3119" s="31" t="str">
        <f t="shared" si="244"/>
        <v/>
      </c>
    </row>
    <row r="3120" spans="1:13" x14ac:dyDescent="0.15">
      <c r="A3120" s="163" t="s">
        <v>210</v>
      </c>
      <c r="B3120" s="163">
        <v>42356.648387673609</v>
      </c>
      <c r="C3120" s="164" t="s">
        <v>14</v>
      </c>
      <c r="D3120" s="164" t="s">
        <v>15</v>
      </c>
      <c r="E3120" s="165">
        <v>40</v>
      </c>
      <c r="F3120" s="166">
        <v>3.7</v>
      </c>
      <c r="G3120" s="227">
        <f>IF($B$2,IF(ROWS(B$6:$B3120) = 1,$B3120-Start_Date,$B3120-$B3119),"")</f>
        <v>7.4608796421671286E-4</v>
      </c>
      <c r="H3120" s="29">
        <f>IF($B$2,IF(ROWS(B$6:$B3120) = 1,IF(COUNTIFS(R_Schedule_Times,"&lt;"&amp;B3120),INDEX(R_Schedule_Amounts,MATCH(B3120,R_Schedule_Times,1)),Starting_Cash),IF(COUNTIFS(R_Schedule_Times,"&gt;"&amp;B3119,R_Schedule_Times,"&lt;"&amp;B3120),INDEX(R_Schedule_Amounts,MATCH(B3120,R_Schedule_Times,1)),K3119)),"")</f>
        <v>13560</v>
      </c>
      <c r="I3120" s="30">
        <f t="shared" si="240"/>
        <v>40</v>
      </c>
      <c r="J3120" s="31">
        <f t="shared" si="241"/>
        <v>3.7</v>
      </c>
      <c r="K3120" s="29">
        <f t="shared" si="242"/>
        <v>13520</v>
      </c>
      <c r="L3120" s="31" t="str">
        <f t="shared" si="243"/>
        <v/>
      </c>
      <c r="M3120" s="31" t="str">
        <f t="shared" si="244"/>
        <v/>
      </c>
    </row>
    <row r="3121" spans="1:13" x14ac:dyDescent="0.15">
      <c r="A3121" s="163" t="s">
        <v>210</v>
      </c>
      <c r="B3121" s="163">
        <v>42356.65627702546</v>
      </c>
      <c r="C3121" s="164" t="s">
        <v>2561</v>
      </c>
      <c r="D3121" s="164" t="s">
        <v>13</v>
      </c>
      <c r="E3121" s="165">
        <v>100</v>
      </c>
      <c r="F3121" s="166">
        <v>0</v>
      </c>
      <c r="G3121" s="227">
        <f>IF($B$2,IF(ROWS(B$6:$B3121) = 1,$B3121-Start_Date,$B3121-$B3120),"")</f>
        <v>7.8893518511904404E-3</v>
      </c>
      <c r="H3121" s="29">
        <f>IF($B$2,IF(ROWS(B$6:$B3121) = 1,IF(COUNTIFS(R_Schedule_Times,"&lt;"&amp;B3121),INDEX(R_Schedule_Amounts,MATCH(B3121,R_Schedule_Times,1)),Starting_Cash),IF(COUNTIFS(R_Schedule_Times,"&gt;"&amp;B3120,R_Schedule_Times,"&lt;"&amp;B3121),INDEX(R_Schedule_Amounts,MATCH(B3121,R_Schedule_Times,1)),K3120)),"")</f>
        <v>13520</v>
      </c>
      <c r="I3121" s="30">
        <f t="shared" si="240"/>
        <v>100</v>
      </c>
      <c r="J3121" s="31">
        <f t="shared" si="241"/>
        <v>0</v>
      </c>
      <c r="K3121" s="29">
        <f t="shared" si="242"/>
        <v>13420</v>
      </c>
      <c r="L3121" s="31" t="str">
        <f t="shared" si="243"/>
        <v/>
      </c>
      <c r="M3121" s="31" t="str">
        <f t="shared" si="244"/>
        <v/>
      </c>
    </row>
    <row r="3122" spans="1:13" x14ac:dyDescent="0.15">
      <c r="A3122" s="163" t="s">
        <v>210</v>
      </c>
      <c r="B3122" s="163">
        <v>42356.657933541668</v>
      </c>
      <c r="C3122" s="164" t="s">
        <v>2562</v>
      </c>
      <c r="D3122" s="164" t="s">
        <v>13</v>
      </c>
      <c r="E3122" s="165">
        <v>40</v>
      </c>
      <c r="F3122" s="166">
        <v>0</v>
      </c>
      <c r="G3122" s="227">
        <f>IF($B$2,IF(ROWS(B$6:$B3122) = 1,$B3122-Start_Date,$B3122-$B3121),"")</f>
        <v>1.6565162077313289E-3</v>
      </c>
      <c r="H3122" s="29">
        <f>IF($B$2,IF(ROWS(B$6:$B3122) = 1,IF(COUNTIFS(R_Schedule_Times,"&lt;"&amp;B3122),INDEX(R_Schedule_Amounts,MATCH(B3122,R_Schedule_Times,1)),Starting_Cash),IF(COUNTIFS(R_Schedule_Times,"&gt;"&amp;B3121,R_Schedule_Times,"&lt;"&amp;B3122),INDEX(R_Schedule_Amounts,MATCH(B3122,R_Schedule_Times,1)),K3121)),"")</f>
        <v>13420</v>
      </c>
      <c r="I3122" s="30">
        <f t="shared" si="240"/>
        <v>40</v>
      </c>
      <c r="J3122" s="31">
        <f t="shared" si="241"/>
        <v>0</v>
      </c>
      <c r="K3122" s="29">
        <f t="shared" si="242"/>
        <v>13380</v>
      </c>
      <c r="L3122" s="31" t="str">
        <f t="shared" si="243"/>
        <v/>
      </c>
      <c r="M3122" s="31" t="str">
        <f t="shared" si="244"/>
        <v/>
      </c>
    </row>
    <row r="3123" spans="1:13" x14ac:dyDescent="0.15">
      <c r="A3123" s="163" t="s">
        <v>210</v>
      </c>
      <c r="B3123" s="163">
        <v>42356.670946562503</v>
      </c>
      <c r="C3123" s="164" t="s">
        <v>2563</v>
      </c>
      <c r="D3123" s="164" t="s">
        <v>13</v>
      </c>
      <c r="E3123" s="165">
        <v>100</v>
      </c>
      <c r="F3123" s="166">
        <v>0</v>
      </c>
      <c r="G3123" s="227">
        <f>IF($B$2,IF(ROWS(B$6:$B3123) = 1,$B3123-Start_Date,$B3123-$B3122),"")</f>
        <v>1.3013020834478084E-2</v>
      </c>
      <c r="H3123" s="29">
        <f>IF($B$2,IF(ROWS(B$6:$B3123) = 1,IF(COUNTIFS(R_Schedule_Times,"&lt;"&amp;B3123),INDEX(R_Schedule_Amounts,MATCH(B3123,R_Schedule_Times,1)),Starting_Cash),IF(COUNTIFS(R_Schedule_Times,"&gt;"&amp;B3122,R_Schedule_Times,"&lt;"&amp;B3123),INDEX(R_Schedule_Amounts,MATCH(B3123,R_Schedule_Times,1)),K3122)),"")</f>
        <v>13380</v>
      </c>
      <c r="I3123" s="30">
        <f t="shared" si="240"/>
        <v>100</v>
      </c>
      <c r="J3123" s="31">
        <f t="shared" si="241"/>
        <v>0</v>
      </c>
      <c r="K3123" s="29">
        <f t="shared" si="242"/>
        <v>13280</v>
      </c>
      <c r="L3123" s="31" t="str">
        <f t="shared" si="243"/>
        <v/>
      </c>
      <c r="M3123" s="31" t="str">
        <f t="shared" si="244"/>
        <v/>
      </c>
    </row>
    <row r="3124" spans="1:13" x14ac:dyDescent="0.15">
      <c r="A3124" s="163" t="s">
        <v>210</v>
      </c>
      <c r="B3124" s="163">
        <v>42356.70659927083</v>
      </c>
      <c r="C3124" s="164" t="s">
        <v>2564</v>
      </c>
      <c r="D3124" s="164" t="s">
        <v>13</v>
      </c>
      <c r="E3124" s="165">
        <v>100</v>
      </c>
      <c r="F3124" s="166">
        <v>0</v>
      </c>
      <c r="G3124" s="227">
        <f>IF($B$2,IF(ROWS(B$6:$B3124) = 1,$B3124-Start_Date,$B3124-$B3123),"")</f>
        <v>3.5652708327688742E-2</v>
      </c>
      <c r="H3124" s="29">
        <f>IF($B$2,IF(ROWS(B$6:$B3124) = 1,IF(COUNTIFS(R_Schedule_Times,"&lt;"&amp;B3124),INDEX(R_Schedule_Amounts,MATCH(B3124,R_Schedule_Times,1)),Starting_Cash),IF(COUNTIFS(R_Schedule_Times,"&gt;"&amp;B3123,R_Schedule_Times,"&lt;"&amp;B3124),INDEX(R_Schedule_Amounts,MATCH(B3124,R_Schedule_Times,1)),K3123)),"")</f>
        <v>13280</v>
      </c>
      <c r="I3124" s="30">
        <f t="shared" si="240"/>
        <v>100</v>
      </c>
      <c r="J3124" s="31">
        <f t="shared" si="241"/>
        <v>0</v>
      </c>
      <c r="K3124" s="29">
        <f t="shared" si="242"/>
        <v>13180</v>
      </c>
      <c r="L3124" s="31" t="str">
        <f t="shared" si="243"/>
        <v/>
      </c>
      <c r="M3124" s="31" t="str">
        <f t="shared" si="244"/>
        <v/>
      </c>
    </row>
    <row r="3125" spans="1:13" x14ac:dyDescent="0.15">
      <c r="A3125" s="163" t="s">
        <v>210</v>
      </c>
      <c r="B3125" s="163">
        <v>42356.722881574075</v>
      </c>
      <c r="C3125" s="164" t="s">
        <v>2565</v>
      </c>
      <c r="D3125" s="164" t="s">
        <v>13</v>
      </c>
      <c r="E3125" s="165">
        <v>100</v>
      </c>
      <c r="F3125" s="166">
        <v>0</v>
      </c>
      <c r="G3125" s="227">
        <f>IF($B$2,IF(ROWS(B$6:$B3125) = 1,$B3125-Start_Date,$B3125-$B3124),"")</f>
        <v>1.628230324422475E-2</v>
      </c>
      <c r="H3125" s="29">
        <f>IF($B$2,IF(ROWS(B$6:$B3125) = 1,IF(COUNTIFS(R_Schedule_Times,"&lt;"&amp;B3125),INDEX(R_Schedule_Amounts,MATCH(B3125,R_Schedule_Times,1)),Starting_Cash),IF(COUNTIFS(R_Schedule_Times,"&gt;"&amp;B3124,R_Schedule_Times,"&lt;"&amp;B3125),INDEX(R_Schedule_Amounts,MATCH(B3125,R_Schedule_Times,1)),K3124)),"")</f>
        <v>13180</v>
      </c>
      <c r="I3125" s="30">
        <f t="shared" si="240"/>
        <v>100</v>
      </c>
      <c r="J3125" s="31">
        <f t="shared" si="241"/>
        <v>0</v>
      </c>
      <c r="K3125" s="29">
        <f t="shared" si="242"/>
        <v>13080</v>
      </c>
      <c r="L3125" s="31" t="str">
        <f t="shared" si="243"/>
        <v/>
      </c>
      <c r="M3125" s="31" t="str">
        <f t="shared" si="244"/>
        <v/>
      </c>
    </row>
    <row r="3126" spans="1:13" x14ac:dyDescent="0.15">
      <c r="A3126" s="163" t="s">
        <v>210</v>
      </c>
      <c r="B3126" s="163">
        <v>42356.740804699075</v>
      </c>
      <c r="C3126" s="164" t="s">
        <v>2321</v>
      </c>
      <c r="D3126" s="164" t="s">
        <v>13</v>
      </c>
      <c r="E3126" s="165">
        <v>100</v>
      </c>
      <c r="F3126" s="166">
        <v>0</v>
      </c>
      <c r="G3126" s="227">
        <f>IF($B$2,IF(ROWS(B$6:$B3126) = 1,$B3126-Start_Date,$B3126-$B3125),"")</f>
        <v>1.7923125000379514E-2</v>
      </c>
      <c r="H3126" s="29">
        <f>IF($B$2,IF(ROWS(B$6:$B3126) = 1,IF(COUNTIFS(R_Schedule_Times,"&lt;"&amp;B3126),INDEX(R_Schedule_Amounts,MATCH(B3126,R_Schedule_Times,1)),Starting_Cash),IF(COUNTIFS(R_Schedule_Times,"&gt;"&amp;B3125,R_Schedule_Times,"&lt;"&amp;B3126),INDEX(R_Schedule_Amounts,MATCH(B3126,R_Schedule_Times,1)),K3125)),"")</f>
        <v>13080</v>
      </c>
      <c r="I3126" s="30">
        <f t="shared" si="240"/>
        <v>100</v>
      </c>
      <c r="J3126" s="31">
        <f t="shared" si="241"/>
        <v>0</v>
      </c>
      <c r="K3126" s="29">
        <f t="shared" si="242"/>
        <v>12980</v>
      </c>
      <c r="L3126" s="31" t="str">
        <f t="shared" si="243"/>
        <v/>
      </c>
      <c r="M3126" s="31" t="str">
        <f t="shared" si="244"/>
        <v/>
      </c>
    </row>
    <row r="3127" spans="1:13" x14ac:dyDescent="0.15">
      <c r="A3127" s="163" t="s">
        <v>210</v>
      </c>
      <c r="B3127" s="163">
        <v>42356.743135208337</v>
      </c>
      <c r="C3127" s="164" t="s">
        <v>2566</v>
      </c>
      <c r="D3127" s="164" t="s">
        <v>13</v>
      </c>
      <c r="E3127" s="165">
        <v>100</v>
      </c>
      <c r="F3127" s="166">
        <v>0</v>
      </c>
      <c r="G3127" s="227">
        <f>IF($B$2,IF(ROWS(B$6:$B3127) = 1,$B3127-Start_Date,$B3127-$B3126),"")</f>
        <v>2.3305092618102208E-3</v>
      </c>
      <c r="H3127" s="29">
        <f>IF($B$2,IF(ROWS(B$6:$B3127) = 1,IF(COUNTIFS(R_Schedule_Times,"&lt;"&amp;B3127),INDEX(R_Schedule_Amounts,MATCH(B3127,R_Schedule_Times,1)),Starting_Cash),IF(COUNTIFS(R_Schedule_Times,"&gt;"&amp;B3126,R_Schedule_Times,"&lt;"&amp;B3127),INDEX(R_Schedule_Amounts,MATCH(B3127,R_Schedule_Times,1)),K3126)),"")</f>
        <v>12980</v>
      </c>
      <c r="I3127" s="30">
        <f t="shared" si="240"/>
        <v>100</v>
      </c>
      <c r="J3127" s="31">
        <f t="shared" si="241"/>
        <v>0</v>
      </c>
      <c r="K3127" s="29">
        <f t="shared" si="242"/>
        <v>12880</v>
      </c>
      <c r="L3127" s="31" t="str">
        <f t="shared" si="243"/>
        <v/>
      </c>
      <c r="M3127" s="31" t="str">
        <f t="shared" si="244"/>
        <v/>
      </c>
    </row>
    <row r="3128" spans="1:13" x14ac:dyDescent="0.15">
      <c r="A3128" s="163" t="s">
        <v>210</v>
      </c>
      <c r="B3128" s="163">
        <v>42356.745580601855</v>
      </c>
      <c r="C3128" s="164" t="s">
        <v>2557</v>
      </c>
      <c r="D3128" s="164" t="s">
        <v>13</v>
      </c>
      <c r="E3128" s="165">
        <v>300</v>
      </c>
      <c r="F3128" s="166">
        <v>0</v>
      </c>
      <c r="G3128" s="227">
        <f>IF($B$2,IF(ROWS(B$6:$B3128) = 1,$B3128-Start_Date,$B3128-$B3127),"")</f>
        <v>2.4453935184283182E-3</v>
      </c>
      <c r="H3128" s="29">
        <f>IF($B$2,IF(ROWS(B$6:$B3128) = 1,IF(COUNTIFS(R_Schedule_Times,"&lt;"&amp;B3128),INDEX(R_Schedule_Amounts,MATCH(B3128,R_Schedule_Times,1)),Starting_Cash),IF(COUNTIFS(R_Schedule_Times,"&gt;"&amp;B3127,R_Schedule_Times,"&lt;"&amp;B3128),INDEX(R_Schedule_Amounts,MATCH(B3128,R_Schedule_Times,1)),K3127)),"")</f>
        <v>12880</v>
      </c>
      <c r="I3128" s="30">
        <f t="shared" si="240"/>
        <v>300</v>
      </c>
      <c r="J3128" s="31">
        <f t="shared" si="241"/>
        <v>0</v>
      </c>
      <c r="K3128" s="29">
        <f t="shared" si="242"/>
        <v>12580</v>
      </c>
      <c r="L3128" s="31" t="str">
        <f t="shared" si="243"/>
        <v/>
      </c>
      <c r="M3128" s="31" t="str">
        <f t="shared" si="244"/>
        <v/>
      </c>
    </row>
    <row r="3129" spans="1:13" x14ac:dyDescent="0.15">
      <c r="A3129" s="163" t="s">
        <v>210</v>
      </c>
      <c r="B3129" s="163">
        <v>42356.746506759257</v>
      </c>
      <c r="C3129" s="164" t="s">
        <v>242</v>
      </c>
      <c r="D3129" s="164" t="s">
        <v>13</v>
      </c>
      <c r="E3129" s="165">
        <v>100</v>
      </c>
      <c r="F3129" s="166">
        <v>0</v>
      </c>
      <c r="G3129" s="227">
        <f>IF($B$2,IF(ROWS(B$6:$B3129) = 1,$B3129-Start_Date,$B3129-$B3128),"")</f>
        <v>9.2615740140900016E-4</v>
      </c>
      <c r="H3129" s="29">
        <f>IF($B$2,IF(ROWS(B$6:$B3129) = 1,IF(COUNTIFS(R_Schedule_Times,"&lt;"&amp;B3129),INDEX(R_Schedule_Amounts,MATCH(B3129,R_Schedule_Times,1)),Starting_Cash),IF(COUNTIFS(R_Schedule_Times,"&gt;"&amp;B3128,R_Schedule_Times,"&lt;"&amp;B3129),INDEX(R_Schedule_Amounts,MATCH(B3129,R_Schedule_Times,1)),K3128)),"")</f>
        <v>12580</v>
      </c>
      <c r="I3129" s="30">
        <f t="shared" si="240"/>
        <v>100</v>
      </c>
      <c r="J3129" s="31">
        <f t="shared" si="241"/>
        <v>0</v>
      </c>
      <c r="K3129" s="29">
        <f t="shared" si="242"/>
        <v>12480</v>
      </c>
      <c r="L3129" s="31" t="str">
        <f t="shared" si="243"/>
        <v/>
      </c>
      <c r="M3129" s="31" t="str">
        <f t="shared" si="244"/>
        <v/>
      </c>
    </row>
    <row r="3130" spans="1:13" x14ac:dyDescent="0.15">
      <c r="A3130" s="163" t="s">
        <v>210</v>
      </c>
      <c r="B3130" s="163">
        <v>42356.752147384257</v>
      </c>
      <c r="C3130" s="164" t="s">
        <v>2567</v>
      </c>
      <c r="D3130" s="164" t="s">
        <v>13</v>
      </c>
      <c r="E3130" s="165">
        <v>120</v>
      </c>
      <c r="F3130" s="166">
        <v>0</v>
      </c>
      <c r="G3130" s="227">
        <f>IF($B$2,IF(ROWS(B$6:$B3130) = 1,$B3130-Start_Date,$B3130-$B3129),"")</f>
        <v>5.6406250005238689E-3</v>
      </c>
      <c r="H3130" s="29">
        <f>IF($B$2,IF(ROWS(B$6:$B3130) = 1,IF(COUNTIFS(R_Schedule_Times,"&lt;"&amp;B3130),INDEX(R_Schedule_Amounts,MATCH(B3130,R_Schedule_Times,1)),Starting_Cash),IF(COUNTIFS(R_Schedule_Times,"&gt;"&amp;B3129,R_Schedule_Times,"&lt;"&amp;B3130),INDEX(R_Schedule_Amounts,MATCH(B3130,R_Schedule_Times,1)),K3129)),"")</f>
        <v>12480</v>
      </c>
      <c r="I3130" s="30">
        <f t="shared" si="240"/>
        <v>120</v>
      </c>
      <c r="J3130" s="31">
        <f t="shared" si="241"/>
        <v>0</v>
      </c>
      <c r="K3130" s="29">
        <f t="shared" si="242"/>
        <v>12360</v>
      </c>
      <c r="L3130" s="31" t="str">
        <f t="shared" si="243"/>
        <v/>
      </c>
      <c r="M3130" s="31" t="str">
        <f t="shared" si="244"/>
        <v/>
      </c>
    </row>
    <row r="3131" spans="1:13" x14ac:dyDescent="0.15">
      <c r="A3131" s="163" t="s">
        <v>210</v>
      </c>
      <c r="B3131" s="163">
        <v>42356.754972395836</v>
      </c>
      <c r="C3131" s="164" t="s">
        <v>2051</v>
      </c>
      <c r="D3131" s="164" t="s">
        <v>13</v>
      </c>
      <c r="E3131" s="165">
        <v>60</v>
      </c>
      <c r="F3131" s="166">
        <v>0</v>
      </c>
      <c r="G3131" s="227">
        <f>IF($B$2,IF(ROWS(B$6:$B3131) = 1,$B3131-Start_Date,$B3131-$B3130),"")</f>
        <v>2.825011579261627E-3</v>
      </c>
      <c r="H3131" s="29">
        <f>IF($B$2,IF(ROWS(B$6:$B3131) = 1,IF(COUNTIFS(R_Schedule_Times,"&lt;"&amp;B3131),INDEX(R_Schedule_Amounts,MATCH(B3131,R_Schedule_Times,1)),Starting_Cash),IF(COUNTIFS(R_Schedule_Times,"&gt;"&amp;B3130,R_Schedule_Times,"&lt;"&amp;B3131),INDEX(R_Schedule_Amounts,MATCH(B3131,R_Schedule_Times,1)),K3130)),"")</f>
        <v>12360</v>
      </c>
      <c r="I3131" s="30">
        <f t="shared" si="240"/>
        <v>60</v>
      </c>
      <c r="J3131" s="31">
        <f t="shared" si="241"/>
        <v>0</v>
      </c>
      <c r="K3131" s="29">
        <f t="shared" si="242"/>
        <v>12300</v>
      </c>
      <c r="L3131" s="31" t="str">
        <f t="shared" si="243"/>
        <v/>
      </c>
      <c r="M3131" s="31" t="str">
        <f t="shared" si="244"/>
        <v/>
      </c>
    </row>
    <row r="3132" spans="1:13" x14ac:dyDescent="0.15">
      <c r="A3132" s="163" t="s">
        <v>210</v>
      </c>
      <c r="B3132" s="163">
        <v>42356.755730752317</v>
      </c>
      <c r="C3132" s="164" t="s">
        <v>2552</v>
      </c>
      <c r="D3132" s="164" t="s">
        <v>13</v>
      </c>
      <c r="E3132" s="165">
        <v>80</v>
      </c>
      <c r="F3132" s="166">
        <v>0</v>
      </c>
      <c r="G3132" s="227">
        <f>IF($B$2,IF(ROWS(B$6:$B3132) = 1,$B3132-Start_Date,$B3132-$B3131),"")</f>
        <v>7.5835648021893576E-4</v>
      </c>
      <c r="H3132" s="29">
        <f>IF($B$2,IF(ROWS(B$6:$B3132) = 1,IF(COUNTIFS(R_Schedule_Times,"&lt;"&amp;B3132),INDEX(R_Schedule_Amounts,MATCH(B3132,R_Schedule_Times,1)),Starting_Cash),IF(COUNTIFS(R_Schedule_Times,"&gt;"&amp;B3131,R_Schedule_Times,"&lt;"&amp;B3132),INDEX(R_Schedule_Amounts,MATCH(B3132,R_Schedule_Times,1)),K3131)),"")</f>
        <v>12300</v>
      </c>
      <c r="I3132" s="30">
        <f t="shared" si="240"/>
        <v>80</v>
      </c>
      <c r="J3132" s="31">
        <f t="shared" si="241"/>
        <v>0</v>
      </c>
      <c r="K3132" s="29">
        <f t="shared" si="242"/>
        <v>12220</v>
      </c>
      <c r="L3132" s="31" t="str">
        <f t="shared" si="243"/>
        <v/>
      </c>
      <c r="M3132" s="31" t="str">
        <f t="shared" si="244"/>
        <v/>
      </c>
    </row>
    <row r="3133" spans="1:13" x14ac:dyDescent="0.15">
      <c r="A3133" s="163" t="s">
        <v>210</v>
      </c>
      <c r="B3133" s="163">
        <v>42356.762189502311</v>
      </c>
      <c r="C3133" s="164" t="s">
        <v>2568</v>
      </c>
      <c r="D3133" s="164" t="s">
        <v>15</v>
      </c>
      <c r="E3133" s="165">
        <v>100</v>
      </c>
      <c r="F3133" s="166">
        <v>3</v>
      </c>
      <c r="G3133" s="227">
        <f>IF($B$2,IF(ROWS(B$6:$B3133) = 1,$B3133-Start_Date,$B3133-$B3132),"")</f>
        <v>6.458749994635582E-3</v>
      </c>
      <c r="H3133" s="29">
        <f>IF($B$2,IF(ROWS(B$6:$B3133) = 1,IF(COUNTIFS(R_Schedule_Times,"&lt;"&amp;B3133),INDEX(R_Schedule_Amounts,MATCH(B3133,R_Schedule_Times,1)),Starting_Cash),IF(COUNTIFS(R_Schedule_Times,"&gt;"&amp;B3132,R_Schedule_Times,"&lt;"&amp;B3133),INDEX(R_Schedule_Amounts,MATCH(B3133,R_Schedule_Times,1)),K3132)),"")</f>
        <v>12220</v>
      </c>
      <c r="I3133" s="30">
        <f t="shared" si="240"/>
        <v>100</v>
      </c>
      <c r="J3133" s="31">
        <f t="shared" si="241"/>
        <v>3</v>
      </c>
      <c r="K3133" s="29">
        <f t="shared" si="242"/>
        <v>12120</v>
      </c>
      <c r="L3133" s="31" t="str">
        <f t="shared" si="243"/>
        <v/>
      </c>
      <c r="M3133" s="31" t="str">
        <f t="shared" si="244"/>
        <v/>
      </c>
    </row>
    <row r="3134" spans="1:13" x14ac:dyDescent="0.15">
      <c r="A3134" s="163" t="s">
        <v>210</v>
      </c>
      <c r="B3134" s="163">
        <v>42356.766717465274</v>
      </c>
      <c r="C3134" s="164" t="s">
        <v>2569</v>
      </c>
      <c r="D3134" s="164" t="s">
        <v>13</v>
      </c>
      <c r="E3134" s="165">
        <v>100</v>
      </c>
      <c r="F3134" s="166">
        <v>0</v>
      </c>
      <c r="G3134" s="227">
        <f>IF($B$2,IF(ROWS(B$6:$B3134) = 1,$B3134-Start_Date,$B3134-$B3133),"")</f>
        <v>4.5279629630385898E-3</v>
      </c>
      <c r="H3134" s="29">
        <f>IF($B$2,IF(ROWS(B$6:$B3134) = 1,IF(COUNTIFS(R_Schedule_Times,"&lt;"&amp;B3134),INDEX(R_Schedule_Amounts,MATCH(B3134,R_Schedule_Times,1)),Starting_Cash),IF(COUNTIFS(R_Schedule_Times,"&gt;"&amp;B3133,R_Schedule_Times,"&lt;"&amp;B3134),INDEX(R_Schedule_Amounts,MATCH(B3134,R_Schedule_Times,1)),K3133)),"")</f>
        <v>12120</v>
      </c>
      <c r="I3134" s="30">
        <f t="shared" si="240"/>
        <v>100</v>
      </c>
      <c r="J3134" s="31">
        <f t="shared" si="241"/>
        <v>0</v>
      </c>
      <c r="K3134" s="29">
        <f t="shared" si="242"/>
        <v>12020</v>
      </c>
      <c r="L3134" s="31" t="str">
        <f t="shared" si="243"/>
        <v/>
      </c>
      <c r="M3134" s="31" t="str">
        <f t="shared" si="244"/>
        <v/>
      </c>
    </row>
    <row r="3135" spans="1:13" x14ac:dyDescent="0.15">
      <c r="A3135" s="163" t="s">
        <v>210</v>
      </c>
      <c r="B3135" s="163">
        <v>42356.783647453703</v>
      </c>
      <c r="C3135" s="164" t="s">
        <v>2145</v>
      </c>
      <c r="D3135" s="164" t="s">
        <v>13</v>
      </c>
      <c r="E3135" s="165">
        <v>80</v>
      </c>
      <c r="F3135" s="166">
        <v>0</v>
      </c>
      <c r="G3135" s="227">
        <f>IF($B$2,IF(ROWS(B$6:$B3135) = 1,$B3135-Start_Date,$B3135-$B3134),"")</f>
        <v>1.692998842918314E-2</v>
      </c>
      <c r="H3135" s="29">
        <f>IF($B$2,IF(ROWS(B$6:$B3135) = 1,IF(COUNTIFS(R_Schedule_Times,"&lt;"&amp;B3135),INDEX(R_Schedule_Amounts,MATCH(B3135,R_Schedule_Times,1)),Starting_Cash),IF(COUNTIFS(R_Schedule_Times,"&gt;"&amp;B3134,R_Schedule_Times,"&lt;"&amp;B3135),INDEX(R_Schedule_Amounts,MATCH(B3135,R_Schedule_Times,1)),K3134)),"")</f>
        <v>12020</v>
      </c>
      <c r="I3135" s="30">
        <f t="shared" si="240"/>
        <v>80</v>
      </c>
      <c r="J3135" s="31">
        <f t="shared" si="241"/>
        <v>0</v>
      </c>
      <c r="K3135" s="29">
        <f t="shared" si="242"/>
        <v>11940</v>
      </c>
      <c r="L3135" s="31" t="str">
        <f t="shared" si="243"/>
        <v/>
      </c>
      <c r="M3135" s="31" t="str">
        <f t="shared" si="244"/>
        <v/>
      </c>
    </row>
    <row r="3136" spans="1:13" x14ac:dyDescent="0.15">
      <c r="A3136" s="163" t="s">
        <v>210</v>
      </c>
      <c r="B3136" s="163">
        <v>42356.816978773146</v>
      </c>
      <c r="C3136" s="164" t="s">
        <v>1992</v>
      </c>
      <c r="D3136" s="164" t="s">
        <v>13</v>
      </c>
      <c r="E3136" s="165">
        <v>20</v>
      </c>
      <c r="F3136" s="166">
        <v>0</v>
      </c>
      <c r="G3136" s="227">
        <f>IF($B$2,IF(ROWS(B$6:$B3136) = 1,$B3136-Start_Date,$B3136-$B3135),"")</f>
        <v>3.3331319442368113E-2</v>
      </c>
      <c r="H3136" s="29">
        <f>IF($B$2,IF(ROWS(B$6:$B3136) = 1,IF(COUNTIFS(R_Schedule_Times,"&lt;"&amp;B3136),INDEX(R_Schedule_Amounts,MATCH(B3136,R_Schedule_Times,1)),Starting_Cash),IF(COUNTIFS(R_Schedule_Times,"&gt;"&amp;B3135,R_Schedule_Times,"&lt;"&amp;B3136),INDEX(R_Schedule_Amounts,MATCH(B3136,R_Schedule_Times,1)),K3135)),"")</f>
        <v>11940</v>
      </c>
      <c r="I3136" s="30">
        <f t="shared" si="240"/>
        <v>20</v>
      </c>
      <c r="J3136" s="31">
        <f t="shared" si="241"/>
        <v>0</v>
      </c>
      <c r="K3136" s="29">
        <f t="shared" si="242"/>
        <v>11920</v>
      </c>
      <c r="L3136" s="31" t="str">
        <f t="shared" si="243"/>
        <v/>
      </c>
      <c r="M3136" s="31" t="str">
        <f t="shared" si="244"/>
        <v/>
      </c>
    </row>
    <row r="3137" spans="1:13" x14ac:dyDescent="0.15">
      <c r="A3137" s="163" t="s">
        <v>210</v>
      </c>
      <c r="B3137" s="163">
        <v>42356.817568460647</v>
      </c>
      <c r="C3137" s="164" t="s">
        <v>2570</v>
      </c>
      <c r="D3137" s="164" t="s">
        <v>13</v>
      </c>
      <c r="E3137" s="165">
        <v>100</v>
      </c>
      <c r="F3137" s="166">
        <v>0</v>
      </c>
      <c r="G3137" s="227">
        <f>IF($B$2,IF(ROWS(B$6:$B3137) = 1,$B3137-Start_Date,$B3137-$B3136),"")</f>
        <v>5.896875009057112E-4</v>
      </c>
      <c r="H3137" s="29">
        <f>IF($B$2,IF(ROWS(B$6:$B3137) = 1,IF(COUNTIFS(R_Schedule_Times,"&lt;"&amp;B3137),INDEX(R_Schedule_Amounts,MATCH(B3137,R_Schedule_Times,1)),Starting_Cash),IF(COUNTIFS(R_Schedule_Times,"&gt;"&amp;B3136,R_Schedule_Times,"&lt;"&amp;B3137),INDEX(R_Schedule_Amounts,MATCH(B3137,R_Schedule_Times,1)),K3136)),"")</f>
        <v>11920</v>
      </c>
      <c r="I3137" s="30">
        <f t="shared" si="240"/>
        <v>100</v>
      </c>
      <c r="J3137" s="31">
        <f t="shared" si="241"/>
        <v>0</v>
      </c>
      <c r="K3137" s="29">
        <f t="shared" si="242"/>
        <v>11820</v>
      </c>
      <c r="L3137" s="31" t="str">
        <f t="shared" si="243"/>
        <v/>
      </c>
      <c r="M3137" s="31" t="str">
        <f t="shared" si="244"/>
        <v/>
      </c>
    </row>
    <row r="3138" spans="1:13" x14ac:dyDescent="0.15">
      <c r="A3138" s="163" t="s">
        <v>210</v>
      </c>
      <c r="B3138" s="163">
        <v>42356.826709398149</v>
      </c>
      <c r="C3138" s="164" t="s">
        <v>1078</v>
      </c>
      <c r="D3138" s="164" t="s">
        <v>13</v>
      </c>
      <c r="E3138" s="165">
        <v>40</v>
      </c>
      <c r="F3138" s="166">
        <v>0</v>
      </c>
      <c r="G3138" s="227">
        <f>IF($B$2,IF(ROWS(B$6:$B3138) = 1,$B3138-Start_Date,$B3138-$B3137),"")</f>
        <v>9.1409375017974526E-3</v>
      </c>
      <c r="H3138" s="29">
        <f>IF($B$2,IF(ROWS(B$6:$B3138) = 1,IF(COUNTIFS(R_Schedule_Times,"&lt;"&amp;B3138),INDEX(R_Schedule_Amounts,MATCH(B3138,R_Schedule_Times,1)),Starting_Cash),IF(COUNTIFS(R_Schedule_Times,"&gt;"&amp;B3137,R_Schedule_Times,"&lt;"&amp;B3138),INDEX(R_Schedule_Amounts,MATCH(B3138,R_Schedule_Times,1)),K3137)),"")</f>
        <v>11820</v>
      </c>
      <c r="I3138" s="30">
        <f t="shared" si="240"/>
        <v>40</v>
      </c>
      <c r="J3138" s="31">
        <f t="shared" si="241"/>
        <v>0</v>
      </c>
      <c r="K3138" s="29">
        <f t="shared" si="242"/>
        <v>11780</v>
      </c>
      <c r="L3138" s="31" t="str">
        <f t="shared" si="243"/>
        <v/>
      </c>
      <c r="M3138" s="31" t="str">
        <f t="shared" si="244"/>
        <v/>
      </c>
    </row>
    <row r="3139" spans="1:13" x14ac:dyDescent="0.15">
      <c r="A3139" s="163" t="s">
        <v>210</v>
      </c>
      <c r="B3139" s="163">
        <v>42356.855219722223</v>
      </c>
      <c r="C3139" s="164" t="s">
        <v>2571</v>
      </c>
      <c r="D3139" s="164" t="s">
        <v>13</v>
      </c>
      <c r="E3139" s="165">
        <v>20</v>
      </c>
      <c r="F3139" s="166">
        <v>0</v>
      </c>
      <c r="G3139" s="227">
        <f>IF($B$2,IF(ROWS(B$6:$B3139) = 1,$B3139-Start_Date,$B3139-$B3138),"")</f>
        <v>2.8510324074886739E-2</v>
      </c>
      <c r="H3139" s="29">
        <f>IF($B$2,IF(ROWS(B$6:$B3139) = 1,IF(COUNTIFS(R_Schedule_Times,"&lt;"&amp;B3139),INDEX(R_Schedule_Amounts,MATCH(B3139,R_Schedule_Times,1)),Starting_Cash),IF(COUNTIFS(R_Schedule_Times,"&gt;"&amp;B3138,R_Schedule_Times,"&lt;"&amp;B3139),INDEX(R_Schedule_Amounts,MATCH(B3139,R_Schedule_Times,1)),K3138)),"")</f>
        <v>11780</v>
      </c>
      <c r="I3139" s="30">
        <f t="shared" si="240"/>
        <v>20</v>
      </c>
      <c r="J3139" s="31">
        <f t="shared" si="241"/>
        <v>0</v>
      </c>
      <c r="K3139" s="29">
        <f t="shared" si="242"/>
        <v>11760</v>
      </c>
      <c r="L3139" s="31" t="str">
        <f t="shared" si="243"/>
        <v/>
      </c>
      <c r="M3139" s="31" t="str">
        <f t="shared" si="244"/>
        <v/>
      </c>
    </row>
    <row r="3140" spans="1:13" x14ac:dyDescent="0.15">
      <c r="A3140" s="163" t="s">
        <v>210</v>
      </c>
      <c r="B3140" s="163">
        <v>42356.863601261575</v>
      </c>
      <c r="C3140" s="164" t="s">
        <v>2572</v>
      </c>
      <c r="D3140" s="164" t="s">
        <v>13</v>
      </c>
      <c r="E3140" s="165">
        <v>40</v>
      </c>
      <c r="F3140" s="166">
        <v>0</v>
      </c>
      <c r="G3140" s="227">
        <f>IF($B$2,IF(ROWS(B$6:$B3140) = 1,$B3140-Start_Date,$B3140-$B3139),"")</f>
        <v>8.3815393518307246E-3</v>
      </c>
      <c r="H3140" s="29">
        <f>IF($B$2,IF(ROWS(B$6:$B3140) = 1,IF(COUNTIFS(R_Schedule_Times,"&lt;"&amp;B3140),INDEX(R_Schedule_Amounts,MATCH(B3140,R_Schedule_Times,1)),Starting_Cash),IF(COUNTIFS(R_Schedule_Times,"&gt;"&amp;B3139,R_Schedule_Times,"&lt;"&amp;B3140),INDEX(R_Schedule_Amounts,MATCH(B3140,R_Schedule_Times,1)),K3139)),"")</f>
        <v>11760</v>
      </c>
      <c r="I3140" s="30">
        <f t="shared" si="240"/>
        <v>40</v>
      </c>
      <c r="J3140" s="31">
        <f t="shared" si="241"/>
        <v>0</v>
      </c>
      <c r="K3140" s="29">
        <f t="shared" si="242"/>
        <v>11720</v>
      </c>
      <c r="L3140" s="31" t="str">
        <f t="shared" si="243"/>
        <v/>
      </c>
      <c r="M3140" s="31" t="str">
        <f t="shared" si="244"/>
        <v/>
      </c>
    </row>
    <row r="3141" spans="1:13" x14ac:dyDescent="0.15">
      <c r="A3141" s="163" t="s">
        <v>210</v>
      </c>
      <c r="B3141" s="163">
        <v>42356.866830370367</v>
      </c>
      <c r="C3141" s="164" t="s">
        <v>2573</v>
      </c>
      <c r="D3141" s="164" t="s">
        <v>13</v>
      </c>
      <c r="E3141" s="165">
        <v>100</v>
      </c>
      <c r="F3141" s="166">
        <v>0</v>
      </c>
      <c r="G3141" s="227">
        <f>IF($B$2,IF(ROWS(B$6:$B3141) = 1,$B3141-Start_Date,$B3141-$B3140),"")</f>
        <v>3.2291087918565609E-3</v>
      </c>
      <c r="H3141" s="29">
        <f>IF($B$2,IF(ROWS(B$6:$B3141) = 1,IF(COUNTIFS(R_Schedule_Times,"&lt;"&amp;B3141),INDEX(R_Schedule_Amounts,MATCH(B3141,R_Schedule_Times,1)),Starting_Cash),IF(COUNTIFS(R_Schedule_Times,"&gt;"&amp;B3140,R_Schedule_Times,"&lt;"&amp;B3141),INDEX(R_Schedule_Amounts,MATCH(B3141,R_Schedule_Times,1)),K3140)),"")</f>
        <v>11720</v>
      </c>
      <c r="I3141" s="30">
        <f t="shared" si="240"/>
        <v>100</v>
      </c>
      <c r="J3141" s="31">
        <f t="shared" si="241"/>
        <v>0</v>
      </c>
      <c r="K3141" s="29">
        <f t="shared" si="242"/>
        <v>11620</v>
      </c>
      <c r="L3141" s="31" t="str">
        <f t="shared" si="243"/>
        <v/>
      </c>
      <c r="M3141" s="31" t="str">
        <f t="shared" si="244"/>
        <v/>
      </c>
    </row>
    <row r="3142" spans="1:13" x14ac:dyDescent="0.15">
      <c r="A3142" s="163" t="s">
        <v>210</v>
      </c>
      <c r="B3142" s="163">
        <v>42356.874310763887</v>
      </c>
      <c r="C3142" s="164" t="s">
        <v>2574</v>
      </c>
      <c r="D3142" s="164" t="s">
        <v>13</v>
      </c>
      <c r="E3142" s="165">
        <v>40</v>
      </c>
      <c r="F3142" s="166">
        <v>0</v>
      </c>
      <c r="G3142" s="227">
        <f>IF($B$2,IF(ROWS(B$6:$B3142) = 1,$B3142-Start_Date,$B3142-$B3141),"")</f>
        <v>7.4803935203817673E-3</v>
      </c>
      <c r="H3142" s="29">
        <f>IF($B$2,IF(ROWS(B$6:$B3142) = 1,IF(COUNTIFS(R_Schedule_Times,"&lt;"&amp;B3142),INDEX(R_Schedule_Amounts,MATCH(B3142,R_Schedule_Times,1)),Starting_Cash),IF(COUNTIFS(R_Schedule_Times,"&gt;"&amp;B3141,R_Schedule_Times,"&lt;"&amp;B3142),INDEX(R_Schedule_Amounts,MATCH(B3142,R_Schedule_Times,1)),K3141)),"")</f>
        <v>11620</v>
      </c>
      <c r="I3142" s="30">
        <f t="shared" si="240"/>
        <v>40</v>
      </c>
      <c r="J3142" s="31">
        <f t="shared" si="241"/>
        <v>0</v>
      </c>
      <c r="K3142" s="29">
        <f t="shared" si="242"/>
        <v>11580</v>
      </c>
      <c r="L3142" s="31" t="str">
        <f t="shared" si="243"/>
        <v/>
      </c>
      <c r="M3142" s="31" t="str">
        <f t="shared" si="244"/>
        <v/>
      </c>
    </row>
    <row r="3143" spans="1:13" x14ac:dyDescent="0.15">
      <c r="A3143" s="163" t="s">
        <v>210</v>
      </c>
      <c r="B3143" s="163">
        <v>42356.880995914355</v>
      </c>
      <c r="C3143" s="164" t="s">
        <v>536</v>
      </c>
      <c r="D3143" s="164" t="s">
        <v>13</v>
      </c>
      <c r="E3143" s="165">
        <v>100</v>
      </c>
      <c r="F3143" s="166">
        <v>0</v>
      </c>
      <c r="G3143" s="227">
        <f>IF($B$2,IF(ROWS(B$6:$B3143) = 1,$B3143-Start_Date,$B3143-$B3142),"")</f>
        <v>6.6851504670921713E-3</v>
      </c>
      <c r="H3143" s="29">
        <f>IF($B$2,IF(ROWS(B$6:$B3143) = 1,IF(COUNTIFS(R_Schedule_Times,"&lt;"&amp;B3143),INDEX(R_Schedule_Amounts,MATCH(B3143,R_Schedule_Times,1)),Starting_Cash),IF(COUNTIFS(R_Schedule_Times,"&gt;"&amp;B3142,R_Schedule_Times,"&lt;"&amp;B3143),INDEX(R_Schedule_Amounts,MATCH(B3143,R_Schedule_Times,1)),K3142)),"")</f>
        <v>11580</v>
      </c>
      <c r="I3143" s="30">
        <f t="shared" ref="I3143:I3206" si="245">IF($B$2,IF(H3143&gt;=E3143,E3143,0),"")</f>
        <v>100</v>
      </c>
      <c r="J3143" s="31">
        <f t="shared" ref="J3143:J3206" si="246">IF($B$2,IF(H3143&gt;=E3143,F3143,0),"")</f>
        <v>0</v>
      </c>
      <c r="K3143" s="29">
        <f t="shared" ref="K3143:K3206" si="247">IF($B$2,ABS(I3143-H3143),"")</f>
        <v>11480</v>
      </c>
      <c r="L3143" s="31" t="str">
        <f t="shared" ref="L3143:L3206" si="248">IF($B$2,IF(H3143&lt;E3143,"YES",""),"")</f>
        <v/>
      </c>
      <c r="M3143" s="31" t="str">
        <f t="shared" ref="M3143:M3206" si="249">IF($B$2,IF(L3143="YES",F3143,""),"")</f>
        <v/>
      </c>
    </row>
    <row r="3144" spans="1:13" x14ac:dyDescent="0.15">
      <c r="A3144" s="163" t="s">
        <v>210</v>
      </c>
      <c r="B3144" s="163">
        <v>42356.924797662039</v>
      </c>
      <c r="C3144" s="164" t="s">
        <v>2575</v>
      </c>
      <c r="D3144" s="164" t="s">
        <v>13</v>
      </c>
      <c r="E3144" s="165">
        <v>20</v>
      </c>
      <c r="F3144" s="166">
        <v>0</v>
      </c>
      <c r="G3144" s="227">
        <f>IF($B$2,IF(ROWS(B$6:$B3144) = 1,$B3144-Start_Date,$B3144-$B3143),"")</f>
        <v>4.3801747684483416E-2</v>
      </c>
      <c r="H3144" s="29">
        <f>IF($B$2,IF(ROWS(B$6:$B3144) = 1,IF(COUNTIFS(R_Schedule_Times,"&lt;"&amp;B3144),INDEX(R_Schedule_Amounts,MATCH(B3144,R_Schedule_Times,1)),Starting_Cash),IF(COUNTIFS(R_Schedule_Times,"&gt;"&amp;B3143,R_Schedule_Times,"&lt;"&amp;B3144),INDEX(R_Schedule_Amounts,MATCH(B3144,R_Schedule_Times,1)),K3143)),"")</f>
        <v>11480</v>
      </c>
      <c r="I3144" s="30">
        <f t="shared" si="245"/>
        <v>20</v>
      </c>
      <c r="J3144" s="31">
        <f t="shared" si="246"/>
        <v>0</v>
      </c>
      <c r="K3144" s="29">
        <f t="shared" si="247"/>
        <v>11460</v>
      </c>
      <c r="L3144" s="31" t="str">
        <f t="shared" si="248"/>
        <v/>
      </c>
      <c r="M3144" s="31" t="str">
        <f t="shared" si="249"/>
        <v/>
      </c>
    </row>
    <row r="3145" spans="1:13" x14ac:dyDescent="0.15">
      <c r="A3145" s="163" t="s">
        <v>210</v>
      </c>
      <c r="B3145" s="163">
        <v>42356.944166516201</v>
      </c>
      <c r="C3145" s="164" t="s">
        <v>715</v>
      </c>
      <c r="D3145" s="164" t="s">
        <v>13</v>
      </c>
      <c r="E3145" s="165">
        <v>40</v>
      </c>
      <c r="F3145" s="166">
        <v>0</v>
      </c>
      <c r="G3145" s="227">
        <f>IF($B$2,IF(ROWS(B$6:$B3145) = 1,$B3145-Start_Date,$B3145-$B3144),"")</f>
        <v>1.9368854162166826E-2</v>
      </c>
      <c r="H3145" s="29">
        <f>IF($B$2,IF(ROWS(B$6:$B3145) = 1,IF(COUNTIFS(R_Schedule_Times,"&lt;"&amp;B3145),INDEX(R_Schedule_Amounts,MATCH(B3145,R_Schedule_Times,1)),Starting_Cash),IF(COUNTIFS(R_Schedule_Times,"&gt;"&amp;B3144,R_Schedule_Times,"&lt;"&amp;B3145),INDEX(R_Schedule_Amounts,MATCH(B3145,R_Schedule_Times,1)),K3144)),"")</f>
        <v>11460</v>
      </c>
      <c r="I3145" s="30">
        <f t="shared" si="245"/>
        <v>40</v>
      </c>
      <c r="J3145" s="31">
        <f t="shared" si="246"/>
        <v>0</v>
      </c>
      <c r="K3145" s="29">
        <f t="shared" si="247"/>
        <v>11420</v>
      </c>
      <c r="L3145" s="31" t="str">
        <f t="shared" si="248"/>
        <v/>
      </c>
      <c r="M3145" s="31" t="str">
        <f t="shared" si="249"/>
        <v/>
      </c>
    </row>
    <row r="3146" spans="1:13" x14ac:dyDescent="0.15">
      <c r="A3146" s="163" t="s">
        <v>210</v>
      </c>
      <c r="B3146" s="163">
        <v>42357.02015783565</v>
      </c>
      <c r="C3146" s="164" t="s">
        <v>2576</v>
      </c>
      <c r="D3146" s="164" t="s">
        <v>13</v>
      </c>
      <c r="E3146" s="165">
        <v>100</v>
      </c>
      <c r="F3146" s="166">
        <v>0</v>
      </c>
      <c r="G3146" s="227">
        <f>IF($B$2,IF(ROWS(B$6:$B3146) = 1,$B3146-Start_Date,$B3146-$B3145),"")</f>
        <v>7.5991319448803551E-2</v>
      </c>
      <c r="H3146" s="29">
        <f>IF($B$2,IF(ROWS(B$6:$B3146) = 1,IF(COUNTIFS(R_Schedule_Times,"&lt;"&amp;B3146),INDEX(R_Schedule_Amounts,MATCH(B3146,R_Schedule_Times,1)),Starting_Cash),IF(COUNTIFS(R_Schedule_Times,"&gt;"&amp;B3145,R_Schedule_Times,"&lt;"&amp;B3146),INDEX(R_Schedule_Amounts,MATCH(B3146,R_Schedule_Times,1)),K3145)),"")</f>
        <v>11420</v>
      </c>
      <c r="I3146" s="30">
        <f t="shared" si="245"/>
        <v>100</v>
      </c>
      <c r="J3146" s="31">
        <f t="shared" si="246"/>
        <v>0</v>
      </c>
      <c r="K3146" s="29">
        <f t="shared" si="247"/>
        <v>11320</v>
      </c>
      <c r="L3146" s="31" t="str">
        <f t="shared" si="248"/>
        <v/>
      </c>
      <c r="M3146" s="31" t="str">
        <f t="shared" si="249"/>
        <v/>
      </c>
    </row>
    <row r="3147" spans="1:13" x14ac:dyDescent="0.15">
      <c r="A3147" s="163" t="s">
        <v>210</v>
      </c>
      <c r="B3147" s="163">
        <v>42357.047881226848</v>
      </c>
      <c r="C3147" s="164" t="s">
        <v>1855</v>
      </c>
      <c r="D3147" s="164" t="s">
        <v>13</v>
      </c>
      <c r="E3147" s="165">
        <v>80</v>
      </c>
      <c r="F3147" s="166">
        <v>0</v>
      </c>
      <c r="G3147" s="227">
        <f>IF($B$2,IF(ROWS(B$6:$B3147) = 1,$B3147-Start_Date,$B3147-$B3146),"")</f>
        <v>2.7723391198378522E-2</v>
      </c>
      <c r="H3147" s="29">
        <f>IF($B$2,IF(ROWS(B$6:$B3147) = 1,IF(COUNTIFS(R_Schedule_Times,"&lt;"&amp;B3147),INDEX(R_Schedule_Amounts,MATCH(B3147,R_Schedule_Times,1)),Starting_Cash),IF(COUNTIFS(R_Schedule_Times,"&gt;"&amp;B3146,R_Schedule_Times,"&lt;"&amp;B3147),INDEX(R_Schedule_Amounts,MATCH(B3147,R_Schedule_Times,1)),K3146)),"")</f>
        <v>11320</v>
      </c>
      <c r="I3147" s="30">
        <f t="shared" si="245"/>
        <v>80</v>
      </c>
      <c r="J3147" s="31">
        <f t="shared" si="246"/>
        <v>0</v>
      </c>
      <c r="K3147" s="29">
        <f t="shared" si="247"/>
        <v>11240</v>
      </c>
      <c r="L3147" s="31" t="str">
        <f t="shared" si="248"/>
        <v/>
      </c>
      <c r="M3147" s="31" t="str">
        <f t="shared" si="249"/>
        <v/>
      </c>
    </row>
    <row r="3148" spans="1:13" x14ac:dyDescent="0.15">
      <c r="A3148" s="163" t="s">
        <v>210</v>
      </c>
      <c r="B3148" s="163">
        <v>42357.34437111111</v>
      </c>
      <c r="C3148" s="164" t="s">
        <v>2577</v>
      </c>
      <c r="D3148" s="164" t="s">
        <v>13</v>
      </c>
      <c r="E3148" s="165">
        <v>40</v>
      </c>
      <c r="F3148" s="166">
        <v>0</v>
      </c>
      <c r="G3148" s="227">
        <f>IF($B$2,IF(ROWS(B$6:$B3148) = 1,$B3148-Start_Date,$B3148-$B3147),"")</f>
        <v>0.2964898842619732</v>
      </c>
      <c r="H3148" s="29">
        <f>IF($B$2,IF(ROWS(B$6:$B3148) = 1,IF(COUNTIFS(R_Schedule_Times,"&lt;"&amp;B3148),INDEX(R_Schedule_Amounts,MATCH(B3148,R_Schedule_Times,1)),Starting_Cash),IF(COUNTIFS(R_Schedule_Times,"&gt;"&amp;B3147,R_Schedule_Times,"&lt;"&amp;B3148),INDEX(R_Schedule_Amounts,MATCH(B3148,R_Schedule_Times,1)),K3147)),"")</f>
        <v>11240</v>
      </c>
      <c r="I3148" s="30">
        <f t="shared" si="245"/>
        <v>40</v>
      </c>
      <c r="J3148" s="31">
        <f t="shared" si="246"/>
        <v>0</v>
      </c>
      <c r="K3148" s="29">
        <f t="shared" si="247"/>
        <v>11200</v>
      </c>
      <c r="L3148" s="31" t="str">
        <f t="shared" si="248"/>
        <v/>
      </c>
      <c r="M3148" s="31" t="str">
        <f t="shared" si="249"/>
        <v/>
      </c>
    </row>
    <row r="3149" spans="1:13" x14ac:dyDescent="0.15">
      <c r="A3149" s="163" t="s">
        <v>210</v>
      </c>
      <c r="B3149" s="163">
        <v>42357.384064027778</v>
      </c>
      <c r="C3149" s="164" t="s">
        <v>2578</v>
      </c>
      <c r="D3149" s="164" t="s">
        <v>13</v>
      </c>
      <c r="E3149" s="165">
        <v>40</v>
      </c>
      <c r="F3149" s="166">
        <v>0</v>
      </c>
      <c r="G3149" s="227">
        <f>IF($B$2,IF(ROWS(B$6:$B3149) = 1,$B3149-Start_Date,$B3149-$B3148),"")</f>
        <v>3.9692916667263489E-2</v>
      </c>
      <c r="H3149" s="29">
        <f>IF($B$2,IF(ROWS(B$6:$B3149) = 1,IF(COUNTIFS(R_Schedule_Times,"&lt;"&amp;B3149),INDEX(R_Schedule_Amounts,MATCH(B3149,R_Schedule_Times,1)),Starting_Cash),IF(COUNTIFS(R_Schedule_Times,"&gt;"&amp;B3148,R_Schedule_Times,"&lt;"&amp;B3149),INDEX(R_Schedule_Amounts,MATCH(B3149,R_Schedule_Times,1)),K3148)),"")</f>
        <v>11200</v>
      </c>
      <c r="I3149" s="30">
        <f t="shared" si="245"/>
        <v>40</v>
      </c>
      <c r="J3149" s="31">
        <f t="shared" si="246"/>
        <v>0</v>
      </c>
      <c r="K3149" s="29">
        <f t="shared" si="247"/>
        <v>11160</v>
      </c>
      <c r="L3149" s="31" t="str">
        <f t="shared" si="248"/>
        <v/>
      </c>
      <c r="M3149" s="31" t="str">
        <f t="shared" si="249"/>
        <v/>
      </c>
    </row>
    <row r="3150" spans="1:13" x14ac:dyDescent="0.15">
      <c r="A3150" s="163" t="s">
        <v>210</v>
      </c>
      <c r="B3150" s="163">
        <v>42357.393393668979</v>
      </c>
      <c r="C3150" s="164" t="s">
        <v>2579</v>
      </c>
      <c r="D3150" s="164" t="s">
        <v>13</v>
      </c>
      <c r="E3150" s="165">
        <v>40</v>
      </c>
      <c r="F3150" s="166">
        <v>0</v>
      </c>
      <c r="G3150" s="227">
        <f>IF($B$2,IF(ROWS(B$6:$B3150) = 1,$B3150-Start_Date,$B3150-$B3149),"")</f>
        <v>9.3296412014751695E-3</v>
      </c>
      <c r="H3150" s="29">
        <f>IF($B$2,IF(ROWS(B$6:$B3150) = 1,IF(COUNTIFS(R_Schedule_Times,"&lt;"&amp;B3150),INDEX(R_Schedule_Amounts,MATCH(B3150,R_Schedule_Times,1)),Starting_Cash),IF(COUNTIFS(R_Schedule_Times,"&gt;"&amp;B3149,R_Schedule_Times,"&lt;"&amp;B3150),INDEX(R_Schedule_Amounts,MATCH(B3150,R_Schedule_Times,1)),K3149)),"")</f>
        <v>11160</v>
      </c>
      <c r="I3150" s="30">
        <f t="shared" si="245"/>
        <v>40</v>
      </c>
      <c r="J3150" s="31">
        <f t="shared" si="246"/>
        <v>0</v>
      </c>
      <c r="K3150" s="29">
        <f t="shared" si="247"/>
        <v>11120</v>
      </c>
      <c r="L3150" s="31" t="str">
        <f t="shared" si="248"/>
        <v/>
      </c>
      <c r="M3150" s="31" t="str">
        <f t="shared" si="249"/>
        <v/>
      </c>
    </row>
    <row r="3151" spans="1:13" x14ac:dyDescent="0.15">
      <c r="A3151" s="163" t="s">
        <v>210</v>
      </c>
      <c r="B3151" s="163">
        <v>42357.402952094904</v>
      </c>
      <c r="C3151" s="164" t="s">
        <v>2580</v>
      </c>
      <c r="D3151" s="164" t="s">
        <v>13</v>
      </c>
      <c r="E3151" s="165">
        <v>200</v>
      </c>
      <c r="F3151" s="166">
        <v>0</v>
      </c>
      <c r="G3151" s="227">
        <f>IF($B$2,IF(ROWS(B$6:$B3151) = 1,$B3151-Start_Date,$B3151-$B3150),"")</f>
        <v>9.558425925206393E-3</v>
      </c>
      <c r="H3151" s="29">
        <f>IF($B$2,IF(ROWS(B$6:$B3151) = 1,IF(COUNTIFS(R_Schedule_Times,"&lt;"&amp;B3151),INDEX(R_Schedule_Amounts,MATCH(B3151,R_Schedule_Times,1)),Starting_Cash),IF(COUNTIFS(R_Schedule_Times,"&gt;"&amp;B3150,R_Schedule_Times,"&lt;"&amp;B3151),INDEX(R_Schedule_Amounts,MATCH(B3151,R_Schedule_Times,1)),K3150)),"")</f>
        <v>11120</v>
      </c>
      <c r="I3151" s="30">
        <f t="shared" si="245"/>
        <v>200</v>
      </c>
      <c r="J3151" s="31">
        <f t="shared" si="246"/>
        <v>0</v>
      </c>
      <c r="K3151" s="29">
        <f t="shared" si="247"/>
        <v>10920</v>
      </c>
      <c r="L3151" s="31" t="str">
        <f t="shared" si="248"/>
        <v/>
      </c>
      <c r="M3151" s="31" t="str">
        <f t="shared" si="249"/>
        <v/>
      </c>
    </row>
    <row r="3152" spans="1:13" x14ac:dyDescent="0.15">
      <c r="A3152" s="163" t="s">
        <v>210</v>
      </c>
      <c r="B3152" s="163">
        <v>42357.405297164354</v>
      </c>
      <c r="C3152" s="164" t="s">
        <v>2581</v>
      </c>
      <c r="D3152" s="164" t="s">
        <v>13</v>
      </c>
      <c r="E3152" s="165">
        <v>100</v>
      </c>
      <c r="F3152" s="166">
        <v>0</v>
      </c>
      <c r="G3152" s="227">
        <f>IF($B$2,IF(ROWS(B$6:$B3152) = 1,$B3152-Start_Date,$B3152-$B3151),"")</f>
        <v>2.345069449802395E-3</v>
      </c>
      <c r="H3152" s="29">
        <f>IF($B$2,IF(ROWS(B$6:$B3152) = 1,IF(COUNTIFS(R_Schedule_Times,"&lt;"&amp;B3152),INDEX(R_Schedule_Amounts,MATCH(B3152,R_Schedule_Times,1)),Starting_Cash),IF(COUNTIFS(R_Schedule_Times,"&gt;"&amp;B3151,R_Schedule_Times,"&lt;"&amp;B3152),INDEX(R_Schedule_Amounts,MATCH(B3152,R_Schedule_Times,1)),K3151)),"")</f>
        <v>10920</v>
      </c>
      <c r="I3152" s="30">
        <f t="shared" si="245"/>
        <v>100</v>
      </c>
      <c r="J3152" s="31">
        <f t="shared" si="246"/>
        <v>0</v>
      </c>
      <c r="K3152" s="29">
        <f t="shared" si="247"/>
        <v>10820</v>
      </c>
      <c r="L3152" s="31" t="str">
        <f t="shared" si="248"/>
        <v/>
      </c>
      <c r="M3152" s="31" t="str">
        <f t="shared" si="249"/>
        <v/>
      </c>
    </row>
    <row r="3153" spans="1:13" x14ac:dyDescent="0.15">
      <c r="A3153" s="163" t="s">
        <v>210</v>
      </c>
      <c r="B3153" s="163">
        <v>42357.42364439815</v>
      </c>
      <c r="C3153" s="164" t="s">
        <v>14</v>
      </c>
      <c r="D3153" s="164" t="s">
        <v>13</v>
      </c>
      <c r="E3153" s="165">
        <v>20</v>
      </c>
      <c r="F3153" s="166">
        <v>3.5</v>
      </c>
      <c r="G3153" s="227">
        <f>IF($B$2,IF(ROWS(B$6:$B3153) = 1,$B3153-Start_Date,$B3153-$B3152),"")</f>
        <v>1.8347233795793727E-2</v>
      </c>
      <c r="H3153" s="29">
        <f>IF($B$2,IF(ROWS(B$6:$B3153) = 1,IF(COUNTIFS(R_Schedule_Times,"&lt;"&amp;B3153),INDEX(R_Schedule_Amounts,MATCH(B3153,R_Schedule_Times,1)),Starting_Cash),IF(COUNTIFS(R_Schedule_Times,"&gt;"&amp;B3152,R_Schedule_Times,"&lt;"&amp;B3153),INDEX(R_Schedule_Amounts,MATCH(B3153,R_Schedule_Times,1)),K3152)),"")</f>
        <v>10820</v>
      </c>
      <c r="I3153" s="30">
        <f t="shared" si="245"/>
        <v>20</v>
      </c>
      <c r="J3153" s="31">
        <f t="shared" si="246"/>
        <v>3.5</v>
      </c>
      <c r="K3153" s="29">
        <f t="shared" si="247"/>
        <v>10800</v>
      </c>
      <c r="L3153" s="31" t="str">
        <f t="shared" si="248"/>
        <v/>
      </c>
      <c r="M3153" s="31" t="str">
        <f t="shared" si="249"/>
        <v/>
      </c>
    </row>
    <row r="3154" spans="1:13" x14ac:dyDescent="0.15">
      <c r="A3154" s="163" t="s">
        <v>210</v>
      </c>
      <c r="B3154" s="163">
        <v>42357.429131550925</v>
      </c>
      <c r="C3154" s="164" t="s">
        <v>2582</v>
      </c>
      <c r="D3154" s="164" t="s">
        <v>13</v>
      </c>
      <c r="E3154" s="165">
        <v>100</v>
      </c>
      <c r="F3154" s="166">
        <v>0</v>
      </c>
      <c r="G3154" s="227">
        <f>IF($B$2,IF(ROWS(B$6:$B3154) = 1,$B3154-Start_Date,$B3154-$B3153),"")</f>
        <v>5.4871527754585259E-3</v>
      </c>
      <c r="H3154" s="29">
        <f>IF($B$2,IF(ROWS(B$6:$B3154) = 1,IF(COUNTIFS(R_Schedule_Times,"&lt;"&amp;B3154),INDEX(R_Schedule_Amounts,MATCH(B3154,R_Schedule_Times,1)),Starting_Cash),IF(COUNTIFS(R_Schedule_Times,"&gt;"&amp;B3153,R_Schedule_Times,"&lt;"&amp;B3154),INDEX(R_Schedule_Amounts,MATCH(B3154,R_Schedule_Times,1)),K3153)),"")</f>
        <v>10800</v>
      </c>
      <c r="I3154" s="30">
        <f t="shared" si="245"/>
        <v>100</v>
      </c>
      <c r="J3154" s="31">
        <f t="shared" si="246"/>
        <v>0</v>
      </c>
      <c r="K3154" s="29">
        <f t="shared" si="247"/>
        <v>10700</v>
      </c>
      <c r="L3154" s="31" t="str">
        <f t="shared" si="248"/>
        <v/>
      </c>
      <c r="M3154" s="31" t="str">
        <f t="shared" si="249"/>
        <v/>
      </c>
    </row>
    <row r="3155" spans="1:13" x14ac:dyDescent="0.15">
      <c r="A3155" s="163" t="s">
        <v>210</v>
      </c>
      <c r="B3155" s="163">
        <v>42357.47177384259</v>
      </c>
      <c r="C3155" s="164" t="s">
        <v>2583</v>
      </c>
      <c r="D3155" s="164" t="s">
        <v>13</v>
      </c>
      <c r="E3155" s="165">
        <v>60</v>
      </c>
      <c r="F3155" s="166">
        <v>0</v>
      </c>
      <c r="G3155" s="227">
        <f>IF($B$2,IF(ROWS(B$6:$B3155) = 1,$B3155-Start_Date,$B3155-$B3154),"")</f>
        <v>4.2642291664378718E-2</v>
      </c>
      <c r="H3155" s="29">
        <f>IF($B$2,IF(ROWS(B$6:$B3155) = 1,IF(COUNTIFS(R_Schedule_Times,"&lt;"&amp;B3155),INDEX(R_Schedule_Amounts,MATCH(B3155,R_Schedule_Times,1)),Starting_Cash),IF(COUNTIFS(R_Schedule_Times,"&gt;"&amp;B3154,R_Schedule_Times,"&lt;"&amp;B3155),INDEX(R_Schedule_Amounts,MATCH(B3155,R_Schedule_Times,1)),K3154)),"")</f>
        <v>10700</v>
      </c>
      <c r="I3155" s="30">
        <f t="shared" si="245"/>
        <v>60</v>
      </c>
      <c r="J3155" s="31">
        <f t="shared" si="246"/>
        <v>0</v>
      </c>
      <c r="K3155" s="29">
        <f t="shared" si="247"/>
        <v>10640</v>
      </c>
      <c r="L3155" s="31" t="str">
        <f t="shared" si="248"/>
        <v/>
      </c>
      <c r="M3155" s="31" t="str">
        <f t="shared" si="249"/>
        <v/>
      </c>
    </row>
    <row r="3156" spans="1:13" x14ac:dyDescent="0.15">
      <c r="A3156" s="163" t="s">
        <v>210</v>
      </c>
      <c r="B3156" s="163">
        <v>42357.477197106484</v>
      </c>
      <c r="C3156" s="164" t="s">
        <v>2584</v>
      </c>
      <c r="D3156" s="164" t="s">
        <v>13</v>
      </c>
      <c r="E3156" s="165">
        <v>500</v>
      </c>
      <c r="F3156" s="166">
        <v>0</v>
      </c>
      <c r="G3156" s="227">
        <f>IF($B$2,IF(ROWS(B$6:$B3156) = 1,$B3156-Start_Date,$B3156-$B3155),"")</f>
        <v>5.4232638940447941E-3</v>
      </c>
      <c r="H3156" s="29">
        <f>IF($B$2,IF(ROWS(B$6:$B3156) = 1,IF(COUNTIFS(R_Schedule_Times,"&lt;"&amp;B3156),INDEX(R_Schedule_Amounts,MATCH(B3156,R_Schedule_Times,1)),Starting_Cash),IF(COUNTIFS(R_Schedule_Times,"&gt;"&amp;B3155,R_Schedule_Times,"&lt;"&amp;B3156),INDEX(R_Schedule_Amounts,MATCH(B3156,R_Schedule_Times,1)),K3155)),"")</f>
        <v>10640</v>
      </c>
      <c r="I3156" s="30">
        <f t="shared" si="245"/>
        <v>500</v>
      </c>
      <c r="J3156" s="31">
        <f t="shared" si="246"/>
        <v>0</v>
      </c>
      <c r="K3156" s="29">
        <f t="shared" si="247"/>
        <v>10140</v>
      </c>
      <c r="L3156" s="31" t="str">
        <f t="shared" si="248"/>
        <v/>
      </c>
      <c r="M3156" s="31" t="str">
        <f t="shared" si="249"/>
        <v/>
      </c>
    </row>
    <row r="3157" spans="1:13" x14ac:dyDescent="0.15">
      <c r="A3157" s="163" t="s">
        <v>210</v>
      </c>
      <c r="B3157" s="163">
        <v>42357.478289999999</v>
      </c>
      <c r="C3157" s="164" t="s">
        <v>2585</v>
      </c>
      <c r="D3157" s="164" t="s">
        <v>13</v>
      </c>
      <c r="E3157" s="165">
        <v>20</v>
      </c>
      <c r="F3157" s="166">
        <v>0</v>
      </c>
      <c r="G3157" s="227">
        <f>IF($B$2,IF(ROWS(B$6:$B3157) = 1,$B3157-Start_Date,$B3157-$B3156),"")</f>
        <v>1.0928935153060593E-3</v>
      </c>
      <c r="H3157" s="29">
        <f>IF($B$2,IF(ROWS(B$6:$B3157) = 1,IF(COUNTIFS(R_Schedule_Times,"&lt;"&amp;B3157),INDEX(R_Schedule_Amounts,MATCH(B3157,R_Schedule_Times,1)),Starting_Cash),IF(COUNTIFS(R_Schedule_Times,"&gt;"&amp;B3156,R_Schedule_Times,"&lt;"&amp;B3157),INDEX(R_Schedule_Amounts,MATCH(B3157,R_Schedule_Times,1)),K3156)),"")</f>
        <v>10140</v>
      </c>
      <c r="I3157" s="30">
        <f t="shared" si="245"/>
        <v>20</v>
      </c>
      <c r="J3157" s="31">
        <f t="shared" si="246"/>
        <v>0</v>
      </c>
      <c r="K3157" s="29">
        <f t="shared" si="247"/>
        <v>10120</v>
      </c>
      <c r="L3157" s="31" t="str">
        <f t="shared" si="248"/>
        <v/>
      </c>
      <c r="M3157" s="31" t="str">
        <f t="shared" si="249"/>
        <v/>
      </c>
    </row>
    <row r="3158" spans="1:13" x14ac:dyDescent="0.15">
      <c r="A3158" s="163" t="s">
        <v>210</v>
      </c>
      <c r="B3158" s="163">
        <v>42357.480016157409</v>
      </c>
      <c r="C3158" s="164" t="s">
        <v>2586</v>
      </c>
      <c r="D3158" s="164" t="s">
        <v>13</v>
      </c>
      <c r="E3158" s="165">
        <v>100</v>
      </c>
      <c r="F3158" s="166">
        <v>0</v>
      </c>
      <c r="G3158" s="227">
        <f>IF($B$2,IF(ROWS(B$6:$B3158) = 1,$B3158-Start_Date,$B3158-$B3157),"")</f>
        <v>1.7261574103031307E-3</v>
      </c>
      <c r="H3158" s="29">
        <f>IF($B$2,IF(ROWS(B$6:$B3158) = 1,IF(COUNTIFS(R_Schedule_Times,"&lt;"&amp;B3158),INDEX(R_Schedule_Amounts,MATCH(B3158,R_Schedule_Times,1)),Starting_Cash),IF(COUNTIFS(R_Schedule_Times,"&gt;"&amp;B3157,R_Schedule_Times,"&lt;"&amp;B3158),INDEX(R_Schedule_Amounts,MATCH(B3158,R_Schedule_Times,1)),K3157)),"")</f>
        <v>10120</v>
      </c>
      <c r="I3158" s="30">
        <f t="shared" si="245"/>
        <v>100</v>
      </c>
      <c r="J3158" s="31">
        <f t="shared" si="246"/>
        <v>0</v>
      </c>
      <c r="K3158" s="29">
        <f t="shared" si="247"/>
        <v>10020</v>
      </c>
      <c r="L3158" s="31" t="str">
        <f t="shared" si="248"/>
        <v/>
      </c>
      <c r="M3158" s="31" t="str">
        <f t="shared" si="249"/>
        <v/>
      </c>
    </row>
    <row r="3159" spans="1:13" x14ac:dyDescent="0.15">
      <c r="A3159" s="163" t="s">
        <v>210</v>
      </c>
      <c r="B3159" s="163">
        <v>42357.490896736112</v>
      </c>
      <c r="C3159" s="164" t="s">
        <v>2587</v>
      </c>
      <c r="D3159" s="164" t="s">
        <v>13</v>
      </c>
      <c r="E3159" s="165">
        <v>500</v>
      </c>
      <c r="F3159" s="166">
        <v>0</v>
      </c>
      <c r="G3159" s="227">
        <f>IF($B$2,IF(ROWS(B$6:$B3159) = 1,$B3159-Start_Date,$B3159-$B3158),"")</f>
        <v>1.0880578702199273E-2</v>
      </c>
      <c r="H3159" s="29">
        <f>IF($B$2,IF(ROWS(B$6:$B3159) = 1,IF(COUNTIFS(R_Schedule_Times,"&lt;"&amp;B3159),INDEX(R_Schedule_Amounts,MATCH(B3159,R_Schedule_Times,1)),Starting_Cash),IF(COUNTIFS(R_Schedule_Times,"&gt;"&amp;B3158,R_Schedule_Times,"&lt;"&amp;B3159),INDEX(R_Schedule_Amounts,MATCH(B3159,R_Schedule_Times,1)),K3158)),"")</f>
        <v>10020</v>
      </c>
      <c r="I3159" s="30">
        <f t="shared" si="245"/>
        <v>500</v>
      </c>
      <c r="J3159" s="31">
        <f t="shared" si="246"/>
        <v>0</v>
      </c>
      <c r="K3159" s="29">
        <f t="shared" si="247"/>
        <v>9520</v>
      </c>
      <c r="L3159" s="31" t="str">
        <f t="shared" si="248"/>
        <v/>
      </c>
      <c r="M3159" s="31" t="str">
        <f t="shared" si="249"/>
        <v/>
      </c>
    </row>
    <row r="3160" spans="1:13" x14ac:dyDescent="0.15">
      <c r="A3160" s="163" t="s">
        <v>210</v>
      </c>
      <c r="B3160" s="163">
        <v>42357.525696585646</v>
      </c>
      <c r="C3160" s="164" t="s">
        <v>1304</v>
      </c>
      <c r="D3160" s="164" t="s">
        <v>13</v>
      </c>
      <c r="E3160" s="165">
        <v>60</v>
      </c>
      <c r="F3160" s="166">
        <v>0</v>
      </c>
      <c r="G3160" s="227">
        <f>IF($B$2,IF(ROWS(B$6:$B3160) = 1,$B3160-Start_Date,$B3160-$B3159),"")</f>
        <v>3.4799849534465466E-2</v>
      </c>
      <c r="H3160" s="29">
        <f>IF($B$2,IF(ROWS(B$6:$B3160) = 1,IF(COUNTIFS(R_Schedule_Times,"&lt;"&amp;B3160),INDEX(R_Schedule_Amounts,MATCH(B3160,R_Schedule_Times,1)),Starting_Cash),IF(COUNTIFS(R_Schedule_Times,"&gt;"&amp;B3159,R_Schedule_Times,"&lt;"&amp;B3160),INDEX(R_Schedule_Amounts,MATCH(B3160,R_Schedule_Times,1)),K3159)),"")</f>
        <v>9520</v>
      </c>
      <c r="I3160" s="30">
        <f t="shared" si="245"/>
        <v>60</v>
      </c>
      <c r="J3160" s="31">
        <f t="shared" si="246"/>
        <v>0</v>
      </c>
      <c r="K3160" s="29">
        <f t="shared" si="247"/>
        <v>9460</v>
      </c>
      <c r="L3160" s="31" t="str">
        <f t="shared" si="248"/>
        <v/>
      </c>
      <c r="M3160" s="31" t="str">
        <f t="shared" si="249"/>
        <v/>
      </c>
    </row>
    <row r="3161" spans="1:13" x14ac:dyDescent="0.15">
      <c r="A3161" s="163" t="s">
        <v>210</v>
      </c>
      <c r="B3161" s="163">
        <v>42357.545557094905</v>
      </c>
      <c r="C3161" s="164" t="s">
        <v>1730</v>
      </c>
      <c r="D3161" s="164" t="s">
        <v>13</v>
      </c>
      <c r="E3161" s="165">
        <v>20</v>
      </c>
      <c r="F3161" s="166">
        <v>0</v>
      </c>
      <c r="G3161" s="227">
        <f>IF($B$2,IF(ROWS(B$6:$B3161) = 1,$B3161-Start_Date,$B3161-$B3160),"")</f>
        <v>1.9860509259160608E-2</v>
      </c>
      <c r="H3161" s="29">
        <f>IF($B$2,IF(ROWS(B$6:$B3161) = 1,IF(COUNTIFS(R_Schedule_Times,"&lt;"&amp;B3161),INDEX(R_Schedule_Amounts,MATCH(B3161,R_Schedule_Times,1)),Starting_Cash),IF(COUNTIFS(R_Schedule_Times,"&gt;"&amp;B3160,R_Schedule_Times,"&lt;"&amp;B3161),INDEX(R_Schedule_Amounts,MATCH(B3161,R_Schedule_Times,1)),K3160)),"")</f>
        <v>9460</v>
      </c>
      <c r="I3161" s="30">
        <f t="shared" si="245"/>
        <v>20</v>
      </c>
      <c r="J3161" s="31">
        <f t="shared" si="246"/>
        <v>0</v>
      </c>
      <c r="K3161" s="29">
        <f t="shared" si="247"/>
        <v>9440</v>
      </c>
      <c r="L3161" s="31" t="str">
        <f t="shared" si="248"/>
        <v/>
      </c>
      <c r="M3161" s="31" t="str">
        <f t="shared" si="249"/>
        <v/>
      </c>
    </row>
    <row r="3162" spans="1:13" x14ac:dyDescent="0.15">
      <c r="A3162" s="163" t="s">
        <v>210</v>
      </c>
      <c r="B3162" s="163">
        <v>42357.549569722221</v>
      </c>
      <c r="C3162" s="164" t="s">
        <v>2588</v>
      </c>
      <c r="D3162" s="164" t="s">
        <v>13</v>
      </c>
      <c r="E3162" s="165">
        <v>40</v>
      </c>
      <c r="F3162" s="166">
        <v>0</v>
      </c>
      <c r="G3162" s="227">
        <f>IF($B$2,IF(ROWS(B$6:$B3162) = 1,$B3162-Start_Date,$B3162-$B3161),"")</f>
        <v>4.0126273161149584E-3</v>
      </c>
      <c r="H3162" s="29">
        <f>IF($B$2,IF(ROWS(B$6:$B3162) = 1,IF(COUNTIFS(R_Schedule_Times,"&lt;"&amp;B3162),INDEX(R_Schedule_Amounts,MATCH(B3162,R_Schedule_Times,1)),Starting_Cash),IF(COUNTIFS(R_Schedule_Times,"&gt;"&amp;B3161,R_Schedule_Times,"&lt;"&amp;B3162),INDEX(R_Schedule_Amounts,MATCH(B3162,R_Schedule_Times,1)),K3161)),"")</f>
        <v>9440</v>
      </c>
      <c r="I3162" s="30">
        <f t="shared" si="245"/>
        <v>40</v>
      </c>
      <c r="J3162" s="31">
        <f t="shared" si="246"/>
        <v>0</v>
      </c>
      <c r="K3162" s="29">
        <f t="shared" si="247"/>
        <v>9400</v>
      </c>
      <c r="L3162" s="31" t="str">
        <f t="shared" si="248"/>
        <v/>
      </c>
      <c r="M3162" s="31" t="str">
        <f t="shared" si="249"/>
        <v/>
      </c>
    </row>
    <row r="3163" spans="1:13" x14ac:dyDescent="0.15">
      <c r="A3163" s="163" t="s">
        <v>210</v>
      </c>
      <c r="B3163" s="163">
        <v>42357.564221828703</v>
      </c>
      <c r="C3163" s="164" t="s">
        <v>2589</v>
      </c>
      <c r="D3163" s="164" t="s">
        <v>13</v>
      </c>
      <c r="E3163" s="165">
        <v>80</v>
      </c>
      <c r="F3163" s="166">
        <v>0</v>
      </c>
      <c r="G3163" s="227">
        <f>IF($B$2,IF(ROWS(B$6:$B3163) = 1,$B3163-Start_Date,$B3163-$B3162),"")</f>
        <v>1.4652106481662486E-2</v>
      </c>
      <c r="H3163" s="29">
        <f>IF($B$2,IF(ROWS(B$6:$B3163) = 1,IF(COUNTIFS(R_Schedule_Times,"&lt;"&amp;B3163),INDEX(R_Schedule_Amounts,MATCH(B3163,R_Schedule_Times,1)),Starting_Cash),IF(COUNTIFS(R_Schedule_Times,"&gt;"&amp;B3162,R_Schedule_Times,"&lt;"&amp;B3163),INDEX(R_Schedule_Amounts,MATCH(B3163,R_Schedule_Times,1)),K3162)),"")</f>
        <v>9400</v>
      </c>
      <c r="I3163" s="30">
        <f t="shared" si="245"/>
        <v>80</v>
      </c>
      <c r="J3163" s="31">
        <f t="shared" si="246"/>
        <v>0</v>
      </c>
      <c r="K3163" s="29">
        <f t="shared" si="247"/>
        <v>9320</v>
      </c>
      <c r="L3163" s="31" t="str">
        <f t="shared" si="248"/>
        <v/>
      </c>
      <c r="M3163" s="31" t="str">
        <f t="shared" si="249"/>
        <v/>
      </c>
    </row>
    <row r="3164" spans="1:13" x14ac:dyDescent="0.15">
      <c r="A3164" s="163" t="s">
        <v>210</v>
      </c>
      <c r="B3164" s="163">
        <v>42357.583750243059</v>
      </c>
      <c r="C3164" s="164" t="s">
        <v>2590</v>
      </c>
      <c r="D3164" s="164" t="s">
        <v>13</v>
      </c>
      <c r="E3164" s="165">
        <v>100</v>
      </c>
      <c r="F3164" s="166">
        <v>0</v>
      </c>
      <c r="G3164" s="227">
        <f>IF($B$2,IF(ROWS(B$6:$B3164) = 1,$B3164-Start_Date,$B3164-$B3163),"")</f>
        <v>1.952841435559094E-2</v>
      </c>
      <c r="H3164" s="29">
        <f>IF($B$2,IF(ROWS(B$6:$B3164) = 1,IF(COUNTIFS(R_Schedule_Times,"&lt;"&amp;B3164),INDEX(R_Schedule_Amounts,MATCH(B3164,R_Schedule_Times,1)),Starting_Cash),IF(COUNTIFS(R_Schedule_Times,"&gt;"&amp;B3163,R_Schedule_Times,"&lt;"&amp;B3164),INDEX(R_Schedule_Amounts,MATCH(B3164,R_Schedule_Times,1)),K3163)),"")</f>
        <v>9320</v>
      </c>
      <c r="I3164" s="30">
        <f t="shared" si="245"/>
        <v>100</v>
      </c>
      <c r="J3164" s="31">
        <f t="shared" si="246"/>
        <v>0</v>
      </c>
      <c r="K3164" s="29">
        <f t="shared" si="247"/>
        <v>9220</v>
      </c>
      <c r="L3164" s="31" t="str">
        <f t="shared" si="248"/>
        <v/>
      </c>
      <c r="M3164" s="31" t="str">
        <f t="shared" si="249"/>
        <v/>
      </c>
    </row>
    <row r="3165" spans="1:13" x14ac:dyDescent="0.15">
      <c r="A3165" s="163" t="s">
        <v>210</v>
      </c>
      <c r="B3165" s="163">
        <v>42357.601075671293</v>
      </c>
      <c r="C3165" s="164" t="s">
        <v>2591</v>
      </c>
      <c r="D3165" s="164" t="s">
        <v>13</v>
      </c>
      <c r="E3165" s="165">
        <v>40</v>
      </c>
      <c r="F3165" s="166">
        <v>0</v>
      </c>
      <c r="G3165" s="227">
        <f>IF($B$2,IF(ROWS(B$6:$B3165) = 1,$B3165-Start_Date,$B3165-$B3164),"")</f>
        <v>1.7325428234471474E-2</v>
      </c>
      <c r="H3165" s="29">
        <f>IF($B$2,IF(ROWS(B$6:$B3165) = 1,IF(COUNTIFS(R_Schedule_Times,"&lt;"&amp;B3165),INDEX(R_Schedule_Amounts,MATCH(B3165,R_Schedule_Times,1)),Starting_Cash),IF(COUNTIFS(R_Schedule_Times,"&gt;"&amp;B3164,R_Schedule_Times,"&lt;"&amp;B3165),INDEX(R_Schedule_Amounts,MATCH(B3165,R_Schedule_Times,1)),K3164)),"")</f>
        <v>9220</v>
      </c>
      <c r="I3165" s="30">
        <f t="shared" si="245"/>
        <v>40</v>
      </c>
      <c r="J3165" s="31">
        <f t="shared" si="246"/>
        <v>0</v>
      </c>
      <c r="K3165" s="29">
        <f t="shared" si="247"/>
        <v>9180</v>
      </c>
      <c r="L3165" s="31" t="str">
        <f t="shared" si="248"/>
        <v/>
      </c>
      <c r="M3165" s="31" t="str">
        <f t="shared" si="249"/>
        <v/>
      </c>
    </row>
    <row r="3166" spans="1:13" x14ac:dyDescent="0.15">
      <c r="A3166" s="163" t="s">
        <v>210</v>
      </c>
      <c r="B3166" s="163">
        <v>42357.613163090275</v>
      </c>
      <c r="C3166" s="164" t="s">
        <v>2283</v>
      </c>
      <c r="D3166" s="164" t="s">
        <v>13</v>
      </c>
      <c r="E3166" s="165">
        <v>40</v>
      </c>
      <c r="F3166" s="166">
        <v>0</v>
      </c>
      <c r="G3166" s="227">
        <f>IF($B$2,IF(ROWS(B$6:$B3166) = 1,$B3166-Start_Date,$B3166-$B3165),"")</f>
        <v>1.2087418981536757E-2</v>
      </c>
      <c r="H3166" s="29">
        <f>IF($B$2,IF(ROWS(B$6:$B3166) = 1,IF(COUNTIFS(R_Schedule_Times,"&lt;"&amp;B3166),INDEX(R_Schedule_Amounts,MATCH(B3166,R_Schedule_Times,1)),Starting_Cash),IF(COUNTIFS(R_Schedule_Times,"&gt;"&amp;B3165,R_Schedule_Times,"&lt;"&amp;B3166),INDEX(R_Schedule_Amounts,MATCH(B3166,R_Schedule_Times,1)),K3165)),"")</f>
        <v>9180</v>
      </c>
      <c r="I3166" s="30">
        <f t="shared" si="245"/>
        <v>40</v>
      </c>
      <c r="J3166" s="31">
        <f t="shared" si="246"/>
        <v>0</v>
      </c>
      <c r="K3166" s="29">
        <f t="shared" si="247"/>
        <v>9140</v>
      </c>
      <c r="L3166" s="31" t="str">
        <f t="shared" si="248"/>
        <v/>
      </c>
      <c r="M3166" s="31" t="str">
        <f t="shared" si="249"/>
        <v/>
      </c>
    </row>
    <row r="3167" spans="1:13" x14ac:dyDescent="0.15">
      <c r="A3167" s="163" t="s">
        <v>210</v>
      </c>
      <c r="B3167" s="163">
        <v>42357.628138587963</v>
      </c>
      <c r="C3167" s="164" t="s">
        <v>2175</v>
      </c>
      <c r="D3167" s="164" t="s">
        <v>13</v>
      </c>
      <c r="E3167" s="165">
        <v>20</v>
      </c>
      <c r="F3167" s="166">
        <v>0</v>
      </c>
      <c r="G3167" s="227">
        <f>IF($B$2,IF(ROWS(B$6:$B3167) = 1,$B3167-Start_Date,$B3167-$B3166),"")</f>
        <v>1.4975497688283212E-2</v>
      </c>
      <c r="H3167" s="29">
        <f>IF($B$2,IF(ROWS(B$6:$B3167) = 1,IF(COUNTIFS(R_Schedule_Times,"&lt;"&amp;B3167),INDEX(R_Schedule_Amounts,MATCH(B3167,R_Schedule_Times,1)),Starting_Cash),IF(COUNTIFS(R_Schedule_Times,"&gt;"&amp;B3166,R_Schedule_Times,"&lt;"&amp;B3167),INDEX(R_Schedule_Amounts,MATCH(B3167,R_Schedule_Times,1)),K3166)),"")</f>
        <v>9140</v>
      </c>
      <c r="I3167" s="30">
        <f t="shared" si="245"/>
        <v>20</v>
      </c>
      <c r="J3167" s="31">
        <f t="shared" si="246"/>
        <v>0</v>
      </c>
      <c r="K3167" s="29">
        <f t="shared" si="247"/>
        <v>9120</v>
      </c>
      <c r="L3167" s="31" t="str">
        <f t="shared" si="248"/>
        <v/>
      </c>
      <c r="M3167" s="31" t="str">
        <f t="shared" si="249"/>
        <v/>
      </c>
    </row>
    <row r="3168" spans="1:13" x14ac:dyDescent="0.15">
      <c r="A3168" s="163" t="s">
        <v>210</v>
      </c>
      <c r="B3168" s="163">
        <v>42357.640615659722</v>
      </c>
      <c r="C3168" s="164" t="s">
        <v>14</v>
      </c>
      <c r="D3168" s="164" t="s">
        <v>13</v>
      </c>
      <c r="E3168" s="165">
        <v>200</v>
      </c>
      <c r="F3168" s="166">
        <v>3.5</v>
      </c>
      <c r="G3168" s="227">
        <f>IF($B$2,IF(ROWS(B$6:$B3168) = 1,$B3168-Start_Date,$B3168-$B3167),"")</f>
        <v>1.2477071759349201E-2</v>
      </c>
      <c r="H3168" s="29">
        <f>IF($B$2,IF(ROWS(B$6:$B3168) = 1,IF(COUNTIFS(R_Schedule_Times,"&lt;"&amp;B3168),INDEX(R_Schedule_Amounts,MATCH(B3168,R_Schedule_Times,1)),Starting_Cash),IF(COUNTIFS(R_Schedule_Times,"&gt;"&amp;B3167,R_Schedule_Times,"&lt;"&amp;B3168),INDEX(R_Schedule_Amounts,MATCH(B3168,R_Schedule_Times,1)),K3167)),"")</f>
        <v>9120</v>
      </c>
      <c r="I3168" s="30">
        <f t="shared" si="245"/>
        <v>200</v>
      </c>
      <c r="J3168" s="31">
        <f t="shared" si="246"/>
        <v>3.5</v>
      </c>
      <c r="K3168" s="29">
        <f t="shared" si="247"/>
        <v>8920</v>
      </c>
      <c r="L3168" s="31" t="str">
        <f t="shared" si="248"/>
        <v/>
      </c>
      <c r="M3168" s="31" t="str">
        <f t="shared" si="249"/>
        <v/>
      </c>
    </row>
    <row r="3169" spans="1:13" x14ac:dyDescent="0.15">
      <c r="A3169" s="163" t="s">
        <v>210</v>
      </c>
      <c r="B3169" s="163">
        <v>42357.659864884263</v>
      </c>
      <c r="C3169" s="164" t="s">
        <v>2592</v>
      </c>
      <c r="D3169" s="164" t="s">
        <v>13</v>
      </c>
      <c r="E3169" s="165">
        <v>40</v>
      </c>
      <c r="F3169" s="166">
        <v>0</v>
      </c>
      <c r="G3169" s="227">
        <f>IF($B$2,IF(ROWS(B$6:$B3169) = 1,$B3169-Start_Date,$B3169-$B3168),"")</f>
        <v>1.9249224540544674E-2</v>
      </c>
      <c r="H3169" s="29">
        <f>IF($B$2,IF(ROWS(B$6:$B3169) = 1,IF(COUNTIFS(R_Schedule_Times,"&lt;"&amp;B3169),INDEX(R_Schedule_Amounts,MATCH(B3169,R_Schedule_Times,1)),Starting_Cash),IF(COUNTIFS(R_Schedule_Times,"&gt;"&amp;B3168,R_Schedule_Times,"&lt;"&amp;B3169),INDEX(R_Schedule_Amounts,MATCH(B3169,R_Schedule_Times,1)),K3168)),"")</f>
        <v>8920</v>
      </c>
      <c r="I3169" s="30">
        <f t="shared" si="245"/>
        <v>40</v>
      </c>
      <c r="J3169" s="31">
        <f t="shared" si="246"/>
        <v>0</v>
      </c>
      <c r="K3169" s="29">
        <f t="shared" si="247"/>
        <v>8880</v>
      </c>
      <c r="L3169" s="31" t="str">
        <f t="shared" si="248"/>
        <v/>
      </c>
      <c r="M3169" s="31" t="str">
        <f t="shared" si="249"/>
        <v/>
      </c>
    </row>
    <row r="3170" spans="1:13" x14ac:dyDescent="0.15">
      <c r="A3170" s="163" t="s">
        <v>210</v>
      </c>
      <c r="B3170" s="163">
        <v>42357.694128599534</v>
      </c>
      <c r="C3170" s="164" t="s">
        <v>2593</v>
      </c>
      <c r="D3170" s="164" t="s">
        <v>13</v>
      </c>
      <c r="E3170" s="165">
        <v>40</v>
      </c>
      <c r="F3170" s="166">
        <v>0</v>
      </c>
      <c r="G3170" s="227">
        <f>IF($B$2,IF(ROWS(B$6:$B3170) = 1,$B3170-Start_Date,$B3170-$B3169),"")</f>
        <v>3.4263715271663386E-2</v>
      </c>
      <c r="H3170" s="29">
        <f>IF($B$2,IF(ROWS(B$6:$B3170) = 1,IF(COUNTIFS(R_Schedule_Times,"&lt;"&amp;B3170),INDEX(R_Schedule_Amounts,MATCH(B3170,R_Schedule_Times,1)),Starting_Cash),IF(COUNTIFS(R_Schedule_Times,"&gt;"&amp;B3169,R_Schedule_Times,"&lt;"&amp;B3170),INDEX(R_Schedule_Amounts,MATCH(B3170,R_Schedule_Times,1)),K3169)),"")</f>
        <v>8880</v>
      </c>
      <c r="I3170" s="30">
        <f t="shared" si="245"/>
        <v>40</v>
      </c>
      <c r="J3170" s="31">
        <f t="shared" si="246"/>
        <v>0</v>
      </c>
      <c r="K3170" s="29">
        <f t="shared" si="247"/>
        <v>8840</v>
      </c>
      <c r="L3170" s="31" t="str">
        <f t="shared" si="248"/>
        <v/>
      </c>
      <c r="M3170" s="31" t="str">
        <f t="shared" si="249"/>
        <v/>
      </c>
    </row>
    <row r="3171" spans="1:13" x14ac:dyDescent="0.15">
      <c r="A3171" s="163" t="s">
        <v>210</v>
      </c>
      <c r="B3171" s="163">
        <v>42357.69935949074</v>
      </c>
      <c r="C3171" s="164" t="s">
        <v>124</v>
      </c>
      <c r="D3171" s="164" t="s">
        <v>13</v>
      </c>
      <c r="E3171" s="165">
        <v>40</v>
      </c>
      <c r="F3171" s="166">
        <v>0</v>
      </c>
      <c r="G3171" s="227">
        <f>IF($B$2,IF(ROWS(B$6:$B3171) = 1,$B3171-Start_Date,$B3171-$B3170),"")</f>
        <v>5.2308912054286338E-3</v>
      </c>
      <c r="H3171" s="29">
        <f>IF($B$2,IF(ROWS(B$6:$B3171) = 1,IF(COUNTIFS(R_Schedule_Times,"&lt;"&amp;B3171),INDEX(R_Schedule_Amounts,MATCH(B3171,R_Schedule_Times,1)),Starting_Cash),IF(COUNTIFS(R_Schedule_Times,"&gt;"&amp;B3170,R_Schedule_Times,"&lt;"&amp;B3171),INDEX(R_Schedule_Amounts,MATCH(B3171,R_Schedule_Times,1)),K3170)),"")</f>
        <v>8840</v>
      </c>
      <c r="I3171" s="30">
        <f t="shared" si="245"/>
        <v>40</v>
      </c>
      <c r="J3171" s="31">
        <f t="shared" si="246"/>
        <v>0</v>
      </c>
      <c r="K3171" s="29">
        <f t="shared" si="247"/>
        <v>8800</v>
      </c>
      <c r="L3171" s="31" t="str">
        <f t="shared" si="248"/>
        <v/>
      </c>
      <c r="M3171" s="31" t="str">
        <f t="shared" si="249"/>
        <v/>
      </c>
    </row>
    <row r="3172" spans="1:13" x14ac:dyDescent="0.15">
      <c r="A3172" s="163" t="s">
        <v>210</v>
      </c>
      <c r="B3172" s="163">
        <v>42357.716931504627</v>
      </c>
      <c r="C3172" s="164" t="s">
        <v>2594</v>
      </c>
      <c r="D3172" s="164" t="s">
        <v>13</v>
      </c>
      <c r="E3172" s="165">
        <v>20</v>
      </c>
      <c r="F3172" s="166">
        <v>0</v>
      </c>
      <c r="G3172" s="227">
        <f>IF($B$2,IF(ROWS(B$6:$B3172) = 1,$B3172-Start_Date,$B3172-$B3171),"")</f>
        <v>1.7572013886820059E-2</v>
      </c>
      <c r="H3172" s="29">
        <f>IF($B$2,IF(ROWS(B$6:$B3172) = 1,IF(COUNTIFS(R_Schedule_Times,"&lt;"&amp;B3172),INDEX(R_Schedule_Amounts,MATCH(B3172,R_Schedule_Times,1)),Starting_Cash),IF(COUNTIFS(R_Schedule_Times,"&gt;"&amp;B3171,R_Schedule_Times,"&lt;"&amp;B3172),INDEX(R_Schedule_Amounts,MATCH(B3172,R_Schedule_Times,1)),K3171)),"")</f>
        <v>8800</v>
      </c>
      <c r="I3172" s="30">
        <f t="shared" si="245"/>
        <v>20</v>
      </c>
      <c r="J3172" s="31">
        <f t="shared" si="246"/>
        <v>0</v>
      </c>
      <c r="K3172" s="29">
        <f t="shared" si="247"/>
        <v>8780</v>
      </c>
      <c r="L3172" s="31" t="str">
        <f t="shared" si="248"/>
        <v/>
      </c>
      <c r="M3172" s="31" t="str">
        <f t="shared" si="249"/>
        <v/>
      </c>
    </row>
    <row r="3173" spans="1:13" x14ac:dyDescent="0.15">
      <c r="A3173" s="163" t="s">
        <v>210</v>
      </c>
      <c r="B3173" s="163">
        <v>42357.74371260417</v>
      </c>
      <c r="C3173" s="164" t="s">
        <v>2595</v>
      </c>
      <c r="D3173" s="164" t="s">
        <v>13</v>
      </c>
      <c r="E3173" s="165">
        <v>120</v>
      </c>
      <c r="F3173" s="166">
        <v>0</v>
      </c>
      <c r="G3173" s="227">
        <f>IF($B$2,IF(ROWS(B$6:$B3173) = 1,$B3173-Start_Date,$B3173-$B3172),"")</f>
        <v>2.678109954285901E-2</v>
      </c>
      <c r="H3173" s="29">
        <f>IF($B$2,IF(ROWS(B$6:$B3173) = 1,IF(COUNTIFS(R_Schedule_Times,"&lt;"&amp;B3173),INDEX(R_Schedule_Amounts,MATCH(B3173,R_Schedule_Times,1)),Starting_Cash),IF(COUNTIFS(R_Schedule_Times,"&gt;"&amp;B3172,R_Schedule_Times,"&lt;"&amp;B3173),INDEX(R_Schedule_Amounts,MATCH(B3173,R_Schedule_Times,1)),K3172)),"")</f>
        <v>8780</v>
      </c>
      <c r="I3173" s="30">
        <f t="shared" si="245"/>
        <v>120</v>
      </c>
      <c r="J3173" s="31">
        <f t="shared" si="246"/>
        <v>0</v>
      </c>
      <c r="K3173" s="29">
        <f t="shared" si="247"/>
        <v>8660</v>
      </c>
      <c r="L3173" s="31" t="str">
        <f t="shared" si="248"/>
        <v/>
      </c>
      <c r="M3173" s="31" t="str">
        <f t="shared" si="249"/>
        <v/>
      </c>
    </row>
    <row r="3174" spans="1:13" x14ac:dyDescent="0.15">
      <c r="A3174" s="163" t="s">
        <v>210</v>
      </c>
      <c r="B3174" s="163">
        <v>42357.770893043984</v>
      </c>
      <c r="C3174" s="164" t="s">
        <v>2596</v>
      </c>
      <c r="D3174" s="164" t="s">
        <v>13</v>
      </c>
      <c r="E3174" s="165">
        <v>40</v>
      </c>
      <c r="F3174" s="166">
        <v>0</v>
      </c>
      <c r="G3174" s="227">
        <f>IF($B$2,IF(ROWS(B$6:$B3174) = 1,$B3174-Start_Date,$B3174-$B3173),"")</f>
        <v>2.7180439814401325E-2</v>
      </c>
      <c r="H3174" s="29">
        <f>IF($B$2,IF(ROWS(B$6:$B3174) = 1,IF(COUNTIFS(R_Schedule_Times,"&lt;"&amp;B3174),INDEX(R_Schedule_Amounts,MATCH(B3174,R_Schedule_Times,1)),Starting_Cash),IF(COUNTIFS(R_Schedule_Times,"&gt;"&amp;B3173,R_Schedule_Times,"&lt;"&amp;B3174),INDEX(R_Schedule_Amounts,MATCH(B3174,R_Schedule_Times,1)),K3173)),"")</f>
        <v>8660</v>
      </c>
      <c r="I3174" s="30">
        <f t="shared" si="245"/>
        <v>40</v>
      </c>
      <c r="J3174" s="31">
        <f t="shared" si="246"/>
        <v>0</v>
      </c>
      <c r="K3174" s="29">
        <f t="shared" si="247"/>
        <v>8620</v>
      </c>
      <c r="L3174" s="31" t="str">
        <f t="shared" si="248"/>
        <v/>
      </c>
      <c r="M3174" s="31" t="str">
        <f t="shared" si="249"/>
        <v/>
      </c>
    </row>
    <row r="3175" spans="1:13" x14ac:dyDescent="0.15">
      <c r="A3175" s="163" t="s">
        <v>210</v>
      </c>
      <c r="B3175" s="163">
        <v>42357.784785717595</v>
      </c>
      <c r="C3175" s="164" t="s">
        <v>2476</v>
      </c>
      <c r="D3175" s="164" t="s">
        <v>13</v>
      </c>
      <c r="E3175" s="165">
        <v>200</v>
      </c>
      <c r="F3175" s="166">
        <v>0</v>
      </c>
      <c r="G3175" s="227">
        <f>IF($B$2,IF(ROWS(B$6:$B3175) = 1,$B3175-Start_Date,$B3175-$B3174),"")</f>
        <v>1.3892673610826023E-2</v>
      </c>
      <c r="H3175" s="29">
        <f>IF($B$2,IF(ROWS(B$6:$B3175) = 1,IF(COUNTIFS(R_Schedule_Times,"&lt;"&amp;B3175),INDEX(R_Schedule_Amounts,MATCH(B3175,R_Schedule_Times,1)),Starting_Cash),IF(COUNTIFS(R_Schedule_Times,"&gt;"&amp;B3174,R_Schedule_Times,"&lt;"&amp;B3175),INDEX(R_Schedule_Amounts,MATCH(B3175,R_Schedule_Times,1)),K3174)),"")</f>
        <v>8620</v>
      </c>
      <c r="I3175" s="30">
        <f t="shared" si="245"/>
        <v>200</v>
      </c>
      <c r="J3175" s="31">
        <f t="shared" si="246"/>
        <v>0</v>
      </c>
      <c r="K3175" s="29">
        <f t="shared" si="247"/>
        <v>8420</v>
      </c>
      <c r="L3175" s="31" t="str">
        <f t="shared" si="248"/>
        <v/>
      </c>
      <c r="M3175" s="31" t="str">
        <f t="shared" si="249"/>
        <v/>
      </c>
    </row>
    <row r="3176" spans="1:13" x14ac:dyDescent="0.15">
      <c r="A3176" s="163" t="s">
        <v>210</v>
      </c>
      <c r="B3176" s="163">
        <v>42357.786831064812</v>
      </c>
      <c r="C3176" s="164" t="s">
        <v>1568</v>
      </c>
      <c r="D3176" s="164" t="s">
        <v>13</v>
      </c>
      <c r="E3176" s="165">
        <v>100</v>
      </c>
      <c r="F3176" s="166">
        <v>0</v>
      </c>
      <c r="G3176" s="227">
        <f>IF($B$2,IF(ROWS(B$6:$B3176) = 1,$B3176-Start_Date,$B3176-$B3175),"")</f>
        <v>2.0453472170629539E-3</v>
      </c>
      <c r="H3176" s="29">
        <f>IF($B$2,IF(ROWS(B$6:$B3176) = 1,IF(COUNTIFS(R_Schedule_Times,"&lt;"&amp;B3176),INDEX(R_Schedule_Amounts,MATCH(B3176,R_Schedule_Times,1)),Starting_Cash),IF(COUNTIFS(R_Schedule_Times,"&gt;"&amp;B3175,R_Schedule_Times,"&lt;"&amp;B3176),INDEX(R_Schedule_Amounts,MATCH(B3176,R_Schedule_Times,1)),K3175)),"")</f>
        <v>8420</v>
      </c>
      <c r="I3176" s="30">
        <f t="shared" si="245"/>
        <v>100</v>
      </c>
      <c r="J3176" s="31">
        <f t="shared" si="246"/>
        <v>0</v>
      </c>
      <c r="K3176" s="29">
        <f t="shared" si="247"/>
        <v>8320</v>
      </c>
      <c r="L3176" s="31" t="str">
        <f t="shared" si="248"/>
        <v/>
      </c>
      <c r="M3176" s="31" t="str">
        <f t="shared" si="249"/>
        <v/>
      </c>
    </row>
    <row r="3177" spans="1:13" x14ac:dyDescent="0.15">
      <c r="A3177" s="163" t="s">
        <v>210</v>
      </c>
      <c r="B3177" s="163">
        <v>42357.85215230324</v>
      </c>
      <c r="C3177" s="164" t="s">
        <v>2597</v>
      </c>
      <c r="D3177" s="164" t="s">
        <v>13</v>
      </c>
      <c r="E3177" s="165">
        <v>100</v>
      </c>
      <c r="F3177" s="166">
        <v>0</v>
      </c>
      <c r="G3177" s="227">
        <f>IF($B$2,IF(ROWS(B$6:$B3177) = 1,$B3177-Start_Date,$B3177-$B3176),"")</f>
        <v>6.5321238427713979E-2</v>
      </c>
      <c r="H3177" s="29">
        <f>IF($B$2,IF(ROWS(B$6:$B3177) = 1,IF(COUNTIFS(R_Schedule_Times,"&lt;"&amp;B3177),INDEX(R_Schedule_Amounts,MATCH(B3177,R_Schedule_Times,1)),Starting_Cash),IF(COUNTIFS(R_Schedule_Times,"&gt;"&amp;B3176,R_Schedule_Times,"&lt;"&amp;B3177),INDEX(R_Schedule_Amounts,MATCH(B3177,R_Schedule_Times,1)),K3176)),"")</f>
        <v>8320</v>
      </c>
      <c r="I3177" s="30">
        <f t="shared" si="245"/>
        <v>100</v>
      </c>
      <c r="J3177" s="31">
        <f t="shared" si="246"/>
        <v>0</v>
      </c>
      <c r="K3177" s="29">
        <f t="shared" si="247"/>
        <v>8220</v>
      </c>
      <c r="L3177" s="31" t="str">
        <f t="shared" si="248"/>
        <v/>
      </c>
      <c r="M3177" s="31" t="str">
        <f t="shared" si="249"/>
        <v/>
      </c>
    </row>
    <row r="3178" spans="1:13" x14ac:dyDescent="0.15">
      <c r="A3178" s="163" t="s">
        <v>210</v>
      </c>
      <c r="B3178" s="163">
        <v>42357.892223912037</v>
      </c>
      <c r="C3178" s="164" t="s">
        <v>2598</v>
      </c>
      <c r="D3178" s="164" t="s">
        <v>13</v>
      </c>
      <c r="E3178" s="165">
        <v>100</v>
      </c>
      <c r="F3178" s="166">
        <v>0</v>
      </c>
      <c r="G3178" s="227">
        <f>IF($B$2,IF(ROWS(B$6:$B3178) = 1,$B3178-Start_Date,$B3178-$B3177),"")</f>
        <v>4.0071608797006775E-2</v>
      </c>
      <c r="H3178" s="29">
        <f>IF($B$2,IF(ROWS(B$6:$B3178) = 1,IF(COUNTIFS(R_Schedule_Times,"&lt;"&amp;B3178),INDEX(R_Schedule_Amounts,MATCH(B3178,R_Schedule_Times,1)),Starting_Cash),IF(COUNTIFS(R_Schedule_Times,"&gt;"&amp;B3177,R_Schedule_Times,"&lt;"&amp;B3178),INDEX(R_Schedule_Amounts,MATCH(B3178,R_Schedule_Times,1)),K3177)),"")</f>
        <v>8220</v>
      </c>
      <c r="I3178" s="30">
        <f t="shared" si="245"/>
        <v>100</v>
      </c>
      <c r="J3178" s="31">
        <f t="shared" si="246"/>
        <v>0</v>
      </c>
      <c r="K3178" s="29">
        <f t="shared" si="247"/>
        <v>8120</v>
      </c>
      <c r="L3178" s="31" t="str">
        <f t="shared" si="248"/>
        <v/>
      </c>
      <c r="M3178" s="31" t="str">
        <f t="shared" si="249"/>
        <v/>
      </c>
    </row>
    <row r="3179" spans="1:13" x14ac:dyDescent="0.15">
      <c r="A3179" s="163" t="s">
        <v>210</v>
      </c>
      <c r="B3179" s="163">
        <v>42357.925963194444</v>
      </c>
      <c r="C3179" s="164" t="s">
        <v>2599</v>
      </c>
      <c r="D3179" s="164" t="s">
        <v>13</v>
      </c>
      <c r="E3179" s="165">
        <v>500</v>
      </c>
      <c r="F3179" s="166">
        <v>0</v>
      </c>
      <c r="G3179" s="227">
        <f>IF($B$2,IF(ROWS(B$6:$B3179) = 1,$B3179-Start_Date,$B3179-$B3178),"")</f>
        <v>3.373928240762325E-2</v>
      </c>
      <c r="H3179" s="29">
        <f>IF($B$2,IF(ROWS(B$6:$B3179) = 1,IF(COUNTIFS(R_Schedule_Times,"&lt;"&amp;B3179),INDEX(R_Schedule_Amounts,MATCH(B3179,R_Schedule_Times,1)),Starting_Cash),IF(COUNTIFS(R_Schedule_Times,"&gt;"&amp;B3178,R_Schedule_Times,"&lt;"&amp;B3179),INDEX(R_Schedule_Amounts,MATCH(B3179,R_Schedule_Times,1)),K3178)),"")</f>
        <v>8120</v>
      </c>
      <c r="I3179" s="30">
        <f t="shared" si="245"/>
        <v>500</v>
      </c>
      <c r="J3179" s="31">
        <f t="shared" si="246"/>
        <v>0</v>
      </c>
      <c r="K3179" s="29">
        <f t="shared" si="247"/>
        <v>7620</v>
      </c>
      <c r="L3179" s="31" t="str">
        <f t="shared" si="248"/>
        <v/>
      </c>
      <c r="M3179" s="31" t="str">
        <f t="shared" si="249"/>
        <v/>
      </c>
    </row>
    <row r="3180" spans="1:13" x14ac:dyDescent="0.15">
      <c r="A3180" s="163" t="s">
        <v>210</v>
      </c>
      <c r="B3180" s="163">
        <v>42357.930681215279</v>
      </c>
      <c r="C3180" s="164" t="s">
        <v>2600</v>
      </c>
      <c r="D3180" s="164" t="s">
        <v>13</v>
      </c>
      <c r="E3180" s="165">
        <v>20</v>
      </c>
      <c r="F3180" s="166">
        <v>0</v>
      </c>
      <c r="G3180" s="227">
        <f>IF($B$2,IF(ROWS(B$6:$B3180) = 1,$B3180-Start_Date,$B3180-$B3179),"")</f>
        <v>4.7180208348436281E-3</v>
      </c>
      <c r="H3180" s="29">
        <f>IF($B$2,IF(ROWS(B$6:$B3180) = 1,IF(COUNTIFS(R_Schedule_Times,"&lt;"&amp;B3180),INDEX(R_Schedule_Amounts,MATCH(B3180,R_Schedule_Times,1)),Starting_Cash),IF(COUNTIFS(R_Schedule_Times,"&gt;"&amp;B3179,R_Schedule_Times,"&lt;"&amp;B3180),INDEX(R_Schedule_Amounts,MATCH(B3180,R_Schedule_Times,1)),K3179)),"")</f>
        <v>7620</v>
      </c>
      <c r="I3180" s="30">
        <f t="shared" si="245"/>
        <v>20</v>
      </c>
      <c r="J3180" s="31">
        <f t="shared" si="246"/>
        <v>0</v>
      </c>
      <c r="K3180" s="29">
        <f t="shared" si="247"/>
        <v>7600</v>
      </c>
      <c r="L3180" s="31" t="str">
        <f t="shared" si="248"/>
        <v/>
      </c>
      <c r="M3180" s="31" t="str">
        <f t="shared" si="249"/>
        <v/>
      </c>
    </row>
    <row r="3181" spans="1:13" x14ac:dyDescent="0.15">
      <c r="A3181" s="163" t="s">
        <v>210</v>
      </c>
      <c r="B3181" s="163">
        <v>42358.008534629633</v>
      </c>
      <c r="C3181" s="164" t="s">
        <v>2601</v>
      </c>
      <c r="D3181" s="164" t="s">
        <v>13</v>
      </c>
      <c r="E3181" s="165">
        <v>200</v>
      </c>
      <c r="F3181" s="166">
        <v>0</v>
      </c>
      <c r="G3181" s="227">
        <f>IF($B$2,IF(ROWS(B$6:$B3181) = 1,$B3181-Start_Date,$B3181-$B3180),"")</f>
        <v>7.7853414353739936E-2</v>
      </c>
      <c r="H3181" s="29">
        <f>IF($B$2,IF(ROWS(B$6:$B3181) = 1,IF(COUNTIFS(R_Schedule_Times,"&lt;"&amp;B3181),INDEX(R_Schedule_Amounts,MATCH(B3181,R_Schedule_Times,1)),Starting_Cash),IF(COUNTIFS(R_Schedule_Times,"&gt;"&amp;B3180,R_Schedule_Times,"&lt;"&amp;B3181),INDEX(R_Schedule_Amounts,MATCH(B3181,R_Schedule_Times,1)),K3180)),"")</f>
        <v>7600</v>
      </c>
      <c r="I3181" s="30">
        <f t="shared" si="245"/>
        <v>200</v>
      </c>
      <c r="J3181" s="31">
        <f t="shared" si="246"/>
        <v>0</v>
      </c>
      <c r="K3181" s="29">
        <f t="shared" si="247"/>
        <v>7400</v>
      </c>
      <c r="L3181" s="31" t="str">
        <f t="shared" si="248"/>
        <v/>
      </c>
      <c r="M3181" s="31" t="str">
        <f t="shared" si="249"/>
        <v/>
      </c>
    </row>
    <row r="3182" spans="1:13" x14ac:dyDescent="0.15">
      <c r="A3182" s="163" t="s">
        <v>210</v>
      </c>
      <c r="B3182" s="163">
        <v>42358.030576435187</v>
      </c>
      <c r="C3182" s="164" t="s">
        <v>1661</v>
      </c>
      <c r="D3182" s="164" t="s">
        <v>13</v>
      </c>
      <c r="E3182" s="165">
        <v>400</v>
      </c>
      <c r="F3182" s="166">
        <v>0</v>
      </c>
      <c r="G3182" s="227">
        <f>IF($B$2,IF(ROWS(B$6:$B3182) = 1,$B3182-Start_Date,$B3182-$B3181),"")</f>
        <v>2.2041805554181337E-2</v>
      </c>
      <c r="H3182" s="29">
        <f>IF($B$2,IF(ROWS(B$6:$B3182) = 1,IF(COUNTIFS(R_Schedule_Times,"&lt;"&amp;B3182),INDEX(R_Schedule_Amounts,MATCH(B3182,R_Schedule_Times,1)),Starting_Cash),IF(COUNTIFS(R_Schedule_Times,"&gt;"&amp;B3181,R_Schedule_Times,"&lt;"&amp;B3182),INDEX(R_Schedule_Amounts,MATCH(B3182,R_Schedule_Times,1)),K3181)),"")</f>
        <v>7400</v>
      </c>
      <c r="I3182" s="30">
        <f t="shared" si="245"/>
        <v>400</v>
      </c>
      <c r="J3182" s="31">
        <f t="shared" si="246"/>
        <v>0</v>
      </c>
      <c r="K3182" s="29">
        <f t="shared" si="247"/>
        <v>7000</v>
      </c>
      <c r="L3182" s="31" t="str">
        <f t="shared" si="248"/>
        <v/>
      </c>
      <c r="M3182" s="31" t="str">
        <f t="shared" si="249"/>
        <v/>
      </c>
    </row>
    <row r="3183" spans="1:13" x14ac:dyDescent="0.15">
      <c r="A3183" s="163" t="s">
        <v>210</v>
      </c>
      <c r="B3183" s="163">
        <v>42358.049020185186</v>
      </c>
      <c r="C3183" s="164" t="s">
        <v>2602</v>
      </c>
      <c r="D3183" s="164" t="s">
        <v>13</v>
      </c>
      <c r="E3183" s="165">
        <v>100</v>
      </c>
      <c r="F3183" s="166">
        <v>0</v>
      </c>
      <c r="G3183" s="227">
        <f>IF($B$2,IF(ROWS(B$6:$B3183) = 1,$B3183-Start_Date,$B3183-$B3182),"")</f>
        <v>1.8443749999278225E-2</v>
      </c>
      <c r="H3183" s="29">
        <f>IF($B$2,IF(ROWS(B$6:$B3183) = 1,IF(COUNTIFS(R_Schedule_Times,"&lt;"&amp;B3183),INDEX(R_Schedule_Amounts,MATCH(B3183,R_Schedule_Times,1)),Starting_Cash),IF(COUNTIFS(R_Schedule_Times,"&gt;"&amp;B3182,R_Schedule_Times,"&lt;"&amp;B3183),INDEX(R_Schedule_Amounts,MATCH(B3183,R_Schedule_Times,1)),K3182)),"")</f>
        <v>7000</v>
      </c>
      <c r="I3183" s="30">
        <f t="shared" si="245"/>
        <v>100</v>
      </c>
      <c r="J3183" s="31">
        <f t="shared" si="246"/>
        <v>0</v>
      </c>
      <c r="K3183" s="29">
        <f t="shared" si="247"/>
        <v>6900</v>
      </c>
      <c r="L3183" s="31" t="str">
        <f t="shared" si="248"/>
        <v/>
      </c>
      <c r="M3183" s="31" t="str">
        <f t="shared" si="249"/>
        <v/>
      </c>
    </row>
    <row r="3184" spans="1:13" x14ac:dyDescent="0.15">
      <c r="A3184" s="163" t="s">
        <v>210</v>
      </c>
      <c r="B3184" s="163">
        <v>42358.404738425925</v>
      </c>
      <c r="C3184" s="164" t="s">
        <v>2466</v>
      </c>
      <c r="D3184" s="164" t="s">
        <v>13</v>
      </c>
      <c r="E3184" s="165">
        <v>120</v>
      </c>
      <c r="F3184" s="166">
        <v>0</v>
      </c>
      <c r="G3184" s="227">
        <f>IF($B$2,IF(ROWS(B$6:$B3184) = 1,$B3184-Start_Date,$B3184-$B3183),"")</f>
        <v>0.35571824073849712</v>
      </c>
      <c r="H3184" s="29">
        <f>IF($B$2,IF(ROWS(B$6:$B3184) = 1,IF(COUNTIFS(R_Schedule_Times,"&lt;"&amp;B3184),INDEX(R_Schedule_Amounts,MATCH(B3184,R_Schedule_Times,1)),Starting_Cash),IF(COUNTIFS(R_Schedule_Times,"&gt;"&amp;B3183,R_Schedule_Times,"&lt;"&amp;B3184),INDEX(R_Schedule_Amounts,MATCH(B3184,R_Schedule_Times,1)),K3183)),"")</f>
        <v>6900</v>
      </c>
      <c r="I3184" s="30">
        <f t="shared" si="245"/>
        <v>120</v>
      </c>
      <c r="J3184" s="31">
        <f t="shared" si="246"/>
        <v>0</v>
      </c>
      <c r="K3184" s="29">
        <f t="shared" si="247"/>
        <v>6780</v>
      </c>
      <c r="L3184" s="31" t="str">
        <f t="shared" si="248"/>
        <v/>
      </c>
      <c r="M3184" s="31" t="str">
        <f t="shared" si="249"/>
        <v/>
      </c>
    </row>
    <row r="3185" spans="1:13" x14ac:dyDescent="0.15">
      <c r="A3185" s="163" t="s">
        <v>210</v>
      </c>
      <c r="B3185" s="163">
        <v>42358.40733574074</v>
      </c>
      <c r="C3185" s="164" t="s">
        <v>2603</v>
      </c>
      <c r="D3185" s="164" t="s">
        <v>13</v>
      </c>
      <c r="E3185" s="165">
        <v>100</v>
      </c>
      <c r="F3185" s="166">
        <v>0</v>
      </c>
      <c r="G3185" s="227">
        <f>IF($B$2,IF(ROWS(B$6:$B3185) = 1,$B3185-Start_Date,$B3185-$B3184),"")</f>
        <v>2.5973148149205372E-3</v>
      </c>
      <c r="H3185" s="29">
        <f>IF($B$2,IF(ROWS(B$6:$B3185) = 1,IF(COUNTIFS(R_Schedule_Times,"&lt;"&amp;B3185),INDEX(R_Schedule_Amounts,MATCH(B3185,R_Schedule_Times,1)),Starting_Cash),IF(COUNTIFS(R_Schedule_Times,"&gt;"&amp;B3184,R_Schedule_Times,"&lt;"&amp;B3185),INDEX(R_Schedule_Amounts,MATCH(B3185,R_Schedule_Times,1)),K3184)),"")</f>
        <v>6780</v>
      </c>
      <c r="I3185" s="30">
        <f t="shared" si="245"/>
        <v>100</v>
      </c>
      <c r="J3185" s="31">
        <f t="shared" si="246"/>
        <v>0</v>
      </c>
      <c r="K3185" s="29">
        <f t="shared" si="247"/>
        <v>6680</v>
      </c>
      <c r="L3185" s="31" t="str">
        <f t="shared" si="248"/>
        <v/>
      </c>
      <c r="M3185" s="31" t="str">
        <f t="shared" si="249"/>
        <v/>
      </c>
    </row>
    <row r="3186" spans="1:13" x14ac:dyDescent="0.15">
      <c r="A3186" s="163" t="s">
        <v>210</v>
      </c>
      <c r="B3186" s="163">
        <v>42358.443137071758</v>
      </c>
      <c r="C3186" s="164" t="s">
        <v>2604</v>
      </c>
      <c r="D3186" s="164" t="s">
        <v>13</v>
      </c>
      <c r="E3186" s="165">
        <v>500</v>
      </c>
      <c r="F3186" s="166">
        <v>0</v>
      </c>
      <c r="G3186" s="227">
        <f>IF($B$2,IF(ROWS(B$6:$B3186) = 1,$B3186-Start_Date,$B3186-$B3185),"")</f>
        <v>3.5801331017864868E-2</v>
      </c>
      <c r="H3186" s="29">
        <f>IF($B$2,IF(ROWS(B$6:$B3186) = 1,IF(COUNTIFS(R_Schedule_Times,"&lt;"&amp;B3186),INDEX(R_Schedule_Amounts,MATCH(B3186,R_Schedule_Times,1)),Starting_Cash),IF(COUNTIFS(R_Schedule_Times,"&gt;"&amp;B3185,R_Schedule_Times,"&lt;"&amp;B3186),INDEX(R_Schedule_Amounts,MATCH(B3186,R_Schedule_Times,1)),K3185)),"")</f>
        <v>6680</v>
      </c>
      <c r="I3186" s="30">
        <f t="shared" si="245"/>
        <v>500</v>
      </c>
      <c r="J3186" s="31">
        <f t="shared" si="246"/>
        <v>0</v>
      </c>
      <c r="K3186" s="29">
        <f t="shared" si="247"/>
        <v>6180</v>
      </c>
      <c r="L3186" s="31" t="str">
        <f t="shared" si="248"/>
        <v/>
      </c>
      <c r="M3186" s="31" t="str">
        <f t="shared" si="249"/>
        <v/>
      </c>
    </row>
    <row r="3187" spans="1:13" x14ac:dyDescent="0.15">
      <c r="A3187" s="163" t="s">
        <v>210</v>
      </c>
      <c r="B3187" s="163">
        <v>42358.457608078701</v>
      </c>
      <c r="C3187" s="164" t="s">
        <v>2605</v>
      </c>
      <c r="D3187" s="164" t="s">
        <v>13</v>
      </c>
      <c r="E3187" s="165">
        <v>60</v>
      </c>
      <c r="F3187" s="166">
        <v>0</v>
      </c>
      <c r="G3187" s="227">
        <f>IF($B$2,IF(ROWS(B$6:$B3187) = 1,$B3187-Start_Date,$B3187-$B3186),"")</f>
        <v>1.4471006943495013E-2</v>
      </c>
      <c r="H3187" s="29">
        <f>IF($B$2,IF(ROWS(B$6:$B3187) = 1,IF(COUNTIFS(R_Schedule_Times,"&lt;"&amp;B3187),INDEX(R_Schedule_Amounts,MATCH(B3187,R_Schedule_Times,1)),Starting_Cash),IF(COUNTIFS(R_Schedule_Times,"&gt;"&amp;B3186,R_Schedule_Times,"&lt;"&amp;B3187),INDEX(R_Schedule_Amounts,MATCH(B3187,R_Schedule_Times,1)),K3186)),"")</f>
        <v>6180</v>
      </c>
      <c r="I3187" s="30">
        <f t="shared" si="245"/>
        <v>60</v>
      </c>
      <c r="J3187" s="31">
        <f t="shared" si="246"/>
        <v>0</v>
      </c>
      <c r="K3187" s="29">
        <f t="shared" si="247"/>
        <v>6120</v>
      </c>
      <c r="L3187" s="31" t="str">
        <f t="shared" si="248"/>
        <v/>
      </c>
      <c r="M3187" s="31" t="str">
        <f t="shared" si="249"/>
        <v/>
      </c>
    </row>
    <row r="3188" spans="1:13" x14ac:dyDescent="0.15">
      <c r="A3188" s="163" t="s">
        <v>210</v>
      </c>
      <c r="B3188" s="163">
        <v>42358.469403020834</v>
      </c>
      <c r="C3188" s="164" t="s">
        <v>2606</v>
      </c>
      <c r="D3188" s="164" t="s">
        <v>13</v>
      </c>
      <c r="E3188" s="165">
        <v>20</v>
      </c>
      <c r="F3188" s="166">
        <v>0</v>
      </c>
      <c r="G3188" s="227">
        <f>IF($B$2,IF(ROWS(B$6:$B3188) = 1,$B3188-Start_Date,$B3188-$B3187),"")</f>
        <v>1.1794942132837605E-2</v>
      </c>
      <c r="H3188" s="29">
        <f>IF($B$2,IF(ROWS(B$6:$B3188) = 1,IF(COUNTIFS(R_Schedule_Times,"&lt;"&amp;B3188),INDEX(R_Schedule_Amounts,MATCH(B3188,R_Schedule_Times,1)),Starting_Cash),IF(COUNTIFS(R_Schedule_Times,"&gt;"&amp;B3187,R_Schedule_Times,"&lt;"&amp;B3188),INDEX(R_Schedule_Amounts,MATCH(B3188,R_Schedule_Times,1)),K3187)),"")</f>
        <v>6120</v>
      </c>
      <c r="I3188" s="30">
        <f t="shared" si="245"/>
        <v>20</v>
      </c>
      <c r="J3188" s="31">
        <f t="shared" si="246"/>
        <v>0</v>
      </c>
      <c r="K3188" s="29">
        <f t="shared" si="247"/>
        <v>6100</v>
      </c>
      <c r="L3188" s="31" t="str">
        <f t="shared" si="248"/>
        <v/>
      </c>
      <c r="M3188" s="31" t="str">
        <f t="shared" si="249"/>
        <v/>
      </c>
    </row>
    <row r="3189" spans="1:13" x14ac:dyDescent="0.15">
      <c r="A3189" s="163" t="s">
        <v>210</v>
      </c>
      <c r="B3189" s="163">
        <v>42358.474376712962</v>
      </c>
      <c r="C3189" s="164" t="s">
        <v>2232</v>
      </c>
      <c r="D3189" s="164" t="s">
        <v>13</v>
      </c>
      <c r="E3189" s="165">
        <v>120</v>
      </c>
      <c r="F3189" s="166">
        <v>0</v>
      </c>
      <c r="G3189" s="227">
        <f>IF($B$2,IF(ROWS(B$6:$B3189) = 1,$B3189-Start_Date,$B3189-$B3188),"")</f>
        <v>4.9736921282601543E-3</v>
      </c>
      <c r="H3189" s="29">
        <f>IF($B$2,IF(ROWS(B$6:$B3189) = 1,IF(COUNTIFS(R_Schedule_Times,"&lt;"&amp;B3189),INDEX(R_Schedule_Amounts,MATCH(B3189,R_Schedule_Times,1)),Starting_Cash),IF(COUNTIFS(R_Schedule_Times,"&gt;"&amp;B3188,R_Schedule_Times,"&lt;"&amp;B3189),INDEX(R_Schedule_Amounts,MATCH(B3189,R_Schedule_Times,1)),K3188)),"")</f>
        <v>6100</v>
      </c>
      <c r="I3189" s="30">
        <f t="shared" si="245"/>
        <v>120</v>
      </c>
      <c r="J3189" s="31">
        <f t="shared" si="246"/>
        <v>0</v>
      </c>
      <c r="K3189" s="29">
        <f t="shared" si="247"/>
        <v>5980</v>
      </c>
      <c r="L3189" s="31" t="str">
        <f t="shared" si="248"/>
        <v/>
      </c>
      <c r="M3189" s="31" t="str">
        <f t="shared" si="249"/>
        <v/>
      </c>
    </row>
    <row r="3190" spans="1:13" x14ac:dyDescent="0.15">
      <c r="A3190" s="163" t="s">
        <v>210</v>
      </c>
      <c r="B3190" s="163">
        <v>42358.480290439817</v>
      </c>
      <c r="C3190" s="164" t="s">
        <v>790</v>
      </c>
      <c r="D3190" s="164" t="s">
        <v>13</v>
      </c>
      <c r="E3190" s="165">
        <v>60</v>
      </c>
      <c r="F3190" s="166">
        <v>0</v>
      </c>
      <c r="G3190" s="227">
        <f>IF($B$2,IF(ROWS(B$6:$B3190) = 1,$B3190-Start_Date,$B3190-$B3189),"")</f>
        <v>5.9137268544873223E-3</v>
      </c>
      <c r="H3190" s="29">
        <f>IF($B$2,IF(ROWS(B$6:$B3190) = 1,IF(COUNTIFS(R_Schedule_Times,"&lt;"&amp;B3190),INDEX(R_Schedule_Amounts,MATCH(B3190,R_Schedule_Times,1)),Starting_Cash),IF(COUNTIFS(R_Schedule_Times,"&gt;"&amp;B3189,R_Schedule_Times,"&lt;"&amp;B3190),INDEX(R_Schedule_Amounts,MATCH(B3190,R_Schedule_Times,1)),K3189)),"")</f>
        <v>5980</v>
      </c>
      <c r="I3190" s="30">
        <f t="shared" si="245"/>
        <v>60</v>
      </c>
      <c r="J3190" s="31">
        <f t="shared" si="246"/>
        <v>0</v>
      </c>
      <c r="K3190" s="29">
        <f t="shared" si="247"/>
        <v>5920</v>
      </c>
      <c r="L3190" s="31" t="str">
        <f t="shared" si="248"/>
        <v/>
      </c>
      <c r="M3190" s="31" t="str">
        <f t="shared" si="249"/>
        <v/>
      </c>
    </row>
    <row r="3191" spans="1:13" x14ac:dyDescent="0.15">
      <c r="A3191" s="163" t="s">
        <v>210</v>
      </c>
      <c r="B3191" s="163">
        <v>42358.48213152778</v>
      </c>
      <c r="C3191" s="164" t="s">
        <v>2607</v>
      </c>
      <c r="D3191" s="164" t="s">
        <v>13</v>
      </c>
      <c r="E3191" s="165">
        <v>100</v>
      </c>
      <c r="F3191" s="166">
        <v>0</v>
      </c>
      <c r="G3191" s="227">
        <f>IF($B$2,IF(ROWS(B$6:$B3191) = 1,$B3191-Start_Date,$B3191-$B3190),"")</f>
        <v>1.8410879638395272E-3</v>
      </c>
      <c r="H3191" s="29">
        <f>IF($B$2,IF(ROWS(B$6:$B3191) = 1,IF(COUNTIFS(R_Schedule_Times,"&lt;"&amp;B3191),INDEX(R_Schedule_Amounts,MATCH(B3191,R_Schedule_Times,1)),Starting_Cash),IF(COUNTIFS(R_Schedule_Times,"&gt;"&amp;B3190,R_Schedule_Times,"&lt;"&amp;B3191),INDEX(R_Schedule_Amounts,MATCH(B3191,R_Schedule_Times,1)),K3190)),"")</f>
        <v>5920</v>
      </c>
      <c r="I3191" s="30">
        <f t="shared" si="245"/>
        <v>100</v>
      </c>
      <c r="J3191" s="31">
        <f t="shared" si="246"/>
        <v>0</v>
      </c>
      <c r="K3191" s="29">
        <f t="shared" si="247"/>
        <v>5820</v>
      </c>
      <c r="L3191" s="31" t="str">
        <f t="shared" si="248"/>
        <v/>
      </c>
      <c r="M3191" s="31" t="str">
        <f t="shared" si="249"/>
        <v/>
      </c>
    </row>
    <row r="3192" spans="1:13" x14ac:dyDescent="0.15">
      <c r="A3192" s="163" t="s">
        <v>210</v>
      </c>
      <c r="B3192" s="163">
        <v>42358.487528101854</v>
      </c>
      <c r="C3192" s="164" t="s">
        <v>2608</v>
      </c>
      <c r="D3192" s="164" t="s">
        <v>13</v>
      </c>
      <c r="E3192" s="165">
        <v>40</v>
      </c>
      <c r="F3192" s="166">
        <v>0</v>
      </c>
      <c r="G3192" s="227">
        <f>IF($B$2,IF(ROWS(B$6:$B3192) = 1,$B3192-Start_Date,$B3192-$B3191),"")</f>
        <v>5.3965740735293366E-3</v>
      </c>
      <c r="H3192" s="29">
        <f>IF($B$2,IF(ROWS(B$6:$B3192) = 1,IF(COUNTIFS(R_Schedule_Times,"&lt;"&amp;B3192),INDEX(R_Schedule_Amounts,MATCH(B3192,R_Schedule_Times,1)),Starting_Cash),IF(COUNTIFS(R_Schedule_Times,"&gt;"&amp;B3191,R_Schedule_Times,"&lt;"&amp;B3192),INDEX(R_Schedule_Amounts,MATCH(B3192,R_Schedule_Times,1)),K3191)),"")</f>
        <v>5820</v>
      </c>
      <c r="I3192" s="30">
        <f t="shared" si="245"/>
        <v>40</v>
      </c>
      <c r="J3192" s="31">
        <f t="shared" si="246"/>
        <v>0</v>
      </c>
      <c r="K3192" s="29">
        <f t="shared" si="247"/>
        <v>5780</v>
      </c>
      <c r="L3192" s="31" t="str">
        <f t="shared" si="248"/>
        <v/>
      </c>
      <c r="M3192" s="31" t="str">
        <f t="shared" si="249"/>
        <v/>
      </c>
    </row>
    <row r="3193" spans="1:13" x14ac:dyDescent="0.15">
      <c r="A3193" s="163" t="s">
        <v>210</v>
      </c>
      <c r="B3193" s="163">
        <v>42358.490448506942</v>
      </c>
      <c r="C3193" s="164" t="s">
        <v>2609</v>
      </c>
      <c r="D3193" s="164" t="s">
        <v>13</v>
      </c>
      <c r="E3193" s="165">
        <v>300</v>
      </c>
      <c r="F3193" s="166">
        <v>0</v>
      </c>
      <c r="G3193" s="227">
        <f>IF($B$2,IF(ROWS(B$6:$B3193) = 1,$B3193-Start_Date,$B3193-$B3192),"")</f>
        <v>2.9204050879343413E-3</v>
      </c>
      <c r="H3193" s="29">
        <f>IF($B$2,IF(ROWS(B$6:$B3193) = 1,IF(COUNTIFS(R_Schedule_Times,"&lt;"&amp;B3193),INDEX(R_Schedule_Amounts,MATCH(B3193,R_Schedule_Times,1)),Starting_Cash),IF(COUNTIFS(R_Schedule_Times,"&gt;"&amp;B3192,R_Schedule_Times,"&lt;"&amp;B3193),INDEX(R_Schedule_Amounts,MATCH(B3193,R_Schedule_Times,1)),K3192)),"")</f>
        <v>5780</v>
      </c>
      <c r="I3193" s="30">
        <f t="shared" si="245"/>
        <v>300</v>
      </c>
      <c r="J3193" s="31">
        <f t="shared" si="246"/>
        <v>0</v>
      </c>
      <c r="K3193" s="29">
        <f t="shared" si="247"/>
        <v>5480</v>
      </c>
      <c r="L3193" s="31" t="str">
        <f t="shared" si="248"/>
        <v/>
      </c>
      <c r="M3193" s="31" t="str">
        <f t="shared" si="249"/>
        <v/>
      </c>
    </row>
    <row r="3194" spans="1:13" x14ac:dyDescent="0.15">
      <c r="A3194" s="163" t="s">
        <v>210</v>
      </c>
      <c r="B3194" s="163">
        <v>42358.493031122685</v>
      </c>
      <c r="C3194" s="164" t="s">
        <v>868</v>
      </c>
      <c r="D3194" s="164" t="s">
        <v>13</v>
      </c>
      <c r="E3194" s="165">
        <v>400</v>
      </c>
      <c r="F3194" s="166">
        <v>0</v>
      </c>
      <c r="G3194" s="227">
        <f>IF($B$2,IF(ROWS(B$6:$B3194) = 1,$B3194-Start_Date,$B3194-$B3193),"")</f>
        <v>2.5826157434494235E-3</v>
      </c>
      <c r="H3194" s="29">
        <f>IF($B$2,IF(ROWS(B$6:$B3194) = 1,IF(COUNTIFS(R_Schedule_Times,"&lt;"&amp;B3194),INDEX(R_Schedule_Amounts,MATCH(B3194,R_Schedule_Times,1)),Starting_Cash),IF(COUNTIFS(R_Schedule_Times,"&gt;"&amp;B3193,R_Schedule_Times,"&lt;"&amp;B3194),INDEX(R_Schedule_Amounts,MATCH(B3194,R_Schedule_Times,1)),K3193)),"")</f>
        <v>5480</v>
      </c>
      <c r="I3194" s="30">
        <f t="shared" si="245"/>
        <v>400</v>
      </c>
      <c r="J3194" s="31">
        <f t="shared" si="246"/>
        <v>0</v>
      </c>
      <c r="K3194" s="29">
        <f t="shared" si="247"/>
        <v>5080</v>
      </c>
      <c r="L3194" s="31" t="str">
        <f t="shared" si="248"/>
        <v/>
      </c>
      <c r="M3194" s="31" t="str">
        <f t="shared" si="249"/>
        <v/>
      </c>
    </row>
    <row r="3195" spans="1:13" x14ac:dyDescent="0.15">
      <c r="A3195" s="163" t="s">
        <v>210</v>
      </c>
      <c r="B3195" s="163">
        <v>42358.500508229168</v>
      </c>
      <c r="C3195" s="164" t="s">
        <v>2587</v>
      </c>
      <c r="D3195" s="164" t="s">
        <v>13</v>
      </c>
      <c r="E3195" s="165">
        <v>120</v>
      </c>
      <c r="F3195" s="166">
        <v>0</v>
      </c>
      <c r="G3195" s="227">
        <f>IF($B$2,IF(ROWS(B$6:$B3195) = 1,$B3195-Start_Date,$B3195-$B3194),"")</f>
        <v>7.4771064828382805E-3</v>
      </c>
      <c r="H3195" s="29">
        <f>IF($B$2,IF(ROWS(B$6:$B3195) = 1,IF(COUNTIFS(R_Schedule_Times,"&lt;"&amp;B3195),INDEX(R_Schedule_Amounts,MATCH(B3195,R_Schedule_Times,1)),Starting_Cash),IF(COUNTIFS(R_Schedule_Times,"&gt;"&amp;B3194,R_Schedule_Times,"&lt;"&amp;B3195),INDEX(R_Schedule_Amounts,MATCH(B3195,R_Schedule_Times,1)),K3194)),"")</f>
        <v>5080</v>
      </c>
      <c r="I3195" s="30">
        <f t="shared" si="245"/>
        <v>120</v>
      </c>
      <c r="J3195" s="31">
        <f t="shared" si="246"/>
        <v>0</v>
      </c>
      <c r="K3195" s="29">
        <f t="shared" si="247"/>
        <v>4960</v>
      </c>
      <c r="L3195" s="31" t="str">
        <f t="shared" si="248"/>
        <v/>
      </c>
      <c r="M3195" s="31" t="str">
        <f t="shared" si="249"/>
        <v/>
      </c>
    </row>
    <row r="3196" spans="1:13" x14ac:dyDescent="0.15">
      <c r="A3196" s="163" t="s">
        <v>210</v>
      </c>
      <c r="B3196" s="163">
        <v>42358.501093159721</v>
      </c>
      <c r="C3196" s="164" t="s">
        <v>14</v>
      </c>
      <c r="D3196" s="164" t="s">
        <v>13</v>
      </c>
      <c r="E3196" s="165">
        <v>40</v>
      </c>
      <c r="F3196" s="166">
        <v>3.5</v>
      </c>
      <c r="G3196" s="227">
        <f>IF($B$2,IF(ROWS(B$6:$B3196) = 1,$B3196-Start_Date,$B3196-$B3195),"")</f>
        <v>5.8493055257713422E-4</v>
      </c>
      <c r="H3196" s="29">
        <f>IF($B$2,IF(ROWS(B$6:$B3196) = 1,IF(COUNTIFS(R_Schedule_Times,"&lt;"&amp;B3196),INDEX(R_Schedule_Amounts,MATCH(B3196,R_Schedule_Times,1)),Starting_Cash),IF(COUNTIFS(R_Schedule_Times,"&gt;"&amp;B3195,R_Schedule_Times,"&lt;"&amp;B3196),INDEX(R_Schedule_Amounts,MATCH(B3196,R_Schedule_Times,1)),K3195)),"")</f>
        <v>4960</v>
      </c>
      <c r="I3196" s="30">
        <f t="shared" si="245"/>
        <v>40</v>
      </c>
      <c r="J3196" s="31">
        <f t="shared" si="246"/>
        <v>3.5</v>
      </c>
      <c r="K3196" s="29">
        <f t="shared" si="247"/>
        <v>4920</v>
      </c>
      <c r="L3196" s="31" t="str">
        <f t="shared" si="248"/>
        <v/>
      </c>
      <c r="M3196" s="31" t="str">
        <f t="shared" si="249"/>
        <v/>
      </c>
    </row>
    <row r="3197" spans="1:13" x14ac:dyDescent="0.15">
      <c r="A3197" s="163" t="s">
        <v>210</v>
      </c>
      <c r="B3197" s="163">
        <v>42358.543257407408</v>
      </c>
      <c r="C3197" s="164" t="s">
        <v>532</v>
      </c>
      <c r="D3197" s="164" t="s">
        <v>13</v>
      </c>
      <c r="E3197" s="165">
        <v>40</v>
      </c>
      <c r="F3197" s="166">
        <v>0</v>
      </c>
      <c r="G3197" s="227">
        <f>IF($B$2,IF(ROWS(B$6:$B3197) = 1,$B3197-Start_Date,$B3197-$B3196),"")</f>
        <v>4.2164247686741874E-2</v>
      </c>
      <c r="H3197" s="29">
        <f>IF($B$2,IF(ROWS(B$6:$B3197) = 1,IF(COUNTIFS(R_Schedule_Times,"&lt;"&amp;B3197),INDEX(R_Schedule_Amounts,MATCH(B3197,R_Schedule_Times,1)),Starting_Cash),IF(COUNTIFS(R_Schedule_Times,"&gt;"&amp;B3196,R_Schedule_Times,"&lt;"&amp;B3197),INDEX(R_Schedule_Amounts,MATCH(B3197,R_Schedule_Times,1)),K3196)),"")</f>
        <v>4920</v>
      </c>
      <c r="I3197" s="30">
        <f t="shared" si="245"/>
        <v>40</v>
      </c>
      <c r="J3197" s="31">
        <f t="shared" si="246"/>
        <v>0</v>
      </c>
      <c r="K3197" s="29">
        <f t="shared" si="247"/>
        <v>4880</v>
      </c>
      <c r="L3197" s="31" t="str">
        <f t="shared" si="248"/>
        <v/>
      </c>
      <c r="M3197" s="31" t="str">
        <f t="shared" si="249"/>
        <v/>
      </c>
    </row>
    <row r="3198" spans="1:13" x14ac:dyDescent="0.15">
      <c r="A3198" s="163" t="s">
        <v>210</v>
      </c>
      <c r="B3198" s="163">
        <v>42358.560755659724</v>
      </c>
      <c r="C3198" s="164" t="s">
        <v>2610</v>
      </c>
      <c r="D3198" s="164" t="s">
        <v>13</v>
      </c>
      <c r="E3198" s="165">
        <v>20</v>
      </c>
      <c r="F3198" s="166">
        <v>0</v>
      </c>
      <c r="G3198" s="227">
        <f>IF($B$2,IF(ROWS(B$6:$B3198) = 1,$B3198-Start_Date,$B3198-$B3197),"")</f>
        <v>1.7498252316727303E-2</v>
      </c>
      <c r="H3198" s="29">
        <f>IF($B$2,IF(ROWS(B$6:$B3198) = 1,IF(COUNTIFS(R_Schedule_Times,"&lt;"&amp;B3198),INDEX(R_Schedule_Amounts,MATCH(B3198,R_Schedule_Times,1)),Starting_Cash),IF(COUNTIFS(R_Schedule_Times,"&gt;"&amp;B3197,R_Schedule_Times,"&lt;"&amp;B3198),INDEX(R_Schedule_Amounts,MATCH(B3198,R_Schedule_Times,1)),K3197)),"")</f>
        <v>4880</v>
      </c>
      <c r="I3198" s="30">
        <f t="shared" si="245"/>
        <v>20</v>
      </c>
      <c r="J3198" s="31">
        <f t="shared" si="246"/>
        <v>0</v>
      </c>
      <c r="K3198" s="29">
        <f t="shared" si="247"/>
        <v>4860</v>
      </c>
      <c r="L3198" s="31" t="str">
        <f t="shared" si="248"/>
        <v/>
      </c>
      <c r="M3198" s="31" t="str">
        <f t="shared" si="249"/>
        <v/>
      </c>
    </row>
    <row r="3199" spans="1:13" x14ac:dyDescent="0.15">
      <c r="A3199" s="163" t="s">
        <v>210</v>
      </c>
      <c r="B3199" s="163">
        <v>42358.603877384259</v>
      </c>
      <c r="C3199" s="164" t="s">
        <v>2611</v>
      </c>
      <c r="D3199" s="164" t="s">
        <v>13</v>
      </c>
      <c r="E3199" s="165">
        <v>40</v>
      </c>
      <c r="F3199" s="166">
        <v>0</v>
      </c>
      <c r="G3199" s="227">
        <f>IF($B$2,IF(ROWS(B$6:$B3199) = 1,$B3199-Start_Date,$B3199-$B3198),"")</f>
        <v>4.3121724535012618E-2</v>
      </c>
      <c r="H3199" s="29">
        <f>IF($B$2,IF(ROWS(B$6:$B3199) = 1,IF(COUNTIFS(R_Schedule_Times,"&lt;"&amp;B3199),INDEX(R_Schedule_Amounts,MATCH(B3199,R_Schedule_Times,1)),Starting_Cash),IF(COUNTIFS(R_Schedule_Times,"&gt;"&amp;B3198,R_Schedule_Times,"&lt;"&amp;B3199),INDEX(R_Schedule_Amounts,MATCH(B3199,R_Schedule_Times,1)),K3198)),"")</f>
        <v>4860</v>
      </c>
      <c r="I3199" s="30">
        <f t="shared" si="245"/>
        <v>40</v>
      </c>
      <c r="J3199" s="31">
        <f t="shared" si="246"/>
        <v>0</v>
      </c>
      <c r="K3199" s="29">
        <f t="shared" si="247"/>
        <v>4820</v>
      </c>
      <c r="L3199" s="31" t="str">
        <f t="shared" si="248"/>
        <v/>
      </c>
      <c r="M3199" s="31" t="str">
        <f t="shared" si="249"/>
        <v/>
      </c>
    </row>
    <row r="3200" spans="1:13" x14ac:dyDescent="0.15">
      <c r="A3200" s="163" t="s">
        <v>210</v>
      </c>
      <c r="B3200" s="163">
        <v>42358.641811967595</v>
      </c>
      <c r="C3200" s="164" t="s">
        <v>2612</v>
      </c>
      <c r="D3200" s="164" t="s">
        <v>13</v>
      </c>
      <c r="E3200" s="165">
        <v>120</v>
      </c>
      <c r="F3200" s="166">
        <v>0</v>
      </c>
      <c r="G3200" s="227">
        <f>IF($B$2,IF(ROWS(B$6:$B3200) = 1,$B3200-Start_Date,$B3200-$B3199),"")</f>
        <v>3.7934583335299976E-2</v>
      </c>
      <c r="H3200" s="29">
        <f>IF($B$2,IF(ROWS(B$6:$B3200) = 1,IF(COUNTIFS(R_Schedule_Times,"&lt;"&amp;B3200),INDEX(R_Schedule_Amounts,MATCH(B3200,R_Schedule_Times,1)),Starting_Cash),IF(COUNTIFS(R_Schedule_Times,"&gt;"&amp;B3199,R_Schedule_Times,"&lt;"&amp;B3200),INDEX(R_Schedule_Amounts,MATCH(B3200,R_Schedule_Times,1)),K3199)),"")</f>
        <v>4820</v>
      </c>
      <c r="I3200" s="30">
        <f t="shared" si="245"/>
        <v>120</v>
      </c>
      <c r="J3200" s="31">
        <f t="shared" si="246"/>
        <v>0</v>
      </c>
      <c r="K3200" s="29">
        <f t="shared" si="247"/>
        <v>4700</v>
      </c>
      <c r="L3200" s="31" t="str">
        <f t="shared" si="248"/>
        <v/>
      </c>
      <c r="M3200" s="31" t="str">
        <f t="shared" si="249"/>
        <v/>
      </c>
    </row>
    <row r="3201" spans="1:13" x14ac:dyDescent="0.15">
      <c r="A3201" s="163" t="s">
        <v>210</v>
      </c>
      <c r="B3201" s="163">
        <v>42358.664119872687</v>
      </c>
      <c r="C3201" s="164" t="s">
        <v>95</v>
      </c>
      <c r="D3201" s="164" t="s">
        <v>13</v>
      </c>
      <c r="E3201" s="165">
        <v>100</v>
      </c>
      <c r="F3201" s="166">
        <v>0</v>
      </c>
      <c r="G3201" s="227">
        <f>IF($B$2,IF(ROWS(B$6:$B3201) = 1,$B3201-Start_Date,$B3201-$B3200),"")</f>
        <v>2.2307905092020519E-2</v>
      </c>
      <c r="H3201" s="29">
        <f>IF($B$2,IF(ROWS(B$6:$B3201) = 1,IF(COUNTIFS(R_Schedule_Times,"&lt;"&amp;B3201),INDEX(R_Schedule_Amounts,MATCH(B3201,R_Schedule_Times,1)),Starting_Cash),IF(COUNTIFS(R_Schedule_Times,"&gt;"&amp;B3200,R_Schedule_Times,"&lt;"&amp;B3201),INDEX(R_Schedule_Amounts,MATCH(B3201,R_Schedule_Times,1)),K3200)),"")</f>
        <v>4700</v>
      </c>
      <c r="I3201" s="30">
        <f t="shared" si="245"/>
        <v>100</v>
      </c>
      <c r="J3201" s="31">
        <f t="shared" si="246"/>
        <v>0</v>
      </c>
      <c r="K3201" s="29">
        <f t="shared" si="247"/>
        <v>4600</v>
      </c>
      <c r="L3201" s="31" t="str">
        <f t="shared" si="248"/>
        <v/>
      </c>
      <c r="M3201" s="31" t="str">
        <f t="shared" si="249"/>
        <v/>
      </c>
    </row>
    <row r="3202" spans="1:13" x14ac:dyDescent="0.15">
      <c r="A3202" s="163" t="s">
        <v>210</v>
      </c>
      <c r="B3202" s="163">
        <v>42358.678982233796</v>
      </c>
      <c r="C3202" s="164" t="s">
        <v>1197</v>
      </c>
      <c r="D3202" s="164" t="s">
        <v>13</v>
      </c>
      <c r="E3202" s="165">
        <v>40</v>
      </c>
      <c r="F3202" s="166">
        <v>0</v>
      </c>
      <c r="G3202" s="227">
        <f>IF($B$2,IF(ROWS(B$6:$B3202) = 1,$B3202-Start_Date,$B3202-$B3201),"")</f>
        <v>1.4862361109408084E-2</v>
      </c>
      <c r="H3202" s="29">
        <f>IF($B$2,IF(ROWS(B$6:$B3202) = 1,IF(COUNTIFS(R_Schedule_Times,"&lt;"&amp;B3202),INDEX(R_Schedule_Amounts,MATCH(B3202,R_Schedule_Times,1)),Starting_Cash),IF(COUNTIFS(R_Schedule_Times,"&gt;"&amp;B3201,R_Schedule_Times,"&lt;"&amp;B3202),INDEX(R_Schedule_Amounts,MATCH(B3202,R_Schedule_Times,1)),K3201)),"")</f>
        <v>4600</v>
      </c>
      <c r="I3202" s="30">
        <f t="shared" si="245"/>
        <v>40</v>
      </c>
      <c r="J3202" s="31">
        <f t="shared" si="246"/>
        <v>0</v>
      </c>
      <c r="K3202" s="29">
        <f t="shared" si="247"/>
        <v>4560</v>
      </c>
      <c r="L3202" s="31" t="str">
        <f t="shared" si="248"/>
        <v/>
      </c>
      <c r="M3202" s="31" t="str">
        <f t="shared" si="249"/>
        <v/>
      </c>
    </row>
    <row r="3203" spans="1:13" x14ac:dyDescent="0.15">
      <c r="A3203" s="163" t="s">
        <v>210</v>
      </c>
      <c r="B3203" s="163">
        <v>42358.680986261577</v>
      </c>
      <c r="C3203" s="164" t="s">
        <v>2613</v>
      </c>
      <c r="D3203" s="164" t="s">
        <v>13</v>
      </c>
      <c r="E3203" s="165">
        <v>100</v>
      </c>
      <c r="F3203" s="166">
        <v>0</v>
      </c>
      <c r="G3203" s="227">
        <f>IF($B$2,IF(ROWS(B$6:$B3203) = 1,$B3203-Start_Date,$B3203-$B3202),"")</f>
        <v>2.0040277813677676E-3</v>
      </c>
      <c r="H3203" s="29">
        <f>IF($B$2,IF(ROWS(B$6:$B3203) = 1,IF(COUNTIFS(R_Schedule_Times,"&lt;"&amp;B3203),INDEX(R_Schedule_Amounts,MATCH(B3203,R_Schedule_Times,1)),Starting_Cash),IF(COUNTIFS(R_Schedule_Times,"&gt;"&amp;B3202,R_Schedule_Times,"&lt;"&amp;B3203),INDEX(R_Schedule_Amounts,MATCH(B3203,R_Schedule_Times,1)),K3202)),"")</f>
        <v>4560</v>
      </c>
      <c r="I3203" s="30">
        <f t="shared" si="245"/>
        <v>100</v>
      </c>
      <c r="J3203" s="31">
        <f t="shared" si="246"/>
        <v>0</v>
      </c>
      <c r="K3203" s="29">
        <f t="shared" si="247"/>
        <v>4460</v>
      </c>
      <c r="L3203" s="31" t="str">
        <f t="shared" si="248"/>
        <v/>
      </c>
      <c r="M3203" s="31" t="str">
        <f t="shared" si="249"/>
        <v/>
      </c>
    </row>
    <row r="3204" spans="1:13" x14ac:dyDescent="0.15">
      <c r="A3204" s="163" t="s">
        <v>210</v>
      </c>
      <c r="B3204" s="163">
        <v>42358.685936875001</v>
      </c>
      <c r="C3204" s="164" t="s">
        <v>2614</v>
      </c>
      <c r="D3204" s="164" t="s">
        <v>13</v>
      </c>
      <c r="E3204" s="165">
        <v>80</v>
      </c>
      <c r="F3204" s="166">
        <v>0</v>
      </c>
      <c r="G3204" s="227">
        <f>IF($B$2,IF(ROWS(B$6:$B3204) = 1,$B3204-Start_Date,$B3204-$B3203),"")</f>
        <v>4.9506134237162769E-3</v>
      </c>
      <c r="H3204" s="29">
        <f>IF($B$2,IF(ROWS(B$6:$B3204) = 1,IF(COUNTIFS(R_Schedule_Times,"&lt;"&amp;B3204),INDEX(R_Schedule_Amounts,MATCH(B3204,R_Schedule_Times,1)),Starting_Cash),IF(COUNTIFS(R_Schedule_Times,"&gt;"&amp;B3203,R_Schedule_Times,"&lt;"&amp;B3204),INDEX(R_Schedule_Amounts,MATCH(B3204,R_Schedule_Times,1)),K3203)),"")</f>
        <v>4460</v>
      </c>
      <c r="I3204" s="30">
        <f t="shared" si="245"/>
        <v>80</v>
      </c>
      <c r="J3204" s="31">
        <f t="shared" si="246"/>
        <v>0</v>
      </c>
      <c r="K3204" s="29">
        <f t="shared" si="247"/>
        <v>4380</v>
      </c>
      <c r="L3204" s="31" t="str">
        <f t="shared" si="248"/>
        <v/>
      </c>
      <c r="M3204" s="31" t="str">
        <f t="shared" si="249"/>
        <v/>
      </c>
    </row>
    <row r="3205" spans="1:13" x14ac:dyDescent="0.15">
      <c r="A3205" s="163" t="s">
        <v>210</v>
      </c>
      <c r="B3205" s="163">
        <v>42358.687721469905</v>
      </c>
      <c r="C3205" s="164" t="s">
        <v>2615</v>
      </c>
      <c r="D3205" s="164" t="s">
        <v>13</v>
      </c>
      <c r="E3205" s="165">
        <v>120</v>
      </c>
      <c r="F3205" s="166">
        <v>0</v>
      </c>
      <c r="G3205" s="227">
        <f>IF($B$2,IF(ROWS(B$6:$B3205) = 1,$B3205-Start_Date,$B3205-$B3204),"")</f>
        <v>1.784594904165715E-3</v>
      </c>
      <c r="H3205" s="29">
        <f>IF($B$2,IF(ROWS(B$6:$B3205) = 1,IF(COUNTIFS(R_Schedule_Times,"&lt;"&amp;B3205),INDEX(R_Schedule_Amounts,MATCH(B3205,R_Schedule_Times,1)),Starting_Cash),IF(COUNTIFS(R_Schedule_Times,"&gt;"&amp;B3204,R_Schedule_Times,"&lt;"&amp;B3205),INDEX(R_Schedule_Amounts,MATCH(B3205,R_Schedule_Times,1)),K3204)),"")</f>
        <v>4380</v>
      </c>
      <c r="I3205" s="30">
        <f t="shared" si="245"/>
        <v>120</v>
      </c>
      <c r="J3205" s="31">
        <f t="shared" si="246"/>
        <v>0</v>
      </c>
      <c r="K3205" s="29">
        <f t="shared" si="247"/>
        <v>4260</v>
      </c>
      <c r="L3205" s="31" t="str">
        <f t="shared" si="248"/>
        <v/>
      </c>
      <c r="M3205" s="31" t="str">
        <f t="shared" si="249"/>
        <v/>
      </c>
    </row>
    <row r="3206" spans="1:13" x14ac:dyDescent="0.15">
      <c r="A3206" s="163" t="s">
        <v>210</v>
      </c>
      <c r="B3206" s="163">
        <v>42358.69746009259</v>
      </c>
      <c r="C3206" s="164" t="s">
        <v>2060</v>
      </c>
      <c r="D3206" s="164" t="s">
        <v>13</v>
      </c>
      <c r="E3206" s="165">
        <v>100</v>
      </c>
      <c r="F3206" s="166">
        <v>0</v>
      </c>
      <c r="G3206" s="227">
        <f>IF($B$2,IF(ROWS(B$6:$B3206) = 1,$B3206-Start_Date,$B3206-$B3205),"")</f>
        <v>9.7386226843809709E-3</v>
      </c>
      <c r="H3206" s="29">
        <f>IF($B$2,IF(ROWS(B$6:$B3206) = 1,IF(COUNTIFS(R_Schedule_Times,"&lt;"&amp;B3206),INDEX(R_Schedule_Amounts,MATCH(B3206,R_Schedule_Times,1)),Starting_Cash),IF(COUNTIFS(R_Schedule_Times,"&gt;"&amp;B3205,R_Schedule_Times,"&lt;"&amp;B3206),INDEX(R_Schedule_Amounts,MATCH(B3206,R_Schedule_Times,1)),K3205)),"")</f>
        <v>4260</v>
      </c>
      <c r="I3206" s="30">
        <f t="shared" si="245"/>
        <v>100</v>
      </c>
      <c r="J3206" s="31">
        <f t="shared" si="246"/>
        <v>0</v>
      </c>
      <c r="K3206" s="29">
        <f t="shared" si="247"/>
        <v>4160</v>
      </c>
      <c r="L3206" s="31" t="str">
        <f t="shared" si="248"/>
        <v/>
      </c>
      <c r="M3206" s="31" t="str">
        <f t="shared" si="249"/>
        <v/>
      </c>
    </row>
    <row r="3207" spans="1:13" x14ac:dyDescent="0.15">
      <c r="A3207" s="163" t="s">
        <v>210</v>
      </c>
      <c r="B3207" s="163">
        <v>42358.720422129627</v>
      </c>
      <c r="C3207" s="164" t="s">
        <v>2616</v>
      </c>
      <c r="D3207" s="164" t="s">
        <v>15</v>
      </c>
      <c r="E3207" s="165">
        <v>100</v>
      </c>
      <c r="F3207" s="166">
        <v>3</v>
      </c>
      <c r="G3207" s="227">
        <f>IF($B$2,IF(ROWS(B$6:$B3207) = 1,$B3207-Start_Date,$B3207-$B3206),"")</f>
        <v>2.2962037037359551E-2</v>
      </c>
      <c r="H3207" s="29">
        <f>IF($B$2,IF(ROWS(B$6:$B3207) = 1,IF(COUNTIFS(R_Schedule_Times,"&lt;"&amp;B3207),INDEX(R_Schedule_Amounts,MATCH(B3207,R_Schedule_Times,1)),Starting_Cash),IF(COUNTIFS(R_Schedule_Times,"&gt;"&amp;B3206,R_Schedule_Times,"&lt;"&amp;B3207),INDEX(R_Schedule_Amounts,MATCH(B3207,R_Schedule_Times,1)),K3206)),"")</f>
        <v>4160</v>
      </c>
      <c r="I3207" s="30">
        <f t="shared" ref="I3207:I3270" si="250">IF($B$2,IF(H3207&gt;=E3207,E3207,0),"")</f>
        <v>100</v>
      </c>
      <c r="J3207" s="31">
        <f t="shared" ref="J3207:J3270" si="251">IF($B$2,IF(H3207&gt;=E3207,F3207,0),"")</f>
        <v>3</v>
      </c>
      <c r="K3207" s="29">
        <f t="shared" ref="K3207:K3270" si="252">IF($B$2,ABS(I3207-H3207),"")</f>
        <v>4060</v>
      </c>
      <c r="L3207" s="31" t="str">
        <f t="shared" ref="L3207:L3270" si="253">IF($B$2,IF(H3207&lt;E3207,"YES",""),"")</f>
        <v/>
      </c>
      <c r="M3207" s="31" t="str">
        <f t="shared" ref="M3207:M3270" si="254">IF($B$2,IF(L3207="YES",F3207,""),"")</f>
        <v/>
      </c>
    </row>
    <row r="3208" spans="1:13" x14ac:dyDescent="0.15">
      <c r="A3208" s="163" t="s">
        <v>210</v>
      </c>
      <c r="B3208" s="163">
        <v>42358.750507002318</v>
      </c>
      <c r="C3208" s="164" t="s">
        <v>1167</v>
      </c>
      <c r="D3208" s="164" t="s">
        <v>13</v>
      </c>
      <c r="E3208" s="165">
        <v>40</v>
      </c>
      <c r="F3208" s="166">
        <v>0</v>
      </c>
      <c r="G3208" s="227">
        <f>IF($B$2,IF(ROWS(B$6:$B3208) = 1,$B3208-Start_Date,$B3208-$B3207),"")</f>
        <v>3.008487269107718E-2</v>
      </c>
      <c r="H3208" s="29">
        <f>IF($B$2,IF(ROWS(B$6:$B3208) = 1,IF(COUNTIFS(R_Schedule_Times,"&lt;"&amp;B3208),INDEX(R_Schedule_Amounts,MATCH(B3208,R_Schedule_Times,1)),Starting_Cash),IF(COUNTIFS(R_Schedule_Times,"&gt;"&amp;B3207,R_Schedule_Times,"&lt;"&amp;B3208),INDEX(R_Schedule_Amounts,MATCH(B3208,R_Schedule_Times,1)),K3207)),"")</f>
        <v>4060</v>
      </c>
      <c r="I3208" s="30">
        <f t="shared" si="250"/>
        <v>40</v>
      </c>
      <c r="J3208" s="31">
        <f t="shared" si="251"/>
        <v>0</v>
      </c>
      <c r="K3208" s="29">
        <f t="shared" si="252"/>
        <v>4020</v>
      </c>
      <c r="L3208" s="31" t="str">
        <f t="shared" si="253"/>
        <v/>
      </c>
      <c r="M3208" s="31" t="str">
        <f t="shared" si="254"/>
        <v/>
      </c>
    </row>
    <row r="3209" spans="1:13" x14ac:dyDescent="0.15">
      <c r="A3209" s="163" t="s">
        <v>210</v>
      </c>
      <c r="B3209" s="163">
        <v>42358.764958715277</v>
      </c>
      <c r="C3209" s="164" t="s">
        <v>265</v>
      </c>
      <c r="D3209" s="164" t="s">
        <v>13</v>
      </c>
      <c r="E3209" s="165">
        <v>80</v>
      </c>
      <c r="F3209" s="166">
        <v>0</v>
      </c>
      <c r="G3209" s="227">
        <f>IF($B$2,IF(ROWS(B$6:$B3209) = 1,$B3209-Start_Date,$B3209-$B3208),"")</f>
        <v>1.445171295927139E-2</v>
      </c>
      <c r="H3209" s="29">
        <f>IF($B$2,IF(ROWS(B$6:$B3209) = 1,IF(COUNTIFS(R_Schedule_Times,"&lt;"&amp;B3209),INDEX(R_Schedule_Amounts,MATCH(B3209,R_Schedule_Times,1)),Starting_Cash),IF(COUNTIFS(R_Schedule_Times,"&gt;"&amp;B3208,R_Schedule_Times,"&lt;"&amp;B3209),INDEX(R_Schedule_Amounts,MATCH(B3209,R_Schedule_Times,1)),K3208)),"")</f>
        <v>4020</v>
      </c>
      <c r="I3209" s="30">
        <f t="shared" si="250"/>
        <v>80</v>
      </c>
      <c r="J3209" s="31">
        <f t="shared" si="251"/>
        <v>0</v>
      </c>
      <c r="K3209" s="29">
        <f t="shared" si="252"/>
        <v>3940</v>
      </c>
      <c r="L3209" s="31" t="str">
        <f t="shared" si="253"/>
        <v/>
      </c>
      <c r="M3209" s="31" t="str">
        <f t="shared" si="254"/>
        <v/>
      </c>
    </row>
    <row r="3210" spans="1:13" x14ac:dyDescent="0.15">
      <c r="A3210" s="163" t="s">
        <v>210</v>
      </c>
      <c r="B3210" s="163">
        <v>42358.789828726854</v>
      </c>
      <c r="C3210" s="164" t="s">
        <v>120</v>
      </c>
      <c r="D3210" s="164" t="s">
        <v>13</v>
      </c>
      <c r="E3210" s="165">
        <v>100</v>
      </c>
      <c r="F3210" s="166">
        <v>0</v>
      </c>
      <c r="G3210" s="227">
        <f>IF($B$2,IF(ROWS(B$6:$B3210) = 1,$B3210-Start_Date,$B3210-$B3209),"")</f>
        <v>2.4870011577149853E-2</v>
      </c>
      <c r="H3210" s="29">
        <f>IF($B$2,IF(ROWS(B$6:$B3210) = 1,IF(COUNTIFS(R_Schedule_Times,"&lt;"&amp;B3210),INDEX(R_Schedule_Amounts,MATCH(B3210,R_Schedule_Times,1)),Starting_Cash),IF(COUNTIFS(R_Schedule_Times,"&gt;"&amp;B3209,R_Schedule_Times,"&lt;"&amp;B3210),INDEX(R_Schedule_Amounts,MATCH(B3210,R_Schedule_Times,1)),K3209)),"")</f>
        <v>3940</v>
      </c>
      <c r="I3210" s="30">
        <f t="shared" si="250"/>
        <v>100</v>
      </c>
      <c r="J3210" s="31">
        <f t="shared" si="251"/>
        <v>0</v>
      </c>
      <c r="K3210" s="29">
        <f t="shared" si="252"/>
        <v>3840</v>
      </c>
      <c r="L3210" s="31" t="str">
        <f t="shared" si="253"/>
        <v/>
      </c>
      <c r="M3210" s="31" t="str">
        <f t="shared" si="254"/>
        <v/>
      </c>
    </row>
    <row r="3211" spans="1:13" x14ac:dyDescent="0.15">
      <c r="A3211" s="163" t="s">
        <v>210</v>
      </c>
      <c r="B3211" s="163">
        <v>42359.324027523151</v>
      </c>
      <c r="C3211" s="164" t="s">
        <v>2617</v>
      </c>
      <c r="D3211" s="164" t="s">
        <v>13</v>
      </c>
      <c r="E3211" s="165">
        <v>100</v>
      </c>
      <c r="F3211" s="166">
        <v>0</v>
      </c>
      <c r="G3211" s="227">
        <f>IF($B$2,IF(ROWS(B$6:$B3211) = 1,$B3211-Start_Date,$B3211-$B3210),"")</f>
        <v>0.53419879629655043</v>
      </c>
      <c r="H3211" s="29">
        <f>IF($B$2,IF(ROWS(B$6:$B3211) = 1,IF(COUNTIFS(R_Schedule_Times,"&lt;"&amp;B3211),INDEX(R_Schedule_Amounts,MATCH(B3211,R_Schedule_Times,1)),Starting_Cash),IF(COUNTIFS(R_Schedule_Times,"&gt;"&amp;B3210,R_Schedule_Times,"&lt;"&amp;B3211),INDEX(R_Schedule_Amounts,MATCH(B3211,R_Schedule_Times,1)),K3210)),"")</f>
        <v>11000</v>
      </c>
      <c r="I3211" s="30">
        <f t="shared" si="250"/>
        <v>100</v>
      </c>
      <c r="J3211" s="31">
        <f t="shared" si="251"/>
        <v>0</v>
      </c>
      <c r="K3211" s="29">
        <f t="shared" si="252"/>
        <v>10900</v>
      </c>
      <c r="L3211" s="31" t="str">
        <f t="shared" si="253"/>
        <v/>
      </c>
      <c r="M3211" s="31" t="str">
        <f t="shared" si="254"/>
        <v/>
      </c>
    </row>
    <row r="3212" spans="1:13" x14ac:dyDescent="0.15">
      <c r="A3212" s="163" t="s">
        <v>210</v>
      </c>
      <c r="B3212" s="163">
        <v>42359.334133182871</v>
      </c>
      <c r="C3212" s="164" t="s">
        <v>2618</v>
      </c>
      <c r="D3212" s="164" t="s">
        <v>13</v>
      </c>
      <c r="E3212" s="165">
        <v>100</v>
      </c>
      <c r="F3212" s="166">
        <v>0</v>
      </c>
      <c r="G3212" s="227">
        <f>IF($B$2,IF(ROWS(B$6:$B3212) = 1,$B3212-Start_Date,$B3212-$B3211),"")</f>
        <v>1.010565971955657E-2</v>
      </c>
      <c r="H3212" s="29">
        <f>IF($B$2,IF(ROWS(B$6:$B3212) = 1,IF(COUNTIFS(R_Schedule_Times,"&lt;"&amp;B3212),INDEX(R_Schedule_Amounts,MATCH(B3212,R_Schedule_Times,1)),Starting_Cash),IF(COUNTIFS(R_Schedule_Times,"&gt;"&amp;B3211,R_Schedule_Times,"&lt;"&amp;B3212),INDEX(R_Schedule_Amounts,MATCH(B3212,R_Schedule_Times,1)),K3211)),"")</f>
        <v>10900</v>
      </c>
      <c r="I3212" s="30">
        <f t="shared" si="250"/>
        <v>100</v>
      </c>
      <c r="J3212" s="31">
        <f t="shared" si="251"/>
        <v>0</v>
      </c>
      <c r="K3212" s="29">
        <f t="shared" si="252"/>
        <v>10800</v>
      </c>
      <c r="L3212" s="31" t="str">
        <f t="shared" si="253"/>
        <v/>
      </c>
      <c r="M3212" s="31" t="str">
        <f t="shared" si="254"/>
        <v/>
      </c>
    </row>
    <row r="3213" spans="1:13" x14ac:dyDescent="0.15">
      <c r="A3213" s="163" t="s">
        <v>210</v>
      </c>
      <c r="B3213" s="163">
        <v>42359.340257916665</v>
      </c>
      <c r="C3213" s="164" t="s">
        <v>537</v>
      </c>
      <c r="D3213" s="164" t="s">
        <v>13</v>
      </c>
      <c r="E3213" s="165">
        <v>40</v>
      </c>
      <c r="F3213" s="166">
        <v>0</v>
      </c>
      <c r="G3213" s="227">
        <f>IF($B$2,IF(ROWS(B$6:$B3213) = 1,$B3213-Start_Date,$B3213-$B3212),"")</f>
        <v>6.1247337944223545E-3</v>
      </c>
      <c r="H3213" s="29">
        <f>IF($B$2,IF(ROWS(B$6:$B3213) = 1,IF(COUNTIFS(R_Schedule_Times,"&lt;"&amp;B3213),INDEX(R_Schedule_Amounts,MATCH(B3213,R_Schedule_Times,1)),Starting_Cash),IF(COUNTIFS(R_Schedule_Times,"&gt;"&amp;B3212,R_Schedule_Times,"&lt;"&amp;B3213),INDEX(R_Schedule_Amounts,MATCH(B3213,R_Schedule_Times,1)),K3212)),"")</f>
        <v>10800</v>
      </c>
      <c r="I3213" s="30">
        <f t="shared" si="250"/>
        <v>40</v>
      </c>
      <c r="J3213" s="31">
        <f t="shared" si="251"/>
        <v>0</v>
      </c>
      <c r="K3213" s="29">
        <f t="shared" si="252"/>
        <v>10760</v>
      </c>
      <c r="L3213" s="31" t="str">
        <f t="shared" si="253"/>
        <v/>
      </c>
      <c r="M3213" s="31" t="str">
        <f t="shared" si="254"/>
        <v/>
      </c>
    </row>
    <row r="3214" spans="1:13" x14ac:dyDescent="0.15">
      <c r="A3214" s="163" t="s">
        <v>210</v>
      </c>
      <c r="B3214" s="163">
        <v>42359.358512766201</v>
      </c>
      <c r="C3214" s="164" t="s">
        <v>2619</v>
      </c>
      <c r="D3214" s="164" t="s">
        <v>13</v>
      </c>
      <c r="E3214" s="165">
        <v>100</v>
      </c>
      <c r="F3214" s="166">
        <v>0</v>
      </c>
      <c r="G3214" s="227">
        <f>IF($B$2,IF(ROWS(B$6:$B3214) = 1,$B3214-Start_Date,$B3214-$B3213),"")</f>
        <v>1.8254849535878748E-2</v>
      </c>
      <c r="H3214" s="29">
        <f>IF($B$2,IF(ROWS(B$6:$B3214) = 1,IF(COUNTIFS(R_Schedule_Times,"&lt;"&amp;B3214),INDEX(R_Schedule_Amounts,MATCH(B3214,R_Schedule_Times,1)),Starting_Cash),IF(COUNTIFS(R_Schedule_Times,"&gt;"&amp;B3213,R_Schedule_Times,"&lt;"&amp;B3214),INDEX(R_Schedule_Amounts,MATCH(B3214,R_Schedule_Times,1)),K3213)),"")</f>
        <v>10760</v>
      </c>
      <c r="I3214" s="30">
        <f t="shared" si="250"/>
        <v>100</v>
      </c>
      <c r="J3214" s="31">
        <f t="shared" si="251"/>
        <v>0</v>
      </c>
      <c r="K3214" s="29">
        <f t="shared" si="252"/>
        <v>10660</v>
      </c>
      <c r="L3214" s="31" t="str">
        <f t="shared" si="253"/>
        <v/>
      </c>
      <c r="M3214" s="31" t="str">
        <f t="shared" si="254"/>
        <v/>
      </c>
    </row>
    <row r="3215" spans="1:13" x14ac:dyDescent="0.15">
      <c r="A3215" s="163" t="s">
        <v>210</v>
      </c>
      <c r="B3215" s="163">
        <v>42359.39269148148</v>
      </c>
      <c r="C3215" s="164" t="s">
        <v>2620</v>
      </c>
      <c r="D3215" s="164" t="s">
        <v>13</v>
      </c>
      <c r="E3215" s="165">
        <v>100</v>
      </c>
      <c r="F3215" s="166">
        <v>0</v>
      </c>
      <c r="G3215" s="227">
        <f>IF($B$2,IF(ROWS(B$6:$B3215) = 1,$B3215-Start_Date,$B3215-$B3214),"")</f>
        <v>3.4178715279267635E-2</v>
      </c>
      <c r="H3215" s="29">
        <f>IF($B$2,IF(ROWS(B$6:$B3215) = 1,IF(COUNTIFS(R_Schedule_Times,"&lt;"&amp;B3215),INDEX(R_Schedule_Amounts,MATCH(B3215,R_Schedule_Times,1)),Starting_Cash),IF(COUNTIFS(R_Schedule_Times,"&gt;"&amp;B3214,R_Schedule_Times,"&lt;"&amp;B3215),INDEX(R_Schedule_Amounts,MATCH(B3215,R_Schedule_Times,1)),K3214)),"")</f>
        <v>10660</v>
      </c>
      <c r="I3215" s="30">
        <f t="shared" si="250"/>
        <v>100</v>
      </c>
      <c r="J3215" s="31">
        <f t="shared" si="251"/>
        <v>0</v>
      </c>
      <c r="K3215" s="29">
        <f t="shared" si="252"/>
        <v>10560</v>
      </c>
      <c r="L3215" s="31" t="str">
        <f t="shared" si="253"/>
        <v/>
      </c>
      <c r="M3215" s="31" t="str">
        <f t="shared" si="254"/>
        <v/>
      </c>
    </row>
    <row r="3216" spans="1:13" x14ac:dyDescent="0.15">
      <c r="A3216" s="163" t="s">
        <v>210</v>
      </c>
      <c r="B3216" s="163">
        <v>42359.394001851855</v>
      </c>
      <c r="C3216" s="164" t="s">
        <v>538</v>
      </c>
      <c r="D3216" s="164" t="s">
        <v>13</v>
      </c>
      <c r="E3216" s="165">
        <v>80</v>
      </c>
      <c r="F3216" s="166">
        <v>0</v>
      </c>
      <c r="G3216" s="227">
        <f>IF($B$2,IF(ROWS(B$6:$B3216) = 1,$B3216-Start_Date,$B3216-$B3215),"")</f>
        <v>1.3103703749948181E-3</v>
      </c>
      <c r="H3216" s="29">
        <f>IF($B$2,IF(ROWS(B$6:$B3216) = 1,IF(COUNTIFS(R_Schedule_Times,"&lt;"&amp;B3216),INDEX(R_Schedule_Amounts,MATCH(B3216,R_Schedule_Times,1)),Starting_Cash),IF(COUNTIFS(R_Schedule_Times,"&gt;"&amp;B3215,R_Schedule_Times,"&lt;"&amp;B3216),INDEX(R_Schedule_Amounts,MATCH(B3216,R_Schedule_Times,1)),K3215)),"")</f>
        <v>10560</v>
      </c>
      <c r="I3216" s="30">
        <f t="shared" si="250"/>
        <v>80</v>
      </c>
      <c r="J3216" s="31">
        <f t="shared" si="251"/>
        <v>0</v>
      </c>
      <c r="K3216" s="29">
        <f t="shared" si="252"/>
        <v>10480</v>
      </c>
      <c r="L3216" s="31" t="str">
        <f t="shared" si="253"/>
        <v/>
      </c>
      <c r="M3216" s="31" t="str">
        <f t="shared" si="254"/>
        <v/>
      </c>
    </row>
    <row r="3217" spans="1:13" x14ac:dyDescent="0.15">
      <c r="A3217" s="163" t="s">
        <v>210</v>
      </c>
      <c r="B3217" s="163">
        <v>42359.395779768522</v>
      </c>
      <c r="C3217" s="164" t="s">
        <v>14</v>
      </c>
      <c r="D3217" s="164" t="s">
        <v>13</v>
      </c>
      <c r="E3217" s="165">
        <v>60</v>
      </c>
      <c r="F3217" s="166">
        <v>3.5</v>
      </c>
      <c r="G3217" s="227">
        <f>IF($B$2,IF(ROWS(B$6:$B3217) = 1,$B3217-Start_Date,$B3217-$B3216),"")</f>
        <v>1.7779166664695367E-3</v>
      </c>
      <c r="H3217" s="29">
        <f>IF($B$2,IF(ROWS(B$6:$B3217) = 1,IF(COUNTIFS(R_Schedule_Times,"&lt;"&amp;B3217),INDEX(R_Schedule_Amounts,MATCH(B3217,R_Schedule_Times,1)),Starting_Cash),IF(COUNTIFS(R_Schedule_Times,"&gt;"&amp;B3216,R_Schedule_Times,"&lt;"&amp;B3217),INDEX(R_Schedule_Amounts,MATCH(B3217,R_Schedule_Times,1)),K3216)),"")</f>
        <v>10480</v>
      </c>
      <c r="I3217" s="30">
        <f t="shared" si="250"/>
        <v>60</v>
      </c>
      <c r="J3217" s="31">
        <f t="shared" si="251"/>
        <v>3.5</v>
      </c>
      <c r="K3217" s="29">
        <f t="shared" si="252"/>
        <v>10420</v>
      </c>
      <c r="L3217" s="31" t="str">
        <f t="shared" si="253"/>
        <v/>
      </c>
      <c r="M3217" s="31" t="str">
        <f t="shared" si="254"/>
        <v/>
      </c>
    </row>
    <row r="3218" spans="1:13" x14ac:dyDescent="0.15">
      <c r="A3218" s="163" t="s">
        <v>210</v>
      </c>
      <c r="B3218" s="163">
        <v>42359.405165752316</v>
      </c>
      <c r="C3218" s="164" t="s">
        <v>14</v>
      </c>
      <c r="D3218" s="164" t="s">
        <v>13</v>
      </c>
      <c r="E3218" s="165">
        <v>40</v>
      </c>
      <c r="F3218" s="166">
        <v>3.5</v>
      </c>
      <c r="G3218" s="227">
        <f>IF($B$2,IF(ROWS(B$6:$B3218) = 1,$B3218-Start_Date,$B3218-$B3217),"")</f>
        <v>9.3859837943455204E-3</v>
      </c>
      <c r="H3218" s="29">
        <f>IF($B$2,IF(ROWS(B$6:$B3218) = 1,IF(COUNTIFS(R_Schedule_Times,"&lt;"&amp;B3218),INDEX(R_Schedule_Amounts,MATCH(B3218,R_Schedule_Times,1)),Starting_Cash),IF(COUNTIFS(R_Schedule_Times,"&gt;"&amp;B3217,R_Schedule_Times,"&lt;"&amp;B3218),INDEX(R_Schedule_Amounts,MATCH(B3218,R_Schedule_Times,1)),K3217)),"")</f>
        <v>10420</v>
      </c>
      <c r="I3218" s="30">
        <f t="shared" si="250"/>
        <v>40</v>
      </c>
      <c r="J3218" s="31">
        <f t="shared" si="251"/>
        <v>3.5</v>
      </c>
      <c r="K3218" s="29">
        <f t="shared" si="252"/>
        <v>10380</v>
      </c>
      <c r="L3218" s="31" t="str">
        <f t="shared" si="253"/>
        <v/>
      </c>
      <c r="M3218" s="31" t="str">
        <f t="shared" si="254"/>
        <v/>
      </c>
    </row>
    <row r="3219" spans="1:13" x14ac:dyDescent="0.15">
      <c r="A3219" s="163" t="s">
        <v>210</v>
      </c>
      <c r="B3219" s="163">
        <v>42359.415664363427</v>
      </c>
      <c r="C3219" s="164" t="s">
        <v>2453</v>
      </c>
      <c r="D3219" s="164" t="s">
        <v>13</v>
      </c>
      <c r="E3219" s="165">
        <v>500</v>
      </c>
      <c r="F3219" s="166">
        <v>0</v>
      </c>
      <c r="G3219" s="227">
        <f>IF($B$2,IF(ROWS(B$6:$B3219) = 1,$B3219-Start_Date,$B3219-$B3218),"")</f>
        <v>1.0498611110961065E-2</v>
      </c>
      <c r="H3219" s="29">
        <f>IF($B$2,IF(ROWS(B$6:$B3219) = 1,IF(COUNTIFS(R_Schedule_Times,"&lt;"&amp;B3219),INDEX(R_Schedule_Amounts,MATCH(B3219,R_Schedule_Times,1)),Starting_Cash),IF(COUNTIFS(R_Schedule_Times,"&gt;"&amp;B3218,R_Schedule_Times,"&lt;"&amp;B3219),INDEX(R_Schedule_Amounts,MATCH(B3219,R_Schedule_Times,1)),K3218)),"")</f>
        <v>10380</v>
      </c>
      <c r="I3219" s="30">
        <f t="shared" si="250"/>
        <v>500</v>
      </c>
      <c r="J3219" s="31">
        <f t="shared" si="251"/>
        <v>0</v>
      </c>
      <c r="K3219" s="29">
        <f t="shared" si="252"/>
        <v>9880</v>
      </c>
      <c r="L3219" s="31" t="str">
        <f t="shared" si="253"/>
        <v/>
      </c>
      <c r="M3219" s="31" t="str">
        <f t="shared" si="254"/>
        <v/>
      </c>
    </row>
    <row r="3220" spans="1:13" x14ac:dyDescent="0.15">
      <c r="A3220" s="163" t="s">
        <v>210</v>
      </c>
      <c r="B3220" s="163">
        <v>42359.429162962966</v>
      </c>
      <c r="C3220" s="164" t="s">
        <v>2621</v>
      </c>
      <c r="D3220" s="164" t="s">
        <v>13</v>
      </c>
      <c r="E3220" s="165">
        <v>80</v>
      </c>
      <c r="F3220" s="166">
        <v>0</v>
      </c>
      <c r="G3220" s="227">
        <f>IF($B$2,IF(ROWS(B$6:$B3220) = 1,$B3220-Start_Date,$B3220-$B3219),"")</f>
        <v>1.349859953916166E-2</v>
      </c>
      <c r="H3220" s="29">
        <f>IF($B$2,IF(ROWS(B$6:$B3220) = 1,IF(COUNTIFS(R_Schedule_Times,"&lt;"&amp;B3220),INDEX(R_Schedule_Amounts,MATCH(B3220,R_Schedule_Times,1)),Starting_Cash),IF(COUNTIFS(R_Schedule_Times,"&gt;"&amp;B3219,R_Schedule_Times,"&lt;"&amp;B3220),INDEX(R_Schedule_Amounts,MATCH(B3220,R_Schedule_Times,1)),K3219)),"")</f>
        <v>9880</v>
      </c>
      <c r="I3220" s="30">
        <f t="shared" si="250"/>
        <v>80</v>
      </c>
      <c r="J3220" s="31">
        <f t="shared" si="251"/>
        <v>0</v>
      </c>
      <c r="K3220" s="29">
        <f t="shared" si="252"/>
        <v>9800</v>
      </c>
      <c r="L3220" s="31" t="str">
        <f t="shared" si="253"/>
        <v/>
      </c>
      <c r="M3220" s="31" t="str">
        <f t="shared" si="254"/>
        <v/>
      </c>
    </row>
    <row r="3221" spans="1:13" x14ac:dyDescent="0.15">
      <c r="A3221" s="163" t="s">
        <v>210</v>
      </c>
      <c r="B3221" s="163">
        <v>42359.439667129627</v>
      </c>
      <c r="C3221" s="164" t="s">
        <v>837</v>
      </c>
      <c r="D3221" s="164" t="s">
        <v>13</v>
      </c>
      <c r="E3221" s="165">
        <v>40</v>
      </c>
      <c r="F3221" s="166">
        <v>0</v>
      </c>
      <c r="G3221" s="227">
        <f>IF($B$2,IF(ROWS(B$6:$B3221) = 1,$B3221-Start_Date,$B3221-$B3220),"")</f>
        <v>1.0504166661121417E-2</v>
      </c>
      <c r="H3221" s="29">
        <f>IF($B$2,IF(ROWS(B$6:$B3221) = 1,IF(COUNTIFS(R_Schedule_Times,"&lt;"&amp;B3221),INDEX(R_Schedule_Amounts,MATCH(B3221,R_Schedule_Times,1)),Starting_Cash),IF(COUNTIFS(R_Schedule_Times,"&gt;"&amp;B3220,R_Schedule_Times,"&lt;"&amp;B3221),INDEX(R_Schedule_Amounts,MATCH(B3221,R_Schedule_Times,1)),K3220)),"")</f>
        <v>9800</v>
      </c>
      <c r="I3221" s="30">
        <f t="shared" si="250"/>
        <v>40</v>
      </c>
      <c r="J3221" s="31">
        <f t="shared" si="251"/>
        <v>0</v>
      </c>
      <c r="K3221" s="29">
        <f t="shared" si="252"/>
        <v>9760</v>
      </c>
      <c r="L3221" s="31" t="str">
        <f t="shared" si="253"/>
        <v/>
      </c>
      <c r="M3221" s="31" t="str">
        <f t="shared" si="254"/>
        <v/>
      </c>
    </row>
    <row r="3222" spans="1:13" x14ac:dyDescent="0.15">
      <c r="A3222" s="163" t="s">
        <v>210</v>
      </c>
      <c r="B3222" s="163">
        <v>42359.459504675928</v>
      </c>
      <c r="C3222" s="164" t="s">
        <v>14</v>
      </c>
      <c r="D3222" s="164" t="s">
        <v>13</v>
      </c>
      <c r="E3222" s="165">
        <v>100</v>
      </c>
      <c r="F3222" s="166">
        <v>3.5</v>
      </c>
      <c r="G3222" s="227">
        <f>IF($B$2,IF(ROWS(B$6:$B3222) = 1,$B3222-Start_Date,$B3222-$B3221),"")</f>
        <v>1.9837546300550457E-2</v>
      </c>
      <c r="H3222" s="29">
        <f>IF($B$2,IF(ROWS(B$6:$B3222) = 1,IF(COUNTIFS(R_Schedule_Times,"&lt;"&amp;B3222),INDEX(R_Schedule_Amounts,MATCH(B3222,R_Schedule_Times,1)),Starting_Cash),IF(COUNTIFS(R_Schedule_Times,"&gt;"&amp;B3221,R_Schedule_Times,"&lt;"&amp;B3222),INDEX(R_Schedule_Amounts,MATCH(B3222,R_Schedule_Times,1)),K3221)),"")</f>
        <v>9760</v>
      </c>
      <c r="I3222" s="30">
        <f t="shared" si="250"/>
        <v>100</v>
      </c>
      <c r="J3222" s="31">
        <f t="shared" si="251"/>
        <v>3.5</v>
      </c>
      <c r="K3222" s="29">
        <f t="shared" si="252"/>
        <v>9660</v>
      </c>
      <c r="L3222" s="31" t="str">
        <f t="shared" si="253"/>
        <v/>
      </c>
      <c r="M3222" s="31" t="str">
        <f t="shared" si="254"/>
        <v/>
      </c>
    </row>
    <row r="3223" spans="1:13" x14ac:dyDescent="0.15">
      <c r="A3223" s="163" t="s">
        <v>210</v>
      </c>
      <c r="B3223" s="163">
        <v>42359.470277905093</v>
      </c>
      <c r="C3223" s="164" t="s">
        <v>14</v>
      </c>
      <c r="D3223" s="164" t="s">
        <v>13</v>
      </c>
      <c r="E3223" s="165">
        <v>60</v>
      </c>
      <c r="F3223" s="166">
        <v>3.5</v>
      </c>
      <c r="G3223" s="227">
        <f>IF($B$2,IF(ROWS(B$6:$B3223) = 1,$B3223-Start_Date,$B3223-$B3222),"")</f>
        <v>1.077322916535195E-2</v>
      </c>
      <c r="H3223" s="29">
        <f>IF($B$2,IF(ROWS(B$6:$B3223) = 1,IF(COUNTIFS(R_Schedule_Times,"&lt;"&amp;B3223),INDEX(R_Schedule_Amounts,MATCH(B3223,R_Schedule_Times,1)),Starting_Cash),IF(COUNTIFS(R_Schedule_Times,"&gt;"&amp;B3222,R_Schedule_Times,"&lt;"&amp;B3223),INDEX(R_Schedule_Amounts,MATCH(B3223,R_Schedule_Times,1)),K3222)),"")</f>
        <v>9660</v>
      </c>
      <c r="I3223" s="30">
        <f t="shared" si="250"/>
        <v>60</v>
      </c>
      <c r="J3223" s="31">
        <f t="shared" si="251"/>
        <v>3.5</v>
      </c>
      <c r="K3223" s="29">
        <f t="shared" si="252"/>
        <v>9600</v>
      </c>
      <c r="L3223" s="31" t="str">
        <f t="shared" si="253"/>
        <v/>
      </c>
      <c r="M3223" s="31" t="str">
        <f t="shared" si="254"/>
        <v/>
      </c>
    </row>
    <row r="3224" spans="1:13" x14ac:dyDescent="0.15">
      <c r="A3224" s="163" t="s">
        <v>210</v>
      </c>
      <c r="B3224" s="163">
        <v>42359.477906307868</v>
      </c>
      <c r="C3224" s="164" t="s">
        <v>2622</v>
      </c>
      <c r="D3224" s="164" t="s">
        <v>13</v>
      </c>
      <c r="E3224" s="165">
        <v>40</v>
      </c>
      <c r="F3224" s="166">
        <v>0</v>
      </c>
      <c r="G3224" s="227">
        <f>IF($B$2,IF(ROWS(B$6:$B3224) = 1,$B3224-Start_Date,$B3224-$B3223),"")</f>
        <v>7.6284027745714411E-3</v>
      </c>
      <c r="H3224" s="29">
        <f>IF($B$2,IF(ROWS(B$6:$B3224) = 1,IF(COUNTIFS(R_Schedule_Times,"&lt;"&amp;B3224),INDEX(R_Schedule_Amounts,MATCH(B3224,R_Schedule_Times,1)),Starting_Cash),IF(COUNTIFS(R_Schedule_Times,"&gt;"&amp;B3223,R_Schedule_Times,"&lt;"&amp;B3224),INDEX(R_Schedule_Amounts,MATCH(B3224,R_Schedule_Times,1)),K3223)),"")</f>
        <v>9600</v>
      </c>
      <c r="I3224" s="30">
        <f t="shared" si="250"/>
        <v>40</v>
      </c>
      <c r="J3224" s="31">
        <f t="shared" si="251"/>
        <v>0</v>
      </c>
      <c r="K3224" s="29">
        <f t="shared" si="252"/>
        <v>9560</v>
      </c>
      <c r="L3224" s="31" t="str">
        <f t="shared" si="253"/>
        <v/>
      </c>
      <c r="M3224" s="31" t="str">
        <f t="shared" si="254"/>
        <v/>
      </c>
    </row>
    <row r="3225" spans="1:13" x14ac:dyDescent="0.15">
      <c r="A3225" s="163" t="s">
        <v>210</v>
      </c>
      <c r="B3225" s="163">
        <v>42359.481655625001</v>
      </c>
      <c r="C3225" s="164" t="s">
        <v>2623</v>
      </c>
      <c r="D3225" s="164" t="s">
        <v>13</v>
      </c>
      <c r="E3225" s="165">
        <v>480</v>
      </c>
      <c r="F3225" s="166">
        <v>0</v>
      </c>
      <c r="G3225" s="227">
        <f>IF($B$2,IF(ROWS(B$6:$B3225) = 1,$B3225-Start_Date,$B3225-$B3224),"")</f>
        <v>3.7493171330424957E-3</v>
      </c>
      <c r="H3225" s="29">
        <f>IF($B$2,IF(ROWS(B$6:$B3225) = 1,IF(COUNTIFS(R_Schedule_Times,"&lt;"&amp;B3225),INDEX(R_Schedule_Amounts,MATCH(B3225,R_Schedule_Times,1)),Starting_Cash),IF(COUNTIFS(R_Schedule_Times,"&gt;"&amp;B3224,R_Schedule_Times,"&lt;"&amp;B3225),INDEX(R_Schedule_Amounts,MATCH(B3225,R_Schedule_Times,1)),K3224)),"")</f>
        <v>9560</v>
      </c>
      <c r="I3225" s="30">
        <f t="shared" si="250"/>
        <v>480</v>
      </c>
      <c r="J3225" s="31">
        <f t="shared" si="251"/>
        <v>0</v>
      </c>
      <c r="K3225" s="29">
        <f t="shared" si="252"/>
        <v>9080</v>
      </c>
      <c r="L3225" s="31" t="str">
        <f t="shared" si="253"/>
        <v/>
      </c>
      <c r="M3225" s="31" t="str">
        <f t="shared" si="254"/>
        <v/>
      </c>
    </row>
    <row r="3226" spans="1:13" x14ac:dyDescent="0.15">
      <c r="A3226" s="163" t="s">
        <v>210</v>
      </c>
      <c r="B3226" s="163">
        <v>42359.485270567129</v>
      </c>
      <c r="C3226" s="164" t="s">
        <v>2624</v>
      </c>
      <c r="D3226" s="164" t="s">
        <v>13</v>
      </c>
      <c r="E3226" s="165">
        <v>40</v>
      </c>
      <c r="F3226" s="166">
        <v>0</v>
      </c>
      <c r="G3226" s="227">
        <f>IF($B$2,IF(ROWS(B$6:$B3226) = 1,$B3226-Start_Date,$B3226-$B3225),"")</f>
        <v>3.6149421284790151E-3</v>
      </c>
      <c r="H3226" s="29">
        <f>IF($B$2,IF(ROWS(B$6:$B3226) = 1,IF(COUNTIFS(R_Schedule_Times,"&lt;"&amp;B3226),INDEX(R_Schedule_Amounts,MATCH(B3226,R_Schedule_Times,1)),Starting_Cash),IF(COUNTIFS(R_Schedule_Times,"&gt;"&amp;B3225,R_Schedule_Times,"&lt;"&amp;B3226),INDEX(R_Schedule_Amounts,MATCH(B3226,R_Schedule_Times,1)),K3225)),"")</f>
        <v>9080</v>
      </c>
      <c r="I3226" s="30">
        <f t="shared" si="250"/>
        <v>40</v>
      </c>
      <c r="J3226" s="31">
        <f t="shared" si="251"/>
        <v>0</v>
      </c>
      <c r="K3226" s="29">
        <f t="shared" si="252"/>
        <v>9040</v>
      </c>
      <c r="L3226" s="31" t="str">
        <f t="shared" si="253"/>
        <v/>
      </c>
      <c r="M3226" s="31" t="str">
        <f t="shared" si="254"/>
        <v/>
      </c>
    </row>
    <row r="3227" spans="1:13" x14ac:dyDescent="0.15">
      <c r="A3227" s="163" t="s">
        <v>210</v>
      </c>
      <c r="B3227" s="163">
        <v>42359.485862488429</v>
      </c>
      <c r="C3227" s="164" t="s">
        <v>2625</v>
      </c>
      <c r="D3227" s="164" t="s">
        <v>13</v>
      </c>
      <c r="E3227" s="165">
        <v>100</v>
      </c>
      <c r="F3227" s="166">
        <v>0</v>
      </c>
      <c r="G3227" s="227">
        <f>IF($B$2,IF(ROWS(B$6:$B3227) = 1,$B3227-Start_Date,$B3227-$B3226),"")</f>
        <v>5.9192129992879927E-4</v>
      </c>
      <c r="H3227" s="29">
        <f>IF($B$2,IF(ROWS(B$6:$B3227) = 1,IF(COUNTIFS(R_Schedule_Times,"&lt;"&amp;B3227),INDEX(R_Schedule_Amounts,MATCH(B3227,R_Schedule_Times,1)),Starting_Cash),IF(COUNTIFS(R_Schedule_Times,"&gt;"&amp;B3226,R_Schedule_Times,"&lt;"&amp;B3227),INDEX(R_Schedule_Amounts,MATCH(B3227,R_Schedule_Times,1)),K3226)),"")</f>
        <v>9040</v>
      </c>
      <c r="I3227" s="30">
        <f t="shared" si="250"/>
        <v>100</v>
      </c>
      <c r="J3227" s="31">
        <f t="shared" si="251"/>
        <v>0</v>
      </c>
      <c r="K3227" s="29">
        <f t="shared" si="252"/>
        <v>8940</v>
      </c>
      <c r="L3227" s="31" t="str">
        <f t="shared" si="253"/>
        <v/>
      </c>
      <c r="M3227" s="31" t="str">
        <f t="shared" si="254"/>
        <v/>
      </c>
    </row>
    <row r="3228" spans="1:13" x14ac:dyDescent="0.15">
      <c r="A3228" s="163" t="s">
        <v>210</v>
      </c>
      <c r="B3228" s="163">
        <v>42359.486486215275</v>
      </c>
      <c r="C3228" s="164" t="s">
        <v>539</v>
      </c>
      <c r="D3228" s="164" t="s">
        <v>13</v>
      </c>
      <c r="E3228" s="165">
        <v>100</v>
      </c>
      <c r="F3228" s="166">
        <v>0</v>
      </c>
      <c r="G3228" s="227">
        <f>IF($B$2,IF(ROWS(B$6:$B3228) = 1,$B3228-Start_Date,$B3228-$B3227),"")</f>
        <v>6.2372684624278918E-4</v>
      </c>
      <c r="H3228" s="29">
        <f>IF($B$2,IF(ROWS(B$6:$B3228) = 1,IF(COUNTIFS(R_Schedule_Times,"&lt;"&amp;B3228),INDEX(R_Schedule_Amounts,MATCH(B3228,R_Schedule_Times,1)),Starting_Cash),IF(COUNTIFS(R_Schedule_Times,"&gt;"&amp;B3227,R_Schedule_Times,"&lt;"&amp;B3228),INDEX(R_Schedule_Amounts,MATCH(B3228,R_Schedule_Times,1)),K3227)),"")</f>
        <v>8940</v>
      </c>
      <c r="I3228" s="30">
        <f t="shared" si="250"/>
        <v>100</v>
      </c>
      <c r="J3228" s="31">
        <f t="shared" si="251"/>
        <v>0</v>
      </c>
      <c r="K3228" s="29">
        <f t="shared" si="252"/>
        <v>8840</v>
      </c>
      <c r="L3228" s="31" t="str">
        <f t="shared" si="253"/>
        <v/>
      </c>
      <c r="M3228" s="31" t="str">
        <f t="shared" si="254"/>
        <v/>
      </c>
    </row>
    <row r="3229" spans="1:13" x14ac:dyDescent="0.15">
      <c r="A3229" s="163" t="s">
        <v>210</v>
      </c>
      <c r="B3229" s="163">
        <v>42359.514488958332</v>
      </c>
      <c r="C3229" s="164" t="s">
        <v>540</v>
      </c>
      <c r="D3229" s="164" t="s">
        <v>13</v>
      </c>
      <c r="E3229" s="165">
        <v>80</v>
      </c>
      <c r="F3229" s="166">
        <v>0</v>
      </c>
      <c r="G3229" s="227">
        <f>IF($B$2,IF(ROWS(B$6:$B3229) = 1,$B3229-Start_Date,$B3229-$B3228),"")</f>
        <v>2.8002743056276813E-2</v>
      </c>
      <c r="H3229" s="29">
        <f>IF($B$2,IF(ROWS(B$6:$B3229) = 1,IF(COUNTIFS(R_Schedule_Times,"&lt;"&amp;B3229),INDEX(R_Schedule_Amounts,MATCH(B3229,R_Schedule_Times,1)),Starting_Cash),IF(COUNTIFS(R_Schedule_Times,"&gt;"&amp;B3228,R_Schedule_Times,"&lt;"&amp;B3229),INDEX(R_Schedule_Amounts,MATCH(B3229,R_Schedule_Times,1)),K3228)),"")</f>
        <v>8840</v>
      </c>
      <c r="I3229" s="30">
        <f t="shared" si="250"/>
        <v>80</v>
      </c>
      <c r="J3229" s="31">
        <f t="shared" si="251"/>
        <v>0</v>
      </c>
      <c r="K3229" s="29">
        <f t="shared" si="252"/>
        <v>8760</v>
      </c>
      <c r="L3229" s="31" t="str">
        <f t="shared" si="253"/>
        <v/>
      </c>
      <c r="M3229" s="31" t="str">
        <f t="shared" si="254"/>
        <v/>
      </c>
    </row>
    <row r="3230" spans="1:13" x14ac:dyDescent="0.15">
      <c r="A3230" s="163" t="s">
        <v>210</v>
      </c>
      <c r="B3230" s="163">
        <v>42359.516081527778</v>
      </c>
      <c r="C3230" s="164" t="s">
        <v>2626</v>
      </c>
      <c r="D3230" s="164" t="s">
        <v>13</v>
      </c>
      <c r="E3230" s="165">
        <v>60</v>
      </c>
      <c r="F3230" s="166">
        <v>0</v>
      </c>
      <c r="G3230" s="227">
        <f>IF($B$2,IF(ROWS(B$6:$B3230) = 1,$B3230-Start_Date,$B3230-$B3229),"")</f>
        <v>1.5925694460747764E-3</v>
      </c>
      <c r="H3230" s="29">
        <f>IF($B$2,IF(ROWS(B$6:$B3230) = 1,IF(COUNTIFS(R_Schedule_Times,"&lt;"&amp;B3230),INDEX(R_Schedule_Amounts,MATCH(B3230,R_Schedule_Times,1)),Starting_Cash),IF(COUNTIFS(R_Schedule_Times,"&gt;"&amp;B3229,R_Schedule_Times,"&lt;"&amp;B3230),INDEX(R_Schedule_Amounts,MATCH(B3230,R_Schedule_Times,1)),K3229)),"")</f>
        <v>8760</v>
      </c>
      <c r="I3230" s="30">
        <f t="shared" si="250"/>
        <v>60</v>
      </c>
      <c r="J3230" s="31">
        <f t="shared" si="251"/>
        <v>0</v>
      </c>
      <c r="K3230" s="29">
        <f t="shared" si="252"/>
        <v>8700</v>
      </c>
      <c r="L3230" s="31" t="str">
        <f t="shared" si="253"/>
        <v/>
      </c>
      <c r="M3230" s="31" t="str">
        <f t="shared" si="254"/>
        <v/>
      </c>
    </row>
    <row r="3231" spans="1:13" x14ac:dyDescent="0.15">
      <c r="A3231" s="163" t="s">
        <v>210</v>
      </c>
      <c r="B3231" s="163">
        <v>42359.518852210647</v>
      </c>
      <c r="C3231" s="164" t="s">
        <v>2192</v>
      </c>
      <c r="D3231" s="164" t="s">
        <v>13</v>
      </c>
      <c r="E3231" s="165">
        <v>500</v>
      </c>
      <c r="F3231" s="166">
        <v>0</v>
      </c>
      <c r="G3231" s="227">
        <f>IF($B$2,IF(ROWS(B$6:$B3231) = 1,$B3231-Start_Date,$B3231-$B3230),"")</f>
        <v>2.7706828695954755E-3</v>
      </c>
      <c r="H3231" s="29">
        <f>IF($B$2,IF(ROWS(B$6:$B3231) = 1,IF(COUNTIFS(R_Schedule_Times,"&lt;"&amp;B3231),INDEX(R_Schedule_Amounts,MATCH(B3231,R_Schedule_Times,1)),Starting_Cash),IF(COUNTIFS(R_Schedule_Times,"&gt;"&amp;B3230,R_Schedule_Times,"&lt;"&amp;B3231),INDEX(R_Schedule_Amounts,MATCH(B3231,R_Schedule_Times,1)),K3230)),"")</f>
        <v>8700</v>
      </c>
      <c r="I3231" s="30">
        <f t="shared" si="250"/>
        <v>500</v>
      </c>
      <c r="J3231" s="31">
        <f t="shared" si="251"/>
        <v>0</v>
      </c>
      <c r="K3231" s="29">
        <f t="shared" si="252"/>
        <v>8200</v>
      </c>
      <c r="L3231" s="31" t="str">
        <f t="shared" si="253"/>
        <v/>
      </c>
      <c r="M3231" s="31" t="str">
        <f t="shared" si="254"/>
        <v/>
      </c>
    </row>
    <row r="3232" spans="1:13" x14ac:dyDescent="0.15">
      <c r="A3232" s="163" t="s">
        <v>210</v>
      </c>
      <c r="B3232" s="163">
        <v>42359.524593125003</v>
      </c>
      <c r="C3232" s="164" t="s">
        <v>2627</v>
      </c>
      <c r="D3232" s="164" t="s">
        <v>13</v>
      </c>
      <c r="E3232" s="165">
        <v>100</v>
      </c>
      <c r="F3232" s="166">
        <v>0</v>
      </c>
      <c r="G3232" s="227">
        <f>IF($B$2,IF(ROWS(B$6:$B3232) = 1,$B3232-Start_Date,$B3232-$B3231),"")</f>
        <v>5.7409143555560149E-3</v>
      </c>
      <c r="H3232" s="29">
        <f>IF($B$2,IF(ROWS(B$6:$B3232) = 1,IF(COUNTIFS(R_Schedule_Times,"&lt;"&amp;B3232),INDEX(R_Schedule_Amounts,MATCH(B3232,R_Schedule_Times,1)),Starting_Cash),IF(COUNTIFS(R_Schedule_Times,"&gt;"&amp;B3231,R_Schedule_Times,"&lt;"&amp;B3232),INDEX(R_Schedule_Amounts,MATCH(B3232,R_Schedule_Times,1)),K3231)),"")</f>
        <v>8200</v>
      </c>
      <c r="I3232" s="30">
        <f t="shared" si="250"/>
        <v>100</v>
      </c>
      <c r="J3232" s="31">
        <f t="shared" si="251"/>
        <v>0</v>
      </c>
      <c r="K3232" s="29">
        <f t="shared" si="252"/>
        <v>8100</v>
      </c>
      <c r="L3232" s="31" t="str">
        <f t="shared" si="253"/>
        <v/>
      </c>
      <c r="M3232" s="31" t="str">
        <f t="shared" si="254"/>
        <v/>
      </c>
    </row>
    <row r="3233" spans="1:13" x14ac:dyDescent="0.15">
      <c r="A3233" s="163" t="s">
        <v>210</v>
      </c>
      <c r="B3233" s="163">
        <v>42359.525133495372</v>
      </c>
      <c r="C3233" s="164" t="s">
        <v>541</v>
      </c>
      <c r="D3233" s="164" t="s">
        <v>13</v>
      </c>
      <c r="E3233" s="165">
        <v>60</v>
      </c>
      <c r="F3233" s="166">
        <v>0</v>
      </c>
      <c r="G3233" s="227">
        <f>IF($B$2,IF(ROWS(B$6:$B3233) = 1,$B3233-Start_Date,$B3233-$B3232),"")</f>
        <v>5.403703689808026E-4</v>
      </c>
      <c r="H3233" s="29">
        <f>IF($B$2,IF(ROWS(B$6:$B3233) = 1,IF(COUNTIFS(R_Schedule_Times,"&lt;"&amp;B3233),INDEX(R_Schedule_Amounts,MATCH(B3233,R_Schedule_Times,1)),Starting_Cash),IF(COUNTIFS(R_Schedule_Times,"&gt;"&amp;B3232,R_Schedule_Times,"&lt;"&amp;B3233),INDEX(R_Schedule_Amounts,MATCH(B3233,R_Schedule_Times,1)),K3232)),"")</f>
        <v>8100</v>
      </c>
      <c r="I3233" s="30">
        <f t="shared" si="250"/>
        <v>60</v>
      </c>
      <c r="J3233" s="31">
        <f t="shared" si="251"/>
        <v>0</v>
      </c>
      <c r="K3233" s="29">
        <f t="shared" si="252"/>
        <v>8040</v>
      </c>
      <c r="L3233" s="31" t="str">
        <f t="shared" si="253"/>
        <v/>
      </c>
      <c r="M3233" s="31" t="str">
        <f t="shared" si="254"/>
        <v/>
      </c>
    </row>
    <row r="3234" spans="1:13" x14ac:dyDescent="0.15">
      <c r="A3234" s="163" t="s">
        <v>210</v>
      </c>
      <c r="B3234" s="163">
        <v>42359.53915109954</v>
      </c>
      <c r="C3234" s="164" t="s">
        <v>2628</v>
      </c>
      <c r="D3234" s="164" t="s">
        <v>13</v>
      </c>
      <c r="E3234" s="165">
        <v>100</v>
      </c>
      <c r="F3234" s="166">
        <v>0</v>
      </c>
      <c r="G3234" s="227">
        <f>IF($B$2,IF(ROWS(B$6:$B3234) = 1,$B3234-Start_Date,$B3234-$B3233),"")</f>
        <v>1.4017604167747777E-2</v>
      </c>
      <c r="H3234" s="29">
        <f>IF($B$2,IF(ROWS(B$6:$B3234) = 1,IF(COUNTIFS(R_Schedule_Times,"&lt;"&amp;B3234),INDEX(R_Schedule_Amounts,MATCH(B3234,R_Schedule_Times,1)),Starting_Cash),IF(COUNTIFS(R_Schedule_Times,"&gt;"&amp;B3233,R_Schedule_Times,"&lt;"&amp;B3234),INDEX(R_Schedule_Amounts,MATCH(B3234,R_Schedule_Times,1)),K3233)),"")</f>
        <v>8040</v>
      </c>
      <c r="I3234" s="30">
        <f t="shared" si="250"/>
        <v>100</v>
      </c>
      <c r="J3234" s="31">
        <f t="shared" si="251"/>
        <v>0</v>
      </c>
      <c r="K3234" s="29">
        <f t="shared" si="252"/>
        <v>7940</v>
      </c>
      <c r="L3234" s="31" t="str">
        <f t="shared" si="253"/>
        <v/>
      </c>
      <c r="M3234" s="31" t="str">
        <f t="shared" si="254"/>
        <v/>
      </c>
    </row>
    <row r="3235" spans="1:13" x14ac:dyDescent="0.15">
      <c r="A3235" s="163" t="s">
        <v>210</v>
      </c>
      <c r="B3235" s="163">
        <v>42359.539896331022</v>
      </c>
      <c r="C3235" s="164" t="s">
        <v>2629</v>
      </c>
      <c r="D3235" s="164" t="s">
        <v>13</v>
      </c>
      <c r="E3235" s="165">
        <v>60</v>
      </c>
      <c r="F3235" s="166">
        <v>0</v>
      </c>
      <c r="G3235" s="227">
        <f>IF($B$2,IF(ROWS(B$6:$B3235) = 1,$B3235-Start_Date,$B3235-$B3234),"")</f>
        <v>7.4523148214211687E-4</v>
      </c>
      <c r="H3235" s="29">
        <f>IF($B$2,IF(ROWS(B$6:$B3235) = 1,IF(COUNTIFS(R_Schedule_Times,"&lt;"&amp;B3235),INDEX(R_Schedule_Amounts,MATCH(B3235,R_Schedule_Times,1)),Starting_Cash),IF(COUNTIFS(R_Schedule_Times,"&gt;"&amp;B3234,R_Schedule_Times,"&lt;"&amp;B3235),INDEX(R_Schedule_Amounts,MATCH(B3235,R_Schedule_Times,1)),K3234)),"")</f>
        <v>7940</v>
      </c>
      <c r="I3235" s="30">
        <f t="shared" si="250"/>
        <v>60</v>
      </c>
      <c r="J3235" s="31">
        <f t="shared" si="251"/>
        <v>0</v>
      </c>
      <c r="K3235" s="29">
        <f t="shared" si="252"/>
        <v>7880</v>
      </c>
      <c r="L3235" s="31" t="str">
        <f t="shared" si="253"/>
        <v/>
      </c>
      <c r="M3235" s="31" t="str">
        <f t="shared" si="254"/>
        <v/>
      </c>
    </row>
    <row r="3236" spans="1:13" x14ac:dyDescent="0.15">
      <c r="A3236" s="163" t="s">
        <v>210</v>
      </c>
      <c r="B3236" s="163">
        <v>42359.547056516203</v>
      </c>
      <c r="C3236" s="164" t="s">
        <v>2630</v>
      </c>
      <c r="D3236" s="164" t="s">
        <v>13</v>
      </c>
      <c r="E3236" s="165">
        <v>60</v>
      </c>
      <c r="F3236" s="166">
        <v>0</v>
      </c>
      <c r="G3236" s="227">
        <f>IF($B$2,IF(ROWS(B$6:$B3236) = 1,$B3236-Start_Date,$B3236-$B3235),"")</f>
        <v>7.1601851814193651E-3</v>
      </c>
      <c r="H3236" s="29">
        <f>IF($B$2,IF(ROWS(B$6:$B3236) = 1,IF(COUNTIFS(R_Schedule_Times,"&lt;"&amp;B3236),INDEX(R_Schedule_Amounts,MATCH(B3236,R_Schedule_Times,1)),Starting_Cash),IF(COUNTIFS(R_Schedule_Times,"&gt;"&amp;B3235,R_Schedule_Times,"&lt;"&amp;B3236),INDEX(R_Schedule_Amounts,MATCH(B3236,R_Schedule_Times,1)),K3235)),"")</f>
        <v>7880</v>
      </c>
      <c r="I3236" s="30">
        <f t="shared" si="250"/>
        <v>60</v>
      </c>
      <c r="J3236" s="31">
        <f t="shared" si="251"/>
        <v>0</v>
      </c>
      <c r="K3236" s="29">
        <f t="shared" si="252"/>
        <v>7820</v>
      </c>
      <c r="L3236" s="31" t="str">
        <f t="shared" si="253"/>
        <v/>
      </c>
      <c r="M3236" s="31" t="str">
        <f t="shared" si="254"/>
        <v/>
      </c>
    </row>
    <row r="3237" spans="1:13" x14ac:dyDescent="0.15">
      <c r="A3237" s="163" t="s">
        <v>210</v>
      </c>
      <c r="B3237" s="163">
        <v>42359.568740185183</v>
      </c>
      <c r="C3237" s="164" t="s">
        <v>2631</v>
      </c>
      <c r="D3237" s="164" t="s">
        <v>13</v>
      </c>
      <c r="E3237" s="165">
        <v>40</v>
      </c>
      <c r="F3237" s="166">
        <v>0</v>
      </c>
      <c r="G3237" s="227">
        <f>IF($B$2,IF(ROWS(B$6:$B3237) = 1,$B3237-Start_Date,$B3237-$B3236),"")</f>
        <v>2.168366897967644E-2</v>
      </c>
      <c r="H3237" s="29">
        <f>IF($B$2,IF(ROWS(B$6:$B3237) = 1,IF(COUNTIFS(R_Schedule_Times,"&lt;"&amp;B3237),INDEX(R_Schedule_Amounts,MATCH(B3237,R_Schedule_Times,1)),Starting_Cash),IF(COUNTIFS(R_Schedule_Times,"&gt;"&amp;B3236,R_Schedule_Times,"&lt;"&amp;B3237),INDEX(R_Schedule_Amounts,MATCH(B3237,R_Schedule_Times,1)),K3236)),"")</f>
        <v>7820</v>
      </c>
      <c r="I3237" s="30">
        <f t="shared" si="250"/>
        <v>40</v>
      </c>
      <c r="J3237" s="31">
        <f t="shared" si="251"/>
        <v>0</v>
      </c>
      <c r="K3237" s="29">
        <f t="shared" si="252"/>
        <v>7780</v>
      </c>
      <c r="L3237" s="31" t="str">
        <f t="shared" si="253"/>
        <v/>
      </c>
      <c r="M3237" s="31" t="str">
        <f t="shared" si="254"/>
        <v/>
      </c>
    </row>
    <row r="3238" spans="1:13" x14ac:dyDescent="0.15">
      <c r="A3238" s="163" t="s">
        <v>210</v>
      </c>
      <c r="B3238" s="163">
        <v>42359.584447581015</v>
      </c>
      <c r="C3238" s="164" t="s">
        <v>2632</v>
      </c>
      <c r="D3238" s="164" t="s">
        <v>13</v>
      </c>
      <c r="E3238" s="165">
        <v>200</v>
      </c>
      <c r="F3238" s="166">
        <v>0</v>
      </c>
      <c r="G3238" s="227">
        <f>IF($B$2,IF(ROWS(B$6:$B3238) = 1,$B3238-Start_Date,$B3238-$B3237),"")</f>
        <v>1.5707395832578186E-2</v>
      </c>
      <c r="H3238" s="29">
        <f>IF($B$2,IF(ROWS(B$6:$B3238) = 1,IF(COUNTIFS(R_Schedule_Times,"&lt;"&amp;B3238),INDEX(R_Schedule_Amounts,MATCH(B3238,R_Schedule_Times,1)),Starting_Cash),IF(COUNTIFS(R_Schedule_Times,"&gt;"&amp;B3237,R_Schedule_Times,"&lt;"&amp;B3238),INDEX(R_Schedule_Amounts,MATCH(B3238,R_Schedule_Times,1)),K3237)),"")</f>
        <v>7780</v>
      </c>
      <c r="I3238" s="30">
        <f t="shared" si="250"/>
        <v>200</v>
      </c>
      <c r="J3238" s="31">
        <f t="shared" si="251"/>
        <v>0</v>
      </c>
      <c r="K3238" s="29">
        <f t="shared" si="252"/>
        <v>7580</v>
      </c>
      <c r="L3238" s="31" t="str">
        <f t="shared" si="253"/>
        <v/>
      </c>
      <c r="M3238" s="31" t="str">
        <f t="shared" si="254"/>
        <v/>
      </c>
    </row>
    <row r="3239" spans="1:13" x14ac:dyDescent="0.15">
      <c r="A3239" s="163" t="s">
        <v>210</v>
      </c>
      <c r="B3239" s="163">
        <v>42359.625184722223</v>
      </c>
      <c r="C3239" s="164" t="s">
        <v>2633</v>
      </c>
      <c r="D3239" s="164" t="s">
        <v>13</v>
      </c>
      <c r="E3239" s="165">
        <v>100</v>
      </c>
      <c r="F3239" s="166">
        <v>0</v>
      </c>
      <c r="G3239" s="227">
        <f>IF($B$2,IF(ROWS(B$6:$B3239) = 1,$B3239-Start_Date,$B3239-$B3238),"")</f>
        <v>4.0737141207500827E-2</v>
      </c>
      <c r="H3239" s="29">
        <f>IF($B$2,IF(ROWS(B$6:$B3239) = 1,IF(COUNTIFS(R_Schedule_Times,"&lt;"&amp;B3239),INDEX(R_Schedule_Amounts,MATCH(B3239,R_Schedule_Times,1)),Starting_Cash),IF(COUNTIFS(R_Schedule_Times,"&gt;"&amp;B3238,R_Schedule_Times,"&lt;"&amp;B3239),INDEX(R_Schedule_Amounts,MATCH(B3239,R_Schedule_Times,1)),K3238)),"")</f>
        <v>7580</v>
      </c>
      <c r="I3239" s="30">
        <f t="shared" si="250"/>
        <v>100</v>
      </c>
      <c r="J3239" s="31">
        <f t="shared" si="251"/>
        <v>0</v>
      </c>
      <c r="K3239" s="29">
        <f t="shared" si="252"/>
        <v>7480</v>
      </c>
      <c r="L3239" s="31" t="str">
        <f t="shared" si="253"/>
        <v/>
      </c>
      <c r="M3239" s="31" t="str">
        <f t="shared" si="254"/>
        <v/>
      </c>
    </row>
    <row r="3240" spans="1:13" x14ac:dyDescent="0.15">
      <c r="A3240" s="163" t="s">
        <v>210</v>
      </c>
      <c r="B3240" s="163">
        <v>42359.639997175924</v>
      </c>
      <c r="C3240" s="164" t="s">
        <v>2634</v>
      </c>
      <c r="D3240" s="164" t="s">
        <v>13</v>
      </c>
      <c r="E3240" s="165">
        <v>60</v>
      </c>
      <c r="F3240" s="166">
        <v>0</v>
      </c>
      <c r="G3240" s="227">
        <f>IF($B$2,IF(ROWS(B$6:$B3240) = 1,$B3240-Start_Date,$B3240-$B3239),"")</f>
        <v>1.481245370086981E-2</v>
      </c>
      <c r="H3240" s="29">
        <f>IF($B$2,IF(ROWS(B$6:$B3240) = 1,IF(COUNTIFS(R_Schedule_Times,"&lt;"&amp;B3240),INDEX(R_Schedule_Amounts,MATCH(B3240,R_Schedule_Times,1)),Starting_Cash),IF(COUNTIFS(R_Schedule_Times,"&gt;"&amp;B3239,R_Schedule_Times,"&lt;"&amp;B3240),INDEX(R_Schedule_Amounts,MATCH(B3240,R_Schedule_Times,1)),K3239)),"")</f>
        <v>7480</v>
      </c>
      <c r="I3240" s="30">
        <f t="shared" si="250"/>
        <v>60</v>
      </c>
      <c r="J3240" s="31">
        <f t="shared" si="251"/>
        <v>0</v>
      </c>
      <c r="K3240" s="29">
        <f t="shared" si="252"/>
        <v>7420</v>
      </c>
      <c r="L3240" s="31" t="str">
        <f t="shared" si="253"/>
        <v/>
      </c>
      <c r="M3240" s="31" t="str">
        <f t="shared" si="254"/>
        <v/>
      </c>
    </row>
    <row r="3241" spans="1:13" x14ac:dyDescent="0.15">
      <c r="A3241" s="163" t="s">
        <v>210</v>
      </c>
      <c r="B3241" s="163">
        <v>42359.64913140046</v>
      </c>
      <c r="C3241" s="164" t="s">
        <v>2012</v>
      </c>
      <c r="D3241" s="164" t="s">
        <v>13</v>
      </c>
      <c r="E3241" s="165">
        <v>20</v>
      </c>
      <c r="F3241" s="166">
        <v>0</v>
      </c>
      <c r="G3241" s="227">
        <f>IF($B$2,IF(ROWS(B$6:$B3241) = 1,$B3241-Start_Date,$B3241-$B3240),"")</f>
        <v>9.1342245359555818E-3</v>
      </c>
      <c r="H3241" s="29">
        <f>IF($B$2,IF(ROWS(B$6:$B3241) = 1,IF(COUNTIFS(R_Schedule_Times,"&lt;"&amp;B3241),INDEX(R_Schedule_Amounts,MATCH(B3241,R_Schedule_Times,1)),Starting_Cash),IF(COUNTIFS(R_Schedule_Times,"&gt;"&amp;B3240,R_Schedule_Times,"&lt;"&amp;B3241),INDEX(R_Schedule_Amounts,MATCH(B3241,R_Schedule_Times,1)),K3240)),"")</f>
        <v>7420</v>
      </c>
      <c r="I3241" s="30">
        <f t="shared" si="250"/>
        <v>20</v>
      </c>
      <c r="J3241" s="31">
        <f t="shared" si="251"/>
        <v>0</v>
      </c>
      <c r="K3241" s="29">
        <f t="shared" si="252"/>
        <v>7400</v>
      </c>
      <c r="L3241" s="31" t="str">
        <f t="shared" si="253"/>
        <v/>
      </c>
      <c r="M3241" s="31" t="str">
        <f t="shared" si="254"/>
        <v/>
      </c>
    </row>
    <row r="3242" spans="1:13" x14ac:dyDescent="0.15">
      <c r="A3242" s="163" t="s">
        <v>210</v>
      </c>
      <c r="B3242" s="163">
        <v>42359.666880821758</v>
      </c>
      <c r="C3242" s="164" t="s">
        <v>2110</v>
      </c>
      <c r="D3242" s="164" t="s">
        <v>13</v>
      </c>
      <c r="E3242" s="165">
        <v>40</v>
      </c>
      <c r="F3242" s="166">
        <v>0</v>
      </c>
      <c r="G3242" s="227">
        <f>IF($B$2,IF(ROWS(B$6:$B3242) = 1,$B3242-Start_Date,$B3242-$B3241),"")</f>
        <v>1.7749421298503876E-2</v>
      </c>
      <c r="H3242" s="29">
        <f>IF($B$2,IF(ROWS(B$6:$B3242) = 1,IF(COUNTIFS(R_Schedule_Times,"&lt;"&amp;B3242),INDEX(R_Schedule_Amounts,MATCH(B3242,R_Schedule_Times,1)),Starting_Cash),IF(COUNTIFS(R_Schedule_Times,"&gt;"&amp;B3241,R_Schedule_Times,"&lt;"&amp;B3242),INDEX(R_Schedule_Amounts,MATCH(B3242,R_Schedule_Times,1)),K3241)),"")</f>
        <v>7400</v>
      </c>
      <c r="I3242" s="30">
        <f t="shared" si="250"/>
        <v>40</v>
      </c>
      <c r="J3242" s="31">
        <f t="shared" si="251"/>
        <v>0</v>
      </c>
      <c r="K3242" s="29">
        <f t="shared" si="252"/>
        <v>7360</v>
      </c>
      <c r="L3242" s="31" t="str">
        <f t="shared" si="253"/>
        <v/>
      </c>
      <c r="M3242" s="31" t="str">
        <f t="shared" si="254"/>
        <v/>
      </c>
    </row>
    <row r="3243" spans="1:13" x14ac:dyDescent="0.15">
      <c r="A3243" s="163" t="s">
        <v>210</v>
      </c>
      <c r="B3243" s="163">
        <v>42359.679253981485</v>
      </c>
      <c r="C3243" s="164" t="s">
        <v>2635</v>
      </c>
      <c r="D3243" s="164" t="s">
        <v>13</v>
      </c>
      <c r="E3243" s="165">
        <v>100</v>
      </c>
      <c r="F3243" s="166">
        <v>0</v>
      </c>
      <c r="G3243" s="227">
        <f>IF($B$2,IF(ROWS(B$6:$B3243) = 1,$B3243-Start_Date,$B3243-$B3242),"")</f>
        <v>1.2373159726848826E-2</v>
      </c>
      <c r="H3243" s="29">
        <f>IF($B$2,IF(ROWS(B$6:$B3243) = 1,IF(COUNTIFS(R_Schedule_Times,"&lt;"&amp;B3243),INDEX(R_Schedule_Amounts,MATCH(B3243,R_Schedule_Times,1)),Starting_Cash),IF(COUNTIFS(R_Schedule_Times,"&gt;"&amp;B3242,R_Schedule_Times,"&lt;"&amp;B3243),INDEX(R_Schedule_Amounts,MATCH(B3243,R_Schedule_Times,1)),K3242)),"")</f>
        <v>7360</v>
      </c>
      <c r="I3243" s="30">
        <f t="shared" si="250"/>
        <v>100</v>
      </c>
      <c r="J3243" s="31">
        <f t="shared" si="251"/>
        <v>0</v>
      </c>
      <c r="K3243" s="29">
        <f t="shared" si="252"/>
        <v>7260</v>
      </c>
      <c r="L3243" s="31" t="str">
        <f t="shared" si="253"/>
        <v/>
      </c>
      <c r="M3243" s="31" t="str">
        <f t="shared" si="254"/>
        <v/>
      </c>
    </row>
    <row r="3244" spans="1:13" x14ac:dyDescent="0.15">
      <c r="A3244" s="163" t="s">
        <v>210</v>
      </c>
      <c r="B3244" s="163">
        <v>42359.685097280089</v>
      </c>
      <c r="C3244" s="164" t="s">
        <v>2636</v>
      </c>
      <c r="D3244" s="164" t="s">
        <v>13</v>
      </c>
      <c r="E3244" s="165">
        <v>60</v>
      </c>
      <c r="F3244" s="166">
        <v>0</v>
      </c>
      <c r="G3244" s="227">
        <f>IF($B$2,IF(ROWS(B$6:$B3244) = 1,$B3244-Start_Date,$B3244-$B3243),"")</f>
        <v>5.8432986043044366E-3</v>
      </c>
      <c r="H3244" s="29">
        <f>IF($B$2,IF(ROWS(B$6:$B3244) = 1,IF(COUNTIFS(R_Schedule_Times,"&lt;"&amp;B3244),INDEX(R_Schedule_Amounts,MATCH(B3244,R_Schedule_Times,1)),Starting_Cash),IF(COUNTIFS(R_Schedule_Times,"&gt;"&amp;B3243,R_Schedule_Times,"&lt;"&amp;B3244),INDEX(R_Schedule_Amounts,MATCH(B3244,R_Schedule_Times,1)),K3243)),"")</f>
        <v>7260</v>
      </c>
      <c r="I3244" s="30">
        <f t="shared" si="250"/>
        <v>60</v>
      </c>
      <c r="J3244" s="31">
        <f t="shared" si="251"/>
        <v>0</v>
      </c>
      <c r="K3244" s="29">
        <f t="shared" si="252"/>
        <v>7200</v>
      </c>
      <c r="L3244" s="31" t="str">
        <f t="shared" si="253"/>
        <v/>
      </c>
      <c r="M3244" s="31" t="str">
        <f t="shared" si="254"/>
        <v/>
      </c>
    </row>
    <row r="3245" spans="1:13" x14ac:dyDescent="0.15">
      <c r="A3245" s="163" t="s">
        <v>210</v>
      </c>
      <c r="B3245" s="163">
        <v>42359.700552210648</v>
      </c>
      <c r="C3245" s="164" t="s">
        <v>1285</v>
      </c>
      <c r="D3245" s="164" t="s">
        <v>13</v>
      </c>
      <c r="E3245" s="165">
        <v>160</v>
      </c>
      <c r="F3245" s="166">
        <v>0</v>
      </c>
      <c r="G3245" s="227">
        <f>IF($B$2,IF(ROWS(B$6:$B3245) = 1,$B3245-Start_Date,$B3245-$B3244),"")</f>
        <v>1.5454930558917113E-2</v>
      </c>
      <c r="H3245" s="29">
        <f>IF($B$2,IF(ROWS(B$6:$B3245) = 1,IF(COUNTIFS(R_Schedule_Times,"&lt;"&amp;B3245),INDEX(R_Schedule_Amounts,MATCH(B3245,R_Schedule_Times,1)),Starting_Cash),IF(COUNTIFS(R_Schedule_Times,"&gt;"&amp;B3244,R_Schedule_Times,"&lt;"&amp;B3245),INDEX(R_Schedule_Amounts,MATCH(B3245,R_Schedule_Times,1)),K3244)),"")</f>
        <v>7200</v>
      </c>
      <c r="I3245" s="30">
        <f t="shared" si="250"/>
        <v>160</v>
      </c>
      <c r="J3245" s="31">
        <f t="shared" si="251"/>
        <v>0</v>
      </c>
      <c r="K3245" s="29">
        <f t="shared" si="252"/>
        <v>7040</v>
      </c>
      <c r="L3245" s="31" t="str">
        <f t="shared" si="253"/>
        <v/>
      </c>
      <c r="M3245" s="31" t="str">
        <f t="shared" si="254"/>
        <v/>
      </c>
    </row>
    <row r="3246" spans="1:13" x14ac:dyDescent="0.15">
      <c r="A3246" s="163" t="s">
        <v>210</v>
      </c>
      <c r="B3246" s="163">
        <v>42359.741864722222</v>
      </c>
      <c r="C3246" s="164" t="s">
        <v>14</v>
      </c>
      <c r="D3246" s="164" t="s">
        <v>13</v>
      </c>
      <c r="E3246" s="165">
        <v>100</v>
      </c>
      <c r="F3246" s="166">
        <v>3.5</v>
      </c>
      <c r="G3246" s="227">
        <f>IF($B$2,IF(ROWS(B$6:$B3246) = 1,$B3246-Start_Date,$B3246-$B3245),"")</f>
        <v>4.1312511573778465E-2</v>
      </c>
      <c r="H3246" s="29">
        <f>IF($B$2,IF(ROWS(B$6:$B3246) = 1,IF(COUNTIFS(R_Schedule_Times,"&lt;"&amp;B3246),INDEX(R_Schedule_Amounts,MATCH(B3246,R_Schedule_Times,1)),Starting_Cash),IF(COUNTIFS(R_Schedule_Times,"&gt;"&amp;B3245,R_Schedule_Times,"&lt;"&amp;B3246),INDEX(R_Schedule_Amounts,MATCH(B3246,R_Schedule_Times,1)),K3245)),"")</f>
        <v>7040</v>
      </c>
      <c r="I3246" s="30">
        <f t="shared" si="250"/>
        <v>100</v>
      </c>
      <c r="J3246" s="31">
        <f t="shared" si="251"/>
        <v>3.5</v>
      </c>
      <c r="K3246" s="29">
        <f t="shared" si="252"/>
        <v>6940</v>
      </c>
      <c r="L3246" s="31" t="str">
        <f t="shared" si="253"/>
        <v/>
      </c>
      <c r="M3246" s="31" t="str">
        <f t="shared" si="254"/>
        <v/>
      </c>
    </row>
    <row r="3247" spans="1:13" x14ac:dyDescent="0.15">
      <c r="A3247" s="163" t="s">
        <v>210</v>
      </c>
      <c r="B3247" s="163">
        <v>42359.754233182874</v>
      </c>
      <c r="C3247" s="164" t="s">
        <v>14</v>
      </c>
      <c r="D3247" s="164" t="s">
        <v>13</v>
      </c>
      <c r="E3247" s="165">
        <v>200</v>
      </c>
      <c r="F3247" s="166">
        <v>3.5</v>
      </c>
      <c r="G3247" s="227">
        <f>IF($B$2,IF(ROWS(B$6:$B3247) = 1,$B3247-Start_Date,$B3247-$B3246),"")</f>
        <v>1.2368460651487112E-2</v>
      </c>
      <c r="H3247" s="29">
        <f>IF($B$2,IF(ROWS(B$6:$B3247) = 1,IF(COUNTIFS(R_Schedule_Times,"&lt;"&amp;B3247),INDEX(R_Schedule_Amounts,MATCH(B3247,R_Schedule_Times,1)),Starting_Cash),IF(COUNTIFS(R_Schedule_Times,"&gt;"&amp;B3246,R_Schedule_Times,"&lt;"&amp;B3247),INDEX(R_Schedule_Amounts,MATCH(B3247,R_Schedule_Times,1)),K3246)),"")</f>
        <v>6940</v>
      </c>
      <c r="I3247" s="30">
        <f t="shared" si="250"/>
        <v>200</v>
      </c>
      <c r="J3247" s="31">
        <f t="shared" si="251"/>
        <v>3.5</v>
      </c>
      <c r="K3247" s="29">
        <f t="shared" si="252"/>
        <v>6740</v>
      </c>
      <c r="L3247" s="31" t="str">
        <f t="shared" si="253"/>
        <v/>
      </c>
      <c r="M3247" s="31" t="str">
        <f t="shared" si="254"/>
        <v/>
      </c>
    </row>
    <row r="3248" spans="1:13" x14ac:dyDescent="0.15">
      <c r="A3248" s="163" t="s">
        <v>210</v>
      </c>
      <c r="B3248" s="163">
        <v>42359.763417939816</v>
      </c>
      <c r="C3248" s="164" t="s">
        <v>2637</v>
      </c>
      <c r="D3248" s="164" t="s">
        <v>13</v>
      </c>
      <c r="E3248" s="165">
        <v>40</v>
      </c>
      <c r="F3248" s="166">
        <v>0</v>
      </c>
      <c r="G3248" s="227">
        <f>IF($B$2,IF(ROWS(B$6:$B3248) = 1,$B3248-Start_Date,$B3248-$B3247),"")</f>
        <v>9.184756941976957E-3</v>
      </c>
      <c r="H3248" s="29">
        <f>IF($B$2,IF(ROWS(B$6:$B3248) = 1,IF(COUNTIFS(R_Schedule_Times,"&lt;"&amp;B3248),INDEX(R_Schedule_Amounts,MATCH(B3248,R_Schedule_Times,1)),Starting_Cash),IF(COUNTIFS(R_Schedule_Times,"&gt;"&amp;B3247,R_Schedule_Times,"&lt;"&amp;B3248),INDEX(R_Schedule_Amounts,MATCH(B3248,R_Schedule_Times,1)),K3247)),"")</f>
        <v>6740</v>
      </c>
      <c r="I3248" s="30">
        <f t="shared" si="250"/>
        <v>40</v>
      </c>
      <c r="J3248" s="31">
        <f t="shared" si="251"/>
        <v>0</v>
      </c>
      <c r="K3248" s="29">
        <f t="shared" si="252"/>
        <v>6700</v>
      </c>
      <c r="L3248" s="31" t="str">
        <f t="shared" si="253"/>
        <v/>
      </c>
      <c r="M3248" s="31" t="str">
        <f t="shared" si="254"/>
        <v/>
      </c>
    </row>
    <row r="3249" spans="1:13" x14ac:dyDescent="0.15">
      <c r="A3249" s="163" t="s">
        <v>210</v>
      </c>
      <c r="B3249" s="163">
        <v>42359.779584097225</v>
      </c>
      <c r="C3249" s="164" t="s">
        <v>799</v>
      </c>
      <c r="D3249" s="164" t="s">
        <v>13</v>
      </c>
      <c r="E3249" s="165">
        <v>100</v>
      </c>
      <c r="F3249" s="166">
        <v>0</v>
      </c>
      <c r="G3249" s="227">
        <f>IF($B$2,IF(ROWS(B$6:$B3249) = 1,$B3249-Start_Date,$B3249-$B3248),"")</f>
        <v>1.6166157409315929E-2</v>
      </c>
      <c r="H3249" s="29">
        <f>IF($B$2,IF(ROWS(B$6:$B3249) = 1,IF(COUNTIFS(R_Schedule_Times,"&lt;"&amp;B3249),INDEX(R_Schedule_Amounts,MATCH(B3249,R_Schedule_Times,1)),Starting_Cash),IF(COUNTIFS(R_Schedule_Times,"&gt;"&amp;B3248,R_Schedule_Times,"&lt;"&amp;B3249),INDEX(R_Schedule_Amounts,MATCH(B3249,R_Schedule_Times,1)),K3248)),"")</f>
        <v>6700</v>
      </c>
      <c r="I3249" s="30">
        <f t="shared" si="250"/>
        <v>100</v>
      </c>
      <c r="J3249" s="31">
        <f t="shared" si="251"/>
        <v>0</v>
      </c>
      <c r="K3249" s="29">
        <f t="shared" si="252"/>
        <v>6600</v>
      </c>
      <c r="L3249" s="31" t="str">
        <f t="shared" si="253"/>
        <v/>
      </c>
      <c r="M3249" s="31" t="str">
        <f t="shared" si="254"/>
        <v/>
      </c>
    </row>
    <row r="3250" spans="1:13" x14ac:dyDescent="0.15">
      <c r="A3250" s="163" t="s">
        <v>210</v>
      </c>
      <c r="B3250" s="163">
        <v>42360.21396818287</v>
      </c>
      <c r="C3250" s="164" t="s">
        <v>2638</v>
      </c>
      <c r="D3250" s="164" t="s">
        <v>15</v>
      </c>
      <c r="E3250" s="165">
        <v>40</v>
      </c>
      <c r="F3250" s="166">
        <v>1.2</v>
      </c>
      <c r="G3250" s="227">
        <f>IF($B$2,IF(ROWS(B$6:$B3250) = 1,$B3250-Start_Date,$B3250-$B3249),"")</f>
        <v>0.43438408564543352</v>
      </c>
      <c r="H3250" s="29">
        <f>IF($B$2,IF(ROWS(B$6:$B3250) = 1,IF(COUNTIFS(R_Schedule_Times,"&lt;"&amp;B3250),INDEX(R_Schedule_Amounts,MATCH(B3250,R_Schedule_Times,1)),Starting_Cash),IF(COUNTIFS(R_Schedule_Times,"&gt;"&amp;B3249,R_Schedule_Times,"&lt;"&amp;B3250),INDEX(R_Schedule_Amounts,MATCH(B3250,R_Schedule_Times,1)),K3249)),"")</f>
        <v>6600</v>
      </c>
      <c r="I3250" s="30">
        <f t="shared" si="250"/>
        <v>40</v>
      </c>
      <c r="J3250" s="31">
        <f t="shared" si="251"/>
        <v>1.2</v>
      </c>
      <c r="K3250" s="29">
        <f t="shared" si="252"/>
        <v>6560</v>
      </c>
      <c r="L3250" s="31" t="str">
        <f t="shared" si="253"/>
        <v/>
      </c>
      <c r="M3250" s="31" t="str">
        <f t="shared" si="254"/>
        <v/>
      </c>
    </row>
    <row r="3251" spans="1:13" x14ac:dyDescent="0.15">
      <c r="A3251" s="163" t="s">
        <v>210</v>
      </c>
      <c r="B3251" s="163">
        <v>42360.324341446758</v>
      </c>
      <c r="C3251" s="164" t="s">
        <v>2639</v>
      </c>
      <c r="D3251" s="164" t="s">
        <v>13</v>
      </c>
      <c r="E3251" s="165">
        <v>200</v>
      </c>
      <c r="F3251" s="166">
        <v>0</v>
      </c>
      <c r="G3251" s="227">
        <f>IF($B$2,IF(ROWS(B$6:$B3251) = 1,$B3251-Start_Date,$B3251-$B3250),"")</f>
        <v>0.11037326388759539</v>
      </c>
      <c r="H3251" s="29">
        <f>IF($B$2,IF(ROWS(B$6:$B3251) = 1,IF(COUNTIFS(R_Schedule_Times,"&lt;"&amp;B3251),INDEX(R_Schedule_Amounts,MATCH(B3251,R_Schedule_Times,1)),Starting_Cash),IF(COUNTIFS(R_Schedule_Times,"&gt;"&amp;B3250,R_Schedule_Times,"&lt;"&amp;B3251),INDEX(R_Schedule_Amounts,MATCH(B3251,R_Schedule_Times,1)),K3250)),"")</f>
        <v>6560</v>
      </c>
      <c r="I3251" s="30">
        <f t="shared" si="250"/>
        <v>200</v>
      </c>
      <c r="J3251" s="31">
        <f t="shared" si="251"/>
        <v>0</v>
      </c>
      <c r="K3251" s="29">
        <f t="shared" si="252"/>
        <v>6360</v>
      </c>
      <c r="L3251" s="31" t="str">
        <f t="shared" si="253"/>
        <v/>
      </c>
      <c r="M3251" s="31" t="str">
        <f t="shared" si="254"/>
        <v/>
      </c>
    </row>
    <row r="3252" spans="1:13" x14ac:dyDescent="0.15">
      <c r="A3252" s="163" t="s">
        <v>210</v>
      </c>
      <c r="B3252" s="163">
        <v>42360.341258935186</v>
      </c>
      <c r="C3252" s="164" t="s">
        <v>174</v>
      </c>
      <c r="D3252" s="164" t="s">
        <v>13</v>
      </c>
      <c r="E3252" s="165">
        <v>160</v>
      </c>
      <c r="F3252" s="166">
        <v>0</v>
      </c>
      <c r="G3252" s="227">
        <f>IF($B$2,IF(ROWS(B$6:$B3252) = 1,$B3252-Start_Date,$B3252-$B3251),"")</f>
        <v>1.6917488428589422E-2</v>
      </c>
      <c r="H3252" s="29">
        <f>IF($B$2,IF(ROWS(B$6:$B3252) = 1,IF(COUNTIFS(R_Schedule_Times,"&lt;"&amp;B3252),INDEX(R_Schedule_Amounts,MATCH(B3252,R_Schedule_Times,1)),Starting_Cash),IF(COUNTIFS(R_Schedule_Times,"&gt;"&amp;B3251,R_Schedule_Times,"&lt;"&amp;B3252),INDEX(R_Schedule_Amounts,MATCH(B3252,R_Schedule_Times,1)),K3251)),"")</f>
        <v>6360</v>
      </c>
      <c r="I3252" s="30">
        <f t="shared" si="250"/>
        <v>160</v>
      </c>
      <c r="J3252" s="31">
        <f t="shared" si="251"/>
        <v>0</v>
      </c>
      <c r="K3252" s="29">
        <f t="shared" si="252"/>
        <v>6200</v>
      </c>
      <c r="L3252" s="31" t="str">
        <f t="shared" si="253"/>
        <v/>
      </c>
      <c r="M3252" s="31" t="str">
        <f t="shared" si="254"/>
        <v/>
      </c>
    </row>
    <row r="3253" spans="1:13" x14ac:dyDescent="0.15">
      <c r="A3253" s="163" t="s">
        <v>210</v>
      </c>
      <c r="B3253" s="163">
        <v>42360.352611886578</v>
      </c>
      <c r="C3253" s="164" t="s">
        <v>498</v>
      </c>
      <c r="D3253" s="164" t="s">
        <v>13</v>
      </c>
      <c r="E3253" s="165">
        <v>40</v>
      </c>
      <c r="F3253" s="166">
        <v>0</v>
      </c>
      <c r="G3253" s="227">
        <f>IF($B$2,IF(ROWS(B$6:$B3253) = 1,$B3253-Start_Date,$B3253-$B3252),"")</f>
        <v>1.1352951391017996E-2</v>
      </c>
      <c r="H3253" s="29">
        <f>IF($B$2,IF(ROWS(B$6:$B3253) = 1,IF(COUNTIFS(R_Schedule_Times,"&lt;"&amp;B3253),INDEX(R_Schedule_Amounts,MATCH(B3253,R_Schedule_Times,1)),Starting_Cash),IF(COUNTIFS(R_Schedule_Times,"&gt;"&amp;B3252,R_Schedule_Times,"&lt;"&amp;B3253),INDEX(R_Schedule_Amounts,MATCH(B3253,R_Schedule_Times,1)),K3252)),"")</f>
        <v>6200</v>
      </c>
      <c r="I3253" s="30">
        <f t="shared" si="250"/>
        <v>40</v>
      </c>
      <c r="J3253" s="31">
        <f t="shared" si="251"/>
        <v>0</v>
      </c>
      <c r="K3253" s="29">
        <f t="shared" si="252"/>
        <v>6160</v>
      </c>
      <c r="L3253" s="31" t="str">
        <f t="shared" si="253"/>
        <v/>
      </c>
      <c r="M3253" s="31" t="str">
        <f t="shared" si="254"/>
        <v/>
      </c>
    </row>
    <row r="3254" spans="1:13" x14ac:dyDescent="0.15">
      <c r="A3254" s="163" t="s">
        <v>210</v>
      </c>
      <c r="B3254" s="163">
        <v>42360.371421736112</v>
      </c>
      <c r="C3254" s="164" t="s">
        <v>2640</v>
      </c>
      <c r="D3254" s="164" t="s">
        <v>13</v>
      </c>
      <c r="E3254" s="165">
        <v>300</v>
      </c>
      <c r="F3254" s="166">
        <v>0</v>
      </c>
      <c r="G3254" s="227">
        <f>IF($B$2,IF(ROWS(B$6:$B3254) = 1,$B3254-Start_Date,$B3254-$B3253),"")</f>
        <v>1.8809849534591194E-2</v>
      </c>
      <c r="H3254" s="29">
        <f>IF($B$2,IF(ROWS(B$6:$B3254) = 1,IF(COUNTIFS(R_Schedule_Times,"&lt;"&amp;B3254),INDEX(R_Schedule_Amounts,MATCH(B3254,R_Schedule_Times,1)),Starting_Cash),IF(COUNTIFS(R_Schedule_Times,"&gt;"&amp;B3253,R_Schedule_Times,"&lt;"&amp;B3254),INDEX(R_Schedule_Amounts,MATCH(B3254,R_Schedule_Times,1)),K3253)),"")</f>
        <v>6160</v>
      </c>
      <c r="I3254" s="30">
        <f t="shared" si="250"/>
        <v>300</v>
      </c>
      <c r="J3254" s="31">
        <f t="shared" si="251"/>
        <v>0</v>
      </c>
      <c r="K3254" s="29">
        <f t="shared" si="252"/>
        <v>5860</v>
      </c>
      <c r="L3254" s="31" t="str">
        <f t="shared" si="253"/>
        <v/>
      </c>
      <c r="M3254" s="31" t="str">
        <f t="shared" si="254"/>
        <v/>
      </c>
    </row>
    <row r="3255" spans="1:13" x14ac:dyDescent="0.15">
      <c r="A3255" s="163" t="s">
        <v>210</v>
      </c>
      <c r="B3255" s="163">
        <v>42360.371921469909</v>
      </c>
      <c r="C3255" s="164" t="s">
        <v>2641</v>
      </c>
      <c r="D3255" s="164" t="s">
        <v>13</v>
      </c>
      <c r="E3255" s="165">
        <v>60</v>
      </c>
      <c r="F3255" s="166">
        <v>0</v>
      </c>
      <c r="G3255" s="227">
        <f>IF($B$2,IF(ROWS(B$6:$B3255) = 1,$B3255-Start_Date,$B3255-$B3254),"")</f>
        <v>4.9973379645962268E-4</v>
      </c>
      <c r="H3255" s="29">
        <f>IF($B$2,IF(ROWS(B$6:$B3255) = 1,IF(COUNTIFS(R_Schedule_Times,"&lt;"&amp;B3255),INDEX(R_Schedule_Amounts,MATCH(B3255,R_Schedule_Times,1)),Starting_Cash),IF(COUNTIFS(R_Schedule_Times,"&gt;"&amp;B3254,R_Schedule_Times,"&lt;"&amp;B3255),INDEX(R_Schedule_Amounts,MATCH(B3255,R_Schedule_Times,1)),K3254)),"")</f>
        <v>5860</v>
      </c>
      <c r="I3255" s="30">
        <f t="shared" si="250"/>
        <v>60</v>
      </c>
      <c r="J3255" s="31">
        <f t="shared" si="251"/>
        <v>0</v>
      </c>
      <c r="K3255" s="29">
        <f t="shared" si="252"/>
        <v>5800</v>
      </c>
      <c r="L3255" s="31" t="str">
        <f t="shared" si="253"/>
        <v/>
      </c>
      <c r="M3255" s="31" t="str">
        <f t="shared" si="254"/>
        <v/>
      </c>
    </row>
    <row r="3256" spans="1:13" x14ac:dyDescent="0.15">
      <c r="A3256" s="163" t="s">
        <v>210</v>
      </c>
      <c r="B3256" s="163">
        <v>42360.393685682873</v>
      </c>
      <c r="C3256" s="164" t="s">
        <v>2239</v>
      </c>
      <c r="D3256" s="164" t="s">
        <v>13</v>
      </c>
      <c r="E3256" s="165">
        <v>100</v>
      </c>
      <c r="F3256" s="166">
        <v>0</v>
      </c>
      <c r="G3256" s="227">
        <f>IF($B$2,IF(ROWS(B$6:$B3256) = 1,$B3256-Start_Date,$B3256-$B3255),"")</f>
        <v>2.1764212964626495E-2</v>
      </c>
      <c r="H3256" s="29">
        <f>IF($B$2,IF(ROWS(B$6:$B3256) = 1,IF(COUNTIFS(R_Schedule_Times,"&lt;"&amp;B3256),INDEX(R_Schedule_Amounts,MATCH(B3256,R_Schedule_Times,1)),Starting_Cash),IF(COUNTIFS(R_Schedule_Times,"&gt;"&amp;B3255,R_Schedule_Times,"&lt;"&amp;B3256),INDEX(R_Schedule_Amounts,MATCH(B3256,R_Schedule_Times,1)),K3255)),"")</f>
        <v>5800</v>
      </c>
      <c r="I3256" s="30">
        <f t="shared" si="250"/>
        <v>100</v>
      </c>
      <c r="J3256" s="31">
        <f t="shared" si="251"/>
        <v>0</v>
      </c>
      <c r="K3256" s="29">
        <f t="shared" si="252"/>
        <v>5700</v>
      </c>
      <c r="L3256" s="31" t="str">
        <f t="shared" si="253"/>
        <v/>
      </c>
      <c r="M3256" s="31" t="str">
        <f t="shared" si="254"/>
        <v/>
      </c>
    </row>
    <row r="3257" spans="1:13" x14ac:dyDescent="0.15">
      <c r="A3257" s="163" t="s">
        <v>210</v>
      </c>
      <c r="B3257" s="163">
        <v>42360.438191620371</v>
      </c>
      <c r="C3257" s="164" t="s">
        <v>14</v>
      </c>
      <c r="D3257" s="164" t="s">
        <v>13</v>
      </c>
      <c r="E3257" s="165">
        <v>40</v>
      </c>
      <c r="F3257" s="166">
        <v>3.5</v>
      </c>
      <c r="G3257" s="227">
        <f>IF($B$2,IF(ROWS(B$6:$B3257) = 1,$B3257-Start_Date,$B3257-$B3256),"")</f>
        <v>4.4505937497888226E-2</v>
      </c>
      <c r="H3257" s="29">
        <f>IF($B$2,IF(ROWS(B$6:$B3257) = 1,IF(COUNTIFS(R_Schedule_Times,"&lt;"&amp;B3257),INDEX(R_Schedule_Amounts,MATCH(B3257,R_Schedule_Times,1)),Starting_Cash),IF(COUNTIFS(R_Schedule_Times,"&gt;"&amp;B3256,R_Schedule_Times,"&lt;"&amp;B3257),INDEX(R_Schedule_Amounts,MATCH(B3257,R_Schedule_Times,1)),K3256)),"")</f>
        <v>5700</v>
      </c>
      <c r="I3257" s="30">
        <f t="shared" si="250"/>
        <v>40</v>
      </c>
      <c r="J3257" s="31">
        <f t="shared" si="251"/>
        <v>3.5</v>
      </c>
      <c r="K3257" s="29">
        <f t="shared" si="252"/>
        <v>5660</v>
      </c>
      <c r="L3257" s="31" t="str">
        <f t="shared" si="253"/>
        <v/>
      </c>
      <c r="M3257" s="31" t="str">
        <f t="shared" si="254"/>
        <v/>
      </c>
    </row>
    <row r="3258" spans="1:13" x14ac:dyDescent="0.15">
      <c r="A3258" s="163" t="s">
        <v>210</v>
      </c>
      <c r="B3258" s="163">
        <v>42360.459608645833</v>
      </c>
      <c r="C3258" s="164" t="s">
        <v>2642</v>
      </c>
      <c r="D3258" s="164" t="s">
        <v>13</v>
      </c>
      <c r="E3258" s="165">
        <v>100</v>
      </c>
      <c r="F3258" s="166">
        <v>0</v>
      </c>
      <c r="G3258" s="227">
        <f>IF($B$2,IF(ROWS(B$6:$B3258) = 1,$B3258-Start_Date,$B3258-$B3257),"")</f>
        <v>2.1417025462142192E-2</v>
      </c>
      <c r="H3258" s="29">
        <f>IF($B$2,IF(ROWS(B$6:$B3258) = 1,IF(COUNTIFS(R_Schedule_Times,"&lt;"&amp;B3258),INDEX(R_Schedule_Amounts,MATCH(B3258,R_Schedule_Times,1)),Starting_Cash),IF(COUNTIFS(R_Schedule_Times,"&gt;"&amp;B3257,R_Schedule_Times,"&lt;"&amp;B3258),INDEX(R_Schedule_Amounts,MATCH(B3258,R_Schedule_Times,1)),K3257)),"")</f>
        <v>5660</v>
      </c>
      <c r="I3258" s="30">
        <f t="shared" si="250"/>
        <v>100</v>
      </c>
      <c r="J3258" s="31">
        <f t="shared" si="251"/>
        <v>0</v>
      </c>
      <c r="K3258" s="29">
        <f t="shared" si="252"/>
        <v>5560</v>
      </c>
      <c r="L3258" s="31" t="str">
        <f t="shared" si="253"/>
        <v/>
      </c>
      <c r="M3258" s="31" t="str">
        <f t="shared" si="254"/>
        <v/>
      </c>
    </row>
    <row r="3259" spans="1:13" x14ac:dyDescent="0.15">
      <c r="A3259" s="163" t="s">
        <v>210</v>
      </c>
      <c r="B3259" s="163">
        <v>42360.466927488429</v>
      </c>
      <c r="C3259" s="164" t="s">
        <v>1030</v>
      </c>
      <c r="D3259" s="164" t="s">
        <v>13</v>
      </c>
      <c r="E3259" s="165">
        <v>120</v>
      </c>
      <c r="F3259" s="166">
        <v>0</v>
      </c>
      <c r="G3259" s="227">
        <f>IF($B$2,IF(ROWS(B$6:$B3259) = 1,$B3259-Start_Date,$B3259-$B3258),"")</f>
        <v>7.3188425958505832E-3</v>
      </c>
      <c r="H3259" s="29">
        <f>IF($B$2,IF(ROWS(B$6:$B3259) = 1,IF(COUNTIFS(R_Schedule_Times,"&lt;"&amp;B3259),INDEX(R_Schedule_Amounts,MATCH(B3259,R_Schedule_Times,1)),Starting_Cash),IF(COUNTIFS(R_Schedule_Times,"&gt;"&amp;B3258,R_Schedule_Times,"&lt;"&amp;B3259),INDEX(R_Schedule_Amounts,MATCH(B3259,R_Schedule_Times,1)),K3258)),"")</f>
        <v>5560</v>
      </c>
      <c r="I3259" s="30">
        <f t="shared" si="250"/>
        <v>120</v>
      </c>
      <c r="J3259" s="31">
        <f t="shared" si="251"/>
        <v>0</v>
      </c>
      <c r="K3259" s="29">
        <f t="shared" si="252"/>
        <v>5440</v>
      </c>
      <c r="L3259" s="31" t="str">
        <f t="shared" si="253"/>
        <v/>
      </c>
      <c r="M3259" s="31" t="str">
        <f t="shared" si="254"/>
        <v/>
      </c>
    </row>
    <row r="3260" spans="1:13" x14ac:dyDescent="0.15">
      <c r="A3260" s="163" t="s">
        <v>210</v>
      </c>
      <c r="B3260" s="163">
        <v>42360.491452152775</v>
      </c>
      <c r="C3260" s="164" t="s">
        <v>2643</v>
      </c>
      <c r="D3260" s="164" t="s">
        <v>13</v>
      </c>
      <c r="E3260" s="165">
        <v>500</v>
      </c>
      <c r="F3260" s="166">
        <v>0</v>
      </c>
      <c r="G3260" s="227">
        <f>IF($B$2,IF(ROWS(B$6:$B3260) = 1,$B3260-Start_Date,$B3260-$B3259),"")</f>
        <v>2.4524664346245117E-2</v>
      </c>
      <c r="H3260" s="29">
        <f>IF($B$2,IF(ROWS(B$6:$B3260) = 1,IF(COUNTIFS(R_Schedule_Times,"&lt;"&amp;B3260),INDEX(R_Schedule_Amounts,MATCH(B3260,R_Schedule_Times,1)),Starting_Cash),IF(COUNTIFS(R_Schedule_Times,"&gt;"&amp;B3259,R_Schedule_Times,"&lt;"&amp;B3260),INDEX(R_Schedule_Amounts,MATCH(B3260,R_Schedule_Times,1)),K3259)),"")</f>
        <v>5440</v>
      </c>
      <c r="I3260" s="30">
        <f t="shared" si="250"/>
        <v>500</v>
      </c>
      <c r="J3260" s="31">
        <f t="shared" si="251"/>
        <v>0</v>
      </c>
      <c r="K3260" s="29">
        <f t="shared" si="252"/>
        <v>4940</v>
      </c>
      <c r="L3260" s="31" t="str">
        <f t="shared" si="253"/>
        <v/>
      </c>
      <c r="M3260" s="31" t="str">
        <f t="shared" si="254"/>
        <v/>
      </c>
    </row>
    <row r="3261" spans="1:13" x14ac:dyDescent="0.15">
      <c r="A3261" s="163" t="s">
        <v>210</v>
      </c>
      <c r="B3261" s="163">
        <v>42360.500114189817</v>
      </c>
      <c r="C3261" s="164" t="s">
        <v>2423</v>
      </c>
      <c r="D3261" s="164" t="s">
        <v>13</v>
      </c>
      <c r="E3261" s="165">
        <v>100</v>
      </c>
      <c r="F3261" s="166">
        <v>0</v>
      </c>
      <c r="G3261" s="227">
        <f>IF($B$2,IF(ROWS(B$6:$B3261) = 1,$B3261-Start_Date,$B3261-$B3260),"")</f>
        <v>8.6620370420860127E-3</v>
      </c>
      <c r="H3261" s="29">
        <f>IF($B$2,IF(ROWS(B$6:$B3261) = 1,IF(COUNTIFS(R_Schedule_Times,"&lt;"&amp;B3261),INDEX(R_Schedule_Amounts,MATCH(B3261,R_Schedule_Times,1)),Starting_Cash),IF(COUNTIFS(R_Schedule_Times,"&gt;"&amp;B3260,R_Schedule_Times,"&lt;"&amp;B3261),INDEX(R_Schedule_Amounts,MATCH(B3261,R_Schedule_Times,1)),K3260)),"")</f>
        <v>4940</v>
      </c>
      <c r="I3261" s="30">
        <f t="shared" si="250"/>
        <v>100</v>
      </c>
      <c r="J3261" s="31">
        <f t="shared" si="251"/>
        <v>0</v>
      </c>
      <c r="K3261" s="29">
        <f t="shared" si="252"/>
        <v>4840</v>
      </c>
      <c r="L3261" s="31" t="str">
        <f t="shared" si="253"/>
        <v/>
      </c>
      <c r="M3261" s="31" t="str">
        <f t="shared" si="254"/>
        <v/>
      </c>
    </row>
    <row r="3262" spans="1:13" x14ac:dyDescent="0.15">
      <c r="A3262" s="163" t="s">
        <v>210</v>
      </c>
      <c r="B3262" s="163">
        <v>42360.506930798612</v>
      </c>
      <c r="C3262" s="164" t="s">
        <v>1854</v>
      </c>
      <c r="D3262" s="164" t="s">
        <v>13</v>
      </c>
      <c r="E3262" s="165">
        <v>80</v>
      </c>
      <c r="F3262" s="166">
        <v>0</v>
      </c>
      <c r="G3262" s="227">
        <f>IF($B$2,IF(ROWS(B$6:$B3262) = 1,$B3262-Start_Date,$B3262-$B3261),"")</f>
        <v>6.8166087949066423E-3</v>
      </c>
      <c r="H3262" s="29">
        <f>IF($B$2,IF(ROWS(B$6:$B3262) = 1,IF(COUNTIFS(R_Schedule_Times,"&lt;"&amp;B3262),INDEX(R_Schedule_Amounts,MATCH(B3262,R_Schedule_Times,1)),Starting_Cash),IF(COUNTIFS(R_Schedule_Times,"&gt;"&amp;B3261,R_Schedule_Times,"&lt;"&amp;B3262),INDEX(R_Schedule_Amounts,MATCH(B3262,R_Schedule_Times,1)),K3261)),"")</f>
        <v>4840</v>
      </c>
      <c r="I3262" s="30">
        <f t="shared" si="250"/>
        <v>80</v>
      </c>
      <c r="J3262" s="31">
        <f t="shared" si="251"/>
        <v>0</v>
      </c>
      <c r="K3262" s="29">
        <f t="shared" si="252"/>
        <v>4760</v>
      </c>
      <c r="L3262" s="31" t="str">
        <f t="shared" si="253"/>
        <v/>
      </c>
      <c r="M3262" s="31" t="str">
        <f t="shared" si="254"/>
        <v/>
      </c>
    </row>
    <row r="3263" spans="1:13" x14ac:dyDescent="0.15">
      <c r="A3263" s="163" t="s">
        <v>210</v>
      </c>
      <c r="B3263" s="163">
        <v>42360.516694826387</v>
      </c>
      <c r="C3263" s="164" t="s">
        <v>2644</v>
      </c>
      <c r="D3263" s="164" t="s">
        <v>13</v>
      </c>
      <c r="E3263" s="165">
        <v>60</v>
      </c>
      <c r="F3263" s="166">
        <v>0</v>
      </c>
      <c r="G3263" s="227">
        <f>IF($B$2,IF(ROWS(B$6:$B3263) = 1,$B3263-Start_Date,$B3263-$B3262),"")</f>
        <v>9.7640277745085768E-3</v>
      </c>
      <c r="H3263" s="29">
        <f>IF($B$2,IF(ROWS(B$6:$B3263) = 1,IF(COUNTIFS(R_Schedule_Times,"&lt;"&amp;B3263),INDEX(R_Schedule_Amounts,MATCH(B3263,R_Schedule_Times,1)),Starting_Cash),IF(COUNTIFS(R_Schedule_Times,"&gt;"&amp;B3262,R_Schedule_Times,"&lt;"&amp;B3263),INDEX(R_Schedule_Amounts,MATCH(B3263,R_Schedule_Times,1)),K3262)),"")</f>
        <v>4760</v>
      </c>
      <c r="I3263" s="30">
        <f t="shared" si="250"/>
        <v>60</v>
      </c>
      <c r="J3263" s="31">
        <f t="shared" si="251"/>
        <v>0</v>
      </c>
      <c r="K3263" s="29">
        <f t="shared" si="252"/>
        <v>4700</v>
      </c>
      <c r="L3263" s="31" t="str">
        <f t="shared" si="253"/>
        <v/>
      </c>
      <c r="M3263" s="31" t="str">
        <f t="shared" si="254"/>
        <v/>
      </c>
    </row>
    <row r="3264" spans="1:13" x14ac:dyDescent="0.15">
      <c r="A3264" s="163" t="s">
        <v>210</v>
      </c>
      <c r="B3264" s="163">
        <v>42360.529365092596</v>
      </c>
      <c r="C3264" s="164" t="s">
        <v>2645</v>
      </c>
      <c r="D3264" s="164" t="s">
        <v>13</v>
      </c>
      <c r="E3264" s="165">
        <v>100</v>
      </c>
      <c r="F3264" s="166">
        <v>0</v>
      </c>
      <c r="G3264" s="227">
        <f>IF($B$2,IF(ROWS(B$6:$B3264) = 1,$B3264-Start_Date,$B3264-$B3263),"")</f>
        <v>1.2670266209170222E-2</v>
      </c>
      <c r="H3264" s="29">
        <f>IF($B$2,IF(ROWS(B$6:$B3264) = 1,IF(COUNTIFS(R_Schedule_Times,"&lt;"&amp;B3264),INDEX(R_Schedule_Amounts,MATCH(B3264,R_Schedule_Times,1)),Starting_Cash),IF(COUNTIFS(R_Schedule_Times,"&gt;"&amp;B3263,R_Schedule_Times,"&lt;"&amp;B3264),INDEX(R_Schedule_Amounts,MATCH(B3264,R_Schedule_Times,1)),K3263)),"")</f>
        <v>4700</v>
      </c>
      <c r="I3264" s="30">
        <f t="shared" si="250"/>
        <v>100</v>
      </c>
      <c r="J3264" s="31">
        <f t="shared" si="251"/>
        <v>0</v>
      </c>
      <c r="K3264" s="29">
        <f t="shared" si="252"/>
        <v>4600</v>
      </c>
      <c r="L3264" s="31" t="str">
        <f t="shared" si="253"/>
        <v/>
      </c>
      <c r="M3264" s="31" t="str">
        <f t="shared" si="254"/>
        <v/>
      </c>
    </row>
    <row r="3265" spans="1:13" x14ac:dyDescent="0.15">
      <c r="A3265" s="163" t="s">
        <v>210</v>
      </c>
      <c r="B3265" s="163">
        <v>42360.541790659721</v>
      </c>
      <c r="C3265" s="164" t="s">
        <v>542</v>
      </c>
      <c r="D3265" s="164" t="s">
        <v>13</v>
      </c>
      <c r="E3265" s="165">
        <v>100</v>
      </c>
      <c r="F3265" s="166">
        <v>0</v>
      </c>
      <c r="G3265" s="227">
        <f>IF($B$2,IF(ROWS(B$6:$B3265) = 1,$B3265-Start_Date,$B3265-$B3264),"")</f>
        <v>1.2425567125319503E-2</v>
      </c>
      <c r="H3265" s="29">
        <f>IF($B$2,IF(ROWS(B$6:$B3265) = 1,IF(COUNTIFS(R_Schedule_Times,"&lt;"&amp;B3265),INDEX(R_Schedule_Amounts,MATCH(B3265,R_Schedule_Times,1)),Starting_Cash),IF(COUNTIFS(R_Schedule_Times,"&gt;"&amp;B3264,R_Schedule_Times,"&lt;"&amp;B3265),INDEX(R_Schedule_Amounts,MATCH(B3265,R_Schedule_Times,1)),K3264)),"")</f>
        <v>4600</v>
      </c>
      <c r="I3265" s="30">
        <f t="shared" si="250"/>
        <v>100</v>
      </c>
      <c r="J3265" s="31">
        <f t="shared" si="251"/>
        <v>0</v>
      </c>
      <c r="K3265" s="29">
        <f t="shared" si="252"/>
        <v>4500</v>
      </c>
      <c r="L3265" s="31" t="str">
        <f t="shared" si="253"/>
        <v/>
      </c>
      <c r="M3265" s="31" t="str">
        <f t="shared" si="254"/>
        <v/>
      </c>
    </row>
    <row r="3266" spans="1:13" x14ac:dyDescent="0.15">
      <c r="A3266" s="163" t="s">
        <v>210</v>
      </c>
      <c r="B3266" s="163">
        <v>42360.560798587961</v>
      </c>
      <c r="C3266" s="164" t="s">
        <v>14</v>
      </c>
      <c r="D3266" s="164" t="s">
        <v>13</v>
      </c>
      <c r="E3266" s="165">
        <v>100</v>
      </c>
      <c r="F3266" s="166">
        <v>3.5</v>
      </c>
      <c r="G3266" s="227">
        <f>IF($B$2,IF(ROWS(B$6:$B3266) = 1,$B3266-Start_Date,$B3266-$B3265),"")</f>
        <v>1.9007928240171168E-2</v>
      </c>
      <c r="H3266" s="29">
        <f>IF($B$2,IF(ROWS(B$6:$B3266) = 1,IF(COUNTIFS(R_Schedule_Times,"&lt;"&amp;B3266),INDEX(R_Schedule_Amounts,MATCH(B3266,R_Schedule_Times,1)),Starting_Cash),IF(COUNTIFS(R_Schedule_Times,"&gt;"&amp;B3265,R_Schedule_Times,"&lt;"&amp;B3266),INDEX(R_Schedule_Amounts,MATCH(B3266,R_Schedule_Times,1)),K3265)),"")</f>
        <v>4500</v>
      </c>
      <c r="I3266" s="30">
        <f t="shared" si="250"/>
        <v>100</v>
      </c>
      <c r="J3266" s="31">
        <f t="shared" si="251"/>
        <v>3.5</v>
      </c>
      <c r="K3266" s="29">
        <f t="shared" si="252"/>
        <v>4400</v>
      </c>
      <c r="L3266" s="31" t="str">
        <f t="shared" si="253"/>
        <v/>
      </c>
      <c r="M3266" s="31" t="str">
        <f t="shared" si="254"/>
        <v/>
      </c>
    </row>
    <row r="3267" spans="1:13" x14ac:dyDescent="0.15">
      <c r="A3267" s="163" t="s">
        <v>210</v>
      </c>
      <c r="B3267" s="163">
        <v>42360.563077199076</v>
      </c>
      <c r="C3267" s="164" t="s">
        <v>410</v>
      </c>
      <c r="D3267" s="164" t="s">
        <v>13</v>
      </c>
      <c r="E3267" s="165">
        <v>40</v>
      </c>
      <c r="F3267" s="166">
        <v>0</v>
      </c>
      <c r="G3267" s="227">
        <f>IF($B$2,IF(ROWS(B$6:$B3267) = 1,$B3267-Start_Date,$B3267-$B3266),"")</f>
        <v>2.2786111148889177E-3</v>
      </c>
      <c r="H3267" s="29">
        <f>IF($B$2,IF(ROWS(B$6:$B3267) = 1,IF(COUNTIFS(R_Schedule_Times,"&lt;"&amp;B3267),INDEX(R_Schedule_Amounts,MATCH(B3267,R_Schedule_Times,1)),Starting_Cash),IF(COUNTIFS(R_Schedule_Times,"&gt;"&amp;B3266,R_Schedule_Times,"&lt;"&amp;B3267),INDEX(R_Schedule_Amounts,MATCH(B3267,R_Schedule_Times,1)),K3266)),"")</f>
        <v>4400</v>
      </c>
      <c r="I3267" s="30">
        <f t="shared" si="250"/>
        <v>40</v>
      </c>
      <c r="J3267" s="31">
        <f t="shared" si="251"/>
        <v>0</v>
      </c>
      <c r="K3267" s="29">
        <f t="shared" si="252"/>
        <v>4360</v>
      </c>
      <c r="L3267" s="31" t="str">
        <f t="shared" si="253"/>
        <v/>
      </c>
      <c r="M3267" s="31" t="str">
        <f t="shared" si="254"/>
        <v/>
      </c>
    </row>
    <row r="3268" spans="1:13" x14ac:dyDescent="0.15">
      <c r="A3268" s="163" t="s">
        <v>210</v>
      </c>
      <c r="B3268" s="163">
        <v>42360.573651597224</v>
      </c>
      <c r="C3268" s="164" t="s">
        <v>14</v>
      </c>
      <c r="D3268" s="164" t="s">
        <v>13</v>
      </c>
      <c r="E3268" s="165">
        <v>100</v>
      </c>
      <c r="F3268" s="166">
        <v>3.5</v>
      </c>
      <c r="G3268" s="227">
        <f>IF($B$2,IF(ROWS(B$6:$B3268) = 1,$B3268-Start_Date,$B3268-$B3267),"")</f>
        <v>1.0574398147582542E-2</v>
      </c>
      <c r="H3268" s="29">
        <f>IF($B$2,IF(ROWS(B$6:$B3268) = 1,IF(COUNTIFS(R_Schedule_Times,"&lt;"&amp;B3268),INDEX(R_Schedule_Amounts,MATCH(B3268,R_Schedule_Times,1)),Starting_Cash),IF(COUNTIFS(R_Schedule_Times,"&gt;"&amp;B3267,R_Schedule_Times,"&lt;"&amp;B3268),INDEX(R_Schedule_Amounts,MATCH(B3268,R_Schedule_Times,1)),K3267)),"")</f>
        <v>4360</v>
      </c>
      <c r="I3268" s="30">
        <f t="shared" si="250"/>
        <v>100</v>
      </c>
      <c r="J3268" s="31">
        <f t="shared" si="251"/>
        <v>3.5</v>
      </c>
      <c r="K3268" s="29">
        <f t="shared" si="252"/>
        <v>4260</v>
      </c>
      <c r="L3268" s="31" t="str">
        <f t="shared" si="253"/>
        <v/>
      </c>
      <c r="M3268" s="31" t="str">
        <f t="shared" si="254"/>
        <v/>
      </c>
    </row>
    <row r="3269" spans="1:13" x14ac:dyDescent="0.15">
      <c r="A3269" s="163" t="s">
        <v>210</v>
      </c>
      <c r="B3269" s="163">
        <v>42360.589940196762</v>
      </c>
      <c r="C3269" s="164" t="s">
        <v>543</v>
      </c>
      <c r="D3269" s="164" t="s">
        <v>13</v>
      </c>
      <c r="E3269" s="165">
        <v>40</v>
      </c>
      <c r="F3269" s="166">
        <v>0</v>
      </c>
      <c r="G3269" s="227">
        <f>IF($B$2,IF(ROWS(B$6:$B3269) = 1,$B3269-Start_Date,$B3269-$B3268),"")</f>
        <v>1.6288599537801929E-2</v>
      </c>
      <c r="H3269" s="29">
        <f>IF($B$2,IF(ROWS(B$6:$B3269) = 1,IF(COUNTIFS(R_Schedule_Times,"&lt;"&amp;B3269),INDEX(R_Schedule_Amounts,MATCH(B3269,R_Schedule_Times,1)),Starting_Cash),IF(COUNTIFS(R_Schedule_Times,"&gt;"&amp;B3268,R_Schedule_Times,"&lt;"&amp;B3269),INDEX(R_Schedule_Amounts,MATCH(B3269,R_Schedule_Times,1)),K3268)),"")</f>
        <v>4260</v>
      </c>
      <c r="I3269" s="30">
        <f t="shared" si="250"/>
        <v>40</v>
      </c>
      <c r="J3269" s="31">
        <f t="shared" si="251"/>
        <v>0</v>
      </c>
      <c r="K3269" s="29">
        <f t="shared" si="252"/>
        <v>4220</v>
      </c>
      <c r="L3269" s="31" t="str">
        <f t="shared" si="253"/>
        <v/>
      </c>
      <c r="M3269" s="31" t="str">
        <f t="shared" si="254"/>
        <v/>
      </c>
    </row>
    <row r="3270" spans="1:13" x14ac:dyDescent="0.15">
      <c r="A3270" s="163" t="s">
        <v>210</v>
      </c>
      <c r="B3270" s="163">
        <v>42360.590578506948</v>
      </c>
      <c r="C3270" s="164" t="s">
        <v>2127</v>
      </c>
      <c r="D3270" s="164" t="s">
        <v>13</v>
      </c>
      <c r="E3270" s="165">
        <v>60</v>
      </c>
      <c r="F3270" s="166">
        <v>0</v>
      </c>
      <c r="G3270" s="227">
        <f>IF($B$2,IF(ROWS(B$6:$B3270) = 1,$B3270-Start_Date,$B3270-$B3269),"")</f>
        <v>6.3831018633209169E-4</v>
      </c>
      <c r="H3270" s="29">
        <f>IF($B$2,IF(ROWS(B$6:$B3270) = 1,IF(COUNTIFS(R_Schedule_Times,"&lt;"&amp;B3270),INDEX(R_Schedule_Amounts,MATCH(B3270,R_Schedule_Times,1)),Starting_Cash),IF(COUNTIFS(R_Schedule_Times,"&gt;"&amp;B3269,R_Schedule_Times,"&lt;"&amp;B3270),INDEX(R_Schedule_Amounts,MATCH(B3270,R_Schedule_Times,1)),K3269)),"")</f>
        <v>4220</v>
      </c>
      <c r="I3270" s="30">
        <f t="shared" si="250"/>
        <v>60</v>
      </c>
      <c r="J3270" s="31">
        <f t="shared" si="251"/>
        <v>0</v>
      </c>
      <c r="K3270" s="29">
        <f t="shared" si="252"/>
        <v>4160</v>
      </c>
      <c r="L3270" s="31" t="str">
        <f t="shared" si="253"/>
        <v/>
      </c>
      <c r="M3270" s="31" t="str">
        <f t="shared" si="254"/>
        <v/>
      </c>
    </row>
    <row r="3271" spans="1:13" x14ac:dyDescent="0.15">
      <c r="A3271" s="163" t="s">
        <v>210</v>
      </c>
      <c r="B3271" s="163">
        <v>42360.591307222225</v>
      </c>
      <c r="C3271" s="164" t="s">
        <v>2646</v>
      </c>
      <c r="D3271" s="164" t="s">
        <v>13</v>
      </c>
      <c r="E3271" s="165">
        <v>100</v>
      </c>
      <c r="F3271" s="166">
        <v>0</v>
      </c>
      <c r="G3271" s="227">
        <f>IF($B$2,IF(ROWS(B$6:$B3271) = 1,$B3271-Start_Date,$B3271-$B3270),"")</f>
        <v>7.2871527663664892E-4</v>
      </c>
      <c r="H3271" s="29">
        <f>IF($B$2,IF(ROWS(B$6:$B3271) = 1,IF(COUNTIFS(R_Schedule_Times,"&lt;"&amp;B3271),INDEX(R_Schedule_Amounts,MATCH(B3271,R_Schedule_Times,1)),Starting_Cash),IF(COUNTIFS(R_Schedule_Times,"&gt;"&amp;B3270,R_Schedule_Times,"&lt;"&amp;B3271),INDEX(R_Schedule_Amounts,MATCH(B3271,R_Schedule_Times,1)),K3270)),"")</f>
        <v>4160</v>
      </c>
      <c r="I3271" s="30">
        <f t="shared" ref="I3271:I3334" si="255">IF($B$2,IF(H3271&gt;=E3271,E3271,0),"")</f>
        <v>100</v>
      </c>
      <c r="J3271" s="31">
        <f t="shared" ref="J3271:J3334" si="256">IF($B$2,IF(H3271&gt;=E3271,F3271,0),"")</f>
        <v>0</v>
      </c>
      <c r="K3271" s="29">
        <f t="shared" ref="K3271:K3334" si="257">IF($B$2,ABS(I3271-H3271),"")</f>
        <v>4060</v>
      </c>
      <c r="L3271" s="31" t="str">
        <f t="shared" ref="L3271:L3334" si="258">IF($B$2,IF(H3271&lt;E3271,"YES",""),"")</f>
        <v/>
      </c>
      <c r="M3271" s="31" t="str">
        <f t="shared" ref="M3271:M3334" si="259">IF($B$2,IF(L3271="YES",F3271,""),"")</f>
        <v/>
      </c>
    </row>
    <row r="3272" spans="1:13" x14ac:dyDescent="0.15">
      <c r="A3272" s="163" t="s">
        <v>210</v>
      </c>
      <c r="B3272" s="163">
        <v>42360.593666793982</v>
      </c>
      <c r="C3272" s="164" t="s">
        <v>2647</v>
      </c>
      <c r="D3272" s="164" t="s">
        <v>13</v>
      </c>
      <c r="E3272" s="165">
        <v>20</v>
      </c>
      <c r="F3272" s="166">
        <v>0</v>
      </c>
      <c r="G3272" s="227">
        <f>IF($B$2,IF(ROWS(B$6:$B3272) = 1,$B3272-Start_Date,$B3272-$B3271),"")</f>
        <v>2.3595717575517483E-3</v>
      </c>
      <c r="H3272" s="29">
        <f>IF($B$2,IF(ROWS(B$6:$B3272) = 1,IF(COUNTIFS(R_Schedule_Times,"&lt;"&amp;B3272),INDEX(R_Schedule_Amounts,MATCH(B3272,R_Schedule_Times,1)),Starting_Cash),IF(COUNTIFS(R_Schedule_Times,"&gt;"&amp;B3271,R_Schedule_Times,"&lt;"&amp;B3272),INDEX(R_Schedule_Amounts,MATCH(B3272,R_Schedule_Times,1)),K3271)),"")</f>
        <v>4060</v>
      </c>
      <c r="I3272" s="30">
        <f t="shared" si="255"/>
        <v>20</v>
      </c>
      <c r="J3272" s="31">
        <f t="shared" si="256"/>
        <v>0</v>
      </c>
      <c r="K3272" s="29">
        <f t="shared" si="257"/>
        <v>4040</v>
      </c>
      <c r="L3272" s="31" t="str">
        <f t="shared" si="258"/>
        <v/>
      </c>
      <c r="M3272" s="31" t="str">
        <f t="shared" si="259"/>
        <v/>
      </c>
    </row>
    <row r="3273" spans="1:13" x14ac:dyDescent="0.15">
      <c r="A3273" s="163" t="s">
        <v>210</v>
      </c>
      <c r="B3273" s="163">
        <v>42360.616741180558</v>
      </c>
      <c r="C3273" s="164" t="s">
        <v>2648</v>
      </c>
      <c r="D3273" s="164" t="s">
        <v>13</v>
      </c>
      <c r="E3273" s="165">
        <v>100</v>
      </c>
      <c r="F3273" s="166">
        <v>0</v>
      </c>
      <c r="G3273" s="227">
        <f>IF($B$2,IF(ROWS(B$6:$B3273) = 1,$B3273-Start_Date,$B3273-$B3272),"")</f>
        <v>2.3074386575899553E-2</v>
      </c>
      <c r="H3273" s="29">
        <f>IF($B$2,IF(ROWS(B$6:$B3273) = 1,IF(COUNTIFS(R_Schedule_Times,"&lt;"&amp;B3273),INDEX(R_Schedule_Amounts,MATCH(B3273,R_Schedule_Times,1)),Starting_Cash),IF(COUNTIFS(R_Schedule_Times,"&gt;"&amp;B3272,R_Schedule_Times,"&lt;"&amp;B3273),INDEX(R_Schedule_Amounts,MATCH(B3273,R_Schedule_Times,1)),K3272)),"")</f>
        <v>4040</v>
      </c>
      <c r="I3273" s="30">
        <f t="shared" si="255"/>
        <v>100</v>
      </c>
      <c r="J3273" s="31">
        <f t="shared" si="256"/>
        <v>0</v>
      </c>
      <c r="K3273" s="29">
        <f t="shared" si="257"/>
        <v>3940</v>
      </c>
      <c r="L3273" s="31" t="str">
        <f t="shared" si="258"/>
        <v/>
      </c>
      <c r="M3273" s="31" t="str">
        <f t="shared" si="259"/>
        <v/>
      </c>
    </row>
    <row r="3274" spans="1:13" x14ac:dyDescent="0.15">
      <c r="A3274" s="163" t="s">
        <v>210</v>
      </c>
      <c r="B3274" s="163">
        <v>42360.640546574075</v>
      </c>
      <c r="C3274" s="164" t="s">
        <v>2649</v>
      </c>
      <c r="D3274" s="164" t="s">
        <v>13</v>
      </c>
      <c r="E3274" s="165">
        <v>40</v>
      </c>
      <c r="F3274" s="166">
        <v>0</v>
      </c>
      <c r="G3274" s="227">
        <f>IF($B$2,IF(ROWS(B$6:$B3274) = 1,$B3274-Start_Date,$B3274-$B3273),"")</f>
        <v>2.3805393517250195E-2</v>
      </c>
      <c r="H3274" s="29">
        <f>IF($B$2,IF(ROWS(B$6:$B3274) = 1,IF(COUNTIFS(R_Schedule_Times,"&lt;"&amp;B3274),INDEX(R_Schedule_Amounts,MATCH(B3274,R_Schedule_Times,1)),Starting_Cash),IF(COUNTIFS(R_Schedule_Times,"&gt;"&amp;B3273,R_Schedule_Times,"&lt;"&amp;B3274),INDEX(R_Schedule_Amounts,MATCH(B3274,R_Schedule_Times,1)),K3273)),"")</f>
        <v>3940</v>
      </c>
      <c r="I3274" s="30">
        <f t="shared" si="255"/>
        <v>40</v>
      </c>
      <c r="J3274" s="31">
        <f t="shared" si="256"/>
        <v>0</v>
      </c>
      <c r="K3274" s="29">
        <f t="shared" si="257"/>
        <v>3900</v>
      </c>
      <c r="L3274" s="31" t="str">
        <f t="shared" si="258"/>
        <v/>
      </c>
      <c r="M3274" s="31" t="str">
        <f t="shared" si="259"/>
        <v/>
      </c>
    </row>
    <row r="3275" spans="1:13" x14ac:dyDescent="0.15">
      <c r="A3275" s="163" t="s">
        <v>210</v>
      </c>
      <c r="B3275" s="163">
        <v>42360.670292835646</v>
      </c>
      <c r="C3275" s="164" t="s">
        <v>2650</v>
      </c>
      <c r="D3275" s="164" t="s">
        <v>13</v>
      </c>
      <c r="E3275" s="165">
        <v>440</v>
      </c>
      <c r="F3275" s="166">
        <v>0</v>
      </c>
      <c r="G3275" s="227">
        <f>IF($B$2,IF(ROWS(B$6:$B3275) = 1,$B3275-Start_Date,$B3275-$B3274),"")</f>
        <v>2.9746261570835486E-2</v>
      </c>
      <c r="H3275" s="29">
        <f>IF($B$2,IF(ROWS(B$6:$B3275) = 1,IF(COUNTIFS(R_Schedule_Times,"&lt;"&amp;B3275),INDEX(R_Schedule_Amounts,MATCH(B3275,R_Schedule_Times,1)),Starting_Cash),IF(COUNTIFS(R_Schedule_Times,"&gt;"&amp;B3274,R_Schedule_Times,"&lt;"&amp;B3275),INDEX(R_Schedule_Amounts,MATCH(B3275,R_Schedule_Times,1)),K3274)),"")</f>
        <v>3900</v>
      </c>
      <c r="I3275" s="30">
        <f t="shared" si="255"/>
        <v>440</v>
      </c>
      <c r="J3275" s="31">
        <f t="shared" si="256"/>
        <v>0</v>
      </c>
      <c r="K3275" s="29">
        <f t="shared" si="257"/>
        <v>3460</v>
      </c>
      <c r="L3275" s="31" t="str">
        <f t="shared" si="258"/>
        <v/>
      </c>
      <c r="M3275" s="31" t="str">
        <f t="shared" si="259"/>
        <v/>
      </c>
    </row>
    <row r="3276" spans="1:13" x14ac:dyDescent="0.15">
      <c r="A3276" s="163" t="s">
        <v>210</v>
      </c>
      <c r="B3276" s="163">
        <v>42360.671788101849</v>
      </c>
      <c r="C3276" s="164" t="s">
        <v>2300</v>
      </c>
      <c r="D3276" s="164" t="s">
        <v>13</v>
      </c>
      <c r="E3276" s="165">
        <v>100</v>
      </c>
      <c r="F3276" s="166">
        <v>0</v>
      </c>
      <c r="G3276" s="227">
        <f>IF($B$2,IF(ROWS(B$6:$B3276) = 1,$B3276-Start_Date,$B3276-$B3275),"")</f>
        <v>1.4952662022551522E-3</v>
      </c>
      <c r="H3276" s="29">
        <f>IF($B$2,IF(ROWS(B$6:$B3276) = 1,IF(COUNTIFS(R_Schedule_Times,"&lt;"&amp;B3276),INDEX(R_Schedule_Amounts,MATCH(B3276,R_Schedule_Times,1)),Starting_Cash),IF(COUNTIFS(R_Schedule_Times,"&gt;"&amp;B3275,R_Schedule_Times,"&lt;"&amp;B3276),INDEX(R_Schedule_Amounts,MATCH(B3276,R_Schedule_Times,1)),K3275)),"")</f>
        <v>3460</v>
      </c>
      <c r="I3276" s="30">
        <f t="shared" si="255"/>
        <v>100</v>
      </c>
      <c r="J3276" s="31">
        <f t="shared" si="256"/>
        <v>0</v>
      </c>
      <c r="K3276" s="29">
        <f t="shared" si="257"/>
        <v>3360</v>
      </c>
      <c r="L3276" s="31" t="str">
        <f t="shared" si="258"/>
        <v/>
      </c>
      <c r="M3276" s="31" t="str">
        <f t="shared" si="259"/>
        <v/>
      </c>
    </row>
    <row r="3277" spans="1:13" x14ac:dyDescent="0.15">
      <c r="A3277" s="163" t="s">
        <v>210</v>
      </c>
      <c r="B3277" s="163">
        <v>42360.683332488428</v>
      </c>
      <c r="C3277" s="164" t="s">
        <v>2651</v>
      </c>
      <c r="D3277" s="164" t="s">
        <v>13</v>
      </c>
      <c r="E3277" s="165">
        <v>480</v>
      </c>
      <c r="F3277" s="166">
        <v>0</v>
      </c>
      <c r="G3277" s="227">
        <f>IF($B$2,IF(ROWS(B$6:$B3277) = 1,$B3277-Start_Date,$B3277-$B3276),"")</f>
        <v>1.1544386579771526E-2</v>
      </c>
      <c r="H3277" s="29">
        <f>IF($B$2,IF(ROWS(B$6:$B3277) = 1,IF(COUNTIFS(R_Schedule_Times,"&lt;"&amp;B3277),INDEX(R_Schedule_Amounts,MATCH(B3277,R_Schedule_Times,1)),Starting_Cash),IF(COUNTIFS(R_Schedule_Times,"&gt;"&amp;B3276,R_Schedule_Times,"&lt;"&amp;B3277),INDEX(R_Schedule_Amounts,MATCH(B3277,R_Schedule_Times,1)),K3276)),"")</f>
        <v>3360</v>
      </c>
      <c r="I3277" s="30">
        <f t="shared" si="255"/>
        <v>480</v>
      </c>
      <c r="J3277" s="31">
        <f t="shared" si="256"/>
        <v>0</v>
      </c>
      <c r="K3277" s="29">
        <f t="shared" si="257"/>
        <v>2880</v>
      </c>
      <c r="L3277" s="31" t="str">
        <f t="shared" si="258"/>
        <v/>
      </c>
      <c r="M3277" s="31" t="str">
        <f t="shared" si="259"/>
        <v/>
      </c>
    </row>
    <row r="3278" spans="1:13" x14ac:dyDescent="0.15">
      <c r="A3278" s="163" t="s">
        <v>210</v>
      </c>
      <c r="B3278" s="163">
        <v>42360.687276226854</v>
      </c>
      <c r="C3278" s="164" t="s">
        <v>2652</v>
      </c>
      <c r="D3278" s="164" t="s">
        <v>13</v>
      </c>
      <c r="E3278" s="165">
        <v>100</v>
      </c>
      <c r="F3278" s="166">
        <v>0</v>
      </c>
      <c r="G3278" s="227">
        <f>IF($B$2,IF(ROWS(B$6:$B3278) = 1,$B3278-Start_Date,$B3278-$B3277),"")</f>
        <v>3.9437384257325903E-3</v>
      </c>
      <c r="H3278" s="29">
        <f>IF($B$2,IF(ROWS(B$6:$B3278) = 1,IF(COUNTIFS(R_Schedule_Times,"&lt;"&amp;B3278),INDEX(R_Schedule_Amounts,MATCH(B3278,R_Schedule_Times,1)),Starting_Cash),IF(COUNTIFS(R_Schedule_Times,"&gt;"&amp;B3277,R_Schedule_Times,"&lt;"&amp;B3278),INDEX(R_Schedule_Amounts,MATCH(B3278,R_Schedule_Times,1)),K3277)),"")</f>
        <v>2880</v>
      </c>
      <c r="I3278" s="30">
        <f t="shared" si="255"/>
        <v>100</v>
      </c>
      <c r="J3278" s="31">
        <f t="shared" si="256"/>
        <v>0</v>
      </c>
      <c r="K3278" s="29">
        <f t="shared" si="257"/>
        <v>2780</v>
      </c>
      <c r="L3278" s="31" t="str">
        <f t="shared" si="258"/>
        <v/>
      </c>
      <c r="M3278" s="31" t="str">
        <f t="shared" si="259"/>
        <v/>
      </c>
    </row>
    <row r="3279" spans="1:13" x14ac:dyDescent="0.15">
      <c r="A3279" s="163" t="s">
        <v>210</v>
      </c>
      <c r="B3279" s="163">
        <v>42360.70578851852</v>
      </c>
      <c r="C3279" s="164" t="s">
        <v>2653</v>
      </c>
      <c r="D3279" s="164" t="s">
        <v>13</v>
      </c>
      <c r="E3279" s="165">
        <v>100</v>
      </c>
      <c r="F3279" s="166">
        <v>0</v>
      </c>
      <c r="G3279" s="227">
        <f>IF($B$2,IF(ROWS(B$6:$B3279) = 1,$B3279-Start_Date,$B3279-$B3278),"")</f>
        <v>1.8512291666411329E-2</v>
      </c>
      <c r="H3279" s="29">
        <f>IF($B$2,IF(ROWS(B$6:$B3279) = 1,IF(COUNTIFS(R_Schedule_Times,"&lt;"&amp;B3279),INDEX(R_Schedule_Amounts,MATCH(B3279,R_Schedule_Times,1)),Starting_Cash),IF(COUNTIFS(R_Schedule_Times,"&gt;"&amp;B3278,R_Schedule_Times,"&lt;"&amp;B3279),INDEX(R_Schedule_Amounts,MATCH(B3279,R_Schedule_Times,1)),K3278)),"")</f>
        <v>2780</v>
      </c>
      <c r="I3279" s="30">
        <f t="shared" si="255"/>
        <v>100</v>
      </c>
      <c r="J3279" s="31">
        <f t="shared" si="256"/>
        <v>0</v>
      </c>
      <c r="K3279" s="29">
        <f t="shared" si="257"/>
        <v>2680</v>
      </c>
      <c r="L3279" s="31" t="str">
        <f t="shared" si="258"/>
        <v/>
      </c>
      <c r="M3279" s="31" t="str">
        <f t="shared" si="259"/>
        <v/>
      </c>
    </row>
    <row r="3280" spans="1:13" x14ac:dyDescent="0.15">
      <c r="A3280" s="163" t="s">
        <v>210</v>
      </c>
      <c r="B3280" s="163">
        <v>42360.707793703703</v>
      </c>
      <c r="C3280" s="164" t="s">
        <v>544</v>
      </c>
      <c r="D3280" s="164" t="s">
        <v>13</v>
      </c>
      <c r="E3280" s="165">
        <v>60</v>
      </c>
      <c r="F3280" s="166">
        <v>0</v>
      </c>
      <c r="G3280" s="227">
        <f>IF($B$2,IF(ROWS(B$6:$B3280) = 1,$B3280-Start_Date,$B3280-$B3279),"")</f>
        <v>2.005185182497371E-3</v>
      </c>
      <c r="H3280" s="29">
        <f>IF($B$2,IF(ROWS(B$6:$B3280) = 1,IF(COUNTIFS(R_Schedule_Times,"&lt;"&amp;B3280),INDEX(R_Schedule_Amounts,MATCH(B3280,R_Schedule_Times,1)),Starting_Cash),IF(COUNTIFS(R_Schedule_Times,"&gt;"&amp;B3279,R_Schedule_Times,"&lt;"&amp;B3280),INDEX(R_Schedule_Amounts,MATCH(B3280,R_Schedule_Times,1)),K3279)),"")</f>
        <v>2680</v>
      </c>
      <c r="I3280" s="30">
        <f t="shared" si="255"/>
        <v>60</v>
      </c>
      <c r="J3280" s="31">
        <f t="shared" si="256"/>
        <v>0</v>
      </c>
      <c r="K3280" s="29">
        <f t="shared" si="257"/>
        <v>2620</v>
      </c>
      <c r="L3280" s="31" t="str">
        <f t="shared" si="258"/>
        <v/>
      </c>
      <c r="M3280" s="31" t="str">
        <f t="shared" si="259"/>
        <v/>
      </c>
    </row>
    <row r="3281" spans="1:13" x14ac:dyDescent="0.15">
      <c r="A3281" s="163" t="s">
        <v>210</v>
      </c>
      <c r="B3281" s="163">
        <v>42360.710908761575</v>
      </c>
      <c r="C3281" s="164" t="s">
        <v>2525</v>
      </c>
      <c r="D3281" s="164" t="s">
        <v>13</v>
      </c>
      <c r="E3281" s="165">
        <v>500</v>
      </c>
      <c r="F3281" s="166">
        <v>0</v>
      </c>
      <c r="G3281" s="227">
        <f>IF($B$2,IF(ROWS(B$6:$B3281) = 1,$B3281-Start_Date,$B3281-$B3280),"")</f>
        <v>3.1150578724918887E-3</v>
      </c>
      <c r="H3281" s="29">
        <f>IF($B$2,IF(ROWS(B$6:$B3281) = 1,IF(COUNTIFS(R_Schedule_Times,"&lt;"&amp;B3281),INDEX(R_Schedule_Amounts,MATCH(B3281,R_Schedule_Times,1)),Starting_Cash),IF(COUNTIFS(R_Schedule_Times,"&gt;"&amp;B3280,R_Schedule_Times,"&lt;"&amp;B3281),INDEX(R_Schedule_Amounts,MATCH(B3281,R_Schedule_Times,1)),K3280)),"")</f>
        <v>2620</v>
      </c>
      <c r="I3281" s="30">
        <f t="shared" si="255"/>
        <v>500</v>
      </c>
      <c r="J3281" s="31">
        <f t="shared" si="256"/>
        <v>0</v>
      </c>
      <c r="K3281" s="29">
        <f t="shared" si="257"/>
        <v>2120</v>
      </c>
      <c r="L3281" s="31" t="str">
        <f t="shared" si="258"/>
        <v/>
      </c>
      <c r="M3281" s="31" t="str">
        <f t="shared" si="259"/>
        <v/>
      </c>
    </row>
    <row r="3282" spans="1:13" x14ac:dyDescent="0.15">
      <c r="A3282" s="163" t="s">
        <v>210</v>
      </c>
      <c r="B3282" s="163">
        <v>42360.765944317129</v>
      </c>
      <c r="C3282" s="164" t="s">
        <v>2654</v>
      </c>
      <c r="D3282" s="164" t="s">
        <v>13</v>
      </c>
      <c r="E3282" s="165">
        <v>180</v>
      </c>
      <c r="F3282" s="166">
        <v>0</v>
      </c>
      <c r="G3282" s="227">
        <f>IF($B$2,IF(ROWS(B$6:$B3282) = 1,$B3282-Start_Date,$B3282-$B3281),"")</f>
        <v>5.5035555553331506E-2</v>
      </c>
      <c r="H3282" s="29">
        <f>IF($B$2,IF(ROWS(B$6:$B3282) = 1,IF(COUNTIFS(R_Schedule_Times,"&lt;"&amp;B3282),INDEX(R_Schedule_Amounts,MATCH(B3282,R_Schedule_Times,1)),Starting_Cash),IF(COUNTIFS(R_Schedule_Times,"&gt;"&amp;B3281,R_Schedule_Times,"&lt;"&amp;B3282),INDEX(R_Schedule_Amounts,MATCH(B3282,R_Schedule_Times,1)),K3281)),"")</f>
        <v>2120</v>
      </c>
      <c r="I3282" s="30">
        <f t="shared" si="255"/>
        <v>180</v>
      </c>
      <c r="J3282" s="31">
        <f t="shared" si="256"/>
        <v>0</v>
      </c>
      <c r="K3282" s="29">
        <f t="shared" si="257"/>
        <v>1940</v>
      </c>
      <c r="L3282" s="31" t="str">
        <f t="shared" si="258"/>
        <v/>
      </c>
      <c r="M3282" s="31" t="str">
        <f t="shared" si="259"/>
        <v/>
      </c>
    </row>
    <row r="3283" spans="1:13" x14ac:dyDescent="0.15">
      <c r="A3283" s="163" t="s">
        <v>210</v>
      </c>
      <c r="B3283" s="163">
        <v>42360.768644398151</v>
      </c>
      <c r="C3283" s="164" t="s">
        <v>2655</v>
      </c>
      <c r="D3283" s="164" t="s">
        <v>13</v>
      </c>
      <c r="E3283" s="165">
        <v>40</v>
      </c>
      <c r="F3283" s="166">
        <v>0</v>
      </c>
      <c r="G3283" s="227">
        <f>IF($B$2,IF(ROWS(B$6:$B3283) = 1,$B3283-Start_Date,$B3283-$B3282),"")</f>
        <v>2.700081022339873E-3</v>
      </c>
      <c r="H3283" s="29">
        <f>IF($B$2,IF(ROWS(B$6:$B3283) = 1,IF(COUNTIFS(R_Schedule_Times,"&lt;"&amp;B3283),INDEX(R_Schedule_Amounts,MATCH(B3283,R_Schedule_Times,1)),Starting_Cash),IF(COUNTIFS(R_Schedule_Times,"&gt;"&amp;B3282,R_Schedule_Times,"&lt;"&amp;B3283),INDEX(R_Schedule_Amounts,MATCH(B3283,R_Schedule_Times,1)),K3282)),"")</f>
        <v>1940</v>
      </c>
      <c r="I3283" s="30">
        <f t="shared" si="255"/>
        <v>40</v>
      </c>
      <c r="J3283" s="31">
        <f t="shared" si="256"/>
        <v>0</v>
      </c>
      <c r="K3283" s="29">
        <f t="shared" si="257"/>
        <v>1900</v>
      </c>
      <c r="L3283" s="31" t="str">
        <f t="shared" si="258"/>
        <v/>
      </c>
      <c r="M3283" s="31" t="str">
        <f t="shared" si="259"/>
        <v/>
      </c>
    </row>
    <row r="3284" spans="1:13" x14ac:dyDescent="0.15">
      <c r="A3284" s="163" t="s">
        <v>210</v>
      </c>
      <c r="B3284" s="163">
        <v>42360.770567245374</v>
      </c>
      <c r="C3284" s="164" t="s">
        <v>2656</v>
      </c>
      <c r="D3284" s="164" t="s">
        <v>13</v>
      </c>
      <c r="E3284" s="165">
        <v>380</v>
      </c>
      <c r="F3284" s="166">
        <v>0</v>
      </c>
      <c r="G3284" s="227">
        <f>IF($B$2,IF(ROWS(B$6:$B3284) = 1,$B3284-Start_Date,$B3284-$B3283),"")</f>
        <v>1.9228472228860483E-3</v>
      </c>
      <c r="H3284" s="29">
        <f>IF($B$2,IF(ROWS(B$6:$B3284) = 1,IF(COUNTIFS(R_Schedule_Times,"&lt;"&amp;B3284),INDEX(R_Schedule_Amounts,MATCH(B3284,R_Schedule_Times,1)),Starting_Cash),IF(COUNTIFS(R_Schedule_Times,"&gt;"&amp;B3283,R_Schedule_Times,"&lt;"&amp;B3284),INDEX(R_Schedule_Amounts,MATCH(B3284,R_Schedule_Times,1)),K3283)),"")</f>
        <v>1900</v>
      </c>
      <c r="I3284" s="30">
        <f t="shared" si="255"/>
        <v>380</v>
      </c>
      <c r="J3284" s="31">
        <f t="shared" si="256"/>
        <v>0</v>
      </c>
      <c r="K3284" s="29">
        <f t="shared" si="257"/>
        <v>1520</v>
      </c>
      <c r="L3284" s="31" t="str">
        <f t="shared" si="258"/>
        <v/>
      </c>
      <c r="M3284" s="31" t="str">
        <f t="shared" si="259"/>
        <v/>
      </c>
    </row>
    <row r="3285" spans="1:13" x14ac:dyDescent="0.15">
      <c r="A3285" s="163" t="s">
        <v>210</v>
      </c>
      <c r="B3285" s="163">
        <v>42360.817154687502</v>
      </c>
      <c r="C3285" s="164" t="s">
        <v>2657</v>
      </c>
      <c r="D3285" s="164" t="s">
        <v>13</v>
      </c>
      <c r="E3285" s="165">
        <v>120</v>
      </c>
      <c r="F3285" s="166">
        <v>0</v>
      </c>
      <c r="G3285" s="227">
        <f>IF($B$2,IF(ROWS(B$6:$B3285) = 1,$B3285-Start_Date,$B3285-$B3284),"")</f>
        <v>4.6587442127929535E-2</v>
      </c>
      <c r="H3285" s="29">
        <f>IF($B$2,IF(ROWS(B$6:$B3285) = 1,IF(COUNTIFS(R_Schedule_Times,"&lt;"&amp;B3285),INDEX(R_Schedule_Amounts,MATCH(B3285,R_Schedule_Times,1)),Starting_Cash),IF(COUNTIFS(R_Schedule_Times,"&gt;"&amp;B3284,R_Schedule_Times,"&lt;"&amp;B3285),INDEX(R_Schedule_Amounts,MATCH(B3285,R_Schedule_Times,1)),K3284)),"")</f>
        <v>1520</v>
      </c>
      <c r="I3285" s="30">
        <f t="shared" si="255"/>
        <v>120</v>
      </c>
      <c r="J3285" s="31">
        <f t="shared" si="256"/>
        <v>0</v>
      </c>
      <c r="K3285" s="29">
        <f t="shared" si="257"/>
        <v>1400</v>
      </c>
      <c r="L3285" s="31" t="str">
        <f t="shared" si="258"/>
        <v/>
      </c>
      <c r="M3285" s="31" t="str">
        <f t="shared" si="259"/>
        <v/>
      </c>
    </row>
    <row r="3286" spans="1:13" x14ac:dyDescent="0.15">
      <c r="A3286" s="163" t="s">
        <v>210</v>
      </c>
      <c r="B3286" s="163">
        <v>42360.850738333334</v>
      </c>
      <c r="C3286" s="164" t="s">
        <v>2658</v>
      </c>
      <c r="D3286" s="164" t="s">
        <v>13</v>
      </c>
      <c r="E3286" s="165">
        <v>80</v>
      </c>
      <c r="F3286" s="166">
        <v>0</v>
      </c>
      <c r="G3286" s="227">
        <f>IF($B$2,IF(ROWS(B$6:$B3286) = 1,$B3286-Start_Date,$B3286-$B3285),"")</f>
        <v>3.3583645832550246E-2</v>
      </c>
      <c r="H3286" s="29">
        <f>IF($B$2,IF(ROWS(B$6:$B3286) = 1,IF(COUNTIFS(R_Schedule_Times,"&lt;"&amp;B3286),INDEX(R_Schedule_Amounts,MATCH(B3286,R_Schedule_Times,1)),Starting_Cash),IF(COUNTIFS(R_Schedule_Times,"&gt;"&amp;B3285,R_Schedule_Times,"&lt;"&amp;B3286),INDEX(R_Schedule_Amounts,MATCH(B3286,R_Schedule_Times,1)),K3285)),"")</f>
        <v>1400</v>
      </c>
      <c r="I3286" s="30">
        <f t="shared" si="255"/>
        <v>80</v>
      </c>
      <c r="J3286" s="31">
        <f t="shared" si="256"/>
        <v>0</v>
      </c>
      <c r="K3286" s="29">
        <f t="shared" si="257"/>
        <v>1320</v>
      </c>
      <c r="L3286" s="31" t="str">
        <f t="shared" si="258"/>
        <v/>
      </c>
      <c r="M3286" s="31" t="str">
        <f t="shared" si="259"/>
        <v/>
      </c>
    </row>
    <row r="3287" spans="1:13" x14ac:dyDescent="0.15">
      <c r="A3287" s="163" t="s">
        <v>210</v>
      </c>
      <c r="B3287" s="163">
        <v>42361.252367118053</v>
      </c>
      <c r="C3287" s="164" t="s">
        <v>2659</v>
      </c>
      <c r="D3287" s="164" t="s">
        <v>13</v>
      </c>
      <c r="E3287" s="165">
        <v>60</v>
      </c>
      <c r="F3287" s="166">
        <v>0</v>
      </c>
      <c r="G3287" s="227">
        <f>IF($B$2,IF(ROWS(B$6:$B3287) = 1,$B3287-Start_Date,$B3287-$B3286),"")</f>
        <v>0.40162878471892327</v>
      </c>
      <c r="H3287" s="29">
        <f>IF($B$2,IF(ROWS(B$6:$B3287) = 1,IF(COUNTIFS(R_Schedule_Times,"&lt;"&amp;B3287),INDEX(R_Schedule_Amounts,MATCH(B3287,R_Schedule_Times,1)),Starting_Cash),IF(COUNTIFS(R_Schedule_Times,"&gt;"&amp;B3286,R_Schedule_Times,"&lt;"&amp;B3287),INDEX(R_Schedule_Amounts,MATCH(B3287,R_Schedule_Times,1)),K3286)),"")</f>
        <v>1320</v>
      </c>
      <c r="I3287" s="30">
        <f t="shared" si="255"/>
        <v>60</v>
      </c>
      <c r="J3287" s="31">
        <f t="shared" si="256"/>
        <v>0</v>
      </c>
      <c r="K3287" s="29">
        <f t="shared" si="257"/>
        <v>1260</v>
      </c>
      <c r="L3287" s="31" t="str">
        <f t="shared" si="258"/>
        <v/>
      </c>
      <c r="M3287" s="31" t="str">
        <f t="shared" si="259"/>
        <v/>
      </c>
    </row>
    <row r="3288" spans="1:13" x14ac:dyDescent="0.15">
      <c r="A3288" s="163" t="s">
        <v>210</v>
      </c>
      <c r="B3288" s="163">
        <v>42361.286410057874</v>
      </c>
      <c r="C3288" s="164" t="s">
        <v>1885</v>
      </c>
      <c r="D3288" s="164" t="s">
        <v>13</v>
      </c>
      <c r="E3288" s="165">
        <v>40</v>
      </c>
      <c r="F3288" s="166">
        <v>0</v>
      </c>
      <c r="G3288" s="227">
        <f>IF($B$2,IF(ROWS(B$6:$B3288) = 1,$B3288-Start_Date,$B3288-$B3287),"")</f>
        <v>3.4042939820210449E-2</v>
      </c>
      <c r="H3288" s="29">
        <f>IF($B$2,IF(ROWS(B$6:$B3288) = 1,IF(COUNTIFS(R_Schedule_Times,"&lt;"&amp;B3288),INDEX(R_Schedule_Amounts,MATCH(B3288,R_Schedule_Times,1)),Starting_Cash),IF(COUNTIFS(R_Schedule_Times,"&gt;"&amp;B3287,R_Schedule_Times,"&lt;"&amp;B3288),INDEX(R_Schedule_Amounts,MATCH(B3288,R_Schedule_Times,1)),K3287)),"")</f>
        <v>1260</v>
      </c>
      <c r="I3288" s="30">
        <f t="shared" si="255"/>
        <v>40</v>
      </c>
      <c r="J3288" s="31">
        <f t="shared" si="256"/>
        <v>0</v>
      </c>
      <c r="K3288" s="29">
        <f t="shared" si="257"/>
        <v>1220</v>
      </c>
      <c r="L3288" s="31" t="str">
        <f t="shared" si="258"/>
        <v/>
      </c>
      <c r="M3288" s="31" t="str">
        <f t="shared" si="259"/>
        <v/>
      </c>
    </row>
    <row r="3289" spans="1:13" x14ac:dyDescent="0.15">
      <c r="A3289" s="163" t="s">
        <v>210</v>
      </c>
      <c r="B3289" s="163">
        <v>42361.343191562497</v>
      </c>
      <c r="C3289" s="164" t="s">
        <v>2660</v>
      </c>
      <c r="D3289" s="164" t="s">
        <v>13</v>
      </c>
      <c r="E3289" s="165">
        <v>120</v>
      </c>
      <c r="F3289" s="166">
        <v>0</v>
      </c>
      <c r="G3289" s="227">
        <f>IF($B$2,IF(ROWS(B$6:$B3289) = 1,$B3289-Start_Date,$B3289-$B3288),"")</f>
        <v>5.6781504623359069E-2</v>
      </c>
      <c r="H3289" s="29">
        <f>IF($B$2,IF(ROWS(B$6:$B3289) = 1,IF(COUNTIFS(R_Schedule_Times,"&lt;"&amp;B3289),INDEX(R_Schedule_Amounts,MATCH(B3289,R_Schedule_Times,1)),Starting_Cash),IF(COUNTIFS(R_Schedule_Times,"&gt;"&amp;B3288,R_Schedule_Times,"&lt;"&amp;B3289),INDEX(R_Schedule_Amounts,MATCH(B3289,R_Schedule_Times,1)),K3288)),"")</f>
        <v>1220</v>
      </c>
      <c r="I3289" s="30">
        <f t="shared" si="255"/>
        <v>120</v>
      </c>
      <c r="J3289" s="31">
        <f t="shared" si="256"/>
        <v>0</v>
      </c>
      <c r="K3289" s="29">
        <f t="shared" si="257"/>
        <v>1100</v>
      </c>
      <c r="L3289" s="31" t="str">
        <f t="shared" si="258"/>
        <v/>
      </c>
      <c r="M3289" s="31" t="str">
        <f t="shared" si="259"/>
        <v/>
      </c>
    </row>
    <row r="3290" spans="1:13" x14ac:dyDescent="0.15">
      <c r="A3290" s="163" t="s">
        <v>210</v>
      </c>
      <c r="B3290" s="163">
        <v>42361.354401458331</v>
      </c>
      <c r="C3290" s="164" t="s">
        <v>2661</v>
      </c>
      <c r="D3290" s="164" t="s">
        <v>13</v>
      </c>
      <c r="E3290" s="165">
        <v>100</v>
      </c>
      <c r="F3290" s="166">
        <v>0</v>
      </c>
      <c r="G3290" s="227">
        <f>IF($B$2,IF(ROWS(B$6:$B3290) = 1,$B3290-Start_Date,$B3290-$B3289),"")</f>
        <v>1.1209895834326744E-2</v>
      </c>
      <c r="H3290" s="29">
        <f>IF($B$2,IF(ROWS(B$6:$B3290) = 1,IF(COUNTIFS(R_Schedule_Times,"&lt;"&amp;B3290),INDEX(R_Schedule_Amounts,MATCH(B3290,R_Schedule_Times,1)),Starting_Cash),IF(COUNTIFS(R_Schedule_Times,"&gt;"&amp;B3289,R_Schedule_Times,"&lt;"&amp;B3290),INDEX(R_Schedule_Amounts,MATCH(B3290,R_Schedule_Times,1)),K3289)),"")</f>
        <v>1100</v>
      </c>
      <c r="I3290" s="30">
        <f t="shared" si="255"/>
        <v>100</v>
      </c>
      <c r="J3290" s="31">
        <f t="shared" si="256"/>
        <v>0</v>
      </c>
      <c r="K3290" s="29">
        <f t="shared" si="257"/>
        <v>1000</v>
      </c>
      <c r="L3290" s="31" t="str">
        <f t="shared" si="258"/>
        <v/>
      </c>
      <c r="M3290" s="31" t="str">
        <f t="shared" si="259"/>
        <v/>
      </c>
    </row>
    <row r="3291" spans="1:13" x14ac:dyDescent="0.15">
      <c r="A3291" s="163" t="s">
        <v>210</v>
      </c>
      <c r="B3291" s="163">
        <v>42361.35582005787</v>
      </c>
      <c r="C3291" s="164" t="s">
        <v>1890</v>
      </c>
      <c r="D3291" s="164" t="s">
        <v>13</v>
      </c>
      <c r="E3291" s="165">
        <v>40</v>
      </c>
      <c r="F3291" s="166">
        <v>0</v>
      </c>
      <c r="G3291" s="227">
        <f>IF($B$2,IF(ROWS(B$6:$B3291) = 1,$B3291-Start_Date,$B3291-$B3290),"")</f>
        <v>1.418599538737908E-3</v>
      </c>
      <c r="H3291" s="29">
        <f>IF($B$2,IF(ROWS(B$6:$B3291) = 1,IF(COUNTIFS(R_Schedule_Times,"&lt;"&amp;B3291),INDEX(R_Schedule_Amounts,MATCH(B3291,R_Schedule_Times,1)),Starting_Cash),IF(COUNTIFS(R_Schedule_Times,"&gt;"&amp;B3290,R_Schedule_Times,"&lt;"&amp;B3291),INDEX(R_Schedule_Amounts,MATCH(B3291,R_Schedule_Times,1)),K3290)),"")</f>
        <v>1000</v>
      </c>
      <c r="I3291" s="30">
        <f t="shared" si="255"/>
        <v>40</v>
      </c>
      <c r="J3291" s="31">
        <f t="shared" si="256"/>
        <v>0</v>
      </c>
      <c r="K3291" s="29">
        <f t="shared" si="257"/>
        <v>960</v>
      </c>
      <c r="L3291" s="31" t="str">
        <f t="shared" si="258"/>
        <v/>
      </c>
      <c r="M3291" s="31" t="str">
        <f t="shared" si="259"/>
        <v/>
      </c>
    </row>
    <row r="3292" spans="1:13" x14ac:dyDescent="0.15">
      <c r="A3292" s="163" t="s">
        <v>210</v>
      </c>
      <c r="B3292" s="163">
        <v>42361.375729791667</v>
      </c>
      <c r="C3292" s="164" t="s">
        <v>2662</v>
      </c>
      <c r="D3292" s="164" t="s">
        <v>13</v>
      </c>
      <c r="E3292" s="165">
        <v>60</v>
      </c>
      <c r="F3292" s="166">
        <v>0</v>
      </c>
      <c r="G3292" s="227">
        <f>IF($B$2,IF(ROWS(B$6:$B3292) = 1,$B3292-Start_Date,$B3292-$B3291),"")</f>
        <v>1.9909733797248919E-2</v>
      </c>
      <c r="H3292" s="29">
        <f>IF($B$2,IF(ROWS(B$6:$B3292) = 1,IF(COUNTIFS(R_Schedule_Times,"&lt;"&amp;B3292),INDEX(R_Schedule_Amounts,MATCH(B3292,R_Schedule_Times,1)),Starting_Cash),IF(COUNTIFS(R_Schedule_Times,"&gt;"&amp;B3291,R_Schedule_Times,"&lt;"&amp;B3292),INDEX(R_Schedule_Amounts,MATCH(B3292,R_Schedule_Times,1)),K3291)),"")</f>
        <v>960</v>
      </c>
      <c r="I3292" s="30">
        <f t="shared" si="255"/>
        <v>60</v>
      </c>
      <c r="J3292" s="31">
        <f t="shared" si="256"/>
        <v>0</v>
      </c>
      <c r="K3292" s="29">
        <f t="shared" si="257"/>
        <v>900</v>
      </c>
      <c r="L3292" s="31" t="str">
        <f t="shared" si="258"/>
        <v/>
      </c>
      <c r="M3292" s="31" t="str">
        <f t="shared" si="259"/>
        <v/>
      </c>
    </row>
    <row r="3293" spans="1:13" x14ac:dyDescent="0.15">
      <c r="A3293" s="163" t="s">
        <v>210</v>
      </c>
      <c r="B3293" s="163">
        <v>42361.408239965276</v>
      </c>
      <c r="C3293" s="164" t="s">
        <v>2663</v>
      </c>
      <c r="D3293" s="164" t="s">
        <v>13</v>
      </c>
      <c r="E3293" s="165">
        <v>40</v>
      </c>
      <c r="F3293" s="166">
        <v>0</v>
      </c>
      <c r="G3293" s="227">
        <f>IF($B$2,IF(ROWS(B$6:$B3293) = 1,$B3293-Start_Date,$B3293-$B3292),"")</f>
        <v>3.2510173608898185E-2</v>
      </c>
      <c r="H3293" s="29">
        <f>IF($B$2,IF(ROWS(B$6:$B3293) = 1,IF(COUNTIFS(R_Schedule_Times,"&lt;"&amp;B3293),INDEX(R_Schedule_Amounts,MATCH(B3293,R_Schedule_Times,1)),Starting_Cash),IF(COUNTIFS(R_Schedule_Times,"&gt;"&amp;B3292,R_Schedule_Times,"&lt;"&amp;B3293),INDEX(R_Schedule_Amounts,MATCH(B3293,R_Schedule_Times,1)),K3292)),"")</f>
        <v>900</v>
      </c>
      <c r="I3293" s="30">
        <f t="shared" si="255"/>
        <v>40</v>
      </c>
      <c r="J3293" s="31">
        <f t="shared" si="256"/>
        <v>0</v>
      </c>
      <c r="K3293" s="29">
        <f t="shared" si="257"/>
        <v>860</v>
      </c>
      <c r="L3293" s="31" t="str">
        <f t="shared" si="258"/>
        <v/>
      </c>
      <c r="M3293" s="31" t="str">
        <f t="shared" si="259"/>
        <v/>
      </c>
    </row>
    <row r="3294" spans="1:13" x14ac:dyDescent="0.15">
      <c r="A3294" s="163" t="s">
        <v>210</v>
      </c>
      <c r="B3294" s="163">
        <v>42361.471569861111</v>
      </c>
      <c r="C3294" s="164" t="s">
        <v>2207</v>
      </c>
      <c r="D3294" s="164" t="s">
        <v>13</v>
      </c>
      <c r="E3294" s="165">
        <v>40</v>
      </c>
      <c r="F3294" s="166">
        <v>0</v>
      </c>
      <c r="G3294" s="227">
        <f>IF($B$2,IF(ROWS(B$6:$B3294) = 1,$B3294-Start_Date,$B3294-$B3293),"")</f>
        <v>6.3329895834613126E-2</v>
      </c>
      <c r="H3294" s="29">
        <f>IF($B$2,IF(ROWS(B$6:$B3294) = 1,IF(COUNTIFS(R_Schedule_Times,"&lt;"&amp;B3294),INDEX(R_Schedule_Amounts,MATCH(B3294,R_Schedule_Times,1)),Starting_Cash),IF(COUNTIFS(R_Schedule_Times,"&gt;"&amp;B3293,R_Schedule_Times,"&lt;"&amp;B3294),INDEX(R_Schedule_Amounts,MATCH(B3294,R_Schedule_Times,1)),K3293)),"")</f>
        <v>860</v>
      </c>
      <c r="I3294" s="30">
        <f t="shared" si="255"/>
        <v>40</v>
      </c>
      <c r="J3294" s="31">
        <f t="shared" si="256"/>
        <v>0</v>
      </c>
      <c r="K3294" s="29">
        <f t="shared" si="257"/>
        <v>820</v>
      </c>
      <c r="L3294" s="31" t="str">
        <f t="shared" si="258"/>
        <v/>
      </c>
      <c r="M3294" s="31" t="str">
        <f t="shared" si="259"/>
        <v/>
      </c>
    </row>
    <row r="3295" spans="1:13" x14ac:dyDescent="0.15">
      <c r="A3295" s="163" t="s">
        <v>210</v>
      </c>
      <c r="B3295" s="163">
        <v>42361.481477187503</v>
      </c>
      <c r="C3295" s="164" t="s">
        <v>2664</v>
      </c>
      <c r="D3295" s="164" t="s">
        <v>13</v>
      </c>
      <c r="E3295" s="165">
        <v>100</v>
      </c>
      <c r="F3295" s="166">
        <v>0</v>
      </c>
      <c r="G3295" s="227">
        <f>IF($B$2,IF(ROWS(B$6:$B3295) = 1,$B3295-Start_Date,$B3295-$B3294),"")</f>
        <v>9.9073263918398879E-3</v>
      </c>
      <c r="H3295" s="29">
        <f>IF($B$2,IF(ROWS(B$6:$B3295) = 1,IF(COUNTIFS(R_Schedule_Times,"&lt;"&amp;B3295),INDEX(R_Schedule_Amounts,MATCH(B3295,R_Schedule_Times,1)),Starting_Cash),IF(COUNTIFS(R_Schedule_Times,"&gt;"&amp;B3294,R_Schedule_Times,"&lt;"&amp;B3295),INDEX(R_Schedule_Amounts,MATCH(B3295,R_Schedule_Times,1)),K3294)),"")</f>
        <v>820</v>
      </c>
      <c r="I3295" s="30">
        <f t="shared" si="255"/>
        <v>100</v>
      </c>
      <c r="J3295" s="31">
        <f t="shared" si="256"/>
        <v>0</v>
      </c>
      <c r="K3295" s="29">
        <f t="shared" si="257"/>
        <v>720</v>
      </c>
      <c r="L3295" s="31" t="str">
        <f t="shared" si="258"/>
        <v/>
      </c>
      <c r="M3295" s="31" t="str">
        <f t="shared" si="259"/>
        <v/>
      </c>
    </row>
    <row r="3296" spans="1:13" x14ac:dyDescent="0.15">
      <c r="A3296" s="163" t="s">
        <v>210</v>
      </c>
      <c r="B3296" s="163">
        <v>42361.482666157404</v>
      </c>
      <c r="C3296" s="164" t="s">
        <v>2665</v>
      </c>
      <c r="D3296" s="164" t="s">
        <v>13</v>
      </c>
      <c r="E3296" s="165">
        <v>100</v>
      </c>
      <c r="F3296" s="166">
        <v>0</v>
      </c>
      <c r="G3296" s="227">
        <f>IF($B$2,IF(ROWS(B$6:$B3296) = 1,$B3296-Start_Date,$B3296-$B3295),"")</f>
        <v>1.1889699017046951E-3</v>
      </c>
      <c r="H3296" s="29">
        <f>IF($B$2,IF(ROWS(B$6:$B3296) = 1,IF(COUNTIFS(R_Schedule_Times,"&lt;"&amp;B3296),INDEX(R_Schedule_Amounts,MATCH(B3296,R_Schedule_Times,1)),Starting_Cash),IF(COUNTIFS(R_Schedule_Times,"&gt;"&amp;B3295,R_Schedule_Times,"&lt;"&amp;B3296),INDEX(R_Schedule_Amounts,MATCH(B3296,R_Schedule_Times,1)),K3295)),"")</f>
        <v>720</v>
      </c>
      <c r="I3296" s="30">
        <f t="shared" si="255"/>
        <v>100</v>
      </c>
      <c r="J3296" s="31">
        <f t="shared" si="256"/>
        <v>0</v>
      </c>
      <c r="K3296" s="29">
        <f t="shared" si="257"/>
        <v>620</v>
      </c>
      <c r="L3296" s="31" t="str">
        <f t="shared" si="258"/>
        <v/>
      </c>
      <c r="M3296" s="31" t="str">
        <f t="shared" si="259"/>
        <v/>
      </c>
    </row>
    <row r="3297" spans="1:13" x14ac:dyDescent="0.15">
      <c r="A3297" s="163" t="s">
        <v>210</v>
      </c>
      <c r="B3297" s="163">
        <v>42361.487116296295</v>
      </c>
      <c r="C3297" s="164" t="s">
        <v>545</v>
      </c>
      <c r="D3297" s="164" t="s">
        <v>13</v>
      </c>
      <c r="E3297" s="165">
        <v>60</v>
      </c>
      <c r="F3297" s="166">
        <v>0</v>
      </c>
      <c r="G3297" s="227">
        <f>IF($B$2,IF(ROWS(B$6:$B3297) = 1,$B3297-Start_Date,$B3297-$B3296),"")</f>
        <v>4.4501388911157846E-3</v>
      </c>
      <c r="H3297" s="29">
        <f>IF($B$2,IF(ROWS(B$6:$B3297) = 1,IF(COUNTIFS(R_Schedule_Times,"&lt;"&amp;B3297),INDEX(R_Schedule_Amounts,MATCH(B3297,R_Schedule_Times,1)),Starting_Cash),IF(COUNTIFS(R_Schedule_Times,"&gt;"&amp;B3296,R_Schedule_Times,"&lt;"&amp;B3297),INDEX(R_Schedule_Amounts,MATCH(B3297,R_Schedule_Times,1)),K3296)),"")</f>
        <v>620</v>
      </c>
      <c r="I3297" s="30">
        <f t="shared" si="255"/>
        <v>60</v>
      </c>
      <c r="J3297" s="31">
        <f t="shared" si="256"/>
        <v>0</v>
      </c>
      <c r="K3297" s="29">
        <f t="shared" si="257"/>
        <v>560</v>
      </c>
      <c r="L3297" s="31" t="str">
        <f t="shared" si="258"/>
        <v/>
      </c>
      <c r="M3297" s="31" t="str">
        <f t="shared" si="259"/>
        <v/>
      </c>
    </row>
    <row r="3298" spans="1:13" x14ac:dyDescent="0.15">
      <c r="A3298" s="163" t="s">
        <v>210</v>
      </c>
      <c r="B3298" s="163">
        <v>42361.48994388889</v>
      </c>
      <c r="C3298" s="164" t="s">
        <v>2666</v>
      </c>
      <c r="D3298" s="164" t="s">
        <v>13</v>
      </c>
      <c r="E3298" s="165">
        <v>40</v>
      </c>
      <c r="F3298" s="166">
        <v>0</v>
      </c>
      <c r="G3298" s="227">
        <f>IF($B$2,IF(ROWS(B$6:$B3298) = 1,$B3298-Start_Date,$B3298-$B3297),"")</f>
        <v>2.8275925942580216E-3</v>
      </c>
      <c r="H3298" s="29">
        <f>IF($B$2,IF(ROWS(B$6:$B3298) = 1,IF(COUNTIFS(R_Schedule_Times,"&lt;"&amp;B3298),INDEX(R_Schedule_Amounts,MATCH(B3298,R_Schedule_Times,1)),Starting_Cash),IF(COUNTIFS(R_Schedule_Times,"&gt;"&amp;B3297,R_Schedule_Times,"&lt;"&amp;B3298),INDEX(R_Schedule_Amounts,MATCH(B3298,R_Schedule_Times,1)),K3297)),"")</f>
        <v>560</v>
      </c>
      <c r="I3298" s="30">
        <f t="shared" si="255"/>
        <v>40</v>
      </c>
      <c r="J3298" s="31">
        <f t="shared" si="256"/>
        <v>0</v>
      </c>
      <c r="K3298" s="29">
        <f t="shared" si="257"/>
        <v>520</v>
      </c>
      <c r="L3298" s="31" t="str">
        <f t="shared" si="258"/>
        <v/>
      </c>
      <c r="M3298" s="31" t="str">
        <f t="shared" si="259"/>
        <v/>
      </c>
    </row>
    <row r="3299" spans="1:13" x14ac:dyDescent="0.15">
      <c r="A3299" s="163" t="s">
        <v>210</v>
      </c>
      <c r="B3299" s="163">
        <v>42361.491506423612</v>
      </c>
      <c r="C3299" s="164" t="s">
        <v>2667</v>
      </c>
      <c r="D3299" s="164" t="s">
        <v>13</v>
      </c>
      <c r="E3299" s="165">
        <v>100</v>
      </c>
      <c r="F3299" s="166">
        <v>0</v>
      </c>
      <c r="G3299" s="227">
        <f>IF($B$2,IF(ROWS(B$6:$B3299) = 1,$B3299-Start_Date,$B3299-$B3298),"")</f>
        <v>1.5625347223249264E-3</v>
      </c>
      <c r="H3299" s="29">
        <f>IF($B$2,IF(ROWS(B$6:$B3299) = 1,IF(COUNTIFS(R_Schedule_Times,"&lt;"&amp;B3299),INDEX(R_Schedule_Amounts,MATCH(B3299,R_Schedule_Times,1)),Starting_Cash),IF(COUNTIFS(R_Schedule_Times,"&gt;"&amp;B3298,R_Schedule_Times,"&lt;"&amp;B3299),INDEX(R_Schedule_Amounts,MATCH(B3299,R_Schedule_Times,1)),K3298)),"")</f>
        <v>520</v>
      </c>
      <c r="I3299" s="30">
        <f t="shared" si="255"/>
        <v>100</v>
      </c>
      <c r="J3299" s="31">
        <f t="shared" si="256"/>
        <v>0</v>
      </c>
      <c r="K3299" s="29">
        <f t="shared" si="257"/>
        <v>420</v>
      </c>
      <c r="L3299" s="31" t="str">
        <f t="shared" si="258"/>
        <v/>
      </c>
      <c r="M3299" s="31" t="str">
        <f t="shared" si="259"/>
        <v/>
      </c>
    </row>
    <row r="3300" spans="1:13" x14ac:dyDescent="0.15">
      <c r="A3300" s="163" t="s">
        <v>210</v>
      </c>
      <c r="B3300" s="163">
        <v>42361.497438923609</v>
      </c>
      <c r="C3300" s="164" t="s">
        <v>14</v>
      </c>
      <c r="D3300" s="164" t="s">
        <v>13</v>
      </c>
      <c r="E3300" s="165">
        <v>200</v>
      </c>
      <c r="F3300" s="166">
        <v>3.5</v>
      </c>
      <c r="G3300" s="227">
        <f>IF($B$2,IF(ROWS(B$6:$B3300) = 1,$B3300-Start_Date,$B3300-$B3299),"")</f>
        <v>5.9324999965610914E-3</v>
      </c>
      <c r="H3300" s="29">
        <f>IF($B$2,IF(ROWS(B$6:$B3300) = 1,IF(COUNTIFS(R_Schedule_Times,"&lt;"&amp;B3300),INDEX(R_Schedule_Amounts,MATCH(B3300,R_Schedule_Times,1)),Starting_Cash),IF(COUNTIFS(R_Schedule_Times,"&gt;"&amp;B3299,R_Schedule_Times,"&lt;"&amp;B3300),INDEX(R_Schedule_Amounts,MATCH(B3300,R_Schedule_Times,1)),K3299)),"")</f>
        <v>420</v>
      </c>
      <c r="I3300" s="30">
        <f t="shared" si="255"/>
        <v>200</v>
      </c>
      <c r="J3300" s="31">
        <f t="shared" si="256"/>
        <v>3.5</v>
      </c>
      <c r="K3300" s="29">
        <f t="shared" si="257"/>
        <v>220</v>
      </c>
      <c r="L3300" s="31" t="str">
        <f t="shared" si="258"/>
        <v/>
      </c>
      <c r="M3300" s="31" t="str">
        <f t="shared" si="259"/>
        <v/>
      </c>
    </row>
    <row r="3301" spans="1:13" x14ac:dyDescent="0.15">
      <c r="A3301" s="163" t="s">
        <v>210</v>
      </c>
      <c r="B3301" s="163">
        <v>42361.502501759256</v>
      </c>
      <c r="C3301" s="164" t="s">
        <v>1124</v>
      </c>
      <c r="D3301" s="164" t="s">
        <v>13</v>
      </c>
      <c r="E3301" s="165">
        <v>120</v>
      </c>
      <c r="F3301" s="166">
        <v>0</v>
      </c>
      <c r="G3301" s="227">
        <f>IF($B$2,IF(ROWS(B$6:$B3301) = 1,$B3301-Start_Date,$B3301-$B3300),"")</f>
        <v>5.0628356475499459E-3</v>
      </c>
      <c r="H3301" s="29">
        <f>IF($B$2,IF(ROWS(B$6:$B3301) = 1,IF(COUNTIFS(R_Schedule_Times,"&lt;"&amp;B3301),INDEX(R_Schedule_Amounts,MATCH(B3301,R_Schedule_Times,1)),Starting_Cash),IF(COUNTIFS(R_Schedule_Times,"&gt;"&amp;B3300,R_Schedule_Times,"&lt;"&amp;B3301),INDEX(R_Schedule_Amounts,MATCH(B3301,R_Schedule_Times,1)),K3300)),"")</f>
        <v>220</v>
      </c>
      <c r="I3301" s="30">
        <f t="shared" si="255"/>
        <v>120</v>
      </c>
      <c r="J3301" s="31">
        <f t="shared" si="256"/>
        <v>0</v>
      </c>
      <c r="K3301" s="29">
        <f t="shared" si="257"/>
        <v>100</v>
      </c>
      <c r="L3301" s="31" t="str">
        <f t="shared" si="258"/>
        <v/>
      </c>
      <c r="M3301" s="31" t="str">
        <f t="shared" si="259"/>
        <v/>
      </c>
    </row>
    <row r="3302" spans="1:13" x14ac:dyDescent="0.15">
      <c r="A3302" s="163" t="s">
        <v>210</v>
      </c>
      <c r="B3302" s="163">
        <v>42361.507423946758</v>
      </c>
      <c r="C3302" s="164" t="s">
        <v>1997</v>
      </c>
      <c r="D3302" s="164" t="s">
        <v>13</v>
      </c>
      <c r="E3302" s="165">
        <v>20</v>
      </c>
      <c r="F3302" s="166">
        <v>0</v>
      </c>
      <c r="G3302" s="227">
        <f>IF($B$2,IF(ROWS(B$6:$B3302) = 1,$B3302-Start_Date,$B3302-$B3301),"")</f>
        <v>4.9221875015064143E-3</v>
      </c>
      <c r="H3302" s="29">
        <f>IF($B$2,IF(ROWS(B$6:$B3302) = 1,IF(COUNTIFS(R_Schedule_Times,"&lt;"&amp;B3302),INDEX(R_Schedule_Amounts,MATCH(B3302,R_Schedule_Times,1)),Starting_Cash),IF(COUNTIFS(R_Schedule_Times,"&gt;"&amp;B3301,R_Schedule_Times,"&lt;"&amp;B3302),INDEX(R_Schedule_Amounts,MATCH(B3302,R_Schedule_Times,1)),K3301)),"")</f>
        <v>100</v>
      </c>
      <c r="I3302" s="30">
        <f t="shared" si="255"/>
        <v>20</v>
      </c>
      <c r="J3302" s="31">
        <f t="shared" si="256"/>
        <v>0</v>
      </c>
      <c r="K3302" s="29">
        <f t="shared" si="257"/>
        <v>80</v>
      </c>
      <c r="L3302" s="31" t="str">
        <f t="shared" si="258"/>
        <v/>
      </c>
      <c r="M3302" s="31" t="str">
        <f t="shared" si="259"/>
        <v/>
      </c>
    </row>
    <row r="3303" spans="1:13" x14ac:dyDescent="0.15">
      <c r="A3303" s="163" t="s">
        <v>210</v>
      </c>
      <c r="B3303" s="163">
        <v>42361.516445289351</v>
      </c>
      <c r="C3303" s="164" t="s">
        <v>2668</v>
      </c>
      <c r="D3303" s="164" t="s">
        <v>13</v>
      </c>
      <c r="E3303" s="165">
        <v>200</v>
      </c>
      <c r="F3303" s="166">
        <v>0</v>
      </c>
      <c r="G3303" s="227">
        <f>IF($B$2,IF(ROWS(B$6:$B3303) = 1,$B3303-Start_Date,$B3303-$B3302),"")</f>
        <v>9.0213425937690772E-3</v>
      </c>
      <c r="H3303" s="29">
        <f>IF($B$2,IF(ROWS(B$6:$B3303) = 1,IF(COUNTIFS(R_Schedule_Times,"&lt;"&amp;B3303),INDEX(R_Schedule_Amounts,MATCH(B3303,R_Schedule_Times,1)),Starting_Cash),IF(COUNTIFS(R_Schedule_Times,"&gt;"&amp;B3302,R_Schedule_Times,"&lt;"&amp;B3303),INDEX(R_Schedule_Amounts,MATCH(B3303,R_Schedule_Times,1)),K3302)),"")</f>
        <v>80</v>
      </c>
      <c r="I3303" s="30">
        <f t="shared" si="255"/>
        <v>0</v>
      </c>
      <c r="J3303" s="31">
        <f t="shared" si="256"/>
        <v>0</v>
      </c>
      <c r="K3303" s="29">
        <f t="shared" si="257"/>
        <v>80</v>
      </c>
      <c r="L3303" s="31" t="str">
        <f t="shared" si="258"/>
        <v>YES</v>
      </c>
      <c r="M3303" s="31">
        <f t="shared" si="259"/>
        <v>0</v>
      </c>
    </row>
    <row r="3304" spans="1:13" x14ac:dyDescent="0.15">
      <c r="A3304" s="163" t="s">
        <v>210</v>
      </c>
      <c r="B3304" s="163">
        <v>42361.518543819446</v>
      </c>
      <c r="C3304" s="164" t="s">
        <v>2669</v>
      </c>
      <c r="D3304" s="164" t="s">
        <v>13</v>
      </c>
      <c r="E3304" s="165">
        <v>80</v>
      </c>
      <c r="F3304" s="166">
        <v>0</v>
      </c>
      <c r="G3304" s="227">
        <f>IF($B$2,IF(ROWS(B$6:$B3304) = 1,$B3304-Start_Date,$B3304-$B3303),"")</f>
        <v>2.0985300943721086E-3</v>
      </c>
      <c r="H3304" s="29">
        <f>IF($B$2,IF(ROWS(B$6:$B3304) = 1,IF(COUNTIFS(R_Schedule_Times,"&lt;"&amp;B3304),INDEX(R_Schedule_Amounts,MATCH(B3304,R_Schedule_Times,1)),Starting_Cash),IF(COUNTIFS(R_Schedule_Times,"&gt;"&amp;B3303,R_Schedule_Times,"&lt;"&amp;B3304),INDEX(R_Schedule_Amounts,MATCH(B3304,R_Schedule_Times,1)),K3303)),"")</f>
        <v>80</v>
      </c>
      <c r="I3304" s="30">
        <f t="shared" si="255"/>
        <v>80</v>
      </c>
      <c r="J3304" s="31">
        <f t="shared" si="256"/>
        <v>0</v>
      </c>
      <c r="K3304" s="29">
        <f t="shared" si="257"/>
        <v>0</v>
      </c>
      <c r="L3304" s="31" t="str">
        <f t="shared" si="258"/>
        <v/>
      </c>
      <c r="M3304" s="31" t="str">
        <f t="shared" si="259"/>
        <v/>
      </c>
    </row>
    <row r="3305" spans="1:13" x14ac:dyDescent="0.15">
      <c r="A3305" s="163" t="s">
        <v>210</v>
      </c>
      <c r="B3305" s="163">
        <v>42361.528558391205</v>
      </c>
      <c r="C3305" s="164" t="s">
        <v>2670</v>
      </c>
      <c r="D3305" s="164" t="s">
        <v>13</v>
      </c>
      <c r="E3305" s="165">
        <v>100</v>
      </c>
      <c r="F3305" s="166">
        <v>0</v>
      </c>
      <c r="G3305" s="227">
        <f>IF($B$2,IF(ROWS(B$6:$B3305) = 1,$B3305-Start_Date,$B3305-$B3304),"")</f>
        <v>1.0014571758802049E-2</v>
      </c>
      <c r="H3305" s="29">
        <f>IF($B$2,IF(ROWS(B$6:$B3305) = 1,IF(COUNTIFS(R_Schedule_Times,"&lt;"&amp;B3305),INDEX(R_Schedule_Amounts,MATCH(B3305,R_Schedule_Times,1)),Starting_Cash),IF(COUNTIFS(R_Schedule_Times,"&gt;"&amp;B3304,R_Schedule_Times,"&lt;"&amp;B3305),INDEX(R_Schedule_Amounts,MATCH(B3305,R_Schedule_Times,1)),K3304)),"")</f>
        <v>0</v>
      </c>
      <c r="I3305" s="30">
        <f t="shared" si="255"/>
        <v>0</v>
      </c>
      <c r="J3305" s="31">
        <f t="shared" si="256"/>
        <v>0</v>
      </c>
      <c r="K3305" s="29">
        <f t="shared" si="257"/>
        <v>0</v>
      </c>
      <c r="L3305" s="31" t="str">
        <f t="shared" si="258"/>
        <v>YES</v>
      </c>
      <c r="M3305" s="31">
        <f t="shared" si="259"/>
        <v>0</v>
      </c>
    </row>
    <row r="3306" spans="1:13" x14ac:dyDescent="0.15">
      <c r="A3306" s="163" t="s">
        <v>210</v>
      </c>
      <c r="B3306" s="163">
        <v>42361.544132465278</v>
      </c>
      <c r="C3306" s="164" t="s">
        <v>2671</v>
      </c>
      <c r="D3306" s="164" t="s">
        <v>15</v>
      </c>
      <c r="E3306" s="165">
        <v>100</v>
      </c>
      <c r="F3306" s="166">
        <v>3</v>
      </c>
      <c r="G3306" s="227">
        <f>IF($B$2,IF(ROWS(B$6:$B3306) = 1,$B3306-Start_Date,$B3306-$B3305),"")</f>
        <v>1.5574074073811062E-2</v>
      </c>
      <c r="H3306" s="29">
        <f>IF($B$2,IF(ROWS(B$6:$B3306) = 1,IF(COUNTIFS(R_Schedule_Times,"&lt;"&amp;B3306),INDEX(R_Schedule_Amounts,MATCH(B3306,R_Schedule_Times,1)),Starting_Cash),IF(COUNTIFS(R_Schedule_Times,"&gt;"&amp;B3305,R_Schedule_Times,"&lt;"&amp;B3306),INDEX(R_Schedule_Amounts,MATCH(B3306,R_Schedule_Times,1)),K3305)),"")</f>
        <v>0</v>
      </c>
      <c r="I3306" s="30">
        <f t="shared" si="255"/>
        <v>0</v>
      </c>
      <c r="J3306" s="31">
        <f t="shared" si="256"/>
        <v>0</v>
      </c>
      <c r="K3306" s="29">
        <f t="shared" si="257"/>
        <v>0</v>
      </c>
      <c r="L3306" s="31" t="str">
        <f t="shared" si="258"/>
        <v>YES</v>
      </c>
      <c r="M3306" s="31">
        <f t="shared" si="259"/>
        <v>3</v>
      </c>
    </row>
    <row r="3307" spans="1:13" x14ac:dyDescent="0.15">
      <c r="A3307" s="163" t="s">
        <v>210</v>
      </c>
      <c r="B3307" s="163">
        <v>42361.585278287035</v>
      </c>
      <c r="C3307" s="164" t="s">
        <v>2672</v>
      </c>
      <c r="D3307" s="164" t="s">
        <v>13</v>
      </c>
      <c r="E3307" s="165">
        <v>80</v>
      </c>
      <c r="F3307" s="166">
        <v>0</v>
      </c>
      <c r="G3307" s="227">
        <f>IF($B$2,IF(ROWS(B$6:$B3307) = 1,$B3307-Start_Date,$B3307-$B3306),"")</f>
        <v>4.1145821756799705E-2</v>
      </c>
      <c r="H3307" s="29">
        <f>IF($B$2,IF(ROWS(B$6:$B3307) = 1,IF(COUNTIFS(R_Schedule_Times,"&lt;"&amp;B3307),INDEX(R_Schedule_Amounts,MATCH(B3307,R_Schedule_Times,1)),Starting_Cash),IF(COUNTIFS(R_Schedule_Times,"&gt;"&amp;B3306,R_Schedule_Times,"&lt;"&amp;B3307),INDEX(R_Schedule_Amounts,MATCH(B3307,R_Schedule_Times,1)),K3306)),"")</f>
        <v>0</v>
      </c>
      <c r="I3307" s="30">
        <f t="shared" si="255"/>
        <v>0</v>
      </c>
      <c r="J3307" s="31">
        <f t="shared" si="256"/>
        <v>0</v>
      </c>
      <c r="K3307" s="29">
        <f t="shared" si="257"/>
        <v>0</v>
      </c>
      <c r="L3307" s="31" t="str">
        <f t="shared" si="258"/>
        <v>YES</v>
      </c>
      <c r="M3307" s="31">
        <f t="shared" si="259"/>
        <v>0</v>
      </c>
    </row>
    <row r="3308" spans="1:13" x14ac:dyDescent="0.15">
      <c r="A3308" s="163" t="s">
        <v>210</v>
      </c>
      <c r="B3308" s="163">
        <v>42361.595861134258</v>
      </c>
      <c r="C3308" s="164" t="s">
        <v>2673</v>
      </c>
      <c r="D3308" s="164" t="s">
        <v>13</v>
      </c>
      <c r="E3308" s="165">
        <v>40</v>
      </c>
      <c r="F3308" s="166">
        <v>0</v>
      </c>
      <c r="G3308" s="227">
        <f>IF($B$2,IF(ROWS(B$6:$B3308) = 1,$B3308-Start_Date,$B3308-$B3307),"")</f>
        <v>1.0582847222394776E-2</v>
      </c>
      <c r="H3308" s="29">
        <f>IF($B$2,IF(ROWS(B$6:$B3308) = 1,IF(COUNTIFS(R_Schedule_Times,"&lt;"&amp;B3308),INDEX(R_Schedule_Amounts,MATCH(B3308,R_Schedule_Times,1)),Starting_Cash),IF(COUNTIFS(R_Schedule_Times,"&gt;"&amp;B3307,R_Schedule_Times,"&lt;"&amp;B3308),INDEX(R_Schedule_Amounts,MATCH(B3308,R_Schedule_Times,1)),K3307)),"")</f>
        <v>0</v>
      </c>
      <c r="I3308" s="30">
        <f t="shared" si="255"/>
        <v>0</v>
      </c>
      <c r="J3308" s="31">
        <f t="shared" si="256"/>
        <v>0</v>
      </c>
      <c r="K3308" s="29">
        <f t="shared" si="257"/>
        <v>0</v>
      </c>
      <c r="L3308" s="31" t="str">
        <f t="shared" si="258"/>
        <v>YES</v>
      </c>
      <c r="M3308" s="31">
        <f t="shared" si="259"/>
        <v>0</v>
      </c>
    </row>
    <row r="3309" spans="1:13" x14ac:dyDescent="0.15">
      <c r="A3309" s="163" t="s">
        <v>210</v>
      </c>
      <c r="B3309" s="163">
        <v>42361.624587997685</v>
      </c>
      <c r="C3309" s="164" t="s">
        <v>2674</v>
      </c>
      <c r="D3309" s="164" t="s">
        <v>13</v>
      </c>
      <c r="E3309" s="165">
        <v>140</v>
      </c>
      <c r="F3309" s="166">
        <v>0</v>
      </c>
      <c r="G3309" s="227">
        <f>IF($B$2,IF(ROWS(B$6:$B3309) = 1,$B3309-Start_Date,$B3309-$B3308),"")</f>
        <v>2.8726863427436911E-2</v>
      </c>
      <c r="H3309" s="29">
        <f>IF($B$2,IF(ROWS(B$6:$B3309) = 1,IF(COUNTIFS(R_Schedule_Times,"&lt;"&amp;B3309),INDEX(R_Schedule_Amounts,MATCH(B3309,R_Schedule_Times,1)),Starting_Cash),IF(COUNTIFS(R_Schedule_Times,"&gt;"&amp;B3308,R_Schedule_Times,"&lt;"&amp;B3309),INDEX(R_Schedule_Amounts,MATCH(B3309,R_Schedule_Times,1)),K3308)),"")</f>
        <v>0</v>
      </c>
      <c r="I3309" s="30">
        <f t="shared" si="255"/>
        <v>0</v>
      </c>
      <c r="J3309" s="31">
        <f t="shared" si="256"/>
        <v>0</v>
      </c>
      <c r="K3309" s="29">
        <f t="shared" si="257"/>
        <v>0</v>
      </c>
      <c r="L3309" s="31" t="str">
        <f t="shared" si="258"/>
        <v>YES</v>
      </c>
      <c r="M3309" s="31">
        <f t="shared" si="259"/>
        <v>0</v>
      </c>
    </row>
    <row r="3310" spans="1:13" x14ac:dyDescent="0.15">
      <c r="A3310" s="163" t="s">
        <v>210</v>
      </c>
      <c r="B3310" s="163">
        <v>42361.630273287039</v>
      </c>
      <c r="C3310" s="164" t="s">
        <v>2675</v>
      </c>
      <c r="D3310" s="164" t="s">
        <v>13</v>
      </c>
      <c r="E3310" s="165">
        <v>100</v>
      </c>
      <c r="F3310" s="166">
        <v>0</v>
      </c>
      <c r="G3310" s="227">
        <f>IF($B$2,IF(ROWS(B$6:$B3310) = 1,$B3310-Start_Date,$B3310-$B3309),"")</f>
        <v>5.6852893540053628E-3</v>
      </c>
      <c r="H3310" s="29">
        <f>IF($B$2,IF(ROWS(B$6:$B3310) = 1,IF(COUNTIFS(R_Schedule_Times,"&lt;"&amp;B3310),INDEX(R_Schedule_Amounts,MATCH(B3310,R_Schedule_Times,1)),Starting_Cash),IF(COUNTIFS(R_Schedule_Times,"&gt;"&amp;B3309,R_Schedule_Times,"&lt;"&amp;B3310),INDEX(R_Schedule_Amounts,MATCH(B3310,R_Schedule_Times,1)),K3309)),"")</f>
        <v>0</v>
      </c>
      <c r="I3310" s="30">
        <f t="shared" si="255"/>
        <v>0</v>
      </c>
      <c r="J3310" s="31">
        <f t="shared" si="256"/>
        <v>0</v>
      </c>
      <c r="K3310" s="29">
        <f t="shared" si="257"/>
        <v>0</v>
      </c>
      <c r="L3310" s="31" t="str">
        <f t="shared" si="258"/>
        <v>YES</v>
      </c>
      <c r="M3310" s="31">
        <f t="shared" si="259"/>
        <v>0</v>
      </c>
    </row>
    <row r="3311" spans="1:13" x14ac:dyDescent="0.15">
      <c r="A3311" s="163" t="s">
        <v>210</v>
      </c>
      <c r="B3311" s="163">
        <v>42361.669953425924</v>
      </c>
      <c r="C3311" s="164" t="s">
        <v>2676</v>
      </c>
      <c r="D3311" s="164" t="s">
        <v>13</v>
      </c>
      <c r="E3311" s="165">
        <v>60</v>
      </c>
      <c r="F3311" s="166">
        <v>0</v>
      </c>
      <c r="G3311" s="227">
        <f>IF($B$2,IF(ROWS(B$6:$B3311) = 1,$B3311-Start_Date,$B3311-$B3310),"")</f>
        <v>3.9680138885159977E-2</v>
      </c>
      <c r="H3311" s="29">
        <f>IF($B$2,IF(ROWS(B$6:$B3311) = 1,IF(COUNTIFS(R_Schedule_Times,"&lt;"&amp;B3311),INDEX(R_Schedule_Amounts,MATCH(B3311,R_Schedule_Times,1)),Starting_Cash),IF(COUNTIFS(R_Schedule_Times,"&gt;"&amp;B3310,R_Schedule_Times,"&lt;"&amp;B3311),INDEX(R_Schedule_Amounts,MATCH(B3311,R_Schedule_Times,1)),K3310)),"")</f>
        <v>0</v>
      </c>
      <c r="I3311" s="30">
        <f t="shared" si="255"/>
        <v>0</v>
      </c>
      <c r="J3311" s="31">
        <f t="shared" si="256"/>
        <v>0</v>
      </c>
      <c r="K3311" s="29">
        <f t="shared" si="257"/>
        <v>0</v>
      </c>
      <c r="L3311" s="31" t="str">
        <f t="shared" si="258"/>
        <v>YES</v>
      </c>
      <c r="M3311" s="31">
        <f t="shared" si="259"/>
        <v>0</v>
      </c>
    </row>
    <row r="3312" spans="1:13" x14ac:dyDescent="0.15">
      <c r="A3312" s="163" t="s">
        <v>210</v>
      </c>
      <c r="B3312" s="163">
        <v>42361.690705266206</v>
      </c>
      <c r="C3312" s="164" t="s">
        <v>2677</v>
      </c>
      <c r="D3312" s="164" t="s">
        <v>13</v>
      </c>
      <c r="E3312" s="165">
        <v>100</v>
      </c>
      <c r="F3312" s="166">
        <v>0</v>
      </c>
      <c r="G3312" s="227">
        <f>IF($B$2,IF(ROWS(B$6:$B3312) = 1,$B3312-Start_Date,$B3312-$B3311),"")</f>
        <v>2.0751840282173362E-2</v>
      </c>
      <c r="H3312" s="29">
        <f>IF($B$2,IF(ROWS(B$6:$B3312) = 1,IF(COUNTIFS(R_Schedule_Times,"&lt;"&amp;B3312),INDEX(R_Schedule_Amounts,MATCH(B3312,R_Schedule_Times,1)),Starting_Cash),IF(COUNTIFS(R_Schedule_Times,"&gt;"&amp;B3311,R_Schedule_Times,"&lt;"&amp;B3312),INDEX(R_Schedule_Amounts,MATCH(B3312,R_Schedule_Times,1)),K3311)),"")</f>
        <v>0</v>
      </c>
      <c r="I3312" s="30">
        <f t="shared" si="255"/>
        <v>0</v>
      </c>
      <c r="J3312" s="31">
        <f t="shared" si="256"/>
        <v>0</v>
      </c>
      <c r="K3312" s="29">
        <f t="shared" si="257"/>
        <v>0</v>
      </c>
      <c r="L3312" s="31" t="str">
        <f t="shared" si="258"/>
        <v>YES</v>
      </c>
      <c r="M3312" s="31">
        <f t="shared" si="259"/>
        <v>0</v>
      </c>
    </row>
    <row r="3313" spans="1:13" x14ac:dyDescent="0.15">
      <c r="A3313" s="163" t="s">
        <v>210</v>
      </c>
      <c r="B3313" s="163">
        <v>42361.701040624997</v>
      </c>
      <c r="C3313" s="164" t="s">
        <v>1847</v>
      </c>
      <c r="D3313" s="164" t="s">
        <v>13</v>
      </c>
      <c r="E3313" s="165">
        <v>20</v>
      </c>
      <c r="F3313" s="166">
        <v>0</v>
      </c>
      <c r="G3313" s="227">
        <f>IF($B$2,IF(ROWS(B$6:$B3313) = 1,$B3313-Start_Date,$B3313-$B3312),"")</f>
        <v>1.0335358791053295E-2</v>
      </c>
      <c r="H3313" s="29">
        <f>IF($B$2,IF(ROWS(B$6:$B3313) = 1,IF(COUNTIFS(R_Schedule_Times,"&lt;"&amp;B3313),INDEX(R_Schedule_Amounts,MATCH(B3313,R_Schedule_Times,1)),Starting_Cash),IF(COUNTIFS(R_Schedule_Times,"&gt;"&amp;B3312,R_Schedule_Times,"&lt;"&amp;B3313),INDEX(R_Schedule_Amounts,MATCH(B3313,R_Schedule_Times,1)),K3312)),"")</f>
        <v>0</v>
      </c>
      <c r="I3313" s="30">
        <f t="shared" si="255"/>
        <v>0</v>
      </c>
      <c r="J3313" s="31">
        <f t="shared" si="256"/>
        <v>0</v>
      </c>
      <c r="K3313" s="29">
        <f t="shared" si="257"/>
        <v>0</v>
      </c>
      <c r="L3313" s="31" t="str">
        <f t="shared" si="258"/>
        <v>YES</v>
      </c>
      <c r="M3313" s="31">
        <f t="shared" si="259"/>
        <v>0</v>
      </c>
    </row>
    <row r="3314" spans="1:13" x14ac:dyDescent="0.15">
      <c r="A3314" s="163" t="s">
        <v>210</v>
      </c>
      <c r="B3314" s="163">
        <v>42361.712232199076</v>
      </c>
      <c r="C3314" s="164" t="s">
        <v>98</v>
      </c>
      <c r="D3314" s="164" t="s">
        <v>13</v>
      </c>
      <c r="E3314" s="165">
        <v>100</v>
      </c>
      <c r="F3314" s="166">
        <v>0</v>
      </c>
      <c r="G3314" s="227">
        <f>IF($B$2,IF(ROWS(B$6:$B3314) = 1,$B3314-Start_Date,$B3314-$B3313),"")</f>
        <v>1.1191574078111444E-2</v>
      </c>
      <c r="H3314" s="29">
        <f>IF($B$2,IF(ROWS(B$6:$B3314) = 1,IF(COUNTIFS(R_Schedule_Times,"&lt;"&amp;B3314),INDEX(R_Schedule_Amounts,MATCH(B3314,R_Schedule_Times,1)),Starting_Cash),IF(COUNTIFS(R_Schedule_Times,"&gt;"&amp;B3313,R_Schedule_Times,"&lt;"&amp;B3314),INDEX(R_Schedule_Amounts,MATCH(B3314,R_Schedule_Times,1)),K3313)),"")</f>
        <v>20000</v>
      </c>
      <c r="I3314" s="30">
        <f t="shared" si="255"/>
        <v>100</v>
      </c>
      <c r="J3314" s="31">
        <f t="shared" si="256"/>
        <v>0</v>
      </c>
      <c r="K3314" s="29">
        <f t="shared" si="257"/>
        <v>19900</v>
      </c>
      <c r="L3314" s="31" t="str">
        <f t="shared" si="258"/>
        <v/>
      </c>
      <c r="M3314" s="31" t="str">
        <f t="shared" si="259"/>
        <v/>
      </c>
    </row>
    <row r="3315" spans="1:13" x14ac:dyDescent="0.15">
      <c r="A3315" s="163" t="s">
        <v>210</v>
      </c>
      <c r="B3315" s="163">
        <v>42361.712775856482</v>
      </c>
      <c r="C3315" s="164" t="s">
        <v>2678</v>
      </c>
      <c r="D3315" s="164" t="s">
        <v>13</v>
      </c>
      <c r="E3315" s="165">
        <v>100</v>
      </c>
      <c r="F3315" s="166">
        <v>0</v>
      </c>
      <c r="G3315" s="227">
        <f>IF($B$2,IF(ROWS(B$6:$B3315) = 1,$B3315-Start_Date,$B3315-$B3314),"")</f>
        <v>5.436574065242894E-4</v>
      </c>
      <c r="H3315" s="29">
        <f>IF($B$2,IF(ROWS(B$6:$B3315) = 1,IF(COUNTIFS(R_Schedule_Times,"&lt;"&amp;B3315),INDEX(R_Schedule_Amounts,MATCH(B3315,R_Schedule_Times,1)),Starting_Cash),IF(COUNTIFS(R_Schedule_Times,"&gt;"&amp;B3314,R_Schedule_Times,"&lt;"&amp;B3315),INDEX(R_Schedule_Amounts,MATCH(B3315,R_Schedule_Times,1)),K3314)),"")</f>
        <v>19900</v>
      </c>
      <c r="I3315" s="30">
        <f t="shared" si="255"/>
        <v>100</v>
      </c>
      <c r="J3315" s="31">
        <f t="shared" si="256"/>
        <v>0</v>
      </c>
      <c r="K3315" s="29">
        <f t="shared" si="257"/>
        <v>19800</v>
      </c>
      <c r="L3315" s="31" t="str">
        <f t="shared" si="258"/>
        <v/>
      </c>
      <c r="M3315" s="31" t="str">
        <f t="shared" si="259"/>
        <v/>
      </c>
    </row>
    <row r="3316" spans="1:13" x14ac:dyDescent="0.15">
      <c r="A3316" s="163" t="s">
        <v>210</v>
      </c>
      <c r="B3316" s="163">
        <v>42361.741019594905</v>
      </c>
      <c r="C3316" s="164" t="s">
        <v>1181</v>
      </c>
      <c r="D3316" s="164" t="s">
        <v>13</v>
      </c>
      <c r="E3316" s="165">
        <v>80</v>
      </c>
      <c r="F3316" s="166">
        <v>0</v>
      </c>
      <c r="G3316" s="227">
        <f>IF($B$2,IF(ROWS(B$6:$B3316) = 1,$B3316-Start_Date,$B3316-$B3315),"")</f>
        <v>2.8243738423043396E-2</v>
      </c>
      <c r="H3316" s="29">
        <f>IF($B$2,IF(ROWS(B$6:$B3316) = 1,IF(COUNTIFS(R_Schedule_Times,"&lt;"&amp;B3316),INDEX(R_Schedule_Amounts,MATCH(B3316,R_Schedule_Times,1)),Starting_Cash),IF(COUNTIFS(R_Schedule_Times,"&gt;"&amp;B3315,R_Schedule_Times,"&lt;"&amp;B3316),INDEX(R_Schedule_Amounts,MATCH(B3316,R_Schedule_Times,1)),K3315)),"")</f>
        <v>19800</v>
      </c>
      <c r="I3316" s="30">
        <f t="shared" si="255"/>
        <v>80</v>
      </c>
      <c r="J3316" s="31">
        <f t="shared" si="256"/>
        <v>0</v>
      </c>
      <c r="K3316" s="29">
        <f t="shared" si="257"/>
        <v>19720</v>
      </c>
      <c r="L3316" s="31" t="str">
        <f t="shared" si="258"/>
        <v/>
      </c>
      <c r="M3316" s="31" t="str">
        <f t="shared" si="259"/>
        <v/>
      </c>
    </row>
    <row r="3317" spans="1:13" x14ac:dyDescent="0.15">
      <c r="A3317" s="163" t="s">
        <v>210</v>
      </c>
      <c r="B3317" s="163">
        <v>42361.750554641207</v>
      </c>
      <c r="C3317" s="164" t="s">
        <v>2679</v>
      </c>
      <c r="D3317" s="164" t="s">
        <v>13</v>
      </c>
      <c r="E3317" s="165">
        <v>400</v>
      </c>
      <c r="F3317" s="166">
        <v>0</v>
      </c>
      <c r="G3317" s="227">
        <f>IF($B$2,IF(ROWS(B$6:$B3317) = 1,$B3317-Start_Date,$B3317-$B3316),"")</f>
        <v>9.5350463016075082E-3</v>
      </c>
      <c r="H3317" s="29">
        <f>IF($B$2,IF(ROWS(B$6:$B3317) = 1,IF(COUNTIFS(R_Schedule_Times,"&lt;"&amp;B3317),INDEX(R_Schedule_Amounts,MATCH(B3317,R_Schedule_Times,1)),Starting_Cash),IF(COUNTIFS(R_Schedule_Times,"&gt;"&amp;B3316,R_Schedule_Times,"&lt;"&amp;B3317),INDEX(R_Schedule_Amounts,MATCH(B3317,R_Schedule_Times,1)),K3316)),"")</f>
        <v>19720</v>
      </c>
      <c r="I3317" s="30">
        <f t="shared" si="255"/>
        <v>400</v>
      </c>
      <c r="J3317" s="31">
        <f t="shared" si="256"/>
        <v>0</v>
      </c>
      <c r="K3317" s="29">
        <f t="shared" si="257"/>
        <v>19320</v>
      </c>
      <c r="L3317" s="31" t="str">
        <f t="shared" si="258"/>
        <v/>
      </c>
      <c r="M3317" s="31" t="str">
        <f t="shared" si="259"/>
        <v/>
      </c>
    </row>
    <row r="3318" spans="1:13" x14ac:dyDescent="0.15">
      <c r="A3318" s="163" t="s">
        <v>210</v>
      </c>
      <c r="B3318" s="163">
        <v>42361.75366490741</v>
      </c>
      <c r="C3318" s="164" t="s">
        <v>2680</v>
      </c>
      <c r="D3318" s="164" t="s">
        <v>13</v>
      </c>
      <c r="E3318" s="165">
        <v>100</v>
      </c>
      <c r="F3318" s="166">
        <v>0</v>
      </c>
      <c r="G3318" s="227">
        <f>IF($B$2,IF(ROWS(B$6:$B3318) = 1,$B3318-Start_Date,$B3318-$B3317),"")</f>
        <v>3.1102662032935768E-3</v>
      </c>
      <c r="H3318" s="29">
        <f>IF($B$2,IF(ROWS(B$6:$B3318) = 1,IF(COUNTIFS(R_Schedule_Times,"&lt;"&amp;B3318),INDEX(R_Schedule_Amounts,MATCH(B3318,R_Schedule_Times,1)),Starting_Cash),IF(COUNTIFS(R_Schedule_Times,"&gt;"&amp;B3317,R_Schedule_Times,"&lt;"&amp;B3318),INDEX(R_Schedule_Amounts,MATCH(B3318,R_Schedule_Times,1)),K3317)),"")</f>
        <v>19320</v>
      </c>
      <c r="I3318" s="30">
        <f t="shared" si="255"/>
        <v>100</v>
      </c>
      <c r="J3318" s="31">
        <f t="shared" si="256"/>
        <v>0</v>
      </c>
      <c r="K3318" s="29">
        <f t="shared" si="257"/>
        <v>19220</v>
      </c>
      <c r="L3318" s="31" t="str">
        <f t="shared" si="258"/>
        <v/>
      </c>
      <c r="M3318" s="31" t="str">
        <f t="shared" si="259"/>
        <v/>
      </c>
    </row>
    <row r="3319" spans="1:13" x14ac:dyDescent="0.15">
      <c r="A3319" s="163" t="s">
        <v>210</v>
      </c>
      <c r="B3319" s="163">
        <v>42361.772966608798</v>
      </c>
      <c r="C3319" s="164" t="s">
        <v>2681</v>
      </c>
      <c r="D3319" s="164" t="s">
        <v>13</v>
      </c>
      <c r="E3319" s="165">
        <v>40</v>
      </c>
      <c r="F3319" s="166">
        <v>0</v>
      </c>
      <c r="G3319" s="227">
        <f>IF($B$2,IF(ROWS(B$6:$B3319) = 1,$B3319-Start_Date,$B3319-$B3318),"")</f>
        <v>1.9301701388030779E-2</v>
      </c>
      <c r="H3319" s="29">
        <f>IF($B$2,IF(ROWS(B$6:$B3319) = 1,IF(COUNTIFS(R_Schedule_Times,"&lt;"&amp;B3319),INDEX(R_Schedule_Amounts,MATCH(B3319,R_Schedule_Times,1)),Starting_Cash),IF(COUNTIFS(R_Schedule_Times,"&gt;"&amp;B3318,R_Schedule_Times,"&lt;"&amp;B3319),INDEX(R_Schedule_Amounts,MATCH(B3319,R_Schedule_Times,1)),K3318)),"")</f>
        <v>19220</v>
      </c>
      <c r="I3319" s="30">
        <f t="shared" si="255"/>
        <v>40</v>
      </c>
      <c r="J3319" s="31">
        <f t="shared" si="256"/>
        <v>0</v>
      </c>
      <c r="K3319" s="29">
        <f t="shared" si="257"/>
        <v>19180</v>
      </c>
      <c r="L3319" s="31" t="str">
        <f t="shared" si="258"/>
        <v/>
      </c>
      <c r="M3319" s="31" t="str">
        <f t="shared" si="259"/>
        <v/>
      </c>
    </row>
    <row r="3320" spans="1:13" x14ac:dyDescent="0.15">
      <c r="A3320" s="163" t="s">
        <v>210</v>
      </c>
      <c r="B3320" s="163">
        <v>42361.806506157409</v>
      </c>
      <c r="C3320" s="164" t="s">
        <v>14</v>
      </c>
      <c r="D3320" s="164" t="s">
        <v>13</v>
      </c>
      <c r="E3320" s="165">
        <v>200</v>
      </c>
      <c r="F3320" s="166">
        <v>3.5</v>
      </c>
      <c r="G3320" s="227">
        <f>IF($B$2,IF(ROWS(B$6:$B3320) = 1,$B3320-Start_Date,$B3320-$B3319),"")</f>
        <v>3.3539548610860948E-2</v>
      </c>
      <c r="H3320" s="29">
        <f>IF($B$2,IF(ROWS(B$6:$B3320) = 1,IF(COUNTIFS(R_Schedule_Times,"&lt;"&amp;B3320),INDEX(R_Schedule_Amounts,MATCH(B3320,R_Schedule_Times,1)),Starting_Cash),IF(COUNTIFS(R_Schedule_Times,"&gt;"&amp;B3319,R_Schedule_Times,"&lt;"&amp;B3320),INDEX(R_Schedule_Amounts,MATCH(B3320,R_Schedule_Times,1)),K3319)),"")</f>
        <v>19180</v>
      </c>
      <c r="I3320" s="30">
        <f t="shared" si="255"/>
        <v>200</v>
      </c>
      <c r="J3320" s="31">
        <f t="shared" si="256"/>
        <v>3.5</v>
      </c>
      <c r="K3320" s="29">
        <f t="shared" si="257"/>
        <v>18980</v>
      </c>
      <c r="L3320" s="31" t="str">
        <f t="shared" si="258"/>
        <v/>
      </c>
      <c r="M3320" s="31" t="str">
        <f t="shared" si="259"/>
        <v/>
      </c>
    </row>
    <row r="3321" spans="1:13" x14ac:dyDescent="0.15">
      <c r="A3321" s="163" t="s">
        <v>210</v>
      </c>
      <c r="B3321" s="163">
        <v>42361.960157106485</v>
      </c>
      <c r="C3321" s="164" t="s">
        <v>14</v>
      </c>
      <c r="D3321" s="164" t="s">
        <v>13</v>
      </c>
      <c r="E3321" s="165">
        <v>200</v>
      </c>
      <c r="F3321" s="166">
        <v>3.5</v>
      </c>
      <c r="G3321" s="227">
        <f>IF($B$2,IF(ROWS(B$6:$B3321) = 1,$B3321-Start_Date,$B3321-$B3320),"")</f>
        <v>0.1536509490761091</v>
      </c>
      <c r="H3321" s="29">
        <f>IF($B$2,IF(ROWS(B$6:$B3321) = 1,IF(COUNTIFS(R_Schedule_Times,"&lt;"&amp;B3321),INDEX(R_Schedule_Amounts,MATCH(B3321,R_Schedule_Times,1)),Starting_Cash),IF(COUNTIFS(R_Schedule_Times,"&gt;"&amp;B3320,R_Schedule_Times,"&lt;"&amp;B3321),INDEX(R_Schedule_Amounts,MATCH(B3321,R_Schedule_Times,1)),K3320)),"")</f>
        <v>18980</v>
      </c>
      <c r="I3321" s="30">
        <f t="shared" si="255"/>
        <v>200</v>
      </c>
      <c r="J3321" s="31">
        <f t="shared" si="256"/>
        <v>3.5</v>
      </c>
      <c r="K3321" s="29">
        <f t="shared" si="257"/>
        <v>18780</v>
      </c>
      <c r="L3321" s="31" t="str">
        <f t="shared" si="258"/>
        <v/>
      </c>
      <c r="M3321" s="31" t="str">
        <f t="shared" si="259"/>
        <v/>
      </c>
    </row>
    <row r="3322" spans="1:13" x14ac:dyDescent="0.15">
      <c r="A3322" s="163" t="s">
        <v>210</v>
      </c>
      <c r="B3322" s="163">
        <v>42362.129300347224</v>
      </c>
      <c r="C3322" s="164" t="s">
        <v>1065</v>
      </c>
      <c r="D3322" s="164" t="s">
        <v>13</v>
      </c>
      <c r="E3322" s="165">
        <v>120</v>
      </c>
      <c r="F3322" s="166">
        <v>0</v>
      </c>
      <c r="G3322" s="227">
        <f>IF($B$2,IF(ROWS(B$6:$B3322) = 1,$B3322-Start_Date,$B3322-$B3321),"")</f>
        <v>0.16914324073877651</v>
      </c>
      <c r="H3322" s="29">
        <f>IF($B$2,IF(ROWS(B$6:$B3322) = 1,IF(COUNTIFS(R_Schedule_Times,"&lt;"&amp;B3322),INDEX(R_Schedule_Amounts,MATCH(B3322,R_Schedule_Times,1)),Starting_Cash),IF(COUNTIFS(R_Schedule_Times,"&gt;"&amp;B3321,R_Schedule_Times,"&lt;"&amp;B3322),INDEX(R_Schedule_Amounts,MATCH(B3322,R_Schedule_Times,1)),K3321)),"")</f>
        <v>18780</v>
      </c>
      <c r="I3322" s="30">
        <f t="shared" si="255"/>
        <v>120</v>
      </c>
      <c r="J3322" s="31">
        <f t="shared" si="256"/>
        <v>0</v>
      </c>
      <c r="K3322" s="29">
        <f t="shared" si="257"/>
        <v>18660</v>
      </c>
      <c r="L3322" s="31" t="str">
        <f t="shared" si="258"/>
        <v/>
      </c>
      <c r="M3322" s="31" t="str">
        <f t="shared" si="259"/>
        <v/>
      </c>
    </row>
    <row r="3323" spans="1:13" x14ac:dyDescent="0.15">
      <c r="A3323" s="163" t="s">
        <v>210</v>
      </c>
      <c r="B3323" s="163">
        <v>42362.237633900462</v>
      </c>
      <c r="C3323" s="164" t="s">
        <v>1147</v>
      </c>
      <c r="D3323" s="164" t="s">
        <v>13</v>
      </c>
      <c r="E3323" s="165">
        <v>120</v>
      </c>
      <c r="F3323" s="166">
        <v>0</v>
      </c>
      <c r="G3323" s="227">
        <f>IF($B$2,IF(ROWS(B$6:$B3323) = 1,$B3323-Start_Date,$B3323-$B3322),"")</f>
        <v>0.10833355323848082</v>
      </c>
      <c r="H3323" s="29">
        <f>IF($B$2,IF(ROWS(B$6:$B3323) = 1,IF(COUNTIFS(R_Schedule_Times,"&lt;"&amp;B3323),INDEX(R_Schedule_Amounts,MATCH(B3323,R_Schedule_Times,1)),Starting_Cash),IF(COUNTIFS(R_Schedule_Times,"&gt;"&amp;B3322,R_Schedule_Times,"&lt;"&amp;B3323),INDEX(R_Schedule_Amounts,MATCH(B3323,R_Schedule_Times,1)),K3322)),"")</f>
        <v>18660</v>
      </c>
      <c r="I3323" s="30">
        <f t="shared" si="255"/>
        <v>120</v>
      </c>
      <c r="J3323" s="31">
        <f t="shared" si="256"/>
        <v>0</v>
      </c>
      <c r="K3323" s="29">
        <f t="shared" si="257"/>
        <v>18540</v>
      </c>
      <c r="L3323" s="31" t="str">
        <f t="shared" si="258"/>
        <v/>
      </c>
      <c r="M3323" s="31" t="str">
        <f t="shared" si="259"/>
        <v/>
      </c>
    </row>
    <row r="3324" spans="1:13" x14ac:dyDescent="0.15">
      <c r="A3324" s="163" t="s">
        <v>210</v>
      </c>
      <c r="B3324" s="163">
        <v>42362.241781828707</v>
      </c>
      <c r="C3324" s="164" t="s">
        <v>2682</v>
      </c>
      <c r="D3324" s="164" t="s">
        <v>13</v>
      </c>
      <c r="E3324" s="165">
        <v>60</v>
      </c>
      <c r="F3324" s="166">
        <v>0</v>
      </c>
      <c r="G3324" s="227">
        <f>IF($B$2,IF(ROWS(B$6:$B3324) = 1,$B3324-Start_Date,$B3324-$B3323),"")</f>
        <v>4.1479282444925047E-3</v>
      </c>
      <c r="H3324" s="29">
        <f>IF($B$2,IF(ROWS(B$6:$B3324) = 1,IF(COUNTIFS(R_Schedule_Times,"&lt;"&amp;B3324),INDEX(R_Schedule_Amounts,MATCH(B3324,R_Schedule_Times,1)),Starting_Cash),IF(COUNTIFS(R_Schedule_Times,"&gt;"&amp;B3323,R_Schedule_Times,"&lt;"&amp;B3324),INDEX(R_Schedule_Amounts,MATCH(B3324,R_Schedule_Times,1)),K3323)),"")</f>
        <v>18540</v>
      </c>
      <c r="I3324" s="30">
        <f t="shared" si="255"/>
        <v>60</v>
      </c>
      <c r="J3324" s="31">
        <f t="shared" si="256"/>
        <v>0</v>
      </c>
      <c r="K3324" s="29">
        <f t="shared" si="257"/>
        <v>18480</v>
      </c>
      <c r="L3324" s="31" t="str">
        <f t="shared" si="258"/>
        <v/>
      </c>
      <c r="M3324" s="31" t="str">
        <f t="shared" si="259"/>
        <v/>
      </c>
    </row>
    <row r="3325" spans="1:13" x14ac:dyDescent="0.15">
      <c r="A3325" s="163" t="s">
        <v>210</v>
      </c>
      <c r="B3325" s="163">
        <v>42362.256348414354</v>
      </c>
      <c r="C3325" s="164" t="s">
        <v>2683</v>
      </c>
      <c r="D3325" s="164" t="s">
        <v>13</v>
      </c>
      <c r="E3325" s="165">
        <v>20</v>
      </c>
      <c r="F3325" s="166">
        <v>0</v>
      </c>
      <c r="G3325" s="227">
        <f>IF($B$2,IF(ROWS(B$6:$B3325) = 1,$B3325-Start_Date,$B3325-$B3324),"")</f>
        <v>1.4566585647116881E-2</v>
      </c>
      <c r="H3325" s="29">
        <f>IF($B$2,IF(ROWS(B$6:$B3325) = 1,IF(COUNTIFS(R_Schedule_Times,"&lt;"&amp;B3325),INDEX(R_Schedule_Amounts,MATCH(B3325,R_Schedule_Times,1)),Starting_Cash),IF(COUNTIFS(R_Schedule_Times,"&gt;"&amp;B3324,R_Schedule_Times,"&lt;"&amp;B3325),INDEX(R_Schedule_Amounts,MATCH(B3325,R_Schedule_Times,1)),K3324)),"")</f>
        <v>18480</v>
      </c>
      <c r="I3325" s="30">
        <f t="shared" si="255"/>
        <v>20</v>
      </c>
      <c r="J3325" s="31">
        <f t="shared" si="256"/>
        <v>0</v>
      </c>
      <c r="K3325" s="29">
        <f t="shared" si="257"/>
        <v>18460</v>
      </c>
      <c r="L3325" s="31" t="str">
        <f t="shared" si="258"/>
        <v/>
      </c>
      <c r="M3325" s="31" t="str">
        <f t="shared" si="259"/>
        <v/>
      </c>
    </row>
    <row r="3326" spans="1:13" x14ac:dyDescent="0.15">
      <c r="A3326" s="163" t="s">
        <v>210</v>
      </c>
      <c r="B3326" s="163">
        <v>42362.272768726849</v>
      </c>
      <c r="C3326" s="164" t="s">
        <v>546</v>
      </c>
      <c r="D3326" s="164" t="s">
        <v>13</v>
      </c>
      <c r="E3326" s="165">
        <v>100</v>
      </c>
      <c r="F3326" s="166">
        <v>0</v>
      </c>
      <c r="G3326" s="227">
        <f>IF($B$2,IF(ROWS(B$6:$B3326) = 1,$B3326-Start_Date,$B3326-$B3325),"")</f>
        <v>1.6420312495029066E-2</v>
      </c>
      <c r="H3326" s="29">
        <f>IF($B$2,IF(ROWS(B$6:$B3326) = 1,IF(COUNTIFS(R_Schedule_Times,"&lt;"&amp;B3326),INDEX(R_Schedule_Amounts,MATCH(B3326,R_Schedule_Times,1)),Starting_Cash),IF(COUNTIFS(R_Schedule_Times,"&gt;"&amp;B3325,R_Schedule_Times,"&lt;"&amp;B3326),INDEX(R_Schedule_Amounts,MATCH(B3326,R_Schedule_Times,1)),K3325)),"")</f>
        <v>18460</v>
      </c>
      <c r="I3326" s="30">
        <f t="shared" si="255"/>
        <v>100</v>
      </c>
      <c r="J3326" s="31">
        <f t="shared" si="256"/>
        <v>0</v>
      </c>
      <c r="K3326" s="29">
        <f t="shared" si="257"/>
        <v>18360</v>
      </c>
      <c r="L3326" s="31" t="str">
        <f t="shared" si="258"/>
        <v/>
      </c>
      <c r="M3326" s="31" t="str">
        <f t="shared" si="259"/>
        <v/>
      </c>
    </row>
    <row r="3327" spans="1:13" x14ac:dyDescent="0.15">
      <c r="A3327" s="163" t="s">
        <v>210</v>
      </c>
      <c r="B3327" s="163">
        <v>42362.284255798608</v>
      </c>
      <c r="C3327" s="164" t="s">
        <v>547</v>
      </c>
      <c r="D3327" s="164" t="s">
        <v>13</v>
      </c>
      <c r="E3327" s="165">
        <v>100</v>
      </c>
      <c r="F3327" s="166">
        <v>0</v>
      </c>
      <c r="G3327" s="227">
        <f>IF($B$2,IF(ROWS(B$6:$B3327) = 1,$B3327-Start_Date,$B3327-$B3326),"")</f>
        <v>1.1487071758892853E-2</v>
      </c>
      <c r="H3327" s="29">
        <f>IF($B$2,IF(ROWS(B$6:$B3327) = 1,IF(COUNTIFS(R_Schedule_Times,"&lt;"&amp;B3327),INDEX(R_Schedule_Amounts,MATCH(B3327,R_Schedule_Times,1)),Starting_Cash),IF(COUNTIFS(R_Schedule_Times,"&gt;"&amp;B3326,R_Schedule_Times,"&lt;"&amp;B3327),INDEX(R_Schedule_Amounts,MATCH(B3327,R_Schedule_Times,1)),K3326)),"")</f>
        <v>18360</v>
      </c>
      <c r="I3327" s="30">
        <f t="shared" si="255"/>
        <v>100</v>
      </c>
      <c r="J3327" s="31">
        <f t="shared" si="256"/>
        <v>0</v>
      </c>
      <c r="K3327" s="29">
        <f t="shared" si="257"/>
        <v>18260</v>
      </c>
      <c r="L3327" s="31" t="str">
        <f t="shared" si="258"/>
        <v/>
      </c>
      <c r="M3327" s="31" t="str">
        <f t="shared" si="259"/>
        <v/>
      </c>
    </row>
    <row r="3328" spans="1:13" x14ac:dyDescent="0.15">
      <c r="A3328" s="163" t="s">
        <v>210</v>
      </c>
      <c r="B3328" s="163">
        <v>42362.312379421295</v>
      </c>
      <c r="C3328" s="164" t="s">
        <v>2684</v>
      </c>
      <c r="D3328" s="164" t="s">
        <v>13</v>
      </c>
      <c r="E3328" s="165">
        <v>200</v>
      </c>
      <c r="F3328" s="166">
        <v>0</v>
      </c>
      <c r="G3328" s="227">
        <f>IF($B$2,IF(ROWS(B$6:$B3328) = 1,$B3328-Start_Date,$B3328-$B3327),"")</f>
        <v>2.8123622687417082E-2</v>
      </c>
      <c r="H3328" s="29">
        <f>IF($B$2,IF(ROWS(B$6:$B3328) = 1,IF(COUNTIFS(R_Schedule_Times,"&lt;"&amp;B3328),INDEX(R_Schedule_Amounts,MATCH(B3328,R_Schedule_Times,1)),Starting_Cash),IF(COUNTIFS(R_Schedule_Times,"&gt;"&amp;B3327,R_Schedule_Times,"&lt;"&amp;B3328),INDEX(R_Schedule_Amounts,MATCH(B3328,R_Schedule_Times,1)),K3327)),"")</f>
        <v>18260</v>
      </c>
      <c r="I3328" s="30">
        <f t="shared" si="255"/>
        <v>200</v>
      </c>
      <c r="J3328" s="31">
        <f t="shared" si="256"/>
        <v>0</v>
      </c>
      <c r="K3328" s="29">
        <f t="shared" si="257"/>
        <v>18060</v>
      </c>
      <c r="L3328" s="31" t="str">
        <f t="shared" si="258"/>
        <v/>
      </c>
      <c r="M3328" s="31" t="str">
        <f t="shared" si="259"/>
        <v/>
      </c>
    </row>
    <row r="3329" spans="1:13" x14ac:dyDescent="0.15">
      <c r="A3329" s="163" t="s">
        <v>210</v>
      </c>
      <c r="B3329" s="163">
        <v>42362.316954594906</v>
      </c>
      <c r="C3329" s="164" t="s">
        <v>806</v>
      </c>
      <c r="D3329" s="164" t="s">
        <v>13</v>
      </c>
      <c r="E3329" s="165">
        <v>40</v>
      </c>
      <c r="F3329" s="166">
        <v>0</v>
      </c>
      <c r="G3329" s="227">
        <f>IF($B$2,IF(ROWS(B$6:$B3329) = 1,$B3329-Start_Date,$B3329-$B3328),"")</f>
        <v>4.5751736106467433E-3</v>
      </c>
      <c r="H3329" s="29">
        <f>IF($B$2,IF(ROWS(B$6:$B3329) = 1,IF(COUNTIFS(R_Schedule_Times,"&lt;"&amp;B3329),INDEX(R_Schedule_Amounts,MATCH(B3329,R_Schedule_Times,1)),Starting_Cash),IF(COUNTIFS(R_Schedule_Times,"&gt;"&amp;B3328,R_Schedule_Times,"&lt;"&amp;B3329),INDEX(R_Schedule_Amounts,MATCH(B3329,R_Schedule_Times,1)),K3328)),"")</f>
        <v>18060</v>
      </c>
      <c r="I3329" s="30">
        <f t="shared" si="255"/>
        <v>40</v>
      </c>
      <c r="J3329" s="31">
        <f t="shared" si="256"/>
        <v>0</v>
      </c>
      <c r="K3329" s="29">
        <f t="shared" si="257"/>
        <v>18020</v>
      </c>
      <c r="L3329" s="31" t="str">
        <f t="shared" si="258"/>
        <v/>
      </c>
      <c r="M3329" s="31" t="str">
        <f t="shared" si="259"/>
        <v/>
      </c>
    </row>
    <row r="3330" spans="1:13" x14ac:dyDescent="0.15">
      <c r="A3330" s="163" t="s">
        <v>210</v>
      </c>
      <c r="B3330" s="163">
        <v>42362.321969594908</v>
      </c>
      <c r="C3330" s="164" t="s">
        <v>2685</v>
      </c>
      <c r="D3330" s="164" t="s">
        <v>13</v>
      </c>
      <c r="E3330" s="165">
        <v>200</v>
      </c>
      <c r="F3330" s="166">
        <v>0</v>
      </c>
      <c r="G3330" s="227">
        <f>IF($B$2,IF(ROWS(B$6:$B3330) = 1,$B3330-Start_Date,$B3330-$B3329),"")</f>
        <v>5.0150000024586916E-3</v>
      </c>
      <c r="H3330" s="29">
        <f>IF($B$2,IF(ROWS(B$6:$B3330) = 1,IF(COUNTIFS(R_Schedule_Times,"&lt;"&amp;B3330),INDEX(R_Schedule_Amounts,MATCH(B3330,R_Schedule_Times,1)),Starting_Cash),IF(COUNTIFS(R_Schedule_Times,"&gt;"&amp;B3329,R_Schedule_Times,"&lt;"&amp;B3330),INDEX(R_Schedule_Amounts,MATCH(B3330,R_Schedule_Times,1)),K3329)),"")</f>
        <v>18020</v>
      </c>
      <c r="I3330" s="30">
        <f t="shared" si="255"/>
        <v>200</v>
      </c>
      <c r="J3330" s="31">
        <f t="shared" si="256"/>
        <v>0</v>
      </c>
      <c r="K3330" s="29">
        <f t="shared" si="257"/>
        <v>17820</v>
      </c>
      <c r="L3330" s="31" t="str">
        <f t="shared" si="258"/>
        <v/>
      </c>
      <c r="M3330" s="31" t="str">
        <f t="shared" si="259"/>
        <v/>
      </c>
    </row>
    <row r="3331" spans="1:13" x14ac:dyDescent="0.15">
      <c r="A3331" s="163" t="s">
        <v>210</v>
      </c>
      <c r="B3331" s="163">
        <v>42362.349063553243</v>
      </c>
      <c r="C3331" s="164" t="s">
        <v>2686</v>
      </c>
      <c r="D3331" s="164" t="s">
        <v>13</v>
      </c>
      <c r="E3331" s="165">
        <v>40</v>
      </c>
      <c r="F3331" s="166">
        <v>0</v>
      </c>
      <c r="G3331" s="227">
        <f>IF($B$2,IF(ROWS(B$6:$B3331) = 1,$B3331-Start_Date,$B3331-$B3330),"")</f>
        <v>2.7093958335171919E-2</v>
      </c>
      <c r="H3331" s="29">
        <f>IF($B$2,IF(ROWS(B$6:$B3331) = 1,IF(COUNTIFS(R_Schedule_Times,"&lt;"&amp;B3331),INDEX(R_Schedule_Amounts,MATCH(B3331,R_Schedule_Times,1)),Starting_Cash),IF(COUNTIFS(R_Schedule_Times,"&gt;"&amp;B3330,R_Schedule_Times,"&lt;"&amp;B3331),INDEX(R_Schedule_Amounts,MATCH(B3331,R_Schedule_Times,1)),K3330)),"")</f>
        <v>17820</v>
      </c>
      <c r="I3331" s="30">
        <f t="shared" si="255"/>
        <v>40</v>
      </c>
      <c r="J3331" s="31">
        <f t="shared" si="256"/>
        <v>0</v>
      </c>
      <c r="K3331" s="29">
        <f t="shared" si="257"/>
        <v>17780</v>
      </c>
      <c r="L3331" s="31" t="str">
        <f t="shared" si="258"/>
        <v/>
      </c>
      <c r="M3331" s="31" t="str">
        <f t="shared" si="259"/>
        <v/>
      </c>
    </row>
    <row r="3332" spans="1:13" x14ac:dyDescent="0.15">
      <c r="A3332" s="163" t="s">
        <v>210</v>
      </c>
      <c r="B3332" s="163">
        <v>42362.349773483795</v>
      </c>
      <c r="C3332" s="164" t="s">
        <v>1636</v>
      </c>
      <c r="D3332" s="164" t="s">
        <v>13</v>
      </c>
      <c r="E3332" s="165">
        <v>100</v>
      </c>
      <c r="F3332" s="166">
        <v>0</v>
      </c>
      <c r="G3332" s="227">
        <f>IF($B$2,IF(ROWS(B$6:$B3332) = 1,$B3332-Start_Date,$B3332-$B3331),"")</f>
        <v>7.0993055123835802E-4</v>
      </c>
      <c r="H3332" s="29">
        <f>IF($B$2,IF(ROWS(B$6:$B3332) = 1,IF(COUNTIFS(R_Schedule_Times,"&lt;"&amp;B3332),INDEX(R_Schedule_Amounts,MATCH(B3332,R_Schedule_Times,1)),Starting_Cash),IF(COUNTIFS(R_Schedule_Times,"&gt;"&amp;B3331,R_Schedule_Times,"&lt;"&amp;B3332),INDEX(R_Schedule_Amounts,MATCH(B3332,R_Schedule_Times,1)),K3331)),"")</f>
        <v>17780</v>
      </c>
      <c r="I3332" s="30">
        <f t="shared" si="255"/>
        <v>100</v>
      </c>
      <c r="J3332" s="31">
        <f t="shared" si="256"/>
        <v>0</v>
      </c>
      <c r="K3332" s="29">
        <f t="shared" si="257"/>
        <v>17680</v>
      </c>
      <c r="L3332" s="31" t="str">
        <f t="shared" si="258"/>
        <v/>
      </c>
      <c r="M3332" s="31" t="str">
        <f t="shared" si="259"/>
        <v/>
      </c>
    </row>
    <row r="3333" spans="1:13" x14ac:dyDescent="0.15">
      <c r="A3333" s="163" t="s">
        <v>210</v>
      </c>
      <c r="B3333" s="163">
        <v>42362.356475300927</v>
      </c>
      <c r="C3333" s="164" t="s">
        <v>2687</v>
      </c>
      <c r="D3333" s="164" t="s">
        <v>13</v>
      </c>
      <c r="E3333" s="165">
        <v>80</v>
      </c>
      <c r="F3333" s="166">
        <v>0</v>
      </c>
      <c r="G3333" s="227">
        <f>IF($B$2,IF(ROWS(B$6:$B3333) = 1,$B3333-Start_Date,$B3333-$B3332),"")</f>
        <v>6.701817132125143E-3</v>
      </c>
      <c r="H3333" s="29">
        <f>IF($B$2,IF(ROWS(B$6:$B3333) = 1,IF(COUNTIFS(R_Schedule_Times,"&lt;"&amp;B3333),INDEX(R_Schedule_Amounts,MATCH(B3333,R_Schedule_Times,1)),Starting_Cash),IF(COUNTIFS(R_Schedule_Times,"&gt;"&amp;B3332,R_Schedule_Times,"&lt;"&amp;B3333),INDEX(R_Schedule_Amounts,MATCH(B3333,R_Schedule_Times,1)),K3332)),"")</f>
        <v>17680</v>
      </c>
      <c r="I3333" s="30">
        <f t="shared" si="255"/>
        <v>80</v>
      </c>
      <c r="J3333" s="31">
        <f t="shared" si="256"/>
        <v>0</v>
      </c>
      <c r="K3333" s="29">
        <f t="shared" si="257"/>
        <v>17600</v>
      </c>
      <c r="L3333" s="31" t="str">
        <f t="shared" si="258"/>
        <v/>
      </c>
      <c r="M3333" s="31" t="str">
        <f t="shared" si="259"/>
        <v/>
      </c>
    </row>
    <row r="3334" spans="1:13" x14ac:dyDescent="0.15">
      <c r="A3334" s="163" t="s">
        <v>210</v>
      </c>
      <c r="B3334" s="163">
        <v>42362.369852708332</v>
      </c>
      <c r="C3334" s="164" t="s">
        <v>2688</v>
      </c>
      <c r="D3334" s="164" t="s">
        <v>13</v>
      </c>
      <c r="E3334" s="165">
        <v>100</v>
      </c>
      <c r="F3334" s="166">
        <v>0</v>
      </c>
      <c r="G3334" s="227">
        <f>IF($B$2,IF(ROWS(B$6:$B3334) = 1,$B3334-Start_Date,$B3334-$B3333),"")</f>
        <v>1.3377407405641861E-2</v>
      </c>
      <c r="H3334" s="29">
        <f>IF($B$2,IF(ROWS(B$6:$B3334) = 1,IF(COUNTIFS(R_Schedule_Times,"&lt;"&amp;B3334),INDEX(R_Schedule_Amounts,MATCH(B3334,R_Schedule_Times,1)),Starting_Cash),IF(COUNTIFS(R_Schedule_Times,"&gt;"&amp;B3333,R_Schedule_Times,"&lt;"&amp;B3334),INDEX(R_Schedule_Amounts,MATCH(B3334,R_Schedule_Times,1)),K3333)),"")</f>
        <v>17600</v>
      </c>
      <c r="I3334" s="30">
        <f t="shared" si="255"/>
        <v>100</v>
      </c>
      <c r="J3334" s="31">
        <f t="shared" si="256"/>
        <v>0</v>
      </c>
      <c r="K3334" s="29">
        <f t="shared" si="257"/>
        <v>17500</v>
      </c>
      <c r="L3334" s="31" t="str">
        <f t="shared" si="258"/>
        <v/>
      </c>
      <c r="M3334" s="31" t="str">
        <f t="shared" si="259"/>
        <v/>
      </c>
    </row>
    <row r="3335" spans="1:13" x14ac:dyDescent="0.15">
      <c r="A3335" s="163" t="s">
        <v>210</v>
      </c>
      <c r="B3335" s="163">
        <v>42362.389474525466</v>
      </c>
      <c r="C3335" s="164" t="s">
        <v>745</v>
      </c>
      <c r="D3335" s="164" t="s">
        <v>13</v>
      </c>
      <c r="E3335" s="165">
        <v>60</v>
      </c>
      <c r="F3335" s="166">
        <v>0</v>
      </c>
      <c r="G3335" s="227">
        <f>IF($B$2,IF(ROWS(B$6:$B3335) = 1,$B3335-Start_Date,$B3335-$B3334),"")</f>
        <v>1.9621817133156583E-2</v>
      </c>
      <c r="H3335" s="29">
        <f>IF($B$2,IF(ROWS(B$6:$B3335) = 1,IF(COUNTIFS(R_Schedule_Times,"&lt;"&amp;B3335),INDEX(R_Schedule_Amounts,MATCH(B3335,R_Schedule_Times,1)),Starting_Cash),IF(COUNTIFS(R_Schedule_Times,"&gt;"&amp;B3334,R_Schedule_Times,"&lt;"&amp;B3335),INDEX(R_Schedule_Amounts,MATCH(B3335,R_Schedule_Times,1)),K3334)),"")</f>
        <v>17500</v>
      </c>
      <c r="I3335" s="30">
        <f t="shared" ref="I3335:I3398" si="260">IF($B$2,IF(H3335&gt;=E3335,E3335,0),"")</f>
        <v>60</v>
      </c>
      <c r="J3335" s="31">
        <f t="shared" ref="J3335:J3398" si="261">IF($B$2,IF(H3335&gt;=E3335,F3335,0),"")</f>
        <v>0</v>
      </c>
      <c r="K3335" s="29">
        <f t="shared" ref="K3335:K3398" si="262">IF($B$2,ABS(I3335-H3335),"")</f>
        <v>17440</v>
      </c>
      <c r="L3335" s="31" t="str">
        <f t="shared" ref="L3335:L3398" si="263">IF($B$2,IF(H3335&lt;E3335,"YES",""),"")</f>
        <v/>
      </c>
      <c r="M3335" s="31" t="str">
        <f t="shared" ref="M3335:M3398" si="264">IF($B$2,IF(L3335="YES",F3335,""),"")</f>
        <v/>
      </c>
    </row>
    <row r="3336" spans="1:13" x14ac:dyDescent="0.15">
      <c r="A3336" s="163" t="s">
        <v>210</v>
      </c>
      <c r="B3336" s="163">
        <v>42362.394410555557</v>
      </c>
      <c r="C3336" s="164" t="s">
        <v>2689</v>
      </c>
      <c r="D3336" s="164" t="s">
        <v>13</v>
      </c>
      <c r="E3336" s="165">
        <v>80</v>
      </c>
      <c r="F3336" s="166">
        <v>0</v>
      </c>
      <c r="G3336" s="227">
        <f>IF($B$2,IF(ROWS(B$6:$B3336) = 1,$B3336-Start_Date,$B3336-$B3335),"")</f>
        <v>4.936030090902932E-3</v>
      </c>
      <c r="H3336" s="29">
        <f>IF($B$2,IF(ROWS(B$6:$B3336) = 1,IF(COUNTIFS(R_Schedule_Times,"&lt;"&amp;B3336),INDEX(R_Schedule_Amounts,MATCH(B3336,R_Schedule_Times,1)),Starting_Cash),IF(COUNTIFS(R_Schedule_Times,"&gt;"&amp;B3335,R_Schedule_Times,"&lt;"&amp;B3336),INDEX(R_Schedule_Amounts,MATCH(B3336,R_Schedule_Times,1)),K3335)),"")</f>
        <v>17440</v>
      </c>
      <c r="I3336" s="30">
        <f t="shared" si="260"/>
        <v>80</v>
      </c>
      <c r="J3336" s="31">
        <f t="shared" si="261"/>
        <v>0</v>
      </c>
      <c r="K3336" s="29">
        <f t="shared" si="262"/>
        <v>17360</v>
      </c>
      <c r="L3336" s="31" t="str">
        <f t="shared" si="263"/>
        <v/>
      </c>
      <c r="M3336" s="31" t="str">
        <f t="shared" si="264"/>
        <v/>
      </c>
    </row>
    <row r="3337" spans="1:13" x14ac:dyDescent="0.15">
      <c r="A3337" s="163" t="s">
        <v>210</v>
      </c>
      <c r="B3337" s="163">
        <v>42362.410693506943</v>
      </c>
      <c r="C3337" s="164" t="s">
        <v>945</v>
      </c>
      <c r="D3337" s="164" t="s">
        <v>13</v>
      </c>
      <c r="E3337" s="165">
        <v>80</v>
      </c>
      <c r="F3337" s="166">
        <v>0</v>
      </c>
      <c r="G3337" s="227">
        <f>IF($B$2,IF(ROWS(B$6:$B3337) = 1,$B3337-Start_Date,$B3337-$B3336),"")</f>
        <v>1.6282951386529021E-2</v>
      </c>
      <c r="H3337" s="29">
        <f>IF($B$2,IF(ROWS(B$6:$B3337) = 1,IF(COUNTIFS(R_Schedule_Times,"&lt;"&amp;B3337),INDEX(R_Schedule_Amounts,MATCH(B3337,R_Schedule_Times,1)),Starting_Cash),IF(COUNTIFS(R_Schedule_Times,"&gt;"&amp;B3336,R_Schedule_Times,"&lt;"&amp;B3337),INDEX(R_Schedule_Amounts,MATCH(B3337,R_Schedule_Times,1)),K3336)),"")</f>
        <v>17360</v>
      </c>
      <c r="I3337" s="30">
        <f t="shared" si="260"/>
        <v>80</v>
      </c>
      <c r="J3337" s="31">
        <f t="shared" si="261"/>
        <v>0</v>
      </c>
      <c r="K3337" s="29">
        <f t="shared" si="262"/>
        <v>17280</v>
      </c>
      <c r="L3337" s="31" t="str">
        <f t="shared" si="263"/>
        <v/>
      </c>
      <c r="M3337" s="31" t="str">
        <f t="shared" si="264"/>
        <v/>
      </c>
    </row>
    <row r="3338" spans="1:13" x14ac:dyDescent="0.15">
      <c r="A3338" s="163" t="s">
        <v>210</v>
      </c>
      <c r="B3338" s="163">
        <v>42362.418213159719</v>
      </c>
      <c r="C3338" s="164" t="s">
        <v>2690</v>
      </c>
      <c r="D3338" s="164" t="s">
        <v>13</v>
      </c>
      <c r="E3338" s="165">
        <v>120</v>
      </c>
      <c r="F3338" s="166">
        <v>0</v>
      </c>
      <c r="G3338" s="227">
        <f>IF($B$2,IF(ROWS(B$6:$B3338) = 1,$B3338-Start_Date,$B3338-$B3337),"")</f>
        <v>7.5196527759544551E-3</v>
      </c>
      <c r="H3338" s="29">
        <f>IF($B$2,IF(ROWS(B$6:$B3338) = 1,IF(COUNTIFS(R_Schedule_Times,"&lt;"&amp;B3338),INDEX(R_Schedule_Amounts,MATCH(B3338,R_Schedule_Times,1)),Starting_Cash),IF(COUNTIFS(R_Schedule_Times,"&gt;"&amp;B3337,R_Schedule_Times,"&lt;"&amp;B3338),INDEX(R_Schedule_Amounts,MATCH(B3338,R_Schedule_Times,1)),K3337)),"")</f>
        <v>17280</v>
      </c>
      <c r="I3338" s="30">
        <f t="shared" si="260"/>
        <v>120</v>
      </c>
      <c r="J3338" s="31">
        <f t="shared" si="261"/>
        <v>0</v>
      </c>
      <c r="K3338" s="29">
        <f t="shared" si="262"/>
        <v>17160</v>
      </c>
      <c r="L3338" s="31" t="str">
        <f t="shared" si="263"/>
        <v/>
      </c>
      <c r="M3338" s="31" t="str">
        <f t="shared" si="264"/>
        <v/>
      </c>
    </row>
    <row r="3339" spans="1:13" x14ac:dyDescent="0.15">
      <c r="A3339" s="163" t="s">
        <v>210</v>
      </c>
      <c r="B3339" s="163">
        <v>42362.42555684028</v>
      </c>
      <c r="C3339" s="164" t="s">
        <v>2691</v>
      </c>
      <c r="D3339" s="164" t="s">
        <v>13</v>
      </c>
      <c r="E3339" s="165">
        <v>20</v>
      </c>
      <c r="F3339" s="166">
        <v>0</v>
      </c>
      <c r="G3339" s="227">
        <f>IF($B$2,IF(ROWS(B$6:$B3339) = 1,$B3339-Start_Date,$B3339-$B3338),"")</f>
        <v>7.3436805614619516E-3</v>
      </c>
      <c r="H3339" s="29">
        <f>IF($B$2,IF(ROWS(B$6:$B3339) = 1,IF(COUNTIFS(R_Schedule_Times,"&lt;"&amp;B3339),INDEX(R_Schedule_Amounts,MATCH(B3339,R_Schedule_Times,1)),Starting_Cash),IF(COUNTIFS(R_Schedule_Times,"&gt;"&amp;B3338,R_Schedule_Times,"&lt;"&amp;B3339),INDEX(R_Schedule_Amounts,MATCH(B3339,R_Schedule_Times,1)),K3338)),"")</f>
        <v>17160</v>
      </c>
      <c r="I3339" s="30">
        <f t="shared" si="260"/>
        <v>20</v>
      </c>
      <c r="J3339" s="31">
        <f t="shared" si="261"/>
        <v>0</v>
      </c>
      <c r="K3339" s="29">
        <f t="shared" si="262"/>
        <v>17140</v>
      </c>
      <c r="L3339" s="31" t="str">
        <f t="shared" si="263"/>
        <v/>
      </c>
      <c r="M3339" s="31" t="str">
        <f t="shared" si="264"/>
        <v/>
      </c>
    </row>
    <row r="3340" spans="1:13" x14ac:dyDescent="0.15">
      <c r="A3340" s="163" t="s">
        <v>210</v>
      </c>
      <c r="B3340" s="163">
        <v>42362.426750335646</v>
      </c>
      <c r="C3340" s="164" t="s">
        <v>2692</v>
      </c>
      <c r="D3340" s="164" t="s">
        <v>13</v>
      </c>
      <c r="E3340" s="165">
        <v>100</v>
      </c>
      <c r="F3340" s="166">
        <v>0</v>
      </c>
      <c r="G3340" s="227">
        <f>IF($B$2,IF(ROWS(B$6:$B3340) = 1,$B3340-Start_Date,$B3340-$B3339),"")</f>
        <v>1.1934953654417768E-3</v>
      </c>
      <c r="H3340" s="29">
        <f>IF($B$2,IF(ROWS(B$6:$B3340) = 1,IF(COUNTIFS(R_Schedule_Times,"&lt;"&amp;B3340),INDEX(R_Schedule_Amounts,MATCH(B3340,R_Schedule_Times,1)),Starting_Cash),IF(COUNTIFS(R_Schedule_Times,"&gt;"&amp;B3339,R_Schedule_Times,"&lt;"&amp;B3340),INDEX(R_Schedule_Amounts,MATCH(B3340,R_Schedule_Times,1)),K3339)),"")</f>
        <v>17140</v>
      </c>
      <c r="I3340" s="30">
        <f t="shared" si="260"/>
        <v>100</v>
      </c>
      <c r="J3340" s="31">
        <f t="shared" si="261"/>
        <v>0</v>
      </c>
      <c r="K3340" s="29">
        <f t="shared" si="262"/>
        <v>17040</v>
      </c>
      <c r="L3340" s="31" t="str">
        <f t="shared" si="263"/>
        <v/>
      </c>
      <c r="M3340" s="31" t="str">
        <f t="shared" si="264"/>
        <v/>
      </c>
    </row>
    <row r="3341" spans="1:13" x14ac:dyDescent="0.15">
      <c r="A3341" s="163" t="s">
        <v>210</v>
      </c>
      <c r="B3341" s="163">
        <v>42362.462339814818</v>
      </c>
      <c r="C3341" s="164" t="s">
        <v>112</v>
      </c>
      <c r="D3341" s="164" t="s">
        <v>13</v>
      </c>
      <c r="E3341" s="165">
        <v>40</v>
      </c>
      <c r="F3341" s="166">
        <v>0</v>
      </c>
      <c r="G3341" s="227">
        <f>IF($B$2,IF(ROWS(B$6:$B3341) = 1,$B3341-Start_Date,$B3341-$B3340),"")</f>
        <v>3.5589479171903804E-2</v>
      </c>
      <c r="H3341" s="29">
        <f>IF($B$2,IF(ROWS(B$6:$B3341) = 1,IF(COUNTIFS(R_Schedule_Times,"&lt;"&amp;B3341),INDEX(R_Schedule_Amounts,MATCH(B3341,R_Schedule_Times,1)),Starting_Cash),IF(COUNTIFS(R_Schedule_Times,"&gt;"&amp;B3340,R_Schedule_Times,"&lt;"&amp;B3341),INDEX(R_Schedule_Amounts,MATCH(B3341,R_Schedule_Times,1)),K3340)),"")</f>
        <v>17040</v>
      </c>
      <c r="I3341" s="30">
        <f t="shared" si="260"/>
        <v>40</v>
      </c>
      <c r="J3341" s="31">
        <f t="shared" si="261"/>
        <v>0</v>
      </c>
      <c r="K3341" s="29">
        <f t="shared" si="262"/>
        <v>17000</v>
      </c>
      <c r="L3341" s="31" t="str">
        <f t="shared" si="263"/>
        <v/>
      </c>
      <c r="M3341" s="31" t="str">
        <f t="shared" si="264"/>
        <v/>
      </c>
    </row>
    <row r="3342" spans="1:13" x14ac:dyDescent="0.15">
      <c r="A3342" s="163" t="s">
        <v>210</v>
      </c>
      <c r="B3342" s="163">
        <v>42362.465411238423</v>
      </c>
      <c r="C3342" s="164" t="s">
        <v>2693</v>
      </c>
      <c r="D3342" s="164" t="s">
        <v>13</v>
      </c>
      <c r="E3342" s="165">
        <v>40</v>
      </c>
      <c r="F3342" s="166">
        <v>0</v>
      </c>
      <c r="G3342" s="227">
        <f>IF($B$2,IF(ROWS(B$6:$B3342) = 1,$B3342-Start_Date,$B3342-$B3341),"")</f>
        <v>3.0714236054336652E-3</v>
      </c>
      <c r="H3342" s="29">
        <f>IF($B$2,IF(ROWS(B$6:$B3342) = 1,IF(COUNTIFS(R_Schedule_Times,"&lt;"&amp;B3342),INDEX(R_Schedule_Amounts,MATCH(B3342,R_Schedule_Times,1)),Starting_Cash),IF(COUNTIFS(R_Schedule_Times,"&gt;"&amp;B3341,R_Schedule_Times,"&lt;"&amp;B3342),INDEX(R_Schedule_Amounts,MATCH(B3342,R_Schedule_Times,1)),K3341)),"")</f>
        <v>17000</v>
      </c>
      <c r="I3342" s="30">
        <f t="shared" si="260"/>
        <v>40</v>
      </c>
      <c r="J3342" s="31">
        <f t="shared" si="261"/>
        <v>0</v>
      </c>
      <c r="K3342" s="29">
        <f t="shared" si="262"/>
        <v>16960</v>
      </c>
      <c r="L3342" s="31" t="str">
        <f t="shared" si="263"/>
        <v/>
      </c>
      <c r="M3342" s="31" t="str">
        <f t="shared" si="264"/>
        <v/>
      </c>
    </row>
    <row r="3343" spans="1:13" x14ac:dyDescent="0.15">
      <c r="A3343" s="163" t="s">
        <v>210</v>
      </c>
      <c r="B3343" s="163">
        <v>42362.46638189815</v>
      </c>
      <c r="C3343" s="164" t="s">
        <v>2694</v>
      </c>
      <c r="D3343" s="164" t="s">
        <v>13</v>
      </c>
      <c r="E3343" s="165">
        <v>40</v>
      </c>
      <c r="F3343" s="166">
        <v>0</v>
      </c>
      <c r="G3343" s="227">
        <f>IF($B$2,IF(ROWS(B$6:$B3343) = 1,$B3343-Start_Date,$B3343-$B3342),"")</f>
        <v>9.706597265903838E-4</v>
      </c>
      <c r="H3343" s="29">
        <f>IF($B$2,IF(ROWS(B$6:$B3343) = 1,IF(COUNTIFS(R_Schedule_Times,"&lt;"&amp;B3343),INDEX(R_Schedule_Amounts,MATCH(B3343,R_Schedule_Times,1)),Starting_Cash),IF(COUNTIFS(R_Schedule_Times,"&gt;"&amp;B3342,R_Schedule_Times,"&lt;"&amp;B3343),INDEX(R_Schedule_Amounts,MATCH(B3343,R_Schedule_Times,1)),K3342)),"")</f>
        <v>16960</v>
      </c>
      <c r="I3343" s="30">
        <f t="shared" si="260"/>
        <v>40</v>
      </c>
      <c r="J3343" s="31">
        <f t="shared" si="261"/>
        <v>0</v>
      </c>
      <c r="K3343" s="29">
        <f t="shared" si="262"/>
        <v>16920</v>
      </c>
      <c r="L3343" s="31" t="str">
        <f t="shared" si="263"/>
        <v/>
      </c>
      <c r="M3343" s="31" t="str">
        <f t="shared" si="264"/>
        <v/>
      </c>
    </row>
    <row r="3344" spans="1:13" x14ac:dyDescent="0.15">
      <c r="A3344" s="163" t="s">
        <v>210</v>
      </c>
      <c r="B3344" s="163">
        <v>42362.479538981483</v>
      </c>
      <c r="C3344" s="164" t="s">
        <v>2159</v>
      </c>
      <c r="D3344" s="164" t="s">
        <v>13</v>
      </c>
      <c r="E3344" s="165">
        <v>40</v>
      </c>
      <c r="F3344" s="166">
        <v>0</v>
      </c>
      <c r="G3344" s="227">
        <f>IF($B$2,IF(ROWS(B$6:$B3344) = 1,$B3344-Start_Date,$B3344-$B3343),"")</f>
        <v>1.3157083332771435E-2</v>
      </c>
      <c r="H3344" s="29">
        <f>IF($B$2,IF(ROWS(B$6:$B3344) = 1,IF(COUNTIFS(R_Schedule_Times,"&lt;"&amp;B3344),INDEX(R_Schedule_Amounts,MATCH(B3344,R_Schedule_Times,1)),Starting_Cash),IF(COUNTIFS(R_Schedule_Times,"&gt;"&amp;B3343,R_Schedule_Times,"&lt;"&amp;B3344),INDEX(R_Schedule_Amounts,MATCH(B3344,R_Schedule_Times,1)),K3343)),"")</f>
        <v>16920</v>
      </c>
      <c r="I3344" s="30">
        <f t="shared" si="260"/>
        <v>40</v>
      </c>
      <c r="J3344" s="31">
        <f t="shared" si="261"/>
        <v>0</v>
      </c>
      <c r="K3344" s="29">
        <f t="shared" si="262"/>
        <v>16880</v>
      </c>
      <c r="L3344" s="31" t="str">
        <f t="shared" si="263"/>
        <v/>
      </c>
      <c r="M3344" s="31" t="str">
        <f t="shared" si="264"/>
        <v/>
      </c>
    </row>
    <row r="3345" spans="1:13" x14ac:dyDescent="0.15">
      <c r="A3345" s="163" t="s">
        <v>210</v>
      </c>
      <c r="B3345" s="163">
        <v>42362.483898842591</v>
      </c>
      <c r="C3345" s="164" t="s">
        <v>2642</v>
      </c>
      <c r="D3345" s="164" t="s">
        <v>13</v>
      </c>
      <c r="E3345" s="165">
        <v>80</v>
      </c>
      <c r="F3345" s="166">
        <v>0</v>
      </c>
      <c r="G3345" s="227">
        <f>IF($B$2,IF(ROWS(B$6:$B3345) = 1,$B3345-Start_Date,$B3345-$B3344),"")</f>
        <v>4.3598611082416028E-3</v>
      </c>
      <c r="H3345" s="29">
        <f>IF($B$2,IF(ROWS(B$6:$B3345) = 1,IF(COUNTIFS(R_Schedule_Times,"&lt;"&amp;B3345),INDEX(R_Schedule_Amounts,MATCH(B3345,R_Schedule_Times,1)),Starting_Cash),IF(COUNTIFS(R_Schedule_Times,"&gt;"&amp;B3344,R_Schedule_Times,"&lt;"&amp;B3345),INDEX(R_Schedule_Amounts,MATCH(B3345,R_Schedule_Times,1)),K3344)),"")</f>
        <v>16880</v>
      </c>
      <c r="I3345" s="30">
        <f t="shared" si="260"/>
        <v>80</v>
      </c>
      <c r="J3345" s="31">
        <f t="shared" si="261"/>
        <v>0</v>
      </c>
      <c r="K3345" s="29">
        <f t="shared" si="262"/>
        <v>16800</v>
      </c>
      <c r="L3345" s="31" t="str">
        <f t="shared" si="263"/>
        <v/>
      </c>
      <c r="M3345" s="31" t="str">
        <f t="shared" si="264"/>
        <v/>
      </c>
    </row>
    <row r="3346" spans="1:13" x14ac:dyDescent="0.15">
      <c r="A3346" s="163" t="s">
        <v>210</v>
      </c>
      <c r="B3346" s="163">
        <v>42362.490356921298</v>
      </c>
      <c r="C3346" s="164" t="s">
        <v>1814</v>
      </c>
      <c r="D3346" s="164" t="s">
        <v>13</v>
      </c>
      <c r="E3346" s="165">
        <v>100</v>
      </c>
      <c r="F3346" s="166">
        <v>0</v>
      </c>
      <c r="G3346" s="227">
        <f>IF($B$2,IF(ROWS(B$6:$B3346) = 1,$B3346-Start_Date,$B3346-$B3345),"")</f>
        <v>6.4580787075101398E-3</v>
      </c>
      <c r="H3346" s="29">
        <f>IF($B$2,IF(ROWS(B$6:$B3346) = 1,IF(COUNTIFS(R_Schedule_Times,"&lt;"&amp;B3346),INDEX(R_Schedule_Amounts,MATCH(B3346,R_Schedule_Times,1)),Starting_Cash),IF(COUNTIFS(R_Schedule_Times,"&gt;"&amp;B3345,R_Schedule_Times,"&lt;"&amp;B3346),INDEX(R_Schedule_Amounts,MATCH(B3346,R_Schedule_Times,1)),K3345)),"")</f>
        <v>16800</v>
      </c>
      <c r="I3346" s="30">
        <f t="shared" si="260"/>
        <v>100</v>
      </c>
      <c r="J3346" s="31">
        <f t="shared" si="261"/>
        <v>0</v>
      </c>
      <c r="K3346" s="29">
        <f t="shared" si="262"/>
        <v>16700</v>
      </c>
      <c r="L3346" s="31" t="str">
        <f t="shared" si="263"/>
        <v/>
      </c>
      <c r="M3346" s="31" t="str">
        <f t="shared" si="264"/>
        <v/>
      </c>
    </row>
    <row r="3347" spans="1:13" x14ac:dyDescent="0.15">
      <c r="A3347" s="163" t="s">
        <v>210</v>
      </c>
      <c r="B3347" s="163">
        <v>42362.491380451385</v>
      </c>
      <c r="C3347" s="164" t="s">
        <v>1530</v>
      </c>
      <c r="D3347" s="164" t="s">
        <v>13</v>
      </c>
      <c r="E3347" s="165">
        <v>160</v>
      </c>
      <c r="F3347" s="166">
        <v>0</v>
      </c>
      <c r="G3347" s="227">
        <f>IF($B$2,IF(ROWS(B$6:$B3347) = 1,$B3347-Start_Date,$B3347-$B3346),"")</f>
        <v>1.0235300869680941E-3</v>
      </c>
      <c r="H3347" s="29">
        <f>IF($B$2,IF(ROWS(B$6:$B3347) = 1,IF(COUNTIFS(R_Schedule_Times,"&lt;"&amp;B3347),INDEX(R_Schedule_Amounts,MATCH(B3347,R_Schedule_Times,1)),Starting_Cash),IF(COUNTIFS(R_Schedule_Times,"&gt;"&amp;B3346,R_Schedule_Times,"&lt;"&amp;B3347),INDEX(R_Schedule_Amounts,MATCH(B3347,R_Schedule_Times,1)),K3346)),"")</f>
        <v>16700</v>
      </c>
      <c r="I3347" s="30">
        <f t="shared" si="260"/>
        <v>160</v>
      </c>
      <c r="J3347" s="31">
        <f t="shared" si="261"/>
        <v>0</v>
      </c>
      <c r="K3347" s="29">
        <f t="shared" si="262"/>
        <v>16540</v>
      </c>
      <c r="L3347" s="31" t="str">
        <f t="shared" si="263"/>
        <v/>
      </c>
      <c r="M3347" s="31" t="str">
        <f t="shared" si="264"/>
        <v/>
      </c>
    </row>
    <row r="3348" spans="1:13" x14ac:dyDescent="0.15">
      <c r="A3348" s="163" t="s">
        <v>210</v>
      </c>
      <c r="B3348" s="163">
        <v>42362.51244353009</v>
      </c>
      <c r="C3348" s="164" t="s">
        <v>2695</v>
      </c>
      <c r="D3348" s="164" t="s">
        <v>13</v>
      </c>
      <c r="E3348" s="165">
        <v>100</v>
      </c>
      <c r="F3348" s="166">
        <v>0</v>
      </c>
      <c r="G3348" s="227">
        <f>IF($B$2,IF(ROWS(B$6:$B3348) = 1,$B3348-Start_Date,$B3348-$B3347),"")</f>
        <v>2.1063078704173677E-2</v>
      </c>
      <c r="H3348" s="29">
        <f>IF($B$2,IF(ROWS(B$6:$B3348) = 1,IF(COUNTIFS(R_Schedule_Times,"&lt;"&amp;B3348),INDEX(R_Schedule_Amounts,MATCH(B3348,R_Schedule_Times,1)),Starting_Cash),IF(COUNTIFS(R_Schedule_Times,"&gt;"&amp;B3347,R_Schedule_Times,"&lt;"&amp;B3348),INDEX(R_Schedule_Amounts,MATCH(B3348,R_Schedule_Times,1)),K3347)),"")</f>
        <v>16540</v>
      </c>
      <c r="I3348" s="30">
        <f t="shared" si="260"/>
        <v>100</v>
      </c>
      <c r="J3348" s="31">
        <f t="shared" si="261"/>
        <v>0</v>
      </c>
      <c r="K3348" s="29">
        <f t="shared" si="262"/>
        <v>16440</v>
      </c>
      <c r="L3348" s="31" t="str">
        <f t="shared" si="263"/>
        <v/>
      </c>
      <c r="M3348" s="31" t="str">
        <f t="shared" si="264"/>
        <v/>
      </c>
    </row>
    <row r="3349" spans="1:13" x14ac:dyDescent="0.15">
      <c r="A3349" s="163" t="s">
        <v>210</v>
      </c>
      <c r="B3349" s="163">
        <v>42362.523480949072</v>
      </c>
      <c r="C3349" s="164" t="s">
        <v>1194</v>
      </c>
      <c r="D3349" s="164" t="s">
        <v>13</v>
      </c>
      <c r="E3349" s="165">
        <v>200</v>
      </c>
      <c r="F3349" s="166">
        <v>0</v>
      </c>
      <c r="G3349" s="227">
        <f>IF($B$2,IF(ROWS(B$6:$B3349) = 1,$B3349-Start_Date,$B3349-$B3348),"")</f>
        <v>1.1037418982596137E-2</v>
      </c>
      <c r="H3349" s="29">
        <f>IF($B$2,IF(ROWS(B$6:$B3349) = 1,IF(COUNTIFS(R_Schedule_Times,"&lt;"&amp;B3349),INDEX(R_Schedule_Amounts,MATCH(B3349,R_Schedule_Times,1)),Starting_Cash),IF(COUNTIFS(R_Schedule_Times,"&gt;"&amp;B3348,R_Schedule_Times,"&lt;"&amp;B3349),INDEX(R_Schedule_Amounts,MATCH(B3349,R_Schedule_Times,1)),K3348)),"")</f>
        <v>16440</v>
      </c>
      <c r="I3349" s="30">
        <f t="shared" si="260"/>
        <v>200</v>
      </c>
      <c r="J3349" s="31">
        <f t="shared" si="261"/>
        <v>0</v>
      </c>
      <c r="K3349" s="29">
        <f t="shared" si="262"/>
        <v>16240</v>
      </c>
      <c r="L3349" s="31" t="str">
        <f t="shared" si="263"/>
        <v/>
      </c>
      <c r="M3349" s="31" t="str">
        <f t="shared" si="264"/>
        <v/>
      </c>
    </row>
    <row r="3350" spans="1:13" x14ac:dyDescent="0.15">
      <c r="A3350" s="163" t="s">
        <v>210</v>
      </c>
      <c r="B3350" s="163">
        <v>42362.528495555554</v>
      </c>
      <c r="C3350" s="164" t="s">
        <v>2696</v>
      </c>
      <c r="D3350" s="164" t="s">
        <v>13</v>
      </c>
      <c r="E3350" s="165">
        <v>120</v>
      </c>
      <c r="F3350" s="166">
        <v>0</v>
      </c>
      <c r="G3350" s="227">
        <f>IF($B$2,IF(ROWS(B$6:$B3350) = 1,$B3350-Start_Date,$B3350-$B3349),"")</f>
        <v>5.0146064822911285E-3</v>
      </c>
      <c r="H3350" s="29">
        <f>IF($B$2,IF(ROWS(B$6:$B3350) = 1,IF(COUNTIFS(R_Schedule_Times,"&lt;"&amp;B3350),INDEX(R_Schedule_Amounts,MATCH(B3350,R_Schedule_Times,1)),Starting_Cash),IF(COUNTIFS(R_Schedule_Times,"&gt;"&amp;B3349,R_Schedule_Times,"&lt;"&amp;B3350),INDEX(R_Schedule_Amounts,MATCH(B3350,R_Schedule_Times,1)),K3349)),"")</f>
        <v>16240</v>
      </c>
      <c r="I3350" s="30">
        <f t="shared" si="260"/>
        <v>120</v>
      </c>
      <c r="J3350" s="31">
        <f t="shared" si="261"/>
        <v>0</v>
      </c>
      <c r="K3350" s="29">
        <f t="shared" si="262"/>
        <v>16120</v>
      </c>
      <c r="L3350" s="31" t="str">
        <f t="shared" si="263"/>
        <v/>
      </c>
      <c r="M3350" s="31" t="str">
        <f t="shared" si="264"/>
        <v/>
      </c>
    </row>
    <row r="3351" spans="1:13" x14ac:dyDescent="0.15">
      <c r="A3351" s="163" t="s">
        <v>210</v>
      </c>
      <c r="B3351" s="163">
        <v>42362.540578726854</v>
      </c>
      <c r="C3351" s="164" t="s">
        <v>2697</v>
      </c>
      <c r="D3351" s="164" t="s">
        <v>13</v>
      </c>
      <c r="E3351" s="165">
        <v>400</v>
      </c>
      <c r="F3351" s="166">
        <v>0</v>
      </c>
      <c r="G3351" s="227">
        <f>IF($B$2,IF(ROWS(B$6:$B3351) = 1,$B3351-Start_Date,$B3351-$B3350),"")</f>
        <v>1.208317129930947E-2</v>
      </c>
      <c r="H3351" s="29">
        <f>IF($B$2,IF(ROWS(B$6:$B3351) = 1,IF(COUNTIFS(R_Schedule_Times,"&lt;"&amp;B3351),INDEX(R_Schedule_Amounts,MATCH(B3351,R_Schedule_Times,1)),Starting_Cash),IF(COUNTIFS(R_Schedule_Times,"&gt;"&amp;B3350,R_Schedule_Times,"&lt;"&amp;B3351),INDEX(R_Schedule_Amounts,MATCH(B3351,R_Schedule_Times,1)),K3350)),"")</f>
        <v>16120</v>
      </c>
      <c r="I3351" s="30">
        <f t="shared" si="260"/>
        <v>400</v>
      </c>
      <c r="J3351" s="31">
        <f t="shared" si="261"/>
        <v>0</v>
      </c>
      <c r="K3351" s="29">
        <f t="shared" si="262"/>
        <v>15720</v>
      </c>
      <c r="L3351" s="31" t="str">
        <f t="shared" si="263"/>
        <v/>
      </c>
      <c r="M3351" s="31" t="str">
        <f t="shared" si="264"/>
        <v/>
      </c>
    </row>
    <row r="3352" spans="1:13" x14ac:dyDescent="0.15">
      <c r="A3352" s="163" t="s">
        <v>210</v>
      </c>
      <c r="B3352" s="163">
        <v>42362.541377800924</v>
      </c>
      <c r="C3352" s="164" t="s">
        <v>14</v>
      </c>
      <c r="D3352" s="164" t="s">
        <v>13</v>
      </c>
      <c r="E3352" s="165">
        <v>40</v>
      </c>
      <c r="F3352" s="166">
        <v>3.5</v>
      </c>
      <c r="G3352" s="227">
        <f>IF($B$2,IF(ROWS(B$6:$B3352) = 1,$B3352-Start_Date,$B3352-$B3351),"")</f>
        <v>7.990740705281496E-4</v>
      </c>
      <c r="H3352" s="29">
        <f>IF($B$2,IF(ROWS(B$6:$B3352) = 1,IF(COUNTIFS(R_Schedule_Times,"&lt;"&amp;B3352),INDEX(R_Schedule_Amounts,MATCH(B3352,R_Schedule_Times,1)),Starting_Cash),IF(COUNTIFS(R_Schedule_Times,"&gt;"&amp;B3351,R_Schedule_Times,"&lt;"&amp;B3352),INDEX(R_Schedule_Amounts,MATCH(B3352,R_Schedule_Times,1)),K3351)),"")</f>
        <v>15720</v>
      </c>
      <c r="I3352" s="30">
        <f t="shared" si="260"/>
        <v>40</v>
      </c>
      <c r="J3352" s="31">
        <f t="shared" si="261"/>
        <v>3.5</v>
      </c>
      <c r="K3352" s="29">
        <f t="shared" si="262"/>
        <v>15680</v>
      </c>
      <c r="L3352" s="31" t="str">
        <f t="shared" si="263"/>
        <v/>
      </c>
      <c r="M3352" s="31" t="str">
        <f t="shared" si="264"/>
        <v/>
      </c>
    </row>
    <row r="3353" spans="1:13" x14ac:dyDescent="0.15">
      <c r="A3353" s="163" t="s">
        <v>210</v>
      </c>
      <c r="B3353" s="163">
        <v>42362.550713402779</v>
      </c>
      <c r="C3353" s="164" t="s">
        <v>1441</v>
      </c>
      <c r="D3353" s="164" t="s">
        <v>13</v>
      </c>
      <c r="E3353" s="165">
        <v>60</v>
      </c>
      <c r="F3353" s="166">
        <v>0</v>
      </c>
      <c r="G3353" s="227">
        <f>IF($B$2,IF(ROWS(B$6:$B3353) = 1,$B3353-Start_Date,$B3353-$B3352),"")</f>
        <v>9.3356018551276065E-3</v>
      </c>
      <c r="H3353" s="29">
        <f>IF($B$2,IF(ROWS(B$6:$B3353) = 1,IF(COUNTIFS(R_Schedule_Times,"&lt;"&amp;B3353),INDEX(R_Schedule_Amounts,MATCH(B3353,R_Schedule_Times,1)),Starting_Cash),IF(COUNTIFS(R_Schedule_Times,"&gt;"&amp;B3352,R_Schedule_Times,"&lt;"&amp;B3353),INDEX(R_Schedule_Amounts,MATCH(B3353,R_Schedule_Times,1)),K3352)),"")</f>
        <v>15680</v>
      </c>
      <c r="I3353" s="30">
        <f t="shared" si="260"/>
        <v>60</v>
      </c>
      <c r="J3353" s="31">
        <f t="shared" si="261"/>
        <v>0</v>
      </c>
      <c r="K3353" s="29">
        <f t="shared" si="262"/>
        <v>15620</v>
      </c>
      <c r="L3353" s="31" t="str">
        <f t="shared" si="263"/>
        <v/>
      </c>
      <c r="M3353" s="31" t="str">
        <f t="shared" si="264"/>
        <v/>
      </c>
    </row>
    <row r="3354" spans="1:13" x14ac:dyDescent="0.15">
      <c r="A3354" s="163" t="s">
        <v>210</v>
      </c>
      <c r="B3354" s="163">
        <v>42362.554337002315</v>
      </c>
      <c r="C3354" s="164" t="s">
        <v>548</v>
      </c>
      <c r="D3354" s="164" t="s">
        <v>13</v>
      </c>
      <c r="E3354" s="165">
        <v>100</v>
      </c>
      <c r="F3354" s="166">
        <v>0</v>
      </c>
      <c r="G3354" s="227">
        <f>IF($B$2,IF(ROWS(B$6:$B3354) = 1,$B3354-Start_Date,$B3354-$B3353),"")</f>
        <v>3.6235995357856154E-3</v>
      </c>
      <c r="H3354" s="29">
        <f>IF($B$2,IF(ROWS(B$6:$B3354) = 1,IF(COUNTIFS(R_Schedule_Times,"&lt;"&amp;B3354),INDEX(R_Schedule_Amounts,MATCH(B3354,R_Schedule_Times,1)),Starting_Cash),IF(COUNTIFS(R_Schedule_Times,"&gt;"&amp;B3353,R_Schedule_Times,"&lt;"&amp;B3354),INDEX(R_Schedule_Amounts,MATCH(B3354,R_Schedule_Times,1)),K3353)),"")</f>
        <v>15620</v>
      </c>
      <c r="I3354" s="30">
        <f t="shared" si="260"/>
        <v>100</v>
      </c>
      <c r="J3354" s="31">
        <f t="shared" si="261"/>
        <v>0</v>
      </c>
      <c r="K3354" s="29">
        <f t="shared" si="262"/>
        <v>15520</v>
      </c>
      <c r="L3354" s="31" t="str">
        <f t="shared" si="263"/>
        <v/>
      </c>
      <c r="M3354" s="31" t="str">
        <f t="shared" si="264"/>
        <v/>
      </c>
    </row>
    <row r="3355" spans="1:13" x14ac:dyDescent="0.15">
      <c r="A3355" s="163" t="s">
        <v>210</v>
      </c>
      <c r="B3355" s="163">
        <v>42362.572946921297</v>
      </c>
      <c r="C3355" s="164" t="s">
        <v>1979</v>
      </c>
      <c r="D3355" s="164" t="s">
        <v>13</v>
      </c>
      <c r="E3355" s="165">
        <v>100</v>
      </c>
      <c r="F3355" s="166">
        <v>0</v>
      </c>
      <c r="G3355" s="227">
        <f>IF($B$2,IF(ROWS(B$6:$B3355) = 1,$B3355-Start_Date,$B3355-$B3354),"")</f>
        <v>1.8609918981383089E-2</v>
      </c>
      <c r="H3355" s="29">
        <f>IF($B$2,IF(ROWS(B$6:$B3355) = 1,IF(COUNTIFS(R_Schedule_Times,"&lt;"&amp;B3355),INDEX(R_Schedule_Amounts,MATCH(B3355,R_Schedule_Times,1)),Starting_Cash),IF(COUNTIFS(R_Schedule_Times,"&gt;"&amp;B3354,R_Schedule_Times,"&lt;"&amp;B3355),INDEX(R_Schedule_Amounts,MATCH(B3355,R_Schedule_Times,1)),K3354)),"")</f>
        <v>15520</v>
      </c>
      <c r="I3355" s="30">
        <f t="shared" si="260"/>
        <v>100</v>
      </c>
      <c r="J3355" s="31">
        <f t="shared" si="261"/>
        <v>0</v>
      </c>
      <c r="K3355" s="29">
        <f t="shared" si="262"/>
        <v>15420</v>
      </c>
      <c r="L3355" s="31" t="str">
        <f t="shared" si="263"/>
        <v/>
      </c>
      <c r="M3355" s="31" t="str">
        <f t="shared" si="264"/>
        <v/>
      </c>
    </row>
    <row r="3356" spans="1:13" x14ac:dyDescent="0.15">
      <c r="A3356" s="163" t="s">
        <v>210</v>
      </c>
      <c r="B3356" s="163">
        <v>42362.574087731482</v>
      </c>
      <c r="C3356" s="164" t="s">
        <v>193</v>
      </c>
      <c r="D3356" s="164" t="s">
        <v>13</v>
      </c>
      <c r="E3356" s="165">
        <v>40</v>
      </c>
      <c r="F3356" s="166">
        <v>0</v>
      </c>
      <c r="G3356" s="227">
        <f>IF($B$2,IF(ROWS(B$6:$B3356) = 1,$B3356-Start_Date,$B3356-$B3355),"")</f>
        <v>1.1408101854613051E-3</v>
      </c>
      <c r="H3356" s="29">
        <f>IF($B$2,IF(ROWS(B$6:$B3356) = 1,IF(COUNTIFS(R_Schedule_Times,"&lt;"&amp;B3356),INDEX(R_Schedule_Amounts,MATCH(B3356,R_Schedule_Times,1)),Starting_Cash),IF(COUNTIFS(R_Schedule_Times,"&gt;"&amp;B3355,R_Schedule_Times,"&lt;"&amp;B3356),INDEX(R_Schedule_Amounts,MATCH(B3356,R_Schedule_Times,1)),K3355)),"")</f>
        <v>15420</v>
      </c>
      <c r="I3356" s="30">
        <f t="shared" si="260"/>
        <v>40</v>
      </c>
      <c r="J3356" s="31">
        <f t="shared" si="261"/>
        <v>0</v>
      </c>
      <c r="K3356" s="29">
        <f t="shared" si="262"/>
        <v>15380</v>
      </c>
      <c r="L3356" s="31" t="str">
        <f t="shared" si="263"/>
        <v/>
      </c>
      <c r="M3356" s="31" t="str">
        <f t="shared" si="264"/>
        <v/>
      </c>
    </row>
    <row r="3357" spans="1:13" x14ac:dyDescent="0.15">
      <c r="A3357" s="163" t="s">
        <v>210</v>
      </c>
      <c r="B3357" s="163">
        <v>42362.606415358794</v>
      </c>
      <c r="C3357" s="164" t="s">
        <v>1662</v>
      </c>
      <c r="D3357" s="164" t="s">
        <v>13</v>
      </c>
      <c r="E3357" s="165">
        <v>100</v>
      </c>
      <c r="F3357" s="166">
        <v>0</v>
      </c>
      <c r="G3357" s="227">
        <f>IF($B$2,IF(ROWS(B$6:$B3357) = 1,$B3357-Start_Date,$B3357-$B3356),"")</f>
        <v>3.232762731204275E-2</v>
      </c>
      <c r="H3357" s="29">
        <f>IF($B$2,IF(ROWS(B$6:$B3357) = 1,IF(COUNTIFS(R_Schedule_Times,"&lt;"&amp;B3357),INDEX(R_Schedule_Amounts,MATCH(B3357,R_Schedule_Times,1)),Starting_Cash),IF(COUNTIFS(R_Schedule_Times,"&gt;"&amp;B3356,R_Schedule_Times,"&lt;"&amp;B3357),INDEX(R_Schedule_Amounts,MATCH(B3357,R_Schedule_Times,1)),K3356)),"")</f>
        <v>15380</v>
      </c>
      <c r="I3357" s="30">
        <f t="shared" si="260"/>
        <v>100</v>
      </c>
      <c r="J3357" s="31">
        <f t="shared" si="261"/>
        <v>0</v>
      </c>
      <c r="K3357" s="29">
        <f t="shared" si="262"/>
        <v>15280</v>
      </c>
      <c r="L3357" s="31" t="str">
        <f t="shared" si="263"/>
        <v/>
      </c>
      <c r="M3357" s="31" t="str">
        <f t="shared" si="264"/>
        <v/>
      </c>
    </row>
    <row r="3358" spans="1:13" x14ac:dyDescent="0.15">
      <c r="A3358" s="163" t="s">
        <v>210</v>
      </c>
      <c r="B3358" s="163">
        <v>42362.625654930554</v>
      </c>
      <c r="C3358" s="164" t="s">
        <v>2122</v>
      </c>
      <c r="D3358" s="164" t="s">
        <v>13</v>
      </c>
      <c r="E3358" s="165">
        <v>80</v>
      </c>
      <c r="F3358" s="166">
        <v>0</v>
      </c>
      <c r="G3358" s="227">
        <f>IF($B$2,IF(ROWS(B$6:$B3358) = 1,$B3358-Start_Date,$B3358-$B3357),"")</f>
        <v>1.923957176040858E-2</v>
      </c>
      <c r="H3358" s="29">
        <f>IF($B$2,IF(ROWS(B$6:$B3358) = 1,IF(COUNTIFS(R_Schedule_Times,"&lt;"&amp;B3358),INDEX(R_Schedule_Amounts,MATCH(B3358,R_Schedule_Times,1)),Starting_Cash),IF(COUNTIFS(R_Schedule_Times,"&gt;"&amp;B3357,R_Schedule_Times,"&lt;"&amp;B3358),INDEX(R_Schedule_Amounts,MATCH(B3358,R_Schedule_Times,1)),K3357)),"")</f>
        <v>15280</v>
      </c>
      <c r="I3358" s="30">
        <f t="shared" si="260"/>
        <v>80</v>
      </c>
      <c r="J3358" s="31">
        <f t="shared" si="261"/>
        <v>0</v>
      </c>
      <c r="K3358" s="29">
        <f t="shared" si="262"/>
        <v>15200</v>
      </c>
      <c r="L3358" s="31" t="str">
        <f t="shared" si="263"/>
        <v/>
      </c>
      <c r="M3358" s="31" t="str">
        <f t="shared" si="264"/>
        <v/>
      </c>
    </row>
    <row r="3359" spans="1:13" x14ac:dyDescent="0.15">
      <c r="A3359" s="163" t="s">
        <v>210</v>
      </c>
      <c r="B3359" s="163">
        <v>42362.654497986114</v>
      </c>
      <c r="C3359" s="164" t="s">
        <v>14</v>
      </c>
      <c r="D3359" s="164" t="s">
        <v>15</v>
      </c>
      <c r="E3359" s="165">
        <v>60</v>
      </c>
      <c r="F3359" s="166">
        <v>4.3</v>
      </c>
      <c r="G3359" s="227">
        <f>IF($B$2,IF(ROWS(B$6:$B3359) = 1,$B3359-Start_Date,$B3359-$B3358),"")</f>
        <v>2.884305555926403E-2</v>
      </c>
      <c r="H3359" s="29">
        <f>IF($B$2,IF(ROWS(B$6:$B3359) = 1,IF(COUNTIFS(R_Schedule_Times,"&lt;"&amp;B3359),INDEX(R_Schedule_Amounts,MATCH(B3359,R_Schedule_Times,1)),Starting_Cash),IF(COUNTIFS(R_Schedule_Times,"&gt;"&amp;B3358,R_Schedule_Times,"&lt;"&amp;B3359),INDEX(R_Schedule_Amounts,MATCH(B3359,R_Schedule_Times,1)),K3358)),"")</f>
        <v>15200</v>
      </c>
      <c r="I3359" s="30">
        <f t="shared" si="260"/>
        <v>60</v>
      </c>
      <c r="J3359" s="31">
        <f t="shared" si="261"/>
        <v>4.3</v>
      </c>
      <c r="K3359" s="29">
        <f t="shared" si="262"/>
        <v>15140</v>
      </c>
      <c r="L3359" s="31" t="str">
        <f t="shared" si="263"/>
        <v/>
      </c>
      <c r="M3359" s="31" t="str">
        <f t="shared" si="264"/>
        <v/>
      </c>
    </row>
    <row r="3360" spans="1:13" x14ac:dyDescent="0.15">
      <c r="A3360" s="163" t="s">
        <v>210</v>
      </c>
      <c r="B3360" s="163">
        <v>42362.675389849537</v>
      </c>
      <c r="C3360" s="164" t="s">
        <v>635</v>
      </c>
      <c r="D3360" s="164" t="s">
        <v>13</v>
      </c>
      <c r="E3360" s="165">
        <v>100</v>
      </c>
      <c r="F3360" s="166">
        <v>0</v>
      </c>
      <c r="G3360" s="227">
        <f>IF($B$2,IF(ROWS(B$6:$B3360) = 1,$B3360-Start_Date,$B3360-$B3359),"")</f>
        <v>2.0891863423457835E-2</v>
      </c>
      <c r="H3360" s="29">
        <f>IF($B$2,IF(ROWS(B$6:$B3360) = 1,IF(COUNTIFS(R_Schedule_Times,"&lt;"&amp;B3360),INDEX(R_Schedule_Amounts,MATCH(B3360,R_Schedule_Times,1)),Starting_Cash),IF(COUNTIFS(R_Schedule_Times,"&gt;"&amp;B3359,R_Schedule_Times,"&lt;"&amp;B3360),INDEX(R_Schedule_Amounts,MATCH(B3360,R_Schedule_Times,1)),K3359)),"")</f>
        <v>15140</v>
      </c>
      <c r="I3360" s="30">
        <f t="shared" si="260"/>
        <v>100</v>
      </c>
      <c r="J3360" s="31">
        <f t="shared" si="261"/>
        <v>0</v>
      </c>
      <c r="K3360" s="29">
        <f t="shared" si="262"/>
        <v>15040</v>
      </c>
      <c r="L3360" s="31" t="str">
        <f t="shared" si="263"/>
        <v/>
      </c>
      <c r="M3360" s="31" t="str">
        <f t="shared" si="264"/>
        <v/>
      </c>
    </row>
    <row r="3361" spans="1:13" x14ac:dyDescent="0.15">
      <c r="A3361" s="163" t="s">
        <v>210</v>
      </c>
      <c r="B3361" s="163">
        <v>42362.70908572917</v>
      </c>
      <c r="C3361" s="164" t="s">
        <v>2698</v>
      </c>
      <c r="D3361" s="164" t="s">
        <v>13</v>
      </c>
      <c r="E3361" s="165">
        <v>100</v>
      </c>
      <c r="F3361" s="166">
        <v>0</v>
      </c>
      <c r="G3361" s="227">
        <f>IF($B$2,IF(ROWS(B$6:$B3361) = 1,$B3361-Start_Date,$B3361-$B3360),"")</f>
        <v>3.3695879632432479E-2</v>
      </c>
      <c r="H3361" s="29">
        <f>IF($B$2,IF(ROWS(B$6:$B3361) = 1,IF(COUNTIFS(R_Schedule_Times,"&lt;"&amp;B3361),INDEX(R_Schedule_Amounts,MATCH(B3361,R_Schedule_Times,1)),Starting_Cash),IF(COUNTIFS(R_Schedule_Times,"&gt;"&amp;B3360,R_Schedule_Times,"&lt;"&amp;B3361),INDEX(R_Schedule_Amounts,MATCH(B3361,R_Schedule_Times,1)),K3360)),"")</f>
        <v>15040</v>
      </c>
      <c r="I3361" s="30">
        <f t="shared" si="260"/>
        <v>100</v>
      </c>
      <c r="J3361" s="31">
        <f t="shared" si="261"/>
        <v>0</v>
      </c>
      <c r="K3361" s="29">
        <f t="shared" si="262"/>
        <v>14940</v>
      </c>
      <c r="L3361" s="31" t="str">
        <f t="shared" si="263"/>
        <v/>
      </c>
      <c r="M3361" s="31" t="str">
        <f t="shared" si="264"/>
        <v/>
      </c>
    </row>
    <row r="3362" spans="1:13" x14ac:dyDescent="0.15">
      <c r="A3362" s="163" t="s">
        <v>210</v>
      </c>
      <c r="B3362" s="163">
        <v>42362.727299606478</v>
      </c>
      <c r="C3362" s="164" t="s">
        <v>2196</v>
      </c>
      <c r="D3362" s="164" t="s">
        <v>13</v>
      </c>
      <c r="E3362" s="165">
        <v>40</v>
      </c>
      <c r="F3362" s="166">
        <v>0</v>
      </c>
      <c r="G3362" s="227">
        <f>IF($B$2,IF(ROWS(B$6:$B3362) = 1,$B3362-Start_Date,$B3362-$B3361),"")</f>
        <v>1.821387730888091E-2</v>
      </c>
      <c r="H3362" s="29">
        <f>IF($B$2,IF(ROWS(B$6:$B3362) = 1,IF(COUNTIFS(R_Schedule_Times,"&lt;"&amp;B3362),INDEX(R_Schedule_Amounts,MATCH(B3362,R_Schedule_Times,1)),Starting_Cash),IF(COUNTIFS(R_Schedule_Times,"&gt;"&amp;B3361,R_Schedule_Times,"&lt;"&amp;B3362),INDEX(R_Schedule_Amounts,MATCH(B3362,R_Schedule_Times,1)),K3361)),"")</f>
        <v>14940</v>
      </c>
      <c r="I3362" s="30">
        <f t="shared" si="260"/>
        <v>40</v>
      </c>
      <c r="J3362" s="31">
        <f t="shared" si="261"/>
        <v>0</v>
      </c>
      <c r="K3362" s="29">
        <f t="shared" si="262"/>
        <v>14900</v>
      </c>
      <c r="L3362" s="31" t="str">
        <f t="shared" si="263"/>
        <v/>
      </c>
      <c r="M3362" s="31" t="str">
        <f t="shared" si="264"/>
        <v/>
      </c>
    </row>
    <row r="3363" spans="1:13" x14ac:dyDescent="0.15">
      <c r="A3363" s="163" t="s">
        <v>210</v>
      </c>
      <c r="B3363" s="163">
        <v>42362.729795277781</v>
      </c>
      <c r="C3363" s="164" t="s">
        <v>2025</v>
      </c>
      <c r="D3363" s="164" t="s">
        <v>13</v>
      </c>
      <c r="E3363" s="165">
        <v>60</v>
      </c>
      <c r="F3363" s="166">
        <v>0</v>
      </c>
      <c r="G3363" s="227">
        <f>IF($B$2,IF(ROWS(B$6:$B3363) = 1,$B3363-Start_Date,$B3363-$B3362),"")</f>
        <v>2.4956713023129851E-3</v>
      </c>
      <c r="H3363" s="29">
        <f>IF($B$2,IF(ROWS(B$6:$B3363) = 1,IF(COUNTIFS(R_Schedule_Times,"&lt;"&amp;B3363),INDEX(R_Schedule_Amounts,MATCH(B3363,R_Schedule_Times,1)),Starting_Cash),IF(COUNTIFS(R_Schedule_Times,"&gt;"&amp;B3362,R_Schedule_Times,"&lt;"&amp;B3363),INDEX(R_Schedule_Amounts,MATCH(B3363,R_Schedule_Times,1)),K3362)),"")</f>
        <v>14900</v>
      </c>
      <c r="I3363" s="30">
        <f t="shared" si="260"/>
        <v>60</v>
      </c>
      <c r="J3363" s="31">
        <f t="shared" si="261"/>
        <v>0</v>
      </c>
      <c r="K3363" s="29">
        <f t="shared" si="262"/>
        <v>14840</v>
      </c>
      <c r="L3363" s="31" t="str">
        <f t="shared" si="263"/>
        <v/>
      </c>
      <c r="M3363" s="31" t="str">
        <f t="shared" si="264"/>
        <v/>
      </c>
    </row>
    <row r="3364" spans="1:13" x14ac:dyDescent="0.15">
      <c r="A3364" s="163" t="s">
        <v>210</v>
      </c>
      <c r="B3364" s="163">
        <v>42362.754464212965</v>
      </c>
      <c r="C3364" s="164" t="s">
        <v>2699</v>
      </c>
      <c r="D3364" s="164" t="s">
        <v>13</v>
      </c>
      <c r="E3364" s="165">
        <v>80</v>
      </c>
      <c r="F3364" s="166">
        <v>0</v>
      </c>
      <c r="G3364" s="227">
        <f>IF($B$2,IF(ROWS(B$6:$B3364) = 1,$B3364-Start_Date,$B3364-$B3363),"")</f>
        <v>2.4668935184308793E-2</v>
      </c>
      <c r="H3364" s="29">
        <f>IF($B$2,IF(ROWS(B$6:$B3364) = 1,IF(COUNTIFS(R_Schedule_Times,"&lt;"&amp;B3364),INDEX(R_Schedule_Amounts,MATCH(B3364,R_Schedule_Times,1)),Starting_Cash),IF(COUNTIFS(R_Schedule_Times,"&gt;"&amp;B3363,R_Schedule_Times,"&lt;"&amp;B3364),INDEX(R_Schedule_Amounts,MATCH(B3364,R_Schedule_Times,1)),K3363)),"")</f>
        <v>14840</v>
      </c>
      <c r="I3364" s="30">
        <f t="shared" si="260"/>
        <v>80</v>
      </c>
      <c r="J3364" s="31">
        <f t="shared" si="261"/>
        <v>0</v>
      </c>
      <c r="K3364" s="29">
        <f t="shared" si="262"/>
        <v>14760</v>
      </c>
      <c r="L3364" s="31" t="str">
        <f t="shared" si="263"/>
        <v/>
      </c>
      <c r="M3364" s="31" t="str">
        <f t="shared" si="264"/>
        <v/>
      </c>
    </row>
    <row r="3365" spans="1:13" x14ac:dyDescent="0.15">
      <c r="A3365" s="163" t="s">
        <v>210</v>
      </c>
      <c r="B3365" s="163">
        <v>42362.755955856483</v>
      </c>
      <c r="C3365" s="164" t="s">
        <v>2700</v>
      </c>
      <c r="D3365" s="164" t="s">
        <v>13</v>
      </c>
      <c r="E3365" s="165">
        <v>100</v>
      </c>
      <c r="F3365" s="166">
        <v>0</v>
      </c>
      <c r="G3365" s="227">
        <f>IF($B$2,IF(ROWS(B$6:$B3365) = 1,$B3365-Start_Date,$B3365-$B3364),"")</f>
        <v>1.4916435175109655E-3</v>
      </c>
      <c r="H3365" s="29">
        <f>IF($B$2,IF(ROWS(B$6:$B3365) = 1,IF(COUNTIFS(R_Schedule_Times,"&lt;"&amp;B3365),INDEX(R_Schedule_Amounts,MATCH(B3365,R_Schedule_Times,1)),Starting_Cash),IF(COUNTIFS(R_Schedule_Times,"&gt;"&amp;B3364,R_Schedule_Times,"&lt;"&amp;B3365),INDEX(R_Schedule_Amounts,MATCH(B3365,R_Schedule_Times,1)),K3364)),"")</f>
        <v>14760</v>
      </c>
      <c r="I3365" s="30">
        <f t="shared" si="260"/>
        <v>100</v>
      </c>
      <c r="J3365" s="31">
        <f t="shared" si="261"/>
        <v>0</v>
      </c>
      <c r="K3365" s="29">
        <f t="shared" si="262"/>
        <v>14660</v>
      </c>
      <c r="L3365" s="31" t="str">
        <f t="shared" si="263"/>
        <v/>
      </c>
      <c r="M3365" s="31" t="str">
        <f t="shared" si="264"/>
        <v/>
      </c>
    </row>
    <row r="3366" spans="1:13" x14ac:dyDescent="0.15">
      <c r="A3366" s="163" t="s">
        <v>210</v>
      </c>
      <c r="B3366" s="163">
        <v>42362.773121678241</v>
      </c>
      <c r="C3366" s="164" t="s">
        <v>2623</v>
      </c>
      <c r="D3366" s="164" t="s">
        <v>13</v>
      </c>
      <c r="E3366" s="165">
        <v>20</v>
      </c>
      <c r="F3366" s="166">
        <v>0</v>
      </c>
      <c r="G3366" s="227">
        <f>IF($B$2,IF(ROWS(B$6:$B3366) = 1,$B3366-Start_Date,$B3366-$B3365),"")</f>
        <v>1.7165821758680977E-2</v>
      </c>
      <c r="H3366" s="29">
        <f>IF($B$2,IF(ROWS(B$6:$B3366) = 1,IF(COUNTIFS(R_Schedule_Times,"&lt;"&amp;B3366),INDEX(R_Schedule_Amounts,MATCH(B3366,R_Schedule_Times,1)),Starting_Cash),IF(COUNTIFS(R_Schedule_Times,"&gt;"&amp;B3365,R_Schedule_Times,"&lt;"&amp;B3366),INDEX(R_Schedule_Amounts,MATCH(B3366,R_Schedule_Times,1)),K3365)),"")</f>
        <v>14660</v>
      </c>
      <c r="I3366" s="30">
        <f t="shared" si="260"/>
        <v>20</v>
      </c>
      <c r="J3366" s="31">
        <f t="shared" si="261"/>
        <v>0</v>
      </c>
      <c r="K3366" s="29">
        <f t="shared" si="262"/>
        <v>14640</v>
      </c>
      <c r="L3366" s="31" t="str">
        <f t="shared" si="263"/>
        <v/>
      </c>
      <c r="M3366" s="31" t="str">
        <f t="shared" si="264"/>
        <v/>
      </c>
    </row>
    <row r="3367" spans="1:13" x14ac:dyDescent="0.15">
      <c r="A3367" s="163" t="s">
        <v>210</v>
      </c>
      <c r="B3367" s="163">
        <v>42362.832303402778</v>
      </c>
      <c r="C3367" s="164" t="s">
        <v>2701</v>
      </c>
      <c r="D3367" s="164" t="s">
        <v>13</v>
      </c>
      <c r="E3367" s="165">
        <v>80</v>
      </c>
      <c r="F3367" s="166">
        <v>0</v>
      </c>
      <c r="G3367" s="227">
        <f>IF($B$2,IF(ROWS(B$6:$B3367) = 1,$B3367-Start_Date,$B3367-$B3366),"")</f>
        <v>5.9181724536756519E-2</v>
      </c>
      <c r="H3367" s="29">
        <f>IF($B$2,IF(ROWS(B$6:$B3367) = 1,IF(COUNTIFS(R_Schedule_Times,"&lt;"&amp;B3367),INDEX(R_Schedule_Amounts,MATCH(B3367,R_Schedule_Times,1)),Starting_Cash),IF(COUNTIFS(R_Schedule_Times,"&gt;"&amp;B3366,R_Schedule_Times,"&lt;"&amp;B3367),INDEX(R_Schedule_Amounts,MATCH(B3367,R_Schedule_Times,1)),K3366)),"")</f>
        <v>14640</v>
      </c>
      <c r="I3367" s="30">
        <f t="shared" si="260"/>
        <v>80</v>
      </c>
      <c r="J3367" s="31">
        <f t="shared" si="261"/>
        <v>0</v>
      </c>
      <c r="K3367" s="29">
        <f t="shared" si="262"/>
        <v>14560</v>
      </c>
      <c r="L3367" s="31" t="str">
        <f t="shared" si="263"/>
        <v/>
      </c>
      <c r="M3367" s="31" t="str">
        <f t="shared" si="264"/>
        <v/>
      </c>
    </row>
    <row r="3368" spans="1:13" x14ac:dyDescent="0.15">
      <c r="A3368" s="163" t="s">
        <v>210</v>
      </c>
      <c r="B3368" s="163">
        <v>42362.86404508102</v>
      </c>
      <c r="C3368" s="164" t="s">
        <v>14</v>
      </c>
      <c r="D3368" s="164" t="s">
        <v>13</v>
      </c>
      <c r="E3368" s="165">
        <v>100</v>
      </c>
      <c r="F3368" s="166">
        <v>3.5</v>
      </c>
      <c r="G3368" s="227">
        <f>IF($B$2,IF(ROWS(B$6:$B3368) = 1,$B3368-Start_Date,$B3368-$B3367),"")</f>
        <v>3.1741678241814952E-2</v>
      </c>
      <c r="H3368" s="29">
        <f>IF($B$2,IF(ROWS(B$6:$B3368) = 1,IF(COUNTIFS(R_Schedule_Times,"&lt;"&amp;B3368),INDEX(R_Schedule_Amounts,MATCH(B3368,R_Schedule_Times,1)),Starting_Cash),IF(COUNTIFS(R_Schedule_Times,"&gt;"&amp;B3367,R_Schedule_Times,"&lt;"&amp;B3368),INDEX(R_Schedule_Amounts,MATCH(B3368,R_Schedule_Times,1)),K3367)),"")</f>
        <v>14560</v>
      </c>
      <c r="I3368" s="30">
        <f t="shared" si="260"/>
        <v>100</v>
      </c>
      <c r="J3368" s="31">
        <f t="shared" si="261"/>
        <v>3.5</v>
      </c>
      <c r="K3368" s="29">
        <f t="shared" si="262"/>
        <v>14460</v>
      </c>
      <c r="L3368" s="31" t="str">
        <f t="shared" si="263"/>
        <v/>
      </c>
      <c r="M3368" s="31" t="str">
        <f t="shared" si="264"/>
        <v/>
      </c>
    </row>
    <row r="3369" spans="1:13" x14ac:dyDescent="0.15">
      <c r="A3369" s="163" t="s">
        <v>210</v>
      </c>
      <c r="B3369" s="163">
        <v>42362.895736643521</v>
      </c>
      <c r="C3369" s="164" t="s">
        <v>2702</v>
      </c>
      <c r="D3369" s="164" t="s">
        <v>13</v>
      </c>
      <c r="E3369" s="165">
        <v>140</v>
      </c>
      <c r="F3369" s="166">
        <v>0</v>
      </c>
      <c r="G3369" s="227">
        <f>IF($B$2,IF(ROWS(B$6:$B3369) = 1,$B3369-Start_Date,$B3369-$B3368),"")</f>
        <v>3.1691562500782311E-2</v>
      </c>
      <c r="H3369" s="29">
        <f>IF($B$2,IF(ROWS(B$6:$B3369) = 1,IF(COUNTIFS(R_Schedule_Times,"&lt;"&amp;B3369),INDEX(R_Schedule_Amounts,MATCH(B3369,R_Schedule_Times,1)),Starting_Cash),IF(COUNTIFS(R_Schedule_Times,"&gt;"&amp;B3368,R_Schedule_Times,"&lt;"&amp;B3369),INDEX(R_Schedule_Amounts,MATCH(B3369,R_Schedule_Times,1)),K3368)),"")</f>
        <v>14460</v>
      </c>
      <c r="I3369" s="30">
        <f t="shared" si="260"/>
        <v>140</v>
      </c>
      <c r="J3369" s="31">
        <f t="shared" si="261"/>
        <v>0</v>
      </c>
      <c r="K3369" s="29">
        <f t="shared" si="262"/>
        <v>14320</v>
      </c>
      <c r="L3369" s="31" t="str">
        <f t="shared" si="263"/>
        <v/>
      </c>
      <c r="M3369" s="31" t="str">
        <f t="shared" si="264"/>
        <v/>
      </c>
    </row>
    <row r="3370" spans="1:13" x14ac:dyDescent="0.15">
      <c r="A3370" s="163" t="s">
        <v>210</v>
      </c>
      <c r="B3370" s="163">
        <v>42362.912689282406</v>
      </c>
      <c r="C3370" s="164" t="s">
        <v>2703</v>
      </c>
      <c r="D3370" s="164" t="s">
        <v>13</v>
      </c>
      <c r="E3370" s="165">
        <v>40</v>
      </c>
      <c r="F3370" s="166">
        <v>0</v>
      </c>
      <c r="G3370" s="227">
        <f>IF($B$2,IF(ROWS(B$6:$B3370) = 1,$B3370-Start_Date,$B3370-$B3369),"")</f>
        <v>1.6952638885413762E-2</v>
      </c>
      <c r="H3370" s="29">
        <f>IF($B$2,IF(ROWS(B$6:$B3370) = 1,IF(COUNTIFS(R_Schedule_Times,"&lt;"&amp;B3370),INDEX(R_Schedule_Amounts,MATCH(B3370,R_Schedule_Times,1)),Starting_Cash),IF(COUNTIFS(R_Schedule_Times,"&gt;"&amp;B3369,R_Schedule_Times,"&lt;"&amp;B3370),INDEX(R_Schedule_Amounts,MATCH(B3370,R_Schedule_Times,1)),K3369)),"")</f>
        <v>14320</v>
      </c>
      <c r="I3370" s="30">
        <f t="shared" si="260"/>
        <v>40</v>
      </c>
      <c r="J3370" s="31">
        <f t="shared" si="261"/>
        <v>0</v>
      </c>
      <c r="K3370" s="29">
        <f t="shared" si="262"/>
        <v>14280</v>
      </c>
      <c r="L3370" s="31" t="str">
        <f t="shared" si="263"/>
        <v/>
      </c>
      <c r="M3370" s="31" t="str">
        <f t="shared" si="264"/>
        <v/>
      </c>
    </row>
    <row r="3371" spans="1:13" x14ac:dyDescent="0.15">
      <c r="A3371" s="163" t="s">
        <v>210</v>
      </c>
      <c r="B3371" s="163">
        <v>42362.962166898149</v>
      </c>
      <c r="C3371" s="164" t="s">
        <v>984</v>
      </c>
      <c r="D3371" s="164" t="s">
        <v>13</v>
      </c>
      <c r="E3371" s="165">
        <v>120</v>
      </c>
      <c r="F3371" s="166">
        <v>0</v>
      </c>
      <c r="G3371" s="227">
        <f>IF($B$2,IF(ROWS(B$6:$B3371) = 1,$B3371-Start_Date,$B3371-$B3370),"")</f>
        <v>4.9477615742944181E-2</v>
      </c>
      <c r="H3371" s="29">
        <f>IF($B$2,IF(ROWS(B$6:$B3371) = 1,IF(COUNTIFS(R_Schedule_Times,"&lt;"&amp;B3371),INDEX(R_Schedule_Amounts,MATCH(B3371,R_Schedule_Times,1)),Starting_Cash),IF(COUNTIFS(R_Schedule_Times,"&gt;"&amp;B3370,R_Schedule_Times,"&lt;"&amp;B3371),INDEX(R_Schedule_Amounts,MATCH(B3371,R_Schedule_Times,1)),K3370)),"")</f>
        <v>14280</v>
      </c>
      <c r="I3371" s="30">
        <f t="shared" si="260"/>
        <v>120</v>
      </c>
      <c r="J3371" s="31">
        <f t="shared" si="261"/>
        <v>0</v>
      </c>
      <c r="K3371" s="29">
        <f t="shared" si="262"/>
        <v>14160</v>
      </c>
      <c r="L3371" s="31" t="str">
        <f t="shared" si="263"/>
        <v/>
      </c>
      <c r="M3371" s="31" t="str">
        <f t="shared" si="264"/>
        <v/>
      </c>
    </row>
    <row r="3372" spans="1:13" x14ac:dyDescent="0.15">
      <c r="A3372" s="163" t="s">
        <v>210</v>
      </c>
      <c r="B3372" s="163">
        <v>42363.243619594905</v>
      </c>
      <c r="C3372" s="164" t="s">
        <v>2704</v>
      </c>
      <c r="D3372" s="164" t="s">
        <v>13</v>
      </c>
      <c r="E3372" s="165">
        <v>20</v>
      </c>
      <c r="F3372" s="166">
        <v>0</v>
      </c>
      <c r="G3372" s="227">
        <f>IF($B$2,IF(ROWS(B$6:$B3372) = 1,$B3372-Start_Date,$B3372-$B3371),"")</f>
        <v>0.2814526967558777</v>
      </c>
      <c r="H3372" s="29">
        <f>IF($B$2,IF(ROWS(B$6:$B3372) = 1,IF(COUNTIFS(R_Schedule_Times,"&lt;"&amp;B3372),INDEX(R_Schedule_Amounts,MATCH(B3372,R_Schedule_Times,1)),Starting_Cash),IF(COUNTIFS(R_Schedule_Times,"&gt;"&amp;B3371,R_Schedule_Times,"&lt;"&amp;B3372),INDEX(R_Schedule_Amounts,MATCH(B3372,R_Schedule_Times,1)),K3371)),"")</f>
        <v>14160</v>
      </c>
      <c r="I3372" s="30">
        <f t="shared" si="260"/>
        <v>20</v>
      </c>
      <c r="J3372" s="31">
        <f t="shared" si="261"/>
        <v>0</v>
      </c>
      <c r="K3372" s="29">
        <f t="shared" si="262"/>
        <v>14140</v>
      </c>
      <c r="L3372" s="31" t="str">
        <f t="shared" si="263"/>
        <v/>
      </c>
      <c r="M3372" s="31" t="str">
        <f t="shared" si="264"/>
        <v/>
      </c>
    </row>
    <row r="3373" spans="1:13" x14ac:dyDescent="0.15">
      <c r="A3373" s="163" t="s">
        <v>210</v>
      </c>
      <c r="B3373" s="163">
        <v>42363.285446215275</v>
      </c>
      <c r="C3373" s="164" t="s">
        <v>376</v>
      </c>
      <c r="D3373" s="164" t="s">
        <v>13</v>
      </c>
      <c r="E3373" s="165">
        <v>20</v>
      </c>
      <c r="F3373" s="166">
        <v>0</v>
      </c>
      <c r="G3373" s="227">
        <f>IF($B$2,IF(ROWS(B$6:$B3373) = 1,$B3373-Start_Date,$B3373-$B3372),"")</f>
        <v>4.1826620370557066E-2</v>
      </c>
      <c r="H3373" s="29">
        <f>IF($B$2,IF(ROWS(B$6:$B3373) = 1,IF(COUNTIFS(R_Schedule_Times,"&lt;"&amp;B3373),INDEX(R_Schedule_Amounts,MATCH(B3373,R_Schedule_Times,1)),Starting_Cash),IF(COUNTIFS(R_Schedule_Times,"&gt;"&amp;B3372,R_Schedule_Times,"&lt;"&amp;B3373),INDEX(R_Schedule_Amounts,MATCH(B3373,R_Schedule_Times,1)),K3372)),"")</f>
        <v>14140</v>
      </c>
      <c r="I3373" s="30">
        <f t="shared" si="260"/>
        <v>20</v>
      </c>
      <c r="J3373" s="31">
        <f t="shared" si="261"/>
        <v>0</v>
      </c>
      <c r="K3373" s="29">
        <f t="shared" si="262"/>
        <v>14120</v>
      </c>
      <c r="L3373" s="31" t="str">
        <f t="shared" si="263"/>
        <v/>
      </c>
      <c r="M3373" s="31" t="str">
        <f t="shared" si="264"/>
        <v/>
      </c>
    </row>
    <row r="3374" spans="1:13" x14ac:dyDescent="0.15">
      <c r="A3374" s="163" t="s">
        <v>210</v>
      </c>
      <c r="B3374" s="163">
        <v>42363.329176319443</v>
      </c>
      <c r="C3374" s="164" t="s">
        <v>727</v>
      </c>
      <c r="D3374" s="164" t="s">
        <v>13</v>
      </c>
      <c r="E3374" s="165">
        <v>40</v>
      </c>
      <c r="F3374" s="166">
        <v>0</v>
      </c>
      <c r="G3374" s="227">
        <f>IF($B$2,IF(ROWS(B$6:$B3374) = 1,$B3374-Start_Date,$B3374-$B3373),"")</f>
        <v>4.3730104167480022E-2</v>
      </c>
      <c r="H3374" s="29">
        <f>IF($B$2,IF(ROWS(B$6:$B3374) = 1,IF(COUNTIFS(R_Schedule_Times,"&lt;"&amp;B3374),INDEX(R_Schedule_Amounts,MATCH(B3374,R_Schedule_Times,1)),Starting_Cash),IF(COUNTIFS(R_Schedule_Times,"&gt;"&amp;B3373,R_Schedule_Times,"&lt;"&amp;B3374),INDEX(R_Schedule_Amounts,MATCH(B3374,R_Schedule_Times,1)),K3373)),"")</f>
        <v>14120</v>
      </c>
      <c r="I3374" s="30">
        <f t="shared" si="260"/>
        <v>40</v>
      </c>
      <c r="J3374" s="31">
        <f t="shared" si="261"/>
        <v>0</v>
      </c>
      <c r="K3374" s="29">
        <f t="shared" si="262"/>
        <v>14080</v>
      </c>
      <c r="L3374" s="31" t="str">
        <f t="shared" si="263"/>
        <v/>
      </c>
      <c r="M3374" s="31" t="str">
        <f t="shared" si="264"/>
        <v/>
      </c>
    </row>
    <row r="3375" spans="1:13" x14ac:dyDescent="0.15">
      <c r="A3375" s="163" t="s">
        <v>210</v>
      </c>
      <c r="B3375" s="163">
        <v>42363.329854780095</v>
      </c>
      <c r="C3375" s="164" t="s">
        <v>1937</v>
      </c>
      <c r="D3375" s="164" t="s">
        <v>13</v>
      </c>
      <c r="E3375" s="165">
        <v>40</v>
      </c>
      <c r="F3375" s="166">
        <v>0</v>
      </c>
      <c r="G3375" s="227">
        <f>IF($B$2,IF(ROWS(B$6:$B3375) = 1,$B3375-Start_Date,$B3375-$B3374),"")</f>
        <v>6.7846065212506801E-4</v>
      </c>
      <c r="H3375" s="29">
        <f>IF($B$2,IF(ROWS(B$6:$B3375) = 1,IF(COUNTIFS(R_Schedule_Times,"&lt;"&amp;B3375),INDEX(R_Schedule_Amounts,MATCH(B3375,R_Schedule_Times,1)),Starting_Cash),IF(COUNTIFS(R_Schedule_Times,"&gt;"&amp;B3374,R_Schedule_Times,"&lt;"&amp;B3375),INDEX(R_Schedule_Amounts,MATCH(B3375,R_Schedule_Times,1)),K3374)),"")</f>
        <v>14080</v>
      </c>
      <c r="I3375" s="30">
        <f t="shared" si="260"/>
        <v>40</v>
      </c>
      <c r="J3375" s="31">
        <f t="shared" si="261"/>
        <v>0</v>
      </c>
      <c r="K3375" s="29">
        <f t="shared" si="262"/>
        <v>14040</v>
      </c>
      <c r="L3375" s="31" t="str">
        <f t="shared" si="263"/>
        <v/>
      </c>
      <c r="M3375" s="31" t="str">
        <f t="shared" si="264"/>
        <v/>
      </c>
    </row>
    <row r="3376" spans="1:13" x14ac:dyDescent="0.15">
      <c r="A3376" s="163" t="s">
        <v>210</v>
      </c>
      <c r="B3376" s="163">
        <v>42363.345980810183</v>
      </c>
      <c r="C3376" s="164" t="s">
        <v>2705</v>
      </c>
      <c r="D3376" s="164" t="s">
        <v>13</v>
      </c>
      <c r="E3376" s="165">
        <v>100</v>
      </c>
      <c r="F3376" s="166">
        <v>0</v>
      </c>
      <c r="G3376" s="227">
        <f>IF($B$2,IF(ROWS(B$6:$B3376) = 1,$B3376-Start_Date,$B3376-$B3375),"")</f>
        <v>1.6126030088344123E-2</v>
      </c>
      <c r="H3376" s="29">
        <f>IF($B$2,IF(ROWS(B$6:$B3376) = 1,IF(COUNTIFS(R_Schedule_Times,"&lt;"&amp;B3376),INDEX(R_Schedule_Amounts,MATCH(B3376,R_Schedule_Times,1)),Starting_Cash),IF(COUNTIFS(R_Schedule_Times,"&gt;"&amp;B3375,R_Schedule_Times,"&lt;"&amp;B3376),INDEX(R_Schedule_Amounts,MATCH(B3376,R_Schedule_Times,1)),K3375)),"")</f>
        <v>14040</v>
      </c>
      <c r="I3376" s="30">
        <f t="shared" si="260"/>
        <v>100</v>
      </c>
      <c r="J3376" s="31">
        <f t="shared" si="261"/>
        <v>0</v>
      </c>
      <c r="K3376" s="29">
        <f t="shared" si="262"/>
        <v>13940</v>
      </c>
      <c r="L3376" s="31" t="str">
        <f t="shared" si="263"/>
        <v/>
      </c>
      <c r="M3376" s="31" t="str">
        <f t="shared" si="264"/>
        <v/>
      </c>
    </row>
    <row r="3377" spans="1:13" x14ac:dyDescent="0.15">
      <c r="A3377" s="163" t="s">
        <v>210</v>
      </c>
      <c r="B3377" s="163">
        <v>42363.347360752312</v>
      </c>
      <c r="C3377" s="164" t="s">
        <v>2706</v>
      </c>
      <c r="D3377" s="164" t="s">
        <v>13</v>
      </c>
      <c r="E3377" s="165">
        <v>100</v>
      </c>
      <c r="F3377" s="166">
        <v>0</v>
      </c>
      <c r="G3377" s="227">
        <f>IF($B$2,IF(ROWS(B$6:$B3377) = 1,$B3377-Start_Date,$B3377-$B3376),"")</f>
        <v>1.3799421285511926E-3</v>
      </c>
      <c r="H3377" s="29">
        <f>IF($B$2,IF(ROWS(B$6:$B3377) = 1,IF(COUNTIFS(R_Schedule_Times,"&lt;"&amp;B3377),INDEX(R_Schedule_Amounts,MATCH(B3377,R_Schedule_Times,1)),Starting_Cash),IF(COUNTIFS(R_Schedule_Times,"&gt;"&amp;B3376,R_Schedule_Times,"&lt;"&amp;B3377),INDEX(R_Schedule_Amounts,MATCH(B3377,R_Schedule_Times,1)),K3376)),"")</f>
        <v>13940</v>
      </c>
      <c r="I3377" s="30">
        <f t="shared" si="260"/>
        <v>100</v>
      </c>
      <c r="J3377" s="31">
        <f t="shared" si="261"/>
        <v>0</v>
      </c>
      <c r="K3377" s="29">
        <f t="shared" si="262"/>
        <v>13840</v>
      </c>
      <c r="L3377" s="31" t="str">
        <f t="shared" si="263"/>
        <v/>
      </c>
      <c r="M3377" s="31" t="str">
        <f t="shared" si="264"/>
        <v/>
      </c>
    </row>
    <row r="3378" spans="1:13" x14ac:dyDescent="0.15">
      <c r="A3378" s="163" t="s">
        <v>210</v>
      </c>
      <c r="B3378" s="163">
        <v>42363.376192013886</v>
      </c>
      <c r="C3378" s="164" t="s">
        <v>14</v>
      </c>
      <c r="D3378" s="164" t="s">
        <v>13</v>
      </c>
      <c r="E3378" s="165">
        <v>20</v>
      </c>
      <c r="F3378" s="166">
        <v>3.5</v>
      </c>
      <c r="G3378" s="227">
        <f>IF($B$2,IF(ROWS(B$6:$B3378) = 1,$B3378-Start_Date,$B3378-$B3377),"")</f>
        <v>2.8831261573941447E-2</v>
      </c>
      <c r="H3378" s="29">
        <f>IF($B$2,IF(ROWS(B$6:$B3378) = 1,IF(COUNTIFS(R_Schedule_Times,"&lt;"&amp;B3378),INDEX(R_Schedule_Amounts,MATCH(B3378,R_Schedule_Times,1)),Starting_Cash),IF(COUNTIFS(R_Schedule_Times,"&gt;"&amp;B3377,R_Schedule_Times,"&lt;"&amp;B3378),INDEX(R_Schedule_Amounts,MATCH(B3378,R_Schedule_Times,1)),K3377)),"")</f>
        <v>13840</v>
      </c>
      <c r="I3378" s="30">
        <f t="shared" si="260"/>
        <v>20</v>
      </c>
      <c r="J3378" s="31">
        <f t="shared" si="261"/>
        <v>3.5</v>
      </c>
      <c r="K3378" s="29">
        <f t="shared" si="262"/>
        <v>13820</v>
      </c>
      <c r="L3378" s="31" t="str">
        <f t="shared" si="263"/>
        <v/>
      </c>
      <c r="M3378" s="31" t="str">
        <f t="shared" si="264"/>
        <v/>
      </c>
    </row>
    <row r="3379" spans="1:13" x14ac:dyDescent="0.15">
      <c r="A3379" s="163" t="s">
        <v>210</v>
      </c>
      <c r="B3379" s="163">
        <v>42363.390965682869</v>
      </c>
      <c r="C3379" s="164" t="s">
        <v>2707</v>
      </c>
      <c r="D3379" s="164" t="s">
        <v>13</v>
      </c>
      <c r="E3379" s="165">
        <v>100</v>
      </c>
      <c r="F3379" s="166">
        <v>0</v>
      </c>
      <c r="G3379" s="227">
        <f>IF($B$2,IF(ROWS(B$6:$B3379) = 1,$B3379-Start_Date,$B3379-$B3378),"")</f>
        <v>1.4773668983252719E-2</v>
      </c>
      <c r="H3379" s="29">
        <f>IF($B$2,IF(ROWS(B$6:$B3379) = 1,IF(COUNTIFS(R_Schedule_Times,"&lt;"&amp;B3379),INDEX(R_Schedule_Amounts,MATCH(B3379,R_Schedule_Times,1)),Starting_Cash),IF(COUNTIFS(R_Schedule_Times,"&gt;"&amp;B3378,R_Schedule_Times,"&lt;"&amp;B3379),INDEX(R_Schedule_Amounts,MATCH(B3379,R_Schedule_Times,1)),K3378)),"")</f>
        <v>13820</v>
      </c>
      <c r="I3379" s="30">
        <f t="shared" si="260"/>
        <v>100</v>
      </c>
      <c r="J3379" s="31">
        <f t="shared" si="261"/>
        <v>0</v>
      </c>
      <c r="K3379" s="29">
        <f t="shared" si="262"/>
        <v>13720</v>
      </c>
      <c r="L3379" s="31" t="str">
        <f t="shared" si="263"/>
        <v/>
      </c>
      <c r="M3379" s="31" t="str">
        <f t="shared" si="264"/>
        <v/>
      </c>
    </row>
    <row r="3380" spans="1:13" x14ac:dyDescent="0.15">
      <c r="A3380" s="163" t="s">
        <v>210</v>
      </c>
      <c r="B3380" s="163">
        <v>42363.410433159719</v>
      </c>
      <c r="C3380" s="164" t="s">
        <v>853</v>
      </c>
      <c r="D3380" s="164" t="s">
        <v>13</v>
      </c>
      <c r="E3380" s="165">
        <v>40</v>
      </c>
      <c r="F3380" s="166">
        <v>0</v>
      </c>
      <c r="G3380" s="227">
        <f>IF($B$2,IF(ROWS(B$6:$B3380) = 1,$B3380-Start_Date,$B3380-$B3379),"")</f>
        <v>1.9467476849968079E-2</v>
      </c>
      <c r="H3380" s="29">
        <f>IF($B$2,IF(ROWS(B$6:$B3380) = 1,IF(COUNTIFS(R_Schedule_Times,"&lt;"&amp;B3380),INDEX(R_Schedule_Amounts,MATCH(B3380,R_Schedule_Times,1)),Starting_Cash),IF(COUNTIFS(R_Schedule_Times,"&gt;"&amp;B3379,R_Schedule_Times,"&lt;"&amp;B3380),INDEX(R_Schedule_Amounts,MATCH(B3380,R_Schedule_Times,1)),K3379)),"")</f>
        <v>13720</v>
      </c>
      <c r="I3380" s="30">
        <f t="shared" si="260"/>
        <v>40</v>
      </c>
      <c r="J3380" s="31">
        <f t="shared" si="261"/>
        <v>0</v>
      </c>
      <c r="K3380" s="29">
        <f t="shared" si="262"/>
        <v>13680</v>
      </c>
      <c r="L3380" s="31" t="str">
        <f t="shared" si="263"/>
        <v/>
      </c>
      <c r="M3380" s="31" t="str">
        <f t="shared" si="264"/>
        <v/>
      </c>
    </row>
    <row r="3381" spans="1:13" x14ac:dyDescent="0.15">
      <c r="A3381" s="163" t="s">
        <v>210</v>
      </c>
      <c r="B3381" s="163">
        <v>42363.424208321761</v>
      </c>
      <c r="C3381" s="164" t="s">
        <v>1525</v>
      </c>
      <c r="D3381" s="164" t="s">
        <v>13</v>
      </c>
      <c r="E3381" s="165">
        <v>100</v>
      </c>
      <c r="F3381" s="166">
        <v>0</v>
      </c>
      <c r="G3381" s="227">
        <f>IF($B$2,IF(ROWS(B$6:$B3381) = 1,$B3381-Start_Date,$B3381-$B3380),"")</f>
        <v>1.3775162042293232E-2</v>
      </c>
      <c r="H3381" s="29">
        <f>IF($B$2,IF(ROWS(B$6:$B3381) = 1,IF(COUNTIFS(R_Schedule_Times,"&lt;"&amp;B3381),INDEX(R_Schedule_Amounts,MATCH(B3381,R_Schedule_Times,1)),Starting_Cash),IF(COUNTIFS(R_Schedule_Times,"&gt;"&amp;B3380,R_Schedule_Times,"&lt;"&amp;B3381),INDEX(R_Schedule_Amounts,MATCH(B3381,R_Schedule_Times,1)),K3380)),"")</f>
        <v>13680</v>
      </c>
      <c r="I3381" s="30">
        <f t="shared" si="260"/>
        <v>100</v>
      </c>
      <c r="J3381" s="31">
        <f t="shared" si="261"/>
        <v>0</v>
      </c>
      <c r="K3381" s="29">
        <f t="shared" si="262"/>
        <v>13580</v>
      </c>
      <c r="L3381" s="31" t="str">
        <f t="shared" si="263"/>
        <v/>
      </c>
      <c r="M3381" s="31" t="str">
        <f t="shared" si="264"/>
        <v/>
      </c>
    </row>
    <row r="3382" spans="1:13" x14ac:dyDescent="0.15">
      <c r="A3382" s="163" t="s">
        <v>210</v>
      </c>
      <c r="B3382" s="163">
        <v>42363.469421585651</v>
      </c>
      <c r="C3382" s="164" t="s">
        <v>2708</v>
      </c>
      <c r="D3382" s="164" t="s">
        <v>13</v>
      </c>
      <c r="E3382" s="165">
        <v>100</v>
      </c>
      <c r="F3382" s="166">
        <v>0</v>
      </c>
      <c r="G3382" s="227">
        <f>IF($B$2,IF(ROWS(B$6:$B3382) = 1,$B3382-Start_Date,$B3382-$B3381),"")</f>
        <v>4.5213263889309019E-2</v>
      </c>
      <c r="H3382" s="29">
        <f>IF($B$2,IF(ROWS(B$6:$B3382) = 1,IF(COUNTIFS(R_Schedule_Times,"&lt;"&amp;B3382),INDEX(R_Schedule_Amounts,MATCH(B3382,R_Schedule_Times,1)),Starting_Cash),IF(COUNTIFS(R_Schedule_Times,"&gt;"&amp;B3381,R_Schedule_Times,"&lt;"&amp;B3382),INDEX(R_Schedule_Amounts,MATCH(B3382,R_Schedule_Times,1)),K3381)),"")</f>
        <v>13580</v>
      </c>
      <c r="I3382" s="30">
        <f t="shared" si="260"/>
        <v>100</v>
      </c>
      <c r="J3382" s="31">
        <f t="shared" si="261"/>
        <v>0</v>
      </c>
      <c r="K3382" s="29">
        <f t="shared" si="262"/>
        <v>13480</v>
      </c>
      <c r="L3382" s="31" t="str">
        <f t="shared" si="263"/>
        <v/>
      </c>
      <c r="M3382" s="31" t="str">
        <f t="shared" si="264"/>
        <v/>
      </c>
    </row>
    <row r="3383" spans="1:13" x14ac:dyDescent="0.15">
      <c r="A3383" s="163" t="s">
        <v>210</v>
      </c>
      <c r="B3383" s="163">
        <v>42363.474866620367</v>
      </c>
      <c r="C3383" s="164" t="s">
        <v>2709</v>
      </c>
      <c r="D3383" s="164" t="s">
        <v>13</v>
      </c>
      <c r="E3383" s="165">
        <v>100</v>
      </c>
      <c r="F3383" s="166">
        <v>0</v>
      </c>
      <c r="G3383" s="227">
        <f>IF($B$2,IF(ROWS(B$6:$B3383) = 1,$B3383-Start_Date,$B3383-$B3382),"")</f>
        <v>5.4450347161036916E-3</v>
      </c>
      <c r="H3383" s="29">
        <f>IF($B$2,IF(ROWS(B$6:$B3383) = 1,IF(COUNTIFS(R_Schedule_Times,"&lt;"&amp;B3383),INDEX(R_Schedule_Amounts,MATCH(B3383,R_Schedule_Times,1)),Starting_Cash),IF(COUNTIFS(R_Schedule_Times,"&gt;"&amp;B3382,R_Schedule_Times,"&lt;"&amp;B3383),INDEX(R_Schedule_Amounts,MATCH(B3383,R_Schedule_Times,1)),K3382)),"")</f>
        <v>13480</v>
      </c>
      <c r="I3383" s="30">
        <f t="shared" si="260"/>
        <v>100</v>
      </c>
      <c r="J3383" s="31">
        <f t="shared" si="261"/>
        <v>0</v>
      </c>
      <c r="K3383" s="29">
        <f t="shared" si="262"/>
        <v>13380</v>
      </c>
      <c r="L3383" s="31" t="str">
        <f t="shared" si="263"/>
        <v/>
      </c>
      <c r="M3383" s="31" t="str">
        <f t="shared" si="264"/>
        <v/>
      </c>
    </row>
    <row r="3384" spans="1:13" x14ac:dyDescent="0.15">
      <c r="A3384" s="163" t="s">
        <v>210</v>
      </c>
      <c r="B3384" s="163">
        <v>42363.492073611109</v>
      </c>
      <c r="C3384" s="164" t="s">
        <v>14</v>
      </c>
      <c r="D3384" s="164" t="s">
        <v>13</v>
      </c>
      <c r="E3384" s="165">
        <v>40</v>
      </c>
      <c r="F3384" s="166">
        <v>3.5</v>
      </c>
      <c r="G3384" s="227">
        <f>IF($B$2,IF(ROWS(B$6:$B3384) = 1,$B3384-Start_Date,$B3384-$B3383),"")</f>
        <v>1.7206990742124617E-2</v>
      </c>
      <c r="H3384" s="29">
        <f>IF($B$2,IF(ROWS(B$6:$B3384) = 1,IF(COUNTIFS(R_Schedule_Times,"&lt;"&amp;B3384),INDEX(R_Schedule_Amounts,MATCH(B3384,R_Schedule_Times,1)),Starting_Cash),IF(COUNTIFS(R_Schedule_Times,"&gt;"&amp;B3383,R_Schedule_Times,"&lt;"&amp;B3384),INDEX(R_Schedule_Amounts,MATCH(B3384,R_Schedule_Times,1)),K3383)),"")</f>
        <v>13380</v>
      </c>
      <c r="I3384" s="30">
        <f t="shared" si="260"/>
        <v>40</v>
      </c>
      <c r="J3384" s="31">
        <f t="shared" si="261"/>
        <v>3.5</v>
      </c>
      <c r="K3384" s="29">
        <f t="shared" si="262"/>
        <v>13340</v>
      </c>
      <c r="L3384" s="31" t="str">
        <f t="shared" si="263"/>
        <v/>
      </c>
      <c r="M3384" s="31" t="str">
        <f t="shared" si="264"/>
        <v/>
      </c>
    </row>
    <row r="3385" spans="1:13" x14ac:dyDescent="0.15">
      <c r="A3385" s="163" t="s">
        <v>210</v>
      </c>
      <c r="B3385" s="163">
        <v>42363.492711122686</v>
      </c>
      <c r="C3385" s="164" t="s">
        <v>84</v>
      </c>
      <c r="D3385" s="164" t="s">
        <v>13</v>
      </c>
      <c r="E3385" s="165">
        <v>120</v>
      </c>
      <c r="F3385" s="166">
        <v>0</v>
      </c>
      <c r="G3385" s="227">
        <f>IF($B$2,IF(ROWS(B$6:$B3385) = 1,$B3385-Start_Date,$B3385-$B3384),"")</f>
        <v>6.3751157722435892E-4</v>
      </c>
      <c r="H3385" s="29">
        <f>IF($B$2,IF(ROWS(B$6:$B3385) = 1,IF(COUNTIFS(R_Schedule_Times,"&lt;"&amp;B3385),INDEX(R_Schedule_Amounts,MATCH(B3385,R_Schedule_Times,1)),Starting_Cash),IF(COUNTIFS(R_Schedule_Times,"&gt;"&amp;B3384,R_Schedule_Times,"&lt;"&amp;B3385),INDEX(R_Schedule_Amounts,MATCH(B3385,R_Schedule_Times,1)),K3384)),"")</f>
        <v>13340</v>
      </c>
      <c r="I3385" s="30">
        <f t="shared" si="260"/>
        <v>120</v>
      </c>
      <c r="J3385" s="31">
        <f t="shared" si="261"/>
        <v>0</v>
      </c>
      <c r="K3385" s="29">
        <f t="shared" si="262"/>
        <v>13220</v>
      </c>
      <c r="L3385" s="31" t="str">
        <f t="shared" si="263"/>
        <v/>
      </c>
      <c r="M3385" s="31" t="str">
        <f t="shared" si="264"/>
        <v/>
      </c>
    </row>
    <row r="3386" spans="1:13" x14ac:dyDescent="0.15">
      <c r="A3386" s="163" t="s">
        <v>210</v>
      </c>
      <c r="B3386" s="163">
        <v>42363.495579340277</v>
      </c>
      <c r="C3386" s="164" t="s">
        <v>2710</v>
      </c>
      <c r="D3386" s="164" t="s">
        <v>13</v>
      </c>
      <c r="E3386" s="165">
        <v>180</v>
      </c>
      <c r="F3386" s="166">
        <v>0</v>
      </c>
      <c r="G3386" s="227">
        <f>IF($B$2,IF(ROWS(B$6:$B3386) = 1,$B3386-Start_Date,$B3386-$B3385),"")</f>
        <v>2.8682175907306373E-3</v>
      </c>
      <c r="H3386" s="29">
        <f>IF($B$2,IF(ROWS(B$6:$B3386) = 1,IF(COUNTIFS(R_Schedule_Times,"&lt;"&amp;B3386),INDEX(R_Schedule_Amounts,MATCH(B3386,R_Schedule_Times,1)),Starting_Cash),IF(COUNTIFS(R_Schedule_Times,"&gt;"&amp;B3385,R_Schedule_Times,"&lt;"&amp;B3386),INDEX(R_Schedule_Amounts,MATCH(B3386,R_Schedule_Times,1)),K3385)),"")</f>
        <v>13220</v>
      </c>
      <c r="I3386" s="30">
        <f t="shared" si="260"/>
        <v>180</v>
      </c>
      <c r="J3386" s="31">
        <f t="shared" si="261"/>
        <v>0</v>
      </c>
      <c r="K3386" s="29">
        <f t="shared" si="262"/>
        <v>13040</v>
      </c>
      <c r="L3386" s="31" t="str">
        <f t="shared" si="263"/>
        <v/>
      </c>
      <c r="M3386" s="31" t="str">
        <f t="shared" si="264"/>
        <v/>
      </c>
    </row>
    <row r="3387" spans="1:13" x14ac:dyDescent="0.15">
      <c r="A3387" s="163" t="s">
        <v>210</v>
      </c>
      <c r="B3387" s="163">
        <v>42363.506442013888</v>
      </c>
      <c r="C3387" s="164" t="s">
        <v>2711</v>
      </c>
      <c r="D3387" s="164" t="s">
        <v>13</v>
      </c>
      <c r="E3387" s="165">
        <v>100</v>
      </c>
      <c r="F3387" s="166">
        <v>0</v>
      </c>
      <c r="G3387" s="227">
        <f>IF($B$2,IF(ROWS(B$6:$B3387) = 1,$B3387-Start_Date,$B3387-$B3386),"")</f>
        <v>1.0862673610972706E-2</v>
      </c>
      <c r="H3387" s="29">
        <f>IF($B$2,IF(ROWS(B$6:$B3387) = 1,IF(COUNTIFS(R_Schedule_Times,"&lt;"&amp;B3387),INDEX(R_Schedule_Amounts,MATCH(B3387,R_Schedule_Times,1)),Starting_Cash),IF(COUNTIFS(R_Schedule_Times,"&gt;"&amp;B3386,R_Schedule_Times,"&lt;"&amp;B3387),INDEX(R_Schedule_Amounts,MATCH(B3387,R_Schedule_Times,1)),K3386)),"")</f>
        <v>13040</v>
      </c>
      <c r="I3387" s="30">
        <f t="shared" si="260"/>
        <v>100</v>
      </c>
      <c r="J3387" s="31">
        <f t="shared" si="261"/>
        <v>0</v>
      </c>
      <c r="K3387" s="29">
        <f t="shared" si="262"/>
        <v>12940</v>
      </c>
      <c r="L3387" s="31" t="str">
        <f t="shared" si="263"/>
        <v/>
      </c>
      <c r="M3387" s="31" t="str">
        <f t="shared" si="264"/>
        <v/>
      </c>
    </row>
    <row r="3388" spans="1:13" x14ac:dyDescent="0.15">
      <c r="A3388" s="163" t="s">
        <v>210</v>
      </c>
      <c r="B3388" s="163">
        <v>42363.509735636573</v>
      </c>
      <c r="C3388" s="164" t="s">
        <v>2712</v>
      </c>
      <c r="D3388" s="164" t="s">
        <v>13</v>
      </c>
      <c r="E3388" s="165">
        <v>40</v>
      </c>
      <c r="F3388" s="166">
        <v>0</v>
      </c>
      <c r="G3388" s="227">
        <f>IF($B$2,IF(ROWS(B$6:$B3388) = 1,$B3388-Start_Date,$B3388-$B3387),"")</f>
        <v>3.2936226853053086E-3</v>
      </c>
      <c r="H3388" s="29">
        <f>IF($B$2,IF(ROWS(B$6:$B3388) = 1,IF(COUNTIFS(R_Schedule_Times,"&lt;"&amp;B3388),INDEX(R_Schedule_Amounts,MATCH(B3388,R_Schedule_Times,1)),Starting_Cash),IF(COUNTIFS(R_Schedule_Times,"&gt;"&amp;B3387,R_Schedule_Times,"&lt;"&amp;B3388),INDEX(R_Schedule_Amounts,MATCH(B3388,R_Schedule_Times,1)),K3387)),"")</f>
        <v>12940</v>
      </c>
      <c r="I3388" s="30">
        <f t="shared" si="260"/>
        <v>40</v>
      </c>
      <c r="J3388" s="31">
        <f t="shared" si="261"/>
        <v>0</v>
      </c>
      <c r="K3388" s="29">
        <f t="shared" si="262"/>
        <v>12900</v>
      </c>
      <c r="L3388" s="31" t="str">
        <f t="shared" si="263"/>
        <v/>
      </c>
      <c r="M3388" s="31" t="str">
        <f t="shared" si="264"/>
        <v/>
      </c>
    </row>
    <row r="3389" spans="1:13" x14ac:dyDescent="0.15">
      <c r="A3389" s="163" t="s">
        <v>210</v>
      </c>
      <c r="B3389" s="163">
        <v>42363.541005254629</v>
      </c>
      <c r="C3389" s="164" t="s">
        <v>2713</v>
      </c>
      <c r="D3389" s="164" t="s">
        <v>13</v>
      </c>
      <c r="E3389" s="165">
        <v>180</v>
      </c>
      <c r="F3389" s="166">
        <v>0</v>
      </c>
      <c r="G3389" s="227">
        <f>IF($B$2,IF(ROWS(B$6:$B3389) = 1,$B3389-Start_Date,$B3389-$B3388),"")</f>
        <v>3.1269618055375759E-2</v>
      </c>
      <c r="H3389" s="29">
        <f>IF($B$2,IF(ROWS(B$6:$B3389) = 1,IF(COUNTIFS(R_Schedule_Times,"&lt;"&amp;B3389),INDEX(R_Schedule_Amounts,MATCH(B3389,R_Schedule_Times,1)),Starting_Cash),IF(COUNTIFS(R_Schedule_Times,"&gt;"&amp;B3388,R_Schedule_Times,"&lt;"&amp;B3389),INDEX(R_Schedule_Amounts,MATCH(B3389,R_Schedule_Times,1)),K3388)),"")</f>
        <v>12900</v>
      </c>
      <c r="I3389" s="30">
        <f t="shared" si="260"/>
        <v>180</v>
      </c>
      <c r="J3389" s="31">
        <f t="shared" si="261"/>
        <v>0</v>
      </c>
      <c r="K3389" s="29">
        <f t="shared" si="262"/>
        <v>12720</v>
      </c>
      <c r="L3389" s="31" t="str">
        <f t="shared" si="263"/>
        <v/>
      </c>
      <c r="M3389" s="31" t="str">
        <f t="shared" si="264"/>
        <v/>
      </c>
    </row>
    <row r="3390" spans="1:13" x14ac:dyDescent="0.15">
      <c r="A3390" s="163" t="s">
        <v>210</v>
      </c>
      <c r="B3390" s="163">
        <v>42363.54222988426</v>
      </c>
      <c r="C3390" s="164" t="s">
        <v>2714</v>
      </c>
      <c r="D3390" s="164" t="s">
        <v>13</v>
      </c>
      <c r="E3390" s="165">
        <v>100</v>
      </c>
      <c r="F3390" s="166">
        <v>0</v>
      </c>
      <c r="G3390" s="227">
        <f>IF($B$2,IF(ROWS(B$6:$B3390) = 1,$B3390-Start_Date,$B3390-$B3389),"")</f>
        <v>1.2246296319062822E-3</v>
      </c>
      <c r="H3390" s="29">
        <f>IF($B$2,IF(ROWS(B$6:$B3390) = 1,IF(COUNTIFS(R_Schedule_Times,"&lt;"&amp;B3390),INDEX(R_Schedule_Amounts,MATCH(B3390,R_Schedule_Times,1)),Starting_Cash),IF(COUNTIFS(R_Schedule_Times,"&gt;"&amp;B3389,R_Schedule_Times,"&lt;"&amp;B3390),INDEX(R_Schedule_Amounts,MATCH(B3390,R_Schedule_Times,1)),K3389)),"")</f>
        <v>12720</v>
      </c>
      <c r="I3390" s="30">
        <f t="shared" si="260"/>
        <v>100</v>
      </c>
      <c r="J3390" s="31">
        <f t="shared" si="261"/>
        <v>0</v>
      </c>
      <c r="K3390" s="29">
        <f t="shared" si="262"/>
        <v>12620</v>
      </c>
      <c r="L3390" s="31" t="str">
        <f t="shared" si="263"/>
        <v/>
      </c>
      <c r="M3390" s="31" t="str">
        <f t="shared" si="264"/>
        <v/>
      </c>
    </row>
    <row r="3391" spans="1:13" x14ac:dyDescent="0.15">
      <c r="A3391" s="163" t="s">
        <v>210</v>
      </c>
      <c r="B3391" s="163">
        <v>42363.55366834491</v>
      </c>
      <c r="C3391" s="164" t="s">
        <v>409</v>
      </c>
      <c r="D3391" s="164" t="s">
        <v>13</v>
      </c>
      <c r="E3391" s="165">
        <v>80</v>
      </c>
      <c r="F3391" s="166">
        <v>0</v>
      </c>
      <c r="G3391" s="227">
        <f>IF($B$2,IF(ROWS(B$6:$B3391) = 1,$B3391-Start_Date,$B3391-$B3390),"")</f>
        <v>1.1438460649515036E-2</v>
      </c>
      <c r="H3391" s="29">
        <f>IF($B$2,IF(ROWS(B$6:$B3391) = 1,IF(COUNTIFS(R_Schedule_Times,"&lt;"&amp;B3391),INDEX(R_Schedule_Amounts,MATCH(B3391,R_Schedule_Times,1)),Starting_Cash),IF(COUNTIFS(R_Schedule_Times,"&gt;"&amp;B3390,R_Schedule_Times,"&lt;"&amp;B3391),INDEX(R_Schedule_Amounts,MATCH(B3391,R_Schedule_Times,1)),K3390)),"")</f>
        <v>12620</v>
      </c>
      <c r="I3391" s="30">
        <f t="shared" si="260"/>
        <v>80</v>
      </c>
      <c r="J3391" s="31">
        <f t="shared" si="261"/>
        <v>0</v>
      </c>
      <c r="K3391" s="29">
        <f t="shared" si="262"/>
        <v>12540</v>
      </c>
      <c r="L3391" s="31" t="str">
        <f t="shared" si="263"/>
        <v/>
      </c>
      <c r="M3391" s="31" t="str">
        <f t="shared" si="264"/>
        <v/>
      </c>
    </row>
    <row r="3392" spans="1:13" x14ac:dyDescent="0.15">
      <c r="A3392" s="163" t="s">
        <v>210</v>
      </c>
      <c r="B3392" s="163">
        <v>42363.554919479167</v>
      </c>
      <c r="C3392" s="164" t="s">
        <v>2715</v>
      </c>
      <c r="D3392" s="164" t="s">
        <v>13</v>
      </c>
      <c r="E3392" s="165">
        <v>20</v>
      </c>
      <c r="F3392" s="166">
        <v>0</v>
      </c>
      <c r="G3392" s="227">
        <f>IF($B$2,IF(ROWS(B$6:$B3392) = 1,$B3392-Start_Date,$B3392-$B3391),"")</f>
        <v>1.2511342574725859E-3</v>
      </c>
      <c r="H3392" s="29">
        <f>IF($B$2,IF(ROWS(B$6:$B3392) = 1,IF(COUNTIFS(R_Schedule_Times,"&lt;"&amp;B3392),INDEX(R_Schedule_Amounts,MATCH(B3392,R_Schedule_Times,1)),Starting_Cash),IF(COUNTIFS(R_Schedule_Times,"&gt;"&amp;B3391,R_Schedule_Times,"&lt;"&amp;B3392),INDEX(R_Schedule_Amounts,MATCH(B3392,R_Schedule_Times,1)),K3391)),"")</f>
        <v>12540</v>
      </c>
      <c r="I3392" s="30">
        <f t="shared" si="260"/>
        <v>20</v>
      </c>
      <c r="J3392" s="31">
        <f t="shared" si="261"/>
        <v>0</v>
      </c>
      <c r="K3392" s="29">
        <f t="shared" si="262"/>
        <v>12520</v>
      </c>
      <c r="L3392" s="31" t="str">
        <f t="shared" si="263"/>
        <v/>
      </c>
      <c r="M3392" s="31" t="str">
        <f t="shared" si="264"/>
        <v/>
      </c>
    </row>
    <row r="3393" spans="1:13" x14ac:dyDescent="0.15">
      <c r="A3393" s="163" t="s">
        <v>210</v>
      </c>
      <c r="B3393" s="163">
        <v>42363.556046319442</v>
      </c>
      <c r="C3393" s="164" t="s">
        <v>14</v>
      </c>
      <c r="D3393" s="164" t="s">
        <v>13</v>
      </c>
      <c r="E3393" s="165">
        <v>100</v>
      </c>
      <c r="F3393" s="166">
        <v>3.5</v>
      </c>
      <c r="G3393" s="227">
        <f>IF($B$2,IF(ROWS(B$6:$B3393) = 1,$B3393-Start_Date,$B3393-$B3392),"")</f>
        <v>1.1268402740824968E-3</v>
      </c>
      <c r="H3393" s="29">
        <f>IF($B$2,IF(ROWS(B$6:$B3393) = 1,IF(COUNTIFS(R_Schedule_Times,"&lt;"&amp;B3393),INDEX(R_Schedule_Amounts,MATCH(B3393,R_Schedule_Times,1)),Starting_Cash),IF(COUNTIFS(R_Schedule_Times,"&gt;"&amp;B3392,R_Schedule_Times,"&lt;"&amp;B3393),INDEX(R_Schedule_Amounts,MATCH(B3393,R_Schedule_Times,1)),K3392)),"")</f>
        <v>12520</v>
      </c>
      <c r="I3393" s="30">
        <f t="shared" si="260"/>
        <v>100</v>
      </c>
      <c r="J3393" s="31">
        <f t="shared" si="261"/>
        <v>3.5</v>
      </c>
      <c r="K3393" s="29">
        <f t="shared" si="262"/>
        <v>12420</v>
      </c>
      <c r="L3393" s="31" t="str">
        <f t="shared" si="263"/>
        <v/>
      </c>
      <c r="M3393" s="31" t="str">
        <f t="shared" si="264"/>
        <v/>
      </c>
    </row>
    <row r="3394" spans="1:13" x14ac:dyDescent="0.15">
      <c r="A3394" s="163" t="s">
        <v>210</v>
      </c>
      <c r="B3394" s="163">
        <v>42363.558220173611</v>
      </c>
      <c r="C3394" s="164" t="s">
        <v>406</v>
      </c>
      <c r="D3394" s="164" t="s">
        <v>13</v>
      </c>
      <c r="E3394" s="165">
        <v>80</v>
      </c>
      <c r="F3394" s="166">
        <v>0</v>
      </c>
      <c r="G3394" s="227">
        <f>IF($B$2,IF(ROWS(B$6:$B3394) = 1,$B3394-Start_Date,$B3394-$B3393),"")</f>
        <v>2.1738541690865532E-3</v>
      </c>
      <c r="H3394" s="29">
        <f>IF($B$2,IF(ROWS(B$6:$B3394) = 1,IF(COUNTIFS(R_Schedule_Times,"&lt;"&amp;B3394),INDEX(R_Schedule_Amounts,MATCH(B3394,R_Schedule_Times,1)),Starting_Cash),IF(COUNTIFS(R_Schedule_Times,"&gt;"&amp;B3393,R_Schedule_Times,"&lt;"&amp;B3394),INDEX(R_Schedule_Amounts,MATCH(B3394,R_Schedule_Times,1)),K3393)),"")</f>
        <v>12420</v>
      </c>
      <c r="I3394" s="30">
        <f t="shared" si="260"/>
        <v>80</v>
      </c>
      <c r="J3394" s="31">
        <f t="shared" si="261"/>
        <v>0</v>
      </c>
      <c r="K3394" s="29">
        <f t="shared" si="262"/>
        <v>12340</v>
      </c>
      <c r="L3394" s="31" t="str">
        <f t="shared" si="263"/>
        <v/>
      </c>
      <c r="M3394" s="31" t="str">
        <f t="shared" si="264"/>
        <v/>
      </c>
    </row>
    <row r="3395" spans="1:13" x14ac:dyDescent="0.15">
      <c r="A3395" s="163" t="s">
        <v>210</v>
      </c>
      <c r="B3395" s="163">
        <v>42363.563485324077</v>
      </c>
      <c r="C3395" s="164" t="s">
        <v>2716</v>
      </c>
      <c r="D3395" s="164" t="s">
        <v>13</v>
      </c>
      <c r="E3395" s="165">
        <v>160</v>
      </c>
      <c r="F3395" s="166">
        <v>0</v>
      </c>
      <c r="G3395" s="227">
        <f>IF($B$2,IF(ROWS(B$6:$B3395) = 1,$B3395-Start_Date,$B3395-$B3394),"")</f>
        <v>5.2651504665846005E-3</v>
      </c>
      <c r="H3395" s="29">
        <f>IF($B$2,IF(ROWS(B$6:$B3395) = 1,IF(COUNTIFS(R_Schedule_Times,"&lt;"&amp;B3395),INDEX(R_Schedule_Amounts,MATCH(B3395,R_Schedule_Times,1)),Starting_Cash),IF(COUNTIFS(R_Schedule_Times,"&gt;"&amp;B3394,R_Schedule_Times,"&lt;"&amp;B3395),INDEX(R_Schedule_Amounts,MATCH(B3395,R_Schedule_Times,1)),K3394)),"")</f>
        <v>12340</v>
      </c>
      <c r="I3395" s="30">
        <f t="shared" si="260"/>
        <v>160</v>
      </c>
      <c r="J3395" s="31">
        <f t="shared" si="261"/>
        <v>0</v>
      </c>
      <c r="K3395" s="29">
        <f t="shared" si="262"/>
        <v>12180</v>
      </c>
      <c r="L3395" s="31" t="str">
        <f t="shared" si="263"/>
        <v/>
      </c>
      <c r="M3395" s="31" t="str">
        <f t="shared" si="264"/>
        <v/>
      </c>
    </row>
    <row r="3396" spans="1:13" x14ac:dyDescent="0.15">
      <c r="A3396" s="163" t="s">
        <v>210</v>
      </c>
      <c r="B3396" s="163">
        <v>42363.572584745372</v>
      </c>
      <c r="C3396" s="164" t="s">
        <v>561</v>
      </c>
      <c r="D3396" s="164" t="s">
        <v>13</v>
      </c>
      <c r="E3396" s="165">
        <v>40</v>
      </c>
      <c r="F3396" s="166">
        <v>0</v>
      </c>
      <c r="G3396" s="227">
        <f>IF($B$2,IF(ROWS(B$6:$B3396) = 1,$B3396-Start_Date,$B3396-$B3395),"")</f>
        <v>9.0994212951045483E-3</v>
      </c>
      <c r="H3396" s="29">
        <f>IF($B$2,IF(ROWS(B$6:$B3396) = 1,IF(COUNTIFS(R_Schedule_Times,"&lt;"&amp;B3396),INDEX(R_Schedule_Amounts,MATCH(B3396,R_Schedule_Times,1)),Starting_Cash),IF(COUNTIFS(R_Schedule_Times,"&gt;"&amp;B3395,R_Schedule_Times,"&lt;"&amp;B3396),INDEX(R_Schedule_Amounts,MATCH(B3396,R_Schedule_Times,1)),K3395)),"")</f>
        <v>12180</v>
      </c>
      <c r="I3396" s="30">
        <f t="shared" si="260"/>
        <v>40</v>
      </c>
      <c r="J3396" s="31">
        <f t="shared" si="261"/>
        <v>0</v>
      </c>
      <c r="K3396" s="29">
        <f t="shared" si="262"/>
        <v>12140</v>
      </c>
      <c r="L3396" s="31" t="str">
        <f t="shared" si="263"/>
        <v/>
      </c>
      <c r="M3396" s="31" t="str">
        <f t="shared" si="264"/>
        <v/>
      </c>
    </row>
    <row r="3397" spans="1:13" x14ac:dyDescent="0.15">
      <c r="A3397" s="163" t="s">
        <v>210</v>
      </c>
      <c r="B3397" s="163">
        <v>42363.596272175928</v>
      </c>
      <c r="C3397" s="164" t="s">
        <v>14</v>
      </c>
      <c r="D3397" s="164" t="s">
        <v>13</v>
      </c>
      <c r="E3397" s="165">
        <v>200</v>
      </c>
      <c r="F3397" s="166">
        <v>3.5</v>
      </c>
      <c r="G3397" s="227">
        <f>IF($B$2,IF(ROWS(B$6:$B3397) = 1,$B3397-Start_Date,$B3397-$B3396),"")</f>
        <v>2.3687430555582978E-2</v>
      </c>
      <c r="H3397" s="29">
        <f>IF($B$2,IF(ROWS(B$6:$B3397) = 1,IF(COUNTIFS(R_Schedule_Times,"&lt;"&amp;B3397),INDEX(R_Schedule_Amounts,MATCH(B3397,R_Schedule_Times,1)),Starting_Cash),IF(COUNTIFS(R_Schedule_Times,"&gt;"&amp;B3396,R_Schedule_Times,"&lt;"&amp;B3397),INDEX(R_Schedule_Amounts,MATCH(B3397,R_Schedule_Times,1)),K3396)),"")</f>
        <v>12140</v>
      </c>
      <c r="I3397" s="30">
        <f t="shared" si="260"/>
        <v>200</v>
      </c>
      <c r="J3397" s="31">
        <f t="shared" si="261"/>
        <v>3.5</v>
      </c>
      <c r="K3397" s="29">
        <f t="shared" si="262"/>
        <v>11940</v>
      </c>
      <c r="L3397" s="31" t="str">
        <f t="shared" si="263"/>
        <v/>
      </c>
      <c r="M3397" s="31" t="str">
        <f t="shared" si="264"/>
        <v/>
      </c>
    </row>
    <row r="3398" spans="1:13" x14ac:dyDescent="0.15">
      <c r="A3398" s="163" t="s">
        <v>210</v>
      </c>
      <c r="B3398" s="163">
        <v>42363.598035173614</v>
      </c>
      <c r="C3398" s="164" t="s">
        <v>2571</v>
      </c>
      <c r="D3398" s="164" t="s">
        <v>13</v>
      </c>
      <c r="E3398" s="165">
        <v>20</v>
      </c>
      <c r="F3398" s="166">
        <v>0</v>
      </c>
      <c r="G3398" s="227">
        <f>IF($B$2,IF(ROWS(B$6:$B3398) = 1,$B3398-Start_Date,$B3398-$B3397),"")</f>
        <v>1.7629976864554919E-3</v>
      </c>
      <c r="H3398" s="29">
        <f>IF($B$2,IF(ROWS(B$6:$B3398) = 1,IF(COUNTIFS(R_Schedule_Times,"&lt;"&amp;B3398),INDEX(R_Schedule_Amounts,MATCH(B3398,R_Schedule_Times,1)),Starting_Cash),IF(COUNTIFS(R_Schedule_Times,"&gt;"&amp;B3397,R_Schedule_Times,"&lt;"&amp;B3398),INDEX(R_Schedule_Amounts,MATCH(B3398,R_Schedule_Times,1)),K3397)),"")</f>
        <v>11940</v>
      </c>
      <c r="I3398" s="30">
        <f t="shared" si="260"/>
        <v>20</v>
      </c>
      <c r="J3398" s="31">
        <f t="shared" si="261"/>
        <v>0</v>
      </c>
      <c r="K3398" s="29">
        <f t="shared" si="262"/>
        <v>11920</v>
      </c>
      <c r="L3398" s="31" t="str">
        <f t="shared" si="263"/>
        <v/>
      </c>
      <c r="M3398" s="31" t="str">
        <f t="shared" si="264"/>
        <v/>
      </c>
    </row>
    <row r="3399" spans="1:13" x14ac:dyDescent="0.15">
      <c r="A3399" s="163" t="s">
        <v>210</v>
      </c>
      <c r="B3399" s="163">
        <v>42363.625874421297</v>
      </c>
      <c r="C3399" s="164" t="s">
        <v>2717</v>
      </c>
      <c r="D3399" s="164" t="s">
        <v>13</v>
      </c>
      <c r="E3399" s="165">
        <v>200</v>
      </c>
      <c r="F3399" s="166">
        <v>0</v>
      </c>
      <c r="G3399" s="227">
        <f>IF($B$2,IF(ROWS(B$6:$B3399) = 1,$B3399-Start_Date,$B3399-$B3398),"")</f>
        <v>2.7839247683004942E-2</v>
      </c>
      <c r="H3399" s="29">
        <f>IF($B$2,IF(ROWS(B$6:$B3399) = 1,IF(COUNTIFS(R_Schedule_Times,"&lt;"&amp;B3399),INDEX(R_Schedule_Amounts,MATCH(B3399,R_Schedule_Times,1)),Starting_Cash),IF(COUNTIFS(R_Schedule_Times,"&gt;"&amp;B3398,R_Schedule_Times,"&lt;"&amp;B3399),INDEX(R_Schedule_Amounts,MATCH(B3399,R_Schedule_Times,1)),K3398)),"")</f>
        <v>11920</v>
      </c>
      <c r="I3399" s="30">
        <f t="shared" ref="I3399:I3462" si="265">IF($B$2,IF(H3399&gt;=E3399,E3399,0),"")</f>
        <v>200</v>
      </c>
      <c r="J3399" s="31">
        <f t="shared" ref="J3399:J3462" si="266">IF($B$2,IF(H3399&gt;=E3399,F3399,0),"")</f>
        <v>0</v>
      </c>
      <c r="K3399" s="29">
        <f t="shared" ref="K3399:K3462" si="267">IF($B$2,ABS(I3399-H3399),"")</f>
        <v>11720</v>
      </c>
      <c r="L3399" s="31" t="str">
        <f t="shared" ref="L3399:L3462" si="268">IF($B$2,IF(H3399&lt;E3399,"YES",""),"")</f>
        <v/>
      </c>
      <c r="M3399" s="31" t="str">
        <f t="shared" ref="M3399:M3462" si="269">IF($B$2,IF(L3399="YES",F3399,""),"")</f>
        <v/>
      </c>
    </row>
    <row r="3400" spans="1:13" x14ac:dyDescent="0.15">
      <c r="A3400" s="163" t="s">
        <v>210</v>
      </c>
      <c r="B3400" s="163">
        <v>42363.639089791664</v>
      </c>
      <c r="C3400" s="164" t="s">
        <v>2718</v>
      </c>
      <c r="D3400" s="164" t="s">
        <v>13</v>
      </c>
      <c r="E3400" s="165">
        <v>40</v>
      </c>
      <c r="F3400" s="166">
        <v>0</v>
      </c>
      <c r="G3400" s="227">
        <f>IF($B$2,IF(ROWS(B$6:$B3400) = 1,$B3400-Start_Date,$B3400-$B3399),"")</f>
        <v>1.3215370367106516E-2</v>
      </c>
      <c r="H3400" s="29">
        <f>IF($B$2,IF(ROWS(B$6:$B3400) = 1,IF(COUNTIFS(R_Schedule_Times,"&lt;"&amp;B3400),INDEX(R_Schedule_Amounts,MATCH(B3400,R_Schedule_Times,1)),Starting_Cash),IF(COUNTIFS(R_Schedule_Times,"&gt;"&amp;B3399,R_Schedule_Times,"&lt;"&amp;B3400),INDEX(R_Schedule_Amounts,MATCH(B3400,R_Schedule_Times,1)),K3399)),"")</f>
        <v>11720</v>
      </c>
      <c r="I3400" s="30">
        <f t="shared" si="265"/>
        <v>40</v>
      </c>
      <c r="J3400" s="31">
        <f t="shared" si="266"/>
        <v>0</v>
      </c>
      <c r="K3400" s="29">
        <f t="shared" si="267"/>
        <v>11680</v>
      </c>
      <c r="L3400" s="31" t="str">
        <f t="shared" si="268"/>
        <v/>
      </c>
      <c r="M3400" s="31" t="str">
        <f t="shared" si="269"/>
        <v/>
      </c>
    </row>
    <row r="3401" spans="1:13" x14ac:dyDescent="0.15">
      <c r="A3401" s="163" t="s">
        <v>210</v>
      </c>
      <c r="B3401" s="163">
        <v>42363.65252116898</v>
      </c>
      <c r="C3401" s="164" t="s">
        <v>462</v>
      </c>
      <c r="D3401" s="164" t="s">
        <v>13</v>
      </c>
      <c r="E3401" s="165">
        <v>80</v>
      </c>
      <c r="F3401" s="166">
        <v>0</v>
      </c>
      <c r="G3401" s="227">
        <f>IF($B$2,IF(ROWS(B$6:$B3401) = 1,$B3401-Start_Date,$B3401-$B3400),"")</f>
        <v>1.3431377316010185E-2</v>
      </c>
      <c r="H3401" s="29">
        <f>IF($B$2,IF(ROWS(B$6:$B3401) = 1,IF(COUNTIFS(R_Schedule_Times,"&lt;"&amp;B3401),INDEX(R_Schedule_Amounts,MATCH(B3401,R_Schedule_Times,1)),Starting_Cash),IF(COUNTIFS(R_Schedule_Times,"&gt;"&amp;B3400,R_Schedule_Times,"&lt;"&amp;B3401),INDEX(R_Schedule_Amounts,MATCH(B3401,R_Schedule_Times,1)),K3400)),"")</f>
        <v>11680</v>
      </c>
      <c r="I3401" s="30">
        <f t="shared" si="265"/>
        <v>80</v>
      </c>
      <c r="J3401" s="31">
        <f t="shared" si="266"/>
        <v>0</v>
      </c>
      <c r="K3401" s="29">
        <f t="shared" si="267"/>
        <v>11600</v>
      </c>
      <c r="L3401" s="31" t="str">
        <f t="shared" si="268"/>
        <v/>
      </c>
      <c r="M3401" s="31" t="str">
        <f t="shared" si="269"/>
        <v/>
      </c>
    </row>
    <row r="3402" spans="1:13" x14ac:dyDescent="0.15">
      <c r="A3402" s="163" t="s">
        <v>210</v>
      </c>
      <c r="B3402" s="163">
        <v>42363.697132048612</v>
      </c>
      <c r="C3402" s="164" t="s">
        <v>2719</v>
      </c>
      <c r="D3402" s="164" t="s">
        <v>13</v>
      </c>
      <c r="E3402" s="165">
        <v>100</v>
      </c>
      <c r="F3402" s="166">
        <v>0</v>
      </c>
      <c r="G3402" s="227">
        <f>IF($B$2,IF(ROWS(B$6:$B3402) = 1,$B3402-Start_Date,$B3402-$B3401),"")</f>
        <v>4.4610879631363787E-2</v>
      </c>
      <c r="H3402" s="29">
        <f>IF($B$2,IF(ROWS(B$6:$B3402) = 1,IF(COUNTIFS(R_Schedule_Times,"&lt;"&amp;B3402),INDEX(R_Schedule_Amounts,MATCH(B3402,R_Schedule_Times,1)),Starting_Cash),IF(COUNTIFS(R_Schedule_Times,"&gt;"&amp;B3401,R_Schedule_Times,"&lt;"&amp;B3402),INDEX(R_Schedule_Amounts,MATCH(B3402,R_Schedule_Times,1)),K3401)),"")</f>
        <v>11600</v>
      </c>
      <c r="I3402" s="30">
        <f t="shared" si="265"/>
        <v>100</v>
      </c>
      <c r="J3402" s="31">
        <f t="shared" si="266"/>
        <v>0</v>
      </c>
      <c r="K3402" s="29">
        <f t="shared" si="267"/>
        <v>11500</v>
      </c>
      <c r="L3402" s="31" t="str">
        <f t="shared" si="268"/>
        <v/>
      </c>
      <c r="M3402" s="31" t="str">
        <f t="shared" si="269"/>
        <v/>
      </c>
    </row>
    <row r="3403" spans="1:13" x14ac:dyDescent="0.15">
      <c r="A3403" s="163" t="s">
        <v>210</v>
      </c>
      <c r="B3403" s="163">
        <v>42363.700104837961</v>
      </c>
      <c r="C3403" s="164" t="s">
        <v>976</v>
      </c>
      <c r="D3403" s="164" t="s">
        <v>13</v>
      </c>
      <c r="E3403" s="165">
        <v>80</v>
      </c>
      <c r="F3403" s="166">
        <v>0</v>
      </c>
      <c r="G3403" s="227">
        <f>IF($B$2,IF(ROWS(B$6:$B3403) = 1,$B3403-Start_Date,$B3403-$B3402),"")</f>
        <v>2.9727893488598056E-3</v>
      </c>
      <c r="H3403" s="29">
        <f>IF($B$2,IF(ROWS(B$6:$B3403) = 1,IF(COUNTIFS(R_Schedule_Times,"&lt;"&amp;B3403),INDEX(R_Schedule_Amounts,MATCH(B3403,R_Schedule_Times,1)),Starting_Cash),IF(COUNTIFS(R_Schedule_Times,"&gt;"&amp;B3402,R_Schedule_Times,"&lt;"&amp;B3403),INDEX(R_Schedule_Amounts,MATCH(B3403,R_Schedule_Times,1)),K3402)),"")</f>
        <v>11500</v>
      </c>
      <c r="I3403" s="30">
        <f t="shared" si="265"/>
        <v>80</v>
      </c>
      <c r="J3403" s="31">
        <f t="shared" si="266"/>
        <v>0</v>
      </c>
      <c r="K3403" s="29">
        <f t="shared" si="267"/>
        <v>11420</v>
      </c>
      <c r="L3403" s="31" t="str">
        <f t="shared" si="268"/>
        <v/>
      </c>
      <c r="M3403" s="31" t="str">
        <f t="shared" si="269"/>
        <v/>
      </c>
    </row>
    <row r="3404" spans="1:13" x14ac:dyDescent="0.15">
      <c r="A3404" s="163" t="s">
        <v>210</v>
      </c>
      <c r="B3404" s="163">
        <v>42363.715780266204</v>
      </c>
      <c r="C3404" s="164" t="s">
        <v>374</v>
      </c>
      <c r="D3404" s="164" t="s">
        <v>13</v>
      </c>
      <c r="E3404" s="165">
        <v>200</v>
      </c>
      <c r="F3404" s="166">
        <v>0</v>
      </c>
      <c r="G3404" s="227">
        <f>IF($B$2,IF(ROWS(B$6:$B3404) = 1,$B3404-Start_Date,$B3404-$B3403),"")</f>
        <v>1.5675428243412171E-2</v>
      </c>
      <c r="H3404" s="29">
        <f>IF($B$2,IF(ROWS(B$6:$B3404) = 1,IF(COUNTIFS(R_Schedule_Times,"&lt;"&amp;B3404),INDEX(R_Schedule_Amounts,MATCH(B3404,R_Schedule_Times,1)),Starting_Cash),IF(COUNTIFS(R_Schedule_Times,"&gt;"&amp;B3403,R_Schedule_Times,"&lt;"&amp;B3404),INDEX(R_Schedule_Amounts,MATCH(B3404,R_Schedule_Times,1)),K3403)),"")</f>
        <v>11420</v>
      </c>
      <c r="I3404" s="30">
        <f t="shared" si="265"/>
        <v>200</v>
      </c>
      <c r="J3404" s="31">
        <f t="shared" si="266"/>
        <v>0</v>
      </c>
      <c r="K3404" s="29">
        <f t="shared" si="267"/>
        <v>11220</v>
      </c>
      <c r="L3404" s="31" t="str">
        <f t="shared" si="268"/>
        <v/>
      </c>
      <c r="M3404" s="31" t="str">
        <f t="shared" si="269"/>
        <v/>
      </c>
    </row>
    <row r="3405" spans="1:13" x14ac:dyDescent="0.15">
      <c r="A3405" s="163" t="s">
        <v>210</v>
      </c>
      <c r="B3405" s="163">
        <v>42363.723839270831</v>
      </c>
      <c r="C3405" s="164" t="s">
        <v>1367</v>
      </c>
      <c r="D3405" s="164" t="s">
        <v>13</v>
      </c>
      <c r="E3405" s="165">
        <v>280</v>
      </c>
      <c r="F3405" s="166">
        <v>0</v>
      </c>
      <c r="G3405" s="227">
        <f>IF($B$2,IF(ROWS(B$6:$B3405) = 1,$B3405-Start_Date,$B3405-$B3404),"")</f>
        <v>8.0590046272845939E-3</v>
      </c>
      <c r="H3405" s="29">
        <f>IF($B$2,IF(ROWS(B$6:$B3405) = 1,IF(COUNTIFS(R_Schedule_Times,"&lt;"&amp;B3405),INDEX(R_Schedule_Amounts,MATCH(B3405,R_Schedule_Times,1)),Starting_Cash),IF(COUNTIFS(R_Schedule_Times,"&gt;"&amp;B3404,R_Schedule_Times,"&lt;"&amp;B3405),INDEX(R_Schedule_Amounts,MATCH(B3405,R_Schedule_Times,1)),K3404)),"")</f>
        <v>11220</v>
      </c>
      <c r="I3405" s="30">
        <f t="shared" si="265"/>
        <v>280</v>
      </c>
      <c r="J3405" s="31">
        <f t="shared" si="266"/>
        <v>0</v>
      </c>
      <c r="K3405" s="29">
        <f t="shared" si="267"/>
        <v>10940</v>
      </c>
      <c r="L3405" s="31" t="str">
        <f t="shared" si="268"/>
        <v/>
      </c>
      <c r="M3405" s="31" t="str">
        <f t="shared" si="269"/>
        <v/>
      </c>
    </row>
    <row r="3406" spans="1:13" x14ac:dyDescent="0.15">
      <c r="A3406" s="163" t="s">
        <v>210</v>
      </c>
      <c r="B3406" s="163">
        <v>42363.727762430557</v>
      </c>
      <c r="C3406" s="164" t="s">
        <v>2720</v>
      </c>
      <c r="D3406" s="164" t="s">
        <v>13</v>
      </c>
      <c r="E3406" s="165">
        <v>20</v>
      </c>
      <c r="F3406" s="166">
        <v>0</v>
      </c>
      <c r="G3406" s="227">
        <f>IF($B$2,IF(ROWS(B$6:$B3406) = 1,$B3406-Start_Date,$B3406-$B3405),"")</f>
        <v>3.9231597256730311E-3</v>
      </c>
      <c r="H3406" s="29">
        <f>IF($B$2,IF(ROWS(B$6:$B3406) = 1,IF(COUNTIFS(R_Schedule_Times,"&lt;"&amp;B3406),INDEX(R_Schedule_Amounts,MATCH(B3406,R_Schedule_Times,1)),Starting_Cash),IF(COUNTIFS(R_Schedule_Times,"&gt;"&amp;B3405,R_Schedule_Times,"&lt;"&amp;B3406),INDEX(R_Schedule_Amounts,MATCH(B3406,R_Schedule_Times,1)),K3405)),"")</f>
        <v>10940</v>
      </c>
      <c r="I3406" s="30">
        <f t="shared" si="265"/>
        <v>20</v>
      </c>
      <c r="J3406" s="31">
        <f t="shared" si="266"/>
        <v>0</v>
      </c>
      <c r="K3406" s="29">
        <f t="shared" si="267"/>
        <v>10920</v>
      </c>
      <c r="L3406" s="31" t="str">
        <f t="shared" si="268"/>
        <v/>
      </c>
      <c r="M3406" s="31" t="str">
        <f t="shared" si="269"/>
        <v/>
      </c>
    </row>
    <row r="3407" spans="1:13" x14ac:dyDescent="0.15">
      <c r="A3407" s="163" t="s">
        <v>210</v>
      </c>
      <c r="B3407" s="163">
        <v>42363.758958483799</v>
      </c>
      <c r="C3407" s="164" t="s">
        <v>2721</v>
      </c>
      <c r="D3407" s="164" t="s">
        <v>13</v>
      </c>
      <c r="E3407" s="165">
        <v>80</v>
      </c>
      <c r="F3407" s="166">
        <v>0</v>
      </c>
      <c r="G3407" s="227">
        <f>IF($B$2,IF(ROWS(B$6:$B3407) = 1,$B3407-Start_Date,$B3407-$B3406),"")</f>
        <v>3.1196053241728805E-2</v>
      </c>
      <c r="H3407" s="29">
        <f>IF($B$2,IF(ROWS(B$6:$B3407) = 1,IF(COUNTIFS(R_Schedule_Times,"&lt;"&amp;B3407),INDEX(R_Schedule_Amounts,MATCH(B3407,R_Schedule_Times,1)),Starting_Cash),IF(COUNTIFS(R_Schedule_Times,"&gt;"&amp;B3406,R_Schedule_Times,"&lt;"&amp;B3407),INDEX(R_Schedule_Amounts,MATCH(B3407,R_Schedule_Times,1)),K3406)),"")</f>
        <v>10920</v>
      </c>
      <c r="I3407" s="30">
        <f t="shared" si="265"/>
        <v>80</v>
      </c>
      <c r="J3407" s="31">
        <f t="shared" si="266"/>
        <v>0</v>
      </c>
      <c r="K3407" s="29">
        <f t="shared" si="267"/>
        <v>10840</v>
      </c>
      <c r="L3407" s="31" t="str">
        <f t="shared" si="268"/>
        <v/>
      </c>
      <c r="M3407" s="31" t="str">
        <f t="shared" si="269"/>
        <v/>
      </c>
    </row>
    <row r="3408" spans="1:13" x14ac:dyDescent="0.15">
      <c r="A3408" s="163" t="s">
        <v>210</v>
      </c>
      <c r="B3408" s="163">
        <v>42363.759850879629</v>
      </c>
      <c r="C3408" s="164" t="s">
        <v>2722</v>
      </c>
      <c r="D3408" s="164" t="s">
        <v>13</v>
      </c>
      <c r="E3408" s="165">
        <v>40</v>
      </c>
      <c r="F3408" s="166">
        <v>0</v>
      </c>
      <c r="G3408" s="227">
        <f>IF($B$2,IF(ROWS(B$6:$B3408) = 1,$B3408-Start_Date,$B3408-$B3407),"")</f>
        <v>8.9239583030575886E-4</v>
      </c>
      <c r="H3408" s="29">
        <f>IF($B$2,IF(ROWS(B$6:$B3408) = 1,IF(COUNTIFS(R_Schedule_Times,"&lt;"&amp;B3408),INDEX(R_Schedule_Amounts,MATCH(B3408,R_Schedule_Times,1)),Starting_Cash),IF(COUNTIFS(R_Schedule_Times,"&gt;"&amp;B3407,R_Schedule_Times,"&lt;"&amp;B3408),INDEX(R_Schedule_Amounts,MATCH(B3408,R_Schedule_Times,1)),K3407)),"")</f>
        <v>10840</v>
      </c>
      <c r="I3408" s="30">
        <f t="shared" si="265"/>
        <v>40</v>
      </c>
      <c r="J3408" s="31">
        <f t="shared" si="266"/>
        <v>0</v>
      </c>
      <c r="K3408" s="29">
        <f t="shared" si="267"/>
        <v>10800</v>
      </c>
      <c r="L3408" s="31" t="str">
        <f t="shared" si="268"/>
        <v/>
      </c>
      <c r="M3408" s="31" t="str">
        <f t="shared" si="269"/>
        <v/>
      </c>
    </row>
    <row r="3409" spans="1:13" x14ac:dyDescent="0.15">
      <c r="A3409" s="163" t="s">
        <v>210</v>
      </c>
      <c r="B3409" s="163">
        <v>42363.770329513885</v>
      </c>
      <c r="C3409" s="164" t="s">
        <v>451</v>
      </c>
      <c r="D3409" s="164" t="s">
        <v>13</v>
      </c>
      <c r="E3409" s="165">
        <v>60</v>
      </c>
      <c r="F3409" s="166">
        <v>0</v>
      </c>
      <c r="G3409" s="227">
        <f>IF($B$2,IF(ROWS(B$6:$B3409) = 1,$B3409-Start_Date,$B3409-$B3408),"")</f>
        <v>1.0478634256287478E-2</v>
      </c>
      <c r="H3409" s="29">
        <f>IF($B$2,IF(ROWS(B$6:$B3409) = 1,IF(COUNTIFS(R_Schedule_Times,"&lt;"&amp;B3409),INDEX(R_Schedule_Amounts,MATCH(B3409,R_Schedule_Times,1)),Starting_Cash),IF(COUNTIFS(R_Schedule_Times,"&gt;"&amp;B3408,R_Schedule_Times,"&lt;"&amp;B3409),INDEX(R_Schedule_Amounts,MATCH(B3409,R_Schedule_Times,1)),K3408)),"")</f>
        <v>10800</v>
      </c>
      <c r="I3409" s="30">
        <f t="shared" si="265"/>
        <v>60</v>
      </c>
      <c r="J3409" s="31">
        <f t="shared" si="266"/>
        <v>0</v>
      </c>
      <c r="K3409" s="29">
        <f t="shared" si="267"/>
        <v>10740</v>
      </c>
      <c r="L3409" s="31" t="str">
        <f t="shared" si="268"/>
        <v/>
      </c>
      <c r="M3409" s="31" t="str">
        <f t="shared" si="269"/>
        <v/>
      </c>
    </row>
    <row r="3410" spans="1:13" x14ac:dyDescent="0.15">
      <c r="A3410" s="163" t="s">
        <v>210</v>
      </c>
      <c r="B3410" s="163">
        <v>42363.786910266201</v>
      </c>
      <c r="C3410" s="164" t="s">
        <v>2723</v>
      </c>
      <c r="D3410" s="164" t="s">
        <v>15</v>
      </c>
      <c r="E3410" s="165">
        <v>100</v>
      </c>
      <c r="F3410" s="166">
        <v>3</v>
      </c>
      <c r="G3410" s="227">
        <f>IF($B$2,IF(ROWS(B$6:$B3410) = 1,$B3410-Start_Date,$B3410-$B3409),"")</f>
        <v>1.6580752315348946E-2</v>
      </c>
      <c r="H3410" s="29">
        <f>IF($B$2,IF(ROWS(B$6:$B3410) = 1,IF(COUNTIFS(R_Schedule_Times,"&lt;"&amp;B3410),INDEX(R_Schedule_Amounts,MATCH(B3410,R_Schedule_Times,1)),Starting_Cash),IF(COUNTIFS(R_Schedule_Times,"&gt;"&amp;B3409,R_Schedule_Times,"&lt;"&amp;B3410),INDEX(R_Schedule_Amounts,MATCH(B3410,R_Schedule_Times,1)),K3409)),"")</f>
        <v>10740</v>
      </c>
      <c r="I3410" s="30">
        <f t="shared" si="265"/>
        <v>100</v>
      </c>
      <c r="J3410" s="31">
        <f t="shared" si="266"/>
        <v>3</v>
      </c>
      <c r="K3410" s="29">
        <f t="shared" si="267"/>
        <v>10640</v>
      </c>
      <c r="L3410" s="31" t="str">
        <f t="shared" si="268"/>
        <v/>
      </c>
      <c r="M3410" s="31" t="str">
        <f t="shared" si="269"/>
        <v/>
      </c>
    </row>
    <row r="3411" spans="1:13" x14ac:dyDescent="0.15">
      <c r="A3411" s="163" t="s">
        <v>210</v>
      </c>
      <c r="B3411" s="163">
        <v>42363.799524108799</v>
      </c>
      <c r="C3411" s="164" t="s">
        <v>2724</v>
      </c>
      <c r="D3411" s="164" t="s">
        <v>13</v>
      </c>
      <c r="E3411" s="165">
        <v>140</v>
      </c>
      <c r="F3411" s="166">
        <v>0</v>
      </c>
      <c r="G3411" s="227">
        <f>IF($B$2,IF(ROWS(B$6:$B3411) = 1,$B3411-Start_Date,$B3411-$B3410),"")</f>
        <v>1.2613842598511837E-2</v>
      </c>
      <c r="H3411" s="29">
        <f>IF($B$2,IF(ROWS(B$6:$B3411) = 1,IF(COUNTIFS(R_Schedule_Times,"&lt;"&amp;B3411),INDEX(R_Schedule_Amounts,MATCH(B3411,R_Schedule_Times,1)),Starting_Cash),IF(COUNTIFS(R_Schedule_Times,"&gt;"&amp;B3410,R_Schedule_Times,"&lt;"&amp;B3411),INDEX(R_Schedule_Amounts,MATCH(B3411,R_Schedule_Times,1)),K3410)),"")</f>
        <v>10640</v>
      </c>
      <c r="I3411" s="30">
        <f t="shared" si="265"/>
        <v>140</v>
      </c>
      <c r="J3411" s="31">
        <f t="shared" si="266"/>
        <v>0</v>
      </c>
      <c r="K3411" s="29">
        <f t="shared" si="267"/>
        <v>10500</v>
      </c>
      <c r="L3411" s="31" t="str">
        <f t="shared" si="268"/>
        <v/>
      </c>
      <c r="M3411" s="31" t="str">
        <f t="shared" si="269"/>
        <v/>
      </c>
    </row>
    <row r="3412" spans="1:13" x14ac:dyDescent="0.15">
      <c r="A3412" s="163" t="s">
        <v>210</v>
      </c>
      <c r="B3412" s="163">
        <v>42363.80415851852</v>
      </c>
      <c r="C3412" s="164" t="s">
        <v>14</v>
      </c>
      <c r="D3412" s="164" t="s">
        <v>13</v>
      </c>
      <c r="E3412" s="165">
        <v>40</v>
      </c>
      <c r="F3412" s="166">
        <v>3.5</v>
      </c>
      <c r="G3412" s="227">
        <f>IF($B$2,IF(ROWS(B$6:$B3412) = 1,$B3412-Start_Date,$B3412-$B3411),"")</f>
        <v>4.6344097208930179E-3</v>
      </c>
      <c r="H3412" s="29">
        <f>IF($B$2,IF(ROWS(B$6:$B3412) = 1,IF(COUNTIFS(R_Schedule_Times,"&lt;"&amp;B3412),INDEX(R_Schedule_Amounts,MATCH(B3412,R_Schedule_Times,1)),Starting_Cash),IF(COUNTIFS(R_Schedule_Times,"&gt;"&amp;B3411,R_Schedule_Times,"&lt;"&amp;B3412),INDEX(R_Schedule_Amounts,MATCH(B3412,R_Schedule_Times,1)),K3411)),"")</f>
        <v>10500</v>
      </c>
      <c r="I3412" s="30">
        <f t="shared" si="265"/>
        <v>40</v>
      </c>
      <c r="J3412" s="31">
        <f t="shared" si="266"/>
        <v>3.5</v>
      </c>
      <c r="K3412" s="29">
        <f t="shared" si="267"/>
        <v>10460</v>
      </c>
      <c r="L3412" s="31" t="str">
        <f t="shared" si="268"/>
        <v/>
      </c>
      <c r="M3412" s="31" t="str">
        <f t="shared" si="269"/>
        <v/>
      </c>
    </row>
    <row r="3413" spans="1:13" x14ac:dyDescent="0.15">
      <c r="A3413" s="163" t="s">
        <v>210</v>
      </c>
      <c r="B3413" s="163">
        <v>42363.810023136575</v>
      </c>
      <c r="C3413" s="164" t="s">
        <v>2725</v>
      </c>
      <c r="D3413" s="164" t="s">
        <v>13</v>
      </c>
      <c r="E3413" s="165">
        <v>80</v>
      </c>
      <c r="F3413" s="166">
        <v>0</v>
      </c>
      <c r="G3413" s="227">
        <f>IF($B$2,IF(ROWS(B$6:$B3413) = 1,$B3413-Start_Date,$B3413-$B3412),"")</f>
        <v>5.8646180550567806E-3</v>
      </c>
      <c r="H3413" s="29">
        <f>IF($B$2,IF(ROWS(B$6:$B3413) = 1,IF(COUNTIFS(R_Schedule_Times,"&lt;"&amp;B3413),INDEX(R_Schedule_Amounts,MATCH(B3413,R_Schedule_Times,1)),Starting_Cash),IF(COUNTIFS(R_Schedule_Times,"&gt;"&amp;B3412,R_Schedule_Times,"&lt;"&amp;B3413),INDEX(R_Schedule_Amounts,MATCH(B3413,R_Schedule_Times,1)),K3412)),"")</f>
        <v>10460</v>
      </c>
      <c r="I3413" s="30">
        <f t="shared" si="265"/>
        <v>80</v>
      </c>
      <c r="J3413" s="31">
        <f t="shared" si="266"/>
        <v>0</v>
      </c>
      <c r="K3413" s="29">
        <f t="shared" si="267"/>
        <v>10380</v>
      </c>
      <c r="L3413" s="31" t="str">
        <f t="shared" si="268"/>
        <v/>
      </c>
      <c r="M3413" s="31" t="str">
        <f t="shared" si="269"/>
        <v/>
      </c>
    </row>
    <row r="3414" spans="1:13" x14ac:dyDescent="0.15">
      <c r="A3414" s="163" t="s">
        <v>210</v>
      </c>
      <c r="B3414" s="163">
        <v>42363.853622187497</v>
      </c>
      <c r="C3414" s="164" t="s">
        <v>2726</v>
      </c>
      <c r="D3414" s="164" t="s">
        <v>13</v>
      </c>
      <c r="E3414" s="165">
        <v>40</v>
      </c>
      <c r="F3414" s="166">
        <v>0</v>
      </c>
      <c r="G3414" s="227">
        <f>IF($B$2,IF(ROWS(B$6:$B3414) = 1,$B3414-Start_Date,$B3414-$B3413),"")</f>
        <v>4.3599050921329763E-2</v>
      </c>
      <c r="H3414" s="29">
        <f>IF($B$2,IF(ROWS(B$6:$B3414) = 1,IF(COUNTIFS(R_Schedule_Times,"&lt;"&amp;B3414),INDEX(R_Schedule_Amounts,MATCH(B3414,R_Schedule_Times,1)),Starting_Cash),IF(COUNTIFS(R_Schedule_Times,"&gt;"&amp;B3413,R_Schedule_Times,"&lt;"&amp;B3414),INDEX(R_Schedule_Amounts,MATCH(B3414,R_Schedule_Times,1)),K3413)),"")</f>
        <v>10380</v>
      </c>
      <c r="I3414" s="30">
        <f t="shared" si="265"/>
        <v>40</v>
      </c>
      <c r="J3414" s="31">
        <f t="shared" si="266"/>
        <v>0</v>
      </c>
      <c r="K3414" s="29">
        <f t="shared" si="267"/>
        <v>10340</v>
      </c>
      <c r="L3414" s="31" t="str">
        <f t="shared" si="268"/>
        <v/>
      </c>
      <c r="M3414" s="31" t="str">
        <f t="shared" si="269"/>
        <v/>
      </c>
    </row>
    <row r="3415" spans="1:13" x14ac:dyDescent="0.15">
      <c r="A3415" s="163" t="s">
        <v>210</v>
      </c>
      <c r="B3415" s="163">
        <v>42363.863943009259</v>
      </c>
      <c r="C3415" s="164" t="s">
        <v>1398</v>
      </c>
      <c r="D3415" s="164" t="s">
        <v>13</v>
      </c>
      <c r="E3415" s="165">
        <v>100</v>
      </c>
      <c r="F3415" s="166">
        <v>0</v>
      </c>
      <c r="G3415" s="227">
        <f>IF($B$2,IF(ROWS(B$6:$B3415) = 1,$B3415-Start_Date,$B3415-$B3414),"")</f>
        <v>1.0320821762434207E-2</v>
      </c>
      <c r="H3415" s="29">
        <f>IF($B$2,IF(ROWS(B$6:$B3415) = 1,IF(COUNTIFS(R_Schedule_Times,"&lt;"&amp;B3415),INDEX(R_Schedule_Amounts,MATCH(B3415,R_Schedule_Times,1)),Starting_Cash),IF(COUNTIFS(R_Schedule_Times,"&gt;"&amp;B3414,R_Schedule_Times,"&lt;"&amp;B3415),INDEX(R_Schedule_Amounts,MATCH(B3415,R_Schedule_Times,1)),K3414)),"")</f>
        <v>10340</v>
      </c>
      <c r="I3415" s="30">
        <f t="shared" si="265"/>
        <v>100</v>
      </c>
      <c r="J3415" s="31">
        <f t="shared" si="266"/>
        <v>0</v>
      </c>
      <c r="K3415" s="29">
        <f t="shared" si="267"/>
        <v>10240</v>
      </c>
      <c r="L3415" s="31" t="str">
        <f t="shared" si="268"/>
        <v/>
      </c>
      <c r="M3415" s="31" t="str">
        <f t="shared" si="269"/>
        <v/>
      </c>
    </row>
    <row r="3416" spans="1:13" x14ac:dyDescent="0.15">
      <c r="A3416" s="163" t="s">
        <v>210</v>
      </c>
      <c r="B3416" s="163">
        <v>42363.874083009257</v>
      </c>
      <c r="C3416" s="164" t="s">
        <v>2727</v>
      </c>
      <c r="D3416" s="164" t="s">
        <v>13</v>
      </c>
      <c r="E3416" s="165">
        <v>100</v>
      </c>
      <c r="F3416" s="166">
        <v>0</v>
      </c>
      <c r="G3416" s="227">
        <f>IF($B$2,IF(ROWS(B$6:$B3416) = 1,$B3416-Start_Date,$B3416-$B3415),"")</f>
        <v>1.0139999998500571E-2</v>
      </c>
      <c r="H3416" s="29">
        <f>IF($B$2,IF(ROWS(B$6:$B3416) = 1,IF(COUNTIFS(R_Schedule_Times,"&lt;"&amp;B3416),INDEX(R_Schedule_Amounts,MATCH(B3416,R_Schedule_Times,1)),Starting_Cash),IF(COUNTIFS(R_Schedule_Times,"&gt;"&amp;B3415,R_Schedule_Times,"&lt;"&amp;B3416),INDEX(R_Schedule_Amounts,MATCH(B3416,R_Schedule_Times,1)),K3415)),"")</f>
        <v>10240</v>
      </c>
      <c r="I3416" s="30">
        <f t="shared" si="265"/>
        <v>100</v>
      </c>
      <c r="J3416" s="31">
        <f t="shared" si="266"/>
        <v>0</v>
      </c>
      <c r="K3416" s="29">
        <f t="shared" si="267"/>
        <v>10140</v>
      </c>
      <c r="L3416" s="31" t="str">
        <f t="shared" si="268"/>
        <v/>
      </c>
      <c r="M3416" s="31" t="str">
        <f t="shared" si="269"/>
        <v/>
      </c>
    </row>
    <row r="3417" spans="1:13" x14ac:dyDescent="0.15">
      <c r="A3417" s="163" t="s">
        <v>210</v>
      </c>
      <c r="B3417" s="163">
        <v>42363.881680300925</v>
      </c>
      <c r="C3417" s="164" t="s">
        <v>2709</v>
      </c>
      <c r="D3417" s="164" t="s">
        <v>13</v>
      </c>
      <c r="E3417" s="165">
        <v>200</v>
      </c>
      <c r="F3417" s="166">
        <v>0</v>
      </c>
      <c r="G3417" s="227">
        <f>IF($B$2,IF(ROWS(B$6:$B3417) = 1,$B3417-Start_Date,$B3417-$B3416),"")</f>
        <v>7.5972916674800217E-3</v>
      </c>
      <c r="H3417" s="29">
        <f>IF($B$2,IF(ROWS(B$6:$B3417) = 1,IF(COUNTIFS(R_Schedule_Times,"&lt;"&amp;B3417),INDEX(R_Schedule_Amounts,MATCH(B3417,R_Schedule_Times,1)),Starting_Cash),IF(COUNTIFS(R_Schedule_Times,"&gt;"&amp;B3416,R_Schedule_Times,"&lt;"&amp;B3417),INDEX(R_Schedule_Amounts,MATCH(B3417,R_Schedule_Times,1)),K3416)),"")</f>
        <v>10140</v>
      </c>
      <c r="I3417" s="30">
        <f t="shared" si="265"/>
        <v>200</v>
      </c>
      <c r="J3417" s="31">
        <f t="shared" si="266"/>
        <v>0</v>
      </c>
      <c r="K3417" s="29">
        <f t="shared" si="267"/>
        <v>9940</v>
      </c>
      <c r="L3417" s="31" t="str">
        <f t="shared" si="268"/>
        <v/>
      </c>
      <c r="M3417" s="31" t="str">
        <f t="shared" si="269"/>
        <v/>
      </c>
    </row>
    <row r="3418" spans="1:13" x14ac:dyDescent="0.15">
      <c r="A3418" s="163" t="s">
        <v>210</v>
      </c>
      <c r="B3418" s="163">
        <v>42363.895974120373</v>
      </c>
      <c r="C3418" s="164" t="s">
        <v>1699</v>
      </c>
      <c r="D3418" s="164" t="s">
        <v>13</v>
      </c>
      <c r="E3418" s="165">
        <v>100</v>
      </c>
      <c r="F3418" s="166">
        <v>0</v>
      </c>
      <c r="G3418" s="227">
        <f>IF($B$2,IF(ROWS(B$6:$B3418) = 1,$B3418-Start_Date,$B3418-$B3417),"")</f>
        <v>1.4293819447630085E-2</v>
      </c>
      <c r="H3418" s="29">
        <f>IF($B$2,IF(ROWS(B$6:$B3418) = 1,IF(COUNTIFS(R_Schedule_Times,"&lt;"&amp;B3418),INDEX(R_Schedule_Amounts,MATCH(B3418,R_Schedule_Times,1)),Starting_Cash),IF(COUNTIFS(R_Schedule_Times,"&gt;"&amp;B3417,R_Schedule_Times,"&lt;"&amp;B3418),INDEX(R_Schedule_Amounts,MATCH(B3418,R_Schedule_Times,1)),K3417)),"")</f>
        <v>9940</v>
      </c>
      <c r="I3418" s="30">
        <f t="shared" si="265"/>
        <v>100</v>
      </c>
      <c r="J3418" s="31">
        <f t="shared" si="266"/>
        <v>0</v>
      </c>
      <c r="K3418" s="29">
        <f t="shared" si="267"/>
        <v>9840</v>
      </c>
      <c r="L3418" s="31" t="str">
        <f t="shared" si="268"/>
        <v/>
      </c>
      <c r="M3418" s="31" t="str">
        <f t="shared" si="269"/>
        <v/>
      </c>
    </row>
    <row r="3419" spans="1:13" x14ac:dyDescent="0.15">
      <c r="A3419" s="163" t="s">
        <v>210</v>
      </c>
      <c r="B3419" s="163">
        <v>42363.928770416664</v>
      </c>
      <c r="C3419" s="164" t="s">
        <v>2728</v>
      </c>
      <c r="D3419" s="164" t="s">
        <v>13</v>
      </c>
      <c r="E3419" s="165">
        <v>40</v>
      </c>
      <c r="F3419" s="166">
        <v>0</v>
      </c>
      <c r="G3419" s="227">
        <f>IF($B$2,IF(ROWS(B$6:$B3419) = 1,$B3419-Start_Date,$B3419-$B3418),"")</f>
        <v>3.2796296291053295E-2</v>
      </c>
      <c r="H3419" s="29">
        <f>IF($B$2,IF(ROWS(B$6:$B3419) = 1,IF(COUNTIFS(R_Schedule_Times,"&lt;"&amp;B3419),INDEX(R_Schedule_Amounts,MATCH(B3419,R_Schedule_Times,1)),Starting_Cash),IF(COUNTIFS(R_Schedule_Times,"&gt;"&amp;B3418,R_Schedule_Times,"&lt;"&amp;B3419),INDEX(R_Schedule_Amounts,MATCH(B3419,R_Schedule_Times,1)),K3418)),"")</f>
        <v>9840</v>
      </c>
      <c r="I3419" s="30">
        <f t="shared" si="265"/>
        <v>40</v>
      </c>
      <c r="J3419" s="31">
        <f t="shared" si="266"/>
        <v>0</v>
      </c>
      <c r="K3419" s="29">
        <f t="shared" si="267"/>
        <v>9800</v>
      </c>
      <c r="L3419" s="31" t="str">
        <f t="shared" si="268"/>
        <v/>
      </c>
      <c r="M3419" s="31" t="str">
        <f t="shared" si="269"/>
        <v/>
      </c>
    </row>
    <row r="3420" spans="1:13" x14ac:dyDescent="0.15">
      <c r="A3420" s="163" t="s">
        <v>210</v>
      </c>
      <c r="B3420" s="163">
        <v>42364.002641967592</v>
      </c>
      <c r="C3420" s="164" t="s">
        <v>545</v>
      </c>
      <c r="D3420" s="164" t="s">
        <v>13</v>
      </c>
      <c r="E3420" s="165">
        <v>80</v>
      </c>
      <c r="F3420" s="166">
        <v>0</v>
      </c>
      <c r="G3420" s="227">
        <f>IF($B$2,IF(ROWS(B$6:$B3420) = 1,$B3420-Start_Date,$B3420-$B3419),"")</f>
        <v>7.387155092874309E-2</v>
      </c>
      <c r="H3420" s="29">
        <f>IF($B$2,IF(ROWS(B$6:$B3420) = 1,IF(COUNTIFS(R_Schedule_Times,"&lt;"&amp;B3420),INDEX(R_Schedule_Amounts,MATCH(B3420,R_Schedule_Times,1)),Starting_Cash),IF(COUNTIFS(R_Schedule_Times,"&gt;"&amp;B3419,R_Schedule_Times,"&lt;"&amp;B3420),INDEX(R_Schedule_Amounts,MATCH(B3420,R_Schedule_Times,1)),K3419)),"")</f>
        <v>9800</v>
      </c>
      <c r="I3420" s="30">
        <f t="shared" si="265"/>
        <v>80</v>
      </c>
      <c r="J3420" s="31">
        <f t="shared" si="266"/>
        <v>0</v>
      </c>
      <c r="K3420" s="29">
        <f t="shared" si="267"/>
        <v>9720</v>
      </c>
      <c r="L3420" s="31" t="str">
        <f t="shared" si="268"/>
        <v/>
      </c>
      <c r="M3420" s="31" t="str">
        <f t="shared" si="269"/>
        <v/>
      </c>
    </row>
    <row r="3421" spans="1:13" x14ac:dyDescent="0.15">
      <c r="A3421" s="163" t="s">
        <v>210</v>
      </c>
      <c r="B3421" s="163">
        <v>42364.031231655092</v>
      </c>
      <c r="C3421" s="164" t="s">
        <v>14</v>
      </c>
      <c r="D3421" s="164" t="s">
        <v>15</v>
      </c>
      <c r="E3421" s="165">
        <v>100</v>
      </c>
      <c r="F3421" s="166">
        <v>5.5</v>
      </c>
      <c r="G3421" s="227">
        <f>IF($B$2,IF(ROWS(B$6:$B3421) = 1,$B3421-Start_Date,$B3421-$B3420),"")</f>
        <v>2.8589687499334104E-2</v>
      </c>
      <c r="H3421" s="29">
        <f>IF($B$2,IF(ROWS(B$6:$B3421) = 1,IF(COUNTIFS(R_Schedule_Times,"&lt;"&amp;B3421),INDEX(R_Schedule_Amounts,MATCH(B3421,R_Schedule_Times,1)),Starting_Cash),IF(COUNTIFS(R_Schedule_Times,"&gt;"&amp;B3420,R_Schedule_Times,"&lt;"&amp;B3421),INDEX(R_Schedule_Amounts,MATCH(B3421,R_Schedule_Times,1)),K3420)),"")</f>
        <v>9720</v>
      </c>
      <c r="I3421" s="30">
        <f t="shared" si="265"/>
        <v>100</v>
      </c>
      <c r="J3421" s="31">
        <f t="shared" si="266"/>
        <v>5.5</v>
      </c>
      <c r="K3421" s="29">
        <f t="shared" si="267"/>
        <v>9620</v>
      </c>
      <c r="L3421" s="31" t="str">
        <f t="shared" si="268"/>
        <v/>
      </c>
      <c r="M3421" s="31" t="str">
        <f t="shared" si="269"/>
        <v/>
      </c>
    </row>
    <row r="3422" spans="1:13" x14ac:dyDescent="0.15">
      <c r="A3422" s="163" t="s">
        <v>210</v>
      </c>
      <c r="B3422" s="163">
        <v>42364.035133912039</v>
      </c>
      <c r="C3422" s="164" t="s">
        <v>14</v>
      </c>
      <c r="D3422" s="164" t="s">
        <v>13</v>
      </c>
      <c r="E3422" s="165">
        <v>200</v>
      </c>
      <c r="F3422" s="166">
        <v>3.5</v>
      </c>
      <c r="G3422" s="227">
        <f>IF($B$2,IF(ROWS(B$6:$B3422) = 1,$B3422-Start_Date,$B3422-$B3421),"")</f>
        <v>3.9022569471853785E-3</v>
      </c>
      <c r="H3422" s="29">
        <f>IF($B$2,IF(ROWS(B$6:$B3422) = 1,IF(COUNTIFS(R_Schedule_Times,"&lt;"&amp;B3422),INDEX(R_Schedule_Amounts,MATCH(B3422,R_Schedule_Times,1)),Starting_Cash),IF(COUNTIFS(R_Schedule_Times,"&gt;"&amp;B3421,R_Schedule_Times,"&lt;"&amp;B3422),INDEX(R_Schedule_Amounts,MATCH(B3422,R_Schedule_Times,1)),K3421)),"")</f>
        <v>9620</v>
      </c>
      <c r="I3422" s="30">
        <f t="shared" si="265"/>
        <v>200</v>
      </c>
      <c r="J3422" s="31">
        <f t="shared" si="266"/>
        <v>3.5</v>
      </c>
      <c r="K3422" s="29">
        <f t="shared" si="267"/>
        <v>9420</v>
      </c>
      <c r="L3422" s="31" t="str">
        <f t="shared" si="268"/>
        <v/>
      </c>
      <c r="M3422" s="31" t="str">
        <f t="shared" si="269"/>
        <v/>
      </c>
    </row>
    <row r="3423" spans="1:13" x14ac:dyDescent="0.15">
      <c r="A3423" s="163" t="s">
        <v>210</v>
      </c>
      <c r="B3423" s="163">
        <v>42364.045261979169</v>
      </c>
      <c r="C3423" s="164" t="s">
        <v>993</v>
      </c>
      <c r="D3423" s="164" t="s">
        <v>13</v>
      </c>
      <c r="E3423" s="165">
        <v>40</v>
      </c>
      <c r="F3423" s="166">
        <v>0</v>
      </c>
      <c r="G3423" s="227">
        <f>IF($B$2,IF(ROWS(B$6:$B3423) = 1,$B3423-Start_Date,$B3423-$B3422),"")</f>
        <v>1.0128067129699048E-2</v>
      </c>
      <c r="H3423" s="29">
        <f>IF($B$2,IF(ROWS(B$6:$B3423) = 1,IF(COUNTIFS(R_Schedule_Times,"&lt;"&amp;B3423),INDEX(R_Schedule_Amounts,MATCH(B3423,R_Schedule_Times,1)),Starting_Cash),IF(COUNTIFS(R_Schedule_Times,"&gt;"&amp;B3422,R_Schedule_Times,"&lt;"&amp;B3423),INDEX(R_Schedule_Amounts,MATCH(B3423,R_Schedule_Times,1)),K3422)),"")</f>
        <v>9420</v>
      </c>
      <c r="I3423" s="30">
        <f t="shared" si="265"/>
        <v>40</v>
      </c>
      <c r="J3423" s="31">
        <f t="shared" si="266"/>
        <v>0</v>
      </c>
      <c r="K3423" s="29">
        <f t="shared" si="267"/>
        <v>9380</v>
      </c>
      <c r="L3423" s="31" t="str">
        <f t="shared" si="268"/>
        <v/>
      </c>
      <c r="M3423" s="31" t="str">
        <f t="shared" si="269"/>
        <v/>
      </c>
    </row>
    <row r="3424" spans="1:13" x14ac:dyDescent="0.15">
      <c r="A3424" s="163" t="s">
        <v>210</v>
      </c>
      <c r="B3424" s="163">
        <v>42364.063680451392</v>
      </c>
      <c r="C3424" s="164" t="s">
        <v>14</v>
      </c>
      <c r="D3424" s="164" t="s">
        <v>13</v>
      </c>
      <c r="E3424" s="165">
        <v>100</v>
      </c>
      <c r="F3424" s="166">
        <v>3.5</v>
      </c>
      <c r="G3424" s="227">
        <f>IF($B$2,IF(ROWS(B$6:$B3424) = 1,$B3424-Start_Date,$B3424-$B3423),"")</f>
        <v>1.8418472223856952E-2</v>
      </c>
      <c r="H3424" s="29">
        <f>IF($B$2,IF(ROWS(B$6:$B3424) = 1,IF(COUNTIFS(R_Schedule_Times,"&lt;"&amp;B3424),INDEX(R_Schedule_Amounts,MATCH(B3424,R_Schedule_Times,1)),Starting_Cash),IF(COUNTIFS(R_Schedule_Times,"&gt;"&amp;B3423,R_Schedule_Times,"&lt;"&amp;B3424),INDEX(R_Schedule_Amounts,MATCH(B3424,R_Schedule_Times,1)),K3423)),"")</f>
        <v>9380</v>
      </c>
      <c r="I3424" s="30">
        <f t="shared" si="265"/>
        <v>100</v>
      </c>
      <c r="J3424" s="31">
        <f t="shared" si="266"/>
        <v>3.5</v>
      </c>
      <c r="K3424" s="29">
        <f t="shared" si="267"/>
        <v>9280</v>
      </c>
      <c r="L3424" s="31" t="str">
        <f t="shared" si="268"/>
        <v/>
      </c>
      <c r="M3424" s="31" t="str">
        <f t="shared" si="269"/>
        <v/>
      </c>
    </row>
    <row r="3425" spans="1:13" x14ac:dyDescent="0.15">
      <c r="A3425" s="163" t="s">
        <v>210</v>
      </c>
      <c r="B3425" s="163">
        <v>42364.216331550924</v>
      </c>
      <c r="C3425" s="164" t="s">
        <v>2729</v>
      </c>
      <c r="D3425" s="164" t="s">
        <v>13</v>
      </c>
      <c r="E3425" s="165">
        <v>40</v>
      </c>
      <c r="F3425" s="166">
        <v>0</v>
      </c>
      <c r="G3425" s="227">
        <f>IF($B$2,IF(ROWS(B$6:$B3425) = 1,$B3425-Start_Date,$B3425-$B3424),"")</f>
        <v>0.1526510995317949</v>
      </c>
      <c r="H3425" s="29">
        <f>IF($B$2,IF(ROWS(B$6:$B3425) = 1,IF(COUNTIFS(R_Schedule_Times,"&lt;"&amp;B3425),INDEX(R_Schedule_Amounts,MATCH(B3425,R_Schedule_Times,1)),Starting_Cash),IF(COUNTIFS(R_Schedule_Times,"&gt;"&amp;B3424,R_Schedule_Times,"&lt;"&amp;B3425),INDEX(R_Schedule_Amounts,MATCH(B3425,R_Schedule_Times,1)),K3424)),"")</f>
        <v>9280</v>
      </c>
      <c r="I3425" s="30">
        <f t="shared" si="265"/>
        <v>40</v>
      </c>
      <c r="J3425" s="31">
        <f t="shared" si="266"/>
        <v>0</v>
      </c>
      <c r="K3425" s="29">
        <f t="shared" si="267"/>
        <v>9240</v>
      </c>
      <c r="L3425" s="31" t="str">
        <f t="shared" si="268"/>
        <v/>
      </c>
      <c r="M3425" s="31" t="str">
        <f t="shared" si="269"/>
        <v/>
      </c>
    </row>
    <row r="3426" spans="1:13" x14ac:dyDescent="0.15">
      <c r="A3426" s="163" t="s">
        <v>210</v>
      </c>
      <c r="B3426" s="163">
        <v>42364.298365763891</v>
      </c>
      <c r="C3426" s="164" t="s">
        <v>14</v>
      </c>
      <c r="D3426" s="164" t="s">
        <v>13</v>
      </c>
      <c r="E3426" s="165">
        <v>100</v>
      </c>
      <c r="F3426" s="166">
        <v>3.5</v>
      </c>
      <c r="G3426" s="227">
        <f>IF($B$2,IF(ROWS(B$6:$B3426) = 1,$B3426-Start_Date,$B3426-$B3425),"")</f>
        <v>8.2034212966391351E-2</v>
      </c>
      <c r="H3426" s="29">
        <f>IF($B$2,IF(ROWS(B$6:$B3426) = 1,IF(COUNTIFS(R_Schedule_Times,"&lt;"&amp;B3426),INDEX(R_Schedule_Amounts,MATCH(B3426,R_Schedule_Times,1)),Starting_Cash),IF(COUNTIFS(R_Schedule_Times,"&gt;"&amp;B3425,R_Schedule_Times,"&lt;"&amp;B3426),INDEX(R_Schedule_Amounts,MATCH(B3426,R_Schedule_Times,1)),K3425)),"")</f>
        <v>9240</v>
      </c>
      <c r="I3426" s="30">
        <f t="shared" si="265"/>
        <v>100</v>
      </c>
      <c r="J3426" s="31">
        <f t="shared" si="266"/>
        <v>3.5</v>
      </c>
      <c r="K3426" s="29">
        <f t="shared" si="267"/>
        <v>9140</v>
      </c>
      <c r="L3426" s="31" t="str">
        <f t="shared" si="268"/>
        <v/>
      </c>
      <c r="M3426" s="31" t="str">
        <f t="shared" si="269"/>
        <v/>
      </c>
    </row>
    <row r="3427" spans="1:13" x14ac:dyDescent="0.15">
      <c r="A3427" s="163" t="s">
        <v>210</v>
      </c>
      <c r="B3427" s="163">
        <v>42364.301550046293</v>
      </c>
      <c r="C3427" s="164" t="s">
        <v>1360</v>
      </c>
      <c r="D3427" s="164" t="s">
        <v>13</v>
      </c>
      <c r="E3427" s="165">
        <v>80</v>
      </c>
      <c r="F3427" s="166">
        <v>0</v>
      </c>
      <c r="G3427" s="227">
        <f>IF($B$2,IF(ROWS(B$6:$B3427) = 1,$B3427-Start_Date,$B3427-$B3426),"")</f>
        <v>3.1842824027989991E-3</v>
      </c>
      <c r="H3427" s="29">
        <f>IF($B$2,IF(ROWS(B$6:$B3427) = 1,IF(COUNTIFS(R_Schedule_Times,"&lt;"&amp;B3427),INDEX(R_Schedule_Amounts,MATCH(B3427,R_Schedule_Times,1)),Starting_Cash),IF(COUNTIFS(R_Schedule_Times,"&gt;"&amp;B3426,R_Schedule_Times,"&lt;"&amp;B3427),INDEX(R_Schedule_Amounts,MATCH(B3427,R_Schedule_Times,1)),K3426)),"")</f>
        <v>9140</v>
      </c>
      <c r="I3427" s="30">
        <f t="shared" si="265"/>
        <v>80</v>
      </c>
      <c r="J3427" s="31">
        <f t="shared" si="266"/>
        <v>0</v>
      </c>
      <c r="K3427" s="29">
        <f t="shared" si="267"/>
        <v>9060</v>
      </c>
      <c r="L3427" s="31" t="str">
        <f t="shared" si="268"/>
        <v/>
      </c>
      <c r="M3427" s="31" t="str">
        <f t="shared" si="269"/>
        <v/>
      </c>
    </row>
    <row r="3428" spans="1:13" x14ac:dyDescent="0.15">
      <c r="A3428" s="163" t="s">
        <v>210</v>
      </c>
      <c r="B3428" s="163">
        <v>42364.306631643522</v>
      </c>
      <c r="C3428" s="164" t="s">
        <v>580</v>
      </c>
      <c r="D3428" s="164" t="s">
        <v>13</v>
      </c>
      <c r="E3428" s="165">
        <v>120</v>
      </c>
      <c r="F3428" s="166">
        <v>0</v>
      </c>
      <c r="G3428" s="227">
        <f>IF($B$2,IF(ROWS(B$6:$B3428) = 1,$B3428-Start_Date,$B3428-$B3427),"")</f>
        <v>5.081597228127066E-3</v>
      </c>
      <c r="H3428" s="29">
        <f>IF($B$2,IF(ROWS(B$6:$B3428) = 1,IF(COUNTIFS(R_Schedule_Times,"&lt;"&amp;B3428),INDEX(R_Schedule_Amounts,MATCH(B3428,R_Schedule_Times,1)),Starting_Cash),IF(COUNTIFS(R_Schedule_Times,"&gt;"&amp;B3427,R_Schedule_Times,"&lt;"&amp;B3428),INDEX(R_Schedule_Amounts,MATCH(B3428,R_Schedule_Times,1)),K3427)),"")</f>
        <v>9060</v>
      </c>
      <c r="I3428" s="30">
        <f t="shared" si="265"/>
        <v>120</v>
      </c>
      <c r="J3428" s="31">
        <f t="shared" si="266"/>
        <v>0</v>
      </c>
      <c r="K3428" s="29">
        <f t="shared" si="267"/>
        <v>8940</v>
      </c>
      <c r="L3428" s="31" t="str">
        <f t="shared" si="268"/>
        <v/>
      </c>
      <c r="M3428" s="31" t="str">
        <f t="shared" si="269"/>
        <v/>
      </c>
    </row>
    <row r="3429" spans="1:13" x14ac:dyDescent="0.15">
      <c r="A3429" s="163" t="s">
        <v>210</v>
      </c>
      <c r="B3429" s="163">
        <v>42364.335019583334</v>
      </c>
      <c r="C3429" s="164" t="s">
        <v>2730</v>
      </c>
      <c r="D3429" s="164" t="s">
        <v>13</v>
      </c>
      <c r="E3429" s="165">
        <v>60</v>
      </c>
      <c r="F3429" s="166">
        <v>0</v>
      </c>
      <c r="G3429" s="227">
        <f>IF($B$2,IF(ROWS(B$6:$B3429) = 1,$B3429-Start_Date,$B3429-$B3428),"")</f>
        <v>2.8387939812091645E-2</v>
      </c>
      <c r="H3429" s="29">
        <f>IF($B$2,IF(ROWS(B$6:$B3429) = 1,IF(COUNTIFS(R_Schedule_Times,"&lt;"&amp;B3429),INDEX(R_Schedule_Amounts,MATCH(B3429,R_Schedule_Times,1)),Starting_Cash),IF(COUNTIFS(R_Schedule_Times,"&gt;"&amp;B3428,R_Schedule_Times,"&lt;"&amp;B3429),INDEX(R_Schedule_Amounts,MATCH(B3429,R_Schedule_Times,1)),K3428)),"")</f>
        <v>8940</v>
      </c>
      <c r="I3429" s="30">
        <f t="shared" si="265"/>
        <v>60</v>
      </c>
      <c r="J3429" s="31">
        <f t="shared" si="266"/>
        <v>0</v>
      </c>
      <c r="K3429" s="29">
        <f t="shared" si="267"/>
        <v>8880</v>
      </c>
      <c r="L3429" s="31" t="str">
        <f t="shared" si="268"/>
        <v/>
      </c>
      <c r="M3429" s="31" t="str">
        <f t="shared" si="269"/>
        <v/>
      </c>
    </row>
    <row r="3430" spans="1:13" x14ac:dyDescent="0.15">
      <c r="A3430" s="163" t="s">
        <v>210</v>
      </c>
      <c r="B3430" s="163">
        <v>42364.337300567131</v>
      </c>
      <c r="C3430" s="164" t="s">
        <v>2606</v>
      </c>
      <c r="D3430" s="164" t="s">
        <v>13</v>
      </c>
      <c r="E3430" s="165">
        <v>40</v>
      </c>
      <c r="F3430" s="166">
        <v>0</v>
      </c>
      <c r="G3430" s="227">
        <f>IF($B$2,IF(ROWS(B$6:$B3430) = 1,$B3430-Start_Date,$B3430-$B3429),"")</f>
        <v>2.2809837973909453E-3</v>
      </c>
      <c r="H3430" s="29">
        <f>IF($B$2,IF(ROWS(B$6:$B3430) = 1,IF(COUNTIFS(R_Schedule_Times,"&lt;"&amp;B3430),INDEX(R_Schedule_Amounts,MATCH(B3430,R_Schedule_Times,1)),Starting_Cash),IF(COUNTIFS(R_Schedule_Times,"&gt;"&amp;B3429,R_Schedule_Times,"&lt;"&amp;B3430),INDEX(R_Schedule_Amounts,MATCH(B3430,R_Schedule_Times,1)),K3429)),"")</f>
        <v>8880</v>
      </c>
      <c r="I3430" s="30">
        <f t="shared" si="265"/>
        <v>40</v>
      </c>
      <c r="J3430" s="31">
        <f t="shared" si="266"/>
        <v>0</v>
      </c>
      <c r="K3430" s="29">
        <f t="shared" si="267"/>
        <v>8840</v>
      </c>
      <c r="L3430" s="31" t="str">
        <f t="shared" si="268"/>
        <v/>
      </c>
      <c r="M3430" s="31" t="str">
        <f t="shared" si="269"/>
        <v/>
      </c>
    </row>
    <row r="3431" spans="1:13" x14ac:dyDescent="0.15">
      <c r="A3431" s="163" t="s">
        <v>210</v>
      </c>
      <c r="B3431" s="163">
        <v>42364.373177696762</v>
      </c>
      <c r="C3431" s="164" t="s">
        <v>2731</v>
      </c>
      <c r="D3431" s="164" t="s">
        <v>13</v>
      </c>
      <c r="E3431" s="165">
        <v>100</v>
      </c>
      <c r="F3431" s="166">
        <v>0</v>
      </c>
      <c r="G3431" s="227">
        <f>IF($B$2,IF(ROWS(B$6:$B3431) = 1,$B3431-Start_Date,$B3431-$B3430),"")</f>
        <v>3.587712963053491E-2</v>
      </c>
      <c r="H3431" s="29">
        <f>IF($B$2,IF(ROWS(B$6:$B3431) = 1,IF(COUNTIFS(R_Schedule_Times,"&lt;"&amp;B3431),INDEX(R_Schedule_Amounts,MATCH(B3431,R_Schedule_Times,1)),Starting_Cash),IF(COUNTIFS(R_Schedule_Times,"&gt;"&amp;B3430,R_Schedule_Times,"&lt;"&amp;B3431),INDEX(R_Schedule_Amounts,MATCH(B3431,R_Schedule_Times,1)),K3430)),"")</f>
        <v>8840</v>
      </c>
      <c r="I3431" s="30">
        <f t="shared" si="265"/>
        <v>100</v>
      </c>
      <c r="J3431" s="31">
        <f t="shared" si="266"/>
        <v>0</v>
      </c>
      <c r="K3431" s="29">
        <f t="shared" si="267"/>
        <v>8740</v>
      </c>
      <c r="L3431" s="31" t="str">
        <f t="shared" si="268"/>
        <v/>
      </c>
      <c r="M3431" s="31" t="str">
        <f t="shared" si="269"/>
        <v/>
      </c>
    </row>
    <row r="3432" spans="1:13" x14ac:dyDescent="0.15">
      <c r="A3432" s="163" t="s">
        <v>210</v>
      </c>
      <c r="B3432" s="163">
        <v>42364.386302812498</v>
      </c>
      <c r="C3432" s="164" t="s">
        <v>2732</v>
      </c>
      <c r="D3432" s="164" t="s">
        <v>13</v>
      </c>
      <c r="E3432" s="165">
        <v>60</v>
      </c>
      <c r="F3432" s="166">
        <v>0</v>
      </c>
      <c r="G3432" s="227">
        <f>IF($B$2,IF(ROWS(B$6:$B3432) = 1,$B3432-Start_Date,$B3432-$B3431),"")</f>
        <v>1.3125115736329462E-2</v>
      </c>
      <c r="H3432" s="29">
        <f>IF($B$2,IF(ROWS(B$6:$B3432) = 1,IF(COUNTIFS(R_Schedule_Times,"&lt;"&amp;B3432),INDEX(R_Schedule_Amounts,MATCH(B3432,R_Schedule_Times,1)),Starting_Cash),IF(COUNTIFS(R_Schedule_Times,"&gt;"&amp;B3431,R_Schedule_Times,"&lt;"&amp;B3432),INDEX(R_Schedule_Amounts,MATCH(B3432,R_Schedule_Times,1)),K3431)),"")</f>
        <v>8740</v>
      </c>
      <c r="I3432" s="30">
        <f t="shared" si="265"/>
        <v>60</v>
      </c>
      <c r="J3432" s="31">
        <f t="shared" si="266"/>
        <v>0</v>
      </c>
      <c r="K3432" s="29">
        <f t="shared" si="267"/>
        <v>8680</v>
      </c>
      <c r="L3432" s="31" t="str">
        <f t="shared" si="268"/>
        <v/>
      </c>
      <c r="M3432" s="31" t="str">
        <f t="shared" si="269"/>
        <v/>
      </c>
    </row>
    <row r="3433" spans="1:13" x14ac:dyDescent="0.15">
      <c r="A3433" s="163" t="s">
        <v>210</v>
      </c>
      <c r="B3433" s="163">
        <v>42364.390846875001</v>
      </c>
      <c r="C3433" s="164" t="s">
        <v>14</v>
      </c>
      <c r="D3433" s="164" t="s">
        <v>15</v>
      </c>
      <c r="E3433" s="165">
        <v>60</v>
      </c>
      <c r="F3433" s="166">
        <v>4.3</v>
      </c>
      <c r="G3433" s="227">
        <f>IF($B$2,IF(ROWS(B$6:$B3433) = 1,$B3433-Start_Date,$B3433-$B3432),"")</f>
        <v>4.5440625035553239E-3</v>
      </c>
      <c r="H3433" s="29">
        <f>IF($B$2,IF(ROWS(B$6:$B3433) = 1,IF(COUNTIFS(R_Schedule_Times,"&lt;"&amp;B3433),INDEX(R_Schedule_Amounts,MATCH(B3433,R_Schedule_Times,1)),Starting_Cash),IF(COUNTIFS(R_Schedule_Times,"&gt;"&amp;B3432,R_Schedule_Times,"&lt;"&amp;B3433),INDEX(R_Schedule_Amounts,MATCH(B3433,R_Schedule_Times,1)),K3432)),"")</f>
        <v>8680</v>
      </c>
      <c r="I3433" s="30">
        <f t="shared" si="265"/>
        <v>60</v>
      </c>
      <c r="J3433" s="31">
        <f t="shared" si="266"/>
        <v>4.3</v>
      </c>
      <c r="K3433" s="29">
        <f t="shared" si="267"/>
        <v>8620</v>
      </c>
      <c r="L3433" s="31" t="str">
        <f t="shared" si="268"/>
        <v/>
      </c>
      <c r="M3433" s="31" t="str">
        <f t="shared" si="269"/>
        <v/>
      </c>
    </row>
    <row r="3434" spans="1:13" x14ac:dyDescent="0.15">
      <c r="A3434" s="163" t="s">
        <v>210</v>
      </c>
      <c r="B3434" s="163">
        <v>42364.436520844909</v>
      </c>
      <c r="C3434" s="164" t="s">
        <v>14</v>
      </c>
      <c r="D3434" s="164" t="s">
        <v>15</v>
      </c>
      <c r="E3434" s="165">
        <v>20</v>
      </c>
      <c r="F3434" s="166">
        <v>3.1</v>
      </c>
      <c r="G3434" s="227">
        <f>IF($B$2,IF(ROWS(B$6:$B3434) = 1,$B3434-Start_Date,$B3434-$B3433),"")</f>
        <v>4.5673969907511491E-2</v>
      </c>
      <c r="H3434" s="29">
        <f>IF($B$2,IF(ROWS(B$6:$B3434) = 1,IF(COUNTIFS(R_Schedule_Times,"&lt;"&amp;B3434),INDEX(R_Schedule_Amounts,MATCH(B3434,R_Schedule_Times,1)),Starting_Cash),IF(COUNTIFS(R_Schedule_Times,"&gt;"&amp;B3433,R_Schedule_Times,"&lt;"&amp;B3434),INDEX(R_Schedule_Amounts,MATCH(B3434,R_Schedule_Times,1)),K3433)),"")</f>
        <v>8620</v>
      </c>
      <c r="I3434" s="30">
        <f t="shared" si="265"/>
        <v>20</v>
      </c>
      <c r="J3434" s="31">
        <f t="shared" si="266"/>
        <v>3.1</v>
      </c>
      <c r="K3434" s="29">
        <f t="shared" si="267"/>
        <v>8600</v>
      </c>
      <c r="L3434" s="31" t="str">
        <f t="shared" si="268"/>
        <v/>
      </c>
      <c r="M3434" s="31" t="str">
        <f t="shared" si="269"/>
        <v/>
      </c>
    </row>
    <row r="3435" spans="1:13" x14ac:dyDescent="0.15">
      <c r="A3435" s="163" t="s">
        <v>210</v>
      </c>
      <c r="B3435" s="163">
        <v>42364.439836631944</v>
      </c>
      <c r="C3435" s="164" t="s">
        <v>2733</v>
      </c>
      <c r="D3435" s="164" t="s">
        <v>13</v>
      </c>
      <c r="E3435" s="165">
        <v>80</v>
      </c>
      <c r="F3435" s="166">
        <v>0</v>
      </c>
      <c r="G3435" s="227">
        <f>IF($B$2,IF(ROWS(B$6:$B3435) = 1,$B3435-Start_Date,$B3435-$B3434),"")</f>
        <v>3.3157870348077267E-3</v>
      </c>
      <c r="H3435" s="29">
        <f>IF($B$2,IF(ROWS(B$6:$B3435) = 1,IF(COUNTIFS(R_Schedule_Times,"&lt;"&amp;B3435),INDEX(R_Schedule_Amounts,MATCH(B3435,R_Schedule_Times,1)),Starting_Cash),IF(COUNTIFS(R_Schedule_Times,"&gt;"&amp;B3434,R_Schedule_Times,"&lt;"&amp;B3435),INDEX(R_Schedule_Amounts,MATCH(B3435,R_Schedule_Times,1)),K3434)),"")</f>
        <v>8600</v>
      </c>
      <c r="I3435" s="30">
        <f t="shared" si="265"/>
        <v>80</v>
      </c>
      <c r="J3435" s="31">
        <f t="shared" si="266"/>
        <v>0</v>
      </c>
      <c r="K3435" s="29">
        <f t="shared" si="267"/>
        <v>8520</v>
      </c>
      <c r="L3435" s="31" t="str">
        <f t="shared" si="268"/>
        <v/>
      </c>
      <c r="M3435" s="31" t="str">
        <f t="shared" si="269"/>
        <v/>
      </c>
    </row>
    <row r="3436" spans="1:13" x14ac:dyDescent="0.15">
      <c r="A3436" s="163" t="s">
        <v>210</v>
      </c>
      <c r="B3436" s="163">
        <v>42364.441411446758</v>
      </c>
      <c r="C3436" s="164" t="s">
        <v>2734</v>
      </c>
      <c r="D3436" s="164" t="s">
        <v>13</v>
      </c>
      <c r="E3436" s="165">
        <v>60</v>
      </c>
      <c r="F3436" s="166">
        <v>0</v>
      </c>
      <c r="G3436" s="227">
        <f>IF($B$2,IF(ROWS(B$6:$B3436) = 1,$B3436-Start_Date,$B3436-$B3435),"")</f>
        <v>1.5748148143757135E-3</v>
      </c>
      <c r="H3436" s="29">
        <f>IF($B$2,IF(ROWS(B$6:$B3436) = 1,IF(COUNTIFS(R_Schedule_Times,"&lt;"&amp;B3436),INDEX(R_Schedule_Amounts,MATCH(B3436,R_Schedule_Times,1)),Starting_Cash),IF(COUNTIFS(R_Schedule_Times,"&gt;"&amp;B3435,R_Schedule_Times,"&lt;"&amp;B3436),INDEX(R_Schedule_Amounts,MATCH(B3436,R_Schedule_Times,1)),K3435)),"")</f>
        <v>8520</v>
      </c>
      <c r="I3436" s="30">
        <f t="shared" si="265"/>
        <v>60</v>
      </c>
      <c r="J3436" s="31">
        <f t="shared" si="266"/>
        <v>0</v>
      </c>
      <c r="K3436" s="29">
        <f t="shared" si="267"/>
        <v>8460</v>
      </c>
      <c r="L3436" s="31" t="str">
        <f t="shared" si="268"/>
        <v/>
      </c>
      <c r="M3436" s="31" t="str">
        <f t="shared" si="269"/>
        <v/>
      </c>
    </row>
    <row r="3437" spans="1:13" x14ac:dyDescent="0.15">
      <c r="A3437" s="163" t="s">
        <v>210</v>
      </c>
      <c r="B3437" s="163">
        <v>42364.463881539348</v>
      </c>
      <c r="C3437" s="164" t="s">
        <v>14</v>
      </c>
      <c r="D3437" s="164" t="s">
        <v>13</v>
      </c>
      <c r="E3437" s="165">
        <v>20</v>
      </c>
      <c r="F3437" s="166">
        <v>3.5</v>
      </c>
      <c r="G3437" s="227">
        <f>IF($B$2,IF(ROWS(B$6:$B3437) = 1,$B3437-Start_Date,$B3437-$B3436),"")</f>
        <v>2.2470092590083368E-2</v>
      </c>
      <c r="H3437" s="29">
        <f>IF($B$2,IF(ROWS(B$6:$B3437) = 1,IF(COUNTIFS(R_Schedule_Times,"&lt;"&amp;B3437),INDEX(R_Schedule_Amounts,MATCH(B3437,R_Schedule_Times,1)),Starting_Cash),IF(COUNTIFS(R_Schedule_Times,"&gt;"&amp;B3436,R_Schedule_Times,"&lt;"&amp;B3437),INDEX(R_Schedule_Amounts,MATCH(B3437,R_Schedule_Times,1)),K3436)),"")</f>
        <v>8460</v>
      </c>
      <c r="I3437" s="30">
        <f t="shared" si="265"/>
        <v>20</v>
      </c>
      <c r="J3437" s="31">
        <f t="shared" si="266"/>
        <v>3.5</v>
      </c>
      <c r="K3437" s="29">
        <f t="shared" si="267"/>
        <v>8440</v>
      </c>
      <c r="L3437" s="31" t="str">
        <f t="shared" si="268"/>
        <v/>
      </c>
      <c r="M3437" s="31" t="str">
        <f t="shared" si="269"/>
        <v/>
      </c>
    </row>
    <row r="3438" spans="1:13" x14ac:dyDescent="0.15">
      <c r="A3438" s="163" t="s">
        <v>210</v>
      </c>
      <c r="B3438" s="163">
        <v>42364.465401504633</v>
      </c>
      <c r="C3438" s="164" t="s">
        <v>1983</v>
      </c>
      <c r="D3438" s="164" t="s">
        <v>13</v>
      </c>
      <c r="E3438" s="165">
        <v>100</v>
      </c>
      <c r="F3438" s="166">
        <v>0</v>
      </c>
      <c r="G3438" s="227">
        <f>IF($B$2,IF(ROWS(B$6:$B3438) = 1,$B3438-Start_Date,$B3438-$B3437),"")</f>
        <v>1.5199652843875811E-3</v>
      </c>
      <c r="H3438" s="29">
        <f>IF($B$2,IF(ROWS(B$6:$B3438) = 1,IF(COUNTIFS(R_Schedule_Times,"&lt;"&amp;B3438),INDEX(R_Schedule_Amounts,MATCH(B3438,R_Schedule_Times,1)),Starting_Cash),IF(COUNTIFS(R_Schedule_Times,"&gt;"&amp;B3437,R_Schedule_Times,"&lt;"&amp;B3438),INDEX(R_Schedule_Amounts,MATCH(B3438,R_Schedule_Times,1)),K3437)),"")</f>
        <v>8440</v>
      </c>
      <c r="I3438" s="30">
        <f t="shared" si="265"/>
        <v>100</v>
      </c>
      <c r="J3438" s="31">
        <f t="shared" si="266"/>
        <v>0</v>
      </c>
      <c r="K3438" s="29">
        <f t="shared" si="267"/>
        <v>8340</v>
      </c>
      <c r="L3438" s="31" t="str">
        <f t="shared" si="268"/>
        <v/>
      </c>
      <c r="M3438" s="31" t="str">
        <f t="shared" si="269"/>
        <v/>
      </c>
    </row>
    <row r="3439" spans="1:13" x14ac:dyDescent="0.15">
      <c r="A3439" s="163" t="s">
        <v>210</v>
      </c>
      <c r="B3439" s="163">
        <v>42364.468590879631</v>
      </c>
      <c r="C3439" s="164" t="s">
        <v>549</v>
      </c>
      <c r="D3439" s="164" t="s">
        <v>13</v>
      </c>
      <c r="E3439" s="165">
        <v>20</v>
      </c>
      <c r="F3439" s="166">
        <v>0</v>
      </c>
      <c r="G3439" s="227">
        <f>IF($B$2,IF(ROWS(B$6:$B3439) = 1,$B3439-Start_Date,$B3439-$B3438),"")</f>
        <v>3.189374998328276E-3</v>
      </c>
      <c r="H3439" s="29">
        <f>IF($B$2,IF(ROWS(B$6:$B3439) = 1,IF(COUNTIFS(R_Schedule_Times,"&lt;"&amp;B3439),INDEX(R_Schedule_Amounts,MATCH(B3439,R_Schedule_Times,1)),Starting_Cash),IF(COUNTIFS(R_Schedule_Times,"&gt;"&amp;B3438,R_Schedule_Times,"&lt;"&amp;B3439),INDEX(R_Schedule_Amounts,MATCH(B3439,R_Schedule_Times,1)),K3438)),"")</f>
        <v>8340</v>
      </c>
      <c r="I3439" s="30">
        <f t="shared" si="265"/>
        <v>20</v>
      </c>
      <c r="J3439" s="31">
        <f t="shared" si="266"/>
        <v>0</v>
      </c>
      <c r="K3439" s="29">
        <f t="shared" si="267"/>
        <v>8320</v>
      </c>
      <c r="L3439" s="31" t="str">
        <f t="shared" si="268"/>
        <v/>
      </c>
      <c r="M3439" s="31" t="str">
        <f t="shared" si="269"/>
        <v/>
      </c>
    </row>
    <row r="3440" spans="1:13" x14ac:dyDescent="0.15">
      <c r="A3440" s="163" t="s">
        <v>210</v>
      </c>
      <c r="B3440" s="163">
        <v>42364.513870289353</v>
      </c>
      <c r="C3440" s="164" t="s">
        <v>550</v>
      </c>
      <c r="D3440" s="164" t="s">
        <v>13</v>
      </c>
      <c r="E3440" s="165">
        <v>100</v>
      </c>
      <c r="F3440" s="166">
        <v>0</v>
      </c>
      <c r="G3440" s="227">
        <f>IF($B$2,IF(ROWS(B$6:$B3440) = 1,$B3440-Start_Date,$B3440-$B3439),"")</f>
        <v>4.5279409721842967E-2</v>
      </c>
      <c r="H3440" s="29">
        <f>IF($B$2,IF(ROWS(B$6:$B3440) = 1,IF(COUNTIFS(R_Schedule_Times,"&lt;"&amp;B3440),INDEX(R_Schedule_Amounts,MATCH(B3440,R_Schedule_Times,1)),Starting_Cash),IF(COUNTIFS(R_Schedule_Times,"&gt;"&amp;B3439,R_Schedule_Times,"&lt;"&amp;B3440),INDEX(R_Schedule_Amounts,MATCH(B3440,R_Schedule_Times,1)),K3439)),"")</f>
        <v>8320</v>
      </c>
      <c r="I3440" s="30">
        <f t="shared" si="265"/>
        <v>100</v>
      </c>
      <c r="J3440" s="31">
        <f t="shared" si="266"/>
        <v>0</v>
      </c>
      <c r="K3440" s="29">
        <f t="shared" si="267"/>
        <v>8220</v>
      </c>
      <c r="L3440" s="31" t="str">
        <f t="shared" si="268"/>
        <v/>
      </c>
      <c r="M3440" s="31" t="str">
        <f t="shared" si="269"/>
        <v/>
      </c>
    </row>
    <row r="3441" spans="1:13" x14ac:dyDescent="0.15">
      <c r="A3441" s="163" t="s">
        <v>210</v>
      </c>
      <c r="B3441" s="163">
        <v>42364.517213067127</v>
      </c>
      <c r="C3441" s="164" t="s">
        <v>2735</v>
      </c>
      <c r="D3441" s="164" t="s">
        <v>13</v>
      </c>
      <c r="E3441" s="165">
        <v>40</v>
      </c>
      <c r="F3441" s="166">
        <v>0</v>
      </c>
      <c r="G3441" s="227">
        <f>IF($B$2,IF(ROWS(B$6:$B3441) = 1,$B3441-Start_Date,$B3441-$B3440),"")</f>
        <v>3.3427777743781917E-3</v>
      </c>
      <c r="H3441" s="29">
        <f>IF($B$2,IF(ROWS(B$6:$B3441) = 1,IF(COUNTIFS(R_Schedule_Times,"&lt;"&amp;B3441),INDEX(R_Schedule_Amounts,MATCH(B3441,R_Schedule_Times,1)),Starting_Cash),IF(COUNTIFS(R_Schedule_Times,"&gt;"&amp;B3440,R_Schedule_Times,"&lt;"&amp;B3441),INDEX(R_Schedule_Amounts,MATCH(B3441,R_Schedule_Times,1)),K3440)),"")</f>
        <v>8220</v>
      </c>
      <c r="I3441" s="30">
        <f t="shared" si="265"/>
        <v>40</v>
      </c>
      <c r="J3441" s="31">
        <f t="shared" si="266"/>
        <v>0</v>
      </c>
      <c r="K3441" s="29">
        <f t="shared" si="267"/>
        <v>8180</v>
      </c>
      <c r="L3441" s="31" t="str">
        <f t="shared" si="268"/>
        <v/>
      </c>
      <c r="M3441" s="31" t="str">
        <f t="shared" si="269"/>
        <v/>
      </c>
    </row>
    <row r="3442" spans="1:13" x14ac:dyDescent="0.15">
      <c r="A3442" s="163" t="s">
        <v>210</v>
      </c>
      <c r="B3442" s="163">
        <v>42364.546149074071</v>
      </c>
      <c r="C3442" s="164" t="s">
        <v>746</v>
      </c>
      <c r="D3442" s="164" t="s">
        <v>13</v>
      </c>
      <c r="E3442" s="165">
        <v>20</v>
      </c>
      <c r="F3442" s="166">
        <v>0</v>
      </c>
      <c r="G3442" s="227">
        <f>IF($B$2,IF(ROWS(B$6:$B3442) = 1,$B3442-Start_Date,$B3442-$B3441),"")</f>
        <v>2.8936006943695247E-2</v>
      </c>
      <c r="H3442" s="29">
        <f>IF($B$2,IF(ROWS(B$6:$B3442) = 1,IF(COUNTIFS(R_Schedule_Times,"&lt;"&amp;B3442),INDEX(R_Schedule_Amounts,MATCH(B3442,R_Schedule_Times,1)),Starting_Cash),IF(COUNTIFS(R_Schedule_Times,"&gt;"&amp;B3441,R_Schedule_Times,"&lt;"&amp;B3442),INDEX(R_Schedule_Amounts,MATCH(B3442,R_Schedule_Times,1)),K3441)),"")</f>
        <v>8180</v>
      </c>
      <c r="I3442" s="30">
        <f t="shared" si="265"/>
        <v>20</v>
      </c>
      <c r="J3442" s="31">
        <f t="shared" si="266"/>
        <v>0</v>
      </c>
      <c r="K3442" s="29">
        <f t="shared" si="267"/>
        <v>8160</v>
      </c>
      <c r="L3442" s="31" t="str">
        <f t="shared" si="268"/>
        <v/>
      </c>
      <c r="M3442" s="31" t="str">
        <f t="shared" si="269"/>
        <v/>
      </c>
    </row>
    <row r="3443" spans="1:13" x14ac:dyDescent="0.15">
      <c r="A3443" s="163" t="s">
        <v>210</v>
      </c>
      <c r="B3443" s="163">
        <v>42364.555038506944</v>
      </c>
      <c r="C3443" s="164" t="s">
        <v>100</v>
      </c>
      <c r="D3443" s="164" t="s">
        <v>13</v>
      </c>
      <c r="E3443" s="165">
        <v>100</v>
      </c>
      <c r="F3443" s="166">
        <v>0</v>
      </c>
      <c r="G3443" s="227">
        <f>IF($B$2,IF(ROWS(B$6:$B3443) = 1,$B3443-Start_Date,$B3443-$B3442),"")</f>
        <v>8.8894328728201799E-3</v>
      </c>
      <c r="H3443" s="29">
        <f>IF($B$2,IF(ROWS(B$6:$B3443) = 1,IF(COUNTIFS(R_Schedule_Times,"&lt;"&amp;B3443),INDEX(R_Schedule_Amounts,MATCH(B3443,R_Schedule_Times,1)),Starting_Cash),IF(COUNTIFS(R_Schedule_Times,"&gt;"&amp;B3442,R_Schedule_Times,"&lt;"&amp;B3443),INDEX(R_Schedule_Amounts,MATCH(B3443,R_Schedule_Times,1)),K3442)),"")</f>
        <v>8160</v>
      </c>
      <c r="I3443" s="30">
        <f t="shared" si="265"/>
        <v>100</v>
      </c>
      <c r="J3443" s="31">
        <f t="shared" si="266"/>
        <v>0</v>
      </c>
      <c r="K3443" s="29">
        <f t="shared" si="267"/>
        <v>8060</v>
      </c>
      <c r="L3443" s="31" t="str">
        <f t="shared" si="268"/>
        <v/>
      </c>
      <c r="M3443" s="31" t="str">
        <f t="shared" si="269"/>
        <v/>
      </c>
    </row>
    <row r="3444" spans="1:13" x14ac:dyDescent="0.15">
      <c r="A3444" s="163" t="s">
        <v>210</v>
      </c>
      <c r="B3444" s="163">
        <v>42364.560935185182</v>
      </c>
      <c r="C3444" s="164" t="s">
        <v>1535</v>
      </c>
      <c r="D3444" s="164" t="s">
        <v>13</v>
      </c>
      <c r="E3444" s="165">
        <v>80</v>
      </c>
      <c r="F3444" s="166">
        <v>0</v>
      </c>
      <c r="G3444" s="227">
        <f>IF($B$2,IF(ROWS(B$6:$B3444) = 1,$B3444-Start_Date,$B3444-$B3443),"")</f>
        <v>5.8966782380593941E-3</v>
      </c>
      <c r="H3444" s="29">
        <f>IF($B$2,IF(ROWS(B$6:$B3444) = 1,IF(COUNTIFS(R_Schedule_Times,"&lt;"&amp;B3444),INDEX(R_Schedule_Amounts,MATCH(B3444,R_Schedule_Times,1)),Starting_Cash),IF(COUNTIFS(R_Schedule_Times,"&gt;"&amp;B3443,R_Schedule_Times,"&lt;"&amp;B3444),INDEX(R_Schedule_Amounts,MATCH(B3444,R_Schedule_Times,1)),K3443)),"")</f>
        <v>8060</v>
      </c>
      <c r="I3444" s="30">
        <f t="shared" si="265"/>
        <v>80</v>
      </c>
      <c r="J3444" s="31">
        <f t="shared" si="266"/>
        <v>0</v>
      </c>
      <c r="K3444" s="29">
        <f t="shared" si="267"/>
        <v>7980</v>
      </c>
      <c r="L3444" s="31" t="str">
        <f t="shared" si="268"/>
        <v/>
      </c>
      <c r="M3444" s="31" t="str">
        <f t="shared" si="269"/>
        <v/>
      </c>
    </row>
    <row r="3445" spans="1:13" x14ac:dyDescent="0.15">
      <c r="A3445" s="163" t="s">
        <v>210</v>
      </c>
      <c r="B3445" s="163">
        <v>42364.562990243059</v>
      </c>
      <c r="C3445" s="164" t="s">
        <v>2736</v>
      </c>
      <c r="D3445" s="164" t="s">
        <v>13</v>
      </c>
      <c r="E3445" s="165">
        <v>20</v>
      </c>
      <c r="F3445" s="166">
        <v>0</v>
      </c>
      <c r="G3445" s="227">
        <f>IF($B$2,IF(ROWS(B$6:$B3445) = 1,$B3445-Start_Date,$B3445-$B3444),"")</f>
        <v>2.0550578774418682E-3</v>
      </c>
      <c r="H3445" s="29">
        <f>IF($B$2,IF(ROWS(B$6:$B3445) = 1,IF(COUNTIFS(R_Schedule_Times,"&lt;"&amp;B3445),INDEX(R_Schedule_Amounts,MATCH(B3445,R_Schedule_Times,1)),Starting_Cash),IF(COUNTIFS(R_Schedule_Times,"&gt;"&amp;B3444,R_Schedule_Times,"&lt;"&amp;B3445),INDEX(R_Schedule_Amounts,MATCH(B3445,R_Schedule_Times,1)),K3444)),"")</f>
        <v>7980</v>
      </c>
      <c r="I3445" s="30">
        <f t="shared" si="265"/>
        <v>20</v>
      </c>
      <c r="J3445" s="31">
        <f t="shared" si="266"/>
        <v>0</v>
      </c>
      <c r="K3445" s="29">
        <f t="shared" si="267"/>
        <v>7960</v>
      </c>
      <c r="L3445" s="31" t="str">
        <f t="shared" si="268"/>
        <v/>
      </c>
      <c r="M3445" s="31" t="str">
        <f t="shared" si="269"/>
        <v/>
      </c>
    </row>
    <row r="3446" spans="1:13" x14ac:dyDescent="0.15">
      <c r="A3446" s="163" t="s">
        <v>210</v>
      </c>
      <c r="B3446" s="163">
        <v>42364.574664050924</v>
      </c>
      <c r="C3446" s="164" t="s">
        <v>2737</v>
      </c>
      <c r="D3446" s="164" t="s">
        <v>13</v>
      </c>
      <c r="E3446" s="165">
        <v>100</v>
      </c>
      <c r="F3446" s="166">
        <v>0</v>
      </c>
      <c r="G3446" s="227">
        <f>IF($B$2,IF(ROWS(B$6:$B3446) = 1,$B3446-Start_Date,$B3446-$B3445),"")</f>
        <v>1.1673807865008712E-2</v>
      </c>
      <c r="H3446" s="29">
        <f>IF($B$2,IF(ROWS(B$6:$B3446) = 1,IF(COUNTIFS(R_Schedule_Times,"&lt;"&amp;B3446),INDEX(R_Schedule_Amounts,MATCH(B3446,R_Schedule_Times,1)),Starting_Cash),IF(COUNTIFS(R_Schedule_Times,"&gt;"&amp;B3445,R_Schedule_Times,"&lt;"&amp;B3446),INDEX(R_Schedule_Amounts,MATCH(B3446,R_Schedule_Times,1)),K3445)),"")</f>
        <v>7960</v>
      </c>
      <c r="I3446" s="30">
        <f t="shared" si="265"/>
        <v>100</v>
      </c>
      <c r="J3446" s="31">
        <f t="shared" si="266"/>
        <v>0</v>
      </c>
      <c r="K3446" s="29">
        <f t="shared" si="267"/>
        <v>7860</v>
      </c>
      <c r="L3446" s="31" t="str">
        <f t="shared" si="268"/>
        <v/>
      </c>
      <c r="M3446" s="31" t="str">
        <f t="shared" si="269"/>
        <v/>
      </c>
    </row>
    <row r="3447" spans="1:13" x14ac:dyDescent="0.15">
      <c r="A3447" s="163" t="s">
        <v>210</v>
      </c>
      <c r="B3447" s="163">
        <v>42364.583944305552</v>
      </c>
      <c r="C3447" s="164" t="s">
        <v>1561</v>
      </c>
      <c r="D3447" s="164" t="s">
        <v>13</v>
      </c>
      <c r="E3447" s="165">
        <v>200</v>
      </c>
      <c r="F3447" s="166">
        <v>0</v>
      </c>
      <c r="G3447" s="227">
        <f>IF($B$2,IF(ROWS(B$6:$B3447) = 1,$B3447-Start_Date,$B3447-$B3446),"")</f>
        <v>9.2802546278107911E-3</v>
      </c>
      <c r="H3447" s="29">
        <f>IF($B$2,IF(ROWS(B$6:$B3447) = 1,IF(COUNTIFS(R_Schedule_Times,"&lt;"&amp;B3447),INDEX(R_Schedule_Amounts,MATCH(B3447,R_Schedule_Times,1)),Starting_Cash),IF(COUNTIFS(R_Schedule_Times,"&gt;"&amp;B3446,R_Schedule_Times,"&lt;"&amp;B3447),INDEX(R_Schedule_Amounts,MATCH(B3447,R_Schedule_Times,1)),K3446)),"")</f>
        <v>7860</v>
      </c>
      <c r="I3447" s="30">
        <f t="shared" si="265"/>
        <v>200</v>
      </c>
      <c r="J3447" s="31">
        <f t="shared" si="266"/>
        <v>0</v>
      </c>
      <c r="K3447" s="29">
        <f t="shared" si="267"/>
        <v>7660</v>
      </c>
      <c r="L3447" s="31" t="str">
        <f t="shared" si="268"/>
        <v/>
      </c>
      <c r="M3447" s="31" t="str">
        <f t="shared" si="269"/>
        <v/>
      </c>
    </row>
    <row r="3448" spans="1:13" x14ac:dyDescent="0.15">
      <c r="A3448" s="163" t="s">
        <v>210</v>
      </c>
      <c r="B3448" s="163">
        <v>42364.587688321757</v>
      </c>
      <c r="C3448" s="164" t="s">
        <v>2738</v>
      </c>
      <c r="D3448" s="164" t="s">
        <v>13</v>
      </c>
      <c r="E3448" s="165">
        <v>100</v>
      </c>
      <c r="F3448" s="166">
        <v>0</v>
      </c>
      <c r="G3448" s="227">
        <f>IF($B$2,IF(ROWS(B$6:$B3448) = 1,$B3448-Start_Date,$B3448-$B3447),"")</f>
        <v>3.7440162050188519E-3</v>
      </c>
      <c r="H3448" s="29">
        <f>IF($B$2,IF(ROWS(B$6:$B3448) = 1,IF(COUNTIFS(R_Schedule_Times,"&lt;"&amp;B3448),INDEX(R_Schedule_Amounts,MATCH(B3448,R_Schedule_Times,1)),Starting_Cash),IF(COUNTIFS(R_Schedule_Times,"&gt;"&amp;B3447,R_Schedule_Times,"&lt;"&amp;B3448),INDEX(R_Schedule_Amounts,MATCH(B3448,R_Schedule_Times,1)),K3447)),"")</f>
        <v>7660</v>
      </c>
      <c r="I3448" s="30">
        <f t="shared" si="265"/>
        <v>100</v>
      </c>
      <c r="J3448" s="31">
        <f t="shared" si="266"/>
        <v>0</v>
      </c>
      <c r="K3448" s="29">
        <f t="shared" si="267"/>
        <v>7560</v>
      </c>
      <c r="L3448" s="31" t="str">
        <f t="shared" si="268"/>
        <v/>
      </c>
      <c r="M3448" s="31" t="str">
        <f t="shared" si="269"/>
        <v/>
      </c>
    </row>
    <row r="3449" spans="1:13" x14ac:dyDescent="0.15">
      <c r="A3449" s="163" t="s">
        <v>210</v>
      </c>
      <c r="B3449" s="163">
        <v>42364.616122951389</v>
      </c>
      <c r="C3449" s="164" t="s">
        <v>14</v>
      </c>
      <c r="D3449" s="164" t="s">
        <v>13</v>
      </c>
      <c r="E3449" s="165">
        <v>40</v>
      </c>
      <c r="F3449" s="166">
        <v>3.5</v>
      </c>
      <c r="G3449" s="227">
        <f>IF($B$2,IF(ROWS(B$6:$B3449) = 1,$B3449-Start_Date,$B3449-$B3448),"")</f>
        <v>2.843462963210186E-2</v>
      </c>
      <c r="H3449" s="29">
        <f>IF($B$2,IF(ROWS(B$6:$B3449) = 1,IF(COUNTIFS(R_Schedule_Times,"&lt;"&amp;B3449),INDEX(R_Schedule_Amounts,MATCH(B3449,R_Schedule_Times,1)),Starting_Cash),IF(COUNTIFS(R_Schedule_Times,"&gt;"&amp;B3448,R_Schedule_Times,"&lt;"&amp;B3449),INDEX(R_Schedule_Amounts,MATCH(B3449,R_Schedule_Times,1)),K3448)),"")</f>
        <v>7560</v>
      </c>
      <c r="I3449" s="30">
        <f t="shared" si="265"/>
        <v>40</v>
      </c>
      <c r="J3449" s="31">
        <f t="shared" si="266"/>
        <v>3.5</v>
      </c>
      <c r="K3449" s="29">
        <f t="shared" si="267"/>
        <v>7520</v>
      </c>
      <c r="L3449" s="31" t="str">
        <f t="shared" si="268"/>
        <v/>
      </c>
      <c r="M3449" s="31" t="str">
        <f t="shared" si="269"/>
        <v/>
      </c>
    </row>
    <row r="3450" spans="1:13" x14ac:dyDescent="0.15">
      <c r="A3450" s="163" t="s">
        <v>210</v>
      </c>
      <c r="B3450" s="163">
        <v>42364.625439108793</v>
      </c>
      <c r="C3450" s="164" t="s">
        <v>2739</v>
      </c>
      <c r="D3450" s="164" t="s">
        <v>13</v>
      </c>
      <c r="E3450" s="165">
        <v>20</v>
      </c>
      <c r="F3450" s="166">
        <v>0</v>
      </c>
      <c r="G3450" s="227">
        <f>IF($B$2,IF(ROWS(B$6:$B3450) = 1,$B3450-Start_Date,$B3450-$B3449),"")</f>
        <v>9.3161574041005224E-3</v>
      </c>
      <c r="H3450" s="29">
        <f>IF($B$2,IF(ROWS(B$6:$B3450) = 1,IF(COUNTIFS(R_Schedule_Times,"&lt;"&amp;B3450),INDEX(R_Schedule_Amounts,MATCH(B3450,R_Schedule_Times,1)),Starting_Cash),IF(COUNTIFS(R_Schedule_Times,"&gt;"&amp;B3449,R_Schedule_Times,"&lt;"&amp;B3450),INDEX(R_Schedule_Amounts,MATCH(B3450,R_Schedule_Times,1)),K3449)),"")</f>
        <v>7520</v>
      </c>
      <c r="I3450" s="30">
        <f t="shared" si="265"/>
        <v>20</v>
      </c>
      <c r="J3450" s="31">
        <f t="shared" si="266"/>
        <v>0</v>
      </c>
      <c r="K3450" s="29">
        <f t="shared" si="267"/>
        <v>7500</v>
      </c>
      <c r="L3450" s="31" t="str">
        <f t="shared" si="268"/>
        <v/>
      </c>
      <c r="M3450" s="31" t="str">
        <f t="shared" si="269"/>
        <v/>
      </c>
    </row>
    <row r="3451" spans="1:13" x14ac:dyDescent="0.15">
      <c r="A3451" s="163" t="s">
        <v>210</v>
      </c>
      <c r="B3451" s="163">
        <v>42364.634004467589</v>
      </c>
      <c r="C3451" s="164" t="s">
        <v>14</v>
      </c>
      <c r="D3451" s="164" t="s">
        <v>13</v>
      </c>
      <c r="E3451" s="165">
        <v>100</v>
      </c>
      <c r="F3451" s="166">
        <v>3.5</v>
      </c>
      <c r="G3451" s="227">
        <f>IF($B$2,IF(ROWS(B$6:$B3451) = 1,$B3451-Start_Date,$B3451-$B3450),"")</f>
        <v>8.5653587957494892E-3</v>
      </c>
      <c r="H3451" s="29">
        <f>IF($B$2,IF(ROWS(B$6:$B3451) = 1,IF(COUNTIFS(R_Schedule_Times,"&lt;"&amp;B3451),INDEX(R_Schedule_Amounts,MATCH(B3451,R_Schedule_Times,1)),Starting_Cash),IF(COUNTIFS(R_Schedule_Times,"&gt;"&amp;B3450,R_Schedule_Times,"&lt;"&amp;B3451),INDEX(R_Schedule_Amounts,MATCH(B3451,R_Schedule_Times,1)),K3450)),"")</f>
        <v>7500</v>
      </c>
      <c r="I3451" s="30">
        <f t="shared" si="265"/>
        <v>100</v>
      </c>
      <c r="J3451" s="31">
        <f t="shared" si="266"/>
        <v>3.5</v>
      </c>
      <c r="K3451" s="29">
        <f t="shared" si="267"/>
        <v>7400</v>
      </c>
      <c r="L3451" s="31" t="str">
        <f t="shared" si="268"/>
        <v/>
      </c>
      <c r="M3451" s="31" t="str">
        <f t="shared" si="269"/>
        <v/>
      </c>
    </row>
    <row r="3452" spans="1:13" x14ac:dyDescent="0.15">
      <c r="A3452" s="163" t="s">
        <v>210</v>
      </c>
      <c r="B3452" s="163">
        <v>42364.635930821758</v>
      </c>
      <c r="C3452" s="164" t="s">
        <v>551</v>
      </c>
      <c r="D3452" s="164" t="s">
        <v>13</v>
      </c>
      <c r="E3452" s="165">
        <v>20</v>
      </c>
      <c r="F3452" s="166">
        <v>0</v>
      </c>
      <c r="G3452" s="227">
        <f>IF($B$2,IF(ROWS(B$6:$B3452) = 1,$B3452-Start_Date,$B3452-$B3451),"")</f>
        <v>1.9263541689724661E-3</v>
      </c>
      <c r="H3452" s="29">
        <f>IF($B$2,IF(ROWS(B$6:$B3452) = 1,IF(COUNTIFS(R_Schedule_Times,"&lt;"&amp;B3452),INDEX(R_Schedule_Amounts,MATCH(B3452,R_Schedule_Times,1)),Starting_Cash),IF(COUNTIFS(R_Schedule_Times,"&gt;"&amp;B3451,R_Schedule_Times,"&lt;"&amp;B3452),INDEX(R_Schedule_Amounts,MATCH(B3452,R_Schedule_Times,1)),K3451)),"")</f>
        <v>7400</v>
      </c>
      <c r="I3452" s="30">
        <f t="shared" si="265"/>
        <v>20</v>
      </c>
      <c r="J3452" s="31">
        <f t="shared" si="266"/>
        <v>0</v>
      </c>
      <c r="K3452" s="29">
        <f t="shared" si="267"/>
        <v>7380</v>
      </c>
      <c r="L3452" s="31" t="str">
        <f t="shared" si="268"/>
        <v/>
      </c>
      <c r="M3452" s="31" t="str">
        <f t="shared" si="269"/>
        <v/>
      </c>
    </row>
    <row r="3453" spans="1:13" x14ac:dyDescent="0.15">
      <c r="A3453" s="163" t="s">
        <v>210</v>
      </c>
      <c r="B3453" s="163">
        <v>42364.691957314812</v>
      </c>
      <c r="C3453" s="164" t="s">
        <v>110</v>
      </c>
      <c r="D3453" s="164" t="s">
        <v>13</v>
      </c>
      <c r="E3453" s="165">
        <v>400</v>
      </c>
      <c r="F3453" s="166">
        <v>0</v>
      </c>
      <c r="G3453" s="227">
        <f>IF($B$2,IF(ROWS(B$6:$B3453) = 1,$B3453-Start_Date,$B3453-$B3452),"")</f>
        <v>5.6026493053650483E-2</v>
      </c>
      <c r="H3453" s="29">
        <f>IF($B$2,IF(ROWS(B$6:$B3453) = 1,IF(COUNTIFS(R_Schedule_Times,"&lt;"&amp;B3453),INDEX(R_Schedule_Amounts,MATCH(B3453,R_Schedule_Times,1)),Starting_Cash),IF(COUNTIFS(R_Schedule_Times,"&gt;"&amp;B3452,R_Schedule_Times,"&lt;"&amp;B3453),INDEX(R_Schedule_Amounts,MATCH(B3453,R_Schedule_Times,1)),K3452)),"")</f>
        <v>7380</v>
      </c>
      <c r="I3453" s="30">
        <f t="shared" si="265"/>
        <v>400</v>
      </c>
      <c r="J3453" s="31">
        <f t="shared" si="266"/>
        <v>0</v>
      </c>
      <c r="K3453" s="29">
        <f t="shared" si="267"/>
        <v>6980</v>
      </c>
      <c r="L3453" s="31" t="str">
        <f t="shared" si="268"/>
        <v/>
      </c>
      <c r="M3453" s="31" t="str">
        <f t="shared" si="269"/>
        <v/>
      </c>
    </row>
    <row r="3454" spans="1:13" x14ac:dyDescent="0.15">
      <c r="A3454" s="163" t="s">
        <v>210</v>
      </c>
      <c r="B3454" s="163">
        <v>42364.71567247685</v>
      </c>
      <c r="C3454" s="164" t="s">
        <v>2740</v>
      </c>
      <c r="D3454" s="164" t="s">
        <v>13</v>
      </c>
      <c r="E3454" s="165">
        <v>100</v>
      </c>
      <c r="F3454" s="166">
        <v>0</v>
      </c>
      <c r="G3454" s="227">
        <f>IF($B$2,IF(ROWS(B$6:$B3454) = 1,$B3454-Start_Date,$B3454-$B3453),"")</f>
        <v>2.371516203857027E-2</v>
      </c>
      <c r="H3454" s="29">
        <f>IF($B$2,IF(ROWS(B$6:$B3454) = 1,IF(COUNTIFS(R_Schedule_Times,"&lt;"&amp;B3454),INDEX(R_Schedule_Amounts,MATCH(B3454,R_Schedule_Times,1)),Starting_Cash),IF(COUNTIFS(R_Schedule_Times,"&gt;"&amp;B3453,R_Schedule_Times,"&lt;"&amp;B3454),INDEX(R_Schedule_Amounts,MATCH(B3454,R_Schedule_Times,1)),K3453)),"")</f>
        <v>6980</v>
      </c>
      <c r="I3454" s="30">
        <f t="shared" si="265"/>
        <v>100</v>
      </c>
      <c r="J3454" s="31">
        <f t="shared" si="266"/>
        <v>0</v>
      </c>
      <c r="K3454" s="29">
        <f t="shared" si="267"/>
        <v>6880</v>
      </c>
      <c r="L3454" s="31" t="str">
        <f t="shared" si="268"/>
        <v/>
      </c>
      <c r="M3454" s="31" t="str">
        <f t="shared" si="269"/>
        <v/>
      </c>
    </row>
    <row r="3455" spans="1:13" x14ac:dyDescent="0.15">
      <c r="A3455" s="163" t="s">
        <v>210</v>
      </c>
      <c r="B3455" s="163">
        <v>42364.740627881947</v>
      </c>
      <c r="C3455" s="164" t="s">
        <v>2741</v>
      </c>
      <c r="D3455" s="164" t="s">
        <v>13</v>
      </c>
      <c r="E3455" s="165">
        <v>60</v>
      </c>
      <c r="F3455" s="166">
        <v>0</v>
      </c>
      <c r="G3455" s="227">
        <f>IF($B$2,IF(ROWS(B$6:$B3455) = 1,$B3455-Start_Date,$B3455-$B3454),"")</f>
        <v>2.4955405096989125E-2</v>
      </c>
      <c r="H3455" s="29">
        <f>IF($B$2,IF(ROWS(B$6:$B3455) = 1,IF(COUNTIFS(R_Schedule_Times,"&lt;"&amp;B3455),INDEX(R_Schedule_Amounts,MATCH(B3455,R_Schedule_Times,1)),Starting_Cash),IF(COUNTIFS(R_Schedule_Times,"&gt;"&amp;B3454,R_Schedule_Times,"&lt;"&amp;B3455),INDEX(R_Schedule_Amounts,MATCH(B3455,R_Schedule_Times,1)),K3454)),"")</f>
        <v>6880</v>
      </c>
      <c r="I3455" s="30">
        <f t="shared" si="265"/>
        <v>60</v>
      </c>
      <c r="J3455" s="31">
        <f t="shared" si="266"/>
        <v>0</v>
      </c>
      <c r="K3455" s="29">
        <f t="shared" si="267"/>
        <v>6820</v>
      </c>
      <c r="L3455" s="31" t="str">
        <f t="shared" si="268"/>
        <v/>
      </c>
      <c r="M3455" s="31" t="str">
        <f t="shared" si="269"/>
        <v/>
      </c>
    </row>
    <row r="3456" spans="1:13" x14ac:dyDescent="0.15">
      <c r="A3456" s="163" t="s">
        <v>210</v>
      </c>
      <c r="B3456" s="163">
        <v>42364.741493680558</v>
      </c>
      <c r="C3456" s="164" t="s">
        <v>2742</v>
      </c>
      <c r="D3456" s="164" t="s">
        <v>13</v>
      </c>
      <c r="E3456" s="165">
        <v>120</v>
      </c>
      <c r="F3456" s="166">
        <v>0</v>
      </c>
      <c r="G3456" s="227">
        <f>IF($B$2,IF(ROWS(B$6:$B3456) = 1,$B3456-Start_Date,$B3456-$B3455),"")</f>
        <v>8.6579861090285704E-4</v>
      </c>
      <c r="H3456" s="29">
        <f>IF($B$2,IF(ROWS(B$6:$B3456) = 1,IF(COUNTIFS(R_Schedule_Times,"&lt;"&amp;B3456),INDEX(R_Schedule_Amounts,MATCH(B3456,R_Schedule_Times,1)),Starting_Cash),IF(COUNTIFS(R_Schedule_Times,"&gt;"&amp;B3455,R_Schedule_Times,"&lt;"&amp;B3456),INDEX(R_Schedule_Amounts,MATCH(B3456,R_Schedule_Times,1)),K3455)),"")</f>
        <v>6820</v>
      </c>
      <c r="I3456" s="30">
        <f t="shared" si="265"/>
        <v>120</v>
      </c>
      <c r="J3456" s="31">
        <f t="shared" si="266"/>
        <v>0</v>
      </c>
      <c r="K3456" s="29">
        <f t="shared" si="267"/>
        <v>6700</v>
      </c>
      <c r="L3456" s="31" t="str">
        <f t="shared" si="268"/>
        <v/>
      </c>
      <c r="M3456" s="31" t="str">
        <f t="shared" si="269"/>
        <v/>
      </c>
    </row>
    <row r="3457" spans="1:13" x14ac:dyDescent="0.15">
      <c r="A3457" s="163" t="s">
        <v>210</v>
      </c>
      <c r="B3457" s="163">
        <v>42364.742812546298</v>
      </c>
      <c r="C3457" s="164" t="s">
        <v>2743</v>
      </c>
      <c r="D3457" s="164" t="s">
        <v>13</v>
      </c>
      <c r="E3457" s="165">
        <v>60</v>
      </c>
      <c r="F3457" s="166">
        <v>0</v>
      </c>
      <c r="G3457" s="227">
        <f>IF($B$2,IF(ROWS(B$6:$B3457) = 1,$B3457-Start_Date,$B3457-$B3456),"")</f>
        <v>1.318865739449393E-3</v>
      </c>
      <c r="H3457" s="29">
        <f>IF($B$2,IF(ROWS(B$6:$B3457) = 1,IF(COUNTIFS(R_Schedule_Times,"&lt;"&amp;B3457),INDEX(R_Schedule_Amounts,MATCH(B3457,R_Schedule_Times,1)),Starting_Cash),IF(COUNTIFS(R_Schedule_Times,"&gt;"&amp;B3456,R_Schedule_Times,"&lt;"&amp;B3457),INDEX(R_Schedule_Amounts,MATCH(B3457,R_Schedule_Times,1)),K3456)),"")</f>
        <v>6700</v>
      </c>
      <c r="I3457" s="30">
        <f t="shared" si="265"/>
        <v>60</v>
      </c>
      <c r="J3457" s="31">
        <f t="shared" si="266"/>
        <v>0</v>
      </c>
      <c r="K3457" s="29">
        <f t="shared" si="267"/>
        <v>6640</v>
      </c>
      <c r="L3457" s="31" t="str">
        <f t="shared" si="268"/>
        <v/>
      </c>
      <c r="M3457" s="31" t="str">
        <f t="shared" si="269"/>
        <v/>
      </c>
    </row>
    <row r="3458" spans="1:13" x14ac:dyDescent="0.15">
      <c r="A3458" s="163" t="s">
        <v>210</v>
      </c>
      <c r="B3458" s="163">
        <v>42364.755594502312</v>
      </c>
      <c r="C3458" s="164" t="s">
        <v>387</v>
      </c>
      <c r="D3458" s="164" t="s">
        <v>13</v>
      </c>
      <c r="E3458" s="165">
        <v>100</v>
      </c>
      <c r="F3458" s="166">
        <v>0</v>
      </c>
      <c r="G3458" s="227">
        <f>IF($B$2,IF(ROWS(B$6:$B3458) = 1,$B3458-Start_Date,$B3458-$B3457),"")</f>
        <v>1.2781956014805473E-2</v>
      </c>
      <c r="H3458" s="29">
        <f>IF($B$2,IF(ROWS(B$6:$B3458) = 1,IF(COUNTIFS(R_Schedule_Times,"&lt;"&amp;B3458),INDEX(R_Schedule_Amounts,MATCH(B3458,R_Schedule_Times,1)),Starting_Cash),IF(COUNTIFS(R_Schedule_Times,"&gt;"&amp;B3457,R_Schedule_Times,"&lt;"&amp;B3458),INDEX(R_Schedule_Amounts,MATCH(B3458,R_Schedule_Times,1)),K3457)),"")</f>
        <v>6640</v>
      </c>
      <c r="I3458" s="30">
        <f t="shared" si="265"/>
        <v>100</v>
      </c>
      <c r="J3458" s="31">
        <f t="shared" si="266"/>
        <v>0</v>
      </c>
      <c r="K3458" s="29">
        <f t="shared" si="267"/>
        <v>6540</v>
      </c>
      <c r="L3458" s="31" t="str">
        <f t="shared" si="268"/>
        <v/>
      </c>
      <c r="M3458" s="31" t="str">
        <f t="shared" si="269"/>
        <v/>
      </c>
    </row>
    <row r="3459" spans="1:13" x14ac:dyDescent="0.15">
      <c r="A3459" s="163" t="s">
        <v>210</v>
      </c>
      <c r="B3459" s="163">
        <v>42364.762155752316</v>
      </c>
      <c r="C3459" s="164" t="s">
        <v>2744</v>
      </c>
      <c r="D3459" s="164" t="s">
        <v>13</v>
      </c>
      <c r="E3459" s="165">
        <v>60</v>
      </c>
      <c r="F3459" s="166">
        <v>0</v>
      </c>
      <c r="G3459" s="227">
        <f>IF($B$2,IF(ROWS(B$6:$B3459) = 1,$B3459-Start_Date,$B3459-$B3458),"")</f>
        <v>6.5612500038696453E-3</v>
      </c>
      <c r="H3459" s="29">
        <f>IF($B$2,IF(ROWS(B$6:$B3459) = 1,IF(COUNTIFS(R_Schedule_Times,"&lt;"&amp;B3459),INDEX(R_Schedule_Amounts,MATCH(B3459,R_Schedule_Times,1)),Starting_Cash),IF(COUNTIFS(R_Schedule_Times,"&gt;"&amp;B3458,R_Schedule_Times,"&lt;"&amp;B3459),INDEX(R_Schedule_Amounts,MATCH(B3459,R_Schedule_Times,1)),K3458)),"")</f>
        <v>6540</v>
      </c>
      <c r="I3459" s="30">
        <f t="shared" si="265"/>
        <v>60</v>
      </c>
      <c r="J3459" s="31">
        <f t="shared" si="266"/>
        <v>0</v>
      </c>
      <c r="K3459" s="29">
        <f t="shared" si="267"/>
        <v>6480</v>
      </c>
      <c r="L3459" s="31" t="str">
        <f t="shared" si="268"/>
        <v/>
      </c>
      <c r="M3459" s="31" t="str">
        <f t="shared" si="269"/>
        <v/>
      </c>
    </row>
    <row r="3460" spans="1:13" x14ac:dyDescent="0.15">
      <c r="A3460" s="163" t="s">
        <v>210</v>
      </c>
      <c r="B3460" s="163">
        <v>42364.822109884262</v>
      </c>
      <c r="C3460" s="164" t="s">
        <v>1579</v>
      </c>
      <c r="D3460" s="164" t="s">
        <v>13</v>
      </c>
      <c r="E3460" s="165">
        <v>60</v>
      </c>
      <c r="F3460" s="166">
        <v>0</v>
      </c>
      <c r="G3460" s="227">
        <f>IF($B$2,IF(ROWS(B$6:$B3460) = 1,$B3460-Start_Date,$B3460-$B3459),"")</f>
        <v>5.9954131946142297E-2</v>
      </c>
      <c r="H3460" s="29">
        <f>IF($B$2,IF(ROWS(B$6:$B3460) = 1,IF(COUNTIFS(R_Schedule_Times,"&lt;"&amp;B3460),INDEX(R_Schedule_Amounts,MATCH(B3460,R_Schedule_Times,1)),Starting_Cash),IF(COUNTIFS(R_Schedule_Times,"&gt;"&amp;B3459,R_Schedule_Times,"&lt;"&amp;B3460),INDEX(R_Schedule_Amounts,MATCH(B3460,R_Schedule_Times,1)),K3459)),"")</f>
        <v>6480</v>
      </c>
      <c r="I3460" s="30">
        <f t="shared" si="265"/>
        <v>60</v>
      </c>
      <c r="J3460" s="31">
        <f t="shared" si="266"/>
        <v>0</v>
      </c>
      <c r="K3460" s="29">
        <f t="shared" si="267"/>
        <v>6420</v>
      </c>
      <c r="L3460" s="31" t="str">
        <f t="shared" si="268"/>
        <v/>
      </c>
      <c r="M3460" s="31" t="str">
        <f t="shared" si="269"/>
        <v/>
      </c>
    </row>
    <row r="3461" spans="1:13" x14ac:dyDescent="0.15">
      <c r="A3461" s="163" t="s">
        <v>210</v>
      </c>
      <c r="B3461" s="163">
        <v>42364.843836631946</v>
      </c>
      <c r="C3461" s="164" t="s">
        <v>1444</v>
      </c>
      <c r="D3461" s="164" t="s">
        <v>13</v>
      </c>
      <c r="E3461" s="165">
        <v>20</v>
      </c>
      <c r="F3461" s="166">
        <v>0</v>
      </c>
      <c r="G3461" s="227">
        <f>IF($B$2,IF(ROWS(B$6:$B3461) = 1,$B3461-Start_Date,$B3461-$B3460),"")</f>
        <v>2.1726747683715075E-2</v>
      </c>
      <c r="H3461" s="29">
        <f>IF($B$2,IF(ROWS(B$6:$B3461) = 1,IF(COUNTIFS(R_Schedule_Times,"&lt;"&amp;B3461),INDEX(R_Schedule_Amounts,MATCH(B3461,R_Schedule_Times,1)),Starting_Cash),IF(COUNTIFS(R_Schedule_Times,"&gt;"&amp;B3460,R_Schedule_Times,"&lt;"&amp;B3461),INDEX(R_Schedule_Amounts,MATCH(B3461,R_Schedule_Times,1)),K3460)),"")</f>
        <v>6420</v>
      </c>
      <c r="I3461" s="30">
        <f t="shared" si="265"/>
        <v>20</v>
      </c>
      <c r="J3461" s="31">
        <f t="shared" si="266"/>
        <v>0</v>
      </c>
      <c r="K3461" s="29">
        <f t="shared" si="267"/>
        <v>6400</v>
      </c>
      <c r="L3461" s="31" t="str">
        <f t="shared" si="268"/>
        <v/>
      </c>
      <c r="M3461" s="31" t="str">
        <f t="shared" si="269"/>
        <v/>
      </c>
    </row>
    <row r="3462" spans="1:13" x14ac:dyDescent="0.15">
      <c r="A3462" s="163" t="s">
        <v>210</v>
      </c>
      <c r="B3462" s="163">
        <v>42364.872765694447</v>
      </c>
      <c r="C3462" s="164" t="s">
        <v>2745</v>
      </c>
      <c r="D3462" s="164" t="s">
        <v>13</v>
      </c>
      <c r="E3462" s="165">
        <v>40</v>
      </c>
      <c r="F3462" s="166">
        <v>0</v>
      </c>
      <c r="G3462" s="227">
        <f>IF($B$2,IF(ROWS(B$6:$B3462) = 1,$B3462-Start_Date,$B3462-$B3461),"")</f>
        <v>2.8929062500537839E-2</v>
      </c>
      <c r="H3462" s="29">
        <f>IF($B$2,IF(ROWS(B$6:$B3462) = 1,IF(COUNTIFS(R_Schedule_Times,"&lt;"&amp;B3462),INDEX(R_Schedule_Amounts,MATCH(B3462,R_Schedule_Times,1)),Starting_Cash),IF(COUNTIFS(R_Schedule_Times,"&gt;"&amp;B3461,R_Schedule_Times,"&lt;"&amp;B3462),INDEX(R_Schedule_Amounts,MATCH(B3462,R_Schedule_Times,1)),K3461)),"")</f>
        <v>6400</v>
      </c>
      <c r="I3462" s="30">
        <f t="shared" si="265"/>
        <v>40</v>
      </c>
      <c r="J3462" s="31">
        <f t="shared" si="266"/>
        <v>0</v>
      </c>
      <c r="K3462" s="29">
        <f t="shared" si="267"/>
        <v>6360</v>
      </c>
      <c r="L3462" s="31" t="str">
        <f t="shared" si="268"/>
        <v/>
      </c>
      <c r="M3462" s="31" t="str">
        <f t="shared" si="269"/>
        <v/>
      </c>
    </row>
    <row r="3463" spans="1:13" x14ac:dyDescent="0.15">
      <c r="A3463" s="163" t="s">
        <v>210</v>
      </c>
      <c r="B3463" s="163">
        <v>42364.873755173612</v>
      </c>
      <c r="C3463" s="164" t="s">
        <v>14</v>
      </c>
      <c r="D3463" s="164" t="s">
        <v>13</v>
      </c>
      <c r="E3463" s="165">
        <v>100</v>
      </c>
      <c r="F3463" s="166">
        <v>3.5</v>
      </c>
      <c r="G3463" s="227">
        <f>IF($B$2,IF(ROWS(B$6:$B3463) = 1,$B3463-Start_Date,$B3463-$B3462),"")</f>
        <v>9.8947916558245197E-4</v>
      </c>
      <c r="H3463" s="29">
        <f>IF($B$2,IF(ROWS(B$6:$B3463) = 1,IF(COUNTIFS(R_Schedule_Times,"&lt;"&amp;B3463),INDEX(R_Schedule_Amounts,MATCH(B3463,R_Schedule_Times,1)),Starting_Cash),IF(COUNTIFS(R_Schedule_Times,"&gt;"&amp;B3462,R_Schedule_Times,"&lt;"&amp;B3463),INDEX(R_Schedule_Amounts,MATCH(B3463,R_Schedule_Times,1)),K3462)),"")</f>
        <v>6360</v>
      </c>
      <c r="I3463" s="30">
        <f t="shared" ref="I3463:I3526" si="270">IF($B$2,IF(H3463&gt;=E3463,E3463,0),"")</f>
        <v>100</v>
      </c>
      <c r="J3463" s="31">
        <f t="shared" ref="J3463:J3526" si="271">IF($B$2,IF(H3463&gt;=E3463,F3463,0),"")</f>
        <v>3.5</v>
      </c>
      <c r="K3463" s="29">
        <f t="shared" ref="K3463:K3526" si="272">IF($B$2,ABS(I3463-H3463),"")</f>
        <v>6260</v>
      </c>
      <c r="L3463" s="31" t="str">
        <f t="shared" ref="L3463:L3526" si="273">IF($B$2,IF(H3463&lt;E3463,"YES",""),"")</f>
        <v/>
      </c>
      <c r="M3463" s="31" t="str">
        <f t="shared" ref="M3463:M3526" si="274">IF($B$2,IF(L3463="YES",F3463,""),"")</f>
        <v/>
      </c>
    </row>
    <row r="3464" spans="1:13" x14ac:dyDescent="0.15">
      <c r="A3464" s="163" t="s">
        <v>210</v>
      </c>
      <c r="B3464" s="163">
        <v>42364.970173807873</v>
      </c>
      <c r="C3464" s="164" t="s">
        <v>14</v>
      </c>
      <c r="D3464" s="164" t="s">
        <v>13</v>
      </c>
      <c r="E3464" s="165">
        <v>40</v>
      </c>
      <c r="F3464" s="166">
        <v>3.5</v>
      </c>
      <c r="G3464" s="227">
        <f>IF($B$2,IF(ROWS(B$6:$B3464) = 1,$B3464-Start_Date,$B3464-$B3463),"")</f>
        <v>9.6418634260771796E-2</v>
      </c>
      <c r="H3464" s="29">
        <f>IF($B$2,IF(ROWS(B$6:$B3464) = 1,IF(COUNTIFS(R_Schedule_Times,"&lt;"&amp;B3464),INDEX(R_Schedule_Amounts,MATCH(B3464,R_Schedule_Times,1)),Starting_Cash),IF(COUNTIFS(R_Schedule_Times,"&gt;"&amp;B3463,R_Schedule_Times,"&lt;"&amp;B3464),INDEX(R_Schedule_Amounts,MATCH(B3464,R_Schedule_Times,1)),K3463)),"")</f>
        <v>6260</v>
      </c>
      <c r="I3464" s="30">
        <f t="shared" si="270"/>
        <v>40</v>
      </c>
      <c r="J3464" s="31">
        <f t="shared" si="271"/>
        <v>3.5</v>
      </c>
      <c r="K3464" s="29">
        <f t="shared" si="272"/>
        <v>6220</v>
      </c>
      <c r="L3464" s="31" t="str">
        <f t="shared" si="273"/>
        <v/>
      </c>
      <c r="M3464" s="31" t="str">
        <f t="shared" si="274"/>
        <v/>
      </c>
    </row>
    <row r="3465" spans="1:13" x14ac:dyDescent="0.15">
      <c r="A3465" s="163" t="s">
        <v>210</v>
      </c>
      <c r="B3465" s="163">
        <v>42365.298797071759</v>
      </c>
      <c r="C3465" s="164" t="s">
        <v>2746</v>
      </c>
      <c r="D3465" s="164" t="s">
        <v>13</v>
      </c>
      <c r="E3465" s="165">
        <v>40</v>
      </c>
      <c r="F3465" s="166">
        <v>0</v>
      </c>
      <c r="G3465" s="227">
        <f>IF($B$2,IF(ROWS(B$6:$B3465) = 1,$B3465-Start_Date,$B3465-$B3464),"")</f>
        <v>0.32862326388567453</v>
      </c>
      <c r="H3465" s="29">
        <f>IF($B$2,IF(ROWS(B$6:$B3465) = 1,IF(COUNTIFS(R_Schedule_Times,"&lt;"&amp;B3465),INDEX(R_Schedule_Amounts,MATCH(B3465,R_Schedule_Times,1)),Starting_Cash),IF(COUNTIFS(R_Schedule_Times,"&gt;"&amp;B3464,R_Schedule_Times,"&lt;"&amp;B3465),INDEX(R_Schedule_Amounts,MATCH(B3465,R_Schedule_Times,1)),K3464)),"")</f>
        <v>6220</v>
      </c>
      <c r="I3465" s="30">
        <f t="shared" si="270"/>
        <v>40</v>
      </c>
      <c r="J3465" s="31">
        <f t="shared" si="271"/>
        <v>0</v>
      </c>
      <c r="K3465" s="29">
        <f t="shared" si="272"/>
        <v>6180</v>
      </c>
      <c r="L3465" s="31" t="str">
        <f t="shared" si="273"/>
        <v/>
      </c>
      <c r="M3465" s="31" t="str">
        <f t="shared" si="274"/>
        <v/>
      </c>
    </row>
    <row r="3466" spans="1:13" x14ac:dyDescent="0.15">
      <c r="A3466" s="163" t="s">
        <v>210</v>
      </c>
      <c r="B3466" s="163">
        <v>42365.397944155091</v>
      </c>
      <c r="C3466" s="164" t="s">
        <v>2388</v>
      </c>
      <c r="D3466" s="164" t="s">
        <v>13</v>
      </c>
      <c r="E3466" s="165">
        <v>100</v>
      </c>
      <c r="F3466" s="166">
        <v>0</v>
      </c>
      <c r="G3466" s="227">
        <f>IF($B$2,IF(ROWS(B$6:$B3466) = 1,$B3466-Start_Date,$B3466-$B3465),"")</f>
        <v>9.9147083332354669E-2</v>
      </c>
      <c r="H3466" s="29">
        <f>IF($B$2,IF(ROWS(B$6:$B3466) = 1,IF(COUNTIFS(R_Schedule_Times,"&lt;"&amp;B3466),INDEX(R_Schedule_Amounts,MATCH(B3466,R_Schedule_Times,1)),Starting_Cash),IF(COUNTIFS(R_Schedule_Times,"&gt;"&amp;B3465,R_Schedule_Times,"&lt;"&amp;B3466),INDEX(R_Schedule_Amounts,MATCH(B3466,R_Schedule_Times,1)),K3465)),"")</f>
        <v>6180</v>
      </c>
      <c r="I3466" s="30">
        <f t="shared" si="270"/>
        <v>100</v>
      </c>
      <c r="J3466" s="31">
        <f t="shared" si="271"/>
        <v>0</v>
      </c>
      <c r="K3466" s="29">
        <f t="shared" si="272"/>
        <v>6080</v>
      </c>
      <c r="L3466" s="31" t="str">
        <f t="shared" si="273"/>
        <v/>
      </c>
      <c r="M3466" s="31" t="str">
        <f t="shared" si="274"/>
        <v/>
      </c>
    </row>
    <row r="3467" spans="1:13" x14ac:dyDescent="0.15">
      <c r="A3467" s="163" t="s">
        <v>210</v>
      </c>
      <c r="B3467" s="163">
        <v>42365.444410601849</v>
      </c>
      <c r="C3467" s="164" t="s">
        <v>2747</v>
      </c>
      <c r="D3467" s="164" t="s">
        <v>13</v>
      </c>
      <c r="E3467" s="165">
        <v>220</v>
      </c>
      <c r="F3467" s="166">
        <v>0</v>
      </c>
      <c r="G3467" s="227">
        <f>IF($B$2,IF(ROWS(B$6:$B3467) = 1,$B3467-Start_Date,$B3467-$B3466),"")</f>
        <v>4.6466446758131497E-2</v>
      </c>
      <c r="H3467" s="29">
        <f>IF($B$2,IF(ROWS(B$6:$B3467) = 1,IF(COUNTIFS(R_Schedule_Times,"&lt;"&amp;B3467),INDEX(R_Schedule_Amounts,MATCH(B3467,R_Schedule_Times,1)),Starting_Cash),IF(COUNTIFS(R_Schedule_Times,"&gt;"&amp;B3466,R_Schedule_Times,"&lt;"&amp;B3467),INDEX(R_Schedule_Amounts,MATCH(B3467,R_Schedule_Times,1)),K3466)),"")</f>
        <v>6080</v>
      </c>
      <c r="I3467" s="30">
        <f t="shared" si="270"/>
        <v>220</v>
      </c>
      <c r="J3467" s="31">
        <f t="shared" si="271"/>
        <v>0</v>
      </c>
      <c r="K3467" s="29">
        <f t="shared" si="272"/>
        <v>5860</v>
      </c>
      <c r="L3467" s="31" t="str">
        <f t="shared" si="273"/>
        <v/>
      </c>
      <c r="M3467" s="31" t="str">
        <f t="shared" si="274"/>
        <v/>
      </c>
    </row>
    <row r="3468" spans="1:13" x14ac:dyDescent="0.15">
      <c r="A3468" s="163" t="s">
        <v>210</v>
      </c>
      <c r="B3468" s="163">
        <v>42365.46057722222</v>
      </c>
      <c r="C3468" s="164" t="s">
        <v>2627</v>
      </c>
      <c r="D3468" s="164" t="s">
        <v>13</v>
      </c>
      <c r="E3468" s="165">
        <v>100</v>
      </c>
      <c r="F3468" s="166">
        <v>0</v>
      </c>
      <c r="G3468" s="227">
        <f>IF($B$2,IF(ROWS(B$6:$B3468) = 1,$B3468-Start_Date,$B3468-$B3467),"")</f>
        <v>1.6166620371222962E-2</v>
      </c>
      <c r="H3468" s="29">
        <f>IF($B$2,IF(ROWS(B$6:$B3468) = 1,IF(COUNTIFS(R_Schedule_Times,"&lt;"&amp;B3468),INDEX(R_Schedule_Amounts,MATCH(B3468,R_Schedule_Times,1)),Starting_Cash),IF(COUNTIFS(R_Schedule_Times,"&gt;"&amp;B3467,R_Schedule_Times,"&lt;"&amp;B3468),INDEX(R_Schedule_Amounts,MATCH(B3468,R_Schedule_Times,1)),K3467)),"")</f>
        <v>5860</v>
      </c>
      <c r="I3468" s="30">
        <f t="shared" si="270"/>
        <v>100</v>
      </c>
      <c r="J3468" s="31">
        <f t="shared" si="271"/>
        <v>0</v>
      </c>
      <c r="K3468" s="29">
        <f t="shared" si="272"/>
        <v>5760</v>
      </c>
      <c r="L3468" s="31" t="str">
        <f t="shared" si="273"/>
        <v/>
      </c>
      <c r="M3468" s="31" t="str">
        <f t="shared" si="274"/>
        <v/>
      </c>
    </row>
    <row r="3469" spans="1:13" x14ac:dyDescent="0.15">
      <c r="A3469" s="163" t="s">
        <v>210</v>
      </c>
      <c r="B3469" s="163">
        <v>42365.493282013886</v>
      </c>
      <c r="C3469" s="164" t="s">
        <v>552</v>
      </c>
      <c r="D3469" s="164" t="s">
        <v>13</v>
      </c>
      <c r="E3469" s="165">
        <v>80</v>
      </c>
      <c r="F3469" s="166">
        <v>0</v>
      </c>
      <c r="G3469" s="227">
        <f>IF($B$2,IF(ROWS(B$6:$B3469) = 1,$B3469-Start_Date,$B3469-$B3468),"")</f>
        <v>3.270479166531004E-2</v>
      </c>
      <c r="H3469" s="29">
        <f>IF($B$2,IF(ROWS(B$6:$B3469) = 1,IF(COUNTIFS(R_Schedule_Times,"&lt;"&amp;B3469),INDEX(R_Schedule_Amounts,MATCH(B3469,R_Schedule_Times,1)),Starting_Cash),IF(COUNTIFS(R_Schedule_Times,"&gt;"&amp;B3468,R_Schedule_Times,"&lt;"&amp;B3469),INDEX(R_Schedule_Amounts,MATCH(B3469,R_Schedule_Times,1)),K3468)),"")</f>
        <v>5760</v>
      </c>
      <c r="I3469" s="30">
        <f t="shared" si="270"/>
        <v>80</v>
      </c>
      <c r="J3469" s="31">
        <f t="shared" si="271"/>
        <v>0</v>
      </c>
      <c r="K3469" s="29">
        <f t="shared" si="272"/>
        <v>5680</v>
      </c>
      <c r="L3469" s="31" t="str">
        <f t="shared" si="273"/>
        <v/>
      </c>
      <c r="M3469" s="31" t="str">
        <f t="shared" si="274"/>
        <v/>
      </c>
    </row>
    <row r="3470" spans="1:13" x14ac:dyDescent="0.15">
      <c r="A3470" s="163" t="s">
        <v>210</v>
      </c>
      <c r="B3470" s="163">
        <v>42365.506824374999</v>
      </c>
      <c r="C3470" s="164" t="s">
        <v>2748</v>
      </c>
      <c r="D3470" s="164" t="s">
        <v>13</v>
      </c>
      <c r="E3470" s="165">
        <v>200</v>
      </c>
      <c r="F3470" s="166">
        <v>0</v>
      </c>
      <c r="G3470" s="227">
        <f>IF($B$2,IF(ROWS(B$6:$B3470) = 1,$B3470-Start_Date,$B3470-$B3469),"")</f>
        <v>1.3542361113650259E-2</v>
      </c>
      <c r="H3470" s="29">
        <f>IF($B$2,IF(ROWS(B$6:$B3470) = 1,IF(COUNTIFS(R_Schedule_Times,"&lt;"&amp;B3470),INDEX(R_Schedule_Amounts,MATCH(B3470,R_Schedule_Times,1)),Starting_Cash),IF(COUNTIFS(R_Schedule_Times,"&gt;"&amp;B3469,R_Schedule_Times,"&lt;"&amp;B3470),INDEX(R_Schedule_Amounts,MATCH(B3470,R_Schedule_Times,1)),K3469)),"")</f>
        <v>5680</v>
      </c>
      <c r="I3470" s="30">
        <f t="shared" si="270"/>
        <v>200</v>
      </c>
      <c r="J3470" s="31">
        <f t="shared" si="271"/>
        <v>0</v>
      </c>
      <c r="K3470" s="29">
        <f t="shared" si="272"/>
        <v>5480</v>
      </c>
      <c r="L3470" s="31" t="str">
        <f t="shared" si="273"/>
        <v/>
      </c>
      <c r="M3470" s="31" t="str">
        <f t="shared" si="274"/>
        <v/>
      </c>
    </row>
    <row r="3471" spans="1:13" x14ac:dyDescent="0.15">
      <c r="A3471" s="163" t="s">
        <v>210</v>
      </c>
      <c r="B3471" s="163">
        <v>42365.518079907408</v>
      </c>
      <c r="C3471" s="164" t="s">
        <v>2749</v>
      </c>
      <c r="D3471" s="164" t="s">
        <v>13</v>
      </c>
      <c r="E3471" s="165">
        <v>100</v>
      </c>
      <c r="F3471" s="166">
        <v>0</v>
      </c>
      <c r="G3471" s="227">
        <f>IF($B$2,IF(ROWS(B$6:$B3471) = 1,$B3471-Start_Date,$B3471-$B3470),"")</f>
        <v>1.1255532408540603E-2</v>
      </c>
      <c r="H3471" s="29">
        <f>IF($B$2,IF(ROWS(B$6:$B3471) = 1,IF(COUNTIFS(R_Schedule_Times,"&lt;"&amp;B3471),INDEX(R_Schedule_Amounts,MATCH(B3471,R_Schedule_Times,1)),Starting_Cash),IF(COUNTIFS(R_Schedule_Times,"&gt;"&amp;B3470,R_Schedule_Times,"&lt;"&amp;B3471),INDEX(R_Schedule_Amounts,MATCH(B3471,R_Schedule_Times,1)),K3470)),"")</f>
        <v>5480</v>
      </c>
      <c r="I3471" s="30">
        <f t="shared" si="270"/>
        <v>100</v>
      </c>
      <c r="J3471" s="31">
        <f t="shared" si="271"/>
        <v>0</v>
      </c>
      <c r="K3471" s="29">
        <f t="shared" si="272"/>
        <v>5380</v>
      </c>
      <c r="L3471" s="31" t="str">
        <f t="shared" si="273"/>
        <v/>
      </c>
      <c r="M3471" s="31" t="str">
        <f t="shared" si="274"/>
        <v/>
      </c>
    </row>
    <row r="3472" spans="1:13" x14ac:dyDescent="0.15">
      <c r="A3472" s="163" t="s">
        <v>210</v>
      </c>
      <c r="B3472" s="163">
        <v>42365.530945439816</v>
      </c>
      <c r="C3472" s="164" t="s">
        <v>2420</v>
      </c>
      <c r="D3472" s="164" t="s">
        <v>13</v>
      </c>
      <c r="E3472" s="165">
        <v>40</v>
      </c>
      <c r="F3472" s="166">
        <v>0</v>
      </c>
      <c r="G3472" s="227">
        <f>IF($B$2,IF(ROWS(B$6:$B3472) = 1,$B3472-Start_Date,$B3472-$B3471),"")</f>
        <v>1.2865532407886349E-2</v>
      </c>
      <c r="H3472" s="29">
        <f>IF($B$2,IF(ROWS(B$6:$B3472) = 1,IF(COUNTIFS(R_Schedule_Times,"&lt;"&amp;B3472),INDEX(R_Schedule_Amounts,MATCH(B3472,R_Schedule_Times,1)),Starting_Cash),IF(COUNTIFS(R_Schedule_Times,"&gt;"&amp;B3471,R_Schedule_Times,"&lt;"&amp;B3472),INDEX(R_Schedule_Amounts,MATCH(B3472,R_Schedule_Times,1)),K3471)),"")</f>
        <v>5380</v>
      </c>
      <c r="I3472" s="30">
        <f t="shared" si="270"/>
        <v>40</v>
      </c>
      <c r="J3472" s="31">
        <f t="shared" si="271"/>
        <v>0</v>
      </c>
      <c r="K3472" s="29">
        <f t="shared" si="272"/>
        <v>5340</v>
      </c>
      <c r="L3472" s="31" t="str">
        <f t="shared" si="273"/>
        <v/>
      </c>
      <c r="M3472" s="31" t="str">
        <f t="shared" si="274"/>
        <v/>
      </c>
    </row>
    <row r="3473" spans="1:13" x14ac:dyDescent="0.15">
      <c r="A3473" s="163" t="s">
        <v>210</v>
      </c>
      <c r="B3473" s="163">
        <v>42365.552493530093</v>
      </c>
      <c r="C3473" s="164" t="s">
        <v>1286</v>
      </c>
      <c r="D3473" s="164" t="s">
        <v>13</v>
      </c>
      <c r="E3473" s="165">
        <v>100</v>
      </c>
      <c r="F3473" s="166">
        <v>0</v>
      </c>
      <c r="G3473" s="227">
        <f>IF($B$2,IF(ROWS(B$6:$B3473) = 1,$B3473-Start_Date,$B3473-$B3472),"")</f>
        <v>2.1548090277065057E-2</v>
      </c>
      <c r="H3473" s="29">
        <f>IF($B$2,IF(ROWS(B$6:$B3473) = 1,IF(COUNTIFS(R_Schedule_Times,"&lt;"&amp;B3473),INDEX(R_Schedule_Amounts,MATCH(B3473,R_Schedule_Times,1)),Starting_Cash),IF(COUNTIFS(R_Schedule_Times,"&gt;"&amp;B3472,R_Schedule_Times,"&lt;"&amp;B3473),INDEX(R_Schedule_Amounts,MATCH(B3473,R_Schedule_Times,1)),K3472)),"")</f>
        <v>5340</v>
      </c>
      <c r="I3473" s="30">
        <f t="shared" si="270"/>
        <v>100</v>
      </c>
      <c r="J3473" s="31">
        <f t="shared" si="271"/>
        <v>0</v>
      </c>
      <c r="K3473" s="29">
        <f t="shared" si="272"/>
        <v>5240</v>
      </c>
      <c r="L3473" s="31" t="str">
        <f t="shared" si="273"/>
        <v/>
      </c>
      <c r="M3473" s="31" t="str">
        <f t="shared" si="274"/>
        <v/>
      </c>
    </row>
    <row r="3474" spans="1:13" x14ac:dyDescent="0.15">
      <c r="A3474" s="163" t="s">
        <v>210</v>
      </c>
      <c r="B3474" s="163">
        <v>42365.554121203706</v>
      </c>
      <c r="C3474" s="164" t="s">
        <v>2750</v>
      </c>
      <c r="D3474" s="164" t="s">
        <v>13</v>
      </c>
      <c r="E3474" s="165">
        <v>20</v>
      </c>
      <c r="F3474" s="166">
        <v>0</v>
      </c>
      <c r="G3474" s="227">
        <f>IF($B$2,IF(ROWS(B$6:$B3474) = 1,$B3474-Start_Date,$B3474-$B3473),"")</f>
        <v>1.6276736132567748E-3</v>
      </c>
      <c r="H3474" s="29">
        <f>IF($B$2,IF(ROWS(B$6:$B3474) = 1,IF(COUNTIFS(R_Schedule_Times,"&lt;"&amp;B3474),INDEX(R_Schedule_Amounts,MATCH(B3474,R_Schedule_Times,1)),Starting_Cash),IF(COUNTIFS(R_Schedule_Times,"&gt;"&amp;B3473,R_Schedule_Times,"&lt;"&amp;B3474),INDEX(R_Schedule_Amounts,MATCH(B3474,R_Schedule_Times,1)),K3473)),"")</f>
        <v>5240</v>
      </c>
      <c r="I3474" s="30">
        <f t="shared" si="270"/>
        <v>20</v>
      </c>
      <c r="J3474" s="31">
        <f t="shared" si="271"/>
        <v>0</v>
      </c>
      <c r="K3474" s="29">
        <f t="shared" si="272"/>
        <v>5220</v>
      </c>
      <c r="L3474" s="31" t="str">
        <f t="shared" si="273"/>
        <v/>
      </c>
      <c r="M3474" s="31" t="str">
        <f t="shared" si="274"/>
        <v/>
      </c>
    </row>
    <row r="3475" spans="1:13" x14ac:dyDescent="0.15">
      <c r="A3475" s="163" t="s">
        <v>210</v>
      </c>
      <c r="B3475" s="163">
        <v>42365.560472418983</v>
      </c>
      <c r="C3475" s="164" t="s">
        <v>1160</v>
      </c>
      <c r="D3475" s="164" t="s">
        <v>13</v>
      </c>
      <c r="E3475" s="165">
        <v>80</v>
      </c>
      <c r="F3475" s="166">
        <v>0</v>
      </c>
      <c r="G3475" s="227">
        <f>IF($B$2,IF(ROWS(B$6:$B3475) = 1,$B3475-Start_Date,$B3475-$B3474),"")</f>
        <v>6.3512152773910202E-3</v>
      </c>
      <c r="H3475" s="29">
        <f>IF($B$2,IF(ROWS(B$6:$B3475) = 1,IF(COUNTIFS(R_Schedule_Times,"&lt;"&amp;B3475),INDEX(R_Schedule_Amounts,MATCH(B3475,R_Schedule_Times,1)),Starting_Cash),IF(COUNTIFS(R_Schedule_Times,"&gt;"&amp;B3474,R_Schedule_Times,"&lt;"&amp;B3475),INDEX(R_Schedule_Amounts,MATCH(B3475,R_Schedule_Times,1)),K3474)),"")</f>
        <v>5220</v>
      </c>
      <c r="I3475" s="30">
        <f t="shared" si="270"/>
        <v>80</v>
      </c>
      <c r="J3475" s="31">
        <f t="shared" si="271"/>
        <v>0</v>
      </c>
      <c r="K3475" s="29">
        <f t="shared" si="272"/>
        <v>5140</v>
      </c>
      <c r="L3475" s="31" t="str">
        <f t="shared" si="273"/>
        <v/>
      </c>
      <c r="M3475" s="31" t="str">
        <f t="shared" si="274"/>
        <v/>
      </c>
    </row>
    <row r="3476" spans="1:13" x14ac:dyDescent="0.15">
      <c r="A3476" s="163" t="s">
        <v>210</v>
      </c>
      <c r="B3476" s="163">
        <v>42365.564523263885</v>
      </c>
      <c r="C3476" s="164" t="s">
        <v>2751</v>
      </c>
      <c r="D3476" s="164" t="s">
        <v>13</v>
      </c>
      <c r="E3476" s="165">
        <v>40</v>
      </c>
      <c r="F3476" s="166">
        <v>0</v>
      </c>
      <c r="G3476" s="227">
        <f>IF($B$2,IF(ROWS(B$6:$B3476) = 1,$B3476-Start_Date,$B3476-$B3475),"")</f>
        <v>4.050844901939854E-3</v>
      </c>
      <c r="H3476" s="29">
        <f>IF($B$2,IF(ROWS(B$6:$B3476) = 1,IF(COUNTIFS(R_Schedule_Times,"&lt;"&amp;B3476),INDEX(R_Schedule_Amounts,MATCH(B3476,R_Schedule_Times,1)),Starting_Cash),IF(COUNTIFS(R_Schedule_Times,"&gt;"&amp;B3475,R_Schedule_Times,"&lt;"&amp;B3476),INDEX(R_Schedule_Amounts,MATCH(B3476,R_Schedule_Times,1)),K3475)),"")</f>
        <v>5140</v>
      </c>
      <c r="I3476" s="30">
        <f t="shared" si="270"/>
        <v>40</v>
      </c>
      <c r="J3476" s="31">
        <f t="shared" si="271"/>
        <v>0</v>
      </c>
      <c r="K3476" s="29">
        <f t="shared" si="272"/>
        <v>5100</v>
      </c>
      <c r="L3476" s="31" t="str">
        <f t="shared" si="273"/>
        <v/>
      </c>
      <c r="M3476" s="31" t="str">
        <f t="shared" si="274"/>
        <v/>
      </c>
    </row>
    <row r="3477" spans="1:13" x14ac:dyDescent="0.15">
      <c r="A3477" s="163" t="s">
        <v>210</v>
      </c>
      <c r="B3477" s="163">
        <v>42365.590918680558</v>
      </c>
      <c r="C3477" s="164" t="s">
        <v>1221</v>
      </c>
      <c r="D3477" s="164" t="s">
        <v>13</v>
      </c>
      <c r="E3477" s="165">
        <v>40</v>
      </c>
      <c r="F3477" s="166">
        <v>0</v>
      </c>
      <c r="G3477" s="227">
        <f>IF($B$2,IF(ROWS(B$6:$B3477) = 1,$B3477-Start_Date,$B3477-$B3476),"")</f>
        <v>2.6395416673040017E-2</v>
      </c>
      <c r="H3477" s="29">
        <f>IF($B$2,IF(ROWS(B$6:$B3477) = 1,IF(COUNTIFS(R_Schedule_Times,"&lt;"&amp;B3477),INDEX(R_Schedule_Amounts,MATCH(B3477,R_Schedule_Times,1)),Starting_Cash),IF(COUNTIFS(R_Schedule_Times,"&gt;"&amp;B3476,R_Schedule_Times,"&lt;"&amp;B3477),INDEX(R_Schedule_Amounts,MATCH(B3477,R_Schedule_Times,1)),K3476)),"")</f>
        <v>5100</v>
      </c>
      <c r="I3477" s="30">
        <f t="shared" si="270"/>
        <v>40</v>
      </c>
      <c r="J3477" s="31">
        <f t="shared" si="271"/>
        <v>0</v>
      </c>
      <c r="K3477" s="29">
        <f t="shared" si="272"/>
        <v>5060</v>
      </c>
      <c r="L3477" s="31" t="str">
        <f t="shared" si="273"/>
        <v/>
      </c>
      <c r="M3477" s="31" t="str">
        <f t="shared" si="274"/>
        <v/>
      </c>
    </row>
    <row r="3478" spans="1:13" x14ac:dyDescent="0.15">
      <c r="A3478" s="163" t="s">
        <v>210</v>
      </c>
      <c r="B3478" s="163">
        <v>42365.601176747688</v>
      </c>
      <c r="C3478" s="164" t="s">
        <v>2752</v>
      </c>
      <c r="D3478" s="164" t="s">
        <v>13</v>
      </c>
      <c r="E3478" s="165">
        <v>40</v>
      </c>
      <c r="F3478" s="166">
        <v>0</v>
      </c>
      <c r="G3478" s="227">
        <f>IF($B$2,IF(ROWS(B$6:$B3478) = 1,$B3478-Start_Date,$B3478-$B3477),"")</f>
        <v>1.025806713005295E-2</v>
      </c>
      <c r="H3478" s="29">
        <f>IF($B$2,IF(ROWS(B$6:$B3478) = 1,IF(COUNTIFS(R_Schedule_Times,"&lt;"&amp;B3478),INDEX(R_Schedule_Amounts,MATCH(B3478,R_Schedule_Times,1)),Starting_Cash),IF(COUNTIFS(R_Schedule_Times,"&gt;"&amp;B3477,R_Schedule_Times,"&lt;"&amp;B3478),INDEX(R_Schedule_Amounts,MATCH(B3478,R_Schedule_Times,1)),K3477)),"")</f>
        <v>5060</v>
      </c>
      <c r="I3478" s="30">
        <f t="shared" si="270"/>
        <v>40</v>
      </c>
      <c r="J3478" s="31">
        <f t="shared" si="271"/>
        <v>0</v>
      </c>
      <c r="K3478" s="29">
        <f t="shared" si="272"/>
        <v>5020</v>
      </c>
      <c r="L3478" s="31" t="str">
        <f t="shared" si="273"/>
        <v/>
      </c>
      <c r="M3478" s="31" t="str">
        <f t="shared" si="274"/>
        <v/>
      </c>
    </row>
    <row r="3479" spans="1:13" x14ac:dyDescent="0.15">
      <c r="A3479" s="163" t="s">
        <v>210</v>
      </c>
      <c r="B3479" s="163">
        <v>42365.611508148148</v>
      </c>
      <c r="C3479" s="164" t="s">
        <v>2753</v>
      </c>
      <c r="D3479" s="164" t="s">
        <v>13</v>
      </c>
      <c r="E3479" s="165">
        <v>60</v>
      </c>
      <c r="F3479" s="166">
        <v>0</v>
      </c>
      <c r="G3479" s="227">
        <f>IF($B$2,IF(ROWS(B$6:$B3479) = 1,$B3479-Start_Date,$B3479-$B3478),"")</f>
        <v>1.0331400459108409E-2</v>
      </c>
      <c r="H3479" s="29">
        <f>IF($B$2,IF(ROWS(B$6:$B3479) = 1,IF(COUNTIFS(R_Schedule_Times,"&lt;"&amp;B3479),INDEX(R_Schedule_Amounts,MATCH(B3479,R_Schedule_Times,1)),Starting_Cash),IF(COUNTIFS(R_Schedule_Times,"&gt;"&amp;B3478,R_Schedule_Times,"&lt;"&amp;B3479),INDEX(R_Schedule_Amounts,MATCH(B3479,R_Schedule_Times,1)),K3478)),"")</f>
        <v>5020</v>
      </c>
      <c r="I3479" s="30">
        <f t="shared" si="270"/>
        <v>60</v>
      </c>
      <c r="J3479" s="31">
        <f t="shared" si="271"/>
        <v>0</v>
      </c>
      <c r="K3479" s="29">
        <f t="shared" si="272"/>
        <v>4960</v>
      </c>
      <c r="L3479" s="31" t="str">
        <f t="shared" si="273"/>
        <v/>
      </c>
      <c r="M3479" s="31" t="str">
        <f t="shared" si="274"/>
        <v/>
      </c>
    </row>
    <row r="3480" spans="1:13" x14ac:dyDescent="0.15">
      <c r="A3480" s="163" t="s">
        <v>210</v>
      </c>
      <c r="B3480" s="163">
        <v>42365.617131076389</v>
      </c>
      <c r="C3480" s="164" t="s">
        <v>2754</v>
      </c>
      <c r="D3480" s="164" t="s">
        <v>13</v>
      </c>
      <c r="E3480" s="165">
        <v>60</v>
      </c>
      <c r="F3480" s="166">
        <v>0</v>
      </c>
      <c r="G3480" s="227">
        <f>IF($B$2,IF(ROWS(B$6:$B3480) = 1,$B3480-Start_Date,$B3480-$B3479),"")</f>
        <v>5.6229282417916693E-3</v>
      </c>
      <c r="H3480" s="29">
        <f>IF($B$2,IF(ROWS(B$6:$B3480) = 1,IF(COUNTIFS(R_Schedule_Times,"&lt;"&amp;B3480),INDEX(R_Schedule_Amounts,MATCH(B3480,R_Schedule_Times,1)),Starting_Cash),IF(COUNTIFS(R_Schedule_Times,"&gt;"&amp;B3479,R_Schedule_Times,"&lt;"&amp;B3480),INDEX(R_Schedule_Amounts,MATCH(B3480,R_Schedule_Times,1)),K3479)),"")</f>
        <v>4960</v>
      </c>
      <c r="I3480" s="30">
        <f t="shared" si="270"/>
        <v>60</v>
      </c>
      <c r="J3480" s="31">
        <f t="shared" si="271"/>
        <v>0</v>
      </c>
      <c r="K3480" s="29">
        <f t="shared" si="272"/>
        <v>4900</v>
      </c>
      <c r="L3480" s="31" t="str">
        <f t="shared" si="273"/>
        <v/>
      </c>
      <c r="M3480" s="31" t="str">
        <f t="shared" si="274"/>
        <v/>
      </c>
    </row>
    <row r="3481" spans="1:13" x14ac:dyDescent="0.15">
      <c r="A3481" s="163" t="s">
        <v>210</v>
      </c>
      <c r="B3481" s="163">
        <v>42365.621812418984</v>
      </c>
      <c r="C3481" s="164" t="s">
        <v>2755</v>
      </c>
      <c r="D3481" s="164" t="s">
        <v>13</v>
      </c>
      <c r="E3481" s="165">
        <v>40</v>
      </c>
      <c r="F3481" s="166">
        <v>0</v>
      </c>
      <c r="G3481" s="227">
        <f>IF($B$2,IF(ROWS(B$6:$B3481) = 1,$B3481-Start_Date,$B3481-$B3480),"")</f>
        <v>4.6813425942673348E-3</v>
      </c>
      <c r="H3481" s="29">
        <f>IF($B$2,IF(ROWS(B$6:$B3481) = 1,IF(COUNTIFS(R_Schedule_Times,"&lt;"&amp;B3481),INDEX(R_Schedule_Amounts,MATCH(B3481,R_Schedule_Times,1)),Starting_Cash),IF(COUNTIFS(R_Schedule_Times,"&gt;"&amp;B3480,R_Schedule_Times,"&lt;"&amp;B3481),INDEX(R_Schedule_Amounts,MATCH(B3481,R_Schedule_Times,1)),K3480)),"")</f>
        <v>4900</v>
      </c>
      <c r="I3481" s="30">
        <f t="shared" si="270"/>
        <v>40</v>
      </c>
      <c r="J3481" s="31">
        <f t="shared" si="271"/>
        <v>0</v>
      </c>
      <c r="K3481" s="29">
        <f t="shared" si="272"/>
        <v>4860</v>
      </c>
      <c r="L3481" s="31" t="str">
        <f t="shared" si="273"/>
        <v/>
      </c>
      <c r="M3481" s="31" t="str">
        <f t="shared" si="274"/>
        <v/>
      </c>
    </row>
    <row r="3482" spans="1:13" x14ac:dyDescent="0.15">
      <c r="A3482" s="163" t="s">
        <v>210</v>
      </c>
      <c r="B3482" s="163">
        <v>42365.628852511574</v>
      </c>
      <c r="C3482" s="164" t="s">
        <v>2756</v>
      </c>
      <c r="D3482" s="164" t="s">
        <v>13</v>
      </c>
      <c r="E3482" s="165">
        <v>100</v>
      </c>
      <c r="F3482" s="166">
        <v>0</v>
      </c>
      <c r="G3482" s="227">
        <f>IF($B$2,IF(ROWS(B$6:$B3482) = 1,$B3482-Start_Date,$B3482-$B3481),"")</f>
        <v>7.040092590614222E-3</v>
      </c>
      <c r="H3482" s="29">
        <f>IF($B$2,IF(ROWS(B$6:$B3482) = 1,IF(COUNTIFS(R_Schedule_Times,"&lt;"&amp;B3482),INDEX(R_Schedule_Amounts,MATCH(B3482,R_Schedule_Times,1)),Starting_Cash),IF(COUNTIFS(R_Schedule_Times,"&gt;"&amp;B3481,R_Schedule_Times,"&lt;"&amp;B3482),INDEX(R_Schedule_Amounts,MATCH(B3482,R_Schedule_Times,1)),K3481)),"")</f>
        <v>4860</v>
      </c>
      <c r="I3482" s="30">
        <f t="shared" si="270"/>
        <v>100</v>
      </c>
      <c r="J3482" s="31">
        <f t="shared" si="271"/>
        <v>0</v>
      </c>
      <c r="K3482" s="29">
        <f t="shared" si="272"/>
        <v>4760</v>
      </c>
      <c r="L3482" s="31" t="str">
        <f t="shared" si="273"/>
        <v/>
      </c>
      <c r="M3482" s="31" t="str">
        <f t="shared" si="274"/>
        <v/>
      </c>
    </row>
    <row r="3483" spans="1:13" x14ac:dyDescent="0.15">
      <c r="A3483" s="163" t="s">
        <v>210</v>
      </c>
      <c r="B3483" s="163">
        <v>42365.698858634256</v>
      </c>
      <c r="C3483" s="164" t="s">
        <v>2757</v>
      </c>
      <c r="D3483" s="164" t="s">
        <v>13</v>
      </c>
      <c r="E3483" s="165">
        <v>20</v>
      </c>
      <c r="F3483" s="166">
        <v>0</v>
      </c>
      <c r="G3483" s="227">
        <f>IF($B$2,IF(ROWS(B$6:$B3483) = 1,$B3483-Start_Date,$B3483-$B3482),"")</f>
        <v>7.0006122681661509E-2</v>
      </c>
      <c r="H3483" s="29">
        <f>IF($B$2,IF(ROWS(B$6:$B3483) = 1,IF(COUNTIFS(R_Schedule_Times,"&lt;"&amp;B3483),INDEX(R_Schedule_Amounts,MATCH(B3483,R_Schedule_Times,1)),Starting_Cash),IF(COUNTIFS(R_Schedule_Times,"&gt;"&amp;B3482,R_Schedule_Times,"&lt;"&amp;B3483),INDEX(R_Schedule_Amounts,MATCH(B3483,R_Schedule_Times,1)),K3482)),"")</f>
        <v>4760</v>
      </c>
      <c r="I3483" s="30">
        <f t="shared" si="270"/>
        <v>20</v>
      </c>
      <c r="J3483" s="31">
        <f t="shared" si="271"/>
        <v>0</v>
      </c>
      <c r="K3483" s="29">
        <f t="shared" si="272"/>
        <v>4740</v>
      </c>
      <c r="L3483" s="31" t="str">
        <f t="shared" si="273"/>
        <v/>
      </c>
      <c r="M3483" s="31" t="str">
        <f t="shared" si="274"/>
        <v/>
      </c>
    </row>
    <row r="3484" spans="1:13" x14ac:dyDescent="0.15">
      <c r="A3484" s="163" t="s">
        <v>210</v>
      </c>
      <c r="B3484" s="163">
        <v>42365.703191504632</v>
      </c>
      <c r="C3484" s="164" t="s">
        <v>2526</v>
      </c>
      <c r="D3484" s="164" t="s">
        <v>13</v>
      </c>
      <c r="E3484" s="165">
        <v>60</v>
      </c>
      <c r="F3484" s="166">
        <v>0</v>
      </c>
      <c r="G3484" s="227">
        <f>IF($B$2,IF(ROWS(B$6:$B3484) = 1,$B3484-Start_Date,$B3484-$B3483),"")</f>
        <v>4.3328703759470955E-3</v>
      </c>
      <c r="H3484" s="29">
        <f>IF($B$2,IF(ROWS(B$6:$B3484) = 1,IF(COUNTIFS(R_Schedule_Times,"&lt;"&amp;B3484),INDEX(R_Schedule_Amounts,MATCH(B3484,R_Schedule_Times,1)),Starting_Cash),IF(COUNTIFS(R_Schedule_Times,"&gt;"&amp;B3483,R_Schedule_Times,"&lt;"&amp;B3484),INDEX(R_Schedule_Amounts,MATCH(B3484,R_Schedule_Times,1)),K3483)),"")</f>
        <v>4740</v>
      </c>
      <c r="I3484" s="30">
        <f t="shared" si="270"/>
        <v>60</v>
      </c>
      <c r="J3484" s="31">
        <f t="shared" si="271"/>
        <v>0</v>
      </c>
      <c r="K3484" s="29">
        <f t="shared" si="272"/>
        <v>4680</v>
      </c>
      <c r="L3484" s="31" t="str">
        <f t="shared" si="273"/>
        <v/>
      </c>
      <c r="M3484" s="31" t="str">
        <f t="shared" si="274"/>
        <v/>
      </c>
    </row>
    <row r="3485" spans="1:13" x14ac:dyDescent="0.15">
      <c r="A3485" s="163" t="s">
        <v>210</v>
      </c>
      <c r="B3485" s="163">
        <v>42365.729712546294</v>
      </c>
      <c r="C3485" s="164" t="s">
        <v>1210</v>
      </c>
      <c r="D3485" s="164" t="s">
        <v>13</v>
      </c>
      <c r="E3485" s="165">
        <v>20</v>
      </c>
      <c r="F3485" s="166">
        <v>0</v>
      </c>
      <c r="G3485" s="227">
        <f>IF($B$2,IF(ROWS(B$6:$B3485) = 1,$B3485-Start_Date,$B3485-$B3484),"")</f>
        <v>2.6521041661908384E-2</v>
      </c>
      <c r="H3485" s="29">
        <f>IF($B$2,IF(ROWS(B$6:$B3485) = 1,IF(COUNTIFS(R_Schedule_Times,"&lt;"&amp;B3485),INDEX(R_Schedule_Amounts,MATCH(B3485,R_Schedule_Times,1)),Starting_Cash),IF(COUNTIFS(R_Schedule_Times,"&gt;"&amp;B3484,R_Schedule_Times,"&lt;"&amp;B3485),INDEX(R_Schedule_Amounts,MATCH(B3485,R_Schedule_Times,1)),K3484)),"")</f>
        <v>4680</v>
      </c>
      <c r="I3485" s="30">
        <f t="shared" si="270"/>
        <v>20</v>
      </c>
      <c r="J3485" s="31">
        <f t="shared" si="271"/>
        <v>0</v>
      </c>
      <c r="K3485" s="29">
        <f t="shared" si="272"/>
        <v>4660</v>
      </c>
      <c r="L3485" s="31" t="str">
        <f t="shared" si="273"/>
        <v/>
      </c>
      <c r="M3485" s="31" t="str">
        <f t="shared" si="274"/>
        <v/>
      </c>
    </row>
    <row r="3486" spans="1:13" x14ac:dyDescent="0.15">
      <c r="A3486" s="163" t="s">
        <v>210</v>
      </c>
      <c r="B3486" s="163">
        <v>42365.749102048612</v>
      </c>
      <c r="C3486" s="164" t="s">
        <v>1059</v>
      </c>
      <c r="D3486" s="164" t="s">
        <v>13</v>
      </c>
      <c r="E3486" s="165">
        <v>80</v>
      </c>
      <c r="F3486" s="166">
        <v>0</v>
      </c>
      <c r="G3486" s="227">
        <f>IF($B$2,IF(ROWS(B$6:$B3486) = 1,$B3486-Start_Date,$B3486-$B3485),"")</f>
        <v>1.9389502318517771E-2</v>
      </c>
      <c r="H3486" s="29">
        <f>IF($B$2,IF(ROWS(B$6:$B3486) = 1,IF(COUNTIFS(R_Schedule_Times,"&lt;"&amp;B3486),INDEX(R_Schedule_Amounts,MATCH(B3486,R_Schedule_Times,1)),Starting_Cash),IF(COUNTIFS(R_Schedule_Times,"&gt;"&amp;B3485,R_Schedule_Times,"&lt;"&amp;B3486),INDEX(R_Schedule_Amounts,MATCH(B3486,R_Schedule_Times,1)),K3485)),"")</f>
        <v>4660</v>
      </c>
      <c r="I3486" s="30">
        <f t="shared" si="270"/>
        <v>80</v>
      </c>
      <c r="J3486" s="31">
        <f t="shared" si="271"/>
        <v>0</v>
      </c>
      <c r="K3486" s="29">
        <f t="shared" si="272"/>
        <v>4580</v>
      </c>
      <c r="L3486" s="31" t="str">
        <f t="shared" si="273"/>
        <v/>
      </c>
      <c r="M3486" s="31" t="str">
        <f t="shared" si="274"/>
        <v/>
      </c>
    </row>
    <row r="3487" spans="1:13" x14ac:dyDescent="0.15">
      <c r="A3487" s="163" t="s">
        <v>210</v>
      </c>
      <c r="B3487" s="163">
        <v>42365.758686041663</v>
      </c>
      <c r="C3487" s="164" t="s">
        <v>2432</v>
      </c>
      <c r="D3487" s="164" t="s">
        <v>13</v>
      </c>
      <c r="E3487" s="165">
        <v>100</v>
      </c>
      <c r="F3487" s="166">
        <v>0</v>
      </c>
      <c r="G3487" s="227">
        <f>IF($B$2,IF(ROWS(B$6:$B3487) = 1,$B3487-Start_Date,$B3487-$B3486),"")</f>
        <v>9.5839930509100668E-3</v>
      </c>
      <c r="H3487" s="29">
        <f>IF($B$2,IF(ROWS(B$6:$B3487) = 1,IF(COUNTIFS(R_Schedule_Times,"&lt;"&amp;B3487),INDEX(R_Schedule_Amounts,MATCH(B3487,R_Schedule_Times,1)),Starting_Cash),IF(COUNTIFS(R_Schedule_Times,"&gt;"&amp;B3486,R_Schedule_Times,"&lt;"&amp;B3487),INDEX(R_Schedule_Amounts,MATCH(B3487,R_Schedule_Times,1)),K3486)),"")</f>
        <v>4580</v>
      </c>
      <c r="I3487" s="30">
        <f t="shared" si="270"/>
        <v>100</v>
      </c>
      <c r="J3487" s="31">
        <f t="shared" si="271"/>
        <v>0</v>
      </c>
      <c r="K3487" s="29">
        <f t="shared" si="272"/>
        <v>4480</v>
      </c>
      <c r="L3487" s="31" t="str">
        <f t="shared" si="273"/>
        <v/>
      </c>
      <c r="M3487" s="31" t="str">
        <f t="shared" si="274"/>
        <v/>
      </c>
    </row>
    <row r="3488" spans="1:13" x14ac:dyDescent="0.15">
      <c r="A3488" s="163" t="s">
        <v>210</v>
      </c>
      <c r="B3488" s="163">
        <v>42365.927097141204</v>
      </c>
      <c r="C3488" s="164" t="s">
        <v>1083</v>
      </c>
      <c r="D3488" s="164" t="s">
        <v>13</v>
      </c>
      <c r="E3488" s="165">
        <v>180</v>
      </c>
      <c r="F3488" s="166">
        <v>0</v>
      </c>
      <c r="G3488" s="227">
        <f>IF($B$2,IF(ROWS(B$6:$B3488) = 1,$B3488-Start_Date,$B3488-$B3487),"")</f>
        <v>0.16841109954111744</v>
      </c>
      <c r="H3488" s="29">
        <f>IF($B$2,IF(ROWS(B$6:$B3488) = 1,IF(COUNTIFS(R_Schedule_Times,"&lt;"&amp;B3488),INDEX(R_Schedule_Amounts,MATCH(B3488,R_Schedule_Times,1)),Starting_Cash),IF(COUNTIFS(R_Schedule_Times,"&gt;"&amp;B3487,R_Schedule_Times,"&lt;"&amp;B3488),INDEX(R_Schedule_Amounts,MATCH(B3488,R_Schedule_Times,1)),K3487)),"")</f>
        <v>4480</v>
      </c>
      <c r="I3488" s="30">
        <f t="shared" si="270"/>
        <v>180</v>
      </c>
      <c r="J3488" s="31">
        <f t="shared" si="271"/>
        <v>0</v>
      </c>
      <c r="K3488" s="29">
        <f t="shared" si="272"/>
        <v>4300</v>
      </c>
      <c r="L3488" s="31" t="str">
        <f t="shared" si="273"/>
        <v/>
      </c>
      <c r="M3488" s="31" t="str">
        <f t="shared" si="274"/>
        <v/>
      </c>
    </row>
    <row r="3489" spans="1:13" x14ac:dyDescent="0.15">
      <c r="A3489" s="163" t="s">
        <v>210</v>
      </c>
      <c r="B3489" s="163">
        <v>42366.266253391201</v>
      </c>
      <c r="C3489" s="164" t="s">
        <v>1910</v>
      </c>
      <c r="D3489" s="164" t="s">
        <v>13</v>
      </c>
      <c r="E3489" s="165">
        <v>60</v>
      </c>
      <c r="F3489" s="166">
        <v>0</v>
      </c>
      <c r="G3489" s="227">
        <f>IF($B$2,IF(ROWS(B$6:$B3489) = 1,$B3489-Start_Date,$B3489-$B3488),"")</f>
        <v>0.33915624999644933</v>
      </c>
      <c r="H3489" s="29">
        <f>IF($B$2,IF(ROWS(B$6:$B3489) = 1,IF(COUNTIFS(R_Schedule_Times,"&lt;"&amp;B3489),INDEX(R_Schedule_Amounts,MATCH(B3489,R_Schedule_Times,1)),Starting_Cash),IF(COUNTIFS(R_Schedule_Times,"&gt;"&amp;B3488,R_Schedule_Times,"&lt;"&amp;B3489),INDEX(R_Schedule_Amounts,MATCH(B3489,R_Schedule_Times,1)),K3488)),"")</f>
        <v>11000</v>
      </c>
      <c r="I3489" s="30">
        <f t="shared" si="270"/>
        <v>60</v>
      </c>
      <c r="J3489" s="31">
        <f t="shared" si="271"/>
        <v>0</v>
      </c>
      <c r="K3489" s="29">
        <f t="shared" si="272"/>
        <v>10940</v>
      </c>
      <c r="L3489" s="31" t="str">
        <f t="shared" si="273"/>
        <v/>
      </c>
      <c r="M3489" s="31" t="str">
        <f t="shared" si="274"/>
        <v/>
      </c>
    </row>
    <row r="3490" spans="1:13" x14ac:dyDescent="0.15">
      <c r="A3490" s="163" t="s">
        <v>210</v>
      </c>
      <c r="B3490" s="163">
        <v>42366.301288784722</v>
      </c>
      <c r="C3490" s="164" t="s">
        <v>2758</v>
      </c>
      <c r="D3490" s="164" t="s">
        <v>13</v>
      </c>
      <c r="E3490" s="165">
        <v>140</v>
      </c>
      <c r="F3490" s="166">
        <v>0</v>
      </c>
      <c r="G3490" s="227">
        <f>IF($B$2,IF(ROWS(B$6:$B3490) = 1,$B3490-Start_Date,$B3490-$B3489),"")</f>
        <v>3.5035393520956859E-2</v>
      </c>
      <c r="H3490" s="29">
        <f>IF($B$2,IF(ROWS(B$6:$B3490) = 1,IF(COUNTIFS(R_Schedule_Times,"&lt;"&amp;B3490),INDEX(R_Schedule_Amounts,MATCH(B3490,R_Schedule_Times,1)),Starting_Cash),IF(COUNTIFS(R_Schedule_Times,"&gt;"&amp;B3489,R_Schedule_Times,"&lt;"&amp;B3490),INDEX(R_Schedule_Amounts,MATCH(B3490,R_Schedule_Times,1)),K3489)),"")</f>
        <v>10940</v>
      </c>
      <c r="I3490" s="30">
        <f t="shared" si="270"/>
        <v>140</v>
      </c>
      <c r="J3490" s="31">
        <f t="shared" si="271"/>
        <v>0</v>
      </c>
      <c r="K3490" s="29">
        <f t="shared" si="272"/>
        <v>10800</v>
      </c>
      <c r="L3490" s="31" t="str">
        <f t="shared" si="273"/>
        <v/>
      </c>
      <c r="M3490" s="31" t="str">
        <f t="shared" si="274"/>
        <v/>
      </c>
    </row>
    <row r="3491" spans="1:13" x14ac:dyDescent="0.15">
      <c r="A3491" s="163" t="s">
        <v>210</v>
      </c>
      <c r="B3491" s="163">
        <v>42366.310279386576</v>
      </c>
      <c r="C3491" s="164" t="s">
        <v>1593</v>
      </c>
      <c r="D3491" s="164" t="s">
        <v>13</v>
      </c>
      <c r="E3491" s="165">
        <v>40</v>
      </c>
      <c r="F3491" s="166">
        <v>0</v>
      </c>
      <c r="G3491" s="227">
        <f>IF($B$2,IF(ROWS(B$6:$B3491) = 1,$B3491-Start_Date,$B3491-$B3490),"")</f>
        <v>8.9906018547480926E-3</v>
      </c>
      <c r="H3491" s="29">
        <f>IF($B$2,IF(ROWS(B$6:$B3491) = 1,IF(COUNTIFS(R_Schedule_Times,"&lt;"&amp;B3491),INDEX(R_Schedule_Amounts,MATCH(B3491,R_Schedule_Times,1)),Starting_Cash),IF(COUNTIFS(R_Schedule_Times,"&gt;"&amp;B3490,R_Schedule_Times,"&lt;"&amp;B3491),INDEX(R_Schedule_Amounts,MATCH(B3491,R_Schedule_Times,1)),K3490)),"")</f>
        <v>10800</v>
      </c>
      <c r="I3491" s="30">
        <f t="shared" si="270"/>
        <v>40</v>
      </c>
      <c r="J3491" s="31">
        <f t="shared" si="271"/>
        <v>0</v>
      </c>
      <c r="K3491" s="29">
        <f t="shared" si="272"/>
        <v>10760</v>
      </c>
      <c r="L3491" s="31" t="str">
        <f t="shared" si="273"/>
        <v/>
      </c>
      <c r="M3491" s="31" t="str">
        <f t="shared" si="274"/>
        <v/>
      </c>
    </row>
    <row r="3492" spans="1:13" x14ac:dyDescent="0.15">
      <c r="A3492" s="163" t="s">
        <v>210</v>
      </c>
      <c r="B3492" s="163">
        <v>42366.312507789349</v>
      </c>
      <c r="C3492" s="164" t="s">
        <v>14</v>
      </c>
      <c r="D3492" s="164" t="s">
        <v>13</v>
      </c>
      <c r="E3492" s="165">
        <v>100</v>
      </c>
      <c r="F3492" s="166">
        <v>3.5</v>
      </c>
      <c r="G3492" s="227">
        <f>IF($B$2,IF(ROWS(B$6:$B3492) = 1,$B3492-Start_Date,$B3492-$B3491),"")</f>
        <v>2.2284027727437206E-3</v>
      </c>
      <c r="H3492" s="29">
        <f>IF($B$2,IF(ROWS(B$6:$B3492) = 1,IF(COUNTIFS(R_Schedule_Times,"&lt;"&amp;B3492),INDEX(R_Schedule_Amounts,MATCH(B3492,R_Schedule_Times,1)),Starting_Cash),IF(COUNTIFS(R_Schedule_Times,"&gt;"&amp;B3491,R_Schedule_Times,"&lt;"&amp;B3492),INDEX(R_Schedule_Amounts,MATCH(B3492,R_Schedule_Times,1)),K3491)),"")</f>
        <v>10760</v>
      </c>
      <c r="I3492" s="30">
        <f t="shared" si="270"/>
        <v>100</v>
      </c>
      <c r="J3492" s="31">
        <f t="shared" si="271"/>
        <v>3.5</v>
      </c>
      <c r="K3492" s="29">
        <f t="shared" si="272"/>
        <v>10660</v>
      </c>
      <c r="L3492" s="31" t="str">
        <f t="shared" si="273"/>
        <v/>
      </c>
      <c r="M3492" s="31" t="str">
        <f t="shared" si="274"/>
        <v/>
      </c>
    </row>
    <row r="3493" spans="1:13" x14ac:dyDescent="0.15">
      <c r="A3493" s="163" t="s">
        <v>210</v>
      </c>
      <c r="B3493" s="163">
        <v>42366.31338388889</v>
      </c>
      <c r="C3493" s="164" t="s">
        <v>2759</v>
      </c>
      <c r="D3493" s="164" t="s">
        <v>13</v>
      </c>
      <c r="E3493" s="165">
        <v>100</v>
      </c>
      <c r="F3493" s="166">
        <v>0</v>
      </c>
      <c r="G3493" s="227">
        <f>IF($B$2,IF(ROWS(B$6:$B3493) = 1,$B3493-Start_Date,$B3493-$B3492),"")</f>
        <v>8.7609954061917961E-4</v>
      </c>
      <c r="H3493" s="29">
        <f>IF($B$2,IF(ROWS(B$6:$B3493) = 1,IF(COUNTIFS(R_Schedule_Times,"&lt;"&amp;B3493),INDEX(R_Schedule_Amounts,MATCH(B3493,R_Schedule_Times,1)),Starting_Cash),IF(COUNTIFS(R_Schedule_Times,"&gt;"&amp;B3492,R_Schedule_Times,"&lt;"&amp;B3493),INDEX(R_Schedule_Amounts,MATCH(B3493,R_Schedule_Times,1)),K3492)),"")</f>
        <v>10660</v>
      </c>
      <c r="I3493" s="30">
        <f t="shared" si="270"/>
        <v>100</v>
      </c>
      <c r="J3493" s="31">
        <f t="shared" si="271"/>
        <v>0</v>
      </c>
      <c r="K3493" s="29">
        <f t="shared" si="272"/>
        <v>10560</v>
      </c>
      <c r="L3493" s="31" t="str">
        <f t="shared" si="273"/>
        <v/>
      </c>
      <c r="M3493" s="31" t="str">
        <f t="shared" si="274"/>
        <v/>
      </c>
    </row>
    <row r="3494" spans="1:13" x14ac:dyDescent="0.15">
      <c r="A3494" s="163" t="s">
        <v>210</v>
      </c>
      <c r="B3494" s="163">
        <v>42366.315227766201</v>
      </c>
      <c r="C3494" s="164" t="s">
        <v>2760</v>
      </c>
      <c r="D3494" s="164" t="s">
        <v>13</v>
      </c>
      <c r="E3494" s="165">
        <v>140</v>
      </c>
      <c r="F3494" s="166">
        <v>0</v>
      </c>
      <c r="G3494" s="227">
        <f>IF($B$2,IF(ROWS(B$6:$B3494) = 1,$B3494-Start_Date,$B3494-$B3493),"")</f>
        <v>1.8438773113302886E-3</v>
      </c>
      <c r="H3494" s="29">
        <f>IF($B$2,IF(ROWS(B$6:$B3494) = 1,IF(COUNTIFS(R_Schedule_Times,"&lt;"&amp;B3494),INDEX(R_Schedule_Amounts,MATCH(B3494,R_Schedule_Times,1)),Starting_Cash),IF(COUNTIFS(R_Schedule_Times,"&gt;"&amp;B3493,R_Schedule_Times,"&lt;"&amp;B3494),INDEX(R_Schedule_Amounts,MATCH(B3494,R_Schedule_Times,1)),K3493)),"")</f>
        <v>10560</v>
      </c>
      <c r="I3494" s="30">
        <f t="shared" si="270"/>
        <v>140</v>
      </c>
      <c r="J3494" s="31">
        <f t="shared" si="271"/>
        <v>0</v>
      </c>
      <c r="K3494" s="29">
        <f t="shared" si="272"/>
        <v>10420</v>
      </c>
      <c r="L3494" s="31" t="str">
        <f t="shared" si="273"/>
        <v/>
      </c>
      <c r="M3494" s="31" t="str">
        <f t="shared" si="274"/>
        <v/>
      </c>
    </row>
    <row r="3495" spans="1:13" x14ac:dyDescent="0.15">
      <c r="A3495" s="163" t="s">
        <v>210</v>
      </c>
      <c r="B3495" s="163">
        <v>42366.317181712962</v>
      </c>
      <c r="C3495" s="164" t="s">
        <v>2761</v>
      </c>
      <c r="D3495" s="164" t="s">
        <v>13</v>
      </c>
      <c r="E3495" s="165">
        <v>40</v>
      </c>
      <c r="F3495" s="166">
        <v>0</v>
      </c>
      <c r="G3495" s="227">
        <f>IF($B$2,IF(ROWS(B$6:$B3495) = 1,$B3495-Start_Date,$B3495-$B3494),"")</f>
        <v>1.9539467612048611E-3</v>
      </c>
      <c r="H3495" s="29">
        <f>IF($B$2,IF(ROWS(B$6:$B3495) = 1,IF(COUNTIFS(R_Schedule_Times,"&lt;"&amp;B3495),INDEX(R_Schedule_Amounts,MATCH(B3495,R_Schedule_Times,1)),Starting_Cash),IF(COUNTIFS(R_Schedule_Times,"&gt;"&amp;B3494,R_Schedule_Times,"&lt;"&amp;B3495),INDEX(R_Schedule_Amounts,MATCH(B3495,R_Schedule_Times,1)),K3494)),"")</f>
        <v>10420</v>
      </c>
      <c r="I3495" s="30">
        <f t="shared" si="270"/>
        <v>40</v>
      </c>
      <c r="J3495" s="31">
        <f t="shared" si="271"/>
        <v>0</v>
      </c>
      <c r="K3495" s="29">
        <f t="shared" si="272"/>
        <v>10380</v>
      </c>
      <c r="L3495" s="31" t="str">
        <f t="shared" si="273"/>
        <v/>
      </c>
      <c r="M3495" s="31" t="str">
        <f t="shared" si="274"/>
        <v/>
      </c>
    </row>
    <row r="3496" spans="1:13" x14ac:dyDescent="0.15">
      <c r="A3496" s="163" t="s">
        <v>210</v>
      </c>
      <c r="B3496" s="163">
        <v>42366.324646261572</v>
      </c>
      <c r="C3496" s="164" t="s">
        <v>2762</v>
      </c>
      <c r="D3496" s="164" t="s">
        <v>13</v>
      </c>
      <c r="E3496" s="165">
        <v>100</v>
      </c>
      <c r="F3496" s="166">
        <v>0</v>
      </c>
      <c r="G3496" s="227">
        <f>IF($B$2,IF(ROWS(B$6:$B3496) = 1,$B3496-Start_Date,$B3496-$B3495),"")</f>
        <v>7.4645486092776991E-3</v>
      </c>
      <c r="H3496" s="29">
        <f>IF($B$2,IF(ROWS(B$6:$B3496) = 1,IF(COUNTIFS(R_Schedule_Times,"&lt;"&amp;B3496),INDEX(R_Schedule_Amounts,MATCH(B3496,R_Schedule_Times,1)),Starting_Cash),IF(COUNTIFS(R_Schedule_Times,"&gt;"&amp;B3495,R_Schedule_Times,"&lt;"&amp;B3496),INDEX(R_Schedule_Amounts,MATCH(B3496,R_Schedule_Times,1)),K3495)),"")</f>
        <v>10380</v>
      </c>
      <c r="I3496" s="30">
        <f t="shared" si="270"/>
        <v>100</v>
      </c>
      <c r="J3496" s="31">
        <f t="shared" si="271"/>
        <v>0</v>
      </c>
      <c r="K3496" s="29">
        <f t="shared" si="272"/>
        <v>10280</v>
      </c>
      <c r="L3496" s="31" t="str">
        <f t="shared" si="273"/>
        <v/>
      </c>
      <c r="M3496" s="31" t="str">
        <f t="shared" si="274"/>
        <v/>
      </c>
    </row>
    <row r="3497" spans="1:13" x14ac:dyDescent="0.15">
      <c r="A3497" s="163" t="s">
        <v>210</v>
      </c>
      <c r="B3497" s="163">
        <v>42366.376466550922</v>
      </c>
      <c r="C3497" s="164" t="s">
        <v>2763</v>
      </c>
      <c r="D3497" s="164" t="s">
        <v>13</v>
      </c>
      <c r="E3497" s="165">
        <v>100</v>
      </c>
      <c r="F3497" s="166">
        <v>0</v>
      </c>
      <c r="G3497" s="227">
        <f>IF($B$2,IF(ROWS(B$6:$B3497) = 1,$B3497-Start_Date,$B3497-$B3496),"")</f>
        <v>5.1820289350871462E-2</v>
      </c>
      <c r="H3497" s="29">
        <f>IF($B$2,IF(ROWS(B$6:$B3497) = 1,IF(COUNTIFS(R_Schedule_Times,"&lt;"&amp;B3497),INDEX(R_Schedule_Amounts,MATCH(B3497,R_Schedule_Times,1)),Starting_Cash),IF(COUNTIFS(R_Schedule_Times,"&gt;"&amp;B3496,R_Schedule_Times,"&lt;"&amp;B3497),INDEX(R_Schedule_Amounts,MATCH(B3497,R_Schedule_Times,1)),K3496)),"")</f>
        <v>10280</v>
      </c>
      <c r="I3497" s="30">
        <f t="shared" si="270"/>
        <v>100</v>
      </c>
      <c r="J3497" s="31">
        <f t="shared" si="271"/>
        <v>0</v>
      </c>
      <c r="K3497" s="29">
        <f t="shared" si="272"/>
        <v>10180</v>
      </c>
      <c r="L3497" s="31" t="str">
        <f t="shared" si="273"/>
        <v/>
      </c>
      <c r="M3497" s="31" t="str">
        <f t="shared" si="274"/>
        <v/>
      </c>
    </row>
    <row r="3498" spans="1:13" x14ac:dyDescent="0.15">
      <c r="A3498" s="163" t="s">
        <v>210</v>
      </c>
      <c r="B3498" s="163">
        <v>42366.378975856482</v>
      </c>
      <c r="C3498" s="164" t="s">
        <v>2764</v>
      </c>
      <c r="D3498" s="164" t="s">
        <v>13</v>
      </c>
      <c r="E3498" s="165">
        <v>20</v>
      </c>
      <c r="F3498" s="166">
        <v>0</v>
      </c>
      <c r="G3498" s="227">
        <f>IF($B$2,IF(ROWS(B$6:$B3498) = 1,$B3498-Start_Date,$B3498-$B3497),"")</f>
        <v>2.5093055592151359E-3</v>
      </c>
      <c r="H3498" s="29">
        <f>IF($B$2,IF(ROWS(B$6:$B3498) = 1,IF(COUNTIFS(R_Schedule_Times,"&lt;"&amp;B3498),INDEX(R_Schedule_Amounts,MATCH(B3498,R_Schedule_Times,1)),Starting_Cash),IF(COUNTIFS(R_Schedule_Times,"&gt;"&amp;B3497,R_Schedule_Times,"&lt;"&amp;B3498),INDEX(R_Schedule_Amounts,MATCH(B3498,R_Schedule_Times,1)),K3497)),"")</f>
        <v>10180</v>
      </c>
      <c r="I3498" s="30">
        <f t="shared" si="270"/>
        <v>20</v>
      </c>
      <c r="J3498" s="31">
        <f t="shared" si="271"/>
        <v>0</v>
      </c>
      <c r="K3498" s="29">
        <f t="shared" si="272"/>
        <v>10160</v>
      </c>
      <c r="L3498" s="31" t="str">
        <f t="shared" si="273"/>
        <v/>
      </c>
      <c r="M3498" s="31" t="str">
        <f t="shared" si="274"/>
        <v/>
      </c>
    </row>
    <row r="3499" spans="1:13" x14ac:dyDescent="0.15">
      <c r="A3499" s="163" t="s">
        <v>210</v>
      </c>
      <c r="B3499" s="163">
        <v>42366.452945115743</v>
      </c>
      <c r="C3499" s="164" t="s">
        <v>14</v>
      </c>
      <c r="D3499" s="164" t="s">
        <v>13</v>
      </c>
      <c r="E3499" s="165">
        <v>40</v>
      </c>
      <c r="F3499" s="166">
        <v>3.5</v>
      </c>
      <c r="G3499" s="227">
        <f>IF($B$2,IF(ROWS(B$6:$B3499) = 1,$B3499-Start_Date,$B3499-$B3498),"")</f>
        <v>7.3969259261502884E-2</v>
      </c>
      <c r="H3499" s="29">
        <f>IF($B$2,IF(ROWS(B$6:$B3499) = 1,IF(COUNTIFS(R_Schedule_Times,"&lt;"&amp;B3499),INDEX(R_Schedule_Amounts,MATCH(B3499,R_Schedule_Times,1)),Starting_Cash),IF(COUNTIFS(R_Schedule_Times,"&gt;"&amp;B3498,R_Schedule_Times,"&lt;"&amp;B3499),INDEX(R_Schedule_Amounts,MATCH(B3499,R_Schedule_Times,1)),K3498)),"")</f>
        <v>10160</v>
      </c>
      <c r="I3499" s="30">
        <f t="shared" si="270"/>
        <v>40</v>
      </c>
      <c r="J3499" s="31">
        <f t="shared" si="271"/>
        <v>3.5</v>
      </c>
      <c r="K3499" s="29">
        <f t="shared" si="272"/>
        <v>10120</v>
      </c>
      <c r="L3499" s="31" t="str">
        <f t="shared" si="273"/>
        <v/>
      </c>
      <c r="M3499" s="31" t="str">
        <f t="shared" si="274"/>
        <v/>
      </c>
    </row>
    <row r="3500" spans="1:13" x14ac:dyDescent="0.15">
      <c r="A3500" s="163" t="s">
        <v>210</v>
      </c>
      <c r="B3500" s="163">
        <v>42366.494218564818</v>
      </c>
      <c r="C3500" s="164" t="s">
        <v>2765</v>
      </c>
      <c r="D3500" s="164" t="s">
        <v>13</v>
      </c>
      <c r="E3500" s="165">
        <v>20</v>
      </c>
      <c r="F3500" s="166">
        <v>0</v>
      </c>
      <c r="G3500" s="227">
        <f>IF($B$2,IF(ROWS(B$6:$B3500) = 1,$B3500-Start_Date,$B3500-$B3499),"")</f>
        <v>4.127344907465158E-2</v>
      </c>
      <c r="H3500" s="29">
        <f>IF($B$2,IF(ROWS(B$6:$B3500) = 1,IF(COUNTIFS(R_Schedule_Times,"&lt;"&amp;B3500),INDEX(R_Schedule_Amounts,MATCH(B3500,R_Schedule_Times,1)),Starting_Cash),IF(COUNTIFS(R_Schedule_Times,"&gt;"&amp;B3499,R_Schedule_Times,"&lt;"&amp;B3500),INDEX(R_Schedule_Amounts,MATCH(B3500,R_Schedule_Times,1)),K3499)),"")</f>
        <v>10120</v>
      </c>
      <c r="I3500" s="30">
        <f t="shared" si="270"/>
        <v>20</v>
      </c>
      <c r="J3500" s="31">
        <f t="shared" si="271"/>
        <v>0</v>
      </c>
      <c r="K3500" s="29">
        <f t="shared" si="272"/>
        <v>10100</v>
      </c>
      <c r="L3500" s="31" t="str">
        <f t="shared" si="273"/>
        <v/>
      </c>
      <c r="M3500" s="31" t="str">
        <f t="shared" si="274"/>
        <v/>
      </c>
    </row>
    <row r="3501" spans="1:13" x14ac:dyDescent="0.15">
      <c r="A3501" s="163" t="s">
        <v>210</v>
      </c>
      <c r="B3501" s="163">
        <v>42366.500709675929</v>
      </c>
      <c r="C3501" s="164" t="s">
        <v>2766</v>
      </c>
      <c r="D3501" s="164" t="s">
        <v>13</v>
      </c>
      <c r="E3501" s="165">
        <v>40</v>
      </c>
      <c r="F3501" s="166">
        <v>0</v>
      </c>
      <c r="G3501" s="227">
        <f>IF($B$2,IF(ROWS(B$6:$B3501) = 1,$B3501-Start_Date,$B3501-$B3500),"")</f>
        <v>6.4911111112451181E-3</v>
      </c>
      <c r="H3501" s="29">
        <f>IF($B$2,IF(ROWS(B$6:$B3501) = 1,IF(COUNTIFS(R_Schedule_Times,"&lt;"&amp;B3501),INDEX(R_Schedule_Amounts,MATCH(B3501,R_Schedule_Times,1)),Starting_Cash),IF(COUNTIFS(R_Schedule_Times,"&gt;"&amp;B3500,R_Schedule_Times,"&lt;"&amp;B3501),INDEX(R_Schedule_Amounts,MATCH(B3501,R_Schedule_Times,1)),K3500)),"")</f>
        <v>10100</v>
      </c>
      <c r="I3501" s="30">
        <f t="shared" si="270"/>
        <v>40</v>
      </c>
      <c r="J3501" s="31">
        <f t="shared" si="271"/>
        <v>0</v>
      </c>
      <c r="K3501" s="29">
        <f t="shared" si="272"/>
        <v>10060</v>
      </c>
      <c r="L3501" s="31" t="str">
        <f t="shared" si="273"/>
        <v/>
      </c>
      <c r="M3501" s="31" t="str">
        <f t="shared" si="274"/>
        <v/>
      </c>
    </row>
    <row r="3502" spans="1:13" x14ac:dyDescent="0.15">
      <c r="A3502" s="163" t="s">
        <v>210</v>
      </c>
      <c r="B3502" s="163">
        <v>42366.523004097224</v>
      </c>
      <c r="C3502" s="164" t="s">
        <v>2767</v>
      </c>
      <c r="D3502" s="164" t="s">
        <v>13</v>
      </c>
      <c r="E3502" s="165">
        <v>100</v>
      </c>
      <c r="F3502" s="166">
        <v>0</v>
      </c>
      <c r="G3502" s="227">
        <f>IF($B$2,IF(ROWS(B$6:$B3502) = 1,$B3502-Start_Date,$B3502-$B3501),"")</f>
        <v>2.2294421294645872E-2</v>
      </c>
      <c r="H3502" s="29">
        <f>IF($B$2,IF(ROWS(B$6:$B3502) = 1,IF(COUNTIFS(R_Schedule_Times,"&lt;"&amp;B3502),INDEX(R_Schedule_Amounts,MATCH(B3502,R_Schedule_Times,1)),Starting_Cash),IF(COUNTIFS(R_Schedule_Times,"&gt;"&amp;B3501,R_Schedule_Times,"&lt;"&amp;B3502),INDEX(R_Schedule_Amounts,MATCH(B3502,R_Schedule_Times,1)),K3501)),"")</f>
        <v>10060</v>
      </c>
      <c r="I3502" s="30">
        <f t="shared" si="270"/>
        <v>100</v>
      </c>
      <c r="J3502" s="31">
        <f t="shared" si="271"/>
        <v>0</v>
      </c>
      <c r="K3502" s="29">
        <f t="shared" si="272"/>
        <v>9960</v>
      </c>
      <c r="L3502" s="31" t="str">
        <f t="shared" si="273"/>
        <v/>
      </c>
      <c r="M3502" s="31" t="str">
        <f t="shared" si="274"/>
        <v/>
      </c>
    </row>
    <row r="3503" spans="1:13" x14ac:dyDescent="0.15">
      <c r="A3503" s="163" t="s">
        <v>210</v>
      </c>
      <c r="B3503" s="163">
        <v>42366.531192627313</v>
      </c>
      <c r="C3503" s="164" t="s">
        <v>2768</v>
      </c>
      <c r="D3503" s="164" t="s">
        <v>13</v>
      </c>
      <c r="E3503" s="165">
        <v>20</v>
      </c>
      <c r="F3503" s="166">
        <v>0</v>
      </c>
      <c r="G3503" s="227">
        <f>IF($B$2,IF(ROWS(B$6:$B3503) = 1,$B3503-Start_Date,$B3503-$B3502),"")</f>
        <v>8.1885300896828994E-3</v>
      </c>
      <c r="H3503" s="29">
        <f>IF($B$2,IF(ROWS(B$6:$B3503) = 1,IF(COUNTIFS(R_Schedule_Times,"&lt;"&amp;B3503),INDEX(R_Schedule_Amounts,MATCH(B3503,R_Schedule_Times,1)),Starting_Cash),IF(COUNTIFS(R_Schedule_Times,"&gt;"&amp;B3502,R_Schedule_Times,"&lt;"&amp;B3503),INDEX(R_Schedule_Amounts,MATCH(B3503,R_Schedule_Times,1)),K3502)),"")</f>
        <v>9960</v>
      </c>
      <c r="I3503" s="30">
        <f t="shared" si="270"/>
        <v>20</v>
      </c>
      <c r="J3503" s="31">
        <f t="shared" si="271"/>
        <v>0</v>
      </c>
      <c r="K3503" s="29">
        <f t="shared" si="272"/>
        <v>9940</v>
      </c>
      <c r="L3503" s="31" t="str">
        <f t="shared" si="273"/>
        <v/>
      </c>
      <c r="M3503" s="31" t="str">
        <f t="shared" si="274"/>
        <v/>
      </c>
    </row>
    <row r="3504" spans="1:13" x14ac:dyDescent="0.15">
      <c r="A3504" s="163" t="s">
        <v>210</v>
      </c>
      <c r="B3504" s="163">
        <v>42366.566264907407</v>
      </c>
      <c r="C3504" s="164" t="s">
        <v>2769</v>
      </c>
      <c r="D3504" s="164" t="s">
        <v>13</v>
      </c>
      <c r="E3504" s="165">
        <v>200</v>
      </c>
      <c r="F3504" s="166">
        <v>0</v>
      </c>
      <c r="G3504" s="227">
        <f>IF($B$2,IF(ROWS(B$6:$B3504) = 1,$B3504-Start_Date,$B3504-$B3503),"")</f>
        <v>3.5072280094027519E-2</v>
      </c>
      <c r="H3504" s="29">
        <f>IF($B$2,IF(ROWS(B$6:$B3504) = 1,IF(COUNTIFS(R_Schedule_Times,"&lt;"&amp;B3504),INDEX(R_Schedule_Amounts,MATCH(B3504,R_Schedule_Times,1)),Starting_Cash),IF(COUNTIFS(R_Schedule_Times,"&gt;"&amp;B3503,R_Schedule_Times,"&lt;"&amp;B3504),INDEX(R_Schedule_Amounts,MATCH(B3504,R_Schedule_Times,1)),K3503)),"")</f>
        <v>9940</v>
      </c>
      <c r="I3504" s="30">
        <f t="shared" si="270"/>
        <v>200</v>
      </c>
      <c r="J3504" s="31">
        <f t="shared" si="271"/>
        <v>0</v>
      </c>
      <c r="K3504" s="29">
        <f t="shared" si="272"/>
        <v>9740</v>
      </c>
      <c r="L3504" s="31" t="str">
        <f t="shared" si="273"/>
        <v/>
      </c>
      <c r="M3504" s="31" t="str">
        <f t="shared" si="274"/>
        <v/>
      </c>
    </row>
    <row r="3505" spans="1:13" x14ac:dyDescent="0.15">
      <c r="A3505" s="163" t="s">
        <v>210</v>
      </c>
      <c r="B3505" s="163">
        <v>42366.590468078706</v>
      </c>
      <c r="C3505" s="164" t="s">
        <v>14</v>
      </c>
      <c r="D3505" s="164" t="s">
        <v>13</v>
      </c>
      <c r="E3505" s="165">
        <v>200</v>
      </c>
      <c r="F3505" s="166">
        <v>3.5</v>
      </c>
      <c r="G3505" s="227">
        <f>IF($B$2,IF(ROWS(B$6:$B3505) = 1,$B3505-Start_Date,$B3505-$B3504),"")</f>
        <v>2.4203171298722737E-2</v>
      </c>
      <c r="H3505" s="29">
        <f>IF($B$2,IF(ROWS(B$6:$B3505) = 1,IF(COUNTIFS(R_Schedule_Times,"&lt;"&amp;B3505),INDEX(R_Schedule_Amounts,MATCH(B3505,R_Schedule_Times,1)),Starting_Cash),IF(COUNTIFS(R_Schedule_Times,"&gt;"&amp;B3504,R_Schedule_Times,"&lt;"&amp;B3505),INDEX(R_Schedule_Amounts,MATCH(B3505,R_Schedule_Times,1)),K3504)),"")</f>
        <v>9740</v>
      </c>
      <c r="I3505" s="30">
        <f t="shared" si="270"/>
        <v>200</v>
      </c>
      <c r="J3505" s="31">
        <f t="shared" si="271"/>
        <v>3.5</v>
      </c>
      <c r="K3505" s="29">
        <f t="shared" si="272"/>
        <v>9540</v>
      </c>
      <c r="L3505" s="31" t="str">
        <f t="shared" si="273"/>
        <v/>
      </c>
      <c r="M3505" s="31" t="str">
        <f t="shared" si="274"/>
        <v/>
      </c>
    </row>
    <row r="3506" spans="1:13" x14ac:dyDescent="0.15">
      <c r="A3506" s="163" t="s">
        <v>210</v>
      </c>
      <c r="B3506" s="163">
        <v>42366.641784513886</v>
      </c>
      <c r="C3506" s="164" t="s">
        <v>2770</v>
      </c>
      <c r="D3506" s="164" t="s">
        <v>13</v>
      </c>
      <c r="E3506" s="165">
        <v>100</v>
      </c>
      <c r="F3506" s="166">
        <v>0</v>
      </c>
      <c r="G3506" s="227">
        <f>IF($B$2,IF(ROWS(B$6:$B3506) = 1,$B3506-Start_Date,$B3506-$B3505),"")</f>
        <v>5.1316435179614928E-2</v>
      </c>
      <c r="H3506" s="29">
        <f>IF($B$2,IF(ROWS(B$6:$B3506) = 1,IF(COUNTIFS(R_Schedule_Times,"&lt;"&amp;B3506),INDEX(R_Schedule_Amounts,MATCH(B3506,R_Schedule_Times,1)),Starting_Cash),IF(COUNTIFS(R_Schedule_Times,"&gt;"&amp;B3505,R_Schedule_Times,"&lt;"&amp;B3506),INDEX(R_Schedule_Amounts,MATCH(B3506,R_Schedule_Times,1)),K3505)),"")</f>
        <v>9540</v>
      </c>
      <c r="I3506" s="30">
        <f t="shared" si="270"/>
        <v>100</v>
      </c>
      <c r="J3506" s="31">
        <f t="shared" si="271"/>
        <v>0</v>
      </c>
      <c r="K3506" s="29">
        <f t="shared" si="272"/>
        <v>9440</v>
      </c>
      <c r="L3506" s="31" t="str">
        <f t="shared" si="273"/>
        <v/>
      </c>
      <c r="M3506" s="31" t="str">
        <f t="shared" si="274"/>
        <v/>
      </c>
    </row>
    <row r="3507" spans="1:13" x14ac:dyDescent="0.15">
      <c r="A3507" s="163" t="s">
        <v>210</v>
      </c>
      <c r="B3507" s="163">
        <v>42366.642889085648</v>
      </c>
      <c r="C3507" s="164" t="s">
        <v>2771</v>
      </c>
      <c r="D3507" s="164" t="s">
        <v>13</v>
      </c>
      <c r="E3507" s="165">
        <v>100</v>
      </c>
      <c r="F3507" s="166">
        <v>0</v>
      </c>
      <c r="G3507" s="227">
        <f>IF($B$2,IF(ROWS(B$6:$B3507) = 1,$B3507-Start_Date,$B3507-$B3506),"")</f>
        <v>1.1045717619708739E-3</v>
      </c>
      <c r="H3507" s="29">
        <f>IF($B$2,IF(ROWS(B$6:$B3507) = 1,IF(COUNTIFS(R_Schedule_Times,"&lt;"&amp;B3507),INDEX(R_Schedule_Amounts,MATCH(B3507,R_Schedule_Times,1)),Starting_Cash),IF(COUNTIFS(R_Schedule_Times,"&gt;"&amp;B3506,R_Schedule_Times,"&lt;"&amp;B3507),INDEX(R_Schedule_Amounts,MATCH(B3507,R_Schedule_Times,1)),K3506)),"")</f>
        <v>9440</v>
      </c>
      <c r="I3507" s="30">
        <f t="shared" si="270"/>
        <v>100</v>
      </c>
      <c r="J3507" s="31">
        <f t="shared" si="271"/>
        <v>0</v>
      </c>
      <c r="K3507" s="29">
        <f t="shared" si="272"/>
        <v>9340</v>
      </c>
      <c r="L3507" s="31" t="str">
        <f t="shared" si="273"/>
        <v/>
      </c>
      <c r="M3507" s="31" t="str">
        <f t="shared" si="274"/>
        <v/>
      </c>
    </row>
    <row r="3508" spans="1:13" x14ac:dyDescent="0.15">
      <c r="A3508" s="163" t="s">
        <v>210</v>
      </c>
      <c r="B3508" s="163">
        <v>42366.710511412035</v>
      </c>
      <c r="C3508" s="164" t="s">
        <v>2772</v>
      </c>
      <c r="D3508" s="164" t="s">
        <v>13</v>
      </c>
      <c r="E3508" s="165">
        <v>100</v>
      </c>
      <c r="F3508" s="166">
        <v>0</v>
      </c>
      <c r="G3508" s="227">
        <f>IF($B$2,IF(ROWS(B$6:$B3508) = 1,$B3508-Start_Date,$B3508-$B3507),"")</f>
        <v>6.7622326387208886E-2</v>
      </c>
      <c r="H3508" s="29">
        <f>IF($B$2,IF(ROWS(B$6:$B3508) = 1,IF(COUNTIFS(R_Schedule_Times,"&lt;"&amp;B3508),INDEX(R_Schedule_Amounts,MATCH(B3508,R_Schedule_Times,1)),Starting_Cash),IF(COUNTIFS(R_Schedule_Times,"&gt;"&amp;B3507,R_Schedule_Times,"&lt;"&amp;B3508),INDEX(R_Schedule_Amounts,MATCH(B3508,R_Schedule_Times,1)),K3507)),"")</f>
        <v>9340</v>
      </c>
      <c r="I3508" s="30">
        <f t="shared" si="270"/>
        <v>100</v>
      </c>
      <c r="J3508" s="31">
        <f t="shared" si="271"/>
        <v>0</v>
      </c>
      <c r="K3508" s="29">
        <f t="shared" si="272"/>
        <v>9240</v>
      </c>
      <c r="L3508" s="31" t="str">
        <f t="shared" si="273"/>
        <v/>
      </c>
      <c r="M3508" s="31" t="str">
        <f t="shared" si="274"/>
        <v/>
      </c>
    </row>
    <row r="3509" spans="1:13" x14ac:dyDescent="0.15">
      <c r="A3509" s="163" t="s">
        <v>210</v>
      </c>
      <c r="B3509" s="163">
        <v>42366.717933587963</v>
      </c>
      <c r="C3509" s="164" t="s">
        <v>553</v>
      </c>
      <c r="D3509" s="164" t="s">
        <v>13</v>
      </c>
      <c r="E3509" s="165">
        <v>80</v>
      </c>
      <c r="F3509" s="166">
        <v>0</v>
      </c>
      <c r="G3509" s="227">
        <f>IF($B$2,IF(ROWS(B$6:$B3509) = 1,$B3509-Start_Date,$B3509-$B3508),"")</f>
        <v>7.4221759277861565E-3</v>
      </c>
      <c r="H3509" s="29">
        <f>IF($B$2,IF(ROWS(B$6:$B3509) = 1,IF(COUNTIFS(R_Schedule_Times,"&lt;"&amp;B3509),INDEX(R_Schedule_Amounts,MATCH(B3509,R_Schedule_Times,1)),Starting_Cash),IF(COUNTIFS(R_Schedule_Times,"&gt;"&amp;B3508,R_Schedule_Times,"&lt;"&amp;B3509),INDEX(R_Schedule_Amounts,MATCH(B3509,R_Schedule_Times,1)),K3508)),"")</f>
        <v>9240</v>
      </c>
      <c r="I3509" s="30">
        <f t="shared" si="270"/>
        <v>80</v>
      </c>
      <c r="J3509" s="31">
        <f t="shared" si="271"/>
        <v>0</v>
      </c>
      <c r="K3509" s="29">
        <f t="shared" si="272"/>
        <v>9160</v>
      </c>
      <c r="L3509" s="31" t="str">
        <f t="shared" si="273"/>
        <v/>
      </c>
      <c r="M3509" s="31" t="str">
        <f t="shared" si="274"/>
        <v/>
      </c>
    </row>
    <row r="3510" spans="1:13" x14ac:dyDescent="0.15">
      <c r="A3510" s="163" t="s">
        <v>210</v>
      </c>
      <c r="B3510" s="163">
        <v>42366.728936435182</v>
      </c>
      <c r="C3510" s="164" t="s">
        <v>2773</v>
      </c>
      <c r="D3510" s="164" t="s">
        <v>13</v>
      </c>
      <c r="E3510" s="165">
        <v>80</v>
      </c>
      <c r="F3510" s="166">
        <v>0</v>
      </c>
      <c r="G3510" s="227">
        <f>IF($B$2,IF(ROWS(B$6:$B3510) = 1,$B3510-Start_Date,$B3510-$B3509),"")</f>
        <v>1.1002847219060641E-2</v>
      </c>
      <c r="H3510" s="29">
        <f>IF($B$2,IF(ROWS(B$6:$B3510) = 1,IF(COUNTIFS(R_Schedule_Times,"&lt;"&amp;B3510),INDEX(R_Schedule_Amounts,MATCH(B3510,R_Schedule_Times,1)),Starting_Cash),IF(COUNTIFS(R_Schedule_Times,"&gt;"&amp;B3509,R_Schedule_Times,"&lt;"&amp;B3510),INDEX(R_Schedule_Amounts,MATCH(B3510,R_Schedule_Times,1)),K3509)),"")</f>
        <v>9160</v>
      </c>
      <c r="I3510" s="30">
        <f t="shared" si="270"/>
        <v>80</v>
      </c>
      <c r="J3510" s="31">
        <f t="shared" si="271"/>
        <v>0</v>
      </c>
      <c r="K3510" s="29">
        <f t="shared" si="272"/>
        <v>9080</v>
      </c>
      <c r="L3510" s="31" t="str">
        <f t="shared" si="273"/>
        <v/>
      </c>
      <c r="M3510" s="31" t="str">
        <f t="shared" si="274"/>
        <v/>
      </c>
    </row>
    <row r="3511" spans="1:13" x14ac:dyDescent="0.15">
      <c r="A3511" s="163" t="s">
        <v>210</v>
      </c>
      <c r="B3511" s="163">
        <v>42366.786361724538</v>
      </c>
      <c r="C3511" s="164" t="s">
        <v>2774</v>
      </c>
      <c r="D3511" s="164" t="s">
        <v>13</v>
      </c>
      <c r="E3511" s="165">
        <v>60</v>
      </c>
      <c r="F3511" s="166">
        <v>0</v>
      </c>
      <c r="G3511" s="227">
        <f>IF($B$2,IF(ROWS(B$6:$B3511) = 1,$B3511-Start_Date,$B3511-$B3510),"")</f>
        <v>5.7425289356615394E-2</v>
      </c>
      <c r="H3511" s="29">
        <f>IF($B$2,IF(ROWS(B$6:$B3511) = 1,IF(COUNTIFS(R_Schedule_Times,"&lt;"&amp;B3511),INDEX(R_Schedule_Amounts,MATCH(B3511,R_Schedule_Times,1)),Starting_Cash),IF(COUNTIFS(R_Schedule_Times,"&gt;"&amp;B3510,R_Schedule_Times,"&lt;"&amp;B3511),INDEX(R_Schedule_Amounts,MATCH(B3511,R_Schedule_Times,1)),K3510)),"")</f>
        <v>9080</v>
      </c>
      <c r="I3511" s="30">
        <f t="shared" si="270"/>
        <v>60</v>
      </c>
      <c r="J3511" s="31">
        <f t="shared" si="271"/>
        <v>0</v>
      </c>
      <c r="K3511" s="29">
        <f t="shared" si="272"/>
        <v>9020</v>
      </c>
      <c r="L3511" s="31" t="str">
        <f t="shared" si="273"/>
        <v/>
      </c>
      <c r="M3511" s="31" t="str">
        <f t="shared" si="274"/>
        <v/>
      </c>
    </row>
    <row r="3512" spans="1:13" x14ac:dyDescent="0.15">
      <c r="A3512" s="163" t="s">
        <v>210</v>
      </c>
      <c r="B3512" s="163">
        <v>42366.880943368058</v>
      </c>
      <c r="C3512" s="164" t="s">
        <v>2775</v>
      </c>
      <c r="D3512" s="164" t="s">
        <v>15</v>
      </c>
      <c r="E3512" s="165">
        <v>140</v>
      </c>
      <c r="F3512" s="166">
        <v>4.2</v>
      </c>
      <c r="G3512" s="227">
        <f>IF($B$2,IF(ROWS(B$6:$B3512) = 1,$B3512-Start_Date,$B3512-$B3511),"")</f>
        <v>9.4581643519632053E-2</v>
      </c>
      <c r="H3512" s="29">
        <f>IF($B$2,IF(ROWS(B$6:$B3512) = 1,IF(COUNTIFS(R_Schedule_Times,"&lt;"&amp;B3512),INDEX(R_Schedule_Amounts,MATCH(B3512,R_Schedule_Times,1)),Starting_Cash),IF(COUNTIFS(R_Schedule_Times,"&gt;"&amp;B3511,R_Schedule_Times,"&lt;"&amp;B3512),INDEX(R_Schedule_Amounts,MATCH(B3512,R_Schedule_Times,1)),K3511)),"")</f>
        <v>9020</v>
      </c>
      <c r="I3512" s="30">
        <f t="shared" si="270"/>
        <v>140</v>
      </c>
      <c r="J3512" s="31">
        <f t="shared" si="271"/>
        <v>4.2</v>
      </c>
      <c r="K3512" s="29">
        <f t="shared" si="272"/>
        <v>8880</v>
      </c>
      <c r="L3512" s="31" t="str">
        <f t="shared" si="273"/>
        <v/>
      </c>
      <c r="M3512" s="31" t="str">
        <f t="shared" si="274"/>
        <v/>
      </c>
    </row>
    <row r="3513" spans="1:13" x14ac:dyDescent="0.15">
      <c r="A3513" s="163" t="s">
        <v>210</v>
      </c>
      <c r="B3513" s="163">
        <v>42367.253553587965</v>
      </c>
      <c r="C3513" s="164" t="s">
        <v>317</v>
      </c>
      <c r="D3513" s="164" t="s">
        <v>13</v>
      </c>
      <c r="E3513" s="165">
        <v>60</v>
      </c>
      <c r="F3513" s="166">
        <v>0</v>
      </c>
      <c r="G3513" s="227">
        <f>IF($B$2,IF(ROWS(B$6:$B3513) = 1,$B3513-Start_Date,$B3513-$B3512),"")</f>
        <v>0.37261021990707377</v>
      </c>
      <c r="H3513" s="29">
        <f>IF($B$2,IF(ROWS(B$6:$B3513) = 1,IF(COUNTIFS(R_Schedule_Times,"&lt;"&amp;B3513),INDEX(R_Schedule_Amounts,MATCH(B3513,R_Schedule_Times,1)),Starting_Cash),IF(COUNTIFS(R_Schedule_Times,"&gt;"&amp;B3512,R_Schedule_Times,"&lt;"&amp;B3513),INDEX(R_Schedule_Amounts,MATCH(B3513,R_Schedule_Times,1)),K3512)),"")</f>
        <v>8880</v>
      </c>
      <c r="I3513" s="30">
        <f t="shared" si="270"/>
        <v>60</v>
      </c>
      <c r="J3513" s="31">
        <f t="shared" si="271"/>
        <v>0</v>
      </c>
      <c r="K3513" s="29">
        <f t="shared" si="272"/>
        <v>8820</v>
      </c>
      <c r="L3513" s="31" t="str">
        <f t="shared" si="273"/>
        <v/>
      </c>
      <c r="M3513" s="31" t="str">
        <f t="shared" si="274"/>
        <v/>
      </c>
    </row>
    <row r="3514" spans="1:13" x14ac:dyDescent="0.15">
      <c r="A3514" s="163" t="s">
        <v>210</v>
      </c>
      <c r="B3514" s="163">
        <v>42367.296406562498</v>
      </c>
      <c r="C3514" s="164" t="s">
        <v>2776</v>
      </c>
      <c r="D3514" s="164" t="s">
        <v>13</v>
      </c>
      <c r="E3514" s="165">
        <v>80</v>
      </c>
      <c r="F3514" s="166">
        <v>0</v>
      </c>
      <c r="G3514" s="227">
        <f>IF($B$2,IF(ROWS(B$6:$B3514) = 1,$B3514-Start_Date,$B3514-$B3513),"")</f>
        <v>4.2852974533161614E-2</v>
      </c>
      <c r="H3514" s="29">
        <f>IF($B$2,IF(ROWS(B$6:$B3514) = 1,IF(COUNTIFS(R_Schedule_Times,"&lt;"&amp;B3514),INDEX(R_Schedule_Amounts,MATCH(B3514,R_Schedule_Times,1)),Starting_Cash),IF(COUNTIFS(R_Schedule_Times,"&gt;"&amp;B3513,R_Schedule_Times,"&lt;"&amp;B3514),INDEX(R_Schedule_Amounts,MATCH(B3514,R_Schedule_Times,1)),K3513)),"")</f>
        <v>8820</v>
      </c>
      <c r="I3514" s="30">
        <f t="shared" si="270"/>
        <v>80</v>
      </c>
      <c r="J3514" s="31">
        <f t="shared" si="271"/>
        <v>0</v>
      </c>
      <c r="K3514" s="29">
        <f t="shared" si="272"/>
        <v>8740</v>
      </c>
      <c r="L3514" s="31" t="str">
        <f t="shared" si="273"/>
        <v/>
      </c>
      <c r="M3514" s="31" t="str">
        <f t="shared" si="274"/>
        <v/>
      </c>
    </row>
    <row r="3515" spans="1:13" x14ac:dyDescent="0.15">
      <c r="A3515" s="163" t="s">
        <v>210</v>
      </c>
      <c r="B3515" s="163">
        <v>42367.328662037035</v>
      </c>
      <c r="C3515" s="164" t="s">
        <v>1065</v>
      </c>
      <c r="D3515" s="164" t="s">
        <v>13</v>
      </c>
      <c r="E3515" s="165">
        <v>40</v>
      </c>
      <c r="F3515" s="166">
        <v>0</v>
      </c>
      <c r="G3515" s="227">
        <f>IF($B$2,IF(ROWS(B$6:$B3515) = 1,$B3515-Start_Date,$B3515-$B3514),"")</f>
        <v>3.2255474536214024E-2</v>
      </c>
      <c r="H3515" s="29">
        <f>IF($B$2,IF(ROWS(B$6:$B3515) = 1,IF(COUNTIFS(R_Schedule_Times,"&lt;"&amp;B3515),INDEX(R_Schedule_Amounts,MATCH(B3515,R_Schedule_Times,1)),Starting_Cash),IF(COUNTIFS(R_Schedule_Times,"&gt;"&amp;B3514,R_Schedule_Times,"&lt;"&amp;B3515),INDEX(R_Schedule_Amounts,MATCH(B3515,R_Schedule_Times,1)),K3514)),"")</f>
        <v>8740</v>
      </c>
      <c r="I3515" s="30">
        <f t="shared" si="270"/>
        <v>40</v>
      </c>
      <c r="J3515" s="31">
        <f t="shared" si="271"/>
        <v>0</v>
      </c>
      <c r="K3515" s="29">
        <f t="shared" si="272"/>
        <v>8700</v>
      </c>
      <c r="L3515" s="31" t="str">
        <f t="shared" si="273"/>
        <v/>
      </c>
      <c r="M3515" s="31" t="str">
        <f t="shared" si="274"/>
        <v/>
      </c>
    </row>
    <row r="3516" spans="1:13" x14ac:dyDescent="0.15">
      <c r="A3516" s="163" t="s">
        <v>210</v>
      </c>
      <c r="B3516" s="163">
        <v>42367.334059143519</v>
      </c>
      <c r="C3516" s="164" t="s">
        <v>1585</v>
      </c>
      <c r="D3516" s="164" t="s">
        <v>13</v>
      </c>
      <c r="E3516" s="165">
        <v>40</v>
      </c>
      <c r="F3516" s="166">
        <v>0</v>
      </c>
      <c r="G3516" s="227">
        <f>IF($B$2,IF(ROWS(B$6:$B3516) = 1,$B3516-Start_Date,$B3516-$B3515),"")</f>
        <v>5.3971064844517969E-3</v>
      </c>
      <c r="H3516" s="29">
        <f>IF($B$2,IF(ROWS(B$6:$B3516) = 1,IF(COUNTIFS(R_Schedule_Times,"&lt;"&amp;B3516),INDEX(R_Schedule_Amounts,MATCH(B3516,R_Schedule_Times,1)),Starting_Cash),IF(COUNTIFS(R_Schedule_Times,"&gt;"&amp;B3515,R_Schedule_Times,"&lt;"&amp;B3516),INDEX(R_Schedule_Amounts,MATCH(B3516,R_Schedule_Times,1)),K3515)),"")</f>
        <v>8700</v>
      </c>
      <c r="I3516" s="30">
        <f t="shared" si="270"/>
        <v>40</v>
      </c>
      <c r="J3516" s="31">
        <f t="shared" si="271"/>
        <v>0</v>
      </c>
      <c r="K3516" s="29">
        <f t="shared" si="272"/>
        <v>8660</v>
      </c>
      <c r="L3516" s="31" t="str">
        <f t="shared" si="273"/>
        <v/>
      </c>
      <c r="M3516" s="31" t="str">
        <f t="shared" si="274"/>
        <v/>
      </c>
    </row>
    <row r="3517" spans="1:13" x14ac:dyDescent="0.15">
      <c r="A3517" s="163" t="s">
        <v>210</v>
      </c>
      <c r="B3517" s="163">
        <v>42367.33961959491</v>
      </c>
      <c r="C3517" s="164" t="s">
        <v>2777</v>
      </c>
      <c r="D3517" s="164" t="s">
        <v>13</v>
      </c>
      <c r="E3517" s="165">
        <v>400</v>
      </c>
      <c r="F3517" s="166">
        <v>0</v>
      </c>
      <c r="G3517" s="227">
        <f>IF($B$2,IF(ROWS(B$6:$B3517) = 1,$B3517-Start_Date,$B3517-$B3516),"")</f>
        <v>5.5604513909202069E-3</v>
      </c>
      <c r="H3517" s="29">
        <f>IF($B$2,IF(ROWS(B$6:$B3517) = 1,IF(COUNTIFS(R_Schedule_Times,"&lt;"&amp;B3517),INDEX(R_Schedule_Amounts,MATCH(B3517,R_Schedule_Times,1)),Starting_Cash),IF(COUNTIFS(R_Schedule_Times,"&gt;"&amp;B3516,R_Schedule_Times,"&lt;"&amp;B3517),INDEX(R_Schedule_Amounts,MATCH(B3517,R_Schedule_Times,1)),K3516)),"")</f>
        <v>8660</v>
      </c>
      <c r="I3517" s="30">
        <f t="shared" si="270"/>
        <v>400</v>
      </c>
      <c r="J3517" s="31">
        <f t="shared" si="271"/>
        <v>0</v>
      </c>
      <c r="K3517" s="29">
        <f t="shared" si="272"/>
        <v>8260</v>
      </c>
      <c r="L3517" s="31" t="str">
        <f t="shared" si="273"/>
        <v/>
      </c>
      <c r="M3517" s="31" t="str">
        <f t="shared" si="274"/>
        <v/>
      </c>
    </row>
    <row r="3518" spans="1:13" x14ac:dyDescent="0.15">
      <c r="A3518" s="163" t="s">
        <v>210</v>
      </c>
      <c r="B3518" s="163">
        <v>42367.423689432871</v>
      </c>
      <c r="C3518" s="164" t="s">
        <v>2778</v>
      </c>
      <c r="D3518" s="164" t="s">
        <v>13</v>
      </c>
      <c r="E3518" s="165">
        <v>100</v>
      </c>
      <c r="F3518" s="166">
        <v>0</v>
      </c>
      <c r="G3518" s="227">
        <f>IF($B$2,IF(ROWS(B$6:$B3518) = 1,$B3518-Start_Date,$B3518-$B3517),"")</f>
        <v>8.4069837961578742E-2</v>
      </c>
      <c r="H3518" s="29">
        <f>IF($B$2,IF(ROWS(B$6:$B3518) = 1,IF(COUNTIFS(R_Schedule_Times,"&lt;"&amp;B3518),INDEX(R_Schedule_Amounts,MATCH(B3518,R_Schedule_Times,1)),Starting_Cash),IF(COUNTIFS(R_Schedule_Times,"&gt;"&amp;B3517,R_Schedule_Times,"&lt;"&amp;B3518),INDEX(R_Schedule_Amounts,MATCH(B3518,R_Schedule_Times,1)),K3517)),"")</f>
        <v>8260</v>
      </c>
      <c r="I3518" s="30">
        <f t="shared" si="270"/>
        <v>100</v>
      </c>
      <c r="J3518" s="31">
        <f t="shared" si="271"/>
        <v>0</v>
      </c>
      <c r="K3518" s="29">
        <f t="shared" si="272"/>
        <v>8160</v>
      </c>
      <c r="L3518" s="31" t="str">
        <f t="shared" si="273"/>
        <v/>
      </c>
      <c r="M3518" s="31" t="str">
        <f t="shared" si="274"/>
        <v/>
      </c>
    </row>
    <row r="3519" spans="1:13" x14ac:dyDescent="0.15">
      <c r="A3519" s="163" t="s">
        <v>210</v>
      </c>
      <c r="B3519" s="163">
        <v>42367.451858449072</v>
      </c>
      <c r="C3519" s="164" t="s">
        <v>2779</v>
      </c>
      <c r="D3519" s="164" t="s">
        <v>13</v>
      </c>
      <c r="E3519" s="165">
        <v>40</v>
      </c>
      <c r="F3519" s="166">
        <v>0</v>
      </c>
      <c r="G3519" s="227">
        <f>IF($B$2,IF(ROWS(B$6:$B3519) = 1,$B3519-Start_Date,$B3519-$B3518),"")</f>
        <v>2.8169016200990882E-2</v>
      </c>
      <c r="H3519" s="29">
        <f>IF($B$2,IF(ROWS(B$6:$B3519) = 1,IF(COUNTIFS(R_Schedule_Times,"&lt;"&amp;B3519),INDEX(R_Schedule_Amounts,MATCH(B3519,R_Schedule_Times,1)),Starting_Cash),IF(COUNTIFS(R_Schedule_Times,"&gt;"&amp;B3518,R_Schedule_Times,"&lt;"&amp;B3519),INDEX(R_Schedule_Amounts,MATCH(B3519,R_Schedule_Times,1)),K3518)),"")</f>
        <v>8160</v>
      </c>
      <c r="I3519" s="30">
        <f t="shared" si="270"/>
        <v>40</v>
      </c>
      <c r="J3519" s="31">
        <f t="shared" si="271"/>
        <v>0</v>
      </c>
      <c r="K3519" s="29">
        <f t="shared" si="272"/>
        <v>8120</v>
      </c>
      <c r="L3519" s="31" t="str">
        <f t="shared" si="273"/>
        <v/>
      </c>
      <c r="M3519" s="31" t="str">
        <f t="shared" si="274"/>
        <v/>
      </c>
    </row>
    <row r="3520" spans="1:13" x14ac:dyDescent="0.15">
      <c r="A3520" s="163" t="s">
        <v>210</v>
      </c>
      <c r="B3520" s="163">
        <v>42367.48009488426</v>
      </c>
      <c r="C3520" s="164" t="s">
        <v>2780</v>
      </c>
      <c r="D3520" s="164" t="s">
        <v>13</v>
      </c>
      <c r="E3520" s="165">
        <v>300</v>
      </c>
      <c r="F3520" s="166">
        <v>0</v>
      </c>
      <c r="G3520" s="227">
        <f>IF($B$2,IF(ROWS(B$6:$B3520) = 1,$B3520-Start_Date,$B3520-$B3519),"")</f>
        <v>2.8236435187864117E-2</v>
      </c>
      <c r="H3520" s="29">
        <f>IF($B$2,IF(ROWS(B$6:$B3520) = 1,IF(COUNTIFS(R_Schedule_Times,"&lt;"&amp;B3520),INDEX(R_Schedule_Amounts,MATCH(B3520,R_Schedule_Times,1)),Starting_Cash),IF(COUNTIFS(R_Schedule_Times,"&gt;"&amp;B3519,R_Schedule_Times,"&lt;"&amp;B3520),INDEX(R_Schedule_Amounts,MATCH(B3520,R_Schedule_Times,1)),K3519)),"")</f>
        <v>8120</v>
      </c>
      <c r="I3520" s="30">
        <f t="shared" si="270"/>
        <v>300</v>
      </c>
      <c r="J3520" s="31">
        <f t="shared" si="271"/>
        <v>0</v>
      </c>
      <c r="K3520" s="29">
        <f t="shared" si="272"/>
        <v>7820</v>
      </c>
      <c r="L3520" s="31" t="str">
        <f t="shared" si="273"/>
        <v/>
      </c>
      <c r="M3520" s="31" t="str">
        <f t="shared" si="274"/>
        <v/>
      </c>
    </row>
    <row r="3521" spans="1:13" x14ac:dyDescent="0.15">
      <c r="A3521" s="163" t="s">
        <v>210</v>
      </c>
      <c r="B3521" s="163">
        <v>42367.49383832176</v>
      </c>
      <c r="C3521" s="164" t="s">
        <v>2781</v>
      </c>
      <c r="D3521" s="164" t="s">
        <v>13</v>
      </c>
      <c r="E3521" s="165">
        <v>180</v>
      </c>
      <c r="F3521" s="166">
        <v>0</v>
      </c>
      <c r="G3521" s="227">
        <f>IF($B$2,IF(ROWS(B$6:$B3521) = 1,$B3521-Start_Date,$B3521-$B3520),"")</f>
        <v>1.3743437499215361E-2</v>
      </c>
      <c r="H3521" s="29">
        <f>IF($B$2,IF(ROWS(B$6:$B3521) = 1,IF(COUNTIFS(R_Schedule_Times,"&lt;"&amp;B3521),INDEX(R_Schedule_Amounts,MATCH(B3521,R_Schedule_Times,1)),Starting_Cash),IF(COUNTIFS(R_Schedule_Times,"&gt;"&amp;B3520,R_Schedule_Times,"&lt;"&amp;B3521),INDEX(R_Schedule_Amounts,MATCH(B3521,R_Schedule_Times,1)),K3520)),"")</f>
        <v>7820</v>
      </c>
      <c r="I3521" s="30">
        <f t="shared" si="270"/>
        <v>180</v>
      </c>
      <c r="J3521" s="31">
        <f t="shared" si="271"/>
        <v>0</v>
      </c>
      <c r="K3521" s="29">
        <f t="shared" si="272"/>
        <v>7640</v>
      </c>
      <c r="L3521" s="31" t="str">
        <f t="shared" si="273"/>
        <v/>
      </c>
      <c r="M3521" s="31" t="str">
        <f t="shared" si="274"/>
        <v/>
      </c>
    </row>
    <row r="3522" spans="1:13" x14ac:dyDescent="0.15">
      <c r="A3522" s="163" t="s">
        <v>210</v>
      </c>
      <c r="B3522" s="163">
        <v>42367.504297858795</v>
      </c>
      <c r="C3522" s="164" t="s">
        <v>1141</v>
      </c>
      <c r="D3522" s="164" t="s">
        <v>13</v>
      </c>
      <c r="E3522" s="165">
        <v>100</v>
      </c>
      <c r="F3522" s="166">
        <v>0</v>
      </c>
      <c r="G3522" s="227">
        <f>IF($B$2,IF(ROWS(B$6:$B3522) = 1,$B3522-Start_Date,$B3522-$B3521),"")</f>
        <v>1.0459537035785615E-2</v>
      </c>
      <c r="H3522" s="29">
        <f>IF($B$2,IF(ROWS(B$6:$B3522) = 1,IF(COUNTIFS(R_Schedule_Times,"&lt;"&amp;B3522),INDEX(R_Schedule_Amounts,MATCH(B3522,R_Schedule_Times,1)),Starting_Cash),IF(COUNTIFS(R_Schedule_Times,"&gt;"&amp;B3521,R_Schedule_Times,"&lt;"&amp;B3522),INDEX(R_Schedule_Amounts,MATCH(B3522,R_Schedule_Times,1)),K3521)),"")</f>
        <v>7640</v>
      </c>
      <c r="I3522" s="30">
        <f t="shared" si="270"/>
        <v>100</v>
      </c>
      <c r="J3522" s="31">
        <f t="shared" si="271"/>
        <v>0</v>
      </c>
      <c r="K3522" s="29">
        <f t="shared" si="272"/>
        <v>7540</v>
      </c>
      <c r="L3522" s="31" t="str">
        <f t="shared" si="273"/>
        <v/>
      </c>
      <c r="M3522" s="31" t="str">
        <f t="shared" si="274"/>
        <v/>
      </c>
    </row>
    <row r="3523" spans="1:13" x14ac:dyDescent="0.15">
      <c r="A3523" s="163" t="s">
        <v>210</v>
      </c>
      <c r="B3523" s="163">
        <v>42367.522003599537</v>
      </c>
      <c r="C3523" s="164" t="s">
        <v>14</v>
      </c>
      <c r="D3523" s="164" t="s">
        <v>13</v>
      </c>
      <c r="E3523" s="165">
        <v>100</v>
      </c>
      <c r="F3523" s="166">
        <v>3.5</v>
      </c>
      <c r="G3523" s="227">
        <f>IF($B$2,IF(ROWS(B$6:$B3523) = 1,$B3523-Start_Date,$B3523-$B3522),"")</f>
        <v>1.7705740741803311E-2</v>
      </c>
      <c r="H3523" s="29">
        <f>IF($B$2,IF(ROWS(B$6:$B3523) = 1,IF(COUNTIFS(R_Schedule_Times,"&lt;"&amp;B3523),INDEX(R_Schedule_Amounts,MATCH(B3523,R_Schedule_Times,1)),Starting_Cash),IF(COUNTIFS(R_Schedule_Times,"&gt;"&amp;B3522,R_Schedule_Times,"&lt;"&amp;B3523),INDEX(R_Schedule_Amounts,MATCH(B3523,R_Schedule_Times,1)),K3522)),"")</f>
        <v>7540</v>
      </c>
      <c r="I3523" s="30">
        <f t="shared" si="270"/>
        <v>100</v>
      </c>
      <c r="J3523" s="31">
        <f t="shared" si="271"/>
        <v>3.5</v>
      </c>
      <c r="K3523" s="29">
        <f t="shared" si="272"/>
        <v>7440</v>
      </c>
      <c r="L3523" s="31" t="str">
        <f t="shared" si="273"/>
        <v/>
      </c>
      <c r="M3523" s="31" t="str">
        <f t="shared" si="274"/>
        <v/>
      </c>
    </row>
    <row r="3524" spans="1:13" x14ac:dyDescent="0.15">
      <c r="A3524" s="163" t="s">
        <v>210</v>
      </c>
      <c r="B3524" s="163">
        <v>42367.530875520832</v>
      </c>
      <c r="C3524" s="164" t="s">
        <v>2782</v>
      </c>
      <c r="D3524" s="164" t="s">
        <v>13</v>
      </c>
      <c r="E3524" s="165">
        <v>80</v>
      </c>
      <c r="F3524" s="166">
        <v>0</v>
      </c>
      <c r="G3524" s="227">
        <f>IF($B$2,IF(ROWS(B$6:$B3524) = 1,$B3524-Start_Date,$B3524-$B3523),"")</f>
        <v>8.8719212944852188E-3</v>
      </c>
      <c r="H3524" s="29">
        <f>IF($B$2,IF(ROWS(B$6:$B3524) = 1,IF(COUNTIFS(R_Schedule_Times,"&lt;"&amp;B3524),INDEX(R_Schedule_Amounts,MATCH(B3524,R_Schedule_Times,1)),Starting_Cash),IF(COUNTIFS(R_Schedule_Times,"&gt;"&amp;B3523,R_Schedule_Times,"&lt;"&amp;B3524),INDEX(R_Schedule_Amounts,MATCH(B3524,R_Schedule_Times,1)),K3523)),"")</f>
        <v>7440</v>
      </c>
      <c r="I3524" s="30">
        <f t="shared" si="270"/>
        <v>80</v>
      </c>
      <c r="J3524" s="31">
        <f t="shared" si="271"/>
        <v>0</v>
      </c>
      <c r="K3524" s="29">
        <f t="shared" si="272"/>
        <v>7360</v>
      </c>
      <c r="L3524" s="31" t="str">
        <f t="shared" si="273"/>
        <v/>
      </c>
      <c r="M3524" s="31" t="str">
        <f t="shared" si="274"/>
        <v/>
      </c>
    </row>
    <row r="3525" spans="1:13" x14ac:dyDescent="0.15">
      <c r="A3525" s="163" t="s">
        <v>210</v>
      </c>
      <c r="B3525" s="163">
        <v>42367.53570270833</v>
      </c>
      <c r="C3525" s="164" t="s">
        <v>2783</v>
      </c>
      <c r="D3525" s="164" t="s">
        <v>13</v>
      </c>
      <c r="E3525" s="165">
        <v>500</v>
      </c>
      <c r="F3525" s="166">
        <v>0</v>
      </c>
      <c r="G3525" s="227">
        <f>IF($B$2,IF(ROWS(B$6:$B3525) = 1,$B3525-Start_Date,$B3525-$B3524),"")</f>
        <v>4.8271874984493479E-3</v>
      </c>
      <c r="H3525" s="29">
        <f>IF($B$2,IF(ROWS(B$6:$B3525) = 1,IF(COUNTIFS(R_Schedule_Times,"&lt;"&amp;B3525),INDEX(R_Schedule_Amounts,MATCH(B3525,R_Schedule_Times,1)),Starting_Cash),IF(COUNTIFS(R_Schedule_Times,"&gt;"&amp;B3524,R_Schedule_Times,"&lt;"&amp;B3525),INDEX(R_Schedule_Amounts,MATCH(B3525,R_Schedule_Times,1)),K3524)),"")</f>
        <v>7360</v>
      </c>
      <c r="I3525" s="30">
        <f t="shared" si="270"/>
        <v>500</v>
      </c>
      <c r="J3525" s="31">
        <f t="shared" si="271"/>
        <v>0</v>
      </c>
      <c r="K3525" s="29">
        <f t="shared" si="272"/>
        <v>6860</v>
      </c>
      <c r="L3525" s="31" t="str">
        <f t="shared" si="273"/>
        <v/>
      </c>
      <c r="M3525" s="31" t="str">
        <f t="shared" si="274"/>
        <v/>
      </c>
    </row>
    <row r="3526" spans="1:13" x14ac:dyDescent="0.15">
      <c r="A3526" s="163" t="s">
        <v>210</v>
      </c>
      <c r="B3526" s="163">
        <v>42367.542133495372</v>
      </c>
      <c r="C3526" s="164" t="s">
        <v>2784</v>
      </c>
      <c r="D3526" s="164" t="s">
        <v>13</v>
      </c>
      <c r="E3526" s="165">
        <v>40</v>
      </c>
      <c r="F3526" s="166">
        <v>0</v>
      </c>
      <c r="G3526" s="227">
        <f>IF($B$2,IF(ROWS(B$6:$B3526) = 1,$B3526-Start_Date,$B3526-$B3525),"")</f>
        <v>6.4307870416087098E-3</v>
      </c>
      <c r="H3526" s="29">
        <f>IF($B$2,IF(ROWS(B$6:$B3526) = 1,IF(COUNTIFS(R_Schedule_Times,"&lt;"&amp;B3526),INDEX(R_Schedule_Amounts,MATCH(B3526,R_Schedule_Times,1)),Starting_Cash),IF(COUNTIFS(R_Schedule_Times,"&gt;"&amp;B3525,R_Schedule_Times,"&lt;"&amp;B3526),INDEX(R_Schedule_Amounts,MATCH(B3526,R_Schedule_Times,1)),K3525)),"")</f>
        <v>6860</v>
      </c>
      <c r="I3526" s="30">
        <f t="shared" si="270"/>
        <v>40</v>
      </c>
      <c r="J3526" s="31">
        <f t="shared" si="271"/>
        <v>0</v>
      </c>
      <c r="K3526" s="29">
        <f t="shared" si="272"/>
        <v>6820</v>
      </c>
      <c r="L3526" s="31" t="str">
        <f t="shared" si="273"/>
        <v/>
      </c>
      <c r="M3526" s="31" t="str">
        <f t="shared" si="274"/>
        <v/>
      </c>
    </row>
    <row r="3527" spans="1:13" x14ac:dyDescent="0.15">
      <c r="A3527" s="163" t="s">
        <v>210</v>
      </c>
      <c r="B3527" s="163">
        <v>42367.580141724538</v>
      </c>
      <c r="C3527" s="164" t="s">
        <v>2785</v>
      </c>
      <c r="D3527" s="164" t="s">
        <v>13</v>
      </c>
      <c r="E3527" s="165">
        <v>80</v>
      </c>
      <c r="F3527" s="166">
        <v>0</v>
      </c>
      <c r="G3527" s="227">
        <f>IF($B$2,IF(ROWS(B$6:$B3527) = 1,$B3527-Start_Date,$B3527-$B3526),"")</f>
        <v>3.8008229166734964E-2</v>
      </c>
      <c r="H3527" s="29">
        <f>IF($B$2,IF(ROWS(B$6:$B3527) = 1,IF(COUNTIFS(R_Schedule_Times,"&lt;"&amp;B3527),INDEX(R_Schedule_Amounts,MATCH(B3527,R_Schedule_Times,1)),Starting_Cash),IF(COUNTIFS(R_Schedule_Times,"&gt;"&amp;B3526,R_Schedule_Times,"&lt;"&amp;B3527),INDEX(R_Schedule_Amounts,MATCH(B3527,R_Schedule_Times,1)),K3526)),"")</f>
        <v>6820</v>
      </c>
      <c r="I3527" s="30">
        <f t="shared" ref="I3527:I3590" si="275">IF($B$2,IF(H3527&gt;=E3527,E3527,0),"")</f>
        <v>80</v>
      </c>
      <c r="J3527" s="31">
        <f t="shared" ref="J3527:J3590" si="276">IF($B$2,IF(H3527&gt;=E3527,F3527,0),"")</f>
        <v>0</v>
      </c>
      <c r="K3527" s="29">
        <f t="shared" ref="K3527:K3590" si="277">IF($B$2,ABS(I3527-H3527),"")</f>
        <v>6740</v>
      </c>
      <c r="L3527" s="31" t="str">
        <f t="shared" ref="L3527:L3590" si="278">IF($B$2,IF(H3527&lt;E3527,"YES",""),"")</f>
        <v/>
      </c>
      <c r="M3527" s="31" t="str">
        <f t="shared" ref="M3527:M3590" si="279">IF($B$2,IF(L3527="YES",F3527,""),"")</f>
        <v/>
      </c>
    </row>
    <row r="3528" spans="1:13" x14ac:dyDescent="0.15">
      <c r="A3528" s="163" t="s">
        <v>210</v>
      </c>
      <c r="B3528" s="163">
        <v>42367.58453359954</v>
      </c>
      <c r="C3528" s="164" t="s">
        <v>2363</v>
      </c>
      <c r="D3528" s="164" t="s">
        <v>13</v>
      </c>
      <c r="E3528" s="165">
        <v>140</v>
      </c>
      <c r="F3528" s="166">
        <v>0</v>
      </c>
      <c r="G3528" s="227">
        <f>IF($B$2,IF(ROWS(B$6:$B3528) = 1,$B3528-Start_Date,$B3528-$B3527),"")</f>
        <v>4.3918750016018748E-3</v>
      </c>
      <c r="H3528" s="29">
        <f>IF($B$2,IF(ROWS(B$6:$B3528) = 1,IF(COUNTIFS(R_Schedule_Times,"&lt;"&amp;B3528),INDEX(R_Schedule_Amounts,MATCH(B3528,R_Schedule_Times,1)),Starting_Cash),IF(COUNTIFS(R_Schedule_Times,"&gt;"&amp;B3527,R_Schedule_Times,"&lt;"&amp;B3528),INDEX(R_Schedule_Amounts,MATCH(B3528,R_Schedule_Times,1)),K3527)),"")</f>
        <v>6740</v>
      </c>
      <c r="I3528" s="30">
        <f t="shared" si="275"/>
        <v>140</v>
      </c>
      <c r="J3528" s="31">
        <f t="shared" si="276"/>
        <v>0</v>
      </c>
      <c r="K3528" s="29">
        <f t="shared" si="277"/>
        <v>6600</v>
      </c>
      <c r="L3528" s="31" t="str">
        <f t="shared" si="278"/>
        <v/>
      </c>
      <c r="M3528" s="31" t="str">
        <f t="shared" si="279"/>
        <v/>
      </c>
    </row>
    <row r="3529" spans="1:13" x14ac:dyDescent="0.15">
      <c r="A3529" s="163" t="s">
        <v>210</v>
      </c>
      <c r="B3529" s="163">
        <v>42367.587672928239</v>
      </c>
      <c r="C3529" s="164" t="s">
        <v>2786</v>
      </c>
      <c r="D3529" s="164" t="s">
        <v>13</v>
      </c>
      <c r="E3529" s="165">
        <v>60</v>
      </c>
      <c r="F3529" s="166">
        <v>0</v>
      </c>
      <c r="G3529" s="227">
        <f>IF($B$2,IF(ROWS(B$6:$B3529) = 1,$B3529-Start_Date,$B3529-$B3528),"")</f>
        <v>3.1393286990351044E-3</v>
      </c>
      <c r="H3529" s="29">
        <f>IF($B$2,IF(ROWS(B$6:$B3529) = 1,IF(COUNTIFS(R_Schedule_Times,"&lt;"&amp;B3529),INDEX(R_Schedule_Amounts,MATCH(B3529,R_Schedule_Times,1)),Starting_Cash),IF(COUNTIFS(R_Schedule_Times,"&gt;"&amp;B3528,R_Schedule_Times,"&lt;"&amp;B3529),INDEX(R_Schedule_Amounts,MATCH(B3529,R_Schedule_Times,1)),K3528)),"")</f>
        <v>6600</v>
      </c>
      <c r="I3529" s="30">
        <f t="shared" si="275"/>
        <v>60</v>
      </c>
      <c r="J3529" s="31">
        <f t="shared" si="276"/>
        <v>0</v>
      </c>
      <c r="K3529" s="29">
        <f t="shared" si="277"/>
        <v>6540</v>
      </c>
      <c r="L3529" s="31" t="str">
        <f t="shared" si="278"/>
        <v/>
      </c>
      <c r="M3529" s="31" t="str">
        <f t="shared" si="279"/>
        <v/>
      </c>
    </row>
    <row r="3530" spans="1:13" x14ac:dyDescent="0.15">
      <c r="A3530" s="163" t="s">
        <v>210</v>
      </c>
      <c r="B3530" s="163">
        <v>42367.588862511577</v>
      </c>
      <c r="C3530" s="164" t="s">
        <v>2787</v>
      </c>
      <c r="D3530" s="164" t="s">
        <v>13</v>
      </c>
      <c r="E3530" s="165">
        <v>60</v>
      </c>
      <c r="F3530" s="166">
        <v>0</v>
      </c>
      <c r="G3530" s="227">
        <f>IF($B$2,IF(ROWS(B$6:$B3530) = 1,$B3530-Start_Date,$B3530-$B3529),"")</f>
        <v>1.1895833376911469E-3</v>
      </c>
      <c r="H3530" s="29">
        <f>IF($B$2,IF(ROWS(B$6:$B3530) = 1,IF(COUNTIFS(R_Schedule_Times,"&lt;"&amp;B3530),INDEX(R_Schedule_Amounts,MATCH(B3530,R_Schedule_Times,1)),Starting_Cash),IF(COUNTIFS(R_Schedule_Times,"&gt;"&amp;B3529,R_Schedule_Times,"&lt;"&amp;B3530),INDEX(R_Schedule_Amounts,MATCH(B3530,R_Schedule_Times,1)),K3529)),"")</f>
        <v>6540</v>
      </c>
      <c r="I3530" s="30">
        <f t="shared" si="275"/>
        <v>60</v>
      </c>
      <c r="J3530" s="31">
        <f t="shared" si="276"/>
        <v>0</v>
      </c>
      <c r="K3530" s="29">
        <f t="shared" si="277"/>
        <v>6480</v>
      </c>
      <c r="L3530" s="31" t="str">
        <f t="shared" si="278"/>
        <v/>
      </c>
      <c r="M3530" s="31" t="str">
        <f t="shared" si="279"/>
        <v/>
      </c>
    </row>
    <row r="3531" spans="1:13" x14ac:dyDescent="0.15">
      <c r="A3531" s="163" t="s">
        <v>210</v>
      </c>
      <c r="B3531" s="163">
        <v>42367.589522372684</v>
      </c>
      <c r="C3531" s="164" t="s">
        <v>524</v>
      </c>
      <c r="D3531" s="164" t="s">
        <v>13</v>
      </c>
      <c r="E3531" s="165">
        <v>500</v>
      </c>
      <c r="F3531" s="166">
        <v>0</v>
      </c>
      <c r="G3531" s="227">
        <f>IF($B$2,IF(ROWS(B$6:$B3531) = 1,$B3531-Start_Date,$B3531-$B3530),"")</f>
        <v>6.5986110712401569E-4</v>
      </c>
      <c r="H3531" s="29">
        <f>IF($B$2,IF(ROWS(B$6:$B3531) = 1,IF(COUNTIFS(R_Schedule_Times,"&lt;"&amp;B3531),INDEX(R_Schedule_Amounts,MATCH(B3531,R_Schedule_Times,1)),Starting_Cash),IF(COUNTIFS(R_Schedule_Times,"&gt;"&amp;B3530,R_Schedule_Times,"&lt;"&amp;B3531),INDEX(R_Schedule_Amounts,MATCH(B3531,R_Schedule_Times,1)),K3530)),"")</f>
        <v>6480</v>
      </c>
      <c r="I3531" s="30">
        <f t="shared" si="275"/>
        <v>500</v>
      </c>
      <c r="J3531" s="31">
        <f t="shared" si="276"/>
        <v>0</v>
      </c>
      <c r="K3531" s="29">
        <f t="shared" si="277"/>
        <v>5980</v>
      </c>
      <c r="L3531" s="31" t="str">
        <f t="shared" si="278"/>
        <v/>
      </c>
      <c r="M3531" s="31" t="str">
        <f t="shared" si="279"/>
        <v/>
      </c>
    </row>
    <row r="3532" spans="1:13" x14ac:dyDescent="0.15">
      <c r="A3532" s="163" t="s">
        <v>210</v>
      </c>
      <c r="B3532" s="163">
        <v>42367.618944467591</v>
      </c>
      <c r="C3532" s="164" t="s">
        <v>2788</v>
      </c>
      <c r="D3532" s="164" t="s">
        <v>13</v>
      </c>
      <c r="E3532" s="165">
        <v>120</v>
      </c>
      <c r="F3532" s="166">
        <v>0</v>
      </c>
      <c r="G3532" s="227">
        <f>IF($B$2,IF(ROWS(B$6:$B3532) = 1,$B3532-Start_Date,$B3532-$B3531),"")</f>
        <v>2.9422094907204155E-2</v>
      </c>
      <c r="H3532" s="29">
        <f>IF($B$2,IF(ROWS(B$6:$B3532) = 1,IF(COUNTIFS(R_Schedule_Times,"&lt;"&amp;B3532),INDEX(R_Schedule_Amounts,MATCH(B3532,R_Schedule_Times,1)),Starting_Cash),IF(COUNTIFS(R_Schedule_Times,"&gt;"&amp;B3531,R_Schedule_Times,"&lt;"&amp;B3532),INDEX(R_Schedule_Amounts,MATCH(B3532,R_Schedule_Times,1)),K3531)),"")</f>
        <v>5980</v>
      </c>
      <c r="I3532" s="30">
        <f t="shared" si="275"/>
        <v>120</v>
      </c>
      <c r="J3532" s="31">
        <f t="shared" si="276"/>
        <v>0</v>
      </c>
      <c r="K3532" s="29">
        <f t="shared" si="277"/>
        <v>5860</v>
      </c>
      <c r="L3532" s="31" t="str">
        <f t="shared" si="278"/>
        <v/>
      </c>
      <c r="M3532" s="31" t="str">
        <f t="shared" si="279"/>
        <v/>
      </c>
    </row>
    <row r="3533" spans="1:13" x14ac:dyDescent="0.15">
      <c r="A3533" s="163" t="s">
        <v>210</v>
      </c>
      <c r="B3533" s="163">
        <v>42367.619832662036</v>
      </c>
      <c r="C3533" s="164" t="s">
        <v>2789</v>
      </c>
      <c r="D3533" s="164" t="s">
        <v>13</v>
      </c>
      <c r="E3533" s="165">
        <v>400</v>
      </c>
      <c r="F3533" s="166">
        <v>0</v>
      </c>
      <c r="G3533" s="227">
        <f>IF($B$2,IF(ROWS(B$6:$B3533) = 1,$B3533-Start_Date,$B3533-$B3532),"")</f>
        <v>8.8819444499677047E-4</v>
      </c>
      <c r="H3533" s="29">
        <f>IF($B$2,IF(ROWS(B$6:$B3533) = 1,IF(COUNTIFS(R_Schedule_Times,"&lt;"&amp;B3533),INDEX(R_Schedule_Amounts,MATCH(B3533,R_Schedule_Times,1)),Starting_Cash),IF(COUNTIFS(R_Schedule_Times,"&gt;"&amp;B3532,R_Schedule_Times,"&lt;"&amp;B3533),INDEX(R_Schedule_Amounts,MATCH(B3533,R_Schedule_Times,1)),K3532)),"")</f>
        <v>5860</v>
      </c>
      <c r="I3533" s="30">
        <f t="shared" si="275"/>
        <v>400</v>
      </c>
      <c r="J3533" s="31">
        <f t="shared" si="276"/>
        <v>0</v>
      </c>
      <c r="K3533" s="29">
        <f t="shared" si="277"/>
        <v>5460</v>
      </c>
      <c r="L3533" s="31" t="str">
        <f t="shared" si="278"/>
        <v/>
      </c>
      <c r="M3533" s="31" t="str">
        <f t="shared" si="279"/>
        <v/>
      </c>
    </row>
    <row r="3534" spans="1:13" x14ac:dyDescent="0.15">
      <c r="A3534" s="163" t="s">
        <v>210</v>
      </c>
      <c r="B3534" s="163">
        <v>42367.656215069444</v>
      </c>
      <c r="C3534" s="164" t="s">
        <v>2710</v>
      </c>
      <c r="D3534" s="164" t="s">
        <v>13</v>
      </c>
      <c r="E3534" s="165">
        <v>120</v>
      </c>
      <c r="F3534" s="166">
        <v>0</v>
      </c>
      <c r="G3534" s="227">
        <f>IF($B$2,IF(ROWS(B$6:$B3534) = 1,$B3534-Start_Date,$B3534-$B3533),"")</f>
        <v>3.6382407408382278E-2</v>
      </c>
      <c r="H3534" s="29">
        <f>IF($B$2,IF(ROWS(B$6:$B3534) = 1,IF(COUNTIFS(R_Schedule_Times,"&lt;"&amp;B3534),INDEX(R_Schedule_Amounts,MATCH(B3534,R_Schedule_Times,1)),Starting_Cash),IF(COUNTIFS(R_Schedule_Times,"&gt;"&amp;B3533,R_Schedule_Times,"&lt;"&amp;B3534),INDEX(R_Schedule_Amounts,MATCH(B3534,R_Schedule_Times,1)),K3533)),"")</f>
        <v>5460</v>
      </c>
      <c r="I3534" s="30">
        <f t="shared" si="275"/>
        <v>120</v>
      </c>
      <c r="J3534" s="31">
        <f t="shared" si="276"/>
        <v>0</v>
      </c>
      <c r="K3534" s="29">
        <f t="shared" si="277"/>
        <v>5340</v>
      </c>
      <c r="L3534" s="31" t="str">
        <f t="shared" si="278"/>
        <v/>
      </c>
      <c r="M3534" s="31" t="str">
        <f t="shared" si="279"/>
        <v/>
      </c>
    </row>
    <row r="3535" spans="1:13" x14ac:dyDescent="0.15">
      <c r="A3535" s="163" t="s">
        <v>210</v>
      </c>
      <c r="B3535" s="163">
        <v>42367.656808819447</v>
      </c>
      <c r="C3535" s="164" t="s">
        <v>2790</v>
      </c>
      <c r="D3535" s="164" t="s">
        <v>13</v>
      </c>
      <c r="E3535" s="165">
        <v>100</v>
      </c>
      <c r="F3535" s="166">
        <v>0</v>
      </c>
      <c r="G3535" s="227">
        <f>IF($B$2,IF(ROWS(B$6:$B3535) = 1,$B3535-Start_Date,$B3535-$B3534),"")</f>
        <v>5.9375000273576006E-4</v>
      </c>
      <c r="H3535" s="29">
        <f>IF($B$2,IF(ROWS(B$6:$B3535) = 1,IF(COUNTIFS(R_Schedule_Times,"&lt;"&amp;B3535),INDEX(R_Schedule_Amounts,MATCH(B3535,R_Schedule_Times,1)),Starting_Cash),IF(COUNTIFS(R_Schedule_Times,"&gt;"&amp;B3534,R_Schedule_Times,"&lt;"&amp;B3535),INDEX(R_Schedule_Amounts,MATCH(B3535,R_Schedule_Times,1)),K3534)),"")</f>
        <v>5340</v>
      </c>
      <c r="I3535" s="30">
        <f t="shared" si="275"/>
        <v>100</v>
      </c>
      <c r="J3535" s="31">
        <f t="shared" si="276"/>
        <v>0</v>
      </c>
      <c r="K3535" s="29">
        <f t="shared" si="277"/>
        <v>5240</v>
      </c>
      <c r="L3535" s="31" t="str">
        <f t="shared" si="278"/>
        <v/>
      </c>
      <c r="M3535" s="31" t="str">
        <f t="shared" si="279"/>
        <v/>
      </c>
    </row>
    <row r="3536" spans="1:13" x14ac:dyDescent="0.15">
      <c r="A3536" s="163" t="s">
        <v>210</v>
      </c>
      <c r="B3536" s="163">
        <v>42367.682453275462</v>
      </c>
      <c r="C3536" s="164" t="s">
        <v>2791</v>
      </c>
      <c r="D3536" s="164" t="s">
        <v>13</v>
      </c>
      <c r="E3536" s="165">
        <v>80</v>
      </c>
      <c r="F3536" s="166">
        <v>0</v>
      </c>
      <c r="G3536" s="227">
        <f>IF($B$2,IF(ROWS(B$6:$B3536) = 1,$B3536-Start_Date,$B3536-$B3535),"")</f>
        <v>2.5644456014561001E-2</v>
      </c>
      <c r="H3536" s="29">
        <f>IF($B$2,IF(ROWS(B$6:$B3536) = 1,IF(COUNTIFS(R_Schedule_Times,"&lt;"&amp;B3536),INDEX(R_Schedule_Amounts,MATCH(B3536,R_Schedule_Times,1)),Starting_Cash),IF(COUNTIFS(R_Schedule_Times,"&gt;"&amp;B3535,R_Schedule_Times,"&lt;"&amp;B3536),INDEX(R_Schedule_Amounts,MATCH(B3536,R_Schedule_Times,1)),K3535)),"")</f>
        <v>5240</v>
      </c>
      <c r="I3536" s="30">
        <f t="shared" si="275"/>
        <v>80</v>
      </c>
      <c r="J3536" s="31">
        <f t="shared" si="276"/>
        <v>0</v>
      </c>
      <c r="K3536" s="29">
        <f t="shared" si="277"/>
        <v>5160</v>
      </c>
      <c r="L3536" s="31" t="str">
        <f t="shared" si="278"/>
        <v/>
      </c>
      <c r="M3536" s="31" t="str">
        <f t="shared" si="279"/>
        <v/>
      </c>
    </row>
    <row r="3537" spans="1:13" x14ac:dyDescent="0.15">
      <c r="A3537" s="163" t="s">
        <v>210</v>
      </c>
      <c r="B3537" s="163">
        <v>42367.699239814814</v>
      </c>
      <c r="C3537" s="164" t="s">
        <v>2792</v>
      </c>
      <c r="D3537" s="164" t="s">
        <v>13</v>
      </c>
      <c r="E3537" s="165">
        <v>100</v>
      </c>
      <c r="F3537" s="166">
        <v>0</v>
      </c>
      <c r="G3537" s="227">
        <f>IF($B$2,IF(ROWS(B$6:$B3537) = 1,$B3537-Start_Date,$B3537-$B3536),"")</f>
        <v>1.6786539352324326E-2</v>
      </c>
      <c r="H3537" s="29">
        <f>IF($B$2,IF(ROWS(B$6:$B3537) = 1,IF(COUNTIFS(R_Schedule_Times,"&lt;"&amp;B3537),INDEX(R_Schedule_Amounts,MATCH(B3537,R_Schedule_Times,1)),Starting_Cash),IF(COUNTIFS(R_Schedule_Times,"&gt;"&amp;B3536,R_Schedule_Times,"&lt;"&amp;B3537),INDEX(R_Schedule_Amounts,MATCH(B3537,R_Schedule_Times,1)),K3536)),"")</f>
        <v>5160</v>
      </c>
      <c r="I3537" s="30">
        <f t="shared" si="275"/>
        <v>100</v>
      </c>
      <c r="J3537" s="31">
        <f t="shared" si="276"/>
        <v>0</v>
      </c>
      <c r="K3537" s="29">
        <f t="shared" si="277"/>
        <v>5060</v>
      </c>
      <c r="L3537" s="31" t="str">
        <f t="shared" si="278"/>
        <v/>
      </c>
      <c r="M3537" s="31" t="str">
        <f t="shared" si="279"/>
        <v/>
      </c>
    </row>
    <row r="3538" spans="1:13" x14ac:dyDescent="0.15">
      <c r="A3538" s="163" t="s">
        <v>210</v>
      </c>
      <c r="B3538" s="163">
        <v>42367.70600085648</v>
      </c>
      <c r="C3538" s="164" t="s">
        <v>14</v>
      </c>
      <c r="D3538" s="164" t="s">
        <v>15</v>
      </c>
      <c r="E3538" s="165">
        <v>40</v>
      </c>
      <c r="F3538" s="166">
        <v>3.7</v>
      </c>
      <c r="G3538" s="227">
        <f>IF($B$2,IF(ROWS(B$6:$B3538) = 1,$B3538-Start_Date,$B3538-$B3537),"")</f>
        <v>6.7610416663228534E-3</v>
      </c>
      <c r="H3538" s="29">
        <f>IF($B$2,IF(ROWS(B$6:$B3538) = 1,IF(COUNTIFS(R_Schedule_Times,"&lt;"&amp;B3538),INDEX(R_Schedule_Amounts,MATCH(B3538,R_Schedule_Times,1)),Starting_Cash),IF(COUNTIFS(R_Schedule_Times,"&gt;"&amp;B3537,R_Schedule_Times,"&lt;"&amp;B3538),INDEX(R_Schedule_Amounts,MATCH(B3538,R_Schedule_Times,1)),K3537)),"")</f>
        <v>5060</v>
      </c>
      <c r="I3538" s="30">
        <f t="shared" si="275"/>
        <v>40</v>
      </c>
      <c r="J3538" s="31">
        <f t="shared" si="276"/>
        <v>3.7</v>
      </c>
      <c r="K3538" s="29">
        <f t="shared" si="277"/>
        <v>5020</v>
      </c>
      <c r="L3538" s="31" t="str">
        <f t="shared" si="278"/>
        <v/>
      </c>
      <c r="M3538" s="31" t="str">
        <f t="shared" si="279"/>
        <v/>
      </c>
    </row>
    <row r="3539" spans="1:13" x14ac:dyDescent="0.15">
      <c r="A3539" s="163" t="s">
        <v>210</v>
      </c>
      <c r="B3539" s="163">
        <v>42367.711550173612</v>
      </c>
      <c r="C3539" s="164" t="s">
        <v>2793</v>
      </c>
      <c r="D3539" s="164" t="s">
        <v>13</v>
      </c>
      <c r="E3539" s="165">
        <v>20</v>
      </c>
      <c r="F3539" s="166">
        <v>0</v>
      </c>
      <c r="G3539" s="227">
        <f>IF($B$2,IF(ROWS(B$6:$B3539) = 1,$B3539-Start_Date,$B3539-$B3538),"")</f>
        <v>5.5493171312264167E-3</v>
      </c>
      <c r="H3539" s="29">
        <f>IF($B$2,IF(ROWS(B$6:$B3539) = 1,IF(COUNTIFS(R_Schedule_Times,"&lt;"&amp;B3539),INDEX(R_Schedule_Amounts,MATCH(B3539,R_Schedule_Times,1)),Starting_Cash),IF(COUNTIFS(R_Schedule_Times,"&gt;"&amp;B3538,R_Schedule_Times,"&lt;"&amp;B3539),INDEX(R_Schedule_Amounts,MATCH(B3539,R_Schedule_Times,1)),K3538)),"")</f>
        <v>5020</v>
      </c>
      <c r="I3539" s="30">
        <f t="shared" si="275"/>
        <v>20</v>
      </c>
      <c r="J3539" s="31">
        <f t="shared" si="276"/>
        <v>0</v>
      </c>
      <c r="K3539" s="29">
        <f t="shared" si="277"/>
        <v>5000</v>
      </c>
      <c r="L3539" s="31" t="str">
        <f t="shared" si="278"/>
        <v/>
      </c>
      <c r="M3539" s="31" t="str">
        <f t="shared" si="279"/>
        <v/>
      </c>
    </row>
    <row r="3540" spans="1:13" x14ac:dyDescent="0.15">
      <c r="A3540" s="163" t="s">
        <v>210</v>
      </c>
      <c r="B3540" s="163">
        <v>42367.715142025459</v>
      </c>
      <c r="C3540" s="164" t="s">
        <v>2794</v>
      </c>
      <c r="D3540" s="164" t="s">
        <v>13</v>
      </c>
      <c r="E3540" s="165">
        <v>200</v>
      </c>
      <c r="F3540" s="166">
        <v>0</v>
      </c>
      <c r="G3540" s="227">
        <f>IF($B$2,IF(ROWS(B$6:$B3540) = 1,$B3540-Start_Date,$B3540-$B3539),"")</f>
        <v>3.5918518478865735E-3</v>
      </c>
      <c r="H3540" s="29">
        <f>IF($B$2,IF(ROWS(B$6:$B3540) = 1,IF(COUNTIFS(R_Schedule_Times,"&lt;"&amp;B3540),INDEX(R_Schedule_Amounts,MATCH(B3540,R_Schedule_Times,1)),Starting_Cash),IF(COUNTIFS(R_Schedule_Times,"&gt;"&amp;B3539,R_Schedule_Times,"&lt;"&amp;B3540),INDEX(R_Schedule_Amounts,MATCH(B3540,R_Schedule_Times,1)),K3539)),"")</f>
        <v>5000</v>
      </c>
      <c r="I3540" s="30">
        <f t="shared" si="275"/>
        <v>200</v>
      </c>
      <c r="J3540" s="31">
        <f t="shared" si="276"/>
        <v>0</v>
      </c>
      <c r="K3540" s="29">
        <f t="shared" si="277"/>
        <v>4800</v>
      </c>
      <c r="L3540" s="31" t="str">
        <f t="shared" si="278"/>
        <v/>
      </c>
      <c r="M3540" s="31" t="str">
        <f t="shared" si="279"/>
        <v/>
      </c>
    </row>
    <row r="3541" spans="1:13" x14ac:dyDescent="0.15">
      <c r="A3541" s="163" t="s">
        <v>210</v>
      </c>
      <c r="B3541" s="163">
        <v>42367.717095740743</v>
      </c>
      <c r="C3541" s="164" t="s">
        <v>554</v>
      </c>
      <c r="D3541" s="164" t="s">
        <v>13</v>
      </c>
      <c r="E3541" s="165">
        <v>100</v>
      </c>
      <c r="F3541" s="166">
        <v>0</v>
      </c>
      <c r="G3541" s="227">
        <f>IF($B$2,IF(ROWS(B$6:$B3541) = 1,$B3541-Start_Date,$B3541-$B3540),"")</f>
        <v>1.9537152838893235E-3</v>
      </c>
      <c r="H3541" s="29">
        <f>IF($B$2,IF(ROWS(B$6:$B3541) = 1,IF(COUNTIFS(R_Schedule_Times,"&lt;"&amp;B3541),INDEX(R_Schedule_Amounts,MATCH(B3541,R_Schedule_Times,1)),Starting_Cash),IF(COUNTIFS(R_Schedule_Times,"&gt;"&amp;B3540,R_Schedule_Times,"&lt;"&amp;B3541),INDEX(R_Schedule_Amounts,MATCH(B3541,R_Schedule_Times,1)),K3540)),"")</f>
        <v>4800</v>
      </c>
      <c r="I3541" s="30">
        <f t="shared" si="275"/>
        <v>100</v>
      </c>
      <c r="J3541" s="31">
        <f t="shared" si="276"/>
        <v>0</v>
      </c>
      <c r="K3541" s="29">
        <f t="shared" si="277"/>
        <v>4700</v>
      </c>
      <c r="L3541" s="31" t="str">
        <f t="shared" si="278"/>
        <v/>
      </c>
      <c r="M3541" s="31" t="str">
        <f t="shared" si="279"/>
        <v/>
      </c>
    </row>
    <row r="3542" spans="1:13" x14ac:dyDescent="0.15">
      <c r="A3542" s="163" t="s">
        <v>210</v>
      </c>
      <c r="B3542" s="163">
        <v>42367.771979837962</v>
      </c>
      <c r="C3542" s="164" t="s">
        <v>2795</v>
      </c>
      <c r="D3542" s="164" t="s">
        <v>15</v>
      </c>
      <c r="E3542" s="165">
        <v>100</v>
      </c>
      <c r="F3542" s="166">
        <v>3</v>
      </c>
      <c r="G3542" s="227">
        <f>IF($B$2,IF(ROWS(B$6:$B3542) = 1,$B3542-Start_Date,$B3542-$B3541),"")</f>
        <v>5.4884097218746319E-2</v>
      </c>
      <c r="H3542" s="29">
        <f>IF($B$2,IF(ROWS(B$6:$B3542) = 1,IF(COUNTIFS(R_Schedule_Times,"&lt;"&amp;B3542),INDEX(R_Schedule_Amounts,MATCH(B3542,R_Schedule_Times,1)),Starting_Cash),IF(COUNTIFS(R_Schedule_Times,"&gt;"&amp;B3541,R_Schedule_Times,"&lt;"&amp;B3542),INDEX(R_Schedule_Amounts,MATCH(B3542,R_Schedule_Times,1)),K3541)),"")</f>
        <v>4700</v>
      </c>
      <c r="I3542" s="30">
        <f t="shared" si="275"/>
        <v>100</v>
      </c>
      <c r="J3542" s="31">
        <f t="shared" si="276"/>
        <v>3</v>
      </c>
      <c r="K3542" s="29">
        <f t="shared" si="277"/>
        <v>4600</v>
      </c>
      <c r="L3542" s="31" t="str">
        <f t="shared" si="278"/>
        <v/>
      </c>
      <c r="M3542" s="31" t="str">
        <f t="shared" si="279"/>
        <v/>
      </c>
    </row>
    <row r="3543" spans="1:13" x14ac:dyDescent="0.15">
      <c r="A3543" s="163" t="s">
        <v>210</v>
      </c>
      <c r="B3543" s="163">
        <v>42367.77636217593</v>
      </c>
      <c r="C3543" s="164" t="s">
        <v>14</v>
      </c>
      <c r="D3543" s="164" t="s">
        <v>13</v>
      </c>
      <c r="E3543" s="165">
        <v>100</v>
      </c>
      <c r="F3543" s="166">
        <v>3.5</v>
      </c>
      <c r="G3543" s="227">
        <f>IF($B$2,IF(ROWS(B$6:$B3543) = 1,$B3543-Start_Date,$B3543-$B3542),"")</f>
        <v>4.3823379673995078E-3</v>
      </c>
      <c r="H3543" s="29">
        <f>IF($B$2,IF(ROWS(B$6:$B3543) = 1,IF(COUNTIFS(R_Schedule_Times,"&lt;"&amp;B3543),INDEX(R_Schedule_Amounts,MATCH(B3543,R_Schedule_Times,1)),Starting_Cash),IF(COUNTIFS(R_Schedule_Times,"&gt;"&amp;B3542,R_Schedule_Times,"&lt;"&amp;B3543),INDEX(R_Schedule_Amounts,MATCH(B3543,R_Schedule_Times,1)),K3542)),"")</f>
        <v>4600</v>
      </c>
      <c r="I3543" s="30">
        <f t="shared" si="275"/>
        <v>100</v>
      </c>
      <c r="J3543" s="31">
        <f t="shared" si="276"/>
        <v>3.5</v>
      </c>
      <c r="K3543" s="29">
        <f t="shared" si="277"/>
        <v>4500</v>
      </c>
      <c r="L3543" s="31" t="str">
        <f t="shared" si="278"/>
        <v/>
      </c>
      <c r="M3543" s="31" t="str">
        <f t="shared" si="279"/>
        <v/>
      </c>
    </row>
    <row r="3544" spans="1:13" x14ac:dyDescent="0.15">
      <c r="A3544" s="163" t="s">
        <v>210</v>
      </c>
      <c r="B3544" s="163">
        <v>42367.810361122683</v>
      </c>
      <c r="C3544" s="164" t="s">
        <v>2796</v>
      </c>
      <c r="D3544" s="164" t="s">
        <v>13</v>
      </c>
      <c r="E3544" s="165">
        <v>80</v>
      </c>
      <c r="F3544" s="166">
        <v>0</v>
      </c>
      <c r="G3544" s="227">
        <f>IF($B$2,IF(ROWS(B$6:$B3544) = 1,$B3544-Start_Date,$B3544-$B3543),"")</f>
        <v>3.3998946753854398E-2</v>
      </c>
      <c r="H3544" s="29">
        <f>IF($B$2,IF(ROWS(B$6:$B3544) = 1,IF(COUNTIFS(R_Schedule_Times,"&lt;"&amp;B3544),INDEX(R_Schedule_Amounts,MATCH(B3544,R_Schedule_Times,1)),Starting_Cash),IF(COUNTIFS(R_Schedule_Times,"&gt;"&amp;B3543,R_Schedule_Times,"&lt;"&amp;B3544),INDEX(R_Schedule_Amounts,MATCH(B3544,R_Schedule_Times,1)),K3543)),"")</f>
        <v>4500</v>
      </c>
      <c r="I3544" s="30">
        <f t="shared" si="275"/>
        <v>80</v>
      </c>
      <c r="J3544" s="31">
        <f t="shared" si="276"/>
        <v>0</v>
      </c>
      <c r="K3544" s="29">
        <f t="shared" si="277"/>
        <v>4420</v>
      </c>
      <c r="L3544" s="31" t="str">
        <f t="shared" si="278"/>
        <v/>
      </c>
      <c r="M3544" s="31" t="str">
        <f t="shared" si="279"/>
        <v/>
      </c>
    </row>
    <row r="3545" spans="1:13" x14ac:dyDescent="0.15">
      <c r="A3545" s="163" t="s">
        <v>210</v>
      </c>
      <c r="B3545" s="163">
        <v>42367.910133865742</v>
      </c>
      <c r="C3545" s="164" t="s">
        <v>555</v>
      </c>
      <c r="D3545" s="164" t="s">
        <v>13</v>
      </c>
      <c r="E3545" s="165">
        <v>40</v>
      </c>
      <c r="F3545" s="166">
        <v>0</v>
      </c>
      <c r="G3545" s="227">
        <f>IF($B$2,IF(ROWS(B$6:$B3545) = 1,$B3545-Start_Date,$B3545-$B3544),"")</f>
        <v>9.9772743058565538E-2</v>
      </c>
      <c r="H3545" s="29">
        <f>IF($B$2,IF(ROWS(B$6:$B3545) = 1,IF(COUNTIFS(R_Schedule_Times,"&lt;"&amp;B3545),INDEX(R_Schedule_Amounts,MATCH(B3545,R_Schedule_Times,1)),Starting_Cash),IF(COUNTIFS(R_Schedule_Times,"&gt;"&amp;B3544,R_Schedule_Times,"&lt;"&amp;B3545),INDEX(R_Schedule_Amounts,MATCH(B3545,R_Schedule_Times,1)),K3544)),"")</f>
        <v>4420</v>
      </c>
      <c r="I3545" s="30">
        <f t="shared" si="275"/>
        <v>40</v>
      </c>
      <c r="J3545" s="31">
        <f t="shared" si="276"/>
        <v>0</v>
      </c>
      <c r="K3545" s="29">
        <f t="shared" si="277"/>
        <v>4380</v>
      </c>
      <c r="L3545" s="31" t="str">
        <f t="shared" si="278"/>
        <v/>
      </c>
      <c r="M3545" s="31" t="str">
        <f t="shared" si="279"/>
        <v/>
      </c>
    </row>
    <row r="3546" spans="1:13" x14ac:dyDescent="0.15">
      <c r="A3546" s="163" t="s">
        <v>210</v>
      </c>
      <c r="B3546" s="163">
        <v>42368.237297025466</v>
      </c>
      <c r="C3546" s="164" t="s">
        <v>2797</v>
      </c>
      <c r="D3546" s="164" t="s">
        <v>13</v>
      </c>
      <c r="E3546" s="165">
        <v>100</v>
      </c>
      <c r="F3546" s="166">
        <v>0</v>
      </c>
      <c r="G3546" s="227">
        <f>IF($B$2,IF(ROWS(B$6:$B3546) = 1,$B3546-Start_Date,$B3546-$B3545),"")</f>
        <v>0.32716315972356824</v>
      </c>
      <c r="H3546" s="29">
        <f>IF($B$2,IF(ROWS(B$6:$B3546) = 1,IF(COUNTIFS(R_Schedule_Times,"&lt;"&amp;B3546),INDEX(R_Schedule_Amounts,MATCH(B3546,R_Schedule_Times,1)),Starting_Cash),IF(COUNTIFS(R_Schedule_Times,"&gt;"&amp;B3545,R_Schedule_Times,"&lt;"&amp;B3546),INDEX(R_Schedule_Amounts,MATCH(B3546,R_Schedule_Times,1)),K3545)),"")</f>
        <v>4380</v>
      </c>
      <c r="I3546" s="30">
        <f t="shared" si="275"/>
        <v>100</v>
      </c>
      <c r="J3546" s="31">
        <f t="shared" si="276"/>
        <v>0</v>
      </c>
      <c r="K3546" s="29">
        <f t="shared" si="277"/>
        <v>4280</v>
      </c>
      <c r="L3546" s="31" t="str">
        <f t="shared" si="278"/>
        <v/>
      </c>
      <c r="M3546" s="31" t="str">
        <f t="shared" si="279"/>
        <v/>
      </c>
    </row>
    <row r="3547" spans="1:13" x14ac:dyDescent="0.15">
      <c r="A3547" s="163" t="s">
        <v>210</v>
      </c>
      <c r="B3547" s="163">
        <v>42368.293664849538</v>
      </c>
      <c r="C3547" s="164" t="s">
        <v>2200</v>
      </c>
      <c r="D3547" s="164" t="s">
        <v>13</v>
      </c>
      <c r="E3547" s="165">
        <v>80</v>
      </c>
      <c r="F3547" s="166">
        <v>0</v>
      </c>
      <c r="G3547" s="227">
        <f>IF($B$2,IF(ROWS(B$6:$B3547) = 1,$B3547-Start_Date,$B3547-$B3546),"")</f>
        <v>5.6367824072367512E-2</v>
      </c>
      <c r="H3547" s="29">
        <f>IF($B$2,IF(ROWS(B$6:$B3547) = 1,IF(COUNTIFS(R_Schedule_Times,"&lt;"&amp;B3547),INDEX(R_Schedule_Amounts,MATCH(B3547,R_Schedule_Times,1)),Starting_Cash),IF(COUNTIFS(R_Schedule_Times,"&gt;"&amp;B3546,R_Schedule_Times,"&lt;"&amp;B3547),INDEX(R_Schedule_Amounts,MATCH(B3547,R_Schedule_Times,1)),K3546)),"")</f>
        <v>4280</v>
      </c>
      <c r="I3547" s="30">
        <f t="shared" si="275"/>
        <v>80</v>
      </c>
      <c r="J3547" s="31">
        <f t="shared" si="276"/>
        <v>0</v>
      </c>
      <c r="K3547" s="29">
        <f t="shared" si="277"/>
        <v>4200</v>
      </c>
      <c r="L3547" s="31" t="str">
        <f t="shared" si="278"/>
        <v/>
      </c>
      <c r="M3547" s="31" t="str">
        <f t="shared" si="279"/>
        <v/>
      </c>
    </row>
    <row r="3548" spans="1:13" x14ac:dyDescent="0.15">
      <c r="A3548" s="163" t="s">
        <v>210</v>
      </c>
      <c r="B3548" s="163">
        <v>42368.305176076392</v>
      </c>
      <c r="C3548" s="164" t="s">
        <v>457</v>
      </c>
      <c r="D3548" s="164" t="s">
        <v>13</v>
      </c>
      <c r="E3548" s="165">
        <v>20</v>
      </c>
      <c r="F3548" s="166">
        <v>0</v>
      </c>
      <c r="G3548" s="227">
        <f>IF($B$2,IF(ROWS(B$6:$B3548) = 1,$B3548-Start_Date,$B3548-$B3547),"")</f>
        <v>1.1511226854054257E-2</v>
      </c>
      <c r="H3548" s="29">
        <f>IF($B$2,IF(ROWS(B$6:$B3548) = 1,IF(COUNTIFS(R_Schedule_Times,"&lt;"&amp;B3548),INDEX(R_Schedule_Amounts,MATCH(B3548,R_Schedule_Times,1)),Starting_Cash),IF(COUNTIFS(R_Schedule_Times,"&gt;"&amp;B3547,R_Schedule_Times,"&lt;"&amp;B3548),INDEX(R_Schedule_Amounts,MATCH(B3548,R_Schedule_Times,1)),K3547)),"")</f>
        <v>4200</v>
      </c>
      <c r="I3548" s="30">
        <f t="shared" si="275"/>
        <v>20</v>
      </c>
      <c r="J3548" s="31">
        <f t="shared" si="276"/>
        <v>0</v>
      </c>
      <c r="K3548" s="29">
        <f t="shared" si="277"/>
        <v>4180</v>
      </c>
      <c r="L3548" s="31" t="str">
        <f t="shared" si="278"/>
        <v/>
      </c>
      <c r="M3548" s="31" t="str">
        <f t="shared" si="279"/>
        <v/>
      </c>
    </row>
    <row r="3549" spans="1:13" x14ac:dyDescent="0.15">
      <c r="A3549" s="163" t="s">
        <v>210</v>
      </c>
      <c r="B3549" s="163">
        <v>42368.308538877318</v>
      </c>
      <c r="C3549" s="164" t="s">
        <v>14</v>
      </c>
      <c r="D3549" s="164" t="s">
        <v>15</v>
      </c>
      <c r="E3549" s="165">
        <v>100</v>
      </c>
      <c r="F3549" s="166">
        <v>5.5</v>
      </c>
      <c r="G3549" s="227">
        <f>IF($B$2,IF(ROWS(B$6:$B3549) = 1,$B3549-Start_Date,$B3549-$B3548),"")</f>
        <v>3.3628009259700775E-3</v>
      </c>
      <c r="H3549" s="29">
        <f>IF($B$2,IF(ROWS(B$6:$B3549) = 1,IF(COUNTIFS(R_Schedule_Times,"&lt;"&amp;B3549),INDEX(R_Schedule_Amounts,MATCH(B3549,R_Schedule_Times,1)),Starting_Cash),IF(COUNTIFS(R_Schedule_Times,"&gt;"&amp;B3548,R_Schedule_Times,"&lt;"&amp;B3549),INDEX(R_Schedule_Amounts,MATCH(B3549,R_Schedule_Times,1)),K3548)),"")</f>
        <v>4180</v>
      </c>
      <c r="I3549" s="30">
        <f t="shared" si="275"/>
        <v>100</v>
      </c>
      <c r="J3549" s="31">
        <f t="shared" si="276"/>
        <v>5.5</v>
      </c>
      <c r="K3549" s="29">
        <f t="shared" si="277"/>
        <v>4080</v>
      </c>
      <c r="L3549" s="31" t="str">
        <f t="shared" si="278"/>
        <v/>
      </c>
      <c r="M3549" s="31" t="str">
        <f t="shared" si="279"/>
        <v/>
      </c>
    </row>
    <row r="3550" spans="1:13" x14ac:dyDescent="0.15">
      <c r="A3550" s="163" t="s">
        <v>210</v>
      </c>
      <c r="B3550" s="163">
        <v>42368.315440555554</v>
      </c>
      <c r="C3550" s="164" t="s">
        <v>2798</v>
      </c>
      <c r="D3550" s="164" t="s">
        <v>13</v>
      </c>
      <c r="E3550" s="165">
        <v>40</v>
      </c>
      <c r="F3550" s="166">
        <v>0</v>
      </c>
      <c r="G3550" s="227">
        <f>IF($B$2,IF(ROWS(B$6:$B3550) = 1,$B3550-Start_Date,$B3550-$B3549),"")</f>
        <v>6.9016782363178208E-3</v>
      </c>
      <c r="H3550" s="29">
        <f>IF($B$2,IF(ROWS(B$6:$B3550) = 1,IF(COUNTIFS(R_Schedule_Times,"&lt;"&amp;B3550),INDEX(R_Schedule_Amounts,MATCH(B3550,R_Schedule_Times,1)),Starting_Cash),IF(COUNTIFS(R_Schedule_Times,"&gt;"&amp;B3549,R_Schedule_Times,"&lt;"&amp;B3550),INDEX(R_Schedule_Amounts,MATCH(B3550,R_Schedule_Times,1)),K3549)),"")</f>
        <v>4080</v>
      </c>
      <c r="I3550" s="30">
        <f t="shared" si="275"/>
        <v>40</v>
      </c>
      <c r="J3550" s="31">
        <f t="shared" si="276"/>
        <v>0</v>
      </c>
      <c r="K3550" s="29">
        <f t="shared" si="277"/>
        <v>4040</v>
      </c>
      <c r="L3550" s="31" t="str">
        <f t="shared" si="278"/>
        <v/>
      </c>
      <c r="M3550" s="31" t="str">
        <f t="shared" si="279"/>
        <v/>
      </c>
    </row>
    <row r="3551" spans="1:13" x14ac:dyDescent="0.15">
      <c r="A3551" s="163" t="s">
        <v>210</v>
      </c>
      <c r="B3551" s="163">
        <v>42368.335603217594</v>
      </c>
      <c r="C3551" s="164" t="s">
        <v>1740</v>
      </c>
      <c r="D3551" s="164" t="s">
        <v>13</v>
      </c>
      <c r="E3551" s="165">
        <v>100</v>
      </c>
      <c r="F3551" s="166">
        <v>0</v>
      </c>
      <c r="G3551" s="227">
        <f>IF($B$2,IF(ROWS(B$6:$B3551) = 1,$B3551-Start_Date,$B3551-$B3550),"")</f>
        <v>2.0162662040092982E-2</v>
      </c>
      <c r="H3551" s="29">
        <f>IF($B$2,IF(ROWS(B$6:$B3551) = 1,IF(COUNTIFS(R_Schedule_Times,"&lt;"&amp;B3551),INDEX(R_Schedule_Amounts,MATCH(B3551,R_Schedule_Times,1)),Starting_Cash),IF(COUNTIFS(R_Schedule_Times,"&gt;"&amp;B3550,R_Schedule_Times,"&lt;"&amp;B3551),INDEX(R_Schedule_Amounts,MATCH(B3551,R_Schedule_Times,1)),K3550)),"")</f>
        <v>4040</v>
      </c>
      <c r="I3551" s="30">
        <f t="shared" si="275"/>
        <v>100</v>
      </c>
      <c r="J3551" s="31">
        <f t="shared" si="276"/>
        <v>0</v>
      </c>
      <c r="K3551" s="29">
        <f t="shared" si="277"/>
        <v>3940</v>
      </c>
      <c r="L3551" s="31" t="str">
        <f t="shared" si="278"/>
        <v/>
      </c>
      <c r="M3551" s="31" t="str">
        <f t="shared" si="279"/>
        <v/>
      </c>
    </row>
    <row r="3552" spans="1:13" x14ac:dyDescent="0.15">
      <c r="A3552" s="163" t="s">
        <v>210</v>
      </c>
      <c r="B3552" s="163">
        <v>42368.345634548612</v>
      </c>
      <c r="C3552" s="164" t="s">
        <v>2799</v>
      </c>
      <c r="D3552" s="164" t="s">
        <v>13</v>
      </c>
      <c r="E3552" s="165">
        <v>100</v>
      </c>
      <c r="F3552" s="166">
        <v>0</v>
      </c>
      <c r="G3552" s="227">
        <f>IF($B$2,IF(ROWS(B$6:$B3552) = 1,$B3552-Start_Date,$B3552-$B3551),"")</f>
        <v>1.0031331017671619E-2</v>
      </c>
      <c r="H3552" s="29">
        <f>IF($B$2,IF(ROWS(B$6:$B3552) = 1,IF(COUNTIFS(R_Schedule_Times,"&lt;"&amp;B3552),INDEX(R_Schedule_Amounts,MATCH(B3552,R_Schedule_Times,1)),Starting_Cash),IF(COUNTIFS(R_Schedule_Times,"&gt;"&amp;B3551,R_Schedule_Times,"&lt;"&amp;B3552),INDEX(R_Schedule_Amounts,MATCH(B3552,R_Schedule_Times,1)),K3551)),"")</f>
        <v>3940</v>
      </c>
      <c r="I3552" s="30">
        <f t="shared" si="275"/>
        <v>100</v>
      </c>
      <c r="J3552" s="31">
        <f t="shared" si="276"/>
        <v>0</v>
      </c>
      <c r="K3552" s="29">
        <f t="shared" si="277"/>
        <v>3840</v>
      </c>
      <c r="L3552" s="31" t="str">
        <f t="shared" si="278"/>
        <v/>
      </c>
      <c r="M3552" s="31" t="str">
        <f t="shared" si="279"/>
        <v/>
      </c>
    </row>
    <row r="3553" spans="1:13" x14ac:dyDescent="0.15">
      <c r="A3553" s="163" t="s">
        <v>210</v>
      </c>
      <c r="B3553" s="163">
        <v>42368.376837905096</v>
      </c>
      <c r="C3553" s="164" t="s">
        <v>1786</v>
      </c>
      <c r="D3553" s="164" t="s">
        <v>13</v>
      </c>
      <c r="E3553" s="165">
        <v>100</v>
      </c>
      <c r="F3553" s="166">
        <v>0</v>
      </c>
      <c r="G3553" s="227">
        <f>IF($B$2,IF(ROWS(B$6:$B3553) = 1,$B3553-Start_Date,$B3553-$B3552),"")</f>
        <v>3.1203356484184042E-2</v>
      </c>
      <c r="H3553" s="29">
        <f>IF($B$2,IF(ROWS(B$6:$B3553) = 1,IF(COUNTIFS(R_Schedule_Times,"&lt;"&amp;B3553),INDEX(R_Schedule_Amounts,MATCH(B3553,R_Schedule_Times,1)),Starting_Cash),IF(COUNTIFS(R_Schedule_Times,"&gt;"&amp;B3552,R_Schedule_Times,"&lt;"&amp;B3553),INDEX(R_Schedule_Amounts,MATCH(B3553,R_Schedule_Times,1)),K3552)),"")</f>
        <v>3840</v>
      </c>
      <c r="I3553" s="30">
        <f t="shared" si="275"/>
        <v>100</v>
      </c>
      <c r="J3553" s="31">
        <f t="shared" si="276"/>
        <v>0</v>
      </c>
      <c r="K3553" s="29">
        <f t="shared" si="277"/>
        <v>3740</v>
      </c>
      <c r="L3553" s="31" t="str">
        <f t="shared" si="278"/>
        <v/>
      </c>
      <c r="M3553" s="31" t="str">
        <f t="shared" si="279"/>
        <v/>
      </c>
    </row>
    <row r="3554" spans="1:13" x14ac:dyDescent="0.15">
      <c r="A3554" s="163" t="s">
        <v>210</v>
      </c>
      <c r="B3554" s="163">
        <v>42368.377773506945</v>
      </c>
      <c r="C3554" s="164" t="s">
        <v>901</v>
      </c>
      <c r="D3554" s="164" t="s">
        <v>13</v>
      </c>
      <c r="E3554" s="165">
        <v>60</v>
      </c>
      <c r="F3554" s="166">
        <v>0</v>
      </c>
      <c r="G3554" s="227">
        <f>IF($B$2,IF(ROWS(B$6:$B3554) = 1,$B3554-Start_Date,$B3554-$B3553),"")</f>
        <v>9.3560184905072674E-4</v>
      </c>
      <c r="H3554" s="29">
        <f>IF($B$2,IF(ROWS(B$6:$B3554) = 1,IF(COUNTIFS(R_Schedule_Times,"&lt;"&amp;B3554),INDEX(R_Schedule_Amounts,MATCH(B3554,R_Schedule_Times,1)),Starting_Cash),IF(COUNTIFS(R_Schedule_Times,"&gt;"&amp;B3553,R_Schedule_Times,"&lt;"&amp;B3554),INDEX(R_Schedule_Amounts,MATCH(B3554,R_Schedule_Times,1)),K3553)),"")</f>
        <v>3740</v>
      </c>
      <c r="I3554" s="30">
        <f t="shared" si="275"/>
        <v>60</v>
      </c>
      <c r="J3554" s="31">
        <f t="shared" si="276"/>
        <v>0</v>
      </c>
      <c r="K3554" s="29">
        <f t="shared" si="277"/>
        <v>3680</v>
      </c>
      <c r="L3554" s="31" t="str">
        <f t="shared" si="278"/>
        <v/>
      </c>
      <c r="M3554" s="31" t="str">
        <f t="shared" si="279"/>
        <v/>
      </c>
    </row>
    <row r="3555" spans="1:13" x14ac:dyDescent="0.15">
      <c r="A3555" s="163" t="s">
        <v>210</v>
      </c>
      <c r="B3555" s="163">
        <v>42368.3882930787</v>
      </c>
      <c r="C3555" s="164" t="s">
        <v>1775</v>
      </c>
      <c r="D3555" s="164" t="s">
        <v>13</v>
      </c>
      <c r="E3555" s="165">
        <v>100</v>
      </c>
      <c r="F3555" s="166">
        <v>0</v>
      </c>
      <c r="G3555" s="227">
        <f>IF($B$2,IF(ROWS(B$6:$B3555) = 1,$B3555-Start_Date,$B3555-$B3554),"")</f>
        <v>1.0519571755139623E-2</v>
      </c>
      <c r="H3555" s="29">
        <f>IF($B$2,IF(ROWS(B$6:$B3555) = 1,IF(COUNTIFS(R_Schedule_Times,"&lt;"&amp;B3555),INDEX(R_Schedule_Amounts,MATCH(B3555,R_Schedule_Times,1)),Starting_Cash),IF(COUNTIFS(R_Schedule_Times,"&gt;"&amp;B3554,R_Schedule_Times,"&lt;"&amp;B3555),INDEX(R_Schedule_Amounts,MATCH(B3555,R_Schedule_Times,1)),K3554)),"")</f>
        <v>3680</v>
      </c>
      <c r="I3555" s="30">
        <f t="shared" si="275"/>
        <v>100</v>
      </c>
      <c r="J3555" s="31">
        <f t="shared" si="276"/>
        <v>0</v>
      </c>
      <c r="K3555" s="29">
        <f t="shared" si="277"/>
        <v>3580</v>
      </c>
      <c r="L3555" s="31" t="str">
        <f t="shared" si="278"/>
        <v/>
      </c>
      <c r="M3555" s="31" t="str">
        <f t="shared" si="279"/>
        <v/>
      </c>
    </row>
    <row r="3556" spans="1:13" x14ac:dyDescent="0.15">
      <c r="A3556" s="163" t="s">
        <v>210</v>
      </c>
      <c r="B3556" s="163">
        <v>42368.396493136577</v>
      </c>
      <c r="C3556" s="164" t="s">
        <v>2800</v>
      </c>
      <c r="D3556" s="164" t="s">
        <v>13</v>
      </c>
      <c r="E3556" s="165">
        <v>100</v>
      </c>
      <c r="F3556" s="166">
        <v>0</v>
      </c>
      <c r="G3556" s="227">
        <f>IF($B$2,IF(ROWS(B$6:$B3556) = 1,$B3556-Start_Date,$B3556-$B3555),"")</f>
        <v>8.2000578768202104E-3</v>
      </c>
      <c r="H3556" s="29">
        <f>IF($B$2,IF(ROWS(B$6:$B3556) = 1,IF(COUNTIFS(R_Schedule_Times,"&lt;"&amp;B3556),INDEX(R_Schedule_Amounts,MATCH(B3556,R_Schedule_Times,1)),Starting_Cash),IF(COUNTIFS(R_Schedule_Times,"&gt;"&amp;B3555,R_Schedule_Times,"&lt;"&amp;B3556),INDEX(R_Schedule_Amounts,MATCH(B3556,R_Schedule_Times,1)),K3555)),"")</f>
        <v>3580</v>
      </c>
      <c r="I3556" s="30">
        <f t="shared" si="275"/>
        <v>100</v>
      </c>
      <c r="J3556" s="31">
        <f t="shared" si="276"/>
        <v>0</v>
      </c>
      <c r="K3556" s="29">
        <f t="shared" si="277"/>
        <v>3480</v>
      </c>
      <c r="L3556" s="31" t="str">
        <f t="shared" si="278"/>
        <v/>
      </c>
      <c r="M3556" s="31" t="str">
        <f t="shared" si="279"/>
        <v/>
      </c>
    </row>
    <row r="3557" spans="1:13" x14ac:dyDescent="0.15">
      <c r="A3557" s="163" t="s">
        <v>210</v>
      </c>
      <c r="B3557" s="163">
        <v>42368.44195615741</v>
      </c>
      <c r="C3557" s="164" t="s">
        <v>197</v>
      </c>
      <c r="D3557" s="164" t="s">
        <v>13</v>
      </c>
      <c r="E3557" s="165">
        <v>40</v>
      </c>
      <c r="F3557" s="166">
        <v>0</v>
      </c>
      <c r="G3557" s="227">
        <f>IF($B$2,IF(ROWS(B$6:$B3557) = 1,$B3557-Start_Date,$B3557-$B3556),"")</f>
        <v>4.5463020833267365E-2</v>
      </c>
      <c r="H3557" s="29">
        <f>IF($B$2,IF(ROWS(B$6:$B3557) = 1,IF(COUNTIFS(R_Schedule_Times,"&lt;"&amp;B3557),INDEX(R_Schedule_Amounts,MATCH(B3557,R_Schedule_Times,1)),Starting_Cash),IF(COUNTIFS(R_Schedule_Times,"&gt;"&amp;B3556,R_Schedule_Times,"&lt;"&amp;B3557),INDEX(R_Schedule_Amounts,MATCH(B3557,R_Schedule_Times,1)),K3556)),"")</f>
        <v>3480</v>
      </c>
      <c r="I3557" s="30">
        <f t="shared" si="275"/>
        <v>40</v>
      </c>
      <c r="J3557" s="31">
        <f t="shared" si="276"/>
        <v>0</v>
      </c>
      <c r="K3557" s="29">
        <f t="shared" si="277"/>
        <v>3440</v>
      </c>
      <c r="L3557" s="31" t="str">
        <f t="shared" si="278"/>
        <v/>
      </c>
      <c r="M3557" s="31" t="str">
        <f t="shared" si="279"/>
        <v/>
      </c>
    </row>
    <row r="3558" spans="1:13" x14ac:dyDescent="0.15">
      <c r="A3558" s="163" t="s">
        <v>210</v>
      </c>
      <c r="B3558" s="163">
        <v>42368.445278645835</v>
      </c>
      <c r="C3558" s="164" t="s">
        <v>2801</v>
      </c>
      <c r="D3558" s="164" t="s">
        <v>13</v>
      </c>
      <c r="E3558" s="165">
        <v>40</v>
      </c>
      <c r="F3558" s="166">
        <v>0</v>
      </c>
      <c r="G3558" s="227">
        <f>IF($B$2,IF(ROWS(B$6:$B3558) = 1,$B3558-Start_Date,$B3558-$B3557),"")</f>
        <v>3.3224884246010333E-3</v>
      </c>
      <c r="H3558" s="29">
        <f>IF($B$2,IF(ROWS(B$6:$B3558) = 1,IF(COUNTIFS(R_Schedule_Times,"&lt;"&amp;B3558),INDEX(R_Schedule_Amounts,MATCH(B3558,R_Schedule_Times,1)),Starting_Cash),IF(COUNTIFS(R_Schedule_Times,"&gt;"&amp;B3557,R_Schedule_Times,"&lt;"&amp;B3558),INDEX(R_Schedule_Amounts,MATCH(B3558,R_Schedule_Times,1)),K3557)),"")</f>
        <v>3440</v>
      </c>
      <c r="I3558" s="30">
        <f t="shared" si="275"/>
        <v>40</v>
      </c>
      <c r="J3558" s="31">
        <f t="shared" si="276"/>
        <v>0</v>
      </c>
      <c r="K3558" s="29">
        <f t="shared" si="277"/>
        <v>3400</v>
      </c>
      <c r="L3558" s="31" t="str">
        <f t="shared" si="278"/>
        <v/>
      </c>
      <c r="M3558" s="31" t="str">
        <f t="shared" si="279"/>
        <v/>
      </c>
    </row>
    <row r="3559" spans="1:13" x14ac:dyDescent="0.15">
      <c r="A3559" s="163" t="s">
        <v>210</v>
      </c>
      <c r="B3559" s="163">
        <v>42368.44596921296</v>
      </c>
      <c r="C3559" s="164" t="s">
        <v>2802</v>
      </c>
      <c r="D3559" s="164" t="s">
        <v>13</v>
      </c>
      <c r="E3559" s="165">
        <v>100</v>
      </c>
      <c r="F3559" s="166">
        <v>0</v>
      </c>
      <c r="G3559" s="227">
        <f>IF($B$2,IF(ROWS(B$6:$B3559) = 1,$B3559-Start_Date,$B3559-$B3558),"")</f>
        <v>6.9056712527526543E-4</v>
      </c>
      <c r="H3559" s="29">
        <f>IF($B$2,IF(ROWS(B$6:$B3559) = 1,IF(COUNTIFS(R_Schedule_Times,"&lt;"&amp;B3559),INDEX(R_Schedule_Amounts,MATCH(B3559,R_Schedule_Times,1)),Starting_Cash),IF(COUNTIFS(R_Schedule_Times,"&gt;"&amp;B3558,R_Schedule_Times,"&lt;"&amp;B3559),INDEX(R_Schedule_Amounts,MATCH(B3559,R_Schedule_Times,1)),K3558)),"")</f>
        <v>3400</v>
      </c>
      <c r="I3559" s="30">
        <f t="shared" si="275"/>
        <v>100</v>
      </c>
      <c r="J3559" s="31">
        <f t="shared" si="276"/>
        <v>0</v>
      </c>
      <c r="K3559" s="29">
        <f t="shared" si="277"/>
        <v>3300</v>
      </c>
      <c r="L3559" s="31" t="str">
        <f t="shared" si="278"/>
        <v/>
      </c>
      <c r="M3559" s="31" t="str">
        <f t="shared" si="279"/>
        <v/>
      </c>
    </row>
    <row r="3560" spans="1:13" x14ac:dyDescent="0.15">
      <c r="A3560" s="163" t="s">
        <v>210</v>
      </c>
      <c r="B3560" s="163">
        <v>42368.464550474535</v>
      </c>
      <c r="C3560" s="164" t="s">
        <v>1505</v>
      </c>
      <c r="D3560" s="164" t="s">
        <v>13</v>
      </c>
      <c r="E3560" s="165">
        <v>100</v>
      </c>
      <c r="F3560" s="166">
        <v>0</v>
      </c>
      <c r="G3560" s="227">
        <f>IF($B$2,IF(ROWS(B$6:$B3560) = 1,$B3560-Start_Date,$B3560-$B3559),"")</f>
        <v>1.8581261574581731E-2</v>
      </c>
      <c r="H3560" s="29">
        <f>IF($B$2,IF(ROWS(B$6:$B3560) = 1,IF(COUNTIFS(R_Schedule_Times,"&lt;"&amp;B3560),INDEX(R_Schedule_Amounts,MATCH(B3560,R_Schedule_Times,1)),Starting_Cash),IF(COUNTIFS(R_Schedule_Times,"&gt;"&amp;B3559,R_Schedule_Times,"&lt;"&amp;B3560),INDEX(R_Schedule_Amounts,MATCH(B3560,R_Schedule_Times,1)),K3559)),"")</f>
        <v>3300</v>
      </c>
      <c r="I3560" s="30">
        <f t="shared" si="275"/>
        <v>100</v>
      </c>
      <c r="J3560" s="31">
        <f t="shared" si="276"/>
        <v>0</v>
      </c>
      <c r="K3560" s="29">
        <f t="shared" si="277"/>
        <v>3200</v>
      </c>
      <c r="L3560" s="31" t="str">
        <f t="shared" si="278"/>
        <v/>
      </c>
      <c r="M3560" s="31" t="str">
        <f t="shared" si="279"/>
        <v/>
      </c>
    </row>
    <row r="3561" spans="1:13" x14ac:dyDescent="0.15">
      <c r="A3561" s="163" t="s">
        <v>210</v>
      </c>
      <c r="B3561" s="163">
        <v>42368.473966817131</v>
      </c>
      <c r="C3561" s="164" t="s">
        <v>1954</v>
      </c>
      <c r="D3561" s="164" t="s">
        <v>13</v>
      </c>
      <c r="E3561" s="165">
        <v>100</v>
      </c>
      <c r="F3561" s="166">
        <v>0</v>
      </c>
      <c r="G3561" s="227">
        <f>IF($B$2,IF(ROWS(B$6:$B3561) = 1,$B3561-Start_Date,$B3561-$B3560),"")</f>
        <v>9.4163425965234637E-3</v>
      </c>
      <c r="H3561" s="29">
        <f>IF($B$2,IF(ROWS(B$6:$B3561) = 1,IF(COUNTIFS(R_Schedule_Times,"&lt;"&amp;B3561),INDEX(R_Schedule_Amounts,MATCH(B3561,R_Schedule_Times,1)),Starting_Cash),IF(COUNTIFS(R_Schedule_Times,"&gt;"&amp;B3560,R_Schedule_Times,"&lt;"&amp;B3561),INDEX(R_Schedule_Amounts,MATCH(B3561,R_Schedule_Times,1)),K3560)),"")</f>
        <v>3200</v>
      </c>
      <c r="I3561" s="30">
        <f t="shared" si="275"/>
        <v>100</v>
      </c>
      <c r="J3561" s="31">
        <f t="shared" si="276"/>
        <v>0</v>
      </c>
      <c r="K3561" s="29">
        <f t="shared" si="277"/>
        <v>3100</v>
      </c>
      <c r="L3561" s="31" t="str">
        <f t="shared" si="278"/>
        <v/>
      </c>
      <c r="M3561" s="31" t="str">
        <f t="shared" si="279"/>
        <v/>
      </c>
    </row>
    <row r="3562" spans="1:13" x14ac:dyDescent="0.15">
      <c r="A3562" s="163" t="s">
        <v>210</v>
      </c>
      <c r="B3562" s="163">
        <v>42368.478839861113</v>
      </c>
      <c r="C3562" s="164" t="s">
        <v>2803</v>
      </c>
      <c r="D3562" s="164" t="s">
        <v>13</v>
      </c>
      <c r="E3562" s="165">
        <v>100</v>
      </c>
      <c r="F3562" s="166">
        <v>0</v>
      </c>
      <c r="G3562" s="227">
        <f>IF($B$2,IF(ROWS(B$6:$B3562) = 1,$B3562-Start_Date,$B3562-$B3561),"")</f>
        <v>4.8730439812061377E-3</v>
      </c>
      <c r="H3562" s="29">
        <f>IF($B$2,IF(ROWS(B$6:$B3562) = 1,IF(COUNTIFS(R_Schedule_Times,"&lt;"&amp;B3562),INDEX(R_Schedule_Amounts,MATCH(B3562,R_Schedule_Times,1)),Starting_Cash),IF(COUNTIFS(R_Schedule_Times,"&gt;"&amp;B3561,R_Schedule_Times,"&lt;"&amp;B3562),INDEX(R_Schedule_Amounts,MATCH(B3562,R_Schedule_Times,1)),K3561)),"")</f>
        <v>3100</v>
      </c>
      <c r="I3562" s="30">
        <f t="shared" si="275"/>
        <v>100</v>
      </c>
      <c r="J3562" s="31">
        <f t="shared" si="276"/>
        <v>0</v>
      </c>
      <c r="K3562" s="29">
        <f t="shared" si="277"/>
        <v>3000</v>
      </c>
      <c r="L3562" s="31" t="str">
        <f t="shared" si="278"/>
        <v/>
      </c>
      <c r="M3562" s="31" t="str">
        <f t="shared" si="279"/>
        <v/>
      </c>
    </row>
    <row r="3563" spans="1:13" x14ac:dyDescent="0.15">
      <c r="A3563" s="163" t="s">
        <v>210</v>
      </c>
      <c r="B3563" s="163">
        <v>42368.480854201393</v>
      </c>
      <c r="C3563" s="164" t="s">
        <v>89</v>
      </c>
      <c r="D3563" s="164" t="s">
        <v>13</v>
      </c>
      <c r="E3563" s="165">
        <v>40</v>
      </c>
      <c r="F3563" s="166">
        <v>0</v>
      </c>
      <c r="G3563" s="227">
        <f>IF($B$2,IF(ROWS(B$6:$B3563) = 1,$B3563-Start_Date,$B3563-$B3562),"")</f>
        <v>2.0143402798566967E-3</v>
      </c>
      <c r="H3563" s="29">
        <f>IF($B$2,IF(ROWS(B$6:$B3563) = 1,IF(COUNTIFS(R_Schedule_Times,"&lt;"&amp;B3563),INDEX(R_Schedule_Amounts,MATCH(B3563,R_Schedule_Times,1)),Starting_Cash),IF(COUNTIFS(R_Schedule_Times,"&gt;"&amp;B3562,R_Schedule_Times,"&lt;"&amp;B3563),INDEX(R_Schedule_Amounts,MATCH(B3563,R_Schedule_Times,1)),K3562)),"")</f>
        <v>3000</v>
      </c>
      <c r="I3563" s="30">
        <f t="shared" si="275"/>
        <v>40</v>
      </c>
      <c r="J3563" s="31">
        <f t="shared" si="276"/>
        <v>0</v>
      </c>
      <c r="K3563" s="29">
        <f t="shared" si="277"/>
        <v>2960</v>
      </c>
      <c r="L3563" s="31" t="str">
        <f t="shared" si="278"/>
        <v/>
      </c>
      <c r="M3563" s="31" t="str">
        <f t="shared" si="279"/>
        <v/>
      </c>
    </row>
    <row r="3564" spans="1:13" x14ac:dyDescent="0.15">
      <c r="A3564" s="163" t="s">
        <v>210</v>
      </c>
      <c r="B3564" s="163">
        <v>42368.496498854169</v>
      </c>
      <c r="C3564" s="164" t="s">
        <v>1646</v>
      </c>
      <c r="D3564" s="164" t="s">
        <v>13</v>
      </c>
      <c r="E3564" s="165">
        <v>40</v>
      </c>
      <c r="F3564" s="166">
        <v>0</v>
      </c>
      <c r="G3564" s="227">
        <f>IF($B$2,IF(ROWS(B$6:$B3564) = 1,$B3564-Start_Date,$B3564-$B3563),"")</f>
        <v>1.5644652776245493E-2</v>
      </c>
      <c r="H3564" s="29">
        <f>IF($B$2,IF(ROWS(B$6:$B3564) = 1,IF(COUNTIFS(R_Schedule_Times,"&lt;"&amp;B3564),INDEX(R_Schedule_Amounts,MATCH(B3564,R_Schedule_Times,1)),Starting_Cash),IF(COUNTIFS(R_Schedule_Times,"&gt;"&amp;B3563,R_Schedule_Times,"&lt;"&amp;B3564),INDEX(R_Schedule_Amounts,MATCH(B3564,R_Schedule_Times,1)),K3563)),"")</f>
        <v>2960</v>
      </c>
      <c r="I3564" s="30">
        <f t="shared" si="275"/>
        <v>40</v>
      </c>
      <c r="J3564" s="31">
        <f t="shared" si="276"/>
        <v>0</v>
      </c>
      <c r="K3564" s="29">
        <f t="shared" si="277"/>
        <v>2920</v>
      </c>
      <c r="L3564" s="31" t="str">
        <f t="shared" si="278"/>
        <v/>
      </c>
      <c r="M3564" s="31" t="str">
        <f t="shared" si="279"/>
        <v/>
      </c>
    </row>
    <row r="3565" spans="1:13" x14ac:dyDescent="0.15">
      <c r="A3565" s="163" t="s">
        <v>210</v>
      </c>
      <c r="B3565" s="163">
        <v>42368.52347028935</v>
      </c>
      <c r="C3565" s="164" t="s">
        <v>116</v>
      </c>
      <c r="D3565" s="164" t="s">
        <v>13</v>
      </c>
      <c r="E3565" s="165">
        <v>100</v>
      </c>
      <c r="F3565" s="166">
        <v>0</v>
      </c>
      <c r="G3565" s="227">
        <f>IF($B$2,IF(ROWS(B$6:$B3565) = 1,$B3565-Start_Date,$B3565-$B3564),"")</f>
        <v>2.6971435181621928E-2</v>
      </c>
      <c r="H3565" s="29">
        <f>IF($B$2,IF(ROWS(B$6:$B3565) = 1,IF(COUNTIFS(R_Schedule_Times,"&lt;"&amp;B3565),INDEX(R_Schedule_Amounts,MATCH(B3565,R_Schedule_Times,1)),Starting_Cash),IF(COUNTIFS(R_Schedule_Times,"&gt;"&amp;B3564,R_Schedule_Times,"&lt;"&amp;B3565),INDEX(R_Schedule_Amounts,MATCH(B3565,R_Schedule_Times,1)),K3564)),"")</f>
        <v>2920</v>
      </c>
      <c r="I3565" s="30">
        <f t="shared" si="275"/>
        <v>100</v>
      </c>
      <c r="J3565" s="31">
        <f t="shared" si="276"/>
        <v>0</v>
      </c>
      <c r="K3565" s="29">
        <f t="shared" si="277"/>
        <v>2820</v>
      </c>
      <c r="L3565" s="31" t="str">
        <f t="shared" si="278"/>
        <v/>
      </c>
      <c r="M3565" s="31" t="str">
        <f t="shared" si="279"/>
        <v/>
      </c>
    </row>
    <row r="3566" spans="1:13" x14ac:dyDescent="0.15">
      <c r="A3566" s="163" t="s">
        <v>210</v>
      </c>
      <c r="B3566" s="163">
        <v>42368.5344103588</v>
      </c>
      <c r="C3566" s="164" t="s">
        <v>2804</v>
      </c>
      <c r="D3566" s="164" t="s">
        <v>13</v>
      </c>
      <c r="E3566" s="165">
        <v>100</v>
      </c>
      <c r="F3566" s="166">
        <v>0</v>
      </c>
      <c r="G3566" s="227">
        <f>IF($B$2,IF(ROWS(B$6:$B3566) = 1,$B3566-Start_Date,$B3566-$B3565),"")</f>
        <v>1.0940069449134171E-2</v>
      </c>
      <c r="H3566" s="29">
        <f>IF($B$2,IF(ROWS(B$6:$B3566) = 1,IF(COUNTIFS(R_Schedule_Times,"&lt;"&amp;B3566),INDEX(R_Schedule_Amounts,MATCH(B3566,R_Schedule_Times,1)),Starting_Cash),IF(COUNTIFS(R_Schedule_Times,"&gt;"&amp;B3565,R_Schedule_Times,"&lt;"&amp;B3566),INDEX(R_Schedule_Amounts,MATCH(B3566,R_Schedule_Times,1)),K3565)),"")</f>
        <v>2820</v>
      </c>
      <c r="I3566" s="30">
        <f t="shared" si="275"/>
        <v>100</v>
      </c>
      <c r="J3566" s="31">
        <f t="shared" si="276"/>
        <v>0</v>
      </c>
      <c r="K3566" s="29">
        <f t="shared" si="277"/>
        <v>2720</v>
      </c>
      <c r="L3566" s="31" t="str">
        <f t="shared" si="278"/>
        <v/>
      </c>
      <c r="M3566" s="31" t="str">
        <f t="shared" si="279"/>
        <v/>
      </c>
    </row>
    <row r="3567" spans="1:13" x14ac:dyDescent="0.15">
      <c r="A3567" s="163" t="s">
        <v>210</v>
      </c>
      <c r="B3567" s="163">
        <v>42368.541054467591</v>
      </c>
      <c r="C3567" s="164" t="s">
        <v>2175</v>
      </c>
      <c r="D3567" s="164" t="s">
        <v>13</v>
      </c>
      <c r="E3567" s="165">
        <v>100</v>
      </c>
      <c r="F3567" s="166">
        <v>0</v>
      </c>
      <c r="G3567" s="227">
        <f>IF($B$2,IF(ROWS(B$6:$B3567) = 1,$B3567-Start_Date,$B3567-$B3566),"")</f>
        <v>6.6441087910789065E-3</v>
      </c>
      <c r="H3567" s="29">
        <f>IF($B$2,IF(ROWS(B$6:$B3567) = 1,IF(COUNTIFS(R_Schedule_Times,"&lt;"&amp;B3567),INDEX(R_Schedule_Amounts,MATCH(B3567,R_Schedule_Times,1)),Starting_Cash),IF(COUNTIFS(R_Schedule_Times,"&gt;"&amp;B3566,R_Schedule_Times,"&lt;"&amp;B3567),INDEX(R_Schedule_Amounts,MATCH(B3567,R_Schedule_Times,1)),K3566)),"")</f>
        <v>2720</v>
      </c>
      <c r="I3567" s="30">
        <f t="shared" si="275"/>
        <v>100</v>
      </c>
      <c r="J3567" s="31">
        <f t="shared" si="276"/>
        <v>0</v>
      </c>
      <c r="K3567" s="29">
        <f t="shared" si="277"/>
        <v>2620</v>
      </c>
      <c r="L3567" s="31" t="str">
        <f t="shared" si="278"/>
        <v/>
      </c>
      <c r="M3567" s="31" t="str">
        <f t="shared" si="279"/>
        <v/>
      </c>
    </row>
    <row r="3568" spans="1:13" x14ac:dyDescent="0.15">
      <c r="A3568" s="163" t="s">
        <v>210</v>
      </c>
      <c r="B3568" s="163">
        <v>42368.555275648148</v>
      </c>
      <c r="C3568" s="164" t="s">
        <v>2805</v>
      </c>
      <c r="D3568" s="164" t="s">
        <v>13</v>
      </c>
      <c r="E3568" s="165">
        <v>40</v>
      </c>
      <c r="F3568" s="166">
        <v>0</v>
      </c>
      <c r="G3568" s="227">
        <f>IF($B$2,IF(ROWS(B$6:$B3568) = 1,$B3568-Start_Date,$B3568-$B3567),"")</f>
        <v>1.4221180557797197E-2</v>
      </c>
      <c r="H3568" s="29">
        <f>IF($B$2,IF(ROWS(B$6:$B3568) = 1,IF(COUNTIFS(R_Schedule_Times,"&lt;"&amp;B3568),INDEX(R_Schedule_Amounts,MATCH(B3568,R_Schedule_Times,1)),Starting_Cash),IF(COUNTIFS(R_Schedule_Times,"&gt;"&amp;B3567,R_Schedule_Times,"&lt;"&amp;B3568),INDEX(R_Schedule_Amounts,MATCH(B3568,R_Schedule_Times,1)),K3567)),"")</f>
        <v>2620</v>
      </c>
      <c r="I3568" s="30">
        <f t="shared" si="275"/>
        <v>40</v>
      </c>
      <c r="J3568" s="31">
        <f t="shared" si="276"/>
        <v>0</v>
      </c>
      <c r="K3568" s="29">
        <f t="shared" si="277"/>
        <v>2580</v>
      </c>
      <c r="L3568" s="31" t="str">
        <f t="shared" si="278"/>
        <v/>
      </c>
      <c r="M3568" s="31" t="str">
        <f t="shared" si="279"/>
        <v/>
      </c>
    </row>
    <row r="3569" spans="1:13" x14ac:dyDescent="0.15">
      <c r="A3569" s="163" t="s">
        <v>210</v>
      </c>
      <c r="B3569" s="163">
        <v>42368.565259178242</v>
      </c>
      <c r="C3569" s="164" t="s">
        <v>2806</v>
      </c>
      <c r="D3569" s="164" t="s">
        <v>13</v>
      </c>
      <c r="E3569" s="165">
        <v>60</v>
      </c>
      <c r="F3569" s="166">
        <v>0</v>
      </c>
      <c r="G3569" s="227">
        <f>IF($B$2,IF(ROWS(B$6:$B3569) = 1,$B3569-Start_Date,$B3569-$B3568),"")</f>
        <v>9.9835300934500992E-3</v>
      </c>
      <c r="H3569" s="29">
        <f>IF($B$2,IF(ROWS(B$6:$B3569) = 1,IF(COUNTIFS(R_Schedule_Times,"&lt;"&amp;B3569),INDEX(R_Schedule_Amounts,MATCH(B3569,R_Schedule_Times,1)),Starting_Cash),IF(COUNTIFS(R_Schedule_Times,"&gt;"&amp;B3568,R_Schedule_Times,"&lt;"&amp;B3569),INDEX(R_Schedule_Amounts,MATCH(B3569,R_Schedule_Times,1)),K3568)),"")</f>
        <v>2580</v>
      </c>
      <c r="I3569" s="30">
        <f t="shared" si="275"/>
        <v>60</v>
      </c>
      <c r="J3569" s="31">
        <f t="shared" si="276"/>
        <v>0</v>
      </c>
      <c r="K3569" s="29">
        <f t="shared" si="277"/>
        <v>2520</v>
      </c>
      <c r="L3569" s="31" t="str">
        <f t="shared" si="278"/>
        <v/>
      </c>
      <c r="M3569" s="31" t="str">
        <f t="shared" si="279"/>
        <v/>
      </c>
    </row>
    <row r="3570" spans="1:13" x14ac:dyDescent="0.15">
      <c r="A3570" s="163" t="s">
        <v>210</v>
      </c>
      <c r="B3570" s="163">
        <v>42368.584418043982</v>
      </c>
      <c r="C3570" s="164" t="s">
        <v>1930</v>
      </c>
      <c r="D3570" s="164" t="s">
        <v>13</v>
      </c>
      <c r="E3570" s="165">
        <v>20</v>
      </c>
      <c r="F3570" s="166">
        <v>0</v>
      </c>
      <c r="G3570" s="227">
        <f>IF($B$2,IF(ROWS(B$6:$B3570) = 1,$B3570-Start_Date,$B3570-$B3569),"")</f>
        <v>1.9158865739882458E-2</v>
      </c>
      <c r="H3570" s="29">
        <f>IF($B$2,IF(ROWS(B$6:$B3570) = 1,IF(COUNTIFS(R_Schedule_Times,"&lt;"&amp;B3570),INDEX(R_Schedule_Amounts,MATCH(B3570,R_Schedule_Times,1)),Starting_Cash),IF(COUNTIFS(R_Schedule_Times,"&gt;"&amp;B3569,R_Schedule_Times,"&lt;"&amp;B3570),INDEX(R_Schedule_Amounts,MATCH(B3570,R_Schedule_Times,1)),K3569)),"")</f>
        <v>2520</v>
      </c>
      <c r="I3570" s="30">
        <f t="shared" si="275"/>
        <v>20</v>
      </c>
      <c r="J3570" s="31">
        <f t="shared" si="276"/>
        <v>0</v>
      </c>
      <c r="K3570" s="29">
        <f t="shared" si="277"/>
        <v>2500</v>
      </c>
      <c r="L3570" s="31" t="str">
        <f t="shared" si="278"/>
        <v/>
      </c>
      <c r="M3570" s="31" t="str">
        <f t="shared" si="279"/>
        <v/>
      </c>
    </row>
    <row r="3571" spans="1:13" x14ac:dyDescent="0.15">
      <c r="A3571" s="163" t="s">
        <v>210</v>
      </c>
      <c r="B3571" s="163">
        <v>42368.596030821762</v>
      </c>
      <c r="C3571" s="164" t="s">
        <v>2807</v>
      </c>
      <c r="D3571" s="164" t="s">
        <v>13</v>
      </c>
      <c r="E3571" s="165">
        <v>100</v>
      </c>
      <c r="F3571" s="166">
        <v>0</v>
      </c>
      <c r="G3571" s="227">
        <f>IF($B$2,IF(ROWS(B$6:$B3571) = 1,$B3571-Start_Date,$B3571-$B3570),"")</f>
        <v>1.1612777780101169E-2</v>
      </c>
      <c r="H3571" s="29">
        <f>IF($B$2,IF(ROWS(B$6:$B3571) = 1,IF(COUNTIFS(R_Schedule_Times,"&lt;"&amp;B3571),INDEX(R_Schedule_Amounts,MATCH(B3571,R_Schedule_Times,1)),Starting_Cash),IF(COUNTIFS(R_Schedule_Times,"&gt;"&amp;B3570,R_Schedule_Times,"&lt;"&amp;B3571),INDEX(R_Schedule_Amounts,MATCH(B3571,R_Schedule_Times,1)),K3570)),"")</f>
        <v>2500</v>
      </c>
      <c r="I3571" s="30">
        <f t="shared" si="275"/>
        <v>100</v>
      </c>
      <c r="J3571" s="31">
        <f t="shared" si="276"/>
        <v>0</v>
      </c>
      <c r="K3571" s="29">
        <f t="shared" si="277"/>
        <v>2400</v>
      </c>
      <c r="L3571" s="31" t="str">
        <f t="shared" si="278"/>
        <v/>
      </c>
      <c r="M3571" s="31" t="str">
        <f t="shared" si="279"/>
        <v/>
      </c>
    </row>
    <row r="3572" spans="1:13" x14ac:dyDescent="0.15">
      <c r="A3572" s="163" t="s">
        <v>210</v>
      </c>
      <c r="B3572" s="163">
        <v>42368.605080162037</v>
      </c>
      <c r="C3572" s="164" t="s">
        <v>2808</v>
      </c>
      <c r="D3572" s="164" t="s">
        <v>13</v>
      </c>
      <c r="E3572" s="165">
        <v>200</v>
      </c>
      <c r="F3572" s="166">
        <v>0</v>
      </c>
      <c r="G3572" s="227">
        <f>IF($B$2,IF(ROWS(B$6:$B3572) = 1,$B3572-Start_Date,$B3572-$B3571),"")</f>
        <v>9.0493402749416418E-3</v>
      </c>
      <c r="H3572" s="29">
        <f>IF($B$2,IF(ROWS(B$6:$B3572) = 1,IF(COUNTIFS(R_Schedule_Times,"&lt;"&amp;B3572),INDEX(R_Schedule_Amounts,MATCH(B3572,R_Schedule_Times,1)),Starting_Cash),IF(COUNTIFS(R_Schedule_Times,"&gt;"&amp;B3571,R_Schedule_Times,"&lt;"&amp;B3572),INDEX(R_Schedule_Amounts,MATCH(B3572,R_Schedule_Times,1)),K3571)),"")</f>
        <v>2400</v>
      </c>
      <c r="I3572" s="30">
        <f t="shared" si="275"/>
        <v>200</v>
      </c>
      <c r="J3572" s="31">
        <f t="shared" si="276"/>
        <v>0</v>
      </c>
      <c r="K3572" s="29">
        <f t="shared" si="277"/>
        <v>2200</v>
      </c>
      <c r="L3572" s="31" t="str">
        <f t="shared" si="278"/>
        <v/>
      </c>
      <c r="M3572" s="31" t="str">
        <f t="shared" si="279"/>
        <v/>
      </c>
    </row>
    <row r="3573" spans="1:13" x14ac:dyDescent="0.15">
      <c r="A3573" s="163" t="s">
        <v>210</v>
      </c>
      <c r="B3573" s="163">
        <v>42368.614555775464</v>
      </c>
      <c r="C3573" s="164" t="s">
        <v>2754</v>
      </c>
      <c r="D3573" s="164" t="s">
        <v>13</v>
      </c>
      <c r="E3573" s="165">
        <v>20</v>
      </c>
      <c r="F3573" s="166">
        <v>0</v>
      </c>
      <c r="G3573" s="227">
        <f>IF($B$2,IF(ROWS(B$6:$B3573) = 1,$B3573-Start_Date,$B3573-$B3572),"")</f>
        <v>9.4756134276394732E-3</v>
      </c>
      <c r="H3573" s="29">
        <f>IF($B$2,IF(ROWS(B$6:$B3573) = 1,IF(COUNTIFS(R_Schedule_Times,"&lt;"&amp;B3573),INDEX(R_Schedule_Amounts,MATCH(B3573,R_Schedule_Times,1)),Starting_Cash),IF(COUNTIFS(R_Schedule_Times,"&gt;"&amp;B3572,R_Schedule_Times,"&lt;"&amp;B3573),INDEX(R_Schedule_Amounts,MATCH(B3573,R_Schedule_Times,1)),K3572)),"")</f>
        <v>2200</v>
      </c>
      <c r="I3573" s="30">
        <f t="shared" si="275"/>
        <v>20</v>
      </c>
      <c r="J3573" s="31">
        <f t="shared" si="276"/>
        <v>0</v>
      </c>
      <c r="K3573" s="29">
        <f t="shared" si="277"/>
        <v>2180</v>
      </c>
      <c r="L3573" s="31" t="str">
        <f t="shared" si="278"/>
        <v/>
      </c>
      <c r="M3573" s="31" t="str">
        <f t="shared" si="279"/>
        <v/>
      </c>
    </row>
    <row r="3574" spans="1:13" x14ac:dyDescent="0.15">
      <c r="A3574" s="163" t="s">
        <v>210</v>
      </c>
      <c r="B3574" s="163">
        <v>42368.653462476854</v>
      </c>
      <c r="C3574" s="164" t="s">
        <v>14</v>
      </c>
      <c r="D3574" s="164" t="s">
        <v>13</v>
      </c>
      <c r="E3574" s="165">
        <v>60</v>
      </c>
      <c r="F3574" s="166">
        <v>3.5</v>
      </c>
      <c r="G3574" s="227">
        <f>IF($B$2,IF(ROWS(B$6:$B3574) = 1,$B3574-Start_Date,$B3574-$B3573),"")</f>
        <v>3.8906701389350928E-2</v>
      </c>
      <c r="H3574" s="29">
        <f>IF($B$2,IF(ROWS(B$6:$B3574) = 1,IF(COUNTIFS(R_Schedule_Times,"&lt;"&amp;B3574),INDEX(R_Schedule_Amounts,MATCH(B3574,R_Schedule_Times,1)),Starting_Cash),IF(COUNTIFS(R_Schedule_Times,"&gt;"&amp;B3573,R_Schedule_Times,"&lt;"&amp;B3574),INDEX(R_Schedule_Amounts,MATCH(B3574,R_Schedule_Times,1)),K3573)),"")</f>
        <v>2180</v>
      </c>
      <c r="I3574" s="30">
        <f t="shared" si="275"/>
        <v>60</v>
      </c>
      <c r="J3574" s="31">
        <f t="shared" si="276"/>
        <v>3.5</v>
      </c>
      <c r="K3574" s="29">
        <f t="shared" si="277"/>
        <v>2120</v>
      </c>
      <c r="L3574" s="31" t="str">
        <f t="shared" si="278"/>
        <v/>
      </c>
      <c r="M3574" s="31" t="str">
        <f t="shared" si="279"/>
        <v/>
      </c>
    </row>
    <row r="3575" spans="1:13" x14ac:dyDescent="0.15">
      <c r="A3575" s="163" t="s">
        <v>210</v>
      </c>
      <c r="B3575" s="163">
        <v>42368.656893888889</v>
      </c>
      <c r="C3575" s="164" t="s">
        <v>104</v>
      </c>
      <c r="D3575" s="164" t="s">
        <v>13</v>
      </c>
      <c r="E3575" s="165">
        <v>20</v>
      </c>
      <c r="F3575" s="166">
        <v>0</v>
      </c>
      <c r="G3575" s="227">
        <f>IF($B$2,IF(ROWS(B$6:$B3575) = 1,$B3575-Start_Date,$B3575-$B3574),"")</f>
        <v>3.4314120348426513E-3</v>
      </c>
      <c r="H3575" s="29">
        <f>IF($B$2,IF(ROWS(B$6:$B3575) = 1,IF(COUNTIFS(R_Schedule_Times,"&lt;"&amp;B3575),INDEX(R_Schedule_Amounts,MATCH(B3575,R_Schedule_Times,1)),Starting_Cash),IF(COUNTIFS(R_Schedule_Times,"&gt;"&amp;B3574,R_Schedule_Times,"&lt;"&amp;B3575),INDEX(R_Schedule_Amounts,MATCH(B3575,R_Schedule_Times,1)),K3574)),"")</f>
        <v>2120</v>
      </c>
      <c r="I3575" s="30">
        <f t="shared" si="275"/>
        <v>20</v>
      </c>
      <c r="J3575" s="31">
        <f t="shared" si="276"/>
        <v>0</v>
      </c>
      <c r="K3575" s="29">
        <f t="shared" si="277"/>
        <v>2100</v>
      </c>
      <c r="L3575" s="31" t="str">
        <f t="shared" si="278"/>
        <v/>
      </c>
      <c r="M3575" s="31" t="str">
        <f t="shared" si="279"/>
        <v/>
      </c>
    </row>
    <row r="3576" spans="1:13" x14ac:dyDescent="0.15">
      <c r="A3576" s="163" t="s">
        <v>210</v>
      </c>
      <c r="B3576" s="163">
        <v>42368.661598692132</v>
      </c>
      <c r="C3576" s="164" t="s">
        <v>2809</v>
      </c>
      <c r="D3576" s="164" t="s">
        <v>13</v>
      </c>
      <c r="E3576" s="165">
        <v>60</v>
      </c>
      <c r="F3576" s="166">
        <v>0</v>
      </c>
      <c r="G3576" s="227">
        <f>IF($B$2,IF(ROWS(B$6:$B3576) = 1,$B3576-Start_Date,$B3576-$B3575),"")</f>
        <v>4.7048032429302111E-3</v>
      </c>
      <c r="H3576" s="29">
        <f>IF($B$2,IF(ROWS(B$6:$B3576) = 1,IF(COUNTIFS(R_Schedule_Times,"&lt;"&amp;B3576),INDEX(R_Schedule_Amounts,MATCH(B3576,R_Schedule_Times,1)),Starting_Cash),IF(COUNTIFS(R_Schedule_Times,"&gt;"&amp;B3575,R_Schedule_Times,"&lt;"&amp;B3576),INDEX(R_Schedule_Amounts,MATCH(B3576,R_Schedule_Times,1)),K3575)),"")</f>
        <v>2100</v>
      </c>
      <c r="I3576" s="30">
        <f t="shared" si="275"/>
        <v>60</v>
      </c>
      <c r="J3576" s="31">
        <f t="shared" si="276"/>
        <v>0</v>
      </c>
      <c r="K3576" s="29">
        <f t="shared" si="277"/>
        <v>2040</v>
      </c>
      <c r="L3576" s="31" t="str">
        <f t="shared" si="278"/>
        <v/>
      </c>
      <c r="M3576" s="31" t="str">
        <f t="shared" si="279"/>
        <v/>
      </c>
    </row>
    <row r="3577" spans="1:13" x14ac:dyDescent="0.15">
      <c r="A3577" s="163" t="s">
        <v>210</v>
      </c>
      <c r="B3577" s="163">
        <v>42368.690536423608</v>
      </c>
      <c r="C3577" s="164" t="s">
        <v>616</v>
      </c>
      <c r="D3577" s="164" t="s">
        <v>13</v>
      </c>
      <c r="E3577" s="165">
        <v>220</v>
      </c>
      <c r="F3577" s="166">
        <v>0</v>
      </c>
      <c r="G3577" s="227">
        <f>IF($B$2,IF(ROWS(B$6:$B3577) = 1,$B3577-Start_Date,$B3577-$B3576),"")</f>
        <v>2.8937731476617046E-2</v>
      </c>
      <c r="H3577" s="29">
        <f>IF($B$2,IF(ROWS(B$6:$B3577) = 1,IF(COUNTIFS(R_Schedule_Times,"&lt;"&amp;B3577),INDEX(R_Schedule_Amounts,MATCH(B3577,R_Schedule_Times,1)),Starting_Cash),IF(COUNTIFS(R_Schedule_Times,"&gt;"&amp;B3576,R_Schedule_Times,"&lt;"&amp;B3577),INDEX(R_Schedule_Amounts,MATCH(B3577,R_Schedule_Times,1)),K3576)),"")</f>
        <v>2040</v>
      </c>
      <c r="I3577" s="30">
        <f t="shared" si="275"/>
        <v>220</v>
      </c>
      <c r="J3577" s="31">
        <f t="shared" si="276"/>
        <v>0</v>
      </c>
      <c r="K3577" s="29">
        <f t="shared" si="277"/>
        <v>1820</v>
      </c>
      <c r="L3577" s="31" t="str">
        <f t="shared" si="278"/>
        <v/>
      </c>
      <c r="M3577" s="31" t="str">
        <f t="shared" si="279"/>
        <v/>
      </c>
    </row>
    <row r="3578" spans="1:13" x14ac:dyDescent="0.15">
      <c r="A3578" s="163" t="s">
        <v>210</v>
      </c>
      <c r="B3578" s="163">
        <v>42368.701321273147</v>
      </c>
      <c r="C3578" s="164" t="s">
        <v>2810</v>
      </c>
      <c r="D3578" s="164" t="s">
        <v>13</v>
      </c>
      <c r="E3578" s="165">
        <v>20</v>
      </c>
      <c r="F3578" s="166">
        <v>0</v>
      </c>
      <c r="G3578" s="227">
        <f>IF($B$2,IF(ROWS(B$6:$B3578) = 1,$B3578-Start_Date,$B3578-$B3577),"")</f>
        <v>1.0784849539049901E-2</v>
      </c>
      <c r="H3578" s="29">
        <f>IF($B$2,IF(ROWS(B$6:$B3578) = 1,IF(COUNTIFS(R_Schedule_Times,"&lt;"&amp;B3578),INDEX(R_Schedule_Amounts,MATCH(B3578,R_Schedule_Times,1)),Starting_Cash),IF(COUNTIFS(R_Schedule_Times,"&gt;"&amp;B3577,R_Schedule_Times,"&lt;"&amp;B3578),INDEX(R_Schedule_Amounts,MATCH(B3578,R_Schedule_Times,1)),K3577)),"")</f>
        <v>1820</v>
      </c>
      <c r="I3578" s="30">
        <f t="shared" si="275"/>
        <v>20</v>
      </c>
      <c r="J3578" s="31">
        <f t="shared" si="276"/>
        <v>0</v>
      </c>
      <c r="K3578" s="29">
        <f t="shared" si="277"/>
        <v>1800</v>
      </c>
      <c r="L3578" s="31" t="str">
        <f t="shared" si="278"/>
        <v/>
      </c>
      <c r="M3578" s="31" t="str">
        <f t="shared" si="279"/>
        <v/>
      </c>
    </row>
    <row r="3579" spans="1:13" x14ac:dyDescent="0.15">
      <c r="A3579" s="163" t="s">
        <v>210</v>
      </c>
      <c r="B3579" s="163">
        <v>42368.704990636572</v>
      </c>
      <c r="C3579" s="164" t="s">
        <v>2811</v>
      </c>
      <c r="D3579" s="164" t="s">
        <v>13</v>
      </c>
      <c r="E3579" s="165">
        <v>40</v>
      </c>
      <c r="F3579" s="166">
        <v>0</v>
      </c>
      <c r="G3579" s="227">
        <f>IF($B$2,IF(ROWS(B$6:$B3579) = 1,$B3579-Start_Date,$B3579-$B3578),"")</f>
        <v>3.6693634247058071E-3</v>
      </c>
      <c r="H3579" s="29">
        <f>IF($B$2,IF(ROWS(B$6:$B3579) = 1,IF(COUNTIFS(R_Schedule_Times,"&lt;"&amp;B3579),INDEX(R_Schedule_Amounts,MATCH(B3579,R_Schedule_Times,1)),Starting_Cash),IF(COUNTIFS(R_Schedule_Times,"&gt;"&amp;B3578,R_Schedule_Times,"&lt;"&amp;B3579),INDEX(R_Schedule_Amounts,MATCH(B3579,R_Schedule_Times,1)),K3578)),"")</f>
        <v>1800</v>
      </c>
      <c r="I3579" s="30">
        <f t="shared" si="275"/>
        <v>40</v>
      </c>
      <c r="J3579" s="31">
        <f t="shared" si="276"/>
        <v>0</v>
      </c>
      <c r="K3579" s="29">
        <f t="shared" si="277"/>
        <v>1760</v>
      </c>
      <c r="L3579" s="31" t="str">
        <f t="shared" si="278"/>
        <v/>
      </c>
      <c r="M3579" s="31" t="str">
        <f t="shared" si="279"/>
        <v/>
      </c>
    </row>
    <row r="3580" spans="1:13" x14ac:dyDescent="0.15">
      <c r="A3580" s="163" t="s">
        <v>210</v>
      </c>
      <c r="B3580" s="163">
        <v>42368.709653437501</v>
      </c>
      <c r="C3580" s="164" t="s">
        <v>2609</v>
      </c>
      <c r="D3580" s="164" t="s">
        <v>13</v>
      </c>
      <c r="E3580" s="165">
        <v>100</v>
      </c>
      <c r="F3580" s="166">
        <v>0</v>
      </c>
      <c r="G3580" s="227">
        <f>IF($B$2,IF(ROWS(B$6:$B3580) = 1,$B3580-Start_Date,$B3580-$B3579),"")</f>
        <v>4.6628009295091033E-3</v>
      </c>
      <c r="H3580" s="29">
        <f>IF($B$2,IF(ROWS(B$6:$B3580) = 1,IF(COUNTIFS(R_Schedule_Times,"&lt;"&amp;B3580),INDEX(R_Schedule_Amounts,MATCH(B3580,R_Schedule_Times,1)),Starting_Cash),IF(COUNTIFS(R_Schedule_Times,"&gt;"&amp;B3579,R_Schedule_Times,"&lt;"&amp;B3580),INDEX(R_Schedule_Amounts,MATCH(B3580,R_Schedule_Times,1)),K3579)),"")</f>
        <v>20000</v>
      </c>
      <c r="I3580" s="30">
        <f t="shared" si="275"/>
        <v>100</v>
      </c>
      <c r="J3580" s="31">
        <f t="shared" si="276"/>
        <v>0</v>
      </c>
      <c r="K3580" s="29">
        <f t="shared" si="277"/>
        <v>19900</v>
      </c>
      <c r="L3580" s="31" t="str">
        <f t="shared" si="278"/>
        <v/>
      </c>
      <c r="M3580" s="31" t="str">
        <f t="shared" si="279"/>
        <v/>
      </c>
    </row>
    <row r="3581" spans="1:13" x14ac:dyDescent="0.15">
      <c r="A3581" s="163" t="s">
        <v>210</v>
      </c>
      <c r="B3581" s="163">
        <v>42368.745534513888</v>
      </c>
      <c r="C3581" s="164" t="s">
        <v>556</v>
      </c>
      <c r="D3581" s="164" t="s">
        <v>13</v>
      </c>
      <c r="E3581" s="165">
        <v>40</v>
      </c>
      <c r="F3581" s="166">
        <v>0</v>
      </c>
      <c r="G3581" s="227">
        <f>IF($B$2,IF(ROWS(B$6:$B3581) = 1,$B3581-Start_Date,$B3581-$B3580),"")</f>
        <v>3.5881076386431232E-2</v>
      </c>
      <c r="H3581" s="29">
        <f>IF($B$2,IF(ROWS(B$6:$B3581) = 1,IF(COUNTIFS(R_Schedule_Times,"&lt;"&amp;B3581),INDEX(R_Schedule_Amounts,MATCH(B3581,R_Schedule_Times,1)),Starting_Cash),IF(COUNTIFS(R_Schedule_Times,"&gt;"&amp;B3580,R_Schedule_Times,"&lt;"&amp;B3581),INDEX(R_Schedule_Amounts,MATCH(B3581,R_Schedule_Times,1)),K3580)),"")</f>
        <v>19900</v>
      </c>
      <c r="I3581" s="30">
        <f t="shared" si="275"/>
        <v>40</v>
      </c>
      <c r="J3581" s="31">
        <f t="shared" si="276"/>
        <v>0</v>
      </c>
      <c r="K3581" s="29">
        <f t="shared" si="277"/>
        <v>19860</v>
      </c>
      <c r="L3581" s="31" t="str">
        <f t="shared" si="278"/>
        <v/>
      </c>
      <c r="M3581" s="31" t="str">
        <f t="shared" si="279"/>
        <v/>
      </c>
    </row>
    <row r="3582" spans="1:13" x14ac:dyDescent="0.15">
      <c r="A3582" s="163" t="s">
        <v>210</v>
      </c>
      <c r="B3582" s="163">
        <v>42368.782010474541</v>
      </c>
      <c r="C3582" s="164" t="s">
        <v>2005</v>
      </c>
      <c r="D3582" s="164" t="s">
        <v>13</v>
      </c>
      <c r="E3582" s="165">
        <v>20</v>
      </c>
      <c r="F3582" s="166">
        <v>0</v>
      </c>
      <c r="G3582" s="227">
        <f>IF($B$2,IF(ROWS(B$6:$B3582) = 1,$B3582-Start_Date,$B3582-$B3581),"")</f>
        <v>3.6475960652751382E-2</v>
      </c>
      <c r="H3582" s="29">
        <f>IF($B$2,IF(ROWS(B$6:$B3582) = 1,IF(COUNTIFS(R_Schedule_Times,"&lt;"&amp;B3582),INDEX(R_Schedule_Amounts,MATCH(B3582,R_Schedule_Times,1)),Starting_Cash),IF(COUNTIFS(R_Schedule_Times,"&gt;"&amp;B3581,R_Schedule_Times,"&lt;"&amp;B3582),INDEX(R_Schedule_Amounts,MATCH(B3582,R_Schedule_Times,1)),K3581)),"")</f>
        <v>19860</v>
      </c>
      <c r="I3582" s="30">
        <f t="shared" si="275"/>
        <v>20</v>
      </c>
      <c r="J3582" s="31">
        <f t="shared" si="276"/>
        <v>0</v>
      </c>
      <c r="K3582" s="29">
        <f t="shared" si="277"/>
        <v>19840</v>
      </c>
      <c r="L3582" s="31" t="str">
        <f t="shared" si="278"/>
        <v/>
      </c>
      <c r="M3582" s="31" t="str">
        <f t="shared" si="279"/>
        <v/>
      </c>
    </row>
    <row r="3583" spans="1:13" x14ac:dyDescent="0.15">
      <c r="A3583" s="163" t="s">
        <v>210</v>
      </c>
      <c r="B3583" s="163">
        <v>42368.787892962966</v>
      </c>
      <c r="C3583" s="164" t="s">
        <v>2812</v>
      </c>
      <c r="D3583" s="164" t="s">
        <v>13</v>
      </c>
      <c r="E3583" s="165">
        <v>100</v>
      </c>
      <c r="F3583" s="166">
        <v>0</v>
      </c>
      <c r="G3583" s="227">
        <f>IF($B$2,IF(ROWS(B$6:$B3583) = 1,$B3583-Start_Date,$B3583-$B3582),"")</f>
        <v>5.8824884254136123E-3</v>
      </c>
      <c r="H3583" s="29">
        <f>IF($B$2,IF(ROWS(B$6:$B3583) = 1,IF(COUNTIFS(R_Schedule_Times,"&lt;"&amp;B3583),INDEX(R_Schedule_Amounts,MATCH(B3583,R_Schedule_Times,1)),Starting_Cash),IF(COUNTIFS(R_Schedule_Times,"&gt;"&amp;B3582,R_Schedule_Times,"&lt;"&amp;B3583),INDEX(R_Schedule_Amounts,MATCH(B3583,R_Schedule_Times,1)),K3582)),"")</f>
        <v>19840</v>
      </c>
      <c r="I3583" s="30">
        <f t="shared" si="275"/>
        <v>100</v>
      </c>
      <c r="J3583" s="31">
        <f t="shared" si="276"/>
        <v>0</v>
      </c>
      <c r="K3583" s="29">
        <f t="shared" si="277"/>
        <v>19740</v>
      </c>
      <c r="L3583" s="31" t="str">
        <f t="shared" si="278"/>
        <v/>
      </c>
      <c r="M3583" s="31" t="str">
        <f t="shared" si="279"/>
        <v/>
      </c>
    </row>
    <row r="3584" spans="1:13" x14ac:dyDescent="0.15">
      <c r="A3584" s="163" t="s">
        <v>210</v>
      </c>
      <c r="B3584" s="163">
        <v>42368.810551331022</v>
      </c>
      <c r="C3584" s="164" t="s">
        <v>2813</v>
      </c>
      <c r="D3584" s="164" t="s">
        <v>13</v>
      </c>
      <c r="E3584" s="165">
        <v>60</v>
      </c>
      <c r="F3584" s="166">
        <v>0</v>
      </c>
      <c r="G3584" s="227">
        <f>IF($B$2,IF(ROWS(B$6:$B3584) = 1,$B3584-Start_Date,$B3584-$B3583),"")</f>
        <v>2.2658368055999745E-2</v>
      </c>
      <c r="H3584" s="29">
        <f>IF($B$2,IF(ROWS(B$6:$B3584) = 1,IF(COUNTIFS(R_Schedule_Times,"&lt;"&amp;B3584),INDEX(R_Schedule_Amounts,MATCH(B3584,R_Schedule_Times,1)),Starting_Cash),IF(COUNTIFS(R_Schedule_Times,"&gt;"&amp;B3583,R_Schedule_Times,"&lt;"&amp;B3584),INDEX(R_Schedule_Amounts,MATCH(B3584,R_Schedule_Times,1)),K3583)),"")</f>
        <v>19740</v>
      </c>
      <c r="I3584" s="30">
        <f t="shared" si="275"/>
        <v>60</v>
      </c>
      <c r="J3584" s="31">
        <f t="shared" si="276"/>
        <v>0</v>
      </c>
      <c r="K3584" s="29">
        <f t="shared" si="277"/>
        <v>19680</v>
      </c>
      <c r="L3584" s="31" t="str">
        <f t="shared" si="278"/>
        <v/>
      </c>
      <c r="M3584" s="31" t="str">
        <f t="shared" si="279"/>
        <v/>
      </c>
    </row>
    <row r="3585" spans="1:13" x14ac:dyDescent="0.15">
      <c r="A3585" s="163" t="s">
        <v>210</v>
      </c>
      <c r="B3585" s="163">
        <v>42368.891078796296</v>
      </c>
      <c r="C3585" s="164" t="s">
        <v>2814</v>
      </c>
      <c r="D3585" s="164" t="s">
        <v>13</v>
      </c>
      <c r="E3585" s="165">
        <v>40</v>
      </c>
      <c r="F3585" s="166">
        <v>0</v>
      </c>
      <c r="G3585" s="227">
        <f>IF($B$2,IF(ROWS(B$6:$B3585) = 1,$B3585-Start_Date,$B3585-$B3584),"")</f>
        <v>8.0527465273917187E-2</v>
      </c>
      <c r="H3585" s="29">
        <f>IF($B$2,IF(ROWS(B$6:$B3585) = 1,IF(COUNTIFS(R_Schedule_Times,"&lt;"&amp;B3585),INDEX(R_Schedule_Amounts,MATCH(B3585,R_Schedule_Times,1)),Starting_Cash),IF(COUNTIFS(R_Schedule_Times,"&gt;"&amp;B3584,R_Schedule_Times,"&lt;"&amp;B3585),INDEX(R_Schedule_Amounts,MATCH(B3585,R_Schedule_Times,1)),K3584)),"")</f>
        <v>19680</v>
      </c>
      <c r="I3585" s="30">
        <f t="shared" si="275"/>
        <v>40</v>
      </c>
      <c r="J3585" s="31">
        <f t="shared" si="276"/>
        <v>0</v>
      </c>
      <c r="K3585" s="29">
        <f t="shared" si="277"/>
        <v>19640</v>
      </c>
      <c r="L3585" s="31" t="str">
        <f t="shared" si="278"/>
        <v/>
      </c>
      <c r="M3585" s="31" t="str">
        <f t="shared" si="279"/>
        <v/>
      </c>
    </row>
    <row r="3586" spans="1:13" x14ac:dyDescent="0.15">
      <c r="A3586" s="163" t="s">
        <v>210</v>
      </c>
      <c r="B3586" s="163">
        <v>42369.229446087964</v>
      </c>
      <c r="C3586" s="164" t="s">
        <v>557</v>
      </c>
      <c r="D3586" s="164" t="s">
        <v>13</v>
      </c>
      <c r="E3586" s="165">
        <v>40</v>
      </c>
      <c r="F3586" s="166">
        <v>0</v>
      </c>
      <c r="G3586" s="227">
        <f>IF($B$2,IF(ROWS(B$6:$B3586) = 1,$B3586-Start_Date,$B3586-$B3585),"")</f>
        <v>0.33836729166796431</v>
      </c>
      <c r="H3586" s="29">
        <f>IF($B$2,IF(ROWS(B$6:$B3586) = 1,IF(COUNTIFS(R_Schedule_Times,"&lt;"&amp;B3586),INDEX(R_Schedule_Amounts,MATCH(B3586,R_Schedule_Times,1)),Starting_Cash),IF(COUNTIFS(R_Schedule_Times,"&gt;"&amp;B3585,R_Schedule_Times,"&lt;"&amp;B3586),INDEX(R_Schedule_Amounts,MATCH(B3586,R_Schedule_Times,1)),K3585)),"")</f>
        <v>19640</v>
      </c>
      <c r="I3586" s="30">
        <f t="shared" si="275"/>
        <v>40</v>
      </c>
      <c r="J3586" s="31">
        <f t="shared" si="276"/>
        <v>0</v>
      </c>
      <c r="K3586" s="29">
        <f t="shared" si="277"/>
        <v>19600</v>
      </c>
      <c r="L3586" s="31" t="str">
        <f t="shared" si="278"/>
        <v/>
      </c>
      <c r="M3586" s="31" t="str">
        <f t="shared" si="279"/>
        <v/>
      </c>
    </row>
    <row r="3587" spans="1:13" x14ac:dyDescent="0.15">
      <c r="A3587" s="163" t="s">
        <v>210</v>
      </c>
      <c r="B3587" s="163">
        <v>42369.302097974534</v>
      </c>
      <c r="C3587" s="164" t="s">
        <v>2815</v>
      </c>
      <c r="D3587" s="164" t="s">
        <v>13</v>
      </c>
      <c r="E3587" s="165">
        <v>100</v>
      </c>
      <c r="F3587" s="166">
        <v>0</v>
      </c>
      <c r="G3587" s="227">
        <f>IF($B$2,IF(ROWS(B$6:$B3587) = 1,$B3587-Start_Date,$B3587-$B3586),"")</f>
        <v>7.2651886570383795E-2</v>
      </c>
      <c r="H3587" s="29">
        <f>IF($B$2,IF(ROWS(B$6:$B3587) = 1,IF(COUNTIFS(R_Schedule_Times,"&lt;"&amp;B3587),INDEX(R_Schedule_Amounts,MATCH(B3587,R_Schedule_Times,1)),Starting_Cash),IF(COUNTIFS(R_Schedule_Times,"&gt;"&amp;B3586,R_Schedule_Times,"&lt;"&amp;B3587),INDEX(R_Schedule_Amounts,MATCH(B3587,R_Schedule_Times,1)),K3586)),"")</f>
        <v>19600</v>
      </c>
      <c r="I3587" s="30">
        <f t="shared" si="275"/>
        <v>100</v>
      </c>
      <c r="J3587" s="31">
        <f t="shared" si="276"/>
        <v>0</v>
      </c>
      <c r="K3587" s="29">
        <f t="shared" si="277"/>
        <v>19500</v>
      </c>
      <c r="L3587" s="31" t="str">
        <f t="shared" si="278"/>
        <v/>
      </c>
      <c r="M3587" s="31" t="str">
        <f t="shared" si="279"/>
        <v/>
      </c>
    </row>
    <row r="3588" spans="1:13" x14ac:dyDescent="0.15">
      <c r="A3588" s="163" t="s">
        <v>210</v>
      </c>
      <c r="B3588" s="163">
        <v>42369.304250740737</v>
      </c>
      <c r="C3588" s="164" t="s">
        <v>2695</v>
      </c>
      <c r="D3588" s="164" t="s">
        <v>13</v>
      </c>
      <c r="E3588" s="165">
        <v>20</v>
      </c>
      <c r="F3588" s="166">
        <v>0</v>
      </c>
      <c r="G3588" s="227">
        <f>IF($B$2,IF(ROWS(B$6:$B3588) = 1,$B3588-Start_Date,$B3588-$B3587),"")</f>
        <v>2.1527662029257044E-3</v>
      </c>
      <c r="H3588" s="29">
        <f>IF($B$2,IF(ROWS(B$6:$B3588) = 1,IF(COUNTIFS(R_Schedule_Times,"&lt;"&amp;B3588),INDEX(R_Schedule_Amounts,MATCH(B3588,R_Schedule_Times,1)),Starting_Cash),IF(COUNTIFS(R_Schedule_Times,"&gt;"&amp;B3587,R_Schedule_Times,"&lt;"&amp;B3588),INDEX(R_Schedule_Amounts,MATCH(B3588,R_Schedule_Times,1)),K3587)),"")</f>
        <v>19500</v>
      </c>
      <c r="I3588" s="30">
        <f t="shared" si="275"/>
        <v>20</v>
      </c>
      <c r="J3588" s="31">
        <f t="shared" si="276"/>
        <v>0</v>
      </c>
      <c r="K3588" s="29">
        <f t="shared" si="277"/>
        <v>19480</v>
      </c>
      <c r="L3588" s="31" t="str">
        <f t="shared" si="278"/>
        <v/>
      </c>
      <c r="M3588" s="31" t="str">
        <f t="shared" si="279"/>
        <v/>
      </c>
    </row>
    <row r="3589" spans="1:13" x14ac:dyDescent="0.15">
      <c r="A3589" s="163" t="s">
        <v>210</v>
      </c>
      <c r="B3589" s="163">
        <v>42369.335516886575</v>
      </c>
      <c r="C3589" s="164" t="s">
        <v>2816</v>
      </c>
      <c r="D3589" s="164" t="s">
        <v>13</v>
      </c>
      <c r="E3589" s="165">
        <v>40</v>
      </c>
      <c r="F3589" s="166">
        <v>0</v>
      </c>
      <c r="G3589" s="227">
        <f>IF($B$2,IF(ROWS(B$6:$B3589) = 1,$B3589-Start_Date,$B3589-$B3588),"")</f>
        <v>3.1266145837435033E-2</v>
      </c>
      <c r="H3589" s="29">
        <f>IF($B$2,IF(ROWS(B$6:$B3589) = 1,IF(COUNTIFS(R_Schedule_Times,"&lt;"&amp;B3589),INDEX(R_Schedule_Amounts,MATCH(B3589,R_Schedule_Times,1)),Starting_Cash),IF(COUNTIFS(R_Schedule_Times,"&gt;"&amp;B3588,R_Schedule_Times,"&lt;"&amp;B3589),INDEX(R_Schedule_Amounts,MATCH(B3589,R_Schedule_Times,1)),K3588)),"")</f>
        <v>19480</v>
      </c>
      <c r="I3589" s="30">
        <f t="shared" si="275"/>
        <v>40</v>
      </c>
      <c r="J3589" s="31">
        <f t="shared" si="276"/>
        <v>0</v>
      </c>
      <c r="K3589" s="29">
        <f t="shared" si="277"/>
        <v>19440</v>
      </c>
      <c r="L3589" s="31" t="str">
        <f t="shared" si="278"/>
        <v/>
      </c>
      <c r="M3589" s="31" t="str">
        <f t="shared" si="279"/>
        <v/>
      </c>
    </row>
    <row r="3590" spans="1:13" x14ac:dyDescent="0.15">
      <c r="A3590" s="163" t="s">
        <v>210</v>
      </c>
      <c r="B3590" s="163">
        <v>42369.336321620372</v>
      </c>
      <c r="C3590" s="164" t="s">
        <v>2817</v>
      </c>
      <c r="D3590" s="164" t="s">
        <v>13</v>
      </c>
      <c r="E3590" s="165">
        <v>100</v>
      </c>
      <c r="F3590" s="166">
        <v>0</v>
      </c>
      <c r="G3590" s="227">
        <f>IF($B$2,IF(ROWS(B$6:$B3590) = 1,$B3590-Start_Date,$B3590-$B3589),"")</f>
        <v>8.0473379784962162E-4</v>
      </c>
      <c r="H3590" s="29">
        <f>IF($B$2,IF(ROWS(B$6:$B3590) = 1,IF(COUNTIFS(R_Schedule_Times,"&lt;"&amp;B3590),INDEX(R_Schedule_Amounts,MATCH(B3590,R_Schedule_Times,1)),Starting_Cash),IF(COUNTIFS(R_Schedule_Times,"&gt;"&amp;B3589,R_Schedule_Times,"&lt;"&amp;B3590),INDEX(R_Schedule_Amounts,MATCH(B3590,R_Schedule_Times,1)),K3589)),"")</f>
        <v>19440</v>
      </c>
      <c r="I3590" s="30">
        <f t="shared" si="275"/>
        <v>100</v>
      </c>
      <c r="J3590" s="31">
        <f t="shared" si="276"/>
        <v>0</v>
      </c>
      <c r="K3590" s="29">
        <f t="shared" si="277"/>
        <v>19340</v>
      </c>
      <c r="L3590" s="31" t="str">
        <f t="shared" si="278"/>
        <v/>
      </c>
      <c r="M3590" s="31" t="str">
        <f t="shared" si="279"/>
        <v/>
      </c>
    </row>
    <row r="3591" spans="1:13" x14ac:dyDescent="0.15">
      <c r="A3591" s="163" t="s">
        <v>210</v>
      </c>
      <c r="B3591" s="163">
        <v>42369.348016249998</v>
      </c>
      <c r="C3591" s="164" t="s">
        <v>2818</v>
      </c>
      <c r="D3591" s="164" t="s">
        <v>15</v>
      </c>
      <c r="E3591" s="165">
        <v>60</v>
      </c>
      <c r="F3591" s="166">
        <v>1.8</v>
      </c>
      <c r="G3591" s="227">
        <f>IF($B$2,IF(ROWS(B$6:$B3591) = 1,$B3591-Start_Date,$B3591-$B3590),"")</f>
        <v>1.169462962570833E-2</v>
      </c>
      <c r="H3591" s="29">
        <f>IF($B$2,IF(ROWS(B$6:$B3591) = 1,IF(COUNTIFS(R_Schedule_Times,"&lt;"&amp;B3591),INDEX(R_Schedule_Amounts,MATCH(B3591,R_Schedule_Times,1)),Starting_Cash),IF(COUNTIFS(R_Schedule_Times,"&gt;"&amp;B3590,R_Schedule_Times,"&lt;"&amp;B3591),INDEX(R_Schedule_Amounts,MATCH(B3591,R_Schedule_Times,1)),K3590)),"")</f>
        <v>19340</v>
      </c>
      <c r="I3591" s="30">
        <f t="shared" ref="I3591:I3642" si="280">IF($B$2,IF(H3591&gt;=E3591,E3591,0),"")</f>
        <v>60</v>
      </c>
      <c r="J3591" s="31">
        <f t="shared" ref="J3591:J3642" si="281">IF($B$2,IF(H3591&gt;=E3591,F3591,0),"")</f>
        <v>1.8</v>
      </c>
      <c r="K3591" s="29">
        <f t="shared" ref="K3591:K3642" si="282">IF($B$2,ABS(I3591-H3591),"")</f>
        <v>19280</v>
      </c>
      <c r="L3591" s="31" t="str">
        <f t="shared" ref="L3591:L3642" si="283">IF($B$2,IF(H3591&lt;E3591,"YES",""),"")</f>
        <v/>
      </c>
      <c r="M3591" s="31" t="str">
        <f t="shared" ref="M3591:M3642" si="284">IF($B$2,IF(L3591="YES",F3591,""),"")</f>
        <v/>
      </c>
    </row>
    <row r="3592" spans="1:13" x14ac:dyDescent="0.15">
      <c r="A3592" s="163" t="s">
        <v>210</v>
      </c>
      <c r="B3592" s="163">
        <v>42369.367604861109</v>
      </c>
      <c r="C3592" s="164" t="s">
        <v>2819</v>
      </c>
      <c r="D3592" s="164" t="s">
        <v>13</v>
      </c>
      <c r="E3592" s="165">
        <v>200</v>
      </c>
      <c r="F3592" s="166">
        <v>0</v>
      </c>
      <c r="G3592" s="227">
        <f>IF($B$2,IF(ROWS(B$6:$B3592) = 1,$B3592-Start_Date,$B3592-$B3591),"")</f>
        <v>1.9588611110521015E-2</v>
      </c>
      <c r="H3592" s="29">
        <f>IF($B$2,IF(ROWS(B$6:$B3592) = 1,IF(COUNTIFS(R_Schedule_Times,"&lt;"&amp;B3592),INDEX(R_Schedule_Amounts,MATCH(B3592,R_Schedule_Times,1)),Starting_Cash),IF(COUNTIFS(R_Schedule_Times,"&gt;"&amp;B3591,R_Schedule_Times,"&lt;"&amp;B3592),INDEX(R_Schedule_Amounts,MATCH(B3592,R_Schedule_Times,1)),K3591)),"")</f>
        <v>19280</v>
      </c>
      <c r="I3592" s="30">
        <f t="shared" si="280"/>
        <v>200</v>
      </c>
      <c r="J3592" s="31">
        <f t="shared" si="281"/>
        <v>0</v>
      </c>
      <c r="K3592" s="29">
        <f t="shared" si="282"/>
        <v>19080</v>
      </c>
      <c r="L3592" s="31" t="str">
        <f t="shared" si="283"/>
        <v/>
      </c>
      <c r="M3592" s="31" t="str">
        <f t="shared" si="284"/>
        <v/>
      </c>
    </row>
    <row r="3593" spans="1:13" x14ac:dyDescent="0.15">
      <c r="A3593" s="163" t="s">
        <v>210</v>
      </c>
      <c r="B3593" s="163">
        <v>42369.392290497686</v>
      </c>
      <c r="C3593" s="164" t="s">
        <v>2820</v>
      </c>
      <c r="D3593" s="164" t="s">
        <v>13</v>
      </c>
      <c r="E3593" s="165">
        <v>40</v>
      </c>
      <c r="F3593" s="166">
        <v>0</v>
      </c>
      <c r="G3593" s="227">
        <f>IF($B$2,IF(ROWS(B$6:$B3593) = 1,$B3593-Start_Date,$B3593-$B3592),"")</f>
        <v>2.4685636577487458E-2</v>
      </c>
      <c r="H3593" s="29">
        <f>IF($B$2,IF(ROWS(B$6:$B3593) = 1,IF(COUNTIFS(R_Schedule_Times,"&lt;"&amp;B3593),INDEX(R_Schedule_Amounts,MATCH(B3593,R_Schedule_Times,1)),Starting_Cash),IF(COUNTIFS(R_Schedule_Times,"&gt;"&amp;B3592,R_Schedule_Times,"&lt;"&amp;B3593),INDEX(R_Schedule_Amounts,MATCH(B3593,R_Schedule_Times,1)),K3592)),"")</f>
        <v>19080</v>
      </c>
      <c r="I3593" s="30">
        <f t="shared" si="280"/>
        <v>40</v>
      </c>
      <c r="J3593" s="31">
        <f t="shared" si="281"/>
        <v>0</v>
      </c>
      <c r="K3593" s="29">
        <f t="shared" si="282"/>
        <v>19040</v>
      </c>
      <c r="L3593" s="31" t="str">
        <f t="shared" si="283"/>
        <v/>
      </c>
      <c r="M3593" s="31" t="str">
        <f t="shared" si="284"/>
        <v/>
      </c>
    </row>
    <row r="3594" spans="1:13" x14ac:dyDescent="0.15">
      <c r="A3594" s="163" t="s">
        <v>210</v>
      </c>
      <c r="B3594" s="163">
        <v>42369.392784814816</v>
      </c>
      <c r="C3594" s="164" t="s">
        <v>1242</v>
      </c>
      <c r="D3594" s="164" t="s">
        <v>13</v>
      </c>
      <c r="E3594" s="165">
        <v>80</v>
      </c>
      <c r="F3594" s="166">
        <v>0</v>
      </c>
      <c r="G3594" s="227">
        <f>IF($B$2,IF(ROWS(B$6:$B3594) = 1,$B3594-Start_Date,$B3594-$B3593),"")</f>
        <v>4.9431712977821007E-4</v>
      </c>
      <c r="H3594" s="29">
        <f>IF($B$2,IF(ROWS(B$6:$B3594) = 1,IF(COUNTIFS(R_Schedule_Times,"&lt;"&amp;B3594),INDEX(R_Schedule_Amounts,MATCH(B3594,R_Schedule_Times,1)),Starting_Cash),IF(COUNTIFS(R_Schedule_Times,"&gt;"&amp;B3593,R_Schedule_Times,"&lt;"&amp;B3594),INDEX(R_Schedule_Amounts,MATCH(B3594,R_Schedule_Times,1)),K3593)),"")</f>
        <v>19040</v>
      </c>
      <c r="I3594" s="30">
        <f t="shared" si="280"/>
        <v>80</v>
      </c>
      <c r="J3594" s="31">
        <f t="shared" si="281"/>
        <v>0</v>
      </c>
      <c r="K3594" s="29">
        <f t="shared" si="282"/>
        <v>18960</v>
      </c>
      <c r="L3594" s="31" t="str">
        <f t="shared" si="283"/>
        <v/>
      </c>
      <c r="M3594" s="31" t="str">
        <f t="shared" si="284"/>
        <v/>
      </c>
    </row>
    <row r="3595" spans="1:13" x14ac:dyDescent="0.15">
      <c r="A3595" s="163" t="s">
        <v>210</v>
      </c>
      <c r="B3595" s="163">
        <v>42369.401335381946</v>
      </c>
      <c r="C3595" s="164" t="s">
        <v>1460</v>
      </c>
      <c r="D3595" s="164" t="s">
        <v>13</v>
      </c>
      <c r="E3595" s="165">
        <v>60</v>
      </c>
      <c r="F3595" s="166">
        <v>0</v>
      </c>
      <c r="G3595" s="227">
        <f>IF($B$2,IF(ROWS(B$6:$B3595) = 1,$B3595-Start_Date,$B3595-$B3594),"")</f>
        <v>8.5505671304417774E-3</v>
      </c>
      <c r="H3595" s="29">
        <f>IF($B$2,IF(ROWS(B$6:$B3595) = 1,IF(COUNTIFS(R_Schedule_Times,"&lt;"&amp;B3595),INDEX(R_Schedule_Amounts,MATCH(B3595,R_Schedule_Times,1)),Starting_Cash),IF(COUNTIFS(R_Schedule_Times,"&gt;"&amp;B3594,R_Schedule_Times,"&lt;"&amp;B3595),INDEX(R_Schedule_Amounts,MATCH(B3595,R_Schedule_Times,1)),K3594)),"")</f>
        <v>18960</v>
      </c>
      <c r="I3595" s="30">
        <f t="shared" si="280"/>
        <v>60</v>
      </c>
      <c r="J3595" s="31">
        <f t="shared" si="281"/>
        <v>0</v>
      </c>
      <c r="K3595" s="29">
        <f t="shared" si="282"/>
        <v>18900</v>
      </c>
      <c r="L3595" s="31" t="str">
        <f t="shared" si="283"/>
        <v/>
      </c>
      <c r="M3595" s="31" t="str">
        <f t="shared" si="284"/>
        <v/>
      </c>
    </row>
    <row r="3596" spans="1:13" x14ac:dyDescent="0.15">
      <c r="A3596" s="163" t="s">
        <v>210</v>
      </c>
      <c r="B3596" s="163">
        <v>42369.423916388892</v>
      </c>
      <c r="C3596" s="164" t="s">
        <v>1997</v>
      </c>
      <c r="D3596" s="164" t="s">
        <v>13</v>
      </c>
      <c r="E3596" s="165">
        <v>40</v>
      </c>
      <c r="F3596" s="166">
        <v>0</v>
      </c>
      <c r="G3596" s="227">
        <f>IF($B$2,IF(ROWS(B$6:$B3596) = 1,$B3596-Start_Date,$B3596-$B3595),"")</f>
        <v>2.2581006945983972E-2</v>
      </c>
      <c r="H3596" s="29">
        <f>IF($B$2,IF(ROWS(B$6:$B3596) = 1,IF(COUNTIFS(R_Schedule_Times,"&lt;"&amp;B3596),INDEX(R_Schedule_Amounts,MATCH(B3596,R_Schedule_Times,1)),Starting_Cash),IF(COUNTIFS(R_Schedule_Times,"&gt;"&amp;B3595,R_Schedule_Times,"&lt;"&amp;B3596),INDEX(R_Schedule_Amounts,MATCH(B3596,R_Schedule_Times,1)),K3595)),"")</f>
        <v>18900</v>
      </c>
      <c r="I3596" s="30">
        <f t="shared" si="280"/>
        <v>40</v>
      </c>
      <c r="J3596" s="31">
        <f t="shared" si="281"/>
        <v>0</v>
      </c>
      <c r="K3596" s="29">
        <f t="shared" si="282"/>
        <v>18860</v>
      </c>
      <c r="L3596" s="31" t="str">
        <f t="shared" si="283"/>
        <v/>
      </c>
      <c r="M3596" s="31" t="str">
        <f t="shared" si="284"/>
        <v/>
      </c>
    </row>
    <row r="3597" spans="1:13" x14ac:dyDescent="0.15">
      <c r="A3597" s="163" t="s">
        <v>210</v>
      </c>
      <c r="B3597" s="163">
        <v>42369.430487789352</v>
      </c>
      <c r="C3597" s="164" t="s">
        <v>859</v>
      </c>
      <c r="D3597" s="164" t="s">
        <v>13</v>
      </c>
      <c r="E3597" s="165">
        <v>20</v>
      </c>
      <c r="F3597" s="166">
        <v>0</v>
      </c>
      <c r="G3597" s="227">
        <f>IF($B$2,IF(ROWS(B$6:$B3597) = 1,$B3597-Start_Date,$B3597-$B3596),"")</f>
        <v>6.5714004595065489E-3</v>
      </c>
      <c r="H3597" s="29">
        <f>IF($B$2,IF(ROWS(B$6:$B3597) = 1,IF(COUNTIFS(R_Schedule_Times,"&lt;"&amp;B3597),INDEX(R_Schedule_Amounts,MATCH(B3597,R_Schedule_Times,1)),Starting_Cash),IF(COUNTIFS(R_Schedule_Times,"&gt;"&amp;B3596,R_Schedule_Times,"&lt;"&amp;B3597),INDEX(R_Schedule_Amounts,MATCH(B3597,R_Schedule_Times,1)),K3596)),"")</f>
        <v>18860</v>
      </c>
      <c r="I3597" s="30">
        <f t="shared" si="280"/>
        <v>20</v>
      </c>
      <c r="J3597" s="31">
        <f t="shared" si="281"/>
        <v>0</v>
      </c>
      <c r="K3597" s="29">
        <f t="shared" si="282"/>
        <v>18840</v>
      </c>
      <c r="L3597" s="31" t="str">
        <f t="shared" si="283"/>
        <v/>
      </c>
      <c r="M3597" s="31" t="str">
        <f t="shared" si="284"/>
        <v/>
      </c>
    </row>
    <row r="3598" spans="1:13" x14ac:dyDescent="0.15">
      <c r="A3598" s="163" t="s">
        <v>210</v>
      </c>
      <c r="B3598" s="163">
        <v>42369.43948015046</v>
      </c>
      <c r="C3598" s="164" t="s">
        <v>2821</v>
      </c>
      <c r="D3598" s="164" t="s">
        <v>13</v>
      </c>
      <c r="E3598" s="165">
        <v>60</v>
      </c>
      <c r="F3598" s="166">
        <v>0</v>
      </c>
      <c r="G3598" s="227">
        <f>IF($B$2,IF(ROWS(B$6:$B3598) = 1,$B3598-Start_Date,$B3598-$B3597),"")</f>
        <v>8.992361108539626E-3</v>
      </c>
      <c r="H3598" s="29">
        <f>IF($B$2,IF(ROWS(B$6:$B3598) = 1,IF(COUNTIFS(R_Schedule_Times,"&lt;"&amp;B3598),INDEX(R_Schedule_Amounts,MATCH(B3598,R_Schedule_Times,1)),Starting_Cash),IF(COUNTIFS(R_Schedule_Times,"&gt;"&amp;B3597,R_Schedule_Times,"&lt;"&amp;B3598),INDEX(R_Schedule_Amounts,MATCH(B3598,R_Schedule_Times,1)),K3597)),"")</f>
        <v>18840</v>
      </c>
      <c r="I3598" s="30">
        <f t="shared" si="280"/>
        <v>60</v>
      </c>
      <c r="J3598" s="31">
        <f t="shared" si="281"/>
        <v>0</v>
      </c>
      <c r="K3598" s="29">
        <f t="shared" si="282"/>
        <v>18780</v>
      </c>
      <c r="L3598" s="31" t="str">
        <f t="shared" si="283"/>
        <v/>
      </c>
      <c r="M3598" s="31" t="str">
        <f t="shared" si="284"/>
        <v/>
      </c>
    </row>
    <row r="3599" spans="1:13" x14ac:dyDescent="0.15">
      <c r="A3599" s="163" t="s">
        <v>210</v>
      </c>
      <c r="B3599" s="163">
        <v>42369.455290694445</v>
      </c>
      <c r="C3599" s="164" t="s">
        <v>2822</v>
      </c>
      <c r="D3599" s="164" t="s">
        <v>13</v>
      </c>
      <c r="E3599" s="165">
        <v>40</v>
      </c>
      <c r="F3599" s="166">
        <v>0</v>
      </c>
      <c r="G3599" s="227">
        <f>IF($B$2,IF(ROWS(B$6:$B3599) = 1,$B3599-Start_Date,$B3599-$B3598),"")</f>
        <v>1.5810543984116521E-2</v>
      </c>
      <c r="H3599" s="29">
        <f>IF($B$2,IF(ROWS(B$6:$B3599) = 1,IF(COUNTIFS(R_Schedule_Times,"&lt;"&amp;B3599),INDEX(R_Schedule_Amounts,MATCH(B3599,R_Schedule_Times,1)),Starting_Cash),IF(COUNTIFS(R_Schedule_Times,"&gt;"&amp;B3598,R_Schedule_Times,"&lt;"&amp;B3599),INDEX(R_Schedule_Amounts,MATCH(B3599,R_Schedule_Times,1)),K3598)),"")</f>
        <v>18780</v>
      </c>
      <c r="I3599" s="30">
        <f t="shared" si="280"/>
        <v>40</v>
      </c>
      <c r="J3599" s="31">
        <f t="shared" si="281"/>
        <v>0</v>
      </c>
      <c r="K3599" s="29">
        <f t="shared" si="282"/>
        <v>18740</v>
      </c>
      <c r="L3599" s="31" t="str">
        <f t="shared" si="283"/>
        <v/>
      </c>
      <c r="M3599" s="31" t="str">
        <f t="shared" si="284"/>
        <v/>
      </c>
    </row>
    <row r="3600" spans="1:13" x14ac:dyDescent="0.15">
      <c r="A3600" s="163" t="s">
        <v>210</v>
      </c>
      <c r="B3600" s="163">
        <v>42369.459379236112</v>
      </c>
      <c r="C3600" s="164" t="s">
        <v>14</v>
      </c>
      <c r="D3600" s="164" t="s">
        <v>13</v>
      </c>
      <c r="E3600" s="165">
        <v>80</v>
      </c>
      <c r="F3600" s="166">
        <v>3.5</v>
      </c>
      <c r="G3600" s="227">
        <f>IF($B$2,IF(ROWS(B$6:$B3600) = 1,$B3600-Start_Date,$B3600-$B3599),"")</f>
        <v>4.0885416674427688E-3</v>
      </c>
      <c r="H3600" s="29">
        <f>IF($B$2,IF(ROWS(B$6:$B3600) = 1,IF(COUNTIFS(R_Schedule_Times,"&lt;"&amp;B3600),INDEX(R_Schedule_Amounts,MATCH(B3600,R_Schedule_Times,1)),Starting_Cash),IF(COUNTIFS(R_Schedule_Times,"&gt;"&amp;B3599,R_Schedule_Times,"&lt;"&amp;B3600),INDEX(R_Schedule_Amounts,MATCH(B3600,R_Schedule_Times,1)),K3599)),"")</f>
        <v>18740</v>
      </c>
      <c r="I3600" s="30">
        <f t="shared" si="280"/>
        <v>80</v>
      </c>
      <c r="J3600" s="31">
        <f t="shared" si="281"/>
        <v>3.5</v>
      </c>
      <c r="K3600" s="29">
        <f t="shared" si="282"/>
        <v>18660</v>
      </c>
      <c r="L3600" s="31" t="str">
        <f t="shared" si="283"/>
        <v/>
      </c>
      <c r="M3600" s="31" t="str">
        <f t="shared" si="284"/>
        <v/>
      </c>
    </row>
    <row r="3601" spans="1:13" x14ac:dyDescent="0.15">
      <c r="A3601" s="163" t="s">
        <v>210</v>
      </c>
      <c r="B3601" s="163">
        <v>42369.462860208332</v>
      </c>
      <c r="C3601" s="164" t="s">
        <v>2823</v>
      </c>
      <c r="D3601" s="164" t="s">
        <v>13</v>
      </c>
      <c r="E3601" s="165">
        <v>140</v>
      </c>
      <c r="F3601" s="166">
        <v>0</v>
      </c>
      <c r="G3601" s="227">
        <f>IF($B$2,IF(ROWS(B$6:$B3601) = 1,$B3601-Start_Date,$B3601-$B3600),"")</f>
        <v>3.4809722201316617E-3</v>
      </c>
      <c r="H3601" s="29">
        <f>IF($B$2,IF(ROWS(B$6:$B3601) = 1,IF(COUNTIFS(R_Schedule_Times,"&lt;"&amp;B3601),INDEX(R_Schedule_Amounts,MATCH(B3601,R_Schedule_Times,1)),Starting_Cash),IF(COUNTIFS(R_Schedule_Times,"&gt;"&amp;B3600,R_Schedule_Times,"&lt;"&amp;B3601),INDEX(R_Schedule_Amounts,MATCH(B3601,R_Schedule_Times,1)),K3600)),"")</f>
        <v>18660</v>
      </c>
      <c r="I3601" s="30">
        <f t="shared" si="280"/>
        <v>140</v>
      </c>
      <c r="J3601" s="31">
        <f t="shared" si="281"/>
        <v>0</v>
      </c>
      <c r="K3601" s="29">
        <f t="shared" si="282"/>
        <v>18520</v>
      </c>
      <c r="L3601" s="31" t="str">
        <f t="shared" si="283"/>
        <v/>
      </c>
      <c r="M3601" s="31" t="str">
        <f t="shared" si="284"/>
        <v/>
      </c>
    </row>
    <row r="3602" spans="1:13" x14ac:dyDescent="0.15">
      <c r="A3602" s="163" t="s">
        <v>210</v>
      </c>
      <c r="B3602" s="163">
        <v>42369.466662500003</v>
      </c>
      <c r="C3602" s="164" t="s">
        <v>2824</v>
      </c>
      <c r="D3602" s="164" t="s">
        <v>13</v>
      </c>
      <c r="E3602" s="165">
        <v>20</v>
      </c>
      <c r="F3602" s="166">
        <v>0</v>
      </c>
      <c r="G3602" s="227">
        <f>IF($B$2,IF(ROWS(B$6:$B3602) = 1,$B3602-Start_Date,$B3602-$B3601),"")</f>
        <v>3.8022916705813259E-3</v>
      </c>
      <c r="H3602" s="29">
        <f>IF($B$2,IF(ROWS(B$6:$B3602) = 1,IF(COUNTIFS(R_Schedule_Times,"&lt;"&amp;B3602),INDEX(R_Schedule_Amounts,MATCH(B3602,R_Schedule_Times,1)),Starting_Cash),IF(COUNTIFS(R_Schedule_Times,"&gt;"&amp;B3601,R_Schedule_Times,"&lt;"&amp;B3602),INDEX(R_Schedule_Amounts,MATCH(B3602,R_Schedule_Times,1)),K3601)),"")</f>
        <v>18520</v>
      </c>
      <c r="I3602" s="30">
        <f t="shared" si="280"/>
        <v>20</v>
      </c>
      <c r="J3602" s="31">
        <f t="shared" si="281"/>
        <v>0</v>
      </c>
      <c r="K3602" s="29">
        <f t="shared" si="282"/>
        <v>18500</v>
      </c>
      <c r="L3602" s="31" t="str">
        <f t="shared" si="283"/>
        <v/>
      </c>
      <c r="M3602" s="31" t="str">
        <f t="shared" si="284"/>
        <v/>
      </c>
    </row>
    <row r="3603" spans="1:13" x14ac:dyDescent="0.15">
      <c r="A3603" s="163" t="s">
        <v>210</v>
      </c>
      <c r="B3603" s="163">
        <v>42369.473245104164</v>
      </c>
      <c r="C3603" s="164" t="s">
        <v>558</v>
      </c>
      <c r="D3603" s="164" t="s">
        <v>13</v>
      </c>
      <c r="E3603" s="165">
        <v>40</v>
      </c>
      <c r="F3603" s="166">
        <v>0</v>
      </c>
      <c r="G3603" s="227">
        <f>IF($B$2,IF(ROWS(B$6:$B3603) = 1,$B3603-Start_Date,$B3603-$B3602),"")</f>
        <v>6.5826041609398089E-3</v>
      </c>
      <c r="H3603" s="29">
        <f>IF($B$2,IF(ROWS(B$6:$B3603) = 1,IF(COUNTIFS(R_Schedule_Times,"&lt;"&amp;B3603),INDEX(R_Schedule_Amounts,MATCH(B3603,R_Schedule_Times,1)),Starting_Cash),IF(COUNTIFS(R_Schedule_Times,"&gt;"&amp;B3602,R_Schedule_Times,"&lt;"&amp;B3603),INDEX(R_Schedule_Amounts,MATCH(B3603,R_Schedule_Times,1)),K3602)),"")</f>
        <v>18500</v>
      </c>
      <c r="I3603" s="30">
        <f t="shared" si="280"/>
        <v>40</v>
      </c>
      <c r="J3603" s="31">
        <f t="shared" si="281"/>
        <v>0</v>
      </c>
      <c r="K3603" s="29">
        <f t="shared" si="282"/>
        <v>18460</v>
      </c>
      <c r="L3603" s="31" t="str">
        <f t="shared" si="283"/>
        <v/>
      </c>
      <c r="M3603" s="31" t="str">
        <f t="shared" si="284"/>
        <v/>
      </c>
    </row>
    <row r="3604" spans="1:13" x14ac:dyDescent="0.15">
      <c r="A3604" s="163" t="s">
        <v>210</v>
      </c>
      <c r="B3604" s="163">
        <v>42369.491961562497</v>
      </c>
      <c r="C3604" s="164" t="s">
        <v>14</v>
      </c>
      <c r="D3604" s="164" t="s">
        <v>13</v>
      </c>
      <c r="E3604" s="165">
        <v>60</v>
      </c>
      <c r="F3604" s="166">
        <v>3.5</v>
      </c>
      <c r="G3604" s="227">
        <f>IF($B$2,IF(ROWS(B$6:$B3604) = 1,$B3604-Start_Date,$B3604-$B3603),"")</f>
        <v>1.8716458333074115E-2</v>
      </c>
      <c r="H3604" s="29">
        <f>IF($B$2,IF(ROWS(B$6:$B3604) = 1,IF(COUNTIFS(R_Schedule_Times,"&lt;"&amp;B3604),INDEX(R_Schedule_Amounts,MATCH(B3604,R_Schedule_Times,1)),Starting_Cash),IF(COUNTIFS(R_Schedule_Times,"&gt;"&amp;B3603,R_Schedule_Times,"&lt;"&amp;B3604),INDEX(R_Schedule_Amounts,MATCH(B3604,R_Schedule_Times,1)),K3603)),"")</f>
        <v>18460</v>
      </c>
      <c r="I3604" s="30">
        <f t="shared" si="280"/>
        <v>60</v>
      </c>
      <c r="J3604" s="31">
        <f t="shared" si="281"/>
        <v>3.5</v>
      </c>
      <c r="K3604" s="29">
        <f t="shared" si="282"/>
        <v>18400</v>
      </c>
      <c r="L3604" s="31" t="str">
        <f t="shared" si="283"/>
        <v/>
      </c>
      <c r="M3604" s="31" t="str">
        <f t="shared" si="284"/>
        <v/>
      </c>
    </row>
    <row r="3605" spans="1:13" x14ac:dyDescent="0.15">
      <c r="A3605" s="163" t="s">
        <v>210</v>
      </c>
      <c r="B3605" s="163">
        <v>42369.493148576388</v>
      </c>
      <c r="C3605" s="164" t="s">
        <v>115</v>
      </c>
      <c r="D3605" s="164" t="s">
        <v>13</v>
      </c>
      <c r="E3605" s="165">
        <v>80</v>
      </c>
      <c r="F3605" s="166">
        <v>0</v>
      </c>
      <c r="G3605" s="227">
        <f>IF($B$2,IF(ROWS(B$6:$B3605) = 1,$B3605-Start_Date,$B3605-$B3604),"")</f>
        <v>1.1870138914673589E-3</v>
      </c>
      <c r="H3605" s="29">
        <f>IF($B$2,IF(ROWS(B$6:$B3605) = 1,IF(COUNTIFS(R_Schedule_Times,"&lt;"&amp;B3605),INDEX(R_Schedule_Amounts,MATCH(B3605,R_Schedule_Times,1)),Starting_Cash),IF(COUNTIFS(R_Schedule_Times,"&gt;"&amp;B3604,R_Schedule_Times,"&lt;"&amp;B3605),INDEX(R_Schedule_Amounts,MATCH(B3605,R_Schedule_Times,1)),K3604)),"")</f>
        <v>18400</v>
      </c>
      <c r="I3605" s="30">
        <f t="shared" si="280"/>
        <v>80</v>
      </c>
      <c r="J3605" s="31">
        <f t="shared" si="281"/>
        <v>0</v>
      </c>
      <c r="K3605" s="29">
        <f t="shared" si="282"/>
        <v>18320</v>
      </c>
      <c r="L3605" s="31" t="str">
        <f t="shared" si="283"/>
        <v/>
      </c>
      <c r="M3605" s="31" t="str">
        <f t="shared" si="284"/>
        <v/>
      </c>
    </row>
    <row r="3606" spans="1:13" x14ac:dyDescent="0.15">
      <c r="A3606" s="163" t="s">
        <v>210</v>
      </c>
      <c r="B3606" s="163">
        <v>42369.49977775463</v>
      </c>
      <c r="C3606" s="164" t="s">
        <v>2259</v>
      </c>
      <c r="D3606" s="164" t="s">
        <v>13</v>
      </c>
      <c r="E3606" s="165">
        <v>40</v>
      </c>
      <c r="F3606" s="166">
        <v>0</v>
      </c>
      <c r="G3606" s="227">
        <f>IF($B$2,IF(ROWS(B$6:$B3606) = 1,$B3606-Start_Date,$B3606-$B3605),"")</f>
        <v>6.6291782422922552E-3</v>
      </c>
      <c r="H3606" s="29">
        <f>IF($B$2,IF(ROWS(B$6:$B3606) = 1,IF(COUNTIFS(R_Schedule_Times,"&lt;"&amp;B3606),INDEX(R_Schedule_Amounts,MATCH(B3606,R_Schedule_Times,1)),Starting_Cash),IF(COUNTIFS(R_Schedule_Times,"&gt;"&amp;B3605,R_Schedule_Times,"&lt;"&amp;B3606),INDEX(R_Schedule_Amounts,MATCH(B3606,R_Schedule_Times,1)),K3605)),"")</f>
        <v>18320</v>
      </c>
      <c r="I3606" s="30">
        <f t="shared" si="280"/>
        <v>40</v>
      </c>
      <c r="J3606" s="31">
        <f t="shared" si="281"/>
        <v>0</v>
      </c>
      <c r="K3606" s="29">
        <f t="shared" si="282"/>
        <v>18280</v>
      </c>
      <c r="L3606" s="31" t="str">
        <f t="shared" si="283"/>
        <v/>
      </c>
      <c r="M3606" s="31" t="str">
        <f t="shared" si="284"/>
        <v/>
      </c>
    </row>
    <row r="3607" spans="1:13" x14ac:dyDescent="0.15">
      <c r="A3607" s="163" t="s">
        <v>210</v>
      </c>
      <c r="B3607" s="163">
        <v>42369.503856527779</v>
      </c>
      <c r="C3607" s="164" t="s">
        <v>2825</v>
      </c>
      <c r="D3607" s="164" t="s">
        <v>13</v>
      </c>
      <c r="E3607" s="165">
        <v>500</v>
      </c>
      <c r="F3607" s="166">
        <v>0</v>
      </c>
      <c r="G3607" s="227">
        <f>IF($B$2,IF(ROWS(B$6:$B3607) = 1,$B3607-Start_Date,$B3607-$B3606),"")</f>
        <v>4.0787731486489065E-3</v>
      </c>
      <c r="H3607" s="29">
        <f>IF($B$2,IF(ROWS(B$6:$B3607) = 1,IF(COUNTIFS(R_Schedule_Times,"&lt;"&amp;B3607),INDEX(R_Schedule_Amounts,MATCH(B3607,R_Schedule_Times,1)),Starting_Cash),IF(COUNTIFS(R_Schedule_Times,"&gt;"&amp;B3606,R_Schedule_Times,"&lt;"&amp;B3607),INDEX(R_Schedule_Amounts,MATCH(B3607,R_Schedule_Times,1)),K3606)),"")</f>
        <v>18280</v>
      </c>
      <c r="I3607" s="30">
        <f t="shared" si="280"/>
        <v>500</v>
      </c>
      <c r="J3607" s="31">
        <f t="shared" si="281"/>
        <v>0</v>
      </c>
      <c r="K3607" s="29">
        <f t="shared" si="282"/>
        <v>17780</v>
      </c>
      <c r="L3607" s="31" t="str">
        <f t="shared" si="283"/>
        <v/>
      </c>
      <c r="M3607" s="31" t="str">
        <f t="shared" si="284"/>
        <v/>
      </c>
    </row>
    <row r="3608" spans="1:13" x14ac:dyDescent="0.15">
      <c r="A3608" s="163" t="s">
        <v>210</v>
      </c>
      <c r="B3608" s="163">
        <v>42369.510690277777</v>
      </c>
      <c r="C3608" s="164" t="s">
        <v>2826</v>
      </c>
      <c r="D3608" s="164" t="s">
        <v>13</v>
      </c>
      <c r="E3608" s="165">
        <v>140</v>
      </c>
      <c r="F3608" s="166">
        <v>0</v>
      </c>
      <c r="G3608" s="227">
        <f>IF($B$2,IF(ROWS(B$6:$B3608) = 1,$B3608-Start_Date,$B3608-$B3607),"")</f>
        <v>6.833749997895211E-3</v>
      </c>
      <c r="H3608" s="29">
        <f>IF($B$2,IF(ROWS(B$6:$B3608) = 1,IF(COUNTIFS(R_Schedule_Times,"&lt;"&amp;B3608),INDEX(R_Schedule_Amounts,MATCH(B3608,R_Schedule_Times,1)),Starting_Cash),IF(COUNTIFS(R_Schedule_Times,"&gt;"&amp;B3607,R_Schedule_Times,"&lt;"&amp;B3608),INDEX(R_Schedule_Amounts,MATCH(B3608,R_Schedule_Times,1)),K3607)),"")</f>
        <v>17780</v>
      </c>
      <c r="I3608" s="30">
        <f t="shared" si="280"/>
        <v>140</v>
      </c>
      <c r="J3608" s="31">
        <f t="shared" si="281"/>
        <v>0</v>
      </c>
      <c r="K3608" s="29">
        <f t="shared" si="282"/>
        <v>17640</v>
      </c>
      <c r="L3608" s="31" t="str">
        <f t="shared" si="283"/>
        <v/>
      </c>
      <c r="M3608" s="31" t="str">
        <f t="shared" si="284"/>
        <v/>
      </c>
    </row>
    <row r="3609" spans="1:13" x14ac:dyDescent="0.15">
      <c r="A3609" s="163" t="s">
        <v>210</v>
      </c>
      <c r="B3609" s="163">
        <v>42369.525328680553</v>
      </c>
      <c r="C3609" s="164" t="s">
        <v>2827</v>
      </c>
      <c r="D3609" s="164" t="s">
        <v>13</v>
      </c>
      <c r="E3609" s="165">
        <v>40</v>
      </c>
      <c r="F3609" s="166">
        <v>0</v>
      </c>
      <c r="G3609" s="227">
        <f>IF($B$2,IF(ROWS(B$6:$B3609) = 1,$B3609-Start_Date,$B3609-$B3608),"")</f>
        <v>1.4638402775744908E-2</v>
      </c>
      <c r="H3609" s="29">
        <f>IF($B$2,IF(ROWS(B$6:$B3609) = 1,IF(COUNTIFS(R_Schedule_Times,"&lt;"&amp;B3609),INDEX(R_Schedule_Amounts,MATCH(B3609,R_Schedule_Times,1)),Starting_Cash),IF(COUNTIFS(R_Schedule_Times,"&gt;"&amp;B3608,R_Schedule_Times,"&lt;"&amp;B3609),INDEX(R_Schedule_Amounts,MATCH(B3609,R_Schedule_Times,1)),K3608)),"")</f>
        <v>17640</v>
      </c>
      <c r="I3609" s="30">
        <f t="shared" si="280"/>
        <v>40</v>
      </c>
      <c r="J3609" s="31">
        <f t="shared" si="281"/>
        <v>0</v>
      </c>
      <c r="K3609" s="29">
        <f t="shared" si="282"/>
        <v>17600</v>
      </c>
      <c r="L3609" s="31" t="str">
        <f t="shared" si="283"/>
        <v/>
      </c>
      <c r="M3609" s="31" t="str">
        <f t="shared" si="284"/>
        <v/>
      </c>
    </row>
    <row r="3610" spans="1:13" x14ac:dyDescent="0.15">
      <c r="A3610" s="163" t="s">
        <v>210</v>
      </c>
      <c r="B3610" s="163">
        <v>42369.527499710646</v>
      </c>
      <c r="C3610" s="164" t="s">
        <v>2828</v>
      </c>
      <c r="D3610" s="164" t="s">
        <v>13</v>
      </c>
      <c r="E3610" s="165">
        <v>100</v>
      </c>
      <c r="F3610" s="166">
        <v>0</v>
      </c>
      <c r="G3610" s="227">
        <f>IF($B$2,IF(ROWS(B$6:$B3610) = 1,$B3610-Start_Date,$B3610-$B3609),"")</f>
        <v>2.1710300934500992E-3</v>
      </c>
      <c r="H3610" s="29">
        <f>IF($B$2,IF(ROWS(B$6:$B3610) = 1,IF(COUNTIFS(R_Schedule_Times,"&lt;"&amp;B3610),INDEX(R_Schedule_Amounts,MATCH(B3610,R_Schedule_Times,1)),Starting_Cash),IF(COUNTIFS(R_Schedule_Times,"&gt;"&amp;B3609,R_Schedule_Times,"&lt;"&amp;B3610),INDEX(R_Schedule_Amounts,MATCH(B3610,R_Schedule_Times,1)),K3609)),"")</f>
        <v>17600</v>
      </c>
      <c r="I3610" s="30">
        <f t="shared" si="280"/>
        <v>100</v>
      </c>
      <c r="J3610" s="31">
        <f t="shared" si="281"/>
        <v>0</v>
      </c>
      <c r="K3610" s="29">
        <f t="shared" si="282"/>
        <v>17500</v>
      </c>
      <c r="L3610" s="31" t="str">
        <f t="shared" si="283"/>
        <v/>
      </c>
      <c r="M3610" s="31" t="str">
        <f t="shared" si="284"/>
        <v/>
      </c>
    </row>
    <row r="3611" spans="1:13" x14ac:dyDescent="0.15">
      <c r="A3611" s="163" t="s">
        <v>210</v>
      </c>
      <c r="B3611" s="163">
        <v>42369.533944212963</v>
      </c>
      <c r="C3611" s="164" t="s">
        <v>2829</v>
      </c>
      <c r="D3611" s="164" t="s">
        <v>13</v>
      </c>
      <c r="E3611" s="165">
        <v>40</v>
      </c>
      <c r="F3611" s="166">
        <v>0</v>
      </c>
      <c r="G3611" s="227">
        <f>IF($B$2,IF(ROWS(B$6:$B3611) = 1,$B3611-Start_Date,$B3611-$B3610),"")</f>
        <v>6.4445023162988946E-3</v>
      </c>
      <c r="H3611" s="29">
        <f>IF($B$2,IF(ROWS(B$6:$B3611) = 1,IF(COUNTIFS(R_Schedule_Times,"&lt;"&amp;B3611),INDEX(R_Schedule_Amounts,MATCH(B3611,R_Schedule_Times,1)),Starting_Cash),IF(COUNTIFS(R_Schedule_Times,"&gt;"&amp;B3610,R_Schedule_Times,"&lt;"&amp;B3611),INDEX(R_Schedule_Amounts,MATCH(B3611,R_Schedule_Times,1)),K3610)),"")</f>
        <v>17500</v>
      </c>
      <c r="I3611" s="30">
        <f t="shared" si="280"/>
        <v>40</v>
      </c>
      <c r="J3611" s="31">
        <f t="shared" si="281"/>
        <v>0</v>
      </c>
      <c r="K3611" s="29">
        <f t="shared" si="282"/>
        <v>17460</v>
      </c>
      <c r="L3611" s="31" t="str">
        <f t="shared" si="283"/>
        <v/>
      </c>
      <c r="M3611" s="31" t="str">
        <f t="shared" si="284"/>
        <v/>
      </c>
    </row>
    <row r="3612" spans="1:13" x14ac:dyDescent="0.15">
      <c r="A3612" s="163" t="s">
        <v>210</v>
      </c>
      <c r="B3612" s="163">
        <v>42369.537945405093</v>
      </c>
      <c r="C3612" s="164" t="s">
        <v>1814</v>
      </c>
      <c r="D3612" s="164" t="s">
        <v>13</v>
      </c>
      <c r="E3612" s="165">
        <v>100</v>
      </c>
      <c r="F3612" s="166">
        <v>0</v>
      </c>
      <c r="G3612" s="227">
        <f>IF($B$2,IF(ROWS(B$6:$B3612) = 1,$B3612-Start_Date,$B3612-$B3611),"")</f>
        <v>4.0011921300902031E-3</v>
      </c>
      <c r="H3612" s="29">
        <f>IF($B$2,IF(ROWS(B$6:$B3612) = 1,IF(COUNTIFS(R_Schedule_Times,"&lt;"&amp;B3612),INDEX(R_Schedule_Amounts,MATCH(B3612,R_Schedule_Times,1)),Starting_Cash),IF(COUNTIFS(R_Schedule_Times,"&gt;"&amp;B3611,R_Schedule_Times,"&lt;"&amp;B3612),INDEX(R_Schedule_Amounts,MATCH(B3612,R_Schedule_Times,1)),K3611)),"")</f>
        <v>17460</v>
      </c>
      <c r="I3612" s="30">
        <f t="shared" si="280"/>
        <v>100</v>
      </c>
      <c r="J3612" s="31">
        <f t="shared" si="281"/>
        <v>0</v>
      </c>
      <c r="K3612" s="29">
        <f t="shared" si="282"/>
        <v>17360</v>
      </c>
      <c r="L3612" s="31" t="str">
        <f t="shared" si="283"/>
        <v/>
      </c>
      <c r="M3612" s="31" t="str">
        <f t="shared" si="284"/>
        <v/>
      </c>
    </row>
    <row r="3613" spans="1:13" x14ac:dyDescent="0.15">
      <c r="A3613" s="163" t="s">
        <v>210</v>
      </c>
      <c r="B3613" s="163">
        <v>42369.542980520833</v>
      </c>
      <c r="C3613" s="164" t="s">
        <v>890</v>
      </c>
      <c r="D3613" s="164" t="s">
        <v>13</v>
      </c>
      <c r="E3613" s="165">
        <v>60</v>
      </c>
      <c r="F3613" s="166">
        <v>0</v>
      </c>
      <c r="G3613" s="227">
        <f>IF($B$2,IF(ROWS(B$6:$B3613) = 1,$B3613-Start_Date,$B3613-$B3612),"")</f>
        <v>5.0351157406112179E-3</v>
      </c>
      <c r="H3613" s="29">
        <f>IF($B$2,IF(ROWS(B$6:$B3613) = 1,IF(COUNTIFS(R_Schedule_Times,"&lt;"&amp;B3613),INDEX(R_Schedule_Amounts,MATCH(B3613,R_Schedule_Times,1)),Starting_Cash),IF(COUNTIFS(R_Schedule_Times,"&gt;"&amp;B3612,R_Schedule_Times,"&lt;"&amp;B3613),INDEX(R_Schedule_Amounts,MATCH(B3613,R_Schedule_Times,1)),K3612)),"")</f>
        <v>17360</v>
      </c>
      <c r="I3613" s="30">
        <f t="shared" si="280"/>
        <v>60</v>
      </c>
      <c r="J3613" s="31">
        <f t="shared" si="281"/>
        <v>0</v>
      </c>
      <c r="K3613" s="29">
        <f t="shared" si="282"/>
        <v>17300</v>
      </c>
      <c r="L3613" s="31" t="str">
        <f t="shared" si="283"/>
        <v/>
      </c>
      <c r="M3613" s="31" t="str">
        <f t="shared" si="284"/>
        <v/>
      </c>
    </row>
    <row r="3614" spans="1:13" x14ac:dyDescent="0.15">
      <c r="A3614" s="163" t="s">
        <v>210</v>
      </c>
      <c r="B3614" s="163">
        <v>42369.545127129626</v>
      </c>
      <c r="C3614" s="164" t="s">
        <v>2830</v>
      </c>
      <c r="D3614" s="164" t="s">
        <v>13</v>
      </c>
      <c r="E3614" s="165">
        <v>100</v>
      </c>
      <c r="F3614" s="166">
        <v>0</v>
      </c>
      <c r="G3614" s="227">
        <f>IF($B$2,IF(ROWS(B$6:$B3614) = 1,$B3614-Start_Date,$B3614-$B3613),"")</f>
        <v>2.1466087928274646E-3</v>
      </c>
      <c r="H3614" s="29">
        <f>IF($B$2,IF(ROWS(B$6:$B3614) = 1,IF(COUNTIFS(R_Schedule_Times,"&lt;"&amp;B3614),INDEX(R_Schedule_Amounts,MATCH(B3614,R_Schedule_Times,1)),Starting_Cash),IF(COUNTIFS(R_Schedule_Times,"&gt;"&amp;B3613,R_Schedule_Times,"&lt;"&amp;B3614),INDEX(R_Schedule_Amounts,MATCH(B3614,R_Schedule_Times,1)),K3613)),"")</f>
        <v>17300</v>
      </c>
      <c r="I3614" s="30">
        <f t="shared" si="280"/>
        <v>100</v>
      </c>
      <c r="J3614" s="31">
        <f t="shared" si="281"/>
        <v>0</v>
      </c>
      <c r="K3614" s="29">
        <f t="shared" si="282"/>
        <v>17200</v>
      </c>
      <c r="L3614" s="31" t="str">
        <f t="shared" si="283"/>
        <v/>
      </c>
      <c r="M3614" s="31" t="str">
        <f t="shared" si="284"/>
        <v/>
      </c>
    </row>
    <row r="3615" spans="1:13" x14ac:dyDescent="0.15">
      <c r="A3615" s="163" t="s">
        <v>210</v>
      </c>
      <c r="B3615" s="163">
        <v>42369.547544456022</v>
      </c>
      <c r="C3615" s="164" t="s">
        <v>14</v>
      </c>
      <c r="D3615" s="164" t="s">
        <v>13</v>
      </c>
      <c r="E3615" s="165">
        <v>60</v>
      </c>
      <c r="F3615" s="166">
        <v>3.5</v>
      </c>
      <c r="G3615" s="227">
        <f>IF($B$2,IF(ROWS(B$6:$B3615) = 1,$B3615-Start_Date,$B3615-$B3614),"")</f>
        <v>2.4173263955162838E-3</v>
      </c>
      <c r="H3615" s="29">
        <f>IF($B$2,IF(ROWS(B$6:$B3615) = 1,IF(COUNTIFS(R_Schedule_Times,"&lt;"&amp;B3615),INDEX(R_Schedule_Amounts,MATCH(B3615,R_Schedule_Times,1)),Starting_Cash),IF(COUNTIFS(R_Schedule_Times,"&gt;"&amp;B3614,R_Schedule_Times,"&lt;"&amp;B3615),INDEX(R_Schedule_Amounts,MATCH(B3615,R_Schedule_Times,1)),K3614)),"")</f>
        <v>17200</v>
      </c>
      <c r="I3615" s="30">
        <f t="shared" si="280"/>
        <v>60</v>
      </c>
      <c r="J3615" s="31">
        <f t="shared" si="281"/>
        <v>3.5</v>
      </c>
      <c r="K3615" s="29">
        <f t="shared" si="282"/>
        <v>17140</v>
      </c>
      <c r="L3615" s="31" t="str">
        <f t="shared" si="283"/>
        <v/>
      </c>
      <c r="M3615" s="31" t="str">
        <f t="shared" si="284"/>
        <v/>
      </c>
    </row>
    <row r="3616" spans="1:13" x14ac:dyDescent="0.15">
      <c r="A3616" s="163" t="s">
        <v>210</v>
      </c>
      <c r="B3616" s="163">
        <v>42369.555554386578</v>
      </c>
      <c r="C3616" s="164" t="s">
        <v>2831</v>
      </c>
      <c r="D3616" s="164" t="s">
        <v>15</v>
      </c>
      <c r="E3616" s="165">
        <v>40</v>
      </c>
      <c r="F3616" s="166">
        <v>1.2</v>
      </c>
      <c r="G3616" s="227">
        <f>IF($B$2,IF(ROWS(B$6:$B3616) = 1,$B3616-Start_Date,$B3616-$B3615),"")</f>
        <v>8.0099305559997447E-3</v>
      </c>
      <c r="H3616" s="29">
        <f>IF($B$2,IF(ROWS(B$6:$B3616) = 1,IF(COUNTIFS(R_Schedule_Times,"&lt;"&amp;B3616),INDEX(R_Schedule_Amounts,MATCH(B3616,R_Schedule_Times,1)),Starting_Cash),IF(COUNTIFS(R_Schedule_Times,"&gt;"&amp;B3615,R_Schedule_Times,"&lt;"&amp;B3616),INDEX(R_Schedule_Amounts,MATCH(B3616,R_Schedule_Times,1)),K3615)),"")</f>
        <v>17140</v>
      </c>
      <c r="I3616" s="30">
        <f t="shared" si="280"/>
        <v>40</v>
      </c>
      <c r="J3616" s="31">
        <f t="shared" si="281"/>
        <v>1.2</v>
      </c>
      <c r="K3616" s="29">
        <f t="shared" si="282"/>
        <v>17100</v>
      </c>
      <c r="L3616" s="31" t="str">
        <f t="shared" si="283"/>
        <v/>
      </c>
      <c r="M3616" s="31" t="str">
        <f t="shared" si="284"/>
        <v/>
      </c>
    </row>
    <row r="3617" spans="1:13" x14ac:dyDescent="0.15">
      <c r="A3617" s="163" t="s">
        <v>210</v>
      </c>
      <c r="B3617" s="163">
        <v>42369.559233703701</v>
      </c>
      <c r="C3617" s="164" t="s">
        <v>100</v>
      </c>
      <c r="D3617" s="164" t="s">
        <v>13</v>
      </c>
      <c r="E3617" s="165">
        <v>60</v>
      </c>
      <c r="F3617" s="166">
        <v>0</v>
      </c>
      <c r="G3617" s="227">
        <f>IF($B$2,IF(ROWS(B$6:$B3617) = 1,$B3617-Start_Date,$B3617-$B3616),"")</f>
        <v>3.679317123896908E-3</v>
      </c>
      <c r="H3617" s="29">
        <f>IF($B$2,IF(ROWS(B$6:$B3617) = 1,IF(COUNTIFS(R_Schedule_Times,"&lt;"&amp;B3617),INDEX(R_Schedule_Amounts,MATCH(B3617,R_Schedule_Times,1)),Starting_Cash),IF(COUNTIFS(R_Schedule_Times,"&gt;"&amp;B3616,R_Schedule_Times,"&lt;"&amp;B3617),INDEX(R_Schedule_Amounts,MATCH(B3617,R_Schedule_Times,1)),K3616)),"")</f>
        <v>17100</v>
      </c>
      <c r="I3617" s="30">
        <f t="shared" si="280"/>
        <v>60</v>
      </c>
      <c r="J3617" s="31">
        <f t="shared" si="281"/>
        <v>0</v>
      </c>
      <c r="K3617" s="29">
        <f t="shared" si="282"/>
        <v>17040</v>
      </c>
      <c r="L3617" s="31" t="str">
        <f t="shared" si="283"/>
        <v/>
      </c>
      <c r="M3617" s="31" t="str">
        <f t="shared" si="284"/>
        <v/>
      </c>
    </row>
    <row r="3618" spans="1:13" x14ac:dyDescent="0.15">
      <c r="A3618" s="163" t="s">
        <v>210</v>
      </c>
      <c r="B3618" s="163">
        <v>42369.602863703702</v>
      </c>
      <c r="C3618" s="164" t="s">
        <v>2832</v>
      </c>
      <c r="D3618" s="164" t="s">
        <v>13</v>
      </c>
      <c r="E3618" s="165">
        <v>140</v>
      </c>
      <c r="F3618" s="166">
        <v>0</v>
      </c>
      <c r="G3618" s="227">
        <f>IF($B$2,IF(ROWS(B$6:$B3618) = 1,$B3618-Start_Date,$B3618-$B3617),"")</f>
        <v>4.3630000000121072E-2</v>
      </c>
      <c r="H3618" s="29">
        <f>IF($B$2,IF(ROWS(B$6:$B3618) = 1,IF(COUNTIFS(R_Schedule_Times,"&lt;"&amp;B3618),INDEX(R_Schedule_Amounts,MATCH(B3618,R_Schedule_Times,1)),Starting_Cash),IF(COUNTIFS(R_Schedule_Times,"&gt;"&amp;B3617,R_Schedule_Times,"&lt;"&amp;B3618),INDEX(R_Schedule_Amounts,MATCH(B3618,R_Schedule_Times,1)),K3617)),"")</f>
        <v>17040</v>
      </c>
      <c r="I3618" s="30">
        <f t="shared" si="280"/>
        <v>140</v>
      </c>
      <c r="J3618" s="31">
        <f t="shared" si="281"/>
        <v>0</v>
      </c>
      <c r="K3618" s="29">
        <f t="shared" si="282"/>
        <v>16900</v>
      </c>
      <c r="L3618" s="31" t="str">
        <f t="shared" si="283"/>
        <v/>
      </c>
      <c r="M3618" s="31" t="str">
        <f t="shared" si="284"/>
        <v/>
      </c>
    </row>
    <row r="3619" spans="1:13" x14ac:dyDescent="0.15">
      <c r="A3619" s="163" t="s">
        <v>210</v>
      </c>
      <c r="B3619" s="163">
        <v>42369.603540763892</v>
      </c>
      <c r="C3619" s="164" t="s">
        <v>2833</v>
      </c>
      <c r="D3619" s="164" t="s">
        <v>13</v>
      </c>
      <c r="E3619" s="165">
        <v>100</v>
      </c>
      <c r="F3619" s="166">
        <v>0</v>
      </c>
      <c r="G3619" s="227">
        <f>IF($B$2,IF(ROWS(B$6:$B3619) = 1,$B3619-Start_Date,$B3619-$B3618),"")</f>
        <v>6.7706019035540521E-4</v>
      </c>
      <c r="H3619" s="29">
        <f>IF($B$2,IF(ROWS(B$6:$B3619) = 1,IF(COUNTIFS(R_Schedule_Times,"&lt;"&amp;B3619),INDEX(R_Schedule_Amounts,MATCH(B3619,R_Schedule_Times,1)),Starting_Cash),IF(COUNTIFS(R_Schedule_Times,"&gt;"&amp;B3618,R_Schedule_Times,"&lt;"&amp;B3619),INDEX(R_Schedule_Amounts,MATCH(B3619,R_Schedule_Times,1)),K3618)),"")</f>
        <v>16900</v>
      </c>
      <c r="I3619" s="30">
        <f t="shared" si="280"/>
        <v>100</v>
      </c>
      <c r="J3619" s="31">
        <f t="shared" si="281"/>
        <v>0</v>
      </c>
      <c r="K3619" s="29">
        <f t="shared" si="282"/>
        <v>16800</v>
      </c>
      <c r="L3619" s="31" t="str">
        <f t="shared" si="283"/>
        <v/>
      </c>
      <c r="M3619" s="31" t="str">
        <f t="shared" si="284"/>
        <v/>
      </c>
    </row>
    <row r="3620" spans="1:13" x14ac:dyDescent="0.15">
      <c r="A3620" s="163" t="s">
        <v>210</v>
      </c>
      <c r="B3620" s="163">
        <v>42369.611065381941</v>
      </c>
      <c r="C3620" s="164" t="s">
        <v>2834</v>
      </c>
      <c r="D3620" s="164" t="s">
        <v>13</v>
      </c>
      <c r="E3620" s="165">
        <v>60</v>
      </c>
      <c r="F3620" s="166">
        <v>0</v>
      </c>
      <c r="G3620" s="227">
        <f>IF($B$2,IF(ROWS(B$6:$B3620) = 1,$B3620-Start_Date,$B3620-$B3619),"")</f>
        <v>7.5246180495014414E-3</v>
      </c>
      <c r="H3620" s="29">
        <f>IF($B$2,IF(ROWS(B$6:$B3620) = 1,IF(COUNTIFS(R_Schedule_Times,"&lt;"&amp;B3620),INDEX(R_Schedule_Amounts,MATCH(B3620,R_Schedule_Times,1)),Starting_Cash),IF(COUNTIFS(R_Schedule_Times,"&gt;"&amp;B3619,R_Schedule_Times,"&lt;"&amp;B3620),INDEX(R_Schedule_Amounts,MATCH(B3620,R_Schedule_Times,1)),K3619)),"")</f>
        <v>16800</v>
      </c>
      <c r="I3620" s="30">
        <f t="shared" si="280"/>
        <v>60</v>
      </c>
      <c r="J3620" s="31">
        <f t="shared" si="281"/>
        <v>0</v>
      </c>
      <c r="K3620" s="29">
        <f t="shared" si="282"/>
        <v>16740</v>
      </c>
      <c r="L3620" s="31" t="str">
        <f t="shared" si="283"/>
        <v/>
      </c>
      <c r="M3620" s="31" t="str">
        <f t="shared" si="284"/>
        <v/>
      </c>
    </row>
    <row r="3621" spans="1:13" x14ac:dyDescent="0.15">
      <c r="A3621" s="163" t="s">
        <v>210</v>
      </c>
      <c r="B3621" s="163">
        <v>42369.6136978125</v>
      </c>
      <c r="C3621" s="164" t="s">
        <v>2299</v>
      </c>
      <c r="D3621" s="164" t="s">
        <v>13</v>
      </c>
      <c r="E3621" s="165">
        <v>60</v>
      </c>
      <c r="F3621" s="166">
        <v>0</v>
      </c>
      <c r="G3621" s="227">
        <f>IF($B$2,IF(ROWS(B$6:$B3621) = 1,$B3621-Start_Date,$B3621-$B3620),"")</f>
        <v>2.6324305581510998E-3</v>
      </c>
      <c r="H3621" s="29">
        <f>IF($B$2,IF(ROWS(B$6:$B3621) = 1,IF(COUNTIFS(R_Schedule_Times,"&lt;"&amp;B3621),INDEX(R_Schedule_Amounts,MATCH(B3621,R_Schedule_Times,1)),Starting_Cash),IF(COUNTIFS(R_Schedule_Times,"&gt;"&amp;B3620,R_Schedule_Times,"&lt;"&amp;B3621),INDEX(R_Schedule_Amounts,MATCH(B3621,R_Schedule_Times,1)),K3620)),"")</f>
        <v>16740</v>
      </c>
      <c r="I3621" s="30">
        <f t="shared" si="280"/>
        <v>60</v>
      </c>
      <c r="J3621" s="31">
        <f t="shared" si="281"/>
        <v>0</v>
      </c>
      <c r="K3621" s="29">
        <f t="shared" si="282"/>
        <v>16680</v>
      </c>
      <c r="L3621" s="31" t="str">
        <f t="shared" si="283"/>
        <v/>
      </c>
      <c r="M3621" s="31" t="str">
        <f t="shared" si="284"/>
        <v/>
      </c>
    </row>
    <row r="3622" spans="1:13" x14ac:dyDescent="0.15">
      <c r="A3622" s="163" t="s">
        <v>210</v>
      </c>
      <c r="B3622" s="163">
        <v>42369.614496886577</v>
      </c>
      <c r="C3622" s="164" t="s">
        <v>14</v>
      </c>
      <c r="D3622" s="164" t="s">
        <v>13</v>
      </c>
      <c r="E3622" s="165">
        <v>200</v>
      </c>
      <c r="F3622" s="166">
        <v>3.5</v>
      </c>
      <c r="G3622" s="227">
        <f>IF($B$2,IF(ROWS(B$6:$B3622) = 1,$B3622-Start_Date,$B3622-$B3621),"")</f>
        <v>7.9907407780410722E-4</v>
      </c>
      <c r="H3622" s="29">
        <f>IF($B$2,IF(ROWS(B$6:$B3622) = 1,IF(COUNTIFS(R_Schedule_Times,"&lt;"&amp;B3622),INDEX(R_Schedule_Amounts,MATCH(B3622,R_Schedule_Times,1)),Starting_Cash),IF(COUNTIFS(R_Schedule_Times,"&gt;"&amp;B3621,R_Schedule_Times,"&lt;"&amp;B3622),INDEX(R_Schedule_Amounts,MATCH(B3622,R_Schedule_Times,1)),K3621)),"")</f>
        <v>16680</v>
      </c>
      <c r="I3622" s="30">
        <f t="shared" si="280"/>
        <v>200</v>
      </c>
      <c r="J3622" s="31">
        <f t="shared" si="281"/>
        <v>3.5</v>
      </c>
      <c r="K3622" s="29">
        <f t="shared" si="282"/>
        <v>16480</v>
      </c>
      <c r="L3622" s="31" t="str">
        <f t="shared" si="283"/>
        <v/>
      </c>
      <c r="M3622" s="31" t="str">
        <f t="shared" si="284"/>
        <v/>
      </c>
    </row>
    <row r="3623" spans="1:13" x14ac:dyDescent="0.15">
      <c r="A3623" s="163" t="s">
        <v>210</v>
      </c>
      <c r="B3623" s="163">
        <v>42369.628772442127</v>
      </c>
      <c r="C3623" s="164" t="s">
        <v>2835</v>
      </c>
      <c r="D3623" s="164" t="s">
        <v>13</v>
      </c>
      <c r="E3623" s="165">
        <v>100</v>
      </c>
      <c r="F3623" s="166">
        <v>0</v>
      </c>
      <c r="G3623" s="227">
        <f>IF($B$2,IF(ROWS(B$6:$B3623) = 1,$B3623-Start_Date,$B3623-$B3622),"")</f>
        <v>1.4275555549829733E-2</v>
      </c>
      <c r="H3623" s="29">
        <f>IF($B$2,IF(ROWS(B$6:$B3623) = 1,IF(COUNTIFS(R_Schedule_Times,"&lt;"&amp;B3623),INDEX(R_Schedule_Amounts,MATCH(B3623,R_Schedule_Times,1)),Starting_Cash),IF(COUNTIFS(R_Schedule_Times,"&gt;"&amp;B3622,R_Schedule_Times,"&lt;"&amp;B3623),INDEX(R_Schedule_Amounts,MATCH(B3623,R_Schedule_Times,1)),K3622)),"")</f>
        <v>16480</v>
      </c>
      <c r="I3623" s="30">
        <f t="shared" si="280"/>
        <v>100</v>
      </c>
      <c r="J3623" s="31">
        <f t="shared" si="281"/>
        <v>0</v>
      </c>
      <c r="K3623" s="29">
        <f t="shared" si="282"/>
        <v>16380</v>
      </c>
      <c r="L3623" s="31" t="str">
        <f t="shared" si="283"/>
        <v/>
      </c>
      <c r="M3623" s="31" t="str">
        <f t="shared" si="284"/>
        <v/>
      </c>
    </row>
    <row r="3624" spans="1:13" x14ac:dyDescent="0.15">
      <c r="A3624" s="163" t="s">
        <v>210</v>
      </c>
      <c r="B3624" s="163">
        <v>42369.637469884263</v>
      </c>
      <c r="C3624" s="164" t="s">
        <v>2836</v>
      </c>
      <c r="D3624" s="164" t="s">
        <v>13</v>
      </c>
      <c r="E3624" s="165">
        <v>40</v>
      </c>
      <c r="F3624" s="166">
        <v>0</v>
      </c>
      <c r="G3624" s="227">
        <f>IF($B$2,IF(ROWS(B$6:$B3624) = 1,$B3624-Start_Date,$B3624-$B3623),"")</f>
        <v>8.6974421355989762E-3</v>
      </c>
      <c r="H3624" s="29">
        <f>IF($B$2,IF(ROWS(B$6:$B3624) = 1,IF(COUNTIFS(R_Schedule_Times,"&lt;"&amp;B3624),INDEX(R_Schedule_Amounts,MATCH(B3624,R_Schedule_Times,1)),Starting_Cash),IF(COUNTIFS(R_Schedule_Times,"&gt;"&amp;B3623,R_Schedule_Times,"&lt;"&amp;B3624),INDEX(R_Schedule_Amounts,MATCH(B3624,R_Schedule_Times,1)),K3623)),"")</f>
        <v>16380</v>
      </c>
      <c r="I3624" s="30">
        <f t="shared" si="280"/>
        <v>40</v>
      </c>
      <c r="J3624" s="31">
        <f t="shared" si="281"/>
        <v>0</v>
      </c>
      <c r="K3624" s="29">
        <f t="shared" si="282"/>
        <v>16340</v>
      </c>
      <c r="L3624" s="31" t="str">
        <f t="shared" si="283"/>
        <v/>
      </c>
      <c r="M3624" s="31" t="str">
        <f t="shared" si="284"/>
        <v/>
      </c>
    </row>
    <row r="3625" spans="1:13" x14ac:dyDescent="0.15">
      <c r="A3625" s="163" t="s">
        <v>210</v>
      </c>
      <c r="B3625" s="163">
        <v>42369.639674768521</v>
      </c>
      <c r="C3625" s="164" t="s">
        <v>2837</v>
      </c>
      <c r="D3625" s="164" t="s">
        <v>13</v>
      </c>
      <c r="E3625" s="165">
        <v>40</v>
      </c>
      <c r="F3625" s="166">
        <v>0</v>
      </c>
      <c r="G3625" s="227">
        <f>IF($B$2,IF(ROWS(B$6:$B3625) = 1,$B3625-Start_Date,$B3625-$B3624),"")</f>
        <v>2.2048842583899386E-3</v>
      </c>
      <c r="H3625" s="29">
        <f>IF($B$2,IF(ROWS(B$6:$B3625) = 1,IF(COUNTIFS(R_Schedule_Times,"&lt;"&amp;B3625),INDEX(R_Schedule_Amounts,MATCH(B3625,R_Schedule_Times,1)),Starting_Cash),IF(COUNTIFS(R_Schedule_Times,"&gt;"&amp;B3624,R_Schedule_Times,"&lt;"&amp;B3625),INDEX(R_Schedule_Amounts,MATCH(B3625,R_Schedule_Times,1)),K3624)),"")</f>
        <v>16340</v>
      </c>
      <c r="I3625" s="30">
        <f t="shared" si="280"/>
        <v>40</v>
      </c>
      <c r="J3625" s="31">
        <f t="shared" si="281"/>
        <v>0</v>
      </c>
      <c r="K3625" s="29">
        <f t="shared" si="282"/>
        <v>16300</v>
      </c>
      <c r="L3625" s="31" t="str">
        <f t="shared" si="283"/>
        <v/>
      </c>
      <c r="M3625" s="31" t="str">
        <f t="shared" si="284"/>
        <v/>
      </c>
    </row>
    <row r="3626" spans="1:13" x14ac:dyDescent="0.15">
      <c r="A3626" s="163" t="s">
        <v>210</v>
      </c>
      <c r="B3626" s="163">
        <v>42369.642089317131</v>
      </c>
      <c r="C3626" s="164" t="s">
        <v>2838</v>
      </c>
      <c r="D3626" s="164" t="s">
        <v>13</v>
      </c>
      <c r="E3626" s="165">
        <v>20</v>
      </c>
      <c r="F3626" s="166">
        <v>0</v>
      </c>
      <c r="G3626" s="227">
        <f>IF($B$2,IF(ROWS(B$6:$B3626) = 1,$B3626-Start_Date,$B3626-$B3625),"")</f>
        <v>2.4145486095221713E-3</v>
      </c>
      <c r="H3626" s="29">
        <f>IF($B$2,IF(ROWS(B$6:$B3626) = 1,IF(COUNTIFS(R_Schedule_Times,"&lt;"&amp;B3626),INDEX(R_Schedule_Amounts,MATCH(B3626,R_Schedule_Times,1)),Starting_Cash),IF(COUNTIFS(R_Schedule_Times,"&gt;"&amp;B3625,R_Schedule_Times,"&lt;"&amp;B3626),INDEX(R_Schedule_Amounts,MATCH(B3626,R_Schedule_Times,1)),K3625)),"")</f>
        <v>16300</v>
      </c>
      <c r="I3626" s="30">
        <f t="shared" si="280"/>
        <v>20</v>
      </c>
      <c r="J3626" s="31">
        <f t="shared" si="281"/>
        <v>0</v>
      </c>
      <c r="K3626" s="29">
        <f t="shared" si="282"/>
        <v>16280</v>
      </c>
      <c r="L3626" s="31" t="str">
        <f t="shared" si="283"/>
        <v/>
      </c>
      <c r="M3626" s="31" t="str">
        <f t="shared" si="284"/>
        <v/>
      </c>
    </row>
    <row r="3627" spans="1:13" x14ac:dyDescent="0.15">
      <c r="A3627" s="163" t="s">
        <v>210</v>
      </c>
      <c r="B3627" s="163">
        <v>42369.657490300924</v>
      </c>
      <c r="C3627" s="164" t="s">
        <v>2839</v>
      </c>
      <c r="D3627" s="164" t="s">
        <v>13</v>
      </c>
      <c r="E3627" s="165">
        <v>500</v>
      </c>
      <c r="F3627" s="166">
        <v>0</v>
      </c>
      <c r="G3627" s="227">
        <f>IF($B$2,IF(ROWS(B$6:$B3627) = 1,$B3627-Start_Date,$B3627-$B3626),"")</f>
        <v>1.540098379336996E-2</v>
      </c>
      <c r="H3627" s="29">
        <f>IF($B$2,IF(ROWS(B$6:$B3627) = 1,IF(COUNTIFS(R_Schedule_Times,"&lt;"&amp;B3627),INDEX(R_Schedule_Amounts,MATCH(B3627,R_Schedule_Times,1)),Starting_Cash),IF(COUNTIFS(R_Schedule_Times,"&gt;"&amp;B3626,R_Schedule_Times,"&lt;"&amp;B3627),INDEX(R_Schedule_Amounts,MATCH(B3627,R_Schedule_Times,1)),K3626)),"")</f>
        <v>16280</v>
      </c>
      <c r="I3627" s="30">
        <f t="shared" si="280"/>
        <v>500</v>
      </c>
      <c r="J3627" s="31">
        <f t="shared" si="281"/>
        <v>0</v>
      </c>
      <c r="K3627" s="29">
        <f t="shared" si="282"/>
        <v>15780</v>
      </c>
      <c r="L3627" s="31" t="str">
        <f t="shared" si="283"/>
        <v/>
      </c>
      <c r="M3627" s="31" t="str">
        <f t="shared" si="284"/>
        <v/>
      </c>
    </row>
    <row r="3628" spans="1:13" x14ac:dyDescent="0.15">
      <c r="A3628" s="163" t="s">
        <v>210</v>
      </c>
      <c r="B3628" s="163">
        <v>42369.684247418983</v>
      </c>
      <c r="C3628" s="164" t="s">
        <v>128</v>
      </c>
      <c r="D3628" s="164" t="s">
        <v>13</v>
      </c>
      <c r="E3628" s="165">
        <v>40</v>
      </c>
      <c r="F3628" s="166">
        <v>0</v>
      </c>
      <c r="G3628" s="227">
        <f>IF($B$2,IF(ROWS(B$6:$B3628) = 1,$B3628-Start_Date,$B3628-$B3627),"")</f>
        <v>2.6757118059322238E-2</v>
      </c>
      <c r="H3628" s="29">
        <f>IF($B$2,IF(ROWS(B$6:$B3628) = 1,IF(COUNTIFS(R_Schedule_Times,"&lt;"&amp;B3628),INDEX(R_Schedule_Amounts,MATCH(B3628,R_Schedule_Times,1)),Starting_Cash),IF(COUNTIFS(R_Schedule_Times,"&gt;"&amp;B3627,R_Schedule_Times,"&lt;"&amp;B3628),INDEX(R_Schedule_Amounts,MATCH(B3628,R_Schedule_Times,1)),K3627)),"")</f>
        <v>15780</v>
      </c>
      <c r="I3628" s="30">
        <f t="shared" si="280"/>
        <v>40</v>
      </c>
      <c r="J3628" s="31">
        <f t="shared" si="281"/>
        <v>0</v>
      </c>
      <c r="K3628" s="29">
        <f t="shared" si="282"/>
        <v>15740</v>
      </c>
      <c r="L3628" s="31" t="str">
        <f t="shared" si="283"/>
        <v/>
      </c>
      <c r="M3628" s="31" t="str">
        <f t="shared" si="284"/>
        <v/>
      </c>
    </row>
    <row r="3629" spans="1:13" x14ac:dyDescent="0.15">
      <c r="A3629" s="163" t="s">
        <v>210</v>
      </c>
      <c r="B3629" s="163">
        <v>42369.714279953703</v>
      </c>
      <c r="C3629" s="164" t="s">
        <v>2840</v>
      </c>
      <c r="D3629" s="164" t="s">
        <v>13</v>
      </c>
      <c r="E3629" s="165">
        <v>100</v>
      </c>
      <c r="F3629" s="166">
        <v>0</v>
      </c>
      <c r="G3629" s="227">
        <f>IF($B$2,IF(ROWS(B$6:$B3629) = 1,$B3629-Start_Date,$B3629-$B3628),"")</f>
        <v>3.0032534719794057E-2</v>
      </c>
      <c r="H3629" s="29">
        <f>IF($B$2,IF(ROWS(B$6:$B3629) = 1,IF(COUNTIFS(R_Schedule_Times,"&lt;"&amp;B3629),INDEX(R_Schedule_Amounts,MATCH(B3629,R_Schedule_Times,1)),Starting_Cash),IF(COUNTIFS(R_Schedule_Times,"&gt;"&amp;B3628,R_Schedule_Times,"&lt;"&amp;B3629),INDEX(R_Schedule_Amounts,MATCH(B3629,R_Schedule_Times,1)),K3628)),"")</f>
        <v>15740</v>
      </c>
      <c r="I3629" s="30">
        <f t="shared" si="280"/>
        <v>100</v>
      </c>
      <c r="J3629" s="31">
        <f t="shared" si="281"/>
        <v>0</v>
      </c>
      <c r="K3629" s="29">
        <f t="shared" si="282"/>
        <v>15640</v>
      </c>
      <c r="L3629" s="31" t="str">
        <f t="shared" si="283"/>
        <v/>
      </c>
      <c r="M3629" s="31" t="str">
        <f t="shared" si="284"/>
        <v/>
      </c>
    </row>
    <row r="3630" spans="1:13" x14ac:dyDescent="0.15">
      <c r="A3630" s="163" t="s">
        <v>210</v>
      </c>
      <c r="B3630" s="163">
        <v>42369.731479351853</v>
      </c>
      <c r="C3630" s="164" t="s">
        <v>2841</v>
      </c>
      <c r="D3630" s="164" t="s">
        <v>13</v>
      </c>
      <c r="E3630" s="165">
        <v>40</v>
      </c>
      <c r="F3630" s="166">
        <v>0</v>
      </c>
      <c r="G3630" s="227">
        <f>IF($B$2,IF(ROWS(B$6:$B3630) = 1,$B3630-Start_Date,$B3630-$B3629),"")</f>
        <v>1.719939814938698E-2</v>
      </c>
      <c r="H3630" s="29">
        <f>IF($B$2,IF(ROWS(B$6:$B3630) = 1,IF(COUNTIFS(R_Schedule_Times,"&lt;"&amp;B3630),INDEX(R_Schedule_Amounts,MATCH(B3630,R_Schedule_Times,1)),Starting_Cash),IF(COUNTIFS(R_Schedule_Times,"&gt;"&amp;B3629,R_Schedule_Times,"&lt;"&amp;B3630),INDEX(R_Schedule_Amounts,MATCH(B3630,R_Schedule_Times,1)),K3629)),"")</f>
        <v>15640</v>
      </c>
      <c r="I3630" s="30">
        <f t="shared" si="280"/>
        <v>40</v>
      </c>
      <c r="J3630" s="31">
        <f t="shared" si="281"/>
        <v>0</v>
      </c>
      <c r="K3630" s="29">
        <f t="shared" si="282"/>
        <v>15600</v>
      </c>
      <c r="L3630" s="31" t="str">
        <f t="shared" si="283"/>
        <v/>
      </c>
      <c r="M3630" s="31" t="str">
        <f t="shared" si="284"/>
        <v/>
      </c>
    </row>
    <row r="3631" spans="1:13" x14ac:dyDescent="0.15">
      <c r="A3631" s="163" t="s">
        <v>210</v>
      </c>
      <c r="B3631" s="163">
        <v>42369.74867685185</v>
      </c>
      <c r="C3631" s="164" t="s">
        <v>1405</v>
      </c>
      <c r="D3631" s="164" t="s">
        <v>13</v>
      </c>
      <c r="E3631" s="165">
        <v>60</v>
      </c>
      <c r="F3631" s="166">
        <v>0</v>
      </c>
      <c r="G3631" s="227">
        <f>IF($B$2,IF(ROWS(B$6:$B3631) = 1,$B3631-Start_Date,$B3631-$B3630),"")</f>
        <v>1.7197499997564591E-2</v>
      </c>
      <c r="H3631" s="29">
        <f>IF($B$2,IF(ROWS(B$6:$B3631) = 1,IF(COUNTIFS(R_Schedule_Times,"&lt;"&amp;B3631),INDEX(R_Schedule_Amounts,MATCH(B3631,R_Schedule_Times,1)),Starting_Cash),IF(COUNTIFS(R_Schedule_Times,"&gt;"&amp;B3630,R_Schedule_Times,"&lt;"&amp;B3631),INDEX(R_Schedule_Amounts,MATCH(B3631,R_Schedule_Times,1)),K3630)),"")</f>
        <v>15600</v>
      </c>
      <c r="I3631" s="30">
        <f t="shared" si="280"/>
        <v>60</v>
      </c>
      <c r="J3631" s="31">
        <f t="shared" si="281"/>
        <v>0</v>
      </c>
      <c r="K3631" s="29">
        <f t="shared" si="282"/>
        <v>15540</v>
      </c>
      <c r="L3631" s="31" t="str">
        <f t="shared" si="283"/>
        <v/>
      </c>
      <c r="M3631" s="31" t="str">
        <f t="shared" si="284"/>
        <v/>
      </c>
    </row>
    <row r="3632" spans="1:13" x14ac:dyDescent="0.15">
      <c r="A3632" s="163" t="s">
        <v>210</v>
      </c>
      <c r="B3632" s="163">
        <v>42369.749918611109</v>
      </c>
      <c r="C3632" s="164" t="s">
        <v>2583</v>
      </c>
      <c r="D3632" s="164" t="s">
        <v>13</v>
      </c>
      <c r="E3632" s="165">
        <v>40</v>
      </c>
      <c r="F3632" s="166">
        <v>0</v>
      </c>
      <c r="G3632" s="227">
        <f>IF($B$2,IF(ROWS(B$6:$B3632) = 1,$B3632-Start_Date,$B3632-$B3631),"")</f>
        <v>1.2417592588462867E-3</v>
      </c>
      <c r="H3632" s="29">
        <f>IF($B$2,IF(ROWS(B$6:$B3632) = 1,IF(COUNTIFS(R_Schedule_Times,"&lt;"&amp;B3632),INDEX(R_Schedule_Amounts,MATCH(B3632,R_Schedule_Times,1)),Starting_Cash),IF(COUNTIFS(R_Schedule_Times,"&gt;"&amp;B3631,R_Schedule_Times,"&lt;"&amp;B3632),INDEX(R_Schedule_Amounts,MATCH(B3632,R_Schedule_Times,1)),K3631)),"")</f>
        <v>15540</v>
      </c>
      <c r="I3632" s="30">
        <f t="shared" si="280"/>
        <v>40</v>
      </c>
      <c r="J3632" s="31">
        <f t="shared" si="281"/>
        <v>0</v>
      </c>
      <c r="K3632" s="29">
        <f t="shared" si="282"/>
        <v>15500</v>
      </c>
      <c r="L3632" s="31" t="str">
        <f t="shared" si="283"/>
        <v/>
      </c>
      <c r="M3632" s="31" t="str">
        <f t="shared" si="284"/>
        <v/>
      </c>
    </row>
    <row r="3633" spans="1:13" x14ac:dyDescent="0.15">
      <c r="A3633" s="163" t="s">
        <v>210</v>
      </c>
      <c r="B3633" s="163">
        <v>42369.758321701389</v>
      </c>
      <c r="C3633" s="164" t="s">
        <v>2445</v>
      </c>
      <c r="D3633" s="164" t="s">
        <v>13</v>
      </c>
      <c r="E3633" s="165">
        <v>80</v>
      </c>
      <c r="F3633" s="166">
        <v>0</v>
      </c>
      <c r="G3633" s="227">
        <f>IF($B$2,IF(ROWS(B$6:$B3633) = 1,$B3633-Start_Date,$B3633-$B3632),"")</f>
        <v>8.4030902798986062E-3</v>
      </c>
      <c r="H3633" s="29">
        <f>IF($B$2,IF(ROWS(B$6:$B3633) = 1,IF(COUNTIFS(R_Schedule_Times,"&lt;"&amp;B3633),INDEX(R_Schedule_Amounts,MATCH(B3633,R_Schedule_Times,1)),Starting_Cash),IF(COUNTIFS(R_Schedule_Times,"&gt;"&amp;B3632,R_Schedule_Times,"&lt;"&amp;B3633),INDEX(R_Schedule_Amounts,MATCH(B3633,R_Schedule_Times,1)),K3632)),"")</f>
        <v>15500</v>
      </c>
      <c r="I3633" s="30">
        <f t="shared" si="280"/>
        <v>80</v>
      </c>
      <c r="J3633" s="31">
        <f t="shared" si="281"/>
        <v>0</v>
      </c>
      <c r="K3633" s="29">
        <f t="shared" si="282"/>
        <v>15420</v>
      </c>
      <c r="L3633" s="31" t="str">
        <f t="shared" si="283"/>
        <v/>
      </c>
      <c r="M3633" s="31" t="str">
        <f t="shared" si="284"/>
        <v/>
      </c>
    </row>
    <row r="3634" spans="1:13" x14ac:dyDescent="0.15">
      <c r="A3634" s="163" t="s">
        <v>210</v>
      </c>
      <c r="B3634" s="163">
        <v>42369.7685221875</v>
      </c>
      <c r="C3634" s="164" t="s">
        <v>2842</v>
      </c>
      <c r="D3634" s="164" t="s">
        <v>13</v>
      </c>
      <c r="E3634" s="165">
        <v>100</v>
      </c>
      <c r="F3634" s="166">
        <v>0</v>
      </c>
      <c r="G3634" s="227">
        <f>IF($B$2,IF(ROWS(B$6:$B3634) = 1,$B3634-Start_Date,$B3634-$B3633),"")</f>
        <v>1.0200486110989004E-2</v>
      </c>
      <c r="H3634" s="29">
        <f>IF($B$2,IF(ROWS(B$6:$B3634) = 1,IF(COUNTIFS(R_Schedule_Times,"&lt;"&amp;B3634),INDEX(R_Schedule_Amounts,MATCH(B3634,R_Schedule_Times,1)),Starting_Cash),IF(COUNTIFS(R_Schedule_Times,"&gt;"&amp;B3633,R_Schedule_Times,"&lt;"&amp;B3634),INDEX(R_Schedule_Amounts,MATCH(B3634,R_Schedule_Times,1)),K3633)),"")</f>
        <v>15420</v>
      </c>
      <c r="I3634" s="30">
        <f t="shared" si="280"/>
        <v>100</v>
      </c>
      <c r="J3634" s="31">
        <f t="shared" si="281"/>
        <v>0</v>
      </c>
      <c r="K3634" s="29">
        <f t="shared" si="282"/>
        <v>15320</v>
      </c>
      <c r="L3634" s="31" t="str">
        <f t="shared" si="283"/>
        <v/>
      </c>
      <c r="M3634" s="31" t="str">
        <f t="shared" si="284"/>
        <v/>
      </c>
    </row>
    <row r="3635" spans="1:13" x14ac:dyDescent="0.15">
      <c r="A3635" s="163" t="s">
        <v>210</v>
      </c>
      <c r="B3635" s="163">
        <v>42369.775679525461</v>
      </c>
      <c r="C3635" s="164" t="s">
        <v>2843</v>
      </c>
      <c r="D3635" s="164" t="s">
        <v>13</v>
      </c>
      <c r="E3635" s="165">
        <v>80</v>
      </c>
      <c r="F3635" s="166">
        <v>0</v>
      </c>
      <c r="G3635" s="227">
        <f>IF($B$2,IF(ROWS(B$6:$B3635) = 1,$B3635-Start_Date,$B3635-$B3634),"")</f>
        <v>7.1573379609617405E-3</v>
      </c>
      <c r="H3635" s="29">
        <f>IF($B$2,IF(ROWS(B$6:$B3635) = 1,IF(COUNTIFS(R_Schedule_Times,"&lt;"&amp;B3635),INDEX(R_Schedule_Amounts,MATCH(B3635,R_Schedule_Times,1)),Starting_Cash),IF(COUNTIFS(R_Schedule_Times,"&gt;"&amp;B3634,R_Schedule_Times,"&lt;"&amp;B3635),INDEX(R_Schedule_Amounts,MATCH(B3635,R_Schedule_Times,1)),K3634)),"")</f>
        <v>15320</v>
      </c>
      <c r="I3635" s="30">
        <f t="shared" si="280"/>
        <v>80</v>
      </c>
      <c r="J3635" s="31">
        <f t="shared" si="281"/>
        <v>0</v>
      </c>
      <c r="K3635" s="29">
        <f t="shared" si="282"/>
        <v>15240</v>
      </c>
      <c r="L3635" s="31" t="str">
        <f t="shared" si="283"/>
        <v/>
      </c>
      <c r="M3635" s="31" t="str">
        <f t="shared" si="284"/>
        <v/>
      </c>
    </row>
    <row r="3636" spans="1:13" x14ac:dyDescent="0.15">
      <c r="A3636" s="163" t="s">
        <v>210</v>
      </c>
      <c r="B3636" s="163">
        <v>42369.776166412033</v>
      </c>
      <c r="C3636" s="164" t="s">
        <v>14</v>
      </c>
      <c r="D3636" s="164" t="s">
        <v>13</v>
      </c>
      <c r="E3636" s="165">
        <v>40</v>
      </c>
      <c r="F3636" s="166">
        <v>3.5</v>
      </c>
      <c r="G3636" s="227">
        <f>IF($B$2,IF(ROWS(B$6:$B3636) = 1,$B3636-Start_Date,$B3636-$B3635),"")</f>
        <v>4.8688657261664048E-4</v>
      </c>
      <c r="H3636" s="29">
        <f>IF($B$2,IF(ROWS(B$6:$B3636) = 1,IF(COUNTIFS(R_Schedule_Times,"&lt;"&amp;B3636),INDEX(R_Schedule_Amounts,MATCH(B3636,R_Schedule_Times,1)),Starting_Cash),IF(COUNTIFS(R_Schedule_Times,"&gt;"&amp;B3635,R_Schedule_Times,"&lt;"&amp;B3636),INDEX(R_Schedule_Amounts,MATCH(B3636,R_Schedule_Times,1)),K3635)),"")</f>
        <v>15240</v>
      </c>
      <c r="I3636" s="30">
        <f t="shared" si="280"/>
        <v>40</v>
      </c>
      <c r="J3636" s="31">
        <f t="shared" si="281"/>
        <v>3.5</v>
      </c>
      <c r="K3636" s="29">
        <f t="shared" si="282"/>
        <v>15200</v>
      </c>
      <c r="L3636" s="31" t="str">
        <f t="shared" si="283"/>
        <v/>
      </c>
      <c r="M3636" s="31" t="str">
        <f t="shared" si="284"/>
        <v/>
      </c>
    </row>
    <row r="3637" spans="1:13" x14ac:dyDescent="0.15">
      <c r="A3637" s="163" t="s">
        <v>210</v>
      </c>
      <c r="B3637" s="163">
        <v>42369.786301828703</v>
      </c>
      <c r="C3637" s="164" t="s">
        <v>2844</v>
      </c>
      <c r="D3637" s="164" t="s">
        <v>13</v>
      </c>
      <c r="E3637" s="165">
        <v>140</v>
      </c>
      <c r="F3637" s="166">
        <v>0</v>
      </c>
      <c r="G3637" s="227">
        <f>IF($B$2,IF(ROWS(B$6:$B3637) = 1,$B3637-Start_Date,$B3637-$B3636),"")</f>
        <v>1.0135416669072583E-2</v>
      </c>
      <c r="H3637" s="29">
        <f>IF($B$2,IF(ROWS(B$6:$B3637) = 1,IF(COUNTIFS(R_Schedule_Times,"&lt;"&amp;B3637),INDEX(R_Schedule_Amounts,MATCH(B3637,R_Schedule_Times,1)),Starting_Cash),IF(COUNTIFS(R_Schedule_Times,"&gt;"&amp;B3636,R_Schedule_Times,"&lt;"&amp;B3637),INDEX(R_Schedule_Amounts,MATCH(B3637,R_Schedule_Times,1)),K3636)),"")</f>
        <v>15200</v>
      </c>
      <c r="I3637" s="30">
        <f t="shared" si="280"/>
        <v>140</v>
      </c>
      <c r="J3637" s="31">
        <f t="shared" si="281"/>
        <v>0</v>
      </c>
      <c r="K3637" s="29">
        <f t="shared" si="282"/>
        <v>15060</v>
      </c>
      <c r="L3637" s="31" t="str">
        <f t="shared" si="283"/>
        <v/>
      </c>
      <c r="M3637" s="31" t="str">
        <f t="shared" si="284"/>
        <v/>
      </c>
    </row>
    <row r="3638" spans="1:13" x14ac:dyDescent="0.15">
      <c r="A3638" s="163" t="s">
        <v>210</v>
      </c>
      <c r="B3638" s="163">
        <v>42369.790518969909</v>
      </c>
      <c r="C3638" s="164" t="s">
        <v>190</v>
      </c>
      <c r="D3638" s="164" t="s">
        <v>13</v>
      </c>
      <c r="E3638" s="165">
        <v>200</v>
      </c>
      <c r="F3638" s="166">
        <v>0</v>
      </c>
      <c r="G3638" s="227">
        <f>IF($B$2,IF(ROWS(B$6:$B3638) = 1,$B3638-Start_Date,$B3638-$B3637),"")</f>
        <v>4.2171412060270086E-3</v>
      </c>
      <c r="H3638" s="29">
        <f>IF($B$2,IF(ROWS(B$6:$B3638) = 1,IF(COUNTIFS(R_Schedule_Times,"&lt;"&amp;B3638),INDEX(R_Schedule_Amounts,MATCH(B3638,R_Schedule_Times,1)),Starting_Cash),IF(COUNTIFS(R_Schedule_Times,"&gt;"&amp;B3637,R_Schedule_Times,"&lt;"&amp;B3638),INDEX(R_Schedule_Amounts,MATCH(B3638,R_Schedule_Times,1)),K3637)),"")</f>
        <v>15060</v>
      </c>
      <c r="I3638" s="30">
        <f t="shared" si="280"/>
        <v>200</v>
      </c>
      <c r="J3638" s="31">
        <f t="shared" si="281"/>
        <v>0</v>
      </c>
      <c r="K3638" s="29">
        <f t="shared" si="282"/>
        <v>14860</v>
      </c>
      <c r="L3638" s="31" t="str">
        <f t="shared" si="283"/>
        <v/>
      </c>
      <c r="M3638" s="31" t="str">
        <f t="shared" si="284"/>
        <v/>
      </c>
    </row>
    <row r="3639" spans="1:13" x14ac:dyDescent="0.15">
      <c r="A3639" s="163" t="s">
        <v>210</v>
      </c>
      <c r="B3639" s="163">
        <v>42369.80180833333</v>
      </c>
      <c r="C3639" s="164" t="s">
        <v>1398</v>
      </c>
      <c r="D3639" s="164" t="s">
        <v>13</v>
      </c>
      <c r="E3639" s="165">
        <v>40</v>
      </c>
      <c r="F3639" s="166">
        <v>0</v>
      </c>
      <c r="G3639" s="227">
        <f>IF($B$2,IF(ROWS(B$6:$B3639) = 1,$B3639-Start_Date,$B3639-$B3638),"")</f>
        <v>1.1289363421383314E-2</v>
      </c>
      <c r="H3639" s="29">
        <f>IF($B$2,IF(ROWS(B$6:$B3639) = 1,IF(COUNTIFS(R_Schedule_Times,"&lt;"&amp;B3639),INDEX(R_Schedule_Amounts,MATCH(B3639,R_Schedule_Times,1)),Starting_Cash),IF(COUNTIFS(R_Schedule_Times,"&gt;"&amp;B3638,R_Schedule_Times,"&lt;"&amp;B3639),INDEX(R_Schedule_Amounts,MATCH(B3639,R_Schedule_Times,1)),K3638)),"")</f>
        <v>14860</v>
      </c>
      <c r="I3639" s="30">
        <f t="shared" si="280"/>
        <v>40</v>
      </c>
      <c r="J3639" s="31">
        <f t="shared" si="281"/>
        <v>0</v>
      </c>
      <c r="K3639" s="29">
        <f t="shared" si="282"/>
        <v>14820</v>
      </c>
      <c r="L3639" s="31" t="str">
        <f t="shared" si="283"/>
        <v/>
      </c>
      <c r="M3639" s="31" t="str">
        <f t="shared" si="284"/>
        <v/>
      </c>
    </row>
    <row r="3640" spans="1:13" x14ac:dyDescent="0.15">
      <c r="A3640" s="163" t="s">
        <v>210</v>
      </c>
      <c r="B3640" s="163">
        <v>42369.845704340281</v>
      </c>
      <c r="C3640" s="164" t="s">
        <v>2845</v>
      </c>
      <c r="D3640" s="164" t="s">
        <v>13</v>
      </c>
      <c r="E3640" s="165">
        <v>100</v>
      </c>
      <c r="F3640" s="166">
        <v>0</v>
      </c>
      <c r="G3640" s="227">
        <f>IF($B$2,IF(ROWS(B$6:$B3640) = 1,$B3640-Start_Date,$B3640-$B3639),"")</f>
        <v>4.3896006951399613E-2</v>
      </c>
      <c r="H3640" s="29">
        <f>IF($B$2,IF(ROWS(B$6:$B3640) = 1,IF(COUNTIFS(R_Schedule_Times,"&lt;"&amp;B3640),INDEX(R_Schedule_Amounts,MATCH(B3640,R_Schedule_Times,1)),Starting_Cash),IF(COUNTIFS(R_Schedule_Times,"&gt;"&amp;B3639,R_Schedule_Times,"&lt;"&amp;B3640),INDEX(R_Schedule_Amounts,MATCH(B3640,R_Schedule_Times,1)),K3639)),"")</f>
        <v>14820</v>
      </c>
      <c r="I3640" s="30">
        <f t="shared" si="280"/>
        <v>100</v>
      </c>
      <c r="J3640" s="31">
        <f t="shared" si="281"/>
        <v>0</v>
      </c>
      <c r="K3640" s="29">
        <f t="shared" si="282"/>
        <v>14720</v>
      </c>
      <c r="L3640" s="31" t="str">
        <f t="shared" si="283"/>
        <v/>
      </c>
      <c r="M3640" s="31" t="str">
        <f t="shared" si="284"/>
        <v/>
      </c>
    </row>
    <row r="3641" spans="1:13" x14ac:dyDescent="0.15">
      <c r="A3641" s="163" t="s">
        <v>210</v>
      </c>
      <c r="B3641" s="163">
        <v>42369.921331851852</v>
      </c>
      <c r="C3641" s="164" t="s">
        <v>2846</v>
      </c>
      <c r="D3641" s="164" t="s">
        <v>13</v>
      </c>
      <c r="E3641" s="165">
        <v>200</v>
      </c>
      <c r="F3641" s="166">
        <v>0</v>
      </c>
      <c r="G3641" s="227">
        <f>IF($B$2,IF(ROWS(B$6:$B3641) = 1,$B3641-Start_Date,$B3641-$B3640),"")</f>
        <v>7.5627511570928618E-2</v>
      </c>
      <c r="H3641" s="29">
        <f>IF($B$2,IF(ROWS(B$6:$B3641) = 1,IF(COUNTIFS(R_Schedule_Times,"&lt;"&amp;B3641),INDEX(R_Schedule_Amounts,MATCH(B3641,R_Schedule_Times,1)),Starting_Cash),IF(COUNTIFS(R_Schedule_Times,"&gt;"&amp;B3640,R_Schedule_Times,"&lt;"&amp;B3641),INDEX(R_Schedule_Amounts,MATCH(B3641,R_Schedule_Times,1)),K3640)),"")</f>
        <v>14720</v>
      </c>
      <c r="I3641" s="30">
        <f t="shared" si="280"/>
        <v>200</v>
      </c>
      <c r="J3641" s="31">
        <f t="shared" si="281"/>
        <v>0</v>
      </c>
      <c r="K3641" s="29">
        <f t="shared" si="282"/>
        <v>14520</v>
      </c>
      <c r="L3641" s="31" t="str">
        <f t="shared" si="283"/>
        <v/>
      </c>
      <c r="M3641" s="31" t="str">
        <f t="shared" si="284"/>
        <v/>
      </c>
    </row>
    <row r="3642" spans="1:13" x14ac:dyDescent="0.15">
      <c r="A3642" s="163" t="s">
        <v>210</v>
      </c>
      <c r="B3642" s="163">
        <v>42369.965907060185</v>
      </c>
      <c r="C3642" s="164" t="s">
        <v>2847</v>
      </c>
      <c r="D3642" s="164" t="s">
        <v>13</v>
      </c>
      <c r="E3642" s="165">
        <v>20</v>
      </c>
      <c r="F3642" s="166">
        <v>0</v>
      </c>
      <c r="G3642" s="227">
        <f>IF($B$2,IF(ROWS(B$6:$B3642) = 1,$B3642-Start_Date,$B3642-$B3641),"")</f>
        <v>4.4575208332389593E-2</v>
      </c>
      <c r="H3642" s="29">
        <f>IF($B$2,IF(ROWS(B$6:$B3642) = 1,IF(COUNTIFS(R_Schedule_Times,"&lt;"&amp;B3642),INDEX(R_Schedule_Amounts,MATCH(B3642,R_Schedule_Times,1)),Starting_Cash),IF(COUNTIFS(R_Schedule_Times,"&gt;"&amp;B3641,R_Schedule_Times,"&lt;"&amp;B3642),INDEX(R_Schedule_Amounts,MATCH(B3642,R_Schedule_Times,1)),K3641)),"")</f>
        <v>14520</v>
      </c>
      <c r="I3642" s="30">
        <f t="shared" si="280"/>
        <v>20</v>
      </c>
      <c r="J3642" s="31">
        <f t="shared" si="281"/>
        <v>0</v>
      </c>
      <c r="K3642" s="29">
        <f t="shared" si="282"/>
        <v>14500</v>
      </c>
      <c r="L3642" s="31" t="str">
        <f t="shared" si="283"/>
        <v/>
      </c>
      <c r="M3642" s="31" t="str">
        <f t="shared" si="284"/>
        <v/>
      </c>
    </row>
  </sheetData>
  <sortState xmlns:xlrd2="http://schemas.microsoft.com/office/spreadsheetml/2017/richdata2" ref="O5:P41">
    <sortCondition ref="P5:P41"/>
  </sortState>
  <pageMargins left="0.75" right="0.75" top="1" bottom="1" header="0.5" footer="0.5"/>
  <pageSetup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0613F-5FA8-40FA-BD7C-A6CCFDDE7B3C}">
  <sheetPr codeName="Sheet9"/>
  <dimension ref="B2:W1025"/>
  <sheetViews>
    <sheetView showGridLines="0" topLeftCell="A32" zoomScale="90" zoomScaleNormal="90" workbookViewId="0">
      <selection activeCell="S14" sqref="S14"/>
    </sheetView>
  </sheetViews>
  <sheetFormatPr baseColWidth="10" defaultColWidth="8.83203125" defaultRowHeight="13" x14ac:dyDescent="0.15"/>
  <cols>
    <col min="1" max="1" width="4.33203125" customWidth="1"/>
    <col min="2" max="2" width="11.6640625" customWidth="1"/>
    <col min="3" max="3" width="11.83203125" customWidth="1"/>
    <col min="4" max="17" width="11.6640625" customWidth="1"/>
    <col min="18" max="18" width="4.33203125" customWidth="1"/>
    <col min="19" max="23" width="11.6640625" customWidth="1"/>
  </cols>
  <sheetData>
    <row r="2" spans="2:23" ht="20" x14ac:dyDescent="0.2">
      <c r="B2" s="225" t="s">
        <v>291</v>
      </c>
    </row>
    <row r="4" spans="2:23" ht="18.75" customHeight="1" x14ac:dyDescent="0.15">
      <c r="D4" s="223" t="s">
        <v>290</v>
      </c>
      <c r="E4" s="224">
        <f>Start_Date</f>
        <v>42278</v>
      </c>
      <c r="I4" s="223" t="s">
        <v>224</v>
      </c>
      <c r="J4" s="212">
        <f>ATM_Cash_Limit</f>
        <v>20000</v>
      </c>
    </row>
    <row r="5" spans="2:23" ht="18.75" customHeight="1" x14ac:dyDescent="0.15">
      <c r="D5" s="223" t="s">
        <v>289</v>
      </c>
      <c r="E5" s="224">
        <f>End_Date</f>
        <v>42369</v>
      </c>
      <c r="I5" s="223" t="s">
        <v>288</v>
      </c>
      <c r="J5" s="228">
        <f ca="1">_xlfn.CEILING.MATH(MIN(J14:J20)/J4)</f>
        <v>2</v>
      </c>
    </row>
    <row r="6" spans="2:23" ht="18.75" customHeight="1" x14ac:dyDescent="0.15">
      <c r="D6" s="223" t="s">
        <v>287</v>
      </c>
      <c r="E6" s="222">
        <f>E5-E4+1</f>
        <v>92</v>
      </c>
    </row>
    <row r="7" spans="2:23" ht="18.75" customHeight="1" x14ac:dyDescent="0.15">
      <c r="D7" s="223" t="s">
        <v>286</v>
      </c>
      <c r="E7" s="222">
        <f>COLUMNS($D$12:$J$12)</f>
        <v>7</v>
      </c>
    </row>
    <row r="8" spans="2:23" ht="18.75" customHeight="1" x14ac:dyDescent="0.15">
      <c r="D8" s="223" t="s">
        <v>285</v>
      </c>
      <c r="E8" s="222">
        <f>INT(E6/E7)</f>
        <v>13</v>
      </c>
    </row>
    <row r="9" spans="2:23" ht="18.75" customHeight="1" x14ac:dyDescent="0.15">
      <c r="D9" s="223" t="s">
        <v>284</v>
      </c>
      <c r="E9" s="222">
        <f>E6-(E8*E7)</f>
        <v>1</v>
      </c>
    </row>
    <row r="11" spans="2:23" ht="29.25" customHeight="1" x14ac:dyDescent="0.15">
      <c r="D11" s="236" t="str">
        <f>"Average Cumulative Demand over N-day span
 starting on Day of Week for N = "&amp;D12&amp;" to "&amp;J12</f>
        <v>Average Cumulative Demand over N-day span
 starting on Day of Week for N = 1 to 7</v>
      </c>
      <c r="E11" s="236"/>
      <c r="F11" s="236"/>
      <c r="G11" s="236"/>
      <c r="H11" s="236"/>
      <c r="I11" s="236"/>
      <c r="J11" s="236"/>
      <c r="K11" s="237" t="str">
        <f>"Day of Week following N-day span for N = "&amp;K12&amp;" to "&amp;Q12</f>
        <v>Day of Week following N-day span for N = 1 to 7</v>
      </c>
      <c r="L11" s="237"/>
      <c r="M11" s="237"/>
      <c r="N11" s="237"/>
      <c r="O11" s="237"/>
      <c r="P11" s="237"/>
      <c r="Q11" s="237"/>
      <c r="S11" s="238" t="s">
        <v>283</v>
      </c>
      <c r="T11" s="239"/>
      <c r="U11" s="239"/>
      <c r="V11" s="239"/>
      <c r="W11" s="240"/>
    </row>
    <row r="12" spans="2:23" ht="16.5" customHeight="1" x14ac:dyDescent="0.15">
      <c r="D12" s="215">
        <v>1</v>
      </c>
      <c r="E12" s="215">
        <v>2</v>
      </c>
      <c r="F12" s="215">
        <v>3</v>
      </c>
      <c r="G12" s="215">
        <v>4</v>
      </c>
      <c r="H12" s="215">
        <v>5</v>
      </c>
      <c r="I12" s="215">
        <v>6</v>
      </c>
      <c r="J12" s="215">
        <v>7</v>
      </c>
      <c r="K12" s="215">
        <v>1</v>
      </c>
      <c r="L12" s="215">
        <v>2</v>
      </c>
      <c r="M12" s="215">
        <v>3</v>
      </c>
      <c r="N12" s="215">
        <v>4</v>
      </c>
      <c r="O12" s="215">
        <v>5</v>
      </c>
      <c r="P12" s="215">
        <v>6</v>
      </c>
      <c r="Q12" s="215">
        <v>7</v>
      </c>
      <c r="S12" s="241"/>
      <c r="T12" s="242"/>
      <c r="U12" s="242"/>
      <c r="V12" s="242"/>
      <c r="W12" s="243"/>
    </row>
    <row r="13" spans="2:23" ht="70" x14ac:dyDescent="0.15">
      <c r="C13" s="221" t="s">
        <v>5</v>
      </c>
      <c r="D13" s="1" t="s">
        <v>282</v>
      </c>
      <c r="E13" s="1" t="str">
        <f>"Average "&amp;CHAR(10)&amp;E$12&amp;"-day Forward Demand"</f>
        <v>Average 
2-day Forward Demand</v>
      </c>
      <c r="F13" s="1" t="str">
        <f t="shared" ref="F13:J13" si="0">"Average "&amp;CHAR(10)&amp;F$12&amp;"-day Forward Demand"</f>
        <v>Average 
3-day Forward Demand</v>
      </c>
      <c r="G13" s="1" t="str">
        <f t="shared" si="0"/>
        <v>Average 
4-day Forward Demand</v>
      </c>
      <c r="H13" s="1" t="str">
        <f t="shared" si="0"/>
        <v>Average 
5-day Forward Demand</v>
      </c>
      <c r="I13" s="1" t="str">
        <f t="shared" si="0"/>
        <v>Average 
6-day Forward Demand</v>
      </c>
      <c r="J13" s="1" t="str">
        <f t="shared" si="0"/>
        <v>Average 
7-day Forward Demand</v>
      </c>
      <c r="K13" s="1" t="str">
        <f>K12&amp;" Day following Day of Week"</f>
        <v>1 Day following Day of Week</v>
      </c>
      <c r="L13" s="1" t="str">
        <f>L12&amp;" Days following Day of Week"</f>
        <v>2 Days following Day of Week</v>
      </c>
      <c r="M13" s="1" t="str">
        <f t="shared" ref="M13:Q13" si="1">M12&amp;" Days following Day of Week"</f>
        <v>3 Days following Day of Week</v>
      </c>
      <c r="N13" s="1" t="str">
        <f t="shared" si="1"/>
        <v>4 Days following Day of Week</v>
      </c>
      <c r="O13" s="1" t="str">
        <f t="shared" si="1"/>
        <v>5 Days following Day of Week</v>
      </c>
      <c r="P13" s="1" t="str">
        <f t="shared" si="1"/>
        <v>6 Days following Day of Week</v>
      </c>
      <c r="Q13" s="1" t="str">
        <f t="shared" si="1"/>
        <v>7 Days following Day of Week</v>
      </c>
      <c r="S13" s="1" t="s">
        <v>281</v>
      </c>
      <c r="T13" s="1" t="s">
        <v>280</v>
      </c>
      <c r="U13" s="1" t="s">
        <v>279</v>
      </c>
      <c r="V13" s="1" t="s">
        <v>278</v>
      </c>
      <c r="W13" s="1" t="s">
        <v>277</v>
      </c>
    </row>
    <row r="14" spans="2:23" ht="15.75" customHeight="1" x14ac:dyDescent="0.15">
      <c r="B14" s="216"/>
      <c r="C14" s="218" t="s">
        <v>7</v>
      </c>
      <c r="D14" s="212">
        <f t="shared" ref="D14:J14" si="2">AVERAGEIFS(D$26:D$1025,$C$26:$C$1025,$C14)</f>
        <v>4072.3076923076924</v>
      </c>
      <c r="E14" s="212">
        <f t="shared" ca="1" si="2"/>
        <v>8109.2307692307695</v>
      </c>
      <c r="F14" s="212">
        <f t="shared" ca="1" si="2"/>
        <v>11529.23076923077</v>
      </c>
      <c r="G14" s="212">
        <f t="shared" ca="1" si="2"/>
        <v>15804.615384615385</v>
      </c>
      <c r="H14" s="212">
        <f t="shared" ca="1" si="2"/>
        <v>21298.333333333332</v>
      </c>
      <c r="I14" s="212">
        <f t="shared" ca="1" si="2"/>
        <v>25368.333333333332</v>
      </c>
      <c r="J14" s="212">
        <f t="shared" ca="1" si="2"/>
        <v>27891.666666666668</v>
      </c>
      <c r="K14" s="229" t="s">
        <v>8</v>
      </c>
      <c r="L14" s="229" t="s">
        <v>9</v>
      </c>
      <c r="M14" s="229" t="s">
        <v>10</v>
      </c>
      <c r="N14" s="229" t="s">
        <v>11</v>
      </c>
      <c r="O14" s="229" t="s">
        <v>12</v>
      </c>
      <c r="P14" s="229" t="s">
        <v>6</v>
      </c>
      <c r="Q14" s="229" t="s">
        <v>7</v>
      </c>
      <c r="S14" s="220" t="s">
        <v>9</v>
      </c>
      <c r="T14" s="219">
        <v>20000</v>
      </c>
      <c r="U14" s="228">
        <f ca="1">IF(S14="","",IFERROR(INDEX($D$12:$J$12,MATCH(T14,OFFSET($D$13,MATCH(S14,$C$14:$C$20,0),0,1,$E$7),1)),0))</f>
        <v>5</v>
      </c>
      <c r="V14" s="228">
        <f ca="1">IF(S14="","",SUM(U$14:U14))</f>
        <v>5</v>
      </c>
      <c r="W14" s="212" t="str">
        <f ca="1">IF(S14="","",IF(U14=0,S14,INDEX($K$14:$Q$20,MATCH($S14,$C$14:$C$20,0),MATCH($U14,$K$12:$Q$12,0))))</f>
        <v>Monday</v>
      </c>
    </row>
    <row r="15" spans="2:23" ht="15.75" customHeight="1" x14ac:dyDescent="0.15">
      <c r="B15" s="216"/>
      <c r="C15" s="218" t="s">
        <v>8</v>
      </c>
      <c r="D15" s="212">
        <f t="shared" ref="D15:J20" si="3">AVERAGEIFS(D$26:D$1025,$C$26:$C$1025,$C15)</f>
        <v>4036.9230769230771</v>
      </c>
      <c r="E15" s="212">
        <f t="shared" ca="1" si="3"/>
        <v>7456.9230769230771</v>
      </c>
      <c r="F15" s="212">
        <f t="shared" ca="1" si="3"/>
        <v>11732.307692307691</v>
      </c>
      <c r="G15" s="212">
        <f t="shared" ca="1" si="3"/>
        <v>17063.333333333332</v>
      </c>
      <c r="H15" s="212">
        <f t="shared" ca="1" si="3"/>
        <v>21133.333333333332</v>
      </c>
      <c r="I15" s="212">
        <f t="shared" ca="1" si="3"/>
        <v>23656.666666666668</v>
      </c>
      <c r="J15" s="212">
        <f t="shared" ca="1" si="3"/>
        <v>27685</v>
      </c>
      <c r="K15" s="229" t="s">
        <v>9</v>
      </c>
      <c r="L15" s="229" t="s">
        <v>10</v>
      </c>
      <c r="M15" s="229" t="s">
        <v>11</v>
      </c>
      <c r="N15" s="229" t="s">
        <v>12</v>
      </c>
      <c r="O15" s="229" t="s">
        <v>6</v>
      </c>
      <c r="P15" s="229" t="s">
        <v>7</v>
      </c>
      <c r="Q15" s="229" t="s">
        <v>8</v>
      </c>
      <c r="S15" s="228" t="str">
        <f ca="1">IF(V14&gt;=$E$7,"",W14)</f>
        <v>Monday</v>
      </c>
      <c r="T15" s="217">
        <f ca="1">IF(T14="","",IF($E$7-$V14=0,"",IF(S15="","",MIN($J$4,ROUNDUP(INDEX(OFFSET($D$13,MATCH($S15,$C$14:$C$20,0),0,1,$E$7),MATCH($E$7-V14,$D$12:$J$12,0)),-3)))))</f>
        <v>9000</v>
      </c>
      <c r="U15" s="228">
        <f t="shared" ref="U15:U20" ca="1" si="4">IF(S15="","",IFERROR(INDEX($D$12:$J$12,MATCH(T15,OFFSET($D$13,MATCH(S15,$C$14:$C$20,0),0,1,$E$7),1)),0))</f>
        <v>2</v>
      </c>
      <c r="V15" s="228">
        <f ca="1">IF(S15="","",SUM(U$14:U15))</f>
        <v>7</v>
      </c>
      <c r="W15" s="212" t="str">
        <f t="shared" ref="W15:W20" ca="1" si="5">IF(S15="","",IF(U15=0,S15,INDEX($K$14:$Q$20,MATCH($S15,$C$14:$C$20,0),MATCH($U15,$K$12:$Q$12,0))))</f>
        <v>Wednesday</v>
      </c>
    </row>
    <row r="16" spans="2:23" ht="15.75" customHeight="1" x14ac:dyDescent="0.15">
      <c r="B16" s="216"/>
      <c r="C16" s="218" t="s">
        <v>9</v>
      </c>
      <c r="D16" s="212">
        <f t="shared" si="3"/>
        <v>3420</v>
      </c>
      <c r="E16" s="212">
        <f t="shared" ca="1" si="3"/>
        <v>7695.3846153846152</v>
      </c>
      <c r="F16" s="212">
        <f t="shared" ca="1" si="3"/>
        <v>13065</v>
      </c>
      <c r="G16" s="212">
        <f t="shared" ca="1" si="3"/>
        <v>17135</v>
      </c>
      <c r="H16" s="212">
        <f t="shared" ca="1" si="3"/>
        <v>19658.333333333332</v>
      </c>
      <c r="I16" s="212">
        <f t="shared" ca="1" si="3"/>
        <v>23686.666666666668</v>
      </c>
      <c r="J16" s="212">
        <f t="shared" ca="1" si="3"/>
        <v>27830</v>
      </c>
      <c r="K16" s="229" t="s">
        <v>10</v>
      </c>
      <c r="L16" s="229" t="s">
        <v>11</v>
      </c>
      <c r="M16" s="229" t="s">
        <v>12</v>
      </c>
      <c r="N16" s="229" t="s">
        <v>6</v>
      </c>
      <c r="O16" s="229" t="s">
        <v>7</v>
      </c>
      <c r="P16" s="229" t="s">
        <v>8</v>
      </c>
      <c r="Q16" s="229" t="s">
        <v>9</v>
      </c>
      <c r="S16" s="228" t="str">
        <f t="shared" ref="S16:S20" ca="1" si="6">IF(V15&gt;=$E$7,"",W15)</f>
        <v/>
      </c>
      <c r="T16" s="217" t="str">
        <f t="shared" ref="T16:T20" ca="1" si="7">IF(T15="","",IF($E$7-$V15=0,"",IF(S16="","",MIN($J$4,ROUNDUP(INDEX(OFFSET($D$13,MATCH($S16,$C$14:$C$20,0),0,1,$E$7),MATCH($E$7-V15,$D$12:$J$12,0)),-3)))))</f>
        <v/>
      </c>
      <c r="U16" s="228" t="str">
        <f t="shared" ca="1" si="4"/>
        <v/>
      </c>
      <c r="V16" s="228" t="str">
        <f ca="1">IF(S16="","",SUM(U$14:U16))</f>
        <v/>
      </c>
      <c r="W16" s="212" t="str">
        <f t="shared" ca="1" si="5"/>
        <v/>
      </c>
    </row>
    <row r="17" spans="2:23" ht="15.75" customHeight="1" x14ac:dyDescent="0.15">
      <c r="B17" s="216"/>
      <c r="C17" s="218" t="s">
        <v>10</v>
      </c>
      <c r="D17" s="212">
        <f t="shared" si="3"/>
        <v>4358.5714285714284</v>
      </c>
      <c r="E17" s="212">
        <f t="shared" ca="1" si="3"/>
        <v>9652.3076923076915</v>
      </c>
      <c r="F17" s="212">
        <f t="shared" ca="1" si="3"/>
        <v>13761.538461538461</v>
      </c>
      <c r="G17" s="212">
        <f t="shared" ca="1" si="3"/>
        <v>16243.076923076924</v>
      </c>
      <c r="H17" s="212">
        <f t="shared" ca="1" si="3"/>
        <v>20315.384615384617</v>
      </c>
      <c r="I17" s="212">
        <f t="shared" ca="1" si="3"/>
        <v>24352.307692307691</v>
      </c>
      <c r="J17" s="212">
        <f t="shared" ca="1" si="3"/>
        <v>27772.307692307691</v>
      </c>
      <c r="K17" s="229" t="s">
        <v>11</v>
      </c>
      <c r="L17" s="229" t="s">
        <v>12</v>
      </c>
      <c r="M17" s="229" t="s">
        <v>6</v>
      </c>
      <c r="N17" s="229" t="s">
        <v>7</v>
      </c>
      <c r="O17" s="229" t="s">
        <v>8</v>
      </c>
      <c r="P17" s="229" t="s">
        <v>9</v>
      </c>
      <c r="Q17" s="229" t="s">
        <v>10</v>
      </c>
      <c r="S17" s="228" t="str">
        <f t="shared" ca="1" si="6"/>
        <v/>
      </c>
      <c r="T17" s="217" t="str">
        <f t="shared" ca="1" si="7"/>
        <v/>
      </c>
      <c r="U17" s="228" t="str">
        <f t="shared" ca="1" si="4"/>
        <v/>
      </c>
      <c r="V17" s="228" t="str">
        <f ca="1">IF(S17="","",SUM(U$14:U17))</f>
        <v/>
      </c>
      <c r="W17" s="212" t="str">
        <f t="shared" ca="1" si="5"/>
        <v/>
      </c>
    </row>
    <row r="18" spans="2:23" ht="15.75" customHeight="1" x14ac:dyDescent="0.15">
      <c r="B18" s="216"/>
      <c r="C18" s="218" t="s">
        <v>11</v>
      </c>
      <c r="D18" s="212">
        <f t="shared" si="3"/>
        <v>5353.8461538461543</v>
      </c>
      <c r="E18" s="212">
        <f t="shared" ca="1" si="3"/>
        <v>9463.0769230769238</v>
      </c>
      <c r="F18" s="212">
        <f t="shared" ca="1" si="3"/>
        <v>11944.615384615385</v>
      </c>
      <c r="G18" s="212">
        <f t="shared" ca="1" si="3"/>
        <v>16016.923076923076</v>
      </c>
      <c r="H18" s="212">
        <f t="shared" ca="1" si="3"/>
        <v>20053.846153846152</v>
      </c>
      <c r="I18" s="212">
        <f t="shared" ca="1" si="3"/>
        <v>23473.846153846152</v>
      </c>
      <c r="J18" s="212">
        <f t="shared" ca="1" si="3"/>
        <v>27749.23076923077</v>
      </c>
      <c r="K18" s="229" t="s">
        <v>12</v>
      </c>
      <c r="L18" s="229" t="s">
        <v>6</v>
      </c>
      <c r="M18" s="229" t="s">
        <v>7</v>
      </c>
      <c r="N18" s="229" t="s">
        <v>8</v>
      </c>
      <c r="O18" s="229" t="s">
        <v>9</v>
      </c>
      <c r="P18" s="229" t="s">
        <v>10</v>
      </c>
      <c r="Q18" s="229" t="s">
        <v>11</v>
      </c>
      <c r="S18" s="228" t="str">
        <f t="shared" ca="1" si="6"/>
        <v/>
      </c>
      <c r="T18" s="217" t="str">
        <f t="shared" ca="1" si="7"/>
        <v/>
      </c>
      <c r="U18" s="228" t="str">
        <f t="shared" ca="1" si="4"/>
        <v/>
      </c>
      <c r="V18" s="228" t="str">
        <f ca="1">IF(S18="","",SUM(U$14:U18))</f>
        <v/>
      </c>
      <c r="W18" s="212" t="str">
        <f t="shared" ca="1" si="5"/>
        <v/>
      </c>
    </row>
    <row r="19" spans="2:23" ht="15.75" customHeight="1" x14ac:dyDescent="0.15">
      <c r="B19" s="216"/>
      <c r="C19" s="218" t="s">
        <v>12</v>
      </c>
      <c r="D19" s="212">
        <f t="shared" si="3"/>
        <v>4109.2307692307695</v>
      </c>
      <c r="E19" s="212">
        <f t="shared" ca="1" si="3"/>
        <v>6590.7692307692305</v>
      </c>
      <c r="F19" s="212">
        <f t="shared" ca="1" si="3"/>
        <v>10663.076923076924</v>
      </c>
      <c r="G19" s="212">
        <f t="shared" ca="1" si="3"/>
        <v>14700</v>
      </c>
      <c r="H19" s="212">
        <f t="shared" ca="1" si="3"/>
        <v>18120</v>
      </c>
      <c r="I19" s="212">
        <f t="shared" ca="1" si="3"/>
        <v>22395.384615384617</v>
      </c>
      <c r="J19" s="212">
        <f t="shared" ca="1" si="3"/>
        <v>27980</v>
      </c>
      <c r="K19" s="229" t="s">
        <v>6</v>
      </c>
      <c r="L19" s="229" t="s">
        <v>7</v>
      </c>
      <c r="M19" s="229" t="s">
        <v>8</v>
      </c>
      <c r="N19" s="229" t="s">
        <v>9</v>
      </c>
      <c r="O19" s="229" t="s">
        <v>10</v>
      </c>
      <c r="P19" s="229" t="s">
        <v>11</v>
      </c>
      <c r="Q19" s="229" t="s">
        <v>12</v>
      </c>
      <c r="S19" s="228" t="str">
        <f t="shared" ca="1" si="6"/>
        <v/>
      </c>
      <c r="T19" s="217" t="str">
        <f t="shared" ca="1" si="7"/>
        <v/>
      </c>
      <c r="U19" s="228" t="str">
        <f t="shared" ca="1" si="4"/>
        <v/>
      </c>
      <c r="V19" s="228" t="str">
        <f ca="1">IF(S19="","",SUM(U$14:U19))</f>
        <v/>
      </c>
      <c r="W19" s="212" t="str">
        <f t="shared" ca="1" si="5"/>
        <v/>
      </c>
    </row>
    <row r="20" spans="2:23" ht="15.75" customHeight="1" x14ac:dyDescent="0.15">
      <c r="B20" s="216"/>
      <c r="C20" s="218" t="s">
        <v>6</v>
      </c>
      <c r="D20" s="212">
        <f t="shared" si="3"/>
        <v>2481.5384615384614</v>
      </c>
      <c r="E20" s="212">
        <f t="shared" ca="1" si="3"/>
        <v>6553.8461538461543</v>
      </c>
      <c r="F20" s="212">
        <f t="shared" ca="1" si="3"/>
        <v>10590.76923076923</v>
      </c>
      <c r="G20" s="212">
        <f t="shared" ca="1" si="3"/>
        <v>14010.76923076923</v>
      </c>
      <c r="H20" s="212">
        <f t="shared" ca="1" si="3"/>
        <v>18286.153846153848</v>
      </c>
      <c r="I20" s="212">
        <f t="shared" ca="1" si="3"/>
        <v>23826.666666666668</v>
      </c>
      <c r="J20" s="212">
        <f t="shared" ca="1" si="3"/>
        <v>27896.666666666668</v>
      </c>
      <c r="K20" s="229" t="s">
        <v>7</v>
      </c>
      <c r="L20" s="229" t="s">
        <v>8</v>
      </c>
      <c r="M20" s="229" t="s">
        <v>9</v>
      </c>
      <c r="N20" s="229" t="s">
        <v>10</v>
      </c>
      <c r="O20" s="229" t="s">
        <v>11</v>
      </c>
      <c r="P20" s="229" t="s">
        <v>12</v>
      </c>
      <c r="Q20" s="229" t="s">
        <v>6</v>
      </c>
      <c r="S20" s="228" t="str">
        <f t="shared" ca="1" si="6"/>
        <v/>
      </c>
      <c r="T20" s="217" t="str">
        <f t="shared" ca="1" si="7"/>
        <v/>
      </c>
      <c r="U20" s="228" t="str">
        <f t="shared" ca="1" si="4"/>
        <v/>
      </c>
      <c r="V20" s="228" t="str">
        <f ca="1">IF(S20="","",SUM(U$14:U20))</f>
        <v/>
      </c>
      <c r="W20" s="212" t="str">
        <f t="shared" ca="1" si="5"/>
        <v/>
      </c>
    </row>
    <row r="21" spans="2:23" x14ac:dyDescent="0.15">
      <c r="B21" s="216"/>
    </row>
    <row r="23" spans="2:23" ht="18.75" customHeight="1" x14ac:dyDescent="0.15">
      <c r="D23" s="244" t="s">
        <v>276</v>
      </c>
      <c r="E23" s="245"/>
      <c r="F23" s="245"/>
      <c r="G23" s="245"/>
      <c r="H23" s="245"/>
      <c r="I23" s="245"/>
      <c r="J23" s="246"/>
    </row>
    <row r="24" spans="2:23" ht="17.25" customHeight="1" x14ac:dyDescent="0.15">
      <c r="D24" s="215">
        <f t="shared" ref="D24:J24" si="8">D12</f>
        <v>1</v>
      </c>
      <c r="E24" s="215">
        <f t="shared" si="8"/>
        <v>2</v>
      </c>
      <c r="F24" s="215">
        <f t="shared" si="8"/>
        <v>3</v>
      </c>
      <c r="G24" s="215">
        <f t="shared" si="8"/>
        <v>4</v>
      </c>
      <c r="H24" s="215">
        <f t="shared" si="8"/>
        <v>5</v>
      </c>
      <c r="I24" s="215">
        <f t="shared" si="8"/>
        <v>6</v>
      </c>
      <c r="J24" s="215">
        <f t="shared" si="8"/>
        <v>7</v>
      </c>
    </row>
    <row r="25" spans="2:23" ht="56" x14ac:dyDescent="0.15">
      <c r="B25" s="1" t="s">
        <v>275</v>
      </c>
      <c r="C25" s="1" t="s">
        <v>5</v>
      </c>
      <c r="D25" s="1" t="s">
        <v>274</v>
      </c>
      <c r="E25" s="230" t="str">
        <f>"Rolling "&amp;CHAR(10)&amp;E$24&amp;"-day Forward Demand"</f>
        <v>Rolling 
2-day Forward Demand</v>
      </c>
      <c r="F25" s="230" t="str">
        <f t="shared" ref="F25:J25" si="9">"Rolling "&amp;CHAR(10)&amp;F$24&amp;"-day Forward Demand"</f>
        <v>Rolling 
3-day Forward Demand</v>
      </c>
      <c r="G25" s="230" t="str">
        <f t="shared" si="9"/>
        <v>Rolling 
4-day Forward Demand</v>
      </c>
      <c r="H25" s="230" t="str">
        <f t="shared" si="9"/>
        <v>Rolling 
5-day Forward Demand</v>
      </c>
      <c r="I25" s="230" t="str">
        <f t="shared" si="9"/>
        <v>Rolling 
6-day Forward Demand</v>
      </c>
      <c r="J25" s="230" t="str">
        <f t="shared" si="9"/>
        <v>Rolling 
7-day Forward Demand</v>
      </c>
    </row>
    <row r="26" spans="2:23" x14ac:dyDescent="0.15">
      <c r="B26" s="214">
        <f>$E$4</f>
        <v>42278</v>
      </c>
      <c r="C26" s="228" t="str">
        <f>IF(B26="","",TEXT(B26,"dddd"))</f>
        <v>Thursday</v>
      </c>
      <c r="D26" s="212">
        <f t="shared" ref="D26:D89" si="10">IF(B26="","",IF(B27="",SUMIFS(Amount,Timestamp,"&gt;="&amp;B26),SUMIFS(Amount,Timestamp,"&gt;="&amp;B26,Timestamp,"&lt;"&amp;B27)))</f>
        <v>5440</v>
      </c>
      <c r="E26" s="212">
        <f t="shared" ref="E26:J26" ca="1" si="11">IF($B26="","",IF($B26+E$24-1&gt;$E$5,"",SUM(OFFSET($D26,0,0,E$24,1))))</f>
        <v>10180</v>
      </c>
      <c r="F26" s="212">
        <f t="shared" ca="1" si="11"/>
        <v>14760</v>
      </c>
      <c r="G26" s="212">
        <f t="shared" ca="1" si="11"/>
        <v>16740</v>
      </c>
      <c r="H26" s="212">
        <f t="shared" ca="1" si="11"/>
        <v>21340</v>
      </c>
      <c r="I26" s="212">
        <f t="shared" ca="1" si="11"/>
        <v>24100</v>
      </c>
      <c r="J26" s="212">
        <f t="shared" ca="1" si="11"/>
        <v>27420</v>
      </c>
    </row>
    <row r="27" spans="2:23" x14ac:dyDescent="0.15">
      <c r="B27" s="213">
        <f>IF(B26="","",IF(B26&gt;=$E$5,"",B26+1))</f>
        <v>42279</v>
      </c>
      <c r="C27" s="228" t="str">
        <f t="shared" ref="C27:C90" si="12">IF(B27="","",TEXT(B27,"dddd"))</f>
        <v>Friday</v>
      </c>
      <c r="D27" s="212">
        <f t="shared" si="10"/>
        <v>4740</v>
      </c>
      <c r="E27" s="212">
        <f t="shared" ref="E27:H90" ca="1" si="13">IF($B27="","",IF($B27+E$24-1&gt;$E$5,"",SUM(OFFSET($D27,0,0,E$24,1))))</f>
        <v>9320</v>
      </c>
      <c r="F27" s="212">
        <f t="shared" ca="1" si="13"/>
        <v>11300</v>
      </c>
      <c r="G27" s="212">
        <f t="shared" ca="1" si="13"/>
        <v>15900</v>
      </c>
      <c r="H27" s="212">
        <f t="shared" ca="1" si="13"/>
        <v>18660</v>
      </c>
      <c r="I27" s="212">
        <f t="shared" ref="I27:J90" ca="1" si="14">IF($B27="","",IF($B27+I$24-1&gt;$E$5,"",SUM(OFFSET($D27,0,0,I$24,1))))</f>
        <v>21980</v>
      </c>
      <c r="J27" s="212">
        <f t="shared" ca="1" si="14"/>
        <v>26540</v>
      </c>
    </row>
    <row r="28" spans="2:23" x14ac:dyDescent="0.15">
      <c r="B28" s="213">
        <f t="shared" ref="B28:B91" si="15">IF(B27="","",IF(B27&gt;=$E$5,"",B27+1))</f>
        <v>42280</v>
      </c>
      <c r="C28" s="228" t="str">
        <f t="shared" si="12"/>
        <v>Saturday</v>
      </c>
      <c r="D28" s="212">
        <f t="shared" si="10"/>
        <v>4580</v>
      </c>
      <c r="E28" s="212">
        <f t="shared" ca="1" si="13"/>
        <v>6560</v>
      </c>
      <c r="F28" s="212">
        <f t="shared" ca="1" si="13"/>
        <v>11160</v>
      </c>
      <c r="G28" s="212">
        <f t="shared" ca="1" si="13"/>
        <v>13920</v>
      </c>
      <c r="H28" s="212">
        <f t="shared" ca="1" si="13"/>
        <v>17240</v>
      </c>
      <c r="I28" s="212">
        <f t="shared" ca="1" si="14"/>
        <v>21800</v>
      </c>
      <c r="J28" s="212">
        <f t="shared" ca="1" si="14"/>
        <v>26340</v>
      </c>
    </row>
    <row r="29" spans="2:23" x14ac:dyDescent="0.15">
      <c r="B29" s="213">
        <f t="shared" si="15"/>
        <v>42281</v>
      </c>
      <c r="C29" s="228" t="str">
        <f t="shared" si="12"/>
        <v>Sunday</v>
      </c>
      <c r="D29" s="212">
        <f t="shared" si="10"/>
        <v>1980</v>
      </c>
      <c r="E29" s="212">
        <f t="shared" ca="1" si="13"/>
        <v>6580</v>
      </c>
      <c r="F29" s="212">
        <f t="shared" ca="1" si="13"/>
        <v>9340</v>
      </c>
      <c r="G29" s="212">
        <f t="shared" ca="1" si="13"/>
        <v>12660</v>
      </c>
      <c r="H29" s="212">
        <f t="shared" ca="1" si="13"/>
        <v>17220</v>
      </c>
      <c r="I29" s="212">
        <f t="shared" ca="1" si="14"/>
        <v>21760</v>
      </c>
      <c r="J29" s="212">
        <f t="shared" ca="1" si="14"/>
        <v>25200</v>
      </c>
    </row>
    <row r="30" spans="2:23" x14ac:dyDescent="0.15">
      <c r="B30" s="213">
        <f t="shared" si="15"/>
        <v>42282</v>
      </c>
      <c r="C30" s="228" t="str">
        <f t="shared" si="12"/>
        <v>Monday</v>
      </c>
      <c r="D30" s="212">
        <f t="shared" si="10"/>
        <v>4600</v>
      </c>
      <c r="E30" s="212">
        <f t="shared" ca="1" si="13"/>
        <v>7360</v>
      </c>
      <c r="F30" s="212">
        <f t="shared" ca="1" si="13"/>
        <v>10680</v>
      </c>
      <c r="G30" s="212">
        <f t="shared" ca="1" si="13"/>
        <v>15240</v>
      </c>
      <c r="H30" s="212">
        <f t="shared" ca="1" si="13"/>
        <v>19780</v>
      </c>
      <c r="I30" s="212">
        <f t="shared" ca="1" si="14"/>
        <v>23220</v>
      </c>
      <c r="J30" s="212">
        <f t="shared" ca="1" si="14"/>
        <v>25820</v>
      </c>
    </row>
    <row r="31" spans="2:23" x14ac:dyDescent="0.15">
      <c r="B31" s="213">
        <f t="shared" si="15"/>
        <v>42283</v>
      </c>
      <c r="C31" s="228" t="str">
        <f t="shared" si="12"/>
        <v>Tuesday</v>
      </c>
      <c r="D31" s="212">
        <f t="shared" si="10"/>
        <v>2760</v>
      </c>
      <c r="E31" s="212">
        <f t="shared" ca="1" si="13"/>
        <v>6080</v>
      </c>
      <c r="F31" s="212">
        <f t="shared" ca="1" si="13"/>
        <v>10640</v>
      </c>
      <c r="G31" s="212">
        <f t="shared" ca="1" si="13"/>
        <v>15180</v>
      </c>
      <c r="H31" s="212">
        <f t="shared" ca="1" si="13"/>
        <v>18620</v>
      </c>
      <c r="I31" s="212">
        <f t="shared" ca="1" si="14"/>
        <v>21220</v>
      </c>
      <c r="J31" s="212">
        <f t="shared" ca="1" si="14"/>
        <v>25540</v>
      </c>
    </row>
    <row r="32" spans="2:23" x14ac:dyDescent="0.15">
      <c r="B32" s="213">
        <f t="shared" si="15"/>
        <v>42284</v>
      </c>
      <c r="C32" s="228" t="str">
        <f t="shared" si="12"/>
        <v>Wednesday</v>
      </c>
      <c r="D32" s="212">
        <f t="shared" si="10"/>
        <v>3320</v>
      </c>
      <c r="E32" s="212">
        <f t="shared" ca="1" si="13"/>
        <v>7880</v>
      </c>
      <c r="F32" s="212">
        <f t="shared" ca="1" si="13"/>
        <v>12420</v>
      </c>
      <c r="G32" s="212">
        <f t="shared" ca="1" si="13"/>
        <v>15860</v>
      </c>
      <c r="H32" s="212">
        <f t="shared" ca="1" si="13"/>
        <v>18460</v>
      </c>
      <c r="I32" s="212">
        <f t="shared" ca="1" si="14"/>
        <v>22780</v>
      </c>
      <c r="J32" s="212">
        <f t="shared" ca="1" si="14"/>
        <v>27160</v>
      </c>
    </row>
    <row r="33" spans="2:10" x14ac:dyDescent="0.15">
      <c r="B33" s="213">
        <f t="shared" si="15"/>
        <v>42285</v>
      </c>
      <c r="C33" s="228" t="str">
        <f t="shared" si="12"/>
        <v>Thursday</v>
      </c>
      <c r="D33" s="212">
        <f t="shared" si="10"/>
        <v>4560</v>
      </c>
      <c r="E33" s="212">
        <f t="shared" ca="1" si="13"/>
        <v>9100</v>
      </c>
      <c r="F33" s="212">
        <f t="shared" ca="1" si="13"/>
        <v>12540</v>
      </c>
      <c r="G33" s="212">
        <f t="shared" ca="1" si="13"/>
        <v>15140</v>
      </c>
      <c r="H33" s="212">
        <f t="shared" ca="1" si="13"/>
        <v>19460</v>
      </c>
      <c r="I33" s="212">
        <f t="shared" ca="1" si="14"/>
        <v>23840</v>
      </c>
      <c r="J33" s="212">
        <f t="shared" ca="1" si="14"/>
        <v>26600</v>
      </c>
    </row>
    <row r="34" spans="2:10" x14ac:dyDescent="0.15">
      <c r="B34" s="213">
        <f t="shared" si="15"/>
        <v>42286</v>
      </c>
      <c r="C34" s="228" t="str">
        <f t="shared" si="12"/>
        <v>Friday</v>
      </c>
      <c r="D34" s="212">
        <f t="shared" si="10"/>
        <v>4540</v>
      </c>
      <c r="E34" s="212">
        <f t="shared" ca="1" si="13"/>
        <v>7980</v>
      </c>
      <c r="F34" s="212">
        <f t="shared" ca="1" si="13"/>
        <v>10580</v>
      </c>
      <c r="G34" s="212">
        <f t="shared" ca="1" si="13"/>
        <v>14900</v>
      </c>
      <c r="H34" s="212">
        <f t="shared" ca="1" si="13"/>
        <v>19280</v>
      </c>
      <c r="I34" s="212">
        <f t="shared" ca="1" si="14"/>
        <v>22040</v>
      </c>
      <c r="J34" s="212">
        <f t="shared" ca="1" si="14"/>
        <v>26500</v>
      </c>
    </row>
    <row r="35" spans="2:10" x14ac:dyDescent="0.15">
      <c r="B35" s="213">
        <f t="shared" si="15"/>
        <v>42287</v>
      </c>
      <c r="C35" s="228" t="str">
        <f t="shared" si="12"/>
        <v>Saturday</v>
      </c>
      <c r="D35" s="212">
        <f t="shared" si="10"/>
        <v>3440</v>
      </c>
      <c r="E35" s="212">
        <f t="shared" ca="1" si="13"/>
        <v>6040</v>
      </c>
      <c r="F35" s="212">
        <f t="shared" ca="1" si="13"/>
        <v>10360</v>
      </c>
      <c r="G35" s="212">
        <f t="shared" ca="1" si="13"/>
        <v>14740</v>
      </c>
      <c r="H35" s="212">
        <f t="shared" ca="1" si="13"/>
        <v>17500</v>
      </c>
      <c r="I35" s="212">
        <f t="shared" ca="1" si="14"/>
        <v>21960</v>
      </c>
      <c r="J35" s="212">
        <f t="shared" ca="1" si="14"/>
        <v>27580</v>
      </c>
    </row>
    <row r="36" spans="2:10" x14ac:dyDescent="0.15">
      <c r="B36" s="213">
        <f t="shared" si="15"/>
        <v>42288</v>
      </c>
      <c r="C36" s="228" t="str">
        <f t="shared" si="12"/>
        <v>Sunday</v>
      </c>
      <c r="D36" s="212">
        <f t="shared" si="10"/>
        <v>2600</v>
      </c>
      <c r="E36" s="212">
        <f t="shared" ca="1" si="13"/>
        <v>6920</v>
      </c>
      <c r="F36" s="212">
        <f t="shared" ca="1" si="13"/>
        <v>11300</v>
      </c>
      <c r="G36" s="212">
        <f t="shared" ca="1" si="13"/>
        <v>14060</v>
      </c>
      <c r="H36" s="212">
        <f t="shared" ca="1" si="13"/>
        <v>18520</v>
      </c>
      <c r="I36" s="212">
        <f t="shared" ca="1" si="14"/>
        <v>24140</v>
      </c>
      <c r="J36" s="212">
        <f t="shared" ca="1" si="14"/>
        <v>28660</v>
      </c>
    </row>
    <row r="37" spans="2:10" x14ac:dyDescent="0.15">
      <c r="B37" s="213">
        <f t="shared" si="15"/>
        <v>42289</v>
      </c>
      <c r="C37" s="228" t="str">
        <f t="shared" si="12"/>
        <v>Monday</v>
      </c>
      <c r="D37" s="212">
        <f t="shared" si="10"/>
        <v>4320</v>
      </c>
      <c r="E37" s="212">
        <f t="shared" ca="1" si="13"/>
        <v>8700</v>
      </c>
      <c r="F37" s="212">
        <f t="shared" ca="1" si="13"/>
        <v>11460</v>
      </c>
      <c r="G37" s="212">
        <f t="shared" ca="1" si="13"/>
        <v>15920</v>
      </c>
      <c r="H37" s="212">
        <f t="shared" ca="1" si="13"/>
        <v>21540</v>
      </c>
      <c r="I37" s="212">
        <f t="shared" ca="1" si="14"/>
        <v>26060</v>
      </c>
      <c r="J37" s="212">
        <f t="shared" ca="1" si="14"/>
        <v>28020</v>
      </c>
    </row>
    <row r="38" spans="2:10" x14ac:dyDescent="0.15">
      <c r="B38" s="213">
        <f t="shared" si="15"/>
        <v>42290</v>
      </c>
      <c r="C38" s="228" t="str">
        <f t="shared" si="12"/>
        <v>Tuesday</v>
      </c>
      <c r="D38" s="212">
        <f t="shared" si="10"/>
        <v>4380</v>
      </c>
      <c r="E38" s="212">
        <f t="shared" ca="1" si="13"/>
        <v>7140</v>
      </c>
      <c r="F38" s="212">
        <f t="shared" ca="1" si="13"/>
        <v>11600</v>
      </c>
      <c r="G38" s="212">
        <f t="shared" ca="1" si="13"/>
        <v>17220</v>
      </c>
      <c r="H38" s="212">
        <f t="shared" ca="1" si="13"/>
        <v>21740</v>
      </c>
      <c r="I38" s="212">
        <f t="shared" ca="1" si="14"/>
        <v>23700</v>
      </c>
      <c r="J38" s="212">
        <f t="shared" ca="1" si="14"/>
        <v>27220</v>
      </c>
    </row>
    <row r="39" spans="2:10" x14ac:dyDescent="0.15">
      <c r="B39" s="213">
        <f t="shared" si="15"/>
        <v>42291</v>
      </c>
      <c r="C39" s="228" t="str">
        <f t="shared" si="12"/>
        <v>Wednesday</v>
      </c>
      <c r="D39" s="212">
        <f t="shared" si="10"/>
        <v>2760</v>
      </c>
      <c r="E39" s="212">
        <f t="shared" ca="1" si="13"/>
        <v>7220</v>
      </c>
      <c r="F39" s="212">
        <f t="shared" ca="1" si="13"/>
        <v>12840</v>
      </c>
      <c r="G39" s="212">
        <f t="shared" ca="1" si="13"/>
        <v>17360</v>
      </c>
      <c r="H39" s="212">
        <f t="shared" ca="1" si="13"/>
        <v>19320</v>
      </c>
      <c r="I39" s="212">
        <f t="shared" ca="1" si="14"/>
        <v>22840</v>
      </c>
      <c r="J39" s="212">
        <f t="shared" ca="1" si="14"/>
        <v>26660</v>
      </c>
    </row>
    <row r="40" spans="2:10" x14ac:dyDescent="0.15">
      <c r="B40" s="213">
        <f t="shared" si="15"/>
        <v>42292</v>
      </c>
      <c r="C40" s="228" t="str">
        <f t="shared" si="12"/>
        <v>Thursday</v>
      </c>
      <c r="D40" s="212">
        <f t="shared" si="10"/>
        <v>4460</v>
      </c>
      <c r="E40" s="212">
        <f t="shared" ca="1" si="13"/>
        <v>10080</v>
      </c>
      <c r="F40" s="212">
        <f t="shared" ca="1" si="13"/>
        <v>14600</v>
      </c>
      <c r="G40" s="212">
        <f t="shared" ca="1" si="13"/>
        <v>16560</v>
      </c>
      <c r="H40" s="212">
        <f t="shared" ca="1" si="13"/>
        <v>20080</v>
      </c>
      <c r="I40" s="212">
        <f t="shared" ca="1" si="14"/>
        <v>23900</v>
      </c>
      <c r="J40" s="212">
        <f t="shared" ca="1" si="14"/>
        <v>27300</v>
      </c>
    </row>
    <row r="41" spans="2:10" x14ac:dyDescent="0.15">
      <c r="B41" s="213">
        <f t="shared" si="15"/>
        <v>42293</v>
      </c>
      <c r="C41" s="228" t="str">
        <f t="shared" si="12"/>
        <v>Friday</v>
      </c>
      <c r="D41" s="212">
        <f t="shared" si="10"/>
        <v>5620</v>
      </c>
      <c r="E41" s="212">
        <f t="shared" ca="1" si="13"/>
        <v>10140</v>
      </c>
      <c r="F41" s="212">
        <f t="shared" ca="1" si="13"/>
        <v>12100</v>
      </c>
      <c r="G41" s="212">
        <f t="shared" ca="1" si="13"/>
        <v>15620</v>
      </c>
      <c r="H41" s="212">
        <f t="shared" ca="1" si="13"/>
        <v>19440</v>
      </c>
      <c r="I41" s="212">
        <f t="shared" ca="1" si="14"/>
        <v>22840</v>
      </c>
      <c r="J41" s="212">
        <f t="shared" ca="1" si="14"/>
        <v>26660</v>
      </c>
    </row>
    <row r="42" spans="2:10" x14ac:dyDescent="0.15">
      <c r="B42" s="213">
        <f t="shared" si="15"/>
        <v>42294</v>
      </c>
      <c r="C42" s="228" t="str">
        <f t="shared" si="12"/>
        <v>Saturday</v>
      </c>
      <c r="D42" s="212">
        <f t="shared" si="10"/>
        <v>4520</v>
      </c>
      <c r="E42" s="212">
        <f t="shared" ca="1" si="13"/>
        <v>6480</v>
      </c>
      <c r="F42" s="212">
        <f t="shared" ca="1" si="13"/>
        <v>10000</v>
      </c>
      <c r="G42" s="212">
        <f t="shared" ca="1" si="13"/>
        <v>13820</v>
      </c>
      <c r="H42" s="212">
        <f t="shared" ca="1" si="13"/>
        <v>17220</v>
      </c>
      <c r="I42" s="212">
        <f t="shared" ca="1" si="14"/>
        <v>21040</v>
      </c>
      <c r="J42" s="212">
        <f t="shared" ca="1" si="14"/>
        <v>25780</v>
      </c>
    </row>
    <row r="43" spans="2:10" x14ac:dyDescent="0.15">
      <c r="B43" s="213">
        <f t="shared" si="15"/>
        <v>42295</v>
      </c>
      <c r="C43" s="228" t="str">
        <f t="shared" si="12"/>
        <v>Sunday</v>
      </c>
      <c r="D43" s="212">
        <f t="shared" si="10"/>
        <v>1960</v>
      </c>
      <c r="E43" s="212">
        <f t="shared" ca="1" si="13"/>
        <v>5480</v>
      </c>
      <c r="F43" s="212">
        <f t="shared" ca="1" si="13"/>
        <v>9300</v>
      </c>
      <c r="G43" s="212">
        <f t="shared" ca="1" si="13"/>
        <v>12700</v>
      </c>
      <c r="H43" s="212">
        <f t="shared" ca="1" si="13"/>
        <v>16520</v>
      </c>
      <c r="I43" s="212">
        <f t="shared" ca="1" si="14"/>
        <v>21260</v>
      </c>
      <c r="J43" s="212">
        <f t="shared" ca="1" si="14"/>
        <v>24880</v>
      </c>
    </row>
    <row r="44" spans="2:10" x14ac:dyDescent="0.15">
      <c r="B44" s="213">
        <f t="shared" si="15"/>
        <v>42296</v>
      </c>
      <c r="C44" s="228" t="str">
        <f t="shared" si="12"/>
        <v>Monday</v>
      </c>
      <c r="D44" s="212">
        <f t="shared" si="10"/>
        <v>3520</v>
      </c>
      <c r="E44" s="212">
        <f t="shared" ca="1" si="13"/>
        <v>7340</v>
      </c>
      <c r="F44" s="212">
        <f t="shared" ca="1" si="13"/>
        <v>10740</v>
      </c>
      <c r="G44" s="212">
        <f t="shared" ca="1" si="13"/>
        <v>14560</v>
      </c>
      <c r="H44" s="212">
        <f t="shared" ca="1" si="13"/>
        <v>19300</v>
      </c>
      <c r="I44" s="212">
        <f t="shared" ca="1" si="14"/>
        <v>22920</v>
      </c>
      <c r="J44" s="212">
        <f t="shared" ca="1" si="14"/>
        <v>24660</v>
      </c>
    </row>
    <row r="45" spans="2:10" x14ac:dyDescent="0.15">
      <c r="B45" s="213">
        <f t="shared" si="15"/>
        <v>42297</v>
      </c>
      <c r="C45" s="228" t="str">
        <f t="shared" si="12"/>
        <v>Tuesday</v>
      </c>
      <c r="D45" s="212">
        <f t="shared" si="10"/>
        <v>3820</v>
      </c>
      <c r="E45" s="212">
        <f t="shared" ca="1" si="13"/>
        <v>7220</v>
      </c>
      <c r="F45" s="212">
        <f t="shared" ca="1" si="13"/>
        <v>11040</v>
      </c>
      <c r="G45" s="212">
        <f t="shared" ca="1" si="13"/>
        <v>15780</v>
      </c>
      <c r="H45" s="212">
        <f t="shared" ca="1" si="13"/>
        <v>19400</v>
      </c>
      <c r="I45" s="212">
        <f t="shared" ca="1" si="14"/>
        <v>21140</v>
      </c>
      <c r="J45" s="212">
        <f t="shared" ca="1" si="14"/>
        <v>25220</v>
      </c>
    </row>
    <row r="46" spans="2:10" x14ac:dyDescent="0.15">
      <c r="B46" s="213">
        <f t="shared" si="15"/>
        <v>42298</v>
      </c>
      <c r="C46" s="228" t="str">
        <f t="shared" si="12"/>
        <v>Wednesday</v>
      </c>
      <c r="D46" s="212">
        <f t="shared" si="10"/>
        <v>3400</v>
      </c>
      <c r="E46" s="212">
        <f t="shared" ca="1" si="13"/>
        <v>7220</v>
      </c>
      <c r="F46" s="212">
        <f t="shared" ca="1" si="13"/>
        <v>11960</v>
      </c>
      <c r="G46" s="212">
        <f t="shared" ca="1" si="13"/>
        <v>15580</v>
      </c>
      <c r="H46" s="212">
        <f t="shared" ca="1" si="13"/>
        <v>17320</v>
      </c>
      <c r="I46" s="212">
        <f t="shared" ca="1" si="14"/>
        <v>21400</v>
      </c>
      <c r="J46" s="212">
        <f t="shared" ca="1" si="14"/>
        <v>25520</v>
      </c>
    </row>
    <row r="47" spans="2:10" x14ac:dyDescent="0.15">
      <c r="B47" s="213">
        <f t="shared" si="15"/>
        <v>42299</v>
      </c>
      <c r="C47" s="228" t="str">
        <f t="shared" si="12"/>
        <v>Thursday</v>
      </c>
      <c r="D47" s="212">
        <f t="shared" si="10"/>
        <v>3820</v>
      </c>
      <c r="E47" s="212">
        <f t="shared" ca="1" si="13"/>
        <v>8560</v>
      </c>
      <c r="F47" s="212">
        <f t="shared" ca="1" si="13"/>
        <v>12180</v>
      </c>
      <c r="G47" s="212">
        <f t="shared" ca="1" si="13"/>
        <v>13920</v>
      </c>
      <c r="H47" s="212">
        <f t="shared" ca="1" si="13"/>
        <v>18000</v>
      </c>
      <c r="I47" s="212">
        <f t="shared" ca="1" si="14"/>
        <v>22120</v>
      </c>
      <c r="J47" s="212">
        <f t="shared" ca="1" si="14"/>
        <v>24700</v>
      </c>
    </row>
    <row r="48" spans="2:10" x14ac:dyDescent="0.15">
      <c r="B48" s="213">
        <f t="shared" si="15"/>
        <v>42300</v>
      </c>
      <c r="C48" s="228" t="str">
        <f t="shared" si="12"/>
        <v>Friday</v>
      </c>
      <c r="D48" s="212">
        <f t="shared" si="10"/>
        <v>4740</v>
      </c>
      <c r="E48" s="212">
        <f t="shared" ca="1" si="13"/>
        <v>8360</v>
      </c>
      <c r="F48" s="212">
        <f t="shared" ca="1" si="13"/>
        <v>10100</v>
      </c>
      <c r="G48" s="212">
        <f t="shared" ca="1" si="13"/>
        <v>14180</v>
      </c>
      <c r="H48" s="212">
        <f t="shared" ca="1" si="13"/>
        <v>18300</v>
      </c>
      <c r="I48" s="212">
        <f t="shared" ca="1" si="14"/>
        <v>20880</v>
      </c>
      <c r="J48" s="212">
        <f t="shared" ca="1" si="14"/>
        <v>25140</v>
      </c>
    </row>
    <row r="49" spans="2:10" x14ac:dyDescent="0.15">
      <c r="B49" s="213">
        <f t="shared" si="15"/>
        <v>42301</v>
      </c>
      <c r="C49" s="228" t="str">
        <f t="shared" si="12"/>
        <v>Saturday</v>
      </c>
      <c r="D49" s="212">
        <f t="shared" si="10"/>
        <v>3620</v>
      </c>
      <c r="E49" s="212">
        <f t="shared" ca="1" si="13"/>
        <v>5360</v>
      </c>
      <c r="F49" s="212">
        <f t="shared" ca="1" si="13"/>
        <v>9440</v>
      </c>
      <c r="G49" s="212">
        <f t="shared" ca="1" si="13"/>
        <v>13560</v>
      </c>
      <c r="H49" s="212">
        <f t="shared" ca="1" si="13"/>
        <v>16140</v>
      </c>
      <c r="I49" s="212">
        <f t="shared" ca="1" si="14"/>
        <v>20400</v>
      </c>
      <c r="J49" s="212">
        <f t="shared" ca="1" si="14"/>
        <v>27920</v>
      </c>
    </row>
    <row r="50" spans="2:10" x14ac:dyDescent="0.15">
      <c r="B50" s="213">
        <f t="shared" si="15"/>
        <v>42302</v>
      </c>
      <c r="C50" s="228" t="str">
        <f t="shared" si="12"/>
        <v>Sunday</v>
      </c>
      <c r="D50" s="212">
        <f t="shared" si="10"/>
        <v>1740</v>
      </c>
      <c r="E50" s="212">
        <f t="shared" ca="1" si="13"/>
        <v>5820</v>
      </c>
      <c r="F50" s="212">
        <f t="shared" ca="1" si="13"/>
        <v>9940</v>
      </c>
      <c r="G50" s="212">
        <f t="shared" ca="1" si="13"/>
        <v>12520</v>
      </c>
      <c r="H50" s="212">
        <f t="shared" ca="1" si="13"/>
        <v>16780</v>
      </c>
      <c r="I50" s="212">
        <f t="shared" ca="1" si="14"/>
        <v>24300</v>
      </c>
      <c r="J50" s="212">
        <f t="shared" ca="1" si="14"/>
        <v>27940</v>
      </c>
    </row>
    <row r="51" spans="2:10" x14ac:dyDescent="0.15">
      <c r="B51" s="213">
        <f t="shared" si="15"/>
        <v>42303</v>
      </c>
      <c r="C51" s="228" t="str">
        <f t="shared" si="12"/>
        <v>Monday</v>
      </c>
      <c r="D51" s="212">
        <f t="shared" si="10"/>
        <v>4080</v>
      </c>
      <c r="E51" s="212">
        <f t="shared" ca="1" si="13"/>
        <v>8200</v>
      </c>
      <c r="F51" s="212">
        <f t="shared" ca="1" si="13"/>
        <v>10780</v>
      </c>
      <c r="G51" s="212">
        <f t="shared" ca="1" si="13"/>
        <v>15040</v>
      </c>
      <c r="H51" s="212">
        <f t="shared" ca="1" si="13"/>
        <v>22560</v>
      </c>
      <c r="I51" s="212">
        <f t="shared" ca="1" si="14"/>
        <v>26200</v>
      </c>
      <c r="J51" s="212">
        <f t="shared" ca="1" si="14"/>
        <v>28740</v>
      </c>
    </row>
    <row r="52" spans="2:10" x14ac:dyDescent="0.15">
      <c r="B52" s="213">
        <f t="shared" si="15"/>
        <v>42304</v>
      </c>
      <c r="C52" s="228" t="str">
        <f t="shared" si="12"/>
        <v>Tuesday</v>
      </c>
      <c r="D52" s="212">
        <f t="shared" si="10"/>
        <v>4120</v>
      </c>
      <c r="E52" s="212">
        <f t="shared" ca="1" si="13"/>
        <v>6700</v>
      </c>
      <c r="F52" s="212">
        <f t="shared" ca="1" si="13"/>
        <v>10960</v>
      </c>
      <c r="G52" s="212">
        <f t="shared" ca="1" si="13"/>
        <v>18480</v>
      </c>
      <c r="H52" s="212">
        <f t="shared" ca="1" si="13"/>
        <v>22120</v>
      </c>
      <c r="I52" s="212">
        <f t="shared" ca="1" si="14"/>
        <v>24660</v>
      </c>
      <c r="J52" s="212">
        <f t="shared" ca="1" si="14"/>
        <v>30400</v>
      </c>
    </row>
    <row r="53" spans="2:10" x14ac:dyDescent="0.15">
      <c r="B53" s="213">
        <f t="shared" si="15"/>
        <v>42305</v>
      </c>
      <c r="C53" s="228" t="str">
        <f t="shared" si="12"/>
        <v>Wednesday</v>
      </c>
      <c r="D53" s="212">
        <f t="shared" si="10"/>
        <v>2580</v>
      </c>
      <c r="E53" s="212">
        <f t="shared" ca="1" si="13"/>
        <v>6840</v>
      </c>
      <c r="F53" s="212">
        <f t="shared" ca="1" si="13"/>
        <v>14360</v>
      </c>
      <c r="G53" s="212">
        <f t="shared" ca="1" si="13"/>
        <v>18000</v>
      </c>
      <c r="H53" s="212">
        <f t="shared" ca="1" si="13"/>
        <v>20540</v>
      </c>
      <c r="I53" s="212">
        <f t="shared" ca="1" si="14"/>
        <v>26280</v>
      </c>
      <c r="J53" s="212">
        <f t="shared" ca="1" si="14"/>
        <v>28360</v>
      </c>
    </row>
    <row r="54" spans="2:10" x14ac:dyDescent="0.15">
      <c r="B54" s="213">
        <f t="shared" si="15"/>
        <v>42306</v>
      </c>
      <c r="C54" s="228" t="str">
        <f t="shared" si="12"/>
        <v>Thursday</v>
      </c>
      <c r="D54" s="212">
        <f t="shared" si="10"/>
        <v>4260</v>
      </c>
      <c r="E54" s="212">
        <f t="shared" ca="1" si="13"/>
        <v>11780</v>
      </c>
      <c r="F54" s="212">
        <f t="shared" ca="1" si="13"/>
        <v>15420</v>
      </c>
      <c r="G54" s="212">
        <f t="shared" ca="1" si="13"/>
        <v>17960</v>
      </c>
      <c r="H54" s="212">
        <f t="shared" ca="1" si="13"/>
        <v>23700</v>
      </c>
      <c r="I54" s="212">
        <f t="shared" ca="1" si="14"/>
        <v>25780</v>
      </c>
      <c r="J54" s="212">
        <f t="shared" ca="1" si="14"/>
        <v>29120</v>
      </c>
    </row>
    <row r="55" spans="2:10" x14ac:dyDescent="0.15">
      <c r="B55" s="213">
        <f t="shared" si="15"/>
        <v>42307</v>
      </c>
      <c r="C55" s="228" t="str">
        <f t="shared" si="12"/>
        <v>Friday</v>
      </c>
      <c r="D55" s="212">
        <f t="shared" si="10"/>
        <v>7520</v>
      </c>
      <c r="E55" s="212">
        <f t="shared" ca="1" si="13"/>
        <v>11160</v>
      </c>
      <c r="F55" s="212">
        <f t="shared" ca="1" si="13"/>
        <v>13700</v>
      </c>
      <c r="G55" s="212">
        <f t="shared" ca="1" si="13"/>
        <v>19440</v>
      </c>
      <c r="H55" s="212">
        <f t="shared" ca="1" si="13"/>
        <v>21520</v>
      </c>
      <c r="I55" s="212">
        <f t="shared" ca="1" si="14"/>
        <v>24860</v>
      </c>
      <c r="J55" s="212">
        <f t="shared" ca="1" si="14"/>
        <v>29480</v>
      </c>
    </row>
    <row r="56" spans="2:10" x14ac:dyDescent="0.15">
      <c r="B56" s="213">
        <f t="shared" si="15"/>
        <v>42308</v>
      </c>
      <c r="C56" s="228" t="str">
        <f t="shared" si="12"/>
        <v>Saturday</v>
      </c>
      <c r="D56" s="212">
        <f t="shared" si="10"/>
        <v>3640</v>
      </c>
      <c r="E56" s="212">
        <f t="shared" ca="1" si="13"/>
        <v>6180</v>
      </c>
      <c r="F56" s="212">
        <f t="shared" ca="1" si="13"/>
        <v>11920</v>
      </c>
      <c r="G56" s="212">
        <f t="shared" ca="1" si="13"/>
        <v>14000</v>
      </c>
      <c r="H56" s="212">
        <f t="shared" ca="1" si="13"/>
        <v>17340</v>
      </c>
      <c r="I56" s="212">
        <f t="shared" ca="1" si="14"/>
        <v>21960</v>
      </c>
      <c r="J56" s="212">
        <f t="shared" ca="1" si="14"/>
        <v>27580</v>
      </c>
    </row>
    <row r="57" spans="2:10" x14ac:dyDescent="0.15">
      <c r="B57" s="213">
        <f t="shared" si="15"/>
        <v>42309</v>
      </c>
      <c r="C57" s="228" t="str">
        <f t="shared" si="12"/>
        <v>Sunday</v>
      </c>
      <c r="D57" s="212">
        <f t="shared" si="10"/>
        <v>2540</v>
      </c>
      <c r="E57" s="212">
        <f t="shared" ca="1" si="13"/>
        <v>8280</v>
      </c>
      <c r="F57" s="212">
        <f t="shared" ca="1" si="13"/>
        <v>10360</v>
      </c>
      <c r="G57" s="212">
        <f t="shared" ca="1" si="13"/>
        <v>13700</v>
      </c>
      <c r="H57" s="212">
        <f t="shared" ca="1" si="13"/>
        <v>18320</v>
      </c>
      <c r="I57" s="212">
        <f t="shared" ca="1" si="14"/>
        <v>23940</v>
      </c>
      <c r="J57" s="212">
        <f t="shared" ca="1" si="14"/>
        <v>29180</v>
      </c>
    </row>
    <row r="58" spans="2:10" x14ac:dyDescent="0.15">
      <c r="B58" s="213">
        <f t="shared" si="15"/>
        <v>42310</v>
      </c>
      <c r="C58" s="228" t="str">
        <f t="shared" si="12"/>
        <v>Monday</v>
      </c>
      <c r="D58" s="212">
        <f t="shared" si="10"/>
        <v>5740</v>
      </c>
      <c r="E58" s="212">
        <f t="shared" ca="1" si="13"/>
        <v>7820</v>
      </c>
      <c r="F58" s="212">
        <f t="shared" ca="1" si="13"/>
        <v>11160</v>
      </c>
      <c r="G58" s="212">
        <f t="shared" ca="1" si="13"/>
        <v>15780</v>
      </c>
      <c r="H58" s="212">
        <f t="shared" ca="1" si="13"/>
        <v>21400</v>
      </c>
      <c r="I58" s="212">
        <f t="shared" ca="1" si="14"/>
        <v>26640</v>
      </c>
      <c r="J58" s="212">
        <f t="shared" ca="1" si="14"/>
        <v>29780</v>
      </c>
    </row>
    <row r="59" spans="2:10" x14ac:dyDescent="0.15">
      <c r="B59" s="213">
        <f t="shared" si="15"/>
        <v>42311</v>
      </c>
      <c r="C59" s="228" t="str">
        <f t="shared" si="12"/>
        <v>Tuesday</v>
      </c>
      <c r="D59" s="212">
        <f t="shared" si="10"/>
        <v>2080</v>
      </c>
      <c r="E59" s="212">
        <f t="shared" ca="1" si="13"/>
        <v>5420</v>
      </c>
      <c r="F59" s="212">
        <f t="shared" ca="1" si="13"/>
        <v>10040</v>
      </c>
      <c r="G59" s="212">
        <f t="shared" ca="1" si="13"/>
        <v>15660</v>
      </c>
      <c r="H59" s="212">
        <f t="shared" ca="1" si="13"/>
        <v>20900</v>
      </c>
      <c r="I59" s="212">
        <f t="shared" ca="1" si="14"/>
        <v>24040</v>
      </c>
      <c r="J59" s="212">
        <f t="shared" ca="1" si="14"/>
        <v>28000</v>
      </c>
    </row>
    <row r="60" spans="2:10" x14ac:dyDescent="0.15">
      <c r="B60" s="213">
        <f t="shared" si="15"/>
        <v>42312</v>
      </c>
      <c r="C60" s="228" t="str">
        <f t="shared" si="12"/>
        <v>Wednesday</v>
      </c>
      <c r="D60" s="212">
        <f t="shared" si="10"/>
        <v>3340</v>
      </c>
      <c r="E60" s="212">
        <f t="shared" ca="1" si="13"/>
        <v>7960</v>
      </c>
      <c r="F60" s="212">
        <f t="shared" ca="1" si="13"/>
        <v>13580</v>
      </c>
      <c r="G60" s="212">
        <f t="shared" ca="1" si="13"/>
        <v>18820</v>
      </c>
      <c r="H60" s="212">
        <f t="shared" ca="1" si="13"/>
        <v>21960</v>
      </c>
      <c r="I60" s="212">
        <f t="shared" ca="1" si="14"/>
        <v>25920</v>
      </c>
      <c r="J60" s="212">
        <f t="shared" ca="1" si="14"/>
        <v>30020</v>
      </c>
    </row>
    <row r="61" spans="2:10" x14ac:dyDescent="0.15">
      <c r="B61" s="213">
        <f t="shared" si="15"/>
        <v>42313</v>
      </c>
      <c r="C61" s="228" t="str">
        <f t="shared" si="12"/>
        <v>Thursday</v>
      </c>
      <c r="D61" s="212">
        <f t="shared" si="10"/>
        <v>4620</v>
      </c>
      <c r="E61" s="212">
        <f t="shared" ca="1" si="13"/>
        <v>10240</v>
      </c>
      <c r="F61" s="212">
        <f t="shared" ca="1" si="13"/>
        <v>15480</v>
      </c>
      <c r="G61" s="212">
        <f t="shared" ca="1" si="13"/>
        <v>18620</v>
      </c>
      <c r="H61" s="212">
        <f t="shared" ca="1" si="13"/>
        <v>22580</v>
      </c>
      <c r="I61" s="212">
        <f t="shared" ca="1" si="14"/>
        <v>26680</v>
      </c>
      <c r="J61" s="212">
        <f t="shared" ca="1" si="14"/>
        <v>31740</v>
      </c>
    </row>
    <row r="62" spans="2:10" x14ac:dyDescent="0.15">
      <c r="B62" s="213">
        <f t="shared" si="15"/>
        <v>42314</v>
      </c>
      <c r="C62" s="228" t="str">
        <f t="shared" si="12"/>
        <v>Friday</v>
      </c>
      <c r="D62" s="212">
        <f t="shared" si="10"/>
        <v>5620</v>
      </c>
      <c r="E62" s="212">
        <f t="shared" ca="1" si="13"/>
        <v>10860</v>
      </c>
      <c r="F62" s="212">
        <f t="shared" ca="1" si="13"/>
        <v>14000</v>
      </c>
      <c r="G62" s="212">
        <f t="shared" ca="1" si="13"/>
        <v>17960</v>
      </c>
      <c r="H62" s="212">
        <f t="shared" ca="1" si="13"/>
        <v>22060</v>
      </c>
      <c r="I62" s="212">
        <f t="shared" ca="1" si="14"/>
        <v>27120</v>
      </c>
      <c r="J62" s="212">
        <f t="shared" ca="1" si="14"/>
        <v>32480</v>
      </c>
    </row>
    <row r="63" spans="2:10" x14ac:dyDescent="0.15">
      <c r="B63" s="213">
        <f t="shared" si="15"/>
        <v>42315</v>
      </c>
      <c r="C63" s="228" t="str">
        <f t="shared" si="12"/>
        <v>Saturday</v>
      </c>
      <c r="D63" s="212">
        <f t="shared" si="10"/>
        <v>5240</v>
      </c>
      <c r="E63" s="212">
        <f t="shared" ca="1" si="13"/>
        <v>8380</v>
      </c>
      <c r="F63" s="212">
        <f t="shared" ca="1" si="13"/>
        <v>12340</v>
      </c>
      <c r="G63" s="212">
        <f t="shared" ca="1" si="13"/>
        <v>16440</v>
      </c>
      <c r="H63" s="212">
        <f t="shared" ca="1" si="13"/>
        <v>21500</v>
      </c>
      <c r="I63" s="212">
        <f t="shared" ca="1" si="14"/>
        <v>26860</v>
      </c>
      <c r="J63" s="212">
        <f t="shared" ca="1" si="14"/>
        <v>32220</v>
      </c>
    </row>
    <row r="64" spans="2:10" x14ac:dyDescent="0.15">
      <c r="B64" s="213">
        <f t="shared" si="15"/>
        <v>42316</v>
      </c>
      <c r="C64" s="228" t="str">
        <f t="shared" si="12"/>
        <v>Sunday</v>
      </c>
      <c r="D64" s="212">
        <f t="shared" si="10"/>
        <v>3140</v>
      </c>
      <c r="E64" s="212">
        <f t="shared" ca="1" si="13"/>
        <v>7100</v>
      </c>
      <c r="F64" s="212">
        <f t="shared" ca="1" si="13"/>
        <v>11200</v>
      </c>
      <c r="G64" s="212">
        <f t="shared" ca="1" si="13"/>
        <v>16260</v>
      </c>
      <c r="H64" s="212">
        <f t="shared" ca="1" si="13"/>
        <v>21620</v>
      </c>
      <c r="I64" s="212">
        <f t="shared" ca="1" si="14"/>
        <v>26980</v>
      </c>
      <c r="J64" s="212">
        <f t="shared" ca="1" si="14"/>
        <v>31140</v>
      </c>
    </row>
    <row r="65" spans="2:10" x14ac:dyDescent="0.15">
      <c r="B65" s="213">
        <f t="shared" si="15"/>
        <v>42317</v>
      </c>
      <c r="C65" s="228" t="str">
        <f t="shared" si="12"/>
        <v>Monday</v>
      </c>
      <c r="D65" s="212">
        <f t="shared" si="10"/>
        <v>3960</v>
      </c>
      <c r="E65" s="212">
        <f t="shared" ca="1" si="13"/>
        <v>8060</v>
      </c>
      <c r="F65" s="212">
        <f t="shared" ca="1" si="13"/>
        <v>13120</v>
      </c>
      <c r="G65" s="212">
        <f t="shared" ca="1" si="13"/>
        <v>18480</v>
      </c>
      <c r="H65" s="212">
        <f t="shared" ca="1" si="13"/>
        <v>23840</v>
      </c>
      <c r="I65" s="212">
        <f t="shared" ca="1" si="14"/>
        <v>28000</v>
      </c>
      <c r="J65" s="212">
        <f t="shared" ca="1" si="14"/>
        <v>30500</v>
      </c>
    </row>
    <row r="66" spans="2:10" x14ac:dyDescent="0.15">
      <c r="B66" s="213">
        <f t="shared" si="15"/>
        <v>42318</v>
      </c>
      <c r="C66" s="228" t="str">
        <f t="shared" si="12"/>
        <v>Tuesday</v>
      </c>
      <c r="D66" s="212">
        <f t="shared" si="10"/>
        <v>4100</v>
      </c>
      <c r="E66" s="212">
        <f t="shared" ca="1" si="13"/>
        <v>9160</v>
      </c>
      <c r="F66" s="212">
        <f t="shared" ca="1" si="13"/>
        <v>14520</v>
      </c>
      <c r="G66" s="212">
        <f t="shared" ca="1" si="13"/>
        <v>19880</v>
      </c>
      <c r="H66" s="212">
        <f t="shared" ca="1" si="13"/>
        <v>24040</v>
      </c>
      <c r="I66" s="212">
        <f t="shared" ca="1" si="14"/>
        <v>26540</v>
      </c>
      <c r="J66" s="212">
        <f t="shared" ca="1" si="14"/>
        <v>30320</v>
      </c>
    </row>
    <row r="67" spans="2:10" x14ac:dyDescent="0.15">
      <c r="B67" s="213">
        <f t="shared" si="15"/>
        <v>42319</v>
      </c>
      <c r="C67" s="228" t="str">
        <f t="shared" si="12"/>
        <v>Wednesday</v>
      </c>
      <c r="D67" s="212">
        <f t="shared" si="10"/>
        <v>5060</v>
      </c>
      <c r="E67" s="212">
        <f t="shared" ca="1" si="13"/>
        <v>10420</v>
      </c>
      <c r="F67" s="212">
        <f t="shared" ca="1" si="13"/>
        <v>15780</v>
      </c>
      <c r="G67" s="212">
        <f t="shared" ca="1" si="13"/>
        <v>19940</v>
      </c>
      <c r="H67" s="212">
        <f t="shared" ca="1" si="13"/>
        <v>22440</v>
      </c>
      <c r="I67" s="212">
        <f t="shared" ca="1" si="14"/>
        <v>26220</v>
      </c>
      <c r="J67" s="212">
        <f t="shared" ca="1" si="14"/>
        <v>30160</v>
      </c>
    </row>
    <row r="68" spans="2:10" x14ac:dyDescent="0.15">
      <c r="B68" s="213">
        <f>IF(B67="","",IF(B67&gt;=$E$5,"",B67+1))</f>
        <v>42320</v>
      </c>
      <c r="C68" s="228" t="str">
        <f t="shared" si="12"/>
        <v>Thursday</v>
      </c>
      <c r="D68" s="212">
        <f t="shared" si="10"/>
        <v>5360</v>
      </c>
      <c r="E68" s="212">
        <f t="shared" ca="1" si="13"/>
        <v>10720</v>
      </c>
      <c r="F68" s="212">
        <f t="shared" ca="1" si="13"/>
        <v>14880</v>
      </c>
      <c r="G68" s="212">
        <f t="shared" ca="1" si="13"/>
        <v>17380</v>
      </c>
      <c r="H68" s="212">
        <f t="shared" ca="1" si="13"/>
        <v>21160</v>
      </c>
      <c r="I68" s="212">
        <f t="shared" ca="1" si="14"/>
        <v>25100</v>
      </c>
      <c r="J68" s="212">
        <f t="shared" ca="1" si="14"/>
        <v>28240</v>
      </c>
    </row>
    <row r="69" spans="2:10" x14ac:dyDescent="0.15">
      <c r="B69" s="213">
        <f t="shared" si="15"/>
        <v>42321</v>
      </c>
      <c r="C69" s="228" t="str">
        <f t="shared" si="12"/>
        <v>Friday</v>
      </c>
      <c r="D69" s="212">
        <f t="shared" si="10"/>
        <v>5360</v>
      </c>
      <c r="E69" s="212">
        <f t="shared" ca="1" si="13"/>
        <v>9520</v>
      </c>
      <c r="F69" s="212">
        <f t="shared" ca="1" si="13"/>
        <v>12020</v>
      </c>
      <c r="G69" s="212">
        <f t="shared" ca="1" si="13"/>
        <v>15800</v>
      </c>
      <c r="H69" s="212">
        <f t="shared" ca="1" si="13"/>
        <v>19740</v>
      </c>
      <c r="I69" s="212">
        <f t="shared" ca="1" si="14"/>
        <v>22880</v>
      </c>
      <c r="J69" s="212">
        <f t="shared" ca="1" si="14"/>
        <v>27120</v>
      </c>
    </row>
    <row r="70" spans="2:10" x14ac:dyDescent="0.15">
      <c r="B70" s="213">
        <f t="shared" si="15"/>
        <v>42322</v>
      </c>
      <c r="C70" s="228" t="str">
        <f t="shared" si="12"/>
        <v>Saturday</v>
      </c>
      <c r="D70" s="212">
        <f t="shared" si="10"/>
        <v>4160</v>
      </c>
      <c r="E70" s="212">
        <f t="shared" ca="1" si="13"/>
        <v>6660</v>
      </c>
      <c r="F70" s="212">
        <f t="shared" ca="1" si="13"/>
        <v>10440</v>
      </c>
      <c r="G70" s="212">
        <f t="shared" ca="1" si="13"/>
        <v>14380</v>
      </c>
      <c r="H70" s="212">
        <f t="shared" ca="1" si="13"/>
        <v>17520</v>
      </c>
      <c r="I70" s="212">
        <f t="shared" ca="1" si="14"/>
        <v>21760</v>
      </c>
      <c r="J70" s="212">
        <f t="shared" ca="1" si="14"/>
        <v>26780</v>
      </c>
    </row>
    <row r="71" spans="2:10" x14ac:dyDescent="0.15">
      <c r="B71" s="213">
        <f t="shared" si="15"/>
        <v>42323</v>
      </c>
      <c r="C71" s="228" t="str">
        <f t="shared" si="12"/>
        <v>Sunday</v>
      </c>
      <c r="D71" s="212">
        <f t="shared" si="10"/>
        <v>2500</v>
      </c>
      <c r="E71" s="212">
        <f t="shared" ca="1" si="13"/>
        <v>6280</v>
      </c>
      <c r="F71" s="212">
        <f t="shared" ca="1" si="13"/>
        <v>10220</v>
      </c>
      <c r="G71" s="212">
        <f t="shared" ca="1" si="13"/>
        <v>13360</v>
      </c>
      <c r="H71" s="212">
        <f t="shared" ca="1" si="13"/>
        <v>17600</v>
      </c>
      <c r="I71" s="212">
        <f t="shared" ca="1" si="14"/>
        <v>22620</v>
      </c>
      <c r="J71" s="212">
        <f t="shared" ca="1" si="14"/>
        <v>27700</v>
      </c>
    </row>
    <row r="72" spans="2:10" x14ac:dyDescent="0.15">
      <c r="B72" s="213">
        <f t="shared" si="15"/>
        <v>42324</v>
      </c>
      <c r="C72" s="228" t="str">
        <f t="shared" si="12"/>
        <v>Monday</v>
      </c>
      <c r="D72" s="212">
        <f t="shared" si="10"/>
        <v>3780</v>
      </c>
      <c r="E72" s="212">
        <f t="shared" ca="1" si="13"/>
        <v>7720</v>
      </c>
      <c r="F72" s="212">
        <f t="shared" ca="1" si="13"/>
        <v>10860</v>
      </c>
      <c r="G72" s="212">
        <f t="shared" ca="1" si="13"/>
        <v>15100</v>
      </c>
      <c r="H72" s="212">
        <f t="shared" ca="1" si="13"/>
        <v>20120</v>
      </c>
      <c r="I72" s="212">
        <f t="shared" ca="1" si="14"/>
        <v>25200</v>
      </c>
      <c r="J72" s="212">
        <f t="shared" ca="1" si="14"/>
        <v>26980</v>
      </c>
    </row>
    <row r="73" spans="2:10" x14ac:dyDescent="0.15">
      <c r="B73" s="213">
        <f t="shared" si="15"/>
        <v>42325</v>
      </c>
      <c r="C73" s="228" t="str">
        <f t="shared" si="12"/>
        <v>Tuesday</v>
      </c>
      <c r="D73" s="212">
        <f t="shared" si="10"/>
        <v>3940</v>
      </c>
      <c r="E73" s="212">
        <f t="shared" ca="1" si="13"/>
        <v>7080</v>
      </c>
      <c r="F73" s="212">
        <f t="shared" ca="1" si="13"/>
        <v>11320</v>
      </c>
      <c r="G73" s="212">
        <f t="shared" ca="1" si="13"/>
        <v>16340</v>
      </c>
      <c r="H73" s="212">
        <f t="shared" ca="1" si="13"/>
        <v>21420</v>
      </c>
      <c r="I73" s="212">
        <f t="shared" ca="1" si="14"/>
        <v>23200</v>
      </c>
      <c r="J73" s="212">
        <f t="shared" ca="1" si="14"/>
        <v>28060</v>
      </c>
    </row>
    <row r="74" spans="2:10" x14ac:dyDescent="0.15">
      <c r="B74" s="213">
        <f t="shared" si="15"/>
        <v>42326</v>
      </c>
      <c r="C74" s="228" t="str">
        <f t="shared" si="12"/>
        <v>Wednesday</v>
      </c>
      <c r="D74" s="212">
        <f t="shared" si="10"/>
        <v>3140</v>
      </c>
      <c r="E74" s="212">
        <f t="shared" ca="1" si="13"/>
        <v>7380</v>
      </c>
      <c r="F74" s="212">
        <f t="shared" ca="1" si="13"/>
        <v>12400</v>
      </c>
      <c r="G74" s="212">
        <f t="shared" ca="1" si="13"/>
        <v>17480</v>
      </c>
      <c r="H74" s="212">
        <f t="shared" ca="1" si="13"/>
        <v>19260</v>
      </c>
      <c r="I74" s="212">
        <f t="shared" ca="1" si="14"/>
        <v>24120</v>
      </c>
      <c r="J74" s="212">
        <f t="shared" ca="1" si="14"/>
        <v>27460</v>
      </c>
    </row>
    <row r="75" spans="2:10" x14ac:dyDescent="0.15">
      <c r="B75" s="213">
        <f t="shared" si="15"/>
        <v>42327</v>
      </c>
      <c r="C75" s="228" t="str">
        <f t="shared" si="12"/>
        <v>Thursday</v>
      </c>
      <c r="D75" s="212">
        <f t="shared" si="10"/>
        <v>4240</v>
      </c>
      <c r="E75" s="212">
        <f t="shared" ca="1" si="13"/>
        <v>9260</v>
      </c>
      <c r="F75" s="212">
        <f t="shared" ca="1" si="13"/>
        <v>14340</v>
      </c>
      <c r="G75" s="212">
        <f t="shared" ca="1" si="13"/>
        <v>16120</v>
      </c>
      <c r="H75" s="212">
        <f t="shared" ca="1" si="13"/>
        <v>20980</v>
      </c>
      <c r="I75" s="212">
        <f t="shared" ca="1" si="14"/>
        <v>24320</v>
      </c>
      <c r="J75" s="212">
        <f t="shared" ca="1" si="14"/>
        <v>27800</v>
      </c>
    </row>
    <row r="76" spans="2:10" x14ac:dyDescent="0.15">
      <c r="B76" s="213">
        <f t="shared" si="15"/>
        <v>42328</v>
      </c>
      <c r="C76" s="228" t="str">
        <f t="shared" si="12"/>
        <v>Friday</v>
      </c>
      <c r="D76" s="212">
        <f t="shared" si="10"/>
        <v>5020</v>
      </c>
      <c r="E76" s="212">
        <f t="shared" ca="1" si="13"/>
        <v>10100</v>
      </c>
      <c r="F76" s="212">
        <f t="shared" ca="1" si="13"/>
        <v>11880</v>
      </c>
      <c r="G76" s="212">
        <f t="shared" ca="1" si="13"/>
        <v>16740</v>
      </c>
      <c r="H76" s="212">
        <f t="shared" ca="1" si="13"/>
        <v>20080</v>
      </c>
      <c r="I76" s="212">
        <f t="shared" ca="1" si="14"/>
        <v>23560</v>
      </c>
      <c r="J76" s="212">
        <f t="shared" ca="1" si="14"/>
        <v>27000</v>
      </c>
    </row>
    <row r="77" spans="2:10" x14ac:dyDescent="0.15">
      <c r="B77" s="213">
        <f t="shared" si="15"/>
        <v>42329</v>
      </c>
      <c r="C77" s="228" t="str">
        <f t="shared" si="12"/>
        <v>Saturday</v>
      </c>
      <c r="D77" s="212">
        <f t="shared" si="10"/>
        <v>5080</v>
      </c>
      <c r="E77" s="212">
        <f t="shared" ca="1" si="13"/>
        <v>6860</v>
      </c>
      <c r="F77" s="212">
        <f t="shared" ca="1" si="13"/>
        <v>11720</v>
      </c>
      <c r="G77" s="212">
        <f t="shared" ca="1" si="13"/>
        <v>15060</v>
      </c>
      <c r="H77" s="212">
        <f t="shared" ca="1" si="13"/>
        <v>18540</v>
      </c>
      <c r="I77" s="212">
        <f t="shared" ca="1" si="14"/>
        <v>21980</v>
      </c>
      <c r="J77" s="212">
        <f t="shared" ca="1" si="14"/>
        <v>29360</v>
      </c>
    </row>
    <row r="78" spans="2:10" x14ac:dyDescent="0.15">
      <c r="B78" s="213">
        <f t="shared" si="15"/>
        <v>42330</v>
      </c>
      <c r="C78" s="228" t="str">
        <f t="shared" si="12"/>
        <v>Sunday</v>
      </c>
      <c r="D78" s="212">
        <f t="shared" si="10"/>
        <v>1780</v>
      </c>
      <c r="E78" s="212">
        <f t="shared" ca="1" si="13"/>
        <v>6640</v>
      </c>
      <c r="F78" s="212">
        <f t="shared" ca="1" si="13"/>
        <v>9980</v>
      </c>
      <c r="G78" s="212">
        <f t="shared" ca="1" si="13"/>
        <v>13460</v>
      </c>
      <c r="H78" s="212">
        <f t="shared" ca="1" si="13"/>
        <v>16900</v>
      </c>
      <c r="I78" s="212">
        <f t="shared" ca="1" si="14"/>
        <v>24280</v>
      </c>
      <c r="J78" s="212">
        <f t="shared" ca="1" si="14"/>
        <v>27240</v>
      </c>
    </row>
    <row r="79" spans="2:10" x14ac:dyDescent="0.15">
      <c r="B79" s="213">
        <f t="shared" si="15"/>
        <v>42331</v>
      </c>
      <c r="C79" s="228" t="str">
        <f t="shared" si="12"/>
        <v>Monday</v>
      </c>
      <c r="D79" s="212">
        <f t="shared" si="10"/>
        <v>4860</v>
      </c>
      <c r="E79" s="212">
        <f t="shared" ca="1" si="13"/>
        <v>8200</v>
      </c>
      <c r="F79" s="212">
        <f t="shared" ca="1" si="13"/>
        <v>11680</v>
      </c>
      <c r="G79" s="212">
        <f t="shared" ca="1" si="13"/>
        <v>15120</v>
      </c>
      <c r="H79" s="212">
        <f t="shared" ca="1" si="13"/>
        <v>22500</v>
      </c>
      <c r="I79" s="212">
        <f t="shared" ca="1" si="14"/>
        <v>25460</v>
      </c>
      <c r="J79" s="212">
        <f t="shared" ca="1" si="14"/>
        <v>27640</v>
      </c>
    </row>
    <row r="80" spans="2:10" x14ac:dyDescent="0.15">
      <c r="B80" s="213">
        <f t="shared" si="15"/>
        <v>42332</v>
      </c>
      <c r="C80" s="228" t="str">
        <f t="shared" si="12"/>
        <v>Tuesday</v>
      </c>
      <c r="D80" s="212">
        <f t="shared" si="10"/>
        <v>3340</v>
      </c>
      <c r="E80" s="212">
        <f t="shared" ca="1" si="13"/>
        <v>6820</v>
      </c>
      <c r="F80" s="212">
        <f t="shared" ca="1" si="13"/>
        <v>10260</v>
      </c>
      <c r="G80" s="212">
        <f t="shared" ca="1" si="13"/>
        <v>17640</v>
      </c>
      <c r="H80" s="212">
        <f t="shared" ca="1" si="13"/>
        <v>20600</v>
      </c>
      <c r="I80" s="212">
        <f t="shared" ca="1" si="14"/>
        <v>22780</v>
      </c>
      <c r="J80" s="212">
        <f t="shared" ca="1" si="14"/>
        <v>26260</v>
      </c>
    </row>
    <row r="81" spans="2:10" x14ac:dyDescent="0.15">
      <c r="B81" s="213">
        <f t="shared" si="15"/>
        <v>42333</v>
      </c>
      <c r="C81" s="228" t="str">
        <f t="shared" si="12"/>
        <v>Wednesday</v>
      </c>
      <c r="D81" s="212">
        <f t="shared" si="10"/>
        <v>3480</v>
      </c>
      <c r="E81" s="212">
        <f t="shared" ca="1" si="13"/>
        <v>6920</v>
      </c>
      <c r="F81" s="212">
        <f t="shared" ca="1" si="13"/>
        <v>14300</v>
      </c>
      <c r="G81" s="212">
        <f t="shared" ca="1" si="13"/>
        <v>17260</v>
      </c>
      <c r="H81" s="212">
        <f t="shared" ca="1" si="13"/>
        <v>19440</v>
      </c>
      <c r="I81" s="212">
        <f t="shared" ca="1" si="14"/>
        <v>22920</v>
      </c>
      <c r="J81" s="212">
        <f t="shared" ca="1" si="14"/>
        <v>27440</v>
      </c>
    </row>
    <row r="82" spans="2:10" x14ac:dyDescent="0.15">
      <c r="B82" s="213">
        <f t="shared" si="15"/>
        <v>42334</v>
      </c>
      <c r="C82" s="228" t="str">
        <f t="shared" si="12"/>
        <v>Thursday</v>
      </c>
      <c r="D82" s="212">
        <f t="shared" si="10"/>
        <v>3440</v>
      </c>
      <c r="E82" s="212">
        <f t="shared" ca="1" si="13"/>
        <v>10820</v>
      </c>
      <c r="F82" s="212">
        <f t="shared" ca="1" si="13"/>
        <v>13780</v>
      </c>
      <c r="G82" s="212">
        <f t="shared" ca="1" si="13"/>
        <v>15960</v>
      </c>
      <c r="H82" s="212">
        <f t="shared" ca="1" si="13"/>
        <v>19440</v>
      </c>
      <c r="I82" s="212">
        <f t="shared" ca="1" si="14"/>
        <v>23960</v>
      </c>
      <c r="J82" s="212">
        <f t="shared" ca="1" si="14"/>
        <v>26960</v>
      </c>
    </row>
    <row r="83" spans="2:10" x14ac:dyDescent="0.15">
      <c r="B83" s="213">
        <f t="shared" si="15"/>
        <v>42335</v>
      </c>
      <c r="C83" s="228" t="str">
        <f t="shared" si="12"/>
        <v>Friday</v>
      </c>
      <c r="D83" s="212">
        <f t="shared" si="10"/>
        <v>7380</v>
      </c>
      <c r="E83" s="212">
        <f t="shared" ca="1" si="13"/>
        <v>10340</v>
      </c>
      <c r="F83" s="212">
        <f t="shared" ca="1" si="13"/>
        <v>12520</v>
      </c>
      <c r="G83" s="212">
        <f t="shared" ca="1" si="13"/>
        <v>16000</v>
      </c>
      <c r="H83" s="212">
        <f t="shared" ca="1" si="13"/>
        <v>20520</v>
      </c>
      <c r="I83" s="212">
        <f t="shared" ca="1" si="14"/>
        <v>23520</v>
      </c>
      <c r="J83" s="212">
        <f t="shared" ca="1" si="14"/>
        <v>28240</v>
      </c>
    </row>
    <row r="84" spans="2:10" x14ac:dyDescent="0.15">
      <c r="B84" s="213">
        <f t="shared" si="15"/>
        <v>42336</v>
      </c>
      <c r="C84" s="228" t="str">
        <f t="shared" si="12"/>
        <v>Saturday</v>
      </c>
      <c r="D84" s="212">
        <f t="shared" si="10"/>
        <v>2960</v>
      </c>
      <c r="E84" s="212">
        <f t="shared" ca="1" si="13"/>
        <v>5140</v>
      </c>
      <c r="F84" s="212">
        <f t="shared" ca="1" si="13"/>
        <v>8620</v>
      </c>
      <c r="G84" s="212">
        <f t="shared" ca="1" si="13"/>
        <v>13140</v>
      </c>
      <c r="H84" s="212">
        <f t="shared" ca="1" si="13"/>
        <v>16140</v>
      </c>
      <c r="I84" s="212">
        <f t="shared" ca="1" si="14"/>
        <v>20860</v>
      </c>
      <c r="J84" s="212">
        <f t="shared" ca="1" si="14"/>
        <v>26420</v>
      </c>
    </row>
    <row r="85" spans="2:10" x14ac:dyDescent="0.15">
      <c r="B85" s="213">
        <f t="shared" si="15"/>
        <v>42337</v>
      </c>
      <c r="C85" s="228" t="str">
        <f t="shared" si="12"/>
        <v>Sunday</v>
      </c>
      <c r="D85" s="212">
        <f t="shared" si="10"/>
        <v>2180</v>
      </c>
      <c r="E85" s="212">
        <f t="shared" ca="1" si="13"/>
        <v>5660</v>
      </c>
      <c r="F85" s="212">
        <f t="shared" ca="1" si="13"/>
        <v>10180</v>
      </c>
      <c r="G85" s="212">
        <f t="shared" ca="1" si="13"/>
        <v>13180</v>
      </c>
      <c r="H85" s="212">
        <f t="shared" ca="1" si="13"/>
        <v>17900</v>
      </c>
      <c r="I85" s="212">
        <f t="shared" ca="1" si="14"/>
        <v>23460</v>
      </c>
      <c r="J85" s="212">
        <f t="shared" ca="1" si="14"/>
        <v>27500</v>
      </c>
    </row>
    <row r="86" spans="2:10" x14ac:dyDescent="0.15">
      <c r="B86" s="213">
        <f t="shared" si="15"/>
        <v>42338</v>
      </c>
      <c r="C86" s="228" t="str">
        <f t="shared" si="12"/>
        <v>Monday</v>
      </c>
      <c r="D86" s="212">
        <f t="shared" si="10"/>
        <v>3480</v>
      </c>
      <c r="E86" s="212">
        <f t="shared" ca="1" si="13"/>
        <v>8000</v>
      </c>
      <c r="F86" s="212">
        <f t="shared" ca="1" si="13"/>
        <v>11000</v>
      </c>
      <c r="G86" s="212">
        <f t="shared" ca="1" si="13"/>
        <v>15720</v>
      </c>
      <c r="H86" s="212">
        <f t="shared" ca="1" si="13"/>
        <v>21280</v>
      </c>
      <c r="I86" s="212">
        <f t="shared" ca="1" si="14"/>
        <v>25320</v>
      </c>
      <c r="J86" s="212">
        <f t="shared" ca="1" si="14"/>
        <v>28120</v>
      </c>
    </row>
    <row r="87" spans="2:10" x14ac:dyDescent="0.15">
      <c r="B87" s="213">
        <f t="shared" si="15"/>
        <v>42339</v>
      </c>
      <c r="C87" s="228" t="str">
        <f t="shared" si="12"/>
        <v>Tuesday</v>
      </c>
      <c r="D87" s="212">
        <f t="shared" si="10"/>
        <v>4520</v>
      </c>
      <c r="E87" s="212">
        <f t="shared" ca="1" si="13"/>
        <v>7520</v>
      </c>
      <c r="F87" s="212">
        <f t="shared" ca="1" si="13"/>
        <v>12240</v>
      </c>
      <c r="G87" s="212">
        <f t="shared" ca="1" si="13"/>
        <v>17800</v>
      </c>
      <c r="H87" s="212">
        <f t="shared" ca="1" si="13"/>
        <v>21840</v>
      </c>
      <c r="I87" s="212">
        <f t="shared" ca="1" si="14"/>
        <v>24640</v>
      </c>
      <c r="J87" s="212">
        <f t="shared" ca="1" si="14"/>
        <v>29000</v>
      </c>
    </row>
    <row r="88" spans="2:10" x14ac:dyDescent="0.15">
      <c r="B88" s="213">
        <f t="shared" si="15"/>
        <v>42340</v>
      </c>
      <c r="C88" s="228" t="str">
        <f t="shared" si="12"/>
        <v>Wednesday</v>
      </c>
      <c r="D88" s="212">
        <f t="shared" si="10"/>
        <v>3000</v>
      </c>
      <c r="E88" s="212">
        <f t="shared" ca="1" si="13"/>
        <v>7720</v>
      </c>
      <c r="F88" s="212">
        <f t="shared" ca="1" si="13"/>
        <v>13280</v>
      </c>
      <c r="G88" s="212">
        <f t="shared" ca="1" si="13"/>
        <v>17320</v>
      </c>
      <c r="H88" s="212">
        <f t="shared" ca="1" si="13"/>
        <v>20120</v>
      </c>
      <c r="I88" s="212">
        <f t="shared" ca="1" si="14"/>
        <v>24480</v>
      </c>
      <c r="J88" s="212">
        <f t="shared" ca="1" si="14"/>
        <v>28640</v>
      </c>
    </row>
    <row r="89" spans="2:10" x14ac:dyDescent="0.15">
      <c r="B89" s="213">
        <f t="shared" si="15"/>
        <v>42341</v>
      </c>
      <c r="C89" s="228" t="str">
        <f t="shared" si="12"/>
        <v>Thursday</v>
      </c>
      <c r="D89" s="212">
        <f t="shared" si="10"/>
        <v>4720</v>
      </c>
      <c r="E89" s="212">
        <f t="shared" ca="1" si="13"/>
        <v>10280</v>
      </c>
      <c r="F89" s="212">
        <f t="shared" ca="1" si="13"/>
        <v>14320</v>
      </c>
      <c r="G89" s="212">
        <f t="shared" ca="1" si="13"/>
        <v>17120</v>
      </c>
      <c r="H89" s="212">
        <f t="shared" ca="1" si="13"/>
        <v>21480</v>
      </c>
      <c r="I89" s="212">
        <f t="shared" ca="1" si="14"/>
        <v>25640</v>
      </c>
      <c r="J89" s="212">
        <f t="shared" ca="1" si="14"/>
        <v>29540</v>
      </c>
    </row>
    <row r="90" spans="2:10" x14ac:dyDescent="0.15">
      <c r="B90" s="213">
        <f t="shared" si="15"/>
        <v>42342</v>
      </c>
      <c r="C90" s="228" t="str">
        <f t="shared" si="12"/>
        <v>Friday</v>
      </c>
      <c r="D90" s="212">
        <f t="shared" ref="D90:D153" si="16">IF(B90="","",IF(B91="",SUMIFS(Amount,Timestamp,"&gt;="&amp;B90),SUMIFS(Amount,Timestamp,"&gt;="&amp;B90,Timestamp,"&lt;"&amp;B91)))</f>
        <v>5560</v>
      </c>
      <c r="E90" s="212">
        <f t="shared" ca="1" si="13"/>
        <v>9600</v>
      </c>
      <c r="F90" s="212">
        <f t="shared" ca="1" si="13"/>
        <v>12400</v>
      </c>
      <c r="G90" s="212">
        <f t="shared" ca="1" si="13"/>
        <v>16760</v>
      </c>
      <c r="H90" s="212">
        <f t="shared" ref="H90:J153" ca="1" si="17">IF($B90="","",IF($B90+H$24-1&gt;$E$5,"",SUM(OFFSET($D90,0,0,H$24,1))))</f>
        <v>20920</v>
      </c>
      <c r="I90" s="212">
        <f t="shared" ca="1" si="14"/>
        <v>24820</v>
      </c>
      <c r="J90" s="212">
        <f t="shared" ca="1" si="14"/>
        <v>28460</v>
      </c>
    </row>
    <row r="91" spans="2:10" x14ac:dyDescent="0.15">
      <c r="B91" s="213">
        <f t="shared" si="15"/>
        <v>42343</v>
      </c>
      <c r="C91" s="228" t="str">
        <f t="shared" ref="C91:C154" si="18">IF(B91="","",TEXT(B91,"dddd"))</f>
        <v>Saturday</v>
      </c>
      <c r="D91" s="212">
        <f t="shared" si="16"/>
        <v>4040</v>
      </c>
      <c r="E91" s="212">
        <f t="shared" ref="E91:J154" ca="1" si="19">IF($B91="","",IF($B91+E$24-1&gt;$E$5,"",SUM(OFFSET($D91,0,0,E$24,1))))</f>
        <v>6840</v>
      </c>
      <c r="F91" s="212">
        <f t="shared" ca="1" si="19"/>
        <v>11200</v>
      </c>
      <c r="G91" s="212">
        <f t="shared" ca="1" si="19"/>
        <v>15360</v>
      </c>
      <c r="H91" s="212">
        <f t="shared" ca="1" si="17"/>
        <v>19260</v>
      </c>
      <c r="I91" s="212">
        <f t="shared" ca="1" si="17"/>
        <v>22900</v>
      </c>
      <c r="J91" s="212">
        <f t="shared" ca="1" si="17"/>
        <v>26960</v>
      </c>
    </row>
    <row r="92" spans="2:10" x14ac:dyDescent="0.15">
      <c r="B92" s="213">
        <f t="shared" ref="B92:B97" si="20">IF(B91="","",IF(B91&gt;=$E$5,"",B91+1))</f>
        <v>42344</v>
      </c>
      <c r="C92" s="228" t="str">
        <f t="shared" si="18"/>
        <v>Sunday</v>
      </c>
      <c r="D92" s="212">
        <f t="shared" si="16"/>
        <v>2800</v>
      </c>
      <c r="E92" s="212">
        <f t="shared" ca="1" si="19"/>
        <v>7160</v>
      </c>
      <c r="F92" s="212">
        <f t="shared" ca="1" si="19"/>
        <v>11320</v>
      </c>
      <c r="G92" s="212">
        <f t="shared" ca="1" si="19"/>
        <v>15220</v>
      </c>
      <c r="H92" s="212">
        <f t="shared" ca="1" si="17"/>
        <v>18860</v>
      </c>
      <c r="I92" s="212">
        <f t="shared" ca="1" si="17"/>
        <v>22920</v>
      </c>
      <c r="J92" s="212">
        <f t="shared" ca="1" si="17"/>
        <v>27660</v>
      </c>
    </row>
    <row r="93" spans="2:10" x14ac:dyDescent="0.15">
      <c r="B93" s="213">
        <f t="shared" si="20"/>
        <v>42345</v>
      </c>
      <c r="C93" s="228" t="str">
        <f t="shared" si="18"/>
        <v>Monday</v>
      </c>
      <c r="D93" s="212">
        <f t="shared" si="16"/>
        <v>4360</v>
      </c>
      <c r="E93" s="212">
        <f t="shared" ca="1" si="19"/>
        <v>8520</v>
      </c>
      <c r="F93" s="212">
        <f t="shared" ca="1" si="19"/>
        <v>12420</v>
      </c>
      <c r="G93" s="212">
        <f t="shared" ca="1" si="19"/>
        <v>16060</v>
      </c>
      <c r="H93" s="212">
        <f t="shared" ca="1" si="17"/>
        <v>20120</v>
      </c>
      <c r="I93" s="212">
        <f t="shared" ca="1" si="17"/>
        <v>24860</v>
      </c>
      <c r="J93" s="212">
        <f t="shared" ca="1" si="17"/>
        <v>28220</v>
      </c>
    </row>
    <row r="94" spans="2:10" x14ac:dyDescent="0.15">
      <c r="B94" s="213">
        <f t="shared" si="20"/>
        <v>42346</v>
      </c>
      <c r="C94" s="228" t="str">
        <f t="shared" si="18"/>
        <v>Tuesday</v>
      </c>
      <c r="D94" s="212">
        <f t="shared" si="16"/>
        <v>4160</v>
      </c>
      <c r="E94" s="212">
        <f t="shared" ca="1" si="19"/>
        <v>8060</v>
      </c>
      <c r="F94" s="212">
        <f t="shared" ca="1" si="19"/>
        <v>11700</v>
      </c>
      <c r="G94" s="212">
        <f t="shared" ca="1" si="19"/>
        <v>15760</v>
      </c>
      <c r="H94" s="212">
        <f t="shared" ca="1" si="17"/>
        <v>20500</v>
      </c>
      <c r="I94" s="212">
        <f t="shared" ca="1" si="17"/>
        <v>23860</v>
      </c>
      <c r="J94" s="212">
        <f t="shared" ca="1" si="17"/>
        <v>27580</v>
      </c>
    </row>
    <row r="95" spans="2:10" x14ac:dyDescent="0.15">
      <c r="B95" s="213">
        <f t="shared" si="20"/>
        <v>42347</v>
      </c>
      <c r="C95" s="228" t="str">
        <f t="shared" si="18"/>
        <v>Wednesday</v>
      </c>
      <c r="D95" s="212">
        <f t="shared" si="16"/>
        <v>3900</v>
      </c>
      <c r="E95" s="212">
        <f t="shared" ca="1" si="19"/>
        <v>7540</v>
      </c>
      <c r="F95" s="212">
        <f t="shared" ca="1" si="19"/>
        <v>11600</v>
      </c>
      <c r="G95" s="212">
        <f t="shared" ca="1" si="19"/>
        <v>16340</v>
      </c>
      <c r="H95" s="212">
        <f t="shared" ca="1" si="17"/>
        <v>19700</v>
      </c>
      <c r="I95" s="212">
        <f t="shared" ca="1" si="17"/>
        <v>23420</v>
      </c>
      <c r="J95" s="212">
        <f t="shared" ca="1" si="17"/>
        <v>28900</v>
      </c>
    </row>
    <row r="96" spans="2:10" x14ac:dyDescent="0.15">
      <c r="B96" s="213">
        <f t="shared" si="20"/>
        <v>42348</v>
      </c>
      <c r="C96" s="228" t="str">
        <f t="shared" si="18"/>
        <v>Thursday</v>
      </c>
      <c r="D96" s="212">
        <f t="shared" si="16"/>
        <v>3640</v>
      </c>
      <c r="E96" s="212">
        <f t="shared" ca="1" si="19"/>
        <v>7700</v>
      </c>
      <c r="F96" s="212">
        <f t="shared" ca="1" si="19"/>
        <v>12440</v>
      </c>
      <c r="G96" s="212">
        <f t="shared" ca="1" si="19"/>
        <v>15800</v>
      </c>
      <c r="H96" s="212">
        <f t="shared" ca="1" si="17"/>
        <v>19520</v>
      </c>
      <c r="I96" s="212">
        <f t="shared" ca="1" si="17"/>
        <v>25000</v>
      </c>
      <c r="J96" s="212">
        <f t="shared" ca="1" si="17"/>
        <v>29020</v>
      </c>
    </row>
    <row r="97" spans="2:10" x14ac:dyDescent="0.15">
      <c r="B97" s="213">
        <f t="shared" si="20"/>
        <v>42349</v>
      </c>
      <c r="C97" s="228" t="str">
        <f t="shared" si="18"/>
        <v>Friday</v>
      </c>
      <c r="D97" s="212">
        <f t="shared" si="16"/>
        <v>4060</v>
      </c>
      <c r="E97" s="212">
        <f t="shared" ca="1" si="19"/>
        <v>8800</v>
      </c>
      <c r="F97" s="212">
        <f t="shared" ca="1" si="19"/>
        <v>12160</v>
      </c>
      <c r="G97" s="212">
        <f t="shared" ca="1" si="19"/>
        <v>15880</v>
      </c>
      <c r="H97" s="212">
        <f t="shared" ca="1" si="17"/>
        <v>21360</v>
      </c>
      <c r="I97" s="212">
        <f t="shared" ca="1" si="17"/>
        <v>25380</v>
      </c>
      <c r="J97" s="212">
        <f t="shared" ca="1" si="17"/>
        <v>28080</v>
      </c>
    </row>
    <row r="98" spans="2:10" x14ac:dyDescent="0.15">
      <c r="B98" s="213">
        <f>IF(B97="","",IF(B97&gt;=$E$5,"",B97+1))</f>
        <v>42350</v>
      </c>
      <c r="C98" s="228" t="str">
        <f t="shared" si="18"/>
        <v>Saturday</v>
      </c>
      <c r="D98" s="212">
        <f t="shared" si="16"/>
        <v>4740</v>
      </c>
      <c r="E98" s="212">
        <f t="shared" ca="1" si="19"/>
        <v>8100</v>
      </c>
      <c r="F98" s="212">
        <f t="shared" ca="1" si="19"/>
        <v>11820</v>
      </c>
      <c r="G98" s="212">
        <f t="shared" ca="1" si="19"/>
        <v>17300</v>
      </c>
      <c r="H98" s="212">
        <f t="shared" ca="1" si="17"/>
        <v>21320</v>
      </c>
      <c r="I98" s="212">
        <f t="shared" ca="1" si="17"/>
        <v>24020</v>
      </c>
      <c r="J98" s="212">
        <f t="shared" ca="1" si="17"/>
        <v>29100</v>
      </c>
    </row>
    <row r="99" spans="2:10" x14ac:dyDescent="0.15">
      <c r="B99" s="213">
        <f t="shared" ref="B99:B162" si="21">IF(B98="","",IF(B98&gt;=$E$5,"",B98+1))</f>
        <v>42351</v>
      </c>
      <c r="C99" s="228" t="str">
        <f t="shared" si="18"/>
        <v>Sunday</v>
      </c>
      <c r="D99" s="212">
        <f t="shared" si="16"/>
        <v>3360</v>
      </c>
      <c r="E99" s="212">
        <f t="shared" ca="1" si="19"/>
        <v>7080</v>
      </c>
      <c r="F99" s="212">
        <f t="shared" ca="1" si="19"/>
        <v>12560</v>
      </c>
      <c r="G99" s="212">
        <f t="shared" ca="1" si="19"/>
        <v>16580</v>
      </c>
      <c r="H99" s="212">
        <f t="shared" ca="1" si="17"/>
        <v>19280</v>
      </c>
      <c r="I99" s="212">
        <f t="shared" ca="1" si="17"/>
        <v>24360</v>
      </c>
      <c r="J99" s="212">
        <f t="shared" ca="1" si="17"/>
        <v>28180</v>
      </c>
    </row>
    <row r="100" spans="2:10" x14ac:dyDescent="0.15">
      <c r="B100" s="213">
        <f t="shared" si="21"/>
        <v>42352</v>
      </c>
      <c r="C100" s="228" t="str">
        <f t="shared" si="18"/>
        <v>Monday</v>
      </c>
      <c r="D100" s="212">
        <f t="shared" si="16"/>
        <v>3720</v>
      </c>
      <c r="E100" s="212">
        <f t="shared" ca="1" si="19"/>
        <v>9200</v>
      </c>
      <c r="F100" s="212">
        <f t="shared" ca="1" si="19"/>
        <v>13220</v>
      </c>
      <c r="G100" s="212">
        <f t="shared" ca="1" si="19"/>
        <v>15920</v>
      </c>
      <c r="H100" s="212">
        <f t="shared" ca="1" si="17"/>
        <v>21000</v>
      </c>
      <c r="I100" s="212">
        <f t="shared" ca="1" si="17"/>
        <v>24820</v>
      </c>
      <c r="J100" s="212">
        <f t="shared" ca="1" si="17"/>
        <v>28580</v>
      </c>
    </row>
    <row r="101" spans="2:10" x14ac:dyDescent="0.15">
      <c r="B101" s="213">
        <f t="shared" si="21"/>
        <v>42353</v>
      </c>
      <c r="C101" s="228" t="str">
        <f t="shared" si="18"/>
        <v>Tuesday</v>
      </c>
      <c r="D101" s="212">
        <f t="shared" si="16"/>
        <v>5480</v>
      </c>
      <c r="E101" s="212">
        <f t="shared" ca="1" si="19"/>
        <v>9500</v>
      </c>
      <c r="F101" s="212">
        <f t="shared" ca="1" si="19"/>
        <v>12200</v>
      </c>
      <c r="G101" s="212">
        <f t="shared" ca="1" si="19"/>
        <v>17280</v>
      </c>
      <c r="H101" s="212">
        <f t="shared" ca="1" si="17"/>
        <v>21100</v>
      </c>
      <c r="I101" s="212">
        <f t="shared" ca="1" si="17"/>
        <v>24860</v>
      </c>
      <c r="J101" s="212">
        <f t="shared" ca="1" si="17"/>
        <v>29260</v>
      </c>
    </row>
    <row r="102" spans="2:10" x14ac:dyDescent="0.15">
      <c r="B102" s="213">
        <f t="shared" si="21"/>
        <v>42354</v>
      </c>
      <c r="C102" s="228" t="str">
        <f t="shared" si="18"/>
        <v>Wednesday</v>
      </c>
      <c r="D102" s="212">
        <f t="shared" si="16"/>
        <v>4020</v>
      </c>
      <c r="E102" s="212">
        <f t="shared" ca="1" si="19"/>
        <v>6720</v>
      </c>
      <c r="F102" s="212">
        <f t="shared" ca="1" si="19"/>
        <v>11800</v>
      </c>
      <c r="G102" s="212">
        <f t="shared" ca="1" si="19"/>
        <v>15620</v>
      </c>
      <c r="H102" s="212">
        <f t="shared" ca="1" si="17"/>
        <v>19380</v>
      </c>
      <c r="I102" s="212">
        <f t="shared" ca="1" si="17"/>
        <v>23780</v>
      </c>
      <c r="J102" s="212">
        <f t="shared" ca="1" si="17"/>
        <v>29060</v>
      </c>
    </row>
    <row r="103" spans="2:10" x14ac:dyDescent="0.15">
      <c r="B103" s="213">
        <f t="shared" si="21"/>
        <v>42355</v>
      </c>
      <c r="C103" s="228" t="str">
        <f t="shared" si="18"/>
        <v>Thursday</v>
      </c>
      <c r="D103" s="212">
        <f t="shared" si="16"/>
        <v>2700</v>
      </c>
      <c r="E103" s="212">
        <f t="shared" ca="1" si="19"/>
        <v>7780</v>
      </c>
      <c r="F103" s="212">
        <f t="shared" ca="1" si="19"/>
        <v>11600</v>
      </c>
      <c r="G103" s="212">
        <f t="shared" ca="1" si="19"/>
        <v>15360</v>
      </c>
      <c r="H103" s="212">
        <f t="shared" ca="1" si="17"/>
        <v>19760</v>
      </c>
      <c r="I103" s="212">
        <f t="shared" ca="1" si="17"/>
        <v>25040</v>
      </c>
      <c r="J103" s="212">
        <f t="shared" ca="1" si="17"/>
        <v>28520</v>
      </c>
    </row>
    <row r="104" spans="2:10" x14ac:dyDescent="0.15">
      <c r="B104" s="213">
        <f t="shared" si="21"/>
        <v>42356</v>
      </c>
      <c r="C104" s="228" t="str">
        <f t="shared" si="18"/>
        <v>Friday</v>
      </c>
      <c r="D104" s="212">
        <f t="shared" si="16"/>
        <v>5080</v>
      </c>
      <c r="E104" s="212">
        <f t="shared" ca="1" si="19"/>
        <v>8900</v>
      </c>
      <c r="F104" s="212">
        <f t="shared" ca="1" si="19"/>
        <v>12660</v>
      </c>
      <c r="G104" s="212">
        <f t="shared" ca="1" si="19"/>
        <v>17060</v>
      </c>
      <c r="H104" s="212">
        <f t="shared" ca="1" si="17"/>
        <v>22340</v>
      </c>
      <c r="I104" s="212">
        <f t="shared" ca="1" si="17"/>
        <v>25820</v>
      </c>
      <c r="J104" s="212">
        <f t="shared" ca="1" si="17"/>
        <v>30440</v>
      </c>
    </row>
    <row r="105" spans="2:10" x14ac:dyDescent="0.15">
      <c r="B105" s="213">
        <f t="shared" si="21"/>
        <v>42357</v>
      </c>
      <c r="C105" s="228" t="str">
        <f t="shared" si="18"/>
        <v>Saturday</v>
      </c>
      <c r="D105" s="212">
        <f t="shared" si="16"/>
        <v>3820</v>
      </c>
      <c r="E105" s="212">
        <f t="shared" ca="1" si="19"/>
        <v>7580</v>
      </c>
      <c r="F105" s="212">
        <f t="shared" ca="1" si="19"/>
        <v>11980</v>
      </c>
      <c r="G105" s="212">
        <f t="shared" ca="1" si="19"/>
        <v>17260</v>
      </c>
      <c r="H105" s="212">
        <f t="shared" ca="1" si="17"/>
        <v>20740</v>
      </c>
      <c r="I105" s="212">
        <f t="shared" ca="1" si="17"/>
        <v>25360</v>
      </c>
      <c r="J105" s="212">
        <f t="shared" ca="1" si="17"/>
        <v>29720</v>
      </c>
    </row>
    <row r="106" spans="2:10" x14ac:dyDescent="0.15">
      <c r="B106" s="213">
        <f t="shared" si="21"/>
        <v>42358</v>
      </c>
      <c r="C106" s="228" t="str">
        <f t="shared" si="18"/>
        <v>Sunday</v>
      </c>
      <c r="D106" s="212">
        <f t="shared" si="16"/>
        <v>3760</v>
      </c>
      <c r="E106" s="212">
        <f t="shared" ca="1" si="19"/>
        <v>8160</v>
      </c>
      <c r="F106" s="212">
        <f t="shared" ca="1" si="19"/>
        <v>13440</v>
      </c>
      <c r="G106" s="212">
        <f t="shared" ca="1" si="19"/>
        <v>16920</v>
      </c>
      <c r="H106" s="212">
        <f t="shared" ca="1" si="17"/>
        <v>21540</v>
      </c>
      <c r="I106" s="212">
        <f t="shared" ca="1" si="17"/>
        <v>25900</v>
      </c>
      <c r="J106" s="212">
        <f t="shared" ca="1" si="17"/>
        <v>29480</v>
      </c>
    </row>
    <row r="107" spans="2:10" x14ac:dyDescent="0.15">
      <c r="B107" s="213">
        <f t="shared" si="21"/>
        <v>42359</v>
      </c>
      <c r="C107" s="228" t="str">
        <f t="shared" si="18"/>
        <v>Monday</v>
      </c>
      <c r="D107" s="212">
        <f t="shared" si="16"/>
        <v>4400</v>
      </c>
      <c r="E107" s="212">
        <f t="shared" ca="1" si="19"/>
        <v>9680</v>
      </c>
      <c r="F107" s="212">
        <f t="shared" ca="1" si="19"/>
        <v>13160</v>
      </c>
      <c r="G107" s="212">
        <f t="shared" ca="1" si="19"/>
        <v>17780</v>
      </c>
      <c r="H107" s="212">
        <f t="shared" ca="1" si="17"/>
        <v>22140</v>
      </c>
      <c r="I107" s="212">
        <f t="shared" ca="1" si="17"/>
        <v>25720</v>
      </c>
      <c r="J107" s="212">
        <f t="shared" ca="1" si="17"/>
        <v>27640</v>
      </c>
    </row>
    <row r="108" spans="2:10" x14ac:dyDescent="0.15">
      <c r="B108" s="213">
        <f t="shared" si="21"/>
        <v>42360</v>
      </c>
      <c r="C108" s="228" t="str">
        <f t="shared" si="18"/>
        <v>Tuesday</v>
      </c>
      <c r="D108" s="212">
        <f t="shared" si="16"/>
        <v>5280</v>
      </c>
      <c r="E108" s="212">
        <f t="shared" ca="1" si="19"/>
        <v>8760</v>
      </c>
      <c r="F108" s="212">
        <f t="shared" ca="1" si="19"/>
        <v>13380</v>
      </c>
      <c r="G108" s="212">
        <f t="shared" ca="1" si="19"/>
        <v>17740</v>
      </c>
      <c r="H108" s="212">
        <f t="shared" ca="1" si="17"/>
        <v>21320</v>
      </c>
      <c r="I108" s="212">
        <f t="shared" ca="1" si="17"/>
        <v>23240</v>
      </c>
      <c r="J108" s="212">
        <f t="shared" ca="1" si="17"/>
        <v>25360</v>
      </c>
    </row>
    <row r="109" spans="2:10" x14ac:dyDescent="0.15">
      <c r="B109" s="213">
        <f t="shared" si="21"/>
        <v>42361</v>
      </c>
      <c r="C109" s="228" t="str">
        <f t="shared" si="18"/>
        <v>Wednesday</v>
      </c>
      <c r="D109" s="212">
        <f t="shared" si="16"/>
        <v>3480</v>
      </c>
      <c r="E109" s="212">
        <f t="shared" ca="1" si="19"/>
        <v>8100</v>
      </c>
      <c r="F109" s="212">
        <f t="shared" ca="1" si="19"/>
        <v>12460</v>
      </c>
      <c r="G109" s="212">
        <f t="shared" ca="1" si="19"/>
        <v>16040</v>
      </c>
      <c r="H109" s="212">
        <f t="shared" ca="1" si="17"/>
        <v>17960</v>
      </c>
      <c r="I109" s="212">
        <f t="shared" ca="1" si="17"/>
        <v>20080</v>
      </c>
      <c r="J109" s="212">
        <f t="shared" ca="1" si="17"/>
        <v>24580</v>
      </c>
    </row>
    <row r="110" spans="2:10" x14ac:dyDescent="0.15">
      <c r="B110" s="213">
        <f t="shared" si="21"/>
        <v>42362</v>
      </c>
      <c r="C110" s="228" t="str">
        <f t="shared" si="18"/>
        <v>Thursday</v>
      </c>
      <c r="D110" s="212">
        <f t="shared" si="16"/>
        <v>4620</v>
      </c>
      <c r="E110" s="212">
        <f t="shared" ca="1" si="19"/>
        <v>8980</v>
      </c>
      <c r="F110" s="212">
        <f t="shared" ca="1" si="19"/>
        <v>12560</v>
      </c>
      <c r="G110" s="212">
        <f t="shared" ca="1" si="19"/>
        <v>14480</v>
      </c>
      <c r="H110" s="212">
        <f t="shared" ca="1" si="17"/>
        <v>16600</v>
      </c>
      <c r="I110" s="212">
        <f t="shared" ca="1" si="17"/>
        <v>21100</v>
      </c>
      <c r="J110" s="212">
        <f t="shared" ca="1" si="17"/>
        <v>24080</v>
      </c>
    </row>
    <row r="111" spans="2:10" x14ac:dyDescent="0.15">
      <c r="B111" s="213">
        <f t="shared" si="21"/>
        <v>42363</v>
      </c>
      <c r="C111" s="228" t="str">
        <f t="shared" si="18"/>
        <v>Friday</v>
      </c>
      <c r="D111" s="212">
        <f t="shared" si="16"/>
        <v>4360</v>
      </c>
      <c r="E111" s="212">
        <f t="shared" ca="1" si="19"/>
        <v>7940</v>
      </c>
      <c r="F111" s="212">
        <f t="shared" ca="1" si="19"/>
        <v>9860</v>
      </c>
      <c r="G111" s="212">
        <f t="shared" ca="1" si="19"/>
        <v>11980</v>
      </c>
      <c r="H111" s="212">
        <f t="shared" ca="1" si="17"/>
        <v>16480</v>
      </c>
      <c r="I111" s="212">
        <f t="shared" ca="1" si="17"/>
        <v>19460</v>
      </c>
      <c r="J111" s="212">
        <f t="shared" ca="1" si="17"/>
        <v>24600</v>
      </c>
    </row>
    <row r="112" spans="2:10" x14ac:dyDescent="0.15">
      <c r="B112" s="213">
        <f t="shared" si="21"/>
        <v>42364</v>
      </c>
      <c r="C112" s="228" t="str">
        <f t="shared" si="18"/>
        <v>Saturday</v>
      </c>
      <c r="D112" s="212">
        <f t="shared" si="16"/>
        <v>3580</v>
      </c>
      <c r="E112" s="212">
        <f t="shared" ca="1" si="19"/>
        <v>5500</v>
      </c>
      <c r="F112" s="212">
        <f t="shared" ca="1" si="19"/>
        <v>7620</v>
      </c>
      <c r="G112" s="212">
        <f t="shared" ca="1" si="19"/>
        <v>12120</v>
      </c>
      <c r="H112" s="212">
        <f t="shared" ca="1" si="17"/>
        <v>15100</v>
      </c>
      <c r="I112" s="212">
        <f t="shared" ca="1" si="17"/>
        <v>20240</v>
      </c>
      <c r="J112" s="212" t="str">
        <f t="shared" ca="1" si="17"/>
        <v/>
      </c>
    </row>
    <row r="113" spans="2:10" x14ac:dyDescent="0.15">
      <c r="B113" s="213">
        <f t="shared" si="21"/>
        <v>42365</v>
      </c>
      <c r="C113" s="228" t="str">
        <f t="shared" si="18"/>
        <v>Sunday</v>
      </c>
      <c r="D113" s="212">
        <f t="shared" si="16"/>
        <v>1920</v>
      </c>
      <c r="E113" s="212">
        <f t="shared" ca="1" si="19"/>
        <v>4040</v>
      </c>
      <c r="F113" s="212">
        <f t="shared" ca="1" si="19"/>
        <v>8540</v>
      </c>
      <c r="G113" s="212">
        <f t="shared" ca="1" si="19"/>
        <v>11520</v>
      </c>
      <c r="H113" s="212">
        <f t="shared" ca="1" si="17"/>
        <v>16660</v>
      </c>
      <c r="I113" s="212" t="str">
        <f t="shared" ca="1" si="17"/>
        <v/>
      </c>
      <c r="J113" s="212" t="str">
        <f t="shared" ca="1" si="17"/>
        <v/>
      </c>
    </row>
    <row r="114" spans="2:10" x14ac:dyDescent="0.15">
      <c r="B114" s="213">
        <f t="shared" si="21"/>
        <v>42366</v>
      </c>
      <c r="C114" s="228" t="str">
        <f t="shared" si="18"/>
        <v>Monday</v>
      </c>
      <c r="D114" s="212">
        <f t="shared" si="16"/>
        <v>2120</v>
      </c>
      <c r="E114" s="212">
        <f t="shared" ca="1" si="19"/>
        <v>6620</v>
      </c>
      <c r="F114" s="212">
        <f t="shared" ca="1" si="19"/>
        <v>9600</v>
      </c>
      <c r="G114" s="212">
        <f t="shared" ca="1" si="19"/>
        <v>14740</v>
      </c>
      <c r="H114" s="212" t="str">
        <f t="shared" ca="1" si="17"/>
        <v/>
      </c>
      <c r="I114" s="212" t="str">
        <f t="shared" ca="1" si="17"/>
        <v/>
      </c>
      <c r="J114" s="212" t="str">
        <f t="shared" ca="1" si="17"/>
        <v/>
      </c>
    </row>
    <row r="115" spans="2:10" x14ac:dyDescent="0.15">
      <c r="B115" s="213">
        <f t="shared" si="21"/>
        <v>42367</v>
      </c>
      <c r="C115" s="228" t="str">
        <f t="shared" si="18"/>
        <v>Tuesday</v>
      </c>
      <c r="D115" s="212">
        <f t="shared" si="16"/>
        <v>4500</v>
      </c>
      <c r="E115" s="212">
        <f t="shared" ca="1" si="19"/>
        <v>7480</v>
      </c>
      <c r="F115" s="212">
        <f t="shared" ca="1" si="19"/>
        <v>12620</v>
      </c>
      <c r="G115" s="212" t="str">
        <f t="shared" ca="1" si="19"/>
        <v/>
      </c>
      <c r="H115" s="212" t="str">
        <f t="shared" ca="1" si="17"/>
        <v/>
      </c>
      <c r="I115" s="212" t="str">
        <f t="shared" ca="1" si="17"/>
        <v/>
      </c>
      <c r="J115" s="212" t="str">
        <f t="shared" ca="1" si="17"/>
        <v/>
      </c>
    </row>
    <row r="116" spans="2:10" x14ac:dyDescent="0.15">
      <c r="B116" s="213">
        <f t="shared" si="21"/>
        <v>42368</v>
      </c>
      <c r="C116" s="228" t="str">
        <f t="shared" si="18"/>
        <v>Wednesday</v>
      </c>
      <c r="D116" s="212">
        <f t="shared" si="16"/>
        <v>2980</v>
      </c>
      <c r="E116" s="212">
        <f t="shared" ca="1" si="19"/>
        <v>8120</v>
      </c>
      <c r="F116" s="212" t="str">
        <f t="shared" ca="1" si="19"/>
        <v/>
      </c>
      <c r="G116" s="212" t="str">
        <f t="shared" ca="1" si="19"/>
        <v/>
      </c>
      <c r="H116" s="212" t="str">
        <f t="shared" ca="1" si="17"/>
        <v/>
      </c>
      <c r="I116" s="212" t="str">
        <f t="shared" ca="1" si="17"/>
        <v/>
      </c>
      <c r="J116" s="212" t="str">
        <f t="shared" ca="1" si="17"/>
        <v/>
      </c>
    </row>
    <row r="117" spans="2:10" x14ac:dyDescent="0.15">
      <c r="B117" s="213">
        <f t="shared" si="21"/>
        <v>42369</v>
      </c>
      <c r="C117" s="228" t="str">
        <f t="shared" si="18"/>
        <v>Thursday</v>
      </c>
      <c r="D117" s="212">
        <f t="shared" si="16"/>
        <v>5140</v>
      </c>
      <c r="E117" s="212" t="str">
        <f t="shared" ca="1" si="19"/>
        <v/>
      </c>
      <c r="F117" s="212" t="str">
        <f t="shared" ca="1" si="19"/>
        <v/>
      </c>
      <c r="G117" s="212" t="str">
        <f t="shared" ca="1" si="19"/>
        <v/>
      </c>
      <c r="H117" s="212" t="str">
        <f t="shared" ca="1" si="17"/>
        <v/>
      </c>
      <c r="I117" s="212" t="str">
        <f t="shared" ca="1" si="17"/>
        <v/>
      </c>
      <c r="J117" s="212" t="str">
        <f t="shared" ca="1" si="17"/>
        <v/>
      </c>
    </row>
    <row r="118" spans="2:10" x14ac:dyDescent="0.15">
      <c r="B118" s="213" t="str">
        <f t="shared" si="21"/>
        <v/>
      </c>
      <c r="C118" s="228" t="str">
        <f t="shared" si="18"/>
        <v/>
      </c>
      <c r="D118" s="212" t="str">
        <f t="shared" si="16"/>
        <v/>
      </c>
      <c r="E118" s="212" t="str">
        <f t="shared" ca="1" si="19"/>
        <v/>
      </c>
      <c r="F118" s="212" t="str">
        <f t="shared" ca="1" si="19"/>
        <v/>
      </c>
      <c r="G118" s="212" t="str">
        <f t="shared" ca="1" si="19"/>
        <v/>
      </c>
      <c r="H118" s="212" t="str">
        <f t="shared" ca="1" si="17"/>
        <v/>
      </c>
      <c r="I118" s="212" t="str">
        <f t="shared" ca="1" si="17"/>
        <v/>
      </c>
      <c r="J118" s="212" t="str">
        <f t="shared" ca="1" si="17"/>
        <v/>
      </c>
    </row>
    <row r="119" spans="2:10" x14ac:dyDescent="0.15">
      <c r="B119" s="213" t="str">
        <f t="shared" si="21"/>
        <v/>
      </c>
      <c r="C119" s="228" t="str">
        <f t="shared" si="18"/>
        <v/>
      </c>
      <c r="D119" s="212" t="str">
        <f t="shared" si="16"/>
        <v/>
      </c>
      <c r="E119" s="212" t="str">
        <f t="shared" ca="1" si="19"/>
        <v/>
      </c>
      <c r="F119" s="212" t="str">
        <f t="shared" ca="1" si="19"/>
        <v/>
      </c>
      <c r="G119" s="212" t="str">
        <f t="shared" ca="1" si="19"/>
        <v/>
      </c>
      <c r="H119" s="212" t="str">
        <f t="shared" ca="1" si="17"/>
        <v/>
      </c>
      <c r="I119" s="212" t="str">
        <f t="shared" ca="1" si="17"/>
        <v/>
      </c>
      <c r="J119" s="212" t="str">
        <f t="shared" ca="1" si="17"/>
        <v/>
      </c>
    </row>
    <row r="120" spans="2:10" x14ac:dyDescent="0.15">
      <c r="B120" s="213" t="str">
        <f t="shared" si="21"/>
        <v/>
      </c>
      <c r="C120" s="228" t="str">
        <f t="shared" si="18"/>
        <v/>
      </c>
      <c r="D120" s="212" t="str">
        <f t="shared" si="16"/>
        <v/>
      </c>
      <c r="E120" s="212" t="str">
        <f t="shared" ca="1" si="19"/>
        <v/>
      </c>
      <c r="F120" s="212" t="str">
        <f t="shared" ca="1" si="19"/>
        <v/>
      </c>
      <c r="G120" s="212" t="str">
        <f t="shared" ca="1" si="19"/>
        <v/>
      </c>
      <c r="H120" s="212" t="str">
        <f t="shared" ca="1" si="17"/>
        <v/>
      </c>
      <c r="I120" s="212" t="str">
        <f t="shared" ca="1" si="17"/>
        <v/>
      </c>
      <c r="J120" s="212" t="str">
        <f t="shared" ca="1" si="17"/>
        <v/>
      </c>
    </row>
    <row r="121" spans="2:10" x14ac:dyDescent="0.15">
      <c r="B121" s="213" t="str">
        <f t="shared" si="21"/>
        <v/>
      </c>
      <c r="C121" s="228" t="str">
        <f t="shared" si="18"/>
        <v/>
      </c>
      <c r="D121" s="212" t="str">
        <f t="shared" si="16"/>
        <v/>
      </c>
      <c r="E121" s="212" t="str">
        <f t="shared" ca="1" si="19"/>
        <v/>
      </c>
      <c r="F121" s="212" t="str">
        <f t="shared" ca="1" si="19"/>
        <v/>
      </c>
      <c r="G121" s="212" t="str">
        <f t="shared" ca="1" si="19"/>
        <v/>
      </c>
      <c r="H121" s="212" t="str">
        <f t="shared" ca="1" si="17"/>
        <v/>
      </c>
      <c r="I121" s="212" t="str">
        <f t="shared" ca="1" si="17"/>
        <v/>
      </c>
      <c r="J121" s="212" t="str">
        <f t="shared" ca="1" si="17"/>
        <v/>
      </c>
    </row>
    <row r="122" spans="2:10" x14ac:dyDescent="0.15">
      <c r="B122" s="213" t="str">
        <f t="shared" si="21"/>
        <v/>
      </c>
      <c r="C122" s="228" t="str">
        <f t="shared" si="18"/>
        <v/>
      </c>
      <c r="D122" s="212" t="str">
        <f t="shared" si="16"/>
        <v/>
      </c>
      <c r="E122" s="212" t="str">
        <f t="shared" ca="1" si="19"/>
        <v/>
      </c>
      <c r="F122" s="212" t="str">
        <f t="shared" ca="1" si="19"/>
        <v/>
      </c>
      <c r="G122" s="212" t="str">
        <f t="shared" ca="1" si="19"/>
        <v/>
      </c>
      <c r="H122" s="212" t="str">
        <f t="shared" ca="1" si="17"/>
        <v/>
      </c>
      <c r="I122" s="212" t="str">
        <f t="shared" ca="1" si="17"/>
        <v/>
      </c>
      <c r="J122" s="212" t="str">
        <f t="shared" ca="1" si="17"/>
        <v/>
      </c>
    </row>
    <row r="123" spans="2:10" x14ac:dyDescent="0.15">
      <c r="B123" s="213" t="str">
        <f t="shared" si="21"/>
        <v/>
      </c>
      <c r="C123" s="228" t="str">
        <f t="shared" si="18"/>
        <v/>
      </c>
      <c r="D123" s="212" t="str">
        <f t="shared" si="16"/>
        <v/>
      </c>
      <c r="E123" s="212" t="str">
        <f t="shared" ca="1" si="19"/>
        <v/>
      </c>
      <c r="F123" s="212" t="str">
        <f t="shared" ca="1" si="19"/>
        <v/>
      </c>
      <c r="G123" s="212" t="str">
        <f t="shared" ca="1" si="19"/>
        <v/>
      </c>
      <c r="H123" s="212" t="str">
        <f t="shared" ca="1" si="17"/>
        <v/>
      </c>
      <c r="I123" s="212" t="str">
        <f t="shared" ca="1" si="17"/>
        <v/>
      </c>
      <c r="J123" s="212" t="str">
        <f t="shared" ca="1" si="17"/>
        <v/>
      </c>
    </row>
    <row r="124" spans="2:10" x14ac:dyDescent="0.15">
      <c r="B124" s="213" t="str">
        <f t="shared" si="21"/>
        <v/>
      </c>
      <c r="C124" s="228" t="str">
        <f t="shared" si="18"/>
        <v/>
      </c>
      <c r="D124" s="212" t="str">
        <f t="shared" si="16"/>
        <v/>
      </c>
      <c r="E124" s="212" t="str">
        <f t="shared" ca="1" si="19"/>
        <v/>
      </c>
      <c r="F124" s="212" t="str">
        <f t="shared" ca="1" si="19"/>
        <v/>
      </c>
      <c r="G124" s="212" t="str">
        <f t="shared" ca="1" si="19"/>
        <v/>
      </c>
      <c r="H124" s="212" t="str">
        <f t="shared" ca="1" si="17"/>
        <v/>
      </c>
      <c r="I124" s="212" t="str">
        <f t="shared" ca="1" si="17"/>
        <v/>
      </c>
      <c r="J124" s="212" t="str">
        <f t="shared" ca="1" si="17"/>
        <v/>
      </c>
    </row>
    <row r="125" spans="2:10" x14ac:dyDescent="0.15">
      <c r="B125" s="213" t="str">
        <f t="shared" si="21"/>
        <v/>
      </c>
      <c r="C125" s="228" t="str">
        <f t="shared" si="18"/>
        <v/>
      </c>
      <c r="D125" s="212" t="str">
        <f t="shared" si="16"/>
        <v/>
      </c>
      <c r="E125" s="212" t="str">
        <f t="shared" ca="1" si="19"/>
        <v/>
      </c>
      <c r="F125" s="212" t="str">
        <f t="shared" ca="1" si="19"/>
        <v/>
      </c>
      <c r="G125" s="212" t="str">
        <f t="shared" ca="1" si="19"/>
        <v/>
      </c>
      <c r="H125" s="212" t="str">
        <f t="shared" ca="1" si="17"/>
        <v/>
      </c>
      <c r="I125" s="212" t="str">
        <f t="shared" ca="1" si="17"/>
        <v/>
      </c>
      <c r="J125" s="212" t="str">
        <f t="shared" ca="1" si="17"/>
        <v/>
      </c>
    </row>
    <row r="126" spans="2:10" x14ac:dyDescent="0.15">
      <c r="B126" s="213" t="str">
        <f t="shared" si="21"/>
        <v/>
      </c>
      <c r="C126" s="228" t="str">
        <f t="shared" si="18"/>
        <v/>
      </c>
      <c r="D126" s="212" t="str">
        <f t="shared" si="16"/>
        <v/>
      </c>
      <c r="E126" s="212" t="str">
        <f t="shared" ca="1" si="19"/>
        <v/>
      </c>
      <c r="F126" s="212" t="str">
        <f t="shared" ca="1" si="19"/>
        <v/>
      </c>
      <c r="G126" s="212" t="str">
        <f t="shared" ca="1" si="19"/>
        <v/>
      </c>
      <c r="H126" s="212" t="str">
        <f t="shared" ca="1" si="17"/>
        <v/>
      </c>
      <c r="I126" s="212" t="str">
        <f t="shared" ca="1" si="17"/>
        <v/>
      </c>
      <c r="J126" s="212" t="str">
        <f t="shared" ca="1" si="17"/>
        <v/>
      </c>
    </row>
    <row r="127" spans="2:10" x14ac:dyDescent="0.15">
      <c r="B127" s="213" t="str">
        <f t="shared" si="21"/>
        <v/>
      </c>
      <c r="C127" s="228" t="str">
        <f t="shared" si="18"/>
        <v/>
      </c>
      <c r="D127" s="212" t="str">
        <f t="shared" si="16"/>
        <v/>
      </c>
      <c r="E127" s="212" t="str">
        <f t="shared" ca="1" si="19"/>
        <v/>
      </c>
      <c r="F127" s="212" t="str">
        <f t="shared" ca="1" si="19"/>
        <v/>
      </c>
      <c r="G127" s="212" t="str">
        <f t="shared" ca="1" si="19"/>
        <v/>
      </c>
      <c r="H127" s="212" t="str">
        <f t="shared" ca="1" si="17"/>
        <v/>
      </c>
      <c r="I127" s="212" t="str">
        <f t="shared" ca="1" si="17"/>
        <v/>
      </c>
      <c r="J127" s="212" t="str">
        <f t="shared" ca="1" si="17"/>
        <v/>
      </c>
    </row>
    <row r="128" spans="2:10" x14ac:dyDescent="0.15">
      <c r="B128" s="213" t="str">
        <f t="shared" si="21"/>
        <v/>
      </c>
      <c r="C128" s="228" t="str">
        <f t="shared" si="18"/>
        <v/>
      </c>
      <c r="D128" s="212" t="str">
        <f t="shared" si="16"/>
        <v/>
      </c>
      <c r="E128" s="212" t="str">
        <f t="shared" ca="1" si="19"/>
        <v/>
      </c>
      <c r="F128" s="212" t="str">
        <f t="shared" ca="1" si="19"/>
        <v/>
      </c>
      <c r="G128" s="212" t="str">
        <f t="shared" ca="1" si="19"/>
        <v/>
      </c>
      <c r="H128" s="212" t="str">
        <f t="shared" ca="1" si="17"/>
        <v/>
      </c>
      <c r="I128" s="212" t="str">
        <f t="shared" ca="1" si="17"/>
        <v/>
      </c>
      <c r="J128" s="212" t="str">
        <f t="shared" ca="1" si="17"/>
        <v/>
      </c>
    </row>
    <row r="129" spans="2:10" x14ac:dyDescent="0.15">
      <c r="B129" s="213" t="str">
        <f t="shared" si="21"/>
        <v/>
      </c>
      <c r="C129" s="228" t="str">
        <f t="shared" si="18"/>
        <v/>
      </c>
      <c r="D129" s="212" t="str">
        <f t="shared" si="16"/>
        <v/>
      </c>
      <c r="E129" s="212" t="str">
        <f t="shared" ca="1" si="19"/>
        <v/>
      </c>
      <c r="F129" s="212" t="str">
        <f t="shared" ca="1" si="19"/>
        <v/>
      </c>
      <c r="G129" s="212" t="str">
        <f t="shared" ca="1" si="19"/>
        <v/>
      </c>
      <c r="H129" s="212" t="str">
        <f t="shared" ca="1" si="17"/>
        <v/>
      </c>
      <c r="I129" s="212" t="str">
        <f t="shared" ca="1" si="17"/>
        <v/>
      </c>
      <c r="J129" s="212" t="str">
        <f t="shared" ca="1" si="17"/>
        <v/>
      </c>
    </row>
    <row r="130" spans="2:10" x14ac:dyDescent="0.15">
      <c r="B130" s="213" t="str">
        <f t="shared" si="21"/>
        <v/>
      </c>
      <c r="C130" s="228" t="str">
        <f t="shared" si="18"/>
        <v/>
      </c>
      <c r="D130" s="212" t="str">
        <f t="shared" si="16"/>
        <v/>
      </c>
      <c r="E130" s="212" t="str">
        <f t="shared" ca="1" si="19"/>
        <v/>
      </c>
      <c r="F130" s="212" t="str">
        <f t="shared" ca="1" si="19"/>
        <v/>
      </c>
      <c r="G130" s="212" t="str">
        <f t="shared" ca="1" si="19"/>
        <v/>
      </c>
      <c r="H130" s="212" t="str">
        <f t="shared" ca="1" si="17"/>
        <v/>
      </c>
      <c r="I130" s="212" t="str">
        <f t="shared" ca="1" si="17"/>
        <v/>
      </c>
      <c r="J130" s="212" t="str">
        <f t="shared" ca="1" si="17"/>
        <v/>
      </c>
    </row>
    <row r="131" spans="2:10" x14ac:dyDescent="0.15">
      <c r="B131" s="213" t="str">
        <f t="shared" si="21"/>
        <v/>
      </c>
      <c r="C131" s="228" t="str">
        <f t="shared" si="18"/>
        <v/>
      </c>
      <c r="D131" s="212" t="str">
        <f t="shared" si="16"/>
        <v/>
      </c>
      <c r="E131" s="212" t="str">
        <f t="shared" ca="1" si="19"/>
        <v/>
      </c>
      <c r="F131" s="212" t="str">
        <f t="shared" ca="1" si="19"/>
        <v/>
      </c>
      <c r="G131" s="212" t="str">
        <f t="shared" ca="1" si="19"/>
        <v/>
      </c>
      <c r="H131" s="212" t="str">
        <f t="shared" ca="1" si="17"/>
        <v/>
      </c>
      <c r="I131" s="212" t="str">
        <f t="shared" ca="1" si="17"/>
        <v/>
      </c>
      <c r="J131" s="212" t="str">
        <f t="shared" ca="1" si="17"/>
        <v/>
      </c>
    </row>
    <row r="132" spans="2:10" x14ac:dyDescent="0.15">
      <c r="B132" s="213" t="str">
        <f t="shared" si="21"/>
        <v/>
      </c>
      <c r="C132" s="228" t="str">
        <f t="shared" si="18"/>
        <v/>
      </c>
      <c r="D132" s="212" t="str">
        <f t="shared" si="16"/>
        <v/>
      </c>
      <c r="E132" s="212" t="str">
        <f t="shared" ca="1" si="19"/>
        <v/>
      </c>
      <c r="F132" s="212" t="str">
        <f t="shared" ca="1" si="19"/>
        <v/>
      </c>
      <c r="G132" s="212" t="str">
        <f t="shared" ca="1" si="19"/>
        <v/>
      </c>
      <c r="H132" s="212" t="str">
        <f t="shared" ca="1" si="17"/>
        <v/>
      </c>
      <c r="I132" s="212" t="str">
        <f t="shared" ca="1" si="17"/>
        <v/>
      </c>
      <c r="J132" s="212" t="str">
        <f t="shared" ca="1" si="17"/>
        <v/>
      </c>
    </row>
    <row r="133" spans="2:10" x14ac:dyDescent="0.15">
      <c r="B133" s="213" t="str">
        <f t="shared" si="21"/>
        <v/>
      </c>
      <c r="C133" s="228" t="str">
        <f t="shared" si="18"/>
        <v/>
      </c>
      <c r="D133" s="212" t="str">
        <f t="shared" si="16"/>
        <v/>
      </c>
      <c r="E133" s="212" t="str">
        <f t="shared" ca="1" si="19"/>
        <v/>
      </c>
      <c r="F133" s="212" t="str">
        <f t="shared" ca="1" si="19"/>
        <v/>
      </c>
      <c r="G133" s="212" t="str">
        <f t="shared" ca="1" si="19"/>
        <v/>
      </c>
      <c r="H133" s="212" t="str">
        <f t="shared" ca="1" si="17"/>
        <v/>
      </c>
      <c r="I133" s="212" t="str">
        <f t="shared" ca="1" si="17"/>
        <v/>
      </c>
      <c r="J133" s="212" t="str">
        <f t="shared" ca="1" si="17"/>
        <v/>
      </c>
    </row>
    <row r="134" spans="2:10" x14ac:dyDescent="0.15">
      <c r="B134" s="213" t="str">
        <f t="shared" si="21"/>
        <v/>
      </c>
      <c r="C134" s="228" t="str">
        <f t="shared" si="18"/>
        <v/>
      </c>
      <c r="D134" s="212" t="str">
        <f t="shared" si="16"/>
        <v/>
      </c>
      <c r="E134" s="212" t="str">
        <f t="shared" ca="1" si="19"/>
        <v/>
      </c>
      <c r="F134" s="212" t="str">
        <f t="shared" ca="1" si="19"/>
        <v/>
      </c>
      <c r="G134" s="212" t="str">
        <f t="shared" ca="1" si="19"/>
        <v/>
      </c>
      <c r="H134" s="212" t="str">
        <f t="shared" ca="1" si="17"/>
        <v/>
      </c>
      <c r="I134" s="212" t="str">
        <f t="shared" ca="1" si="17"/>
        <v/>
      </c>
      <c r="J134" s="212" t="str">
        <f t="shared" ca="1" si="17"/>
        <v/>
      </c>
    </row>
    <row r="135" spans="2:10" x14ac:dyDescent="0.15">
      <c r="B135" s="213" t="str">
        <f t="shared" si="21"/>
        <v/>
      </c>
      <c r="C135" s="228" t="str">
        <f t="shared" si="18"/>
        <v/>
      </c>
      <c r="D135" s="212" t="str">
        <f t="shared" si="16"/>
        <v/>
      </c>
      <c r="E135" s="212" t="str">
        <f t="shared" ca="1" si="19"/>
        <v/>
      </c>
      <c r="F135" s="212" t="str">
        <f t="shared" ca="1" si="19"/>
        <v/>
      </c>
      <c r="G135" s="212" t="str">
        <f t="shared" ca="1" si="19"/>
        <v/>
      </c>
      <c r="H135" s="212" t="str">
        <f t="shared" ca="1" si="17"/>
        <v/>
      </c>
      <c r="I135" s="212" t="str">
        <f t="shared" ca="1" si="17"/>
        <v/>
      </c>
      <c r="J135" s="212" t="str">
        <f t="shared" ca="1" si="17"/>
        <v/>
      </c>
    </row>
    <row r="136" spans="2:10" x14ac:dyDescent="0.15">
      <c r="B136" s="213" t="str">
        <f t="shared" si="21"/>
        <v/>
      </c>
      <c r="C136" s="228" t="str">
        <f t="shared" si="18"/>
        <v/>
      </c>
      <c r="D136" s="212" t="str">
        <f t="shared" si="16"/>
        <v/>
      </c>
      <c r="E136" s="212" t="str">
        <f t="shared" ca="1" si="19"/>
        <v/>
      </c>
      <c r="F136" s="212" t="str">
        <f t="shared" ca="1" si="19"/>
        <v/>
      </c>
      <c r="G136" s="212" t="str">
        <f t="shared" ca="1" si="19"/>
        <v/>
      </c>
      <c r="H136" s="212" t="str">
        <f t="shared" ca="1" si="17"/>
        <v/>
      </c>
      <c r="I136" s="212" t="str">
        <f t="shared" ca="1" si="17"/>
        <v/>
      </c>
      <c r="J136" s="212" t="str">
        <f t="shared" ca="1" si="17"/>
        <v/>
      </c>
    </row>
    <row r="137" spans="2:10" x14ac:dyDescent="0.15">
      <c r="B137" s="213" t="str">
        <f t="shared" si="21"/>
        <v/>
      </c>
      <c r="C137" s="228" t="str">
        <f t="shared" si="18"/>
        <v/>
      </c>
      <c r="D137" s="212" t="str">
        <f t="shared" si="16"/>
        <v/>
      </c>
      <c r="E137" s="212" t="str">
        <f t="shared" ca="1" si="19"/>
        <v/>
      </c>
      <c r="F137" s="212" t="str">
        <f t="shared" ca="1" si="19"/>
        <v/>
      </c>
      <c r="G137" s="212" t="str">
        <f t="shared" ca="1" si="19"/>
        <v/>
      </c>
      <c r="H137" s="212" t="str">
        <f t="shared" ca="1" si="17"/>
        <v/>
      </c>
      <c r="I137" s="212" t="str">
        <f t="shared" ca="1" si="17"/>
        <v/>
      </c>
      <c r="J137" s="212" t="str">
        <f t="shared" ca="1" si="17"/>
        <v/>
      </c>
    </row>
    <row r="138" spans="2:10" x14ac:dyDescent="0.15">
      <c r="B138" s="213" t="str">
        <f t="shared" si="21"/>
        <v/>
      </c>
      <c r="C138" s="228" t="str">
        <f t="shared" si="18"/>
        <v/>
      </c>
      <c r="D138" s="212" t="str">
        <f t="shared" si="16"/>
        <v/>
      </c>
      <c r="E138" s="212" t="str">
        <f t="shared" ca="1" si="19"/>
        <v/>
      </c>
      <c r="F138" s="212" t="str">
        <f t="shared" ca="1" si="19"/>
        <v/>
      </c>
      <c r="G138" s="212" t="str">
        <f t="shared" ca="1" si="19"/>
        <v/>
      </c>
      <c r="H138" s="212" t="str">
        <f t="shared" ca="1" si="17"/>
        <v/>
      </c>
      <c r="I138" s="212" t="str">
        <f t="shared" ca="1" si="17"/>
        <v/>
      </c>
      <c r="J138" s="212" t="str">
        <f t="shared" ca="1" si="17"/>
        <v/>
      </c>
    </row>
    <row r="139" spans="2:10" x14ac:dyDescent="0.15">
      <c r="B139" s="213" t="str">
        <f t="shared" si="21"/>
        <v/>
      </c>
      <c r="C139" s="228" t="str">
        <f t="shared" si="18"/>
        <v/>
      </c>
      <c r="D139" s="212" t="str">
        <f t="shared" si="16"/>
        <v/>
      </c>
      <c r="E139" s="212" t="str">
        <f t="shared" ca="1" si="19"/>
        <v/>
      </c>
      <c r="F139" s="212" t="str">
        <f t="shared" ca="1" si="19"/>
        <v/>
      </c>
      <c r="G139" s="212" t="str">
        <f t="shared" ca="1" si="19"/>
        <v/>
      </c>
      <c r="H139" s="212" t="str">
        <f t="shared" ca="1" si="17"/>
        <v/>
      </c>
      <c r="I139" s="212" t="str">
        <f t="shared" ca="1" si="17"/>
        <v/>
      </c>
      <c r="J139" s="212" t="str">
        <f t="shared" ca="1" si="17"/>
        <v/>
      </c>
    </row>
    <row r="140" spans="2:10" x14ac:dyDescent="0.15">
      <c r="B140" s="213" t="str">
        <f t="shared" si="21"/>
        <v/>
      </c>
      <c r="C140" s="228" t="str">
        <f t="shared" si="18"/>
        <v/>
      </c>
      <c r="D140" s="212" t="str">
        <f t="shared" si="16"/>
        <v/>
      </c>
      <c r="E140" s="212" t="str">
        <f t="shared" ca="1" si="19"/>
        <v/>
      </c>
      <c r="F140" s="212" t="str">
        <f t="shared" ca="1" si="19"/>
        <v/>
      </c>
      <c r="G140" s="212" t="str">
        <f t="shared" ca="1" si="19"/>
        <v/>
      </c>
      <c r="H140" s="212" t="str">
        <f t="shared" ca="1" si="17"/>
        <v/>
      </c>
      <c r="I140" s="212" t="str">
        <f t="shared" ca="1" si="17"/>
        <v/>
      </c>
      <c r="J140" s="212" t="str">
        <f t="shared" ca="1" si="17"/>
        <v/>
      </c>
    </row>
    <row r="141" spans="2:10" x14ac:dyDescent="0.15">
      <c r="B141" s="213" t="str">
        <f t="shared" si="21"/>
        <v/>
      </c>
      <c r="C141" s="228" t="str">
        <f t="shared" si="18"/>
        <v/>
      </c>
      <c r="D141" s="212" t="str">
        <f t="shared" si="16"/>
        <v/>
      </c>
      <c r="E141" s="212" t="str">
        <f t="shared" ca="1" si="19"/>
        <v/>
      </c>
      <c r="F141" s="212" t="str">
        <f t="shared" ca="1" si="19"/>
        <v/>
      </c>
      <c r="G141" s="212" t="str">
        <f t="shared" ca="1" si="19"/>
        <v/>
      </c>
      <c r="H141" s="212" t="str">
        <f t="shared" ca="1" si="17"/>
        <v/>
      </c>
      <c r="I141" s="212" t="str">
        <f t="shared" ca="1" si="17"/>
        <v/>
      </c>
      <c r="J141" s="212" t="str">
        <f t="shared" ca="1" si="17"/>
        <v/>
      </c>
    </row>
    <row r="142" spans="2:10" x14ac:dyDescent="0.15">
      <c r="B142" s="213" t="str">
        <f t="shared" si="21"/>
        <v/>
      </c>
      <c r="C142" s="228" t="str">
        <f t="shared" si="18"/>
        <v/>
      </c>
      <c r="D142" s="212" t="str">
        <f t="shared" si="16"/>
        <v/>
      </c>
      <c r="E142" s="212" t="str">
        <f t="shared" ca="1" si="19"/>
        <v/>
      </c>
      <c r="F142" s="212" t="str">
        <f t="shared" ca="1" si="19"/>
        <v/>
      </c>
      <c r="G142" s="212" t="str">
        <f t="shared" ca="1" si="19"/>
        <v/>
      </c>
      <c r="H142" s="212" t="str">
        <f t="shared" ca="1" si="17"/>
        <v/>
      </c>
      <c r="I142" s="212" t="str">
        <f t="shared" ca="1" si="17"/>
        <v/>
      </c>
      <c r="J142" s="212" t="str">
        <f t="shared" ca="1" si="17"/>
        <v/>
      </c>
    </row>
    <row r="143" spans="2:10" x14ac:dyDescent="0.15">
      <c r="B143" s="213" t="str">
        <f t="shared" si="21"/>
        <v/>
      </c>
      <c r="C143" s="228" t="str">
        <f t="shared" si="18"/>
        <v/>
      </c>
      <c r="D143" s="212" t="str">
        <f t="shared" si="16"/>
        <v/>
      </c>
      <c r="E143" s="212" t="str">
        <f t="shared" ca="1" si="19"/>
        <v/>
      </c>
      <c r="F143" s="212" t="str">
        <f t="shared" ca="1" si="19"/>
        <v/>
      </c>
      <c r="G143" s="212" t="str">
        <f t="shared" ca="1" si="19"/>
        <v/>
      </c>
      <c r="H143" s="212" t="str">
        <f t="shared" ca="1" si="17"/>
        <v/>
      </c>
      <c r="I143" s="212" t="str">
        <f t="shared" ca="1" si="17"/>
        <v/>
      </c>
      <c r="J143" s="212" t="str">
        <f t="shared" ca="1" si="17"/>
        <v/>
      </c>
    </row>
    <row r="144" spans="2:10" x14ac:dyDescent="0.15">
      <c r="B144" s="213" t="str">
        <f t="shared" si="21"/>
        <v/>
      </c>
      <c r="C144" s="228" t="str">
        <f t="shared" si="18"/>
        <v/>
      </c>
      <c r="D144" s="212" t="str">
        <f t="shared" si="16"/>
        <v/>
      </c>
      <c r="E144" s="212" t="str">
        <f t="shared" ca="1" si="19"/>
        <v/>
      </c>
      <c r="F144" s="212" t="str">
        <f t="shared" ca="1" si="19"/>
        <v/>
      </c>
      <c r="G144" s="212" t="str">
        <f t="shared" ca="1" si="19"/>
        <v/>
      </c>
      <c r="H144" s="212" t="str">
        <f t="shared" ca="1" si="17"/>
        <v/>
      </c>
      <c r="I144" s="212" t="str">
        <f t="shared" ca="1" si="17"/>
        <v/>
      </c>
      <c r="J144" s="212" t="str">
        <f t="shared" ca="1" si="17"/>
        <v/>
      </c>
    </row>
    <row r="145" spans="2:10" x14ac:dyDescent="0.15">
      <c r="B145" s="213" t="str">
        <f t="shared" si="21"/>
        <v/>
      </c>
      <c r="C145" s="228" t="str">
        <f t="shared" si="18"/>
        <v/>
      </c>
      <c r="D145" s="212" t="str">
        <f t="shared" si="16"/>
        <v/>
      </c>
      <c r="E145" s="212" t="str">
        <f t="shared" ca="1" si="19"/>
        <v/>
      </c>
      <c r="F145" s="212" t="str">
        <f t="shared" ca="1" si="19"/>
        <v/>
      </c>
      <c r="G145" s="212" t="str">
        <f t="shared" ca="1" si="19"/>
        <v/>
      </c>
      <c r="H145" s="212" t="str">
        <f t="shared" ca="1" si="17"/>
        <v/>
      </c>
      <c r="I145" s="212" t="str">
        <f t="shared" ca="1" si="17"/>
        <v/>
      </c>
      <c r="J145" s="212" t="str">
        <f t="shared" ca="1" si="17"/>
        <v/>
      </c>
    </row>
    <row r="146" spans="2:10" x14ac:dyDescent="0.15">
      <c r="B146" s="213" t="str">
        <f t="shared" si="21"/>
        <v/>
      </c>
      <c r="C146" s="228" t="str">
        <f t="shared" si="18"/>
        <v/>
      </c>
      <c r="D146" s="212" t="str">
        <f t="shared" si="16"/>
        <v/>
      </c>
      <c r="E146" s="212" t="str">
        <f t="shared" ca="1" si="19"/>
        <v/>
      </c>
      <c r="F146" s="212" t="str">
        <f t="shared" ca="1" si="19"/>
        <v/>
      </c>
      <c r="G146" s="212" t="str">
        <f t="shared" ca="1" si="19"/>
        <v/>
      </c>
      <c r="H146" s="212" t="str">
        <f t="shared" ca="1" si="17"/>
        <v/>
      </c>
      <c r="I146" s="212" t="str">
        <f t="shared" ca="1" si="17"/>
        <v/>
      </c>
      <c r="J146" s="212" t="str">
        <f t="shared" ca="1" si="17"/>
        <v/>
      </c>
    </row>
    <row r="147" spans="2:10" x14ac:dyDescent="0.15">
      <c r="B147" s="213" t="str">
        <f t="shared" si="21"/>
        <v/>
      </c>
      <c r="C147" s="228" t="str">
        <f t="shared" si="18"/>
        <v/>
      </c>
      <c r="D147" s="212" t="str">
        <f t="shared" si="16"/>
        <v/>
      </c>
      <c r="E147" s="212" t="str">
        <f t="shared" ca="1" si="19"/>
        <v/>
      </c>
      <c r="F147" s="212" t="str">
        <f t="shared" ca="1" si="19"/>
        <v/>
      </c>
      <c r="G147" s="212" t="str">
        <f t="shared" ca="1" si="19"/>
        <v/>
      </c>
      <c r="H147" s="212" t="str">
        <f t="shared" ca="1" si="17"/>
        <v/>
      </c>
      <c r="I147" s="212" t="str">
        <f t="shared" ca="1" si="17"/>
        <v/>
      </c>
      <c r="J147" s="212" t="str">
        <f t="shared" ca="1" si="17"/>
        <v/>
      </c>
    </row>
    <row r="148" spans="2:10" x14ac:dyDescent="0.15">
      <c r="B148" s="213" t="str">
        <f t="shared" si="21"/>
        <v/>
      </c>
      <c r="C148" s="228" t="str">
        <f t="shared" si="18"/>
        <v/>
      </c>
      <c r="D148" s="212" t="str">
        <f t="shared" si="16"/>
        <v/>
      </c>
      <c r="E148" s="212" t="str">
        <f t="shared" ca="1" si="19"/>
        <v/>
      </c>
      <c r="F148" s="212" t="str">
        <f t="shared" ca="1" si="19"/>
        <v/>
      </c>
      <c r="G148" s="212" t="str">
        <f t="shared" ca="1" si="19"/>
        <v/>
      </c>
      <c r="H148" s="212" t="str">
        <f t="shared" ca="1" si="17"/>
        <v/>
      </c>
      <c r="I148" s="212" t="str">
        <f t="shared" ca="1" si="17"/>
        <v/>
      </c>
      <c r="J148" s="212" t="str">
        <f t="shared" ca="1" si="17"/>
        <v/>
      </c>
    </row>
    <row r="149" spans="2:10" x14ac:dyDescent="0.15">
      <c r="B149" s="213" t="str">
        <f t="shared" si="21"/>
        <v/>
      </c>
      <c r="C149" s="228" t="str">
        <f t="shared" si="18"/>
        <v/>
      </c>
      <c r="D149" s="212" t="str">
        <f t="shared" si="16"/>
        <v/>
      </c>
      <c r="E149" s="212" t="str">
        <f t="shared" ca="1" si="19"/>
        <v/>
      </c>
      <c r="F149" s="212" t="str">
        <f t="shared" ca="1" si="19"/>
        <v/>
      </c>
      <c r="G149" s="212" t="str">
        <f t="shared" ca="1" si="19"/>
        <v/>
      </c>
      <c r="H149" s="212" t="str">
        <f t="shared" ca="1" si="17"/>
        <v/>
      </c>
      <c r="I149" s="212" t="str">
        <f t="shared" ca="1" si="17"/>
        <v/>
      </c>
      <c r="J149" s="212" t="str">
        <f t="shared" ca="1" si="17"/>
        <v/>
      </c>
    </row>
    <row r="150" spans="2:10" x14ac:dyDescent="0.15">
      <c r="B150" s="213" t="str">
        <f t="shared" si="21"/>
        <v/>
      </c>
      <c r="C150" s="228" t="str">
        <f t="shared" si="18"/>
        <v/>
      </c>
      <c r="D150" s="212" t="str">
        <f t="shared" si="16"/>
        <v/>
      </c>
      <c r="E150" s="212" t="str">
        <f t="shared" ca="1" si="19"/>
        <v/>
      </c>
      <c r="F150" s="212" t="str">
        <f t="shared" ca="1" si="19"/>
        <v/>
      </c>
      <c r="G150" s="212" t="str">
        <f t="shared" ca="1" si="19"/>
        <v/>
      </c>
      <c r="H150" s="212" t="str">
        <f t="shared" ca="1" si="17"/>
        <v/>
      </c>
      <c r="I150" s="212" t="str">
        <f t="shared" ca="1" si="17"/>
        <v/>
      </c>
      <c r="J150" s="212" t="str">
        <f t="shared" ca="1" si="17"/>
        <v/>
      </c>
    </row>
    <row r="151" spans="2:10" x14ac:dyDescent="0.15">
      <c r="B151" s="213" t="str">
        <f t="shared" si="21"/>
        <v/>
      </c>
      <c r="C151" s="228" t="str">
        <f t="shared" si="18"/>
        <v/>
      </c>
      <c r="D151" s="212" t="str">
        <f t="shared" si="16"/>
        <v/>
      </c>
      <c r="E151" s="212" t="str">
        <f t="shared" ca="1" si="19"/>
        <v/>
      </c>
      <c r="F151" s="212" t="str">
        <f t="shared" ca="1" si="19"/>
        <v/>
      </c>
      <c r="G151" s="212" t="str">
        <f t="shared" ca="1" si="19"/>
        <v/>
      </c>
      <c r="H151" s="212" t="str">
        <f t="shared" ca="1" si="17"/>
        <v/>
      </c>
      <c r="I151" s="212" t="str">
        <f t="shared" ca="1" si="17"/>
        <v/>
      </c>
      <c r="J151" s="212" t="str">
        <f t="shared" ca="1" si="17"/>
        <v/>
      </c>
    </row>
    <row r="152" spans="2:10" x14ac:dyDescent="0.15">
      <c r="B152" s="213" t="str">
        <f t="shared" si="21"/>
        <v/>
      </c>
      <c r="C152" s="228" t="str">
        <f t="shared" si="18"/>
        <v/>
      </c>
      <c r="D152" s="212" t="str">
        <f t="shared" si="16"/>
        <v/>
      </c>
      <c r="E152" s="212" t="str">
        <f t="shared" ca="1" si="19"/>
        <v/>
      </c>
      <c r="F152" s="212" t="str">
        <f t="shared" ca="1" si="19"/>
        <v/>
      </c>
      <c r="G152" s="212" t="str">
        <f t="shared" ca="1" si="19"/>
        <v/>
      </c>
      <c r="H152" s="212" t="str">
        <f t="shared" ca="1" si="17"/>
        <v/>
      </c>
      <c r="I152" s="212" t="str">
        <f t="shared" ca="1" si="17"/>
        <v/>
      </c>
      <c r="J152" s="212" t="str">
        <f t="shared" ca="1" si="17"/>
        <v/>
      </c>
    </row>
    <row r="153" spans="2:10" x14ac:dyDescent="0.15">
      <c r="B153" s="213" t="str">
        <f t="shared" si="21"/>
        <v/>
      </c>
      <c r="C153" s="228" t="str">
        <f t="shared" si="18"/>
        <v/>
      </c>
      <c r="D153" s="212" t="str">
        <f t="shared" si="16"/>
        <v/>
      </c>
      <c r="E153" s="212" t="str">
        <f t="shared" ca="1" si="19"/>
        <v/>
      </c>
      <c r="F153" s="212" t="str">
        <f t="shared" ca="1" si="19"/>
        <v/>
      </c>
      <c r="G153" s="212" t="str">
        <f t="shared" ca="1" si="19"/>
        <v/>
      </c>
      <c r="H153" s="212" t="str">
        <f t="shared" ca="1" si="17"/>
        <v/>
      </c>
      <c r="I153" s="212" t="str">
        <f t="shared" ca="1" si="17"/>
        <v/>
      </c>
      <c r="J153" s="212" t="str">
        <f t="shared" ca="1" si="17"/>
        <v/>
      </c>
    </row>
    <row r="154" spans="2:10" x14ac:dyDescent="0.15">
      <c r="B154" s="213" t="str">
        <f t="shared" si="21"/>
        <v/>
      </c>
      <c r="C154" s="228" t="str">
        <f t="shared" si="18"/>
        <v/>
      </c>
      <c r="D154" s="212" t="str">
        <f t="shared" ref="D154:D217" si="22">IF(B154="","",IF(B155="",SUMIFS(Amount,Timestamp,"&gt;="&amp;B154),SUMIFS(Amount,Timestamp,"&gt;="&amp;B154,Timestamp,"&lt;"&amp;B155)))</f>
        <v/>
      </c>
      <c r="E154" s="212" t="str">
        <f t="shared" ca="1" si="19"/>
        <v/>
      </c>
      <c r="F154" s="212" t="str">
        <f t="shared" ca="1" si="19"/>
        <v/>
      </c>
      <c r="G154" s="212" t="str">
        <f t="shared" ca="1" si="19"/>
        <v/>
      </c>
      <c r="H154" s="212" t="str">
        <f t="shared" ca="1" si="19"/>
        <v/>
      </c>
      <c r="I154" s="212" t="str">
        <f t="shared" ca="1" si="19"/>
        <v/>
      </c>
      <c r="J154" s="212" t="str">
        <f t="shared" ca="1" si="19"/>
        <v/>
      </c>
    </row>
    <row r="155" spans="2:10" x14ac:dyDescent="0.15">
      <c r="B155" s="213" t="str">
        <f t="shared" si="21"/>
        <v/>
      </c>
      <c r="C155" s="228" t="str">
        <f t="shared" ref="C155:C218" si="23">IF(B155="","",TEXT(B155,"dddd"))</f>
        <v/>
      </c>
      <c r="D155" s="212" t="str">
        <f t="shared" si="22"/>
        <v/>
      </c>
      <c r="E155" s="212" t="str">
        <f t="shared" ref="E155:H218" ca="1" si="24">IF($B155="","",IF($B155+E$24-1&gt;$E$5,"",SUM(OFFSET($D155,0,0,E$24,1))))</f>
        <v/>
      </c>
      <c r="F155" s="212" t="str">
        <f t="shared" ca="1" si="24"/>
        <v/>
      </c>
      <c r="G155" s="212" t="str">
        <f t="shared" ca="1" si="24"/>
        <v/>
      </c>
      <c r="H155" s="212" t="str">
        <f t="shared" ca="1" si="24"/>
        <v/>
      </c>
      <c r="I155" s="212" t="str">
        <f t="shared" ref="I155:J218" ca="1" si="25">IF($B155="","",IF($B155+I$24-1&gt;$E$5,"",SUM(OFFSET($D155,0,0,I$24,1))))</f>
        <v/>
      </c>
      <c r="J155" s="212" t="str">
        <f t="shared" ca="1" si="25"/>
        <v/>
      </c>
    </row>
    <row r="156" spans="2:10" x14ac:dyDescent="0.15">
      <c r="B156" s="213" t="str">
        <f t="shared" si="21"/>
        <v/>
      </c>
      <c r="C156" s="228" t="str">
        <f t="shared" si="23"/>
        <v/>
      </c>
      <c r="D156" s="212" t="str">
        <f t="shared" si="22"/>
        <v/>
      </c>
      <c r="E156" s="212" t="str">
        <f t="shared" ca="1" si="24"/>
        <v/>
      </c>
      <c r="F156" s="212" t="str">
        <f t="shared" ca="1" si="24"/>
        <v/>
      </c>
      <c r="G156" s="212" t="str">
        <f t="shared" ca="1" si="24"/>
        <v/>
      </c>
      <c r="H156" s="212" t="str">
        <f t="shared" ca="1" si="24"/>
        <v/>
      </c>
      <c r="I156" s="212" t="str">
        <f t="shared" ca="1" si="25"/>
        <v/>
      </c>
      <c r="J156" s="212" t="str">
        <f t="shared" ca="1" si="25"/>
        <v/>
      </c>
    </row>
    <row r="157" spans="2:10" x14ac:dyDescent="0.15">
      <c r="B157" s="213" t="str">
        <f t="shared" si="21"/>
        <v/>
      </c>
      <c r="C157" s="228" t="str">
        <f t="shared" si="23"/>
        <v/>
      </c>
      <c r="D157" s="212" t="str">
        <f t="shared" si="22"/>
        <v/>
      </c>
      <c r="E157" s="212" t="str">
        <f t="shared" ca="1" si="24"/>
        <v/>
      </c>
      <c r="F157" s="212" t="str">
        <f t="shared" ca="1" si="24"/>
        <v/>
      </c>
      <c r="G157" s="212" t="str">
        <f t="shared" ca="1" si="24"/>
        <v/>
      </c>
      <c r="H157" s="212" t="str">
        <f t="shared" ca="1" si="24"/>
        <v/>
      </c>
      <c r="I157" s="212" t="str">
        <f t="shared" ca="1" si="25"/>
        <v/>
      </c>
      <c r="J157" s="212" t="str">
        <f t="shared" ca="1" si="25"/>
        <v/>
      </c>
    </row>
    <row r="158" spans="2:10" x14ac:dyDescent="0.15">
      <c r="B158" s="213" t="str">
        <f t="shared" si="21"/>
        <v/>
      </c>
      <c r="C158" s="228" t="str">
        <f t="shared" si="23"/>
        <v/>
      </c>
      <c r="D158" s="212" t="str">
        <f t="shared" si="22"/>
        <v/>
      </c>
      <c r="E158" s="212" t="str">
        <f t="shared" ca="1" si="24"/>
        <v/>
      </c>
      <c r="F158" s="212" t="str">
        <f t="shared" ca="1" si="24"/>
        <v/>
      </c>
      <c r="G158" s="212" t="str">
        <f t="shared" ca="1" si="24"/>
        <v/>
      </c>
      <c r="H158" s="212" t="str">
        <f t="shared" ca="1" si="24"/>
        <v/>
      </c>
      <c r="I158" s="212" t="str">
        <f t="shared" ca="1" si="25"/>
        <v/>
      </c>
      <c r="J158" s="212" t="str">
        <f t="shared" ca="1" si="25"/>
        <v/>
      </c>
    </row>
    <row r="159" spans="2:10" x14ac:dyDescent="0.15">
      <c r="B159" s="213" t="str">
        <f t="shared" si="21"/>
        <v/>
      </c>
      <c r="C159" s="228" t="str">
        <f t="shared" si="23"/>
        <v/>
      </c>
      <c r="D159" s="212" t="str">
        <f t="shared" si="22"/>
        <v/>
      </c>
      <c r="E159" s="212" t="str">
        <f t="shared" ca="1" si="24"/>
        <v/>
      </c>
      <c r="F159" s="212" t="str">
        <f t="shared" ca="1" si="24"/>
        <v/>
      </c>
      <c r="G159" s="212" t="str">
        <f t="shared" ca="1" si="24"/>
        <v/>
      </c>
      <c r="H159" s="212" t="str">
        <f t="shared" ca="1" si="24"/>
        <v/>
      </c>
      <c r="I159" s="212" t="str">
        <f t="shared" ca="1" si="25"/>
        <v/>
      </c>
      <c r="J159" s="212" t="str">
        <f t="shared" ca="1" si="25"/>
        <v/>
      </c>
    </row>
    <row r="160" spans="2:10" x14ac:dyDescent="0.15">
      <c r="B160" s="213" t="str">
        <f t="shared" si="21"/>
        <v/>
      </c>
      <c r="C160" s="228" t="str">
        <f t="shared" si="23"/>
        <v/>
      </c>
      <c r="D160" s="212" t="str">
        <f t="shared" si="22"/>
        <v/>
      </c>
      <c r="E160" s="212" t="str">
        <f t="shared" ca="1" si="24"/>
        <v/>
      </c>
      <c r="F160" s="212" t="str">
        <f t="shared" ca="1" si="24"/>
        <v/>
      </c>
      <c r="G160" s="212" t="str">
        <f t="shared" ca="1" si="24"/>
        <v/>
      </c>
      <c r="H160" s="212" t="str">
        <f t="shared" ca="1" si="24"/>
        <v/>
      </c>
      <c r="I160" s="212" t="str">
        <f t="shared" ca="1" si="25"/>
        <v/>
      </c>
      <c r="J160" s="212" t="str">
        <f t="shared" ca="1" si="25"/>
        <v/>
      </c>
    </row>
    <row r="161" spans="2:10" x14ac:dyDescent="0.15">
      <c r="B161" s="213" t="str">
        <f t="shared" si="21"/>
        <v/>
      </c>
      <c r="C161" s="228" t="str">
        <f t="shared" si="23"/>
        <v/>
      </c>
      <c r="D161" s="212" t="str">
        <f t="shared" si="22"/>
        <v/>
      </c>
      <c r="E161" s="212" t="str">
        <f t="shared" ca="1" si="24"/>
        <v/>
      </c>
      <c r="F161" s="212" t="str">
        <f t="shared" ca="1" si="24"/>
        <v/>
      </c>
      <c r="G161" s="212" t="str">
        <f t="shared" ca="1" si="24"/>
        <v/>
      </c>
      <c r="H161" s="212" t="str">
        <f t="shared" ca="1" si="24"/>
        <v/>
      </c>
      <c r="I161" s="212" t="str">
        <f t="shared" ca="1" si="25"/>
        <v/>
      </c>
      <c r="J161" s="212" t="str">
        <f t="shared" ca="1" si="25"/>
        <v/>
      </c>
    </row>
    <row r="162" spans="2:10" x14ac:dyDescent="0.15">
      <c r="B162" s="213" t="str">
        <f t="shared" si="21"/>
        <v/>
      </c>
      <c r="C162" s="228" t="str">
        <f t="shared" si="23"/>
        <v/>
      </c>
      <c r="D162" s="212" t="str">
        <f t="shared" si="22"/>
        <v/>
      </c>
      <c r="E162" s="212" t="str">
        <f t="shared" ca="1" si="24"/>
        <v/>
      </c>
      <c r="F162" s="212" t="str">
        <f t="shared" ca="1" si="24"/>
        <v/>
      </c>
      <c r="G162" s="212" t="str">
        <f t="shared" ca="1" si="24"/>
        <v/>
      </c>
      <c r="H162" s="212" t="str">
        <f t="shared" ca="1" si="24"/>
        <v/>
      </c>
      <c r="I162" s="212" t="str">
        <f t="shared" ca="1" si="25"/>
        <v/>
      </c>
      <c r="J162" s="212" t="str">
        <f t="shared" ca="1" si="25"/>
        <v/>
      </c>
    </row>
    <row r="163" spans="2:10" x14ac:dyDescent="0.15">
      <c r="B163" s="213" t="str">
        <f t="shared" ref="B163:B226" si="26">IF(B162="","",IF(B162&gt;=$E$5,"",B162+1))</f>
        <v/>
      </c>
      <c r="C163" s="228" t="str">
        <f t="shared" si="23"/>
        <v/>
      </c>
      <c r="D163" s="212" t="str">
        <f t="shared" si="22"/>
        <v/>
      </c>
      <c r="E163" s="212" t="str">
        <f t="shared" ca="1" si="24"/>
        <v/>
      </c>
      <c r="F163" s="212" t="str">
        <f t="shared" ca="1" si="24"/>
        <v/>
      </c>
      <c r="G163" s="212" t="str">
        <f t="shared" ca="1" si="24"/>
        <v/>
      </c>
      <c r="H163" s="212" t="str">
        <f t="shared" ca="1" si="24"/>
        <v/>
      </c>
      <c r="I163" s="212" t="str">
        <f t="shared" ca="1" si="25"/>
        <v/>
      </c>
      <c r="J163" s="212" t="str">
        <f t="shared" ca="1" si="25"/>
        <v/>
      </c>
    </row>
    <row r="164" spans="2:10" x14ac:dyDescent="0.15">
      <c r="B164" s="213" t="str">
        <f t="shared" si="26"/>
        <v/>
      </c>
      <c r="C164" s="228" t="str">
        <f t="shared" si="23"/>
        <v/>
      </c>
      <c r="D164" s="212" t="str">
        <f t="shared" si="22"/>
        <v/>
      </c>
      <c r="E164" s="212" t="str">
        <f t="shared" ca="1" si="24"/>
        <v/>
      </c>
      <c r="F164" s="212" t="str">
        <f t="shared" ca="1" si="24"/>
        <v/>
      </c>
      <c r="G164" s="212" t="str">
        <f t="shared" ca="1" si="24"/>
        <v/>
      </c>
      <c r="H164" s="212" t="str">
        <f t="shared" ca="1" si="24"/>
        <v/>
      </c>
      <c r="I164" s="212" t="str">
        <f t="shared" ca="1" si="25"/>
        <v/>
      </c>
      <c r="J164" s="212" t="str">
        <f t="shared" ca="1" si="25"/>
        <v/>
      </c>
    </row>
    <row r="165" spans="2:10" x14ac:dyDescent="0.15">
      <c r="B165" s="213" t="str">
        <f t="shared" si="26"/>
        <v/>
      </c>
      <c r="C165" s="228" t="str">
        <f t="shared" si="23"/>
        <v/>
      </c>
      <c r="D165" s="212" t="str">
        <f t="shared" si="22"/>
        <v/>
      </c>
      <c r="E165" s="212" t="str">
        <f t="shared" ca="1" si="24"/>
        <v/>
      </c>
      <c r="F165" s="212" t="str">
        <f t="shared" ca="1" si="24"/>
        <v/>
      </c>
      <c r="G165" s="212" t="str">
        <f t="shared" ca="1" si="24"/>
        <v/>
      </c>
      <c r="H165" s="212" t="str">
        <f t="shared" ca="1" si="24"/>
        <v/>
      </c>
      <c r="I165" s="212" t="str">
        <f t="shared" ca="1" si="25"/>
        <v/>
      </c>
      <c r="J165" s="212" t="str">
        <f t="shared" ca="1" si="25"/>
        <v/>
      </c>
    </row>
    <row r="166" spans="2:10" x14ac:dyDescent="0.15">
      <c r="B166" s="213" t="str">
        <f t="shared" si="26"/>
        <v/>
      </c>
      <c r="C166" s="228" t="str">
        <f t="shared" si="23"/>
        <v/>
      </c>
      <c r="D166" s="212" t="str">
        <f t="shared" si="22"/>
        <v/>
      </c>
      <c r="E166" s="212" t="str">
        <f t="shared" ca="1" si="24"/>
        <v/>
      </c>
      <c r="F166" s="212" t="str">
        <f t="shared" ca="1" si="24"/>
        <v/>
      </c>
      <c r="G166" s="212" t="str">
        <f t="shared" ca="1" si="24"/>
        <v/>
      </c>
      <c r="H166" s="212" t="str">
        <f t="shared" ca="1" si="24"/>
        <v/>
      </c>
      <c r="I166" s="212" t="str">
        <f t="shared" ca="1" si="25"/>
        <v/>
      </c>
      <c r="J166" s="212" t="str">
        <f t="shared" ca="1" si="25"/>
        <v/>
      </c>
    </row>
    <row r="167" spans="2:10" x14ac:dyDescent="0.15">
      <c r="B167" s="213" t="str">
        <f t="shared" si="26"/>
        <v/>
      </c>
      <c r="C167" s="228" t="str">
        <f t="shared" si="23"/>
        <v/>
      </c>
      <c r="D167" s="212" t="str">
        <f t="shared" si="22"/>
        <v/>
      </c>
      <c r="E167" s="212" t="str">
        <f t="shared" ca="1" si="24"/>
        <v/>
      </c>
      <c r="F167" s="212" t="str">
        <f t="shared" ca="1" si="24"/>
        <v/>
      </c>
      <c r="G167" s="212" t="str">
        <f t="shared" ca="1" si="24"/>
        <v/>
      </c>
      <c r="H167" s="212" t="str">
        <f t="shared" ca="1" si="24"/>
        <v/>
      </c>
      <c r="I167" s="212" t="str">
        <f t="shared" ca="1" si="25"/>
        <v/>
      </c>
      <c r="J167" s="212" t="str">
        <f t="shared" ca="1" si="25"/>
        <v/>
      </c>
    </row>
    <row r="168" spans="2:10" x14ac:dyDescent="0.15">
      <c r="B168" s="213" t="str">
        <f t="shared" si="26"/>
        <v/>
      </c>
      <c r="C168" s="228" t="str">
        <f t="shared" si="23"/>
        <v/>
      </c>
      <c r="D168" s="212" t="str">
        <f t="shared" si="22"/>
        <v/>
      </c>
      <c r="E168" s="212" t="str">
        <f t="shared" ca="1" si="24"/>
        <v/>
      </c>
      <c r="F168" s="212" t="str">
        <f t="shared" ca="1" si="24"/>
        <v/>
      </c>
      <c r="G168" s="212" t="str">
        <f t="shared" ca="1" si="24"/>
        <v/>
      </c>
      <c r="H168" s="212" t="str">
        <f t="shared" ca="1" si="24"/>
        <v/>
      </c>
      <c r="I168" s="212" t="str">
        <f t="shared" ca="1" si="25"/>
        <v/>
      </c>
      <c r="J168" s="212" t="str">
        <f t="shared" ca="1" si="25"/>
        <v/>
      </c>
    </row>
    <row r="169" spans="2:10" x14ac:dyDescent="0.15">
      <c r="B169" s="213" t="str">
        <f t="shared" si="26"/>
        <v/>
      </c>
      <c r="C169" s="228" t="str">
        <f t="shared" si="23"/>
        <v/>
      </c>
      <c r="D169" s="212" t="str">
        <f t="shared" si="22"/>
        <v/>
      </c>
      <c r="E169" s="212" t="str">
        <f t="shared" ca="1" si="24"/>
        <v/>
      </c>
      <c r="F169" s="212" t="str">
        <f t="shared" ca="1" si="24"/>
        <v/>
      </c>
      <c r="G169" s="212" t="str">
        <f t="shared" ca="1" si="24"/>
        <v/>
      </c>
      <c r="H169" s="212" t="str">
        <f t="shared" ca="1" si="24"/>
        <v/>
      </c>
      <c r="I169" s="212" t="str">
        <f t="shared" ca="1" si="25"/>
        <v/>
      </c>
      <c r="J169" s="212" t="str">
        <f t="shared" ca="1" si="25"/>
        <v/>
      </c>
    </row>
    <row r="170" spans="2:10" x14ac:dyDescent="0.15">
      <c r="B170" s="213" t="str">
        <f t="shared" si="26"/>
        <v/>
      </c>
      <c r="C170" s="228" t="str">
        <f t="shared" si="23"/>
        <v/>
      </c>
      <c r="D170" s="212" t="str">
        <f t="shared" si="22"/>
        <v/>
      </c>
      <c r="E170" s="212" t="str">
        <f t="shared" ca="1" si="24"/>
        <v/>
      </c>
      <c r="F170" s="212" t="str">
        <f t="shared" ca="1" si="24"/>
        <v/>
      </c>
      <c r="G170" s="212" t="str">
        <f t="shared" ca="1" si="24"/>
        <v/>
      </c>
      <c r="H170" s="212" t="str">
        <f t="shared" ca="1" si="24"/>
        <v/>
      </c>
      <c r="I170" s="212" t="str">
        <f t="shared" ca="1" si="25"/>
        <v/>
      </c>
      <c r="J170" s="212" t="str">
        <f t="shared" ca="1" si="25"/>
        <v/>
      </c>
    </row>
    <row r="171" spans="2:10" x14ac:dyDescent="0.15">
      <c r="B171" s="213" t="str">
        <f t="shared" si="26"/>
        <v/>
      </c>
      <c r="C171" s="228" t="str">
        <f t="shared" si="23"/>
        <v/>
      </c>
      <c r="D171" s="212" t="str">
        <f t="shared" si="22"/>
        <v/>
      </c>
      <c r="E171" s="212" t="str">
        <f t="shared" ca="1" si="24"/>
        <v/>
      </c>
      <c r="F171" s="212" t="str">
        <f t="shared" ca="1" si="24"/>
        <v/>
      </c>
      <c r="G171" s="212" t="str">
        <f t="shared" ca="1" si="24"/>
        <v/>
      </c>
      <c r="H171" s="212" t="str">
        <f t="shared" ca="1" si="24"/>
        <v/>
      </c>
      <c r="I171" s="212" t="str">
        <f t="shared" ca="1" si="25"/>
        <v/>
      </c>
      <c r="J171" s="212" t="str">
        <f t="shared" ca="1" si="25"/>
        <v/>
      </c>
    </row>
    <row r="172" spans="2:10" x14ac:dyDescent="0.15">
      <c r="B172" s="213" t="str">
        <f t="shared" si="26"/>
        <v/>
      </c>
      <c r="C172" s="228" t="str">
        <f t="shared" si="23"/>
        <v/>
      </c>
      <c r="D172" s="212" t="str">
        <f t="shared" si="22"/>
        <v/>
      </c>
      <c r="E172" s="212" t="str">
        <f t="shared" ca="1" si="24"/>
        <v/>
      </c>
      <c r="F172" s="212" t="str">
        <f t="shared" ca="1" si="24"/>
        <v/>
      </c>
      <c r="G172" s="212" t="str">
        <f t="shared" ca="1" si="24"/>
        <v/>
      </c>
      <c r="H172" s="212" t="str">
        <f t="shared" ca="1" si="24"/>
        <v/>
      </c>
      <c r="I172" s="212" t="str">
        <f t="shared" ca="1" si="25"/>
        <v/>
      </c>
      <c r="J172" s="212" t="str">
        <f t="shared" ca="1" si="25"/>
        <v/>
      </c>
    </row>
    <row r="173" spans="2:10" x14ac:dyDescent="0.15">
      <c r="B173" s="213" t="str">
        <f t="shared" si="26"/>
        <v/>
      </c>
      <c r="C173" s="228" t="str">
        <f t="shared" si="23"/>
        <v/>
      </c>
      <c r="D173" s="212" t="str">
        <f t="shared" si="22"/>
        <v/>
      </c>
      <c r="E173" s="212" t="str">
        <f t="shared" ca="1" si="24"/>
        <v/>
      </c>
      <c r="F173" s="212" t="str">
        <f t="shared" ca="1" si="24"/>
        <v/>
      </c>
      <c r="G173" s="212" t="str">
        <f t="shared" ca="1" si="24"/>
        <v/>
      </c>
      <c r="H173" s="212" t="str">
        <f t="shared" ca="1" si="24"/>
        <v/>
      </c>
      <c r="I173" s="212" t="str">
        <f t="shared" ca="1" si="25"/>
        <v/>
      </c>
      <c r="J173" s="212" t="str">
        <f t="shared" ca="1" si="25"/>
        <v/>
      </c>
    </row>
    <row r="174" spans="2:10" x14ac:dyDescent="0.15">
      <c r="B174" s="213" t="str">
        <f t="shared" si="26"/>
        <v/>
      </c>
      <c r="C174" s="228" t="str">
        <f t="shared" si="23"/>
        <v/>
      </c>
      <c r="D174" s="212" t="str">
        <f t="shared" si="22"/>
        <v/>
      </c>
      <c r="E174" s="212" t="str">
        <f t="shared" ca="1" si="24"/>
        <v/>
      </c>
      <c r="F174" s="212" t="str">
        <f t="shared" ca="1" si="24"/>
        <v/>
      </c>
      <c r="G174" s="212" t="str">
        <f t="shared" ca="1" si="24"/>
        <v/>
      </c>
      <c r="H174" s="212" t="str">
        <f t="shared" ca="1" si="24"/>
        <v/>
      </c>
      <c r="I174" s="212" t="str">
        <f t="shared" ca="1" si="25"/>
        <v/>
      </c>
      <c r="J174" s="212" t="str">
        <f t="shared" ca="1" si="25"/>
        <v/>
      </c>
    </row>
    <row r="175" spans="2:10" x14ac:dyDescent="0.15">
      <c r="B175" s="213" t="str">
        <f t="shared" si="26"/>
        <v/>
      </c>
      <c r="C175" s="228" t="str">
        <f t="shared" si="23"/>
        <v/>
      </c>
      <c r="D175" s="212" t="str">
        <f t="shared" si="22"/>
        <v/>
      </c>
      <c r="E175" s="212" t="str">
        <f t="shared" ca="1" si="24"/>
        <v/>
      </c>
      <c r="F175" s="212" t="str">
        <f t="shared" ca="1" si="24"/>
        <v/>
      </c>
      <c r="G175" s="212" t="str">
        <f t="shared" ca="1" si="24"/>
        <v/>
      </c>
      <c r="H175" s="212" t="str">
        <f t="shared" ca="1" si="24"/>
        <v/>
      </c>
      <c r="I175" s="212" t="str">
        <f t="shared" ca="1" si="25"/>
        <v/>
      </c>
      <c r="J175" s="212" t="str">
        <f t="shared" ca="1" si="25"/>
        <v/>
      </c>
    </row>
    <row r="176" spans="2:10" x14ac:dyDescent="0.15">
      <c r="B176" s="213" t="str">
        <f t="shared" si="26"/>
        <v/>
      </c>
      <c r="C176" s="228" t="str">
        <f t="shared" si="23"/>
        <v/>
      </c>
      <c r="D176" s="212" t="str">
        <f t="shared" si="22"/>
        <v/>
      </c>
      <c r="E176" s="212" t="str">
        <f t="shared" ca="1" si="24"/>
        <v/>
      </c>
      <c r="F176" s="212" t="str">
        <f t="shared" ca="1" si="24"/>
        <v/>
      </c>
      <c r="G176" s="212" t="str">
        <f t="shared" ca="1" si="24"/>
        <v/>
      </c>
      <c r="H176" s="212" t="str">
        <f t="shared" ca="1" si="24"/>
        <v/>
      </c>
      <c r="I176" s="212" t="str">
        <f t="shared" ca="1" si="25"/>
        <v/>
      </c>
      <c r="J176" s="212" t="str">
        <f t="shared" ca="1" si="25"/>
        <v/>
      </c>
    </row>
    <row r="177" spans="2:10" x14ac:dyDescent="0.15">
      <c r="B177" s="213" t="str">
        <f t="shared" si="26"/>
        <v/>
      </c>
      <c r="C177" s="228" t="str">
        <f t="shared" si="23"/>
        <v/>
      </c>
      <c r="D177" s="212" t="str">
        <f t="shared" si="22"/>
        <v/>
      </c>
      <c r="E177" s="212" t="str">
        <f t="shared" ca="1" si="24"/>
        <v/>
      </c>
      <c r="F177" s="212" t="str">
        <f t="shared" ca="1" si="24"/>
        <v/>
      </c>
      <c r="G177" s="212" t="str">
        <f t="shared" ca="1" si="24"/>
        <v/>
      </c>
      <c r="H177" s="212" t="str">
        <f t="shared" ca="1" si="24"/>
        <v/>
      </c>
      <c r="I177" s="212" t="str">
        <f t="shared" ca="1" si="25"/>
        <v/>
      </c>
      <c r="J177" s="212" t="str">
        <f t="shared" ca="1" si="25"/>
        <v/>
      </c>
    </row>
    <row r="178" spans="2:10" x14ac:dyDescent="0.15">
      <c r="B178" s="213" t="str">
        <f t="shared" si="26"/>
        <v/>
      </c>
      <c r="C178" s="228" t="str">
        <f t="shared" si="23"/>
        <v/>
      </c>
      <c r="D178" s="212" t="str">
        <f t="shared" si="22"/>
        <v/>
      </c>
      <c r="E178" s="212" t="str">
        <f t="shared" ca="1" si="24"/>
        <v/>
      </c>
      <c r="F178" s="212" t="str">
        <f t="shared" ca="1" si="24"/>
        <v/>
      </c>
      <c r="G178" s="212" t="str">
        <f t="shared" ca="1" si="24"/>
        <v/>
      </c>
      <c r="H178" s="212" t="str">
        <f t="shared" ca="1" si="24"/>
        <v/>
      </c>
      <c r="I178" s="212" t="str">
        <f t="shared" ca="1" si="25"/>
        <v/>
      </c>
      <c r="J178" s="212" t="str">
        <f t="shared" ca="1" si="25"/>
        <v/>
      </c>
    </row>
    <row r="179" spans="2:10" x14ac:dyDescent="0.15">
      <c r="B179" s="213" t="str">
        <f t="shared" si="26"/>
        <v/>
      </c>
      <c r="C179" s="228" t="str">
        <f t="shared" si="23"/>
        <v/>
      </c>
      <c r="D179" s="212" t="str">
        <f t="shared" si="22"/>
        <v/>
      </c>
      <c r="E179" s="212" t="str">
        <f t="shared" ca="1" si="24"/>
        <v/>
      </c>
      <c r="F179" s="212" t="str">
        <f t="shared" ca="1" si="24"/>
        <v/>
      </c>
      <c r="G179" s="212" t="str">
        <f t="shared" ca="1" si="24"/>
        <v/>
      </c>
      <c r="H179" s="212" t="str">
        <f t="shared" ca="1" si="24"/>
        <v/>
      </c>
      <c r="I179" s="212" t="str">
        <f t="shared" ca="1" si="25"/>
        <v/>
      </c>
      <c r="J179" s="212" t="str">
        <f t="shared" ca="1" si="25"/>
        <v/>
      </c>
    </row>
    <row r="180" spans="2:10" x14ac:dyDescent="0.15">
      <c r="B180" s="213" t="str">
        <f t="shared" si="26"/>
        <v/>
      </c>
      <c r="C180" s="228" t="str">
        <f t="shared" si="23"/>
        <v/>
      </c>
      <c r="D180" s="212" t="str">
        <f t="shared" si="22"/>
        <v/>
      </c>
      <c r="E180" s="212" t="str">
        <f t="shared" ca="1" si="24"/>
        <v/>
      </c>
      <c r="F180" s="212" t="str">
        <f t="shared" ca="1" si="24"/>
        <v/>
      </c>
      <c r="G180" s="212" t="str">
        <f t="shared" ca="1" si="24"/>
        <v/>
      </c>
      <c r="H180" s="212" t="str">
        <f t="shared" ca="1" si="24"/>
        <v/>
      </c>
      <c r="I180" s="212" t="str">
        <f t="shared" ca="1" si="25"/>
        <v/>
      </c>
      <c r="J180" s="212" t="str">
        <f t="shared" ca="1" si="25"/>
        <v/>
      </c>
    </row>
    <row r="181" spans="2:10" x14ac:dyDescent="0.15">
      <c r="B181" s="213" t="str">
        <f t="shared" si="26"/>
        <v/>
      </c>
      <c r="C181" s="228" t="str">
        <f t="shared" si="23"/>
        <v/>
      </c>
      <c r="D181" s="212" t="str">
        <f t="shared" si="22"/>
        <v/>
      </c>
      <c r="E181" s="212" t="str">
        <f t="shared" ca="1" si="24"/>
        <v/>
      </c>
      <c r="F181" s="212" t="str">
        <f t="shared" ca="1" si="24"/>
        <v/>
      </c>
      <c r="G181" s="212" t="str">
        <f t="shared" ca="1" si="24"/>
        <v/>
      </c>
      <c r="H181" s="212" t="str">
        <f t="shared" ca="1" si="24"/>
        <v/>
      </c>
      <c r="I181" s="212" t="str">
        <f t="shared" ca="1" si="25"/>
        <v/>
      </c>
      <c r="J181" s="212" t="str">
        <f t="shared" ca="1" si="25"/>
        <v/>
      </c>
    </row>
    <row r="182" spans="2:10" x14ac:dyDescent="0.15">
      <c r="B182" s="213" t="str">
        <f t="shared" si="26"/>
        <v/>
      </c>
      <c r="C182" s="228" t="str">
        <f t="shared" si="23"/>
        <v/>
      </c>
      <c r="D182" s="212" t="str">
        <f t="shared" si="22"/>
        <v/>
      </c>
      <c r="E182" s="212" t="str">
        <f t="shared" ca="1" si="24"/>
        <v/>
      </c>
      <c r="F182" s="212" t="str">
        <f t="shared" ca="1" si="24"/>
        <v/>
      </c>
      <c r="G182" s="212" t="str">
        <f t="shared" ca="1" si="24"/>
        <v/>
      </c>
      <c r="H182" s="212" t="str">
        <f t="shared" ca="1" si="24"/>
        <v/>
      </c>
      <c r="I182" s="212" t="str">
        <f t="shared" ca="1" si="25"/>
        <v/>
      </c>
      <c r="J182" s="212" t="str">
        <f t="shared" ca="1" si="25"/>
        <v/>
      </c>
    </row>
    <row r="183" spans="2:10" x14ac:dyDescent="0.15">
      <c r="B183" s="213" t="str">
        <f t="shared" si="26"/>
        <v/>
      </c>
      <c r="C183" s="228" t="str">
        <f t="shared" si="23"/>
        <v/>
      </c>
      <c r="D183" s="212" t="str">
        <f t="shared" si="22"/>
        <v/>
      </c>
      <c r="E183" s="212" t="str">
        <f t="shared" ca="1" si="24"/>
        <v/>
      </c>
      <c r="F183" s="212" t="str">
        <f t="shared" ca="1" si="24"/>
        <v/>
      </c>
      <c r="G183" s="212" t="str">
        <f t="shared" ca="1" si="24"/>
        <v/>
      </c>
      <c r="H183" s="212" t="str">
        <f t="shared" ca="1" si="24"/>
        <v/>
      </c>
      <c r="I183" s="212" t="str">
        <f t="shared" ca="1" si="25"/>
        <v/>
      </c>
      <c r="J183" s="212" t="str">
        <f t="shared" ca="1" si="25"/>
        <v/>
      </c>
    </row>
    <row r="184" spans="2:10" x14ac:dyDescent="0.15">
      <c r="B184" s="213" t="str">
        <f t="shared" si="26"/>
        <v/>
      </c>
      <c r="C184" s="228" t="str">
        <f t="shared" si="23"/>
        <v/>
      </c>
      <c r="D184" s="212" t="str">
        <f t="shared" si="22"/>
        <v/>
      </c>
      <c r="E184" s="212" t="str">
        <f t="shared" ca="1" si="24"/>
        <v/>
      </c>
      <c r="F184" s="212" t="str">
        <f t="shared" ca="1" si="24"/>
        <v/>
      </c>
      <c r="G184" s="212" t="str">
        <f t="shared" ca="1" si="24"/>
        <v/>
      </c>
      <c r="H184" s="212" t="str">
        <f t="shared" ca="1" si="24"/>
        <v/>
      </c>
      <c r="I184" s="212" t="str">
        <f t="shared" ca="1" si="25"/>
        <v/>
      </c>
      <c r="J184" s="212" t="str">
        <f t="shared" ca="1" si="25"/>
        <v/>
      </c>
    </row>
    <row r="185" spans="2:10" x14ac:dyDescent="0.15">
      <c r="B185" s="213" t="str">
        <f t="shared" si="26"/>
        <v/>
      </c>
      <c r="C185" s="228" t="str">
        <f t="shared" si="23"/>
        <v/>
      </c>
      <c r="D185" s="212" t="str">
        <f t="shared" si="22"/>
        <v/>
      </c>
      <c r="E185" s="212" t="str">
        <f t="shared" ca="1" si="24"/>
        <v/>
      </c>
      <c r="F185" s="212" t="str">
        <f t="shared" ca="1" si="24"/>
        <v/>
      </c>
      <c r="G185" s="212" t="str">
        <f t="shared" ca="1" si="24"/>
        <v/>
      </c>
      <c r="H185" s="212" t="str">
        <f t="shared" ca="1" si="24"/>
        <v/>
      </c>
      <c r="I185" s="212" t="str">
        <f t="shared" ca="1" si="25"/>
        <v/>
      </c>
      <c r="J185" s="212" t="str">
        <f t="shared" ca="1" si="25"/>
        <v/>
      </c>
    </row>
    <row r="186" spans="2:10" x14ac:dyDescent="0.15">
      <c r="B186" s="213" t="str">
        <f t="shared" si="26"/>
        <v/>
      </c>
      <c r="C186" s="228" t="str">
        <f t="shared" si="23"/>
        <v/>
      </c>
      <c r="D186" s="212" t="str">
        <f t="shared" si="22"/>
        <v/>
      </c>
      <c r="E186" s="212" t="str">
        <f t="shared" ca="1" si="24"/>
        <v/>
      </c>
      <c r="F186" s="212" t="str">
        <f t="shared" ca="1" si="24"/>
        <v/>
      </c>
      <c r="G186" s="212" t="str">
        <f t="shared" ca="1" si="24"/>
        <v/>
      </c>
      <c r="H186" s="212" t="str">
        <f t="shared" ca="1" si="24"/>
        <v/>
      </c>
      <c r="I186" s="212" t="str">
        <f t="shared" ca="1" si="25"/>
        <v/>
      </c>
      <c r="J186" s="212" t="str">
        <f t="shared" ca="1" si="25"/>
        <v/>
      </c>
    </row>
    <row r="187" spans="2:10" x14ac:dyDescent="0.15">
      <c r="B187" s="213" t="str">
        <f t="shared" si="26"/>
        <v/>
      </c>
      <c r="C187" s="228" t="str">
        <f t="shared" si="23"/>
        <v/>
      </c>
      <c r="D187" s="212" t="str">
        <f t="shared" si="22"/>
        <v/>
      </c>
      <c r="E187" s="212" t="str">
        <f t="shared" ca="1" si="24"/>
        <v/>
      </c>
      <c r="F187" s="212" t="str">
        <f t="shared" ca="1" si="24"/>
        <v/>
      </c>
      <c r="G187" s="212" t="str">
        <f t="shared" ca="1" si="24"/>
        <v/>
      </c>
      <c r="H187" s="212" t="str">
        <f t="shared" ca="1" si="24"/>
        <v/>
      </c>
      <c r="I187" s="212" t="str">
        <f t="shared" ca="1" si="25"/>
        <v/>
      </c>
      <c r="J187" s="212" t="str">
        <f t="shared" ca="1" si="25"/>
        <v/>
      </c>
    </row>
    <row r="188" spans="2:10" x14ac:dyDescent="0.15">
      <c r="B188" s="213" t="str">
        <f t="shared" si="26"/>
        <v/>
      </c>
      <c r="C188" s="228" t="str">
        <f t="shared" si="23"/>
        <v/>
      </c>
      <c r="D188" s="212" t="str">
        <f t="shared" si="22"/>
        <v/>
      </c>
      <c r="E188" s="212" t="str">
        <f t="shared" ca="1" si="24"/>
        <v/>
      </c>
      <c r="F188" s="212" t="str">
        <f t="shared" ca="1" si="24"/>
        <v/>
      </c>
      <c r="G188" s="212" t="str">
        <f t="shared" ca="1" si="24"/>
        <v/>
      </c>
      <c r="H188" s="212" t="str">
        <f t="shared" ca="1" si="24"/>
        <v/>
      </c>
      <c r="I188" s="212" t="str">
        <f t="shared" ca="1" si="25"/>
        <v/>
      </c>
      <c r="J188" s="212" t="str">
        <f t="shared" ca="1" si="25"/>
        <v/>
      </c>
    </row>
    <row r="189" spans="2:10" x14ac:dyDescent="0.15">
      <c r="B189" s="213" t="str">
        <f t="shared" si="26"/>
        <v/>
      </c>
      <c r="C189" s="228" t="str">
        <f t="shared" si="23"/>
        <v/>
      </c>
      <c r="D189" s="212" t="str">
        <f t="shared" si="22"/>
        <v/>
      </c>
      <c r="E189" s="212" t="str">
        <f t="shared" ca="1" si="24"/>
        <v/>
      </c>
      <c r="F189" s="212" t="str">
        <f t="shared" ca="1" si="24"/>
        <v/>
      </c>
      <c r="G189" s="212" t="str">
        <f t="shared" ca="1" si="24"/>
        <v/>
      </c>
      <c r="H189" s="212" t="str">
        <f t="shared" ca="1" si="24"/>
        <v/>
      </c>
      <c r="I189" s="212" t="str">
        <f t="shared" ca="1" si="25"/>
        <v/>
      </c>
      <c r="J189" s="212" t="str">
        <f t="shared" ca="1" si="25"/>
        <v/>
      </c>
    </row>
    <row r="190" spans="2:10" x14ac:dyDescent="0.15">
      <c r="B190" s="213" t="str">
        <f t="shared" si="26"/>
        <v/>
      </c>
      <c r="C190" s="228" t="str">
        <f t="shared" si="23"/>
        <v/>
      </c>
      <c r="D190" s="212" t="str">
        <f t="shared" si="22"/>
        <v/>
      </c>
      <c r="E190" s="212" t="str">
        <f t="shared" ca="1" si="24"/>
        <v/>
      </c>
      <c r="F190" s="212" t="str">
        <f t="shared" ca="1" si="24"/>
        <v/>
      </c>
      <c r="G190" s="212" t="str">
        <f t="shared" ca="1" si="24"/>
        <v/>
      </c>
      <c r="H190" s="212" t="str">
        <f t="shared" ca="1" si="24"/>
        <v/>
      </c>
      <c r="I190" s="212" t="str">
        <f t="shared" ca="1" si="25"/>
        <v/>
      </c>
      <c r="J190" s="212" t="str">
        <f t="shared" ca="1" si="25"/>
        <v/>
      </c>
    </row>
    <row r="191" spans="2:10" x14ac:dyDescent="0.15">
      <c r="B191" s="213" t="str">
        <f t="shared" si="26"/>
        <v/>
      </c>
      <c r="C191" s="228" t="str">
        <f t="shared" si="23"/>
        <v/>
      </c>
      <c r="D191" s="212" t="str">
        <f t="shared" si="22"/>
        <v/>
      </c>
      <c r="E191" s="212" t="str">
        <f t="shared" ca="1" si="24"/>
        <v/>
      </c>
      <c r="F191" s="212" t="str">
        <f t="shared" ca="1" si="24"/>
        <v/>
      </c>
      <c r="G191" s="212" t="str">
        <f t="shared" ca="1" si="24"/>
        <v/>
      </c>
      <c r="H191" s="212" t="str">
        <f t="shared" ca="1" si="24"/>
        <v/>
      </c>
      <c r="I191" s="212" t="str">
        <f t="shared" ca="1" si="25"/>
        <v/>
      </c>
      <c r="J191" s="212" t="str">
        <f t="shared" ca="1" si="25"/>
        <v/>
      </c>
    </row>
    <row r="192" spans="2:10" x14ac:dyDescent="0.15">
      <c r="B192" s="213" t="str">
        <f t="shared" si="26"/>
        <v/>
      </c>
      <c r="C192" s="228" t="str">
        <f t="shared" si="23"/>
        <v/>
      </c>
      <c r="D192" s="212" t="str">
        <f t="shared" si="22"/>
        <v/>
      </c>
      <c r="E192" s="212" t="str">
        <f t="shared" ca="1" si="24"/>
        <v/>
      </c>
      <c r="F192" s="212" t="str">
        <f t="shared" ca="1" si="24"/>
        <v/>
      </c>
      <c r="G192" s="212" t="str">
        <f t="shared" ca="1" si="24"/>
        <v/>
      </c>
      <c r="H192" s="212" t="str">
        <f t="shared" ca="1" si="24"/>
        <v/>
      </c>
      <c r="I192" s="212" t="str">
        <f t="shared" ca="1" si="25"/>
        <v/>
      </c>
      <c r="J192" s="212" t="str">
        <f t="shared" ca="1" si="25"/>
        <v/>
      </c>
    </row>
    <row r="193" spans="2:10" x14ac:dyDescent="0.15">
      <c r="B193" s="213" t="str">
        <f t="shared" si="26"/>
        <v/>
      </c>
      <c r="C193" s="228" t="str">
        <f t="shared" si="23"/>
        <v/>
      </c>
      <c r="D193" s="212" t="str">
        <f t="shared" si="22"/>
        <v/>
      </c>
      <c r="E193" s="212" t="str">
        <f t="shared" ca="1" si="24"/>
        <v/>
      </c>
      <c r="F193" s="212" t="str">
        <f t="shared" ca="1" si="24"/>
        <v/>
      </c>
      <c r="G193" s="212" t="str">
        <f t="shared" ca="1" si="24"/>
        <v/>
      </c>
      <c r="H193" s="212" t="str">
        <f t="shared" ca="1" si="24"/>
        <v/>
      </c>
      <c r="I193" s="212" t="str">
        <f t="shared" ca="1" si="25"/>
        <v/>
      </c>
      <c r="J193" s="212" t="str">
        <f t="shared" ca="1" si="25"/>
        <v/>
      </c>
    </row>
    <row r="194" spans="2:10" x14ac:dyDescent="0.15">
      <c r="B194" s="213" t="str">
        <f t="shared" si="26"/>
        <v/>
      </c>
      <c r="C194" s="228" t="str">
        <f t="shared" si="23"/>
        <v/>
      </c>
      <c r="D194" s="212" t="str">
        <f t="shared" si="22"/>
        <v/>
      </c>
      <c r="E194" s="212" t="str">
        <f t="shared" ca="1" si="24"/>
        <v/>
      </c>
      <c r="F194" s="212" t="str">
        <f t="shared" ca="1" si="24"/>
        <v/>
      </c>
      <c r="G194" s="212" t="str">
        <f t="shared" ca="1" si="24"/>
        <v/>
      </c>
      <c r="H194" s="212" t="str">
        <f t="shared" ca="1" si="24"/>
        <v/>
      </c>
      <c r="I194" s="212" t="str">
        <f t="shared" ca="1" si="25"/>
        <v/>
      </c>
      <c r="J194" s="212" t="str">
        <f t="shared" ca="1" si="25"/>
        <v/>
      </c>
    </row>
    <row r="195" spans="2:10" x14ac:dyDescent="0.15">
      <c r="B195" s="213" t="str">
        <f t="shared" si="26"/>
        <v/>
      </c>
      <c r="C195" s="228" t="str">
        <f t="shared" si="23"/>
        <v/>
      </c>
      <c r="D195" s="212" t="str">
        <f t="shared" si="22"/>
        <v/>
      </c>
      <c r="E195" s="212" t="str">
        <f t="shared" ca="1" si="24"/>
        <v/>
      </c>
      <c r="F195" s="212" t="str">
        <f t="shared" ca="1" si="24"/>
        <v/>
      </c>
      <c r="G195" s="212" t="str">
        <f t="shared" ca="1" si="24"/>
        <v/>
      </c>
      <c r="H195" s="212" t="str">
        <f t="shared" ca="1" si="24"/>
        <v/>
      </c>
      <c r="I195" s="212" t="str">
        <f t="shared" ca="1" si="25"/>
        <v/>
      </c>
      <c r="J195" s="212" t="str">
        <f t="shared" ca="1" si="25"/>
        <v/>
      </c>
    </row>
    <row r="196" spans="2:10" x14ac:dyDescent="0.15">
      <c r="B196" s="213" t="str">
        <f t="shared" si="26"/>
        <v/>
      </c>
      <c r="C196" s="228" t="str">
        <f t="shared" si="23"/>
        <v/>
      </c>
      <c r="D196" s="212" t="str">
        <f t="shared" si="22"/>
        <v/>
      </c>
      <c r="E196" s="212" t="str">
        <f t="shared" ca="1" si="24"/>
        <v/>
      </c>
      <c r="F196" s="212" t="str">
        <f t="shared" ca="1" si="24"/>
        <v/>
      </c>
      <c r="G196" s="212" t="str">
        <f t="shared" ca="1" si="24"/>
        <v/>
      </c>
      <c r="H196" s="212" t="str">
        <f t="shared" ca="1" si="24"/>
        <v/>
      </c>
      <c r="I196" s="212" t="str">
        <f t="shared" ca="1" si="25"/>
        <v/>
      </c>
      <c r="J196" s="212" t="str">
        <f t="shared" ca="1" si="25"/>
        <v/>
      </c>
    </row>
    <row r="197" spans="2:10" x14ac:dyDescent="0.15">
      <c r="B197" s="213" t="str">
        <f t="shared" si="26"/>
        <v/>
      </c>
      <c r="C197" s="228" t="str">
        <f t="shared" si="23"/>
        <v/>
      </c>
      <c r="D197" s="212" t="str">
        <f t="shared" si="22"/>
        <v/>
      </c>
      <c r="E197" s="212" t="str">
        <f t="shared" ca="1" si="24"/>
        <v/>
      </c>
      <c r="F197" s="212" t="str">
        <f t="shared" ca="1" si="24"/>
        <v/>
      </c>
      <c r="G197" s="212" t="str">
        <f t="shared" ca="1" si="24"/>
        <v/>
      </c>
      <c r="H197" s="212" t="str">
        <f t="shared" ca="1" si="24"/>
        <v/>
      </c>
      <c r="I197" s="212" t="str">
        <f t="shared" ca="1" si="25"/>
        <v/>
      </c>
      <c r="J197" s="212" t="str">
        <f t="shared" ca="1" si="25"/>
        <v/>
      </c>
    </row>
    <row r="198" spans="2:10" x14ac:dyDescent="0.15">
      <c r="B198" s="213" t="str">
        <f t="shared" si="26"/>
        <v/>
      </c>
      <c r="C198" s="228" t="str">
        <f t="shared" si="23"/>
        <v/>
      </c>
      <c r="D198" s="212" t="str">
        <f t="shared" si="22"/>
        <v/>
      </c>
      <c r="E198" s="212" t="str">
        <f t="shared" ca="1" si="24"/>
        <v/>
      </c>
      <c r="F198" s="212" t="str">
        <f t="shared" ca="1" si="24"/>
        <v/>
      </c>
      <c r="G198" s="212" t="str">
        <f t="shared" ca="1" si="24"/>
        <v/>
      </c>
      <c r="H198" s="212" t="str">
        <f t="shared" ca="1" si="24"/>
        <v/>
      </c>
      <c r="I198" s="212" t="str">
        <f t="shared" ca="1" si="25"/>
        <v/>
      </c>
      <c r="J198" s="212" t="str">
        <f t="shared" ca="1" si="25"/>
        <v/>
      </c>
    </row>
    <row r="199" spans="2:10" x14ac:dyDescent="0.15">
      <c r="B199" s="213" t="str">
        <f t="shared" si="26"/>
        <v/>
      </c>
      <c r="C199" s="228" t="str">
        <f t="shared" si="23"/>
        <v/>
      </c>
      <c r="D199" s="212" t="str">
        <f t="shared" si="22"/>
        <v/>
      </c>
      <c r="E199" s="212" t="str">
        <f t="shared" ca="1" si="24"/>
        <v/>
      </c>
      <c r="F199" s="212" t="str">
        <f t="shared" ca="1" si="24"/>
        <v/>
      </c>
      <c r="G199" s="212" t="str">
        <f t="shared" ca="1" si="24"/>
        <v/>
      </c>
      <c r="H199" s="212" t="str">
        <f t="shared" ca="1" si="24"/>
        <v/>
      </c>
      <c r="I199" s="212" t="str">
        <f t="shared" ca="1" si="25"/>
        <v/>
      </c>
      <c r="J199" s="212" t="str">
        <f t="shared" ca="1" si="25"/>
        <v/>
      </c>
    </row>
    <row r="200" spans="2:10" x14ac:dyDescent="0.15">
      <c r="B200" s="213" t="str">
        <f t="shared" si="26"/>
        <v/>
      </c>
      <c r="C200" s="228" t="str">
        <f t="shared" si="23"/>
        <v/>
      </c>
      <c r="D200" s="212" t="str">
        <f t="shared" si="22"/>
        <v/>
      </c>
      <c r="E200" s="212" t="str">
        <f t="shared" ca="1" si="24"/>
        <v/>
      </c>
      <c r="F200" s="212" t="str">
        <f t="shared" ca="1" si="24"/>
        <v/>
      </c>
      <c r="G200" s="212" t="str">
        <f t="shared" ca="1" si="24"/>
        <v/>
      </c>
      <c r="H200" s="212" t="str">
        <f t="shared" ca="1" si="24"/>
        <v/>
      </c>
      <c r="I200" s="212" t="str">
        <f t="shared" ca="1" si="25"/>
        <v/>
      </c>
      <c r="J200" s="212" t="str">
        <f t="shared" ca="1" si="25"/>
        <v/>
      </c>
    </row>
    <row r="201" spans="2:10" x14ac:dyDescent="0.15">
      <c r="B201" s="213" t="str">
        <f t="shared" si="26"/>
        <v/>
      </c>
      <c r="C201" s="228" t="str">
        <f t="shared" si="23"/>
        <v/>
      </c>
      <c r="D201" s="212" t="str">
        <f t="shared" si="22"/>
        <v/>
      </c>
      <c r="E201" s="212" t="str">
        <f t="shared" ca="1" si="24"/>
        <v/>
      </c>
      <c r="F201" s="212" t="str">
        <f t="shared" ca="1" si="24"/>
        <v/>
      </c>
      <c r="G201" s="212" t="str">
        <f t="shared" ca="1" si="24"/>
        <v/>
      </c>
      <c r="H201" s="212" t="str">
        <f t="shared" ca="1" si="24"/>
        <v/>
      </c>
      <c r="I201" s="212" t="str">
        <f t="shared" ca="1" si="25"/>
        <v/>
      </c>
      <c r="J201" s="212" t="str">
        <f t="shared" ca="1" si="25"/>
        <v/>
      </c>
    </row>
    <row r="202" spans="2:10" x14ac:dyDescent="0.15">
      <c r="B202" s="213" t="str">
        <f t="shared" si="26"/>
        <v/>
      </c>
      <c r="C202" s="228" t="str">
        <f t="shared" si="23"/>
        <v/>
      </c>
      <c r="D202" s="212" t="str">
        <f t="shared" si="22"/>
        <v/>
      </c>
      <c r="E202" s="212" t="str">
        <f t="shared" ca="1" si="24"/>
        <v/>
      </c>
      <c r="F202" s="212" t="str">
        <f t="shared" ca="1" si="24"/>
        <v/>
      </c>
      <c r="G202" s="212" t="str">
        <f t="shared" ca="1" si="24"/>
        <v/>
      </c>
      <c r="H202" s="212" t="str">
        <f t="shared" ca="1" si="24"/>
        <v/>
      </c>
      <c r="I202" s="212" t="str">
        <f t="shared" ca="1" si="25"/>
        <v/>
      </c>
      <c r="J202" s="212" t="str">
        <f t="shared" ca="1" si="25"/>
        <v/>
      </c>
    </row>
    <row r="203" spans="2:10" x14ac:dyDescent="0.15">
      <c r="B203" s="213" t="str">
        <f t="shared" si="26"/>
        <v/>
      </c>
      <c r="C203" s="228" t="str">
        <f t="shared" si="23"/>
        <v/>
      </c>
      <c r="D203" s="212" t="str">
        <f t="shared" si="22"/>
        <v/>
      </c>
      <c r="E203" s="212" t="str">
        <f t="shared" ca="1" si="24"/>
        <v/>
      </c>
      <c r="F203" s="212" t="str">
        <f t="shared" ca="1" si="24"/>
        <v/>
      </c>
      <c r="G203" s="212" t="str">
        <f t="shared" ca="1" si="24"/>
        <v/>
      </c>
      <c r="H203" s="212" t="str">
        <f t="shared" ca="1" si="24"/>
        <v/>
      </c>
      <c r="I203" s="212" t="str">
        <f t="shared" ca="1" si="25"/>
        <v/>
      </c>
      <c r="J203" s="212" t="str">
        <f t="shared" ca="1" si="25"/>
        <v/>
      </c>
    </row>
    <row r="204" spans="2:10" x14ac:dyDescent="0.15">
      <c r="B204" s="213" t="str">
        <f t="shared" si="26"/>
        <v/>
      </c>
      <c r="C204" s="228" t="str">
        <f t="shared" si="23"/>
        <v/>
      </c>
      <c r="D204" s="212" t="str">
        <f t="shared" si="22"/>
        <v/>
      </c>
      <c r="E204" s="212" t="str">
        <f t="shared" ca="1" si="24"/>
        <v/>
      </c>
      <c r="F204" s="212" t="str">
        <f t="shared" ca="1" si="24"/>
        <v/>
      </c>
      <c r="G204" s="212" t="str">
        <f t="shared" ca="1" si="24"/>
        <v/>
      </c>
      <c r="H204" s="212" t="str">
        <f t="shared" ca="1" si="24"/>
        <v/>
      </c>
      <c r="I204" s="212" t="str">
        <f t="shared" ca="1" si="25"/>
        <v/>
      </c>
      <c r="J204" s="212" t="str">
        <f t="shared" ca="1" si="25"/>
        <v/>
      </c>
    </row>
    <row r="205" spans="2:10" x14ac:dyDescent="0.15">
      <c r="B205" s="213" t="str">
        <f t="shared" si="26"/>
        <v/>
      </c>
      <c r="C205" s="228" t="str">
        <f t="shared" si="23"/>
        <v/>
      </c>
      <c r="D205" s="212" t="str">
        <f t="shared" si="22"/>
        <v/>
      </c>
      <c r="E205" s="212" t="str">
        <f t="shared" ca="1" si="24"/>
        <v/>
      </c>
      <c r="F205" s="212" t="str">
        <f t="shared" ca="1" si="24"/>
        <v/>
      </c>
      <c r="G205" s="212" t="str">
        <f t="shared" ca="1" si="24"/>
        <v/>
      </c>
      <c r="H205" s="212" t="str">
        <f t="shared" ca="1" si="24"/>
        <v/>
      </c>
      <c r="I205" s="212" t="str">
        <f t="shared" ca="1" si="25"/>
        <v/>
      </c>
      <c r="J205" s="212" t="str">
        <f t="shared" ca="1" si="25"/>
        <v/>
      </c>
    </row>
    <row r="206" spans="2:10" x14ac:dyDescent="0.15">
      <c r="B206" s="213" t="str">
        <f t="shared" si="26"/>
        <v/>
      </c>
      <c r="C206" s="228" t="str">
        <f t="shared" si="23"/>
        <v/>
      </c>
      <c r="D206" s="212" t="str">
        <f t="shared" si="22"/>
        <v/>
      </c>
      <c r="E206" s="212" t="str">
        <f t="shared" ca="1" si="24"/>
        <v/>
      </c>
      <c r="F206" s="212" t="str">
        <f t="shared" ca="1" si="24"/>
        <v/>
      </c>
      <c r="G206" s="212" t="str">
        <f t="shared" ca="1" si="24"/>
        <v/>
      </c>
      <c r="H206" s="212" t="str">
        <f t="shared" ca="1" si="24"/>
        <v/>
      </c>
      <c r="I206" s="212" t="str">
        <f t="shared" ca="1" si="25"/>
        <v/>
      </c>
      <c r="J206" s="212" t="str">
        <f t="shared" ca="1" si="25"/>
        <v/>
      </c>
    </row>
    <row r="207" spans="2:10" x14ac:dyDescent="0.15">
      <c r="B207" s="213" t="str">
        <f t="shared" si="26"/>
        <v/>
      </c>
      <c r="C207" s="228" t="str">
        <f t="shared" si="23"/>
        <v/>
      </c>
      <c r="D207" s="212" t="str">
        <f t="shared" si="22"/>
        <v/>
      </c>
      <c r="E207" s="212" t="str">
        <f t="shared" ca="1" si="24"/>
        <v/>
      </c>
      <c r="F207" s="212" t="str">
        <f t="shared" ca="1" si="24"/>
        <v/>
      </c>
      <c r="G207" s="212" t="str">
        <f t="shared" ca="1" si="24"/>
        <v/>
      </c>
      <c r="H207" s="212" t="str">
        <f t="shared" ca="1" si="24"/>
        <v/>
      </c>
      <c r="I207" s="212" t="str">
        <f t="shared" ca="1" si="25"/>
        <v/>
      </c>
      <c r="J207" s="212" t="str">
        <f t="shared" ca="1" si="25"/>
        <v/>
      </c>
    </row>
    <row r="208" spans="2:10" x14ac:dyDescent="0.15">
      <c r="B208" s="213" t="str">
        <f t="shared" si="26"/>
        <v/>
      </c>
      <c r="C208" s="228" t="str">
        <f t="shared" si="23"/>
        <v/>
      </c>
      <c r="D208" s="212" t="str">
        <f t="shared" si="22"/>
        <v/>
      </c>
      <c r="E208" s="212" t="str">
        <f t="shared" ca="1" si="24"/>
        <v/>
      </c>
      <c r="F208" s="212" t="str">
        <f t="shared" ca="1" si="24"/>
        <v/>
      </c>
      <c r="G208" s="212" t="str">
        <f t="shared" ca="1" si="24"/>
        <v/>
      </c>
      <c r="H208" s="212" t="str">
        <f t="shared" ca="1" si="24"/>
        <v/>
      </c>
      <c r="I208" s="212" t="str">
        <f t="shared" ca="1" si="25"/>
        <v/>
      </c>
      <c r="J208" s="212" t="str">
        <f t="shared" ca="1" si="25"/>
        <v/>
      </c>
    </row>
    <row r="209" spans="2:10" x14ac:dyDescent="0.15">
      <c r="B209" s="213" t="str">
        <f t="shared" si="26"/>
        <v/>
      </c>
      <c r="C209" s="228" t="str">
        <f t="shared" si="23"/>
        <v/>
      </c>
      <c r="D209" s="212" t="str">
        <f t="shared" si="22"/>
        <v/>
      </c>
      <c r="E209" s="212" t="str">
        <f t="shared" ca="1" si="24"/>
        <v/>
      </c>
      <c r="F209" s="212" t="str">
        <f t="shared" ca="1" si="24"/>
        <v/>
      </c>
      <c r="G209" s="212" t="str">
        <f t="shared" ca="1" si="24"/>
        <v/>
      </c>
      <c r="H209" s="212" t="str">
        <f t="shared" ca="1" si="24"/>
        <v/>
      </c>
      <c r="I209" s="212" t="str">
        <f t="shared" ca="1" si="25"/>
        <v/>
      </c>
      <c r="J209" s="212" t="str">
        <f t="shared" ca="1" si="25"/>
        <v/>
      </c>
    </row>
    <row r="210" spans="2:10" x14ac:dyDescent="0.15">
      <c r="B210" s="213" t="str">
        <f t="shared" si="26"/>
        <v/>
      </c>
      <c r="C210" s="228" t="str">
        <f t="shared" si="23"/>
        <v/>
      </c>
      <c r="D210" s="212" t="str">
        <f t="shared" si="22"/>
        <v/>
      </c>
      <c r="E210" s="212" t="str">
        <f t="shared" ca="1" si="24"/>
        <v/>
      </c>
      <c r="F210" s="212" t="str">
        <f t="shared" ca="1" si="24"/>
        <v/>
      </c>
      <c r="G210" s="212" t="str">
        <f t="shared" ca="1" si="24"/>
        <v/>
      </c>
      <c r="H210" s="212" t="str">
        <f t="shared" ca="1" si="24"/>
        <v/>
      </c>
      <c r="I210" s="212" t="str">
        <f t="shared" ca="1" si="25"/>
        <v/>
      </c>
      <c r="J210" s="212" t="str">
        <f t="shared" ca="1" si="25"/>
        <v/>
      </c>
    </row>
    <row r="211" spans="2:10" x14ac:dyDescent="0.15">
      <c r="B211" s="213" t="str">
        <f t="shared" si="26"/>
        <v/>
      </c>
      <c r="C211" s="228" t="str">
        <f t="shared" si="23"/>
        <v/>
      </c>
      <c r="D211" s="212" t="str">
        <f t="shared" si="22"/>
        <v/>
      </c>
      <c r="E211" s="212" t="str">
        <f t="shared" ca="1" si="24"/>
        <v/>
      </c>
      <c r="F211" s="212" t="str">
        <f t="shared" ca="1" si="24"/>
        <v/>
      </c>
      <c r="G211" s="212" t="str">
        <f t="shared" ca="1" si="24"/>
        <v/>
      </c>
      <c r="H211" s="212" t="str">
        <f t="shared" ca="1" si="24"/>
        <v/>
      </c>
      <c r="I211" s="212" t="str">
        <f t="shared" ca="1" si="25"/>
        <v/>
      </c>
      <c r="J211" s="212" t="str">
        <f t="shared" ca="1" si="25"/>
        <v/>
      </c>
    </row>
    <row r="212" spans="2:10" x14ac:dyDescent="0.15">
      <c r="B212" s="213" t="str">
        <f t="shared" si="26"/>
        <v/>
      </c>
      <c r="C212" s="228" t="str">
        <f t="shared" si="23"/>
        <v/>
      </c>
      <c r="D212" s="212" t="str">
        <f t="shared" si="22"/>
        <v/>
      </c>
      <c r="E212" s="212" t="str">
        <f t="shared" ca="1" si="24"/>
        <v/>
      </c>
      <c r="F212" s="212" t="str">
        <f t="shared" ca="1" si="24"/>
        <v/>
      </c>
      <c r="G212" s="212" t="str">
        <f t="shared" ca="1" si="24"/>
        <v/>
      </c>
      <c r="H212" s="212" t="str">
        <f t="shared" ca="1" si="24"/>
        <v/>
      </c>
      <c r="I212" s="212" t="str">
        <f t="shared" ca="1" si="25"/>
        <v/>
      </c>
      <c r="J212" s="212" t="str">
        <f t="shared" ca="1" si="25"/>
        <v/>
      </c>
    </row>
    <row r="213" spans="2:10" x14ac:dyDescent="0.15">
      <c r="B213" s="213" t="str">
        <f t="shared" si="26"/>
        <v/>
      </c>
      <c r="C213" s="228" t="str">
        <f t="shared" si="23"/>
        <v/>
      </c>
      <c r="D213" s="212" t="str">
        <f t="shared" si="22"/>
        <v/>
      </c>
      <c r="E213" s="212" t="str">
        <f t="shared" ca="1" si="24"/>
        <v/>
      </c>
      <c r="F213" s="212" t="str">
        <f t="shared" ca="1" si="24"/>
        <v/>
      </c>
      <c r="G213" s="212" t="str">
        <f t="shared" ca="1" si="24"/>
        <v/>
      </c>
      <c r="H213" s="212" t="str">
        <f t="shared" ca="1" si="24"/>
        <v/>
      </c>
      <c r="I213" s="212" t="str">
        <f t="shared" ca="1" si="25"/>
        <v/>
      </c>
      <c r="J213" s="212" t="str">
        <f t="shared" ca="1" si="25"/>
        <v/>
      </c>
    </row>
    <row r="214" spans="2:10" x14ac:dyDescent="0.15">
      <c r="B214" s="213" t="str">
        <f t="shared" si="26"/>
        <v/>
      </c>
      <c r="C214" s="228" t="str">
        <f t="shared" si="23"/>
        <v/>
      </c>
      <c r="D214" s="212" t="str">
        <f t="shared" si="22"/>
        <v/>
      </c>
      <c r="E214" s="212" t="str">
        <f t="shared" ca="1" si="24"/>
        <v/>
      </c>
      <c r="F214" s="212" t="str">
        <f t="shared" ca="1" si="24"/>
        <v/>
      </c>
      <c r="G214" s="212" t="str">
        <f t="shared" ca="1" si="24"/>
        <v/>
      </c>
      <c r="H214" s="212" t="str">
        <f t="shared" ca="1" si="24"/>
        <v/>
      </c>
      <c r="I214" s="212" t="str">
        <f t="shared" ca="1" si="25"/>
        <v/>
      </c>
      <c r="J214" s="212" t="str">
        <f t="shared" ca="1" si="25"/>
        <v/>
      </c>
    </row>
    <row r="215" spans="2:10" x14ac:dyDescent="0.15">
      <c r="B215" s="213" t="str">
        <f t="shared" si="26"/>
        <v/>
      </c>
      <c r="C215" s="228" t="str">
        <f t="shared" si="23"/>
        <v/>
      </c>
      <c r="D215" s="212" t="str">
        <f t="shared" si="22"/>
        <v/>
      </c>
      <c r="E215" s="212" t="str">
        <f t="shared" ca="1" si="24"/>
        <v/>
      </c>
      <c r="F215" s="212" t="str">
        <f t="shared" ca="1" si="24"/>
        <v/>
      </c>
      <c r="G215" s="212" t="str">
        <f t="shared" ca="1" si="24"/>
        <v/>
      </c>
      <c r="H215" s="212" t="str">
        <f t="shared" ca="1" si="24"/>
        <v/>
      </c>
      <c r="I215" s="212" t="str">
        <f t="shared" ca="1" si="25"/>
        <v/>
      </c>
      <c r="J215" s="212" t="str">
        <f t="shared" ca="1" si="25"/>
        <v/>
      </c>
    </row>
    <row r="216" spans="2:10" x14ac:dyDescent="0.15">
      <c r="B216" s="213" t="str">
        <f t="shared" si="26"/>
        <v/>
      </c>
      <c r="C216" s="228" t="str">
        <f t="shared" si="23"/>
        <v/>
      </c>
      <c r="D216" s="212" t="str">
        <f t="shared" si="22"/>
        <v/>
      </c>
      <c r="E216" s="212" t="str">
        <f t="shared" ca="1" si="24"/>
        <v/>
      </c>
      <c r="F216" s="212" t="str">
        <f t="shared" ca="1" si="24"/>
        <v/>
      </c>
      <c r="G216" s="212" t="str">
        <f t="shared" ca="1" si="24"/>
        <v/>
      </c>
      <c r="H216" s="212" t="str">
        <f t="shared" ca="1" si="24"/>
        <v/>
      </c>
      <c r="I216" s="212" t="str">
        <f t="shared" ca="1" si="25"/>
        <v/>
      </c>
      <c r="J216" s="212" t="str">
        <f t="shared" ca="1" si="25"/>
        <v/>
      </c>
    </row>
    <row r="217" spans="2:10" x14ac:dyDescent="0.15">
      <c r="B217" s="213" t="str">
        <f t="shared" si="26"/>
        <v/>
      </c>
      <c r="C217" s="228" t="str">
        <f t="shared" si="23"/>
        <v/>
      </c>
      <c r="D217" s="212" t="str">
        <f t="shared" si="22"/>
        <v/>
      </c>
      <c r="E217" s="212" t="str">
        <f t="shared" ca="1" si="24"/>
        <v/>
      </c>
      <c r="F217" s="212" t="str">
        <f t="shared" ca="1" si="24"/>
        <v/>
      </c>
      <c r="G217" s="212" t="str">
        <f t="shared" ca="1" si="24"/>
        <v/>
      </c>
      <c r="H217" s="212" t="str">
        <f t="shared" ca="1" si="24"/>
        <v/>
      </c>
      <c r="I217" s="212" t="str">
        <f t="shared" ca="1" si="25"/>
        <v/>
      </c>
      <c r="J217" s="212" t="str">
        <f t="shared" ca="1" si="25"/>
        <v/>
      </c>
    </row>
    <row r="218" spans="2:10" x14ac:dyDescent="0.15">
      <c r="B218" s="213" t="str">
        <f t="shared" si="26"/>
        <v/>
      </c>
      <c r="C218" s="228" t="str">
        <f t="shared" si="23"/>
        <v/>
      </c>
      <c r="D218" s="212" t="str">
        <f t="shared" ref="D218:D281" si="27">IF(B218="","",IF(B219="",SUMIFS(Amount,Timestamp,"&gt;="&amp;B218),SUMIFS(Amount,Timestamp,"&gt;="&amp;B218,Timestamp,"&lt;"&amp;B219)))</f>
        <v/>
      </c>
      <c r="E218" s="212" t="str">
        <f t="shared" ca="1" si="24"/>
        <v/>
      </c>
      <c r="F218" s="212" t="str">
        <f t="shared" ca="1" si="24"/>
        <v/>
      </c>
      <c r="G218" s="212" t="str">
        <f t="shared" ca="1" si="24"/>
        <v/>
      </c>
      <c r="H218" s="212" t="str">
        <f t="shared" ref="H218:J281" ca="1" si="28">IF($B218="","",IF($B218+H$24-1&gt;$E$5,"",SUM(OFFSET($D218,0,0,H$24,1))))</f>
        <v/>
      </c>
      <c r="I218" s="212" t="str">
        <f t="shared" ca="1" si="25"/>
        <v/>
      </c>
      <c r="J218" s="212" t="str">
        <f t="shared" ca="1" si="25"/>
        <v/>
      </c>
    </row>
    <row r="219" spans="2:10" x14ac:dyDescent="0.15">
      <c r="B219" s="213" t="str">
        <f t="shared" si="26"/>
        <v/>
      </c>
      <c r="C219" s="228" t="str">
        <f t="shared" ref="C219:C282" si="29">IF(B219="","",TEXT(B219,"dddd"))</f>
        <v/>
      </c>
      <c r="D219" s="212" t="str">
        <f t="shared" si="27"/>
        <v/>
      </c>
      <c r="E219" s="212" t="str">
        <f t="shared" ref="E219:J282" ca="1" si="30">IF($B219="","",IF($B219+E$24-1&gt;$E$5,"",SUM(OFFSET($D219,0,0,E$24,1))))</f>
        <v/>
      </c>
      <c r="F219" s="212" t="str">
        <f t="shared" ca="1" si="30"/>
        <v/>
      </c>
      <c r="G219" s="212" t="str">
        <f t="shared" ca="1" si="30"/>
        <v/>
      </c>
      <c r="H219" s="212" t="str">
        <f t="shared" ca="1" si="28"/>
        <v/>
      </c>
      <c r="I219" s="212" t="str">
        <f t="shared" ca="1" si="28"/>
        <v/>
      </c>
      <c r="J219" s="212" t="str">
        <f t="shared" ca="1" si="28"/>
        <v/>
      </c>
    </row>
    <row r="220" spans="2:10" x14ac:dyDescent="0.15">
      <c r="B220" s="213" t="str">
        <f t="shared" si="26"/>
        <v/>
      </c>
      <c r="C220" s="228" t="str">
        <f t="shared" si="29"/>
        <v/>
      </c>
      <c r="D220" s="212" t="str">
        <f t="shared" si="27"/>
        <v/>
      </c>
      <c r="E220" s="212" t="str">
        <f t="shared" ca="1" si="30"/>
        <v/>
      </c>
      <c r="F220" s="212" t="str">
        <f t="shared" ca="1" si="30"/>
        <v/>
      </c>
      <c r="G220" s="212" t="str">
        <f t="shared" ca="1" si="30"/>
        <v/>
      </c>
      <c r="H220" s="212" t="str">
        <f t="shared" ca="1" si="28"/>
        <v/>
      </c>
      <c r="I220" s="212" t="str">
        <f t="shared" ca="1" si="28"/>
        <v/>
      </c>
      <c r="J220" s="212" t="str">
        <f t="shared" ca="1" si="28"/>
        <v/>
      </c>
    </row>
    <row r="221" spans="2:10" x14ac:dyDescent="0.15">
      <c r="B221" s="213" t="str">
        <f t="shared" si="26"/>
        <v/>
      </c>
      <c r="C221" s="228" t="str">
        <f t="shared" si="29"/>
        <v/>
      </c>
      <c r="D221" s="212" t="str">
        <f t="shared" si="27"/>
        <v/>
      </c>
      <c r="E221" s="212" t="str">
        <f t="shared" ca="1" si="30"/>
        <v/>
      </c>
      <c r="F221" s="212" t="str">
        <f t="shared" ca="1" si="30"/>
        <v/>
      </c>
      <c r="G221" s="212" t="str">
        <f t="shared" ca="1" si="30"/>
        <v/>
      </c>
      <c r="H221" s="212" t="str">
        <f t="shared" ca="1" si="28"/>
        <v/>
      </c>
      <c r="I221" s="212" t="str">
        <f t="shared" ca="1" si="28"/>
        <v/>
      </c>
      <c r="J221" s="212" t="str">
        <f t="shared" ca="1" si="28"/>
        <v/>
      </c>
    </row>
    <row r="222" spans="2:10" x14ac:dyDescent="0.15">
      <c r="B222" s="213" t="str">
        <f t="shared" si="26"/>
        <v/>
      </c>
      <c r="C222" s="228" t="str">
        <f t="shared" si="29"/>
        <v/>
      </c>
      <c r="D222" s="212" t="str">
        <f t="shared" si="27"/>
        <v/>
      </c>
      <c r="E222" s="212" t="str">
        <f t="shared" ca="1" si="30"/>
        <v/>
      </c>
      <c r="F222" s="212" t="str">
        <f t="shared" ca="1" si="30"/>
        <v/>
      </c>
      <c r="G222" s="212" t="str">
        <f t="shared" ca="1" si="30"/>
        <v/>
      </c>
      <c r="H222" s="212" t="str">
        <f t="shared" ca="1" si="28"/>
        <v/>
      </c>
      <c r="I222" s="212" t="str">
        <f t="shared" ca="1" si="28"/>
        <v/>
      </c>
      <c r="J222" s="212" t="str">
        <f t="shared" ca="1" si="28"/>
        <v/>
      </c>
    </row>
    <row r="223" spans="2:10" x14ac:dyDescent="0.15">
      <c r="B223" s="213" t="str">
        <f t="shared" si="26"/>
        <v/>
      </c>
      <c r="C223" s="228" t="str">
        <f t="shared" si="29"/>
        <v/>
      </c>
      <c r="D223" s="212" t="str">
        <f t="shared" si="27"/>
        <v/>
      </c>
      <c r="E223" s="212" t="str">
        <f t="shared" ca="1" si="30"/>
        <v/>
      </c>
      <c r="F223" s="212" t="str">
        <f t="shared" ca="1" si="30"/>
        <v/>
      </c>
      <c r="G223" s="212" t="str">
        <f t="shared" ca="1" si="30"/>
        <v/>
      </c>
      <c r="H223" s="212" t="str">
        <f t="shared" ca="1" si="28"/>
        <v/>
      </c>
      <c r="I223" s="212" t="str">
        <f t="shared" ca="1" si="28"/>
        <v/>
      </c>
      <c r="J223" s="212" t="str">
        <f t="shared" ca="1" si="28"/>
        <v/>
      </c>
    </row>
    <row r="224" spans="2:10" x14ac:dyDescent="0.15">
      <c r="B224" s="213" t="str">
        <f t="shared" si="26"/>
        <v/>
      </c>
      <c r="C224" s="228" t="str">
        <f t="shared" si="29"/>
        <v/>
      </c>
      <c r="D224" s="212" t="str">
        <f t="shared" si="27"/>
        <v/>
      </c>
      <c r="E224" s="212" t="str">
        <f t="shared" ca="1" si="30"/>
        <v/>
      </c>
      <c r="F224" s="212" t="str">
        <f t="shared" ca="1" si="30"/>
        <v/>
      </c>
      <c r="G224" s="212" t="str">
        <f t="shared" ca="1" si="30"/>
        <v/>
      </c>
      <c r="H224" s="212" t="str">
        <f t="shared" ca="1" si="28"/>
        <v/>
      </c>
      <c r="I224" s="212" t="str">
        <f t="shared" ca="1" si="28"/>
        <v/>
      </c>
      <c r="J224" s="212" t="str">
        <f t="shared" ca="1" si="28"/>
        <v/>
      </c>
    </row>
    <row r="225" spans="2:10" x14ac:dyDescent="0.15">
      <c r="B225" s="213" t="str">
        <f t="shared" si="26"/>
        <v/>
      </c>
      <c r="C225" s="228" t="str">
        <f t="shared" si="29"/>
        <v/>
      </c>
      <c r="D225" s="212" t="str">
        <f t="shared" si="27"/>
        <v/>
      </c>
      <c r="E225" s="212" t="str">
        <f t="shared" ca="1" si="30"/>
        <v/>
      </c>
      <c r="F225" s="212" t="str">
        <f t="shared" ca="1" si="30"/>
        <v/>
      </c>
      <c r="G225" s="212" t="str">
        <f t="shared" ca="1" si="30"/>
        <v/>
      </c>
      <c r="H225" s="212" t="str">
        <f t="shared" ca="1" si="28"/>
        <v/>
      </c>
      <c r="I225" s="212" t="str">
        <f t="shared" ca="1" si="28"/>
        <v/>
      </c>
      <c r="J225" s="212" t="str">
        <f t="shared" ca="1" si="28"/>
        <v/>
      </c>
    </row>
    <row r="226" spans="2:10" x14ac:dyDescent="0.15">
      <c r="B226" s="213" t="str">
        <f t="shared" si="26"/>
        <v/>
      </c>
      <c r="C226" s="228" t="str">
        <f t="shared" si="29"/>
        <v/>
      </c>
      <c r="D226" s="212" t="str">
        <f t="shared" si="27"/>
        <v/>
      </c>
      <c r="E226" s="212" t="str">
        <f t="shared" ca="1" si="30"/>
        <v/>
      </c>
      <c r="F226" s="212" t="str">
        <f t="shared" ca="1" si="30"/>
        <v/>
      </c>
      <c r="G226" s="212" t="str">
        <f t="shared" ca="1" si="30"/>
        <v/>
      </c>
      <c r="H226" s="212" t="str">
        <f t="shared" ca="1" si="28"/>
        <v/>
      </c>
      <c r="I226" s="212" t="str">
        <f t="shared" ca="1" si="28"/>
        <v/>
      </c>
      <c r="J226" s="212" t="str">
        <f t="shared" ca="1" si="28"/>
        <v/>
      </c>
    </row>
    <row r="227" spans="2:10" x14ac:dyDescent="0.15">
      <c r="B227" s="213" t="str">
        <f t="shared" ref="B227:B290" si="31">IF(B226="","",IF(B226&gt;=$E$5,"",B226+1))</f>
        <v/>
      </c>
      <c r="C227" s="228" t="str">
        <f t="shared" si="29"/>
        <v/>
      </c>
      <c r="D227" s="212" t="str">
        <f t="shared" si="27"/>
        <v/>
      </c>
      <c r="E227" s="212" t="str">
        <f t="shared" ca="1" si="30"/>
        <v/>
      </c>
      <c r="F227" s="212" t="str">
        <f t="shared" ca="1" si="30"/>
        <v/>
      </c>
      <c r="G227" s="212" t="str">
        <f t="shared" ca="1" si="30"/>
        <v/>
      </c>
      <c r="H227" s="212" t="str">
        <f t="shared" ca="1" si="28"/>
        <v/>
      </c>
      <c r="I227" s="212" t="str">
        <f t="shared" ca="1" si="28"/>
        <v/>
      </c>
      <c r="J227" s="212" t="str">
        <f t="shared" ca="1" si="28"/>
        <v/>
      </c>
    </row>
    <row r="228" spans="2:10" x14ac:dyDescent="0.15">
      <c r="B228" s="213" t="str">
        <f t="shared" si="31"/>
        <v/>
      </c>
      <c r="C228" s="228" t="str">
        <f t="shared" si="29"/>
        <v/>
      </c>
      <c r="D228" s="212" t="str">
        <f t="shared" si="27"/>
        <v/>
      </c>
      <c r="E228" s="212" t="str">
        <f t="shared" ca="1" si="30"/>
        <v/>
      </c>
      <c r="F228" s="212" t="str">
        <f t="shared" ca="1" si="30"/>
        <v/>
      </c>
      <c r="G228" s="212" t="str">
        <f t="shared" ca="1" si="30"/>
        <v/>
      </c>
      <c r="H228" s="212" t="str">
        <f t="shared" ca="1" si="28"/>
        <v/>
      </c>
      <c r="I228" s="212" t="str">
        <f t="shared" ca="1" si="28"/>
        <v/>
      </c>
      <c r="J228" s="212" t="str">
        <f t="shared" ca="1" si="28"/>
        <v/>
      </c>
    </row>
    <row r="229" spans="2:10" x14ac:dyDescent="0.15">
      <c r="B229" s="213" t="str">
        <f t="shared" si="31"/>
        <v/>
      </c>
      <c r="C229" s="228" t="str">
        <f t="shared" si="29"/>
        <v/>
      </c>
      <c r="D229" s="212" t="str">
        <f t="shared" si="27"/>
        <v/>
      </c>
      <c r="E229" s="212" t="str">
        <f t="shared" ca="1" si="30"/>
        <v/>
      </c>
      <c r="F229" s="212" t="str">
        <f t="shared" ca="1" si="30"/>
        <v/>
      </c>
      <c r="G229" s="212" t="str">
        <f t="shared" ca="1" si="30"/>
        <v/>
      </c>
      <c r="H229" s="212" t="str">
        <f t="shared" ca="1" si="28"/>
        <v/>
      </c>
      <c r="I229" s="212" t="str">
        <f t="shared" ca="1" si="28"/>
        <v/>
      </c>
      <c r="J229" s="212" t="str">
        <f t="shared" ca="1" si="28"/>
        <v/>
      </c>
    </row>
    <row r="230" spans="2:10" x14ac:dyDescent="0.15">
      <c r="B230" s="213" t="str">
        <f t="shared" si="31"/>
        <v/>
      </c>
      <c r="C230" s="228" t="str">
        <f t="shared" si="29"/>
        <v/>
      </c>
      <c r="D230" s="212" t="str">
        <f t="shared" si="27"/>
        <v/>
      </c>
      <c r="E230" s="212" t="str">
        <f t="shared" ca="1" si="30"/>
        <v/>
      </c>
      <c r="F230" s="212" t="str">
        <f t="shared" ca="1" si="30"/>
        <v/>
      </c>
      <c r="G230" s="212" t="str">
        <f t="shared" ca="1" si="30"/>
        <v/>
      </c>
      <c r="H230" s="212" t="str">
        <f t="shared" ca="1" si="28"/>
        <v/>
      </c>
      <c r="I230" s="212" t="str">
        <f t="shared" ca="1" si="28"/>
        <v/>
      </c>
      <c r="J230" s="212" t="str">
        <f t="shared" ca="1" si="28"/>
        <v/>
      </c>
    </row>
    <row r="231" spans="2:10" x14ac:dyDescent="0.15">
      <c r="B231" s="213" t="str">
        <f t="shared" si="31"/>
        <v/>
      </c>
      <c r="C231" s="228" t="str">
        <f t="shared" si="29"/>
        <v/>
      </c>
      <c r="D231" s="212" t="str">
        <f t="shared" si="27"/>
        <v/>
      </c>
      <c r="E231" s="212" t="str">
        <f t="shared" ca="1" si="30"/>
        <v/>
      </c>
      <c r="F231" s="212" t="str">
        <f t="shared" ca="1" si="30"/>
        <v/>
      </c>
      <c r="G231" s="212" t="str">
        <f t="shared" ca="1" si="30"/>
        <v/>
      </c>
      <c r="H231" s="212" t="str">
        <f t="shared" ca="1" si="28"/>
        <v/>
      </c>
      <c r="I231" s="212" t="str">
        <f t="shared" ca="1" si="28"/>
        <v/>
      </c>
      <c r="J231" s="212" t="str">
        <f t="shared" ca="1" si="28"/>
        <v/>
      </c>
    </row>
    <row r="232" spans="2:10" x14ac:dyDescent="0.15">
      <c r="B232" s="213" t="str">
        <f t="shared" si="31"/>
        <v/>
      </c>
      <c r="C232" s="228" t="str">
        <f t="shared" si="29"/>
        <v/>
      </c>
      <c r="D232" s="212" t="str">
        <f t="shared" si="27"/>
        <v/>
      </c>
      <c r="E232" s="212" t="str">
        <f t="shared" ca="1" si="30"/>
        <v/>
      </c>
      <c r="F232" s="212" t="str">
        <f t="shared" ca="1" si="30"/>
        <v/>
      </c>
      <c r="G232" s="212" t="str">
        <f t="shared" ca="1" si="30"/>
        <v/>
      </c>
      <c r="H232" s="212" t="str">
        <f t="shared" ca="1" si="28"/>
        <v/>
      </c>
      <c r="I232" s="212" t="str">
        <f t="shared" ca="1" si="28"/>
        <v/>
      </c>
      <c r="J232" s="212" t="str">
        <f t="shared" ca="1" si="28"/>
        <v/>
      </c>
    </row>
    <row r="233" spans="2:10" x14ac:dyDescent="0.15">
      <c r="B233" s="213" t="str">
        <f t="shared" si="31"/>
        <v/>
      </c>
      <c r="C233" s="228" t="str">
        <f t="shared" si="29"/>
        <v/>
      </c>
      <c r="D233" s="212" t="str">
        <f t="shared" si="27"/>
        <v/>
      </c>
      <c r="E233" s="212" t="str">
        <f t="shared" ca="1" si="30"/>
        <v/>
      </c>
      <c r="F233" s="212" t="str">
        <f t="shared" ca="1" si="30"/>
        <v/>
      </c>
      <c r="G233" s="212" t="str">
        <f t="shared" ca="1" si="30"/>
        <v/>
      </c>
      <c r="H233" s="212" t="str">
        <f t="shared" ca="1" si="28"/>
        <v/>
      </c>
      <c r="I233" s="212" t="str">
        <f t="shared" ca="1" si="28"/>
        <v/>
      </c>
      <c r="J233" s="212" t="str">
        <f t="shared" ca="1" si="28"/>
        <v/>
      </c>
    </row>
    <row r="234" spans="2:10" x14ac:dyDescent="0.15">
      <c r="B234" s="213" t="str">
        <f t="shared" si="31"/>
        <v/>
      </c>
      <c r="C234" s="228" t="str">
        <f t="shared" si="29"/>
        <v/>
      </c>
      <c r="D234" s="212" t="str">
        <f t="shared" si="27"/>
        <v/>
      </c>
      <c r="E234" s="212" t="str">
        <f t="shared" ca="1" si="30"/>
        <v/>
      </c>
      <c r="F234" s="212" t="str">
        <f t="shared" ca="1" si="30"/>
        <v/>
      </c>
      <c r="G234" s="212" t="str">
        <f t="shared" ca="1" si="30"/>
        <v/>
      </c>
      <c r="H234" s="212" t="str">
        <f t="shared" ca="1" si="28"/>
        <v/>
      </c>
      <c r="I234" s="212" t="str">
        <f t="shared" ca="1" si="28"/>
        <v/>
      </c>
      <c r="J234" s="212" t="str">
        <f t="shared" ca="1" si="28"/>
        <v/>
      </c>
    </row>
    <row r="235" spans="2:10" x14ac:dyDescent="0.15">
      <c r="B235" s="213" t="str">
        <f t="shared" si="31"/>
        <v/>
      </c>
      <c r="C235" s="228" t="str">
        <f t="shared" si="29"/>
        <v/>
      </c>
      <c r="D235" s="212" t="str">
        <f t="shared" si="27"/>
        <v/>
      </c>
      <c r="E235" s="212" t="str">
        <f t="shared" ca="1" si="30"/>
        <v/>
      </c>
      <c r="F235" s="212" t="str">
        <f t="shared" ca="1" si="30"/>
        <v/>
      </c>
      <c r="G235" s="212" t="str">
        <f t="shared" ca="1" si="30"/>
        <v/>
      </c>
      <c r="H235" s="212" t="str">
        <f t="shared" ca="1" si="28"/>
        <v/>
      </c>
      <c r="I235" s="212" t="str">
        <f t="shared" ca="1" si="28"/>
        <v/>
      </c>
      <c r="J235" s="212" t="str">
        <f t="shared" ca="1" si="28"/>
        <v/>
      </c>
    </row>
    <row r="236" spans="2:10" x14ac:dyDescent="0.15">
      <c r="B236" s="213" t="str">
        <f t="shared" si="31"/>
        <v/>
      </c>
      <c r="C236" s="228" t="str">
        <f t="shared" si="29"/>
        <v/>
      </c>
      <c r="D236" s="212" t="str">
        <f t="shared" si="27"/>
        <v/>
      </c>
      <c r="E236" s="212" t="str">
        <f t="shared" ca="1" si="30"/>
        <v/>
      </c>
      <c r="F236" s="212" t="str">
        <f t="shared" ca="1" si="30"/>
        <v/>
      </c>
      <c r="G236" s="212" t="str">
        <f t="shared" ca="1" si="30"/>
        <v/>
      </c>
      <c r="H236" s="212" t="str">
        <f t="shared" ca="1" si="28"/>
        <v/>
      </c>
      <c r="I236" s="212" t="str">
        <f t="shared" ca="1" si="28"/>
        <v/>
      </c>
      <c r="J236" s="212" t="str">
        <f t="shared" ca="1" si="28"/>
        <v/>
      </c>
    </row>
    <row r="237" spans="2:10" x14ac:dyDescent="0.15">
      <c r="B237" s="213" t="str">
        <f t="shared" si="31"/>
        <v/>
      </c>
      <c r="C237" s="228" t="str">
        <f t="shared" si="29"/>
        <v/>
      </c>
      <c r="D237" s="212" t="str">
        <f t="shared" si="27"/>
        <v/>
      </c>
      <c r="E237" s="212" t="str">
        <f t="shared" ca="1" si="30"/>
        <v/>
      </c>
      <c r="F237" s="212" t="str">
        <f t="shared" ca="1" si="30"/>
        <v/>
      </c>
      <c r="G237" s="212" t="str">
        <f t="shared" ca="1" si="30"/>
        <v/>
      </c>
      <c r="H237" s="212" t="str">
        <f t="shared" ca="1" si="28"/>
        <v/>
      </c>
      <c r="I237" s="212" t="str">
        <f t="shared" ca="1" si="28"/>
        <v/>
      </c>
      <c r="J237" s="212" t="str">
        <f t="shared" ca="1" si="28"/>
        <v/>
      </c>
    </row>
    <row r="238" spans="2:10" x14ac:dyDescent="0.15">
      <c r="B238" s="213" t="str">
        <f t="shared" si="31"/>
        <v/>
      </c>
      <c r="C238" s="228" t="str">
        <f t="shared" si="29"/>
        <v/>
      </c>
      <c r="D238" s="212" t="str">
        <f t="shared" si="27"/>
        <v/>
      </c>
      <c r="E238" s="212" t="str">
        <f t="shared" ca="1" si="30"/>
        <v/>
      </c>
      <c r="F238" s="212" t="str">
        <f t="shared" ca="1" si="30"/>
        <v/>
      </c>
      <c r="G238" s="212" t="str">
        <f t="shared" ca="1" si="30"/>
        <v/>
      </c>
      <c r="H238" s="212" t="str">
        <f t="shared" ca="1" si="28"/>
        <v/>
      </c>
      <c r="I238" s="212" t="str">
        <f t="shared" ca="1" si="28"/>
        <v/>
      </c>
      <c r="J238" s="212" t="str">
        <f t="shared" ca="1" si="28"/>
        <v/>
      </c>
    </row>
    <row r="239" spans="2:10" x14ac:dyDescent="0.15">
      <c r="B239" s="213" t="str">
        <f t="shared" si="31"/>
        <v/>
      </c>
      <c r="C239" s="228" t="str">
        <f t="shared" si="29"/>
        <v/>
      </c>
      <c r="D239" s="212" t="str">
        <f t="shared" si="27"/>
        <v/>
      </c>
      <c r="E239" s="212" t="str">
        <f t="shared" ca="1" si="30"/>
        <v/>
      </c>
      <c r="F239" s="212" t="str">
        <f t="shared" ca="1" si="30"/>
        <v/>
      </c>
      <c r="G239" s="212" t="str">
        <f t="shared" ca="1" si="30"/>
        <v/>
      </c>
      <c r="H239" s="212" t="str">
        <f t="shared" ca="1" si="28"/>
        <v/>
      </c>
      <c r="I239" s="212" t="str">
        <f t="shared" ca="1" si="28"/>
        <v/>
      </c>
      <c r="J239" s="212" t="str">
        <f t="shared" ca="1" si="28"/>
        <v/>
      </c>
    </row>
    <row r="240" spans="2:10" x14ac:dyDescent="0.15">
      <c r="B240" s="213" t="str">
        <f t="shared" si="31"/>
        <v/>
      </c>
      <c r="C240" s="228" t="str">
        <f t="shared" si="29"/>
        <v/>
      </c>
      <c r="D240" s="212" t="str">
        <f t="shared" si="27"/>
        <v/>
      </c>
      <c r="E240" s="212" t="str">
        <f t="shared" ca="1" si="30"/>
        <v/>
      </c>
      <c r="F240" s="212" t="str">
        <f t="shared" ca="1" si="30"/>
        <v/>
      </c>
      <c r="G240" s="212" t="str">
        <f t="shared" ca="1" si="30"/>
        <v/>
      </c>
      <c r="H240" s="212" t="str">
        <f t="shared" ca="1" si="28"/>
        <v/>
      </c>
      <c r="I240" s="212" t="str">
        <f t="shared" ca="1" si="28"/>
        <v/>
      </c>
      <c r="J240" s="212" t="str">
        <f t="shared" ca="1" si="28"/>
        <v/>
      </c>
    </row>
    <row r="241" spans="2:10" x14ac:dyDescent="0.15">
      <c r="B241" s="213" t="str">
        <f t="shared" si="31"/>
        <v/>
      </c>
      <c r="C241" s="228" t="str">
        <f t="shared" si="29"/>
        <v/>
      </c>
      <c r="D241" s="212" t="str">
        <f t="shared" si="27"/>
        <v/>
      </c>
      <c r="E241" s="212" t="str">
        <f t="shared" ca="1" si="30"/>
        <v/>
      </c>
      <c r="F241" s="212" t="str">
        <f t="shared" ca="1" si="30"/>
        <v/>
      </c>
      <c r="G241" s="212" t="str">
        <f t="shared" ca="1" si="30"/>
        <v/>
      </c>
      <c r="H241" s="212" t="str">
        <f t="shared" ca="1" si="28"/>
        <v/>
      </c>
      <c r="I241" s="212" t="str">
        <f t="shared" ca="1" si="28"/>
        <v/>
      </c>
      <c r="J241" s="212" t="str">
        <f t="shared" ca="1" si="28"/>
        <v/>
      </c>
    </row>
    <row r="242" spans="2:10" x14ac:dyDescent="0.15">
      <c r="B242" s="213" t="str">
        <f t="shared" si="31"/>
        <v/>
      </c>
      <c r="C242" s="228" t="str">
        <f t="shared" si="29"/>
        <v/>
      </c>
      <c r="D242" s="212" t="str">
        <f t="shared" si="27"/>
        <v/>
      </c>
      <c r="E242" s="212" t="str">
        <f t="shared" ca="1" si="30"/>
        <v/>
      </c>
      <c r="F242" s="212" t="str">
        <f t="shared" ca="1" si="30"/>
        <v/>
      </c>
      <c r="G242" s="212" t="str">
        <f t="shared" ca="1" si="30"/>
        <v/>
      </c>
      <c r="H242" s="212" t="str">
        <f t="shared" ca="1" si="28"/>
        <v/>
      </c>
      <c r="I242" s="212" t="str">
        <f t="shared" ca="1" si="28"/>
        <v/>
      </c>
      <c r="J242" s="212" t="str">
        <f t="shared" ca="1" si="28"/>
        <v/>
      </c>
    </row>
    <row r="243" spans="2:10" x14ac:dyDescent="0.15">
      <c r="B243" s="213" t="str">
        <f t="shared" si="31"/>
        <v/>
      </c>
      <c r="C243" s="228" t="str">
        <f t="shared" si="29"/>
        <v/>
      </c>
      <c r="D243" s="212" t="str">
        <f t="shared" si="27"/>
        <v/>
      </c>
      <c r="E243" s="212" t="str">
        <f t="shared" ca="1" si="30"/>
        <v/>
      </c>
      <c r="F243" s="212" t="str">
        <f t="shared" ca="1" si="30"/>
        <v/>
      </c>
      <c r="G243" s="212" t="str">
        <f t="shared" ca="1" si="30"/>
        <v/>
      </c>
      <c r="H243" s="212" t="str">
        <f t="shared" ca="1" si="28"/>
        <v/>
      </c>
      <c r="I243" s="212" t="str">
        <f t="shared" ca="1" si="28"/>
        <v/>
      </c>
      <c r="J243" s="212" t="str">
        <f t="shared" ca="1" si="28"/>
        <v/>
      </c>
    </row>
    <row r="244" spans="2:10" x14ac:dyDescent="0.15">
      <c r="B244" s="213" t="str">
        <f t="shared" si="31"/>
        <v/>
      </c>
      <c r="C244" s="228" t="str">
        <f t="shared" si="29"/>
        <v/>
      </c>
      <c r="D244" s="212" t="str">
        <f t="shared" si="27"/>
        <v/>
      </c>
      <c r="E244" s="212" t="str">
        <f t="shared" ca="1" si="30"/>
        <v/>
      </c>
      <c r="F244" s="212" t="str">
        <f t="shared" ca="1" si="30"/>
        <v/>
      </c>
      <c r="G244" s="212" t="str">
        <f t="shared" ca="1" si="30"/>
        <v/>
      </c>
      <c r="H244" s="212" t="str">
        <f t="shared" ca="1" si="28"/>
        <v/>
      </c>
      <c r="I244" s="212" t="str">
        <f t="shared" ca="1" si="28"/>
        <v/>
      </c>
      <c r="J244" s="212" t="str">
        <f t="shared" ca="1" si="28"/>
        <v/>
      </c>
    </row>
    <row r="245" spans="2:10" x14ac:dyDescent="0.15">
      <c r="B245" s="213" t="str">
        <f t="shared" si="31"/>
        <v/>
      </c>
      <c r="C245" s="228" t="str">
        <f t="shared" si="29"/>
        <v/>
      </c>
      <c r="D245" s="212" t="str">
        <f t="shared" si="27"/>
        <v/>
      </c>
      <c r="E245" s="212" t="str">
        <f t="shared" ca="1" si="30"/>
        <v/>
      </c>
      <c r="F245" s="212" t="str">
        <f t="shared" ca="1" si="30"/>
        <v/>
      </c>
      <c r="G245" s="212" t="str">
        <f t="shared" ca="1" si="30"/>
        <v/>
      </c>
      <c r="H245" s="212" t="str">
        <f t="shared" ca="1" si="28"/>
        <v/>
      </c>
      <c r="I245" s="212" t="str">
        <f t="shared" ca="1" si="28"/>
        <v/>
      </c>
      <c r="J245" s="212" t="str">
        <f t="shared" ca="1" si="28"/>
        <v/>
      </c>
    </row>
    <row r="246" spans="2:10" x14ac:dyDescent="0.15">
      <c r="B246" s="213" t="str">
        <f t="shared" si="31"/>
        <v/>
      </c>
      <c r="C246" s="228" t="str">
        <f t="shared" si="29"/>
        <v/>
      </c>
      <c r="D246" s="212" t="str">
        <f t="shared" si="27"/>
        <v/>
      </c>
      <c r="E246" s="212" t="str">
        <f t="shared" ca="1" si="30"/>
        <v/>
      </c>
      <c r="F246" s="212" t="str">
        <f t="shared" ca="1" si="30"/>
        <v/>
      </c>
      <c r="G246" s="212" t="str">
        <f t="shared" ca="1" si="30"/>
        <v/>
      </c>
      <c r="H246" s="212" t="str">
        <f t="shared" ca="1" si="28"/>
        <v/>
      </c>
      <c r="I246" s="212" t="str">
        <f t="shared" ca="1" si="28"/>
        <v/>
      </c>
      <c r="J246" s="212" t="str">
        <f t="shared" ca="1" si="28"/>
        <v/>
      </c>
    </row>
    <row r="247" spans="2:10" x14ac:dyDescent="0.15">
      <c r="B247" s="213" t="str">
        <f t="shared" si="31"/>
        <v/>
      </c>
      <c r="C247" s="228" t="str">
        <f t="shared" si="29"/>
        <v/>
      </c>
      <c r="D247" s="212" t="str">
        <f t="shared" si="27"/>
        <v/>
      </c>
      <c r="E247" s="212" t="str">
        <f t="shared" ca="1" si="30"/>
        <v/>
      </c>
      <c r="F247" s="212" t="str">
        <f t="shared" ca="1" si="30"/>
        <v/>
      </c>
      <c r="G247" s="212" t="str">
        <f t="shared" ca="1" si="30"/>
        <v/>
      </c>
      <c r="H247" s="212" t="str">
        <f t="shared" ca="1" si="28"/>
        <v/>
      </c>
      <c r="I247" s="212" t="str">
        <f t="shared" ca="1" si="28"/>
        <v/>
      </c>
      <c r="J247" s="212" t="str">
        <f t="shared" ca="1" si="28"/>
        <v/>
      </c>
    </row>
    <row r="248" spans="2:10" x14ac:dyDescent="0.15">
      <c r="B248" s="213" t="str">
        <f t="shared" si="31"/>
        <v/>
      </c>
      <c r="C248" s="228" t="str">
        <f t="shared" si="29"/>
        <v/>
      </c>
      <c r="D248" s="212" t="str">
        <f t="shared" si="27"/>
        <v/>
      </c>
      <c r="E248" s="212" t="str">
        <f t="shared" ca="1" si="30"/>
        <v/>
      </c>
      <c r="F248" s="212" t="str">
        <f t="shared" ca="1" si="30"/>
        <v/>
      </c>
      <c r="G248" s="212" t="str">
        <f t="shared" ca="1" si="30"/>
        <v/>
      </c>
      <c r="H248" s="212" t="str">
        <f t="shared" ca="1" si="28"/>
        <v/>
      </c>
      <c r="I248" s="212" t="str">
        <f t="shared" ca="1" si="28"/>
        <v/>
      </c>
      <c r="J248" s="212" t="str">
        <f t="shared" ca="1" si="28"/>
        <v/>
      </c>
    </row>
    <row r="249" spans="2:10" x14ac:dyDescent="0.15">
      <c r="B249" s="213" t="str">
        <f t="shared" si="31"/>
        <v/>
      </c>
      <c r="C249" s="228" t="str">
        <f t="shared" si="29"/>
        <v/>
      </c>
      <c r="D249" s="212" t="str">
        <f t="shared" si="27"/>
        <v/>
      </c>
      <c r="E249" s="212" t="str">
        <f t="shared" ca="1" si="30"/>
        <v/>
      </c>
      <c r="F249" s="212" t="str">
        <f t="shared" ca="1" si="30"/>
        <v/>
      </c>
      <c r="G249" s="212" t="str">
        <f t="shared" ca="1" si="30"/>
        <v/>
      </c>
      <c r="H249" s="212" t="str">
        <f t="shared" ca="1" si="28"/>
        <v/>
      </c>
      <c r="I249" s="212" t="str">
        <f t="shared" ca="1" si="28"/>
        <v/>
      </c>
      <c r="J249" s="212" t="str">
        <f t="shared" ca="1" si="28"/>
        <v/>
      </c>
    </row>
    <row r="250" spans="2:10" x14ac:dyDescent="0.15">
      <c r="B250" s="213" t="str">
        <f t="shared" si="31"/>
        <v/>
      </c>
      <c r="C250" s="228" t="str">
        <f t="shared" si="29"/>
        <v/>
      </c>
      <c r="D250" s="212" t="str">
        <f t="shared" si="27"/>
        <v/>
      </c>
      <c r="E250" s="212" t="str">
        <f t="shared" ca="1" si="30"/>
        <v/>
      </c>
      <c r="F250" s="212" t="str">
        <f t="shared" ca="1" si="30"/>
        <v/>
      </c>
      <c r="G250" s="212" t="str">
        <f t="shared" ca="1" si="30"/>
        <v/>
      </c>
      <c r="H250" s="212" t="str">
        <f t="shared" ca="1" si="28"/>
        <v/>
      </c>
      <c r="I250" s="212" t="str">
        <f t="shared" ca="1" si="28"/>
        <v/>
      </c>
      <c r="J250" s="212" t="str">
        <f t="shared" ca="1" si="28"/>
        <v/>
      </c>
    </row>
    <row r="251" spans="2:10" x14ac:dyDescent="0.15">
      <c r="B251" s="213" t="str">
        <f t="shared" si="31"/>
        <v/>
      </c>
      <c r="C251" s="228" t="str">
        <f t="shared" si="29"/>
        <v/>
      </c>
      <c r="D251" s="212" t="str">
        <f t="shared" si="27"/>
        <v/>
      </c>
      <c r="E251" s="212" t="str">
        <f t="shared" ca="1" si="30"/>
        <v/>
      </c>
      <c r="F251" s="212" t="str">
        <f t="shared" ca="1" si="30"/>
        <v/>
      </c>
      <c r="G251" s="212" t="str">
        <f t="shared" ca="1" si="30"/>
        <v/>
      </c>
      <c r="H251" s="212" t="str">
        <f t="shared" ca="1" si="28"/>
        <v/>
      </c>
      <c r="I251" s="212" t="str">
        <f t="shared" ca="1" si="28"/>
        <v/>
      </c>
      <c r="J251" s="212" t="str">
        <f t="shared" ca="1" si="28"/>
        <v/>
      </c>
    </row>
    <row r="252" spans="2:10" x14ac:dyDescent="0.15">
      <c r="B252" s="213" t="str">
        <f t="shared" si="31"/>
        <v/>
      </c>
      <c r="C252" s="228" t="str">
        <f t="shared" si="29"/>
        <v/>
      </c>
      <c r="D252" s="212" t="str">
        <f t="shared" si="27"/>
        <v/>
      </c>
      <c r="E252" s="212" t="str">
        <f t="shared" ca="1" si="30"/>
        <v/>
      </c>
      <c r="F252" s="212" t="str">
        <f t="shared" ca="1" si="30"/>
        <v/>
      </c>
      <c r="G252" s="212" t="str">
        <f t="shared" ca="1" si="30"/>
        <v/>
      </c>
      <c r="H252" s="212" t="str">
        <f t="shared" ca="1" si="28"/>
        <v/>
      </c>
      <c r="I252" s="212" t="str">
        <f t="shared" ca="1" si="28"/>
        <v/>
      </c>
      <c r="J252" s="212" t="str">
        <f t="shared" ca="1" si="28"/>
        <v/>
      </c>
    </row>
    <row r="253" spans="2:10" x14ac:dyDescent="0.15">
      <c r="B253" s="213" t="str">
        <f t="shared" si="31"/>
        <v/>
      </c>
      <c r="C253" s="228" t="str">
        <f t="shared" si="29"/>
        <v/>
      </c>
      <c r="D253" s="212" t="str">
        <f t="shared" si="27"/>
        <v/>
      </c>
      <c r="E253" s="212" t="str">
        <f t="shared" ca="1" si="30"/>
        <v/>
      </c>
      <c r="F253" s="212" t="str">
        <f t="shared" ca="1" si="30"/>
        <v/>
      </c>
      <c r="G253" s="212" t="str">
        <f t="shared" ca="1" si="30"/>
        <v/>
      </c>
      <c r="H253" s="212" t="str">
        <f t="shared" ca="1" si="28"/>
        <v/>
      </c>
      <c r="I253" s="212" t="str">
        <f t="shared" ca="1" si="28"/>
        <v/>
      </c>
      <c r="J253" s="212" t="str">
        <f t="shared" ca="1" si="28"/>
        <v/>
      </c>
    </row>
    <row r="254" spans="2:10" x14ac:dyDescent="0.15">
      <c r="B254" s="213" t="str">
        <f t="shared" si="31"/>
        <v/>
      </c>
      <c r="C254" s="228" t="str">
        <f t="shared" si="29"/>
        <v/>
      </c>
      <c r="D254" s="212" t="str">
        <f t="shared" si="27"/>
        <v/>
      </c>
      <c r="E254" s="212" t="str">
        <f t="shared" ca="1" si="30"/>
        <v/>
      </c>
      <c r="F254" s="212" t="str">
        <f t="shared" ca="1" si="30"/>
        <v/>
      </c>
      <c r="G254" s="212" t="str">
        <f t="shared" ca="1" si="30"/>
        <v/>
      </c>
      <c r="H254" s="212" t="str">
        <f t="shared" ca="1" si="28"/>
        <v/>
      </c>
      <c r="I254" s="212" t="str">
        <f t="shared" ca="1" si="28"/>
        <v/>
      </c>
      <c r="J254" s="212" t="str">
        <f t="shared" ca="1" si="28"/>
        <v/>
      </c>
    </row>
    <row r="255" spans="2:10" x14ac:dyDescent="0.15">
      <c r="B255" s="213" t="str">
        <f t="shared" si="31"/>
        <v/>
      </c>
      <c r="C255" s="228" t="str">
        <f t="shared" si="29"/>
        <v/>
      </c>
      <c r="D255" s="212" t="str">
        <f t="shared" si="27"/>
        <v/>
      </c>
      <c r="E255" s="212" t="str">
        <f t="shared" ca="1" si="30"/>
        <v/>
      </c>
      <c r="F255" s="212" t="str">
        <f t="shared" ca="1" si="30"/>
        <v/>
      </c>
      <c r="G255" s="212" t="str">
        <f t="shared" ca="1" si="30"/>
        <v/>
      </c>
      <c r="H255" s="212" t="str">
        <f t="shared" ca="1" si="28"/>
        <v/>
      </c>
      <c r="I255" s="212" t="str">
        <f t="shared" ca="1" si="28"/>
        <v/>
      </c>
      <c r="J255" s="212" t="str">
        <f t="shared" ca="1" si="28"/>
        <v/>
      </c>
    </row>
    <row r="256" spans="2:10" x14ac:dyDescent="0.15">
      <c r="B256" s="213" t="str">
        <f t="shared" si="31"/>
        <v/>
      </c>
      <c r="C256" s="228" t="str">
        <f t="shared" si="29"/>
        <v/>
      </c>
      <c r="D256" s="212" t="str">
        <f t="shared" si="27"/>
        <v/>
      </c>
      <c r="E256" s="212" t="str">
        <f t="shared" ca="1" si="30"/>
        <v/>
      </c>
      <c r="F256" s="212" t="str">
        <f t="shared" ca="1" si="30"/>
        <v/>
      </c>
      <c r="G256" s="212" t="str">
        <f t="shared" ca="1" si="30"/>
        <v/>
      </c>
      <c r="H256" s="212" t="str">
        <f t="shared" ca="1" si="28"/>
        <v/>
      </c>
      <c r="I256" s="212" t="str">
        <f t="shared" ca="1" si="28"/>
        <v/>
      </c>
      <c r="J256" s="212" t="str">
        <f t="shared" ca="1" si="28"/>
        <v/>
      </c>
    </row>
    <row r="257" spans="2:10" x14ac:dyDescent="0.15">
      <c r="B257" s="213" t="str">
        <f t="shared" si="31"/>
        <v/>
      </c>
      <c r="C257" s="228" t="str">
        <f t="shared" si="29"/>
        <v/>
      </c>
      <c r="D257" s="212" t="str">
        <f t="shared" si="27"/>
        <v/>
      </c>
      <c r="E257" s="212" t="str">
        <f t="shared" ca="1" si="30"/>
        <v/>
      </c>
      <c r="F257" s="212" t="str">
        <f t="shared" ca="1" si="30"/>
        <v/>
      </c>
      <c r="G257" s="212" t="str">
        <f t="shared" ca="1" si="30"/>
        <v/>
      </c>
      <c r="H257" s="212" t="str">
        <f t="shared" ca="1" si="28"/>
        <v/>
      </c>
      <c r="I257" s="212" t="str">
        <f t="shared" ca="1" si="28"/>
        <v/>
      </c>
      <c r="J257" s="212" t="str">
        <f t="shared" ca="1" si="28"/>
        <v/>
      </c>
    </row>
    <row r="258" spans="2:10" x14ac:dyDescent="0.15">
      <c r="B258" s="213" t="str">
        <f t="shared" si="31"/>
        <v/>
      </c>
      <c r="C258" s="228" t="str">
        <f t="shared" si="29"/>
        <v/>
      </c>
      <c r="D258" s="212" t="str">
        <f t="shared" si="27"/>
        <v/>
      </c>
      <c r="E258" s="212" t="str">
        <f t="shared" ca="1" si="30"/>
        <v/>
      </c>
      <c r="F258" s="212" t="str">
        <f t="shared" ca="1" si="30"/>
        <v/>
      </c>
      <c r="G258" s="212" t="str">
        <f t="shared" ca="1" si="30"/>
        <v/>
      </c>
      <c r="H258" s="212" t="str">
        <f t="shared" ca="1" si="28"/>
        <v/>
      </c>
      <c r="I258" s="212" t="str">
        <f t="shared" ca="1" si="28"/>
        <v/>
      </c>
      <c r="J258" s="212" t="str">
        <f t="shared" ca="1" si="28"/>
        <v/>
      </c>
    </row>
    <row r="259" spans="2:10" x14ac:dyDescent="0.15">
      <c r="B259" s="213" t="str">
        <f t="shared" si="31"/>
        <v/>
      </c>
      <c r="C259" s="228" t="str">
        <f t="shared" si="29"/>
        <v/>
      </c>
      <c r="D259" s="212" t="str">
        <f t="shared" si="27"/>
        <v/>
      </c>
      <c r="E259" s="212" t="str">
        <f t="shared" ca="1" si="30"/>
        <v/>
      </c>
      <c r="F259" s="212" t="str">
        <f t="shared" ca="1" si="30"/>
        <v/>
      </c>
      <c r="G259" s="212" t="str">
        <f t="shared" ca="1" si="30"/>
        <v/>
      </c>
      <c r="H259" s="212" t="str">
        <f t="shared" ca="1" si="28"/>
        <v/>
      </c>
      <c r="I259" s="212" t="str">
        <f t="shared" ca="1" si="28"/>
        <v/>
      </c>
      <c r="J259" s="212" t="str">
        <f t="shared" ca="1" si="28"/>
        <v/>
      </c>
    </row>
    <row r="260" spans="2:10" x14ac:dyDescent="0.15">
      <c r="B260" s="213" t="str">
        <f t="shared" si="31"/>
        <v/>
      </c>
      <c r="C260" s="228" t="str">
        <f t="shared" si="29"/>
        <v/>
      </c>
      <c r="D260" s="212" t="str">
        <f t="shared" si="27"/>
        <v/>
      </c>
      <c r="E260" s="212" t="str">
        <f t="shared" ca="1" si="30"/>
        <v/>
      </c>
      <c r="F260" s="212" t="str">
        <f t="shared" ca="1" si="30"/>
        <v/>
      </c>
      <c r="G260" s="212" t="str">
        <f t="shared" ca="1" si="30"/>
        <v/>
      </c>
      <c r="H260" s="212" t="str">
        <f t="shared" ca="1" si="28"/>
        <v/>
      </c>
      <c r="I260" s="212" t="str">
        <f t="shared" ca="1" si="28"/>
        <v/>
      </c>
      <c r="J260" s="212" t="str">
        <f t="shared" ca="1" si="28"/>
        <v/>
      </c>
    </row>
    <row r="261" spans="2:10" x14ac:dyDescent="0.15">
      <c r="B261" s="213" t="str">
        <f t="shared" si="31"/>
        <v/>
      </c>
      <c r="C261" s="228" t="str">
        <f t="shared" si="29"/>
        <v/>
      </c>
      <c r="D261" s="212" t="str">
        <f t="shared" si="27"/>
        <v/>
      </c>
      <c r="E261" s="212" t="str">
        <f t="shared" ca="1" si="30"/>
        <v/>
      </c>
      <c r="F261" s="212" t="str">
        <f t="shared" ca="1" si="30"/>
        <v/>
      </c>
      <c r="G261" s="212" t="str">
        <f t="shared" ca="1" si="30"/>
        <v/>
      </c>
      <c r="H261" s="212" t="str">
        <f t="shared" ca="1" si="28"/>
        <v/>
      </c>
      <c r="I261" s="212" t="str">
        <f t="shared" ca="1" si="28"/>
        <v/>
      </c>
      <c r="J261" s="212" t="str">
        <f t="shared" ca="1" si="28"/>
        <v/>
      </c>
    </row>
    <row r="262" spans="2:10" x14ac:dyDescent="0.15">
      <c r="B262" s="213" t="str">
        <f t="shared" si="31"/>
        <v/>
      </c>
      <c r="C262" s="228" t="str">
        <f t="shared" si="29"/>
        <v/>
      </c>
      <c r="D262" s="212" t="str">
        <f t="shared" si="27"/>
        <v/>
      </c>
      <c r="E262" s="212" t="str">
        <f t="shared" ca="1" si="30"/>
        <v/>
      </c>
      <c r="F262" s="212" t="str">
        <f t="shared" ca="1" si="30"/>
        <v/>
      </c>
      <c r="G262" s="212" t="str">
        <f t="shared" ca="1" si="30"/>
        <v/>
      </c>
      <c r="H262" s="212" t="str">
        <f t="shared" ca="1" si="28"/>
        <v/>
      </c>
      <c r="I262" s="212" t="str">
        <f t="shared" ca="1" si="28"/>
        <v/>
      </c>
      <c r="J262" s="212" t="str">
        <f t="shared" ca="1" si="28"/>
        <v/>
      </c>
    </row>
    <row r="263" spans="2:10" x14ac:dyDescent="0.15">
      <c r="B263" s="213" t="str">
        <f t="shared" si="31"/>
        <v/>
      </c>
      <c r="C263" s="228" t="str">
        <f t="shared" si="29"/>
        <v/>
      </c>
      <c r="D263" s="212" t="str">
        <f t="shared" si="27"/>
        <v/>
      </c>
      <c r="E263" s="212" t="str">
        <f t="shared" ca="1" si="30"/>
        <v/>
      </c>
      <c r="F263" s="212" t="str">
        <f t="shared" ca="1" si="30"/>
        <v/>
      </c>
      <c r="G263" s="212" t="str">
        <f t="shared" ca="1" si="30"/>
        <v/>
      </c>
      <c r="H263" s="212" t="str">
        <f t="shared" ca="1" si="28"/>
        <v/>
      </c>
      <c r="I263" s="212" t="str">
        <f t="shared" ca="1" si="28"/>
        <v/>
      </c>
      <c r="J263" s="212" t="str">
        <f t="shared" ca="1" si="28"/>
        <v/>
      </c>
    </row>
    <row r="264" spans="2:10" x14ac:dyDescent="0.15">
      <c r="B264" s="213" t="str">
        <f t="shared" si="31"/>
        <v/>
      </c>
      <c r="C264" s="228" t="str">
        <f t="shared" si="29"/>
        <v/>
      </c>
      <c r="D264" s="212" t="str">
        <f t="shared" si="27"/>
        <v/>
      </c>
      <c r="E264" s="212" t="str">
        <f t="shared" ca="1" si="30"/>
        <v/>
      </c>
      <c r="F264" s="212" t="str">
        <f t="shared" ca="1" si="30"/>
        <v/>
      </c>
      <c r="G264" s="212" t="str">
        <f t="shared" ca="1" si="30"/>
        <v/>
      </c>
      <c r="H264" s="212" t="str">
        <f t="shared" ca="1" si="28"/>
        <v/>
      </c>
      <c r="I264" s="212" t="str">
        <f t="shared" ca="1" si="28"/>
        <v/>
      </c>
      <c r="J264" s="212" t="str">
        <f t="shared" ca="1" si="28"/>
        <v/>
      </c>
    </row>
    <row r="265" spans="2:10" x14ac:dyDescent="0.15">
      <c r="B265" s="213" t="str">
        <f t="shared" si="31"/>
        <v/>
      </c>
      <c r="C265" s="228" t="str">
        <f t="shared" si="29"/>
        <v/>
      </c>
      <c r="D265" s="212" t="str">
        <f t="shared" si="27"/>
        <v/>
      </c>
      <c r="E265" s="212" t="str">
        <f t="shared" ca="1" si="30"/>
        <v/>
      </c>
      <c r="F265" s="212" t="str">
        <f t="shared" ca="1" si="30"/>
        <v/>
      </c>
      <c r="G265" s="212" t="str">
        <f t="shared" ca="1" si="30"/>
        <v/>
      </c>
      <c r="H265" s="212" t="str">
        <f t="shared" ca="1" si="28"/>
        <v/>
      </c>
      <c r="I265" s="212" t="str">
        <f t="shared" ca="1" si="28"/>
        <v/>
      </c>
      <c r="J265" s="212" t="str">
        <f t="shared" ca="1" si="28"/>
        <v/>
      </c>
    </row>
    <row r="266" spans="2:10" x14ac:dyDescent="0.15">
      <c r="B266" s="213" t="str">
        <f t="shared" si="31"/>
        <v/>
      </c>
      <c r="C266" s="228" t="str">
        <f t="shared" si="29"/>
        <v/>
      </c>
      <c r="D266" s="212" t="str">
        <f t="shared" si="27"/>
        <v/>
      </c>
      <c r="E266" s="212" t="str">
        <f t="shared" ca="1" si="30"/>
        <v/>
      </c>
      <c r="F266" s="212" t="str">
        <f t="shared" ca="1" si="30"/>
        <v/>
      </c>
      <c r="G266" s="212" t="str">
        <f t="shared" ca="1" si="30"/>
        <v/>
      </c>
      <c r="H266" s="212" t="str">
        <f t="shared" ca="1" si="28"/>
        <v/>
      </c>
      <c r="I266" s="212" t="str">
        <f t="shared" ca="1" si="28"/>
        <v/>
      </c>
      <c r="J266" s="212" t="str">
        <f t="shared" ca="1" si="28"/>
        <v/>
      </c>
    </row>
    <row r="267" spans="2:10" x14ac:dyDescent="0.15">
      <c r="B267" s="213" t="str">
        <f t="shared" si="31"/>
        <v/>
      </c>
      <c r="C267" s="228" t="str">
        <f t="shared" si="29"/>
        <v/>
      </c>
      <c r="D267" s="212" t="str">
        <f t="shared" si="27"/>
        <v/>
      </c>
      <c r="E267" s="212" t="str">
        <f t="shared" ca="1" si="30"/>
        <v/>
      </c>
      <c r="F267" s="212" t="str">
        <f t="shared" ca="1" si="30"/>
        <v/>
      </c>
      <c r="G267" s="212" t="str">
        <f t="shared" ca="1" si="30"/>
        <v/>
      </c>
      <c r="H267" s="212" t="str">
        <f t="shared" ca="1" si="28"/>
        <v/>
      </c>
      <c r="I267" s="212" t="str">
        <f t="shared" ca="1" si="28"/>
        <v/>
      </c>
      <c r="J267" s="212" t="str">
        <f t="shared" ca="1" si="28"/>
        <v/>
      </c>
    </row>
    <row r="268" spans="2:10" x14ac:dyDescent="0.15">
      <c r="B268" s="213" t="str">
        <f t="shared" si="31"/>
        <v/>
      </c>
      <c r="C268" s="228" t="str">
        <f t="shared" si="29"/>
        <v/>
      </c>
      <c r="D268" s="212" t="str">
        <f t="shared" si="27"/>
        <v/>
      </c>
      <c r="E268" s="212" t="str">
        <f t="shared" ca="1" si="30"/>
        <v/>
      </c>
      <c r="F268" s="212" t="str">
        <f t="shared" ca="1" si="30"/>
        <v/>
      </c>
      <c r="G268" s="212" t="str">
        <f t="shared" ca="1" si="30"/>
        <v/>
      </c>
      <c r="H268" s="212" t="str">
        <f t="shared" ca="1" si="28"/>
        <v/>
      </c>
      <c r="I268" s="212" t="str">
        <f t="shared" ca="1" si="28"/>
        <v/>
      </c>
      <c r="J268" s="212" t="str">
        <f t="shared" ca="1" si="28"/>
        <v/>
      </c>
    </row>
    <row r="269" spans="2:10" x14ac:dyDescent="0.15">
      <c r="B269" s="213" t="str">
        <f t="shared" si="31"/>
        <v/>
      </c>
      <c r="C269" s="228" t="str">
        <f t="shared" si="29"/>
        <v/>
      </c>
      <c r="D269" s="212" t="str">
        <f t="shared" si="27"/>
        <v/>
      </c>
      <c r="E269" s="212" t="str">
        <f t="shared" ca="1" si="30"/>
        <v/>
      </c>
      <c r="F269" s="212" t="str">
        <f t="shared" ca="1" si="30"/>
        <v/>
      </c>
      <c r="G269" s="212" t="str">
        <f t="shared" ca="1" si="30"/>
        <v/>
      </c>
      <c r="H269" s="212" t="str">
        <f t="shared" ca="1" si="28"/>
        <v/>
      </c>
      <c r="I269" s="212" t="str">
        <f t="shared" ca="1" si="28"/>
        <v/>
      </c>
      <c r="J269" s="212" t="str">
        <f t="shared" ca="1" si="28"/>
        <v/>
      </c>
    </row>
    <row r="270" spans="2:10" x14ac:dyDescent="0.15">
      <c r="B270" s="213" t="str">
        <f t="shared" si="31"/>
        <v/>
      </c>
      <c r="C270" s="228" t="str">
        <f t="shared" si="29"/>
        <v/>
      </c>
      <c r="D270" s="212" t="str">
        <f t="shared" si="27"/>
        <v/>
      </c>
      <c r="E270" s="212" t="str">
        <f t="shared" ca="1" si="30"/>
        <v/>
      </c>
      <c r="F270" s="212" t="str">
        <f t="shared" ca="1" si="30"/>
        <v/>
      </c>
      <c r="G270" s="212" t="str">
        <f t="shared" ca="1" si="30"/>
        <v/>
      </c>
      <c r="H270" s="212" t="str">
        <f t="shared" ca="1" si="28"/>
        <v/>
      </c>
      <c r="I270" s="212" t="str">
        <f t="shared" ca="1" si="28"/>
        <v/>
      </c>
      <c r="J270" s="212" t="str">
        <f t="shared" ca="1" si="28"/>
        <v/>
      </c>
    </row>
    <row r="271" spans="2:10" x14ac:dyDescent="0.15">
      <c r="B271" s="213" t="str">
        <f t="shared" si="31"/>
        <v/>
      </c>
      <c r="C271" s="228" t="str">
        <f t="shared" si="29"/>
        <v/>
      </c>
      <c r="D271" s="212" t="str">
        <f t="shared" si="27"/>
        <v/>
      </c>
      <c r="E271" s="212" t="str">
        <f t="shared" ca="1" si="30"/>
        <v/>
      </c>
      <c r="F271" s="212" t="str">
        <f t="shared" ca="1" si="30"/>
        <v/>
      </c>
      <c r="G271" s="212" t="str">
        <f t="shared" ca="1" si="30"/>
        <v/>
      </c>
      <c r="H271" s="212" t="str">
        <f t="shared" ca="1" si="28"/>
        <v/>
      </c>
      <c r="I271" s="212" t="str">
        <f t="shared" ca="1" si="28"/>
        <v/>
      </c>
      <c r="J271" s="212" t="str">
        <f t="shared" ca="1" si="28"/>
        <v/>
      </c>
    </row>
    <row r="272" spans="2:10" x14ac:dyDescent="0.15">
      <c r="B272" s="213" t="str">
        <f t="shared" si="31"/>
        <v/>
      </c>
      <c r="C272" s="228" t="str">
        <f t="shared" si="29"/>
        <v/>
      </c>
      <c r="D272" s="212" t="str">
        <f t="shared" si="27"/>
        <v/>
      </c>
      <c r="E272" s="212" t="str">
        <f t="shared" ca="1" si="30"/>
        <v/>
      </c>
      <c r="F272" s="212" t="str">
        <f t="shared" ca="1" si="30"/>
        <v/>
      </c>
      <c r="G272" s="212" t="str">
        <f t="shared" ca="1" si="30"/>
        <v/>
      </c>
      <c r="H272" s="212" t="str">
        <f t="shared" ca="1" si="28"/>
        <v/>
      </c>
      <c r="I272" s="212" t="str">
        <f t="shared" ca="1" si="28"/>
        <v/>
      </c>
      <c r="J272" s="212" t="str">
        <f t="shared" ca="1" si="28"/>
        <v/>
      </c>
    </row>
    <row r="273" spans="2:10" x14ac:dyDescent="0.15">
      <c r="B273" s="213" t="str">
        <f t="shared" si="31"/>
        <v/>
      </c>
      <c r="C273" s="228" t="str">
        <f t="shared" si="29"/>
        <v/>
      </c>
      <c r="D273" s="212" t="str">
        <f t="shared" si="27"/>
        <v/>
      </c>
      <c r="E273" s="212" t="str">
        <f t="shared" ca="1" si="30"/>
        <v/>
      </c>
      <c r="F273" s="212" t="str">
        <f t="shared" ca="1" si="30"/>
        <v/>
      </c>
      <c r="G273" s="212" t="str">
        <f t="shared" ca="1" si="30"/>
        <v/>
      </c>
      <c r="H273" s="212" t="str">
        <f t="shared" ca="1" si="28"/>
        <v/>
      </c>
      <c r="I273" s="212" t="str">
        <f t="shared" ca="1" si="28"/>
        <v/>
      </c>
      <c r="J273" s="212" t="str">
        <f t="shared" ca="1" si="28"/>
        <v/>
      </c>
    </row>
    <row r="274" spans="2:10" x14ac:dyDescent="0.15">
      <c r="B274" s="213" t="str">
        <f t="shared" si="31"/>
        <v/>
      </c>
      <c r="C274" s="228" t="str">
        <f t="shared" si="29"/>
        <v/>
      </c>
      <c r="D274" s="212" t="str">
        <f t="shared" si="27"/>
        <v/>
      </c>
      <c r="E274" s="212" t="str">
        <f t="shared" ca="1" si="30"/>
        <v/>
      </c>
      <c r="F274" s="212" t="str">
        <f t="shared" ca="1" si="30"/>
        <v/>
      </c>
      <c r="G274" s="212" t="str">
        <f t="shared" ca="1" si="30"/>
        <v/>
      </c>
      <c r="H274" s="212" t="str">
        <f t="shared" ca="1" si="28"/>
        <v/>
      </c>
      <c r="I274" s="212" t="str">
        <f t="shared" ca="1" si="28"/>
        <v/>
      </c>
      <c r="J274" s="212" t="str">
        <f t="shared" ca="1" si="28"/>
        <v/>
      </c>
    </row>
    <row r="275" spans="2:10" x14ac:dyDescent="0.15">
      <c r="B275" s="213" t="str">
        <f t="shared" si="31"/>
        <v/>
      </c>
      <c r="C275" s="228" t="str">
        <f t="shared" si="29"/>
        <v/>
      </c>
      <c r="D275" s="212" t="str">
        <f t="shared" si="27"/>
        <v/>
      </c>
      <c r="E275" s="212" t="str">
        <f t="shared" ca="1" si="30"/>
        <v/>
      </c>
      <c r="F275" s="212" t="str">
        <f t="shared" ca="1" si="30"/>
        <v/>
      </c>
      <c r="G275" s="212" t="str">
        <f t="shared" ca="1" si="30"/>
        <v/>
      </c>
      <c r="H275" s="212" t="str">
        <f t="shared" ca="1" si="28"/>
        <v/>
      </c>
      <c r="I275" s="212" t="str">
        <f t="shared" ca="1" si="28"/>
        <v/>
      </c>
      <c r="J275" s="212" t="str">
        <f t="shared" ca="1" si="28"/>
        <v/>
      </c>
    </row>
    <row r="276" spans="2:10" x14ac:dyDescent="0.15">
      <c r="B276" s="213" t="str">
        <f t="shared" si="31"/>
        <v/>
      </c>
      <c r="C276" s="228" t="str">
        <f t="shared" si="29"/>
        <v/>
      </c>
      <c r="D276" s="212" t="str">
        <f t="shared" si="27"/>
        <v/>
      </c>
      <c r="E276" s="212" t="str">
        <f t="shared" ca="1" si="30"/>
        <v/>
      </c>
      <c r="F276" s="212" t="str">
        <f t="shared" ca="1" si="30"/>
        <v/>
      </c>
      <c r="G276" s="212" t="str">
        <f t="shared" ca="1" si="30"/>
        <v/>
      </c>
      <c r="H276" s="212" t="str">
        <f t="shared" ca="1" si="28"/>
        <v/>
      </c>
      <c r="I276" s="212" t="str">
        <f t="shared" ca="1" si="28"/>
        <v/>
      </c>
      <c r="J276" s="212" t="str">
        <f t="shared" ca="1" si="28"/>
        <v/>
      </c>
    </row>
    <row r="277" spans="2:10" x14ac:dyDescent="0.15">
      <c r="B277" s="213" t="str">
        <f t="shared" si="31"/>
        <v/>
      </c>
      <c r="C277" s="228" t="str">
        <f t="shared" si="29"/>
        <v/>
      </c>
      <c r="D277" s="212" t="str">
        <f t="shared" si="27"/>
        <v/>
      </c>
      <c r="E277" s="212" t="str">
        <f t="shared" ca="1" si="30"/>
        <v/>
      </c>
      <c r="F277" s="212" t="str">
        <f t="shared" ca="1" si="30"/>
        <v/>
      </c>
      <c r="G277" s="212" t="str">
        <f t="shared" ca="1" si="30"/>
        <v/>
      </c>
      <c r="H277" s="212" t="str">
        <f t="shared" ca="1" si="28"/>
        <v/>
      </c>
      <c r="I277" s="212" t="str">
        <f t="shared" ca="1" si="28"/>
        <v/>
      </c>
      <c r="J277" s="212" t="str">
        <f t="shared" ca="1" si="28"/>
        <v/>
      </c>
    </row>
    <row r="278" spans="2:10" x14ac:dyDescent="0.15">
      <c r="B278" s="213" t="str">
        <f t="shared" si="31"/>
        <v/>
      </c>
      <c r="C278" s="228" t="str">
        <f t="shared" si="29"/>
        <v/>
      </c>
      <c r="D278" s="212" t="str">
        <f t="shared" si="27"/>
        <v/>
      </c>
      <c r="E278" s="212" t="str">
        <f t="shared" ca="1" si="30"/>
        <v/>
      </c>
      <c r="F278" s="212" t="str">
        <f t="shared" ca="1" si="30"/>
        <v/>
      </c>
      <c r="G278" s="212" t="str">
        <f t="shared" ca="1" si="30"/>
        <v/>
      </c>
      <c r="H278" s="212" t="str">
        <f t="shared" ca="1" si="28"/>
        <v/>
      </c>
      <c r="I278" s="212" t="str">
        <f t="shared" ca="1" si="28"/>
        <v/>
      </c>
      <c r="J278" s="212" t="str">
        <f t="shared" ca="1" si="28"/>
        <v/>
      </c>
    </row>
    <row r="279" spans="2:10" x14ac:dyDescent="0.15">
      <c r="B279" s="213" t="str">
        <f t="shared" si="31"/>
        <v/>
      </c>
      <c r="C279" s="228" t="str">
        <f t="shared" si="29"/>
        <v/>
      </c>
      <c r="D279" s="212" t="str">
        <f t="shared" si="27"/>
        <v/>
      </c>
      <c r="E279" s="212" t="str">
        <f t="shared" ca="1" si="30"/>
        <v/>
      </c>
      <c r="F279" s="212" t="str">
        <f t="shared" ca="1" si="30"/>
        <v/>
      </c>
      <c r="G279" s="212" t="str">
        <f t="shared" ca="1" si="30"/>
        <v/>
      </c>
      <c r="H279" s="212" t="str">
        <f t="shared" ca="1" si="28"/>
        <v/>
      </c>
      <c r="I279" s="212" t="str">
        <f t="shared" ca="1" si="28"/>
        <v/>
      </c>
      <c r="J279" s="212" t="str">
        <f t="shared" ca="1" si="28"/>
        <v/>
      </c>
    </row>
    <row r="280" spans="2:10" x14ac:dyDescent="0.15">
      <c r="B280" s="213" t="str">
        <f t="shared" si="31"/>
        <v/>
      </c>
      <c r="C280" s="228" t="str">
        <f t="shared" si="29"/>
        <v/>
      </c>
      <c r="D280" s="212" t="str">
        <f t="shared" si="27"/>
        <v/>
      </c>
      <c r="E280" s="212" t="str">
        <f t="shared" ca="1" si="30"/>
        <v/>
      </c>
      <c r="F280" s="212" t="str">
        <f t="shared" ca="1" si="30"/>
        <v/>
      </c>
      <c r="G280" s="212" t="str">
        <f t="shared" ca="1" si="30"/>
        <v/>
      </c>
      <c r="H280" s="212" t="str">
        <f t="shared" ca="1" si="28"/>
        <v/>
      </c>
      <c r="I280" s="212" t="str">
        <f t="shared" ca="1" si="28"/>
        <v/>
      </c>
      <c r="J280" s="212" t="str">
        <f t="shared" ca="1" si="28"/>
        <v/>
      </c>
    </row>
    <row r="281" spans="2:10" x14ac:dyDescent="0.15">
      <c r="B281" s="213" t="str">
        <f t="shared" si="31"/>
        <v/>
      </c>
      <c r="C281" s="228" t="str">
        <f t="shared" si="29"/>
        <v/>
      </c>
      <c r="D281" s="212" t="str">
        <f t="shared" si="27"/>
        <v/>
      </c>
      <c r="E281" s="212" t="str">
        <f t="shared" ca="1" si="30"/>
        <v/>
      </c>
      <c r="F281" s="212" t="str">
        <f t="shared" ca="1" si="30"/>
        <v/>
      </c>
      <c r="G281" s="212" t="str">
        <f t="shared" ca="1" si="30"/>
        <v/>
      </c>
      <c r="H281" s="212" t="str">
        <f t="shared" ca="1" si="28"/>
        <v/>
      </c>
      <c r="I281" s="212" t="str">
        <f t="shared" ca="1" si="28"/>
        <v/>
      </c>
      <c r="J281" s="212" t="str">
        <f t="shared" ca="1" si="28"/>
        <v/>
      </c>
    </row>
    <row r="282" spans="2:10" x14ac:dyDescent="0.15">
      <c r="B282" s="213" t="str">
        <f t="shared" si="31"/>
        <v/>
      </c>
      <c r="C282" s="228" t="str">
        <f t="shared" si="29"/>
        <v/>
      </c>
      <c r="D282" s="212" t="str">
        <f t="shared" ref="D282:D345" si="32">IF(B282="","",IF(B283="",SUMIFS(Amount,Timestamp,"&gt;="&amp;B282),SUMIFS(Amount,Timestamp,"&gt;="&amp;B282,Timestamp,"&lt;"&amp;B283)))</f>
        <v/>
      </c>
      <c r="E282" s="212" t="str">
        <f t="shared" ca="1" si="30"/>
        <v/>
      </c>
      <c r="F282" s="212" t="str">
        <f t="shared" ca="1" si="30"/>
        <v/>
      </c>
      <c r="G282" s="212" t="str">
        <f t="shared" ca="1" si="30"/>
        <v/>
      </c>
      <c r="H282" s="212" t="str">
        <f t="shared" ca="1" si="30"/>
        <v/>
      </c>
      <c r="I282" s="212" t="str">
        <f t="shared" ca="1" si="30"/>
        <v/>
      </c>
      <c r="J282" s="212" t="str">
        <f t="shared" ca="1" si="30"/>
        <v/>
      </c>
    </row>
    <row r="283" spans="2:10" x14ac:dyDescent="0.15">
      <c r="B283" s="213" t="str">
        <f t="shared" si="31"/>
        <v/>
      </c>
      <c r="C283" s="228" t="str">
        <f t="shared" ref="C283:C346" si="33">IF(B283="","",TEXT(B283,"dddd"))</f>
        <v/>
      </c>
      <c r="D283" s="212" t="str">
        <f t="shared" si="32"/>
        <v/>
      </c>
      <c r="E283" s="212" t="str">
        <f t="shared" ref="E283:H346" ca="1" si="34">IF($B283="","",IF($B283+E$24-1&gt;$E$5,"",SUM(OFFSET($D283,0,0,E$24,1))))</f>
        <v/>
      </c>
      <c r="F283" s="212" t="str">
        <f t="shared" ca="1" si="34"/>
        <v/>
      </c>
      <c r="G283" s="212" t="str">
        <f t="shared" ca="1" si="34"/>
        <v/>
      </c>
      <c r="H283" s="212" t="str">
        <f t="shared" ca="1" si="34"/>
        <v/>
      </c>
      <c r="I283" s="212" t="str">
        <f t="shared" ref="I283:J346" ca="1" si="35">IF($B283="","",IF($B283+I$24-1&gt;$E$5,"",SUM(OFFSET($D283,0,0,I$24,1))))</f>
        <v/>
      </c>
      <c r="J283" s="212" t="str">
        <f t="shared" ca="1" si="35"/>
        <v/>
      </c>
    </row>
    <row r="284" spans="2:10" x14ac:dyDescent="0.15">
      <c r="B284" s="213" t="str">
        <f t="shared" si="31"/>
        <v/>
      </c>
      <c r="C284" s="228" t="str">
        <f t="shared" si="33"/>
        <v/>
      </c>
      <c r="D284" s="212" t="str">
        <f t="shared" si="32"/>
        <v/>
      </c>
      <c r="E284" s="212" t="str">
        <f t="shared" ca="1" si="34"/>
        <v/>
      </c>
      <c r="F284" s="212" t="str">
        <f t="shared" ca="1" si="34"/>
        <v/>
      </c>
      <c r="G284" s="212" t="str">
        <f t="shared" ca="1" si="34"/>
        <v/>
      </c>
      <c r="H284" s="212" t="str">
        <f t="shared" ca="1" si="34"/>
        <v/>
      </c>
      <c r="I284" s="212" t="str">
        <f t="shared" ca="1" si="35"/>
        <v/>
      </c>
      <c r="J284" s="212" t="str">
        <f t="shared" ca="1" si="35"/>
        <v/>
      </c>
    </row>
    <row r="285" spans="2:10" x14ac:dyDescent="0.15">
      <c r="B285" s="213" t="str">
        <f t="shared" si="31"/>
        <v/>
      </c>
      <c r="C285" s="228" t="str">
        <f t="shared" si="33"/>
        <v/>
      </c>
      <c r="D285" s="212" t="str">
        <f t="shared" si="32"/>
        <v/>
      </c>
      <c r="E285" s="212" t="str">
        <f t="shared" ca="1" si="34"/>
        <v/>
      </c>
      <c r="F285" s="212" t="str">
        <f t="shared" ca="1" si="34"/>
        <v/>
      </c>
      <c r="G285" s="212" t="str">
        <f t="shared" ca="1" si="34"/>
        <v/>
      </c>
      <c r="H285" s="212" t="str">
        <f t="shared" ca="1" si="34"/>
        <v/>
      </c>
      <c r="I285" s="212" t="str">
        <f t="shared" ca="1" si="35"/>
        <v/>
      </c>
      <c r="J285" s="212" t="str">
        <f t="shared" ca="1" si="35"/>
        <v/>
      </c>
    </row>
    <row r="286" spans="2:10" x14ac:dyDescent="0.15">
      <c r="B286" s="213" t="str">
        <f t="shared" si="31"/>
        <v/>
      </c>
      <c r="C286" s="228" t="str">
        <f t="shared" si="33"/>
        <v/>
      </c>
      <c r="D286" s="212" t="str">
        <f t="shared" si="32"/>
        <v/>
      </c>
      <c r="E286" s="212" t="str">
        <f t="shared" ca="1" si="34"/>
        <v/>
      </c>
      <c r="F286" s="212" t="str">
        <f t="shared" ca="1" si="34"/>
        <v/>
      </c>
      <c r="G286" s="212" t="str">
        <f t="shared" ca="1" si="34"/>
        <v/>
      </c>
      <c r="H286" s="212" t="str">
        <f t="shared" ca="1" si="34"/>
        <v/>
      </c>
      <c r="I286" s="212" t="str">
        <f t="shared" ca="1" si="35"/>
        <v/>
      </c>
      <c r="J286" s="212" t="str">
        <f t="shared" ca="1" si="35"/>
        <v/>
      </c>
    </row>
    <row r="287" spans="2:10" x14ac:dyDescent="0.15">
      <c r="B287" s="213" t="str">
        <f t="shared" si="31"/>
        <v/>
      </c>
      <c r="C287" s="228" t="str">
        <f t="shared" si="33"/>
        <v/>
      </c>
      <c r="D287" s="212" t="str">
        <f t="shared" si="32"/>
        <v/>
      </c>
      <c r="E287" s="212" t="str">
        <f t="shared" ca="1" si="34"/>
        <v/>
      </c>
      <c r="F287" s="212" t="str">
        <f t="shared" ca="1" si="34"/>
        <v/>
      </c>
      <c r="G287" s="212" t="str">
        <f t="shared" ca="1" si="34"/>
        <v/>
      </c>
      <c r="H287" s="212" t="str">
        <f t="shared" ca="1" si="34"/>
        <v/>
      </c>
      <c r="I287" s="212" t="str">
        <f t="shared" ca="1" si="35"/>
        <v/>
      </c>
      <c r="J287" s="212" t="str">
        <f t="shared" ca="1" si="35"/>
        <v/>
      </c>
    </row>
    <row r="288" spans="2:10" x14ac:dyDescent="0.15">
      <c r="B288" s="213" t="str">
        <f t="shared" si="31"/>
        <v/>
      </c>
      <c r="C288" s="228" t="str">
        <f t="shared" si="33"/>
        <v/>
      </c>
      <c r="D288" s="212" t="str">
        <f t="shared" si="32"/>
        <v/>
      </c>
      <c r="E288" s="212" t="str">
        <f t="shared" ca="1" si="34"/>
        <v/>
      </c>
      <c r="F288" s="212" t="str">
        <f t="shared" ca="1" si="34"/>
        <v/>
      </c>
      <c r="G288" s="212" t="str">
        <f t="shared" ca="1" si="34"/>
        <v/>
      </c>
      <c r="H288" s="212" t="str">
        <f t="shared" ca="1" si="34"/>
        <v/>
      </c>
      <c r="I288" s="212" t="str">
        <f t="shared" ca="1" si="35"/>
        <v/>
      </c>
      <c r="J288" s="212" t="str">
        <f t="shared" ca="1" si="35"/>
        <v/>
      </c>
    </row>
    <row r="289" spans="2:10" x14ac:dyDescent="0.15">
      <c r="B289" s="213" t="str">
        <f t="shared" si="31"/>
        <v/>
      </c>
      <c r="C289" s="228" t="str">
        <f t="shared" si="33"/>
        <v/>
      </c>
      <c r="D289" s="212" t="str">
        <f t="shared" si="32"/>
        <v/>
      </c>
      <c r="E289" s="212" t="str">
        <f t="shared" ca="1" si="34"/>
        <v/>
      </c>
      <c r="F289" s="212" t="str">
        <f t="shared" ca="1" si="34"/>
        <v/>
      </c>
      <c r="G289" s="212" t="str">
        <f t="shared" ca="1" si="34"/>
        <v/>
      </c>
      <c r="H289" s="212" t="str">
        <f t="shared" ca="1" si="34"/>
        <v/>
      </c>
      <c r="I289" s="212" t="str">
        <f t="shared" ca="1" si="35"/>
        <v/>
      </c>
      <c r="J289" s="212" t="str">
        <f t="shared" ca="1" si="35"/>
        <v/>
      </c>
    </row>
    <row r="290" spans="2:10" x14ac:dyDescent="0.15">
      <c r="B290" s="213" t="str">
        <f t="shared" si="31"/>
        <v/>
      </c>
      <c r="C290" s="228" t="str">
        <f t="shared" si="33"/>
        <v/>
      </c>
      <c r="D290" s="212" t="str">
        <f t="shared" si="32"/>
        <v/>
      </c>
      <c r="E290" s="212" t="str">
        <f t="shared" ca="1" si="34"/>
        <v/>
      </c>
      <c r="F290" s="212" t="str">
        <f t="shared" ca="1" si="34"/>
        <v/>
      </c>
      <c r="G290" s="212" t="str">
        <f t="shared" ca="1" si="34"/>
        <v/>
      </c>
      <c r="H290" s="212" t="str">
        <f t="shared" ca="1" si="34"/>
        <v/>
      </c>
      <c r="I290" s="212" t="str">
        <f t="shared" ca="1" si="35"/>
        <v/>
      </c>
      <c r="J290" s="212" t="str">
        <f t="shared" ca="1" si="35"/>
        <v/>
      </c>
    </row>
    <row r="291" spans="2:10" x14ac:dyDescent="0.15">
      <c r="B291" s="213" t="str">
        <f t="shared" ref="B291:B354" si="36">IF(B290="","",IF(B290&gt;=$E$5,"",B290+1))</f>
        <v/>
      </c>
      <c r="C291" s="228" t="str">
        <f t="shared" si="33"/>
        <v/>
      </c>
      <c r="D291" s="212" t="str">
        <f t="shared" si="32"/>
        <v/>
      </c>
      <c r="E291" s="212" t="str">
        <f t="shared" ca="1" si="34"/>
        <v/>
      </c>
      <c r="F291" s="212" t="str">
        <f t="shared" ca="1" si="34"/>
        <v/>
      </c>
      <c r="G291" s="212" t="str">
        <f t="shared" ca="1" si="34"/>
        <v/>
      </c>
      <c r="H291" s="212" t="str">
        <f t="shared" ca="1" si="34"/>
        <v/>
      </c>
      <c r="I291" s="212" t="str">
        <f t="shared" ca="1" si="35"/>
        <v/>
      </c>
      <c r="J291" s="212" t="str">
        <f t="shared" ca="1" si="35"/>
        <v/>
      </c>
    </row>
    <row r="292" spans="2:10" x14ac:dyDescent="0.15">
      <c r="B292" s="213" t="str">
        <f t="shared" si="36"/>
        <v/>
      </c>
      <c r="C292" s="228" t="str">
        <f t="shared" si="33"/>
        <v/>
      </c>
      <c r="D292" s="212" t="str">
        <f t="shared" si="32"/>
        <v/>
      </c>
      <c r="E292" s="212" t="str">
        <f t="shared" ca="1" si="34"/>
        <v/>
      </c>
      <c r="F292" s="212" t="str">
        <f t="shared" ca="1" si="34"/>
        <v/>
      </c>
      <c r="G292" s="212" t="str">
        <f t="shared" ca="1" si="34"/>
        <v/>
      </c>
      <c r="H292" s="212" t="str">
        <f t="shared" ca="1" si="34"/>
        <v/>
      </c>
      <c r="I292" s="212" t="str">
        <f t="shared" ca="1" si="35"/>
        <v/>
      </c>
      <c r="J292" s="212" t="str">
        <f t="shared" ca="1" si="35"/>
        <v/>
      </c>
    </row>
    <row r="293" spans="2:10" x14ac:dyDescent="0.15">
      <c r="B293" s="213" t="str">
        <f t="shared" si="36"/>
        <v/>
      </c>
      <c r="C293" s="228" t="str">
        <f t="shared" si="33"/>
        <v/>
      </c>
      <c r="D293" s="212" t="str">
        <f t="shared" si="32"/>
        <v/>
      </c>
      <c r="E293" s="212" t="str">
        <f t="shared" ca="1" si="34"/>
        <v/>
      </c>
      <c r="F293" s="212" t="str">
        <f t="shared" ca="1" si="34"/>
        <v/>
      </c>
      <c r="G293" s="212" t="str">
        <f t="shared" ca="1" si="34"/>
        <v/>
      </c>
      <c r="H293" s="212" t="str">
        <f t="shared" ca="1" si="34"/>
        <v/>
      </c>
      <c r="I293" s="212" t="str">
        <f t="shared" ca="1" si="35"/>
        <v/>
      </c>
      <c r="J293" s="212" t="str">
        <f t="shared" ca="1" si="35"/>
        <v/>
      </c>
    </row>
    <row r="294" spans="2:10" x14ac:dyDescent="0.15">
      <c r="B294" s="213" t="str">
        <f t="shared" si="36"/>
        <v/>
      </c>
      <c r="C294" s="228" t="str">
        <f t="shared" si="33"/>
        <v/>
      </c>
      <c r="D294" s="212" t="str">
        <f t="shared" si="32"/>
        <v/>
      </c>
      <c r="E294" s="212" t="str">
        <f t="shared" ca="1" si="34"/>
        <v/>
      </c>
      <c r="F294" s="212" t="str">
        <f t="shared" ca="1" si="34"/>
        <v/>
      </c>
      <c r="G294" s="212" t="str">
        <f t="shared" ca="1" si="34"/>
        <v/>
      </c>
      <c r="H294" s="212" t="str">
        <f t="shared" ca="1" si="34"/>
        <v/>
      </c>
      <c r="I294" s="212" t="str">
        <f t="shared" ca="1" si="35"/>
        <v/>
      </c>
      <c r="J294" s="212" t="str">
        <f t="shared" ca="1" si="35"/>
        <v/>
      </c>
    </row>
    <row r="295" spans="2:10" x14ac:dyDescent="0.15">
      <c r="B295" s="213" t="str">
        <f t="shared" si="36"/>
        <v/>
      </c>
      <c r="C295" s="228" t="str">
        <f t="shared" si="33"/>
        <v/>
      </c>
      <c r="D295" s="212" t="str">
        <f t="shared" si="32"/>
        <v/>
      </c>
      <c r="E295" s="212" t="str">
        <f t="shared" ca="1" si="34"/>
        <v/>
      </c>
      <c r="F295" s="212" t="str">
        <f t="shared" ca="1" si="34"/>
        <v/>
      </c>
      <c r="G295" s="212" t="str">
        <f t="shared" ca="1" si="34"/>
        <v/>
      </c>
      <c r="H295" s="212" t="str">
        <f t="shared" ca="1" si="34"/>
        <v/>
      </c>
      <c r="I295" s="212" t="str">
        <f t="shared" ca="1" si="35"/>
        <v/>
      </c>
      <c r="J295" s="212" t="str">
        <f t="shared" ca="1" si="35"/>
        <v/>
      </c>
    </row>
    <row r="296" spans="2:10" x14ac:dyDescent="0.15">
      <c r="B296" s="213" t="str">
        <f t="shared" si="36"/>
        <v/>
      </c>
      <c r="C296" s="228" t="str">
        <f t="shared" si="33"/>
        <v/>
      </c>
      <c r="D296" s="212" t="str">
        <f t="shared" si="32"/>
        <v/>
      </c>
      <c r="E296" s="212" t="str">
        <f t="shared" ca="1" si="34"/>
        <v/>
      </c>
      <c r="F296" s="212" t="str">
        <f t="shared" ca="1" si="34"/>
        <v/>
      </c>
      <c r="G296" s="212" t="str">
        <f t="shared" ca="1" si="34"/>
        <v/>
      </c>
      <c r="H296" s="212" t="str">
        <f t="shared" ca="1" si="34"/>
        <v/>
      </c>
      <c r="I296" s="212" t="str">
        <f t="shared" ca="1" si="35"/>
        <v/>
      </c>
      <c r="J296" s="212" t="str">
        <f t="shared" ca="1" si="35"/>
        <v/>
      </c>
    </row>
    <row r="297" spans="2:10" x14ac:dyDescent="0.15">
      <c r="B297" s="213" t="str">
        <f t="shared" si="36"/>
        <v/>
      </c>
      <c r="C297" s="228" t="str">
        <f t="shared" si="33"/>
        <v/>
      </c>
      <c r="D297" s="212" t="str">
        <f t="shared" si="32"/>
        <v/>
      </c>
      <c r="E297" s="212" t="str">
        <f t="shared" ca="1" si="34"/>
        <v/>
      </c>
      <c r="F297" s="212" t="str">
        <f t="shared" ca="1" si="34"/>
        <v/>
      </c>
      <c r="G297" s="212" t="str">
        <f t="shared" ca="1" si="34"/>
        <v/>
      </c>
      <c r="H297" s="212" t="str">
        <f t="shared" ca="1" si="34"/>
        <v/>
      </c>
      <c r="I297" s="212" t="str">
        <f t="shared" ca="1" si="35"/>
        <v/>
      </c>
      <c r="J297" s="212" t="str">
        <f t="shared" ca="1" si="35"/>
        <v/>
      </c>
    </row>
    <row r="298" spans="2:10" x14ac:dyDescent="0.15">
      <c r="B298" s="213" t="str">
        <f t="shared" si="36"/>
        <v/>
      </c>
      <c r="C298" s="228" t="str">
        <f t="shared" si="33"/>
        <v/>
      </c>
      <c r="D298" s="212" t="str">
        <f t="shared" si="32"/>
        <v/>
      </c>
      <c r="E298" s="212" t="str">
        <f t="shared" ca="1" si="34"/>
        <v/>
      </c>
      <c r="F298" s="212" t="str">
        <f t="shared" ca="1" si="34"/>
        <v/>
      </c>
      <c r="G298" s="212" t="str">
        <f t="shared" ca="1" si="34"/>
        <v/>
      </c>
      <c r="H298" s="212" t="str">
        <f t="shared" ca="1" si="34"/>
        <v/>
      </c>
      <c r="I298" s="212" t="str">
        <f t="shared" ca="1" si="35"/>
        <v/>
      </c>
      <c r="J298" s="212" t="str">
        <f t="shared" ca="1" si="35"/>
        <v/>
      </c>
    </row>
    <row r="299" spans="2:10" x14ac:dyDescent="0.15">
      <c r="B299" s="213" t="str">
        <f t="shared" si="36"/>
        <v/>
      </c>
      <c r="C299" s="228" t="str">
        <f t="shared" si="33"/>
        <v/>
      </c>
      <c r="D299" s="212" t="str">
        <f t="shared" si="32"/>
        <v/>
      </c>
      <c r="E299" s="212" t="str">
        <f t="shared" ca="1" si="34"/>
        <v/>
      </c>
      <c r="F299" s="212" t="str">
        <f t="shared" ca="1" si="34"/>
        <v/>
      </c>
      <c r="G299" s="212" t="str">
        <f t="shared" ca="1" si="34"/>
        <v/>
      </c>
      <c r="H299" s="212" t="str">
        <f t="shared" ca="1" si="34"/>
        <v/>
      </c>
      <c r="I299" s="212" t="str">
        <f t="shared" ca="1" si="35"/>
        <v/>
      </c>
      <c r="J299" s="212" t="str">
        <f t="shared" ca="1" si="35"/>
        <v/>
      </c>
    </row>
    <row r="300" spans="2:10" x14ac:dyDescent="0.15">
      <c r="B300" s="213" t="str">
        <f t="shared" si="36"/>
        <v/>
      </c>
      <c r="C300" s="228" t="str">
        <f t="shared" si="33"/>
        <v/>
      </c>
      <c r="D300" s="212" t="str">
        <f t="shared" si="32"/>
        <v/>
      </c>
      <c r="E300" s="212" t="str">
        <f t="shared" ca="1" si="34"/>
        <v/>
      </c>
      <c r="F300" s="212" t="str">
        <f t="shared" ca="1" si="34"/>
        <v/>
      </c>
      <c r="G300" s="212" t="str">
        <f t="shared" ca="1" si="34"/>
        <v/>
      </c>
      <c r="H300" s="212" t="str">
        <f t="shared" ca="1" si="34"/>
        <v/>
      </c>
      <c r="I300" s="212" t="str">
        <f t="shared" ca="1" si="35"/>
        <v/>
      </c>
      <c r="J300" s="212" t="str">
        <f t="shared" ca="1" si="35"/>
        <v/>
      </c>
    </row>
    <row r="301" spans="2:10" x14ac:dyDescent="0.15">
      <c r="B301" s="213" t="str">
        <f t="shared" si="36"/>
        <v/>
      </c>
      <c r="C301" s="228" t="str">
        <f t="shared" si="33"/>
        <v/>
      </c>
      <c r="D301" s="212" t="str">
        <f t="shared" si="32"/>
        <v/>
      </c>
      <c r="E301" s="212" t="str">
        <f t="shared" ca="1" si="34"/>
        <v/>
      </c>
      <c r="F301" s="212" t="str">
        <f t="shared" ca="1" si="34"/>
        <v/>
      </c>
      <c r="G301" s="212" t="str">
        <f t="shared" ca="1" si="34"/>
        <v/>
      </c>
      <c r="H301" s="212" t="str">
        <f t="shared" ca="1" si="34"/>
        <v/>
      </c>
      <c r="I301" s="212" t="str">
        <f t="shared" ca="1" si="35"/>
        <v/>
      </c>
      <c r="J301" s="212" t="str">
        <f t="shared" ca="1" si="35"/>
        <v/>
      </c>
    </row>
    <row r="302" spans="2:10" x14ac:dyDescent="0.15">
      <c r="B302" s="213" t="str">
        <f t="shared" si="36"/>
        <v/>
      </c>
      <c r="C302" s="228" t="str">
        <f t="shared" si="33"/>
        <v/>
      </c>
      <c r="D302" s="212" t="str">
        <f t="shared" si="32"/>
        <v/>
      </c>
      <c r="E302" s="212" t="str">
        <f t="shared" ca="1" si="34"/>
        <v/>
      </c>
      <c r="F302" s="212" t="str">
        <f t="shared" ca="1" si="34"/>
        <v/>
      </c>
      <c r="G302" s="212" t="str">
        <f t="shared" ca="1" si="34"/>
        <v/>
      </c>
      <c r="H302" s="212" t="str">
        <f t="shared" ca="1" si="34"/>
        <v/>
      </c>
      <c r="I302" s="212" t="str">
        <f t="shared" ca="1" si="35"/>
        <v/>
      </c>
      <c r="J302" s="212" t="str">
        <f t="shared" ca="1" si="35"/>
        <v/>
      </c>
    </row>
    <row r="303" spans="2:10" x14ac:dyDescent="0.15">
      <c r="B303" s="213" t="str">
        <f t="shared" si="36"/>
        <v/>
      </c>
      <c r="C303" s="228" t="str">
        <f t="shared" si="33"/>
        <v/>
      </c>
      <c r="D303" s="212" t="str">
        <f t="shared" si="32"/>
        <v/>
      </c>
      <c r="E303" s="212" t="str">
        <f t="shared" ca="1" si="34"/>
        <v/>
      </c>
      <c r="F303" s="212" t="str">
        <f t="shared" ca="1" si="34"/>
        <v/>
      </c>
      <c r="G303" s="212" t="str">
        <f t="shared" ca="1" si="34"/>
        <v/>
      </c>
      <c r="H303" s="212" t="str">
        <f t="shared" ca="1" si="34"/>
        <v/>
      </c>
      <c r="I303" s="212" t="str">
        <f t="shared" ca="1" si="35"/>
        <v/>
      </c>
      <c r="J303" s="212" t="str">
        <f t="shared" ca="1" si="35"/>
        <v/>
      </c>
    </row>
    <row r="304" spans="2:10" x14ac:dyDescent="0.15">
      <c r="B304" s="213" t="str">
        <f t="shared" si="36"/>
        <v/>
      </c>
      <c r="C304" s="228" t="str">
        <f t="shared" si="33"/>
        <v/>
      </c>
      <c r="D304" s="212" t="str">
        <f t="shared" si="32"/>
        <v/>
      </c>
      <c r="E304" s="212" t="str">
        <f t="shared" ca="1" si="34"/>
        <v/>
      </c>
      <c r="F304" s="212" t="str">
        <f t="shared" ca="1" si="34"/>
        <v/>
      </c>
      <c r="G304" s="212" t="str">
        <f t="shared" ca="1" si="34"/>
        <v/>
      </c>
      <c r="H304" s="212" t="str">
        <f t="shared" ca="1" si="34"/>
        <v/>
      </c>
      <c r="I304" s="212" t="str">
        <f t="shared" ca="1" si="35"/>
        <v/>
      </c>
      <c r="J304" s="212" t="str">
        <f t="shared" ca="1" si="35"/>
        <v/>
      </c>
    </row>
    <row r="305" spans="2:10" x14ac:dyDescent="0.15">
      <c r="B305" s="213" t="str">
        <f t="shared" si="36"/>
        <v/>
      </c>
      <c r="C305" s="228" t="str">
        <f t="shared" si="33"/>
        <v/>
      </c>
      <c r="D305" s="212" t="str">
        <f t="shared" si="32"/>
        <v/>
      </c>
      <c r="E305" s="212" t="str">
        <f t="shared" ca="1" si="34"/>
        <v/>
      </c>
      <c r="F305" s="212" t="str">
        <f t="shared" ca="1" si="34"/>
        <v/>
      </c>
      <c r="G305" s="212" t="str">
        <f t="shared" ca="1" si="34"/>
        <v/>
      </c>
      <c r="H305" s="212" t="str">
        <f t="shared" ca="1" si="34"/>
        <v/>
      </c>
      <c r="I305" s="212" t="str">
        <f t="shared" ca="1" si="35"/>
        <v/>
      </c>
      <c r="J305" s="212" t="str">
        <f t="shared" ca="1" si="35"/>
        <v/>
      </c>
    </row>
    <row r="306" spans="2:10" x14ac:dyDescent="0.15">
      <c r="B306" s="213" t="str">
        <f t="shared" si="36"/>
        <v/>
      </c>
      <c r="C306" s="228" t="str">
        <f t="shared" si="33"/>
        <v/>
      </c>
      <c r="D306" s="212" t="str">
        <f t="shared" si="32"/>
        <v/>
      </c>
      <c r="E306" s="212" t="str">
        <f t="shared" ca="1" si="34"/>
        <v/>
      </c>
      <c r="F306" s="212" t="str">
        <f t="shared" ca="1" si="34"/>
        <v/>
      </c>
      <c r="G306" s="212" t="str">
        <f t="shared" ca="1" si="34"/>
        <v/>
      </c>
      <c r="H306" s="212" t="str">
        <f t="shared" ca="1" si="34"/>
        <v/>
      </c>
      <c r="I306" s="212" t="str">
        <f t="shared" ca="1" si="35"/>
        <v/>
      </c>
      <c r="J306" s="212" t="str">
        <f t="shared" ca="1" si="35"/>
        <v/>
      </c>
    </row>
    <row r="307" spans="2:10" x14ac:dyDescent="0.15">
      <c r="B307" s="213" t="str">
        <f t="shared" si="36"/>
        <v/>
      </c>
      <c r="C307" s="228" t="str">
        <f t="shared" si="33"/>
        <v/>
      </c>
      <c r="D307" s="212" t="str">
        <f t="shared" si="32"/>
        <v/>
      </c>
      <c r="E307" s="212" t="str">
        <f t="shared" ca="1" si="34"/>
        <v/>
      </c>
      <c r="F307" s="212" t="str">
        <f t="shared" ca="1" si="34"/>
        <v/>
      </c>
      <c r="G307" s="212" t="str">
        <f t="shared" ca="1" si="34"/>
        <v/>
      </c>
      <c r="H307" s="212" t="str">
        <f t="shared" ca="1" si="34"/>
        <v/>
      </c>
      <c r="I307" s="212" t="str">
        <f t="shared" ca="1" si="35"/>
        <v/>
      </c>
      <c r="J307" s="212" t="str">
        <f t="shared" ca="1" si="35"/>
        <v/>
      </c>
    </row>
    <row r="308" spans="2:10" x14ac:dyDescent="0.15">
      <c r="B308" s="213" t="str">
        <f t="shared" si="36"/>
        <v/>
      </c>
      <c r="C308" s="228" t="str">
        <f t="shared" si="33"/>
        <v/>
      </c>
      <c r="D308" s="212" t="str">
        <f t="shared" si="32"/>
        <v/>
      </c>
      <c r="E308" s="212" t="str">
        <f t="shared" ca="1" si="34"/>
        <v/>
      </c>
      <c r="F308" s="212" t="str">
        <f t="shared" ca="1" si="34"/>
        <v/>
      </c>
      <c r="G308" s="212" t="str">
        <f t="shared" ca="1" si="34"/>
        <v/>
      </c>
      <c r="H308" s="212" t="str">
        <f t="shared" ca="1" si="34"/>
        <v/>
      </c>
      <c r="I308" s="212" t="str">
        <f t="shared" ca="1" si="35"/>
        <v/>
      </c>
      <c r="J308" s="212" t="str">
        <f t="shared" ca="1" si="35"/>
        <v/>
      </c>
    </row>
    <row r="309" spans="2:10" x14ac:dyDescent="0.15">
      <c r="B309" s="213" t="str">
        <f t="shared" si="36"/>
        <v/>
      </c>
      <c r="C309" s="228" t="str">
        <f t="shared" si="33"/>
        <v/>
      </c>
      <c r="D309" s="212" t="str">
        <f t="shared" si="32"/>
        <v/>
      </c>
      <c r="E309" s="212" t="str">
        <f t="shared" ca="1" si="34"/>
        <v/>
      </c>
      <c r="F309" s="212" t="str">
        <f t="shared" ca="1" si="34"/>
        <v/>
      </c>
      <c r="G309" s="212" t="str">
        <f t="shared" ca="1" si="34"/>
        <v/>
      </c>
      <c r="H309" s="212" t="str">
        <f t="shared" ca="1" si="34"/>
        <v/>
      </c>
      <c r="I309" s="212" t="str">
        <f t="shared" ca="1" si="35"/>
        <v/>
      </c>
      <c r="J309" s="212" t="str">
        <f t="shared" ca="1" si="35"/>
        <v/>
      </c>
    </row>
    <row r="310" spans="2:10" x14ac:dyDescent="0.15">
      <c r="B310" s="213" t="str">
        <f t="shared" si="36"/>
        <v/>
      </c>
      <c r="C310" s="228" t="str">
        <f t="shared" si="33"/>
        <v/>
      </c>
      <c r="D310" s="212" t="str">
        <f t="shared" si="32"/>
        <v/>
      </c>
      <c r="E310" s="212" t="str">
        <f t="shared" ca="1" si="34"/>
        <v/>
      </c>
      <c r="F310" s="212" t="str">
        <f t="shared" ca="1" si="34"/>
        <v/>
      </c>
      <c r="G310" s="212" t="str">
        <f t="shared" ca="1" si="34"/>
        <v/>
      </c>
      <c r="H310" s="212" t="str">
        <f t="shared" ca="1" si="34"/>
        <v/>
      </c>
      <c r="I310" s="212" t="str">
        <f t="shared" ca="1" si="35"/>
        <v/>
      </c>
      <c r="J310" s="212" t="str">
        <f t="shared" ca="1" si="35"/>
        <v/>
      </c>
    </row>
    <row r="311" spans="2:10" x14ac:dyDescent="0.15">
      <c r="B311" s="213" t="str">
        <f t="shared" si="36"/>
        <v/>
      </c>
      <c r="C311" s="228" t="str">
        <f t="shared" si="33"/>
        <v/>
      </c>
      <c r="D311" s="212" t="str">
        <f t="shared" si="32"/>
        <v/>
      </c>
      <c r="E311" s="212" t="str">
        <f t="shared" ca="1" si="34"/>
        <v/>
      </c>
      <c r="F311" s="212" t="str">
        <f t="shared" ca="1" si="34"/>
        <v/>
      </c>
      <c r="G311" s="212" t="str">
        <f t="shared" ca="1" si="34"/>
        <v/>
      </c>
      <c r="H311" s="212" t="str">
        <f t="shared" ca="1" si="34"/>
        <v/>
      </c>
      <c r="I311" s="212" t="str">
        <f t="shared" ca="1" si="35"/>
        <v/>
      </c>
      <c r="J311" s="212" t="str">
        <f t="shared" ca="1" si="35"/>
        <v/>
      </c>
    </row>
    <row r="312" spans="2:10" x14ac:dyDescent="0.15">
      <c r="B312" s="213" t="str">
        <f t="shared" si="36"/>
        <v/>
      </c>
      <c r="C312" s="228" t="str">
        <f t="shared" si="33"/>
        <v/>
      </c>
      <c r="D312" s="212" t="str">
        <f t="shared" si="32"/>
        <v/>
      </c>
      <c r="E312" s="212" t="str">
        <f t="shared" ca="1" si="34"/>
        <v/>
      </c>
      <c r="F312" s="212" t="str">
        <f t="shared" ca="1" si="34"/>
        <v/>
      </c>
      <c r="G312" s="212" t="str">
        <f t="shared" ca="1" si="34"/>
        <v/>
      </c>
      <c r="H312" s="212" t="str">
        <f t="shared" ca="1" si="34"/>
        <v/>
      </c>
      <c r="I312" s="212" t="str">
        <f t="shared" ca="1" si="35"/>
        <v/>
      </c>
      <c r="J312" s="212" t="str">
        <f t="shared" ca="1" si="35"/>
        <v/>
      </c>
    </row>
    <row r="313" spans="2:10" x14ac:dyDescent="0.15">
      <c r="B313" s="213" t="str">
        <f t="shared" si="36"/>
        <v/>
      </c>
      <c r="C313" s="228" t="str">
        <f t="shared" si="33"/>
        <v/>
      </c>
      <c r="D313" s="212" t="str">
        <f t="shared" si="32"/>
        <v/>
      </c>
      <c r="E313" s="212" t="str">
        <f t="shared" ca="1" si="34"/>
        <v/>
      </c>
      <c r="F313" s="212" t="str">
        <f t="shared" ca="1" si="34"/>
        <v/>
      </c>
      <c r="G313" s="212" t="str">
        <f t="shared" ca="1" si="34"/>
        <v/>
      </c>
      <c r="H313" s="212" t="str">
        <f t="shared" ca="1" si="34"/>
        <v/>
      </c>
      <c r="I313" s="212" t="str">
        <f t="shared" ca="1" si="35"/>
        <v/>
      </c>
      <c r="J313" s="212" t="str">
        <f t="shared" ca="1" si="35"/>
        <v/>
      </c>
    </row>
    <row r="314" spans="2:10" x14ac:dyDescent="0.15">
      <c r="B314" s="213" t="str">
        <f t="shared" si="36"/>
        <v/>
      </c>
      <c r="C314" s="228" t="str">
        <f t="shared" si="33"/>
        <v/>
      </c>
      <c r="D314" s="212" t="str">
        <f t="shared" si="32"/>
        <v/>
      </c>
      <c r="E314" s="212" t="str">
        <f t="shared" ca="1" si="34"/>
        <v/>
      </c>
      <c r="F314" s="212" t="str">
        <f t="shared" ca="1" si="34"/>
        <v/>
      </c>
      <c r="G314" s="212" t="str">
        <f t="shared" ca="1" si="34"/>
        <v/>
      </c>
      <c r="H314" s="212" t="str">
        <f t="shared" ca="1" si="34"/>
        <v/>
      </c>
      <c r="I314" s="212" t="str">
        <f t="shared" ca="1" si="35"/>
        <v/>
      </c>
      <c r="J314" s="212" t="str">
        <f t="shared" ca="1" si="35"/>
        <v/>
      </c>
    </row>
    <row r="315" spans="2:10" x14ac:dyDescent="0.15">
      <c r="B315" s="213" t="str">
        <f t="shared" si="36"/>
        <v/>
      </c>
      <c r="C315" s="228" t="str">
        <f t="shared" si="33"/>
        <v/>
      </c>
      <c r="D315" s="212" t="str">
        <f t="shared" si="32"/>
        <v/>
      </c>
      <c r="E315" s="212" t="str">
        <f t="shared" ca="1" si="34"/>
        <v/>
      </c>
      <c r="F315" s="212" t="str">
        <f t="shared" ca="1" si="34"/>
        <v/>
      </c>
      <c r="G315" s="212" t="str">
        <f t="shared" ca="1" si="34"/>
        <v/>
      </c>
      <c r="H315" s="212" t="str">
        <f t="shared" ca="1" si="34"/>
        <v/>
      </c>
      <c r="I315" s="212" t="str">
        <f t="shared" ca="1" si="35"/>
        <v/>
      </c>
      <c r="J315" s="212" t="str">
        <f t="shared" ca="1" si="35"/>
        <v/>
      </c>
    </row>
    <row r="316" spans="2:10" x14ac:dyDescent="0.15">
      <c r="B316" s="213" t="str">
        <f t="shared" si="36"/>
        <v/>
      </c>
      <c r="C316" s="228" t="str">
        <f t="shared" si="33"/>
        <v/>
      </c>
      <c r="D316" s="212" t="str">
        <f t="shared" si="32"/>
        <v/>
      </c>
      <c r="E316" s="212" t="str">
        <f t="shared" ca="1" si="34"/>
        <v/>
      </c>
      <c r="F316" s="212" t="str">
        <f t="shared" ca="1" si="34"/>
        <v/>
      </c>
      <c r="G316" s="212" t="str">
        <f t="shared" ca="1" si="34"/>
        <v/>
      </c>
      <c r="H316" s="212" t="str">
        <f t="shared" ca="1" si="34"/>
        <v/>
      </c>
      <c r="I316" s="212" t="str">
        <f t="shared" ca="1" si="35"/>
        <v/>
      </c>
      <c r="J316" s="212" t="str">
        <f t="shared" ca="1" si="35"/>
        <v/>
      </c>
    </row>
    <row r="317" spans="2:10" x14ac:dyDescent="0.15">
      <c r="B317" s="213" t="str">
        <f t="shared" si="36"/>
        <v/>
      </c>
      <c r="C317" s="228" t="str">
        <f t="shared" si="33"/>
        <v/>
      </c>
      <c r="D317" s="212" t="str">
        <f t="shared" si="32"/>
        <v/>
      </c>
      <c r="E317" s="212" t="str">
        <f t="shared" ca="1" si="34"/>
        <v/>
      </c>
      <c r="F317" s="212" t="str">
        <f t="shared" ca="1" si="34"/>
        <v/>
      </c>
      <c r="G317" s="212" t="str">
        <f t="shared" ca="1" si="34"/>
        <v/>
      </c>
      <c r="H317" s="212" t="str">
        <f t="shared" ca="1" si="34"/>
        <v/>
      </c>
      <c r="I317" s="212" t="str">
        <f t="shared" ca="1" si="35"/>
        <v/>
      </c>
      <c r="J317" s="212" t="str">
        <f t="shared" ca="1" si="35"/>
        <v/>
      </c>
    </row>
    <row r="318" spans="2:10" x14ac:dyDescent="0.15">
      <c r="B318" s="213" t="str">
        <f t="shared" si="36"/>
        <v/>
      </c>
      <c r="C318" s="228" t="str">
        <f t="shared" si="33"/>
        <v/>
      </c>
      <c r="D318" s="212" t="str">
        <f t="shared" si="32"/>
        <v/>
      </c>
      <c r="E318" s="212" t="str">
        <f t="shared" ca="1" si="34"/>
        <v/>
      </c>
      <c r="F318" s="212" t="str">
        <f t="shared" ca="1" si="34"/>
        <v/>
      </c>
      <c r="G318" s="212" t="str">
        <f t="shared" ca="1" si="34"/>
        <v/>
      </c>
      <c r="H318" s="212" t="str">
        <f t="shared" ca="1" si="34"/>
        <v/>
      </c>
      <c r="I318" s="212" t="str">
        <f t="shared" ca="1" si="35"/>
        <v/>
      </c>
      <c r="J318" s="212" t="str">
        <f t="shared" ca="1" si="35"/>
        <v/>
      </c>
    </row>
    <row r="319" spans="2:10" x14ac:dyDescent="0.15">
      <c r="B319" s="213" t="str">
        <f t="shared" si="36"/>
        <v/>
      </c>
      <c r="C319" s="228" t="str">
        <f t="shared" si="33"/>
        <v/>
      </c>
      <c r="D319" s="212" t="str">
        <f t="shared" si="32"/>
        <v/>
      </c>
      <c r="E319" s="212" t="str">
        <f t="shared" ca="1" si="34"/>
        <v/>
      </c>
      <c r="F319" s="212" t="str">
        <f t="shared" ca="1" si="34"/>
        <v/>
      </c>
      <c r="G319" s="212" t="str">
        <f t="shared" ca="1" si="34"/>
        <v/>
      </c>
      <c r="H319" s="212" t="str">
        <f t="shared" ca="1" si="34"/>
        <v/>
      </c>
      <c r="I319" s="212" t="str">
        <f t="shared" ca="1" si="35"/>
        <v/>
      </c>
      <c r="J319" s="212" t="str">
        <f t="shared" ca="1" si="35"/>
        <v/>
      </c>
    </row>
    <row r="320" spans="2:10" x14ac:dyDescent="0.15">
      <c r="B320" s="213" t="str">
        <f t="shared" si="36"/>
        <v/>
      </c>
      <c r="C320" s="228" t="str">
        <f t="shared" si="33"/>
        <v/>
      </c>
      <c r="D320" s="212" t="str">
        <f t="shared" si="32"/>
        <v/>
      </c>
      <c r="E320" s="212" t="str">
        <f t="shared" ca="1" si="34"/>
        <v/>
      </c>
      <c r="F320" s="212" t="str">
        <f t="shared" ca="1" si="34"/>
        <v/>
      </c>
      <c r="G320" s="212" t="str">
        <f t="shared" ca="1" si="34"/>
        <v/>
      </c>
      <c r="H320" s="212" t="str">
        <f t="shared" ca="1" si="34"/>
        <v/>
      </c>
      <c r="I320" s="212" t="str">
        <f t="shared" ca="1" si="35"/>
        <v/>
      </c>
      <c r="J320" s="212" t="str">
        <f t="shared" ca="1" si="35"/>
        <v/>
      </c>
    </row>
    <row r="321" spans="2:10" x14ac:dyDescent="0.15">
      <c r="B321" s="213" t="str">
        <f t="shared" si="36"/>
        <v/>
      </c>
      <c r="C321" s="228" t="str">
        <f t="shared" si="33"/>
        <v/>
      </c>
      <c r="D321" s="212" t="str">
        <f t="shared" si="32"/>
        <v/>
      </c>
      <c r="E321" s="212" t="str">
        <f t="shared" ca="1" si="34"/>
        <v/>
      </c>
      <c r="F321" s="212" t="str">
        <f t="shared" ca="1" si="34"/>
        <v/>
      </c>
      <c r="G321" s="212" t="str">
        <f t="shared" ca="1" si="34"/>
        <v/>
      </c>
      <c r="H321" s="212" t="str">
        <f t="shared" ca="1" si="34"/>
        <v/>
      </c>
      <c r="I321" s="212" t="str">
        <f t="shared" ca="1" si="35"/>
        <v/>
      </c>
      <c r="J321" s="212" t="str">
        <f t="shared" ca="1" si="35"/>
        <v/>
      </c>
    </row>
    <row r="322" spans="2:10" x14ac:dyDescent="0.15">
      <c r="B322" s="213" t="str">
        <f t="shared" si="36"/>
        <v/>
      </c>
      <c r="C322" s="228" t="str">
        <f t="shared" si="33"/>
        <v/>
      </c>
      <c r="D322" s="212" t="str">
        <f t="shared" si="32"/>
        <v/>
      </c>
      <c r="E322" s="212" t="str">
        <f t="shared" ca="1" si="34"/>
        <v/>
      </c>
      <c r="F322" s="212" t="str">
        <f t="shared" ca="1" si="34"/>
        <v/>
      </c>
      <c r="G322" s="212" t="str">
        <f t="shared" ca="1" si="34"/>
        <v/>
      </c>
      <c r="H322" s="212" t="str">
        <f t="shared" ca="1" si="34"/>
        <v/>
      </c>
      <c r="I322" s="212" t="str">
        <f t="shared" ca="1" si="35"/>
        <v/>
      </c>
      <c r="J322" s="212" t="str">
        <f t="shared" ca="1" si="35"/>
        <v/>
      </c>
    </row>
    <row r="323" spans="2:10" x14ac:dyDescent="0.15">
      <c r="B323" s="213" t="str">
        <f t="shared" si="36"/>
        <v/>
      </c>
      <c r="C323" s="228" t="str">
        <f t="shared" si="33"/>
        <v/>
      </c>
      <c r="D323" s="212" t="str">
        <f t="shared" si="32"/>
        <v/>
      </c>
      <c r="E323" s="212" t="str">
        <f t="shared" ca="1" si="34"/>
        <v/>
      </c>
      <c r="F323" s="212" t="str">
        <f t="shared" ca="1" si="34"/>
        <v/>
      </c>
      <c r="G323" s="212" t="str">
        <f t="shared" ca="1" si="34"/>
        <v/>
      </c>
      <c r="H323" s="212" t="str">
        <f t="shared" ca="1" si="34"/>
        <v/>
      </c>
      <c r="I323" s="212" t="str">
        <f t="shared" ca="1" si="35"/>
        <v/>
      </c>
      <c r="J323" s="212" t="str">
        <f t="shared" ca="1" si="35"/>
        <v/>
      </c>
    </row>
    <row r="324" spans="2:10" x14ac:dyDescent="0.15">
      <c r="B324" s="213" t="str">
        <f t="shared" si="36"/>
        <v/>
      </c>
      <c r="C324" s="228" t="str">
        <f t="shared" si="33"/>
        <v/>
      </c>
      <c r="D324" s="212" t="str">
        <f t="shared" si="32"/>
        <v/>
      </c>
      <c r="E324" s="212" t="str">
        <f t="shared" ca="1" si="34"/>
        <v/>
      </c>
      <c r="F324" s="212" t="str">
        <f t="shared" ca="1" si="34"/>
        <v/>
      </c>
      <c r="G324" s="212" t="str">
        <f t="shared" ca="1" si="34"/>
        <v/>
      </c>
      <c r="H324" s="212" t="str">
        <f t="shared" ca="1" si="34"/>
        <v/>
      </c>
      <c r="I324" s="212" t="str">
        <f t="shared" ca="1" si="35"/>
        <v/>
      </c>
      <c r="J324" s="212" t="str">
        <f t="shared" ca="1" si="35"/>
        <v/>
      </c>
    </row>
    <row r="325" spans="2:10" x14ac:dyDescent="0.15">
      <c r="B325" s="213" t="str">
        <f t="shared" si="36"/>
        <v/>
      </c>
      <c r="C325" s="228" t="str">
        <f t="shared" si="33"/>
        <v/>
      </c>
      <c r="D325" s="212" t="str">
        <f t="shared" si="32"/>
        <v/>
      </c>
      <c r="E325" s="212" t="str">
        <f t="shared" ca="1" si="34"/>
        <v/>
      </c>
      <c r="F325" s="212" t="str">
        <f t="shared" ca="1" si="34"/>
        <v/>
      </c>
      <c r="G325" s="212" t="str">
        <f t="shared" ca="1" si="34"/>
        <v/>
      </c>
      <c r="H325" s="212" t="str">
        <f t="shared" ca="1" si="34"/>
        <v/>
      </c>
      <c r="I325" s="212" t="str">
        <f t="shared" ca="1" si="35"/>
        <v/>
      </c>
      <c r="J325" s="212" t="str">
        <f t="shared" ca="1" si="35"/>
        <v/>
      </c>
    </row>
    <row r="326" spans="2:10" x14ac:dyDescent="0.15">
      <c r="B326" s="213" t="str">
        <f t="shared" si="36"/>
        <v/>
      </c>
      <c r="C326" s="228" t="str">
        <f t="shared" si="33"/>
        <v/>
      </c>
      <c r="D326" s="212" t="str">
        <f t="shared" si="32"/>
        <v/>
      </c>
      <c r="E326" s="212" t="str">
        <f t="shared" ca="1" si="34"/>
        <v/>
      </c>
      <c r="F326" s="212" t="str">
        <f t="shared" ca="1" si="34"/>
        <v/>
      </c>
      <c r="G326" s="212" t="str">
        <f t="shared" ca="1" si="34"/>
        <v/>
      </c>
      <c r="H326" s="212" t="str">
        <f t="shared" ca="1" si="34"/>
        <v/>
      </c>
      <c r="I326" s="212" t="str">
        <f t="shared" ca="1" si="35"/>
        <v/>
      </c>
      <c r="J326" s="212" t="str">
        <f t="shared" ca="1" si="35"/>
        <v/>
      </c>
    </row>
    <row r="327" spans="2:10" x14ac:dyDescent="0.15">
      <c r="B327" s="213" t="str">
        <f t="shared" si="36"/>
        <v/>
      </c>
      <c r="C327" s="228" t="str">
        <f t="shared" si="33"/>
        <v/>
      </c>
      <c r="D327" s="212" t="str">
        <f t="shared" si="32"/>
        <v/>
      </c>
      <c r="E327" s="212" t="str">
        <f t="shared" ca="1" si="34"/>
        <v/>
      </c>
      <c r="F327" s="212" t="str">
        <f t="shared" ca="1" si="34"/>
        <v/>
      </c>
      <c r="G327" s="212" t="str">
        <f t="shared" ca="1" si="34"/>
        <v/>
      </c>
      <c r="H327" s="212" t="str">
        <f t="shared" ca="1" si="34"/>
        <v/>
      </c>
      <c r="I327" s="212" t="str">
        <f t="shared" ca="1" si="35"/>
        <v/>
      </c>
      <c r="J327" s="212" t="str">
        <f t="shared" ca="1" si="35"/>
        <v/>
      </c>
    </row>
    <row r="328" spans="2:10" x14ac:dyDescent="0.15">
      <c r="B328" s="213" t="str">
        <f t="shared" si="36"/>
        <v/>
      </c>
      <c r="C328" s="228" t="str">
        <f t="shared" si="33"/>
        <v/>
      </c>
      <c r="D328" s="212" t="str">
        <f t="shared" si="32"/>
        <v/>
      </c>
      <c r="E328" s="212" t="str">
        <f t="shared" ca="1" si="34"/>
        <v/>
      </c>
      <c r="F328" s="212" t="str">
        <f t="shared" ca="1" si="34"/>
        <v/>
      </c>
      <c r="G328" s="212" t="str">
        <f t="shared" ca="1" si="34"/>
        <v/>
      </c>
      <c r="H328" s="212" t="str">
        <f t="shared" ca="1" si="34"/>
        <v/>
      </c>
      <c r="I328" s="212" t="str">
        <f t="shared" ca="1" si="35"/>
        <v/>
      </c>
      <c r="J328" s="212" t="str">
        <f t="shared" ca="1" si="35"/>
        <v/>
      </c>
    </row>
    <row r="329" spans="2:10" x14ac:dyDescent="0.15">
      <c r="B329" s="213" t="str">
        <f t="shared" si="36"/>
        <v/>
      </c>
      <c r="C329" s="228" t="str">
        <f t="shared" si="33"/>
        <v/>
      </c>
      <c r="D329" s="212" t="str">
        <f t="shared" si="32"/>
        <v/>
      </c>
      <c r="E329" s="212" t="str">
        <f t="shared" ca="1" si="34"/>
        <v/>
      </c>
      <c r="F329" s="212" t="str">
        <f t="shared" ca="1" si="34"/>
        <v/>
      </c>
      <c r="G329" s="212" t="str">
        <f t="shared" ca="1" si="34"/>
        <v/>
      </c>
      <c r="H329" s="212" t="str">
        <f t="shared" ca="1" si="34"/>
        <v/>
      </c>
      <c r="I329" s="212" t="str">
        <f t="shared" ca="1" si="35"/>
        <v/>
      </c>
      <c r="J329" s="212" t="str">
        <f t="shared" ca="1" si="35"/>
        <v/>
      </c>
    </row>
    <row r="330" spans="2:10" x14ac:dyDescent="0.15">
      <c r="B330" s="213" t="str">
        <f t="shared" si="36"/>
        <v/>
      </c>
      <c r="C330" s="228" t="str">
        <f t="shared" si="33"/>
        <v/>
      </c>
      <c r="D330" s="212" t="str">
        <f t="shared" si="32"/>
        <v/>
      </c>
      <c r="E330" s="212" t="str">
        <f t="shared" ca="1" si="34"/>
        <v/>
      </c>
      <c r="F330" s="212" t="str">
        <f t="shared" ca="1" si="34"/>
        <v/>
      </c>
      <c r="G330" s="212" t="str">
        <f t="shared" ca="1" si="34"/>
        <v/>
      </c>
      <c r="H330" s="212" t="str">
        <f t="shared" ca="1" si="34"/>
        <v/>
      </c>
      <c r="I330" s="212" t="str">
        <f t="shared" ca="1" si="35"/>
        <v/>
      </c>
      <c r="J330" s="212" t="str">
        <f t="shared" ca="1" si="35"/>
        <v/>
      </c>
    </row>
    <row r="331" spans="2:10" x14ac:dyDescent="0.15">
      <c r="B331" s="213" t="str">
        <f t="shared" si="36"/>
        <v/>
      </c>
      <c r="C331" s="228" t="str">
        <f t="shared" si="33"/>
        <v/>
      </c>
      <c r="D331" s="212" t="str">
        <f t="shared" si="32"/>
        <v/>
      </c>
      <c r="E331" s="212" t="str">
        <f t="shared" ca="1" si="34"/>
        <v/>
      </c>
      <c r="F331" s="212" t="str">
        <f t="shared" ca="1" si="34"/>
        <v/>
      </c>
      <c r="G331" s="212" t="str">
        <f t="shared" ca="1" si="34"/>
        <v/>
      </c>
      <c r="H331" s="212" t="str">
        <f t="shared" ca="1" si="34"/>
        <v/>
      </c>
      <c r="I331" s="212" t="str">
        <f t="shared" ca="1" si="35"/>
        <v/>
      </c>
      <c r="J331" s="212" t="str">
        <f t="shared" ca="1" si="35"/>
        <v/>
      </c>
    </row>
    <row r="332" spans="2:10" x14ac:dyDescent="0.15">
      <c r="B332" s="213" t="str">
        <f t="shared" si="36"/>
        <v/>
      </c>
      <c r="C332" s="228" t="str">
        <f t="shared" si="33"/>
        <v/>
      </c>
      <c r="D332" s="212" t="str">
        <f t="shared" si="32"/>
        <v/>
      </c>
      <c r="E332" s="212" t="str">
        <f t="shared" ca="1" si="34"/>
        <v/>
      </c>
      <c r="F332" s="212" t="str">
        <f t="shared" ca="1" si="34"/>
        <v/>
      </c>
      <c r="G332" s="212" t="str">
        <f t="shared" ca="1" si="34"/>
        <v/>
      </c>
      <c r="H332" s="212" t="str">
        <f t="shared" ca="1" si="34"/>
        <v/>
      </c>
      <c r="I332" s="212" t="str">
        <f t="shared" ca="1" si="35"/>
        <v/>
      </c>
      <c r="J332" s="212" t="str">
        <f t="shared" ca="1" si="35"/>
        <v/>
      </c>
    </row>
    <row r="333" spans="2:10" x14ac:dyDescent="0.15">
      <c r="B333" s="213" t="str">
        <f t="shared" si="36"/>
        <v/>
      </c>
      <c r="C333" s="228" t="str">
        <f t="shared" si="33"/>
        <v/>
      </c>
      <c r="D333" s="212" t="str">
        <f t="shared" si="32"/>
        <v/>
      </c>
      <c r="E333" s="212" t="str">
        <f t="shared" ca="1" si="34"/>
        <v/>
      </c>
      <c r="F333" s="212" t="str">
        <f t="shared" ca="1" si="34"/>
        <v/>
      </c>
      <c r="G333" s="212" t="str">
        <f t="shared" ca="1" si="34"/>
        <v/>
      </c>
      <c r="H333" s="212" t="str">
        <f t="shared" ca="1" si="34"/>
        <v/>
      </c>
      <c r="I333" s="212" t="str">
        <f t="shared" ca="1" si="35"/>
        <v/>
      </c>
      <c r="J333" s="212" t="str">
        <f t="shared" ca="1" si="35"/>
        <v/>
      </c>
    </row>
    <row r="334" spans="2:10" x14ac:dyDescent="0.15">
      <c r="B334" s="213" t="str">
        <f t="shared" si="36"/>
        <v/>
      </c>
      <c r="C334" s="228" t="str">
        <f t="shared" si="33"/>
        <v/>
      </c>
      <c r="D334" s="212" t="str">
        <f t="shared" si="32"/>
        <v/>
      </c>
      <c r="E334" s="212" t="str">
        <f t="shared" ca="1" si="34"/>
        <v/>
      </c>
      <c r="F334" s="212" t="str">
        <f t="shared" ca="1" si="34"/>
        <v/>
      </c>
      <c r="G334" s="212" t="str">
        <f t="shared" ca="1" si="34"/>
        <v/>
      </c>
      <c r="H334" s="212" t="str">
        <f t="shared" ca="1" si="34"/>
        <v/>
      </c>
      <c r="I334" s="212" t="str">
        <f t="shared" ca="1" si="35"/>
        <v/>
      </c>
      <c r="J334" s="212" t="str">
        <f t="shared" ca="1" si="35"/>
        <v/>
      </c>
    </row>
    <row r="335" spans="2:10" x14ac:dyDescent="0.15">
      <c r="B335" s="213" t="str">
        <f t="shared" si="36"/>
        <v/>
      </c>
      <c r="C335" s="228" t="str">
        <f t="shared" si="33"/>
        <v/>
      </c>
      <c r="D335" s="212" t="str">
        <f t="shared" si="32"/>
        <v/>
      </c>
      <c r="E335" s="212" t="str">
        <f t="shared" ca="1" si="34"/>
        <v/>
      </c>
      <c r="F335" s="212" t="str">
        <f t="shared" ca="1" si="34"/>
        <v/>
      </c>
      <c r="G335" s="212" t="str">
        <f t="shared" ca="1" si="34"/>
        <v/>
      </c>
      <c r="H335" s="212" t="str">
        <f t="shared" ca="1" si="34"/>
        <v/>
      </c>
      <c r="I335" s="212" t="str">
        <f t="shared" ca="1" si="35"/>
        <v/>
      </c>
      <c r="J335" s="212" t="str">
        <f t="shared" ca="1" si="35"/>
        <v/>
      </c>
    </row>
    <row r="336" spans="2:10" x14ac:dyDescent="0.15">
      <c r="B336" s="213" t="str">
        <f t="shared" si="36"/>
        <v/>
      </c>
      <c r="C336" s="228" t="str">
        <f t="shared" si="33"/>
        <v/>
      </c>
      <c r="D336" s="212" t="str">
        <f t="shared" si="32"/>
        <v/>
      </c>
      <c r="E336" s="212" t="str">
        <f t="shared" ca="1" si="34"/>
        <v/>
      </c>
      <c r="F336" s="212" t="str">
        <f t="shared" ca="1" si="34"/>
        <v/>
      </c>
      <c r="G336" s="212" t="str">
        <f t="shared" ca="1" si="34"/>
        <v/>
      </c>
      <c r="H336" s="212" t="str">
        <f t="shared" ca="1" si="34"/>
        <v/>
      </c>
      <c r="I336" s="212" t="str">
        <f t="shared" ca="1" si="35"/>
        <v/>
      </c>
      <c r="J336" s="212" t="str">
        <f t="shared" ca="1" si="35"/>
        <v/>
      </c>
    </row>
    <row r="337" spans="2:10" x14ac:dyDescent="0.15">
      <c r="B337" s="213" t="str">
        <f t="shared" si="36"/>
        <v/>
      </c>
      <c r="C337" s="228" t="str">
        <f t="shared" si="33"/>
        <v/>
      </c>
      <c r="D337" s="212" t="str">
        <f t="shared" si="32"/>
        <v/>
      </c>
      <c r="E337" s="212" t="str">
        <f t="shared" ca="1" si="34"/>
        <v/>
      </c>
      <c r="F337" s="212" t="str">
        <f t="shared" ca="1" si="34"/>
        <v/>
      </c>
      <c r="G337" s="212" t="str">
        <f t="shared" ca="1" si="34"/>
        <v/>
      </c>
      <c r="H337" s="212" t="str">
        <f t="shared" ca="1" si="34"/>
        <v/>
      </c>
      <c r="I337" s="212" t="str">
        <f t="shared" ca="1" si="35"/>
        <v/>
      </c>
      <c r="J337" s="212" t="str">
        <f t="shared" ca="1" si="35"/>
        <v/>
      </c>
    </row>
    <row r="338" spans="2:10" x14ac:dyDescent="0.15">
      <c r="B338" s="213" t="str">
        <f t="shared" si="36"/>
        <v/>
      </c>
      <c r="C338" s="228" t="str">
        <f t="shared" si="33"/>
        <v/>
      </c>
      <c r="D338" s="212" t="str">
        <f t="shared" si="32"/>
        <v/>
      </c>
      <c r="E338" s="212" t="str">
        <f t="shared" ca="1" si="34"/>
        <v/>
      </c>
      <c r="F338" s="212" t="str">
        <f t="shared" ca="1" si="34"/>
        <v/>
      </c>
      <c r="G338" s="212" t="str">
        <f t="shared" ca="1" si="34"/>
        <v/>
      </c>
      <c r="H338" s="212" t="str">
        <f t="shared" ca="1" si="34"/>
        <v/>
      </c>
      <c r="I338" s="212" t="str">
        <f t="shared" ca="1" si="35"/>
        <v/>
      </c>
      <c r="J338" s="212" t="str">
        <f t="shared" ca="1" si="35"/>
        <v/>
      </c>
    </row>
    <row r="339" spans="2:10" x14ac:dyDescent="0.15">
      <c r="B339" s="213" t="str">
        <f t="shared" si="36"/>
        <v/>
      </c>
      <c r="C339" s="228" t="str">
        <f t="shared" si="33"/>
        <v/>
      </c>
      <c r="D339" s="212" t="str">
        <f t="shared" si="32"/>
        <v/>
      </c>
      <c r="E339" s="212" t="str">
        <f t="shared" ca="1" si="34"/>
        <v/>
      </c>
      <c r="F339" s="212" t="str">
        <f t="shared" ca="1" si="34"/>
        <v/>
      </c>
      <c r="G339" s="212" t="str">
        <f t="shared" ca="1" si="34"/>
        <v/>
      </c>
      <c r="H339" s="212" t="str">
        <f t="shared" ca="1" si="34"/>
        <v/>
      </c>
      <c r="I339" s="212" t="str">
        <f t="shared" ca="1" si="35"/>
        <v/>
      </c>
      <c r="J339" s="212" t="str">
        <f t="shared" ca="1" si="35"/>
        <v/>
      </c>
    </row>
    <row r="340" spans="2:10" x14ac:dyDescent="0.15">
      <c r="B340" s="213" t="str">
        <f t="shared" si="36"/>
        <v/>
      </c>
      <c r="C340" s="228" t="str">
        <f t="shared" si="33"/>
        <v/>
      </c>
      <c r="D340" s="212" t="str">
        <f t="shared" si="32"/>
        <v/>
      </c>
      <c r="E340" s="212" t="str">
        <f t="shared" ca="1" si="34"/>
        <v/>
      </c>
      <c r="F340" s="212" t="str">
        <f t="shared" ca="1" si="34"/>
        <v/>
      </c>
      <c r="G340" s="212" t="str">
        <f t="shared" ca="1" si="34"/>
        <v/>
      </c>
      <c r="H340" s="212" t="str">
        <f t="shared" ca="1" si="34"/>
        <v/>
      </c>
      <c r="I340" s="212" t="str">
        <f t="shared" ca="1" si="35"/>
        <v/>
      </c>
      <c r="J340" s="212" t="str">
        <f t="shared" ca="1" si="35"/>
        <v/>
      </c>
    </row>
    <row r="341" spans="2:10" x14ac:dyDescent="0.15">
      <c r="B341" s="213" t="str">
        <f t="shared" si="36"/>
        <v/>
      </c>
      <c r="C341" s="228" t="str">
        <f t="shared" si="33"/>
        <v/>
      </c>
      <c r="D341" s="212" t="str">
        <f t="shared" si="32"/>
        <v/>
      </c>
      <c r="E341" s="212" t="str">
        <f t="shared" ca="1" si="34"/>
        <v/>
      </c>
      <c r="F341" s="212" t="str">
        <f t="shared" ca="1" si="34"/>
        <v/>
      </c>
      <c r="G341" s="212" t="str">
        <f t="shared" ca="1" si="34"/>
        <v/>
      </c>
      <c r="H341" s="212" t="str">
        <f t="shared" ca="1" si="34"/>
        <v/>
      </c>
      <c r="I341" s="212" t="str">
        <f t="shared" ca="1" si="35"/>
        <v/>
      </c>
      <c r="J341" s="212" t="str">
        <f t="shared" ca="1" si="35"/>
        <v/>
      </c>
    </row>
    <row r="342" spans="2:10" x14ac:dyDescent="0.15">
      <c r="B342" s="213" t="str">
        <f t="shared" si="36"/>
        <v/>
      </c>
      <c r="C342" s="228" t="str">
        <f t="shared" si="33"/>
        <v/>
      </c>
      <c r="D342" s="212" t="str">
        <f t="shared" si="32"/>
        <v/>
      </c>
      <c r="E342" s="212" t="str">
        <f t="shared" ca="1" si="34"/>
        <v/>
      </c>
      <c r="F342" s="212" t="str">
        <f t="shared" ca="1" si="34"/>
        <v/>
      </c>
      <c r="G342" s="212" t="str">
        <f t="shared" ca="1" si="34"/>
        <v/>
      </c>
      <c r="H342" s="212" t="str">
        <f t="shared" ca="1" si="34"/>
        <v/>
      </c>
      <c r="I342" s="212" t="str">
        <f t="shared" ca="1" si="35"/>
        <v/>
      </c>
      <c r="J342" s="212" t="str">
        <f t="shared" ca="1" si="35"/>
        <v/>
      </c>
    </row>
    <row r="343" spans="2:10" x14ac:dyDescent="0.15">
      <c r="B343" s="213" t="str">
        <f t="shared" si="36"/>
        <v/>
      </c>
      <c r="C343" s="228" t="str">
        <f t="shared" si="33"/>
        <v/>
      </c>
      <c r="D343" s="212" t="str">
        <f t="shared" si="32"/>
        <v/>
      </c>
      <c r="E343" s="212" t="str">
        <f t="shared" ca="1" si="34"/>
        <v/>
      </c>
      <c r="F343" s="212" t="str">
        <f t="shared" ca="1" si="34"/>
        <v/>
      </c>
      <c r="G343" s="212" t="str">
        <f t="shared" ca="1" si="34"/>
        <v/>
      </c>
      <c r="H343" s="212" t="str">
        <f t="shared" ca="1" si="34"/>
        <v/>
      </c>
      <c r="I343" s="212" t="str">
        <f t="shared" ca="1" si="35"/>
        <v/>
      </c>
      <c r="J343" s="212" t="str">
        <f t="shared" ca="1" si="35"/>
        <v/>
      </c>
    </row>
    <row r="344" spans="2:10" x14ac:dyDescent="0.15">
      <c r="B344" s="213" t="str">
        <f t="shared" si="36"/>
        <v/>
      </c>
      <c r="C344" s="228" t="str">
        <f t="shared" si="33"/>
        <v/>
      </c>
      <c r="D344" s="212" t="str">
        <f t="shared" si="32"/>
        <v/>
      </c>
      <c r="E344" s="212" t="str">
        <f t="shared" ca="1" si="34"/>
        <v/>
      </c>
      <c r="F344" s="212" t="str">
        <f t="shared" ca="1" si="34"/>
        <v/>
      </c>
      <c r="G344" s="212" t="str">
        <f t="shared" ca="1" si="34"/>
        <v/>
      </c>
      <c r="H344" s="212" t="str">
        <f t="shared" ca="1" si="34"/>
        <v/>
      </c>
      <c r="I344" s="212" t="str">
        <f t="shared" ca="1" si="35"/>
        <v/>
      </c>
      <c r="J344" s="212" t="str">
        <f t="shared" ca="1" si="35"/>
        <v/>
      </c>
    </row>
    <row r="345" spans="2:10" x14ac:dyDescent="0.15">
      <c r="B345" s="213" t="str">
        <f t="shared" si="36"/>
        <v/>
      </c>
      <c r="C345" s="228" t="str">
        <f t="shared" si="33"/>
        <v/>
      </c>
      <c r="D345" s="212" t="str">
        <f t="shared" si="32"/>
        <v/>
      </c>
      <c r="E345" s="212" t="str">
        <f t="shared" ca="1" si="34"/>
        <v/>
      </c>
      <c r="F345" s="212" t="str">
        <f t="shared" ca="1" si="34"/>
        <v/>
      </c>
      <c r="G345" s="212" t="str">
        <f t="shared" ca="1" si="34"/>
        <v/>
      </c>
      <c r="H345" s="212" t="str">
        <f t="shared" ca="1" si="34"/>
        <v/>
      </c>
      <c r="I345" s="212" t="str">
        <f t="shared" ca="1" si="35"/>
        <v/>
      </c>
      <c r="J345" s="212" t="str">
        <f t="shared" ca="1" si="35"/>
        <v/>
      </c>
    </row>
    <row r="346" spans="2:10" x14ac:dyDescent="0.15">
      <c r="B346" s="213" t="str">
        <f t="shared" si="36"/>
        <v/>
      </c>
      <c r="C346" s="228" t="str">
        <f t="shared" si="33"/>
        <v/>
      </c>
      <c r="D346" s="212" t="str">
        <f t="shared" ref="D346:D409" si="37">IF(B346="","",IF(B347="",SUMIFS(Amount,Timestamp,"&gt;="&amp;B346),SUMIFS(Amount,Timestamp,"&gt;="&amp;B346,Timestamp,"&lt;"&amp;B347)))</f>
        <v/>
      </c>
      <c r="E346" s="212" t="str">
        <f t="shared" ca="1" si="34"/>
        <v/>
      </c>
      <c r="F346" s="212" t="str">
        <f t="shared" ca="1" si="34"/>
        <v/>
      </c>
      <c r="G346" s="212" t="str">
        <f t="shared" ca="1" si="34"/>
        <v/>
      </c>
      <c r="H346" s="212" t="str">
        <f t="shared" ref="H346:J409" ca="1" si="38">IF($B346="","",IF($B346+H$24-1&gt;$E$5,"",SUM(OFFSET($D346,0,0,H$24,1))))</f>
        <v/>
      </c>
      <c r="I346" s="212" t="str">
        <f t="shared" ca="1" si="35"/>
        <v/>
      </c>
      <c r="J346" s="212" t="str">
        <f t="shared" ca="1" si="35"/>
        <v/>
      </c>
    </row>
    <row r="347" spans="2:10" x14ac:dyDescent="0.15">
      <c r="B347" s="213" t="str">
        <f t="shared" si="36"/>
        <v/>
      </c>
      <c r="C347" s="228" t="str">
        <f t="shared" ref="C347:C410" si="39">IF(B347="","",TEXT(B347,"dddd"))</f>
        <v/>
      </c>
      <c r="D347" s="212" t="str">
        <f t="shared" si="37"/>
        <v/>
      </c>
      <c r="E347" s="212" t="str">
        <f t="shared" ref="E347:J410" ca="1" si="40">IF($B347="","",IF($B347+E$24-1&gt;$E$5,"",SUM(OFFSET($D347,0,0,E$24,1))))</f>
        <v/>
      </c>
      <c r="F347" s="212" t="str">
        <f t="shared" ca="1" si="40"/>
        <v/>
      </c>
      <c r="G347" s="212" t="str">
        <f t="shared" ca="1" si="40"/>
        <v/>
      </c>
      <c r="H347" s="212" t="str">
        <f t="shared" ca="1" si="38"/>
        <v/>
      </c>
      <c r="I347" s="212" t="str">
        <f t="shared" ca="1" si="38"/>
        <v/>
      </c>
      <c r="J347" s="212" t="str">
        <f t="shared" ca="1" si="38"/>
        <v/>
      </c>
    </row>
    <row r="348" spans="2:10" x14ac:dyDescent="0.15">
      <c r="B348" s="213" t="str">
        <f t="shared" si="36"/>
        <v/>
      </c>
      <c r="C348" s="228" t="str">
        <f t="shared" si="39"/>
        <v/>
      </c>
      <c r="D348" s="212" t="str">
        <f t="shared" si="37"/>
        <v/>
      </c>
      <c r="E348" s="212" t="str">
        <f t="shared" ca="1" si="40"/>
        <v/>
      </c>
      <c r="F348" s="212" t="str">
        <f t="shared" ca="1" si="40"/>
        <v/>
      </c>
      <c r="G348" s="212" t="str">
        <f t="shared" ca="1" si="40"/>
        <v/>
      </c>
      <c r="H348" s="212" t="str">
        <f t="shared" ca="1" si="38"/>
        <v/>
      </c>
      <c r="I348" s="212" t="str">
        <f t="shared" ca="1" si="38"/>
        <v/>
      </c>
      <c r="J348" s="212" t="str">
        <f t="shared" ca="1" si="38"/>
        <v/>
      </c>
    </row>
    <row r="349" spans="2:10" x14ac:dyDescent="0.15">
      <c r="B349" s="213" t="str">
        <f t="shared" si="36"/>
        <v/>
      </c>
      <c r="C349" s="228" t="str">
        <f t="shared" si="39"/>
        <v/>
      </c>
      <c r="D349" s="212" t="str">
        <f t="shared" si="37"/>
        <v/>
      </c>
      <c r="E349" s="212" t="str">
        <f t="shared" ca="1" si="40"/>
        <v/>
      </c>
      <c r="F349" s="212" t="str">
        <f t="shared" ca="1" si="40"/>
        <v/>
      </c>
      <c r="G349" s="212" t="str">
        <f t="shared" ca="1" si="40"/>
        <v/>
      </c>
      <c r="H349" s="212" t="str">
        <f t="shared" ca="1" si="38"/>
        <v/>
      </c>
      <c r="I349" s="212" t="str">
        <f t="shared" ca="1" si="38"/>
        <v/>
      </c>
      <c r="J349" s="212" t="str">
        <f t="shared" ca="1" si="38"/>
        <v/>
      </c>
    </row>
    <row r="350" spans="2:10" x14ac:dyDescent="0.15">
      <c r="B350" s="213" t="str">
        <f t="shared" si="36"/>
        <v/>
      </c>
      <c r="C350" s="228" t="str">
        <f t="shared" si="39"/>
        <v/>
      </c>
      <c r="D350" s="212" t="str">
        <f t="shared" si="37"/>
        <v/>
      </c>
      <c r="E350" s="212" t="str">
        <f t="shared" ca="1" si="40"/>
        <v/>
      </c>
      <c r="F350" s="212" t="str">
        <f t="shared" ca="1" si="40"/>
        <v/>
      </c>
      <c r="G350" s="212" t="str">
        <f t="shared" ca="1" si="40"/>
        <v/>
      </c>
      <c r="H350" s="212" t="str">
        <f t="shared" ca="1" si="38"/>
        <v/>
      </c>
      <c r="I350" s="212" t="str">
        <f t="shared" ca="1" si="38"/>
        <v/>
      </c>
      <c r="J350" s="212" t="str">
        <f t="shared" ca="1" si="38"/>
        <v/>
      </c>
    </row>
    <row r="351" spans="2:10" x14ac:dyDescent="0.15">
      <c r="B351" s="213" t="str">
        <f t="shared" si="36"/>
        <v/>
      </c>
      <c r="C351" s="228" t="str">
        <f t="shared" si="39"/>
        <v/>
      </c>
      <c r="D351" s="212" t="str">
        <f t="shared" si="37"/>
        <v/>
      </c>
      <c r="E351" s="212" t="str">
        <f t="shared" ca="1" si="40"/>
        <v/>
      </c>
      <c r="F351" s="212" t="str">
        <f t="shared" ca="1" si="40"/>
        <v/>
      </c>
      <c r="G351" s="212" t="str">
        <f t="shared" ca="1" si="40"/>
        <v/>
      </c>
      <c r="H351" s="212" t="str">
        <f t="shared" ca="1" si="38"/>
        <v/>
      </c>
      <c r="I351" s="212" t="str">
        <f t="shared" ca="1" si="38"/>
        <v/>
      </c>
      <c r="J351" s="212" t="str">
        <f t="shared" ca="1" si="38"/>
        <v/>
      </c>
    </row>
    <row r="352" spans="2:10" x14ac:dyDescent="0.15">
      <c r="B352" s="213" t="str">
        <f t="shared" si="36"/>
        <v/>
      </c>
      <c r="C352" s="228" t="str">
        <f t="shared" si="39"/>
        <v/>
      </c>
      <c r="D352" s="212" t="str">
        <f t="shared" si="37"/>
        <v/>
      </c>
      <c r="E352" s="212" t="str">
        <f t="shared" ca="1" si="40"/>
        <v/>
      </c>
      <c r="F352" s="212" t="str">
        <f t="shared" ca="1" si="40"/>
        <v/>
      </c>
      <c r="G352" s="212" t="str">
        <f t="shared" ca="1" si="40"/>
        <v/>
      </c>
      <c r="H352" s="212" t="str">
        <f t="shared" ca="1" si="38"/>
        <v/>
      </c>
      <c r="I352" s="212" t="str">
        <f t="shared" ca="1" si="38"/>
        <v/>
      </c>
      <c r="J352" s="212" t="str">
        <f t="shared" ca="1" si="38"/>
        <v/>
      </c>
    </row>
    <row r="353" spans="2:10" x14ac:dyDescent="0.15">
      <c r="B353" s="213" t="str">
        <f t="shared" si="36"/>
        <v/>
      </c>
      <c r="C353" s="228" t="str">
        <f t="shared" si="39"/>
        <v/>
      </c>
      <c r="D353" s="212" t="str">
        <f t="shared" si="37"/>
        <v/>
      </c>
      <c r="E353" s="212" t="str">
        <f t="shared" ca="1" si="40"/>
        <v/>
      </c>
      <c r="F353" s="212" t="str">
        <f t="shared" ca="1" si="40"/>
        <v/>
      </c>
      <c r="G353" s="212" t="str">
        <f t="shared" ca="1" si="40"/>
        <v/>
      </c>
      <c r="H353" s="212" t="str">
        <f t="shared" ca="1" si="38"/>
        <v/>
      </c>
      <c r="I353" s="212" t="str">
        <f t="shared" ca="1" si="38"/>
        <v/>
      </c>
      <c r="J353" s="212" t="str">
        <f t="shared" ca="1" si="38"/>
        <v/>
      </c>
    </row>
    <row r="354" spans="2:10" x14ac:dyDescent="0.15">
      <c r="B354" s="213" t="str">
        <f t="shared" si="36"/>
        <v/>
      </c>
      <c r="C354" s="228" t="str">
        <f t="shared" si="39"/>
        <v/>
      </c>
      <c r="D354" s="212" t="str">
        <f t="shared" si="37"/>
        <v/>
      </c>
      <c r="E354" s="212" t="str">
        <f t="shared" ca="1" si="40"/>
        <v/>
      </c>
      <c r="F354" s="212" t="str">
        <f t="shared" ca="1" si="40"/>
        <v/>
      </c>
      <c r="G354" s="212" t="str">
        <f t="shared" ca="1" si="40"/>
        <v/>
      </c>
      <c r="H354" s="212" t="str">
        <f t="shared" ca="1" si="38"/>
        <v/>
      </c>
      <c r="I354" s="212" t="str">
        <f t="shared" ca="1" si="38"/>
        <v/>
      </c>
      <c r="J354" s="212" t="str">
        <f t="shared" ca="1" si="38"/>
        <v/>
      </c>
    </row>
    <row r="355" spans="2:10" x14ac:dyDescent="0.15">
      <c r="B355" s="213" t="str">
        <f t="shared" ref="B355:B418" si="41">IF(B354="","",IF(B354&gt;=$E$5,"",B354+1))</f>
        <v/>
      </c>
      <c r="C355" s="228" t="str">
        <f t="shared" si="39"/>
        <v/>
      </c>
      <c r="D355" s="212" t="str">
        <f t="shared" si="37"/>
        <v/>
      </c>
      <c r="E355" s="212" t="str">
        <f t="shared" ca="1" si="40"/>
        <v/>
      </c>
      <c r="F355" s="212" t="str">
        <f t="shared" ca="1" si="40"/>
        <v/>
      </c>
      <c r="G355" s="212" t="str">
        <f t="shared" ca="1" si="40"/>
        <v/>
      </c>
      <c r="H355" s="212" t="str">
        <f t="shared" ca="1" si="38"/>
        <v/>
      </c>
      <c r="I355" s="212" t="str">
        <f t="shared" ca="1" si="38"/>
        <v/>
      </c>
      <c r="J355" s="212" t="str">
        <f t="shared" ca="1" si="38"/>
        <v/>
      </c>
    </row>
    <row r="356" spans="2:10" x14ac:dyDescent="0.15">
      <c r="B356" s="213" t="str">
        <f t="shared" si="41"/>
        <v/>
      </c>
      <c r="C356" s="228" t="str">
        <f t="shared" si="39"/>
        <v/>
      </c>
      <c r="D356" s="212" t="str">
        <f t="shared" si="37"/>
        <v/>
      </c>
      <c r="E356" s="212" t="str">
        <f t="shared" ca="1" si="40"/>
        <v/>
      </c>
      <c r="F356" s="212" t="str">
        <f t="shared" ca="1" si="40"/>
        <v/>
      </c>
      <c r="G356" s="212" t="str">
        <f t="shared" ca="1" si="40"/>
        <v/>
      </c>
      <c r="H356" s="212" t="str">
        <f t="shared" ca="1" si="38"/>
        <v/>
      </c>
      <c r="I356" s="212" t="str">
        <f t="shared" ca="1" si="38"/>
        <v/>
      </c>
      <c r="J356" s="212" t="str">
        <f t="shared" ca="1" si="38"/>
        <v/>
      </c>
    </row>
    <row r="357" spans="2:10" x14ac:dyDescent="0.15">
      <c r="B357" s="213" t="str">
        <f t="shared" si="41"/>
        <v/>
      </c>
      <c r="C357" s="228" t="str">
        <f t="shared" si="39"/>
        <v/>
      </c>
      <c r="D357" s="212" t="str">
        <f t="shared" si="37"/>
        <v/>
      </c>
      <c r="E357" s="212" t="str">
        <f t="shared" ca="1" si="40"/>
        <v/>
      </c>
      <c r="F357" s="212" t="str">
        <f t="shared" ca="1" si="40"/>
        <v/>
      </c>
      <c r="G357" s="212" t="str">
        <f t="shared" ca="1" si="40"/>
        <v/>
      </c>
      <c r="H357" s="212" t="str">
        <f t="shared" ca="1" si="38"/>
        <v/>
      </c>
      <c r="I357" s="212" t="str">
        <f t="shared" ca="1" si="38"/>
        <v/>
      </c>
      <c r="J357" s="212" t="str">
        <f t="shared" ca="1" si="38"/>
        <v/>
      </c>
    </row>
    <row r="358" spans="2:10" x14ac:dyDescent="0.15">
      <c r="B358" s="213" t="str">
        <f t="shared" si="41"/>
        <v/>
      </c>
      <c r="C358" s="228" t="str">
        <f t="shared" si="39"/>
        <v/>
      </c>
      <c r="D358" s="212" t="str">
        <f t="shared" si="37"/>
        <v/>
      </c>
      <c r="E358" s="212" t="str">
        <f t="shared" ca="1" si="40"/>
        <v/>
      </c>
      <c r="F358" s="212" t="str">
        <f t="shared" ca="1" si="40"/>
        <v/>
      </c>
      <c r="G358" s="212" t="str">
        <f t="shared" ca="1" si="40"/>
        <v/>
      </c>
      <c r="H358" s="212" t="str">
        <f t="shared" ca="1" si="38"/>
        <v/>
      </c>
      <c r="I358" s="212" t="str">
        <f t="shared" ca="1" si="38"/>
        <v/>
      </c>
      <c r="J358" s="212" t="str">
        <f t="shared" ca="1" si="38"/>
        <v/>
      </c>
    </row>
    <row r="359" spans="2:10" x14ac:dyDescent="0.15">
      <c r="B359" s="213" t="str">
        <f t="shared" si="41"/>
        <v/>
      </c>
      <c r="C359" s="228" t="str">
        <f t="shared" si="39"/>
        <v/>
      </c>
      <c r="D359" s="212" t="str">
        <f t="shared" si="37"/>
        <v/>
      </c>
      <c r="E359" s="212" t="str">
        <f t="shared" ca="1" si="40"/>
        <v/>
      </c>
      <c r="F359" s="212" t="str">
        <f t="shared" ca="1" si="40"/>
        <v/>
      </c>
      <c r="G359" s="212" t="str">
        <f t="shared" ca="1" si="40"/>
        <v/>
      </c>
      <c r="H359" s="212" t="str">
        <f t="shared" ca="1" si="38"/>
        <v/>
      </c>
      <c r="I359" s="212" t="str">
        <f t="shared" ca="1" si="38"/>
        <v/>
      </c>
      <c r="J359" s="212" t="str">
        <f t="shared" ca="1" si="38"/>
        <v/>
      </c>
    </row>
    <row r="360" spans="2:10" x14ac:dyDescent="0.15">
      <c r="B360" s="213" t="str">
        <f t="shared" si="41"/>
        <v/>
      </c>
      <c r="C360" s="228" t="str">
        <f t="shared" si="39"/>
        <v/>
      </c>
      <c r="D360" s="212" t="str">
        <f t="shared" si="37"/>
        <v/>
      </c>
      <c r="E360" s="212" t="str">
        <f t="shared" ca="1" si="40"/>
        <v/>
      </c>
      <c r="F360" s="212" t="str">
        <f t="shared" ca="1" si="40"/>
        <v/>
      </c>
      <c r="G360" s="212" t="str">
        <f t="shared" ca="1" si="40"/>
        <v/>
      </c>
      <c r="H360" s="212" t="str">
        <f t="shared" ca="1" si="38"/>
        <v/>
      </c>
      <c r="I360" s="212" t="str">
        <f t="shared" ca="1" si="38"/>
        <v/>
      </c>
      <c r="J360" s="212" t="str">
        <f t="shared" ca="1" si="38"/>
        <v/>
      </c>
    </row>
    <row r="361" spans="2:10" x14ac:dyDescent="0.15">
      <c r="B361" s="213" t="str">
        <f t="shared" si="41"/>
        <v/>
      </c>
      <c r="C361" s="228" t="str">
        <f t="shared" si="39"/>
        <v/>
      </c>
      <c r="D361" s="212" t="str">
        <f t="shared" si="37"/>
        <v/>
      </c>
      <c r="E361" s="212" t="str">
        <f t="shared" ca="1" si="40"/>
        <v/>
      </c>
      <c r="F361" s="212" t="str">
        <f t="shared" ca="1" si="40"/>
        <v/>
      </c>
      <c r="G361" s="212" t="str">
        <f t="shared" ca="1" si="40"/>
        <v/>
      </c>
      <c r="H361" s="212" t="str">
        <f t="shared" ca="1" si="38"/>
        <v/>
      </c>
      <c r="I361" s="212" t="str">
        <f t="shared" ca="1" si="38"/>
        <v/>
      </c>
      <c r="J361" s="212" t="str">
        <f t="shared" ca="1" si="38"/>
        <v/>
      </c>
    </row>
    <row r="362" spans="2:10" x14ac:dyDescent="0.15">
      <c r="B362" s="213" t="str">
        <f t="shared" si="41"/>
        <v/>
      </c>
      <c r="C362" s="228" t="str">
        <f t="shared" si="39"/>
        <v/>
      </c>
      <c r="D362" s="212" t="str">
        <f t="shared" si="37"/>
        <v/>
      </c>
      <c r="E362" s="212" t="str">
        <f t="shared" ca="1" si="40"/>
        <v/>
      </c>
      <c r="F362" s="212" t="str">
        <f t="shared" ca="1" si="40"/>
        <v/>
      </c>
      <c r="G362" s="212" t="str">
        <f t="shared" ca="1" si="40"/>
        <v/>
      </c>
      <c r="H362" s="212" t="str">
        <f t="shared" ca="1" si="38"/>
        <v/>
      </c>
      <c r="I362" s="212" t="str">
        <f t="shared" ca="1" si="38"/>
        <v/>
      </c>
      <c r="J362" s="212" t="str">
        <f t="shared" ca="1" si="38"/>
        <v/>
      </c>
    </row>
    <row r="363" spans="2:10" x14ac:dyDescent="0.15">
      <c r="B363" s="213" t="str">
        <f t="shared" si="41"/>
        <v/>
      </c>
      <c r="C363" s="228" t="str">
        <f t="shared" si="39"/>
        <v/>
      </c>
      <c r="D363" s="212" t="str">
        <f t="shared" si="37"/>
        <v/>
      </c>
      <c r="E363" s="212" t="str">
        <f t="shared" ca="1" si="40"/>
        <v/>
      </c>
      <c r="F363" s="212" t="str">
        <f t="shared" ca="1" si="40"/>
        <v/>
      </c>
      <c r="G363" s="212" t="str">
        <f t="shared" ca="1" si="40"/>
        <v/>
      </c>
      <c r="H363" s="212" t="str">
        <f t="shared" ca="1" si="38"/>
        <v/>
      </c>
      <c r="I363" s="212" t="str">
        <f t="shared" ca="1" si="38"/>
        <v/>
      </c>
      <c r="J363" s="212" t="str">
        <f t="shared" ca="1" si="38"/>
        <v/>
      </c>
    </row>
    <row r="364" spans="2:10" x14ac:dyDescent="0.15">
      <c r="B364" s="213" t="str">
        <f t="shared" si="41"/>
        <v/>
      </c>
      <c r="C364" s="228" t="str">
        <f t="shared" si="39"/>
        <v/>
      </c>
      <c r="D364" s="212" t="str">
        <f t="shared" si="37"/>
        <v/>
      </c>
      <c r="E364" s="212" t="str">
        <f t="shared" ca="1" si="40"/>
        <v/>
      </c>
      <c r="F364" s="212" t="str">
        <f t="shared" ca="1" si="40"/>
        <v/>
      </c>
      <c r="G364" s="212" t="str">
        <f t="shared" ca="1" si="40"/>
        <v/>
      </c>
      <c r="H364" s="212" t="str">
        <f t="shared" ca="1" si="38"/>
        <v/>
      </c>
      <c r="I364" s="212" t="str">
        <f t="shared" ca="1" si="38"/>
        <v/>
      </c>
      <c r="J364" s="212" t="str">
        <f t="shared" ca="1" si="38"/>
        <v/>
      </c>
    </row>
    <row r="365" spans="2:10" x14ac:dyDescent="0.15">
      <c r="B365" s="213" t="str">
        <f t="shared" si="41"/>
        <v/>
      </c>
      <c r="C365" s="228" t="str">
        <f t="shared" si="39"/>
        <v/>
      </c>
      <c r="D365" s="212" t="str">
        <f t="shared" si="37"/>
        <v/>
      </c>
      <c r="E365" s="212" t="str">
        <f t="shared" ca="1" si="40"/>
        <v/>
      </c>
      <c r="F365" s="212" t="str">
        <f t="shared" ca="1" si="40"/>
        <v/>
      </c>
      <c r="G365" s="212" t="str">
        <f t="shared" ca="1" si="40"/>
        <v/>
      </c>
      <c r="H365" s="212" t="str">
        <f t="shared" ca="1" si="38"/>
        <v/>
      </c>
      <c r="I365" s="212" t="str">
        <f t="shared" ca="1" si="38"/>
        <v/>
      </c>
      <c r="J365" s="212" t="str">
        <f t="shared" ca="1" si="38"/>
        <v/>
      </c>
    </row>
    <row r="366" spans="2:10" x14ac:dyDescent="0.15">
      <c r="B366" s="213" t="str">
        <f t="shared" si="41"/>
        <v/>
      </c>
      <c r="C366" s="228" t="str">
        <f t="shared" si="39"/>
        <v/>
      </c>
      <c r="D366" s="212" t="str">
        <f t="shared" si="37"/>
        <v/>
      </c>
      <c r="E366" s="212" t="str">
        <f t="shared" ca="1" si="40"/>
        <v/>
      </c>
      <c r="F366" s="212" t="str">
        <f t="shared" ca="1" si="40"/>
        <v/>
      </c>
      <c r="G366" s="212" t="str">
        <f t="shared" ca="1" si="40"/>
        <v/>
      </c>
      <c r="H366" s="212" t="str">
        <f t="shared" ca="1" si="38"/>
        <v/>
      </c>
      <c r="I366" s="212" t="str">
        <f t="shared" ca="1" si="38"/>
        <v/>
      </c>
      <c r="J366" s="212" t="str">
        <f t="shared" ca="1" si="38"/>
        <v/>
      </c>
    </row>
    <row r="367" spans="2:10" x14ac:dyDescent="0.15">
      <c r="B367" s="213" t="str">
        <f t="shared" si="41"/>
        <v/>
      </c>
      <c r="C367" s="228" t="str">
        <f t="shared" si="39"/>
        <v/>
      </c>
      <c r="D367" s="212" t="str">
        <f t="shared" si="37"/>
        <v/>
      </c>
      <c r="E367" s="212" t="str">
        <f t="shared" ca="1" si="40"/>
        <v/>
      </c>
      <c r="F367" s="212" t="str">
        <f t="shared" ca="1" si="40"/>
        <v/>
      </c>
      <c r="G367" s="212" t="str">
        <f t="shared" ca="1" si="40"/>
        <v/>
      </c>
      <c r="H367" s="212" t="str">
        <f t="shared" ca="1" si="38"/>
        <v/>
      </c>
      <c r="I367" s="212" t="str">
        <f t="shared" ca="1" si="38"/>
        <v/>
      </c>
      <c r="J367" s="212" t="str">
        <f t="shared" ca="1" si="38"/>
        <v/>
      </c>
    </row>
    <row r="368" spans="2:10" x14ac:dyDescent="0.15">
      <c r="B368" s="213" t="str">
        <f t="shared" si="41"/>
        <v/>
      </c>
      <c r="C368" s="228" t="str">
        <f t="shared" si="39"/>
        <v/>
      </c>
      <c r="D368" s="212" t="str">
        <f t="shared" si="37"/>
        <v/>
      </c>
      <c r="E368" s="212" t="str">
        <f t="shared" ca="1" si="40"/>
        <v/>
      </c>
      <c r="F368" s="212" t="str">
        <f t="shared" ca="1" si="40"/>
        <v/>
      </c>
      <c r="G368" s="212" t="str">
        <f t="shared" ca="1" si="40"/>
        <v/>
      </c>
      <c r="H368" s="212" t="str">
        <f t="shared" ca="1" si="38"/>
        <v/>
      </c>
      <c r="I368" s="212" t="str">
        <f t="shared" ca="1" si="38"/>
        <v/>
      </c>
      <c r="J368" s="212" t="str">
        <f t="shared" ca="1" si="38"/>
        <v/>
      </c>
    </row>
    <row r="369" spans="2:10" x14ac:dyDescent="0.15">
      <c r="B369" s="213" t="str">
        <f t="shared" si="41"/>
        <v/>
      </c>
      <c r="C369" s="228" t="str">
        <f t="shared" si="39"/>
        <v/>
      </c>
      <c r="D369" s="212" t="str">
        <f t="shared" si="37"/>
        <v/>
      </c>
      <c r="E369" s="212" t="str">
        <f t="shared" ca="1" si="40"/>
        <v/>
      </c>
      <c r="F369" s="212" t="str">
        <f t="shared" ca="1" si="40"/>
        <v/>
      </c>
      <c r="G369" s="212" t="str">
        <f t="shared" ca="1" si="40"/>
        <v/>
      </c>
      <c r="H369" s="212" t="str">
        <f t="shared" ca="1" si="38"/>
        <v/>
      </c>
      <c r="I369" s="212" t="str">
        <f t="shared" ca="1" si="38"/>
        <v/>
      </c>
      <c r="J369" s="212" t="str">
        <f t="shared" ca="1" si="38"/>
        <v/>
      </c>
    </row>
    <row r="370" spans="2:10" x14ac:dyDescent="0.15">
      <c r="B370" s="213" t="str">
        <f t="shared" si="41"/>
        <v/>
      </c>
      <c r="C370" s="228" t="str">
        <f t="shared" si="39"/>
        <v/>
      </c>
      <c r="D370" s="212" t="str">
        <f t="shared" si="37"/>
        <v/>
      </c>
      <c r="E370" s="212" t="str">
        <f t="shared" ca="1" si="40"/>
        <v/>
      </c>
      <c r="F370" s="212" t="str">
        <f t="shared" ca="1" si="40"/>
        <v/>
      </c>
      <c r="G370" s="212" t="str">
        <f t="shared" ca="1" si="40"/>
        <v/>
      </c>
      <c r="H370" s="212" t="str">
        <f t="shared" ca="1" si="38"/>
        <v/>
      </c>
      <c r="I370" s="212" t="str">
        <f t="shared" ca="1" si="38"/>
        <v/>
      </c>
      <c r="J370" s="212" t="str">
        <f t="shared" ca="1" si="38"/>
        <v/>
      </c>
    </row>
    <row r="371" spans="2:10" x14ac:dyDescent="0.15">
      <c r="B371" s="213" t="str">
        <f t="shared" si="41"/>
        <v/>
      </c>
      <c r="C371" s="228" t="str">
        <f t="shared" si="39"/>
        <v/>
      </c>
      <c r="D371" s="212" t="str">
        <f t="shared" si="37"/>
        <v/>
      </c>
      <c r="E371" s="212" t="str">
        <f t="shared" ca="1" si="40"/>
        <v/>
      </c>
      <c r="F371" s="212" t="str">
        <f t="shared" ca="1" si="40"/>
        <v/>
      </c>
      <c r="G371" s="212" t="str">
        <f t="shared" ca="1" si="40"/>
        <v/>
      </c>
      <c r="H371" s="212" t="str">
        <f t="shared" ca="1" si="38"/>
        <v/>
      </c>
      <c r="I371" s="212" t="str">
        <f t="shared" ca="1" si="38"/>
        <v/>
      </c>
      <c r="J371" s="212" t="str">
        <f t="shared" ca="1" si="38"/>
        <v/>
      </c>
    </row>
    <row r="372" spans="2:10" x14ac:dyDescent="0.15">
      <c r="B372" s="213" t="str">
        <f t="shared" si="41"/>
        <v/>
      </c>
      <c r="C372" s="228" t="str">
        <f t="shared" si="39"/>
        <v/>
      </c>
      <c r="D372" s="212" t="str">
        <f t="shared" si="37"/>
        <v/>
      </c>
      <c r="E372" s="212" t="str">
        <f t="shared" ca="1" si="40"/>
        <v/>
      </c>
      <c r="F372" s="212" t="str">
        <f t="shared" ca="1" si="40"/>
        <v/>
      </c>
      <c r="G372" s="212" t="str">
        <f t="shared" ca="1" si="40"/>
        <v/>
      </c>
      <c r="H372" s="212" t="str">
        <f t="shared" ca="1" si="38"/>
        <v/>
      </c>
      <c r="I372" s="212" t="str">
        <f t="shared" ca="1" si="38"/>
        <v/>
      </c>
      <c r="J372" s="212" t="str">
        <f t="shared" ca="1" si="38"/>
        <v/>
      </c>
    </row>
    <row r="373" spans="2:10" x14ac:dyDescent="0.15">
      <c r="B373" s="213" t="str">
        <f t="shared" si="41"/>
        <v/>
      </c>
      <c r="C373" s="228" t="str">
        <f t="shared" si="39"/>
        <v/>
      </c>
      <c r="D373" s="212" t="str">
        <f t="shared" si="37"/>
        <v/>
      </c>
      <c r="E373" s="212" t="str">
        <f t="shared" ca="1" si="40"/>
        <v/>
      </c>
      <c r="F373" s="212" t="str">
        <f t="shared" ca="1" si="40"/>
        <v/>
      </c>
      <c r="G373" s="212" t="str">
        <f t="shared" ca="1" si="40"/>
        <v/>
      </c>
      <c r="H373" s="212" t="str">
        <f t="shared" ca="1" si="38"/>
        <v/>
      </c>
      <c r="I373" s="212" t="str">
        <f t="shared" ca="1" si="38"/>
        <v/>
      </c>
      <c r="J373" s="212" t="str">
        <f t="shared" ca="1" si="38"/>
        <v/>
      </c>
    </row>
    <row r="374" spans="2:10" x14ac:dyDescent="0.15">
      <c r="B374" s="213" t="str">
        <f t="shared" si="41"/>
        <v/>
      </c>
      <c r="C374" s="228" t="str">
        <f t="shared" si="39"/>
        <v/>
      </c>
      <c r="D374" s="212" t="str">
        <f t="shared" si="37"/>
        <v/>
      </c>
      <c r="E374" s="212" t="str">
        <f t="shared" ca="1" si="40"/>
        <v/>
      </c>
      <c r="F374" s="212" t="str">
        <f t="shared" ca="1" si="40"/>
        <v/>
      </c>
      <c r="G374" s="212" t="str">
        <f t="shared" ca="1" si="40"/>
        <v/>
      </c>
      <c r="H374" s="212" t="str">
        <f t="shared" ca="1" si="38"/>
        <v/>
      </c>
      <c r="I374" s="212" t="str">
        <f t="shared" ca="1" si="38"/>
        <v/>
      </c>
      <c r="J374" s="212" t="str">
        <f t="shared" ca="1" si="38"/>
        <v/>
      </c>
    </row>
    <row r="375" spans="2:10" x14ac:dyDescent="0.15">
      <c r="B375" s="213" t="str">
        <f t="shared" si="41"/>
        <v/>
      </c>
      <c r="C375" s="228" t="str">
        <f t="shared" si="39"/>
        <v/>
      </c>
      <c r="D375" s="212" t="str">
        <f t="shared" si="37"/>
        <v/>
      </c>
      <c r="E375" s="212" t="str">
        <f t="shared" ca="1" si="40"/>
        <v/>
      </c>
      <c r="F375" s="212" t="str">
        <f t="shared" ca="1" si="40"/>
        <v/>
      </c>
      <c r="G375" s="212" t="str">
        <f t="shared" ca="1" si="40"/>
        <v/>
      </c>
      <c r="H375" s="212" t="str">
        <f t="shared" ca="1" si="38"/>
        <v/>
      </c>
      <c r="I375" s="212" t="str">
        <f t="shared" ca="1" si="38"/>
        <v/>
      </c>
      <c r="J375" s="212" t="str">
        <f t="shared" ca="1" si="38"/>
        <v/>
      </c>
    </row>
    <row r="376" spans="2:10" x14ac:dyDescent="0.15">
      <c r="B376" s="213" t="str">
        <f t="shared" si="41"/>
        <v/>
      </c>
      <c r="C376" s="228" t="str">
        <f t="shared" si="39"/>
        <v/>
      </c>
      <c r="D376" s="212" t="str">
        <f t="shared" si="37"/>
        <v/>
      </c>
      <c r="E376" s="212" t="str">
        <f t="shared" ca="1" si="40"/>
        <v/>
      </c>
      <c r="F376" s="212" t="str">
        <f t="shared" ca="1" si="40"/>
        <v/>
      </c>
      <c r="G376" s="212" t="str">
        <f t="shared" ca="1" si="40"/>
        <v/>
      </c>
      <c r="H376" s="212" t="str">
        <f t="shared" ca="1" si="38"/>
        <v/>
      </c>
      <c r="I376" s="212" t="str">
        <f t="shared" ca="1" si="38"/>
        <v/>
      </c>
      <c r="J376" s="212" t="str">
        <f t="shared" ca="1" si="38"/>
        <v/>
      </c>
    </row>
    <row r="377" spans="2:10" x14ac:dyDescent="0.15">
      <c r="B377" s="213" t="str">
        <f t="shared" si="41"/>
        <v/>
      </c>
      <c r="C377" s="228" t="str">
        <f t="shared" si="39"/>
        <v/>
      </c>
      <c r="D377" s="212" t="str">
        <f t="shared" si="37"/>
        <v/>
      </c>
      <c r="E377" s="212" t="str">
        <f t="shared" ca="1" si="40"/>
        <v/>
      </c>
      <c r="F377" s="212" t="str">
        <f t="shared" ca="1" si="40"/>
        <v/>
      </c>
      <c r="G377" s="212" t="str">
        <f t="shared" ca="1" si="40"/>
        <v/>
      </c>
      <c r="H377" s="212" t="str">
        <f t="shared" ca="1" si="38"/>
        <v/>
      </c>
      <c r="I377" s="212" t="str">
        <f t="shared" ca="1" si="38"/>
        <v/>
      </c>
      <c r="J377" s="212" t="str">
        <f t="shared" ca="1" si="38"/>
        <v/>
      </c>
    </row>
    <row r="378" spans="2:10" x14ac:dyDescent="0.15">
      <c r="B378" s="213" t="str">
        <f t="shared" si="41"/>
        <v/>
      </c>
      <c r="C378" s="228" t="str">
        <f t="shared" si="39"/>
        <v/>
      </c>
      <c r="D378" s="212" t="str">
        <f t="shared" si="37"/>
        <v/>
      </c>
      <c r="E378" s="212" t="str">
        <f t="shared" ca="1" si="40"/>
        <v/>
      </c>
      <c r="F378" s="212" t="str">
        <f t="shared" ca="1" si="40"/>
        <v/>
      </c>
      <c r="G378" s="212" t="str">
        <f t="shared" ca="1" si="40"/>
        <v/>
      </c>
      <c r="H378" s="212" t="str">
        <f t="shared" ca="1" si="38"/>
        <v/>
      </c>
      <c r="I378" s="212" t="str">
        <f t="shared" ca="1" si="38"/>
        <v/>
      </c>
      <c r="J378" s="212" t="str">
        <f t="shared" ca="1" si="38"/>
        <v/>
      </c>
    </row>
    <row r="379" spans="2:10" x14ac:dyDescent="0.15">
      <c r="B379" s="213" t="str">
        <f t="shared" si="41"/>
        <v/>
      </c>
      <c r="C379" s="228" t="str">
        <f t="shared" si="39"/>
        <v/>
      </c>
      <c r="D379" s="212" t="str">
        <f t="shared" si="37"/>
        <v/>
      </c>
      <c r="E379" s="212" t="str">
        <f t="shared" ca="1" si="40"/>
        <v/>
      </c>
      <c r="F379" s="212" t="str">
        <f t="shared" ca="1" si="40"/>
        <v/>
      </c>
      <c r="G379" s="212" t="str">
        <f t="shared" ca="1" si="40"/>
        <v/>
      </c>
      <c r="H379" s="212" t="str">
        <f t="shared" ca="1" si="38"/>
        <v/>
      </c>
      <c r="I379" s="212" t="str">
        <f t="shared" ca="1" si="38"/>
        <v/>
      </c>
      <c r="J379" s="212" t="str">
        <f t="shared" ca="1" si="38"/>
        <v/>
      </c>
    </row>
    <row r="380" spans="2:10" x14ac:dyDescent="0.15">
      <c r="B380" s="213" t="str">
        <f t="shared" si="41"/>
        <v/>
      </c>
      <c r="C380" s="228" t="str">
        <f t="shared" si="39"/>
        <v/>
      </c>
      <c r="D380" s="212" t="str">
        <f t="shared" si="37"/>
        <v/>
      </c>
      <c r="E380" s="212" t="str">
        <f t="shared" ca="1" si="40"/>
        <v/>
      </c>
      <c r="F380" s="212" t="str">
        <f t="shared" ca="1" si="40"/>
        <v/>
      </c>
      <c r="G380" s="212" t="str">
        <f t="shared" ca="1" si="40"/>
        <v/>
      </c>
      <c r="H380" s="212" t="str">
        <f t="shared" ca="1" si="38"/>
        <v/>
      </c>
      <c r="I380" s="212" t="str">
        <f t="shared" ca="1" si="38"/>
        <v/>
      </c>
      <c r="J380" s="212" t="str">
        <f t="shared" ca="1" si="38"/>
        <v/>
      </c>
    </row>
    <row r="381" spans="2:10" x14ac:dyDescent="0.15">
      <c r="B381" s="213" t="str">
        <f t="shared" si="41"/>
        <v/>
      </c>
      <c r="C381" s="228" t="str">
        <f t="shared" si="39"/>
        <v/>
      </c>
      <c r="D381" s="212" t="str">
        <f t="shared" si="37"/>
        <v/>
      </c>
      <c r="E381" s="212" t="str">
        <f t="shared" ca="1" si="40"/>
        <v/>
      </c>
      <c r="F381" s="212" t="str">
        <f t="shared" ca="1" si="40"/>
        <v/>
      </c>
      <c r="G381" s="212" t="str">
        <f t="shared" ca="1" si="40"/>
        <v/>
      </c>
      <c r="H381" s="212" t="str">
        <f t="shared" ca="1" si="38"/>
        <v/>
      </c>
      <c r="I381" s="212" t="str">
        <f t="shared" ca="1" si="38"/>
        <v/>
      </c>
      <c r="J381" s="212" t="str">
        <f t="shared" ca="1" si="38"/>
        <v/>
      </c>
    </row>
    <row r="382" spans="2:10" x14ac:dyDescent="0.15">
      <c r="B382" s="213" t="str">
        <f t="shared" si="41"/>
        <v/>
      </c>
      <c r="C382" s="228" t="str">
        <f t="shared" si="39"/>
        <v/>
      </c>
      <c r="D382" s="212" t="str">
        <f t="shared" si="37"/>
        <v/>
      </c>
      <c r="E382" s="212" t="str">
        <f t="shared" ca="1" si="40"/>
        <v/>
      </c>
      <c r="F382" s="212" t="str">
        <f t="shared" ca="1" si="40"/>
        <v/>
      </c>
      <c r="G382" s="212" t="str">
        <f t="shared" ca="1" si="40"/>
        <v/>
      </c>
      <c r="H382" s="212" t="str">
        <f t="shared" ca="1" si="38"/>
        <v/>
      </c>
      <c r="I382" s="212" t="str">
        <f t="shared" ca="1" si="38"/>
        <v/>
      </c>
      <c r="J382" s="212" t="str">
        <f t="shared" ca="1" si="38"/>
        <v/>
      </c>
    </row>
    <row r="383" spans="2:10" x14ac:dyDescent="0.15">
      <c r="B383" s="213" t="str">
        <f t="shared" si="41"/>
        <v/>
      </c>
      <c r="C383" s="228" t="str">
        <f t="shared" si="39"/>
        <v/>
      </c>
      <c r="D383" s="212" t="str">
        <f t="shared" si="37"/>
        <v/>
      </c>
      <c r="E383" s="212" t="str">
        <f t="shared" ca="1" si="40"/>
        <v/>
      </c>
      <c r="F383" s="212" t="str">
        <f t="shared" ca="1" si="40"/>
        <v/>
      </c>
      <c r="G383" s="212" t="str">
        <f t="shared" ca="1" si="40"/>
        <v/>
      </c>
      <c r="H383" s="212" t="str">
        <f t="shared" ca="1" si="38"/>
        <v/>
      </c>
      <c r="I383" s="212" t="str">
        <f t="shared" ca="1" si="38"/>
        <v/>
      </c>
      <c r="J383" s="212" t="str">
        <f t="shared" ca="1" si="38"/>
        <v/>
      </c>
    </row>
    <row r="384" spans="2:10" x14ac:dyDescent="0.15">
      <c r="B384" s="213" t="str">
        <f t="shared" si="41"/>
        <v/>
      </c>
      <c r="C384" s="228" t="str">
        <f t="shared" si="39"/>
        <v/>
      </c>
      <c r="D384" s="212" t="str">
        <f t="shared" si="37"/>
        <v/>
      </c>
      <c r="E384" s="212" t="str">
        <f t="shared" ca="1" si="40"/>
        <v/>
      </c>
      <c r="F384" s="212" t="str">
        <f t="shared" ca="1" si="40"/>
        <v/>
      </c>
      <c r="G384" s="212" t="str">
        <f t="shared" ca="1" si="40"/>
        <v/>
      </c>
      <c r="H384" s="212" t="str">
        <f t="shared" ca="1" si="38"/>
        <v/>
      </c>
      <c r="I384" s="212" t="str">
        <f t="shared" ca="1" si="38"/>
        <v/>
      </c>
      <c r="J384" s="212" t="str">
        <f t="shared" ca="1" si="38"/>
        <v/>
      </c>
    </row>
    <row r="385" spans="2:10" x14ac:dyDescent="0.15">
      <c r="B385" s="213" t="str">
        <f t="shared" si="41"/>
        <v/>
      </c>
      <c r="C385" s="228" t="str">
        <f t="shared" si="39"/>
        <v/>
      </c>
      <c r="D385" s="212" t="str">
        <f t="shared" si="37"/>
        <v/>
      </c>
      <c r="E385" s="212" t="str">
        <f t="shared" ca="1" si="40"/>
        <v/>
      </c>
      <c r="F385" s="212" t="str">
        <f t="shared" ca="1" si="40"/>
        <v/>
      </c>
      <c r="G385" s="212" t="str">
        <f t="shared" ca="1" si="40"/>
        <v/>
      </c>
      <c r="H385" s="212" t="str">
        <f t="shared" ca="1" si="38"/>
        <v/>
      </c>
      <c r="I385" s="212" t="str">
        <f t="shared" ca="1" si="38"/>
        <v/>
      </c>
      <c r="J385" s="212" t="str">
        <f t="shared" ca="1" si="38"/>
        <v/>
      </c>
    </row>
    <row r="386" spans="2:10" x14ac:dyDescent="0.15">
      <c r="B386" s="213" t="str">
        <f t="shared" si="41"/>
        <v/>
      </c>
      <c r="C386" s="228" t="str">
        <f t="shared" si="39"/>
        <v/>
      </c>
      <c r="D386" s="212" t="str">
        <f t="shared" si="37"/>
        <v/>
      </c>
      <c r="E386" s="212" t="str">
        <f t="shared" ca="1" si="40"/>
        <v/>
      </c>
      <c r="F386" s="212" t="str">
        <f t="shared" ca="1" si="40"/>
        <v/>
      </c>
      <c r="G386" s="212" t="str">
        <f t="shared" ca="1" si="40"/>
        <v/>
      </c>
      <c r="H386" s="212" t="str">
        <f t="shared" ca="1" si="38"/>
        <v/>
      </c>
      <c r="I386" s="212" t="str">
        <f t="shared" ca="1" si="38"/>
        <v/>
      </c>
      <c r="J386" s="212" t="str">
        <f t="shared" ca="1" si="38"/>
        <v/>
      </c>
    </row>
    <row r="387" spans="2:10" x14ac:dyDescent="0.15">
      <c r="B387" s="213" t="str">
        <f t="shared" si="41"/>
        <v/>
      </c>
      <c r="C387" s="228" t="str">
        <f t="shared" si="39"/>
        <v/>
      </c>
      <c r="D387" s="212" t="str">
        <f t="shared" si="37"/>
        <v/>
      </c>
      <c r="E387" s="212" t="str">
        <f t="shared" ca="1" si="40"/>
        <v/>
      </c>
      <c r="F387" s="212" t="str">
        <f t="shared" ca="1" si="40"/>
        <v/>
      </c>
      <c r="G387" s="212" t="str">
        <f t="shared" ca="1" si="40"/>
        <v/>
      </c>
      <c r="H387" s="212" t="str">
        <f t="shared" ca="1" si="38"/>
        <v/>
      </c>
      <c r="I387" s="212" t="str">
        <f t="shared" ca="1" si="38"/>
        <v/>
      </c>
      <c r="J387" s="212" t="str">
        <f t="shared" ca="1" si="38"/>
        <v/>
      </c>
    </row>
    <row r="388" spans="2:10" x14ac:dyDescent="0.15">
      <c r="B388" s="213" t="str">
        <f t="shared" si="41"/>
        <v/>
      </c>
      <c r="C388" s="228" t="str">
        <f t="shared" si="39"/>
        <v/>
      </c>
      <c r="D388" s="212" t="str">
        <f t="shared" si="37"/>
        <v/>
      </c>
      <c r="E388" s="212" t="str">
        <f t="shared" ca="1" si="40"/>
        <v/>
      </c>
      <c r="F388" s="212" t="str">
        <f t="shared" ca="1" si="40"/>
        <v/>
      </c>
      <c r="G388" s="212" t="str">
        <f t="shared" ca="1" si="40"/>
        <v/>
      </c>
      <c r="H388" s="212" t="str">
        <f t="shared" ca="1" si="38"/>
        <v/>
      </c>
      <c r="I388" s="212" t="str">
        <f t="shared" ca="1" si="38"/>
        <v/>
      </c>
      <c r="J388" s="212" t="str">
        <f t="shared" ca="1" si="38"/>
        <v/>
      </c>
    </row>
    <row r="389" spans="2:10" x14ac:dyDescent="0.15">
      <c r="B389" s="213" t="str">
        <f t="shared" si="41"/>
        <v/>
      </c>
      <c r="C389" s="228" t="str">
        <f t="shared" si="39"/>
        <v/>
      </c>
      <c r="D389" s="212" t="str">
        <f t="shared" si="37"/>
        <v/>
      </c>
      <c r="E389" s="212" t="str">
        <f t="shared" ca="1" si="40"/>
        <v/>
      </c>
      <c r="F389" s="212" t="str">
        <f t="shared" ca="1" si="40"/>
        <v/>
      </c>
      <c r="G389" s="212" t="str">
        <f t="shared" ca="1" si="40"/>
        <v/>
      </c>
      <c r="H389" s="212" t="str">
        <f t="shared" ca="1" si="38"/>
        <v/>
      </c>
      <c r="I389" s="212" t="str">
        <f t="shared" ca="1" si="38"/>
        <v/>
      </c>
      <c r="J389" s="212" t="str">
        <f t="shared" ca="1" si="38"/>
        <v/>
      </c>
    </row>
    <row r="390" spans="2:10" x14ac:dyDescent="0.15">
      <c r="B390" s="213" t="str">
        <f t="shared" si="41"/>
        <v/>
      </c>
      <c r="C390" s="228" t="str">
        <f t="shared" si="39"/>
        <v/>
      </c>
      <c r="D390" s="212" t="str">
        <f t="shared" si="37"/>
        <v/>
      </c>
      <c r="E390" s="212" t="str">
        <f t="shared" ca="1" si="40"/>
        <v/>
      </c>
      <c r="F390" s="212" t="str">
        <f t="shared" ca="1" si="40"/>
        <v/>
      </c>
      <c r="G390" s="212" t="str">
        <f t="shared" ca="1" si="40"/>
        <v/>
      </c>
      <c r="H390" s="212" t="str">
        <f t="shared" ca="1" si="38"/>
        <v/>
      </c>
      <c r="I390" s="212" t="str">
        <f t="shared" ca="1" si="38"/>
        <v/>
      </c>
      <c r="J390" s="212" t="str">
        <f t="shared" ca="1" si="38"/>
        <v/>
      </c>
    </row>
    <row r="391" spans="2:10" x14ac:dyDescent="0.15">
      <c r="B391" s="213" t="str">
        <f t="shared" si="41"/>
        <v/>
      </c>
      <c r="C391" s="228" t="str">
        <f t="shared" si="39"/>
        <v/>
      </c>
      <c r="D391" s="212" t="str">
        <f t="shared" si="37"/>
        <v/>
      </c>
      <c r="E391" s="212" t="str">
        <f t="shared" ca="1" si="40"/>
        <v/>
      </c>
      <c r="F391" s="212" t="str">
        <f t="shared" ca="1" si="40"/>
        <v/>
      </c>
      <c r="G391" s="212" t="str">
        <f t="shared" ca="1" si="40"/>
        <v/>
      </c>
      <c r="H391" s="212" t="str">
        <f t="shared" ca="1" si="38"/>
        <v/>
      </c>
      <c r="I391" s="212" t="str">
        <f t="shared" ca="1" si="38"/>
        <v/>
      </c>
      <c r="J391" s="212" t="str">
        <f t="shared" ca="1" si="38"/>
        <v/>
      </c>
    </row>
    <row r="392" spans="2:10" x14ac:dyDescent="0.15">
      <c r="B392" s="213" t="str">
        <f t="shared" si="41"/>
        <v/>
      </c>
      <c r="C392" s="228" t="str">
        <f t="shared" si="39"/>
        <v/>
      </c>
      <c r="D392" s="212" t="str">
        <f t="shared" si="37"/>
        <v/>
      </c>
      <c r="E392" s="212" t="str">
        <f t="shared" ca="1" si="40"/>
        <v/>
      </c>
      <c r="F392" s="212" t="str">
        <f t="shared" ca="1" si="40"/>
        <v/>
      </c>
      <c r="G392" s="212" t="str">
        <f t="shared" ca="1" si="40"/>
        <v/>
      </c>
      <c r="H392" s="212" t="str">
        <f t="shared" ca="1" si="38"/>
        <v/>
      </c>
      <c r="I392" s="212" t="str">
        <f t="shared" ca="1" si="38"/>
        <v/>
      </c>
      <c r="J392" s="212" t="str">
        <f t="shared" ca="1" si="38"/>
        <v/>
      </c>
    </row>
    <row r="393" spans="2:10" x14ac:dyDescent="0.15">
      <c r="B393" s="213" t="str">
        <f t="shared" si="41"/>
        <v/>
      </c>
      <c r="C393" s="228" t="str">
        <f t="shared" si="39"/>
        <v/>
      </c>
      <c r="D393" s="212" t="str">
        <f t="shared" si="37"/>
        <v/>
      </c>
      <c r="E393" s="212" t="str">
        <f t="shared" ca="1" si="40"/>
        <v/>
      </c>
      <c r="F393" s="212" t="str">
        <f t="shared" ca="1" si="40"/>
        <v/>
      </c>
      <c r="G393" s="212" t="str">
        <f t="shared" ca="1" si="40"/>
        <v/>
      </c>
      <c r="H393" s="212" t="str">
        <f t="shared" ca="1" si="38"/>
        <v/>
      </c>
      <c r="I393" s="212" t="str">
        <f t="shared" ca="1" si="38"/>
        <v/>
      </c>
      <c r="J393" s="212" t="str">
        <f t="shared" ca="1" si="38"/>
        <v/>
      </c>
    </row>
    <row r="394" spans="2:10" x14ac:dyDescent="0.15">
      <c r="B394" s="213" t="str">
        <f t="shared" si="41"/>
        <v/>
      </c>
      <c r="C394" s="228" t="str">
        <f t="shared" si="39"/>
        <v/>
      </c>
      <c r="D394" s="212" t="str">
        <f t="shared" si="37"/>
        <v/>
      </c>
      <c r="E394" s="212" t="str">
        <f t="shared" ca="1" si="40"/>
        <v/>
      </c>
      <c r="F394" s="212" t="str">
        <f t="shared" ca="1" si="40"/>
        <v/>
      </c>
      <c r="G394" s="212" t="str">
        <f t="shared" ca="1" si="40"/>
        <v/>
      </c>
      <c r="H394" s="212" t="str">
        <f t="shared" ca="1" si="38"/>
        <v/>
      </c>
      <c r="I394" s="212" t="str">
        <f t="shared" ca="1" si="38"/>
        <v/>
      </c>
      <c r="J394" s="212" t="str">
        <f t="shared" ca="1" si="38"/>
        <v/>
      </c>
    </row>
    <row r="395" spans="2:10" x14ac:dyDescent="0.15">
      <c r="B395" s="213" t="str">
        <f t="shared" si="41"/>
        <v/>
      </c>
      <c r="C395" s="228" t="str">
        <f t="shared" si="39"/>
        <v/>
      </c>
      <c r="D395" s="212" t="str">
        <f t="shared" si="37"/>
        <v/>
      </c>
      <c r="E395" s="212" t="str">
        <f t="shared" ca="1" si="40"/>
        <v/>
      </c>
      <c r="F395" s="212" t="str">
        <f t="shared" ca="1" si="40"/>
        <v/>
      </c>
      <c r="G395" s="212" t="str">
        <f t="shared" ca="1" si="40"/>
        <v/>
      </c>
      <c r="H395" s="212" t="str">
        <f t="shared" ca="1" si="38"/>
        <v/>
      </c>
      <c r="I395" s="212" t="str">
        <f t="shared" ca="1" si="38"/>
        <v/>
      </c>
      <c r="J395" s="212" t="str">
        <f t="shared" ca="1" si="38"/>
        <v/>
      </c>
    </row>
    <row r="396" spans="2:10" x14ac:dyDescent="0.15">
      <c r="B396" s="213" t="str">
        <f t="shared" si="41"/>
        <v/>
      </c>
      <c r="C396" s="228" t="str">
        <f t="shared" si="39"/>
        <v/>
      </c>
      <c r="D396" s="212" t="str">
        <f t="shared" si="37"/>
        <v/>
      </c>
      <c r="E396" s="212" t="str">
        <f t="shared" ca="1" si="40"/>
        <v/>
      </c>
      <c r="F396" s="212" t="str">
        <f t="shared" ca="1" si="40"/>
        <v/>
      </c>
      <c r="G396" s="212" t="str">
        <f t="shared" ca="1" si="40"/>
        <v/>
      </c>
      <c r="H396" s="212" t="str">
        <f t="shared" ca="1" si="38"/>
        <v/>
      </c>
      <c r="I396" s="212" t="str">
        <f t="shared" ca="1" si="38"/>
        <v/>
      </c>
      <c r="J396" s="212" t="str">
        <f t="shared" ca="1" si="38"/>
        <v/>
      </c>
    </row>
    <row r="397" spans="2:10" x14ac:dyDescent="0.15">
      <c r="B397" s="213" t="str">
        <f t="shared" si="41"/>
        <v/>
      </c>
      <c r="C397" s="228" t="str">
        <f t="shared" si="39"/>
        <v/>
      </c>
      <c r="D397" s="212" t="str">
        <f t="shared" si="37"/>
        <v/>
      </c>
      <c r="E397" s="212" t="str">
        <f t="shared" ca="1" si="40"/>
        <v/>
      </c>
      <c r="F397" s="212" t="str">
        <f t="shared" ca="1" si="40"/>
        <v/>
      </c>
      <c r="G397" s="212" t="str">
        <f t="shared" ca="1" si="40"/>
        <v/>
      </c>
      <c r="H397" s="212" t="str">
        <f t="shared" ca="1" si="38"/>
        <v/>
      </c>
      <c r="I397" s="212" t="str">
        <f t="shared" ca="1" si="38"/>
        <v/>
      </c>
      <c r="J397" s="212" t="str">
        <f t="shared" ca="1" si="38"/>
        <v/>
      </c>
    </row>
    <row r="398" spans="2:10" x14ac:dyDescent="0.15">
      <c r="B398" s="213" t="str">
        <f t="shared" si="41"/>
        <v/>
      </c>
      <c r="C398" s="228" t="str">
        <f t="shared" si="39"/>
        <v/>
      </c>
      <c r="D398" s="212" t="str">
        <f t="shared" si="37"/>
        <v/>
      </c>
      <c r="E398" s="212" t="str">
        <f t="shared" ca="1" si="40"/>
        <v/>
      </c>
      <c r="F398" s="212" t="str">
        <f t="shared" ca="1" si="40"/>
        <v/>
      </c>
      <c r="G398" s="212" t="str">
        <f t="shared" ca="1" si="40"/>
        <v/>
      </c>
      <c r="H398" s="212" t="str">
        <f t="shared" ca="1" si="38"/>
        <v/>
      </c>
      <c r="I398" s="212" t="str">
        <f t="shared" ca="1" si="38"/>
        <v/>
      </c>
      <c r="J398" s="212" t="str">
        <f t="shared" ca="1" si="38"/>
        <v/>
      </c>
    </row>
    <row r="399" spans="2:10" x14ac:dyDescent="0.15">
      <c r="B399" s="213" t="str">
        <f t="shared" si="41"/>
        <v/>
      </c>
      <c r="C399" s="228" t="str">
        <f t="shared" si="39"/>
        <v/>
      </c>
      <c r="D399" s="212" t="str">
        <f t="shared" si="37"/>
        <v/>
      </c>
      <c r="E399" s="212" t="str">
        <f t="shared" ca="1" si="40"/>
        <v/>
      </c>
      <c r="F399" s="212" t="str">
        <f t="shared" ca="1" si="40"/>
        <v/>
      </c>
      <c r="G399" s="212" t="str">
        <f t="shared" ca="1" si="40"/>
        <v/>
      </c>
      <c r="H399" s="212" t="str">
        <f t="shared" ca="1" si="38"/>
        <v/>
      </c>
      <c r="I399" s="212" t="str">
        <f t="shared" ca="1" si="38"/>
        <v/>
      </c>
      <c r="J399" s="212" t="str">
        <f t="shared" ca="1" si="38"/>
        <v/>
      </c>
    </row>
    <row r="400" spans="2:10" x14ac:dyDescent="0.15">
      <c r="B400" s="213" t="str">
        <f t="shared" si="41"/>
        <v/>
      </c>
      <c r="C400" s="228" t="str">
        <f t="shared" si="39"/>
        <v/>
      </c>
      <c r="D400" s="212" t="str">
        <f t="shared" si="37"/>
        <v/>
      </c>
      <c r="E400" s="212" t="str">
        <f t="shared" ca="1" si="40"/>
        <v/>
      </c>
      <c r="F400" s="212" t="str">
        <f t="shared" ca="1" si="40"/>
        <v/>
      </c>
      <c r="G400" s="212" t="str">
        <f t="shared" ca="1" si="40"/>
        <v/>
      </c>
      <c r="H400" s="212" t="str">
        <f t="shared" ca="1" si="38"/>
        <v/>
      </c>
      <c r="I400" s="212" t="str">
        <f t="shared" ca="1" si="38"/>
        <v/>
      </c>
      <c r="J400" s="212" t="str">
        <f t="shared" ca="1" si="38"/>
        <v/>
      </c>
    </row>
    <row r="401" spans="2:10" x14ac:dyDescent="0.15">
      <c r="B401" s="213" t="str">
        <f t="shared" si="41"/>
        <v/>
      </c>
      <c r="C401" s="228" t="str">
        <f t="shared" si="39"/>
        <v/>
      </c>
      <c r="D401" s="212" t="str">
        <f t="shared" si="37"/>
        <v/>
      </c>
      <c r="E401" s="212" t="str">
        <f t="shared" ca="1" si="40"/>
        <v/>
      </c>
      <c r="F401" s="212" t="str">
        <f t="shared" ca="1" si="40"/>
        <v/>
      </c>
      <c r="G401" s="212" t="str">
        <f t="shared" ca="1" si="40"/>
        <v/>
      </c>
      <c r="H401" s="212" t="str">
        <f t="shared" ca="1" si="38"/>
        <v/>
      </c>
      <c r="I401" s="212" t="str">
        <f t="shared" ca="1" si="38"/>
        <v/>
      </c>
      <c r="J401" s="212" t="str">
        <f t="shared" ca="1" si="38"/>
        <v/>
      </c>
    </row>
    <row r="402" spans="2:10" x14ac:dyDescent="0.15">
      <c r="B402" s="213" t="str">
        <f t="shared" si="41"/>
        <v/>
      </c>
      <c r="C402" s="228" t="str">
        <f t="shared" si="39"/>
        <v/>
      </c>
      <c r="D402" s="212" t="str">
        <f t="shared" si="37"/>
        <v/>
      </c>
      <c r="E402" s="212" t="str">
        <f t="shared" ca="1" si="40"/>
        <v/>
      </c>
      <c r="F402" s="212" t="str">
        <f t="shared" ca="1" si="40"/>
        <v/>
      </c>
      <c r="G402" s="212" t="str">
        <f t="shared" ca="1" si="40"/>
        <v/>
      </c>
      <c r="H402" s="212" t="str">
        <f t="shared" ca="1" si="38"/>
        <v/>
      </c>
      <c r="I402" s="212" t="str">
        <f t="shared" ca="1" si="38"/>
        <v/>
      </c>
      <c r="J402" s="212" t="str">
        <f t="shared" ca="1" si="38"/>
        <v/>
      </c>
    </row>
    <row r="403" spans="2:10" x14ac:dyDescent="0.15">
      <c r="B403" s="213" t="str">
        <f t="shared" si="41"/>
        <v/>
      </c>
      <c r="C403" s="228" t="str">
        <f t="shared" si="39"/>
        <v/>
      </c>
      <c r="D403" s="212" t="str">
        <f t="shared" si="37"/>
        <v/>
      </c>
      <c r="E403" s="212" t="str">
        <f t="shared" ca="1" si="40"/>
        <v/>
      </c>
      <c r="F403" s="212" t="str">
        <f t="shared" ca="1" si="40"/>
        <v/>
      </c>
      <c r="G403" s="212" t="str">
        <f t="shared" ca="1" si="40"/>
        <v/>
      </c>
      <c r="H403" s="212" t="str">
        <f t="shared" ca="1" si="38"/>
        <v/>
      </c>
      <c r="I403" s="212" t="str">
        <f t="shared" ca="1" si="38"/>
        <v/>
      </c>
      <c r="J403" s="212" t="str">
        <f t="shared" ca="1" si="38"/>
        <v/>
      </c>
    </row>
    <row r="404" spans="2:10" x14ac:dyDescent="0.15">
      <c r="B404" s="213" t="str">
        <f t="shared" si="41"/>
        <v/>
      </c>
      <c r="C404" s="228" t="str">
        <f t="shared" si="39"/>
        <v/>
      </c>
      <c r="D404" s="212" t="str">
        <f t="shared" si="37"/>
        <v/>
      </c>
      <c r="E404" s="212" t="str">
        <f t="shared" ca="1" si="40"/>
        <v/>
      </c>
      <c r="F404" s="212" t="str">
        <f t="shared" ca="1" si="40"/>
        <v/>
      </c>
      <c r="G404" s="212" t="str">
        <f t="shared" ca="1" si="40"/>
        <v/>
      </c>
      <c r="H404" s="212" t="str">
        <f t="shared" ca="1" si="38"/>
        <v/>
      </c>
      <c r="I404" s="212" t="str">
        <f t="shared" ca="1" si="38"/>
        <v/>
      </c>
      <c r="J404" s="212" t="str">
        <f t="shared" ca="1" si="38"/>
        <v/>
      </c>
    </row>
    <row r="405" spans="2:10" x14ac:dyDescent="0.15">
      <c r="B405" s="213" t="str">
        <f t="shared" si="41"/>
        <v/>
      </c>
      <c r="C405" s="228" t="str">
        <f t="shared" si="39"/>
        <v/>
      </c>
      <c r="D405" s="212" t="str">
        <f t="shared" si="37"/>
        <v/>
      </c>
      <c r="E405" s="212" t="str">
        <f t="shared" ca="1" si="40"/>
        <v/>
      </c>
      <c r="F405" s="212" t="str">
        <f t="shared" ca="1" si="40"/>
        <v/>
      </c>
      <c r="G405" s="212" t="str">
        <f t="shared" ca="1" si="40"/>
        <v/>
      </c>
      <c r="H405" s="212" t="str">
        <f t="shared" ca="1" si="38"/>
        <v/>
      </c>
      <c r="I405" s="212" t="str">
        <f t="shared" ca="1" si="38"/>
        <v/>
      </c>
      <c r="J405" s="212" t="str">
        <f t="shared" ca="1" si="38"/>
        <v/>
      </c>
    </row>
    <row r="406" spans="2:10" x14ac:dyDescent="0.15">
      <c r="B406" s="213" t="str">
        <f t="shared" si="41"/>
        <v/>
      </c>
      <c r="C406" s="228" t="str">
        <f t="shared" si="39"/>
        <v/>
      </c>
      <c r="D406" s="212" t="str">
        <f t="shared" si="37"/>
        <v/>
      </c>
      <c r="E406" s="212" t="str">
        <f t="shared" ca="1" si="40"/>
        <v/>
      </c>
      <c r="F406" s="212" t="str">
        <f t="shared" ca="1" si="40"/>
        <v/>
      </c>
      <c r="G406" s="212" t="str">
        <f t="shared" ca="1" si="40"/>
        <v/>
      </c>
      <c r="H406" s="212" t="str">
        <f t="shared" ca="1" si="38"/>
        <v/>
      </c>
      <c r="I406" s="212" t="str">
        <f t="shared" ca="1" si="38"/>
        <v/>
      </c>
      <c r="J406" s="212" t="str">
        <f t="shared" ca="1" si="38"/>
        <v/>
      </c>
    </row>
    <row r="407" spans="2:10" x14ac:dyDescent="0.15">
      <c r="B407" s="213" t="str">
        <f t="shared" si="41"/>
        <v/>
      </c>
      <c r="C407" s="228" t="str">
        <f t="shared" si="39"/>
        <v/>
      </c>
      <c r="D407" s="212" t="str">
        <f t="shared" si="37"/>
        <v/>
      </c>
      <c r="E407" s="212" t="str">
        <f t="shared" ca="1" si="40"/>
        <v/>
      </c>
      <c r="F407" s="212" t="str">
        <f t="shared" ca="1" si="40"/>
        <v/>
      </c>
      <c r="G407" s="212" t="str">
        <f t="shared" ca="1" si="40"/>
        <v/>
      </c>
      <c r="H407" s="212" t="str">
        <f t="shared" ca="1" si="38"/>
        <v/>
      </c>
      <c r="I407" s="212" t="str">
        <f t="shared" ca="1" si="38"/>
        <v/>
      </c>
      <c r="J407" s="212" t="str">
        <f t="shared" ca="1" si="38"/>
        <v/>
      </c>
    </row>
    <row r="408" spans="2:10" x14ac:dyDescent="0.15">
      <c r="B408" s="213" t="str">
        <f t="shared" si="41"/>
        <v/>
      </c>
      <c r="C408" s="228" t="str">
        <f t="shared" si="39"/>
        <v/>
      </c>
      <c r="D408" s="212" t="str">
        <f t="shared" si="37"/>
        <v/>
      </c>
      <c r="E408" s="212" t="str">
        <f t="shared" ca="1" si="40"/>
        <v/>
      </c>
      <c r="F408" s="212" t="str">
        <f t="shared" ca="1" si="40"/>
        <v/>
      </c>
      <c r="G408" s="212" t="str">
        <f t="shared" ca="1" si="40"/>
        <v/>
      </c>
      <c r="H408" s="212" t="str">
        <f t="shared" ca="1" si="38"/>
        <v/>
      </c>
      <c r="I408" s="212" t="str">
        <f t="shared" ca="1" si="38"/>
        <v/>
      </c>
      <c r="J408" s="212" t="str">
        <f t="shared" ca="1" si="38"/>
        <v/>
      </c>
    </row>
    <row r="409" spans="2:10" x14ac:dyDescent="0.15">
      <c r="B409" s="213" t="str">
        <f t="shared" si="41"/>
        <v/>
      </c>
      <c r="C409" s="228" t="str">
        <f t="shared" si="39"/>
        <v/>
      </c>
      <c r="D409" s="212" t="str">
        <f t="shared" si="37"/>
        <v/>
      </c>
      <c r="E409" s="212" t="str">
        <f t="shared" ca="1" si="40"/>
        <v/>
      </c>
      <c r="F409" s="212" t="str">
        <f t="shared" ca="1" si="40"/>
        <v/>
      </c>
      <c r="G409" s="212" t="str">
        <f t="shared" ca="1" si="40"/>
        <v/>
      </c>
      <c r="H409" s="212" t="str">
        <f t="shared" ca="1" si="38"/>
        <v/>
      </c>
      <c r="I409" s="212" t="str">
        <f t="shared" ca="1" si="38"/>
        <v/>
      </c>
      <c r="J409" s="212" t="str">
        <f t="shared" ca="1" si="38"/>
        <v/>
      </c>
    </row>
    <row r="410" spans="2:10" x14ac:dyDescent="0.15">
      <c r="B410" s="213" t="str">
        <f t="shared" si="41"/>
        <v/>
      </c>
      <c r="C410" s="228" t="str">
        <f t="shared" si="39"/>
        <v/>
      </c>
      <c r="D410" s="212" t="str">
        <f t="shared" ref="D410:D473" si="42">IF(B410="","",IF(B411="",SUMIFS(Amount,Timestamp,"&gt;="&amp;B410),SUMIFS(Amount,Timestamp,"&gt;="&amp;B410,Timestamp,"&lt;"&amp;B411)))</f>
        <v/>
      </c>
      <c r="E410" s="212" t="str">
        <f t="shared" ca="1" si="40"/>
        <v/>
      </c>
      <c r="F410" s="212" t="str">
        <f t="shared" ca="1" si="40"/>
        <v/>
      </c>
      <c r="G410" s="212" t="str">
        <f t="shared" ca="1" si="40"/>
        <v/>
      </c>
      <c r="H410" s="212" t="str">
        <f t="shared" ca="1" si="40"/>
        <v/>
      </c>
      <c r="I410" s="212" t="str">
        <f t="shared" ca="1" si="40"/>
        <v/>
      </c>
      <c r="J410" s="212" t="str">
        <f t="shared" ca="1" si="40"/>
        <v/>
      </c>
    </row>
    <row r="411" spans="2:10" x14ac:dyDescent="0.15">
      <c r="B411" s="213" t="str">
        <f t="shared" si="41"/>
        <v/>
      </c>
      <c r="C411" s="228" t="str">
        <f t="shared" ref="C411:C474" si="43">IF(B411="","",TEXT(B411,"dddd"))</f>
        <v/>
      </c>
      <c r="D411" s="212" t="str">
        <f t="shared" si="42"/>
        <v/>
      </c>
      <c r="E411" s="212" t="str">
        <f t="shared" ref="E411:H474" ca="1" si="44">IF($B411="","",IF($B411+E$24-1&gt;$E$5,"",SUM(OFFSET($D411,0,0,E$24,1))))</f>
        <v/>
      </c>
      <c r="F411" s="212" t="str">
        <f t="shared" ca="1" si="44"/>
        <v/>
      </c>
      <c r="G411" s="212" t="str">
        <f t="shared" ca="1" si="44"/>
        <v/>
      </c>
      <c r="H411" s="212" t="str">
        <f t="shared" ca="1" si="44"/>
        <v/>
      </c>
      <c r="I411" s="212" t="str">
        <f t="shared" ref="I411:J474" ca="1" si="45">IF($B411="","",IF($B411+I$24-1&gt;$E$5,"",SUM(OFFSET($D411,0,0,I$24,1))))</f>
        <v/>
      </c>
      <c r="J411" s="212" t="str">
        <f t="shared" ca="1" si="45"/>
        <v/>
      </c>
    </row>
    <row r="412" spans="2:10" x14ac:dyDescent="0.15">
      <c r="B412" s="213" t="str">
        <f t="shared" si="41"/>
        <v/>
      </c>
      <c r="C412" s="228" t="str">
        <f t="shared" si="43"/>
        <v/>
      </c>
      <c r="D412" s="212" t="str">
        <f t="shared" si="42"/>
        <v/>
      </c>
      <c r="E412" s="212" t="str">
        <f t="shared" ca="1" si="44"/>
        <v/>
      </c>
      <c r="F412" s="212" t="str">
        <f t="shared" ca="1" si="44"/>
        <v/>
      </c>
      <c r="G412" s="212" t="str">
        <f t="shared" ca="1" si="44"/>
        <v/>
      </c>
      <c r="H412" s="212" t="str">
        <f t="shared" ca="1" si="44"/>
        <v/>
      </c>
      <c r="I412" s="212" t="str">
        <f t="shared" ca="1" si="45"/>
        <v/>
      </c>
      <c r="J412" s="212" t="str">
        <f t="shared" ca="1" si="45"/>
        <v/>
      </c>
    </row>
    <row r="413" spans="2:10" x14ac:dyDescent="0.15">
      <c r="B413" s="213" t="str">
        <f t="shared" si="41"/>
        <v/>
      </c>
      <c r="C413" s="228" t="str">
        <f t="shared" si="43"/>
        <v/>
      </c>
      <c r="D413" s="212" t="str">
        <f t="shared" si="42"/>
        <v/>
      </c>
      <c r="E413" s="212" t="str">
        <f t="shared" ca="1" si="44"/>
        <v/>
      </c>
      <c r="F413" s="212" t="str">
        <f t="shared" ca="1" si="44"/>
        <v/>
      </c>
      <c r="G413" s="212" t="str">
        <f t="shared" ca="1" si="44"/>
        <v/>
      </c>
      <c r="H413" s="212" t="str">
        <f t="shared" ca="1" si="44"/>
        <v/>
      </c>
      <c r="I413" s="212" t="str">
        <f t="shared" ca="1" si="45"/>
        <v/>
      </c>
      <c r="J413" s="212" t="str">
        <f t="shared" ca="1" si="45"/>
        <v/>
      </c>
    </row>
    <row r="414" spans="2:10" x14ac:dyDescent="0.15">
      <c r="B414" s="213" t="str">
        <f t="shared" si="41"/>
        <v/>
      </c>
      <c r="C414" s="228" t="str">
        <f t="shared" si="43"/>
        <v/>
      </c>
      <c r="D414" s="212" t="str">
        <f t="shared" si="42"/>
        <v/>
      </c>
      <c r="E414" s="212" t="str">
        <f t="shared" ca="1" si="44"/>
        <v/>
      </c>
      <c r="F414" s="212" t="str">
        <f t="shared" ca="1" si="44"/>
        <v/>
      </c>
      <c r="G414" s="212" t="str">
        <f t="shared" ca="1" si="44"/>
        <v/>
      </c>
      <c r="H414" s="212" t="str">
        <f t="shared" ca="1" si="44"/>
        <v/>
      </c>
      <c r="I414" s="212" t="str">
        <f t="shared" ca="1" si="45"/>
        <v/>
      </c>
      <c r="J414" s="212" t="str">
        <f t="shared" ca="1" si="45"/>
        <v/>
      </c>
    </row>
    <row r="415" spans="2:10" x14ac:dyDescent="0.15">
      <c r="B415" s="213" t="str">
        <f t="shared" si="41"/>
        <v/>
      </c>
      <c r="C415" s="228" t="str">
        <f t="shared" si="43"/>
        <v/>
      </c>
      <c r="D415" s="212" t="str">
        <f t="shared" si="42"/>
        <v/>
      </c>
      <c r="E415" s="212" t="str">
        <f t="shared" ca="1" si="44"/>
        <v/>
      </c>
      <c r="F415" s="212" t="str">
        <f t="shared" ca="1" si="44"/>
        <v/>
      </c>
      <c r="G415" s="212" t="str">
        <f t="shared" ca="1" si="44"/>
        <v/>
      </c>
      <c r="H415" s="212" t="str">
        <f t="shared" ca="1" si="44"/>
        <v/>
      </c>
      <c r="I415" s="212" t="str">
        <f t="shared" ca="1" si="45"/>
        <v/>
      </c>
      <c r="J415" s="212" t="str">
        <f t="shared" ca="1" si="45"/>
        <v/>
      </c>
    </row>
    <row r="416" spans="2:10" x14ac:dyDescent="0.15">
      <c r="B416" s="213" t="str">
        <f t="shared" si="41"/>
        <v/>
      </c>
      <c r="C416" s="228" t="str">
        <f t="shared" si="43"/>
        <v/>
      </c>
      <c r="D416" s="212" t="str">
        <f t="shared" si="42"/>
        <v/>
      </c>
      <c r="E416" s="212" t="str">
        <f t="shared" ca="1" si="44"/>
        <v/>
      </c>
      <c r="F416" s="212" t="str">
        <f t="shared" ca="1" si="44"/>
        <v/>
      </c>
      <c r="G416" s="212" t="str">
        <f t="shared" ca="1" si="44"/>
        <v/>
      </c>
      <c r="H416" s="212" t="str">
        <f t="shared" ca="1" si="44"/>
        <v/>
      </c>
      <c r="I416" s="212" t="str">
        <f t="shared" ca="1" si="45"/>
        <v/>
      </c>
      <c r="J416" s="212" t="str">
        <f t="shared" ca="1" si="45"/>
        <v/>
      </c>
    </row>
    <row r="417" spans="2:10" x14ac:dyDescent="0.15">
      <c r="B417" s="213" t="str">
        <f t="shared" si="41"/>
        <v/>
      </c>
      <c r="C417" s="228" t="str">
        <f t="shared" si="43"/>
        <v/>
      </c>
      <c r="D417" s="212" t="str">
        <f t="shared" si="42"/>
        <v/>
      </c>
      <c r="E417" s="212" t="str">
        <f t="shared" ca="1" si="44"/>
        <v/>
      </c>
      <c r="F417" s="212" t="str">
        <f t="shared" ca="1" si="44"/>
        <v/>
      </c>
      <c r="G417" s="212" t="str">
        <f t="shared" ca="1" si="44"/>
        <v/>
      </c>
      <c r="H417" s="212" t="str">
        <f t="shared" ca="1" si="44"/>
        <v/>
      </c>
      <c r="I417" s="212" t="str">
        <f t="shared" ca="1" si="45"/>
        <v/>
      </c>
      <c r="J417" s="212" t="str">
        <f t="shared" ca="1" si="45"/>
        <v/>
      </c>
    </row>
    <row r="418" spans="2:10" x14ac:dyDescent="0.15">
      <c r="B418" s="213" t="str">
        <f t="shared" si="41"/>
        <v/>
      </c>
      <c r="C418" s="228" t="str">
        <f t="shared" si="43"/>
        <v/>
      </c>
      <c r="D418" s="212" t="str">
        <f t="shared" si="42"/>
        <v/>
      </c>
      <c r="E418" s="212" t="str">
        <f t="shared" ca="1" si="44"/>
        <v/>
      </c>
      <c r="F418" s="212" t="str">
        <f t="shared" ca="1" si="44"/>
        <v/>
      </c>
      <c r="G418" s="212" t="str">
        <f t="shared" ca="1" si="44"/>
        <v/>
      </c>
      <c r="H418" s="212" t="str">
        <f t="shared" ca="1" si="44"/>
        <v/>
      </c>
      <c r="I418" s="212" t="str">
        <f t="shared" ca="1" si="45"/>
        <v/>
      </c>
      <c r="J418" s="212" t="str">
        <f t="shared" ca="1" si="45"/>
        <v/>
      </c>
    </row>
    <row r="419" spans="2:10" x14ac:dyDescent="0.15">
      <c r="B419" s="213" t="str">
        <f t="shared" ref="B419:B482" si="46">IF(B418="","",IF(B418&gt;=$E$5,"",B418+1))</f>
        <v/>
      </c>
      <c r="C419" s="228" t="str">
        <f t="shared" si="43"/>
        <v/>
      </c>
      <c r="D419" s="212" t="str">
        <f t="shared" si="42"/>
        <v/>
      </c>
      <c r="E419" s="212" t="str">
        <f t="shared" ca="1" si="44"/>
        <v/>
      </c>
      <c r="F419" s="212" t="str">
        <f t="shared" ca="1" si="44"/>
        <v/>
      </c>
      <c r="G419" s="212" t="str">
        <f t="shared" ca="1" si="44"/>
        <v/>
      </c>
      <c r="H419" s="212" t="str">
        <f t="shared" ca="1" si="44"/>
        <v/>
      </c>
      <c r="I419" s="212" t="str">
        <f t="shared" ca="1" si="45"/>
        <v/>
      </c>
      <c r="J419" s="212" t="str">
        <f t="shared" ca="1" si="45"/>
        <v/>
      </c>
    </row>
    <row r="420" spans="2:10" x14ac:dyDescent="0.15">
      <c r="B420" s="213" t="str">
        <f t="shared" si="46"/>
        <v/>
      </c>
      <c r="C420" s="228" t="str">
        <f t="shared" si="43"/>
        <v/>
      </c>
      <c r="D420" s="212" t="str">
        <f t="shared" si="42"/>
        <v/>
      </c>
      <c r="E420" s="212" t="str">
        <f t="shared" ca="1" si="44"/>
        <v/>
      </c>
      <c r="F420" s="212" t="str">
        <f t="shared" ca="1" si="44"/>
        <v/>
      </c>
      <c r="G420" s="212" t="str">
        <f t="shared" ca="1" si="44"/>
        <v/>
      </c>
      <c r="H420" s="212" t="str">
        <f t="shared" ca="1" si="44"/>
        <v/>
      </c>
      <c r="I420" s="212" t="str">
        <f t="shared" ca="1" si="45"/>
        <v/>
      </c>
      <c r="J420" s="212" t="str">
        <f t="shared" ca="1" si="45"/>
        <v/>
      </c>
    </row>
    <row r="421" spans="2:10" x14ac:dyDescent="0.15">
      <c r="B421" s="213" t="str">
        <f t="shared" si="46"/>
        <v/>
      </c>
      <c r="C421" s="228" t="str">
        <f t="shared" si="43"/>
        <v/>
      </c>
      <c r="D421" s="212" t="str">
        <f t="shared" si="42"/>
        <v/>
      </c>
      <c r="E421" s="212" t="str">
        <f t="shared" ca="1" si="44"/>
        <v/>
      </c>
      <c r="F421" s="212" t="str">
        <f t="shared" ca="1" si="44"/>
        <v/>
      </c>
      <c r="G421" s="212" t="str">
        <f t="shared" ca="1" si="44"/>
        <v/>
      </c>
      <c r="H421" s="212" t="str">
        <f t="shared" ca="1" si="44"/>
        <v/>
      </c>
      <c r="I421" s="212" t="str">
        <f t="shared" ca="1" si="45"/>
        <v/>
      </c>
      <c r="J421" s="212" t="str">
        <f t="shared" ca="1" si="45"/>
        <v/>
      </c>
    </row>
    <row r="422" spans="2:10" x14ac:dyDescent="0.15">
      <c r="B422" s="213" t="str">
        <f t="shared" si="46"/>
        <v/>
      </c>
      <c r="C422" s="228" t="str">
        <f t="shared" si="43"/>
        <v/>
      </c>
      <c r="D422" s="212" t="str">
        <f t="shared" si="42"/>
        <v/>
      </c>
      <c r="E422" s="212" t="str">
        <f t="shared" ca="1" si="44"/>
        <v/>
      </c>
      <c r="F422" s="212" t="str">
        <f t="shared" ca="1" si="44"/>
        <v/>
      </c>
      <c r="G422" s="212" t="str">
        <f t="shared" ca="1" si="44"/>
        <v/>
      </c>
      <c r="H422" s="212" t="str">
        <f t="shared" ca="1" si="44"/>
        <v/>
      </c>
      <c r="I422" s="212" t="str">
        <f t="shared" ca="1" si="45"/>
        <v/>
      </c>
      <c r="J422" s="212" t="str">
        <f t="shared" ca="1" si="45"/>
        <v/>
      </c>
    </row>
    <row r="423" spans="2:10" x14ac:dyDescent="0.15">
      <c r="B423" s="213" t="str">
        <f t="shared" si="46"/>
        <v/>
      </c>
      <c r="C423" s="228" t="str">
        <f t="shared" si="43"/>
        <v/>
      </c>
      <c r="D423" s="212" t="str">
        <f t="shared" si="42"/>
        <v/>
      </c>
      <c r="E423" s="212" t="str">
        <f t="shared" ca="1" si="44"/>
        <v/>
      </c>
      <c r="F423" s="212" t="str">
        <f t="shared" ca="1" si="44"/>
        <v/>
      </c>
      <c r="G423" s="212" t="str">
        <f t="shared" ca="1" si="44"/>
        <v/>
      </c>
      <c r="H423" s="212" t="str">
        <f t="shared" ca="1" si="44"/>
        <v/>
      </c>
      <c r="I423" s="212" t="str">
        <f t="shared" ca="1" si="45"/>
        <v/>
      </c>
      <c r="J423" s="212" t="str">
        <f t="shared" ca="1" si="45"/>
        <v/>
      </c>
    </row>
    <row r="424" spans="2:10" x14ac:dyDescent="0.15">
      <c r="B424" s="213" t="str">
        <f t="shared" si="46"/>
        <v/>
      </c>
      <c r="C424" s="228" t="str">
        <f t="shared" si="43"/>
        <v/>
      </c>
      <c r="D424" s="212" t="str">
        <f t="shared" si="42"/>
        <v/>
      </c>
      <c r="E424" s="212" t="str">
        <f t="shared" ca="1" si="44"/>
        <v/>
      </c>
      <c r="F424" s="212" t="str">
        <f t="shared" ca="1" si="44"/>
        <v/>
      </c>
      <c r="G424" s="212" t="str">
        <f t="shared" ca="1" si="44"/>
        <v/>
      </c>
      <c r="H424" s="212" t="str">
        <f t="shared" ca="1" si="44"/>
        <v/>
      </c>
      <c r="I424" s="212" t="str">
        <f t="shared" ca="1" si="45"/>
        <v/>
      </c>
      <c r="J424" s="212" t="str">
        <f t="shared" ca="1" si="45"/>
        <v/>
      </c>
    </row>
    <row r="425" spans="2:10" x14ac:dyDescent="0.15">
      <c r="B425" s="213" t="str">
        <f t="shared" si="46"/>
        <v/>
      </c>
      <c r="C425" s="228" t="str">
        <f t="shared" si="43"/>
        <v/>
      </c>
      <c r="D425" s="212" t="str">
        <f t="shared" si="42"/>
        <v/>
      </c>
      <c r="E425" s="212" t="str">
        <f t="shared" ca="1" si="44"/>
        <v/>
      </c>
      <c r="F425" s="212" t="str">
        <f t="shared" ca="1" si="44"/>
        <v/>
      </c>
      <c r="G425" s="212" t="str">
        <f t="shared" ca="1" si="44"/>
        <v/>
      </c>
      <c r="H425" s="212" t="str">
        <f t="shared" ca="1" si="44"/>
        <v/>
      </c>
      <c r="I425" s="212" t="str">
        <f t="shared" ca="1" si="45"/>
        <v/>
      </c>
      <c r="J425" s="212" t="str">
        <f t="shared" ca="1" si="45"/>
        <v/>
      </c>
    </row>
    <row r="426" spans="2:10" x14ac:dyDescent="0.15">
      <c r="B426" s="213" t="str">
        <f t="shared" si="46"/>
        <v/>
      </c>
      <c r="C426" s="228" t="str">
        <f t="shared" si="43"/>
        <v/>
      </c>
      <c r="D426" s="212" t="str">
        <f t="shared" si="42"/>
        <v/>
      </c>
      <c r="E426" s="212" t="str">
        <f t="shared" ca="1" si="44"/>
        <v/>
      </c>
      <c r="F426" s="212" t="str">
        <f t="shared" ca="1" si="44"/>
        <v/>
      </c>
      <c r="G426" s="212" t="str">
        <f t="shared" ca="1" si="44"/>
        <v/>
      </c>
      <c r="H426" s="212" t="str">
        <f t="shared" ca="1" si="44"/>
        <v/>
      </c>
      <c r="I426" s="212" t="str">
        <f t="shared" ca="1" si="45"/>
        <v/>
      </c>
      <c r="J426" s="212" t="str">
        <f t="shared" ca="1" si="45"/>
        <v/>
      </c>
    </row>
    <row r="427" spans="2:10" x14ac:dyDescent="0.15">
      <c r="B427" s="213" t="str">
        <f t="shared" si="46"/>
        <v/>
      </c>
      <c r="C427" s="228" t="str">
        <f t="shared" si="43"/>
        <v/>
      </c>
      <c r="D427" s="212" t="str">
        <f t="shared" si="42"/>
        <v/>
      </c>
      <c r="E427" s="212" t="str">
        <f t="shared" ca="1" si="44"/>
        <v/>
      </c>
      <c r="F427" s="212" t="str">
        <f t="shared" ca="1" si="44"/>
        <v/>
      </c>
      <c r="G427" s="212" t="str">
        <f t="shared" ca="1" si="44"/>
        <v/>
      </c>
      <c r="H427" s="212" t="str">
        <f t="shared" ca="1" si="44"/>
        <v/>
      </c>
      <c r="I427" s="212" t="str">
        <f t="shared" ca="1" si="45"/>
        <v/>
      </c>
      <c r="J427" s="212" t="str">
        <f t="shared" ca="1" si="45"/>
        <v/>
      </c>
    </row>
    <row r="428" spans="2:10" x14ac:dyDescent="0.15">
      <c r="B428" s="213" t="str">
        <f t="shared" si="46"/>
        <v/>
      </c>
      <c r="C428" s="228" t="str">
        <f t="shared" si="43"/>
        <v/>
      </c>
      <c r="D428" s="212" t="str">
        <f t="shared" si="42"/>
        <v/>
      </c>
      <c r="E428" s="212" t="str">
        <f t="shared" ca="1" si="44"/>
        <v/>
      </c>
      <c r="F428" s="212" t="str">
        <f t="shared" ca="1" si="44"/>
        <v/>
      </c>
      <c r="G428" s="212" t="str">
        <f t="shared" ca="1" si="44"/>
        <v/>
      </c>
      <c r="H428" s="212" t="str">
        <f t="shared" ca="1" si="44"/>
        <v/>
      </c>
      <c r="I428" s="212" t="str">
        <f t="shared" ca="1" si="45"/>
        <v/>
      </c>
      <c r="J428" s="212" t="str">
        <f t="shared" ca="1" si="45"/>
        <v/>
      </c>
    </row>
    <row r="429" spans="2:10" x14ac:dyDescent="0.15">
      <c r="B429" s="213" t="str">
        <f t="shared" si="46"/>
        <v/>
      </c>
      <c r="C429" s="228" t="str">
        <f t="shared" si="43"/>
        <v/>
      </c>
      <c r="D429" s="212" t="str">
        <f t="shared" si="42"/>
        <v/>
      </c>
      <c r="E429" s="212" t="str">
        <f t="shared" ca="1" si="44"/>
        <v/>
      </c>
      <c r="F429" s="212" t="str">
        <f t="shared" ca="1" si="44"/>
        <v/>
      </c>
      <c r="G429" s="212" t="str">
        <f t="shared" ca="1" si="44"/>
        <v/>
      </c>
      <c r="H429" s="212" t="str">
        <f t="shared" ca="1" si="44"/>
        <v/>
      </c>
      <c r="I429" s="212" t="str">
        <f t="shared" ca="1" si="45"/>
        <v/>
      </c>
      <c r="J429" s="212" t="str">
        <f t="shared" ca="1" si="45"/>
        <v/>
      </c>
    </row>
    <row r="430" spans="2:10" x14ac:dyDescent="0.15">
      <c r="B430" s="213" t="str">
        <f t="shared" si="46"/>
        <v/>
      </c>
      <c r="C430" s="228" t="str">
        <f t="shared" si="43"/>
        <v/>
      </c>
      <c r="D430" s="212" t="str">
        <f t="shared" si="42"/>
        <v/>
      </c>
      <c r="E430" s="212" t="str">
        <f t="shared" ca="1" si="44"/>
        <v/>
      </c>
      <c r="F430" s="212" t="str">
        <f t="shared" ca="1" si="44"/>
        <v/>
      </c>
      <c r="G430" s="212" t="str">
        <f t="shared" ca="1" si="44"/>
        <v/>
      </c>
      <c r="H430" s="212" t="str">
        <f t="shared" ca="1" si="44"/>
        <v/>
      </c>
      <c r="I430" s="212" t="str">
        <f t="shared" ca="1" si="45"/>
        <v/>
      </c>
      <c r="J430" s="212" t="str">
        <f t="shared" ca="1" si="45"/>
        <v/>
      </c>
    </row>
    <row r="431" spans="2:10" x14ac:dyDescent="0.15">
      <c r="B431" s="213" t="str">
        <f t="shared" si="46"/>
        <v/>
      </c>
      <c r="C431" s="228" t="str">
        <f t="shared" si="43"/>
        <v/>
      </c>
      <c r="D431" s="212" t="str">
        <f t="shared" si="42"/>
        <v/>
      </c>
      <c r="E431" s="212" t="str">
        <f t="shared" ca="1" si="44"/>
        <v/>
      </c>
      <c r="F431" s="212" t="str">
        <f t="shared" ca="1" si="44"/>
        <v/>
      </c>
      <c r="G431" s="212" t="str">
        <f t="shared" ca="1" si="44"/>
        <v/>
      </c>
      <c r="H431" s="212" t="str">
        <f t="shared" ca="1" si="44"/>
        <v/>
      </c>
      <c r="I431" s="212" t="str">
        <f t="shared" ca="1" si="45"/>
        <v/>
      </c>
      <c r="J431" s="212" t="str">
        <f t="shared" ca="1" si="45"/>
        <v/>
      </c>
    </row>
    <row r="432" spans="2:10" x14ac:dyDescent="0.15">
      <c r="B432" s="213" t="str">
        <f t="shared" si="46"/>
        <v/>
      </c>
      <c r="C432" s="228" t="str">
        <f t="shared" si="43"/>
        <v/>
      </c>
      <c r="D432" s="212" t="str">
        <f t="shared" si="42"/>
        <v/>
      </c>
      <c r="E432" s="212" t="str">
        <f t="shared" ca="1" si="44"/>
        <v/>
      </c>
      <c r="F432" s="212" t="str">
        <f t="shared" ca="1" si="44"/>
        <v/>
      </c>
      <c r="G432" s="212" t="str">
        <f t="shared" ca="1" si="44"/>
        <v/>
      </c>
      <c r="H432" s="212" t="str">
        <f t="shared" ca="1" si="44"/>
        <v/>
      </c>
      <c r="I432" s="212" t="str">
        <f t="shared" ca="1" si="45"/>
        <v/>
      </c>
      <c r="J432" s="212" t="str">
        <f t="shared" ca="1" si="45"/>
        <v/>
      </c>
    </row>
    <row r="433" spans="2:10" x14ac:dyDescent="0.15">
      <c r="B433" s="213" t="str">
        <f t="shared" si="46"/>
        <v/>
      </c>
      <c r="C433" s="228" t="str">
        <f t="shared" si="43"/>
        <v/>
      </c>
      <c r="D433" s="212" t="str">
        <f t="shared" si="42"/>
        <v/>
      </c>
      <c r="E433" s="212" t="str">
        <f t="shared" ca="1" si="44"/>
        <v/>
      </c>
      <c r="F433" s="212" t="str">
        <f t="shared" ca="1" si="44"/>
        <v/>
      </c>
      <c r="G433" s="212" t="str">
        <f t="shared" ca="1" si="44"/>
        <v/>
      </c>
      <c r="H433" s="212" t="str">
        <f t="shared" ca="1" si="44"/>
        <v/>
      </c>
      <c r="I433" s="212" t="str">
        <f t="shared" ca="1" si="45"/>
        <v/>
      </c>
      <c r="J433" s="212" t="str">
        <f t="shared" ca="1" si="45"/>
        <v/>
      </c>
    </row>
    <row r="434" spans="2:10" x14ac:dyDescent="0.15">
      <c r="B434" s="213" t="str">
        <f t="shared" si="46"/>
        <v/>
      </c>
      <c r="C434" s="228" t="str">
        <f t="shared" si="43"/>
        <v/>
      </c>
      <c r="D434" s="212" t="str">
        <f t="shared" si="42"/>
        <v/>
      </c>
      <c r="E434" s="212" t="str">
        <f t="shared" ca="1" si="44"/>
        <v/>
      </c>
      <c r="F434" s="212" t="str">
        <f t="shared" ca="1" si="44"/>
        <v/>
      </c>
      <c r="G434" s="212" t="str">
        <f t="shared" ca="1" si="44"/>
        <v/>
      </c>
      <c r="H434" s="212" t="str">
        <f t="shared" ca="1" si="44"/>
        <v/>
      </c>
      <c r="I434" s="212" t="str">
        <f t="shared" ca="1" si="45"/>
        <v/>
      </c>
      <c r="J434" s="212" t="str">
        <f t="shared" ca="1" si="45"/>
        <v/>
      </c>
    </row>
    <row r="435" spans="2:10" x14ac:dyDescent="0.15">
      <c r="B435" s="213" t="str">
        <f t="shared" si="46"/>
        <v/>
      </c>
      <c r="C435" s="228" t="str">
        <f t="shared" si="43"/>
        <v/>
      </c>
      <c r="D435" s="212" t="str">
        <f t="shared" si="42"/>
        <v/>
      </c>
      <c r="E435" s="212" t="str">
        <f t="shared" ca="1" si="44"/>
        <v/>
      </c>
      <c r="F435" s="212" t="str">
        <f t="shared" ca="1" si="44"/>
        <v/>
      </c>
      <c r="G435" s="212" t="str">
        <f t="shared" ca="1" si="44"/>
        <v/>
      </c>
      <c r="H435" s="212" t="str">
        <f t="shared" ca="1" si="44"/>
        <v/>
      </c>
      <c r="I435" s="212" t="str">
        <f t="shared" ca="1" si="45"/>
        <v/>
      </c>
      <c r="J435" s="212" t="str">
        <f t="shared" ca="1" si="45"/>
        <v/>
      </c>
    </row>
    <row r="436" spans="2:10" x14ac:dyDescent="0.15">
      <c r="B436" s="213" t="str">
        <f t="shared" si="46"/>
        <v/>
      </c>
      <c r="C436" s="228" t="str">
        <f t="shared" si="43"/>
        <v/>
      </c>
      <c r="D436" s="212" t="str">
        <f t="shared" si="42"/>
        <v/>
      </c>
      <c r="E436" s="212" t="str">
        <f t="shared" ca="1" si="44"/>
        <v/>
      </c>
      <c r="F436" s="212" t="str">
        <f t="shared" ca="1" si="44"/>
        <v/>
      </c>
      <c r="G436" s="212" t="str">
        <f t="shared" ca="1" si="44"/>
        <v/>
      </c>
      <c r="H436" s="212" t="str">
        <f t="shared" ca="1" si="44"/>
        <v/>
      </c>
      <c r="I436" s="212" t="str">
        <f t="shared" ca="1" si="45"/>
        <v/>
      </c>
      <c r="J436" s="212" t="str">
        <f t="shared" ca="1" si="45"/>
        <v/>
      </c>
    </row>
    <row r="437" spans="2:10" x14ac:dyDescent="0.15">
      <c r="B437" s="213" t="str">
        <f t="shared" si="46"/>
        <v/>
      </c>
      <c r="C437" s="228" t="str">
        <f t="shared" si="43"/>
        <v/>
      </c>
      <c r="D437" s="212" t="str">
        <f t="shared" si="42"/>
        <v/>
      </c>
      <c r="E437" s="212" t="str">
        <f t="shared" ca="1" si="44"/>
        <v/>
      </c>
      <c r="F437" s="212" t="str">
        <f t="shared" ca="1" si="44"/>
        <v/>
      </c>
      <c r="G437" s="212" t="str">
        <f t="shared" ca="1" si="44"/>
        <v/>
      </c>
      <c r="H437" s="212" t="str">
        <f t="shared" ca="1" si="44"/>
        <v/>
      </c>
      <c r="I437" s="212" t="str">
        <f t="shared" ca="1" si="45"/>
        <v/>
      </c>
      <c r="J437" s="212" t="str">
        <f t="shared" ca="1" si="45"/>
        <v/>
      </c>
    </row>
    <row r="438" spans="2:10" x14ac:dyDescent="0.15">
      <c r="B438" s="213" t="str">
        <f t="shared" si="46"/>
        <v/>
      </c>
      <c r="C438" s="228" t="str">
        <f t="shared" si="43"/>
        <v/>
      </c>
      <c r="D438" s="212" t="str">
        <f t="shared" si="42"/>
        <v/>
      </c>
      <c r="E438" s="212" t="str">
        <f t="shared" ca="1" si="44"/>
        <v/>
      </c>
      <c r="F438" s="212" t="str">
        <f t="shared" ca="1" si="44"/>
        <v/>
      </c>
      <c r="G438" s="212" t="str">
        <f t="shared" ca="1" si="44"/>
        <v/>
      </c>
      <c r="H438" s="212" t="str">
        <f t="shared" ca="1" si="44"/>
        <v/>
      </c>
      <c r="I438" s="212" t="str">
        <f t="shared" ca="1" si="45"/>
        <v/>
      </c>
      <c r="J438" s="212" t="str">
        <f t="shared" ca="1" si="45"/>
        <v/>
      </c>
    </row>
    <row r="439" spans="2:10" x14ac:dyDescent="0.15">
      <c r="B439" s="213" t="str">
        <f t="shared" si="46"/>
        <v/>
      </c>
      <c r="C439" s="228" t="str">
        <f t="shared" si="43"/>
        <v/>
      </c>
      <c r="D439" s="212" t="str">
        <f t="shared" si="42"/>
        <v/>
      </c>
      <c r="E439" s="212" t="str">
        <f t="shared" ca="1" si="44"/>
        <v/>
      </c>
      <c r="F439" s="212" t="str">
        <f t="shared" ca="1" si="44"/>
        <v/>
      </c>
      <c r="G439" s="212" t="str">
        <f t="shared" ca="1" si="44"/>
        <v/>
      </c>
      <c r="H439" s="212" t="str">
        <f t="shared" ca="1" si="44"/>
        <v/>
      </c>
      <c r="I439" s="212" t="str">
        <f t="shared" ca="1" si="45"/>
        <v/>
      </c>
      <c r="J439" s="212" t="str">
        <f t="shared" ca="1" si="45"/>
        <v/>
      </c>
    </row>
    <row r="440" spans="2:10" x14ac:dyDescent="0.15">
      <c r="B440" s="213" t="str">
        <f t="shared" si="46"/>
        <v/>
      </c>
      <c r="C440" s="228" t="str">
        <f t="shared" si="43"/>
        <v/>
      </c>
      <c r="D440" s="212" t="str">
        <f t="shared" si="42"/>
        <v/>
      </c>
      <c r="E440" s="212" t="str">
        <f t="shared" ca="1" si="44"/>
        <v/>
      </c>
      <c r="F440" s="212" t="str">
        <f t="shared" ca="1" si="44"/>
        <v/>
      </c>
      <c r="G440" s="212" t="str">
        <f t="shared" ca="1" si="44"/>
        <v/>
      </c>
      <c r="H440" s="212" t="str">
        <f t="shared" ca="1" si="44"/>
        <v/>
      </c>
      <c r="I440" s="212" t="str">
        <f t="shared" ca="1" si="45"/>
        <v/>
      </c>
      <c r="J440" s="212" t="str">
        <f t="shared" ca="1" si="45"/>
        <v/>
      </c>
    </row>
    <row r="441" spans="2:10" x14ac:dyDescent="0.15">
      <c r="B441" s="213" t="str">
        <f t="shared" si="46"/>
        <v/>
      </c>
      <c r="C441" s="228" t="str">
        <f t="shared" si="43"/>
        <v/>
      </c>
      <c r="D441" s="212" t="str">
        <f t="shared" si="42"/>
        <v/>
      </c>
      <c r="E441" s="212" t="str">
        <f t="shared" ca="1" si="44"/>
        <v/>
      </c>
      <c r="F441" s="212" t="str">
        <f t="shared" ca="1" si="44"/>
        <v/>
      </c>
      <c r="G441" s="212" t="str">
        <f t="shared" ca="1" si="44"/>
        <v/>
      </c>
      <c r="H441" s="212" t="str">
        <f t="shared" ca="1" si="44"/>
        <v/>
      </c>
      <c r="I441" s="212" t="str">
        <f t="shared" ca="1" si="45"/>
        <v/>
      </c>
      <c r="J441" s="212" t="str">
        <f t="shared" ca="1" si="45"/>
        <v/>
      </c>
    </row>
    <row r="442" spans="2:10" x14ac:dyDescent="0.15">
      <c r="B442" s="213" t="str">
        <f t="shared" si="46"/>
        <v/>
      </c>
      <c r="C442" s="228" t="str">
        <f t="shared" si="43"/>
        <v/>
      </c>
      <c r="D442" s="212" t="str">
        <f t="shared" si="42"/>
        <v/>
      </c>
      <c r="E442" s="212" t="str">
        <f t="shared" ca="1" si="44"/>
        <v/>
      </c>
      <c r="F442" s="212" t="str">
        <f t="shared" ca="1" si="44"/>
        <v/>
      </c>
      <c r="G442" s="212" t="str">
        <f t="shared" ca="1" si="44"/>
        <v/>
      </c>
      <c r="H442" s="212" t="str">
        <f t="shared" ca="1" si="44"/>
        <v/>
      </c>
      <c r="I442" s="212" t="str">
        <f t="shared" ca="1" si="45"/>
        <v/>
      </c>
      <c r="J442" s="212" t="str">
        <f t="shared" ca="1" si="45"/>
        <v/>
      </c>
    </row>
    <row r="443" spans="2:10" x14ac:dyDescent="0.15">
      <c r="B443" s="213" t="str">
        <f t="shared" si="46"/>
        <v/>
      </c>
      <c r="C443" s="228" t="str">
        <f t="shared" si="43"/>
        <v/>
      </c>
      <c r="D443" s="212" t="str">
        <f t="shared" si="42"/>
        <v/>
      </c>
      <c r="E443" s="212" t="str">
        <f t="shared" ca="1" si="44"/>
        <v/>
      </c>
      <c r="F443" s="212" t="str">
        <f t="shared" ca="1" si="44"/>
        <v/>
      </c>
      <c r="G443" s="212" t="str">
        <f t="shared" ca="1" si="44"/>
        <v/>
      </c>
      <c r="H443" s="212" t="str">
        <f t="shared" ca="1" si="44"/>
        <v/>
      </c>
      <c r="I443" s="212" t="str">
        <f t="shared" ca="1" si="45"/>
        <v/>
      </c>
      <c r="J443" s="212" t="str">
        <f t="shared" ca="1" si="45"/>
        <v/>
      </c>
    </row>
    <row r="444" spans="2:10" x14ac:dyDescent="0.15">
      <c r="B444" s="213" t="str">
        <f t="shared" si="46"/>
        <v/>
      </c>
      <c r="C444" s="228" t="str">
        <f t="shared" si="43"/>
        <v/>
      </c>
      <c r="D444" s="212" t="str">
        <f t="shared" si="42"/>
        <v/>
      </c>
      <c r="E444" s="212" t="str">
        <f t="shared" ca="1" si="44"/>
        <v/>
      </c>
      <c r="F444" s="212" t="str">
        <f t="shared" ca="1" si="44"/>
        <v/>
      </c>
      <c r="G444" s="212" t="str">
        <f t="shared" ca="1" si="44"/>
        <v/>
      </c>
      <c r="H444" s="212" t="str">
        <f t="shared" ca="1" si="44"/>
        <v/>
      </c>
      <c r="I444" s="212" t="str">
        <f t="shared" ca="1" si="45"/>
        <v/>
      </c>
      <c r="J444" s="212" t="str">
        <f t="shared" ca="1" si="45"/>
        <v/>
      </c>
    </row>
    <row r="445" spans="2:10" x14ac:dyDescent="0.15">
      <c r="B445" s="213" t="str">
        <f t="shared" si="46"/>
        <v/>
      </c>
      <c r="C445" s="228" t="str">
        <f t="shared" si="43"/>
        <v/>
      </c>
      <c r="D445" s="212" t="str">
        <f t="shared" si="42"/>
        <v/>
      </c>
      <c r="E445" s="212" t="str">
        <f t="shared" ca="1" si="44"/>
        <v/>
      </c>
      <c r="F445" s="212" t="str">
        <f t="shared" ca="1" si="44"/>
        <v/>
      </c>
      <c r="G445" s="212" t="str">
        <f t="shared" ca="1" si="44"/>
        <v/>
      </c>
      <c r="H445" s="212" t="str">
        <f t="shared" ca="1" si="44"/>
        <v/>
      </c>
      <c r="I445" s="212" t="str">
        <f t="shared" ca="1" si="45"/>
        <v/>
      </c>
      <c r="J445" s="212" t="str">
        <f t="shared" ca="1" si="45"/>
        <v/>
      </c>
    </row>
    <row r="446" spans="2:10" x14ac:dyDescent="0.15">
      <c r="B446" s="213" t="str">
        <f t="shared" si="46"/>
        <v/>
      </c>
      <c r="C446" s="228" t="str">
        <f t="shared" si="43"/>
        <v/>
      </c>
      <c r="D446" s="212" t="str">
        <f t="shared" si="42"/>
        <v/>
      </c>
      <c r="E446" s="212" t="str">
        <f t="shared" ca="1" si="44"/>
        <v/>
      </c>
      <c r="F446" s="212" t="str">
        <f t="shared" ca="1" si="44"/>
        <v/>
      </c>
      <c r="G446" s="212" t="str">
        <f t="shared" ca="1" si="44"/>
        <v/>
      </c>
      <c r="H446" s="212" t="str">
        <f t="shared" ca="1" si="44"/>
        <v/>
      </c>
      <c r="I446" s="212" t="str">
        <f t="shared" ca="1" si="45"/>
        <v/>
      </c>
      <c r="J446" s="212" t="str">
        <f t="shared" ca="1" si="45"/>
        <v/>
      </c>
    </row>
    <row r="447" spans="2:10" x14ac:dyDescent="0.15">
      <c r="B447" s="213" t="str">
        <f t="shared" si="46"/>
        <v/>
      </c>
      <c r="C447" s="228" t="str">
        <f t="shared" si="43"/>
        <v/>
      </c>
      <c r="D447" s="212" t="str">
        <f t="shared" si="42"/>
        <v/>
      </c>
      <c r="E447" s="212" t="str">
        <f t="shared" ca="1" si="44"/>
        <v/>
      </c>
      <c r="F447" s="212" t="str">
        <f t="shared" ca="1" si="44"/>
        <v/>
      </c>
      <c r="G447" s="212" t="str">
        <f t="shared" ca="1" si="44"/>
        <v/>
      </c>
      <c r="H447" s="212" t="str">
        <f t="shared" ca="1" si="44"/>
        <v/>
      </c>
      <c r="I447" s="212" t="str">
        <f t="shared" ca="1" si="45"/>
        <v/>
      </c>
      <c r="J447" s="212" t="str">
        <f t="shared" ca="1" si="45"/>
        <v/>
      </c>
    </row>
    <row r="448" spans="2:10" x14ac:dyDescent="0.15">
      <c r="B448" s="213" t="str">
        <f t="shared" si="46"/>
        <v/>
      </c>
      <c r="C448" s="228" t="str">
        <f t="shared" si="43"/>
        <v/>
      </c>
      <c r="D448" s="212" t="str">
        <f t="shared" si="42"/>
        <v/>
      </c>
      <c r="E448" s="212" t="str">
        <f t="shared" ca="1" si="44"/>
        <v/>
      </c>
      <c r="F448" s="212" t="str">
        <f t="shared" ca="1" si="44"/>
        <v/>
      </c>
      <c r="G448" s="212" t="str">
        <f t="shared" ca="1" si="44"/>
        <v/>
      </c>
      <c r="H448" s="212" t="str">
        <f t="shared" ca="1" si="44"/>
        <v/>
      </c>
      <c r="I448" s="212" t="str">
        <f t="shared" ca="1" si="45"/>
        <v/>
      </c>
      <c r="J448" s="212" t="str">
        <f t="shared" ca="1" si="45"/>
        <v/>
      </c>
    </row>
    <row r="449" spans="2:10" x14ac:dyDescent="0.15">
      <c r="B449" s="213" t="str">
        <f t="shared" si="46"/>
        <v/>
      </c>
      <c r="C449" s="228" t="str">
        <f t="shared" si="43"/>
        <v/>
      </c>
      <c r="D449" s="212" t="str">
        <f t="shared" si="42"/>
        <v/>
      </c>
      <c r="E449" s="212" t="str">
        <f t="shared" ca="1" si="44"/>
        <v/>
      </c>
      <c r="F449" s="212" t="str">
        <f t="shared" ca="1" si="44"/>
        <v/>
      </c>
      <c r="G449" s="212" t="str">
        <f t="shared" ca="1" si="44"/>
        <v/>
      </c>
      <c r="H449" s="212" t="str">
        <f t="shared" ca="1" si="44"/>
        <v/>
      </c>
      <c r="I449" s="212" t="str">
        <f t="shared" ca="1" si="45"/>
        <v/>
      </c>
      <c r="J449" s="212" t="str">
        <f t="shared" ca="1" si="45"/>
        <v/>
      </c>
    </row>
    <row r="450" spans="2:10" x14ac:dyDescent="0.15">
      <c r="B450" s="213" t="str">
        <f t="shared" si="46"/>
        <v/>
      </c>
      <c r="C450" s="228" t="str">
        <f t="shared" si="43"/>
        <v/>
      </c>
      <c r="D450" s="212" t="str">
        <f t="shared" si="42"/>
        <v/>
      </c>
      <c r="E450" s="212" t="str">
        <f t="shared" ca="1" si="44"/>
        <v/>
      </c>
      <c r="F450" s="212" t="str">
        <f t="shared" ca="1" si="44"/>
        <v/>
      </c>
      <c r="G450" s="212" t="str">
        <f t="shared" ca="1" si="44"/>
        <v/>
      </c>
      <c r="H450" s="212" t="str">
        <f t="shared" ca="1" si="44"/>
        <v/>
      </c>
      <c r="I450" s="212" t="str">
        <f t="shared" ca="1" si="45"/>
        <v/>
      </c>
      <c r="J450" s="212" t="str">
        <f t="shared" ca="1" si="45"/>
        <v/>
      </c>
    </row>
    <row r="451" spans="2:10" x14ac:dyDescent="0.15">
      <c r="B451" s="213" t="str">
        <f t="shared" si="46"/>
        <v/>
      </c>
      <c r="C451" s="228" t="str">
        <f t="shared" si="43"/>
        <v/>
      </c>
      <c r="D451" s="212" t="str">
        <f t="shared" si="42"/>
        <v/>
      </c>
      <c r="E451" s="212" t="str">
        <f t="shared" ca="1" si="44"/>
        <v/>
      </c>
      <c r="F451" s="212" t="str">
        <f t="shared" ca="1" si="44"/>
        <v/>
      </c>
      <c r="G451" s="212" t="str">
        <f t="shared" ca="1" si="44"/>
        <v/>
      </c>
      <c r="H451" s="212" t="str">
        <f t="shared" ca="1" si="44"/>
        <v/>
      </c>
      <c r="I451" s="212" t="str">
        <f t="shared" ca="1" si="45"/>
        <v/>
      </c>
      <c r="J451" s="212" t="str">
        <f t="shared" ca="1" si="45"/>
        <v/>
      </c>
    </row>
    <row r="452" spans="2:10" x14ac:dyDescent="0.15">
      <c r="B452" s="213" t="str">
        <f t="shared" si="46"/>
        <v/>
      </c>
      <c r="C452" s="228" t="str">
        <f t="shared" si="43"/>
        <v/>
      </c>
      <c r="D452" s="212" t="str">
        <f t="shared" si="42"/>
        <v/>
      </c>
      <c r="E452" s="212" t="str">
        <f t="shared" ca="1" si="44"/>
        <v/>
      </c>
      <c r="F452" s="212" t="str">
        <f t="shared" ca="1" si="44"/>
        <v/>
      </c>
      <c r="G452" s="212" t="str">
        <f t="shared" ca="1" si="44"/>
        <v/>
      </c>
      <c r="H452" s="212" t="str">
        <f t="shared" ca="1" si="44"/>
        <v/>
      </c>
      <c r="I452" s="212" t="str">
        <f t="shared" ca="1" si="45"/>
        <v/>
      </c>
      <c r="J452" s="212" t="str">
        <f t="shared" ca="1" si="45"/>
        <v/>
      </c>
    </row>
    <row r="453" spans="2:10" x14ac:dyDescent="0.15">
      <c r="B453" s="213" t="str">
        <f t="shared" si="46"/>
        <v/>
      </c>
      <c r="C453" s="228" t="str">
        <f t="shared" si="43"/>
        <v/>
      </c>
      <c r="D453" s="212" t="str">
        <f t="shared" si="42"/>
        <v/>
      </c>
      <c r="E453" s="212" t="str">
        <f t="shared" ca="1" si="44"/>
        <v/>
      </c>
      <c r="F453" s="212" t="str">
        <f t="shared" ca="1" si="44"/>
        <v/>
      </c>
      <c r="G453" s="212" t="str">
        <f t="shared" ca="1" si="44"/>
        <v/>
      </c>
      <c r="H453" s="212" t="str">
        <f t="shared" ca="1" si="44"/>
        <v/>
      </c>
      <c r="I453" s="212" t="str">
        <f t="shared" ca="1" si="45"/>
        <v/>
      </c>
      <c r="J453" s="212" t="str">
        <f t="shared" ca="1" si="45"/>
        <v/>
      </c>
    </row>
    <row r="454" spans="2:10" x14ac:dyDescent="0.15">
      <c r="B454" s="213" t="str">
        <f t="shared" si="46"/>
        <v/>
      </c>
      <c r="C454" s="228" t="str">
        <f t="shared" si="43"/>
        <v/>
      </c>
      <c r="D454" s="212" t="str">
        <f t="shared" si="42"/>
        <v/>
      </c>
      <c r="E454" s="212" t="str">
        <f t="shared" ca="1" si="44"/>
        <v/>
      </c>
      <c r="F454" s="212" t="str">
        <f t="shared" ca="1" si="44"/>
        <v/>
      </c>
      <c r="G454" s="212" t="str">
        <f t="shared" ca="1" si="44"/>
        <v/>
      </c>
      <c r="H454" s="212" t="str">
        <f t="shared" ca="1" si="44"/>
        <v/>
      </c>
      <c r="I454" s="212" t="str">
        <f t="shared" ca="1" si="45"/>
        <v/>
      </c>
      <c r="J454" s="212" t="str">
        <f t="shared" ca="1" si="45"/>
        <v/>
      </c>
    </row>
    <row r="455" spans="2:10" x14ac:dyDescent="0.15">
      <c r="B455" s="213" t="str">
        <f t="shared" si="46"/>
        <v/>
      </c>
      <c r="C455" s="228" t="str">
        <f t="shared" si="43"/>
        <v/>
      </c>
      <c r="D455" s="212" t="str">
        <f t="shared" si="42"/>
        <v/>
      </c>
      <c r="E455" s="212" t="str">
        <f t="shared" ca="1" si="44"/>
        <v/>
      </c>
      <c r="F455" s="212" t="str">
        <f t="shared" ca="1" si="44"/>
        <v/>
      </c>
      <c r="G455" s="212" t="str">
        <f t="shared" ca="1" si="44"/>
        <v/>
      </c>
      <c r="H455" s="212" t="str">
        <f t="shared" ca="1" si="44"/>
        <v/>
      </c>
      <c r="I455" s="212" t="str">
        <f t="shared" ca="1" si="45"/>
        <v/>
      </c>
      <c r="J455" s="212" t="str">
        <f t="shared" ca="1" si="45"/>
        <v/>
      </c>
    </row>
    <row r="456" spans="2:10" x14ac:dyDescent="0.15">
      <c r="B456" s="213" t="str">
        <f t="shared" si="46"/>
        <v/>
      </c>
      <c r="C456" s="228" t="str">
        <f t="shared" si="43"/>
        <v/>
      </c>
      <c r="D456" s="212" t="str">
        <f t="shared" si="42"/>
        <v/>
      </c>
      <c r="E456" s="212" t="str">
        <f t="shared" ca="1" si="44"/>
        <v/>
      </c>
      <c r="F456" s="212" t="str">
        <f t="shared" ca="1" si="44"/>
        <v/>
      </c>
      <c r="G456" s="212" t="str">
        <f t="shared" ca="1" si="44"/>
        <v/>
      </c>
      <c r="H456" s="212" t="str">
        <f t="shared" ca="1" si="44"/>
        <v/>
      </c>
      <c r="I456" s="212" t="str">
        <f t="shared" ca="1" si="45"/>
        <v/>
      </c>
      <c r="J456" s="212" t="str">
        <f t="shared" ca="1" si="45"/>
        <v/>
      </c>
    </row>
    <row r="457" spans="2:10" x14ac:dyDescent="0.15">
      <c r="B457" s="213" t="str">
        <f t="shared" si="46"/>
        <v/>
      </c>
      <c r="C457" s="228" t="str">
        <f t="shared" si="43"/>
        <v/>
      </c>
      <c r="D457" s="212" t="str">
        <f t="shared" si="42"/>
        <v/>
      </c>
      <c r="E457" s="212" t="str">
        <f t="shared" ca="1" si="44"/>
        <v/>
      </c>
      <c r="F457" s="212" t="str">
        <f t="shared" ca="1" si="44"/>
        <v/>
      </c>
      <c r="G457" s="212" t="str">
        <f t="shared" ca="1" si="44"/>
        <v/>
      </c>
      <c r="H457" s="212" t="str">
        <f t="shared" ca="1" si="44"/>
        <v/>
      </c>
      <c r="I457" s="212" t="str">
        <f t="shared" ca="1" si="45"/>
        <v/>
      </c>
      <c r="J457" s="212" t="str">
        <f t="shared" ca="1" si="45"/>
        <v/>
      </c>
    </row>
    <row r="458" spans="2:10" x14ac:dyDescent="0.15">
      <c r="B458" s="213" t="str">
        <f t="shared" si="46"/>
        <v/>
      </c>
      <c r="C458" s="228" t="str">
        <f t="shared" si="43"/>
        <v/>
      </c>
      <c r="D458" s="212" t="str">
        <f t="shared" si="42"/>
        <v/>
      </c>
      <c r="E458" s="212" t="str">
        <f t="shared" ca="1" si="44"/>
        <v/>
      </c>
      <c r="F458" s="212" t="str">
        <f t="shared" ca="1" si="44"/>
        <v/>
      </c>
      <c r="G458" s="212" t="str">
        <f t="shared" ca="1" si="44"/>
        <v/>
      </c>
      <c r="H458" s="212" t="str">
        <f t="shared" ca="1" si="44"/>
        <v/>
      </c>
      <c r="I458" s="212" t="str">
        <f t="shared" ca="1" si="45"/>
        <v/>
      </c>
      <c r="J458" s="212" t="str">
        <f t="shared" ca="1" si="45"/>
        <v/>
      </c>
    </row>
    <row r="459" spans="2:10" x14ac:dyDescent="0.15">
      <c r="B459" s="213" t="str">
        <f t="shared" si="46"/>
        <v/>
      </c>
      <c r="C459" s="228" t="str">
        <f t="shared" si="43"/>
        <v/>
      </c>
      <c r="D459" s="212" t="str">
        <f t="shared" si="42"/>
        <v/>
      </c>
      <c r="E459" s="212" t="str">
        <f t="shared" ca="1" si="44"/>
        <v/>
      </c>
      <c r="F459" s="212" t="str">
        <f t="shared" ca="1" si="44"/>
        <v/>
      </c>
      <c r="G459" s="212" t="str">
        <f t="shared" ca="1" si="44"/>
        <v/>
      </c>
      <c r="H459" s="212" t="str">
        <f t="shared" ca="1" si="44"/>
        <v/>
      </c>
      <c r="I459" s="212" t="str">
        <f t="shared" ca="1" si="45"/>
        <v/>
      </c>
      <c r="J459" s="212" t="str">
        <f t="shared" ca="1" si="45"/>
        <v/>
      </c>
    </row>
    <row r="460" spans="2:10" x14ac:dyDescent="0.15">
      <c r="B460" s="213" t="str">
        <f t="shared" si="46"/>
        <v/>
      </c>
      <c r="C460" s="228" t="str">
        <f t="shared" si="43"/>
        <v/>
      </c>
      <c r="D460" s="212" t="str">
        <f t="shared" si="42"/>
        <v/>
      </c>
      <c r="E460" s="212" t="str">
        <f t="shared" ca="1" si="44"/>
        <v/>
      </c>
      <c r="F460" s="212" t="str">
        <f t="shared" ca="1" si="44"/>
        <v/>
      </c>
      <c r="G460" s="212" t="str">
        <f t="shared" ca="1" si="44"/>
        <v/>
      </c>
      <c r="H460" s="212" t="str">
        <f t="shared" ca="1" si="44"/>
        <v/>
      </c>
      <c r="I460" s="212" t="str">
        <f t="shared" ca="1" si="45"/>
        <v/>
      </c>
      <c r="J460" s="212" t="str">
        <f t="shared" ca="1" si="45"/>
        <v/>
      </c>
    </row>
    <row r="461" spans="2:10" x14ac:dyDescent="0.15">
      <c r="B461" s="213" t="str">
        <f t="shared" si="46"/>
        <v/>
      </c>
      <c r="C461" s="228" t="str">
        <f t="shared" si="43"/>
        <v/>
      </c>
      <c r="D461" s="212" t="str">
        <f t="shared" si="42"/>
        <v/>
      </c>
      <c r="E461" s="212" t="str">
        <f t="shared" ca="1" si="44"/>
        <v/>
      </c>
      <c r="F461" s="212" t="str">
        <f t="shared" ca="1" si="44"/>
        <v/>
      </c>
      <c r="G461" s="212" t="str">
        <f t="shared" ca="1" si="44"/>
        <v/>
      </c>
      <c r="H461" s="212" t="str">
        <f t="shared" ca="1" si="44"/>
        <v/>
      </c>
      <c r="I461" s="212" t="str">
        <f t="shared" ca="1" si="45"/>
        <v/>
      </c>
      <c r="J461" s="212" t="str">
        <f t="shared" ca="1" si="45"/>
        <v/>
      </c>
    </row>
    <row r="462" spans="2:10" x14ac:dyDescent="0.15">
      <c r="B462" s="213" t="str">
        <f t="shared" si="46"/>
        <v/>
      </c>
      <c r="C462" s="228" t="str">
        <f t="shared" si="43"/>
        <v/>
      </c>
      <c r="D462" s="212" t="str">
        <f t="shared" si="42"/>
        <v/>
      </c>
      <c r="E462" s="212" t="str">
        <f t="shared" ca="1" si="44"/>
        <v/>
      </c>
      <c r="F462" s="212" t="str">
        <f t="shared" ca="1" si="44"/>
        <v/>
      </c>
      <c r="G462" s="212" t="str">
        <f t="shared" ca="1" si="44"/>
        <v/>
      </c>
      <c r="H462" s="212" t="str">
        <f t="shared" ca="1" si="44"/>
        <v/>
      </c>
      <c r="I462" s="212" t="str">
        <f t="shared" ca="1" si="45"/>
        <v/>
      </c>
      <c r="J462" s="212" t="str">
        <f t="shared" ca="1" si="45"/>
        <v/>
      </c>
    </row>
    <row r="463" spans="2:10" x14ac:dyDescent="0.15">
      <c r="B463" s="213" t="str">
        <f t="shared" si="46"/>
        <v/>
      </c>
      <c r="C463" s="228" t="str">
        <f t="shared" si="43"/>
        <v/>
      </c>
      <c r="D463" s="212" t="str">
        <f t="shared" si="42"/>
        <v/>
      </c>
      <c r="E463" s="212" t="str">
        <f t="shared" ca="1" si="44"/>
        <v/>
      </c>
      <c r="F463" s="212" t="str">
        <f t="shared" ca="1" si="44"/>
        <v/>
      </c>
      <c r="G463" s="212" t="str">
        <f t="shared" ca="1" si="44"/>
        <v/>
      </c>
      <c r="H463" s="212" t="str">
        <f t="shared" ca="1" si="44"/>
        <v/>
      </c>
      <c r="I463" s="212" t="str">
        <f t="shared" ca="1" si="45"/>
        <v/>
      </c>
      <c r="J463" s="212" t="str">
        <f t="shared" ca="1" si="45"/>
        <v/>
      </c>
    </row>
    <row r="464" spans="2:10" x14ac:dyDescent="0.15">
      <c r="B464" s="213" t="str">
        <f t="shared" si="46"/>
        <v/>
      </c>
      <c r="C464" s="228" t="str">
        <f t="shared" si="43"/>
        <v/>
      </c>
      <c r="D464" s="212" t="str">
        <f t="shared" si="42"/>
        <v/>
      </c>
      <c r="E464" s="212" t="str">
        <f t="shared" ca="1" si="44"/>
        <v/>
      </c>
      <c r="F464" s="212" t="str">
        <f t="shared" ca="1" si="44"/>
        <v/>
      </c>
      <c r="G464" s="212" t="str">
        <f t="shared" ca="1" si="44"/>
        <v/>
      </c>
      <c r="H464" s="212" t="str">
        <f t="shared" ca="1" si="44"/>
        <v/>
      </c>
      <c r="I464" s="212" t="str">
        <f t="shared" ca="1" si="45"/>
        <v/>
      </c>
      <c r="J464" s="212" t="str">
        <f t="shared" ca="1" si="45"/>
        <v/>
      </c>
    </row>
    <row r="465" spans="2:10" x14ac:dyDescent="0.15">
      <c r="B465" s="213" t="str">
        <f t="shared" si="46"/>
        <v/>
      </c>
      <c r="C465" s="228" t="str">
        <f t="shared" si="43"/>
        <v/>
      </c>
      <c r="D465" s="212" t="str">
        <f t="shared" si="42"/>
        <v/>
      </c>
      <c r="E465" s="212" t="str">
        <f t="shared" ca="1" si="44"/>
        <v/>
      </c>
      <c r="F465" s="212" t="str">
        <f t="shared" ca="1" si="44"/>
        <v/>
      </c>
      <c r="G465" s="212" t="str">
        <f t="shared" ca="1" si="44"/>
        <v/>
      </c>
      <c r="H465" s="212" t="str">
        <f t="shared" ca="1" si="44"/>
        <v/>
      </c>
      <c r="I465" s="212" t="str">
        <f t="shared" ca="1" si="45"/>
        <v/>
      </c>
      <c r="J465" s="212" t="str">
        <f t="shared" ca="1" si="45"/>
        <v/>
      </c>
    </row>
    <row r="466" spans="2:10" x14ac:dyDescent="0.15">
      <c r="B466" s="213" t="str">
        <f t="shared" si="46"/>
        <v/>
      </c>
      <c r="C466" s="228" t="str">
        <f t="shared" si="43"/>
        <v/>
      </c>
      <c r="D466" s="212" t="str">
        <f t="shared" si="42"/>
        <v/>
      </c>
      <c r="E466" s="212" t="str">
        <f t="shared" ca="1" si="44"/>
        <v/>
      </c>
      <c r="F466" s="212" t="str">
        <f t="shared" ca="1" si="44"/>
        <v/>
      </c>
      <c r="G466" s="212" t="str">
        <f t="shared" ca="1" si="44"/>
        <v/>
      </c>
      <c r="H466" s="212" t="str">
        <f t="shared" ca="1" si="44"/>
        <v/>
      </c>
      <c r="I466" s="212" t="str">
        <f t="shared" ca="1" si="45"/>
        <v/>
      </c>
      <c r="J466" s="212" t="str">
        <f t="shared" ca="1" si="45"/>
        <v/>
      </c>
    </row>
    <row r="467" spans="2:10" x14ac:dyDescent="0.15">
      <c r="B467" s="213" t="str">
        <f t="shared" si="46"/>
        <v/>
      </c>
      <c r="C467" s="228" t="str">
        <f t="shared" si="43"/>
        <v/>
      </c>
      <c r="D467" s="212" t="str">
        <f t="shared" si="42"/>
        <v/>
      </c>
      <c r="E467" s="212" t="str">
        <f t="shared" ca="1" si="44"/>
        <v/>
      </c>
      <c r="F467" s="212" t="str">
        <f t="shared" ca="1" si="44"/>
        <v/>
      </c>
      <c r="G467" s="212" t="str">
        <f t="shared" ca="1" si="44"/>
        <v/>
      </c>
      <c r="H467" s="212" t="str">
        <f t="shared" ca="1" si="44"/>
        <v/>
      </c>
      <c r="I467" s="212" t="str">
        <f t="shared" ca="1" si="45"/>
        <v/>
      </c>
      <c r="J467" s="212" t="str">
        <f t="shared" ca="1" si="45"/>
        <v/>
      </c>
    </row>
    <row r="468" spans="2:10" x14ac:dyDescent="0.15">
      <c r="B468" s="213" t="str">
        <f t="shared" si="46"/>
        <v/>
      </c>
      <c r="C468" s="228" t="str">
        <f t="shared" si="43"/>
        <v/>
      </c>
      <c r="D468" s="212" t="str">
        <f t="shared" si="42"/>
        <v/>
      </c>
      <c r="E468" s="212" t="str">
        <f t="shared" ca="1" si="44"/>
        <v/>
      </c>
      <c r="F468" s="212" t="str">
        <f t="shared" ca="1" si="44"/>
        <v/>
      </c>
      <c r="G468" s="212" t="str">
        <f t="shared" ca="1" si="44"/>
        <v/>
      </c>
      <c r="H468" s="212" t="str">
        <f t="shared" ca="1" si="44"/>
        <v/>
      </c>
      <c r="I468" s="212" t="str">
        <f t="shared" ca="1" si="45"/>
        <v/>
      </c>
      <c r="J468" s="212" t="str">
        <f t="shared" ca="1" si="45"/>
        <v/>
      </c>
    </row>
    <row r="469" spans="2:10" x14ac:dyDescent="0.15">
      <c r="B469" s="213" t="str">
        <f t="shared" si="46"/>
        <v/>
      </c>
      <c r="C469" s="228" t="str">
        <f t="shared" si="43"/>
        <v/>
      </c>
      <c r="D469" s="212" t="str">
        <f t="shared" si="42"/>
        <v/>
      </c>
      <c r="E469" s="212" t="str">
        <f t="shared" ca="1" si="44"/>
        <v/>
      </c>
      <c r="F469" s="212" t="str">
        <f t="shared" ca="1" si="44"/>
        <v/>
      </c>
      <c r="G469" s="212" t="str">
        <f t="shared" ca="1" si="44"/>
        <v/>
      </c>
      <c r="H469" s="212" t="str">
        <f t="shared" ca="1" si="44"/>
        <v/>
      </c>
      <c r="I469" s="212" t="str">
        <f t="shared" ca="1" si="45"/>
        <v/>
      </c>
      <c r="J469" s="212" t="str">
        <f t="shared" ca="1" si="45"/>
        <v/>
      </c>
    </row>
    <row r="470" spans="2:10" x14ac:dyDescent="0.15">
      <c r="B470" s="213" t="str">
        <f t="shared" si="46"/>
        <v/>
      </c>
      <c r="C470" s="228" t="str">
        <f t="shared" si="43"/>
        <v/>
      </c>
      <c r="D470" s="212" t="str">
        <f t="shared" si="42"/>
        <v/>
      </c>
      <c r="E470" s="212" t="str">
        <f t="shared" ca="1" si="44"/>
        <v/>
      </c>
      <c r="F470" s="212" t="str">
        <f t="shared" ca="1" si="44"/>
        <v/>
      </c>
      <c r="G470" s="212" t="str">
        <f t="shared" ca="1" si="44"/>
        <v/>
      </c>
      <c r="H470" s="212" t="str">
        <f t="shared" ca="1" si="44"/>
        <v/>
      </c>
      <c r="I470" s="212" t="str">
        <f t="shared" ca="1" si="45"/>
        <v/>
      </c>
      <c r="J470" s="212" t="str">
        <f t="shared" ca="1" si="45"/>
        <v/>
      </c>
    </row>
    <row r="471" spans="2:10" x14ac:dyDescent="0.15">
      <c r="B471" s="213" t="str">
        <f t="shared" si="46"/>
        <v/>
      </c>
      <c r="C471" s="228" t="str">
        <f t="shared" si="43"/>
        <v/>
      </c>
      <c r="D471" s="212" t="str">
        <f t="shared" si="42"/>
        <v/>
      </c>
      <c r="E471" s="212" t="str">
        <f t="shared" ca="1" si="44"/>
        <v/>
      </c>
      <c r="F471" s="212" t="str">
        <f t="shared" ca="1" si="44"/>
        <v/>
      </c>
      <c r="G471" s="212" t="str">
        <f t="shared" ca="1" si="44"/>
        <v/>
      </c>
      <c r="H471" s="212" t="str">
        <f t="shared" ca="1" si="44"/>
        <v/>
      </c>
      <c r="I471" s="212" t="str">
        <f t="shared" ca="1" si="45"/>
        <v/>
      </c>
      <c r="J471" s="212" t="str">
        <f t="shared" ca="1" si="45"/>
        <v/>
      </c>
    </row>
    <row r="472" spans="2:10" x14ac:dyDescent="0.15">
      <c r="B472" s="213" t="str">
        <f t="shared" si="46"/>
        <v/>
      </c>
      <c r="C472" s="228" t="str">
        <f t="shared" si="43"/>
        <v/>
      </c>
      <c r="D472" s="212" t="str">
        <f t="shared" si="42"/>
        <v/>
      </c>
      <c r="E472" s="212" t="str">
        <f t="shared" ca="1" si="44"/>
        <v/>
      </c>
      <c r="F472" s="212" t="str">
        <f t="shared" ca="1" si="44"/>
        <v/>
      </c>
      <c r="G472" s="212" t="str">
        <f t="shared" ca="1" si="44"/>
        <v/>
      </c>
      <c r="H472" s="212" t="str">
        <f t="shared" ca="1" si="44"/>
        <v/>
      </c>
      <c r="I472" s="212" t="str">
        <f t="shared" ca="1" si="45"/>
        <v/>
      </c>
      <c r="J472" s="212" t="str">
        <f t="shared" ca="1" si="45"/>
        <v/>
      </c>
    </row>
    <row r="473" spans="2:10" x14ac:dyDescent="0.15">
      <c r="B473" s="213" t="str">
        <f t="shared" si="46"/>
        <v/>
      </c>
      <c r="C473" s="228" t="str">
        <f t="shared" si="43"/>
        <v/>
      </c>
      <c r="D473" s="212" t="str">
        <f t="shared" si="42"/>
        <v/>
      </c>
      <c r="E473" s="212" t="str">
        <f t="shared" ca="1" si="44"/>
        <v/>
      </c>
      <c r="F473" s="212" t="str">
        <f t="shared" ca="1" si="44"/>
        <v/>
      </c>
      <c r="G473" s="212" t="str">
        <f t="shared" ca="1" si="44"/>
        <v/>
      </c>
      <c r="H473" s="212" t="str">
        <f t="shared" ca="1" si="44"/>
        <v/>
      </c>
      <c r="I473" s="212" t="str">
        <f t="shared" ca="1" si="45"/>
        <v/>
      </c>
      <c r="J473" s="212" t="str">
        <f t="shared" ca="1" si="45"/>
        <v/>
      </c>
    </row>
    <row r="474" spans="2:10" x14ac:dyDescent="0.15">
      <c r="B474" s="213" t="str">
        <f t="shared" si="46"/>
        <v/>
      </c>
      <c r="C474" s="228" t="str">
        <f t="shared" si="43"/>
        <v/>
      </c>
      <c r="D474" s="212" t="str">
        <f t="shared" ref="D474:D537" si="47">IF(B474="","",IF(B475="",SUMIFS(Amount,Timestamp,"&gt;="&amp;B474),SUMIFS(Amount,Timestamp,"&gt;="&amp;B474,Timestamp,"&lt;"&amp;B475)))</f>
        <v/>
      </c>
      <c r="E474" s="212" t="str">
        <f t="shared" ca="1" si="44"/>
        <v/>
      </c>
      <c r="F474" s="212" t="str">
        <f t="shared" ca="1" si="44"/>
        <v/>
      </c>
      <c r="G474" s="212" t="str">
        <f t="shared" ca="1" si="44"/>
        <v/>
      </c>
      <c r="H474" s="212" t="str">
        <f t="shared" ref="H474:J537" ca="1" si="48">IF($B474="","",IF($B474+H$24-1&gt;$E$5,"",SUM(OFFSET($D474,0,0,H$24,1))))</f>
        <v/>
      </c>
      <c r="I474" s="212" t="str">
        <f t="shared" ca="1" si="45"/>
        <v/>
      </c>
      <c r="J474" s="212" t="str">
        <f t="shared" ca="1" si="45"/>
        <v/>
      </c>
    </row>
    <row r="475" spans="2:10" x14ac:dyDescent="0.15">
      <c r="B475" s="213" t="str">
        <f t="shared" si="46"/>
        <v/>
      </c>
      <c r="C475" s="228" t="str">
        <f t="shared" ref="C475:C538" si="49">IF(B475="","",TEXT(B475,"dddd"))</f>
        <v/>
      </c>
      <c r="D475" s="212" t="str">
        <f t="shared" si="47"/>
        <v/>
      </c>
      <c r="E475" s="212" t="str">
        <f t="shared" ref="E475:J538" ca="1" si="50">IF($B475="","",IF($B475+E$24-1&gt;$E$5,"",SUM(OFFSET($D475,0,0,E$24,1))))</f>
        <v/>
      </c>
      <c r="F475" s="212" t="str">
        <f t="shared" ca="1" si="50"/>
        <v/>
      </c>
      <c r="G475" s="212" t="str">
        <f t="shared" ca="1" si="50"/>
        <v/>
      </c>
      <c r="H475" s="212" t="str">
        <f t="shared" ca="1" si="48"/>
        <v/>
      </c>
      <c r="I475" s="212" t="str">
        <f t="shared" ca="1" si="48"/>
        <v/>
      </c>
      <c r="J475" s="212" t="str">
        <f t="shared" ca="1" si="48"/>
        <v/>
      </c>
    </row>
    <row r="476" spans="2:10" x14ac:dyDescent="0.15">
      <c r="B476" s="213" t="str">
        <f t="shared" si="46"/>
        <v/>
      </c>
      <c r="C476" s="228" t="str">
        <f t="shared" si="49"/>
        <v/>
      </c>
      <c r="D476" s="212" t="str">
        <f t="shared" si="47"/>
        <v/>
      </c>
      <c r="E476" s="212" t="str">
        <f t="shared" ca="1" si="50"/>
        <v/>
      </c>
      <c r="F476" s="212" t="str">
        <f t="shared" ca="1" si="50"/>
        <v/>
      </c>
      <c r="G476" s="212" t="str">
        <f t="shared" ca="1" si="50"/>
        <v/>
      </c>
      <c r="H476" s="212" t="str">
        <f t="shared" ca="1" si="48"/>
        <v/>
      </c>
      <c r="I476" s="212" t="str">
        <f t="shared" ca="1" si="48"/>
        <v/>
      </c>
      <c r="J476" s="212" t="str">
        <f t="shared" ca="1" si="48"/>
        <v/>
      </c>
    </row>
    <row r="477" spans="2:10" x14ac:dyDescent="0.15">
      <c r="B477" s="213" t="str">
        <f t="shared" si="46"/>
        <v/>
      </c>
      <c r="C477" s="228" t="str">
        <f t="shared" si="49"/>
        <v/>
      </c>
      <c r="D477" s="212" t="str">
        <f t="shared" si="47"/>
        <v/>
      </c>
      <c r="E477" s="212" t="str">
        <f t="shared" ca="1" si="50"/>
        <v/>
      </c>
      <c r="F477" s="212" t="str">
        <f t="shared" ca="1" si="50"/>
        <v/>
      </c>
      <c r="G477" s="212" t="str">
        <f t="shared" ca="1" si="50"/>
        <v/>
      </c>
      <c r="H477" s="212" t="str">
        <f t="shared" ca="1" si="48"/>
        <v/>
      </c>
      <c r="I477" s="212" t="str">
        <f t="shared" ca="1" si="48"/>
        <v/>
      </c>
      <c r="J477" s="212" t="str">
        <f t="shared" ca="1" si="48"/>
        <v/>
      </c>
    </row>
    <row r="478" spans="2:10" x14ac:dyDescent="0.15">
      <c r="B478" s="213" t="str">
        <f t="shared" si="46"/>
        <v/>
      </c>
      <c r="C478" s="228" t="str">
        <f t="shared" si="49"/>
        <v/>
      </c>
      <c r="D478" s="212" t="str">
        <f t="shared" si="47"/>
        <v/>
      </c>
      <c r="E478" s="212" t="str">
        <f t="shared" ca="1" si="50"/>
        <v/>
      </c>
      <c r="F478" s="212" t="str">
        <f t="shared" ca="1" si="50"/>
        <v/>
      </c>
      <c r="G478" s="212" t="str">
        <f t="shared" ca="1" si="50"/>
        <v/>
      </c>
      <c r="H478" s="212" t="str">
        <f t="shared" ca="1" si="48"/>
        <v/>
      </c>
      <c r="I478" s="212" t="str">
        <f t="shared" ca="1" si="48"/>
        <v/>
      </c>
      <c r="J478" s="212" t="str">
        <f t="shared" ca="1" si="48"/>
        <v/>
      </c>
    </row>
    <row r="479" spans="2:10" x14ac:dyDescent="0.15">
      <c r="B479" s="213" t="str">
        <f t="shared" si="46"/>
        <v/>
      </c>
      <c r="C479" s="228" t="str">
        <f t="shared" si="49"/>
        <v/>
      </c>
      <c r="D479" s="212" t="str">
        <f t="shared" si="47"/>
        <v/>
      </c>
      <c r="E479" s="212" t="str">
        <f t="shared" ca="1" si="50"/>
        <v/>
      </c>
      <c r="F479" s="212" t="str">
        <f t="shared" ca="1" si="50"/>
        <v/>
      </c>
      <c r="G479" s="212" t="str">
        <f t="shared" ca="1" si="50"/>
        <v/>
      </c>
      <c r="H479" s="212" t="str">
        <f t="shared" ca="1" si="48"/>
        <v/>
      </c>
      <c r="I479" s="212" t="str">
        <f t="shared" ca="1" si="48"/>
        <v/>
      </c>
      <c r="J479" s="212" t="str">
        <f t="shared" ca="1" si="48"/>
        <v/>
      </c>
    </row>
    <row r="480" spans="2:10" x14ac:dyDescent="0.15">
      <c r="B480" s="213" t="str">
        <f t="shared" si="46"/>
        <v/>
      </c>
      <c r="C480" s="228" t="str">
        <f t="shared" si="49"/>
        <v/>
      </c>
      <c r="D480" s="212" t="str">
        <f t="shared" si="47"/>
        <v/>
      </c>
      <c r="E480" s="212" t="str">
        <f t="shared" ca="1" si="50"/>
        <v/>
      </c>
      <c r="F480" s="212" t="str">
        <f t="shared" ca="1" si="50"/>
        <v/>
      </c>
      <c r="G480" s="212" t="str">
        <f t="shared" ca="1" si="50"/>
        <v/>
      </c>
      <c r="H480" s="212" t="str">
        <f t="shared" ca="1" si="48"/>
        <v/>
      </c>
      <c r="I480" s="212" t="str">
        <f t="shared" ca="1" si="48"/>
        <v/>
      </c>
      <c r="J480" s="212" t="str">
        <f t="shared" ca="1" si="48"/>
        <v/>
      </c>
    </row>
    <row r="481" spans="2:10" x14ac:dyDescent="0.15">
      <c r="B481" s="213" t="str">
        <f t="shared" si="46"/>
        <v/>
      </c>
      <c r="C481" s="228" t="str">
        <f t="shared" si="49"/>
        <v/>
      </c>
      <c r="D481" s="212" t="str">
        <f t="shared" si="47"/>
        <v/>
      </c>
      <c r="E481" s="212" t="str">
        <f t="shared" ca="1" si="50"/>
        <v/>
      </c>
      <c r="F481" s="212" t="str">
        <f t="shared" ca="1" si="50"/>
        <v/>
      </c>
      <c r="G481" s="212" t="str">
        <f t="shared" ca="1" si="50"/>
        <v/>
      </c>
      <c r="H481" s="212" t="str">
        <f t="shared" ca="1" si="48"/>
        <v/>
      </c>
      <c r="I481" s="212" t="str">
        <f t="shared" ca="1" si="48"/>
        <v/>
      </c>
      <c r="J481" s="212" t="str">
        <f t="shared" ca="1" si="48"/>
        <v/>
      </c>
    </row>
    <row r="482" spans="2:10" x14ac:dyDescent="0.15">
      <c r="B482" s="213" t="str">
        <f t="shared" si="46"/>
        <v/>
      </c>
      <c r="C482" s="228" t="str">
        <f t="shared" si="49"/>
        <v/>
      </c>
      <c r="D482" s="212" t="str">
        <f t="shared" si="47"/>
        <v/>
      </c>
      <c r="E482" s="212" t="str">
        <f t="shared" ca="1" si="50"/>
        <v/>
      </c>
      <c r="F482" s="212" t="str">
        <f t="shared" ca="1" si="50"/>
        <v/>
      </c>
      <c r="G482" s="212" t="str">
        <f t="shared" ca="1" si="50"/>
        <v/>
      </c>
      <c r="H482" s="212" t="str">
        <f t="shared" ca="1" si="48"/>
        <v/>
      </c>
      <c r="I482" s="212" t="str">
        <f t="shared" ca="1" si="48"/>
        <v/>
      </c>
      <c r="J482" s="212" t="str">
        <f t="shared" ca="1" si="48"/>
        <v/>
      </c>
    </row>
    <row r="483" spans="2:10" x14ac:dyDescent="0.15">
      <c r="B483" s="213" t="str">
        <f t="shared" ref="B483:B546" si="51">IF(B482="","",IF(B482&gt;=$E$5,"",B482+1))</f>
        <v/>
      </c>
      <c r="C483" s="228" t="str">
        <f t="shared" si="49"/>
        <v/>
      </c>
      <c r="D483" s="212" t="str">
        <f t="shared" si="47"/>
        <v/>
      </c>
      <c r="E483" s="212" t="str">
        <f t="shared" ca="1" si="50"/>
        <v/>
      </c>
      <c r="F483" s="212" t="str">
        <f t="shared" ca="1" si="50"/>
        <v/>
      </c>
      <c r="G483" s="212" t="str">
        <f t="shared" ca="1" si="50"/>
        <v/>
      </c>
      <c r="H483" s="212" t="str">
        <f t="shared" ca="1" si="48"/>
        <v/>
      </c>
      <c r="I483" s="212" t="str">
        <f t="shared" ca="1" si="48"/>
        <v/>
      </c>
      <c r="J483" s="212" t="str">
        <f t="shared" ca="1" si="48"/>
        <v/>
      </c>
    </row>
    <row r="484" spans="2:10" x14ac:dyDescent="0.15">
      <c r="B484" s="213" t="str">
        <f t="shared" si="51"/>
        <v/>
      </c>
      <c r="C484" s="228" t="str">
        <f t="shared" si="49"/>
        <v/>
      </c>
      <c r="D484" s="212" t="str">
        <f t="shared" si="47"/>
        <v/>
      </c>
      <c r="E484" s="212" t="str">
        <f t="shared" ca="1" si="50"/>
        <v/>
      </c>
      <c r="F484" s="212" t="str">
        <f t="shared" ca="1" si="50"/>
        <v/>
      </c>
      <c r="G484" s="212" t="str">
        <f t="shared" ca="1" si="50"/>
        <v/>
      </c>
      <c r="H484" s="212" t="str">
        <f t="shared" ca="1" si="48"/>
        <v/>
      </c>
      <c r="I484" s="212" t="str">
        <f t="shared" ca="1" si="48"/>
        <v/>
      </c>
      <c r="J484" s="212" t="str">
        <f t="shared" ca="1" si="48"/>
        <v/>
      </c>
    </row>
    <row r="485" spans="2:10" x14ac:dyDescent="0.15">
      <c r="B485" s="213" t="str">
        <f t="shared" si="51"/>
        <v/>
      </c>
      <c r="C485" s="228" t="str">
        <f t="shared" si="49"/>
        <v/>
      </c>
      <c r="D485" s="212" t="str">
        <f t="shared" si="47"/>
        <v/>
      </c>
      <c r="E485" s="212" t="str">
        <f t="shared" ca="1" si="50"/>
        <v/>
      </c>
      <c r="F485" s="212" t="str">
        <f t="shared" ca="1" si="50"/>
        <v/>
      </c>
      <c r="G485" s="212" t="str">
        <f t="shared" ca="1" si="50"/>
        <v/>
      </c>
      <c r="H485" s="212" t="str">
        <f t="shared" ca="1" si="48"/>
        <v/>
      </c>
      <c r="I485" s="212" t="str">
        <f t="shared" ca="1" si="48"/>
        <v/>
      </c>
      <c r="J485" s="212" t="str">
        <f t="shared" ca="1" si="48"/>
        <v/>
      </c>
    </row>
    <row r="486" spans="2:10" x14ac:dyDescent="0.15">
      <c r="B486" s="213" t="str">
        <f t="shared" si="51"/>
        <v/>
      </c>
      <c r="C486" s="228" t="str">
        <f t="shared" si="49"/>
        <v/>
      </c>
      <c r="D486" s="212" t="str">
        <f t="shared" si="47"/>
        <v/>
      </c>
      <c r="E486" s="212" t="str">
        <f t="shared" ca="1" si="50"/>
        <v/>
      </c>
      <c r="F486" s="212" t="str">
        <f t="shared" ca="1" si="50"/>
        <v/>
      </c>
      <c r="G486" s="212" t="str">
        <f t="shared" ca="1" si="50"/>
        <v/>
      </c>
      <c r="H486" s="212" t="str">
        <f t="shared" ca="1" si="48"/>
        <v/>
      </c>
      <c r="I486" s="212" t="str">
        <f t="shared" ca="1" si="48"/>
        <v/>
      </c>
      <c r="J486" s="212" t="str">
        <f t="shared" ca="1" si="48"/>
        <v/>
      </c>
    </row>
    <row r="487" spans="2:10" x14ac:dyDescent="0.15">
      <c r="B487" s="213" t="str">
        <f t="shared" si="51"/>
        <v/>
      </c>
      <c r="C487" s="228" t="str">
        <f t="shared" si="49"/>
        <v/>
      </c>
      <c r="D487" s="212" t="str">
        <f t="shared" si="47"/>
        <v/>
      </c>
      <c r="E487" s="212" t="str">
        <f t="shared" ca="1" si="50"/>
        <v/>
      </c>
      <c r="F487" s="212" t="str">
        <f t="shared" ca="1" si="50"/>
        <v/>
      </c>
      <c r="G487" s="212" t="str">
        <f t="shared" ca="1" si="50"/>
        <v/>
      </c>
      <c r="H487" s="212" t="str">
        <f t="shared" ca="1" si="48"/>
        <v/>
      </c>
      <c r="I487" s="212" t="str">
        <f t="shared" ca="1" si="48"/>
        <v/>
      </c>
      <c r="J487" s="212" t="str">
        <f t="shared" ca="1" si="48"/>
        <v/>
      </c>
    </row>
    <row r="488" spans="2:10" x14ac:dyDescent="0.15">
      <c r="B488" s="213" t="str">
        <f t="shared" si="51"/>
        <v/>
      </c>
      <c r="C488" s="228" t="str">
        <f t="shared" si="49"/>
        <v/>
      </c>
      <c r="D488" s="212" t="str">
        <f t="shared" si="47"/>
        <v/>
      </c>
      <c r="E488" s="212" t="str">
        <f t="shared" ca="1" si="50"/>
        <v/>
      </c>
      <c r="F488" s="212" t="str">
        <f t="shared" ca="1" si="50"/>
        <v/>
      </c>
      <c r="G488" s="212" t="str">
        <f t="shared" ca="1" si="50"/>
        <v/>
      </c>
      <c r="H488" s="212" t="str">
        <f t="shared" ca="1" si="48"/>
        <v/>
      </c>
      <c r="I488" s="212" t="str">
        <f t="shared" ca="1" si="48"/>
        <v/>
      </c>
      <c r="J488" s="212" t="str">
        <f t="shared" ca="1" si="48"/>
        <v/>
      </c>
    </row>
    <row r="489" spans="2:10" x14ac:dyDescent="0.15">
      <c r="B489" s="213" t="str">
        <f t="shared" si="51"/>
        <v/>
      </c>
      <c r="C489" s="228" t="str">
        <f t="shared" si="49"/>
        <v/>
      </c>
      <c r="D489" s="212" t="str">
        <f t="shared" si="47"/>
        <v/>
      </c>
      <c r="E489" s="212" t="str">
        <f t="shared" ca="1" si="50"/>
        <v/>
      </c>
      <c r="F489" s="212" t="str">
        <f t="shared" ca="1" si="50"/>
        <v/>
      </c>
      <c r="G489" s="212" t="str">
        <f t="shared" ca="1" si="50"/>
        <v/>
      </c>
      <c r="H489" s="212" t="str">
        <f t="shared" ca="1" si="48"/>
        <v/>
      </c>
      <c r="I489" s="212" t="str">
        <f t="shared" ca="1" si="48"/>
        <v/>
      </c>
      <c r="J489" s="212" t="str">
        <f t="shared" ca="1" si="48"/>
        <v/>
      </c>
    </row>
    <row r="490" spans="2:10" x14ac:dyDescent="0.15">
      <c r="B490" s="213" t="str">
        <f t="shared" si="51"/>
        <v/>
      </c>
      <c r="C490" s="228" t="str">
        <f t="shared" si="49"/>
        <v/>
      </c>
      <c r="D490" s="212" t="str">
        <f t="shared" si="47"/>
        <v/>
      </c>
      <c r="E490" s="212" t="str">
        <f t="shared" ca="1" si="50"/>
        <v/>
      </c>
      <c r="F490" s="212" t="str">
        <f t="shared" ca="1" si="50"/>
        <v/>
      </c>
      <c r="G490" s="212" t="str">
        <f t="shared" ca="1" si="50"/>
        <v/>
      </c>
      <c r="H490" s="212" t="str">
        <f t="shared" ca="1" si="48"/>
        <v/>
      </c>
      <c r="I490" s="212" t="str">
        <f t="shared" ca="1" si="48"/>
        <v/>
      </c>
      <c r="J490" s="212" t="str">
        <f t="shared" ca="1" si="48"/>
        <v/>
      </c>
    </row>
    <row r="491" spans="2:10" x14ac:dyDescent="0.15">
      <c r="B491" s="213" t="str">
        <f t="shared" si="51"/>
        <v/>
      </c>
      <c r="C491" s="228" t="str">
        <f t="shared" si="49"/>
        <v/>
      </c>
      <c r="D491" s="212" t="str">
        <f t="shared" si="47"/>
        <v/>
      </c>
      <c r="E491" s="212" t="str">
        <f t="shared" ca="1" si="50"/>
        <v/>
      </c>
      <c r="F491" s="212" t="str">
        <f t="shared" ca="1" si="50"/>
        <v/>
      </c>
      <c r="G491" s="212" t="str">
        <f t="shared" ca="1" si="50"/>
        <v/>
      </c>
      <c r="H491" s="212" t="str">
        <f t="shared" ca="1" si="48"/>
        <v/>
      </c>
      <c r="I491" s="212" t="str">
        <f t="shared" ca="1" si="48"/>
        <v/>
      </c>
      <c r="J491" s="212" t="str">
        <f t="shared" ca="1" si="48"/>
        <v/>
      </c>
    </row>
    <row r="492" spans="2:10" x14ac:dyDescent="0.15">
      <c r="B492" s="213" t="str">
        <f t="shared" si="51"/>
        <v/>
      </c>
      <c r="C492" s="228" t="str">
        <f t="shared" si="49"/>
        <v/>
      </c>
      <c r="D492" s="212" t="str">
        <f t="shared" si="47"/>
        <v/>
      </c>
      <c r="E492" s="212" t="str">
        <f t="shared" ca="1" si="50"/>
        <v/>
      </c>
      <c r="F492" s="212" t="str">
        <f t="shared" ca="1" si="50"/>
        <v/>
      </c>
      <c r="G492" s="212" t="str">
        <f t="shared" ca="1" si="50"/>
        <v/>
      </c>
      <c r="H492" s="212" t="str">
        <f t="shared" ca="1" si="48"/>
        <v/>
      </c>
      <c r="I492" s="212" t="str">
        <f t="shared" ca="1" si="48"/>
        <v/>
      </c>
      <c r="J492" s="212" t="str">
        <f t="shared" ca="1" si="48"/>
        <v/>
      </c>
    </row>
    <row r="493" spans="2:10" x14ac:dyDescent="0.15">
      <c r="B493" s="213" t="str">
        <f t="shared" si="51"/>
        <v/>
      </c>
      <c r="C493" s="228" t="str">
        <f t="shared" si="49"/>
        <v/>
      </c>
      <c r="D493" s="212" t="str">
        <f t="shared" si="47"/>
        <v/>
      </c>
      <c r="E493" s="212" t="str">
        <f t="shared" ca="1" si="50"/>
        <v/>
      </c>
      <c r="F493" s="212" t="str">
        <f t="shared" ca="1" si="50"/>
        <v/>
      </c>
      <c r="G493" s="212" t="str">
        <f t="shared" ca="1" si="50"/>
        <v/>
      </c>
      <c r="H493" s="212" t="str">
        <f t="shared" ca="1" si="48"/>
        <v/>
      </c>
      <c r="I493" s="212" t="str">
        <f t="shared" ca="1" si="48"/>
        <v/>
      </c>
      <c r="J493" s="212" t="str">
        <f t="shared" ca="1" si="48"/>
        <v/>
      </c>
    </row>
    <row r="494" spans="2:10" x14ac:dyDescent="0.15">
      <c r="B494" s="213" t="str">
        <f t="shared" si="51"/>
        <v/>
      </c>
      <c r="C494" s="228" t="str">
        <f t="shared" si="49"/>
        <v/>
      </c>
      <c r="D494" s="212" t="str">
        <f t="shared" si="47"/>
        <v/>
      </c>
      <c r="E494" s="212" t="str">
        <f t="shared" ca="1" si="50"/>
        <v/>
      </c>
      <c r="F494" s="212" t="str">
        <f t="shared" ca="1" si="50"/>
        <v/>
      </c>
      <c r="G494" s="212" t="str">
        <f t="shared" ca="1" si="50"/>
        <v/>
      </c>
      <c r="H494" s="212" t="str">
        <f t="shared" ca="1" si="48"/>
        <v/>
      </c>
      <c r="I494" s="212" t="str">
        <f t="shared" ca="1" si="48"/>
        <v/>
      </c>
      <c r="J494" s="212" t="str">
        <f t="shared" ca="1" si="48"/>
        <v/>
      </c>
    </row>
    <row r="495" spans="2:10" x14ac:dyDescent="0.15">
      <c r="B495" s="213" t="str">
        <f t="shared" si="51"/>
        <v/>
      </c>
      <c r="C495" s="228" t="str">
        <f t="shared" si="49"/>
        <v/>
      </c>
      <c r="D495" s="212" t="str">
        <f t="shared" si="47"/>
        <v/>
      </c>
      <c r="E495" s="212" t="str">
        <f t="shared" ca="1" si="50"/>
        <v/>
      </c>
      <c r="F495" s="212" t="str">
        <f t="shared" ca="1" si="50"/>
        <v/>
      </c>
      <c r="G495" s="212" t="str">
        <f t="shared" ca="1" si="50"/>
        <v/>
      </c>
      <c r="H495" s="212" t="str">
        <f t="shared" ca="1" si="48"/>
        <v/>
      </c>
      <c r="I495" s="212" t="str">
        <f t="shared" ca="1" si="48"/>
        <v/>
      </c>
      <c r="J495" s="212" t="str">
        <f t="shared" ca="1" si="48"/>
        <v/>
      </c>
    </row>
    <row r="496" spans="2:10" x14ac:dyDescent="0.15">
      <c r="B496" s="213" t="str">
        <f t="shared" si="51"/>
        <v/>
      </c>
      <c r="C496" s="228" t="str">
        <f t="shared" si="49"/>
        <v/>
      </c>
      <c r="D496" s="212" t="str">
        <f t="shared" si="47"/>
        <v/>
      </c>
      <c r="E496" s="212" t="str">
        <f t="shared" ca="1" si="50"/>
        <v/>
      </c>
      <c r="F496" s="212" t="str">
        <f t="shared" ca="1" si="50"/>
        <v/>
      </c>
      <c r="G496" s="212" t="str">
        <f t="shared" ca="1" si="50"/>
        <v/>
      </c>
      <c r="H496" s="212" t="str">
        <f t="shared" ca="1" si="48"/>
        <v/>
      </c>
      <c r="I496" s="212" t="str">
        <f t="shared" ca="1" si="48"/>
        <v/>
      </c>
      <c r="J496" s="212" t="str">
        <f t="shared" ca="1" si="48"/>
        <v/>
      </c>
    </row>
    <row r="497" spans="2:10" x14ac:dyDescent="0.15">
      <c r="B497" s="213" t="str">
        <f t="shared" si="51"/>
        <v/>
      </c>
      <c r="C497" s="228" t="str">
        <f t="shared" si="49"/>
        <v/>
      </c>
      <c r="D497" s="212" t="str">
        <f t="shared" si="47"/>
        <v/>
      </c>
      <c r="E497" s="212" t="str">
        <f t="shared" ca="1" si="50"/>
        <v/>
      </c>
      <c r="F497" s="212" t="str">
        <f t="shared" ca="1" si="50"/>
        <v/>
      </c>
      <c r="G497" s="212" t="str">
        <f t="shared" ca="1" si="50"/>
        <v/>
      </c>
      <c r="H497" s="212" t="str">
        <f t="shared" ca="1" si="48"/>
        <v/>
      </c>
      <c r="I497" s="212" t="str">
        <f t="shared" ca="1" si="48"/>
        <v/>
      </c>
      <c r="J497" s="212" t="str">
        <f t="shared" ca="1" si="48"/>
        <v/>
      </c>
    </row>
    <row r="498" spans="2:10" x14ac:dyDescent="0.15">
      <c r="B498" s="213" t="str">
        <f t="shared" si="51"/>
        <v/>
      </c>
      <c r="C498" s="228" t="str">
        <f t="shared" si="49"/>
        <v/>
      </c>
      <c r="D498" s="212" t="str">
        <f t="shared" si="47"/>
        <v/>
      </c>
      <c r="E498" s="212" t="str">
        <f t="shared" ca="1" si="50"/>
        <v/>
      </c>
      <c r="F498" s="212" t="str">
        <f t="shared" ca="1" si="50"/>
        <v/>
      </c>
      <c r="G498" s="212" t="str">
        <f t="shared" ca="1" si="50"/>
        <v/>
      </c>
      <c r="H498" s="212" t="str">
        <f t="shared" ca="1" si="48"/>
        <v/>
      </c>
      <c r="I498" s="212" t="str">
        <f t="shared" ca="1" si="48"/>
        <v/>
      </c>
      <c r="J498" s="212" t="str">
        <f t="shared" ca="1" si="48"/>
        <v/>
      </c>
    </row>
    <row r="499" spans="2:10" x14ac:dyDescent="0.15">
      <c r="B499" s="213" t="str">
        <f t="shared" si="51"/>
        <v/>
      </c>
      <c r="C499" s="228" t="str">
        <f t="shared" si="49"/>
        <v/>
      </c>
      <c r="D499" s="212" t="str">
        <f t="shared" si="47"/>
        <v/>
      </c>
      <c r="E499" s="212" t="str">
        <f t="shared" ca="1" si="50"/>
        <v/>
      </c>
      <c r="F499" s="212" t="str">
        <f t="shared" ca="1" si="50"/>
        <v/>
      </c>
      <c r="G499" s="212" t="str">
        <f t="shared" ca="1" si="50"/>
        <v/>
      </c>
      <c r="H499" s="212" t="str">
        <f t="shared" ca="1" si="48"/>
        <v/>
      </c>
      <c r="I499" s="212" t="str">
        <f t="shared" ca="1" si="48"/>
        <v/>
      </c>
      <c r="J499" s="212" t="str">
        <f t="shared" ca="1" si="48"/>
        <v/>
      </c>
    </row>
    <row r="500" spans="2:10" x14ac:dyDescent="0.15">
      <c r="B500" s="213" t="str">
        <f t="shared" si="51"/>
        <v/>
      </c>
      <c r="C500" s="228" t="str">
        <f t="shared" si="49"/>
        <v/>
      </c>
      <c r="D500" s="212" t="str">
        <f t="shared" si="47"/>
        <v/>
      </c>
      <c r="E500" s="212" t="str">
        <f t="shared" ca="1" si="50"/>
        <v/>
      </c>
      <c r="F500" s="212" t="str">
        <f t="shared" ca="1" si="50"/>
        <v/>
      </c>
      <c r="G500" s="212" t="str">
        <f t="shared" ca="1" si="50"/>
        <v/>
      </c>
      <c r="H500" s="212" t="str">
        <f t="shared" ca="1" si="48"/>
        <v/>
      </c>
      <c r="I500" s="212" t="str">
        <f t="shared" ca="1" si="48"/>
        <v/>
      </c>
      <c r="J500" s="212" t="str">
        <f t="shared" ca="1" si="48"/>
        <v/>
      </c>
    </row>
    <row r="501" spans="2:10" x14ac:dyDescent="0.15">
      <c r="B501" s="213" t="str">
        <f t="shared" si="51"/>
        <v/>
      </c>
      <c r="C501" s="228" t="str">
        <f t="shared" si="49"/>
        <v/>
      </c>
      <c r="D501" s="212" t="str">
        <f t="shared" si="47"/>
        <v/>
      </c>
      <c r="E501" s="212" t="str">
        <f t="shared" ca="1" si="50"/>
        <v/>
      </c>
      <c r="F501" s="212" t="str">
        <f t="shared" ca="1" si="50"/>
        <v/>
      </c>
      <c r="G501" s="212" t="str">
        <f t="shared" ca="1" si="50"/>
        <v/>
      </c>
      <c r="H501" s="212" t="str">
        <f t="shared" ca="1" si="48"/>
        <v/>
      </c>
      <c r="I501" s="212" t="str">
        <f t="shared" ca="1" si="48"/>
        <v/>
      </c>
      <c r="J501" s="212" t="str">
        <f t="shared" ca="1" si="48"/>
        <v/>
      </c>
    </row>
    <row r="502" spans="2:10" x14ac:dyDescent="0.15">
      <c r="B502" s="213" t="str">
        <f t="shared" si="51"/>
        <v/>
      </c>
      <c r="C502" s="228" t="str">
        <f t="shared" si="49"/>
        <v/>
      </c>
      <c r="D502" s="212" t="str">
        <f t="shared" si="47"/>
        <v/>
      </c>
      <c r="E502" s="212" t="str">
        <f t="shared" ca="1" si="50"/>
        <v/>
      </c>
      <c r="F502" s="212" t="str">
        <f t="shared" ca="1" si="50"/>
        <v/>
      </c>
      <c r="G502" s="212" t="str">
        <f t="shared" ca="1" si="50"/>
        <v/>
      </c>
      <c r="H502" s="212" t="str">
        <f t="shared" ca="1" si="48"/>
        <v/>
      </c>
      <c r="I502" s="212" t="str">
        <f t="shared" ca="1" si="48"/>
        <v/>
      </c>
      <c r="J502" s="212" t="str">
        <f t="shared" ca="1" si="48"/>
        <v/>
      </c>
    </row>
    <row r="503" spans="2:10" x14ac:dyDescent="0.15">
      <c r="B503" s="213" t="str">
        <f t="shared" si="51"/>
        <v/>
      </c>
      <c r="C503" s="228" t="str">
        <f t="shared" si="49"/>
        <v/>
      </c>
      <c r="D503" s="212" t="str">
        <f t="shared" si="47"/>
        <v/>
      </c>
      <c r="E503" s="212" t="str">
        <f t="shared" ca="1" si="50"/>
        <v/>
      </c>
      <c r="F503" s="212" t="str">
        <f t="shared" ca="1" si="50"/>
        <v/>
      </c>
      <c r="G503" s="212" t="str">
        <f t="shared" ca="1" si="50"/>
        <v/>
      </c>
      <c r="H503" s="212" t="str">
        <f t="shared" ca="1" si="48"/>
        <v/>
      </c>
      <c r="I503" s="212" t="str">
        <f t="shared" ca="1" si="48"/>
        <v/>
      </c>
      <c r="J503" s="212" t="str">
        <f t="shared" ca="1" si="48"/>
        <v/>
      </c>
    </row>
    <row r="504" spans="2:10" x14ac:dyDescent="0.15">
      <c r="B504" s="213" t="str">
        <f t="shared" si="51"/>
        <v/>
      </c>
      <c r="C504" s="228" t="str">
        <f t="shared" si="49"/>
        <v/>
      </c>
      <c r="D504" s="212" t="str">
        <f t="shared" si="47"/>
        <v/>
      </c>
      <c r="E504" s="212" t="str">
        <f t="shared" ca="1" si="50"/>
        <v/>
      </c>
      <c r="F504" s="212" t="str">
        <f t="shared" ca="1" si="50"/>
        <v/>
      </c>
      <c r="G504" s="212" t="str">
        <f t="shared" ca="1" si="50"/>
        <v/>
      </c>
      <c r="H504" s="212" t="str">
        <f t="shared" ca="1" si="48"/>
        <v/>
      </c>
      <c r="I504" s="212" t="str">
        <f t="shared" ca="1" si="48"/>
        <v/>
      </c>
      <c r="J504" s="212" t="str">
        <f t="shared" ca="1" si="48"/>
        <v/>
      </c>
    </row>
    <row r="505" spans="2:10" x14ac:dyDescent="0.15">
      <c r="B505" s="213" t="str">
        <f t="shared" si="51"/>
        <v/>
      </c>
      <c r="C505" s="228" t="str">
        <f t="shared" si="49"/>
        <v/>
      </c>
      <c r="D505" s="212" t="str">
        <f t="shared" si="47"/>
        <v/>
      </c>
      <c r="E505" s="212" t="str">
        <f t="shared" ca="1" si="50"/>
        <v/>
      </c>
      <c r="F505" s="212" t="str">
        <f t="shared" ca="1" si="50"/>
        <v/>
      </c>
      <c r="G505" s="212" t="str">
        <f t="shared" ca="1" si="50"/>
        <v/>
      </c>
      <c r="H505" s="212" t="str">
        <f t="shared" ca="1" si="48"/>
        <v/>
      </c>
      <c r="I505" s="212" t="str">
        <f t="shared" ca="1" si="48"/>
        <v/>
      </c>
      <c r="J505" s="212" t="str">
        <f t="shared" ca="1" si="48"/>
        <v/>
      </c>
    </row>
    <row r="506" spans="2:10" x14ac:dyDescent="0.15">
      <c r="B506" s="213" t="str">
        <f t="shared" si="51"/>
        <v/>
      </c>
      <c r="C506" s="228" t="str">
        <f t="shared" si="49"/>
        <v/>
      </c>
      <c r="D506" s="212" t="str">
        <f t="shared" si="47"/>
        <v/>
      </c>
      <c r="E506" s="212" t="str">
        <f t="shared" ca="1" si="50"/>
        <v/>
      </c>
      <c r="F506" s="212" t="str">
        <f t="shared" ca="1" si="50"/>
        <v/>
      </c>
      <c r="G506" s="212" t="str">
        <f t="shared" ca="1" si="50"/>
        <v/>
      </c>
      <c r="H506" s="212" t="str">
        <f t="shared" ca="1" si="48"/>
        <v/>
      </c>
      <c r="I506" s="212" t="str">
        <f t="shared" ca="1" si="48"/>
        <v/>
      </c>
      <c r="J506" s="212" t="str">
        <f t="shared" ca="1" si="48"/>
        <v/>
      </c>
    </row>
    <row r="507" spans="2:10" x14ac:dyDescent="0.15">
      <c r="B507" s="213" t="str">
        <f t="shared" si="51"/>
        <v/>
      </c>
      <c r="C507" s="228" t="str">
        <f t="shared" si="49"/>
        <v/>
      </c>
      <c r="D507" s="212" t="str">
        <f t="shared" si="47"/>
        <v/>
      </c>
      <c r="E507" s="212" t="str">
        <f t="shared" ca="1" si="50"/>
        <v/>
      </c>
      <c r="F507" s="212" t="str">
        <f t="shared" ca="1" si="50"/>
        <v/>
      </c>
      <c r="G507" s="212" t="str">
        <f t="shared" ca="1" si="50"/>
        <v/>
      </c>
      <c r="H507" s="212" t="str">
        <f t="shared" ca="1" si="48"/>
        <v/>
      </c>
      <c r="I507" s="212" t="str">
        <f t="shared" ca="1" si="48"/>
        <v/>
      </c>
      <c r="J507" s="212" t="str">
        <f t="shared" ca="1" si="48"/>
        <v/>
      </c>
    </row>
    <row r="508" spans="2:10" x14ac:dyDescent="0.15">
      <c r="B508" s="213" t="str">
        <f t="shared" si="51"/>
        <v/>
      </c>
      <c r="C508" s="228" t="str">
        <f t="shared" si="49"/>
        <v/>
      </c>
      <c r="D508" s="212" t="str">
        <f t="shared" si="47"/>
        <v/>
      </c>
      <c r="E508" s="212" t="str">
        <f t="shared" ca="1" si="50"/>
        <v/>
      </c>
      <c r="F508" s="212" t="str">
        <f t="shared" ca="1" si="50"/>
        <v/>
      </c>
      <c r="G508" s="212" t="str">
        <f t="shared" ca="1" si="50"/>
        <v/>
      </c>
      <c r="H508" s="212" t="str">
        <f t="shared" ca="1" si="48"/>
        <v/>
      </c>
      <c r="I508" s="212" t="str">
        <f t="shared" ca="1" si="48"/>
        <v/>
      </c>
      <c r="J508" s="212" t="str">
        <f t="shared" ca="1" si="48"/>
        <v/>
      </c>
    </row>
    <row r="509" spans="2:10" x14ac:dyDescent="0.15">
      <c r="B509" s="213" t="str">
        <f t="shared" si="51"/>
        <v/>
      </c>
      <c r="C509" s="228" t="str">
        <f t="shared" si="49"/>
        <v/>
      </c>
      <c r="D509" s="212" t="str">
        <f t="shared" si="47"/>
        <v/>
      </c>
      <c r="E509" s="212" t="str">
        <f t="shared" ca="1" si="50"/>
        <v/>
      </c>
      <c r="F509" s="212" t="str">
        <f t="shared" ca="1" si="50"/>
        <v/>
      </c>
      <c r="G509" s="212" t="str">
        <f t="shared" ca="1" si="50"/>
        <v/>
      </c>
      <c r="H509" s="212" t="str">
        <f t="shared" ca="1" si="48"/>
        <v/>
      </c>
      <c r="I509" s="212" t="str">
        <f t="shared" ca="1" si="48"/>
        <v/>
      </c>
      <c r="J509" s="212" t="str">
        <f t="shared" ca="1" si="48"/>
        <v/>
      </c>
    </row>
    <row r="510" spans="2:10" x14ac:dyDescent="0.15">
      <c r="B510" s="213" t="str">
        <f t="shared" si="51"/>
        <v/>
      </c>
      <c r="C510" s="228" t="str">
        <f t="shared" si="49"/>
        <v/>
      </c>
      <c r="D510" s="212" t="str">
        <f t="shared" si="47"/>
        <v/>
      </c>
      <c r="E510" s="212" t="str">
        <f t="shared" ca="1" si="50"/>
        <v/>
      </c>
      <c r="F510" s="212" t="str">
        <f t="shared" ca="1" si="50"/>
        <v/>
      </c>
      <c r="G510" s="212" t="str">
        <f t="shared" ca="1" si="50"/>
        <v/>
      </c>
      <c r="H510" s="212" t="str">
        <f t="shared" ca="1" si="48"/>
        <v/>
      </c>
      <c r="I510" s="212" t="str">
        <f t="shared" ca="1" si="48"/>
        <v/>
      </c>
      <c r="J510" s="212" t="str">
        <f t="shared" ca="1" si="48"/>
        <v/>
      </c>
    </row>
    <row r="511" spans="2:10" x14ac:dyDescent="0.15">
      <c r="B511" s="213" t="str">
        <f t="shared" si="51"/>
        <v/>
      </c>
      <c r="C511" s="228" t="str">
        <f t="shared" si="49"/>
        <v/>
      </c>
      <c r="D511" s="212" t="str">
        <f t="shared" si="47"/>
        <v/>
      </c>
      <c r="E511" s="212" t="str">
        <f t="shared" ca="1" si="50"/>
        <v/>
      </c>
      <c r="F511" s="212" t="str">
        <f t="shared" ca="1" si="50"/>
        <v/>
      </c>
      <c r="G511" s="212" t="str">
        <f t="shared" ca="1" si="50"/>
        <v/>
      </c>
      <c r="H511" s="212" t="str">
        <f t="shared" ca="1" si="48"/>
        <v/>
      </c>
      <c r="I511" s="212" t="str">
        <f t="shared" ca="1" si="48"/>
        <v/>
      </c>
      <c r="J511" s="212" t="str">
        <f t="shared" ca="1" si="48"/>
        <v/>
      </c>
    </row>
    <row r="512" spans="2:10" x14ac:dyDescent="0.15">
      <c r="B512" s="213" t="str">
        <f t="shared" si="51"/>
        <v/>
      </c>
      <c r="C512" s="228" t="str">
        <f t="shared" si="49"/>
        <v/>
      </c>
      <c r="D512" s="212" t="str">
        <f t="shared" si="47"/>
        <v/>
      </c>
      <c r="E512" s="212" t="str">
        <f t="shared" ca="1" si="50"/>
        <v/>
      </c>
      <c r="F512" s="212" t="str">
        <f t="shared" ca="1" si="50"/>
        <v/>
      </c>
      <c r="G512" s="212" t="str">
        <f t="shared" ca="1" si="50"/>
        <v/>
      </c>
      <c r="H512" s="212" t="str">
        <f t="shared" ca="1" si="48"/>
        <v/>
      </c>
      <c r="I512" s="212" t="str">
        <f t="shared" ca="1" si="48"/>
        <v/>
      </c>
      <c r="J512" s="212" t="str">
        <f t="shared" ca="1" si="48"/>
        <v/>
      </c>
    </row>
    <row r="513" spans="2:10" x14ac:dyDescent="0.15">
      <c r="B513" s="213" t="str">
        <f t="shared" si="51"/>
        <v/>
      </c>
      <c r="C513" s="228" t="str">
        <f t="shared" si="49"/>
        <v/>
      </c>
      <c r="D513" s="212" t="str">
        <f t="shared" si="47"/>
        <v/>
      </c>
      <c r="E513" s="212" t="str">
        <f t="shared" ca="1" si="50"/>
        <v/>
      </c>
      <c r="F513" s="212" t="str">
        <f t="shared" ca="1" si="50"/>
        <v/>
      </c>
      <c r="G513" s="212" t="str">
        <f t="shared" ca="1" si="50"/>
        <v/>
      </c>
      <c r="H513" s="212" t="str">
        <f t="shared" ca="1" si="48"/>
        <v/>
      </c>
      <c r="I513" s="212" t="str">
        <f t="shared" ca="1" si="48"/>
        <v/>
      </c>
      <c r="J513" s="212" t="str">
        <f t="shared" ca="1" si="48"/>
        <v/>
      </c>
    </row>
    <row r="514" spans="2:10" x14ac:dyDescent="0.15">
      <c r="B514" s="213" t="str">
        <f t="shared" si="51"/>
        <v/>
      </c>
      <c r="C514" s="228" t="str">
        <f t="shared" si="49"/>
        <v/>
      </c>
      <c r="D514" s="212" t="str">
        <f t="shared" si="47"/>
        <v/>
      </c>
      <c r="E514" s="212" t="str">
        <f t="shared" ca="1" si="50"/>
        <v/>
      </c>
      <c r="F514" s="212" t="str">
        <f t="shared" ca="1" si="50"/>
        <v/>
      </c>
      <c r="G514" s="212" t="str">
        <f t="shared" ca="1" si="50"/>
        <v/>
      </c>
      <c r="H514" s="212" t="str">
        <f t="shared" ca="1" si="48"/>
        <v/>
      </c>
      <c r="I514" s="212" t="str">
        <f t="shared" ca="1" si="48"/>
        <v/>
      </c>
      <c r="J514" s="212" t="str">
        <f t="shared" ca="1" si="48"/>
        <v/>
      </c>
    </row>
    <row r="515" spans="2:10" x14ac:dyDescent="0.15">
      <c r="B515" s="213" t="str">
        <f t="shared" si="51"/>
        <v/>
      </c>
      <c r="C515" s="228" t="str">
        <f t="shared" si="49"/>
        <v/>
      </c>
      <c r="D515" s="212" t="str">
        <f t="shared" si="47"/>
        <v/>
      </c>
      <c r="E515" s="212" t="str">
        <f t="shared" ca="1" si="50"/>
        <v/>
      </c>
      <c r="F515" s="212" t="str">
        <f t="shared" ca="1" si="50"/>
        <v/>
      </c>
      <c r="G515" s="212" t="str">
        <f t="shared" ca="1" si="50"/>
        <v/>
      </c>
      <c r="H515" s="212" t="str">
        <f t="shared" ca="1" si="48"/>
        <v/>
      </c>
      <c r="I515" s="212" t="str">
        <f t="shared" ca="1" si="48"/>
        <v/>
      </c>
      <c r="J515" s="212" t="str">
        <f t="shared" ca="1" si="48"/>
        <v/>
      </c>
    </row>
    <row r="516" spans="2:10" x14ac:dyDescent="0.15">
      <c r="B516" s="213" t="str">
        <f t="shared" si="51"/>
        <v/>
      </c>
      <c r="C516" s="228" t="str">
        <f t="shared" si="49"/>
        <v/>
      </c>
      <c r="D516" s="212" t="str">
        <f t="shared" si="47"/>
        <v/>
      </c>
      <c r="E516" s="212" t="str">
        <f t="shared" ca="1" si="50"/>
        <v/>
      </c>
      <c r="F516" s="212" t="str">
        <f t="shared" ca="1" si="50"/>
        <v/>
      </c>
      <c r="G516" s="212" t="str">
        <f t="shared" ca="1" si="50"/>
        <v/>
      </c>
      <c r="H516" s="212" t="str">
        <f t="shared" ca="1" si="48"/>
        <v/>
      </c>
      <c r="I516" s="212" t="str">
        <f t="shared" ca="1" si="48"/>
        <v/>
      </c>
      <c r="J516" s="212" t="str">
        <f t="shared" ca="1" si="48"/>
        <v/>
      </c>
    </row>
    <row r="517" spans="2:10" x14ac:dyDescent="0.15">
      <c r="B517" s="213" t="str">
        <f t="shared" si="51"/>
        <v/>
      </c>
      <c r="C517" s="228" t="str">
        <f t="shared" si="49"/>
        <v/>
      </c>
      <c r="D517" s="212" t="str">
        <f t="shared" si="47"/>
        <v/>
      </c>
      <c r="E517" s="212" t="str">
        <f t="shared" ca="1" si="50"/>
        <v/>
      </c>
      <c r="F517" s="212" t="str">
        <f t="shared" ca="1" si="50"/>
        <v/>
      </c>
      <c r="G517" s="212" t="str">
        <f t="shared" ca="1" si="50"/>
        <v/>
      </c>
      <c r="H517" s="212" t="str">
        <f t="shared" ca="1" si="48"/>
        <v/>
      </c>
      <c r="I517" s="212" t="str">
        <f t="shared" ca="1" si="48"/>
        <v/>
      </c>
      <c r="J517" s="212" t="str">
        <f t="shared" ca="1" si="48"/>
        <v/>
      </c>
    </row>
    <row r="518" spans="2:10" x14ac:dyDescent="0.15">
      <c r="B518" s="213" t="str">
        <f t="shared" si="51"/>
        <v/>
      </c>
      <c r="C518" s="228" t="str">
        <f t="shared" si="49"/>
        <v/>
      </c>
      <c r="D518" s="212" t="str">
        <f t="shared" si="47"/>
        <v/>
      </c>
      <c r="E518" s="212" t="str">
        <f t="shared" ca="1" si="50"/>
        <v/>
      </c>
      <c r="F518" s="212" t="str">
        <f t="shared" ca="1" si="50"/>
        <v/>
      </c>
      <c r="G518" s="212" t="str">
        <f t="shared" ca="1" si="50"/>
        <v/>
      </c>
      <c r="H518" s="212" t="str">
        <f t="shared" ca="1" si="48"/>
        <v/>
      </c>
      <c r="I518" s="212" t="str">
        <f t="shared" ca="1" si="48"/>
        <v/>
      </c>
      <c r="J518" s="212" t="str">
        <f t="shared" ca="1" si="48"/>
        <v/>
      </c>
    </row>
    <row r="519" spans="2:10" x14ac:dyDescent="0.15">
      <c r="B519" s="213" t="str">
        <f t="shared" si="51"/>
        <v/>
      </c>
      <c r="C519" s="228" t="str">
        <f t="shared" si="49"/>
        <v/>
      </c>
      <c r="D519" s="212" t="str">
        <f t="shared" si="47"/>
        <v/>
      </c>
      <c r="E519" s="212" t="str">
        <f t="shared" ca="1" si="50"/>
        <v/>
      </c>
      <c r="F519" s="212" t="str">
        <f t="shared" ca="1" si="50"/>
        <v/>
      </c>
      <c r="G519" s="212" t="str">
        <f t="shared" ca="1" si="50"/>
        <v/>
      </c>
      <c r="H519" s="212" t="str">
        <f t="shared" ca="1" si="48"/>
        <v/>
      </c>
      <c r="I519" s="212" t="str">
        <f t="shared" ca="1" si="48"/>
        <v/>
      </c>
      <c r="J519" s="212" t="str">
        <f t="shared" ca="1" si="48"/>
        <v/>
      </c>
    </row>
    <row r="520" spans="2:10" x14ac:dyDescent="0.15">
      <c r="B520" s="213" t="str">
        <f t="shared" si="51"/>
        <v/>
      </c>
      <c r="C520" s="228" t="str">
        <f t="shared" si="49"/>
        <v/>
      </c>
      <c r="D520" s="212" t="str">
        <f t="shared" si="47"/>
        <v/>
      </c>
      <c r="E520" s="212" t="str">
        <f t="shared" ca="1" si="50"/>
        <v/>
      </c>
      <c r="F520" s="212" t="str">
        <f t="shared" ca="1" si="50"/>
        <v/>
      </c>
      <c r="G520" s="212" t="str">
        <f t="shared" ca="1" si="50"/>
        <v/>
      </c>
      <c r="H520" s="212" t="str">
        <f t="shared" ca="1" si="48"/>
        <v/>
      </c>
      <c r="I520" s="212" t="str">
        <f t="shared" ca="1" si="48"/>
        <v/>
      </c>
      <c r="J520" s="212" t="str">
        <f t="shared" ca="1" si="48"/>
        <v/>
      </c>
    </row>
    <row r="521" spans="2:10" x14ac:dyDescent="0.15">
      <c r="B521" s="213" t="str">
        <f t="shared" si="51"/>
        <v/>
      </c>
      <c r="C521" s="228" t="str">
        <f t="shared" si="49"/>
        <v/>
      </c>
      <c r="D521" s="212" t="str">
        <f t="shared" si="47"/>
        <v/>
      </c>
      <c r="E521" s="212" t="str">
        <f t="shared" ca="1" si="50"/>
        <v/>
      </c>
      <c r="F521" s="212" t="str">
        <f t="shared" ca="1" si="50"/>
        <v/>
      </c>
      <c r="G521" s="212" t="str">
        <f t="shared" ca="1" si="50"/>
        <v/>
      </c>
      <c r="H521" s="212" t="str">
        <f t="shared" ca="1" si="48"/>
        <v/>
      </c>
      <c r="I521" s="212" t="str">
        <f t="shared" ca="1" si="48"/>
        <v/>
      </c>
      <c r="J521" s="212" t="str">
        <f t="shared" ca="1" si="48"/>
        <v/>
      </c>
    </row>
    <row r="522" spans="2:10" x14ac:dyDescent="0.15">
      <c r="B522" s="213" t="str">
        <f t="shared" si="51"/>
        <v/>
      </c>
      <c r="C522" s="228" t="str">
        <f t="shared" si="49"/>
        <v/>
      </c>
      <c r="D522" s="212" t="str">
        <f t="shared" si="47"/>
        <v/>
      </c>
      <c r="E522" s="212" t="str">
        <f t="shared" ca="1" si="50"/>
        <v/>
      </c>
      <c r="F522" s="212" t="str">
        <f t="shared" ca="1" si="50"/>
        <v/>
      </c>
      <c r="G522" s="212" t="str">
        <f t="shared" ca="1" si="50"/>
        <v/>
      </c>
      <c r="H522" s="212" t="str">
        <f t="shared" ca="1" si="48"/>
        <v/>
      </c>
      <c r="I522" s="212" t="str">
        <f t="shared" ca="1" si="48"/>
        <v/>
      </c>
      <c r="J522" s="212" t="str">
        <f t="shared" ca="1" si="48"/>
        <v/>
      </c>
    </row>
    <row r="523" spans="2:10" x14ac:dyDescent="0.15">
      <c r="B523" s="213" t="str">
        <f t="shared" si="51"/>
        <v/>
      </c>
      <c r="C523" s="228" t="str">
        <f t="shared" si="49"/>
        <v/>
      </c>
      <c r="D523" s="212" t="str">
        <f t="shared" si="47"/>
        <v/>
      </c>
      <c r="E523" s="212" t="str">
        <f t="shared" ca="1" si="50"/>
        <v/>
      </c>
      <c r="F523" s="212" t="str">
        <f t="shared" ca="1" si="50"/>
        <v/>
      </c>
      <c r="G523" s="212" t="str">
        <f t="shared" ca="1" si="50"/>
        <v/>
      </c>
      <c r="H523" s="212" t="str">
        <f t="shared" ca="1" si="48"/>
        <v/>
      </c>
      <c r="I523" s="212" t="str">
        <f t="shared" ca="1" si="48"/>
        <v/>
      </c>
      <c r="J523" s="212" t="str">
        <f t="shared" ca="1" si="48"/>
        <v/>
      </c>
    </row>
    <row r="524" spans="2:10" x14ac:dyDescent="0.15">
      <c r="B524" s="213" t="str">
        <f t="shared" si="51"/>
        <v/>
      </c>
      <c r="C524" s="228" t="str">
        <f t="shared" si="49"/>
        <v/>
      </c>
      <c r="D524" s="212" t="str">
        <f t="shared" si="47"/>
        <v/>
      </c>
      <c r="E524" s="212" t="str">
        <f t="shared" ca="1" si="50"/>
        <v/>
      </c>
      <c r="F524" s="212" t="str">
        <f t="shared" ca="1" si="50"/>
        <v/>
      </c>
      <c r="G524" s="212" t="str">
        <f t="shared" ca="1" si="50"/>
        <v/>
      </c>
      <c r="H524" s="212" t="str">
        <f t="shared" ca="1" si="48"/>
        <v/>
      </c>
      <c r="I524" s="212" t="str">
        <f t="shared" ca="1" si="48"/>
        <v/>
      </c>
      <c r="J524" s="212" t="str">
        <f t="shared" ca="1" si="48"/>
        <v/>
      </c>
    </row>
    <row r="525" spans="2:10" x14ac:dyDescent="0.15">
      <c r="B525" s="213" t="str">
        <f t="shared" si="51"/>
        <v/>
      </c>
      <c r="C525" s="228" t="str">
        <f t="shared" si="49"/>
        <v/>
      </c>
      <c r="D525" s="212" t="str">
        <f t="shared" si="47"/>
        <v/>
      </c>
      <c r="E525" s="212" t="str">
        <f t="shared" ca="1" si="50"/>
        <v/>
      </c>
      <c r="F525" s="212" t="str">
        <f t="shared" ca="1" si="50"/>
        <v/>
      </c>
      <c r="G525" s="212" t="str">
        <f t="shared" ca="1" si="50"/>
        <v/>
      </c>
      <c r="H525" s="212" t="str">
        <f t="shared" ca="1" si="48"/>
        <v/>
      </c>
      <c r="I525" s="212" t="str">
        <f t="shared" ca="1" si="48"/>
        <v/>
      </c>
      <c r="J525" s="212" t="str">
        <f t="shared" ca="1" si="48"/>
        <v/>
      </c>
    </row>
    <row r="526" spans="2:10" x14ac:dyDescent="0.15">
      <c r="B526" s="213" t="str">
        <f t="shared" si="51"/>
        <v/>
      </c>
      <c r="C526" s="228" t="str">
        <f t="shared" si="49"/>
        <v/>
      </c>
      <c r="D526" s="212" t="str">
        <f t="shared" si="47"/>
        <v/>
      </c>
      <c r="E526" s="212" t="str">
        <f t="shared" ca="1" si="50"/>
        <v/>
      </c>
      <c r="F526" s="212" t="str">
        <f t="shared" ca="1" si="50"/>
        <v/>
      </c>
      <c r="G526" s="212" t="str">
        <f t="shared" ca="1" si="50"/>
        <v/>
      </c>
      <c r="H526" s="212" t="str">
        <f t="shared" ca="1" si="48"/>
        <v/>
      </c>
      <c r="I526" s="212" t="str">
        <f t="shared" ca="1" si="48"/>
        <v/>
      </c>
      <c r="J526" s="212" t="str">
        <f t="shared" ca="1" si="48"/>
        <v/>
      </c>
    </row>
    <row r="527" spans="2:10" x14ac:dyDescent="0.15">
      <c r="B527" s="213" t="str">
        <f t="shared" si="51"/>
        <v/>
      </c>
      <c r="C527" s="228" t="str">
        <f t="shared" si="49"/>
        <v/>
      </c>
      <c r="D527" s="212" t="str">
        <f t="shared" si="47"/>
        <v/>
      </c>
      <c r="E527" s="212" t="str">
        <f t="shared" ca="1" si="50"/>
        <v/>
      </c>
      <c r="F527" s="212" t="str">
        <f t="shared" ca="1" si="50"/>
        <v/>
      </c>
      <c r="G527" s="212" t="str">
        <f t="shared" ca="1" si="50"/>
        <v/>
      </c>
      <c r="H527" s="212" t="str">
        <f t="shared" ca="1" si="48"/>
        <v/>
      </c>
      <c r="I527" s="212" t="str">
        <f t="shared" ca="1" si="48"/>
        <v/>
      </c>
      <c r="J527" s="212" t="str">
        <f t="shared" ca="1" si="48"/>
        <v/>
      </c>
    </row>
    <row r="528" spans="2:10" x14ac:dyDescent="0.15">
      <c r="B528" s="213" t="str">
        <f t="shared" si="51"/>
        <v/>
      </c>
      <c r="C528" s="228" t="str">
        <f t="shared" si="49"/>
        <v/>
      </c>
      <c r="D528" s="212" t="str">
        <f t="shared" si="47"/>
        <v/>
      </c>
      <c r="E528" s="212" t="str">
        <f t="shared" ca="1" si="50"/>
        <v/>
      </c>
      <c r="F528" s="212" t="str">
        <f t="shared" ca="1" si="50"/>
        <v/>
      </c>
      <c r="G528" s="212" t="str">
        <f t="shared" ca="1" si="50"/>
        <v/>
      </c>
      <c r="H528" s="212" t="str">
        <f t="shared" ca="1" si="48"/>
        <v/>
      </c>
      <c r="I528" s="212" t="str">
        <f t="shared" ca="1" si="48"/>
        <v/>
      </c>
      <c r="J528" s="212" t="str">
        <f t="shared" ca="1" si="48"/>
        <v/>
      </c>
    </row>
    <row r="529" spans="2:10" x14ac:dyDescent="0.15">
      <c r="B529" s="213" t="str">
        <f t="shared" si="51"/>
        <v/>
      </c>
      <c r="C529" s="228" t="str">
        <f t="shared" si="49"/>
        <v/>
      </c>
      <c r="D529" s="212" t="str">
        <f t="shared" si="47"/>
        <v/>
      </c>
      <c r="E529" s="212" t="str">
        <f t="shared" ca="1" si="50"/>
        <v/>
      </c>
      <c r="F529" s="212" t="str">
        <f t="shared" ca="1" si="50"/>
        <v/>
      </c>
      <c r="G529" s="212" t="str">
        <f t="shared" ca="1" si="50"/>
        <v/>
      </c>
      <c r="H529" s="212" t="str">
        <f t="shared" ca="1" si="48"/>
        <v/>
      </c>
      <c r="I529" s="212" t="str">
        <f t="shared" ca="1" si="48"/>
        <v/>
      </c>
      <c r="J529" s="212" t="str">
        <f t="shared" ca="1" si="48"/>
        <v/>
      </c>
    </row>
    <row r="530" spans="2:10" x14ac:dyDescent="0.15">
      <c r="B530" s="213" t="str">
        <f t="shared" si="51"/>
        <v/>
      </c>
      <c r="C530" s="228" t="str">
        <f t="shared" si="49"/>
        <v/>
      </c>
      <c r="D530" s="212" t="str">
        <f t="shared" si="47"/>
        <v/>
      </c>
      <c r="E530" s="212" t="str">
        <f t="shared" ca="1" si="50"/>
        <v/>
      </c>
      <c r="F530" s="212" t="str">
        <f t="shared" ca="1" si="50"/>
        <v/>
      </c>
      <c r="G530" s="212" t="str">
        <f t="shared" ca="1" si="50"/>
        <v/>
      </c>
      <c r="H530" s="212" t="str">
        <f t="shared" ca="1" si="48"/>
        <v/>
      </c>
      <c r="I530" s="212" t="str">
        <f t="shared" ca="1" si="48"/>
        <v/>
      </c>
      <c r="J530" s="212" t="str">
        <f t="shared" ca="1" si="48"/>
        <v/>
      </c>
    </row>
    <row r="531" spans="2:10" x14ac:dyDescent="0.15">
      <c r="B531" s="213" t="str">
        <f t="shared" si="51"/>
        <v/>
      </c>
      <c r="C531" s="228" t="str">
        <f t="shared" si="49"/>
        <v/>
      </c>
      <c r="D531" s="212" t="str">
        <f t="shared" si="47"/>
        <v/>
      </c>
      <c r="E531" s="212" t="str">
        <f t="shared" ca="1" si="50"/>
        <v/>
      </c>
      <c r="F531" s="212" t="str">
        <f t="shared" ca="1" si="50"/>
        <v/>
      </c>
      <c r="G531" s="212" t="str">
        <f t="shared" ca="1" si="50"/>
        <v/>
      </c>
      <c r="H531" s="212" t="str">
        <f t="shared" ca="1" si="48"/>
        <v/>
      </c>
      <c r="I531" s="212" t="str">
        <f t="shared" ca="1" si="48"/>
        <v/>
      </c>
      <c r="J531" s="212" t="str">
        <f t="shared" ca="1" si="48"/>
        <v/>
      </c>
    </row>
    <row r="532" spans="2:10" x14ac:dyDescent="0.15">
      <c r="B532" s="213" t="str">
        <f t="shared" si="51"/>
        <v/>
      </c>
      <c r="C532" s="228" t="str">
        <f t="shared" si="49"/>
        <v/>
      </c>
      <c r="D532" s="212" t="str">
        <f t="shared" si="47"/>
        <v/>
      </c>
      <c r="E532" s="212" t="str">
        <f t="shared" ca="1" si="50"/>
        <v/>
      </c>
      <c r="F532" s="212" t="str">
        <f t="shared" ca="1" si="50"/>
        <v/>
      </c>
      <c r="G532" s="212" t="str">
        <f t="shared" ca="1" si="50"/>
        <v/>
      </c>
      <c r="H532" s="212" t="str">
        <f t="shared" ca="1" si="48"/>
        <v/>
      </c>
      <c r="I532" s="212" t="str">
        <f t="shared" ca="1" si="48"/>
        <v/>
      </c>
      <c r="J532" s="212" t="str">
        <f t="shared" ca="1" si="48"/>
        <v/>
      </c>
    </row>
    <row r="533" spans="2:10" x14ac:dyDescent="0.15">
      <c r="B533" s="213" t="str">
        <f t="shared" si="51"/>
        <v/>
      </c>
      <c r="C533" s="228" t="str">
        <f t="shared" si="49"/>
        <v/>
      </c>
      <c r="D533" s="212" t="str">
        <f t="shared" si="47"/>
        <v/>
      </c>
      <c r="E533" s="212" t="str">
        <f t="shared" ca="1" si="50"/>
        <v/>
      </c>
      <c r="F533" s="212" t="str">
        <f t="shared" ca="1" si="50"/>
        <v/>
      </c>
      <c r="G533" s="212" t="str">
        <f t="shared" ca="1" si="50"/>
        <v/>
      </c>
      <c r="H533" s="212" t="str">
        <f t="shared" ca="1" si="48"/>
        <v/>
      </c>
      <c r="I533" s="212" t="str">
        <f t="shared" ca="1" si="48"/>
        <v/>
      </c>
      <c r="J533" s="212" t="str">
        <f t="shared" ca="1" si="48"/>
        <v/>
      </c>
    </row>
    <row r="534" spans="2:10" x14ac:dyDescent="0.15">
      <c r="B534" s="213" t="str">
        <f t="shared" si="51"/>
        <v/>
      </c>
      <c r="C534" s="228" t="str">
        <f t="shared" si="49"/>
        <v/>
      </c>
      <c r="D534" s="212" t="str">
        <f t="shared" si="47"/>
        <v/>
      </c>
      <c r="E534" s="212" t="str">
        <f t="shared" ca="1" si="50"/>
        <v/>
      </c>
      <c r="F534" s="212" t="str">
        <f t="shared" ca="1" si="50"/>
        <v/>
      </c>
      <c r="G534" s="212" t="str">
        <f t="shared" ca="1" si="50"/>
        <v/>
      </c>
      <c r="H534" s="212" t="str">
        <f t="shared" ca="1" si="48"/>
        <v/>
      </c>
      <c r="I534" s="212" t="str">
        <f t="shared" ca="1" si="48"/>
        <v/>
      </c>
      <c r="J534" s="212" t="str">
        <f t="shared" ca="1" si="48"/>
        <v/>
      </c>
    </row>
    <row r="535" spans="2:10" x14ac:dyDescent="0.15">
      <c r="B535" s="213" t="str">
        <f t="shared" si="51"/>
        <v/>
      </c>
      <c r="C535" s="228" t="str">
        <f t="shared" si="49"/>
        <v/>
      </c>
      <c r="D535" s="212" t="str">
        <f t="shared" si="47"/>
        <v/>
      </c>
      <c r="E535" s="212" t="str">
        <f t="shared" ca="1" si="50"/>
        <v/>
      </c>
      <c r="F535" s="212" t="str">
        <f t="shared" ca="1" si="50"/>
        <v/>
      </c>
      <c r="G535" s="212" t="str">
        <f t="shared" ca="1" si="50"/>
        <v/>
      </c>
      <c r="H535" s="212" t="str">
        <f t="shared" ca="1" si="48"/>
        <v/>
      </c>
      <c r="I535" s="212" t="str">
        <f t="shared" ca="1" si="48"/>
        <v/>
      </c>
      <c r="J535" s="212" t="str">
        <f t="shared" ca="1" si="48"/>
        <v/>
      </c>
    </row>
    <row r="536" spans="2:10" x14ac:dyDescent="0.15">
      <c r="B536" s="213" t="str">
        <f t="shared" si="51"/>
        <v/>
      </c>
      <c r="C536" s="228" t="str">
        <f t="shared" si="49"/>
        <v/>
      </c>
      <c r="D536" s="212" t="str">
        <f t="shared" si="47"/>
        <v/>
      </c>
      <c r="E536" s="212" t="str">
        <f t="shared" ca="1" si="50"/>
        <v/>
      </c>
      <c r="F536" s="212" t="str">
        <f t="shared" ca="1" si="50"/>
        <v/>
      </c>
      <c r="G536" s="212" t="str">
        <f t="shared" ca="1" si="50"/>
        <v/>
      </c>
      <c r="H536" s="212" t="str">
        <f t="shared" ca="1" si="48"/>
        <v/>
      </c>
      <c r="I536" s="212" t="str">
        <f t="shared" ca="1" si="48"/>
        <v/>
      </c>
      <c r="J536" s="212" t="str">
        <f t="shared" ca="1" si="48"/>
        <v/>
      </c>
    </row>
    <row r="537" spans="2:10" x14ac:dyDescent="0.15">
      <c r="B537" s="213" t="str">
        <f t="shared" si="51"/>
        <v/>
      </c>
      <c r="C537" s="228" t="str">
        <f t="shared" si="49"/>
        <v/>
      </c>
      <c r="D537" s="212" t="str">
        <f t="shared" si="47"/>
        <v/>
      </c>
      <c r="E537" s="212" t="str">
        <f t="shared" ca="1" si="50"/>
        <v/>
      </c>
      <c r="F537" s="212" t="str">
        <f t="shared" ca="1" si="50"/>
        <v/>
      </c>
      <c r="G537" s="212" t="str">
        <f t="shared" ca="1" si="50"/>
        <v/>
      </c>
      <c r="H537" s="212" t="str">
        <f t="shared" ca="1" si="48"/>
        <v/>
      </c>
      <c r="I537" s="212" t="str">
        <f t="shared" ca="1" si="48"/>
        <v/>
      </c>
      <c r="J537" s="212" t="str">
        <f t="shared" ca="1" si="48"/>
        <v/>
      </c>
    </row>
    <row r="538" spans="2:10" x14ac:dyDescent="0.15">
      <c r="B538" s="213" t="str">
        <f t="shared" si="51"/>
        <v/>
      </c>
      <c r="C538" s="228" t="str">
        <f t="shared" si="49"/>
        <v/>
      </c>
      <c r="D538" s="212" t="str">
        <f t="shared" ref="D538:D601" si="52">IF(B538="","",IF(B539="",SUMIFS(Amount,Timestamp,"&gt;="&amp;B538),SUMIFS(Amount,Timestamp,"&gt;="&amp;B538,Timestamp,"&lt;"&amp;B539)))</f>
        <v/>
      </c>
      <c r="E538" s="212" t="str">
        <f t="shared" ca="1" si="50"/>
        <v/>
      </c>
      <c r="F538" s="212" t="str">
        <f t="shared" ca="1" si="50"/>
        <v/>
      </c>
      <c r="G538" s="212" t="str">
        <f t="shared" ca="1" si="50"/>
        <v/>
      </c>
      <c r="H538" s="212" t="str">
        <f t="shared" ca="1" si="50"/>
        <v/>
      </c>
      <c r="I538" s="212" t="str">
        <f t="shared" ca="1" si="50"/>
        <v/>
      </c>
      <c r="J538" s="212" t="str">
        <f t="shared" ca="1" si="50"/>
        <v/>
      </c>
    </row>
    <row r="539" spans="2:10" x14ac:dyDescent="0.15">
      <c r="B539" s="213" t="str">
        <f t="shared" si="51"/>
        <v/>
      </c>
      <c r="C539" s="228" t="str">
        <f t="shared" ref="C539:C602" si="53">IF(B539="","",TEXT(B539,"dddd"))</f>
        <v/>
      </c>
      <c r="D539" s="212" t="str">
        <f t="shared" si="52"/>
        <v/>
      </c>
      <c r="E539" s="212" t="str">
        <f t="shared" ref="E539:H602" ca="1" si="54">IF($B539="","",IF($B539+E$24-1&gt;$E$5,"",SUM(OFFSET($D539,0,0,E$24,1))))</f>
        <v/>
      </c>
      <c r="F539" s="212" t="str">
        <f t="shared" ca="1" si="54"/>
        <v/>
      </c>
      <c r="G539" s="212" t="str">
        <f t="shared" ca="1" si="54"/>
        <v/>
      </c>
      <c r="H539" s="212" t="str">
        <f t="shared" ca="1" si="54"/>
        <v/>
      </c>
      <c r="I539" s="212" t="str">
        <f t="shared" ref="I539:J602" ca="1" si="55">IF($B539="","",IF($B539+I$24-1&gt;$E$5,"",SUM(OFFSET($D539,0,0,I$24,1))))</f>
        <v/>
      </c>
      <c r="J539" s="212" t="str">
        <f t="shared" ca="1" si="55"/>
        <v/>
      </c>
    </row>
    <row r="540" spans="2:10" x14ac:dyDescent="0.15">
      <c r="B540" s="213" t="str">
        <f t="shared" si="51"/>
        <v/>
      </c>
      <c r="C540" s="228" t="str">
        <f t="shared" si="53"/>
        <v/>
      </c>
      <c r="D540" s="212" t="str">
        <f t="shared" si="52"/>
        <v/>
      </c>
      <c r="E540" s="212" t="str">
        <f t="shared" ca="1" si="54"/>
        <v/>
      </c>
      <c r="F540" s="212" t="str">
        <f t="shared" ca="1" si="54"/>
        <v/>
      </c>
      <c r="G540" s="212" t="str">
        <f t="shared" ca="1" si="54"/>
        <v/>
      </c>
      <c r="H540" s="212" t="str">
        <f t="shared" ca="1" si="54"/>
        <v/>
      </c>
      <c r="I540" s="212" t="str">
        <f t="shared" ca="1" si="55"/>
        <v/>
      </c>
      <c r="J540" s="212" t="str">
        <f t="shared" ca="1" si="55"/>
        <v/>
      </c>
    </row>
    <row r="541" spans="2:10" x14ac:dyDescent="0.15">
      <c r="B541" s="213" t="str">
        <f t="shared" si="51"/>
        <v/>
      </c>
      <c r="C541" s="228" t="str">
        <f t="shared" si="53"/>
        <v/>
      </c>
      <c r="D541" s="212" t="str">
        <f t="shared" si="52"/>
        <v/>
      </c>
      <c r="E541" s="212" t="str">
        <f t="shared" ca="1" si="54"/>
        <v/>
      </c>
      <c r="F541" s="212" t="str">
        <f t="shared" ca="1" si="54"/>
        <v/>
      </c>
      <c r="G541" s="212" t="str">
        <f t="shared" ca="1" si="54"/>
        <v/>
      </c>
      <c r="H541" s="212" t="str">
        <f t="shared" ca="1" si="54"/>
        <v/>
      </c>
      <c r="I541" s="212" t="str">
        <f t="shared" ca="1" si="55"/>
        <v/>
      </c>
      <c r="J541" s="212" t="str">
        <f t="shared" ca="1" si="55"/>
        <v/>
      </c>
    </row>
    <row r="542" spans="2:10" x14ac:dyDescent="0.15">
      <c r="B542" s="213" t="str">
        <f t="shared" si="51"/>
        <v/>
      </c>
      <c r="C542" s="228" t="str">
        <f t="shared" si="53"/>
        <v/>
      </c>
      <c r="D542" s="212" t="str">
        <f t="shared" si="52"/>
        <v/>
      </c>
      <c r="E542" s="212" t="str">
        <f t="shared" ca="1" si="54"/>
        <v/>
      </c>
      <c r="F542" s="212" t="str">
        <f t="shared" ca="1" si="54"/>
        <v/>
      </c>
      <c r="G542" s="212" t="str">
        <f t="shared" ca="1" si="54"/>
        <v/>
      </c>
      <c r="H542" s="212" t="str">
        <f t="shared" ca="1" si="54"/>
        <v/>
      </c>
      <c r="I542" s="212" t="str">
        <f t="shared" ca="1" si="55"/>
        <v/>
      </c>
      <c r="J542" s="212" t="str">
        <f t="shared" ca="1" si="55"/>
        <v/>
      </c>
    </row>
    <row r="543" spans="2:10" x14ac:dyDescent="0.15">
      <c r="B543" s="213" t="str">
        <f t="shared" si="51"/>
        <v/>
      </c>
      <c r="C543" s="228" t="str">
        <f t="shared" si="53"/>
        <v/>
      </c>
      <c r="D543" s="212" t="str">
        <f t="shared" si="52"/>
        <v/>
      </c>
      <c r="E543" s="212" t="str">
        <f t="shared" ca="1" si="54"/>
        <v/>
      </c>
      <c r="F543" s="212" t="str">
        <f t="shared" ca="1" si="54"/>
        <v/>
      </c>
      <c r="G543" s="212" t="str">
        <f t="shared" ca="1" si="54"/>
        <v/>
      </c>
      <c r="H543" s="212" t="str">
        <f t="shared" ca="1" si="54"/>
        <v/>
      </c>
      <c r="I543" s="212" t="str">
        <f t="shared" ca="1" si="55"/>
        <v/>
      </c>
      <c r="J543" s="212" t="str">
        <f t="shared" ca="1" si="55"/>
        <v/>
      </c>
    </row>
    <row r="544" spans="2:10" x14ac:dyDescent="0.15">
      <c r="B544" s="213" t="str">
        <f t="shared" si="51"/>
        <v/>
      </c>
      <c r="C544" s="228" t="str">
        <f t="shared" si="53"/>
        <v/>
      </c>
      <c r="D544" s="212" t="str">
        <f t="shared" si="52"/>
        <v/>
      </c>
      <c r="E544" s="212" t="str">
        <f t="shared" ca="1" si="54"/>
        <v/>
      </c>
      <c r="F544" s="212" t="str">
        <f t="shared" ca="1" si="54"/>
        <v/>
      </c>
      <c r="G544" s="212" t="str">
        <f t="shared" ca="1" si="54"/>
        <v/>
      </c>
      <c r="H544" s="212" t="str">
        <f t="shared" ca="1" si="54"/>
        <v/>
      </c>
      <c r="I544" s="212" t="str">
        <f t="shared" ca="1" si="55"/>
        <v/>
      </c>
      <c r="J544" s="212" t="str">
        <f t="shared" ca="1" si="55"/>
        <v/>
      </c>
    </row>
    <row r="545" spans="2:10" x14ac:dyDescent="0.15">
      <c r="B545" s="213" t="str">
        <f t="shared" si="51"/>
        <v/>
      </c>
      <c r="C545" s="228" t="str">
        <f t="shared" si="53"/>
        <v/>
      </c>
      <c r="D545" s="212" t="str">
        <f t="shared" si="52"/>
        <v/>
      </c>
      <c r="E545" s="212" t="str">
        <f t="shared" ca="1" si="54"/>
        <v/>
      </c>
      <c r="F545" s="212" t="str">
        <f t="shared" ca="1" si="54"/>
        <v/>
      </c>
      <c r="G545" s="212" t="str">
        <f t="shared" ca="1" si="54"/>
        <v/>
      </c>
      <c r="H545" s="212" t="str">
        <f t="shared" ca="1" si="54"/>
        <v/>
      </c>
      <c r="I545" s="212" t="str">
        <f t="shared" ca="1" si="55"/>
        <v/>
      </c>
      <c r="J545" s="212" t="str">
        <f t="shared" ca="1" si="55"/>
        <v/>
      </c>
    </row>
    <row r="546" spans="2:10" x14ac:dyDescent="0.15">
      <c r="B546" s="213" t="str">
        <f t="shared" si="51"/>
        <v/>
      </c>
      <c r="C546" s="228" t="str">
        <f t="shared" si="53"/>
        <v/>
      </c>
      <c r="D546" s="212" t="str">
        <f t="shared" si="52"/>
        <v/>
      </c>
      <c r="E546" s="212" t="str">
        <f t="shared" ca="1" si="54"/>
        <v/>
      </c>
      <c r="F546" s="212" t="str">
        <f t="shared" ca="1" si="54"/>
        <v/>
      </c>
      <c r="G546" s="212" t="str">
        <f t="shared" ca="1" si="54"/>
        <v/>
      </c>
      <c r="H546" s="212" t="str">
        <f t="shared" ca="1" si="54"/>
        <v/>
      </c>
      <c r="I546" s="212" t="str">
        <f t="shared" ca="1" si="55"/>
        <v/>
      </c>
      <c r="J546" s="212" t="str">
        <f t="shared" ca="1" si="55"/>
        <v/>
      </c>
    </row>
    <row r="547" spans="2:10" x14ac:dyDescent="0.15">
      <c r="B547" s="213" t="str">
        <f t="shared" ref="B547:B610" si="56">IF(B546="","",IF(B546&gt;=$E$5,"",B546+1))</f>
        <v/>
      </c>
      <c r="C547" s="228" t="str">
        <f t="shared" si="53"/>
        <v/>
      </c>
      <c r="D547" s="212" t="str">
        <f t="shared" si="52"/>
        <v/>
      </c>
      <c r="E547" s="212" t="str">
        <f t="shared" ca="1" si="54"/>
        <v/>
      </c>
      <c r="F547" s="212" t="str">
        <f t="shared" ca="1" si="54"/>
        <v/>
      </c>
      <c r="G547" s="212" t="str">
        <f t="shared" ca="1" si="54"/>
        <v/>
      </c>
      <c r="H547" s="212" t="str">
        <f t="shared" ca="1" si="54"/>
        <v/>
      </c>
      <c r="I547" s="212" t="str">
        <f t="shared" ca="1" si="55"/>
        <v/>
      </c>
      <c r="J547" s="212" t="str">
        <f t="shared" ca="1" si="55"/>
        <v/>
      </c>
    </row>
    <row r="548" spans="2:10" x14ac:dyDescent="0.15">
      <c r="B548" s="213" t="str">
        <f t="shared" si="56"/>
        <v/>
      </c>
      <c r="C548" s="228" t="str">
        <f t="shared" si="53"/>
        <v/>
      </c>
      <c r="D548" s="212" t="str">
        <f t="shared" si="52"/>
        <v/>
      </c>
      <c r="E548" s="212" t="str">
        <f t="shared" ca="1" si="54"/>
        <v/>
      </c>
      <c r="F548" s="212" t="str">
        <f t="shared" ca="1" si="54"/>
        <v/>
      </c>
      <c r="G548" s="212" t="str">
        <f t="shared" ca="1" si="54"/>
        <v/>
      </c>
      <c r="H548" s="212" t="str">
        <f t="shared" ca="1" si="54"/>
        <v/>
      </c>
      <c r="I548" s="212" t="str">
        <f t="shared" ca="1" si="55"/>
        <v/>
      </c>
      <c r="J548" s="212" t="str">
        <f t="shared" ca="1" si="55"/>
        <v/>
      </c>
    </row>
    <row r="549" spans="2:10" x14ac:dyDescent="0.15">
      <c r="B549" s="213" t="str">
        <f t="shared" si="56"/>
        <v/>
      </c>
      <c r="C549" s="228" t="str">
        <f t="shared" si="53"/>
        <v/>
      </c>
      <c r="D549" s="212" t="str">
        <f t="shared" si="52"/>
        <v/>
      </c>
      <c r="E549" s="212" t="str">
        <f t="shared" ca="1" si="54"/>
        <v/>
      </c>
      <c r="F549" s="212" t="str">
        <f t="shared" ca="1" si="54"/>
        <v/>
      </c>
      <c r="G549" s="212" t="str">
        <f t="shared" ca="1" si="54"/>
        <v/>
      </c>
      <c r="H549" s="212" t="str">
        <f t="shared" ca="1" si="54"/>
        <v/>
      </c>
      <c r="I549" s="212" t="str">
        <f t="shared" ca="1" si="55"/>
        <v/>
      </c>
      <c r="J549" s="212" t="str">
        <f t="shared" ca="1" si="55"/>
        <v/>
      </c>
    </row>
    <row r="550" spans="2:10" x14ac:dyDescent="0.15">
      <c r="B550" s="213" t="str">
        <f t="shared" si="56"/>
        <v/>
      </c>
      <c r="C550" s="228" t="str">
        <f t="shared" si="53"/>
        <v/>
      </c>
      <c r="D550" s="212" t="str">
        <f t="shared" si="52"/>
        <v/>
      </c>
      <c r="E550" s="212" t="str">
        <f t="shared" ca="1" si="54"/>
        <v/>
      </c>
      <c r="F550" s="212" t="str">
        <f t="shared" ca="1" si="54"/>
        <v/>
      </c>
      <c r="G550" s="212" t="str">
        <f t="shared" ca="1" si="54"/>
        <v/>
      </c>
      <c r="H550" s="212" t="str">
        <f t="shared" ca="1" si="54"/>
        <v/>
      </c>
      <c r="I550" s="212" t="str">
        <f t="shared" ca="1" si="55"/>
        <v/>
      </c>
      <c r="J550" s="212" t="str">
        <f t="shared" ca="1" si="55"/>
        <v/>
      </c>
    </row>
    <row r="551" spans="2:10" x14ac:dyDescent="0.15">
      <c r="B551" s="213" t="str">
        <f t="shared" si="56"/>
        <v/>
      </c>
      <c r="C551" s="228" t="str">
        <f t="shared" si="53"/>
        <v/>
      </c>
      <c r="D551" s="212" t="str">
        <f t="shared" si="52"/>
        <v/>
      </c>
      <c r="E551" s="212" t="str">
        <f t="shared" ca="1" si="54"/>
        <v/>
      </c>
      <c r="F551" s="212" t="str">
        <f t="shared" ca="1" si="54"/>
        <v/>
      </c>
      <c r="G551" s="212" t="str">
        <f t="shared" ca="1" si="54"/>
        <v/>
      </c>
      <c r="H551" s="212" t="str">
        <f t="shared" ca="1" si="54"/>
        <v/>
      </c>
      <c r="I551" s="212" t="str">
        <f t="shared" ca="1" si="55"/>
        <v/>
      </c>
      <c r="J551" s="212" t="str">
        <f t="shared" ca="1" si="55"/>
        <v/>
      </c>
    </row>
    <row r="552" spans="2:10" x14ac:dyDescent="0.15">
      <c r="B552" s="213" t="str">
        <f t="shared" si="56"/>
        <v/>
      </c>
      <c r="C552" s="228" t="str">
        <f t="shared" si="53"/>
        <v/>
      </c>
      <c r="D552" s="212" t="str">
        <f t="shared" si="52"/>
        <v/>
      </c>
      <c r="E552" s="212" t="str">
        <f t="shared" ca="1" si="54"/>
        <v/>
      </c>
      <c r="F552" s="212" t="str">
        <f t="shared" ca="1" si="54"/>
        <v/>
      </c>
      <c r="G552" s="212" t="str">
        <f t="shared" ca="1" si="54"/>
        <v/>
      </c>
      <c r="H552" s="212" t="str">
        <f t="shared" ca="1" si="54"/>
        <v/>
      </c>
      <c r="I552" s="212" t="str">
        <f t="shared" ca="1" si="55"/>
        <v/>
      </c>
      <c r="J552" s="212" t="str">
        <f t="shared" ca="1" si="55"/>
        <v/>
      </c>
    </row>
    <row r="553" spans="2:10" x14ac:dyDescent="0.15">
      <c r="B553" s="213" t="str">
        <f t="shared" si="56"/>
        <v/>
      </c>
      <c r="C553" s="228" t="str">
        <f t="shared" si="53"/>
        <v/>
      </c>
      <c r="D553" s="212" t="str">
        <f t="shared" si="52"/>
        <v/>
      </c>
      <c r="E553" s="212" t="str">
        <f t="shared" ca="1" si="54"/>
        <v/>
      </c>
      <c r="F553" s="212" t="str">
        <f t="shared" ca="1" si="54"/>
        <v/>
      </c>
      <c r="G553" s="212" t="str">
        <f t="shared" ca="1" si="54"/>
        <v/>
      </c>
      <c r="H553" s="212" t="str">
        <f t="shared" ca="1" si="54"/>
        <v/>
      </c>
      <c r="I553" s="212" t="str">
        <f t="shared" ca="1" si="55"/>
        <v/>
      </c>
      <c r="J553" s="212" t="str">
        <f t="shared" ca="1" si="55"/>
        <v/>
      </c>
    </row>
    <row r="554" spans="2:10" x14ac:dyDescent="0.15">
      <c r="B554" s="213" t="str">
        <f t="shared" si="56"/>
        <v/>
      </c>
      <c r="C554" s="228" t="str">
        <f t="shared" si="53"/>
        <v/>
      </c>
      <c r="D554" s="212" t="str">
        <f t="shared" si="52"/>
        <v/>
      </c>
      <c r="E554" s="212" t="str">
        <f t="shared" ca="1" si="54"/>
        <v/>
      </c>
      <c r="F554" s="212" t="str">
        <f t="shared" ca="1" si="54"/>
        <v/>
      </c>
      <c r="G554" s="212" t="str">
        <f t="shared" ca="1" si="54"/>
        <v/>
      </c>
      <c r="H554" s="212" t="str">
        <f t="shared" ca="1" si="54"/>
        <v/>
      </c>
      <c r="I554" s="212" t="str">
        <f t="shared" ca="1" si="55"/>
        <v/>
      </c>
      <c r="J554" s="212" t="str">
        <f t="shared" ca="1" si="55"/>
        <v/>
      </c>
    </row>
    <row r="555" spans="2:10" x14ac:dyDescent="0.15">
      <c r="B555" s="213" t="str">
        <f t="shared" si="56"/>
        <v/>
      </c>
      <c r="C555" s="228" t="str">
        <f t="shared" si="53"/>
        <v/>
      </c>
      <c r="D555" s="212" t="str">
        <f t="shared" si="52"/>
        <v/>
      </c>
      <c r="E555" s="212" t="str">
        <f t="shared" ca="1" si="54"/>
        <v/>
      </c>
      <c r="F555" s="212" t="str">
        <f t="shared" ca="1" si="54"/>
        <v/>
      </c>
      <c r="G555" s="212" t="str">
        <f t="shared" ca="1" si="54"/>
        <v/>
      </c>
      <c r="H555" s="212" t="str">
        <f t="shared" ca="1" si="54"/>
        <v/>
      </c>
      <c r="I555" s="212" t="str">
        <f t="shared" ca="1" si="55"/>
        <v/>
      </c>
      <c r="J555" s="212" t="str">
        <f t="shared" ca="1" si="55"/>
        <v/>
      </c>
    </row>
    <row r="556" spans="2:10" x14ac:dyDescent="0.15">
      <c r="B556" s="213" t="str">
        <f t="shared" si="56"/>
        <v/>
      </c>
      <c r="C556" s="228" t="str">
        <f t="shared" si="53"/>
        <v/>
      </c>
      <c r="D556" s="212" t="str">
        <f t="shared" si="52"/>
        <v/>
      </c>
      <c r="E556" s="212" t="str">
        <f t="shared" ca="1" si="54"/>
        <v/>
      </c>
      <c r="F556" s="212" t="str">
        <f t="shared" ca="1" si="54"/>
        <v/>
      </c>
      <c r="G556" s="212" t="str">
        <f t="shared" ca="1" si="54"/>
        <v/>
      </c>
      <c r="H556" s="212" t="str">
        <f t="shared" ca="1" si="54"/>
        <v/>
      </c>
      <c r="I556" s="212" t="str">
        <f t="shared" ca="1" si="55"/>
        <v/>
      </c>
      <c r="J556" s="212" t="str">
        <f t="shared" ca="1" si="55"/>
        <v/>
      </c>
    </row>
    <row r="557" spans="2:10" x14ac:dyDescent="0.15">
      <c r="B557" s="213" t="str">
        <f t="shared" si="56"/>
        <v/>
      </c>
      <c r="C557" s="228" t="str">
        <f t="shared" si="53"/>
        <v/>
      </c>
      <c r="D557" s="212" t="str">
        <f t="shared" si="52"/>
        <v/>
      </c>
      <c r="E557" s="212" t="str">
        <f t="shared" ca="1" si="54"/>
        <v/>
      </c>
      <c r="F557" s="212" t="str">
        <f t="shared" ca="1" si="54"/>
        <v/>
      </c>
      <c r="G557" s="212" t="str">
        <f t="shared" ca="1" si="54"/>
        <v/>
      </c>
      <c r="H557" s="212" t="str">
        <f t="shared" ca="1" si="54"/>
        <v/>
      </c>
      <c r="I557" s="212" t="str">
        <f t="shared" ca="1" si="55"/>
        <v/>
      </c>
      <c r="J557" s="212" t="str">
        <f t="shared" ca="1" si="55"/>
        <v/>
      </c>
    </row>
    <row r="558" spans="2:10" x14ac:dyDescent="0.15">
      <c r="B558" s="213" t="str">
        <f t="shared" si="56"/>
        <v/>
      </c>
      <c r="C558" s="228" t="str">
        <f t="shared" si="53"/>
        <v/>
      </c>
      <c r="D558" s="212" t="str">
        <f t="shared" si="52"/>
        <v/>
      </c>
      <c r="E558" s="212" t="str">
        <f t="shared" ca="1" si="54"/>
        <v/>
      </c>
      <c r="F558" s="212" t="str">
        <f t="shared" ca="1" si="54"/>
        <v/>
      </c>
      <c r="G558" s="212" t="str">
        <f t="shared" ca="1" si="54"/>
        <v/>
      </c>
      <c r="H558" s="212" t="str">
        <f t="shared" ca="1" si="54"/>
        <v/>
      </c>
      <c r="I558" s="212" t="str">
        <f t="shared" ca="1" si="55"/>
        <v/>
      </c>
      <c r="J558" s="212" t="str">
        <f t="shared" ca="1" si="55"/>
        <v/>
      </c>
    </row>
    <row r="559" spans="2:10" x14ac:dyDescent="0.15">
      <c r="B559" s="213" t="str">
        <f t="shared" si="56"/>
        <v/>
      </c>
      <c r="C559" s="228" t="str">
        <f t="shared" si="53"/>
        <v/>
      </c>
      <c r="D559" s="212" t="str">
        <f t="shared" si="52"/>
        <v/>
      </c>
      <c r="E559" s="212" t="str">
        <f t="shared" ca="1" si="54"/>
        <v/>
      </c>
      <c r="F559" s="212" t="str">
        <f t="shared" ca="1" si="54"/>
        <v/>
      </c>
      <c r="G559" s="212" t="str">
        <f t="shared" ca="1" si="54"/>
        <v/>
      </c>
      <c r="H559" s="212" t="str">
        <f t="shared" ca="1" si="54"/>
        <v/>
      </c>
      <c r="I559" s="212" t="str">
        <f t="shared" ca="1" si="55"/>
        <v/>
      </c>
      <c r="J559" s="212" t="str">
        <f t="shared" ca="1" si="55"/>
        <v/>
      </c>
    </row>
    <row r="560" spans="2:10" x14ac:dyDescent="0.15">
      <c r="B560" s="213" t="str">
        <f t="shared" si="56"/>
        <v/>
      </c>
      <c r="C560" s="228" t="str">
        <f t="shared" si="53"/>
        <v/>
      </c>
      <c r="D560" s="212" t="str">
        <f t="shared" si="52"/>
        <v/>
      </c>
      <c r="E560" s="212" t="str">
        <f t="shared" ca="1" si="54"/>
        <v/>
      </c>
      <c r="F560" s="212" t="str">
        <f t="shared" ca="1" si="54"/>
        <v/>
      </c>
      <c r="G560" s="212" t="str">
        <f t="shared" ca="1" si="54"/>
        <v/>
      </c>
      <c r="H560" s="212" t="str">
        <f t="shared" ca="1" si="54"/>
        <v/>
      </c>
      <c r="I560" s="212" t="str">
        <f t="shared" ca="1" si="55"/>
        <v/>
      </c>
      <c r="J560" s="212" t="str">
        <f t="shared" ca="1" si="55"/>
        <v/>
      </c>
    </row>
    <row r="561" spans="2:10" x14ac:dyDescent="0.15">
      <c r="B561" s="213" t="str">
        <f t="shared" si="56"/>
        <v/>
      </c>
      <c r="C561" s="228" t="str">
        <f t="shared" si="53"/>
        <v/>
      </c>
      <c r="D561" s="212" t="str">
        <f t="shared" si="52"/>
        <v/>
      </c>
      <c r="E561" s="212" t="str">
        <f t="shared" ca="1" si="54"/>
        <v/>
      </c>
      <c r="F561" s="212" t="str">
        <f t="shared" ca="1" si="54"/>
        <v/>
      </c>
      <c r="G561" s="212" t="str">
        <f t="shared" ca="1" si="54"/>
        <v/>
      </c>
      <c r="H561" s="212" t="str">
        <f t="shared" ca="1" si="54"/>
        <v/>
      </c>
      <c r="I561" s="212" t="str">
        <f t="shared" ca="1" si="55"/>
        <v/>
      </c>
      <c r="J561" s="212" t="str">
        <f t="shared" ca="1" si="55"/>
        <v/>
      </c>
    </row>
    <row r="562" spans="2:10" x14ac:dyDescent="0.15">
      <c r="B562" s="213" t="str">
        <f t="shared" si="56"/>
        <v/>
      </c>
      <c r="C562" s="228" t="str">
        <f t="shared" si="53"/>
        <v/>
      </c>
      <c r="D562" s="212" t="str">
        <f t="shared" si="52"/>
        <v/>
      </c>
      <c r="E562" s="212" t="str">
        <f t="shared" ca="1" si="54"/>
        <v/>
      </c>
      <c r="F562" s="212" t="str">
        <f t="shared" ca="1" si="54"/>
        <v/>
      </c>
      <c r="G562" s="212" t="str">
        <f t="shared" ca="1" si="54"/>
        <v/>
      </c>
      <c r="H562" s="212" t="str">
        <f t="shared" ca="1" si="54"/>
        <v/>
      </c>
      <c r="I562" s="212" t="str">
        <f t="shared" ca="1" si="55"/>
        <v/>
      </c>
      <c r="J562" s="212" t="str">
        <f t="shared" ca="1" si="55"/>
        <v/>
      </c>
    </row>
    <row r="563" spans="2:10" x14ac:dyDescent="0.15">
      <c r="B563" s="213" t="str">
        <f t="shared" si="56"/>
        <v/>
      </c>
      <c r="C563" s="228" t="str">
        <f t="shared" si="53"/>
        <v/>
      </c>
      <c r="D563" s="212" t="str">
        <f t="shared" si="52"/>
        <v/>
      </c>
      <c r="E563" s="212" t="str">
        <f t="shared" ca="1" si="54"/>
        <v/>
      </c>
      <c r="F563" s="212" t="str">
        <f t="shared" ca="1" si="54"/>
        <v/>
      </c>
      <c r="G563" s="212" t="str">
        <f t="shared" ca="1" si="54"/>
        <v/>
      </c>
      <c r="H563" s="212" t="str">
        <f t="shared" ca="1" si="54"/>
        <v/>
      </c>
      <c r="I563" s="212" t="str">
        <f t="shared" ca="1" si="55"/>
        <v/>
      </c>
      <c r="J563" s="212" t="str">
        <f t="shared" ca="1" si="55"/>
        <v/>
      </c>
    </row>
    <row r="564" spans="2:10" x14ac:dyDescent="0.15">
      <c r="B564" s="213" t="str">
        <f t="shared" si="56"/>
        <v/>
      </c>
      <c r="C564" s="228" t="str">
        <f t="shared" si="53"/>
        <v/>
      </c>
      <c r="D564" s="212" t="str">
        <f t="shared" si="52"/>
        <v/>
      </c>
      <c r="E564" s="212" t="str">
        <f t="shared" ca="1" si="54"/>
        <v/>
      </c>
      <c r="F564" s="212" t="str">
        <f t="shared" ca="1" si="54"/>
        <v/>
      </c>
      <c r="G564" s="212" t="str">
        <f t="shared" ca="1" si="54"/>
        <v/>
      </c>
      <c r="H564" s="212" t="str">
        <f t="shared" ca="1" si="54"/>
        <v/>
      </c>
      <c r="I564" s="212" t="str">
        <f t="shared" ca="1" si="55"/>
        <v/>
      </c>
      <c r="J564" s="212" t="str">
        <f t="shared" ca="1" si="55"/>
        <v/>
      </c>
    </row>
    <row r="565" spans="2:10" x14ac:dyDescent="0.15">
      <c r="B565" s="213" t="str">
        <f t="shared" si="56"/>
        <v/>
      </c>
      <c r="C565" s="228" t="str">
        <f t="shared" si="53"/>
        <v/>
      </c>
      <c r="D565" s="212" t="str">
        <f t="shared" si="52"/>
        <v/>
      </c>
      <c r="E565" s="212" t="str">
        <f t="shared" ca="1" si="54"/>
        <v/>
      </c>
      <c r="F565" s="212" t="str">
        <f t="shared" ca="1" si="54"/>
        <v/>
      </c>
      <c r="G565" s="212" t="str">
        <f t="shared" ca="1" si="54"/>
        <v/>
      </c>
      <c r="H565" s="212" t="str">
        <f t="shared" ca="1" si="54"/>
        <v/>
      </c>
      <c r="I565" s="212" t="str">
        <f t="shared" ca="1" si="55"/>
        <v/>
      </c>
      <c r="J565" s="212" t="str">
        <f t="shared" ca="1" si="55"/>
        <v/>
      </c>
    </row>
    <row r="566" spans="2:10" x14ac:dyDescent="0.15">
      <c r="B566" s="213" t="str">
        <f t="shared" si="56"/>
        <v/>
      </c>
      <c r="C566" s="228" t="str">
        <f t="shared" si="53"/>
        <v/>
      </c>
      <c r="D566" s="212" t="str">
        <f t="shared" si="52"/>
        <v/>
      </c>
      <c r="E566" s="212" t="str">
        <f t="shared" ca="1" si="54"/>
        <v/>
      </c>
      <c r="F566" s="212" t="str">
        <f t="shared" ca="1" si="54"/>
        <v/>
      </c>
      <c r="G566" s="212" t="str">
        <f t="shared" ca="1" si="54"/>
        <v/>
      </c>
      <c r="H566" s="212" t="str">
        <f t="shared" ca="1" si="54"/>
        <v/>
      </c>
      <c r="I566" s="212" t="str">
        <f t="shared" ca="1" si="55"/>
        <v/>
      </c>
      <c r="J566" s="212" t="str">
        <f t="shared" ca="1" si="55"/>
        <v/>
      </c>
    </row>
    <row r="567" spans="2:10" x14ac:dyDescent="0.15">
      <c r="B567" s="213" t="str">
        <f t="shared" si="56"/>
        <v/>
      </c>
      <c r="C567" s="228" t="str">
        <f t="shared" si="53"/>
        <v/>
      </c>
      <c r="D567" s="212" t="str">
        <f t="shared" si="52"/>
        <v/>
      </c>
      <c r="E567" s="212" t="str">
        <f t="shared" ca="1" si="54"/>
        <v/>
      </c>
      <c r="F567" s="212" t="str">
        <f t="shared" ca="1" si="54"/>
        <v/>
      </c>
      <c r="G567" s="212" t="str">
        <f t="shared" ca="1" si="54"/>
        <v/>
      </c>
      <c r="H567" s="212" t="str">
        <f t="shared" ca="1" si="54"/>
        <v/>
      </c>
      <c r="I567" s="212" t="str">
        <f t="shared" ca="1" si="55"/>
        <v/>
      </c>
      <c r="J567" s="212" t="str">
        <f t="shared" ca="1" si="55"/>
        <v/>
      </c>
    </row>
    <row r="568" spans="2:10" x14ac:dyDescent="0.15">
      <c r="B568" s="213" t="str">
        <f t="shared" si="56"/>
        <v/>
      </c>
      <c r="C568" s="228" t="str">
        <f t="shared" si="53"/>
        <v/>
      </c>
      <c r="D568" s="212" t="str">
        <f t="shared" si="52"/>
        <v/>
      </c>
      <c r="E568" s="212" t="str">
        <f t="shared" ca="1" si="54"/>
        <v/>
      </c>
      <c r="F568" s="212" t="str">
        <f t="shared" ca="1" si="54"/>
        <v/>
      </c>
      <c r="G568" s="212" t="str">
        <f t="shared" ca="1" si="54"/>
        <v/>
      </c>
      <c r="H568" s="212" t="str">
        <f t="shared" ca="1" si="54"/>
        <v/>
      </c>
      <c r="I568" s="212" t="str">
        <f t="shared" ca="1" si="55"/>
        <v/>
      </c>
      <c r="J568" s="212" t="str">
        <f t="shared" ca="1" si="55"/>
        <v/>
      </c>
    </row>
    <row r="569" spans="2:10" x14ac:dyDescent="0.15">
      <c r="B569" s="213" t="str">
        <f t="shared" si="56"/>
        <v/>
      </c>
      <c r="C569" s="228" t="str">
        <f t="shared" si="53"/>
        <v/>
      </c>
      <c r="D569" s="212" t="str">
        <f t="shared" si="52"/>
        <v/>
      </c>
      <c r="E569" s="212" t="str">
        <f t="shared" ca="1" si="54"/>
        <v/>
      </c>
      <c r="F569" s="212" t="str">
        <f t="shared" ca="1" si="54"/>
        <v/>
      </c>
      <c r="G569" s="212" t="str">
        <f t="shared" ca="1" si="54"/>
        <v/>
      </c>
      <c r="H569" s="212" t="str">
        <f t="shared" ca="1" si="54"/>
        <v/>
      </c>
      <c r="I569" s="212" t="str">
        <f t="shared" ca="1" si="55"/>
        <v/>
      </c>
      <c r="J569" s="212" t="str">
        <f t="shared" ca="1" si="55"/>
        <v/>
      </c>
    </row>
    <row r="570" spans="2:10" x14ac:dyDescent="0.15">
      <c r="B570" s="213" t="str">
        <f t="shared" si="56"/>
        <v/>
      </c>
      <c r="C570" s="228" t="str">
        <f t="shared" si="53"/>
        <v/>
      </c>
      <c r="D570" s="212" t="str">
        <f t="shared" si="52"/>
        <v/>
      </c>
      <c r="E570" s="212" t="str">
        <f t="shared" ca="1" si="54"/>
        <v/>
      </c>
      <c r="F570" s="212" t="str">
        <f t="shared" ca="1" si="54"/>
        <v/>
      </c>
      <c r="G570" s="212" t="str">
        <f t="shared" ca="1" si="54"/>
        <v/>
      </c>
      <c r="H570" s="212" t="str">
        <f t="shared" ca="1" si="54"/>
        <v/>
      </c>
      <c r="I570" s="212" t="str">
        <f t="shared" ca="1" si="55"/>
        <v/>
      </c>
      <c r="J570" s="212" t="str">
        <f t="shared" ca="1" si="55"/>
        <v/>
      </c>
    </row>
    <row r="571" spans="2:10" x14ac:dyDescent="0.15">
      <c r="B571" s="213" t="str">
        <f t="shared" si="56"/>
        <v/>
      </c>
      <c r="C571" s="228" t="str">
        <f t="shared" si="53"/>
        <v/>
      </c>
      <c r="D571" s="212" t="str">
        <f t="shared" si="52"/>
        <v/>
      </c>
      <c r="E571" s="212" t="str">
        <f t="shared" ca="1" si="54"/>
        <v/>
      </c>
      <c r="F571" s="212" t="str">
        <f t="shared" ca="1" si="54"/>
        <v/>
      </c>
      <c r="G571" s="212" t="str">
        <f t="shared" ca="1" si="54"/>
        <v/>
      </c>
      <c r="H571" s="212" t="str">
        <f t="shared" ca="1" si="54"/>
        <v/>
      </c>
      <c r="I571" s="212" t="str">
        <f t="shared" ca="1" si="55"/>
        <v/>
      </c>
      <c r="J571" s="212" t="str">
        <f t="shared" ca="1" si="55"/>
        <v/>
      </c>
    </row>
    <row r="572" spans="2:10" x14ac:dyDescent="0.15">
      <c r="B572" s="213" t="str">
        <f t="shared" si="56"/>
        <v/>
      </c>
      <c r="C572" s="228" t="str">
        <f t="shared" si="53"/>
        <v/>
      </c>
      <c r="D572" s="212" t="str">
        <f t="shared" si="52"/>
        <v/>
      </c>
      <c r="E572" s="212" t="str">
        <f t="shared" ca="1" si="54"/>
        <v/>
      </c>
      <c r="F572" s="212" t="str">
        <f t="shared" ca="1" si="54"/>
        <v/>
      </c>
      <c r="G572" s="212" t="str">
        <f t="shared" ca="1" si="54"/>
        <v/>
      </c>
      <c r="H572" s="212" t="str">
        <f t="shared" ca="1" si="54"/>
        <v/>
      </c>
      <c r="I572" s="212" t="str">
        <f t="shared" ca="1" si="55"/>
        <v/>
      </c>
      <c r="J572" s="212" t="str">
        <f t="shared" ca="1" si="55"/>
        <v/>
      </c>
    </row>
    <row r="573" spans="2:10" x14ac:dyDescent="0.15">
      <c r="B573" s="213" t="str">
        <f t="shared" si="56"/>
        <v/>
      </c>
      <c r="C573" s="228" t="str">
        <f t="shared" si="53"/>
        <v/>
      </c>
      <c r="D573" s="212" t="str">
        <f t="shared" si="52"/>
        <v/>
      </c>
      <c r="E573" s="212" t="str">
        <f t="shared" ca="1" si="54"/>
        <v/>
      </c>
      <c r="F573" s="212" t="str">
        <f t="shared" ca="1" si="54"/>
        <v/>
      </c>
      <c r="G573" s="212" t="str">
        <f t="shared" ca="1" si="54"/>
        <v/>
      </c>
      <c r="H573" s="212" t="str">
        <f t="shared" ca="1" si="54"/>
        <v/>
      </c>
      <c r="I573" s="212" t="str">
        <f t="shared" ca="1" si="55"/>
        <v/>
      </c>
      <c r="J573" s="212" t="str">
        <f t="shared" ca="1" si="55"/>
        <v/>
      </c>
    </row>
    <row r="574" spans="2:10" x14ac:dyDescent="0.15">
      <c r="B574" s="213" t="str">
        <f t="shared" si="56"/>
        <v/>
      </c>
      <c r="C574" s="228" t="str">
        <f t="shared" si="53"/>
        <v/>
      </c>
      <c r="D574" s="212" t="str">
        <f t="shared" si="52"/>
        <v/>
      </c>
      <c r="E574" s="212" t="str">
        <f t="shared" ca="1" si="54"/>
        <v/>
      </c>
      <c r="F574" s="212" t="str">
        <f t="shared" ca="1" si="54"/>
        <v/>
      </c>
      <c r="G574" s="212" t="str">
        <f t="shared" ca="1" si="54"/>
        <v/>
      </c>
      <c r="H574" s="212" t="str">
        <f t="shared" ca="1" si="54"/>
        <v/>
      </c>
      <c r="I574" s="212" t="str">
        <f t="shared" ca="1" si="55"/>
        <v/>
      </c>
      <c r="J574" s="212" t="str">
        <f t="shared" ca="1" si="55"/>
        <v/>
      </c>
    </row>
    <row r="575" spans="2:10" x14ac:dyDescent="0.15">
      <c r="B575" s="213" t="str">
        <f t="shared" si="56"/>
        <v/>
      </c>
      <c r="C575" s="228" t="str">
        <f t="shared" si="53"/>
        <v/>
      </c>
      <c r="D575" s="212" t="str">
        <f t="shared" si="52"/>
        <v/>
      </c>
      <c r="E575" s="212" t="str">
        <f t="shared" ca="1" si="54"/>
        <v/>
      </c>
      <c r="F575" s="212" t="str">
        <f t="shared" ca="1" si="54"/>
        <v/>
      </c>
      <c r="G575" s="212" t="str">
        <f t="shared" ca="1" si="54"/>
        <v/>
      </c>
      <c r="H575" s="212" t="str">
        <f t="shared" ca="1" si="54"/>
        <v/>
      </c>
      <c r="I575" s="212" t="str">
        <f t="shared" ca="1" si="55"/>
        <v/>
      </c>
      <c r="J575" s="212" t="str">
        <f t="shared" ca="1" si="55"/>
        <v/>
      </c>
    </row>
    <row r="576" spans="2:10" x14ac:dyDescent="0.15">
      <c r="B576" s="213" t="str">
        <f t="shared" si="56"/>
        <v/>
      </c>
      <c r="C576" s="228" t="str">
        <f t="shared" si="53"/>
        <v/>
      </c>
      <c r="D576" s="212" t="str">
        <f t="shared" si="52"/>
        <v/>
      </c>
      <c r="E576" s="212" t="str">
        <f t="shared" ca="1" si="54"/>
        <v/>
      </c>
      <c r="F576" s="212" t="str">
        <f t="shared" ca="1" si="54"/>
        <v/>
      </c>
      <c r="G576" s="212" t="str">
        <f t="shared" ca="1" si="54"/>
        <v/>
      </c>
      <c r="H576" s="212" t="str">
        <f t="shared" ca="1" si="54"/>
        <v/>
      </c>
      <c r="I576" s="212" t="str">
        <f t="shared" ca="1" si="55"/>
        <v/>
      </c>
      <c r="J576" s="212" t="str">
        <f t="shared" ca="1" si="55"/>
        <v/>
      </c>
    </row>
    <row r="577" spans="2:10" x14ac:dyDescent="0.15">
      <c r="B577" s="213" t="str">
        <f t="shared" si="56"/>
        <v/>
      </c>
      <c r="C577" s="228" t="str">
        <f t="shared" si="53"/>
        <v/>
      </c>
      <c r="D577" s="212" t="str">
        <f t="shared" si="52"/>
        <v/>
      </c>
      <c r="E577" s="212" t="str">
        <f t="shared" ca="1" si="54"/>
        <v/>
      </c>
      <c r="F577" s="212" t="str">
        <f t="shared" ca="1" si="54"/>
        <v/>
      </c>
      <c r="G577" s="212" t="str">
        <f t="shared" ca="1" si="54"/>
        <v/>
      </c>
      <c r="H577" s="212" t="str">
        <f t="shared" ca="1" si="54"/>
        <v/>
      </c>
      <c r="I577" s="212" t="str">
        <f t="shared" ca="1" si="55"/>
        <v/>
      </c>
      <c r="J577" s="212" t="str">
        <f t="shared" ca="1" si="55"/>
        <v/>
      </c>
    </row>
    <row r="578" spans="2:10" x14ac:dyDescent="0.15">
      <c r="B578" s="213" t="str">
        <f t="shared" si="56"/>
        <v/>
      </c>
      <c r="C578" s="228" t="str">
        <f t="shared" si="53"/>
        <v/>
      </c>
      <c r="D578" s="212" t="str">
        <f t="shared" si="52"/>
        <v/>
      </c>
      <c r="E578" s="212" t="str">
        <f t="shared" ca="1" si="54"/>
        <v/>
      </c>
      <c r="F578" s="212" t="str">
        <f t="shared" ca="1" si="54"/>
        <v/>
      </c>
      <c r="G578" s="212" t="str">
        <f t="shared" ca="1" si="54"/>
        <v/>
      </c>
      <c r="H578" s="212" t="str">
        <f t="shared" ca="1" si="54"/>
        <v/>
      </c>
      <c r="I578" s="212" t="str">
        <f t="shared" ca="1" si="55"/>
        <v/>
      </c>
      <c r="J578" s="212" t="str">
        <f t="shared" ca="1" si="55"/>
        <v/>
      </c>
    </row>
    <row r="579" spans="2:10" x14ac:dyDescent="0.15">
      <c r="B579" s="213" t="str">
        <f t="shared" si="56"/>
        <v/>
      </c>
      <c r="C579" s="228" t="str">
        <f t="shared" si="53"/>
        <v/>
      </c>
      <c r="D579" s="212" t="str">
        <f t="shared" si="52"/>
        <v/>
      </c>
      <c r="E579" s="212" t="str">
        <f t="shared" ca="1" si="54"/>
        <v/>
      </c>
      <c r="F579" s="212" t="str">
        <f t="shared" ca="1" si="54"/>
        <v/>
      </c>
      <c r="G579" s="212" t="str">
        <f t="shared" ca="1" si="54"/>
        <v/>
      </c>
      <c r="H579" s="212" t="str">
        <f t="shared" ca="1" si="54"/>
        <v/>
      </c>
      <c r="I579" s="212" t="str">
        <f t="shared" ca="1" si="55"/>
        <v/>
      </c>
      <c r="J579" s="212" t="str">
        <f t="shared" ca="1" si="55"/>
        <v/>
      </c>
    </row>
    <row r="580" spans="2:10" x14ac:dyDescent="0.15">
      <c r="B580" s="213" t="str">
        <f t="shared" si="56"/>
        <v/>
      </c>
      <c r="C580" s="228" t="str">
        <f t="shared" si="53"/>
        <v/>
      </c>
      <c r="D580" s="212" t="str">
        <f t="shared" si="52"/>
        <v/>
      </c>
      <c r="E580" s="212" t="str">
        <f t="shared" ca="1" si="54"/>
        <v/>
      </c>
      <c r="F580" s="212" t="str">
        <f t="shared" ca="1" si="54"/>
        <v/>
      </c>
      <c r="G580" s="212" t="str">
        <f t="shared" ca="1" si="54"/>
        <v/>
      </c>
      <c r="H580" s="212" t="str">
        <f t="shared" ca="1" si="54"/>
        <v/>
      </c>
      <c r="I580" s="212" t="str">
        <f t="shared" ca="1" si="55"/>
        <v/>
      </c>
      <c r="J580" s="212" t="str">
        <f t="shared" ca="1" si="55"/>
        <v/>
      </c>
    </row>
    <row r="581" spans="2:10" x14ac:dyDescent="0.15">
      <c r="B581" s="213" t="str">
        <f t="shared" si="56"/>
        <v/>
      </c>
      <c r="C581" s="228" t="str">
        <f t="shared" si="53"/>
        <v/>
      </c>
      <c r="D581" s="212" t="str">
        <f t="shared" si="52"/>
        <v/>
      </c>
      <c r="E581" s="212" t="str">
        <f t="shared" ca="1" si="54"/>
        <v/>
      </c>
      <c r="F581" s="212" t="str">
        <f t="shared" ca="1" si="54"/>
        <v/>
      </c>
      <c r="G581" s="212" t="str">
        <f t="shared" ca="1" si="54"/>
        <v/>
      </c>
      <c r="H581" s="212" t="str">
        <f t="shared" ca="1" si="54"/>
        <v/>
      </c>
      <c r="I581" s="212" t="str">
        <f t="shared" ca="1" si="55"/>
        <v/>
      </c>
      <c r="J581" s="212" t="str">
        <f t="shared" ca="1" si="55"/>
        <v/>
      </c>
    </row>
    <row r="582" spans="2:10" x14ac:dyDescent="0.15">
      <c r="B582" s="213" t="str">
        <f t="shared" si="56"/>
        <v/>
      </c>
      <c r="C582" s="228" t="str">
        <f t="shared" si="53"/>
        <v/>
      </c>
      <c r="D582" s="212" t="str">
        <f t="shared" si="52"/>
        <v/>
      </c>
      <c r="E582" s="212" t="str">
        <f t="shared" ca="1" si="54"/>
        <v/>
      </c>
      <c r="F582" s="212" t="str">
        <f t="shared" ca="1" si="54"/>
        <v/>
      </c>
      <c r="G582" s="212" t="str">
        <f t="shared" ca="1" si="54"/>
        <v/>
      </c>
      <c r="H582" s="212" t="str">
        <f t="shared" ca="1" si="54"/>
        <v/>
      </c>
      <c r="I582" s="212" t="str">
        <f t="shared" ca="1" si="55"/>
        <v/>
      </c>
      <c r="J582" s="212" t="str">
        <f t="shared" ca="1" si="55"/>
        <v/>
      </c>
    </row>
    <row r="583" spans="2:10" x14ac:dyDescent="0.15">
      <c r="B583" s="213" t="str">
        <f t="shared" si="56"/>
        <v/>
      </c>
      <c r="C583" s="228" t="str">
        <f t="shared" si="53"/>
        <v/>
      </c>
      <c r="D583" s="212" t="str">
        <f t="shared" si="52"/>
        <v/>
      </c>
      <c r="E583" s="212" t="str">
        <f t="shared" ca="1" si="54"/>
        <v/>
      </c>
      <c r="F583" s="212" t="str">
        <f t="shared" ca="1" si="54"/>
        <v/>
      </c>
      <c r="G583" s="212" t="str">
        <f t="shared" ca="1" si="54"/>
        <v/>
      </c>
      <c r="H583" s="212" t="str">
        <f t="shared" ca="1" si="54"/>
        <v/>
      </c>
      <c r="I583" s="212" t="str">
        <f t="shared" ca="1" si="55"/>
        <v/>
      </c>
      <c r="J583" s="212" t="str">
        <f t="shared" ca="1" si="55"/>
        <v/>
      </c>
    </row>
    <row r="584" spans="2:10" x14ac:dyDescent="0.15">
      <c r="B584" s="213" t="str">
        <f t="shared" si="56"/>
        <v/>
      </c>
      <c r="C584" s="228" t="str">
        <f t="shared" si="53"/>
        <v/>
      </c>
      <c r="D584" s="212" t="str">
        <f t="shared" si="52"/>
        <v/>
      </c>
      <c r="E584" s="212" t="str">
        <f t="shared" ca="1" si="54"/>
        <v/>
      </c>
      <c r="F584" s="212" t="str">
        <f t="shared" ca="1" si="54"/>
        <v/>
      </c>
      <c r="G584" s="212" t="str">
        <f t="shared" ca="1" si="54"/>
        <v/>
      </c>
      <c r="H584" s="212" t="str">
        <f t="shared" ca="1" si="54"/>
        <v/>
      </c>
      <c r="I584" s="212" t="str">
        <f t="shared" ca="1" si="55"/>
        <v/>
      </c>
      <c r="J584" s="212" t="str">
        <f t="shared" ca="1" si="55"/>
        <v/>
      </c>
    </row>
    <row r="585" spans="2:10" x14ac:dyDescent="0.15">
      <c r="B585" s="213" t="str">
        <f t="shared" si="56"/>
        <v/>
      </c>
      <c r="C585" s="228" t="str">
        <f t="shared" si="53"/>
        <v/>
      </c>
      <c r="D585" s="212" t="str">
        <f t="shared" si="52"/>
        <v/>
      </c>
      <c r="E585" s="212" t="str">
        <f t="shared" ca="1" si="54"/>
        <v/>
      </c>
      <c r="F585" s="212" t="str">
        <f t="shared" ca="1" si="54"/>
        <v/>
      </c>
      <c r="G585" s="212" t="str">
        <f t="shared" ca="1" si="54"/>
        <v/>
      </c>
      <c r="H585" s="212" t="str">
        <f t="shared" ca="1" si="54"/>
        <v/>
      </c>
      <c r="I585" s="212" t="str">
        <f t="shared" ca="1" si="55"/>
        <v/>
      </c>
      <c r="J585" s="212" t="str">
        <f t="shared" ca="1" si="55"/>
        <v/>
      </c>
    </row>
    <row r="586" spans="2:10" x14ac:dyDescent="0.15">
      <c r="B586" s="213" t="str">
        <f t="shared" si="56"/>
        <v/>
      </c>
      <c r="C586" s="228" t="str">
        <f t="shared" si="53"/>
        <v/>
      </c>
      <c r="D586" s="212" t="str">
        <f t="shared" si="52"/>
        <v/>
      </c>
      <c r="E586" s="212" t="str">
        <f t="shared" ca="1" si="54"/>
        <v/>
      </c>
      <c r="F586" s="212" t="str">
        <f t="shared" ca="1" si="54"/>
        <v/>
      </c>
      <c r="G586" s="212" t="str">
        <f t="shared" ca="1" si="54"/>
        <v/>
      </c>
      <c r="H586" s="212" t="str">
        <f t="shared" ca="1" si="54"/>
        <v/>
      </c>
      <c r="I586" s="212" t="str">
        <f t="shared" ca="1" si="55"/>
        <v/>
      </c>
      <c r="J586" s="212" t="str">
        <f t="shared" ca="1" si="55"/>
        <v/>
      </c>
    </row>
    <row r="587" spans="2:10" x14ac:dyDescent="0.15">
      <c r="B587" s="213" t="str">
        <f t="shared" si="56"/>
        <v/>
      </c>
      <c r="C587" s="228" t="str">
        <f t="shared" si="53"/>
        <v/>
      </c>
      <c r="D587" s="212" t="str">
        <f t="shared" si="52"/>
        <v/>
      </c>
      <c r="E587" s="212" t="str">
        <f t="shared" ca="1" si="54"/>
        <v/>
      </c>
      <c r="F587" s="212" t="str">
        <f t="shared" ca="1" si="54"/>
        <v/>
      </c>
      <c r="G587" s="212" t="str">
        <f t="shared" ca="1" si="54"/>
        <v/>
      </c>
      <c r="H587" s="212" t="str">
        <f t="shared" ca="1" si="54"/>
        <v/>
      </c>
      <c r="I587" s="212" t="str">
        <f t="shared" ca="1" si="55"/>
        <v/>
      </c>
      <c r="J587" s="212" t="str">
        <f t="shared" ca="1" si="55"/>
        <v/>
      </c>
    </row>
    <row r="588" spans="2:10" x14ac:dyDescent="0.15">
      <c r="B588" s="213" t="str">
        <f t="shared" si="56"/>
        <v/>
      </c>
      <c r="C588" s="228" t="str">
        <f t="shared" si="53"/>
        <v/>
      </c>
      <c r="D588" s="212" t="str">
        <f t="shared" si="52"/>
        <v/>
      </c>
      <c r="E588" s="212" t="str">
        <f t="shared" ca="1" si="54"/>
        <v/>
      </c>
      <c r="F588" s="212" t="str">
        <f t="shared" ca="1" si="54"/>
        <v/>
      </c>
      <c r="G588" s="212" t="str">
        <f t="shared" ca="1" si="54"/>
        <v/>
      </c>
      <c r="H588" s="212" t="str">
        <f t="shared" ca="1" si="54"/>
        <v/>
      </c>
      <c r="I588" s="212" t="str">
        <f t="shared" ca="1" si="55"/>
        <v/>
      </c>
      <c r="J588" s="212" t="str">
        <f t="shared" ca="1" si="55"/>
        <v/>
      </c>
    </row>
    <row r="589" spans="2:10" x14ac:dyDescent="0.15">
      <c r="B589" s="213" t="str">
        <f t="shared" si="56"/>
        <v/>
      </c>
      <c r="C589" s="228" t="str">
        <f t="shared" si="53"/>
        <v/>
      </c>
      <c r="D589" s="212" t="str">
        <f t="shared" si="52"/>
        <v/>
      </c>
      <c r="E589" s="212" t="str">
        <f t="shared" ca="1" si="54"/>
        <v/>
      </c>
      <c r="F589" s="212" t="str">
        <f t="shared" ca="1" si="54"/>
        <v/>
      </c>
      <c r="G589" s="212" t="str">
        <f t="shared" ca="1" si="54"/>
        <v/>
      </c>
      <c r="H589" s="212" t="str">
        <f t="shared" ca="1" si="54"/>
        <v/>
      </c>
      <c r="I589" s="212" t="str">
        <f t="shared" ca="1" si="55"/>
        <v/>
      </c>
      <c r="J589" s="212" t="str">
        <f t="shared" ca="1" si="55"/>
        <v/>
      </c>
    </row>
    <row r="590" spans="2:10" x14ac:dyDescent="0.15">
      <c r="B590" s="213" t="str">
        <f t="shared" si="56"/>
        <v/>
      </c>
      <c r="C590" s="228" t="str">
        <f t="shared" si="53"/>
        <v/>
      </c>
      <c r="D590" s="212" t="str">
        <f t="shared" si="52"/>
        <v/>
      </c>
      <c r="E590" s="212" t="str">
        <f t="shared" ca="1" si="54"/>
        <v/>
      </c>
      <c r="F590" s="212" t="str">
        <f t="shared" ca="1" si="54"/>
        <v/>
      </c>
      <c r="G590" s="212" t="str">
        <f t="shared" ca="1" si="54"/>
        <v/>
      </c>
      <c r="H590" s="212" t="str">
        <f t="shared" ca="1" si="54"/>
        <v/>
      </c>
      <c r="I590" s="212" t="str">
        <f t="shared" ca="1" si="55"/>
        <v/>
      </c>
      <c r="J590" s="212" t="str">
        <f t="shared" ca="1" si="55"/>
        <v/>
      </c>
    </row>
    <row r="591" spans="2:10" x14ac:dyDescent="0.15">
      <c r="B591" s="213" t="str">
        <f t="shared" si="56"/>
        <v/>
      </c>
      <c r="C591" s="228" t="str">
        <f t="shared" si="53"/>
        <v/>
      </c>
      <c r="D591" s="212" t="str">
        <f t="shared" si="52"/>
        <v/>
      </c>
      <c r="E591" s="212" t="str">
        <f t="shared" ca="1" si="54"/>
        <v/>
      </c>
      <c r="F591" s="212" t="str">
        <f t="shared" ca="1" si="54"/>
        <v/>
      </c>
      <c r="G591" s="212" t="str">
        <f t="shared" ca="1" si="54"/>
        <v/>
      </c>
      <c r="H591" s="212" t="str">
        <f t="shared" ca="1" si="54"/>
        <v/>
      </c>
      <c r="I591" s="212" t="str">
        <f t="shared" ca="1" si="55"/>
        <v/>
      </c>
      <c r="J591" s="212" t="str">
        <f t="shared" ca="1" si="55"/>
        <v/>
      </c>
    </row>
    <row r="592" spans="2:10" x14ac:dyDescent="0.15">
      <c r="B592" s="213" t="str">
        <f t="shared" si="56"/>
        <v/>
      </c>
      <c r="C592" s="228" t="str">
        <f t="shared" si="53"/>
        <v/>
      </c>
      <c r="D592" s="212" t="str">
        <f t="shared" si="52"/>
        <v/>
      </c>
      <c r="E592" s="212" t="str">
        <f t="shared" ca="1" si="54"/>
        <v/>
      </c>
      <c r="F592" s="212" t="str">
        <f t="shared" ca="1" si="54"/>
        <v/>
      </c>
      <c r="G592" s="212" t="str">
        <f t="shared" ca="1" si="54"/>
        <v/>
      </c>
      <c r="H592" s="212" t="str">
        <f t="shared" ca="1" si="54"/>
        <v/>
      </c>
      <c r="I592" s="212" t="str">
        <f t="shared" ca="1" si="55"/>
        <v/>
      </c>
      <c r="J592" s="212" t="str">
        <f t="shared" ca="1" si="55"/>
        <v/>
      </c>
    </row>
    <row r="593" spans="2:10" x14ac:dyDescent="0.15">
      <c r="B593" s="213" t="str">
        <f t="shared" si="56"/>
        <v/>
      </c>
      <c r="C593" s="228" t="str">
        <f t="shared" si="53"/>
        <v/>
      </c>
      <c r="D593" s="212" t="str">
        <f t="shared" si="52"/>
        <v/>
      </c>
      <c r="E593" s="212" t="str">
        <f t="shared" ca="1" si="54"/>
        <v/>
      </c>
      <c r="F593" s="212" t="str">
        <f t="shared" ca="1" si="54"/>
        <v/>
      </c>
      <c r="G593" s="212" t="str">
        <f t="shared" ca="1" si="54"/>
        <v/>
      </c>
      <c r="H593" s="212" t="str">
        <f t="shared" ca="1" si="54"/>
        <v/>
      </c>
      <c r="I593" s="212" t="str">
        <f t="shared" ca="1" si="55"/>
        <v/>
      </c>
      <c r="J593" s="212" t="str">
        <f t="shared" ca="1" si="55"/>
        <v/>
      </c>
    </row>
    <row r="594" spans="2:10" x14ac:dyDescent="0.15">
      <c r="B594" s="213" t="str">
        <f t="shared" si="56"/>
        <v/>
      </c>
      <c r="C594" s="228" t="str">
        <f t="shared" si="53"/>
        <v/>
      </c>
      <c r="D594" s="212" t="str">
        <f t="shared" si="52"/>
        <v/>
      </c>
      <c r="E594" s="212" t="str">
        <f t="shared" ca="1" si="54"/>
        <v/>
      </c>
      <c r="F594" s="212" t="str">
        <f t="shared" ca="1" si="54"/>
        <v/>
      </c>
      <c r="G594" s="212" t="str">
        <f t="shared" ca="1" si="54"/>
        <v/>
      </c>
      <c r="H594" s="212" t="str">
        <f t="shared" ca="1" si="54"/>
        <v/>
      </c>
      <c r="I594" s="212" t="str">
        <f t="shared" ca="1" si="55"/>
        <v/>
      </c>
      <c r="J594" s="212" t="str">
        <f t="shared" ca="1" si="55"/>
        <v/>
      </c>
    </row>
    <row r="595" spans="2:10" x14ac:dyDescent="0.15">
      <c r="B595" s="213" t="str">
        <f t="shared" si="56"/>
        <v/>
      </c>
      <c r="C595" s="228" t="str">
        <f t="shared" si="53"/>
        <v/>
      </c>
      <c r="D595" s="212" t="str">
        <f t="shared" si="52"/>
        <v/>
      </c>
      <c r="E595" s="212" t="str">
        <f t="shared" ca="1" si="54"/>
        <v/>
      </c>
      <c r="F595" s="212" t="str">
        <f t="shared" ca="1" si="54"/>
        <v/>
      </c>
      <c r="G595" s="212" t="str">
        <f t="shared" ca="1" si="54"/>
        <v/>
      </c>
      <c r="H595" s="212" t="str">
        <f t="shared" ca="1" si="54"/>
        <v/>
      </c>
      <c r="I595" s="212" t="str">
        <f t="shared" ca="1" si="55"/>
        <v/>
      </c>
      <c r="J595" s="212" t="str">
        <f t="shared" ca="1" si="55"/>
        <v/>
      </c>
    </row>
    <row r="596" spans="2:10" x14ac:dyDescent="0.15">
      <c r="B596" s="213" t="str">
        <f t="shared" si="56"/>
        <v/>
      </c>
      <c r="C596" s="228" t="str">
        <f t="shared" si="53"/>
        <v/>
      </c>
      <c r="D596" s="212" t="str">
        <f t="shared" si="52"/>
        <v/>
      </c>
      <c r="E596" s="212" t="str">
        <f t="shared" ca="1" si="54"/>
        <v/>
      </c>
      <c r="F596" s="212" t="str">
        <f t="shared" ca="1" si="54"/>
        <v/>
      </c>
      <c r="G596" s="212" t="str">
        <f t="shared" ca="1" si="54"/>
        <v/>
      </c>
      <c r="H596" s="212" t="str">
        <f t="shared" ca="1" si="54"/>
        <v/>
      </c>
      <c r="I596" s="212" t="str">
        <f t="shared" ca="1" si="55"/>
        <v/>
      </c>
      <c r="J596" s="212" t="str">
        <f t="shared" ca="1" si="55"/>
        <v/>
      </c>
    </row>
    <row r="597" spans="2:10" x14ac:dyDescent="0.15">
      <c r="B597" s="213" t="str">
        <f t="shared" si="56"/>
        <v/>
      </c>
      <c r="C597" s="228" t="str">
        <f t="shared" si="53"/>
        <v/>
      </c>
      <c r="D597" s="212" t="str">
        <f t="shared" si="52"/>
        <v/>
      </c>
      <c r="E597" s="212" t="str">
        <f t="shared" ca="1" si="54"/>
        <v/>
      </c>
      <c r="F597" s="212" t="str">
        <f t="shared" ca="1" si="54"/>
        <v/>
      </c>
      <c r="G597" s="212" t="str">
        <f t="shared" ca="1" si="54"/>
        <v/>
      </c>
      <c r="H597" s="212" t="str">
        <f t="shared" ca="1" si="54"/>
        <v/>
      </c>
      <c r="I597" s="212" t="str">
        <f t="shared" ca="1" si="55"/>
        <v/>
      </c>
      <c r="J597" s="212" t="str">
        <f t="shared" ca="1" si="55"/>
        <v/>
      </c>
    </row>
    <row r="598" spans="2:10" x14ac:dyDescent="0.15">
      <c r="B598" s="213" t="str">
        <f t="shared" si="56"/>
        <v/>
      </c>
      <c r="C598" s="228" t="str">
        <f t="shared" si="53"/>
        <v/>
      </c>
      <c r="D598" s="212" t="str">
        <f t="shared" si="52"/>
        <v/>
      </c>
      <c r="E598" s="212" t="str">
        <f t="shared" ca="1" si="54"/>
        <v/>
      </c>
      <c r="F598" s="212" t="str">
        <f t="shared" ca="1" si="54"/>
        <v/>
      </c>
      <c r="G598" s="212" t="str">
        <f t="shared" ca="1" si="54"/>
        <v/>
      </c>
      <c r="H598" s="212" t="str">
        <f t="shared" ca="1" si="54"/>
        <v/>
      </c>
      <c r="I598" s="212" t="str">
        <f t="shared" ca="1" si="55"/>
        <v/>
      </c>
      <c r="J598" s="212" t="str">
        <f t="shared" ca="1" si="55"/>
        <v/>
      </c>
    </row>
    <row r="599" spans="2:10" x14ac:dyDescent="0.15">
      <c r="B599" s="213" t="str">
        <f t="shared" si="56"/>
        <v/>
      </c>
      <c r="C599" s="228" t="str">
        <f t="shared" si="53"/>
        <v/>
      </c>
      <c r="D599" s="212" t="str">
        <f t="shared" si="52"/>
        <v/>
      </c>
      <c r="E599" s="212" t="str">
        <f t="shared" ca="1" si="54"/>
        <v/>
      </c>
      <c r="F599" s="212" t="str">
        <f t="shared" ca="1" si="54"/>
        <v/>
      </c>
      <c r="G599" s="212" t="str">
        <f t="shared" ca="1" si="54"/>
        <v/>
      </c>
      <c r="H599" s="212" t="str">
        <f t="shared" ca="1" si="54"/>
        <v/>
      </c>
      <c r="I599" s="212" t="str">
        <f t="shared" ca="1" si="55"/>
        <v/>
      </c>
      <c r="J599" s="212" t="str">
        <f t="shared" ca="1" si="55"/>
        <v/>
      </c>
    </row>
    <row r="600" spans="2:10" x14ac:dyDescent="0.15">
      <c r="B600" s="213" t="str">
        <f t="shared" si="56"/>
        <v/>
      </c>
      <c r="C600" s="228" t="str">
        <f t="shared" si="53"/>
        <v/>
      </c>
      <c r="D600" s="212" t="str">
        <f t="shared" si="52"/>
        <v/>
      </c>
      <c r="E600" s="212" t="str">
        <f t="shared" ca="1" si="54"/>
        <v/>
      </c>
      <c r="F600" s="212" t="str">
        <f t="shared" ca="1" si="54"/>
        <v/>
      </c>
      <c r="G600" s="212" t="str">
        <f t="shared" ca="1" si="54"/>
        <v/>
      </c>
      <c r="H600" s="212" t="str">
        <f t="shared" ca="1" si="54"/>
        <v/>
      </c>
      <c r="I600" s="212" t="str">
        <f t="shared" ca="1" si="55"/>
        <v/>
      </c>
      <c r="J600" s="212" t="str">
        <f t="shared" ca="1" si="55"/>
        <v/>
      </c>
    </row>
    <row r="601" spans="2:10" x14ac:dyDescent="0.15">
      <c r="B601" s="213" t="str">
        <f t="shared" si="56"/>
        <v/>
      </c>
      <c r="C601" s="228" t="str">
        <f t="shared" si="53"/>
        <v/>
      </c>
      <c r="D601" s="212" t="str">
        <f t="shared" si="52"/>
        <v/>
      </c>
      <c r="E601" s="212" t="str">
        <f t="shared" ca="1" si="54"/>
        <v/>
      </c>
      <c r="F601" s="212" t="str">
        <f t="shared" ca="1" si="54"/>
        <v/>
      </c>
      <c r="G601" s="212" t="str">
        <f t="shared" ca="1" si="54"/>
        <v/>
      </c>
      <c r="H601" s="212" t="str">
        <f t="shared" ca="1" si="54"/>
        <v/>
      </c>
      <c r="I601" s="212" t="str">
        <f t="shared" ca="1" si="55"/>
        <v/>
      </c>
      <c r="J601" s="212" t="str">
        <f t="shared" ca="1" si="55"/>
        <v/>
      </c>
    </row>
    <row r="602" spans="2:10" x14ac:dyDescent="0.15">
      <c r="B602" s="213" t="str">
        <f t="shared" si="56"/>
        <v/>
      </c>
      <c r="C602" s="228" t="str">
        <f t="shared" si="53"/>
        <v/>
      </c>
      <c r="D602" s="212" t="str">
        <f t="shared" ref="D602:D665" si="57">IF(B602="","",IF(B603="",SUMIFS(Amount,Timestamp,"&gt;="&amp;B602),SUMIFS(Amount,Timestamp,"&gt;="&amp;B602,Timestamp,"&lt;"&amp;B603)))</f>
        <v/>
      </c>
      <c r="E602" s="212" t="str">
        <f t="shared" ca="1" si="54"/>
        <v/>
      </c>
      <c r="F602" s="212" t="str">
        <f t="shared" ca="1" si="54"/>
        <v/>
      </c>
      <c r="G602" s="212" t="str">
        <f t="shared" ca="1" si="54"/>
        <v/>
      </c>
      <c r="H602" s="212" t="str">
        <f t="shared" ref="H602:J665" ca="1" si="58">IF($B602="","",IF($B602+H$24-1&gt;$E$5,"",SUM(OFFSET($D602,0,0,H$24,1))))</f>
        <v/>
      </c>
      <c r="I602" s="212" t="str">
        <f t="shared" ca="1" si="55"/>
        <v/>
      </c>
      <c r="J602" s="212" t="str">
        <f t="shared" ca="1" si="55"/>
        <v/>
      </c>
    </row>
    <row r="603" spans="2:10" x14ac:dyDescent="0.15">
      <c r="B603" s="213" t="str">
        <f t="shared" si="56"/>
        <v/>
      </c>
      <c r="C603" s="228" t="str">
        <f t="shared" ref="C603:C666" si="59">IF(B603="","",TEXT(B603,"dddd"))</f>
        <v/>
      </c>
      <c r="D603" s="212" t="str">
        <f t="shared" si="57"/>
        <v/>
      </c>
      <c r="E603" s="212" t="str">
        <f t="shared" ref="E603:J666" ca="1" si="60">IF($B603="","",IF($B603+E$24-1&gt;$E$5,"",SUM(OFFSET($D603,0,0,E$24,1))))</f>
        <v/>
      </c>
      <c r="F603" s="212" t="str">
        <f t="shared" ca="1" si="60"/>
        <v/>
      </c>
      <c r="G603" s="212" t="str">
        <f t="shared" ca="1" si="60"/>
        <v/>
      </c>
      <c r="H603" s="212" t="str">
        <f t="shared" ca="1" si="58"/>
        <v/>
      </c>
      <c r="I603" s="212" t="str">
        <f t="shared" ca="1" si="58"/>
        <v/>
      </c>
      <c r="J603" s="212" t="str">
        <f t="shared" ca="1" si="58"/>
        <v/>
      </c>
    </row>
    <row r="604" spans="2:10" x14ac:dyDescent="0.15">
      <c r="B604" s="213" t="str">
        <f t="shared" si="56"/>
        <v/>
      </c>
      <c r="C604" s="228" t="str">
        <f t="shared" si="59"/>
        <v/>
      </c>
      <c r="D604" s="212" t="str">
        <f t="shared" si="57"/>
        <v/>
      </c>
      <c r="E604" s="212" t="str">
        <f t="shared" ca="1" si="60"/>
        <v/>
      </c>
      <c r="F604" s="212" t="str">
        <f t="shared" ca="1" si="60"/>
        <v/>
      </c>
      <c r="G604" s="212" t="str">
        <f t="shared" ca="1" si="60"/>
        <v/>
      </c>
      <c r="H604" s="212" t="str">
        <f t="shared" ca="1" si="58"/>
        <v/>
      </c>
      <c r="I604" s="212" t="str">
        <f t="shared" ca="1" si="58"/>
        <v/>
      </c>
      <c r="J604" s="212" t="str">
        <f t="shared" ca="1" si="58"/>
        <v/>
      </c>
    </row>
    <row r="605" spans="2:10" x14ac:dyDescent="0.15">
      <c r="B605" s="213" t="str">
        <f t="shared" si="56"/>
        <v/>
      </c>
      <c r="C605" s="228" t="str">
        <f t="shared" si="59"/>
        <v/>
      </c>
      <c r="D605" s="212" t="str">
        <f t="shared" si="57"/>
        <v/>
      </c>
      <c r="E605" s="212" t="str">
        <f t="shared" ca="1" si="60"/>
        <v/>
      </c>
      <c r="F605" s="212" t="str">
        <f t="shared" ca="1" si="60"/>
        <v/>
      </c>
      <c r="G605" s="212" t="str">
        <f t="shared" ca="1" si="60"/>
        <v/>
      </c>
      <c r="H605" s="212" t="str">
        <f t="shared" ca="1" si="58"/>
        <v/>
      </c>
      <c r="I605" s="212" t="str">
        <f t="shared" ca="1" si="58"/>
        <v/>
      </c>
      <c r="J605" s="212" t="str">
        <f t="shared" ca="1" si="58"/>
        <v/>
      </c>
    </row>
    <row r="606" spans="2:10" x14ac:dyDescent="0.15">
      <c r="B606" s="213" t="str">
        <f t="shared" si="56"/>
        <v/>
      </c>
      <c r="C606" s="228" t="str">
        <f t="shared" si="59"/>
        <v/>
      </c>
      <c r="D606" s="212" t="str">
        <f t="shared" si="57"/>
        <v/>
      </c>
      <c r="E606" s="212" t="str">
        <f t="shared" ca="1" si="60"/>
        <v/>
      </c>
      <c r="F606" s="212" t="str">
        <f t="shared" ca="1" si="60"/>
        <v/>
      </c>
      <c r="G606" s="212" t="str">
        <f t="shared" ca="1" si="60"/>
        <v/>
      </c>
      <c r="H606" s="212" t="str">
        <f t="shared" ca="1" si="58"/>
        <v/>
      </c>
      <c r="I606" s="212" t="str">
        <f t="shared" ca="1" si="58"/>
        <v/>
      </c>
      <c r="J606" s="212" t="str">
        <f t="shared" ca="1" si="58"/>
        <v/>
      </c>
    </row>
    <row r="607" spans="2:10" x14ac:dyDescent="0.15">
      <c r="B607" s="213" t="str">
        <f t="shared" si="56"/>
        <v/>
      </c>
      <c r="C607" s="228" t="str">
        <f t="shared" si="59"/>
        <v/>
      </c>
      <c r="D607" s="212" t="str">
        <f t="shared" si="57"/>
        <v/>
      </c>
      <c r="E607" s="212" t="str">
        <f t="shared" ca="1" si="60"/>
        <v/>
      </c>
      <c r="F607" s="212" t="str">
        <f t="shared" ca="1" si="60"/>
        <v/>
      </c>
      <c r="G607" s="212" t="str">
        <f t="shared" ca="1" si="60"/>
        <v/>
      </c>
      <c r="H607" s="212" t="str">
        <f t="shared" ca="1" si="58"/>
        <v/>
      </c>
      <c r="I607" s="212" t="str">
        <f t="shared" ca="1" si="58"/>
        <v/>
      </c>
      <c r="J607" s="212" t="str">
        <f t="shared" ca="1" si="58"/>
        <v/>
      </c>
    </row>
    <row r="608" spans="2:10" x14ac:dyDescent="0.15">
      <c r="B608" s="213" t="str">
        <f t="shared" si="56"/>
        <v/>
      </c>
      <c r="C608" s="228" t="str">
        <f t="shared" si="59"/>
        <v/>
      </c>
      <c r="D608" s="212" t="str">
        <f t="shared" si="57"/>
        <v/>
      </c>
      <c r="E608" s="212" t="str">
        <f t="shared" ca="1" si="60"/>
        <v/>
      </c>
      <c r="F608" s="212" t="str">
        <f t="shared" ca="1" si="60"/>
        <v/>
      </c>
      <c r="G608" s="212" t="str">
        <f t="shared" ca="1" si="60"/>
        <v/>
      </c>
      <c r="H608" s="212" t="str">
        <f t="shared" ca="1" si="58"/>
        <v/>
      </c>
      <c r="I608" s="212" t="str">
        <f t="shared" ca="1" si="58"/>
        <v/>
      </c>
      <c r="J608" s="212" t="str">
        <f t="shared" ca="1" si="58"/>
        <v/>
      </c>
    </row>
    <row r="609" spans="2:10" x14ac:dyDescent="0.15">
      <c r="B609" s="213" t="str">
        <f t="shared" si="56"/>
        <v/>
      </c>
      <c r="C609" s="228" t="str">
        <f t="shared" si="59"/>
        <v/>
      </c>
      <c r="D609" s="212" t="str">
        <f t="shared" si="57"/>
        <v/>
      </c>
      <c r="E609" s="212" t="str">
        <f t="shared" ca="1" si="60"/>
        <v/>
      </c>
      <c r="F609" s="212" t="str">
        <f t="shared" ca="1" si="60"/>
        <v/>
      </c>
      <c r="G609" s="212" t="str">
        <f t="shared" ca="1" si="60"/>
        <v/>
      </c>
      <c r="H609" s="212" t="str">
        <f t="shared" ca="1" si="58"/>
        <v/>
      </c>
      <c r="I609" s="212" t="str">
        <f t="shared" ca="1" si="58"/>
        <v/>
      </c>
      <c r="J609" s="212" t="str">
        <f t="shared" ca="1" si="58"/>
        <v/>
      </c>
    </row>
    <row r="610" spans="2:10" x14ac:dyDescent="0.15">
      <c r="B610" s="213" t="str">
        <f t="shared" si="56"/>
        <v/>
      </c>
      <c r="C610" s="228" t="str">
        <f t="shared" si="59"/>
        <v/>
      </c>
      <c r="D610" s="212" t="str">
        <f t="shared" si="57"/>
        <v/>
      </c>
      <c r="E610" s="212" t="str">
        <f t="shared" ca="1" si="60"/>
        <v/>
      </c>
      <c r="F610" s="212" t="str">
        <f t="shared" ca="1" si="60"/>
        <v/>
      </c>
      <c r="G610" s="212" t="str">
        <f t="shared" ca="1" si="60"/>
        <v/>
      </c>
      <c r="H610" s="212" t="str">
        <f t="shared" ca="1" si="58"/>
        <v/>
      </c>
      <c r="I610" s="212" t="str">
        <f t="shared" ca="1" si="58"/>
        <v/>
      </c>
      <c r="J610" s="212" t="str">
        <f t="shared" ca="1" si="58"/>
        <v/>
      </c>
    </row>
    <row r="611" spans="2:10" x14ac:dyDescent="0.15">
      <c r="B611" s="213" t="str">
        <f t="shared" ref="B611:B674" si="61">IF(B610="","",IF(B610&gt;=$E$5,"",B610+1))</f>
        <v/>
      </c>
      <c r="C611" s="228" t="str">
        <f t="shared" si="59"/>
        <v/>
      </c>
      <c r="D611" s="212" t="str">
        <f t="shared" si="57"/>
        <v/>
      </c>
      <c r="E611" s="212" t="str">
        <f t="shared" ca="1" si="60"/>
        <v/>
      </c>
      <c r="F611" s="212" t="str">
        <f t="shared" ca="1" si="60"/>
        <v/>
      </c>
      <c r="G611" s="212" t="str">
        <f t="shared" ca="1" si="60"/>
        <v/>
      </c>
      <c r="H611" s="212" t="str">
        <f t="shared" ca="1" si="58"/>
        <v/>
      </c>
      <c r="I611" s="212" t="str">
        <f t="shared" ca="1" si="58"/>
        <v/>
      </c>
      <c r="J611" s="212" t="str">
        <f t="shared" ca="1" si="58"/>
        <v/>
      </c>
    </row>
    <row r="612" spans="2:10" x14ac:dyDescent="0.15">
      <c r="B612" s="213" t="str">
        <f t="shared" si="61"/>
        <v/>
      </c>
      <c r="C612" s="228" t="str">
        <f t="shared" si="59"/>
        <v/>
      </c>
      <c r="D612" s="212" t="str">
        <f t="shared" si="57"/>
        <v/>
      </c>
      <c r="E612" s="212" t="str">
        <f t="shared" ca="1" si="60"/>
        <v/>
      </c>
      <c r="F612" s="212" t="str">
        <f t="shared" ca="1" si="60"/>
        <v/>
      </c>
      <c r="G612" s="212" t="str">
        <f t="shared" ca="1" si="60"/>
        <v/>
      </c>
      <c r="H612" s="212" t="str">
        <f t="shared" ca="1" si="58"/>
        <v/>
      </c>
      <c r="I612" s="212" t="str">
        <f t="shared" ca="1" si="58"/>
        <v/>
      </c>
      <c r="J612" s="212" t="str">
        <f t="shared" ca="1" si="58"/>
        <v/>
      </c>
    </row>
    <row r="613" spans="2:10" x14ac:dyDescent="0.15">
      <c r="B613" s="213" t="str">
        <f t="shared" si="61"/>
        <v/>
      </c>
      <c r="C613" s="228" t="str">
        <f t="shared" si="59"/>
        <v/>
      </c>
      <c r="D613" s="212" t="str">
        <f t="shared" si="57"/>
        <v/>
      </c>
      <c r="E613" s="212" t="str">
        <f t="shared" ca="1" si="60"/>
        <v/>
      </c>
      <c r="F613" s="212" t="str">
        <f t="shared" ca="1" si="60"/>
        <v/>
      </c>
      <c r="G613" s="212" t="str">
        <f t="shared" ca="1" si="60"/>
        <v/>
      </c>
      <c r="H613" s="212" t="str">
        <f t="shared" ca="1" si="58"/>
        <v/>
      </c>
      <c r="I613" s="212" t="str">
        <f t="shared" ca="1" si="58"/>
        <v/>
      </c>
      <c r="J613" s="212" t="str">
        <f t="shared" ca="1" si="58"/>
        <v/>
      </c>
    </row>
    <row r="614" spans="2:10" x14ac:dyDescent="0.15">
      <c r="B614" s="213" t="str">
        <f t="shared" si="61"/>
        <v/>
      </c>
      <c r="C614" s="228" t="str">
        <f t="shared" si="59"/>
        <v/>
      </c>
      <c r="D614" s="212" t="str">
        <f t="shared" si="57"/>
        <v/>
      </c>
      <c r="E614" s="212" t="str">
        <f t="shared" ca="1" si="60"/>
        <v/>
      </c>
      <c r="F614" s="212" t="str">
        <f t="shared" ca="1" si="60"/>
        <v/>
      </c>
      <c r="G614" s="212" t="str">
        <f t="shared" ca="1" si="60"/>
        <v/>
      </c>
      <c r="H614" s="212" t="str">
        <f t="shared" ca="1" si="58"/>
        <v/>
      </c>
      <c r="I614" s="212" t="str">
        <f t="shared" ca="1" si="58"/>
        <v/>
      </c>
      <c r="J614" s="212" t="str">
        <f t="shared" ca="1" si="58"/>
        <v/>
      </c>
    </row>
    <row r="615" spans="2:10" x14ac:dyDescent="0.15">
      <c r="B615" s="213" t="str">
        <f t="shared" si="61"/>
        <v/>
      </c>
      <c r="C615" s="228" t="str">
        <f t="shared" si="59"/>
        <v/>
      </c>
      <c r="D615" s="212" t="str">
        <f t="shared" si="57"/>
        <v/>
      </c>
      <c r="E615" s="212" t="str">
        <f t="shared" ca="1" si="60"/>
        <v/>
      </c>
      <c r="F615" s="212" t="str">
        <f t="shared" ca="1" si="60"/>
        <v/>
      </c>
      <c r="G615" s="212" t="str">
        <f t="shared" ca="1" si="60"/>
        <v/>
      </c>
      <c r="H615" s="212" t="str">
        <f t="shared" ca="1" si="58"/>
        <v/>
      </c>
      <c r="I615" s="212" t="str">
        <f t="shared" ca="1" si="58"/>
        <v/>
      </c>
      <c r="J615" s="212" t="str">
        <f t="shared" ca="1" si="58"/>
        <v/>
      </c>
    </row>
    <row r="616" spans="2:10" x14ac:dyDescent="0.15">
      <c r="B616" s="213" t="str">
        <f t="shared" si="61"/>
        <v/>
      </c>
      <c r="C616" s="228" t="str">
        <f t="shared" si="59"/>
        <v/>
      </c>
      <c r="D616" s="212" t="str">
        <f t="shared" si="57"/>
        <v/>
      </c>
      <c r="E616" s="212" t="str">
        <f t="shared" ca="1" si="60"/>
        <v/>
      </c>
      <c r="F616" s="212" t="str">
        <f t="shared" ca="1" si="60"/>
        <v/>
      </c>
      <c r="G616" s="212" t="str">
        <f t="shared" ca="1" si="60"/>
        <v/>
      </c>
      <c r="H616" s="212" t="str">
        <f t="shared" ca="1" si="58"/>
        <v/>
      </c>
      <c r="I616" s="212" t="str">
        <f t="shared" ca="1" si="58"/>
        <v/>
      </c>
      <c r="J616" s="212" t="str">
        <f t="shared" ca="1" si="58"/>
        <v/>
      </c>
    </row>
    <row r="617" spans="2:10" x14ac:dyDescent="0.15">
      <c r="B617" s="213" t="str">
        <f t="shared" si="61"/>
        <v/>
      </c>
      <c r="C617" s="228" t="str">
        <f t="shared" si="59"/>
        <v/>
      </c>
      <c r="D617" s="212" t="str">
        <f t="shared" si="57"/>
        <v/>
      </c>
      <c r="E617" s="212" t="str">
        <f t="shared" ca="1" si="60"/>
        <v/>
      </c>
      <c r="F617" s="212" t="str">
        <f t="shared" ca="1" si="60"/>
        <v/>
      </c>
      <c r="G617" s="212" t="str">
        <f t="shared" ca="1" si="60"/>
        <v/>
      </c>
      <c r="H617" s="212" t="str">
        <f t="shared" ca="1" si="58"/>
        <v/>
      </c>
      <c r="I617" s="212" t="str">
        <f t="shared" ca="1" si="58"/>
        <v/>
      </c>
      <c r="J617" s="212" t="str">
        <f t="shared" ca="1" si="58"/>
        <v/>
      </c>
    </row>
    <row r="618" spans="2:10" x14ac:dyDescent="0.15">
      <c r="B618" s="213" t="str">
        <f t="shared" si="61"/>
        <v/>
      </c>
      <c r="C618" s="228" t="str">
        <f t="shared" si="59"/>
        <v/>
      </c>
      <c r="D618" s="212" t="str">
        <f t="shared" si="57"/>
        <v/>
      </c>
      <c r="E618" s="212" t="str">
        <f t="shared" ca="1" si="60"/>
        <v/>
      </c>
      <c r="F618" s="212" t="str">
        <f t="shared" ca="1" si="60"/>
        <v/>
      </c>
      <c r="G618" s="212" t="str">
        <f t="shared" ca="1" si="60"/>
        <v/>
      </c>
      <c r="H618" s="212" t="str">
        <f t="shared" ca="1" si="58"/>
        <v/>
      </c>
      <c r="I618" s="212" t="str">
        <f t="shared" ca="1" si="58"/>
        <v/>
      </c>
      <c r="J618" s="212" t="str">
        <f t="shared" ca="1" si="58"/>
        <v/>
      </c>
    </row>
    <row r="619" spans="2:10" x14ac:dyDescent="0.15">
      <c r="B619" s="213" t="str">
        <f t="shared" si="61"/>
        <v/>
      </c>
      <c r="C619" s="228" t="str">
        <f t="shared" si="59"/>
        <v/>
      </c>
      <c r="D619" s="212" t="str">
        <f t="shared" si="57"/>
        <v/>
      </c>
      <c r="E619" s="212" t="str">
        <f t="shared" ca="1" si="60"/>
        <v/>
      </c>
      <c r="F619" s="212" t="str">
        <f t="shared" ca="1" si="60"/>
        <v/>
      </c>
      <c r="G619" s="212" t="str">
        <f t="shared" ca="1" si="60"/>
        <v/>
      </c>
      <c r="H619" s="212" t="str">
        <f t="shared" ca="1" si="58"/>
        <v/>
      </c>
      <c r="I619" s="212" t="str">
        <f t="shared" ca="1" si="58"/>
        <v/>
      </c>
      <c r="J619" s="212" t="str">
        <f t="shared" ca="1" si="58"/>
        <v/>
      </c>
    </row>
    <row r="620" spans="2:10" x14ac:dyDescent="0.15">
      <c r="B620" s="213" t="str">
        <f t="shared" si="61"/>
        <v/>
      </c>
      <c r="C620" s="228" t="str">
        <f t="shared" si="59"/>
        <v/>
      </c>
      <c r="D620" s="212" t="str">
        <f t="shared" si="57"/>
        <v/>
      </c>
      <c r="E620" s="212" t="str">
        <f t="shared" ca="1" si="60"/>
        <v/>
      </c>
      <c r="F620" s="212" t="str">
        <f t="shared" ca="1" si="60"/>
        <v/>
      </c>
      <c r="G620" s="212" t="str">
        <f t="shared" ca="1" si="60"/>
        <v/>
      </c>
      <c r="H620" s="212" t="str">
        <f t="shared" ca="1" si="58"/>
        <v/>
      </c>
      <c r="I620" s="212" t="str">
        <f t="shared" ca="1" si="58"/>
        <v/>
      </c>
      <c r="J620" s="212" t="str">
        <f t="shared" ca="1" si="58"/>
        <v/>
      </c>
    </row>
    <row r="621" spans="2:10" x14ac:dyDescent="0.15">
      <c r="B621" s="213" t="str">
        <f t="shared" si="61"/>
        <v/>
      </c>
      <c r="C621" s="228" t="str">
        <f t="shared" si="59"/>
        <v/>
      </c>
      <c r="D621" s="212" t="str">
        <f t="shared" si="57"/>
        <v/>
      </c>
      <c r="E621" s="212" t="str">
        <f t="shared" ca="1" si="60"/>
        <v/>
      </c>
      <c r="F621" s="212" t="str">
        <f t="shared" ca="1" si="60"/>
        <v/>
      </c>
      <c r="G621" s="212" t="str">
        <f t="shared" ca="1" si="60"/>
        <v/>
      </c>
      <c r="H621" s="212" t="str">
        <f t="shared" ca="1" si="58"/>
        <v/>
      </c>
      <c r="I621" s="212" t="str">
        <f t="shared" ca="1" si="58"/>
        <v/>
      </c>
      <c r="J621" s="212" t="str">
        <f t="shared" ca="1" si="58"/>
        <v/>
      </c>
    </row>
    <row r="622" spans="2:10" x14ac:dyDescent="0.15">
      <c r="B622" s="213" t="str">
        <f t="shared" si="61"/>
        <v/>
      </c>
      <c r="C622" s="228" t="str">
        <f t="shared" si="59"/>
        <v/>
      </c>
      <c r="D622" s="212" t="str">
        <f t="shared" si="57"/>
        <v/>
      </c>
      <c r="E622" s="212" t="str">
        <f t="shared" ca="1" si="60"/>
        <v/>
      </c>
      <c r="F622" s="212" t="str">
        <f t="shared" ca="1" si="60"/>
        <v/>
      </c>
      <c r="G622" s="212" t="str">
        <f t="shared" ca="1" si="60"/>
        <v/>
      </c>
      <c r="H622" s="212" t="str">
        <f t="shared" ca="1" si="58"/>
        <v/>
      </c>
      <c r="I622" s="212" t="str">
        <f t="shared" ca="1" si="58"/>
        <v/>
      </c>
      <c r="J622" s="212" t="str">
        <f t="shared" ca="1" si="58"/>
        <v/>
      </c>
    </row>
    <row r="623" spans="2:10" x14ac:dyDescent="0.15">
      <c r="B623" s="213" t="str">
        <f t="shared" si="61"/>
        <v/>
      </c>
      <c r="C623" s="228" t="str">
        <f t="shared" si="59"/>
        <v/>
      </c>
      <c r="D623" s="212" t="str">
        <f t="shared" si="57"/>
        <v/>
      </c>
      <c r="E623" s="212" t="str">
        <f t="shared" ca="1" si="60"/>
        <v/>
      </c>
      <c r="F623" s="212" t="str">
        <f t="shared" ca="1" si="60"/>
        <v/>
      </c>
      <c r="G623" s="212" t="str">
        <f t="shared" ca="1" si="60"/>
        <v/>
      </c>
      <c r="H623" s="212" t="str">
        <f t="shared" ca="1" si="58"/>
        <v/>
      </c>
      <c r="I623" s="212" t="str">
        <f t="shared" ca="1" si="58"/>
        <v/>
      </c>
      <c r="J623" s="212" t="str">
        <f t="shared" ca="1" si="58"/>
        <v/>
      </c>
    </row>
    <row r="624" spans="2:10" x14ac:dyDescent="0.15">
      <c r="B624" s="213" t="str">
        <f t="shared" si="61"/>
        <v/>
      </c>
      <c r="C624" s="228" t="str">
        <f t="shared" si="59"/>
        <v/>
      </c>
      <c r="D624" s="212" t="str">
        <f t="shared" si="57"/>
        <v/>
      </c>
      <c r="E624" s="212" t="str">
        <f t="shared" ca="1" si="60"/>
        <v/>
      </c>
      <c r="F624" s="212" t="str">
        <f t="shared" ca="1" si="60"/>
        <v/>
      </c>
      <c r="G624" s="212" t="str">
        <f t="shared" ca="1" si="60"/>
        <v/>
      </c>
      <c r="H624" s="212" t="str">
        <f t="shared" ca="1" si="58"/>
        <v/>
      </c>
      <c r="I624" s="212" t="str">
        <f t="shared" ca="1" si="58"/>
        <v/>
      </c>
      <c r="J624" s="212" t="str">
        <f t="shared" ca="1" si="58"/>
        <v/>
      </c>
    </row>
    <row r="625" spans="2:10" x14ac:dyDescent="0.15">
      <c r="B625" s="213" t="str">
        <f t="shared" si="61"/>
        <v/>
      </c>
      <c r="C625" s="228" t="str">
        <f t="shared" si="59"/>
        <v/>
      </c>
      <c r="D625" s="212" t="str">
        <f t="shared" si="57"/>
        <v/>
      </c>
      <c r="E625" s="212" t="str">
        <f t="shared" ca="1" si="60"/>
        <v/>
      </c>
      <c r="F625" s="212" t="str">
        <f t="shared" ca="1" si="60"/>
        <v/>
      </c>
      <c r="G625" s="212" t="str">
        <f t="shared" ca="1" si="60"/>
        <v/>
      </c>
      <c r="H625" s="212" t="str">
        <f t="shared" ca="1" si="58"/>
        <v/>
      </c>
      <c r="I625" s="212" t="str">
        <f t="shared" ca="1" si="58"/>
        <v/>
      </c>
      <c r="J625" s="212" t="str">
        <f t="shared" ca="1" si="58"/>
        <v/>
      </c>
    </row>
    <row r="626" spans="2:10" x14ac:dyDescent="0.15">
      <c r="B626" s="213" t="str">
        <f t="shared" si="61"/>
        <v/>
      </c>
      <c r="C626" s="228" t="str">
        <f t="shared" si="59"/>
        <v/>
      </c>
      <c r="D626" s="212" t="str">
        <f t="shared" si="57"/>
        <v/>
      </c>
      <c r="E626" s="212" t="str">
        <f t="shared" ca="1" si="60"/>
        <v/>
      </c>
      <c r="F626" s="212" t="str">
        <f t="shared" ca="1" si="60"/>
        <v/>
      </c>
      <c r="G626" s="212" t="str">
        <f t="shared" ca="1" si="60"/>
        <v/>
      </c>
      <c r="H626" s="212" t="str">
        <f t="shared" ca="1" si="58"/>
        <v/>
      </c>
      <c r="I626" s="212" t="str">
        <f t="shared" ca="1" si="58"/>
        <v/>
      </c>
      <c r="J626" s="212" t="str">
        <f t="shared" ca="1" si="58"/>
        <v/>
      </c>
    </row>
    <row r="627" spans="2:10" x14ac:dyDescent="0.15">
      <c r="B627" s="213" t="str">
        <f t="shared" si="61"/>
        <v/>
      </c>
      <c r="C627" s="228" t="str">
        <f t="shared" si="59"/>
        <v/>
      </c>
      <c r="D627" s="212" t="str">
        <f t="shared" si="57"/>
        <v/>
      </c>
      <c r="E627" s="212" t="str">
        <f t="shared" ca="1" si="60"/>
        <v/>
      </c>
      <c r="F627" s="212" t="str">
        <f t="shared" ca="1" si="60"/>
        <v/>
      </c>
      <c r="G627" s="212" t="str">
        <f t="shared" ca="1" si="60"/>
        <v/>
      </c>
      <c r="H627" s="212" t="str">
        <f t="shared" ca="1" si="58"/>
        <v/>
      </c>
      <c r="I627" s="212" t="str">
        <f t="shared" ca="1" si="58"/>
        <v/>
      </c>
      <c r="J627" s="212" t="str">
        <f t="shared" ca="1" si="58"/>
        <v/>
      </c>
    </row>
    <row r="628" spans="2:10" x14ac:dyDescent="0.15">
      <c r="B628" s="213" t="str">
        <f t="shared" si="61"/>
        <v/>
      </c>
      <c r="C628" s="228" t="str">
        <f t="shared" si="59"/>
        <v/>
      </c>
      <c r="D628" s="212" t="str">
        <f t="shared" si="57"/>
        <v/>
      </c>
      <c r="E628" s="212" t="str">
        <f t="shared" ca="1" si="60"/>
        <v/>
      </c>
      <c r="F628" s="212" t="str">
        <f t="shared" ca="1" si="60"/>
        <v/>
      </c>
      <c r="G628" s="212" t="str">
        <f t="shared" ca="1" si="60"/>
        <v/>
      </c>
      <c r="H628" s="212" t="str">
        <f t="shared" ca="1" si="58"/>
        <v/>
      </c>
      <c r="I628" s="212" t="str">
        <f t="shared" ca="1" si="58"/>
        <v/>
      </c>
      <c r="J628" s="212" t="str">
        <f t="shared" ca="1" si="58"/>
        <v/>
      </c>
    </row>
    <row r="629" spans="2:10" x14ac:dyDescent="0.15">
      <c r="B629" s="213" t="str">
        <f t="shared" si="61"/>
        <v/>
      </c>
      <c r="C629" s="228" t="str">
        <f t="shared" si="59"/>
        <v/>
      </c>
      <c r="D629" s="212" t="str">
        <f t="shared" si="57"/>
        <v/>
      </c>
      <c r="E629" s="212" t="str">
        <f t="shared" ca="1" si="60"/>
        <v/>
      </c>
      <c r="F629" s="212" t="str">
        <f t="shared" ca="1" si="60"/>
        <v/>
      </c>
      <c r="G629" s="212" t="str">
        <f t="shared" ca="1" si="60"/>
        <v/>
      </c>
      <c r="H629" s="212" t="str">
        <f t="shared" ca="1" si="58"/>
        <v/>
      </c>
      <c r="I629" s="212" t="str">
        <f t="shared" ca="1" si="58"/>
        <v/>
      </c>
      <c r="J629" s="212" t="str">
        <f t="shared" ca="1" si="58"/>
        <v/>
      </c>
    </row>
    <row r="630" spans="2:10" x14ac:dyDescent="0.15">
      <c r="B630" s="213" t="str">
        <f t="shared" si="61"/>
        <v/>
      </c>
      <c r="C630" s="228" t="str">
        <f t="shared" si="59"/>
        <v/>
      </c>
      <c r="D630" s="212" t="str">
        <f t="shared" si="57"/>
        <v/>
      </c>
      <c r="E630" s="212" t="str">
        <f t="shared" ca="1" si="60"/>
        <v/>
      </c>
      <c r="F630" s="212" t="str">
        <f t="shared" ca="1" si="60"/>
        <v/>
      </c>
      <c r="G630" s="212" t="str">
        <f t="shared" ca="1" si="60"/>
        <v/>
      </c>
      <c r="H630" s="212" t="str">
        <f t="shared" ca="1" si="58"/>
        <v/>
      </c>
      <c r="I630" s="212" t="str">
        <f t="shared" ca="1" si="58"/>
        <v/>
      </c>
      <c r="J630" s="212" t="str">
        <f t="shared" ca="1" si="58"/>
        <v/>
      </c>
    </row>
    <row r="631" spans="2:10" x14ac:dyDescent="0.15">
      <c r="B631" s="213" t="str">
        <f t="shared" si="61"/>
        <v/>
      </c>
      <c r="C631" s="228" t="str">
        <f t="shared" si="59"/>
        <v/>
      </c>
      <c r="D631" s="212" t="str">
        <f t="shared" si="57"/>
        <v/>
      </c>
      <c r="E631" s="212" t="str">
        <f t="shared" ca="1" si="60"/>
        <v/>
      </c>
      <c r="F631" s="212" t="str">
        <f t="shared" ca="1" si="60"/>
        <v/>
      </c>
      <c r="G631" s="212" t="str">
        <f t="shared" ca="1" si="60"/>
        <v/>
      </c>
      <c r="H631" s="212" t="str">
        <f t="shared" ca="1" si="58"/>
        <v/>
      </c>
      <c r="I631" s="212" t="str">
        <f t="shared" ca="1" si="58"/>
        <v/>
      </c>
      <c r="J631" s="212" t="str">
        <f t="shared" ca="1" si="58"/>
        <v/>
      </c>
    </row>
    <row r="632" spans="2:10" x14ac:dyDescent="0.15">
      <c r="B632" s="213" t="str">
        <f t="shared" si="61"/>
        <v/>
      </c>
      <c r="C632" s="228" t="str">
        <f t="shared" si="59"/>
        <v/>
      </c>
      <c r="D632" s="212" t="str">
        <f t="shared" si="57"/>
        <v/>
      </c>
      <c r="E632" s="212" t="str">
        <f t="shared" ca="1" si="60"/>
        <v/>
      </c>
      <c r="F632" s="212" t="str">
        <f t="shared" ca="1" si="60"/>
        <v/>
      </c>
      <c r="G632" s="212" t="str">
        <f t="shared" ca="1" si="60"/>
        <v/>
      </c>
      <c r="H632" s="212" t="str">
        <f t="shared" ca="1" si="58"/>
        <v/>
      </c>
      <c r="I632" s="212" t="str">
        <f t="shared" ca="1" si="58"/>
        <v/>
      </c>
      <c r="J632" s="212" t="str">
        <f t="shared" ca="1" si="58"/>
        <v/>
      </c>
    </row>
    <row r="633" spans="2:10" x14ac:dyDescent="0.15">
      <c r="B633" s="213" t="str">
        <f t="shared" si="61"/>
        <v/>
      </c>
      <c r="C633" s="228" t="str">
        <f t="shared" si="59"/>
        <v/>
      </c>
      <c r="D633" s="212" t="str">
        <f t="shared" si="57"/>
        <v/>
      </c>
      <c r="E633" s="212" t="str">
        <f t="shared" ca="1" si="60"/>
        <v/>
      </c>
      <c r="F633" s="212" t="str">
        <f t="shared" ca="1" si="60"/>
        <v/>
      </c>
      <c r="G633" s="212" t="str">
        <f t="shared" ca="1" si="60"/>
        <v/>
      </c>
      <c r="H633" s="212" t="str">
        <f t="shared" ca="1" si="58"/>
        <v/>
      </c>
      <c r="I633" s="212" t="str">
        <f t="shared" ca="1" si="58"/>
        <v/>
      </c>
      <c r="J633" s="212" t="str">
        <f t="shared" ca="1" si="58"/>
        <v/>
      </c>
    </row>
    <row r="634" spans="2:10" x14ac:dyDescent="0.15">
      <c r="B634" s="213" t="str">
        <f t="shared" si="61"/>
        <v/>
      </c>
      <c r="C634" s="228" t="str">
        <f t="shared" si="59"/>
        <v/>
      </c>
      <c r="D634" s="212" t="str">
        <f t="shared" si="57"/>
        <v/>
      </c>
      <c r="E634" s="212" t="str">
        <f t="shared" ca="1" si="60"/>
        <v/>
      </c>
      <c r="F634" s="212" t="str">
        <f t="shared" ca="1" si="60"/>
        <v/>
      </c>
      <c r="G634" s="212" t="str">
        <f t="shared" ca="1" si="60"/>
        <v/>
      </c>
      <c r="H634" s="212" t="str">
        <f t="shared" ca="1" si="58"/>
        <v/>
      </c>
      <c r="I634" s="212" t="str">
        <f t="shared" ca="1" si="58"/>
        <v/>
      </c>
      <c r="J634" s="212" t="str">
        <f t="shared" ca="1" si="58"/>
        <v/>
      </c>
    </row>
    <row r="635" spans="2:10" x14ac:dyDescent="0.15">
      <c r="B635" s="213" t="str">
        <f t="shared" si="61"/>
        <v/>
      </c>
      <c r="C635" s="228" t="str">
        <f t="shared" si="59"/>
        <v/>
      </c>
      <c r="D635" s="212" t="str">
        <f t="shared" si="57"/>
        <v/>
      </c>
      <c r="E635" s="212" t="str">
        <f t="shared" ca="1" si="60"/>
        <v/>
      </c>
      <c r="F635" s="212" t="str">
        <f t="shared" ca="1" si="60"/>
        <v/>
      </c>
      <c r="G635" s="212" t="str">
        <f t="shared" ca="1" si="60"/>
        <v/>
      </c>
      <c r="H635" s="212" t="str">
        <f t="shared" ca="1" si="58"/>
        <v/>
      </c>
      <c r="I635" s="212" t="str">
        <f t="shared" ca="1" si="58"/>
        <v/>
      </c>
      <c r="J635" s="212" t="str">
        <f t="shared" ca="1" si="58"/>
        <v/>
      </c>
    </row>
    <row r="636" spans="2:10" x14ac:dyDescent="0.15">
      <c r="B636" s="213" t="str">
        <f t="shared" si="61"/>
        <v/>
      </c>
      <c r="C636" s="228" t="str">
        <f t="shared" si="59"/>
        <v/>
      </c>
      <c r="D636" s="212" t="str">
        <f t="shared" si="57"/>
        <v/>
      </c>
      <c r="E636" s="212" t="str">
        <f t="shared" ca="1" si="60"/>
        <v/>
      </c>
      <c r="F636" s="212" t="str">
        <f t="shared" ca="1" si="60"/>
        <v/>
      </c>
      <c r="G636" s="212" t="str">
        <f t="shared" ca="1" si="60"/>
        <v/>
      </c>
      <c r="H636" s="212" t="str">
        <f t="shared" ca="1" si="58"/>
        <v/>
      </c>
      <c r="I636" s="212" t="str">
        <f t="shared" ca="1" si="58"/>
        <v/>
      </c>
      <c r="J636" s="212" t="str">
        <f t="shared" ca="1" si="58"/>
        <v/>
      </c>
    </row>
    <row r="637" spans="2:10" x14ac:dyDescent="0.15">
      <c r="B637" s="213" t="str">
        <f t="shared" si="61"/>
        <v/>
      </c>
      <c r="C637" s="228" t="str">
        <f t="shared" si="59"/>
        <v/>
      </c>
      <c r="D637" s="212" t="str">
        <f t="shared" si="57"/>
        <v/>
      </c>
      <c r="E637" s="212" t="str">
        <f t="shared" ca="1" si="60"/>
        <v/>
      </c>
      <c r="F637" s="212" t="str">
        <f t="shared" ca="1" si="60"/>
        <v/>
      </c>
      <c r="G637" s="212" t="str">
        <f t="shared" ca="1" si="60"/>
        <v/>
      </c>
      <c r="H637" s="212" t="str">
        <f t="shared" ca="1" si="58"/>
        <v/>
      </c>
      <c r="I637" s="212" t="str">
        <f t="shared" ca="1" si="58"/>
        <v/>
      </c>
      <c r="J637" s="212" t="str">
        <f t="shared" ca="1" si="58"/>
        <v/>
      </c>
    </row>
    <row r="638" spans="2:10" x14ac:dyDescent="0.15">
      <c r="B638" s="213" t="str">
        <f t="shared" si="61"/>
        <v/>
      </c>
      <c r="C638" s="228" t="str">
        <f t="shared" si="59"/>
        <v/>
      </c>
      <c r="D638" s="212" t="str">
        <f t="shared" si="57"/>
        <v/>
      </c>
      <c r="E638" s="212" t="str">
        <f t="shared" ca="1" si="60"/>
        <v/>
      </c>
      <c r="F638" s="212" t="str">
        <f t="shared" ca="1" si="60"/>
        <v/>
      </c>
      <c r="G638" s="212" t="str">
        <f t="shared" ca="1" si="60"/>
        <v/>
      </c>
      <c r="H638" s="212" t="str">
        <f t="shared" ca="1" si="58"/>
        <v/>
      </c>
      <c r="I638" s="212" t="str">
        <f t="shared" ca="1" si="58"/>
        <v/>
      </c>
      <c r="J638" s="212" t="str">
        <f t="shared" ca="1" si="58"/>
        <v/>
      </c>
    </row>
    <row r="639" spans="2:10" x14ac:dyDescent="0.15">
      <c r="B639" s="213" t="str">
        <f t="shared" si="61"/>
        <v/>
      </c>
      <c r="C639" s="228" t="str">
        <f t="shared" si="59"/>
        <v/>
      </c>
      <c r="D639" s="212" t="str">
        <f t="shared" si="57"/>
        <v/>
      </c>
      <c r="E639" s="212" t="str">
        <f t="shared" ca="1" si="60"/>
        <v/>
      </c>
      <c r="F639" s="212" t="str">
        <f t="shared" ca="1" si="60"/>
        <v/>
      </c>
      <c r="G639" s="212" t="str">
        <f t="shared" ca="1" si="60"/>
        <v/>
      </c>
      <c r="H639" s="212" t="str">
        <f t="shared" ca="1" si="58"/>
        <v/>
      </c>
      <c r="I639" s="212" t="str">
        <f t="shared" ca="1" si="58"/>
        <v/>
      </c>
      <c r="J639" s="212" t="str">
        <f t="shared" ca="1" si="58"/>
        <v/>
      </c>
    </row>
    <row r="640" spans="2:10" x14ac:dyDescent="0.15">
      <c r="B640" s="213" t="str">
        <f t="shared" si="61"/>
        <v/>
      </c>
      <c r="C640" s="228" t="str">
        <f t="shared" si="59"/>
        <v/>
      </c>
      <c r="D640" s="212" t="str">
        <f t="shared" si="57"/>
        <v/>
      </c>
      <c r="E640" s="212" t="str">
        <f t="shared" ca="1" si="60"/>
        <v/>
      </c>
      <c r="F640" s="212" t="str">
        <f t="shared" ca="1" si="60"/>
        <v/>
      </c>
      <c r="G640" s="212" t="str">
        <f t="shared" ca="1" si="60"/>
        <v/>
      </c>
      <c r="H640" s="212" t="str">
        <f t="shared" ca="1" si="58"/>
        <v/>
      </c>
      <c r="I640" s="212" t="str">
        <f t="shared" ca="1" si="58"/>
        <v/>
      </c>
      <c r="J640" s="212" t="str">
        <f t="shared" ca="1" si="58"/>
        <v/>
      </c>
    </row>
    <row r="641" spans="2:10" x14ac:dyDescent="0.15">
      <c r="B641" s="213" t="str">
        <f t="shared" si="61"/>
        <v/>
      </c>
      <c r="C641" s="228" t="str">
        <f t="shared" si="59"/>
        <v/>
      </c>
      <c r="D641" s="212" t="str">
        <f t="shared" si="57"/>
        <v/>
      </c>
      <c r="E641" s="212" t="str">
        <f t="shared" ca="1" si="60"/>
        <v/>
      </c>
      <c r="F641" s="212" t="str">
        <f t="shared" ca="1" si="60"/>
        <v/>
      </c>
      <c r="G641" s="212" t="str">
        <f t="shared" ca="1" si="60"/>
        <v/>
      </c>
      <c r="H641" s="212" t="str">
        <f t="shared" ca="1" si="58"/>
        <v/>
      </c>
      <c r="I641" s="212" t="str">
        <f t="shared" ca="1" si="58"/>
        <v/>
      </c>
      <c r="J641" s="212" t="str">
        <f t="shared" ca="1" si="58"/>
        <v/>
      </c>
    </row>
    <row r="642" spans="2:10" x14ac:dyDescent="0.15">
      <c r="B642" s="213" t="str">
        <f t="shared" si="61"/>
        <v/>
      </c>
      <c r="C642" s="228" t="str">
        <f t="shared" si="59"/>
        <v/>
      </c>
      <c r="D642" s="212" t="str">
        <f t="shared" si="57"/>
        <v/>
      </c>
      <c r="E642" s="212" t="str">
        <f t="shared" ca="1" si="60"/>
        <v/>
      </c>
      <c r="F642" s="212" t="str">
        <f t="shared" ca="1" si="60"/>
        <v/>
      </c>
      <c r="G642" s="212" t="str">
        <f t="shared" ca="1" si="60"/>
        <v/>
      </c>
      <c r="H642" s="212" t="str">
        <f t="shared" ca="1" si="58"/>
        <v/>
      </c>
      <c r="I642" s="212" t="str">
        <f t="shared" ca="1" si="58"/>
        <v/>
      </c>
      <c r="J642" s="212" t="str">
        <f t="shared" ca="1" si="58"/>
        <v/>
      </c>
    </row>
    <row r="643" spans="2:10" x14ac:dyDescent="0.15">
      <c r="B643" s="213" t="str">
        <f t="shared" si="61"/>
        <v/>
      </c>
      <c r="C643" s="228" t="str">
        <f t="shared" si="59"/>
        <v/>
      </c>
      <c r="D643" s="212" t="str">
        <f t="shared" si="57"/>
        <v/>
      </c>
      <c r="E643" s="212" t="str">
        <f t="shared" ca="1" si="60"/>
        <v/>
      </c>
      <c r="F643" s="212" t="str">
        <f t="shared" ca="1" si="60"/>
        <v/>
      </c>
      <c r="G643" s="212" t="str">
        <f t="shared" ca="1" si="60"/>
        <v/>
      </c>
      <c r="H643" s="212" t="str">
        <f t="shared" ca="1" si="58"/>
        <v/>
      </c>
      <c r="I643" s="212" t="str">
        <f t="shared" ca="1" si="58"/>
        <v/>
      </c>
      <c r="J643" s="212" t="str">
        <f t="shared" ca="1" si="58"/>
        <v/>
      </c>
    </row>
    <row r="644" spans="2:10" x14ac:dyDescent="0.15">
      <c r="B644" s="213" t="str">
        <f t="shared" si="61"/>
        <v/>
      </c>
      <c r="C644" s="228" t="str">
        <f t="shared" si="59"/>
        <v/>
      </c>
      <c r="D644" s="212" t="str">
        <f t="shared" si="57"/>
        <v/>
      </c>
      <c r="E644" s="212" t="str">
        <f t="shared" ca="1" si="60"/>
        <v/>
      </c>
      <c r="F644" s="212" t="str">
        <f t="shared" ca="1" si="60"/>
        <v/>
      </c>
      <c r="G644" s="212" t="str">
        <f t="shared" ca="1" si="60"/>
        <v/>
      </c>
      <c r="H644" s="212" t="str">
        <f t="shared" ca="1" si="58"/>
        <v/>
      </c>
      <c r="I644" s="212" t="str">
        <f t="shared" ca="1" si="58"/>
        <v/>
      </c>
      <c r="J644" s="212" t="str">
        <f t="shared" ca="1" si="58"/>
        <v/>
      </c>
    </row>
    <row r="645" spans="2:10" x14ac:dyDescent="0.15">
      <c r="B645" s="213" t="str">
        <f t="shared" si="61"/>
        <v/>
      </c>
      <c r="C645" s="228" t="str">
        <f t="shared" si="59"/>
        <v/>
      </c>
      <c r="D645" s="212" t="str">
        <f t="shared" si="57"/>
        <v/>
      </c>
      <c r="E645" s="212" t="str">
        <f t="shared" ca="1" si="60"/>
        <v/>
      </c>
      <c r="F645" s="212" t="str">
        <f t="shared" ca="1" si="60"/>
        <v/>
      </c>
      <c r="G645" s="212" t="str">
        <f t="shared" ca="1" si="60"/>
        <v/>
      </c>
      <c r="H645" s="212" t="str">
        <f t="shared" ca="1" si="58"/>
        <v/>
      </c>
      <c r="I645" s="212" t="str">
        <f t="shared" ca="1" si="58"/>
        <v/>
      </c>
      <c r="J645" s="212" t="str">
        <f t="shared" ca="1" si="58"/>
        <v/>
      </c>
    </row>
    <row r="646" spans="2:10" x14ac:dyDescent="0.15">
      <c r="B646" s="213" t="str">
        <f t="shared" si="61"/>
        <v/>
      </c>
      <c r="C646" s="228" t="str">
        <f t="shared" si="59"/>
        <v/>
      </c>
      <c r="D646" s="212" t="str">
        <f t="shared" si="57"/>
        <v/>
      </c>
      <c r="E646" s="212" t="str">
        <f t="shared" ca="1" si="60"/>
        <v/>
      </c>
      <c r="F646" s="212" t="str">
        <f t="shared" ca="1" si="60"/>
        <v/>
      </c>
      <c r="G646" s="212" t="str">
        <f t="shared" ca="1" si="60"/>
        <v/>
      </c>
      <c r="H646" s="212" t="str">
        <f t="shared" ca="1" si="58"/>
        <v/>
      </c>
      <c r="I646" s="212" t="str">
        <f t="shared" ca="1" si="58"/>
        <v/>
      </c>
      <c r="J646" s="212" t="str">
        <f t="shared" ca="1" si="58"/>
        <v/>
      </c>
    </row>
    <row r="647" spans="2:10" x14ac:dyDescent="0.15">
      <c r="B647" s="213" t="str">
        <f t="shared" si="61"/>
        <v/>
      </c>
      <c r="C647" s="228" t="str">
        <f t="shared" si="59"/>
        <v/>
      </c>
      <c r="D647" s="212" t="str">
        <f t="shared" si="57"/>
        <v/>
      </c>
      <c r="E647" s="212" t="str">
        <f t="shared" ca="1" si="60"/>
        <v/>
      </c>
      <c r="F647" s="212" t="str">
        <f t="shared" ca="1" si="60"/>
        <v/>
      </c>
      <c r="G647" s="212" t="str">
        <f t="shared" ca="1" si="60"/>
        <v/>
      </c>
      <c r="H647" s="212" t="str">
        <f t="shared" ca="1" si="58"/>
        <v/>
      </c>
      <c r="I647" s="212" t="str">
        <f t="shared" ca="1" si="58"/>
        <v/>
      </c>
      <c r="J647" s="212" t="str">
        <f t="shared" ca="1" si="58"/>
        <v/>
      </c>
    </row>
    <row r="648" spans="2:10" x14ac:dyDescent="0.15">
      <c r="B648" s="213" t="str">
        <f t="shared" si="61"/>
        <v/>
      </c>
      <c r="C648" s="228" t="str">
        <f t="shared" si="59"/>
        <v/>
      </c>
      <c r="D648" s="212" t="str">
        <f t="shared" si="57"/>
        <v/>
      </c>
      <c r="E648" s="212" t="str">
        <f t="shared" ca="1" si="60"/>
        <v/>
      </c>
      <c r="F648" s="212" t="str">
        <f t="shared" ca="1" si="60"/>
        <v/>
      </c>
      <c r="G648" s="212" t="str">
        <f t="shared" ca="1" si="60"/>
        <v/>
      </c>
      <c r="H648" s="212" t="str">
        <f t="shared" ca="1" si="58"/>
        <v/>
      </c>
      <c r="I648" s="212" t="str">
        <f t="shared" ca="1" si="58"/>
        <v/>
      </c>
      <c r="J648" s="212" t="str">
        <f t="shared" ca="1" si="58"/>
        <v/>
      </c>
    </row>
    <row r="649" spans="2:10" x14ac:dyDescent="0.15">
      <c r="B649" s="213" t="str">
        <f t="shared" si="61"/>
        <v/>
      </c>
      <c r="C649" s="228" t="str">
        <f t="shared" si="59"/>
        <v/>
      </c>
      <c r="D649" s="212" t="str">
        <f t="shared" si="57"/>
        <v/>
      </c>
      <c r="E649" s="212" t="str">
        <f t="shared" ca="1" si="60"/>
        <v/>
      </c>
      <c r="F649" s="212" t="str">
        <f t="shared" ca="1" si="60"/>
        <v/>
      </c>
      <c r="G649" s="212" t="str">
        <f t="shared" ca="1" si="60"/>
        <v/>
      </c>
      <c r="H649" s="212" t="str">
        <f t="shared" ca="1" si="58"/>
        <v/>
      </c>
      <c r="I649" s="212" t="str">
        <f t="shared" ca="1" si="58"/>
        <v/>
      </c>
      <c r="J649" s="212" t="str">
        <f t="shared" ca="1" si="58"/>
        <v/>
      </c>
    </row>
    <row r="650" spans="2:10" x14ac:dyDescent="0.15">
      <c r="B650" s="213" t="str">
        <f t="shared" si="61"/>
        <v/>
      </c>
      <c r="C650" s="228" t="str">
        <f t="shared" si="59"/>
        <v/>
      </c>
      <c r="D650" s="212" t="str">
        <f t="shared" si="57"/>
        <v/>
      </c>
      <c r="E650" s="212" t="str">
        <f t="shared" ca="1" si="60"/>
        <v/>
      </c>
      <c r="F650" s="212" t="str">
        <f t="shared" ca="1" si="60"/>
        <v/>
      </c>
      <c r="G650" s="212" t="str">
        <f t="shared" ca="1" si="60"/>
        <v/>
      </c>
      <c r="H650" s="212" t="str">
        <f t="shared" ca="1" si="58"/>
        <v/>
      </c>
      <c r="I650" s="212" t="str">
        <f t="shared" ca="1" si="58"/>
        <v/>
      </c>
      <c r="J650" s="212" t="str">
        <f t="shared" ca="1" si="58"/>
        <v/>
      </c>
    </row>
    <row r="651" spans="2:10" x14ac:dyDescent="0.15">
      <c r="B651" s="213" t="str">
        <f t="shared" si="61"/>
        <v/>
      </c>
      <c r="C651" s="228" t="str">
        <f t="shared" si="59"/>
        <v/>
      </c>
      <c r="D651" s="212" t="str">
        <f t="shared" si="57"/>
        <v/>
      </c>
      <c r="E651" s="212" t="str">
        <f t="shared" ca="1" si="60"/>
        <v/>
      </c>
      <c r="F651" s="212" t="str">
        <f t="shared" ca="1" si="60"/>
        <v/>
      </c>
      <c r="G651" s="212" t="str">
        <f t="shared" ca="1" si="60"/>
        <v/>
      </c>
      <c r="H651" s="212" t="str">
        <f t="shared" ca="1" si="58"/>
        <v/>
      </c>
      <c r="I651" s="212" t="str">
        <f t="shared" ca="1" si="58"/>
        <v/>
      </c>
      <c r="J651" s="212" t="str">
        <f t="shared" ca="1" si="58"/>
        <v/>
      </c>
    </row>
    <row r="652" spans="2:10" x14ac:dyDescent="0.15">
      <c r="B652" s="213" t="str">
        <f t="shared" si="61"/>
        <v/>
      </c>
      <c r="C652" s="228" t="str">
        <f t="shared" si="59"/>
        <v/>
      </c>
      <c r="D652" s="212" t="str">
        <f t="shared" si="57"/>
        <v/>
      </c>
      <c r="E652" s="212" t="str">
        <f t="shared" ca="1" si="60"/>
        <v/>
      </c>
      <c r="F652" s="212" t="str">
        <f t="shared" ca="1" si="60"/>
        <v/>
      </c>
      <c r="G652" s="212" t="str">
        <f t="shared" ca="1" si="60"/>
        <v/>
      </c>
      <c r="H652" s="212" t="str">
        <f t="shared" ca="1" si="58"/>
        <v/>
      </c>
      <c r="I652" s="212" t="str">
        <f t="shared" ca="1" si="58"/>
        <v/>
      </c>
      <c r="J652" s="212" t="str">
        <f t="shared" ca="1" si="58"/>
        <v/>
      </c>
    </row>
    <row r="653" spans="2:10" x14ac:dyDescent="0.15">
      <c r="B653" s="213" t="str">
        <f t="shared" si="61"/>
        <v/>
      </c>
      <c r="C653" s="228" t="str">
        <f t="shared" si="59"/>
        <v/>
      </c>
      <c r="D653" s="212" t="str">
        <f t="shared" si="57"/>
        <v/>
      </c>
      <c r="E653" s="212" t="str">
        <f t="shared" ca="1" si="60"/>
        <v/>
      </c>
      <c r="F653" s="212" t="str">
        <f t="shared" ca="1" si="60"/>
        <v/>
      </c>
      <c r="G653" s="212" t="str">
        <f t="shared" ca="1" si="60"/>
        <v/>
      </c>
      <c r="H653" s="212" t="str">
        <f t="shared" ca="1" si="58"/>
        <v/>
      </c>
      <c r="I653" s="212" t="str">
        <f t="shared" ca="1" si="58"/>
        <v/>
      </c>
      <c r="J653" s="212" t="str">
        <f t="shared" ca="1" si="58"/>
        <v/>
      </c>
    </row>
    <row r="654" spans="2:10" x14ac:dyDescent="0.15">
      <c r="B654" s="213" t="str">
        <f t="shared" si="61"/>
        <v/>
      </c>
      <c r="C654" s="228" t="str">
        <f t="shared" si="59"/>
        <v/>
      </c>
      <c r="D654" s="212" t="str">
        <f t="shared" si="57"/>
        <v/>
      </c>
      <c r="E654" s="212" t="str">
        <f t="shared" ca="1" si="60"/>
        <v/>
      </c>
      <c r="F654" s="212" t="str">
        <f t="shared" ca="1" si="60"/>
        <v/>
      </c>
      <c r="G654" s="212" t="str">
        <f t="shared" ca="1" si="60"/>
        <v/>
      </c>
      <c r="H654" s="212" t="str">
        <f t="shared" ca="1" si="58"/>
        <v/>
      </c>
      <c r="I654" s="212" t="str">
        <f t="shared" ca="1" si="58"/>
        <v/>
      </c>
      <c r="J654" s="212" t="str">
        <f t="shared" ca="1" si="58"/>
        <v/>
      </c>
    </row>
    <row r="655" spans="2:10" x14ac:dyDescent="0.15">
      <c r="B655" s="213" t="str">
        <f t="shared" si="61"/>
        <v/>
      </c>
      <c r="C655" s="228" t="str">
        <f t="shared" si="59"/>
        <v/>
      </c>
      <c r="D655" s="212" t="str">
        <f t="shared" si="57"/>
        <v/>
      </c>
      <c r="E655" s="212" t="str">
        <f t="shared" ca="1" si="60"/>
        <v/>
      </c>
      <c r="F655" s="212" t="str">
        <f t="shared" ca="1" si="60"/>
        <v/>
      </c>
      <c r="G655" s="212" t="str">
        <f t="shared" ca="1" si="60"/>
        <v/>
      </c>
      <c r="H655" s="212" t="str">
        <f t="shared" ca="1" si="58"/>
        <v/>
      </c>
      <c r="I655" s="212" t="str">
        <f t="shared" ca="1" si="58"/>
        <v/>
      </c>
      <c r="J655" s="212" t="str">
        <f t="shared" ca="1" si="58"/>
        <v/>
      </c>
    </row>
    <row r="656" spans="2:10" x14ac:dyDescent="0.15">
      <c r="B656" s="213" t="str">
        <f t="shared" si="61"/>
        <v/>
      </c>
      <c r="C656" s="228" t="str">
        <f t="shared" si="59"/>
        <v/>
      </c>
      <c r="D656" s="212" t="str">
        <f t="shared" si="57"/>
        <v/>
      </c>
      <c r="E656" s="212" t="str">
        <f t="shared" ca="1" si="60"/>
        <v/>
      </c>
      <c r="F656" s="212" t="str">
        <f t="shared" ca="1" si="60"/>
        <v/>
      </c>
      <c r="G656" s="212" t="str">
        <f t="shared" ca="1" si="60"/>
        <v/>
      </c>
      <c r="H656" s="212" t="str">
        <f t="shared" ca="1" si="58"/>
        <v/>
      </c>
      <c r="I656" s="212" t="str">
        <f t="shared" ca="1" si="58"/>
        <v/>
      </c>
      <c r="J656" s="212" t="str">
        <f t="shared" ca="1" si="58"/>
        <v/>
      </c>
    </row>
    <row r="657" spans="2:10" x14ac:dyDescent="0.15">
      <c r="B657" s="213" t="str">
        <f t="shared" si="61"/>
        <v/>
      </c>
      <c r="C657" s="228" t="str">
        <f t="shared" si="59"/>
        <v/>
      </c>
      <c r="D657" s="212" t="str">
        <f t="shared" si="57"/>
        <v/>
      </c>
      <c r="E657" s="212" t="str">
        <f t="shared" ca="1" si="60"/>
        <v/>
      </c>
      <c r="F657" s="212" t="str">
        <f t="shared" ca="1" si="60"/>
        <v/>
      </c>
      <c r="G657" s="212" t="str">
        <f t="shared" ca="1" si="60"/>
        <v/>
      </c>
      <c r="H657" s="212" t="str">
        <f t="shared" ca="1" si="58"/>
        <v/>
      </c>
      <c r="I657" s="212" t="str">
        <f t="shared" ca="1" si="58"/>
        <v/>
      </c>
      <c r="J657" s="212" t="str">
        <f t="shared" ca="1" si="58"/>
        <v/>
      </c>
    </row>
    <row r="658" spans="2:10" x14ac:dyDescent="0.15">
      <c r="B658" s="213" t="str">
        <f t="shared" si="61"/>
        <v/>
      </c>
      <c r="C658" s="228" t="str">
        <f t="shared" si="59"/>
        <v/>
      </c>
      <c r="D658" s="212" t="str">
        <f t="shared" si="57"/>
        <v/>
      </c>
      <c r="E658" s="212" t="str">
        <f t="shared" ca="1" si="60"/>
        <v/>
      </c>
      <c r="F658" s="212" t="str">
        <f t="shared" ca="1" si="60"/>
        <v/>
      </c>
      <c r="G658" s="212" t="str">
        <f t="shared" ca="1" si="60"/>
        <v/>
      </c>
      <c r="H658" s="212" t="str">
        <f t="shared" ca="1" si="58"/>
        <v/>
      </c>
      <c r="I658" s="212" t="str">
        <f t="shared" ca="1" si="58"/>
        <v/>
      </c>
      <c r="J658" s="212" t="str">
        <f t="shared" ca="1" si="58"/>
        <v/>
      </c>
    </row>
    <row r="659" spans="2:10" x14ac:dyDescent="0.15">
      <c r="B659" s="213" t="str">
        <f t="shared" si="61"/>
        <v/>
      </c>
      <c r="C659" s="228" t="str">
        <f t="shared" si="59"/>
        <v/>
      </c>
      <c r="D659" s="212" t="str">
        <f t="shared" si="57"/>
        <v/>
      </c>
      <c r="E659" s="212" t="str">
        <f t="shared" ca="1" si="60"/>
        <v/>
      </c>
      <c r="F659" s="212" t="str">
        <f t="shared" ca="1" si="60"/>
        <v/>
      </c>
      <c r="G659" s="212" t="str">
        <f t="shared" ca="1" si="60"/>
        <v/>
      </c>
      <c r="H659" s="212" t="str">
        <f t="shared" ca="1" si="58"/>
        <v/>
      </c>
      <c r="I659" s="212" t="str">
        <f t="shared" ca="1" si="58"/>
        <v/>
      </c>
      <c r="J659" s="212" t="str">
        <f t="shared" ca="1" si="58"/>
        <v/>
      </c>
    </row>
    <row r="660" spans="2:10" x14ac:dyDescent="0.15">
      <c r="B660" s="213" t="str">
        <f t="shared" si="61"/>
        <v/>
      </c>
      <c r="C660" s="228" t="str">
        <f t="shared" si="59"/>
        <v/>
      </c>
      <c r="D660" s="212" t="str">
        <f t="shared" si="57"/>
        <v/>
      </c>
      <c r="E660" s="212" t="str">
        <f t="shared" ca="1" si="60"/>
        <v/>
      </c>
      <c r="F660" s="212" t="str">
        <f t="shared" ca="1" si="60"/>
        <v/>
      </c>
      <c r="G660" s="212" t="str">
        <f t="shared" ca="1" si="60"/>
        <v/>
      </c>
      <c r="H660" s="212" t="str">
        <f t="shared" ca="1" si="58"/>
        <v/>
      </c>
      <c r="I660" s="212" t="str">
        <f t="shared" ca="1" si="58"/>
        <v/>
      </c>
      <c r="J660" s="212" t="str">
        <f t="shared" ca="1" si="58"/>
        <v/>
      </c>
    </row>
    <row r="661" spans="2:10" x14ac:dyDescent="0.15">
      <c r="B661" s="213" t="str">
        <f t="shared" si="61"/>
        <v/>
      </c>
      <c r="C661" s="228" t="str">
        <f t="shared" si="59"/>
        <v/>
      </c>
      <c r="D661" s="212" t="str">
        <f t="shared" si="57"/>
        <v/>
      </c>
      <c r="E661" s="212" t="str">
        <f t="shared" ca="1" si="60"/>
        <v/>
      </c>
      <c r="F661" s="212" t="str">
        <f t="shared" ca="1" si="60"/>
        <v/>
      </c>
      <c r="G661" s="212" t="str">
        <f t="shared" ca="1" si="60"/>
        <v/>
      </c>
      <c r="H661" s="212" t="str">
        <f t="shared" ca="1" si="58"/>
        <v/>
      </c>
      <c r="I661" s="212" t="str">
        <f t="shared" ca="1" si="58"/>
        <v/>
      </c>
      <c r="J661" s="212" t="str">
        <f t="shared" ca="1" si="58"/>
        <v/>
      </c>
    </row>
    <row r="662" spans="2:10" x14ac:dyDescent="0.15">
      <c r="B662" s="213" t="str">
        <f t="shared" si="61"/>
        <v/>
      </c>
      <c r="C662" s="228" t="str">
        <f t="shared" si="59"/>
        <v/>
      </c>
      <c r="D662" s="212" t="str">
        <f t="shared" si="57"/>
        <v/>
      </c>
      <c r="E662" s="212" t="str">
        <f t="shared" ca="1" si="60"/>
        <v/>
      </c>
      <c r="F662" s="212" t="str">
        <f t="shared" ca="1" si="60"/>
        <v/>
      </c>
      <c r="G662" s="212" t="str">
        <f t="shared" ca="1" si="60"/>
        <v/>
      </c>
      <c r="H662" s="212" t="str">
        <f t="shared" ca="1" si="58"/>
        <v/>
      </c>
      <c r="I662" s="212" t="str">
        <f t="shared" ca="1" si="58"/>
        <v/>
      </c>
      <c r="J662" s="212" t="str">
        <f t="shared" ca="1" si="58"/>
        <v/>
      </c>
    </row>
    <row r="663" spans="2:10" x14ac:dyDescent="0.15">
      <c r="B663" s="213" t="str">
        <f t="shared" si="61"/>
        <v/>
      </c>
      <c r="C663" s="228" t="str">
        <f t="shared" si="59"/>
        <v/>
      </c>
      <c r="D663" s="212" t="str">
        <f t="shared" si="57"/>
        <v/>
      </c>
      <c r="E663" s="212" t="str">
        <f t="shared" ca="1" si="60"/>
        <v/>
      </c>
      <c r="F663" s="212" t="str">
        <f t="shared" ca="1" si="60"/>
        <v/>
      </c>
      <c r="G663" s="212" t="str">
        <f t="shared" ca="1" si="60"/>
        <v/>
      </c>
      <c r="H663" s="212" t="str">
        <f t="shared" ca="1" si="58"/>
        <v/>
      </c>
      <c r="I663" s="212" t="str">
        <f t="shared" ca="1" si="58"/>
        <v/>
      </c>
      <c r="J663" s="212" t="str">
        <f t="shared" ca="1" si="58"/>
        <v/>
      </c>
    </row>
    <row r="664" spans="2:10" x14ac:dyDescent="0.15">
      <c r="B664" s="213" t="str">
        <f t="shared" si="61"/>
        <v/>
      </c>
      <c r="C664" s="228" t="str">
        <f t="shared" si="59"/>
        <v/>
      </c>
      <c r="D664" s="212" t="str">
        <f t="shared" si="57"/>
        <v/>
      </c>
      <c r="E664" s="212" t="str">
        <f t="shared" ca="1" si="60"/>
        <v/>
      </c>
      <c r="F664" s="212" t="str">
        <f t="shared" ca="1" si="60"/>
        <v/>
      </c>
      <c r="G664" s="212" t="str">
        <f t="shared" ca="1" si="60"/>
        <v/>
      </c>
      <c r="H664" s="212" t="str">
        <f t="shared" ca="1" si="58"/>
        <v/>
      </c>
      <c r="I664" s="212" t="str">
        <f t="shared" ca="1" si="58"/>
        <v/>
      </c>
      <c r="J664" s="212" t="str">
        <f t="shared" ca="1" si="58"/>
        <v/>
      </c>
    </row>
    <row r="665" spans="2:10" x14ac:dyDescent="0.15">
      <c r="B665" s="213" t="str">
        <f t="shared" si="61"/>
        <v/>
      </c>
      <c r="C665" s="228" t="str">
        <f t="shared" si="59"/>
        <v/>
      </c>
      <c r="D665" s="212" t="str">
        <f t="shared" si="57"/>
        <v/>
      </c>
      <c r="E665" s="212" t="str">
        <f t="shared" ca="1" si="60"/>
        <v/>
      </c>
      <c r="F665" s="212" t="str">
        <f t="shared" ca="1" si="60"/>
        <v/>
      </c>
      <c r="G665" s="212" t="str">
        <f t="shared" ca="1" si="60"/>
        <v/>
      </c>
      <c r="H665" s="212" t="str">
        <f t="shared" ca="1" si="58"/>
        <v/>
      </c>
      <c r="I665" s="212" t="str">
        <f t="shared" ca="1" si="58"/>
        <v/>
      </c>
      <c r="J665" s="212" t="str">
        <f t="shared" ca="1" si="58"/>
        <v/>
      </c>
    </row>
    <row r="666" spans="2:10" x14ac:dyDescent="0.15">
      <c r="B666" s="213" t="str">
        <f t="shared" si="61"/>
        <v/>
      </c>
      <c r="C666" s="228" t="str">
        <f t="shared" si="59"/>
        <v/>
      </c>
      <c r="D666" s="212" t="str">
        <f t="shared" ref="D666:D729" si="62">IF(B666="","",IF(B667="",SUMIFS(Amount,Timestamp,"&gt;="&amp;B666),SUMIFS(Amount,Timestamp,"&gt;="&amp;B666,Timestamp,"&lt;"&amp;B667)))</f>
        <v/>
      </c>
      <c r="E666" s="212" t="str">
        <f t="shared" ca="1" si="60"/>
        <v/>
      </c>
      <c r="F666" s="212" t="str">
        <f t="shared" ca="1" si="60"/>
        <v/>
      </c>
      <c r="G666" s="212" t="str">
        <f t="shared" ca="1" si="60"/>
        <v/>
      </c>
      <c r="H666" s="212" t="str">
        <f t="shared" ca="1" si="60"/>
        <v/>
      </c>
      <c r="I666" s="212" t="str">
        <f t="shared" ca="1" si="60"/>
        <v/>
      </c>
      <c r="J666" s="212" t="str">
        <f t="shared" ca="1" si="60"/>
        <v/>
      </c>
    </row>
    <row r="667" spans="2:10" x14ac:dyDescent="0.15">
      <c r="B667" s="213" t="str">
        <f t="shared" si="61"/>
        <v/>
      </c>
      <c r="C667" s="228" t="str">
        <f t="shared" ref="C667:C730" si="63">IF(B667="","",TEXT(B667,"dddd"))</f>
        <v/>
      </c>
      <c r="D667" s="212" t="str">
        <f t="shared" si="62"/>
        <v/>
      </c>
      <c r="E667" s="212" t="str">
        <f t="shared" ref="E667:H730" ca="1" si="64">IF($B667="","",IF($B667+E$24-1&gt;$E$5,"",SUM(OFFSET($D667,0,0,E$24,1))))</f>
        <v/>
      </c>
      <c r="F667" s="212" t="str">
        <f t="shared" ca="1" si="64"/>
        <v/>
      </c>
      <c r="G667" s="212" t="str">
        <f t="shared" ca="1" si="64"/>
        <v/>
      </c>
      <c r="H667" s="212" t="str">
        <f t="shared" ca="1" si="64"/>
        <v/>
      </c>
      <c r="I667" s="212" t="str">
        <f t="shared" ref="I667:J730" ca="1" si="65">IF($B667="","",IF($B667+I$24-1&gt;$E$5,"",SUM(OFFSET($D667,0,0,I$24,1))))</f>
        <v/>
      </c>
      <c r="J667" s="212" t="str">
        <f t="shared" ca="1" si="65"/>
        <v/>
      </c>
    </row>
    <row r="668" spans="2:10" x14ac:dyDescent="0.15">
      <c r="B668" s="213" t="str">
        <f t="shared" si="61"/>
        <v/>
      </c>
      <c r="C668" s="228" t="str">
        <f t="shared" si="63"/>
        <v/>
      </c>
      <c r="D668" s="212" t="str">
        <f t="shared" si="62"/>
        <v/>
      </c>
      <c r="E668" s="212" t="str">
        <f t="shared" ca="1" si="64"/>
        <v/>
      </c>
      <c r="F668" s="212" t="str">
        <f t="shared" ca="1" si="64"/>
        <v/>
      </c>
      <c r="G668" s="212" t="str">
        <f t="shared" ca="1" si="64"/>
        <v/>
      </c>
      <c r="H668" s="212" t="str">
        <f t="shared" ca="1" si="64"/>
        <v/>
      </c>
      <c r="I668" s="212" t="str">
        <f t="shared" ca="1" si="65"/>
        <v/>
      </c>
      <c r="J668" s="212" t="str">
        <f t="shared" ca="1" si="65"/>
        <v/>
      </c>
    </row>
    <row r="669" spans="2:10" x14ac:dyDescent="0.15">
      <c r="B669" s="213" t="str">
        <f t="shared" si="61"/>
        <v/>
      </c>
      <c r="C669" s="228" t="str">
        <f t="shared" si="63"/>
        <v/>
      </c>
      <c r="D669" s="212" t="str">
        <f t="shared" si="62"/>
        <v/>
      </c>
      <c r="E669" s="212" t="str">
        <f t="shared" ca="1" si="64"/>
        <v/>
      </c>
      <c r="F669" s="212" t="str">
        <f t="shared" ca="1" si="64"/>
        <v/>
      </c>
      <c r="G669" s="212" t="str">
        <f t="shared" ca="1" si="64"/>
        <v/>
      </c>
      <c r="H669" s="212" t="str">
        <f t="shared" ca="1" si="64"/>
        <v/>
      </c>
      <c r="I669" s="212" t="str">
        <f t="shared" ca="1" si="65"/>
        <v/>
      </c>
      <c r="J669" s="212" t="str">
        <f t="shared" ca="1" si="65"/>
        <v/>
      </c>
    </row>
    <row r="670" spans="2:10" x14ac:dyDescent="0.15">
      <c r="B670" s="213" t="str">
        <f t="shared" si="61"/>
        <v/>
      </c>
      <c r="C670" s="228" t="str">
        <f t="shared" si="63"/>
        <v/>
      </c>
      <c r="D670" s="212" t="str">
        <f t="shared" si="62"/>
        <v/>
      </c>
      <c r="E670" s="212" t="str">
        <f t="shared" ca="1" si="64"/>
        <v/>
      </c>
      <c r="F670" s="212" t="str">
        <f t="shared" ca="1" si="64"/>
        <v/>
      </c>
      <c r="G670" s="212" t="str">
        <f t="shared" ca="1" si="64"/>
        <v/>
      </c>
      <c r="H670" s="212" t="str">
        <f t="shared" ca="1" si="64"/>
        <v/>
      </c>
      <c r="I670" s="212" t="str">
        <f t="shared" ca="1" si="65"/>
        <v/>
      </c>
      <c r="J670" s="212" t="str">
        <f t="shared" ca="1" si="65"/>
        <v/>
      </c>
    </row>
    <row r="671" spans="2:10" x14ac:dyDescent="0.15">
      <c r="B671" s="213" t="str">
        <f t="shared" si="61"/>
        <v/>
      </c>
      <c r="C671" s="228" t="str">
        <f t="shared" si="63"/>
        <v/>
      </c>
      <c r="D671" s="212" t="str">
        <f t="shared" si="62"/>
        <v/>
      </c>
      <c r="E671" s="212" t="str">
        <f t="shared" ca="1" si="64"/>
        <v/>
      </c>
      <c r="F671" s="212" t="str">
        <f t="shared" ca="1" si="64"/>
        <v/>
      </c>
      <c r="G671" s="212" t="str">
        <f t="shared" ca="1" si="64"/>
        <v/>
      </c>
      <c r="H671" s="212" t="str">
        <f t="shared" ca="1" si="64"/>
        <v/>
      </c>
      <c r="I671" s="212" t="str">
        <f t="shared" ca="1" si="65"/>
        <v/>
      </c>
      <c r="J671" s="212" t="str">
        <f t="shared" ca="1" si="65"/>
        <v/>
      </c>
    </row>
    <row r="672" spans="2:10" x14ac:dyDescent="0.15">
      <c r="B672" s="213" t="str">
        <f t="shared" si="61"/>
        <v/>
      </c>
      <c r="C672" s="228" t="str">
        <f t="shared" si="63"/>
        <v/>
      </c>
      <c r="D672" s="212" t="str">
        <f t="shared" si="62"/>
        <v/>
      </c>
      <c r="E672" s="212" t="str">
        <f t="shared" ca="1" si="64"/>
        <v/>
      </c>
      <c r="F672" s="212" t="str">
        <f t="shared" ca="1" si="64"/>
        <v/>
      </c>
      <c r="G672" s="212" t="str">
        <f t="shared" ca="1" si="64"/>
        <v/>
      </c>
      <c r="H672" s="212" t="str">
        <f t="shared" ca="1" si="64"/>
        <v/>
      </c>
      <c r="I672" s="212" t="str">
        <f t="shared" ca="1" si="65"/>
        <v/>
      </c>
      <c r="J672" s="212" t="str">
        <f t="shared" ca="1" si="65"/>
        <v/>
      </c>
    </row>
    <row r="673" spans="2:10" x14ac:dyDescent="0.15">
      <c r="B673" s="213" t="str">
        <f t="shared" si="61"/>
        <v/>
      </c>
      <c r="C673" s="228" t="str">
        <f t="shared" si="63"/>
        <v/>
      </c>
      <c r="D673" s="212" t="str">
        <f t="shared" si="62"/>
        <v/>
      </c>
      <c r="E673" s="212" t="str">
        <f t="shared" ca="1" si="64"/>
        <v/>
      </c>
      <c r="F673" s="212" t="str">
        <f t="shared" ca="1" si="64"/>
        <v/>
      </c>
      <c r="G673" s="212" t="str">
        <f t="shared" ca="1" si="64"/>
        <v/>
      </c>
      <c r="H673" s="212" t="str">
        <f t="shared" ca="1" si="64"/>
        <v/>
      </c>
      <c r="I673" s="212" t="str">
        <f t="shared" ca="1" si="65"/>
        <v/>
      </c>
      <c r="J673" s="212" t="str">
        <f t="shared" ca="1" si="65"/>
        <v/>
      </c>
    </row>
    <row r="674" spans="2:10" x14ac:dyDescent="0.15">
      <c r="B674" s="213" t="str">
        <f t="shared" si="61"/>
        <v/>
      </c>
      <c r="C674" s="228" t="str">
        <f t="shared" si="63"/>
        <v/>
      </c>
      <c r="D674" s="212" t="str">
        <f t="shared" si="62"/>
        <v/>
      </c>
      <c r="E674" s="212" t="str">
        <f t="shared" ca="1" si="64"/>
        <v/>
      </c>
      <c r="F674" s="212" t="str">
        <f t="shared" ca="1" si="64"/>
        <v/>
      </c>
      <c r="G674" s="212" t="str">
        <f t="shared" ca="1" si="64"/>
        <v/>
      </c>
      <c r="H674" s="212" t="str">
        <f t="shared" ca="1" si="64"/>
        <v/>
      </c>
      <c r="I674" s="212" t="str">
        <f t="shared" ca="1" si="65"/>
        <v/>
      </c>
      <c r="J674" s="212" t="str">
        <f t="shared" ca="1" si="65"/>
        <v/>
      </c>
    </row>
    <row r="675" spans="2:10" x14ac:dyDescent="0.15">
      <c r="B675" s="213" t="str">
        <f t="shared" ref="B675:B738" si="66">IF(B674="","",IF(B674&gt;=$E$5,"",B674+1))</f>
        <v/>
      </c>
      <c r="C675" s="228" t="str">
        <f t="shared" si="63"/>
        <v/>
      </c>
      <c r="D675" s="212" t="str">
        <f t="shared" si="62"/>
        <v/>
      </c>
      <c r="E675" s="212" t="str">
        <f t="shared" ca="1" si="64"/>
        <v/>
      </c>
      <c r="F675" s="212" t="str">
        <f t="shared" ca="1" si="64"/>
        <v/>
      </c>
      <c r="G675" s="212" t="str">
        <f t="shared" ca="1" si="64"/>
        <v/>
      </c>
      <c r="H675" s="212" t="str">
        <f t="shared" ca="1" si="64"/>
        <v/>
      </c>
      <c r="I675" s="212" t="str">
        <f t="shared" ca="1" si="65"/>
        <v/>
      </c>
      <c r="J675" s="212" t="str">
        <f t="shared" ca="1" si="65"/>
        <v/>
      </c>
    </row>
    <row r="676" spans="2:10" x14ac:dyDescent="0.15">
      <c r="B676" s="213" t="str">
        <f t="shared" si="66"/>
        <v/>
      </c>
      <c r="C676" s="228" t="str">
        <f t="shared" si="63"/>
        <v/>
      </c>
      <c r="D676" s="212" t="str">
        <f t="shared" si="62"/>
        <v/>
      </c>
      <c r="E676" s="212" t="str">
        <f t="shared" ca="1" si="64"/>
        <v/>
      </c>
      <c r="F676" s="212" t="str">
        <f t="shared" ca="1" si="64"/>
        <v/>
      </c>
      <c r="G676" s="212" t="str">
        <f t="shared" ca="1" si="64"/>
        <v/>
      </c>
      <c r="H676" s="212" t="str">
        <f t="shared" ca="1" si="64"/>
        <v/>
      </c>
      <c r="I676" s="212" t="str">
        <f t="shared" ca="1" si="65"/>
        <v/>
      </c>
      <c r="J676" s="212" t="str">
        <f t="shared" ca="1" si="65"/>
        <v/>
      </c>
    </row>
    <row r="677" spans="2:10" x14ac:dyDescent="0.15">
      <c r="B677" s="213" t="str">
        <f t="shared" si="66"/>
        <v/>
      </c>
      <c r="C677" s="228" t="str">
        <f t="shared" si="63"/>
        <v/>
      </c>
      <c r="D677" s="212" t="str">
        <f t="shared" si="62"/>
        <v/>
      </c>
      <c r="E677" s="212" t="str">
        <f t="shared" ca="1" si="64"/>
        <v/>
      </c>
      <c r="F677" s="212" t="str">
        <f t="shared" ca="1" si="64"/>
        <v/>
      </c>
      <c r="G677" s="212" t="str">
        <f t="shared" ca="1" si="64"/>
        <v/>
      </c>
      <c r="H677" s="212" t="str">
        <f t="shared" ca="1" si="64"/>
        <v/>
      </c>
      <c r="I677" s="212" t="str">
        <f t="shared" ca="1" si="65"/>
        <v/>
      </c>
      <c r="J677" s="212" t="str">
        <f t="shared" ca="1" si="65"/>
        <v/>
      </c>
    </row>
    <row r="678" spans="2:10" x14ac:dyDescent="0.15">
      <c r="B678" s="213" t="str">
        <f t="shared" si="66"/>
        <v/>
      </c>
      <c r="C678" s="228" t="str">
        <f t="shared" si="63"/>
        <v/>
      </c>
      <c r="D678" s="212" t="str">
        <f t="shared" si="62"/>
        <v/>
      </c>
      <c r="E678" s="212" t="str">
        <f t="shared" ca="1" si="64"/>
        <v/>
      </c>
      <c r="F678" s="212" t="str">
        <f t="shared" ca="1" si="64"/>
        <v/>
      </c>
      <c r="G678" s="212" t="str">
        <f t="shared" ca="1" si="64"/>
        <v/>
      </c>
      <c r="H678" s="212" t="str">
        <f t="shared" ca="1" si="64"/>
        <v/>
      </c>
      <c r="I678" s="212" t="str">
        <f t="shared" ca="1" si="65"/>
        <v/>
      </c>
      <c r="J678" s="212" t="str">
        <f t="shared" ca="1" si="65"/>
        <v/>
      </c>
    </row>
    <row r="679" spans="2:10" x14ac:dyDescent="0.15">
      <c r="B679" s="213" t="str">
        <f t="shared" si="66"/>
        <v/>
      </c>
      <c r="C679" s="228" t="str">
        <f t="shared" si="63"/>
        <v/>
      </c>
      <c r="D679" s="212" t="str">
        <f t="shared" si="62"/>
        <v/>
      </c>
      <c r="E679" s="212" t="str">
        <f t="shared" ca="1" si="64"/>
        <v/>
      </c>
      <c r="F679" s="212" t="str">
        <f t="shared" ca="1" si="64"/>
        <v/>
      </c>
      <c r="G679" s="212" t="str">
        <f t="shared" ca="1" si="64"/>
        <v/>
      </c>
      <c r="H679" s="212" t="str">
        <f t="shared" ca="1" si="64"/>
        <v/>
      </c>
      <c r="I679" s="212" t="str">
        <f t="shared" ca="1" si="65"/>
        <v/>
      </c>
      <c r="J679" s="212" t="str">
        <f t="shared" ca="1" si="65"/>
        <v/>
      </c>
    </row>
    <row r="680" spans="2:10" x14ac:dyDescent="0.15">
      <c r="B680" s="213" t="str">
        <f t="shared" si="66"/>
        <v/>
      </c>
      <c r="C680" s="228" t="str">
        <f t="shared" si="63"/>
        <v/>
      </c>
      <c r="D680" s="212" t="str">
        <f t="shared" si="62"/>
        <v/>
      </c>
      <c r="E680" s="212" t="str">
        <f t="shared" ca="1" si="64"/>
        <v/>
      </c>
      <c r="F680" s="212" t="str">
        <f t="shared" ca="1" si="64"/>
        <v/>
      </c>
      <c r="G680" s="212" t="str">
        <f t="shared" ca="1" si="64"/>
        <v/>
      </c>
      <c r="H680" s="212" t="str">
        <f t="shared" ca="1" si="64"/>
        <v/>
      </c>
      <c r="I680" s="212" t="str">
        <f t="shared" ca="1" si="65"/>
        <v/>
      </c>
      <c r="J680" s="212" t="str">
        <f t="shared" ca="1" si="65"/>
        <v/>
      </c>
    </row>
    <row r="681" spans="2:10" x14ac:dyDescent="0.15">
      <c r="B681" s="213" t="str">
        <f t="shared" si="66"/>
        <v/>
      </c>
      <c r="C681" s="228" t="str">
        <f t="shared" si="63"/>
        <v/>
      </c>
      <c r="D681" s="212" t="str">
        <f t="shared" si="62"/>
        <v/>
      </c>
      <c r="E681" s="212" t="str">
        <f t="shared" ca="1" si="64"/>
        <v/>
      </c>
      <c r="F681" s="212" t="str">
        <f t="shared" ca="1" si="64"/>
        <v/>
      </c>
      <c r="G681" s="212" t="str">
        <f t="shared" ca="1" si="64"/>
        <v/>
      </c>
      <c r="H681" s="212" t="str">
        <f t="shared" ca="1" si="64"/>
        <v/>
      </c>
      <c r="I681" s="212" t="str">
        <f t="shared" ca="1" si="65"/>
        <v/>
      </c>
      <c r="J681" s="212" t="str">
        <f t="shared" ca="1" si="65"/>
        <v/>
      </c>
    </row>
    <row r="682" spans="2:10" x14ac:dyDescent="0.15">
      <c r="B682" s="213" t="str">
        <f t="shared" si="66"/>
        <v/>
      </c>
      <c r="C682" s="228" t="str">
        <f t="shared" si="63"/>
        <v/>
      </c>
      <c r="D682" s="212" t="str">
        <f t="shared" si="62"/>
        <v/>
      </c>
      <c r="E682" s="212" t="str">
        <f t="shared" ca="1" si="64"/>
        <v/>
      </c>
      <c r="F682" s="212" t="str">
        <f t="shared" ca="1" si="64"/>
        <v/>
      </c>
      <c r="G682" s="212" t="str">
        <f t="shared" ca="1" si="64"/>
        <v/>
      </c>
      <c r="H682" s="212" t="str">
        <f t="shared" ca="1" si="64"/>
        <v/>
      </c>
      <c r="I682" s="212" t="str">
        <f t="shared" ca="1" si="65"/>
        <v/>
      </c>
      <c r="J682" s="212" t="str">
        <f t="shared" ca="1" si="65"/>
        <v/>
      </c>
    </row>
    <row r="683" spans="2:10" x14ac:dyDescent="0.15">
      <c r="B683" s="213" t="str">
        <f t="shared" si="66"/>
        <v/>
      </c>
      <c r="C683" s="228" t="str">
        <f t="shared" si="63"/>
        <v/>
      </c>
      <c r="D683" s="212" t="str">
        <f t="shared" si="62"/>
        <v/>
      </c>
      <c r="E683" s="212" t="str">
        <f t="shared" ca="1" si="64"/>
        <v/>
      </c>
      <c r="F683" s="212" t="str">
        <f t="shared" ca="1" si="64"/>
        <v/>
      </c>
      <c r="G683" s="212" t="str">
        <f t="shared" ca="1" si="64"/>
        <v/>
      </c>
      <c r="H683" s="212" t="str">
        <f t="shared" ca="1" si="64"/>
        <v/>
      </c>
      <c r="I683" s="212" t="str">
        <f t="shared" ca="1" si="65"/>
        <v/>
      </c>
      <c r="J683" s="212" t="str">
        <f t="shared" ca="1" si="65"/>
        <v/>
      </c>
    </row>
    <row r="684" spans="2:10" x14ac:dyDescent="0.15">
      <c r="B684" s="213" t="str">
        <f t="shared" si="66"/>
        <v/>
      </c>
      <c r="C684" s="228" t="str">
        <f t="shared" si="63"/>
        <v/>
      </c>
      <c r="D684" s="212" t="str">
        <f t="shared" si="62"/>
        <v/>
      </c>
      <c r="E684" s="212" t="str">
        <f t="shared" ca="1" si="64"/>
        <v/>
      </c>
      <c r="F684" s="212" t="str">
        <f t="shared" ca="1" si="64"/>
        <v/>
      </c>
      <c r="G684" s="212" t="str">
        <f t="shared" ca="1" si="64"/>
        <v/>
      </c>
      <c r="H684" s="212" t="str">
        <f t="shared" ca="1" si="64"/>
        <v/>
      </c>
      <c r="I684" s="212" t="str">
        <f t="shared" ca="1" si="65"/>
        <v/>
      </c>
      <c r="J684" s="212" t="str">
        <f t="shared" ca="1" si="65"/>
        <v/>
      </c>
    </row>
    <row r="685" spans="2:10" x14ac:dyDescent="0.15">
      <c r="B685" s="213" t="str">
        <f t="shared" si="66"/>
        <v/>
      </c>
      <c r="C685" s="228" t="str">
        <f t="shared" si="63"/>
        <v/>
      </c>
      <c r="D685" s="212" t="str">
        <f t="shared" si="62"/>
        <v/>
      </c>
      <c r="E685" s="212" t="str">
        <f t="shared" ca="1" si="64"/>
        <v/>
      </c>
      <c r="F685" s="212" t="str">
        <f t="shared" ca="1" si="64"/>
        <v/>
      </c>
      <c r="G685" s="212" t="str">
        <f t="shared" ca="1" si="64"/>
        <v/>
      </c>
      <c r="H685" s="212" t="str">
        <f t="shared" ca="1" si="64"/>
        <v/>
      </c>
      <c r="I685" s="212" t="str">
        <f t="shared" ca="1" si="65"/>
        <v/>
      </c>
      <c r="J685" s="212" t="str">
        <f t="shared" ca="1" si="65"/>
        <v/>
      </c>
    </row>
    <row r="686" spans="2:10" x14ac:dyDescent="0.15">
      <c r="B686" s="213" t="str">
        <f t="shared" si="66"/>
        <v/>
      </c>
      <c r="C686" s="228" t="str">
        <f t="shared" si="63"/>
        <v/>
      </c>
      <c r="D686" s="212" t="str">
        <f t="shared" si="62"/>
        <v/>
      </c>
      <c r="E686" s="212" t="str">
        <f t="shared" ca="1" si="64"/>
        <v/>
      </c>
      <c r="F686" s="212" t="str">
        <f t="shared" ca="1" si="64"/>
        <v/>
      </c>
      <c r="G686" s="212" t="str">
        <f t="shared" ca="1" si="64"/>
        <v/>
      </c>
      <c r="H686" s="212" t="str">
        <f t="shared" ca="1" si="64"/>
        <v/>
      </c>
      <c r="I686" s="212" t="str">
        <f t="shared" ca="1" si="65"/>
        <v/>
      </c>
      <c r="J686" s="212" t="str">
        <f t="shared" ca="1" si="65"/>
        <v/>
      </c>
    </row>
    <row r="687" spans="2:10" x14ac:dyDescent="0.15">
      <c r="B687" s="213" t="str">
        <f t="shared" si="66"/>
        <v/>
      </c>
      <c r="C687" s="228" t="str">
        <f t="shared" si="63"/>
        <v/>
      </c>
      <c r="D687" s="212" t="str">
        <f t="shared" si="62"/>
        <v/>
      </c>
      <c r="E687" s="212" t="str">
        <f t="shared" ca="1" si="64"/>
        <v/>
      </c>
      <c r="F687" s="212" t="str">
        <f t="shared" ca="1" si="64"/>
        <v/>
      </c>
      <c r="G687" s="212" t="str">
        <f t="shared" ca="1" si="64"/>
        <v/>
      </c>
      <c r="H687" s="212" t="str">
        <f t="shared" ca="1" si="64"/>
        <v/>
      </c>
      <c r="I687" s="212" t="str">
        <f t="shared" ca="1" si="65"/>
        <v/>
      </c>
      <c r="J687" s="212" t="str">
        <f t="shared" ca="1" si="65"/>
        <v/>
      </c>
    </row>
    <row r="688" spans="2:10" x14ac:dyDescent="0.15">
      <c r="B688" s="213" t="str">
        <f t="shared" si="66"/>
        <v/>
      </c>
      <c r="C688" s="228" t="str">
        <f t="shared" si="63"/>
        <v/>
      </c>
      <c r="D688" s="212" t="str">
        <f t="shared" si="62"/>
        <v/>
      </c>
      <c r="E688" s="212" t="str">
        <f t="shared" ca="1" si="64"/>
        <v/>
      </c>
      <c r="F688" s="212" t="str">
        <f t="shared" ca="1" si="64"/>
        <v/>
      </c>
      <c r="G688" s="212" t="str">
        <f t="shared" ca="1" si="64"/>
        <v/>
      </c>
      <c r="H688" s="212" t="str">
        <f t="shared" ca="1" si="64"/>
        <v/>
      </c>
      <c r="I688" s="212" t="str">
        <f t="shared" ca="1" si="65"/>
        <v/>
      </c>
      <c r="J688" s="212" t="str">
        <f t="shared" ca="1" si="65"/>
        <v/>
      </c>
    </row>
    <row r="689" spans="2:10" x14ac:dyDescent="0.15">
      <c r="B689" s="213" t="str">
        <f t="shared" si="66"/>
        <v/>
      </c>
      <c r="C689" s="228" t="str">
        <f t="shared" si="63"/>
        <v/>
      </c>
      <c r="D689" s="212" t="str">
        <f t="shared" si="62"/>
        <v/>
      </c>
      <c r="E689" s="212" t="str">
        <f t="shared" ca="1" si="64"/>
        <v/>
      </c>
      <c r="F689" s="212" t="str">
        <f t="shared" ca="1" si="64"/>
        <v/>
      </c>
      <c r="G689" s="212" t="str">
        <f t="shared" ca="1" si="64"/>
        <v/>
      </c>
      <c r="H689" s="212" t="str">
        <f t="shared" ca="1" si="64"/>
        <v/>
      </c>
      <c r="I689" s="212" t="str">
        <f t="shared" ca="1" si="65"/>
        <v/>
      </c>
      <c r="J689" s="212" t="str">
        <f t="shared" ca="1" si="65"/>
        <v/>
      </c>
    </row>
    <row r="690" spans="2:10" x14ac:dyDescent="0.15">
      <c r="B690" s="213" t="str">
        <f t="shared" si="66"/>
        <v/>
      </c>
      <c r="C690" s="228" t="str">
        <f t="shared" si="63"/>
        <v/>
      </c>
      <c r="D690" s="212" t="str">
        <f t="shared" si="62"/>
        <v/>
      </c>
      <c r="E690" s="212" t="str">
        <f t="shared" ca="1" si="64"/>
        <v/>
      </c>
      <c r="F690" s="212" t="str">
        <f t="shared" ca="1" si="64"/>
        <v/>
      </c>
      <c r="G690" s="212" t="str">
        <f t="shared" ca="1" si="64"/>
        <v/>
      </c>
      <c r="H690" s="212" t="str">
        <f t="shared" ca="1" si="64"/>
        <v/>
      </c>
      <c r="I690" s="212" t="str">
        <f t="shared" ca="1" si="65"/>
        <v/>
      </c>
      <c r="J690" s="212" t="str">
        <f t="shared" ca="1" si="65"/>
        <v/>
      </c>
    </row>
    <row r="691" spans="2:10" x14ac:dyDescent="0.15">
      <c r="B691" s="213" t="str">
        <f t="shared" si="66"/>
        <v/>
      </c>
      <c r="C691" s="228" t="str">
        <f t="shared" si="63"/>
        <v/>
      </c>
      <c r="D691" s="212" t="str">
        <f t="shared" si="62"/>
        <v/>
      </c>
      <c r="E691" s="212" t="str">
        <f t="shared" ca="1" si="64"/>
        <v/>
      </c>
      <c r="F691" s="212" t="str">
        <f t="shared" ca="1" si="64"/>
        <v/>
      </c>
      <c r="G691" s="212" t="str">
        <f t="shared" ca="1" si="64"/>
        <v/>
      </c>
      <c r="H691" s="212" t="str">
        <f t="shared" ca="1" si="64"/>
        <v/>
      </c>
      <c r="I691" s="212" t="str">
        <f t="shared" ca="1" si="65"/>
        <v/>
      </c>
      <c r="J691" s="212" t="str">
        <f t="shared" ca="1" si="65"/>
        <v/>
      </c>
    </row>
    <row r="692" spans="2:10" x14ac:dyDescent="0.15">
      <c r="B692" s="213" t="str">
        <f t="shared" si="66"/>
        <v/>
      </c>
      <c r="C692" s="228" t="str">
        <f t="shared" si="63"/>
        <v/>
      </c>
      <c r="D692" s="212" t="str">
        <f t="shared" si="62"/>
        <v/>
      </c>
      <c r="E692" s="212" t="str">
        <f t="shared" ca="1" si="64"/>
        <v/>
      </c>
      <c r="F692" s="212" t="str">
        <f t="shared" ca="1" si="64"/>
        <v/>
      </c>
      <c r="G692" s="212" t="str">
        <f t="shared" ca="1" si="64"/>
        <v/>
      </c>
      <c r="H692" s="212" t="str">
        <f t="shared" ca="1" si="64"/>
        <v/>
      </c>
      <c r="I692" s="212" t="str">
        <f t="shared" ca="1" si="65"/>
        <v/>
      </c>
      <c r="J692" s="212" t="str">
        <f t="shared" ca="1" si="65"/>
        <v/>
      </c>
    </row>
    <row r="693" spans="2:10" x14ac:dyDescent="0.15">
      <c r="B693" s="213" t="str">
        <f t="shared" si="66"/>
        <v/>
      </c>
      <c r="C693" s="228" t="str">
        <f t="shared" si="63"/>
        <v/>
      </c>
      <c r="D693" s="212" t="str">
        <f t="shared" si="62"/>
        <v/>
      </c>
      <c r="E693" s="212" t="str">
        <f t="shared" ca="1" si="64"/>
        <v/>
      </c>
      <c r="F693" s="212" t="str">
        <f t="shared" ca="1" si="64"/>
        <v/>
      </c>
      <c r="G693" s="212" t="str">
        <f t="shared" ca="1" si="64"/>
        <v/>
      </c>
      <c r="H693" s="212" t="str">
        <f t="shared" ca="1" si="64"/>
        <v/>
      </c>
      <c r="I693" s="212" t="str">
        <f t="shared" ca="1" si="65"/>
        <v/>
      </c>
      <c r="J693" s="212" t="str">
        <f t="shared" ca="1" si="65"/>
        <v/>
      </c>
    </row>
    <row r="694" spans="2:10" x14ac:dyDescent="0.15">
      <c r="B694" s="213" t="str">
        <f t="shared" si="66"/>
        <v/>
      </c>
      <c r="C694" s="228" t="str">
        <f t="shared" si="63"/>
        <v/>
      </c>
      <c r="D694" s="212" t="str">
        <f t="shared" si="62"/>
        <v/>
      </c>
      <c r="E694" s="212" t="str">
        <f t="shared" ca="1" si="64"/>
        <v/>
      </c>
      <c r="F694" s="212" t="str">
        <f t="shared" ca="1" si="64"/>
        <v/>
      </c>
      <c r="G694" s="212" t="str">
        <f t="shared" ca="1" si="64"/>
        <v/>
      </c>
      <c r="H694" s="212" t="str">
        <f t="shared" ca="1" si="64"/>
        <v/>
      </c>
      <c r="I694" s="212" t="str">
        <f t="shared" ca="1" si="65"/>
        <v/>
      </c>
      <c r="J694" s="212" t="str">
        <f t="shared" ca="1" si="65"/>
        <v/>
      </c>
    </row>
    <row r="695" spans="2:10" x14ac:dyDescent="0.15">
      <c r="B695" s="213" t="str">
        <f t="shared" si="66"/>
        <v/>
      </c>
      <c r="C695" s="228" t="str">
        <f t="shared" si="63"/>
        <v/>
      </c>
      <c r="D695" s="212" t="str">
        <f t="shared" si="62"/>
        <v/>
      </c>
      <c r="E695" s="212" t="str">
        <f t="shared" ca="1" si="64"/>
        <v/>
      </c>
      <c r="F695" s="212" t="str">
        <f t="shared" ca="1" si="64"/>
        <v/>
      </c>
      <c r="G695" s="212" t="str">
        <f t="shared" ca="1" si="64"/>
        <v/>
      </c>
      <c r="H695" s="212" t="str">
        <f t="shared" ca="1" si="64"/>
        <v/>
      </c>
      <c r="I695" s="212" t="str">
        <f t="shared" ca="1" si="65"/>
        <v/>
      </c>
      <c r="J695" s="212" t="str">
        <f t="shared" ca="1" si="65"/>
        <v/>
      </c>
    </row>
    <row r="696" spans="2:10" x14ac:dyDescent="0.15">
      <c r="B696" s="213" t="str">
        <f t="shared" si="66"/>
        <v/>
      </c>
      <c r="C696" s="228" t="str">
        <f t="shared" si="63"/>
        <v/>
      </c>
      <c r="D696" s="212" t="str">
        <f t="shared" si="62"/>
        <v/>
      </c>
      <c r="E696" s="212" t="str">
        <f t="shared" ca="1" si="64"/>
        <v/>
      </c>
      <c r="F696" s="212" t="str">
        <f t="shared" ca="1" si="64"/>
        <v/>
      </c>
      <c r="G696" s="212" t="str">
        <f t="shared" ca="1" si="64"/>
        <v/>
      </c>
      <c r="H696" s="212" t="str">
        <f t="shared" ca="1" si="64"/>
        <v/>
      </c>
      <c r="I696" s="212" t="str">
        <f t="shared" ca="1" si="65"/>
        <v/>
      </c>
      <c r="J696" s="212" t="str">
        <f t="shared" ca="1" si="65"/>
        <v/>
      </c>
    </row>
    <row r="697" spans="2:10" x14ac:dyDescent="0.15">
      <c r="B697" s="213" t="str">
        <f t="shared" si="66"/>
        <v/>
      </c>
      <c r="C697" s="228" t="str">
        <f t="shared" si="63"/>
        <v/>
      </c>
      <c r="D697" s="212" t="str">
        <f t="shared" si="62"/>
        <v/>
      </c>
      <c r="E697" s="212" t="str">
        <f t="shared" ca="1" si="64"/>
        <v/>
      </c>
      <c r="F697" s="212" t="str">
        <f t="shared" ca="1" si="64"/>
        <v/>
      </c>
      <c r="G697" s="212" t="str">
        <f t="shared" ca="1" si="64"/>
        <v/>
      </c>
      <c r="H697" s="212" t="str">
        <f t="shared" ca="1" si="64"/>
        <v/>
      </c>
      <c r="I697" s="212" t="str">
        <f t="shared" ca="1" si="65"/>
        <v/>
      </c>
      <c r="J697" s="212" t="str">
        <f t="shared" ca="1" si="65"/>
        <v/>
      </c>
    </row>
    <row r="698" spans="2:10" x14ac:dyDescent="0.15">
      <c r="B698" s="213" t="str">
        <f t="shared" si="66"/>
        <v/>
      </c>
      <c r="C698" s="228" t="str">
        <f t="shared" si="63"/>
        <v/>
      </c>
      <c r="D698" s="212" t="str">
        <f t="shared" si="62"/>
        <v/>
      </c>
      <c r="E698" s="212" t="str">
        <f t="shared" ca="1" si="64"/>
        <v/>
      </c>
      <c r="F698" s="212" t="str">
        <f t="shared" ca="1" si="64"/>
        <v/>
      </c>
      <c r="G698" s="212" t="str">
        <f t="shared" ca="1" si="64"/>
        <v/>
      </c>
      <c r="H698" s="212" t="str">
        <f t="shared" ca="1" si="64"/>
        <v/>
      </c>
      <c r="I698" s="212" t="str">
        <f t="shared" ca="1" si="65"/>
        <v/>
      </c>
      <c r="J698" s="212" t="str">
        <f t="shared" ca="1" si="65"/>
        <v/>
      </c>
    </row>
    <row r="699" spans="2:10" x14ac:dyDescent="0.15">
      <c r="B699" s="213" t="str">
        <f t="shared" si="66"/>
        <v/>
      </c>
      <c r="C699" s="228" t="str">
        <f t="shared" si="63"/>
        <v/>
      </c>
      <c r="D699" s="212" t="str">
        <f t="shared" si="62"/>
        <v/>
      </c>
      <c r="E699" s="212" t="str">
        <f t="shared" ca="1" si="64"/>
        <v/>
      </c>
      <c r="F699" s="212" t="str">
        <f t="shared" ca="1" si="64"/>
        <v/>
      </c>
      <c r="G699" s="212" t="str">
        <f t="shared" ca="1" si="64"/>
        <v/>
      </c>
      <c r="H699" s="212" t="str">
        <f t="shared" ca="1" si="64"/>
        <v/>
      </c>
      <c r="I699" s="212" t="str">
        <f t="shared" ca="1" si="65"/>
        <v/>
      </c>
      <c r="J699" s="212" t="str">
        <f t="shared" ca="1" si="65"/>
        <v/>
      </c>
    </row>
    <row r="700" spans="2:10" x14ac:dyDescent="0.15">
      <c r="B700" s="213" t="str">
        <f t="shared" si="66"/>
        <v/>
      </c>
      <c r="C700" s="228" t="str">
        <f t="shared" si="63"/>
        <v/>
      </c>
      <c r="D700" s="212" t="str">
        <f t="shared" si="62"/>
        <v/>
      </c>
      <c r="E700" s="212" t="str">
        <f t="shared" ca="1" si="64"/>
        <v/>
      </c>
      <c r="F700" s="212" t="str">
        <f t="shared" ca="1" si="64"/>
        <v/>
      </c>
      <c r="G700" s="212" t="str">
        <f t="shared" ca="1" si="64"/>
        <v/>
      </c>
      <c r="H700" s="212" t="str">
        <f t="shared" ca="1" si="64"/>
        <v/>
      </c>
      <c r="I700" s="212" t="str">
        <f t="shared" ca="1" si="65"/>
        <v/>
      </c>
      <c r="J700" s="212" t="str">
        <f t="shared" ca="1" si="65"/>
        <v/>
      </c>
    </row>
    <row r="701" spans="2:10" x14ac:dyDescent="0.15">
      <c r="B701" s="213" t="str">
        <f t="shared" si="66"/>
        <v/>
      </c>
      <c r="C701" s="228" t="str">
        <f t="shared" si="63"/>
        <v/>
      </c>
      <c r="D701" s="212" t="str">
        <f t="shared" si="62"/>
        <v/>
      </c>
      <c r="E701" s="212" t="str">
        <f t="shared" ca="1" si="64"/>
        <v/>
      </c>
      <c r="F701" s="212" t="str">
        <f t="shared" ca="1" si="64"/>
        <v/>
      </c>
      <c r="G701" s="212" t="str">
        <f t="shared" ca="1" si="64"/>
        <v/>
      </c>
      <c r="H701" s="212" t="str">
        <f t="shared" ca="1" si="64"/>
        <v/>
      </c>
      <c r="I701" s="212" t="str">
        <f t="shared" ca="1" si="65"/>
        <v/>
      </c>
      <c r="J701" s="212" t="str">
        <f t="shared" ca="1" si="65"/>
        <v/>
      </c>
    </row>
    <row r="702" spans="2:10" x14ac:dyDescent="0.15">
      <c r="B702" s="213" t="str">
        <f t="shared" si="66"/>
        <v/>
      </c>
      <c r="C702" s="228" t="str">
        <f t="shared" si="63"/>
        <v/>
      </c>
      <c r="D702" s="212" t="str">
        <f t="shared" si="62"/>
        <v/>
      </c>
      <c r="E702" s="212" t="str">
        <f t="shared" ca="1" si="64"/>
        <v/>
      </c>
      <c r="F702" s="212" t="str">
        <f t="shared" ca="1" si="64"/>
        <v/>
      </c>
      <c r="G702" s="212" t="str">
        <f t="shared" ca="1" si="64"/>
        <v/>
      </c>
      <c r="H702" s="212" t="str">
        <f t="shared" ca="1" si="64"/>
        <v/>
      </c>
      <c r="I702" s="212" t="str">
        <f t="shared" ca="1" si="65"/>
        <v/>
      </c>
      <c r="J702" s="212" t="str">
        <f t="shared" ca="1" si="65"/>
        <v/>
      </c>
    </row>
    <row r="703" spans="2:10" x14ac:dyDescent="0.15">
      <c r="B703" s="213" t="str">
        <f t="shared" si="66"/>
        <v/>
      </c>
      <c r="C703" s="228" t="str">
        <f t="shared" si="63"/>
        <v/>
      </c>
      <c r="D703" s="212" t="str">
        <f t="shared" si="62"/>
        <v/>
      </c>
      <c r="E703" s="212" t="str">
        <f t="shared" ca="1" si="64"/>
        <v/>
      </c>
      <c r="F703" s="212" t="str">
        <f t="shared" ca="1" si="64"/>
        <v/>
      </c>
      <c r="G703" s="212" t="str">
        <f t="shared" ca="1" si="64"/>
        <v/>
      </c>
      <c r="H703" s="212" t="str">
        <f t="shared" ca="1" si="64"/>
        <v/>
      </c>
      <c r="I703" s="212" t="str">
        <f t="shared" ca="1" si="65"/>
        <v/>
      </c>
      <c r="J703" s="212" t="str">
        <f t="shared" ca="1" si="65"/>
        <v/>
      </c>
    </row>
    <row r="704" spans="2:10" x14ac:dyDescent="0.15">
      <c r="B704" s="213" t="str">
        <f t="shared" si="66"/>
        <v/>
      </c>
      <c r="C704" s="228" t="str">
        <f t="shared" si="63"/>
        <v/>
      </c>
      <c r="D704" s="212" t="str">
        <f t="shared" si="62"/>
        <v/>
      </c>
      <c r="E704" s="212" t="str">
        <f t="shared" ca="1" si="64"/>
        <v/>
      </c>
      <c r="F704" s="212" t="str">
        <f t="shared" ca="1" si="64"/>
        <v/>
      </c>
      <c r="G704" s="212" t="str">
        <f t="shared" ca="1" si="64"/>
        <v/>
      </c>
      <c r="H704" s="212" t="str">
        <f t="shared" ca="1" si="64"/>
        <v/>
      </c>
      <c r="I704" s="212" t="str">
        <f t="shared" ca="1" si="65"/>
        <v/>
      </c>
      <c r="J704" s="212" t="str">
        <f t="shared" ca="1" si="65"/>
        <v/>
      </c>
    </row>
    <row r="705" spans="2:10" x14ac:dyDescent="0.15">
      <c r="B705" s="213" t="str">
        <f t="shared" si="66"/>
        <v/>
      </c>
      <c r="C705" s="228" t="str">
        <f t="shared" si="63"/>
        <v/>
      </c>
      <c r="D705" s="212" t="str">
        <f t="shared" si="62"/>
        <v/>
      </c>
      <c r="E705" s="212" t="str">
        <f t="shared" ca="1" si="64"/>
        <v/>
      </c>
      <c r="F705" s="212" t="str">
        <f t="shared" ca="1" si="64"/>
        <v/>
      </c>
      <c r="G705" s="212" t="str">
        <f t="shared" ca="1" si="64"/>
        <v/>
      </c>
      <c r="H705" s="212" t="str">
        <f t="shared" ca="1" si="64"/>
        <v/>
      </c>
      <c r="I705" s="212" t="str">
        <f t="shared" ca="1" si="65"/>
        <v/>
      </c>
      <c r="J705" s="212" t="str">
        <f t="shared" ca="1" si="65"/>
        <v/>
      </c>
    </row>
    <row r="706" spans="2:10" x14ac:dyDescent="0.15">
      <c r="B706" s="213" t="str">
        <f t="shared" si="66"/>
        <v/>
      </c>
      <c r="C706" s="228" t="str">
        <f t="shared" si="63"/>
        <v/>
      </c>
      <c r="D706" s="212" t="str">
        <f t="shared" si="62"/>
        <v/>
      </c>
      <c r="E706" s="212" t="str">
        <f t="shared" ca="1" si="64"/>
        <v/>
      </c>
      <c r="F706" s="212" t="str">
        <f t="shared" ca="1" si="64"/>
        <v/>
      </c>
      <c r="G706" s="212" t="str">
        <f t="shared" ca="1" si="64"/>
        <v/>
      </c>
      <c r="H706" s="212" t="str">
        <f t="shared" ca="1" si="64"/>
        <v/>
      </c>
      <c r="I706" s="212" t="str">
        <f t="shared" ca="1" si="65"/>
        <v/>
      </c>
      <c r="J706" s="212" t="str">
        <f t="shared" ca="1" si="65"/>
        <v/>
      </c>
    </row>
    <row r="707" spans="2:10" x14ac:dyDescent="0.15">
      <c r="B707" s="213" t="str">
        <f t="shared" si="66"/>
        <v/>
      </c>
      <c r="C707" s="228" t="str">
        <f t="shared" si="63"/>
        <v/>
      </c>
      <c r="D707" s="212" t="str">
        <f t="shared" si="62"/>
        <v/>
      </c>
      <c r="E707" s="212" t="str">
        <f t="shared" ca="1" si="64"/>
        <v/>
      </c>
      <c r="F707" s="212" t="str">
        <f t="shared" ca="1" si="64"/>
        <v/>
      </c>
      <c r="G707" s="212" t="str">
        <f t="shared" ca="1" si="64"/>
        <v/>
      </c>
      <c r="H707" s="212" t="str">
        <f t="shared" ca="1" si="64"/>
        <v/>
      </c>
      <c r="I707" s="212" t="str">
        <f t="shared" ca="1" si="65"/>
        <v/>
      </c>
      <c r="J707" s="212" t="str">
        <f t="shared" ca="1" si="65"/>
        <v/>
      </c>
    </row>
    <row r="708" spans="2:10" x14ac:dyDescent="0.15">
      <c r="B708" s="213" t="str">
        <f t="shared" si="66"/>
        <v/>
      </c>
      <c r="C708" s="228" t="str">
        <f t="shared" si="63"/>
        <v/>
      </c>
      <c r="D708" s="212" t="str">
        <f t="shared" si="62"/>
        <v/>
      </c>
      <c r="E708" s="212" t="str">
        <f t="shared" ca="1" si="64"/>
        <v/>
      </c>
      <c r="F708" s="212" t="str">
        <f t="shared" ca="1" si="64"/>
        <v/>
      </c>
      <c r="G708" s="212" t="str">
        <f t="shared" ca="1" si="64"/>
        <v/>
      </c>
      <c r="H708" s="212" t="str">
        <f t="shared" ca="1" si="64"/>
        <v/>
      </c>
      <c r="I708" s="212" t="str">
        <f t="shared" ca="1" si="65"/>
        <v/>
      </c>
      <c r="J708" s="212" t="str">
        <f t="shared" ca="1" si="65"/>
        <v/>
      </c>
    </row>
    <row r="709" spans="2:10" x14ac:dyDescent="0.15">
      <c r="B709" s="213" t="str">
        <f t="shared" si="66"/>
        <v/>
      </c>
      <c r="C709" s="228" t="str">
        <f t="shared" si="63"/>
        <v/>
      </c>
      <c r="D709" s="212" t="str">
        <f t="shared" si="62"/>
        <v/>
      </c>
      <c r="E709" s="212" t="str">
        <f t="shared" ca="1" si="64"/>
        <v/>
      </c>
      <c r="F709" s="212" t="str">
        <f t="shared" ca="1" si="64"/>
        <v/>
      </c>
      <c r="G709" s="212" t="str">
        <f t="shared" ca="1" si="64"/>
        <v/>
      </c>
      <c r="H709" s="212" t="str">
        <f t="shared" ca="1" si="64"/>
        <v/>
      </c>
      <c r="I709" s="212" t="str">
        <f t="shared" ca="1" si="65"/>
        <v/>
      </c>
      <c r="J709" s="212" t="str">
        <f t="shared" ca="1" si="65"/>
        <v/>
      </c>
    </row>
    <row r="710" spans="2:10" x14ac:dyDescent="0.15">
      <c r="B710" s="213" t="str">
        <f t="shared" si="66"/>
        <v/>
      </c>
      <c r="C710" s="228" t="str">
        <f t="shared" si="63"/>
        <v/>
      </c>
      <c r="D710" s="212" t="str">
        <f t="shared" si="62"/>
        <v/>
      </c>
      <c r="E710" s="212" t="str">
        <f t="shared" ca="1" si="64"/>
        <v/>
      </c>
      <c r="F710" s="212" t="str">
        <f t="shared" ca="1" si="64"/>
        <v/>
      </c>
      <c r="G710" s="212" t="str">
        <f t="shared" ca="1" si="64"/>
        <v/>
      </c>
      <c r="H710" s="212" t="str">
        <f t="shared" ca="1" si="64"/>
        <v/>
      </c>
      <c r="I710" s="212" t="str">
        <f t="shared" ca="1" si="65"/>
        <v/>
      </c>
      <c r="J710" s="212" t="str">
        <f t="shared" ca="1" si="65"/>
        <v/>
      </c>
    </row>
    <row r="711" spans="2:10" x14ac:dyDescent="0.15">
      <c r="B711" s="213" t="str">
        <f t="shared" si="66"/>
        <v/>
      </c>
      <c r="C711" s="228" t="str">
        <f t="shared" si="63"/>
        <v/>
      </c>
      <c r="D711" s="212" t="str">
        <f t="shared" si="62"/>
        <v/>
      </c>
      <c r="E711" s="212" t="str">
        <f t="shared" ca="1" si="64"/>
        <v/>
      </c>
      <c r="F711" s="212" t="str">
        <f t="shared" ca="1" si="64"/>
        <v/>
      </c>
      <c r="G711" s="212" t="str">
        <f t="shared" ca="1" si="64"/>
        <v/>
      </c>
      <c r="H711" s="212" t="str">
        <f t="shared" ca="1" si="64"/>
        <v/>
      </c>
      <c r="I711" s="212" t="str">
        <f t="shared" ca="1" si="65"/>
        <v/>
      </c>
      <c r="J711" s="212" t="str">
        <f t="shared" ca="1" si="65"/>
        <v/>
      </c>
    </row>
    <row r="712" spans="2:10" x14ac:dyDescent="0.15">
      <c r="B712" s="213" t="str">
        <f t="shared" si="66"/>
        <v/>
      </c>
      <c r="C712" s="228" t="str">
        <f t="shared" si="63"/>
        <v/>
      </c>
      <c r="D712" s="212" t="str">
        <f t="shared" si="62"/>
        <v/>
      </c>
      <c r="E712" s="212" t="str">
        <f t="shared" ca="1" si="64"/>
        <v/>
      </c>
      <c r="F712" s="212" t="str">
        <f t="shared" ca="1" si="64"/>
        <v/>
      </c>
      <c r="G712" s="212" t="str">
        <f t="shared" ca="1" si="64"/>
        <v/>
      </c>
      <c r="H712" s="212" t="str">
        <f t="shared" ca="1" si="64"/>
        <v/>
      </c>
      <c r="I712" s="212" t="str">
        <f t="shared" ca="1" si="65"/>
        <v/>
      </c>
      <c r="J712" s="212" t="str">
        <f t="shared" ca="1" si="65"/>
        <v/>
      </c>
    </row>
    <row r="713" spans="2:10" x14ac:dyDescent="0.15">
      <c r="B713" s="213" t="str">
        <f t="shared" si="66"/>
        <v/>
      </c>
      <c r="C713" s="228" t="str">
        <f t="shared" si="63"/>
        <v/>
      </c>
      <c r="D713" s="212" t="str">
        <f t="shared" si="62"/>
        <v/>
      </c>
      <c r="E713" s="212" t="str">
        <f t="shared" ca="1" si="64"/>
        <v/>
      </c>
      <c r="F713" s="212" t="str">
        <f t="shared" ca="1" si="64"/>
        <v/>
      </c>
      <c r="G713" s="212" t="str">
        <f t="shared" ca="1" si="64"/>
        <v/>
      </c>
      <c r="H713" s="212" t="str">
        <f t="shared" ca="1" si="64"/>
        <v/>
      </c>
      <c r="I713" s="212" t="str">
        <f t="shared" ca="1" si="65"/>
        <v/>
      </c>
      <c r="J713" s="212" t="str">
        <f t="shared" ca="1" si="65"/>
        <v/>
      </c>
    </row>
    <row r="714" spans="2:10" x14ac:dyDescent="0.15">
      <c r="B714" s="213" t="str">
        <f t="shared" si="66"/>
        <v/>
      </c>
      <c r="C714" s="228" t="str">
        <f t="shared" si="63"/>
        <v/>
      </c>
      <c r="D714" s="212" t="str">
        <f t="shared" si="62"/>
        <v/>
      </c>
      <c r="E714" s="212" t="str">
        <f t="shared" ca="1" si="64"/>
        <v/>
      </c>
      <c r="F714" s="212" t="str">
        <f t="shared" ca="1" si="64"/>
        <v/>
      </c>
      <c r="G714" s="212" t="str">
        <f t="shared" ca="1" si="64"/>
        <v/>
      </c>
      <c r="H714" s="212" t="str">
        <f t="shared" ca="1" si="64"/>
        <v/>
      </c>
      <c r="I714" s="212" t="str">
        <f t="shared" ca="1" si="65"/>
        <v/>
      </c>
      <c r="J714" s="212" t="str">
        <f t="shared" ca="1" si="65"/>
        <v/>
      </c>
    </row>
    <row r="715" spans="2:10" x14ac:dyDescent="0.15">
      <c r="B715" s="213" t="str">
        <f t="shared" si="66"/>
        <v/>
      </c>
      <c r="C715" s="228" t="str">
        <f t="shared" si="63"/>
        <v/>
      </c>
      <c r="D715" s="212" t="str">
        <f t="shared" si="62"/>
        <v/>
      </c>
      <c r="E715" s="212" t="str">
        <f t="shared" ca="1" si="64"/>
        <v/>
      </c>
      <c r="F715" s="212" t="str">
        <f t="shared" ca="1" si="64"/>
        <v/>
      </c>
      <c r="G715" s="212" t="str">
        <f t="shared" ca="1" si="64"/>
        <v/>
      </c>
      <c r="H715" s="212" t="str">
        <f t="shared" ca="1" si="64"/>
        <v/>
      </c>
      <c r="I715" s="212" t="str">
        <f t="shared" ca="1" si="65"/>
        <v/>
      </c>
      <c r="J715" s="212" t="str">
        <f t="shared" ca="1" si="65"/>
        <v/>
      </c>
    </row>
    <row r="716" spans="2:10" x14ac:dyDescent="0.15">
      <c r="B716" s="213" t="str">
        <f t="shared" si="66"/>
        <v/>
      </c>
      <c r="C716" s="228" t="str">
        <f t="shared" si="63"/>
        <v/>
      </c>
      <c r="D716" s="212" t="str">
        <f t="shared" si="62"/>
        <v/>
      </c>
      <c r="E716" s="212" t="str">
        <f t="shared" ca="1" si="64"/>
        <v/>
      </c>
      <c r="F716" s="212" t="str">
        <f t="shared" ca="1" si="64"/>
        <v/>
      </c>
      <c r="G716" s="212" t="str">
        <f t="shared" ca="1" si="64"/>
        <v/>
      </c>
      <c r="H716" s="212" t="str">
        <f t="shared" ca="1" si="64"/>
        <v/>
      </c>
      <c r="I716" s="212" t="str">
        <f t="shared" ca="1" si="65"/>
        <v/>
      </c>
      <c r="J716" s="212" t="str">
        <f t="shared" ca="1" si="65"/>
        <v/>
      </c>
    </row>
    <row r="717" spans="2:10" x14ac:dyDescent="0.15">
      <c r="B717" s="213" t="str">
        <f t="shared" si="66"/>
        <v/>
      </c>
      <c r="C717" s="228" t="str">
        <f t="shared" si="63"/>
        <v/>
      </c>
      <c r="D717" s="212" t="str">
        <f t="shared" si="62"/>
        <v/>
      </c>
      <c r="E717" s="212" t="str">
        <f t="shared" ca="1" si="64"/>
        <v/>
      </c>
      <c r="F717" s="212" t="str">
        <f t="shared" ca="1" si="64"/>
        <v/>
      </c>
      <c r="G717" s="212" t="str">
        <f t="shared" ca="1" si="64"/>
        <v/>
      </c>
      <c r="H717" s="212" t="str">
        <f t="shared" ca="1" si="64"/>
        <v/>
      </c>
      <c r="I717" s="212" t="str">
        <f t="shared" ca="1" si="65"/>
        <v/>
      </c>
      <c r="J717" s="212" t="str">
        <f t="shared" ca="1" si="65"/>
        <v/>
      </c>
    </row>
    <row r="718" spans="2:10" x14ac:dyDescent="0.15">
      <c r="B718" s="213" t="str">
        <f t="shared" si="66"/>
        <v/>
      </c>
      <c r="C718" s="228" t="str">
        <f t="shared" si="63"/>
        <v/>
      </c>
      <c r="D718" s="212" t="str">
        <f t="shared" si="62"/>
        <v/>
      </c>
      <c r="E718" s="212" t="str">
        <f t="shared" ca="1" si="64"/>
        <v/>
      </c>
      <c r="F718" s="212" t="str">
        <f t="shared" ca="1" si="64"/>
        <v/>
      </c>
      <c r="G718" s="212" t="str">
        <f t="shared" ca="1" si="64"/>
        <v/>
      </c>
      <c r="H718" s="212" t="str">
        <f t="shared" ca="1" si="64"/>
        <v/>
      </c>
      <c r="I718" s="212" t="str">
        <f t="shared" ca="1" si="65"/>
        <v/>
      </c>
      <c r="J718" s="212" t="str">
        <f t="shared" ca="1" si="65"/>
        <v/>
      </c>
    </row>
    <row r="719" spans="2:10" x14ac:dyDescent="0.15">
      <c r="B719" s="213" t="str">
        <f t="shared" si="66"/>
        <v/>
      </c>
      <c r="C719" s="228" t="str">
        <f t="shared" si="63"/>
        <v/>
      </c>
      <c r="D719" s="212" t="str">
        <f t="shared" si="62"/>
        <v/>
      </c>
      <c r="E719" s="212" t="str">
        <f t="shared" ca="1" si="64"/>
        <v/>
      </c>
      <c r="F719" s="212" t="str">
        <f t="shared" ca="1" si="64"/>
        <v/>
      </c>
      <c r="G719" s="212" t="str">
        <f t="shared" ca="1" si="64"/>
        <v/>
      </c>
      <c r="H719" s="212" t="str">
        <f t="shared" ca="1" si="64"/>
        <v/>
      </c>
      <c r="I719" s="212" t="str">
        <f t="shared" ca="1" si="65"/>
        <v/>
      </c>
      <c r="J719" s="212" t="str">
        <f t="shared" ca="1" si="65"/>
        <v/>
      </c>
    </row>
    <row r="720" spans="2:10" x14ac:dyDescent="0.15">
      <c r="B720" s="213" t="str">
        <f t="shared" si="66"/>
        <v/>
      </c>
      <c r="C720" s="228" t="str">
        <f t="shared" si="63"/>
        <v/>
      </c>
      <c r="D720" s="212" t="str">
        <f t="shared" si="62"/>
        <v/>
      </c>
      <c r="E720" s="212" t="str">
        <f t="shared" ca="1" si="64"/>
        <v/>
      </c>
      <c r="F720" s="212" t="str">
        <f t="shared" ca="1" si="64"/>
        <v/>
      </c>
      <c r="G720" s="212" t="str">
        <f t="shared" ca="1" si="64"/>
        <v/>
      </c>
      <c r="H720" s="212" t="str">
        <f t="shared" ca="1" si="64"/>
        <v/>
      </c>
      <c r="I720" s="212" t="str">
        <f t="shared" ca="1" si="65"/>
        <v/>
      </c>
      <c r="J720" s="212" t="str">
        <f t="shared" ca="1" si="65"/>
        <v/>
      </c>
    </row>
    <row r="721" spans="2:10" x14ac:dyDescent="0.15">
      <c r="B721" s="213" t="str">
        <f t="shared" si="66"/>
        <v/>
      </c>
      <c r="C721" s="228" t="str">
        <f t="shared" si="63"/>
        <v/>
      </c>
      <c r="D721" s="212" t="str">
        <f t="shared" si="62"/>
        <v/>
      </c>
      <c r="E721" s="212" t="str">
        <f t="shared" ca="1" si="64"/>
        <v/>
      </c>
      <c r="F721" s="212" t="str">
        <f t="shared" ca="1" si="64"/>
        <v/>
      </c>
      <c r="G721" s="212" t="str">
        <f t="shared" ca="1" si="64"/>
        <v/>
      </c>
      <c r="H721" s="212" t="str">
        <f t="shared" ca="1" si="64"/>
        <v/>
      </c>
      <c r="I721" s="212" t="str">
        <f t="shared" ca="1" si="65"/>
        <v/>
      </c>
      <c r="J721" s="212" t="str">
        <f t="shared" ca="1" si="65"/>
        <v/>
      </c>
    </row>
    <row r="722" spans="2:10" x14ac:dyDescent="0.15">
      <c r="B722" s="213" t="str">
        <f t="shared" si="66"/>
        <v/>
      </c>
      <c r="C722" s="228" t="str">
        <f t="shared" si="63"/>
        <v/>
      </c>
      <c r="D722" s="212" t="str">
        <f t="shared" si="62"/>
        <v/>
      </c>
      <c r="E722" s="212" t="str">
        <f t="shared" ca="1" si="64"/>
        <v/>
      </c>
      <c r="F722" s="212" t="str">
        <f t="shared" ca="1" si="64"/>
        <v/>
      </c>
      <c r="G722" s="212" t="str">
        <f t="shared" ca="1" si="64"/>
        <v/>
      </c>
      <c r="H722" s="212" t="str">
        <f t="shared" ca="1" si="64"/>
        <v/>
      </c>
      <c r="I722" s="212" t="str">
        <f t="shared" ca="1" si="65"/>
        <v/>
      </c>
      <c r="J722" s="212" t="str">
        <f t="shared" ca="1" si="65"/>
        <v/>
      </c>
    </row>
    <row r="723" spans="2:10" x14ac:dyDescent="0.15">
      <c r="B723" s="213" t="str">
        <f t="shared" si="66"/>
        <v/>
      </c>
      <c r="C723" s="228" t="str">
        <f t="shared" si="63"/>
        <v/>
      </c>
      <c r="D723" s="212" t="str">
        <f t="shared" si="62"/>
        <v/>
      </c>
      <c r="E723" s="212" t="str">
        <f t="shared" ca="1" si="64"/>
        <v/>
      </c>
      <c r="F723" s="212" t="str">
        <f t="shared" ca="1" si="64"/>
        <v/>
      </c>
      <c r="G723" s="212" t="str">
        <f t="shared" ca="1" si="64"/>
        <v/>
      </c>
      <c r="H723" s="212" t="str">
        <f t="shared" ca="1" si="64"/>
        <v/>
      </c>
      <c r="I723" s="212" t="str">
        <f t="shared" ca="1" si="65"/>
        <v/>
      </c>
      <c r="J723" s="212" t="str">
        <f t="shared" ca="1" si="65"/>
        <v/>
      </c>
    </row>
    <row r="724" spans="2:10" x14ac:dyDescent="0.15">
      <c r="B724" s="213" t="str">
        <f t="shared" si="66"/>
        <v/>
      </c>
      <c r="C724" s="228" t="str">
        <f t="shared" si="63"/>
        <v/>
      </c>
      <c r="D724" s="212" t="str">
        <f t="shared" si="62"/>
        <v/>
      </c>
      <c r="E724" s="212" t="str">
        <f t="shared" ca="1" si="64"/>
        <v/>
      </c>
      <c r="F724" s="212" t="str">
        <f t="shared" ca="1" si="64"/>
        <v/>
      </c>
      <c r="G724" s="212" t="str">
        <f t="shared" ca="1" si="64"/>
        <v/>
      </c>
      <c r="H724" s="212" t="str">
        <f t="shared" ca="1" si="64"/>
        <v/>
      </c>
      <c r="I724" s="212" t="str">
        <f t="shared" ca="1" si="65"/>
        <v/>
      </c>
      <c r="J724" s="212" t="str">
        <f t="shared" ca="1" si="65"/>
        <v/>
      </c>
    </row>
    <row r="725" spans="2:10" x14ac:dyDescent="0.15">
      <c r="B725" s="213" t="str">
        <f t="shared" si="66"/>
        <v/>
      </c>
      <c r="C725" s="228" t="str">
        <f t="shared" si="63"/>
        <v/>
      </c>
      <c r="D725" s="212" t="str">
        <f t="shared" si="62"/>
        <v/>
      </c>
      <c r="E725" s="212" t="str">
        <f t="shared" ca="1" si="64"/>
        <v/>
      </c>
      <c r="F725" s="212" t="str">
        <f t="shared" ca="1" si="64"/>
        <v/>
      </c>
      <c r="G725" s="212" t="str">
        <f t="shared" ca="1" si="64"/>
        <v/>
      </c>
      <c r="H725" s="212" t="str">
        <f t="shared" ca="1" si="64"/>
        <v/>
      </c>
      <c r="I725" s="212" t="str">
        <f t="shared" ca="1" si="65"/>
        <v/>
      </c>
      <c r="J725" s="212" t="str">
        <f t="shared" ca="1" si="65"/>
        <v/>
      </c>
    </row>
    <row r="726" spans="2:10" x14ac:dyDescent="0.15">
      <c r="B726" s="213" t="str">
        <f t="shared" si="66"/>
        <v/>
      </c>
      <c r="C726" s="228" t="str">
        <f t="shared" si="63"/>
        <v/>
      </c>
      <c r="D726" s="212" t="str">
        <f t="shared" si="62"/>
        <v/>
      </c>
      <c r="E726" s="212" t="str">
        <f t="shared" ca="1" si="64"/>
        <v/>
      </c>
      <c r="F726" s="212" t="str">
        <f t="shared" ca="1" si="64"/>
        <v/>
      </c>
      <c r="G726" s="212" t="str">
        <f t="shared" ca="1" si="64"/>
        <v/>
      </c>
      <c r="H726" s="212" t="str">
        <f t="shared" ca="1" si="64"/>
        <v/>
      </c>
      <c r="I726" s="212" t="str">
        <f t="shared" ca="1" si="65"/>
        <v/>
      </c>
      <c r="J726" s="212" t="str">
        <f t="shared" ca="1" si="65"/>
        <v/>
      </c>
    </row>
    <row r="727" spans="2:10" x14ac:dyDescent="0.15">
      <c r="B727" s="213" t="str">
        <f t="shared" si="66"/>
        <v/>
      </c>
      <c r="C727" s="228" t="str">
        <f t="shared" si="63"/>
        <v/>
      </c>
      <c r="D727" s="212" t="str">
        <f t="shared" si="62"/>
        <v/>
      </c>
      <c r="E727" s="212" t="str">
        <f t="shared" ca="1" si="64"/>
        <v/>
      </c>
      <c r="F727" s="212" t="str">
        <f t="shared" ca="1" si="64"/>
        <v/>
      </c>
      <c r="G727" s="212" t="str">
        <f t="shared" ca="1" si="64"/>
        <v/>
      </c>
      <c r="H727" s="212" t="str">
        <f t="shared" ca="1" si="64"/>
        <v/>
      </c>
      <c r="I727" s="212" t="str">
        <f t="shared" ca="1" si="65"/>
        <v/>
      </c>
      <c r="J727" s="212" t="str">
        <f t="shared" ca="1" si="65"/>
        <v/>
      </c>
    </row>
    <row r="728" spans="2:10" x14ac:dyDescent="0.15">
      <c r="B728" s="213" t="str">
        <f t="shared" si="66"/>
        <v/>
      </c>
      <c r="C728" s="228" t="str">
        <f t="shared" si="63"/>
        <v/>
      </c>
      <c r="D728" s="212" t="str">
        <f t="shared" si="62"/>
        <v/>
      </c>
      <c r="E728" s="212" t="str">
        <f t="shared" ca="1" si="64"/>
        <v/>
      </c>
      <c r="F728" s="212" t="str">
        <f t="shared" ca="1" si="64"/>
        <v/>
      </c>
      <c r="G728" s="212" t="str">
        <f t="shared" ca="1" si="64"/>
        <v/>
      </c>
      <c r="H728" s="212" t="str">
        <f t="shared" ca="1" si="64"/>
        <v/>
      </c>
      <c r="I728" s="212" t="str">
        <f t="shared" ca="1" si="65"/>
        <v/>
      </c>
      <c r="J728" s="212" t="str">
        <f t="shared" ca="1" si="65"/>
        <v/>
      </c>
    </row>
    <row r="729" spans="2:10" x14ac:dyDescent="0.15">
      <c r="B729" s="213" t="str">
        <f t="shared" si="66"/>
        <v/>
      </c>
      <c r="C729" s="228" t="str">
        <f t="shared" si="63"/>
        <v/>
      </c>
      <c r="D729" s="212" t="str">
        <f t="shared" si="62"/>
        <v/>
      </c>
      <c r="E729" s="212" t="str">
        <f t="shared" ca="1" si="64"/>
        <v/>
      </c>
      <c r="F729" s="212" t="str">
        <f t="shared" ca="1" si="64"/>
        <v/>
      </c>
      <c r="G729" s="212" t="str">
        <f t="shared" ca="1" si="64"/>
        <v/>
      </c>
      <c r="H729" s="212" t="str">
        <f t="shared" ca="1" si="64"/>
        <v/>
      </c>
      <c r="I729" s="212" t="str">
        <f t="shared" ca="1" si="65"/>
        <v/>
      </c>
      <c r="J729" s="212" t="str">
        <f t="shared" ca="1" si="65"/>
        <v/>
      </c>
    </row>
    <row r="730" spans="2:10" x14ac:dyDescent="0.15">
      <c r="B730" s="213" t="str">
        <f t="shared" si="66"/>
        <v/>
      </c>
      <c r="C730" s="228" t="str">
        <f t="shared" si="63"/>
        <v/>
      </c>
      <c r="D730" s="212" t="str">
        <f t="shared" ref="D730:D793" si="67">IF(B730="","",IF(B731="",SUMIFS(Amount,Timestamp,"&gt;="&amp;B730),SUMIFS(Amount,Timestamp,"&gt;="&amp;B730,Timestamp,"&lt;"&amp;B731)))</f>
        <v/>
      </c>
      <c r="E730" s="212" t="str">
        <f t="shared" ca="1" si="64"/>
        <v/>
      </c>
      <c r="F730" s="212" t="str">
        <f t="shared" ca="1" si="64"/>
        <v/>
      </c>
      <c r="G730" s="212" t="str">
        <f t="shared" ca="1" si="64"/>
        <v/>
      </c>
      <c r="H730" s="212" t="str">
        <f t="shared" ref="H730:J793" ca="1" si="68">IF($B730="","",IF($B730+H$24-1&gt;$E$5,"",SUM(OFFSET($D730,0,0,H$24,1))))</f>
        <v/>
      </c>
      <c r="I730" s="212" t="str">
        <f t="shared" ca="1" si="65"/>
        <v/>
      </c>
      <c r="J730" s="212" t="str">
        <f t="shared" ca="1" si="65"/>
        <v/>
      </c>
    </row>
    <row r="731" spans="2:10" x14ac:dyDescent="0.15">
      <c r="B731" s="213" t="str">
        <f t="shared" si="66"/>
        <v/>
      </c>
      <c r="C731" s="228" t="str">
        <f t="shared" ref="C731:C794" si="69">IF(B731="","",TEXT(B731,"dddd"))</f>
        <v/>
      </c>
      <c r="D731" s="212" t="str">
        <f t="shared" si="67"/>
        <v/>
      </c>
      <c r="E731" s="212" t="str">
        <f t="shared" ref="E731:J794" ca="1" si="70">IF($B731="","",IF($B731+E$24-1&gt;$E$5,"",SUM(OFFSET($D731,0,0,E$24,1))))</f>
        <v/>
      </c>
      <c r="F731" s="212" t="str">
        <f t="shared" ca="1" si="70"/>
        <v/>
      </c>
      <c r="G731" s="212" t="str">
        <f t="shared" ca="1" si="70"/>
        <v/>
      </c>
      <c r="H731" s="212" t="str">
        <f t="shared" ca="1" si="68"/>
        <v/>
      </c>
      <c r="I731" s="212" t="str">
        <f t="shared" ca="1" si="68"/>
        <v/>
      </c>
      <c r="J731" s="212" t="str">
        <f t="shared" ca="1" si="68"/>
        <v/>
      </c>
    </row>
    <row r="732" spans="2:10" x14ac:dyDescent="0.15">
      <c r="B732" s="213" t="str">
        <f t="shared" si="66"/>
        <v/>
      </c>
      <c r="C732" s="228" t="str">
        <f t="shared" si="69"/>
        <v/>
      </c>
      <c r="D732" s="212" t="str">
        <f t="shared" si="67"/>
        <v/>
      </c>
      <c r="E732" s="212" t="str">
        <f t="shared" ca="1" si="70"/>
        <v/>
      </c>
      <c r="F732" s="212" t="str">
        <f t="shared" ca="1" si="70"/>
        <v/>
      </c>
      <c r="G732" s="212" t="str">
        <f t="shared" ca="1" si="70"/>
        <v/>
      </c>
      <c r="H732" s="212" t="str">
        <f t="shared" ca="1" si="68"/>
        <v/>
      </c>
      <c r="I732" s="212" t="str">
        <f t="shared" ca="1" si="68"/>
        <v/>
      </c>
      <c r="J732" s="212" t="str">
        <f t="shared" ca="1" si="68"/>
        <v/>
      </c>
    </row>
    <row r="733" spans="2:10" x14ac:dyDescent="0.15">
      <c r="B733" s="213" t="str">
        <f t="shared" si="66"/>
        <v/>
      </c>
      <c r="C733" s="228" t="str">
        <f t="shared" si="69"/>
        <v/>
      </c>
      <c r="D733" s="212" t="str">
        <f t="shared" si="67"/>
        <v/>
      </c>
      <c r="E733" s="212" t="str">
        <f t="shared" ca="1" si="70"/>
        <v/>
      </c>
      <c r="F733" s="212" t="str">
        <f t="shared" ca="1" si="70"/>
        <v/>
      </c>
      <c r="G733" s="212" t="str">
        <f t="shared" ca="1" si="70"/>
        <v/>
      </c>
      <c r="H733" s="212" t="str">
        <f t="shared" ca="1" si="68"/>
        <v/>
      </c>
      <c r="I733" s="212" t="str">
        <f t="shared" ca="1" si="68"/>
        <v/>
      </c>
      <c r="J733" s="212" t="str">
        <f t="shared" ca="1" si="68"/>
        <v/>
      </c>
    </row>
    <row r="734" spans="2:10" x14ac:dyDescent="0.15">
      <c r="B734" s="213" t="str">
        <f t="shared" si="66"/>
        <v/>
      </c>
      <c r="C734" s="228" t="str">
        <f t="shared" si="69"/>
        <v/>
      </c>
      <c r="D734" s="212" t="str">
        <f t="shared" si="67"/>
        <v/>
      </c>
      <c r="E734" s="212" t="str">
        <f t="shared" ca="1" si="70"/>
        <v/>
      </c>
      <c r="F734" s="212" t="str">
        <f t="shared" ca="1" si="70"/>
        <v/>
      </c>
      <c r="G734" s="212" t="str">
        <f t="shared" ca="1" si="70"/>
        <v/>
      </c>
      <c r="H734" s="212" t="str">
        <f t="shared" ca="1" si="68"/>
        <v/>
      </c>
      <c r="I734" s="212" t="str">
        <f t="shared" ca="1" si="68"/>
        <v/>
      </c>
      <c r="J734" s="212" t="str">
        <f t="shared" ca="1" si="68"/>
        <v/>
      </c>
    </row>
    <row r="735" spans="2:10" x14ac:dyDescent="0.15">
      <c r="B735" s="213" t="str">
        <f t="shared" si="66"/>
        <v/>
      </c>
      <c r="C735" s="228" t="str">
        <f t="shared" si="69"/>
        <v/>
      </c>
      <c r="D735" s="212" t="str">
        <f t="shared" si="67"/>
        <v/>
      </c>
      <c r="E735" s="212" t="str">
        <f t="shared" ca="1" si="70"/>
        <v/>
      </c>
      <c r="F735" s="212" t="str">
        <f t="shared" ca="1" si="70"/>
        <v/>
      </c>
      <c r="G735" s="212" t="str">
        <f t="shared" ca="1" si="70"/>
        <v/>
      </c>
      <c r="H735" s="212" t="str">
        <f t="shared" ca="1" si="68"/>
        <v/>
      </c>
      <c r="I735" s="212" t="str">
        <f t="shared" ca="1" si="68"/>
        <v/>
      </c>
      <c r="J735" s="212" t="str">
        <f t="shared" ca="1" si="68"/>
        <v/>
      </c>
    </row>
    <row r="736" spans="2:10" x14ac:dyDescent="0.15">
      <c r="B736" s="213" t="str">
        <f t="shared" si="66"/>
        <v/>
      </c>
      <c r="C736" s="228" t="str">
        <f t="shared" si="69"/>
        <v/>
      </c>
      <c r="D736" s="212" t="str">
        <f t="shared" si="67"/>
        <v/>
      </c>
      <c r="E736" s="212" t="str">
        <f t="shared" ca="1" si="70"/>
        <v/>
      </c>
      <c r="F736" s="212" t="str">
        <f t="shared" ca="1" si="70"/>
        <v/>
      </c>
      <c r="G736" s="212" t="str">
        <f t="shared" ca="1" si="70"/>
        <v/>
      </c>
      <c r="H736" s="212" t="str">
        <f t="shared" ca="1" si="68"/>
        <v/>
      </c>
      <c r="I736" s="212" t="str">
        <f t="shared" ca="1" si="68"/>
        <v/>
      </c>
      <c r="J736" s="212" t="str">
        <f t="shared" ca="1" si="68"/>
        <v/>
      </c>
    </row>
    <row r="737" spans="2:10" x14ac:dyDescent="0.15">
      <c r="B737" s="213" t="str">
        <f t="shared" si="66"/>
        <v/>
      </c>
      <c r="C737" s="228" t="str">
        <f t="shared" si="69"/>
        <v/>
      </c>
      <c r="D737" s="212" t="str">
        <f t="shared" si="67"/>
        <v/>
      </c>
      <c r="E737" s="212" t="str">
        <f t="shared" ca="1" si="70"/>
        <v/>
      </c>
      <c r="F737" s="212" t="str">
        <f t="shared" ca="1" si="70"/>
        <v/>
      </c>
      <c r="G737" s="212" t="str">
        <f t="shared" ca="1" si="70"/>
        <v/>
      </c>
      <c r="H737" s="212" t="str">
        <f t="shared" ca="1" si="68"/>
        <v/>
      </c>
      <c r="I737" s="212" t="str">
        <f t="shared" ca="1" si="68"/>
        <v/>
      </c>
      <c r="J737" s="212" t="str">
        <f t="shared" ca="1" si="68"/>
        <v/>
      </c>
    </row>
    <row r="738" spans="2:10" x14ac:dyDescent="0.15">
      <c r="B738" s="213" t="str">
        <f t="shared" si="66"/>
        <v/>
      </c>
      <c r="C738" s="228" t="str">
        <f t="shared" si="69"/>
        <v/>
      </c>
      <c r="D738" s="212" t="str">
        <f t="shared" si="67"/>
        <v/>
      </c>
      <c r="E738" s="212" t="str">
        <f t="shared" ca="1" si="70"/>
        <v/>
      </c>
      <c r="F738" s="212" t="str">
        <f t="shared" ca="1" si="70"/>
        <v/>
      </c>
      <c r="G738" s="212" t="str">
        <f t="shared" ca="1" si="70"/>
        <v/>
      </c>
      <c r="H738" s="212" t="str">
        <f t="shared" ca="1" si="68"/>
        <v/>
      </c>
      <c r="I738" s="212" t="str">
        <f t="shared" ca="1" si="68"/>
        <v/>
      </c>
      <c r="J738" s="212" t="str">
        <f t="shared" ca="1" si="68"/>
        <v/>
      </c>
    </row>
    <row r="739" spans="2:10" x14ac:dyDescent="0.15">
      <c r="B739" s="213" t="str">
        <f t="shared" ref="B739:B802" si="71">IF(B738="","",IF(B738&gt;=$E$5,"",B738+1))</f>
        <v/>
      </c>
      <c r="C739" s="228" t="str">
        <f t="shared" si="69"/>
        <v/>
      </c>
      <c r="D739" s="212" t="str">
        <f t="shared" si="67"/>
        <v/>
      </c>
      <c r="E739" s="212" t="str">
        <f t="shared" ca="1" si="70"/>
        <v/>
      </c>
      <c r="F739" s="212" t="str">
        <f t="shared" ca="1" si="70"/>
        <v/>
      </c>
      <c r="G739" s="212" t="str">
        <f t="shared" ca="1" si="70"/>
        <v/>
      </c>
      <c r="H739" s="212" t="str">
        <f t="shared" ca="1" si="68"/>
        <v/>
      </c>
      <c r="I739" s="212" t="str">
        <f t="shared" ca="1" si="68"/>
        <v/>
      </c>
      <c r="J739" s="212" t="str">
        <f t="shared" ca="1" si="68"/>
        <v/>
      </c>
    </row>
    <row r="740" spans="2:10" x14ac:dyDescent="0.15">
      <c r="B740" s="213" t="str">
        <f t="shared" si="71"/>
        <v/>
      </c>
      <c r="C740" s="228" t="str">
        <f t="shared" si="69"/>
        <v/>
      </c>
      <c r="D740" s="212" t="str">
        <f t="shared" si="67"/>
        <v/>
      </c>
      <c r="E740" s="212" t="str">
        <f t="shared" ca="1" si="70"/>
        <v/>
      </c>
      <c r="F740" s="212" t="str">
        <f t="shared" ca="1" si="70"/>
        <v/>
      </c>
      <c r="G740" s="212" t="str">
        <f t="shared" ca="1" si="70"/>
        <v/>
      </c>
      <c r="H740" s="212" t="str">
        <f t="shared" ca="1" si="68"/>
        <v/>
      </c>
      <c r="I740" s="212" t="str">
        <f t="shared" ca="1" si="68"/>
        <v/>
      </c>
      <c r="J740" s="212" t="str">
        <f t="shared" ca="1" si="68"/>
        <v/>
      </c>
    </row>
    <row r="741" spans="2:10" x14ac:dyDescent="0.15">
      <c r="B741" s="213" t="str">
        <f t="shared" si="71"/>
        <v/>
      </c>
      <c r="C741" s="228" t="str">
        <f t="shared" si="69"/>
        <v/>
      </c>
      <c r="D741" s="212" t="str">
        <f t="shared" si="67"/>
        <v/>
      </c>
      <c r="E741" s="212" t="str">
        <f t="shared" ca="1" si="70"/>
        <v/>
      </c>
      <c r="F741" s="212" t="str">
        <f t="shared" ca="1" si="70"/>
        <v/>
      </c>
      <c r="G741" s="212" t="str">
        <f t="shared" ca="1" si="70"/>
        <v/>
      </c>
      <c r="H741" s="212" t="str">
        <f t="shared" ca="1" si="68"/>
        <v/>
      </c>
      <c r="I741" s="212" t="str">
        <f t="shared" ca="1" si="68"/>
        <v/>
      </c>
      <c r="J741" s="212" t="str">
        <f t="shared" ca="1" si="68"/>
        <v/>
      </c>
    </row>
    <row r="742" spans="2:10" x14ac:dyDescent="0.15">
      <c r="B742" s="213" t="str">
        <f t="shared" si="71"/>
        <v/>
      </c>
      <c r="C742" s="228" t="str">
        <f t="shared" si="69"/>
        <v/>
      </c>
      <c r="D742" s="212" t="str">
        <f t="shared" si="67"/>
        <v/>
      </c>
      <c r="E742" s="212" t="str">
        <f t="shared" ca="1" si="70"/>
        <v/>
      </c>
      <c r="F742" s="212" t="str">
        <f t="shared" ca="1" si="70"/>
        <v/>
      </c>
      <c r="G742" s="212" t="str">
        <f t="shared" ca="1" si="70"/>
        <v/>
      </c>
      <c r="H742" s="212" t="str">
        <f t="shared" ca="1" si="68"/>
        <v/>
      </c>
      <c r="I742" s="212" t="str">
        <f t="shared" ca="1" si="68"/>
        <v/>
      </c>
      <c r="J742" s="212" t="str">
        <f t="shared" ca="1" si="68"/>
        <v/>
      </c>
    </row>
    <row r="743" spans="2:10" x14ac:dyDescent="0.15">
      <c r="B743" s="213" t="str">
        <f t="shared" si="71"/>
        <v/>
      </c>
      <c r="C743" s="228" t="str">
        <f t="shared" si="69"/>
        <v/>
      </c>
      <c r="D743" s="212" t="str">
        <f t="shared" si="67"/>
        <v/>
      </c>
      <c r="E743" s="212" t="str">
        <f t="shared" ca="1" si="70"/>
        <v/>
      </c>
      <c r="F743" s="212" t="str">
        <f t="shared" ca="1" si="70"/>
        <v/>
      </c>
      <c r="G743" s="212" t="str">
        <f t="shared" ca="1" si="70"/>
        <v/>
      </c>
      <c r="H743" s="212" t="str">
        <f t="shared" ca="1" si="68"/>
        <v/>
      </c>
      <c r="I743" s="212" t="str">
        <f t="shared" ca="1" si="68"/>
        <v/>
      </c>
      <c r="J743" s="212" t="str">
        <f t="shared" ca="1" si="68"/>
        <v/>
      </c>
    </row>
    <row r="744" spans="2:10" x14ac:dyDescent="0.15">
      <c r="B744" s="213" t="str">
        <f t="shared" si="71"/>
        <v/>
      </c>
      <c r="C744" s="228" t="str">
        <f t="shared" si="69"/>
        <v/>
      </c>
      <c r="D744" s="212" t="str">
        <f t="shared" si="67"/>
        <v/>
      </c>
      <c r="E744" s="212" t="str">
        <f t="shared" ca="1" si="70"/>
        <v/>
      </c>
      <c r="F744" s="212" t="str">
        <f t="shared" ca="1" si="70"/>
        <v/>
      </c>
      <c r="G744" s="212" t="str">
        <f t="shared" ca="1" si="70"/>
        <v/>
      </c>
      <c r="H744" s="212" t="str">
        <f t="shared" ca="1" si="68"/>
        <v/>
      </c>
      <c r="I744" s="212" t="str">
        <f t="shared" ca="1" si="68"/>
        <v/>
      </c>
      <c r="J744" s="212" t="str">
        <f t="shared" ca="1" si="68"/>
        <v/>
      </c>
    </row>
    <row r="745" spans="2:10" x14ac:dyDescent="0.15">
      <c r="B745" s="213" t="str">
        <f t="shared" si="71"/>
        <v/>
      </c>
      <c r="C745" s="228" t="str">
        <f t="shared" si="69"/>
        <v/>
      </c>
      <c r="D745" s="212" t="str">
        <f t="shared" si="67"/>
        <v/>
      </c>
      <c r="E745" s="212" t="str">
        <f t="shared" ca="1" si="70"/>
        <v/>
      </c>
      <c r="F745" s="212" t="str">
        <f t="shared" ca="1" si="70"/>
        <v/>
      </c>
      <c r="G745" s="212" t="str">
        <f t="shared" ca="1" si="70"/>
        <v/>
      </c>
      <c r="H745" s="212" t="str">
        <f t="shared" ca="1" si="68"/>
        <v/>
      </c>
      <c r="I745" s="212" t="str">
        <f t="shared" ca="1" si="68"/>
        <v/>
      </c>
      <c r="J745" s="212" t="str">
        <f t="shared" ca="1" si="68"/>
        <v/>
      </c>
    </row>
    <row r="746" spans="2:10" x14ac:dyDescent="0.15">
      <c r="B746" s="213" t="str">
        <f t="shared" si="71"/>
        <v/>
      </c>
      <c r="C746" s="228" t="str">
        <f t="shared" si="69"/>
        <v/>
      </c>
      <c r="D746" s="212" t="str">
        <f t="shared" si="67"/>
        <v/>
      </c>
      <c r="E746" s="212" t="str">
        <f t="shared" ca="1" si="70"/>
        <v/>
      </c>
      <c r="F746" s="212" t="str">
        <f t="shared" ca="1" si="70"/>
        <v/>
      </c>
      <c r="G746" s="212" t="str">
        <f t="shared" ca="1" si="70"/>
        <v/>
      </c>
      <c r="H746" s="212" t="str">
        <f t="shared" ca="1" si="68"/>
        <v/>
      </c>
      <c r="I746" s="212" t="str">
        <f t="shared" ca="1" si="68"/>
        <v/>
      </c>
      <c r="J746" s="212" t="str">
        <f t="shared" ca="1" si="68"/>
        <v/>
      </c>
    </row>
    <row r="747" spans="2:10" x14ac:dyDescent="0.15">
      <c r="B747" s="213" t="str">
        <f t="shared" si="71"/>
        <v/>
      </c>
      <c r="C747" s="228" t="str">
        <f t="shared" si="69"/>
        <v/>
      </c>
      <c r="D747" s="212" t="str">
        <f t="shared" si="67"/>
        <v/>
      </c>
      <c r="E747" s="212" t="str">
        <f t="shared" ca="1" si="70"/>
        <v/>
      </c>
      <c r="F747" s="212" t="str">
        <f t="shared" ca="1" si="70"/>
        <v/>
      </c>
      <c r="G747" s="212" t="str">
        <f t="shared" ca="1" si="70"/>
        <v/>
      </c>
      <c r="H747" s="212" t="str">
        <f t="shared" ca="1" si="68"/>
        <v/>
      </c>
      <c r="I747" s="212" t="str">
        <f t="shared" ca="1" si="68"/>
        <v/>
      </c>
      <c r="J747" s="212" t="str">
        <f t="shared" ca="1" si="68"/>
        <v/>
      </c>
    </row>
    <row r="748" spans="2:10" x14ac:dyDescent="0.15">
      <c r="B748" s="213" t="str">
        <f t="shared" si="71"/>
        <v/>
      </c>
      <c r="C748" s="228" t="str">
        <f t="shared" si="69"/>
        <v/>
      </c>
      <c r="D748" s="212" t="str">
        <f t="shared" si="67"/>
        <v/>
      </c>
      <c r="E748" s="212" t="str">
        <f t="shared" ca="1" si="70"/>
        <v/>
      </c>
      <c r="F748" s="212" t="str">
        <f t="shared" ca="1" si="70"/>
        <v/>
      </c>
      <c r="G748" s="212" t="str">
        <f t="shared" ca="1" si="70"/>
        <v/>
      </c>
      <c r="H748" s="212" t="str">
        <f t="shared" ca="1" si="68"/>
        <v/>
      </c>
      <c r="I748" s="212" t="str">
        <f t="shared" ca="1" si="68"/>
        <v/>
      </c>
      <c r="J748" s="212" t="str">
        <f t="shared" ca="1" si="68"/>
        <v/>
      </c>
    </row>
    <row r="749" spans="2:10" x14ac:dyDescent="0.15">
      <c r="B749" s="213" t="str">
        <f t="shared" si="71"/>
        <v/>
      </c>
      <c r="C749" s="228" t="str">
        <f t="shared" si="69"/>
        <v/>
      </c>
      <c r="D749" s="212" t="str">
        <f t="shared" si="67"/>
        <v/>
      </c>
      <c r="E749" s="212" t="str">
        <f t="shared" ca="1" si="70"/>
        <v/>
      </c>
      <c r="F749" s="212" t="str">
        <f t="shared" ca="1" si="70"/>
        <v/>
      </c>
      <c r="G749" s="212" t="str">
        <f t="shared" ca="1" si="70"/>
        <v/>
      </c>
      <c r="H749" s="212" t="str">
        <f t="shared" ca="1" si="68"/>
        <v/>
      </c>
      <c r="I749" s="212" t="str">
        <f t="shared" ca="1" si="68"/>
        <v/>
      </c>
      <c r="J749" s="212" t="str">
        <f t="shared" ca="1" si="68"/>
        <v/>
      </c>
    </row>
    <row r="750" spans="2:10" x14ac:dyDescent="0.15">
      <c r="B750" s="213" t="str">
        <f t="shared" si="71"/>
        <v/>
      </c>
      <c r="C750" s="228" t="str">
        <f t="shared" si="69"/>
        <v/>
      </c>
      <c r="D750" s="212" t="str">
        <f t="shared" si="67"/>
        <v/>
      </c>
      <c r="E750" s="212" t="str">
        <f t="shared" ca="1" si="70"/>
        <v/>
      </c>
      <c r="F750" s="212" t="str">
        <f t="shared" ca="1" si="70"/>
        <v/>
      </c>
      <c r="G750" s="212" t="str">
        <f t="shared" ca="1" si="70"/>
        <v/>
      </c>
      <c r="H750" s="212" t="str">
        <f t="shared" ca="1" si="68"/>
        <v/>
      </c>
      <c r="I750" s="212" t="str">
        <f t="shared" ca="1" si="68"/>
        <v/>
      </c>
      <c r="J750" s="212" t="str">
        <f t="shared" ca="1" si="68"/>
        <v/>
      </c>
    </row>
    <row r="751" spans="2:10" x14ac:dyDescent="0.15">
      <c r="B751" s="213" t="str">
        <f t="shared" si="71"/>
        <v/>
      </c>
      <c r="C751" s="228" t="str">
        <f t="shared" si="69"/>
        <v/>
      </c>
      <c r="D751" s="212" t="str">
        <f t="shared" si="67"/>
        <v/>
      </c>
      <c r="E751" s="212" t="str">
        <f t="shared" ca="1" si="70"/>
        <v/>
      </c>
      <c r="F751" s="212" t="str">
        <f t="shared" ca="1" si="70"/>
        <v/>
      </c>
      <c r="G751" s="212" t="str">
        <f t="shared" ca="1" si="70"/>
        <v/>
      </c>
      <c r="H751" s="212" t="str">
        <f t="shared" ca="1" si="68"/>
        <v/>
      </c>
      <c r="I751" s="212" t="str">
        <f t="shared" ca="1" si="68"/>
        <v/>
      </c>
      <c r="J751" s="212" t="str">
        <f t="shared" ca="1" si="68"/>
        <v/>
      </c>
    </row>
    <row r="752" spans="2:10" x14ac:dyDescent="0.15">
      <c r="B752" s="213" t="str">
        <f t="shared" si="71"/>
        <v/>
      </c>
      <c r="C752" s="228" t="str">
        <f t="shared" si="69"/>
        <v/>
      </c>
      <c r="D752" s="212" t="str">
        <f t="shared" si="67"/>
        <v/>
      </c>
      <c r="E752" s="212" t="str">
        <f t="shared" ca="1" si="70"/>
        <v/>
      </c>
      <c r="F752" s="212" t="str">
        <f t="shared" ca="1" si="70"/>
        <v/>
      </c>
      <c r="G752" s="212" t="str">
        <f t="shared" ca="1" si="70"/>
        <v/>
      </c>
      <c r="H752" s="212" t="str">
        <f t="shared" ca="1" si="68"/>
        <v/>
      </c>
      <c r="I752" s="212" t="str">
        <f t="shared" ca="1" si="68"/>
        <v/>
      </c>
      <c r="J752" s="212" t="str">
        <f t="shared" ca="1" si="68"/>
        <v/>
      </c>
    </row>
    <row r="753" spans="2:10" x14ac:dyDescent="0.15">
      <c r="B753" s="213" t="str">
        <f t="shared" si="71"/>
        <v/>
      </c>
      <c r="C753" s="228" t="str">
        <f t="shared" si="69"/>
        <v/>
      </c>
      <c r="D753" s="212" t="str">
        <f t="shared" si="67"/>
        <v/>
      </c>
      <c r="E753" s="212" t="str">
        <f t="shared" ca="1" si="70"/>
        <v/>
      </c>
      <c r="F753" s="212" t="str">
        <f t="shared" ca="1" si="70"/>
        <v/>
      </c>
      <c r="G753" s="212" t="str">
        <f t="shared" ca="1" si="70"/>
        <v/>
      </c>
      <c r="H753" s="212" t="str">
        <f t="shared" ca="1" si="68"/>
        <v/>
      </c>
      <c r="I753" s="212" t="str">
        <f t="shared" ca="1" si="68"/>
        <v/>
      </c>
      <c r="J753" s="212" t="str">
        <f t="shared" ca="1" si="68"/>
        <v/>
      </c>
    </row>
    <row r="754" spans="2:10" x14ac:dyDescent="0.15">
      <c r="B754" s="213" t="str">
        <f t="shared" si="71"/>
        <v/>
      </c>
      <c r="C754" s="228" t="str">
        <f t="shared" si="69"/>
        <v/>
      </c>
      <c r="D754" s="212" t="str">
        <f t="shared" si="67"/>
        <v/>
      </c>
      <c r="E754" s="212" t="str">
        <f t="shared" ca="1" si="70"/>
        <v/>
      </c>
      <c r="F754" s="212" t="str">
        <f t="shared" ca="1" si="70"/>
        <v/>
      </c>
      <c r="G754" s="212" t="str">
        <f t="shared" ca="1" si="70"/>
        <v/>
      </c>
      <c r="H754" s="212" t="str">
        <f t="shared" ca="1" si="68"/>
        <v/>
      </c>
      <c r="I754" s="212" t="str">
        <f t="shared" ca="1" si="68"/>
        <v/>
      </c>
      <c r="J754" s="212" t="str">
        <f t="shared" ca="1" si="68"/>
        <v/>
      </c>
    </row>
    <row r="755" spans="2:10" x14ac:dyDescent="0.15">
      <c r="B755" s="213" t="str">
        <f t="shared" si="71"/>
        <v/>
      </c>
      <c r="C755" s="228" t="str">
        <f t="shared" si="69"/>
        <v/>
      </c>
      <c r="D755" s="212" t="str">
        <f t="shared" si="67"/>
        <v/>
      </c>
      <c r="E755" s="212" t="str">
        <f t="shared" ca="1" si="70"/>
        <v/>
      </c>
      <c r="F755" s="212" t="str">
        <f t="shared" ca="1" si="70"/>
        <v/>
      </c>
      <c r="G755" s="212" t="str">
        <f t="shared" ca="1" si="70"/>
        <v/>
      </c>
      <c r="H755" s="212" t="str">
        <f t="shared" ca="1" si="68"/>
        <v/>
      </c>
      <c r="I755" s="212" t="str">
        <f t="shared" ca="1" si="68"/>
        <v/>
      </c>
      <c r="J755" s="212" t="str">
        <f t="shared" ca="1" si="68"/>
        <v/>
      </c>
    </row>
    <row r="756" spans="2:10" x14ac:dyDescent="0.15">
      <c r="B756" s="213" t="str">
        <f t="shared" si="71"/>
        <v/>
      </c>
      <c r="C756" s="228" t="str">
        <f t="shared" si="69"/>
        <v/>
      </c>
      <c r="D756" s="212" t="str">
        <f t="shared" si="67"/>
        <v/>
      </c>
      <c r="E756" s="212" t="str">
        <f t="shared" ca="1" si="70"/>
        <v/>
      </c>
      <c r="F756" s="212" t="str">
        <f t="shared" ca="1" si="70"/>
        <v/>
      </c>
      <c r="G756" s="212" t="str">
        <f t="shared" ca="1" si="70"/>
        <v/>
      </c>
      <c r="H756" s="212" t="str">
        <f t="shared" ca="1" si="68"/>
        <v/>
      </c>
      <c r="I756" s="212" t="str">
        <f t="shared" ca="1" si="68"/>
        <v/>
      </c>
      <c r="J756" s="212" t="str">
        <f t="shared" ca="1" si="68"/>
        <v/>
      </c>
    </row>
    <row r="757" spans="2:10" x14ac:dyDescent="0.15">
      <c r="B757" s="213" t="str">
        <f t="shared" si="71"/>
        <v/>
      </c>
      <c r="C757" s="228" t="str">
        <f t="shared" si="69"/>
        <v/>
      </c>
      <c r="D757" s="212" t="str">
        <f t="shared" si="67"/>
        <v/>
      </c>
      <c r="E757" s="212" t="str">
        <f t="shared" ca="1" si="70"/>
        <v/>
      </c>
      <c r="F757" s="212" t="str">
        <f t="shared" ca="1" si="70"/>
        <v/>
      </c>
      <c r="G757" s="212" t="str">
        <f t="shared" ca="1" si="70"/>
        <v/>
      </c>
      <c r="H757" s="212" t="str">
        <f t="shared" ca="1" si="68"/>
        <v/>
      </c>
      <c r="I757" s="212" t="str">
        <f t="shared" ca="1" si="68"/>
        <v/>
      </c>
      <c r="J757" s="212" t="str">
        <f t="shared" ca="1" si="68"/>
        <v/>
      </c>
    </row>
    <row r="758" spans="2:10" x14ac:dyDescent="0.15">
      <c r="B758" s="213" t="str">
        <f t="shared" si="71"/>
        <v/>
      </c>
      <c r="C758" s="228" t="str">
        <f t="shared" si="69"/>
        <v/>
      </c>
      <c r="D758" s="212" t="str">
        <f t="shared" si="67"/>
        <v/>
      </c>
      <c r="E758" s="212" t="str">
        <f t="shared" ca="1" si="70"/>
        <v/>
      </c>
      <c r="F758" s="212" t="str">
        <f t="shared" ca="1" si="70"/>
        <v/>
      </c>
      <c r="G758" s="212" t="str">
        <f t="shared" ca="1" si="70"/>
        <v/>
      </c>
      <c r="H758" s="212" t="str">
        <f t="shared" ca="1" si="68"/>
        <v/>
      </c>
      <c r="I758" s="212" t="str">
        <f t="shared" ca="1" si="68"/>
        <v/>
      </c>
      <c r="J758" s="212" t="str">
        <f t="shared" ca="1" si="68"/>
        <v/>
      </c>
    </row>
    <row r="759" spans="2:10" x14ac:dyDescent="0.15">
      <c r="B759" s="213" t="str">
        <f t="shared" si="71"/>
        <v/>
      </c>
      <c r="C759" s="228" t="str">
        <f t="shared" si="69"/>
        <v/>
      </c>
      <c r="D759" s="212" t="str">
        <f t="shared" si="67"/>
        <v/>
      </c>
      <c r="E759" s="212" t="str">
        <f t="shared" ca="1" si="70"/>
        <v/>
      </c>
      <c r="F759" s="212" t="str">
        <f t="shared" ca="1" si="70"/>
        <v/>
      </c>
      <c r="G759" s="212" t="str">
        <f t="shared" ca="1" si="70"/>
        <v/>
      </c>
      <c r="H759" s="212" t="str">
        <f t="shared" ca="1" si="68"/>
        <v/>
      </c>
      <c r="I759" s="212" t="str">
        <f t="shared" ca="1" si="68"/>
        <v/>
      </c>
      <c r="J759" s="212" t="str">
        <f t="shared" ca="1" si="68"/>
        <v/>
      </c>
    </row>
    <row r="760" spans="2:10" x14ac:dyDescent="0.15">
      <c r="B760" s="213" t="str">
        <f t="shared" si="71"/>
        <v/>
      </c>
      <c r="C760" s="228" t="str">
        <f t="shared" si="69"/>
        <v/>
      </c>
      <c r="D760" s="212" t="str">
        <f t="shared" si="67"/>
        <v/>
      </c>
      <c r="E760" s="212" t="str">
        <f t="shared" ca="1" si="70"/>
        <v/>
      </c>
      <c r="F760" s="212" t="str">
        <f t="shared" ca="1" si="70"/>
        <v/>
      </c>
      <c r="G760" s="212" t="str">
        <f t="shared" ca="1" si="70"/>
        <v/>
      </c>
      <c r="H760" s="212" t="str">
        <f t="shared" ca="1" si="68"/>
        <v/>
      </c>
      <c r="I760" s="212" t="str">
        <f t="shared" ca="1" si="68"/>
        <v/>
      </c>
      <c r="J760" s="212" t="str">
        <f t="shared" ca="1" si="68"/>
        <v/>
      </c>
    </row>
    <row r="761" spans="2:10" x14ac:dyDescent="0.15">
      <c r="B761" s="213" t="str">
        <f t="shared" si="71"/>
        <v/>
      </c>
      <c r="C761" s="228" t="str">
        <f t="shared" si="69"/>
        <v/>
      </c>
      <c r="D761" s="212" t="str">
        <f t="shared" si="67"/>
        <v/>
      </c>
      <c r="E761" s="212" t="str">
        <f t="shared" ca="1" si="70"/>
        <v/>
      </c>
      <c r="F761" s="212" t="str">
        <f t="shared" ca="1" si="70"/>
        <v/>
      </c>
      <c r="G761" s="212" t="str">
        <f t="shared" ca="1" si="70"/>
        <v/>
      </c>
      <c r="H761" s="212" t="str">
        <f t="shared" ca="1" si="68"/>
        <v/>
      </c>
      <c r="I761" s="212" t="str">
        <f t="shared" ca="1" si="68"/>
        <v/>
      </c>
      <c r="J761" s="212" t="str">
        <f t="shared" ca="1" si="68"/>
        <v/>
      </c>
    </row>
    <row r="762" spans="2:10" x14ac:dyDescent="0.15">
      <c r="B762" s="213" t="str">
        <f t="shared" si="71"/>
        <v/>
      </c>
      <c r="C762" s="228" t="str">
        <f t="shared" si="69"/>
        <v/>
      </c>
      <c r="D762" s="212" t="str">
        <f t="shared" si="67"/>
        <v/>
      </c>
      <c r="E762" s="212" t="str">
        <f t="shared" ca="1" si="70"/>
        <v/>
      </c>
      <c r="F762" s="212" t="str">
        <f t="shared" ca="1" si="70"/>
        <v/>
      </c>
      <c r="G762" s="212" t="str">
        <f t="shared" ca="1" si="70"/>
        <v/>
      </c>
      <c r="H762" s="212" t="str">
        <f t="shared" ca="1" si="68"/>
        <v/>
      </c>
      <c r="I762" s="212" t="str">
        <f t="shared" ca="1" si="68"/>
        <v/>
      </c>
      <c r="J762" s="212" t="str">
        <f t="shared" ca="1" si="68"/>
        <v/>
      </c>
    </row>
    <row r="763" spans="2:10" x14ac:dyDescent="0.15">
      <c r="B763" s="213" t="str">
        <f t="shared" si="71"/>
        <v/>
      </c>
      <c r="C763" s="228" t="str">
        <f t="shared" si="69"/>
        <v/>
      </c>
      <c r="D763" s="212" t="str">
        <f t="shared" si="67"/>
        <v/>
      </c>
      <c r="E763" s="212" t="str">
        <f t="shared" ca="1" si="70"/>
        <v/>
      </c>
      <c r="F763" s="212" t="str">
        <f t="shared" ca="1" si="70"/>
        <v/>
      </c>
      <c r="G763" s="212" t="str">
        <f t="shared" ca="1" si="70"/>
        <v/>
      </c>
      <c r="H763" s="212" t="str">
        <f t="shared" ca="1" si="68"/>
        <v/>
      </c>
      <c r="I763" s="212" t="str">
        <f t="shared" ca="1" si="68"/>
        <v/>
      </c>
      <c r="J763" s="212" t="str">
        <f t="shared" ca="1" si="68"/>
        <v/>
      </c>
    </row>
    <row r="764" spans="2:10" x14ac:dyDescent="0.15">
      <c r="B764" s="213" t="str">
        <f t="shared" si="71"/>
        <v/>
      </c>
      <c r="C764" s="228" t="str">
        <f t="shared" si="69"/>
        <v/>
      </c>
      <c r="D764" s="212" t="str">
        <f t="shared" si="67"/>
        <v/>
      </c>
      <c r="E764" s="212" t="str">
        <f t="shared" ca="1" si="70"/>
        <v/>
      </c>
      <c r="F764" s="212" t="str">
        <f t="shared" ca="1" si="70"/>
        <v/>
      </c>
      <c r="G764" s="212" t="str">
        <f t="shared" ca="1" si="70"/>
        <v/>
      </c>
      <c r="H764" s="212" t="str">
        <f t="shared" ca="1" si="68"/>
        <v/>
      </c>
      <c r="I764" s="212" t="str">
        <f t="shared" ca="1" si="68"/>
        <v/>
      </c>
      <c r="J764" s="212" t="str">
        <f t="shared" ca="1" si="68"/>
        <v/>
      </c>
    </row>
    <row r="765" spans="2:10" x14ac:dyDescent="0.15">
      <c r="B765" s="213" t="str">
        <f t="shared" si="71"/>
        <v/>
      </c>
      <c r="C765" s="228" t="str">
        <f t="shared" si="69"/>
        <v/>
      </c>
      <c r="D765" s="212" t="str">
        <f t="shared" si="67"/>
        <v/>
      </c>
      <c r="E765" s="212" t="str">
        <f t="shared" ca="1" si="70"/>
        <v/>
      </c>
      <c r="F765" s="212" t="str">
        <f t="shared" ca="1" si="70"/>
        <v/>
      </c>
      <c r="G765" s="212" t="str">
        <f t="shared" ca="1" si="70"/>
        <v/>
      </c>
      <c r="H765" s="212" t="str">
        <f t="shared" ca="1" si="68"/>
        <v/>
      </c>
      <c r="I765" s="212" t="str">
        <f t="shared" ca="1" si="68"/>
        <v/>
      </c>
      <c r="J765" s="212" t="str">
        <f t="shared" ca="1" si="68"/>
        <v/>
      </c>
    </row>
    <row r="766" spans="2:10" x14ac:dyDescent="0.15">
      <c r="B766" s="213" t="str">
        <f t="shared" si="71"/>
        <v/>
      </c>
      <c r="C766" s="228" t="str">
        <f t="shared" si="69"/>
        <v/>
      </c>
      <c r="D766" s="212" t="str">
        <f t="shared" si="67"/>
        <v/>
      </c>
      <c r="E766" s="212" t="str">
        <f t="shared" ca="1" si="70"/>
        <v/>
      </c>
      <c r="F766" s="212" t="str">
        <f t="shared" ca="1" si="70"/>
        <v/>
      </c>
      <c r="G766" s="212" t="str">
        <f t="shared" ca="1" si="70"/>
        <v/>
      </c>
      <c r="H766" s="212" t="str">
        <f t="shared" ca="1" si="68"/>
        <v/>
      </c>
      <c r="I766" s="212" t="str">
        <f t="shared" ca="1" si="68"/>
        <v/>
      </c>
      <c r="J766" s="212" t="str">
        <f t="shared" ca="1" si="68"/>
        <v/>
      </c>
    </row>
    <row r="767" spans="2:10" x14ac:dyDescent="0.15">
      <c r="B767" s="213" t="str">
        <f t="shared" si="71"/>
        <v/>
      </c>
      <c r="C767" s="228" t="str">
        <f t="shared" si="69"/>
        <v/>
      </c>
      <c r="D767" s="212" t="str">
        <f t="shared" si="67"/>
        <v/>
      </c>
      <c r="E767" s="212" t="str">
        <f t="shared" ca="1" si="70"/>
        <v/>
      </c>
      <c r="F767" s="212" t="str">
        <f t="shared" ca="1" si="70"/>
        <v/>
      </c>
      <c r="G767" s="212" t="str">
        <f t="shared" ca="1" si="70"/>
        <v/>
      </c>
      <c r="H767" s="212" t="str">
        <f t="shared" ca="1" si="68"/>
        <v/>
      </c>
      <c r="I767" s="212" t="str">
        <f t="shared" ca="1" si="68"/>
        <v/>
      </c>
      <c r="J767" s="212" t="str">
        <f t="shared" ca="1" si="68"/>
        <v/>
      </c>
    </row>
    <row r="768" spans="2:10" x14ac:dyDescent="0.15">
      <c r="B768" s="213" t="str">
        <f t="shared" si="71"/>
        <v/>
      </c>
      <c r="C768" s="228" t="str">
        <f t="shared" si="69"/>
        <v/>
      </c>
      <c r="D768" s="212" t="str">
        <f t="shared" si="67"/>
        <v/>
      </c>
      <c r="E768" s="212" t="str">
        <f t="shared" ca="1" si="70"/>
        <v/>
      </c>
      <c r="F768" s="212" t="str">
        <f t="shared" ca="1" si="70"/>
        <v/>
      </c>
      <c r="G768" s="212" t="str">
        <f t="shared" ca="1" si="70"/>
        <v/>
      </c>
      <c r="H768" s="212" t="str">
        <f t="shared" ca="1" si="68"/>
        <v/>
      </c>
      <c r="I768" s="212" t="str">
        <f t="shared" ca="1" si="68"/>
        <v/>
      </c>
      <c r="J768" s="212" t="str">
        <f t="shared" ca="1" si="68"/>
        <v/>
      </c>
    </row>
    <row r="769" spans="2:10" x14ac:dyDescent="0.15">
      <c r="B769" s="213" t="str">
        <f t="shared" si="71"/>
        <v/>
      </c>
      <c r="C769" s="228" t="str">
        <f t="shared" si="69"/>
        <v/>
      </c>
      <c r="D769" s="212" t="str">
        <f t="shared" si="67"/>
        <v/>
      </c>
      <c r="E769" s="212" t="str">
        <f t="shared" ca="1" si="70"/>
        <v/>
      </c>
      <c r="F769" s="212" t="str">
        <f t="shared" ca="1" si="70"/>
        <v/>
      </c>
      <c r="G769" s="212" t="str">
        <f t="shared" ca="1" si="70"/>
        <v/>
      </c>
      <c r="H769" s="212" t="str">
        <f t="shared" ca="1" si="68"/>
        <v/>
      </c>
      <c r="I769" s="212" t="str">
        <f t="shared" ca="1" si="68"/>
        <v/>
      </c>
      <c r="J769" s="212" t="str">
        <f t="shared" ca="1" si="68"/>
        <v/>
      </c>
    </row>
    <row r="770" spans="2:10" x14ac:dyDescent="0.15">
      <c r="B770" s="213" t="str">
        <f t="shared" si="71"/>
        <v/>
      </c>
      <c r="C770" s="228" t="str">
        <f t="shared" si="69"/>
        <v/>
      </c>
      <c r="D770" s="212" t="str">
        <f t="shared" si="67"/>
        <v/>
      </c>
      <c r="E770" s="212" t="str">
        <f t="shared" ca="1" si="70"/>
        <v/>
      </c>
      <c r="F770" s="212" t="str">
        <f t="shared" ca="1" si="70"/>
        <v/>
      </c>
      <c r="G770" s="212" t="str">
        <f t="shared" ca="1" si="70"/>
        <v/>
      </c>
      <c r="H770" s="212" t="str">
        <f t="shared" ca="1" si="68"/>
        <v/>
      </c>
      <c r="I770" s="212" t="str">
        <f t="shared" ca="1" si="68"/>
        <v/>
      </c>
      <c r="J770" s="212" t="str">
        <f t="shared" ca="1" si="68"/>
        <v/>
      </c>
    </row>
    <row r="771" spans="2:10" x14ac:dyDescent="0.15">
      <c r="B771" s="213" t="str">
        <f t="shared" si="71"/>
        <v/>
      </c>
      <c r="C771" s="228" t="str">
        <f t="shared" si="69"/>
        <v/>
      </c>
      <c r="D771" s="212" t="str">
        <f t="shared" si="67"/>
        <v/>
      </c>
      <c r="E771" s="212" t="str">
        <f t="shared" ca="1" si="70"/>
        <v/>
      </c>
      <c r="F771" s="212" t="str">
        <f t="shared" ca="1" si="70"/>
        <v/>
      </c>
      <c r="G771" s="212" t="str">
        <f t="shared" ca="1" si="70"/>
        <v/>
      </c>
      <c r="H771" s="212" t="str">
        <f t="shared" ca="1" si="68"/>
        <v/>
      </c>
      <c r="I771" s="212" t="str">
        <f t="shared" ca="1" si="68"/>
        <v/>
      </c>
      <c r="J771" s="212" t="str">
        <f t="shared" ca="1" si="68"/>
        <v/>
      </c>
    </row>
    <row r="772" spans="2:10" x14ac:dyDescent="0.15">
      <c r="B772" s="213" t="str">
        <f t="shared" si="71"/>
        <v/>
      </c>
      <c r="C772" s="228" t="str">
        <f t="shared" si="69"/>
        <v/>
      </c>
      <c r="D772" s="212" t="str">
        <f t="shared" si="67"/>
        <v/>
      </c>
      <c r="E772" s="212" t="str">
        <f t="shared" ca="1" si="70"/>
        <v/>
      </c>
      <c r="F772" s="212" t="str">
        <f t="shared" ca="1" si="70"/>
        <v/>
      </c>
      <c r="G772" s="212" t="str">
        <f t="shared" ca="1" si="70"/>
        <v/>
      </c>
      <c r="H772" s="212" t="str">
        <f t="shared" ca="1" si="68"/>
        <v/>
      </c>
      <c r="I772" s="212" t="str">
        <f t="shared" ca="1" si="68"/>
        <v/>
      </c>
      <c r="J772" s="212" t="str">
        <f t="shared" ca="1" si="68"/>
        <v/>
      </c>
    </row>
    <row r="773" spans="2:10" x14ac:dyDescent="0.15">
      <c r="B773" s="213" t="str">
        <f t="shared" si="71"/>
        <v/>
      </c>
      <c r="C773" s="228" t="str">
        <f t="shared" si="69"/>
        <v/>
      </c>
      <c r="D773" s="212" t="str">
        <f t="shared" si="67"/>
        <v/>
      </c>
      <c r="E773" s="212" t="str">
        <f t="shared" ca="1" si="70"/>
        <v/>
      </c>
      <c r="F773" s="212" t="str">
        <f t="shared" ca="1" si="70"/>
        <v/>
      </c>
      <c r="G773" s="212" t="str">
        <f t="shared" ca="1" si="70"/>
        <v/>
      </c>
      <c r="H773" s="212" t="str">
        <f t="shared" ca="1" si="68"/>
        <v/>
      </c>
      <c r="I773" s="212" t="str">
        <f t="shared" ca="1" si="68"/>
        <v/>
      </c>
      <c r="J773" s="212" t="str">
        <f t="shared" ca="1" si="68"/>
        <v/>
      </c>
    </row>
    <row r="774" spans="2:10" x14ac:dyDescent="0.15">
      <c r="B774" s="213" t="str">
        <f t="shared" si="71"/>
        <v/>
      </c>
      <c r="C774" s="228" t="str">
        <f t="shared" si="69"/>
        <v/>
      </c>
      <c r="D774" s="212" t="str">
        <f t="shared" si="67"/>
        <v/>
      </c>
      <c r="E774" s="212" t="str">
        <f t="shared" ca="1" si="70"/>
        <v/>
      </c>
      <c r="F774" s="212" t="str">
        <f t="shared" ca="1" si="70"/>
        <v/>
      </c>
      <c r="G774" s="212" t="str">
        <f t="shared" ca="1" si="70"/>
        <v/>
      </c>
      <c r="H774" s="212" t="str">
        <f t="shared" ca="1" si="68"/>
        <v/>
      </c>
      <c r="I774" s="212" t="str">
        <f t="shared" ca="1" si="68"/>
        <v/>
      </c>
      <c r="J774" s="212" t="str">
        <f t="shared" ca="1" si="68"/>
        <v/>
      </c>
    </row>
    <row r="775" spans="2:10" x14ac:dyDescent="0.15">
      <c r="B775" s="213" t="str">
        <f t="shared" si="71"/>
        <v/>
      </c>
      <c r="C775" s="228" t="str">
        <f t="shared" si="69"/>
        <v/>
      </c>
      <c r="D775" s="212" t="str">
        <f t="shared" si="67"/>
        <v/>
      </c>
      <c r="E775" s="212" t="str">
        <f t="shared" ca="1" si="70"/>
        <v/>
      </c>
      <c r="F775" s="212" t="str">
        <f t="shared" ca="1" si="70"/>
        <v/>
      </c>
      <c r="G775" s="212" t="str">
        <f t="shared" ca="1" si="70"/>
        <v/>
      </c>
      <c r="H775" s="212" t="str">
        <f t="shared" ca="1" si="68"/>
        <v/>
      </c>
      <c r="I775" s="212" t="str">
        <f t="shared" ca="1" si="68"/>
        <v/>
      </c>
      <c r="J775" s="212" t="str">
        <f t="shared" ca="1" si="68"/>
        <v/>
      </c>
    </row>
    <row r="776" spans="2:10" x14ac:dyDescent="0.15">
      <c r="B776" s="213" t="str">
        <f t="shared" si="71"/>
        <v/>
      </c>
      <c r="C776" s="228" t="str">
        <f t="shared" si="69"/>
        <v/>
      </c>
      <c r="D776" s="212" t="str">
        <f t="shared" si="67"/>
        <v/>
      </c>
      <c r="E776" s="212" t="str">
        <f t="shared" ca="1" si="70"/>
        <v/>
      </c>
      <c r="F776" s="212" t="str">
        <f t="shared" ca="1" si="70"/>
        <v/>
      </c>
      <c r="G776" s="212" t="str">
        <f t="shared" ca="1" si="70"/>
        <v/>
      </c>
      <c r="H776" s="212" t="str">
        <f t="shared" ca="1" si="68"/>
        <v/>
      </c>
      <c r="I776" s="212" t="str">
        <f t="shared" ca="1" si="68"/>
        <v/>
      </c>
      <c r="J776" s="212" t="str">
        <f t="shared" ca="1" si="68"/>
        <v/>
      </c>
    </row>
    <row r="777" spans="2:10" x14ac:dyDescent="0.15">
      <c r="B777" s="213" t="str">
        <f t="shared" si="71"/>
        <v/>
      </c>
      <c r="C777" s="228" t="str">
        <f t="shared" si="69"/>
        <v/>
      </c>
      <c r="D777" s="212" t="str">
        <f t="shared" si="67"/>
        <v/>
      </c>
      <c r="E777" s="212" t="str">
        <f t="shared" ca="1" si="70"/>
        <v/>
      </c>
      <c r="F777" s="212" t="str">
        <f t="shared" ca="1" si="70"/>
        <v/>
      </c>
      <c r="G777" s="212" t="str">
        <f t="shared" ca="1" si="70"/>
        <v/>
      </c>
      <c r="H777" s="212" t="str">
        <f t="shared" ca="1" si="68"/>
        <v/>
      </c>
      <c r="I777" s="212" t="str">
        <f t="shared" ca="1" si="68"/>
        <v/>
      </c>
      <c r="J777" s="212" t="str">
        <f t="shared" ca="1" si="68"/>
        <v/>
      </c>
    </row>
    <row r="778" spans="2:10" x14ac:dyDescent="0.15">
      <c r="B778" s="213" t="str">
        <f t="shared" si="71"/>
        <v/>
      </c>
      <c r="C778" s="228" t="str">
        <f t="shared" si="69"/>
        <v/>
      </c>
      <c r="D778" s="212" t="str">
        <f t="shared" si="67"/>
        <v/>
      </c>
      <c r="E778" s="212" t="str">
        <f t="shared" ca="1" si="70"/>
        <v/>
      </c>
      <c r="F778" s="212" t="str">
        <f t="shared" ca="1" si="70"/>
        <v/>
      </c>
      <c r="G778" s="212" t="str">
        <f t="shared" ca="1" si="70"/>
        <v/>
      </c>
      <c r="H778" s="212" t="str">
        <f t="shared" ca="1" si="68"/>
        <v/>
      </c>
      <c r="I778" s="212" t="str">
        <f t="shared" ca="1" si="68"/>
        <v/>
      </c>
      <c r="J778" s="212" t="str">
        <f t="shared" ca="1" si="68"/>
        <v/>
      </c>
    </row>
    <row r="779" spans="2:10" x14ac:dyDescent="0.15">
      <c r="B779" s="213" t="str">
        <f t="shared" si="71"/>
        <v/>
      </c>
      <c r="C779" s="228" t="str">
        <f t="shared" si="69"/>
        <v/>
      </c>
      <c r="D779" s="212" t="str">
        <f t="shared" si="67"/>
        <v/>
      </c>
      <c r="E779" s="212" t="str">
        <f t="shared" ca="1" si="70"/>
        <v/>
      </c>
      <c r="F779" s="212" t="str">
        <f t="shared" ca="1" si="70"/>
        <v/>
      </c>
      <c r="G779" s="212" t="str">
        <f t="shared" ca="1" si="70"/>
        <v/>
      </c>
      <c r="H779" s="212" t="str">
        <f t="shared" ca="1" si="68"/>
        <v/>
      </c>
      <c r="I779" s="212" t="str">
        <f t="shared" ca="1" si="68"/>
        <v/>
      </c>
      <c r="J779" s="212" t="str">
        <f t="shared" ca="1" si="68"/>
        <v/>
      </c>
    </row>
    <row r="780" spans="2:10" x14ac:dyDescent="0.15">
      <c r="B780" s="213" t="str">
        <f t="shared" si="71"/>
        <v/>
      </c>
      <c r="C780" s="228" t="str">
        <f t="shared" si="69"/>
        <v/>
      </c>
      <c r="D780" s="212" t="str">
        <f t="shared" si="67"/>
        <v/>
      </c>
      <c r="E780" s="212" t="str">
        <f t="shared" ca="1" si="70"/>
        <v/>
      </c>
      <c r="F780" s="212" t="str">
        <f t="shared" ca="1" si="70"/>
        <v/>
      </c>
      <c r="G780" s="212" t="str">
        <f t="shared" ca="1" si="70"/>
        <v/>
      </c>
      <c r="H780" s="212" t="str">
        <f t="shared" ca="1" si="68"/>
        <v/>
      </c>
      <c r="I780" s="212" t="str">
        <f t="shared" ca="1" si="68"/>
        <v/>
      </c>
      <c r="J780" s="212" t="str">
        <f t="shared" ca="1" si="68"/>
        <v/>
      </c>
    </row>
    <row r="781" spans="2:10" x14ac:dyDescent="0.15">
      <c r="B781" s="213" t="str">
        <f t="shared" si="71"/>
        <v/>
      </c>
      <c r="C781" s="228" t="str">
        <f t="shared" si="69"/>
        <v/>
      </c>
      <c r="D781" s="212" t="str">
        <f t="shared" si="67"/>
        <v/>
      </c>
      <c r="E781" s="212" t="str">
        <f t="shared" ca="1" si="70"/>
        <v/>
      </c>
      <c r="F781" s="212" t="str">
        <f t="shared" ca="1" si="70"/>
        <v/>
      </c>
      <c r="G781" s="212" t="str">
        <f t="shared" ca="1" si="70"/>
        <v/>
      </c>
      <c r="H781" s="212" t="str">
        <f t="shared" ca="1" si="68"/>
        <v/>
      </c>
      <c r="I781" s="212" t="str">
        <f t="shared" ca="1" si="68"/>
        <v/>
      </c>
      <c r="J781" s="212" t="str">
        <f t="shared" ca="1" si="68"/>
        <v/>
      </c>
    </row>
    <row r="782" spans="2:10" x14ac:dyDescent="0.15">
      <c r="B782" s="213" t="str">
        <f t="shared" si="71"/>
        <v/>
      </c>
      <c r="C782" s="228" t="str">
        <f t="shared" si="69"/>
        <v/>
      </c>
      <c r="D782" s="212" t="str">
        <f t="shared" si="67"/>
        <v/>
      </c>
      <c r="E782" s="212" t="str">
        <f t="shared" ca="1" si="70"/>
        <v/>
      </c>
      <c r="F782" s="212" t="str">
        <f t="shared" ca="1" si="70"/>
        <v/>
      </c>
      <c r="G782" s="212" t="str">
        <f t="shared" ca="1" si="70"/>
        <v/>
      </c>
      <c r="H782" s="212" t="str">
        <f t="shared" ca="1" si="68"/>
        <v/>
      </c>
      <c r="I782" s="212" t="str">
        <f t="shared" ca="1" si="68"/>
        <v/>
      </c>
      <c r="J782" s="212" t="str">
        <f t="shared" ca="1" si="68"/>
        <v/>
      </c>
    </row>
    <row r="783" spans="2:10" x14ac:dyDescent="0.15">
      <c r="B783" s="213" t="str">
        <f t="shared" si="71"/>
        <v/>
      </c>
      <c r="C783" s="228" t="str">
        <f t="shared" si="69"/>
        <v/>
      </c>
      <c r="D783" s="212" t="str">
        <f t="shared" si="67"/>
        <v/>
      </c>
      <c r="E783" s="212" t="str">
        <f t="shared" ca="1" si="70"/>
        <v/>
      </c>
      <c r="F783" s="212" t="str">
        <f t="shared" ca="1" si="70"/>
        <v/>
      </c>
      <c r="G783" s="212" t="str">
        <f t="shared" ca="1" si="70"/>
        <v/>
      </c>
      <c r="H783" s="212" t="str">
        <f t="shared" ca="1" si="68"/>
        <v/>
      </c>
      <c r="I783" s="212" t="str">
        <f t="shared" ca="1" si="68"/>
        <v/>
      </c>
      <c r="J783" s="212" t="str">
        <f t="shared" ca="1" si="68"/>
        <v/>
      </c>
    </row>
    <row r="784" spans="2:10" x14ac:dyDescent="0.15">
      <c r="B784" s="213" t="str">
        <f t="shared" si="71"/>
        <v/>
      </c>
      <c r="C784" s="228" t="str">
        <f t="shared" si="69"/>
        <v/>
      </c>
      <c r="D784" s="212" t="str">
        <f t="shared" si="67"/>
        <v/>
      </c>
      <c r="E784" s="212" t="str">
        <f t="shared" ca="1" si="70"/>
        <v/>
      </c>
      <c r="F784" s="212" t="str">
        <f t="shared" ca="1" si="70"/>
        <v/>
      </c>
      <c r="G784" s="212" t="str">
        <f t="shared" ca="1" si="70"/>
        <v/>
      </c>
      <c r="H784" s="212" t="str">
        <f t="shared" ca="1" si="68"/>
        <v/>
      </c>
      <c r="I784" s="212" t="str">
        <f t="shared" ca="1" si="68"/>
        <v/>
      </c>
      <c r="J784" s="212" t="str">
        <f t="shared" ca="1" si="68"/>
        <v/>
      </c>
    </row>
    <row r="785" spans="2:10" x14ac:dyDescent="0.15">
      <c r="B785" s="213" t="str">
        <f t="shared" si="71"/>
        <v/>
      </c>
      <c r="C785" s="228" t="str">
        <f t="shared" si="69"/>
        <v/>
      </c>
      <c r="D785" s="212" t="str">
        <f t="shared" si="67"/>
        <v/>
      </c>
      <c r="E785" s="212" t="str">
        <f t="shared" ca="1" si="70"/>
        <v/>
      </c>
      <c r="F785" s="212" t="str">
        <f t="shared" ca="1" si="70"/>
        <v/>
      </c>
      <c r="G785" s="212" t="str">
        <f t="shared" ca="1" si="70"/>
        <v/>
      </c>
      <c r="H785" s="212" t="str">
        <f t="shared" ca="1" si="68"/>
        <v/>
      </c>
      <c r="I785" s="212" t="str">
        <f t="shared" ca="1" si="68"/>
        <v/>
      </c>
      <c r="J785" s="212" t="str">
        <f t="shared" ca="1" si="68"/>
        <v/>
      </c>
    </row>
    <row r="786" spans="2:10" x14ac:dyDescent="0.15">
      <c r="B786" s="213" t="str">
        <f t="shared" si="71"/>
        <v/>
      </c>
      <c r="C786" s="228" t="str">
        <f t="shared" si="69"/>
        <v/>
      </c>
      <c r="D786" s="212" t="str">
        <f t="shared" si="67"/>
        <v/>
      </c>
      <c r="E786" s="212" t="str">
        <f t="shared" ca="1" si="70"/>
        <v/>
      </c>
      <c r="F786" s="212" t="str">
        <f t="shared" ca="1" si="70"/>
        <v/>
      </c>
      <c r="G786" s="212" t="str">
        <f t="shared" ca="1" si="70"/>
        <v/>
      </c>
      <c r="H786" s="212" t="str">
        <f t="shared" ca="1" si="68"/>
        <v/>
      </c>
      <c r="I786" s="212" t="str">
        <f t="shared" ca="1" si="68"/>
        <v/>
      </c>
      <c r="J786" s="212" t="str">
        <f t="shared" ca="1" si="68"/>
        <v/>
      </c>
    </row>
    <row r="787" spans="2:10" x14ac:dyDescent="0.15">
      <c r="B787" s="213" t="str">
        <f t="shared" si="71"/>
        <v/>
      </c>
      <c r="C787" s="228" t="str">
        <f t="shared" si="69"/>
        <v/>
      </c>
      <c r="D787" s="212" t="str">
        <f t="shared" si="67"/>
        <v/>
      </c>
      <c r="E787" s="212" t="str">
        <f t="shared" ca="1" si="70"/>
        <v/>
      </c>
      <c r="F787" s="212" t="str">
        <f t="shared" ca="1" si="70"/>
        <v/>
      </c>
      <c r="G787" s="212" t="str">
        <f t="shared" ca="1" si="70"/>
        <v/>
      </c>
      <c r="H787" s="212" t="str">
        <f t="shared" ca="1" si="68"/>
        <v/>
      </c>
      <c r="I787" s="212" t="str">
        <f t="shared" ca="1" si="68"/>
        <v/>
      </c>
      <c r="J787" s="212" t="str">
        <f t="shared" ca="1" si="68"/>
        <v/>
      </c>
    </row>
    <row r="788" spans="2:10" x14ac:dyDescent="0.15">
      <c r="B788" s="213" t="str">
        <f t="shared" si="71"/>
        <v/>
      </c>
      <c r="C788" s="228" t="str">
        <f t="shared" si="69"/>
        <v/>
      </c>
      <c r="D788" s="212" t="str">
        <f t="shared" si="67"/>
        <v/>
      </c>
      <c r="E788" s="212" t="str">
        <f t="shared" ca="1" si="70"/>
        <v/>
      </c>
      <c r="F788" s="212" t="str">
        <f t="shared" ca="1" si="70"/>
        <v/>
      </c>
      <c r="G788" s="212" t="str">
        <f t="shared" ca="1" si="70"/>
        <v/>
      </c>
      <c r="H788" s="212" t="str">
        <f t="shared" ca="1" si="68"/>
        <v/>
      </c>
      <c r="I788" s="212" t="str">
        <f t="shared" ca="1" si="68"/>
        <v/>
      </c>
      <c r="J788" s="212" t="str">
        <f t="shared" ca="1" si="68"/>
        <v/>
      </c>
    </row>
    <row r="789" spans="2:10" x14ac:dyDescent="0.15">
      <c r="B789" s="213" t="str">
        <f t="shared" si="71"/>
        <v/>
      </c>
      <c r="C789" s="228" t="str">
        <f t="shared" si="69"/>
        <v/>
      </c>
      <c r="D789" s="212" t="str">
        <f t="shared" si="67"/>
        <v/>
      </c>
      <c r="E789" s="212" t="str">
        <f t="shared" ca="1" si="70"/>
        <v/>
      </c>
      <c r="F789" s="212" t="str">
        <f t="shared" ca="1" si="70"/>
        <v/>
      </c>
      <c r="G789" s="212" t="str">
        <f t="shared" ca="1" si="70"/>
        <v/>
      </c>
      <c r="H789" s="212" t="str">
        <f t="shared" ca="1" si="68"/>
        <v/>
      </c>
      <c r="I789" s="212" t="str">
        <f t="shared" ca="1" si="68"/>
        <v/>
      </c>
      <c r="J789" s="212" t="str">
        <f t="shared" ca="1" si="68"/>
        <v/>
      </c>
    </row>
    <row r="790" spans="2:10" x14ac:dyDescent="0.15">
      <c r="B790" s="213" t="str">
        <f t="shared" si="71"/>
        <v/>
      </c>
      <c r="C790" s="228" t="str">
        <f t="shared" si="69"/>
        <v/>
      </c>
      <c r="D790" s="212" t="str">
        <f t="shared" si="67"/>
        <v/>
      </c>
      <c r="E790" s="212" t="str">
        <f t="shared" ca="1" si="70"/>
        <v/>
      </c>
      <c r="F790" s="212" t="str">
        <f t="shared" ca="1" si="70"/>
        <v/>
      </c>
      <c r="G790" s="212" t="str">
        <f t="shared" ca="1" si="70"/>
        <v/>
      </c>
      <c r="H790" s="212" t="str">
        <f t="shared" ca="1" si="68"/>
        <v/>
      </c>
      <c r="I790" s="212" t="str">
        <f t="shared" ca="1" si="68"/>
        <v/>
      </c>
      <c r="J790" s="212" t="str">
        <f t="shared" ca="1" si="68"/>
        <v/>
      </c>
    </row>
    <row r="791" spans="2:10" x14ac:dyDescent="0.15">
      <c r="B791" s="213" t="str">
        <f t="shared" si="71"/>
        <v/>
      </c>
      <c r="C791" s="228" t="str">
        <f t="shared" si="69"/>
        <v/>
      </c>
      <c r="D791" s="212" t="str">
        <f t="shared" si="67"/>
        <v/>
      </c>
      <c r="E791" s="212" t="str">
        <f t="shared" ca="1" si="70"/>
        <v/>
      </c>
      <c r="F791" s="212" t="str">
        <f t="shared" ca="1" si="70"/>
        <v/>
      </c>
      <c r="G791" s="212" t="str">
        <f t="shared" ca="1" si="70"/>
        <v/>
      </c>
      <c r="H791" s="212" t="str">
        <f t="shared" ca="1" si="68"/>
        <v/>
      </c>
      <c r="I791" s="212" t="str">
        <f t="shared" ca="1" si="68"/>
        <v/>
      </c>
      <c r="J791" s="212" t="str">
        <f t="shared" ca="1" si="68"/>
        <v/>
      </c>
    </row>
    <row r="792" spans="2:10" x14ac:dyDescent="0.15">
      <c r="B792" s="213" t="str">
        <f t="shared" si="71"/>
        <v/>
      </c>
      <c r="C792" s="228" t="str">
        <f t="shared" si="69"/>
        <v/>
      </c>
      <c r="D792" s="212" t="str">
        <f t="shared" si="67"/>
        <v/>
      </c>
      <c r="E792" s="212" t="str">
        <f t="shared" ca="1" si="70"/>
        <v/>
      </c>
      <c r="F792" s="212" t="str">
        <f t="shared" ca="1" si="70"/>
        <v/>
      </c>
      <c r="G792" s="212" t="str">
        <f t="shared" ca="1" si="70"/>
        <v/>
      </c>
      <c r="H792" s="212" t="str">
        <f t="shared" ca="1" si="68"/>
        <v/>
      </c>
      <c r="I792" s="212" t="str">
        <f t="shared" ca="1" si="68"/>
        <v/>
      </c>
      <c r="J792" s="212" t="str">
        <f t="shared" ca="1" si="68"/>
        <v/>
      </c>
    </row>
    <row r="793" spans="2:10" x14ac:dyDescent="0.15">
      <c r="B793" s="213" t="str">
        <f t="shared" si="71"/>
        <v/>
      </c>
      <c r="C793" s="228" t="str">
        <f t="shared" si="69"/>
        <v/>
      </c>
      <c r="D793" s="212" t="str">
        <f t="shared" si="67"/>
        <v/>
      </c>
      <c r="E793" s="212" t="str">
        <f t="shared" ca="1" si="70"/>
        <v/>
      </c>
      <c r="F793" s="212" t="str">
        <f t="shared" ca="1" si="70"/>
        <v/>
      </c>
      <c r="G793" s="212" t="str">
        <f t="shared" ca="1" si="70"/>
        <v/>
      </c>
      <c r="H793" s="212" t="str">
        <f t="shared" ca="1" si="68"/>
        <v/>
      </c>
      <c r="I793" s="212" t="str">
        <f t="shared" ca="1" si="68"/>
        <v/>
      </c>
      <c r="J793" s="212" t="str">
        <f t="shared" ca="1" si="68"/>
        <v/>
      </c>
    </row>
    <row r="794" spans="2:10" x14ac:dyDescent="0.15">
      <c r="B794" s="213" t="str">
        <f t="shared" si="71"/>
        <v/>
      </c>
      <c r="C794" s="228" t="str">
        <f t="shared" si="69"/>
        <v/>
      </c>
      <c r="D794" s="212" t="str">
        <f t="shared" ref="D794:D857" si="72">IF(B794="","",IF(B795="",SUMIFS(Amount,Timestamp,"&gt;="&amp;B794),SUMIFS(Amount,Timestamp,"&gt;="&amp;B794,Timestamp,"&lt;"&amp;B795)))</f>
        <v/>
      </c>
      <c r="E794" s="212" t="str">
        <f t="shared" ca="1" si="70"/>
        <v/>
      </c>
      <c r="F794" s="212" t="str">
        <f t="shared" ca="1" si="70"/>
        <v/>
      </c>
      <c r="G794" s="212" t="str">
        <f t="shared" ca="1" si="70"/>
        <v/>
      </c>
      <c r="H794" s="212" t="str">
        <f t="shared" ca="1" si="70"/>
        <v/>
      </c>
      <c r="I794" s="212" t="str">
        <f t="shared" ca="1" si="70"/>
        <v/>
      </c>
      <c r="J794" s="212" t="str">
        <f t="shared" ca="1" si="70"/>
        <v/>
      </c>
    </row>
    <row r="795" spans="2:10" x14ac:dyDescent="0.15">
      <c r="B795" s="213" t="str">
        <f t="shared" si="71"/>
        <v/>
      </c>
      <c r="C795" s="228" t="str">
        <f t="shared" ref="C795:C858" si="73">IF(B795="","",TEXT(B795,"dddd"))</f>
        <v/>
      </c>
      <c r="D795" s="212" t="str">
        <f t="shared" si="72"/>
        <v/>
      </c>
      <c r="E795" s="212" t="str">
        <f t="shared" ref="E795:H858" ca="1" si="74">IF($B795="","",IF($B795+E$24-1&gt;$E$5,"",SUM(OFFSET($D795,0,0,E$24,1))))</f>
        <v/>
      </c>
      <c r="F795" s="212" t="str">
        <f t="shared" ca="1" si="74"/>
        <v/>
      </c>
      <c r="G795" s="212" t="str">
        <f t="shared" ca="1" si="74"/>
        <v/>
      </c>
      <c r="H795" s="212" t="str">
        <f t="shared" ca="1" si="74"/>
        <v/>
      </c>
      <c r="I795" s="212" t="str">
        <f t="shared" ref="I795:J858" ca="1" si="75">IF($B795="","",IF($B795+I$24-1&gt;$E$5,"",SUM(OFFSET($D795,0,0,I$24,1))))</f>
        <v/>
      </c>
      <c r="J795" s="212" t="str">
        <f t="shared" ca="1" si="75"/>
        <v/>
      </c>
    </row>
    <row r="796" spans="2:10" x14ac:dyDescent="0.15">
      <c r="B796" s="213" t="str">
        <f t="shared" si="71"/>
        <v/>
      </c>
      <c r="C796" s="228" t="str">
        <f t="shared" si="73"/>
        <v/>
      </c>
      <c r="D796" s="212" t="str">
        <f t="shared" si="72"/>
        <v/>
      </c>
      <c r="E796" s="212" t="str">
        <f t="shared" ca="1" si="74"/>
        <v/>
      </c>
      <c r="F796" s="212" t="str">
        <f t="shared" ca="1" si="74"/>
        <v/>
      </c>
      <c r="G796" s="212" t="str">
        <f t="shared" ca="1" si="74"/>
        <v/>
      </c>
      <c r="H796" s="212" t="str">
        <f t="shared" ca="1" si="74"/>
        <v/>
      </c>
      <c r="I796" s="212" t="str">
        <f t="shared" ca="1" si="75"/>
        <v/>
      </c>
      <c r="J796" s="212" t="str">
        <f t="shared" ca="1" si="75"/>
        <v/>
      </c>
    </row>
    <row r="797" spans="2:10" x14ac:dyDescent="0.15">
      <c r="B797" s="213" t="str">
        <f t="shared" si="71"/>
        <v/>
      </c>
      <c r="C797" s="228" t="str">
        <f t="shared" si="73"/>
        <v/>
      </c>
      <c r="D797" s="212" t="str">
        <f t="shared" si="72"/>
        <v/>
      </c>
      <c r="E797" s="212" t="str">
        <f t="shared" ca="1" si="74"/>
        <v/>
      </c>
      <c r="F797" s="212" t="str">
        <f t="shared" ca="1" si="74"/>
        <v/>
      </c>
      <c r="G797" s="212" t="str">
        <f t="shared" ca="1" si="74"/>
        <v/>
      </c>
      <c r="H797" s="212" t="str">
        <f t="shared" ca="1" si="74"/>
        <v/>
      </c>
      <c r="I797" s="212" t="str">
        <f t="shared" ca="1" si="75"/>
        <v/>
      </c>
      <c r="J797" s="212" t="str">
        <f t="shared" ca="1" si="75"/>
        <v/>
      </c>
    </row>
    <row r="798" spans="2:10" x14ac:dyDescent="0.15">
      <c r="B798" s="213" t="str">
        <f t="shared" si="71"/>
        <v/>
      </c>
      <c r="C798" s="228" t="str">
        <f t="shared" si="73"/>
        <v/>
      </c>
      <c r="D798" s="212" t="str">
        <f t="shared" si="72"/>
        <v/>
      </c>
      <c r="E798" s="212" t="str">
        <f t="shared" ca="1" si="74"/>
        <v/>
      </c>
      <c r="F798" s="212" t="str">
        <f t="shared" ca="1" si="74"/>
        <v/>
      </c>
      <c r="G798" s="212" t="str">
        <f t="shared" ca="1" si="74"/>
        <v/>
      </c>
      <c r="H798" s="212" t="str">
        <f t="shared" ca="1" si="74"/>
        <v/>
      </c>
      <c r="I798" s="212" t="str">
        <f t="shared" ca="1" si="75"/>
        <v/>
      </c>
      <c r="J798" s="212" t="str">
        <f t="shared" ca="1" si="75"/>
        <v/>
      </c>
    </row>
    <row r="799" spans="2:10" x14ac:dyDescent="0.15">
      <c r="B799" s="213" t="str">
        <f t="shared" si="71"/>
        <v/>
      </c>
      <c r="C799" s="228" t="str">
        <f t="shared" si="73"/>
        <v/>
      </c>
      <c r="D799" s="212" t="str">
        <f t="shared" si="72"/>
        <v/>
      </c>
      <c r="E799" s="212" t="str">
        <f t="shared" ca="1" si="74"/>
        <v/>
      </c>
      <c r="F799" s="212" t="str">
        <f t="shared" ca="1" si="74"/>
        <v/>
      </c>
      <c r="G799" s="212" t="str">
        <f t="shared" ca="1" si="74"/>
        <v/>
      </c>
      <c r="H799" s="212" t="str">
        <f t="shared" ca="1" si="74"/>
        <v/>
      </c>
      <c r="I799" s="212" t="str">
        <f t="shared" ca="1" si="75"/>
        <v/>
      </c>
      <c r="J799" s="212" t="str">
        <f t="shared" ca="1" si="75"/>
        <v/>
      </c>
    </row>
    <row r="800" spans="2:10" x14ac:dyDescent="0.15">
      <c r="B800" s="213" t="str">
        <f t="shared" si="71"/>
        <v/>
      </c>
      <c r="C800" s="228" t="str">
        <f t="shared" si="73"/>
        <v/>
      </c>
      <c r="D800" s="212" t="str">
        <f t="shared" si="72"/>
        <v/>
      </c>
      <c r="E800" s="212" t="str">
        <f t="shared" ca="1" si="74"/>
        <v/>
      </c>
      <c r="F800" s="212" t="str">
        <f t="shared" ca="1" si="74"/>
        <v/>
      </c>
      <c r="G800" s="212" t="str">
        <f t="shared" ca="1" si="74"/>
        <v/>
      </c>
      <c r="H800" s="212" t="str">
        <f t="shared" ca="1" si="74"/>
        <v/>
      </c>
      <c r="I800" s="212" t="str">
        <f t="shared" ca="1" si="75"/>
        <v/>
      </c>
      <c r="J800" s="212" t="str">
        <f t="shared" ca="1" si="75"/>
        <v/>
      </c>
    </row>
    <row r="801" spans="2:10" x14ac:dyDescent="0.15">
      <c r="B801" s="213" t="str">
        <f t="shared" si="71"/>
        <v/>
      </c>
      <c r="C801" s="228" t="str">
        <f t="shared" si="73"/>
        <v/>
      </c>
      <c r="D801" s="212" t="str">
        <f t="shared" si="72"/>
        <v/>
      </c>
      <c r="E801" s="212" t="str">
        <f t="shared" ca="1" si="74"/>
        <v/>
      </c>
      <c r="F801" s="212" t="str">
        <f t="shared" ca="1" si="74"/>
        <v/>
      </c>
      <c r="G801" s="212" t="str">
        <f t="shared" ca="1" si="74"/>
        <v/>
      </c>
      <c r="H801" s="212" t="str">
        <f t="shared" ca="1" si="74"/>
        <v/>
      </c>
      <c r="I801" s="212" t="str">
        <f t="shared" ca="1" si="75"/>
        <v/>
      </c>
      <c r="J801" s="212" t="str">
        <f t="shared" ca="1" si="75"/>
        <v/>
      </c>
    </row>
    <row r="802" spans="2:10" x14ac:dyDescent="0.15">
      <c r="B802" s="213" t="str">
        <f t="shared" si="71"/>
        <v/>
      </c>
      <c r="C802" s="228" t="str">
        <f t="shared" si="73"/>
        <v/>
      </c>
      <c r="D802" s="212" t="str">
        <f t="shared" si="72"/>
        <v/>
      </c>
      <c r="E802" s="212" t="str">
        <f t="shared" ca="1" si="74"/>
        <v/>
      </c>
      <c r="F802" s="212" t="str">
        <f t="shared" ca="1" si="74"/>
        <v/>
      </c>
      <c r="G802" s="212" t="str">
        <f t="shared" ca="1" si="74"/>
        <v/>
      </c>
      <c r="H802" s="212" t="str">
        <f t="shared" ca="1" si="74"/>
        <v/>
      </c>
      <c r="I802" s="212" t="str">
        <f t="shared" ca="1" si="75"/>
        <v/>
      </c>
      <c r="J802" s="212" t="str">
        <f t="shared" ca="1" si="75"/>
        <v/>
      </c>
    </row>
    <row r="803" spans="2:10" x14ac:dyDescent="0.15">
      <c r="B803" s="213" t="str">
        <f t="shared" ref="B803:B866" si="76">IF(B802="","",IF(B802&gt;=$E$5,"",B802+1))</f>
        <v/>
      </c>
      <c r="C803" s="228" t="str">
        <f t="shared" si="73"/>
        <v/>
      </c>
      <c r="D803" s="212" t="str">
        <f t="shared" si="72"/>
        <v/>
      </c>
      <c r="E803" s="212" t="str">
        <f t="shared" ca="1" si="74"/>
        <v/>
      </c>
      <c r="F803" s="212" t="str">
        <f t="shared" ca="1" si="74"/>
        <v/>
      </c>
      <c r="G803" s="212" t="str">
        <f t="shared" ca="1" si="74"/>
        <v/>
      </c>
      <c r="H803" s="212" t="str">
        <f t="shared" ca="1" si="74"/>
        <v/>
      </c>
      <c r="I803" s="212" t="str">
        <f t="shared" ca="1" si="75"/>
        <v/>
      </c>
      <c r="J803" s="212" t="str">
        <f t="shared" ca="1" si="75"/>
        <v/>
      </c>
    </row>
    <row r="804" spans="2:10" x14ac:dyDescent="0.15">
      <c r="B804" s="213" t="str">
        <f t="shared" si="76"/>
        <v/>
      </c>
      <c r="C804" s="228" t="str">
        <f t="shared" si="73"/>
        <v/>
      </c>
      <c r="D804" s="212" t="str">
        <f t="shared" si="72"/>
        <v/>
      </c>
      <c r="E804" s="212" t="str">
        <f t="shared" ca="1" si="74"/>
        <v/>
      </c>
      <c r="F804" s="212" t="str">
        <f t="shared" ca="1" si="74"/>
        <v/>
      </c>
      <c r="G804" s="212" t="str">
        <f t="shared" ca="1" si="74"/>
        <v/>
      </c>
      <c r="H804" s="212" t="str">
        <f t="shared" ca="1" si="74"/>
        <v/>
      </c>
      <c r="I804" s="212" t="str">
        <f t="shared" ca="1" si="75"/>
        <v/>
      </c>
      <c r="J804" s="212" t="str">
        <f t="shared" ca="1" si="75"/>
        <v/>
      </c>
    </row>
    <row r="805" spans="2:10" x14ac:dyDescent="0.15">
      <c r="B805" s="213" t="str">
        <f t="shared" si="76"/>
        <v/>
      </c>
      <c r="C805" s="228" t="str">
        <f t="shared" si="73"/>
        <v/>
      </c>
      <c r="D805" s="212" t="str">
        <f t="shared" si="72"/>
        <v/>
      </c>
      <c r="E805" s="212" t="str">
        <f t="shared" ca="1" si="74"/>
        <v/>
      </c>
      <c r="F805" s="212" t="str">
        <f t="shared" ca="1" si="74"/>
        <v/>
      </c>
      <c r="G805" s="212" t="str">
        <f t="shared" ca="1" si="74"/>
        <v/>
      </c>
      <c r="H805" s="212" t="str">
        <f t="shared" ca="1" si="74"/>
        <v/>
      </c>
      <c r="I805" s="212" t="str">
        <f t="shared" ca="1" si="75"/>
        <v/>
      </c>
      <c r="J805" s="212" t="str">
        <f t="shared" ca="1" si="75"/>
        <v/>
      </c>
    </row>
    <row r="806" spans="2:10" x14ac:dyDescent="0.15">
      <c r="B806" s="213" t="str">
        <f t="shared" si="76"/>
        <v/>
      </c>
      <c r="C806" s="228" t="str">
        <f t="shared" si="73"/>
        <v/>
      </c>
      <c r="D806" s="212" t="str">
        <f t="shared" si="72"/>
        <v/>
      </c>
      <c r="E806" s="212" t="str">
        <f t="shared" ca="1" si="74"/>
        <v/>
      </c>
      <c r="F806" s="212" t="str">
        <f t="shared" ca="1" si="74"/>
        <v/>
      </c>
      <c r="G806" s="212" t="str">
        <f t="shared" ca="1" si="74"/>
        <v/>
      </c>
      <c r="H806" s="212" t="str">
        <f t="shared" ca="1" si="74"/>
        <v/>
      </c>
      <c r="I806" s="212" t="str">
        <f t="shared" ca="1" si="75"/>
        <v/>
      </c>
      <c r="J806" s="212" t="str">
        <f t="shared" ca="1" si="75"/>
        <v/>
      </c>
    </row>
    <row r="807" spans="2:10" x14ac:dyDescent="0.15">
      <c r="B807" s="213" t="str">
        <f t="shared" si="76"/>
        <v/>
      </c>
      <c r="C807" s="228" t="str">
        <f t="shared" si="73"/>
        <v/>
      </c>
      <c r="D807" s="212" t="str">
        <f t="shared" si="72"/>
        <v/>
      </c>
      <c r="E807" s="212" t="str">
        <f t="shared" ca="1" si="74"/>
        <v/>
      </c>
      <c r="F807" s="212" t="str">
        <f t="shared" ca="1" si="74"/>
        <v/>
      </c>
      <c r="G807" s="212" t="str">
        <f t="shared" ca="1" si="74"/>
        <v/>
      </c>
      <c r="H807" s="212" t="str">
        <f t="shared" ca="1" si="74"/>
        <v/>
      </c>
      <c r="I807" s="212" t="str">
        <f t="shared" ca="1" si="75"/>
        <v/>
      </c>
      <c r="J807" s="212" t="str">
        <f t="shared" ca="1" si="75"/>
        <v/>
      </c>
    </row>
    <row r="808" spans="2:10" x14ac:dyDescent="0.15">
      <c r="B808" s="213" t="str">
        <f t="shared" si="76"/>
        <v/>
      </c>
      <c r="C808" s="228" t="str">
        <f t="shared" si="73"/>
        <v/>
      </c>
      <c r="D808" s="212" t="str">
        <f t="shared" si="72"/>
        <v/>
      </c>
      <c r="E808" s="212" t="str">
        <f t="shared" ca="1" si="74"/>
        <v/>
      </c>
      <c r="F808" s="212" t="str">
        <f t="shared" ca="1" si="74"/>
        <v/>
      </c>
      <c r="G808" s="212" t="str">
        <f t="shared" ca="1" si="74"/>
        <v/>
      </c>
      <c r="H808" s="212" t="str">
        <f t="shared" ca="1" si="74"/>
        <v/>
      </c>
      <c r="I808" s="212" t="str">
        <f t="shared" ca="1" si="75"/>
        <v/>
      </c>
      <c r="J808" s="212" t="str">
        <f t="shared" ca="1" si="75"/>
        <v/>
      </c>
    </row>
    <row r="809" spans="2:10" x14ac:dyDescent="0.15">
      <c r="B809" s="213" t="str">
        <f t="shared" si="76"/>
        <v/>
      </c>
      <c r="C809" s="228" t="str">
        <f t="shared" si="73"/>
        <v/>
      </c>
      <c r="D809" s="212" t="str">
        <f t="shared" si="72"/>
        <v/>
      </c>
      <c r="E809" s="212" t="str">
        <f t="shared" ca="1" si="74"/>
        <v/>
      </c>
      <c r="F809" s="212" t="str">
        <f t="shared" ca="1" si="74"/>
        <v/>
      </c>
      <c r="G809" s="212" t="str">
        <f t="shared" ca="1" si="74"/>
        <v/>
      </c>
      <c r="H809" s="212" t="str">
        <f t="shared" ca="1" si="74"/>
        <v/>
      </c>
      <c r="I809" s="212" t="str">
        <f t="shared" ca="1" si="75"/>
        <v/>
      </c>
      <c r="J809" s="212" t="str">
        <f t="shared" ca="1" si="75"/>
        <v/>
      </c>
    </row>
    <row r="810" spans="2:10" x14ac:dyDescent="0.15">
      <c r="B810" s="213" t="str">
        <f t="shared" si="76"/>
        <v/>
      </c>
      <c r="C810" s="228" t="str">
        <f t="shared" si="73"/>
        <v/>
      </c>
      <c r="D810" s="212" t="str">
        <f t="shared" si="72"/>
        <v/>
      </c>
      <c r="E810" s="212" t="str">
        <f t="shared" ca="1" si="74"/>
        <v/>
      </c>
      <c r="F810" s="212" t="str">
        <f t="shared" ca="1" si="74"/>
        <v/>
      </c>
      <c r="G810" s="212" t="str">
        <f t="shared" ca="1" si="74"/>
        <v/>
      </c>
      <c r="H810" s="212" t="str">
        <f t="shared" ca="1" si="74"/>
        <v/>
      </c>
      <c r="I810" s="212" t="str">
        <f t="shared" ca="1" si="75"/>
        <v/>
      </c>
      <c r="J810" s="212" t="str">
        <f t="shared" ca="1" si="75"/>
        <v/>
      </c>
    </row>
    <row r="811" spans="2:10" x14ac:dyDescent="0.15">
      <c r="B811" s="213" t="str">
        <f t="shared" si="76"/>
        <v/>
      </c>
      <c r="C811" s="228" t="str">
        <f t="shared" si="73"/>
        <v/>
      </c>
      <c r="D811" s="212" t="str">
        <f t="shared" si="72"/>
        <v/>
      </c>
      <c r="E811" s="212" t="str">
        <f t="shared" ca="1" si="74"/>
        <v/>
      </c>
      <c r="F811" s="212" t="str">
        <f t="shared" ca="1" si="74"/>
        <v/>
      </c>
      <c r="G811" s="212" t="str">
        <f t="shared" ca="1" si="74"/>
        <v/>
      </c>
      <c r="H811" s="212" t="str">
        <f t="shared" ca="1" si="74"/>
        <v/>
      </c>
      <c r="I811" s="212" t="str">
        <f t="shared" ca="1" si="75"/>
        <v/>
      </c>
      <c r="J811" s="212" t="str">
        <f t="shared" ca="1" si="75"/>
        <v/>
      </c>
    </row>
    <row r="812" spans="2:10" x14ac:dyDescent="0.15">
      <c r="B812" s="213" t="str">
        <f t="shared" si="76"/>
        <v/>
      </c>
      <c r="C812" s="228" t="str">
        <f t="shared" si="73"/>
        <v/>
      </c>
      <c r="D812" s="212" t="str">
        <f t="shared" si="72"/>
        <v/>
      </c>
      <c r="E812" s="212" t="str">
        <f t="shared" ca="1" si="74"/>
        <v/>
      </c>
      <c r="F812" s="212" t="str">
        <f t="shared" ca="1" si="74"/>
        <v/>
      </c>
      <c r="G812" s="212" t="str">
        <f t="shared" ca="1" si="74"/>
        <v/>
      </c>
      <c r="H812" s="212" t="str">
        <f t="shared" ca="1" si="74"/>
        <v/>
      </c>
      <c r="I812" s="212" t="str">
        <f t="shared" ca="1" si="75"/>
        <v/>
      </c>
      <c r="J812" s="212" t="str">
        <f t="shared" ca="1" si="75"/>
        <v/>
      </c>
    </row>
    <row r="813" spans="2:10" x14ac:dyDescent="0.15">
      <c r="B813" s="213" t="str">
        <f t="shared" si="76"/>
        <v/>
      </c>
      <c r="C813" s="228" t="str">
        <f t="shared" si="73"/>
        <v/>
      </c>
      <c r="D813" s="212" t="str">
        <f t="shared" si="72"/>
        <v/>
      </c>
      <c r="E813" s="212" t="str">
        <f t="shared" ca="1" si="74"/>
        <v/>
      </c>
      <c r="F813" s="212" t="str">
        <f t="shared" ca="1" si="74"/>
        <v/>
      </c>
      <c r="G813" s="212" t="str">
        <f t="shared" ca="1" si="74"/>
        <v/>
      </c>
      <c r="H813" s="212" t="str">
        <f t="shared" ca="1" si="74"/>
        <v/>
      </c>
      <c r="I813" s="212" t="str">
        <f t="shared" ca="1" si="75"/>
        <v/>
      </c>
      <c r="J813" s="212" t="str">
        <f t="shared" ca="1" si="75"/>
        <v/>
      </c>
    </row>
    <row r="814" spans="2:10" x14ac:dyDescent="0.15">
      <c r="B814" s="213" t="str">
        <f t="shared" si="76"/>
        <v/>
      </c>
      <c r="C814" s="228" t="str">
        <f t="shared" si="73"/>
        <v/>
      </c>
      <c r="D814" s="212" t="str">
        <f t="shared" si="72"/>
        <v/>
      </c>
      <c r="E814" s="212" t="str">
        <f t="shared" ca="1" si="74"/>
        <v/>
      </c>
      <c r="F814" s="212" t="str">
        <f t="shared" ca="1" si="74"/>
        <v/>
      </c>
      <c r="G814" s="212" t="str">
        <f t="shared" ca="1" si="74"/>
        <v/>
      </c>
      <c r="H814" s="212" t="str">
        <f t="shared" ca="1" si="74"/>
        <v/>
      </c>
      <c r="I814" s="212" t="str">
        <f t="shared" ca="1" si="75"/>
        <v/>
      </c>
      <c r="J814" s="212" t="str">
        <f t="shared" ca="1" si="75"/>
        <v/>
      </c>
    </row>
    <row r="815" spans="2:10" x14ac:dyDescent="0.15">
      <c r="B815" s="213" t="str">
        <f t="shared" si="76"/>
        <v/>
      </c>
      <c r="C815" s="228" t="str">
        <f t="shared" si="73"/>
        <v/>
      </c>
      <c r="D815" s="212" t="str">
        <f t="shared" si="72"/>
        <v/>
      </c>
      <c r="E815" s="212" t="str">
        <f t="shared" ca="1" si="74"/>
        <v/>
      </c>
      <c r="F815" s="212" t="str">
        <f t="shared" ca="1" si="74"/>
        <v/>
      </c>
      <c r="G815" s="212" t="str">
        <f t="shared" ca="1" si="74"/>
        <v/>
      </c>
      <c r="H815" s="212" t="str">
        <f t="shared" ca="1" si="74"/>
        <v/>
      </c>
      <c r="I815" s="212" t="str">
        <f t="shared" ca="1" si="75"/>
        <v/>
      </c>
      <c r="J815" s="212" t="str">
        <f t="shared" ca="1" si="75"/>
        <v/>
      </c>
    </row>
    <row r="816" spans="2:10" x14ac:dyDescent="0.15">
      <c r="B816" s="213" t="str">
        <f t="shared" si="76"/>
        <v/>
      </c>
      <c r="C816" s="228" t="str">
        <f t="shared" si="73"/>
        <v/>
      </c>
      <c r="D816" s="212" t="str">
        <f t="shared" si="72"/>
        <v/>
      </c>
      <c r="E816" s="212" t="str">
        <f t="shared" ca="1" si="74"/>
        <v/>
      </c>
      <c r="F816" s="212" t="str">
        <f t="shared" ca="1" si="74"/>
        <v/>
      </c>
      <c r="G816" s="212" t="str">
        <f t="shared" ca="1" si="74"/>
        <v/>
      </c>
      <c r="H816" s="212" t="str">
        <f t="shared" ca="1" si="74"/>
        <v/>
      </c>
      <c r="I816" s="212" t="str">
        <f t="shared" ca="1" si="75"/>
        <v/>
      </c>
      <c r="J816" s="212" t="str">
        <f t="shared" ca="1" si="75"/>
        <v/>
      </c>
    </row>
    <row r="817" spans="2:10" x14ac:dyDescent="0.15">
      <c r="B817" s="213" t="str">
        <f t="shared" si="76"/>
        <v/>
      </c>
      <c r="C817" s="228" t="str">
        <f t="shared" si="73"/>
        <v/>
      </c>
      <c r="D817" s="212" t="str">
        <f t="shared" si="72"/>
        <v/>
      </c>
      <c r="E817" s="212" t="str">
        <f t="shared" ca="1" si="74"/>
        <v/>
      </c>
      <c r="F817" s="212" t="str">
        <f t="shared" ca="1" si="74"/>
        <v/>
      </c>
      <c r="G817" s="212" t="str">
        <f t="shared" ca="1" si="74"/>
        <v/>
      </c>
      <c r="H817" s="212" t="str">
        <f t="shared" ca="1" si="74"/>
        <v/>
      </c>
      <c r="I817" s="212" t="str">
        <f t="shared" ca="1" si="75"/>
        <v/>
      </c>
      <c r="J817" s="212" t="str">
        <f t="shared" ca="1" si="75"/>
        <v/>
      </c>
    </row>
    <row r="818" spans="2:10" x14ac:dyDescent="0.15">
      <c r="B818" s="213" t="str">
        <f t="shared" si="76"/>
        <v/>
      </c>
      <c r="C818" s="228" t="str">
        <f t="shared" si="73"/>
        <v/>
      </c>
      <c r="D818" s="212" t="str">
        <f t="shared" si="72"/>
        <v/>
      </c>
      <c r="E818" s="212" t="str">
        <f t="shared" ca="1" si="74"/>
        <v/>
      </c>
      <c r="F818" s="212" t="str">
        <f t="shared" ca="1" si="74"/>
        <v/>
      </c>
      <c r="G818" s="212" t="str">
        <f t="shared" ca="1" si="74"/>
        <v/>
      </c>
      <c r="H818" s="212" t="str">
        <f t="shared" ca="1" si="74"/>
        <v/>
      </c>
      <c r="I818" s="212" t="str">
        <f t="shared" ca="1" si="75"/>
        <v/>
      </c>
      <c r="J818" s="212" t="str">
        <f t="shared" ca="1" si="75"/>
        <v/>
      </c>
    </row>
    <row r="819" spans="2:10" x14ac:dyDescent="0.15">
      <c r="B819" s="213" t="str">
        <f t="shared" si="76"/>
        <v/>
      </c>
      <c r="C819" s="228" t="str">
        <f t="shared" si="73"/>
        <v/>
      </c>
      <c r="D819" s="212" t="str">
        <f t="shared" si="72"/>
        <v/>
      </c>
      <c r="E819" s="212" t="str">
        <f t="shared" ca="1" si="74"/>
        <v/>
      </c>
      <c r="F819" s="212" t="str">
        <f t="shared" ca="1" si="74"/>
        <v/>
      </c>
      <c r="G819" s="212" t="str">
        <f t="shared" ca="1" si="74"/>
        <v/>
      </c>
      <c r="H819" s="212" t="str">
        <f t="shared" ca="1" si="74"/>
        <v/>
      </c>
      <c r="I819" s="212" t="str">
        <f t="shared" ca="1" si="75"/>
        <v/>
      </c>
      <c r="J819" s="212" t="str">
        <f t="shared" ca="1" si="75"/>
        <v/>
      </c>
    </row>
    <row r="820" spans="2:10" x14ac:dyDescent="0.15">
      <c r="B820" s="213" t="str">
        <f t="shared" si="76"/>
        <v/>
      </c>
      <c r="C820" s="228" t="str">
        <f t="shared" si="73"/>
        <v/>
      </c>
      <c r="D820" s="212" t="str">
        <f t="shared" si="72"/>
        <v/>
      </c>
      <c r="E820" s="212" t="str">
        <f t="shared" ca="1" si="74"/>
        <v/>
      </c>
      <c r="F820" s="212" t="str">
        <f t="shared" ca="1" si="74"/>
        <v/>
      </c>
      <c r="G820" s="212" t="str">
        <f t="shared" ca="1" si="74"/>
        <v/>
      </c>
      <c r="H820" s="212" t="str">
        <f t="shared" ca="1" si="74"/>
        <v/>
      </c>
      <c r="I820" s="212" t="str">
        <f t="shared" ca="1" si="75"/>
        <v/>
      </c>
      <c r="J820" s="212" t="str">
        <f t="shared" ca="1" si="75"/>
        <v/>
      </c>
    </row>
    <row r="821" spans="2:10" x14ac:dyDescent="0.15">
      <c r="B821" s="213" t="str">
        <f t="shared" si="76"/>
        <v/>
      </c>
      <c r="C821" s="228" t="str">
        <f t="shared" si="73"/>
        <v/>
      </c>
      <c r="D821" s="212" t="str">
        <f t="shared" si="72"/>
        <v/>
      </c>
      <c r="E821" s="212" t="str">
        <f t="shared" ca="1" si="74"/>
        <v/>
      </c>
      <c r="F821" s="212" t="str">
        <f t="shared" ca="1" si="74"/>
        <v/>
      </c>
      <c r="G821" s="212" t="str">
        <f t="shared" ca="1" si="74"/>
        <v/>
      </c>
      <c r="H821" s="212" t="str">
        <f t="shared" ca="1" si="74"/>
        <v/>
      </c>
      <c r="I821" s="212" t="str">
        <f t="shared" ca="1" si="75"/>
        <v/>
      </c>
      <c r="J821" s="212" t="str">
        <f t="shared" ca="1" si="75"/>
        <v/>
      </c>
    </row>
    <row r="822" spans="2:10" x14ac:dyDescent="0.15">
      <c r="B822" s="213" t="str">
        <f t="shared" si="76"/>
        <v/>
      </c>
      <c r="C822" s="228" t="str">
        <f t="shared" si="73"/>
        <v/>
      </c>
      <c r="D822" s="212" t="str">
        <f t="shared" si="72"/>
        <v/>
      </c>
      <c r="E822" s="212" t="str">
        <f t="shared" ca="1" si="74"/>
        <v/>
      </c>
      <c r="F822" s="212" t="str">
        <f t="shared" ca="1" si="74"/>
        <v/>
      </c>
      <c r="G822" s="212" t="str">
        <f t="shared" ca="1" si="74"/>
        <v/>
      </c>
      <c r="H822" s="212" t="str">
        <f t="shared" ca="1" si="74"/>
        <v/>
      </c>
      <c r="I822" s="212" t="str">
        <f t="shared" ca="1" si="75"/>
        <v/>
      </c>
      <c r="J822" s="212" t="str">
        <f t="shared" ca="1" si="75"/>
        <v/>
      </c>
    </row>
    <row r="823" spans="2:10" x14ac:dyDescent="0.15">
      <c r="B823" s="213" t="str">
        <f t="shared" si="76"/>
        <v/>
      </c>
      <c r="C823" s="228" t="str">
        <f t="shared" si="73"/>
        <v/>
      </c>
      <c r="D823" s="212" t="str">
        <f t="shared" si="72"/>
        <v/>
      </c>
      <c r="E823" s="212" t="str">
        <f t="shared" ca="1" si="74"/>
        <v/>
      </c>
      <c r="F823" s="212" t="str">
        <f t="shared" ca="1" si="74"/>
        <v/>
      </c>
      <c r="G823" s="212" t="str">
        <f t="shared" ca="1" si="74"/>
        <v/>
      </c>
      <c r="H823" s="212" t="str">
        <f t="shared" ca="1" si="74"/>
        <v/>
      </c>
      <c r="I823" s="212" t="str">
        <f t="shared" ca="1" si="75"/>
        <v/>
      </c>
      <c r="J823" s="212" t="str">
        <f t="shared" ca="1" si="75"/>
        <v/>
      </c>
    </row>
    <row r="824" spans="2:10" x14ac:dyDescent="0.15">
      <c r="B824" s="213" t="str">
        <f t="shared" si="76"/>
        <v/>
      </c>
      <c r="C824" s="228" t="str">
        <f t="shared" si="73"/>
        <v/>
      </c>
      <c r="D824" s="212" t="str">
        <f t="shared" si="72"/>
        <v/>
      </c>
      <c r="E824" s="212" t="str">
        <f t="shared" ca="1" si="74"/>
        <v/>
      </c>
      <c r="F824" s="212" t="str">
        <f t="shared" ca="1" si="74"/>
        <v/>
      </c>
      <c r="G824" s="212" t="str">
        <f t="shared" ca="1" si="74"/>
        <v/>
      </c>
      <c r="H824" s="212" t="str">
        <f t="shared" ca="1" si="74"/>
        <v/>
      </c>
      <c r="I824" s="212" t="str">
        <f t="shared" ca="1" si="75"/>
        <v/>
      </c>
      <c r="J824" s="212" t="str">
        <f t="shared" ca="1" si="75"/>
        <v/>
      </c>
    </row>
    <row r="825" spans="2:10" x14ac:dyDescent="0.15">
      <c r="B825" s="213" t="str">
        <f t="shared" si="76"/>
        <v/>
      </c>
      <c r="C825" s="228" t="str">
        <f t="shared" si="73"/>
        <v/>
      </c>
      <c r="D825" s="212" t="str">
        <f t="shared" si="72"/>
        <v/>
      </c>
      <c r="E825" s="212" t="str">
        <f t="shared" ca="1" si="74"/>
        <v/>
      </c>
      <c r="F825" s="212" t="str">
        <f t="shared" ca="1" si="74"/>
        <v/>
      </c>
      <c r="G825" s="212" t="str">
        <f t="shared" ca="1" si="74"/>
        <v/>
      </c>
      <c r="H825" s="212" t="str">
        <f t="shared" ca="1" si="74"/>
        <v/>
      </c>
      <c r="I825" s="212" t="str">
        <f t="shared" ca="1" si="75"/>
        <v/>
      </c>
      <c r="J825" s="212" t="str">
        <f t="shared" ca="1" si="75"/>
        <v/>
      </c>
    </row>
    <row r="826" spans="2:10" x14ac:dyDescent="0.15">
      <c r="B826" s="213" t="str">
        <f t="shared" si="76"/>
        <v/>
      </c>
      <c r="C826" s="228" t="str">
        <f t="shared" si="73"/>
        <v/>
      </c>
      <c r="D826" s="212" t="str">
        <f t="shared" si="72"/>
        <v/>
      </c>
      <c r="E826" s="212" t="str">
        <f t="shared" ca="1" si="74"/>
        <v/>
      </c>
      <c r="F826" s="212" t="str">
        <f t="shared" ca="1" si="74"/>
        <v/>
      </c>
      <c r="G826" s="212" t="str">
        <f t="shared" ca="1" si="74"/>
        <v/>
      </c>
      <c r="H826" s="212" t="str">
        <f t="shared" ca="1" si="74"/>
        <v/>
      </c>
      <c r="I826" s="212" t="str">
        <f t="shared" ca="1" si="75"/>
        <v/>
      </c>
      <c r="J826" s="212" t="str">
        <f t="shared" ca="1" si="75"/>
        <v/>
      </c>
    </row>
    <row r="827" spans="2:10" x14ac:dyDescent="0.15">
      <c r="B827" s="213" t="str">
        <f t="shared" si="76"/>
        <v/>
      </c>
      <c r="C827" s="228" t="str">
        <f t="shared" si="73"/>
        <v/>
      </c>
      <c r="D827" s="212" t="str">
        <f t="shared" si="72"/>
        <v/>
      </c>
      <c r="E827" s="212" t="str">
        <f t="shared" ca="1" si="74"/>
        <v/>
      </c>
      <c r="F827" s="212" t="str">
        <f t="shared" ca="1" si="74"/>
        <v/>
      </c>
      <c r="G827" s="212" t="str">
        <f t="shared" ca="1" si="74"/>
        <v/>
      </c>
      <c r="H827" s="212" t="str">
        <f t="shared" ca="1" si="74"/>
        <v/>
      </c>
      <c r="I827" s="212" t="str">
        <f t="shared" ca="1" si="75"/>
        <v/>
      </c>
      <c r="J827" s="212" t="str">
        <f t="shared" ca="1" si="75"/>
        <v/>
      </c>
    </row>
    <row r="828" spans="2:10" x14ac:dyDescent="0.15">
      <c r="B828" s="213" t="str">
        <f t="shared" si="76"/>
        <v/>
      </c>
      <c r="C828" s="228" t="str">
        <f t="shared" si="73"/>
        <v/>
      </c>
      <c r="D828" s="212" t="str">
        <f t="shared" si="72"/>
        <v/>
      </c>
      <c r="E828" s="212" t="str">
        <f t="shared" ca="1" si="74"/>
        <v/>
      </c>
      <c r="F828" s="212" t="str">
        <f t="shared" ca="1" si="74"/>
        <v/>
      </c>
      <c r="G828" s="212" t="str">
        <f t="shared" ca="1" si="74"/>
        <v/>
      </c>
      <c r="H828" s="212" t="str">
        <f t="shared" ca="1" si="74"/>
        <v/>
      </c>
      <c r="I828" s="212" t="str">
        <f t="shared" ca="1" si="75"/>
        <v/>
      </c>
      <c r="J828" s="212" t="str">
        <f t="shared" ca="1" si="75"/>
        <v/>
      </c>
    </row>
    <row r="829" spans="2:10" x14ac:dyDescent="0.15">
      <c r="B829" s="213" t="str">
        <f t="shared" si="76"/>
        <v/>
      </c>
      <c r="C829" s="228" t="str">
        <f t="shared" si="73"/>
        <v/>
      </c>
      <c r="D829" s="212" t="str">
        <f t="shared" si="72"/>
        <v/>
      </c>
      <c r="E829" s="212" t="str">
        <f t="shared" ca="1" si="74"/>
        <v/>
      </c>
      <c r="F829" s="212" t="str">
        <f t="shared" ca="1" si="74"/>
        <v/>
      </c>
      <c r="G829" s="212" t="str">
        <f t="shared" ca="1" si="74"/>
        <v/>
      </c>
      <c r="H829" s="212" t="str">
        <f t="shared" ca="1" si="74"/>
        <v/>
      </c>
      <c r="I829" s="212" t="str">
        <f t="shared" ca="1" si="75"/>
        <v/>
      </c>
      <c r="J829" s="212" t="str">
        <f t="shared" ca="1" si="75"/>
        <v/>
      </c>
    </row>
    <row r="830" spans="2:10" x14ac:dyDescent="0.15">
      <c r="B830" s="213" t="str">
        <f t="shared" si="76"/>
        <v/>
      </c>
      <c r="C830" s="228" t="str">
        <f t="shared" si="73"/>
        <v/>
      </c>
      <c r="D830" s="212" t="str">
        <f t="shared" si="72"/>
        <v/>
      </c>
      <c r="E830" s="212" t="str">
        <f t="shared" ca="1" si="74"/>
        <v/>
      </c>
      <c r="F830" s="212" t="str">
        <f t="shared" ca="1" si="74"/>
        <v/>
      </c>
      <c r="G830" s="212" t="str">
        <f t="shared" ca="1" si="74"/>
        <v/>
      </c>
      <c r="H830" s="212" t="str">
        <f t="shared" ca="1" si="74"/>
        <v/>
      </c>
      <c r="I830" s="212" t="str">
        <f t="shared" ca="1" si="75"/>
        <v/>
      </c>
      <c r="J830" s="212" t="str">
        <f t="shared" ca="1" si="75"/>
        <v/>
      </c>
    </row>
    <row r="831" spans="2:10" x14ac:dyDescent="0.15">
      <c r="B831" s="213" t="str">
        <f t="shared" si="76"/>
        <v/>
      </c>
      <c r="C831" s="228" t="str">
        <f t="shared" si="73"/>
        <v/>
      </c>
      <c r="D831" s="212" t="str">
        <f t="shared" si="72"/>
        <v/>
      </c>
      <c r="E831" s="212" t="str">
        <f t="shared" ca="1" si="74"/>
        <v/>
      </c>
      <c r="F831" s="212" t="str">
        <f t="shared" ca="1" si="74"/>
        <v/>
      </c>
      <c r="G831" s="212" t="str">
        <f t="shared" ca="1" si="74"/>
        <v/>
      </c>
      <c r="H831" s="212" t="str">
        <f t="shared" ca="1" si="74"/>
        <v/>
      </c>
      <c r="I831" s="212" t="str">
        <f t="shared" ca="1" si="75"/>
        <v/>
      </c>
      <c r="J831" s="212" t="str">
        <f t="shared" ca="1" si="75"/>
        <v/>
      </c>
    </row>
    <row r="832" spans="2:10" x14ac:dyDescent="0.15">
      <c r="B832" s="213" t="str">
        <f t="shared" si="76"/>
        <v/>
      </c>
      <c r="C832" s="228" t="str">
        <f t="shared" si="73"/>
        <v/>
      </c>
      <c r="D832" s="212" t="str">
        <f t="shared" si="72"/>
        <v/>
      </c>
      <c r="E832" s="212" t="str">
        <f t="shared" ca="1" si="74"/>
        <v/>
      </c>
      <c r="F832" s="212" t="str">
        <f t="shared" ca="1" si="74"/>
        <v/>
      </c>
      <c r="G832" s="212" t="str">
        <f t="shared" ca="1" si="74"/>
        <v/>
      </c>
      <c r="H832" s="212" t="str">
        <f t="shared" ca="1" si="74"/>
        <v/>
      </c>
      <c r="I832" s="212" t="str">
        <f t="shared" ca="1" si="75"/>
        <v/>
      </c>
      <c r="J832" s="212" t="str">
        <f t="shared" ca="1" si="75"/>
        <v/>
      </c>
    </row>
    <row r="833" spans="2:10" x14ac:dyDescent="0.15">
      <c r="B833" s="213" t="str">
        <f t="shared" si="76"/>
        <v/>
      </c>
      <c r="C833" s="228" t="str">
        <f t="shared" si="73"/>
        <v/>
      </c>
      <c r="D833" s="212" t="str">
        <f t="shared" si="72"/>
        <v/>
      </c>
      <c r="E833" s="212" t="str">
        <f t="shared" ca="1" si="74"/>
        <v/>
      </c>
      <c r="F833" s="212" t="str">
        <f t="shared" ca="1" si="74"/>
        <v/>
      </c>
      <c r="G833" s="212" t="str">
        <f t="shared" ca="1" si="74"/>
        <v/>
      </c>
      <c r="H833" s="212" t="str">
        <f t="shared" ca="1" si="74"/>
        <v/>
      </c>
      <c r="I833" s="212" t="str">
        <f t="shared" ca="1" si="75"/>
        <v/>
      </c>
      <c r="J833" s="212" t="str">
        <f t="shared" ca="1" si="75"/>
        <v/>
      </c>
    </row>
    <row r="834" spans="2:10" x14ac:dyDescent="0.15">
      <c r="B834" s="213" t="str">
        <f t="shared" si="76"/>
        <v/>
      </c>
      <c r="C834" s="228" t="str">
        <f t="shared" si="73"/>
        <v/>
      </c>
      <c r="D834" s="212" t="str">
        <f t="shared" si="72"/>
        <v/>
      </c>
      <c r="E834" s="212" t="str">
        <f t="shared" ca="1" si="74"/>
        <v/>
      </c>
      <c r="F834" s="212" t="str">
        <f t="shared" ca="1" si="74"/>
        <v/>
      </c>
      <c r="G834" s="212" t="str">
        <f t="shared" ca="1" si="74"/>
        <v/>
      </c>
      <c r="H834" s="212" t="str">
        <f t="shared" ca="1" si="74"/>
        <v/>
      </c>
      <c r="I834" s="212" t="str">
        <f t="shared" ca="1" si="75"/>
        <v/>
      </c>
      <c r="J834" s="212" t="str">
        <f t="shared" ca="1" si="75"/>
        <v/>
      </c>
    </row>
    <row r="835" spans="2:10" x14ac:dyDescent="0.15">
      <c r="B835" s="213" t="str">
        <f t="shared" si="76"/>
        <v/>
      </c>
      <c r="C835" s="228" t="str">
        <f t="shared" si="73"/>
        <v/>
      </c>
      <c r="D835" s="212" t="str">
        <f t="shared" si="72"/>
        <v/>
      </c>
      <c r="E835" s="212" t="str">
        <f t="shared" ca="1" si="74"/>
        <v/>
      </c>
      <c r="F835" s="212" t="str">
        <f t="shared" ca="1" si="74"/>
        <v/>
      </c>
      <c r="G835" s="212" t="str">
        <f t="shared" ca="1" si="74"/>
        <v/>
      </c>
      <c r="H835" s="212" t="str">
        <f t="shared" ca="1" si="74"/>
        <v/>
      </c>
      <c r="I835" s="212" t="str">
        <f t="shared" ca="1" si="75"/>
        <v/>
      </c>
      <c r="J835" s="212" t="str">
        <f t="shared" ca="1" si="75"/>
        <v/>
      </c>
    </row>
    <row r="836" spans="2:10" x14ac:dyDescent="0.15">
      <c r="B836" s="213" t="str">
        <f t="shared" si="76"/>
        <v/>
      </c>
      <c r="C836" s="228" t="str">
        <f t="shared" si="73"/>
        <v/>
      </c>
      <c r="D836" s="212" t="str">
        <f t="shared" si="72"/>
        <v/>
      </c>
      <c r="E836" s="212" t="str">
        <f t="shared" ca="1" si="74"/>
        <v/>
      </c>
      <c r="F836" s="212" t="str">
        <f t="shared" ca="1" si="74"/>
        <v/>
      </c>
      <c r="G836" s="212" t="str">
        <f t="shared" ca="1" si="74"/>
        <v/>
      </c>
      <c r="H836" s="212" t="str">
        <f t="shared" ca="1" si="74"/>
        <v/>
      </c>
      <c r="I836" s="212" t="str">
        <f t="shared" ca="1" si="75"/>
        <v/>
      </c>
      <c r="J836" s="212" t="str">
        <f t="shared" ca="1" si="75"/>
        <v/>
      </c>
    </row>
    <row r="837" spans="2:10" x14ac:dyDescent="0.15">
      <c r="B837" s="213" t="str">
        <f t="shared" si="76"/>
        <v/>
      </c>
      <c r="C837" s="228" t="str">
        <f t="shared" si="73"/>
        <v/>
      </c>
      <c r="D837" s="212" t="str">
        <f t="shared" si="72"/>
        <v/>
      </c>
      <c r="E837" s="212" t="str">
        <f t="shared" ca="1" si="74"/>
        <v/>
      </c>
      <c r="F837" s="212" t="str">
        <f t="shared" ca="1" si="74"/>
        <v/>
      </c>
      <c r="G837" s="212" t="str">
        <f t="shared" ca="1" si="74"/>
        <v/>
      </c>
      <c r="H837" s="212" t="str">
        <f t="shared" ca="1" si="74"/>
        <v/>
      </c>
      <c r="I837" s="212" t="str">
        <f t="shared" ca="1" si="75"/>
        <v/>
      </c>
      <c r="J837" s="212" t="str">
        <f t="shared" ca="1" si="75"/>
        <v/>
      </c>
    </row>
    <row r="838" spans="2:10" x14ac:dyDescent="0.15">
      <c r="B838" s="213" t="str">
        <f t="shared" si="76"/>
        <v/>
      </c>
      <c r="C838" s="228" t="str">
        <f t="shared" si="73"/>
        <v/>
      </c>
      <c r="D838" s="212" t="str">
        <f t="shared" si="72"/>
        <v/>
      </c>
      <c r="E838" s="212" t="str">
        <f t="shared" ca="1" si="74"/>
        <v/>
      </c>
      <c r="F838" s="212" t="str">
        <f t="shared" ca="1" si="74"/>
        <v/>
      </c>
      <c r="G838" s="212" t="str">
        <f t="shared" ca="1" si="74"/>
        <v/>
      </c>
      <c r="H838" s="212" t="str">
        <f t="shared" ca="1" si="74"/>
        <v/>
      </c>
      <c r="I838" s="212" t="str">
        <f t="shared" ca="1" si="75"/>
        <v/>
      </c>
      <c r="J838" s="212" t="str">
        <f t="shared" ca="1" si="75"/>
        <v/>
      </c>
    </row>
    <row r="839" spans="2:10" x14ac:dyDescent="0.15">
      <c r="B839" s="213" t="str">
        <f t="shared" si="76"/>
        <v/>
      </c>
      <c r="C839" s="228" t="str">
        <f t="shared" si="73"/>
        <v/>
      </c>
      <c r="D839" s="212" t="str">
        <f t="shared" si="72"/>
        <v/>
      </c>
      <c r="E839" s="212" t="str">
        <f t="shared" ca="1" si="74"/>
        <v/>
      </c>
      <c r="F839" s="212" t="str">
        <f t="shared" ca="1" si="74"/>
        <v/>
      </c>
      <c r="G839" s="212" t="str">
        <f t="shared" ca="1" si="74"/>
        <v/>
      </c>
      <c r="H839" s="212" t="str">
        <f t="shared" ca="1" si="74"/>
        <v/>
      </c>
      <c r="I839" s="212" t="str">
        <f t="shared" ca="1" si="75"/>
        <v/>
      </c>
      <c r="J839" s="212" t="str">
        <f t="shared" ca="1" si="75"/>
        <v/>
      </c>
    </row>
    <row r="840" spans="2:10" x14ac:dyDescent="0.15">
      <c r="B840" s="213" t="str">
        <f t="shared" si="76"/>
        <v/>
      </c>
      <c r="C840" s="228" t="str">
        <f t="shared" si="73"/>
        <v/>
      </c>
      <c r="D840" s="212" t="str">
        <f t="shared" si="72"/>
        <v/>
      </c>
      <c r="E840" s="212" t="str">
        <f t="shared" ca="1" si="74"/>
        <v/>
      </c>
      <c r="F840" s="212" t="str">
        <f t="shared" ca="1" si="74"/>
        <v/>
      </c>
      <c r="G840" s="212" t="str">
        <f t="shared" ca="1" si="74"/>
        <v/>
      </c>
      <c r="H840" s="212" t="str">
        <f t="shared" ca="1" si="74"/>
        <v/>
      </c>
      <c r="I840" s="212" t="str">
        <f t="shared" ca="1" si="75"/>
        <v/>
      </c>
      <c r="J840" s="212" t="str">
        <f t="shared" ca="1" si="75"/>
        <v/>
      </c>
    </row>
    <row r="841" spans="2:10" x14ac:dyDescent="0.15">
      <c r="B841" s="213" t="str">
        <f t="shared" si="76"/>
        <v/>
      </c>
      <c r="C841" s="228" t="str">
        <f t="shared" si="73"/>
        <v/>
      </c>
      <c r="D841" s="212" t="str">
        <f t="shared" si="72"/>
        <v/>
      </c>
      <c r="E841" s="212" t="str">
        <f t="shared" ca="1" si="74"/>
        <v/>
      </c>
      <c r="F841" s="212" t="str">
        <f t="shared" ca="1" si="74"/>
        <v/>
      </c>
      <c r="G841" s="212" t="str">
        <f t="shared" ca="1" si="74"/>
        <v/>
      </c>
      <c r="H841" s="212" t="str">
        <f t="shared" ca="1" si="74"/>
        <v/>
      </c>
      <c r="I841" s="212" t="str">
        <f t="shared" ca="1" si="75"/>
        <v/>
      </c>
      <c r="J841" s="212" t="str">
        <f t="shared" ca="1" si="75"/>
        <v/>
      </c>
    </row>
    <row r="842" spans="2:10" x14ac:dyDescent="0.15">
      <c r="B842" s="213" t="str">
        <f t="shared" si="76"/>
        <v/>
      </c>
      <c r="C842" s="228" t="str">
        <f t="shared" si="73"/>
        <v/>
      </c>
      <c r="D842" s="212" t="str">
        <f t="shared" si="72"/>
        <v/>
      </c>
      <c r="E842" s="212" t="str">
        <f t="shared" ca="1" si="74"/>
        <v/>
      </c>
      <c r="F842" s="212" t="str">
        <f t="shared" ca="1" si="74"/>
        <v/>
      </c>
      <c r="G842" s="212" t="str">
        <f t="shared" ca="1" si="74"/>
        <v/>
      </c>
      <c r="H842" s="212" t="str">
        <f t="shared" ca="1" si="74"/>
        <v/>
      </c>
      <c r="I842" s="212" t="str">
        <f t="shared" ca="1" si="75"/>
        <v/>
      </c>
      <c r="J842" s="212" t="str">
        <f t="shared" ca="1" si="75"/>
        <v/>
      </c>
    </row>
    <row r="843" spans="2:10" x14ac:dyDescent="0.15">
      <c r="B843" s="213" t="str">
        <f t="shared" si="76"/>
        <v/>
      </c>
      <c r="C843" s="228" t="str">
        <f t="shared" si="73"/>
        <v/>
      </c>
      <c r="D843" s="212" t="str">
        <f t="shared" si="72"/>
        <v/>
      </c>
      <c r="E843" s="212" t="str">
        <f t="shared" ca="1" si="74"/>
        <v/>
      </c>
      <c r="F843" s="212" t="str">
        <f t="shared" ca="1" si="74"/>
        <v/>
      </c>
      <c r="G843" s="212" t="str">
        <f t="shared" ca="1" si="74"/>
        <v/>
      </c>
      <c r="H843" s="212" t="str">
        <f t="shared" ca="1" si="74"/>
        <v/>
      </c>
      <c r="I843" s="212" t="str">
        <f t="shared" ca="1" si="75"/>
        <v/>
      </c>
      <c r="J843" s="212" t="str">
        <f t="shared" ca="1" si="75"/>
        <v/>
      </c>
    </row>
    <row r="844" spans="2:10" x14ac:dyDescent="0.15">
      <c r="B844" s="213" t="str">
        <f t="shared" si="76"/>
        <v/>
      </c>
      <c r="C844" s="228" t="str">
        <f t="shared" si="73"/>
        <v/>
      </c>
      <c r="D844" s="212" t="str">
        <f t="shared" si="72"/>
        <v/>
      </c>
      <c r="E844" s="212" t="str">
        <f t="shared" ca="1" si="74"/>
        <v/>
      </c>
      <c r="F844" s="212" t="str">
        <f t="shared" ca="1" si="74"/>
        <v/>
      </c>
      <c r="G844" s="212" t="str">
        <f t="shared" ca="1" si="74"/>
        <v/>
      </c>
      <c r="H844" s="212" t="str">
        <f t="shared" ca="1" si="74"/>
        <v/>
      </c>
      <c r="I844" s="212" t="str">
        <f t="shared" ca="1" si="75"/>
        <v/>
      </c>
      <c r="J844" s="212" t="str">
        <f t="shared" ca="1" si="75"/>
        <v/>
      </c>
    </row>
    <row r="845" spans="2:10" x14ac:dyDescent="0.15">
      <c r="B845" s="213" t="str">
        <f t="shared" si="76"/>
        <v/>
      </c>
      <c r="C845" s="228" t="str">
        <f t="shared" si="73"/>
        <v/>
      </c>
      <c r="D845" s="212" t="str">
        <f t="shared" si="72"/>
        <v/>
      </c>
      <c r="E845" s="212" t="str">
        <f t="shared" ca="1" si="74"/>
        <v/>
      </c>
      <c r="F845" s="212" t="str">
        <f t="shared" ca="1" si="74"/>
        <v/>
      </c>
      <c r="G845" s="212" t="str">
        <f t="shared" ca="1" si="74"/>
        <v/>
      </c>
      <c r="H845" s="212" t="str">
        <f t="shared" ca="1" si="74"/>
        <v/>
      </c>
      <c r="I845" s="212" t="str">
        <f t="shared" ca="1" si="75"/>
        <v/>
      </c>
      <c r="J845" s="212" t="str">
        <f t="shared" ca="1" si="75"/>
        <v/>
      </c>
    </row>
    <row r="846" spans="2:10" x14ac:dyDescent="0.15">
      <c r="B846" s="213" t="str">
        <f t="shared" si="76"/>
        <v/>
      </c>
      <c r="C846" s="228" t="str">
        <f t="shared" si="73"/>
        <v/>
      </c>
      <c r="D846" s="212" t="str">
        <f t="shared" si="72"/>
        <v/>
      </c>
      <c r="E846" s="212" t="str">
        <f t="shared" ca="1" si="74"/>
        <v/>
      </c>
      <c r="F846" s="212" t="str">
        <f t="shared" ca="1" si="74"/>
        <v/>
      </c>
      <c r="G846" s="212" t="str">
        <f t="shared" ca="1" si="74"/>
        <v/>
      </c>
      <c r="H846" s="212" t="str">
        <f t="shared" ca="1" si="74"/>
        <v/>
      </c>
      <c r="I846" s="212" t="str">
        <f t="shared" ca="1" si="75"/>
        <v/>
      </c>
      <c r="J846" s="212" t="str">
        <f t="shared" ca="1" si="75"/>
        <v/>
      </c>
    </row>
    <row r="847" spans="2:10" x14ac:dyDescent="0.15">
      <c r="B847" s="213" t="str">
        <f t="shared" si="76"/>
        <v/>
      </c>
      <c r="C847" s="228" t="str">
        <f t="shared" si="73"/>
        <v/>
      </c>
      <c r="D847" s="212" t="str">
        <f t="shared" si="72"/>
        <v/>
      </c>
      <c r="E847" s="212" t="str">
        <f t="shared" ca="1" si="74"/>
        <v/>
      </c>
      <c r="F847" s="212" t="str">
        <f t="shared" ca="1" si="74"/>
        <v/>
      </c>
      <c r="G847" s="212" t="str">
        <f t="shared" ca="1" si="74"/>
        <v/>
      </c>
      <c r="H847" s="212" t="str">
        <f t="shared" ca="1" si="74"/>
        <v/>
      </c>
      <c r="I847" s="212" t="str">
        <f t="shared" ca="1" si="75"/>
        <v/>
      </c>
      <c r="J847" s="212" t="str">
        <f t="shared" ca="1" si="75"/>
        <v/>
      </c>
    </row>
    <row r="848" spans="2:10" x14ac:dyDescent="0.15">
      <c r="B848" s="213" t="str">
        <f t="shared" si="76"/>
        <v/>
      </c>
      <c r="C848" s="228" t="str">
        <f t="shared" si="73"/>
        <v/>
      </c>
      <c r="D848" s="212" t="str">
        <f t="shared" si="72"/>
        <v/>
      </c>
      <c r="E848" s="212" t="str">
        <f t="shared" ca="1" si="74"/>
        <v/>
      </c>
      <c r="F848" s="212" t="str">
        <f t="shared" ca="1" si="74"/>
        <v/>
      </c>
      <c r="G848" s="212" t="str">
        <f t="shared" ca="1" si="74"/>
        <v/>
      </c>
      <c r="H848" s="212" t="str">
        <f t="shared" ca="1" si="74"/>
        <v/>
      </c>
      <c r="I848" s="212" t="str">
        <f t="shared" ca="1" si="75"/>
        <v/>
      </c>
      <c r="J848" s="212" t="str">
        <f t="shared" ca="1" si="75"/>
        <v/>
      </c>
    </row>
    <row r="849" spans="2:10" x14ac:dyDescent="0.15">
      <c r="B849" s="213" t="str">
        <f t="shared" si="76"/>
        <v/>
      </c>
      <c r="C849" s="228" t="str">
        <f t="shared" si="73"/>
        <v/>
      </c>
      <c r="D849" s="212" t="str">
        <f t="shared" si="72"/>
        <v/>
      </c>
      <c r="E849" s="212" t="str">
        <f t="shared" ca="1" si="74"/>
        <v/>
      </c>
      <c r="F849" s="212" t="str">
        <f t="shared" ca="1" si="74"/>
        <v/>
      </c>
      <c r="G849" s="212" t="str">
        <f t="shared" ca="1" si="74"/>
        <v/>
      </c>
      <c r="H849" s="212" t="str">
        <f t="shared" ca="1" si="74"/>
        <v/>
      </c>
      <c r="I849" s="212" t="str">
        <f t="shared" ca="1" si="75"/>
        <v/>
      </c>
      <c r="J849" s="212" t="str">
        <f t="shared" ca="1" si="75"/>
        <v/>
      </c>
    </row>
    <row r="850" spans="2:10" x14ac:dyDescent="0.15">
      <c r="B850" s="213" t="str">
        <f t="shared" si="76"/>
        <v/>
      </c>
      <c r="C850" s="228" t="str">
        <f t="shared" si="73"/>
        <v/>
      </c>
      <c r="D850" s="212" t="str">
        <f t="shared" si="72"/>
        <v/>
      </c>
      <c r="E850" s="212" t="str">
        <f t="shared" ca="1" si="74"/>
        <v/>
      </c>
      <c r="F850" s="212" t="str">
        <f t="shared" ca="1" si="74"/>
        <v/>
      </c>
      <c r="G850" s="212" t="str">
        <f t="shared" ca="1" si="74"/>
        <v/>
      </c>
      <c r="H850" s="212" t="str">
        <f t="shared" ca="1" si="74"/>
        <v/>
      </c>
      <c r="I850" s="212" t="str">
        <f t="shared" ca="1" si="75"/>
        <v/>
      </c>
      <c r="J850" s="212" t="str">
        <f t="shared" ca="1" si="75"/>
        <v/>
      </c>
    </row>
    <row r="851" spans="2:10" x14ac:dyDescent="0.15">
      <c r="B851" s="213" t="str">
        <f t="shared" si="76"/>
        <v/>
      </c>
      <c r="C851" s="228" t="str">
        <f t="shared" si="73"/>
        <v/>
      </c>
      <c r="D851" s="212" t="str">
        <f t="shared" si="72"/>
        <v/>
      </c>
      <c r="E851" s="212" t="str">
        <f t="shared" ca="1" si="74"/>
        <v/>
      </c>
      <c r="F851" s="212" t="str">
        <f t="shared" ca="1" si="74"/>
        <v/>
      </c>
      <c r="G851" s="212" t="str">
        <f t="shared" ca="1" si="74"/>
        <v/>
      </c>
      <c r="H851" s="212" t="str">
        <f t="shared" ca="1" si="74"/>
        <v/>
      </c>
      <c r="I851" s="212" t="str">
        <f t="shared" ca="1" si="75"/>
        <v/>
      </c>
      <c r="J851" s="212" t="str">
        <f t="shared" ca="1" si="75"/>
        <v/>
      </c>
    </row>
    <row r="852" spans="2:10" x14ac:dyDescent="0.15">
      <c r="B852" s="213" t="str">
        <f t="shared" si="76"/>
        <v/>
      </c>
      <c r="C852" s="228" t="str">
        <f t="shared" si="73"/>
        <v/>
      </c>
      <c r="D852" s="212" t="str">
        <f t="shared" si="72"/>
        <v/>
      </c>
      <c r="E852" s="212" t="str">
        <f t="shared" ca="1" si="74"/>
        <v/>
      </c>
      <c r="F852" s="212" t="str">
        <f t="shared" ca="1" si="74"/>
        <v/>
      </c>
      <c r="G852" s="212" t="str">
        <f t="shared" ca="1" si="74"/>
        <v/>
      </c>
      <c r="H852" s="212" t="str">
        <f t="shared" ca="1" si="74"/>
        <v/>
      </c>
      <c r="I852" s="212" t="str">
        <f t="shared" ca="1" si="75"/>
        <v/>
      </c>
      <c r="J852" s="212" t="str">
        <f t="shared" ca="1" si="75"/>
        <v/>
      </c>
    </row>
    <row r="853" spans="2:10" x14ac:dyDescent="0.15">
      <c r="B853" s="213" t="str">
        <f t="shared" si="76"/>
        <v/>
      </c>
      <c r="C853" s="228" t="str">
        <f t="shared" si="73"/>
        <v/>
      </c>
      <c r="D853" s="212" t="str">
        <f t="shared" si="72"/>
        <v/>
      </c>
      <c r="E853" s="212" t="str">
        <f t="shared" ca="1" si="74"/>
        <v/>
      </c>
      <c r="F853" s="212" t="str">
        <f t="shared" ca="1" si="74"/>
        <v/>
      </c>
      <c r="G853" s="212" t="str">
        <f t="shared" ca="1" si="74"/>
        <v/>
      </c>
      <c r="H853" s="212" t="str">
        <f t="shared" ca="1" si="74"/>
        <v/>
      </c>
      <c r="I853" s="212" t="str">
        <f t="shared" ca="1" si="75"/>
        <v/>
      </c>
      <c r="J853" s="212" t="str">
        <f t="shared" ca="1" si="75"/>
        <v/>
      </c>
    </row>
    <row r="854" spans="2:10" x14ac:dyDescent="0.15">
      <c r="B854" s="213" t="str">
        <f t="shared" si="76"/>
        <v/>
      </c>
      <c r="C854" s="228" t="str">
        <f t="shared" si="73"/>
        <v/>
      </c>
      <c r="D854" s="212" t="str">
        <f t="shared" si="72"/>
        <v/>
      </c>
      <c r="E854" s="212" t="str">
        <f t="shared" ca="1" si="74"/>
        <v/>
      </c>
      <c r="F854" s="212" t="str">
        <f t="shared" ca="1" si="74"/>
        <v/>
      </c>
      <c r="G854" s="212" t="str">
        <f t="shared" ca="1" si="74"/>
        <v/>
      </c>
      <c r="H854" s="212" t="str">
        <f t="shared" ca="1" si="74"/>
        <v/>
      </c>
      <c r="I854" s="212" t="str">
        <f t="shared" ca="1" si="75"/>
        <v/>
      </c>
      <c r="J854" s="212" t="str">
        <f t="shared" ca="1" si="75"/>
        <v/>
      </c>
    </row>
    <row r="855" spans="2:10" x14ac:dyDescent="0.15">
      <c r="B855" s="213" t="str">
        <f t="shared" si="76"/>
        <v/>
      </c>
      <c r="C855" s="228" t="str">
        <f t="shared" si="73"/>
        <v/>
      </c>
      <c r="D855" s="212" t="str">
        <f t="shared" si="72"/>
        <v/>
      </c>
      <c r="E855" s="212" t="str">
        <f t="shared" ca="1" si="74"/>
        <v/>
      </c>
      <c r="F855" s="212" t="str">
        <f t="shared" ca="1" si="74"/>
        <v/>
      </c>
      <c r="G855" s="212" t="str">
        <f t="shared" ca="1" si="74"/>
        <v/>
      </c>
      <c r="H855" s="212" t="str">
        <f t="shared" ca="1" si="74"/>
        <v/>
      </c>
      <c r="I855" s="212" t="str">
        <f t="shared" ca="1" si="75"/>
        <v/>
      </c>
      <c r="J855" s="212" t="str">
        <f t="shared" ca="1" si="75"/>
        <v/>
      </c>
    </row>
    <row r="856" spans="2:10" x14ac:dyDescent="0.15">
      <c r="B856" s="213" t="str">
        <f t="shared" si="76"/>
        <v/>
      </c>
      <c r="C856" s="228" t="str">
        <f t="shared" si="73"/>
        <v/>
      </c>
      <c r="D856" s="212" t="str">
        <f t="shared" si="72"/>
        <v/>
      </c>
      <c r="E856" s="212" t="str">
        <f t="shared" ca="1" si="74"/>
        <v/>
      </c>
      <c r="F856" s="212" t="str">
        <f t="shared" ca="1" si="74"/>
        <v/>
      </c>
      <c r="G856" s="212" t="str">
        <f t="shared" ca="1" si="74"/>
        <v/>
      </c>
      <c r="H856" s="212" t="str">
        <f t="shared" ca="1" si="74"/>
        <v/>
      </c>
      <c r="I856" s="212" t="str">
        <f t="shared" ca="1" si="75"/>
        <v/>
      </c>
      <c r="J856" s="212" t="str">
        <f t="shared" ca="1" si="75"/>
        <v/>
      </c>
    </row>
    <row r="857" spans="2:10" x14ac:dyDescent="0.15">
      <c r="B857" s="213" t="str">
        <f t="shared" si="76"/>
        <v/>
      </c>
      <c r="C857" s="228" t="str">
        <f t="shared" si="73"/>
        <v/>
      </c>
      <c r="D857" s="212" t="str">
        <f t="shared" si="72"/>
        <v/>
      </c>
      <c r="E857" s="212" t="str">
        <f t="shared" ca="1" si="74"/>
        <v/>
      </c>
      <c r="F857" s="212" t="str">
        <f t="shared" ca="1" si="74"/>
        <v/>
      </c>
      <c r="G857" s="212" t="str">
        <f t="shared" ca="1" si="74"/>
        <v/>
      </c>
      <c r="H857" s="212" t="str">
        <f t="shared" ca="1" si="74"/>
        <v/>
      </c>
      <c r="I857" s="212" t="str">
        <f t="shared" ca="1" si="75"/>
        <v/>
      </c>
      <c r="J857" s="212" t="str">
        <f t="shared" ca="1" si="75"/>
        <v/>
      </c>
    </row>
    <row r="858" spans="2:10" x14ac:dyDescent="0.15">
      <c r="B858" s="213" t="str">
        <f t="shared" si="76"/>
        <v/>
      </c>
      <c r="C858" s="228" t="str">
        <f t="shared" si="73"/>
        <v/>
      </c>
      <c r="D858" s="212" t="str">
        <f t="shared" ref="D858:D921" si="77">IF(B858="","",IF(B859="",SUMIFS(Amount,Timestamp,"&gt;="&amp;B858),SUMIFS(Amount,Timestamp,"&gt;="&amp;B858,Timestamp,"&lt;"&amp;B859)))</f>
        <v/>
      </c>
      <c r="E858" s="212" t="str">
        <f t="shared" ca="1" si="74"/>
        <v/>
      </c>
      <c r="F858" s="212" t="str">
        <f t="shared" ca="1" si="74"/>
        <v/>
      </c>
      <c r="G858" s="212" t="str">
        <f t="shared" ca="1" si="74"/>
        <v/>
      </c>
      <c r="H858" s="212" t="str">
        <f t="shared" ref="H858:J921" ca="1" si="78">IF($B858="","",IF($B858+H$24-1&gt;$E$5,"",SUM(OFFSET($D858,0,0,H$24,1))))</f>
        <v/>
      </c>
      <c r="I858" s="212" t="str">
        <f t="shared" ca="1" si="75"/>
        <v/>
      </c>
      <c r="J858" s="212" t="str">
        <f t="shared" ca="1" si="75"/>
        <v/>
      </c>
    </row>
    <row r="859" spans="2:10" x14ac:dyDescent="0.15">
      <c r="B859" s="213" t="str">
        <f t="shared" si="76"/>
        <v/>
      </c>
      <c r="C859" s="228" t="str">
        <f t="shared" ref="C859:C922" si="79">IF(B859="","",TEXT(B859,"dddd"))</f>
        <v/>
      </c>
      <c r="D859" s="212" t="str">
        <f t="shared" si="77"/>
        <v/>
      </c>
      <c r="E859" s="212" t="str">
        <f t="shared" ref="E859:J922" ca="1" si="80">IF($B859="","",IF($B859+E$24-1&gt;$E$5,"",SUM(OFFSET($D859,0,0,E$24,1))))</f>
        <v/>
      </c>
      <c r="F859" s="212" t="str">
        <f t="shared" ca="1" si="80"/>
        <v/>
      </c>
      <c r="G859" s="212" t="str">
        <f t="shared" ca="1" si="80"/>
        <v/>
      </c>
      <c r="H859" s="212" t="str">
        <f t="shared" ca="1" si="78"/>
        <v/>
      </c>
      <c r="I859" s="212" t="str">
        <f t="shared" ca="1" si="78"/>
        <v/>
      </c>
      <c r="J859" s="212" t="str">
        <f t="shared" ca="1" si="78"/>
        <v/>
      </c>
    </row>
    <row r="860" spans="2:10" x14ac:dyDescent="0.15">
      <c r="B860" s="213" t="str">
        <f t="shared" si="76"/>
        <v/>
      </c>
      <c r="C860" s="228" t="str">
        <f t="shared" si="79"/>
        <v/>
      </c>
      <c r="D860" s="212" t="str">
        <f t="shared" si="77"/>
        <v/>
      </c>
      <c r="E860" s="212" t="str">
        <f t="shared" ca="1" si="80"/>
        <v/>
      </c>
      <c r="F860" s="212" t="str">
        <f t="shared" ca="1" si="80"/>
        <v/>
      </c>
      <c r="G860" s="212" t="str">
        <f t="shared" ca="1" si="80"/>
        <v/>
      </c>
      <c r="H860" s="212" t="str">
        <f t="shared" ca="1" si="78"/>
        <v/>
      </c>
      <c r="I860" s="212" t="str">
        <f t="shared" ca="1" si="78"/>
        <v/>
      </c>
      <c r="J860" s="212" t="str">
        <f t="shared" ca="1" si="78"/>
        <v/>
      </c>
    </row>
    <row r="861" spans="2:10" x14ac:dyDescent="0.15">
      <c r="B861" s="213" t="str">
        <f t="shared" si="76"/>
        <v/>
      </c>
      <c r="C861" s="228" t="str">
        <f t="shared" si="79"/>
        <v/>
      </c>
      <c r="D861" s="212" t="str">
        <f t="shared" si="77"/>
        <v/>
      </c>
      <c r="E861" s="212" t="str">
        <f t="shared" ca="1" si="80"/>
        <v/>
      </c>
      <c r="F861" s="212" t="str">
        <f t="shared" ca="1" si="80"/>
        <v/>
      </c>
      <c r="G861" s="212" t="str">
        <f t="shared" ca="1" si="80"/>
        <v/>
      </c>
      <c r="H861" s="212" t="str">
        <f t="shared" ca="1" si="78"/>
        <v/>
      </c>
      <c r="I861" s="212" t="str">
        <f t="shared" ca="1" si="78"/>
        <v/>
      </c>
      <c r="J861" s="212" t="str">
        <f t="shared" ca="1" si="78"/>
        <v/>
      </c>
    </row>
    <row r="862" spans="2:10" x14ac:dyDescent="0.15">
      <c r="B862" s="213" t="str">
        <f t="shared" si="76"/>
        <v/>
      </c>
      <c r="C862" s="228" t="str">
        <f t="shared" si="79"/>
        <v/>
      </c>
      <c r="D862" s="212" t="str">
        <f t="shared" si="77"/>
        <v/>
      </c>
      <c r="E862" s="212" t="str">
        <f t="shared" ca="1" si="80"/>
        <v/>
      </c>
      <c r="F862" s="212" t="str">
        <f t="shared" ca="1" si="80"/>
        <v/>
      </c>
      <c r="G862" s="212" t="str">
        <f t="shared" ca="1" si="80"/>
        <v/>
      </c>
      <c r="H862" s="212" t="str">
        <f t="shared" ca="1" si="78"/>
        <v/>
      </c>
      <c r="I862" s="212" t="str">
        <f t="shared" ca="1" si="78"/>
        <v/>
      </c>
      <c r="J862" s="212" t="str">
        <f t="shared" ca="1" si="78"/>
        <v/>
      </c>
    </row>
    <row r="863" spans="2:10" x14ac:dyDescent="0.15">
      <c r="B863" s="213" t="str">
        <f t="shared" si="76"/>
        <v/>
      </c>
      <c r="C863" s="228" t="str">
        <f t="shared" si="79"/>
        <v/>
      </c>
      <c r="D863" s="212" t="str">
        <f t="shared" si="77"/>
        <v/>
      </c>
      <c r="E863" s="212" t="str">
        <f t="shared" ca="1" si="80"/>
        <v/>
      </c>
      <c r="F863" s="212" t="str">
        <f t="shared" ca="1" si="80"/>
        <v/>
      </c>
      <c r="G863" s="212" t="str">
        <f t="shared" ca="1" si="80"/>
        <v/>
      </c>
      <c r="H863" s="212" t="str">
        <f t="shared" ca="1" si="78"/>
        <v/>
      </c>
      <c r="I863" s="212" t="str">
        <f t="shared" ca="1" si="78"/>
        <v/>
      </c>
      <c r="J863" s="212" t="str">
        <f t="shared" ca="1" si="78"/>
        <v/>
      </c>
    </row>
    <row r="864" spans="2:10" x14ac:dyDescent="0.15">
      <c r="B864" s="213" t="str">
        <f t="shared" si="76"/>
        <v/>
      </c>
      <c r="C864" s="228" t="str">
        <f t="shared" si="79"/>
        <v/>
      </c>
      <c r="D864" s="212" t="str">
        <f t="shared" si="77"/>
        <v/>
      </c>
      <c r="E864" s="212" t="str">
        <f t="shared" ca="1" si="80"/>
        <v/>
      </c>
      <c r="F864" s="212" t="str">
        <f t="shared" ca="1" si="80"/>
        <v/>
      </c>
      <c r="G864" s="212" t="str">
        <f t="shared" ca="1" si="80"/>
        <v/>
      </c>
      <c r="H864" s="212" t="str">
        <f t="shared" ca="1" si="78"/>
        <v/>
      </c>
      <c r="I864" s="212" t="str">
        <f t="shared" ca="1" si="78"/>
        <v/>
      </c>
      <c r="J864" s="212" t="str">
        <f t="shared" ca="1" si="78"/>
        <v/>
      </c>
    </row>
    <row r="865" spans="2:10" x14ac:dyDescent="0.15">
      <c r="B865" s="213" t="str">
        <f t="shared" si="76"/>
        <v/>
      </c>
      <c r="C865" s="228" t="str">
        <f t="shared" si="79"/>
        <v/>
      </c>
      <c r="D865" s="212" t="str">
        <f t="shared" si="77"/>
        <v/>
      </c>
      <c r="E865" s="212" t="str">
        <f t="shared" ca="1" si="80"/>
        <v/>
      </c>
      <c r="F865" s="212" t="str">
        <f t="shared" ca="1" si="80"/>
        <v/>
      </c>
      <c r="G865" s="212" t="str">
        <f t="shared" ca="1" si="80"/>
        <v/>
      </c>
      <c r="H865" s="212" t="str">
        <f t="shared" ca="1" si="78"/>
        <v/>
      </c>
      <c r="I865" s="212" t="str">
        <f t="shared" ca="1" si="78"/>
        <v/>
      </c>
      <c r="J865" s="212" t="str">
        <f t="shared" ca="1" si="78"/>
        <v/>
      </c>
    </row>
    <row r="866" spans="2:10" x14ac:dyDescent="0.15">
      <c r="B866" s="213" t="str">
        <f t="shared" si="76"/>
        <v/>
      </c>
      <c r="C866" s="228" t="str">
        <f t="shared" si="79"/>
        <v/>
      </c>
      <c r="D866" s="212" t="str">
        <f t="shared" si="77"/>
        <v/>
      </c>
      <c r="E866" s="212" t="str">
        <f t="shared" ca="1" si="80"/>
        <v/>
      </c>
      <c r="F866" s="212" t="str">
        <f t="shared" ca="1" si="80"/>
        <v/>
      </c>
      <c r="G866" s="212" t="str">
        <f t="shared" ca="1" si="80"/>
        <v/>
      </c>
      <c r="H866" s="212" t="str">
        <f t="shared" ca="1" si="78"/>
        <v/>
      </c>
      <c r="I866" s="212" t="str">
        <f t="shared" ca="1" si="78"/>
        <v/>
      </c>
      <c r="J866" s="212" t="str">
        <f t="shared" ca="1" si="78"/>
        <v/>
      </c>
    </row>
    <row r="867" spans="2:10" x14ac:dyDescent="0.15">
      <c r="B867" s="213" t="str">
        <f t="shared" ref="B867:B930" si="81">IF(B866="","",IF(B866&gt;=$E$5,"",B866+1))</f>
        <v/>
      </c>
      <c r="C867" s="228" t="str">
        <f t="shared" si="79"/>
        <v/>
      </c>
      <c r="D867" s="212" t="str">
        <f t="shared" si="77"/>
        <v/>
      </c>
      <c r="E867" s="212" t="str">
        <f t="shared" ca="1" si="80"/>
        <v/>
      </c>
      <c r="F867" s="212" t="str">
        <f t="shared" ca="1" si="80"/>
        <v/>
      </c>
      <c r="G867" s="212" t="str">
        <f t="shared" ca="1" si="80"/>
        <v/>
      </c>
      <c r="H867" s="212" t="str">
        <f t="shared" ca="1" si="78"/>
        <v/>
      </c>
      <c r="I867" s="212" t="str">
        <f t="shared" ca="1" si="78"/>
        <v/>
      </c>
      <c r="J867" s="212" t="str">
        <f t="shared" ca="1" si="78"/>
        <v/>
      </c>
    </row>
    <row r="868" spans="2:10" x14ac:dyDescent="0.15">
      <c r="B868" s="213" t="str">
        <f t="shared" si="81"/>
        <v/>
      </c>
      <c r="C868" s="228" t="str">
        <f t="shared" si="79"/>
        <v/>
      </c>
      <c r="D868" s="212" t="str">
        <f t="shared" si="77"/>
        <v/>
      </c>
      <c r="E868" s="212" t="str">
        <f t="shared" ca="1" si="80"/>
        <v/>
      </c>
      <c r="F868" s="212" t="str">
        <f t="shared" ca="1" si="80"/>
        <v/>
      </c>
      <c r="G868" s="212" t="str">
        <f t="shared" ca="1" si="80"/>
        <v/>
      </c>
      <c r="H868" s="212" t="str">
        <f t="shared" ca="1" si="78"/>
        <v/>
      </c>
      <c r="I868" s="212" t="str">
        <f t="shared" ca="1" si="78"/>
        <v/>
      </c>
      <c r="J868" s="212" t="str">
        <f t="shared" ca="1" si="78"/>
        <v/>
      </c>
    </row>
    <row r="869" spans="2:10" x14ac:dyDescent="0.15">
      <c r="B869" s="213" t="str">
        <f t="shared" si="81"/>
        <v/>
      </c>
      <c r="C869" s="228" t="str">
        <f t="shared" si="79"/>
        <v/>
      </c>
      <c r="D869" s="212" t="str">
        <f t="shared" si="77"/>
        <v/>
      </c>
      <c r="E869" s="212" t="str">
        <f t="shared" ca="1" si="80"/>
        <v/>
      </c>
      <c r="F869" s="212" t="str">
        <f t="shared" ca="1" si="80"/>
        <v/>
      </c>
      <c r="G869" s="212" t="str">
        <f t="shared" ca="1" si="80"/>
        <v/>
      </c>
      <c r="H869" s="212" t="str">
        <f t="shared" ca="1" si="78"/>
        <v/>
      </c>
      <c r="I869" s="212" t="str">
        <f t="shared" ca="1" si="78"/>
        <v/>
      </c>
      <c r="J869" s="212" t="str">
        <f t="shared" ca="1" si="78"/>
        <v/>
      </c>
    </row>
    <row r="870" spans="2:10" x14ac:dyDescent="0.15">
      <c r="B870" s="213" t="str">
        <f t="shared" si="81"/>
        <v/>
      </c>
      <c r="C870" s="228" t="str">
        <f t="shared" si="79"/>
        <v/>
      </c>
      <c r="D870" s="212" t="str">
        <f t="shared" si="77"/>
        <v/>
      </c>
      <c r="E870" s="212" t="str">
        <f t="shared" ca="1" si="80"/>
        <v/>
      </c>
      <c r="F870" s="212" t="str">
        <f t="shared" ca="1" si="80"/>
        <v/>
      </c>
      <c r="G870" s="212" t="str">
        <f t="shared" ca="1" si="80"/>
        <v/>
      </c>
      <c r="H870" s="212" t="str">
        <f t="shared" ca="1" si="78"/>
        <v/>
      </c>
      <c r="I870" s="212" t="str">
        <f t="shared" ca="1" si="78"/>
        <v/>
      </c>
      <c r="J870" s="212" t="str">
        <f t="shared" ca="1" si="78"/>
        <v/>
      </c>
    </row>
    <row r="871" spans="2:10" x14ac:dyDescent="0.15">
      <c r="B871" s="213" t="str">
        <f t="shared" si="81"/>
        <v/>
      </c>
      <c r="C871" s="228" t="str">
        <f t="shared" si="79"/>
        <v/>
      </c>
      <c r="D871" s="212" t="str">
        <f t="shared" si="77"/>
        <v/>
      </c>
      <c r="E871" s="212" t="str">
        <f t="shared" ca="1" si="80"/>
        <v/>
      </c>
      <c r="F871" s="212" t="str">
        <f t="shared" ca="1" si="80"/>
        <v/>
      </c>
      <c r="G871" s="212" t="str">
        <f t="shared" ca="1" si="80"/>
        <v/>
      </c>
      <c r="H871" s="212" t="str">
        <f t="shared" ca="1" si="78"/>
        <v/>
      </c>
      <c r="I871" s="212" t="str">
        <f t="shared" ca="1" si="78"/>
        <v/>
      </c>
      <c r="J871" s="212" t="str">
        <f t="shared" ca="1" si="78"/>
        <v/>
      </c>
    </row>
    <row r="872" spans="2:10" x14ac:dyDescent="0.15">
      <c r="B872" s="213" t="str">
        <f t="shared" si="81"/>
        <v/>
      </c>
      <c r="C872" s="228" t="str">
        <f t="shared" si="79"/>
        <v/>
      </c>
      <c r="D872" s="212" t="str">
        <f t="shared" si="77"/>
        <v/>
      </c>
      <c r="E872" s="212" t="str">
        <f t="shared" ca="1" si="80"/>
        <v/>
      </c>
      <c r="F872" s="212" t="str">
        <f t="shared" ca="1" si="80"/>
        <v/>
      </c>
      <c r="G872" s="212" t="str">
        <f t="shared" ca="1" si="80"/>
        <v/>
      </c>
      <c r="H872" s="212" t="str">
        <f t="shared" ca="1" si="78"/>
        <v/>
      </c>
      <c r="I872" s="212" t="str">
        <f t="shared" ca="1" si="78"/>
        <v/>
      </c>
      <c r="J872" s="212" t="str">
        <f t="shared" ca="1" si="78"/>
        <v/>
      </c>
    </row>
    <row r="873" spans="2:10" x14ac:dyDescent="0.15">
      <c r="B873" s="213" t="str">
        <f t="shared" si="81"/>
        <v/>
      </c>
      <c r="C873" s="228" t="str">
        <f t="shared" si="79"/>
        <v/>
      </c>
      <c r="D873" s="212" t="str">
        <f t="shared" si="77"/>
        <v/>
      </c>
      <c r="E873" s="212" t="str">
        <f t="shared" ca="1" si="80"/>
        <v/>
      </c>
      <c r="F873" s="212" t="str">
        <f t="shared" ca="1" si="80"/>
        <v/>
      </c>
      <c r="G873" s="212" t="str">
        <f t="shared" ca="1" si="80"/>
        <v/>
      </c>
      <c r="H873" s="212" t="str">
        <f t="shared" ca="1" si="78"/>
        <v/>
      </c>
      <c r="I873" s="212" t="str">
        <f t="shared" ca="1" si="78"/>
        <v/>
      </c>
      <c r="J873" s="212" t="str">
        <f t="shared" ca="1" si="78"/>
        <v/>
      </c>
    </row>
    <row r="874" spans="2:10" x14ac:dyDescent="0.15">
      <c r="B874" s="213" t="str">
        <f t="shared" si="81"/>
        <v/>
      </c>
      <c r="C874" s="228" t="str">
        <f t="shared" si="79"/>
        <v/>
      </c>
      <c r="D874" s="212" t="str">
        <f t="shared" si="77"/>
        <v/>
      </c>
      <c r="E874" s="212" t="str">
        <f t="shared" ca="1" si="80"/>
        <v/>
      </c>
      <c r="F874" s="212" t="str">
        <f t="shared" ca="1" si="80"/>
        <v/>
      </c>
      <c r="G874" s="212" t="str">
        <f t="shared" ca="1" si="80"/>
        <v/>
      </c>
      <c r="H874" s="212" t="str">
        <f t="shared" ca="1" si="78"/>
        <v/>
      </c>
      <c r="I874" s="212" t="str">
        <f t="shared" ca="1" si="78"/>
        <v/>
      </c>
      <c r="J874" s="212" t="str">
        <f t="shared" ca="1" si="78"/>
        <v/>
      </c>
    </row>
    <row r="875" spans="2:10" x14ac:dyDescent="0.15">
      <c r="B875" s="213" t="str">
        <f t="shared" si="81"/>
        <v/>
      </c>
      <c r="C875" s="228" t="str">
        <f t="shared" si="79"/>
        <v/>
      </c>
      <c r="D875" s="212" t="str">
        <f t="shared" si="77"/>
        <v/>
      </c>
      <c r="E875" s="212" t="str">
        <f t="shared" ca="1" si="80"/>
        <v/>
      </c>
      <c r="F875" s="212" t="str">
        <f t="shared" ca="1" si="80"/>
        <v/>
      </c>
      <c r="G875" s="212" t="str">
        <f t="shared" ca="1" si="80"/>
        <v/>
      </c>
      <c r="H875" s="212" t="str">
        <f t="shared" ca="1" si="78"/>
        <v/>
      </c>
      <c r="I875" s="212" t="str">
        <f t="shared" ca="1" si="78"/>
        <v/>
      </c>
      <c r="J875" s="212" t="str">
        <f t="shared" ca="1" si="78"/>
        <v/>
      </c>
    </row>
    <row r="876" spans="2:10" x14ac:dyDescent="0.15">
      <c r="B876" s="213" t="str">
        <f t="shared" si="81"/>
        <v/>
      </c>
      <c r="C876" s="228" t="str">
        <f t="shared" si="79"/>
        <v/>
      </c>
      <c r="D876" s="212" t="str">
        <f t="shared" si="77"/>
        <v/>
      </c>
      <c r="E876" s="212" t="str">
        <f t="shared" ca="1" si="80"/>
        <v/>
      </c>
      <c r="F876" s="212" t="str">
        <f t="shared" ca="1" si="80"/>
        <v/>
      </c>
      <c r="G876" s="212" t="str">
        <f t="shared" ca="1" si="80"/>
        <v/>
      </c>
      <c r="H876" s="212" t="str">
        <f t="shared" ca="1" si="78"/>
        <v/>
      </c>
      <c r="I876" s="212" t="str">
        <f t="shared" ca="1" si="78"/>
        <v/>
      </c>
      <c r="J876" s="212" t="str">
        <f t="shared" ca="1" si="78"/>
        <v/>
      </c>
    </row>
    <row r="877" spans="2:10" x14ac:dyDescent="0.15">
      <c r="B877" s="213" t="str">
        <f t="shared" si="81"/>
        <v/>
      </c>
      <c r="C877" s="228" t="str">
        <f t="shared" si="79"/>
        <v/>
      </c>
      <c r="D877" s="212" t="str">
        <f t="shared" si="77"/>
        <v/>
      </c>
      <c r="E877" s="212" t="str">
        <f t="shared" ca="1" si="80"/>
        <v/>
      </c>
      <c r="F877" s="212" t="str">
        <f t="shared" ca="1" si="80"/>
        <v/>
      </c>
      <c r="G877" s="212" t="str">
        <f t="shared" ca="1" si="80"/>
        <v/>
      </c>
      <c r="H877" s="212" t="str">
        <f t="shared" ca="1" si="78"/>
        <v/>
      </c>
      <c r="I877" s="212" t="str">
        <f t="shared" ca="1" si="78"/>
        <v/>
      </c>
      <c r="J877" s="212" t="str">
        <f t="shared" ca="1" si="78"/>
        <v/>
      </c>
    </row>
    <row r="878" spans="2:10" x14ac:dyDescent="0.15">
      <c r="B878" s="213" t="str">
        <f t="shared" si="81"/>
        <v/>
      </c>
      <c r="C878" s="228" t="str">
        <f t="shared" si="79"/>
        <v/>
      </c>
      <c r="D878" s="212" t="str">
        <f t="shared" si="77"/>
        <v/>
      </c>
      <c r="E878" s="212" t="str">
        <f t="shared" ca="1" si="80"/>
        <v/>
      </c>
      <c r="F878" s="212" t="str">
        <f t="shared" ca="1" si="80"/>
        <v/>
      </c>
      <c r="G878" s="212" t="str">
        <f t="shared" ca="1" si="80"/>
        <v/>
      </c>
      <c r="H878" s="212" t="str">
        <f t="shared" ca="1" si="78"/>
        <v/>
      </c>
      <c r="I878" s="212" t="str">
        <f t="shared" ca="1" si="78"/>
        <v/>
      </c>
      <c r="J878" s="212" t="str">
        <f t="shared" ca="1" si="78"/>
        <v/>
      </c>
    </row>
    <row r="879" spans="2:10" x14ac:dyDescent="0.15">
      <c r="B879" s="213" t="str">
        <f t="shared" si="81"/>
        <v/>
      </c>
      <c r="C879" s="228" t="str">
        <f t="shared" si="79"/>
        <v/>
      </c>
      <c r="D879" s="212" t="str">
        <f t="shared" si="77"/>
        <v/>
      </c>
      <c r="E879" s="212" t="str">
        <f t="shared" ca="1" si="80"/>
        <v/>
      </c>
      <c r="F879" s="212" t="str">
        <f t="shared" ca="1" si="80"/>
        <v/>
      </c>
      <c r="G879" s="212" t="str">
        <f t="shared" ca="1" si="80"/>
        <v/>
      </c>
      <c r="H879" s="212" t="str">
        <f t="shared" ca="1" si="78"/>
        <v/>
      </c>
      <c r="I879" s="212" t="str">
        <f t="shared" ca="1" si="78"/>
        <v/>
      </c>
      <c r="J879" s="212" t="str">
        <f t="shared" ca="1" si="78"/>
        <v/>
      </c>
    </row>
    <row r="880" spans="2:10" x14ac:dyDescent="0.15">
      <c r="B880" s="213" t="str">
        <f t="shared" si="81"/>
        <v/>
      </c>
      <c r="C880" s="228" t="str">
        <f t="shared" si="79"/>
        <v/>
      </c>
      <c r="D880" s="212" t="str">
        <f t="shared" si="77"/>
        <v/>
      </c>
      <c r="E880" s="212" t="str">
        <f t="shared" ca="1" si="80"/>
        <v/>
      </c>
      <c r="F880" s="212" t="str">
        <f t="shared" ca="1" si="80"/>
        <v/>
      </c>
      <c r="G880" s="212" t="str">
        <f t="shared" ca="1" si="80"/>
        <v/>
      </c>
      <c r="H880" s="212" t="str">
        <f t="shared" ca="1" si="78"/>
        <v/>
      </c>
      <c r="I880" s="212" t="str">
        <f t="shared" ca="1" si="78"/>
        <v/>
      </c>
      <c r="J880" s="212" t="str">
        <f t="shared" ca="1" si="78"/>
        <v/>
      </c>
    </row>
    <row r="881" spans="2:10" x14ac:dyDescent="0.15">
      <c r="B881" s="213" t="str">
        <f t="shared" si="81"/>
        <v/>
      </c>
      <c r="C881" s="228" t="str">
        <f t="shared" si="79"/>
        <v/>
      </c>
      <c r="D881" s="212" t="str">
        <f t="shared" si="77"/>
        <v/>
      </c>
      <c r="E881" s="212" t="str">
        <f t="shared" ca="1" si="80"/>
        <v/>
      </c>
      <c r="F881" s="212" t="str">
        <f t="shared" ca="1" si="80"/>
        <v/>
      </c>
      <c r="G881" s="212" t="str">
        <f t="shared" ca="1" si="80"/>
        <v/>
      </c>
      <c r="H881" s="212" t="str">
        <f t="shared" ca="1" si="78"/>
        <v/>
      </c>
      <c r="I881" s="212" t="str">
        <f t="shared" ca="1" si="78"/>
        <v/>
      </c>
      <c r="J881" s="212" t="str">
        <f t="shared" ca="1" si="78"/>
        <v/>
      </c>
    </row>
    <row r="882" spans="2:10" x14ac:dyDescent="0.15">
      <c r="B882" s="213" t="str">
        <f t="shared" si="81"/>
        <v/>
      </c>
      <c r="C882" s="228" t="str">
        <f t="shared" si="79"/>
        <v/>
      </c>
      <c r="D882" s="212" t="str">
        <f t="shared" si="77"/>
        <v/>
      </c>
      <c r="E882" s="212" t="str">
        <f t="shared" ca="1" si="80"/>
        <v/>
      </c>
      <c r="F882" s="212" t="str">
        <f t="shared" ca="1" si="80"/>
        <v/>
      </c>
      <c r="G882" s="212" t="str">
        <f t="shared" ca="1" si="80"/>
        <v/>
      </c>
      <c r="H882" s="212" t="str">
        <f t="shared" ca="1" si="78"/>
        <v/>
      </c>
      <c r="I882" s="212" t="str">
        <f t="shared" ca="1" si="78"/>
        <v/>
      </c>
      <c r="J882" s="212" t="str">
        <f t="shared" ca="1" si="78"/>
        <v/>
      </c>
    </row>
    <row r="883" spans="2:10" x14ac:dyDescent="0.15">
      <c r="B883" s="213" t="str">
        <f t="shared" si="81"/>
        <v/>
      </c>
      <c r="C883" s="228" t="str">
        <f t="shared" si="79"/>
        <v/>
      </c>
      <c r="D883" s="212" t="str">
        <f t="shared" si="77"/>
        <v/>
      </c>
      <c r="E883" s="212" t="str">
        <f t="shared" ca="1" si="80"/>
        <v/>
      </c>
      <c r="F883" s="212" t="str">
        <f t="shared" ca="1" si="80"/>
        <v/>
      </c>
      <c r="G883" s="212" t="str">
        <f t="shared" ca="1" si="80"/>
        <v/>
      </c>
      <c r="H883" s="212" t="str">
        <f t="shared" ca="1" si="78"/>
        <v/>
      </c>
      <c r="I883" s="212" t="str">
        <f t="shared" ca="1" si="78"/>
        <v/>
      </c>
      <c r="J883" s="212" t="str">
        <f t="shared" ca="1" si="78"/>
        <v/>
      </c>
    </row>
    <row r="884" spans="2:10" x14ac:dyDescent="0.15">
      <c r="B884" s="213" t="str">
        <f t="shared" si="81"/>
        <v/>
      </c>
      <c r="C884" s="228" t="str">
        <f t="shared" si="79"/>
        <v/>
      </c>
      <c r="D884" s="212" t="str">
        <f t="shared" si="77"/>
        <v/>
      </c>
      <c r="E884" s="212" t="str">
        <f t="shared" ca="1" si="80"/>
        <v/>
      </c>
      <c r="F884" s="212" t="str">
        <f t="shared" ca="1" si="80"/>
        <v/>
      </c>
      <c r="G884" s="212" t="str">
        <f t="shared" ca="1" si="80"/>
        <v/>
      </c>
      <c r="H884" s="212" t="str">
        <f t="shared" ca="1" si="78"/>
        <v/>
      </c>
      <c r="I884" s="212" t="str">
        <f t="shared" ca="1" si="78"/>
        <v/>
      </c>
      <c r="J884" s="212" t="str">
        <f t="shared" ca="1" si="78"/>
        <v/>
      </c>
    </row>
    <row r="885" spans="2:10" x14ac:dyDescent="0.15">
      <c r="B885" s="213" t="str">
        <f t="shared" si="81"/>
        <v/>
      </c>
      <c r="C885" s="228" t="str">
        <f t="shared" si="79"/>
        <v/>
      </c>
      <c r="D885" s="212" t="str">
        <f t="shared" si="77"/>
        <v/>
      </c>
      <c r="E885" s="212" t="str">
        <f t="shared" ca="1" si="80"/>
        <v/>
      </c>
      <c r="F885" s="212" t="str">
        <f t="shared" ca="1" si="80"/>
        <v/>
      </c>
      <c r="G885" s="212" t="str">
        <f t="shared" ca="1" si="80"/>
        <v/>
      </c>
      <c r="H885" s="212" t="str">
        <f t="shared" ca="1" si="78"/>
        <v/>
      </c>
      <c r="I885" s="212" t="str">
        <f t="shared" ca="1" si="78"/>
        <v/>
      </c>
      <c r="J885" s="212" t="str">
        <f t="shared" ca="1" si="78"/>
        <v/>
      </c>
    </row>
    <row r="886" spans="2:10" x14ac:dyDescent="0.15">
      <c r="B886" s="213" t="str">
        <f t="shared" si="81"/>
        <v/>
      </c>
      <c r="C886" s="228" t="str">
        <f t="shared" si="79"/>
        <v/>
      </c>
      <c r="D886" s="212" t="str">
        <f t="shared" si="77"/>
        <v/>
      </c>
      <c r="E886" s="212" t="str">
        <f t="shared" ca="1" si="80"/>
        <v/>
      </c>
      <c r="F886" s="212" t="str">
        <f t="shared" ca="1" si="80"/>
        <v/>
      </c>
      <c r="G886" s="212" t="str">
        <f t="shared" ca="1" si="80"/>
        <v/>
      </c>
      <c r="H886" s="212" t="str">
        <f t="shared" ca="1" si="78"/>
        <v/>
      </c>
      <c r="I886" s="212" t="str">
        <f t="shared" ca="1" si="78"/>
        <v/>
      </c>
      <c r="J886" s="212" t="str">
        <f t="shared" ca="1" si="78"/>
        <v/>
      </c>
    </row>
    <row r="887" spans="2:10" x14ac:dyDescent="0.15">
      <c r="B887" s="213" t="str">
        <f t="shared" si="81"/>
        <v/>
      </c>
      <c r="C887" s="228" t="str">
        <f t="shared" si="79"/>
        <v/>
      </c>
      <c r="D887" s="212" t="str">
        <f t="shared" si="77"/>
        <v/>
      </c>
      <c r="E887" s="212" t="str">
        <f t="shared" ca="1" si="80"/>
        <v/>
      </c>
      <c r="F887" s="212" t="str">
        <f t="shared" ca="1" si="80"/>
        <v/>
      </c>
      <c r="G887" s="212" t="str">
        <f t="shared" ca="1" si="80"/>
        <v/>
      </c>
      <c r="H887" s="212" t="str">
        <f t="shared" ca="1" si="78"/>
        <v/>
      </c>
      <c r="I887" s="212" t="str">
        <f t="shared" ca="1" si="78"/>
        <v/>
      </c>
      <c r="J887" s="212" t="str">
        <f t="shared" ca="1" si="78"/>
        <v/>
      </c>
    </row>
    <row r="888" spans="2:10" x14ac:dyDescent="0.15">
      <c r="B888" s="213" t="str">
        <f t="shared" si="81"/>
        <v/>
      </c>
      <c r="C888" s="228" t="str">
        <f t="shared" si="79"/>
        <v/>
      </c>
      <c r="D888" s="212" t="str">
        <f t="shared" si="77"/>
        <v/>
      </c>
      <c r="E888" s="212" t="str">
        <f t="shared" ca="1" si="80"/>
        <v/>
      </c>
      <c r="F888" s="212" t="str">
        <f t="shared" ca="1" si="80"/>
        <v/>
      </c>
      <c r="G888" s="212" t="str">
        <f t="shared" ca="1" si="80"/>
        <v/>
      </c>
      <c r="H888" s="212" t="str">
        <f t="shared" ca="1" si="78"/>
        <v/>
      </c>
      <c r="I888" s="212" t="str">
        <f t="shared" ca="1" si="78"/>
        <v/>
      </c>
      <c r="J888" s="212" t="str">
        <f t="shared" ca="1" si="78"/>
        <v/>
      </c>
    </row>
    <row r="889" spans="2:10" x14ac:dyDescent="0.15">
      <c r="B889" s="213" t="str">
        <f t="shared" si="81"/>
        <v/>
      </c>
      <c r="C889" s="228" t="str">
        <f t="shared" si="79"/>
        <v/>
      </c>
      <c r="D889" s="212" t="str">
        <f t="shared" si="77"/>
        <v/>
      </c>
      <c r="E889" s="212" t="str">
        <f t="shared" ca="1" si="80"/>
        <v/>
      </c>
      <c r="F889" s="212" t="str">
        <f t="shared" ca="1" si="80"/>
        <v/>
      </c>
      <c r="G889" s="212" t="str">
        <f t="shared" ca="1" si="80"/>
        <v/>
      </c>
      <c r="H889" s="212" t="str">
        <f t="shared" ca="1" si="78"/>
        <v/>
      </c>
      <c r="I889" s="212" t="str">
        <f t="shared" ca="1" si="78"/>
        <v/>
      </c>
      <c r="J889" s="212" t="str">
        <f t="shared" ca="1" si="78"/>
        <v/>
      </c>
    </row>
    <row r="890" spans="2:10" x14ac:dyDescent="0.15">
      <c r="B890" s="213" t="str">
        <f t="shared" si="81"/>
        <v/>
      </c>
      <c r="C890" s="228" t="str">
        <f t="shared" si="79"/>
        <v/>
      </c>
      <c r="D890" s="212" t="str">
        <f t="shared" si="77"/>
        <v/>
      </c>
      <c r="E890" s="212" t="str">
        <f t="shared" ca="1" si="80"/>
        <v/>
      </c>
      <c r="F890" s="212" t="str">
        <f t="shared" ca="1" si="80"/>
        <v/>
      </c>
      <c r="G890" s="212" t="str">
        <f t="shared" ca="1" si="80"/>
        <v/>
      </c>
      <c r="H890" s="212" t="str">
        <f t="shared" ca="1" si="78"/>
        <v/>
      </c>
      <c r="I890" s="212" t="str">
        <f t="shared" ca="1" si="78"/>
        <v/>
      </c>
      <c r="J890" s="212" t="str">
        <f t="shared" ca="1" si="78"/>
        <v/>
      </c>
    </row>
    <row r="891" spans="2:10" x14ac:dyDescent="0.15">
      <c r="B891" s="213" t="str">
        <f t="shared" si="81"/>
        <v/>
      </c>
      <c r="C891" s="228" t="str">
        <f t="shared" si="79"/>
        <v/>
      </c>
      <c r="D891" s="212" t="str">
        <f t="shared" si="77"/>
        <v/>
      </c>
      <c r="E891" s="212" t="str">
        <f t="shared" ca="1" si="80"/>
        <v/>
      </c>
      <c r="F891" s="212" t="str">
        <f t="shared" ca="1" si="80"/>
        <v/>
      </c>
      <c r="G891" s="212" t="str">
        <f t="shared" ca="1" si="80"/>
        <v/>
      </c>
      <c r="H891" s="212" t="str">
        <f t="shared" ca="1" si="78"/>
        <v/>
      </c>
      <c r="I891" s="212" t="str">
        <f t="shared" ca="1" si="78"/>
        <v/>
      </c>
      <c r="J891" s="212" t="str">
        <f t="shared" ca="1" si="78"/>
        <v/>
      </c>
    </row>
    <row r="892" spans="2:10" x14ac:dyDescent="0.15">
      <c r="B892" s="213" t="str">
        <f t="shared" si="81"/>
        <v/>
      </c>
      <c r="C892" s="228" t="str">
        <f t="shared" si="79"/>
        <v/>
      </c>
      <c r="D892" s="212" t="str">
        <f t="shared" si="77"/>
        <v/>
      </c>
      <c r="E892" s="212" t="str">
        <f t="shared" ca="1" si="80"/>
        <v/>
      </c>
      <c r="F892" s="212" t="str">
        <f t="shared" ca="1" si="80"/>
        <v/>
      </c>
      <c r="G892" s="212" t="str">
        <f t="shared" ca="1" si="80"/>
        <v/>
      </c>
      <c r="H892" s="212" t="str">
        <f t="shared" ca="1" si="78"/>
        <v/>
      </c>
      <c r="I892" s="212" t="str">
        <f t="shared" ca="1" si="78"/>
        <v/>
      </c>
      <c r="J892" s="212" t="str">
        <f t="shared" ca="1" si="78"/>
        <v/>
      </c>
    </row>
    <row r="893" spans="2:10" x14ac:dyDescent="0.15">
      <c r="B893" s="213" t="str">
        <f t="shared" si="81"/>
        <v/>
      </c>
      <c r="C893" s="228" t="str">
        <f t="shared" si="79"/>
        <v/>
      </c>
      <c r="D893" s="212" t="str">
        <f t="shared" si="77"/>
        <v/>
      </c>
      <c r="E893" s="212" t="str">
        <f t="shared" ca="1" si="80"/>
        <v/>
      </c>
      <c r="F893" s="212" t="str">
        <f t="shared" ca="1" si="80"/>
        <v/>
      </c>
      <c r="G893" s="212" t="str">
        <f t="shared" ca="1" si="80"/>
        <v/>
      </c>
      <c r="H893" s="212" t="str">
        <f t="shared" ca="1" si="78"/>
        <v/>
      </c>
      <c r="I893" s="212" t="str">
        <f t="shared" ca="1" si="78"/>
        <v/>
      </c>
      <c r="J893" s="212" t="str">
        <f t="shared" ca="1" si="78"/>
        <v/>
      </c>
    </row>
    <row r="894" spans="2:10" x14ac:dyDescent="0.15">
      <c r="B894" s="213" t="str">
        <f t="shared" si="81"/>
        <v/>
      </c>
      <c r="C894" s="228" t="str">
        <f t="shared" si="79"/>
        <v/>
      </c>
      <c r="D894" s="212" t="str">
        <f t="shared" si="77"/>
        <v/>
      </c>
      <c r="E894" s="212" t="str">
        <f t="shared" ca="1" si="80"/>
        <v/>
      </c>
      <c r="F894" s="212" t="str">
        <f t="shared" ca="1" si="80"/>
        <v/>
      </c>
      <c r="G894" s="212" t="str">
        <f t="shared" ca="1" si="80"/>
        <v/>
      </c>
      <c r="H894" s="212" t="str">
        <f t="shared" ca="1" si="78"/>
        <v/>
      </c>
      <c r="I894" s="212" t="str">
        <f t="shared" ca="1" si="78"/>
        <v/>
      </c>
      <c r="J894" s="212" t="str">
        <f t="shared" ca="1" si="78"/>
        <v/>
      </c>
    </row>
    <row r="895" spans="2:10" x14ac:dyDescent="0.15">
      <c r="B895" s="213" t="str">
        <f t="shared" si="81"/>
        <v/>
      </c>
      <c r="C895" s="228" t="str">
        <f t="shared" si="79"/>
        <v/>
      </c>
      <c r="D895" s="212" t="str">
        <f t="shared" si="77"/>
        <v/>
      </c>
      <c r="E895" s="212" t="str">
        <f t="shared" ca="1" si="80"/>
        <v/>
      </c>
      <c r="F895" s="212" t="str">
        <f t="shared" ca="1" si="80"/>
        <v/>
      </c>
      <c r="G895" s="212" t="str">
        <f t="shared" ca="1" si="80"/>
        <v/>
      </c>
      <c r="H895" s="212" t="str">
        <f t="shared" ca="1" si="78"/>
        <v/>
      </c>
      <c r="I895" s="212" t="str">
        <f t="shared" ca="1" si="78"/>
        <v/>
      </c>
      <c r="J895" s="212" t="str">
        <f t="shared" ca="1" si="78"/>
        <v/>
      </c>
    </row>
    <row r="896" spans="2:10" x14ac:dyDescent="0.15">
      <c r="B896" s="213" t="str">
        <f t="shared" si="81"/>
        <v/>
      </c>
      <c r="C896" s="228" t="str">
        <f t="shared" si="79"/>
        <v/>
      </c>
      <c r="D896" s="212" t="str">
        <f t="shared" si="77"/>
        <v/>
      </c>
      <c r="E896" s="212" t="str">
        <f t="shared" ca="1" si="80"/>
        <v/>
      </c>
      <c r="F896" s="212" t="str">
        <f t="shared" ca="1" si="80"/>
        <v/>
      </c>
      <c r="G896" s="212" t="str">
        <f t="shared" ca="1" si="80"/>
        <v/>
      </c>
      <c r="H896" s="212" t="str">
        <f t="shared" ca="1" si="78"/>
        <v/>
      </c>
      <c r="I896" s="212" t="str">
        <f t="shared" ca="1" si="78"/>
        <v/>
      </c>
      <c r="J896" s="212" t="str">
        <f t="shared" ca="1" si="78"/>
        <v/>
      </c>
    </row>
    <row r="897" spans="2:10" x14ac:dyDescent="0.15">
      <c r="B897" s="213" t="str">
        <f t="shared" si="81"/>
        <v/>
      </c>
      <c r="C897" s="228" t="str">
        <f t="shared" si="79"/>
        <v/>
      </c>
      <c r="D897" s="212" t="str">
        <f t="shared" si="77"/>
        <v/>
      </c>
      <c r="E897" s="212" t="str">
        <f t="shared" ca="1" si="80"/>
        <v/>
      </c>
      <c r="F897" s="212" t="str">
        <f t="shared" ca="1" si="80"/>
        <v/>
      </c>
      <c r="G897" s="212" t="str">
        <f t="shared" ca="1" si="80"/>
        <v/>
      </c>
      <c r="H897" s="212" t="str">
        <f t="shared" ca="1" si="78"/>
        <v/>
      </c>
      <c r="I897" s="212" t="str">
        <f t="shared" ca="1" si="78"/>
        <v/>
      </c>
      <c r="J897" s="212" t="str">
        <f t="shared" ca="1" si="78"/>
        <v/>
      </c>
    </row>
    <row r="898" spans="2:10" x14ac:dyDescent="0.15">
      <c r="B898" s="213" t="str">
        <f t="shared" si="81"/>
        <v/>
      </c>
      <c r="C898" s="228" t="str">
        <f t="shared" si="79"/>
        <v/>
      </c>
      <c r="D898" s="212" t="str">
        <f t="shared" si="77"/>
        <v/>
      </c>
      <c r="E898" s="212" t="str">
        <f t="shared" ca="1" si="80"/>
        <v/>
      </c>
      <c r="F898" s="212" t="str">
        <f t="shared" ca="1" si="80"/>
        <v/>
      </c>
      <c r="G898" s="212" t="str">
        <f t="shared" ca="1" si="80"/>
        <v/>
      </c>
      <c r="H898" s="212" t="str">
        <f t="shared" ca="1" si="78"/>
        <v/>
      </c>
      <c r="I898" s="212" t="str">
        <f t="shared" ca="1" si="78"/>
        <v/>
      </c>
      <c r="J898" s="212" t="str">
        <f t="shared" ca="1" si="78"/>
        <v/>
      </c>
    </row>
    <row r="899" spans="2:10" x14ac:dyDescent="0.15">
      <c r="B899" s="213" t="str">
        <f t="shared" si="81"/>
        <v/>
      </c>
      <c r="C899" s="228" t="str">
        <f t="shared" si="79"/>
        <v/>
      </c>
      <c r="D899" s="212" t="str">
        <f t="shared" si="77"/>
        <v/>
      </c>
      <c r="E899" s="212" t="str">
        <f t="shared" ca="1" si="80"/>
        <v/>
      </c>
      <c r="F899" s="212" t="str">
        <f t="shared" ca="1" si="80"/>
        <v/>
      </c>
      <c r="G899" s="212" t="str">
        <f t="shared" ca="1" si="80"/>
        <v/>
      </c>
      <c r="H899" s="212" t="str">
        <f t="shared" ca="1" si="78"/>
        <v/>
      </c>
      <c r="I899" s="212" t="str">
        <f t="shared" ca="1" si="78"/>
        <v/>
      </c>
      <c r="J899" s="212" t="str">
        <f t="shared" ca="1" si="78"/>
        <v/>
      </c>
    </row>
    <row r="900" spans="2:10" x14ac:dyDescent="0.15">
      <c r="B900" s="213" t="str">
        <f t="shared" si="81"/>
        <v/>
      </c>
      <c r="C900" s="228" t="str">
        <f t="shared" si="79"/>
        <v/>
      </c>
      <c r="D900" s="212" t="str">
        <f t="shared" si="77"/>
        <v/>
      </c>
      <c r="E900" s="212" t="str">
        <f t="shared" ca="1" si="80"/>
        <v/>
      </c>
      <c r="F900" s="212" t="str">
        <f t="shared" ca="1" si="80"/>
        <v/>
      </c>
      <c r="G900" s="212" t="str">
        <f t="shared" ca="1" si="80"/>
        <v/>
      </c>
      <c r="H900" s="212" t="str">
        <f t="shared" ca="1" si="78"/>
        <v/>
      </c>
      <c r="I900" s="212" t="str">
        <f t="shared" ca="1" si="78"/>
        <v/>
      </c>
      <c r="J900" s="212" t="str">
        <f t="shared" ca="1" si="78"/>
        <v/>
      </c>
    </row>
    <row r="901" spans="2:10" x14ac:dyDescent="0.15">
      <c r="B901" s="213" t="str">
        <f t="shared" si="81"/>
        <v/>
      </c>
      <c r="C901" s="228" t="str">
        <f t="shared" si="79"/>
        <v/>
      </c>
      <c r="D901" s="212" t="str">
        <f t="shared" si="77"/>
        <v/>
      </c>
      <c r="E901" s="212" t="str">
        <f t="shared" ca="1" si="80"/>
        <v/>
      </c>
      <c r="F901" s="212" t="str">
        <f t="shared" ca="1" si="80"/>
        <v/>
      </c>
      <c r="G901" s="212" t="str">
        <f t="shared" ca="1" si="80"/>
        <v/>
      </c>
      <c r="H901" s="212" t="str">
        <f t="shared" ca="1" si="78"/>
        <v/>
      </c>
      <c r="I901" s="212" t="str">
        <f t="shared" ca="1" si="78"/>
        <v/>
      </c>
      <c r="J901" s="212" t="str">
        <f t="shared" ca="1" si="78"/>
        <v/>
      </c>
    </row>
    <row r="902" spans="2:10" x14ac:dyDescent="0.15">
      <c r="B902" s="213" t="str">
        <f t="shared" si="81"/>
        <v/>
      </c>
      <c r="C902" s="228" t="str">
        <f t="shared" si="79"/>
        <v/>
      </c>
      <c r="D902" s="212" t="str">
        <f t="shared" si="77"/>
        <v/>
      </c>
      <c r="E902" s="212" t="str">
        <f t="shared" ca="1" si="80"/>
        <v/>
      </c>
      <c r="F902" s="212" t="str">
        <f t="shared" ca="1" si="80"/>
        <v/>
      </c>
      <c r="G902" s="212" t="str">
        <f t="shared" ca="1" si="80"/>
        <v/>
      </c>
      <c r="H902" s="212" t="str">
        <f t="shared" ca="1" si="78"/>
        <v/>
      </c>
      <c r="I902" s="212" t="str">
        <f t="shared" ca="1" si="78"/>
        <v/>
      </c>
      <c r="J902" s="212" t="str">
        <f t="shared" ca="1" si="78"/>
        <v/>
      </c>
    </row>
    <row r="903" spans="2:10" x14ac:dyDescent="0.15">
      <c r="B903" s="213" t="str">
        <f t="shared" si="81"/>
        <v/>
      </c>
      <c r="C903" s="228" t="str">
        <f t="shared" si="79"/>
        <v/>
      </c>
      <c r="D903" s="212" t="str">
        <f t="shared" si="77"/>
        <v/>
      </c>
      <c r="E903" s="212" t="str">
        <f t="shared" ca="1" si="80"/>
        <v/>
      </c>
      <c r="F903" s="212" t="str">
        <f t="shared" ca="1" si="80"/>
        <v/>
      </c>
      <c r="G903" s="212" t="str">
        <f t="shared" ca="1" si="80"/>
        <v/>
      </c>
      <c r="H903" s="212" t="str">
        <f t="shared" ca="1" si="78"/>
        <v/>
      </c>
      <c r="I903" s="212" t="str">
        <f t="shared" ca="1" si="78"/>
        <v/>
      </c>
      <c r="J903" s="212" t="str">
        <f t="shared" ca="1" si="78"/>
        <v/>
      </c>
    </row>
    <row r="904" spans="2:10" x14ac:dyDescent="0.15">
      <c r="B904" s="213" t="str">
        <f t="shared" si="81"/>
        <v/>
      </c>
      <c r="C904" s="228" t="str">
        <f t="shared" si="79"/>
        <v/>
      </c>
      <c r="D904" s="212" t="str">
        <f t="shared" si="77"/>
        <v/>
      </c>
      <c r="E904" s="212" t="str">
        <f t="shared" ca="1" si="80"/>
        <v/>
      </c>
      <c r="F904" s="212" t="str">
        <f t="shared" ca="1" si="80"/>
        <v/>
      </c>
      <c r="G904" s="212" t="str">
        <f t="shared" ca="1" si="80"/>
        <v/>
      </c>
      <c r="H904" s="212" t="str">
        <f t="shared" ca="1" si="78"/>
        <v/>
      </c>
      <c r="I904" s="212" t="str">
        <f t="shared" ca="1" si="78"/>
        <v/>
      </c>
      <c r="J904" s="212" t="str">
        <f t="shared" ca="1" si="78"/>
        <v/>
      </c>
    </row>
    <row r="905" spans="2:10" x14ac:dyDescent="0.15">
      <c r="B905" s="213" t="str">
        <f t="shared" si="81"/>
        <v/>
      </c>
      <c r="C905" s="228" t="str">
        <f t="shared" si="79"/>
        <v/>
      </c>
      <c r="D905" s="212" t="str">
        <f t="shared" si="77"/>
        <v/>
      </c>
      <c r="E905" s="212" t="str">
        <f t="shared" ca="1" si="80"/>
        <v/>
      </c>
      <c r="F905" s="212" t="str">
        <f t="shared" ca="1" si="80"/>
        <v/>
      </c>
      <c r="G905" s="212" t="str">
        <f t="shared" ca="1" si="80"/>
        <v/>
      </c>
      <c r="H905" s="212" t="str">
        <f t="shared" ca="1" si="78"/>
        <v/>
      </c>
      <c r="I905" s="212" t="str">
        <f t="shared" ca="1" si="78"/>
        <v/>
      </c>
      <c r="J905" s="212" t="str">
        <f t="shared" ca="1" si="78"/>
        <v/>
      </c>
    </row>
    <row r="906" spans="2:10" x14ac:dyDescent="0.15">
      <c r="B906" s="213" t="str">
        <f t="shared" si="81"/>
        <v/>
      </c>
      <c r="C906" s="228" t="str">
        <f t="shared" si="79"/>
        <v/>
      </c>
      <c r="D906" s="212" t="str">
        <f t="shared" si="77"/>
        <v/>
      </c>
      <c r="E906" s="212" t="str">
        <f t="shared" ca="1" si="80"/>
        <v/>
      </c>
      <c r="F906" s="212" t="str">
        <f t="shared" ca="1" si="80"/>
        <v/>
      </c>
      <c r="G906" s="212" t="str">
        <f t="shared" ca="1" si="80"/>
        <v/>
      </c>
      <c r="H906" s="212" t="str">
        <f t="shared" ca="1" si="78"/>
        <v/>
      </c>
      <c r="I906" s="212" t="str">
        <f t="shared" ca="1" si="78"/>
        <v/>
      </c>
      <c r="J906" s="212" t="str">
        <f t="shared" ca="1" si="78"/>
        <v/>
      </c>
    </row>
    <row r="907" spans="2:10" x14ac:dyDescent="0.15">
      <c r="B907" s="213" t="str">
        <f t="shared" si="81"/>
        <v/>
      </c>
      <c r="C907" s="228" t="str">
        <f t="shared" si="79"/>
        <v/>
      </c>
      <c r="D907" s="212" t="str">
        <f t="shared" si="77"/>
        <v/>
      </c>
      <c r="E907" s="212" t="str">
        <f t="shared" ca="1" si="80"/>
        <v/>
      </c>
      <c r="F907" s="212" t="str">
        <f t="shared" ca="1" si="80"/>
        <v/>
      </c>
      <c r="G907" s="212" t="str">
        <f t="shared" ca="1" si="80"/>
        <v/>
      </c>
      <c r="H907" s="212" t="str">
        <f t="shared" ca="1" si="78"/>
        <v/>
      </c>
      <c r="I907" s="212" t="str">
        <f t="shared" ca="1" si="78"/>
        <v/>
      </c>
      <c r="J907" s="212" t="str">
        <f t="shared" ca="1" si="78"/>
        <v/>
      </c>
    </row>
    <row r="908" spans="2:10" x14ac:dyDescent="0.15">
      <c r="B908" s="213" t="str">
        <f t="shared" si="81"/>
        <v/>
      </c>
      <c r="C908" s="228" t="str">
        <f t="shared" si="79"/>
        <v/>
      </c>
      <c r="D908" s="212" t="str">
        <f t="shared" si="77"/>
        <v/>
      </c>
      <c r="E908" s="212" t="str">
        <f t="shared" ca="1" si="80"/>
        <v/>
      </c>
      <c r="F908" s="212" t="str">
        <f t="shared" ca="1" si="80"/>
        <v/>
      </c>
      <c r="G908" s="212" t="str">
        <f t="shared" ca="1" si="80"/>
        <v/>
      </c>
      <c r="H908" s="212" t="str">
        <f t="shared" ca="1" si="78"/>
        <v/>
      </c>
      <c r="I908" s="212" t="str">
        <f t="shared" ca="1" si="78"/>
        <v/>
      </c>
      <c r="J908" s="212" t="str">
        <f t="shared" ca="1" si="78"/>
        <v/>
      </c>
    </row>
    <row r="909" spans="2:10" x14ac:dyDescent="0.15">
      <c r="B909" s="213" t="str">
        <f t="shared" si="81"/>
        <v/>
      </c>
      <c r="C909" s="228" t="str">
        <f t="shared" si="79"/>
        <v/>
      </c>
      <c r="D909" s="212" t="str">
        <f t="shared" si="77"/>
        <v/>
      </c>
      <c r="E909" s="212" t="str">
        <f t="shared" ca="1" si="80"/>
        <v/>
      </c>
      <c r="F909" s="212" t="str">
        <f t="shared" ca="1" si="80"/>
        <v/>
      </c>
      <c r="G909" s="212" t="str">
        <f t="shared" ca="1" si="80"/>
        <v/>
      </c>
      <c r="H909" s="212" t="str">
        <f t="shared" ca="1" si="78"/>
        <v/>
      </c>
      <c r="I909" s="212" t="str">
        <f t="shared" ca="1" si="78"/>
        <v/>
      </c>
      <c r="J909" s="212" t="str">
        <f t="shared" ca="1" si="78"/>
        <v/>
      </c>
    </row>
    <row r="910" spans="2:10" x14ac:dyDescent="0.15">
      <c r="B910" s="213" t="str">
        <f t="shared" si="81"/>
        <v/>
      </c>
      <c r="C910" s="228" t="str">
        <f t="shared" si="79"/>
        <v/>
      </c>
      <c r="D910" s="212" t="str">
        <f t="shared" si="77"/>
        <v/>
      </c>
      <c r="E910" s="212" t="str">
        <f t="shared" ca="1" si="80"/>
        <v/>
      </c>
      <c r="F910" s="212" t="str">
        <f t="shared" ca="1" si="80"/>
        <v/>
      </c>
      <c r="G910" s="212" t="str">
        <f t="shared" ca="1" si="80"/>
        <v/>
      </c>
      <c r="H910" s="212" t="str">
        <f t="shared" ca="1" si="78"/>
        <v/>
      </c>
      <c r="I910" s="212" t="str">
        <f t="shared" ca="1" si="78"/>
        <v/>
      </c>
      <c r="J910" s="212" t="str">
        <f t="shared" ca="1" si="78"/>
        <v/>
      </c>
    </row>
    <row r="911" spans="2:10" x14ac:dyDescent="0.15">
      <c r="B911" s="213" t="str">
        <f t="shared" si="81"/>
        <v/>
      </c>
      <c r="C911" s="228" t="str">
        <f t="shared" si="79"/>
        <v/>
      </c>
      <c r="D911" s="212" t="str">
        <f t="shared" si="77"/>
        <v/>
      </c>
      <c r="E911" s="212" t="str">
        <f t="shared" ca="1" si="80"/>
        <v/>
      </c>
      <c r="F911" s="212" t="str">
        <f t="shared" ca="1" si="80"/>
        <v/>
      </c>
      <c r="G911" s="212" t="str">
        <f t="shared" ca="1" si="80"/>
        <v/>
      </c>
      <c r="H911" s="212" t="str">
        <f t="shared" ca="1" si="78"/>
        <v/>
      </c>
      <c r="I911" s="212" t="str">
        <f t="shared" ca="1" si="78"/>
        <v/>
      </c>
      <c r="J911" s="212" t="str">
        <f t="shared" ca="1" si="78"/>
        <v/>
      </c>
    </row>
    <row r="912" spans="2:10" x14ac:dyDescent="0.15">
      <c r="B912" s="213" t="str">
        <f t="shared" si="81"/>
        <v/>
      </c>
      <c r="C912" s="228" t="str">
        <f t="shared" si="79"/>
        <v/>
      </c>
      <c r="D912" s="212" t="str">
        <f t="shared" si="77"/>
        <v/>
      </c>
      <c r="E912" s="212" t="str">
        <f t="shared" ca="1" si="80"/>
        <v/>
      </c>
      <c r="F912" s="212" t="str">
        <f t="shared" ca="1" si="80"/>
        <v/>
      </c>
      <c r="G912" s="212" t="str">
        <f t="shared" ca="1" si="80"/>
        <v/>
      </c>
      <c r="H912" s="212" t="str">
        <f t="shared" ca="1" si="78"/>
        <v/>
      </c>
      <c r="I912" s="212" t="str">
        <f t="shared" ca="1" si="78"/>
        <v/>
      </c>
      <c r="J912" s="212" t="str">
        <f t="shared" ca="1" si="78"/>
        <v/>
      </c>
    </row>
    <row r="913" spans="2:10" x14ac:dyDescent="0.15">
      <c r="B913" s="213" t="str">
        <f t="shared" si="81"/>
        <v/>
      </c>
      <c r="C913" s="228" t="str">
        <f t="shared" si="79"/>
        <v/>
      </c>
      <c r="D913" s="212" t="str">
        <f t="shared" si="77"/>
        <v/>
      </c>
      <c r="E913" s="212" t="str">
        <f t="shared" ca="1" si="80"/>
        <v/>
      </c>
      <c r="F913" s="212" t="str">
        <f t="shared" ca="1" si="80"/>
        <v/>
      </c>
      <c r="G913" s="212" t="str">
        <f t="shared" ca="1" si="80"/>
        <v/>
      </c>
      <c r="H913" s="212" t="str">
        <f t="shared" ca="1" si="78"/>
        <v/>
      </c>
      <c r="I913" s="212" t="str">
        <f t="shared" ca="1" si="78"/>
        <v/>
      </c>
      <c r="J913" s="212" t="str">
        <f t="shared" ca="1" si="78"/>
        <v/>
      </c>
    </row>
    <row r="914" spans="2:10" x14ac:dyDescent="0.15">
      <c r="B914" s="213" t="str">
        <f t="shared" si="81"/>
        <v/>
      </c>
      <c r="C914" s="228" t="str">
        <f t="shared" si="79"/>
        <v/>
      </c>
      <c r="D914" s="212" t="str">
        <f t="shared" si="77"/>
        <v/>
      </c>
      <c r="E914" s="212" t="str">
        <f t="shared" ca="1" si="80"/>
        <v/>
      </c>
      <c r="F914" s="212" t="str">
        <f t="shared" ca="1" si="80"/>
        <v/>
      </c>
      <c r="G914" s="212" t="str">
        <f t="shared" ca="1" si="80"/>
        <v/>
      </c>
      <c r="H914" s="212" t="str">
        <f t="shared" ca="1" si="78"/>
        <v/>
      </c>
      <c r="I914" s="212" t="str">
        <f t="shared" ca="1" si="78"/>
        <v/>
      </c>
      <c r="J914" s="212" t="str">
        <f t="shared" ca="1" si="78"/>
        <v/>
      </c>
    </row>
    <row r="915" spans="2:10" x14ac:dyDescent="0.15">
      <c r="B915" s="213" t="str">
        <f t="shared" si="81"/>
        <v/>
      </c>
      <c r="C915" s="228" t="str">
        <f t="shared" si="79"/>
        <v/>
      </c>
      <c r="D915" s="212" t="str">
        <f t="shared" si="77"/>
        <v/>
      </c>
      <c r="E915" s="212" t="str">
        <f t="shared" ca="1" si="80"/>
        <v/>
      </c>
      <c r="F915" s="212" t="str">
        <f t="shared" ca="1" si="80"/>
        <v/>
      </c>
      <c r="G915" s="212" t="str">
        <f t="shared" ca="1" si="80"/>
        <v/>
      </c>
      <c r="H915" s="212" t="str">
        <f t="shared" ca="1" si="78"/>
        <v/>
      </c>
      <c r="I915" s="212" t="str">
        <f t="shared" ca="1" si="78"/>
        <v/>
      </c>
      <c r="J915" s="212" t="str">
        <f t="shared" ca="1" si="78"/>
        <v/>
      </c>
    </row>
    <row r="916" spans="2:10" x14ac:dyDescent="0.15">
      <c r="B916" s="213" t="str">
        <f t="shared" si="81"/>
        <v/>
      </c>
      <c r="C916" s="228" t="str">
        <f t="shared" si="79"/>
        <v/>
      </c>
      <c r="D916" s="212" t="str">
        <f t="shared" si="77"/>
        <v/>
      </c>
      <c r="E916" s="212" t="str">
        <f t="shared" ca="1" si="80"/>
        <v/>
      </c>
      <c r="F916" s="212" t="str">
        <f t="shared" ca="1" si="80"/>
        <v/>
      </c>
      <c r="G916" s="212" t="str">
        <f t="shared" ca="1" si="80"/>
        <v/>
      </c>
      <c r="H916" s="212" t="str">
        <f t="shared" ca="1" si="78"/>
        <v/>
      </c>
      <c r="I916" s="212" t="str">
        <f t="shared" ca="1" si="78"/>
        <v/>
      </c>
      <c r="J916" s="212" t="str">
        <f t="shared" ca="1" si="78"/>
        <v/>
      </c>
    </row>
    <row r="917" spans="2:10" x14ac:dyDescent="0.15">
      <c r="B917" s="213" t="str">
        <f t="shared" si="81"/>
        <v/>
      </c>
      <c r="C917" s="228" t="str">
        <f t="shared" si="79"/>
        <v/>
      </c>
      <c r="D917" s="212" t="str">
        <f t="shared" si="77"/>
        <v/>
      </c>
      <c r="E917" s="212" t="str">
        <f t="shared" ca="1" si="80"/>
        <v/>
      </c>
      <c r="F917" s="212" t="str">
        <f t="shared" ca="1" si="80"/>
        <v/>
      </c>
      <c r="G917" s="212" t="str">
        <f t="shared" ca="1" si="80"/>
        <v/>
      </c>
      <c r="H917" s="212" t="str">
        <f t="shared" ca="1" si="78"/>
        <v/>
      </c>
      <c r="I917" s="212" t="str">
        <f t="shared" ca="1" si="78"/>
        <v/>
      </c>
      <c r="J917" s="212" t="str">
        <f t="shared" ca="1" si="78"/>
        <v/>
      </c>
    </row>
    <row r="918" spans="2:10" x14ac:dyDescent="0.15">
      <c r="B918" s="213" t="str">
        <f t="shared" si="81"/>
        <v/>
      </c>
      <c r="C918" s="228" t="str">
        <f t="shared" si="79"/>
        <v/>
      </c>
      <c r="D918" s="212" t="str">
        <f t="shared" si="77"/>
        <v/>
      </c>
      <c r="E918" s="212" t="str">
        <f t="shared" ca="1" si="80"/>
        <v/>
      </c>
      <c r="F918" s="212" t="str">
        <f t="shared" ca="1" si="80"/>
        <v/>
      </c>
      <c r="G918" s="212" t="str">
        <f t="shared" ca="1" si="80"/>
        <v/>
      </c>
      <c r="H918" s="212" t="str">
        <f t="shared" ca="1" si="78"/>
        <v/>
      </c>
      <c r="I918" s="212" t="str">
        <f t="shared" ca="1" si="78"/>
        <v/>
      </c>
      <c r="J918" s="212" t="str">
        <f t="shared" ca="1" si="78"/>
        <v/>
      </c>
    </row>
    <row r="919" spans="2:10" x14ac:dyDescent="0.15">
      <c r="B919" s="213" t="str">
        <f t="shared" si="81"/>
        <v/>
      </c>
      <c r="C919" s="228" t="str">
        <f t="shared" si="79"/>
        <v/>
      </c>
      <c r="D919" s="212" t="str">
        <f t="shared" si="77"/>
        <v/>
      </c>
      <c r="E919" s="212" t="str">
        <f t="shared" ca="1" si="80"/>
        <v/>
      </c>
      <c r="F919" s="212" t="str">
        <f t="shared" ca="1" si="80"/>
        <v/>
      </c>
      <c r="G919" s="212" t="str">
        <f t="shared" ca="1" si="80"/>
        <v/>
      </c>
      <c r="H919" s="212" t="str">
        <f t="shared" ca="1" si="78"/>
        <v/>
      </c>
      <c r="I919" s="212" t="str">
        <f t="shared" ca="1" si="78"/>
        <v/>
      </c>
      <c r="J919" s="212" t="str">
        <f t="shared" ca="1" si="78"/>
        <v/>
      </c>
    </row>
    <row r="920" spans="2:10" x14ac:dyDescent="0.15">
      <c r="B920" s="213" t="str">
        <f t="shared" si="81"/>
        <v/>
      </c>
      <c r="C920" s="228" t="str">
        <f t="shared" si="79"/>
        <v/>
      </c>
      <c r="D920" s="212" t="str">
        <f t="shared" si="77"/>
        <v/>
      </c>
      <c r="E920" s="212" t="str">
        <f t="shared" ca="1" si="80"/>
        <v/>
      </c>
      <c r="F920" s="212" t="str">
        <f t="shared" ca="1" si="80"/>
        <v/>
      </c>
      <c r="G920" s="212" t="str">
        <f t="shared" ca="1" si="80"/>
        <v/>
      </c>
      <c r="H920" s="212" t="str">
        <f t="shared" ca="1" si="78"/>
        <v/>
      </c>
      <c r="I920" s="212" t="str">
        <f t="shared" ca="1" si="78"/>
        <v/>
      </c>
      <c r="J920" s="212" t="str">
        <f t="shared" ca="1" si="78"/>
        <v/>
      </c>
    </row>
    <row r="921" spans="2:10" x14ac:dyDescent="0.15">
      <c r="B921" s="213" t="str">
        <f t="shared" si="81"/>
        <v/>
      </c>
      <c r="C921" s="228" t="str">
        <f t="shared" si="79"/>
        <v/>
      </c>
      <c r="D921" s="212" t="str">
        <f t="shared" si="77"/>
        <v/>
      </c>
      <c r="E921" s="212" t="str">
        <f t="shared" ca="1" si="80"/>
        <v/>
      </c>
      <c r="F921" s="212" t="str">
        <f t="shared" ca="1" si="80"/>
        <v/>
      </c>
      <c r="G921" s="212" t="str">
        <f t="shared" ca="1" si="80"/>
        <v/>
      </c>
      <c r="H921" s="212" t="str">
        <f t="shared" ca="1" si="78"/>
        <v/>
      </c>
      <c r="I921" s="212" t="str">
        <f t="shared" ca="1" si="78"/>
        <v/>
      </c>
      <c r="J921" s="212" t="str">
        <f t="shared" ca="1" si="78"/>
        <v/>
      </c>
    </row>
    <row r="922" spans="2:10" x14ac:dyDescent="0.15">
      <c r="B922" s="213" t="str">
        <f t="shared" si="81"/>
        <v/>
      </c>
      <c r="C922" s="228" t="str">
        <f t="shared" si="79"/>
        <v/>
      </c>
      <c r="D922" s="212" t="str">
        <f t="shared" ref="D922:D985" si="82">IF(B922="","",IF(B923="",SUMIFS(Amount,Timestamp,"&gt;="&amp;B922),SUMIFS(Amount,Timestamp,"&gt;="&amp;B922,Timestamp,"&lt;"&amp;B923)))</f>
        <v/>
      </c>
      <c r="E922" s="212" t="str">
        <f t="shared" ca="1" si="80"/>
        <v/>
      </c>
      <c r="F922" s="212" t="str">
        <f t="shared" ca="1" si="80"/>
        <v/>
      </c>
      <c r="G922" s="212" t="str">
        <f t="shared" ca="1" si="80"/>
        <v/>
      </c>
      <c r="H922" s="212" t="str">
        <f t="shared" ca="1" si="80"/>
        <v/>
      </c>
      <c r="I922" s="212" t="str">
        <f t="shared" ca="1" si="80"/>
        <v/>
      </c>
      <c r="J922" s="212" t="str">
        <f t="shared" ca="1" si="80"/>
        <v/>
      </c>
    </row>
    <row r="923" spans="2:10" x14ac:dyDescent="0.15">
      <c r="B923" s="213" t="str">
        <f t="shared" si="81"/>
        <v/>
      </c>
      <c r="C923" s="228" t="str">
        <f t="shared" ref="C923:C986" si="83">IF(B923="","",TEXT(B923,"dddd"))</f>
        <v/>
      </c>
      <c r="D923" s="212" t="str">
        <f t="shared" si="82"/>
        <v/>
      </c>
      <c r="E923" s="212" t="str">
        <f t="shared" ref="E923:H986" ca="1" si="84">IF($B923="","",IF($B923+E$24-1&gt;$E$5,"",SUM(OFFSET($D923,0,0,E$24,1))))</f>
        <v/>
      </c>
      <c r="F923" s="212" t="str">
        <f t="shared" ca="1" si="84"/>
        <v/>
      </c>
      <c r="G923" s="212" t="str">
        <f t="shared" ca="1" si="84"/>
        <v/>
      </c>
      <c r="H923" s="212" t="str">
        <f t="shared" ca="1" si="84"/>
        <v/>
      </c>
      <c r="I923" s="212" t="str">
        <f t="shared" ref="I923:J986" ca="1" si="85">IF($B923="","",IF($B923+I$24-1&gt;$E$5,"",SUM(OFFSET($D923,0,0,I$24,1))))</f>
        <v/>
      </c>
      <c r="J923" s="212" t="str">
        <f t="shared" ca="1" si="85"/>
        <v/>
      </c>
    </row>
    <row r="924" spans="2:10" x14ac:dyDescent="0.15">
      <c r="B924" s="213" t="str">
        <f t="shared" si="81"/>
        <v/>
      </c>
      <c r="C924" s="228" t="str">
        <f t="shared" si="83"/>
        <v/>
      </c>
      <c r="D924" s="212" t="str">
        <f t="shared" si="82"/>
        <v/>
      </c>
      <c r="E924" s="212" t="str">
        <f t="shared" ca="1" si="84"/>
        <v/>
      </c>
      <c r="F924" s="212" t="str">
        <f t="shared" ca="1" si="84"/>
        <v/>
      </c>
      <c r="G924" s="212" t="str">
        <f t="shared" ca="1" si="84"/>
        <v/>
      </c>
      <c r="H924" s="212" t="str">
        <f t="shared" ca="1" si="84"/>
        <v/>
      </c>
      <c r="I924" s="212" t="str">
        <f t="shared" ca="1" si="85"/>
        <v/>
      </c>
      <c r="J924" s="212" t="str">
        <f t="shared" ca="1" si="85"/>
        <v/>
      </c>
    </row>
    <row r="925" spans="2:10" x14ac:dyDescent="0.15">
      <c r="B925" s="213" t="str">
        <f t="shared" si="81"/>
        <v/>
      </c>
      <c r="C925" s="228" t="str">
        <f t="shared" si="83"/>
        <v/>
      </c>
      <c r="D925" s="212" t="str">
        <f t="shared" si="82"/>
        <v/>
      </c>
      <c r="E925" s="212" t="str">
        <f t="shared" ca="1" si="84"/>
        <v/>
      </c>
      <c r="F925" s="212" t="str">
        <f t="shared" ca="1" si="84"/>
        <v/>
      </c>
      <c r="G925" s="212" t="str">
        <f t="shared" ca="1" si="84"/>
        <v/>
      </c>
      <c r="H925" s="212" t="str">
        <f t="shared" ca="1" si="84"/>
        <v/>
      </c>
      <c r="I925" s="212" t="str">
        <f t="shared" ca="1" si="85"/>
        <v/>
      </c>
      <c r="J925" s="212" t="str">
        <f t="shared" ca="1" si="85"/>
        <v/>
      </c>
    </row>
    <row r="926" spans="2:10" x14ac:dyDescent="0.15">
      <c r="B926" s="213" t="str">
        <f t="shared" si="81"/>
        <v/>
      </c>
      <c r="C926" s="228" t="str">
        <f t="shared" si="83"/>
        <v/>
      </c>
      <c r="D926" s="212" t="str">
        <f t="shared" si="82"/>
        <v/>
      </c>
      <c r="E926" s="212" t="str">
        <f t="shared" ca="1" si="84"/>
        <v/>
      </c>
      <c r="F926" s="212" t="str">
        <f t="shared" ca="1" si="84"/>
        <v/>
      </c>
      <c r="G926" s="212" t="str">
        <f t="shared" ca="1" si="84"/>
        <v/>
      </c>
      <c r="H926" s="212" t="str">
        <f t="shared" ca="1" si="84"/>
        <v/>
      </c>
      <c r="I926" s="212" t="str">
        <f t="shared" ca="1" si="85"/>
        <v/>
      </c>
      <c r="J926" s="212" t="str">
        <f t="shared" ca="1" si="85"/>
        <v/>
      </c>
    </row>
    <row r="927" spans="2:10" x14ac:dyDescent="0.15">
      <c r="B927" s="213" t="str">
        <f t="shared" si="81"/>
        <v/>
      </c>
      <c r="C927" s="228" t="str">
        <f t="shared" si="83"/>
        <v/>
      </c>
      <c r="D927" s="212" t="str">
        <f t="shared" si="82"/>
        <v/>
      </c>
      <c r="E927" s="212" t="str">
        <f t="shared" ca="1" si="84"/>
        <v/>
      </c>
      <c r="F927" s="212" t="str">
        <f t="shared" ca="1" si="84"/>
        <v/>
      </c>
      <c r="G927" s="212" t="str">
        <f t="shared" ca="1" si="84"/>
        <v/>
      </c>
      <c r="H927" s="212" t="str">
        <f t="shared" ca="1" si="84"/>
        <v/>
      </c>
      <c r="I927" s="212" t="str">
        <f t="shared" ca="1" si="85"/>
        <v/>
      </c>
      <c r="J927" s="212" t="str">
        <f t="shared" ca="1" si="85"/>
        <v/>
      </c>
    </row>
    <row r="928" spans="2:10" x14ac:dyDescent="0.15">
      <c r="B928" s="213" t="str">
        <f t="shared" si="81"/>
        <v/>
      </c>
      <c r="C928" s="228" t="str">
        <f t="shared" si="83"/>
        <v/>
      </c>
      <c r="D928" s="212" t="str">
        <f t="shared" si="82"/>
        <v/>
      </c>
      <c r="E928" s="212" t="str">
        <f t="shared" ca="1" si="84"/>
        <v/>
      </c>
      <c r="F928" s="212" t="str">
        <f t="shared" ca="1" si="84"/>
        <v/>
      </c>
      <c r="G928" s="212" t="str">
        <f t="shared" ca="1" si="84"/>
        <v/>
      </c>
      <c r="H928" s="212" t="str">
        <f t="shared" ca="1" si="84"/>
        <v/>
      </c>
      <c r="I928" s="212" t="str">
        <f t="shared" ca="1" si="85"/>
        <v/>
      </c>
      <c r="J928" s="212" t="str">
        <f t="shared" ca="1" si="85"/>
        <v/>
      </c>
    </row>
    <row r="929" spans="2:10" x14ac:dyDescent="0.15">
      <c r="B929" s="213" t="str">
        <f t="shared" si="81"/>
        <v/>
      </c>
      <c r="C929" s="228" t="str">
        <f t="shared" si="83"/>
        <v/>
      </c>
      <c r="D929" s="212" t="str">
        <f t="shared" si="82"/>
        <v/>
      </c>
      <c r="E929" s="212" t="str">
        <f t="shared" ca="1" si="84"/>
        <v/>
      </c>
      <c r="F929" s="212" t="str">
        <f t="shared" ca="1" si="84"/>
        <v/>
      </c>
      <c r="G929" s="212" t="str">
        <f t="shared" ca="1" si="84"/>
        <v/>
      </c>
      <c r="H929" s="212" t="str">
        <f t="shared" ca="1" si="84"/>
        <v/>
      </c>
      <c r="I929" s="212" t="str">
        <f t="shared" ca="1" si="85"/>
        <v/>
      </c>
      <c r="J929" s="212" t="str">
        <f t="shared" ca="1" si="85"/>
        <v/>
      </c>
    </row>
    <row r="930" spans="2:10" x14ac:dyDescent="0.15">
      <c r="B930" s="213" t="str">
        <f t="shared" si="81"/>
        <v/>
      </c>
      <c r="C930" s="228" t="str">
        <f t="shared" si="83"/>
        <v/>
      </c>
      <c r="D930" s="212" t="str">
        <f t="shared" si="82"/>
        <v/>
      </c>
      <c r="E930" s="212" t="str">
        <f t="shared" ca="1" si="84"/>
        <v/>
      </c>
      <c r="F930" s="212" t="str">
        <f t="shared" ca="1" si="84"/>
        <v/>
      </c>
      <c r="G930" s="212" t="str">
        <f t="shared" ca="1" si="84"/>
        <v/>
      </c>
      <c r="H930" s="212" t="str">
        <f t="shared" ca="1" si="84"/>
        <v/>
      </c>
      <c r="I930" s="212" t="str">
        <f t="shared" ca="1" si="85"/>
        <v/>
      </c>
      <c r="J930" s="212" t="str">
        <f t="shared" ca="1" si="85"/>
        <v/>
      </c>
    </row>
    <row r="931" spans="2:10" x14ac:dyDescent="0.15">
      <c r="B931" s="213" t="str">
        <f t="shared" ref="B931:B994" si="86">IF(B930="","",IF(B930&gt;=$E$5,"",B930+1))</f>
        <v/>
      </c>
      <c r="C931" s="228" t="str">
        <f t="shared" si="83"/>
        <v/>
      </c>
      <c r="D931" s="212" t="str">
        <f t="shared" si="82"/>
        <v/>
      </c>
      <c r="E931" s="212" t="str">
        <f t="shared" ca="1" si="84"/>
        <v/>
      </c>
      <c r="F931" s="212" t="str">
        <f t="shared" ca="1" si="84"/>
        <v/>
      </c>
      <c r="G931" s="212" t="str">
        <f t="shared" ca="1" si="84"/>
        <v/>
      </c>
      <c r="H931" s="212" t="str">
        <f t="shared" ca="1" si="84"/>
        <v/>
      </c>
      <c r="I931" s="212" t="str">
        <f t="shared" ca="1" si="85"/>
        <v/>
      </c>
      <c r="J931" s="212" t="str">
        <f t="shared" ca="1" si="85"/>
        <v/>
      </c>
    </row>
    <row r="932" spans="2:10" x14ac:dyDescent="0.15">
      <c r="B932" s="213" t="str">
        <f t="shared" si="86"/>
        <v/>
      </c>
      <c r="C932" s="228" t="str">
        <f t="shared" si="83"/>
        <v/>
      </c>
      <c r="D932" s="212" t="str">
        <f t="shared" si="82"/>
        <v/>
      </c>
      <c r="E932" s="212" t="str">
        <f t="shared" ca="1" si="84"/>
        <v/>
      </c>
      <c r="F932" s="212" t="str">
        <f t="shared" ca="1" si="84"/>
        <v/>
      </c>
      <c r="G932" s="212" t="str">
        <f t="shared" ca="1" si="84"/>
        <v/>
      </c>
      <c r="H932" s="212" t="str">
        <f t="shared" ca="1" si="84"/>
        <v/>
      </c>
      <c r="I932" s="212" t="str">
        <f t="shared" ca="1" si="85"/>
        <v/>
      </c>
      <c r="J932" s="212" t="str">
        <f t="shared" ca="1" si="85"/>
        <v/>
      </c>
    </row>
    <row r="933" spans="2:10" x14ac:dyDescent="0.15">
      <c r="B933" s="213" t="str">
        <f t="shared" si="86"/>
        <v/>
      </c>
      <c r="C933" s="228" t="str">
        <f t="shared" si="83"/>
        <v/>
      </c>
      <c r="D933" s="212" t="str">
        <f t="shared" si="82"/>
        <v/>
      </c>
      <c r="E933" s="212" t="str">
        <f t="shared" ca="1" si="84"/>
        <v/>
      </c>
      <c r="F933" s="212" t="str">
        <f t="shared" ca="1" si="84"/>
        <v/>
      </c>
      <c r="G933" s="212" t="str">
        <f t="shared" ca="1" si="84"/>
        <v/>
      </c>
      <c r="H933" s="212" t="str">
        <f t="shared" ca="1" si="84"/>
        <v/>
      </c>
      <c r="I933" s="212" t="str">
        <f t="shared" ca="1" si="85"/>
        <v/>
      </c>
      <c r="J933" s="212" t="str">
        <f t="shared" ca="1" si="85"/>
        <v/>
      </c>
    </row>
    <row r="934" spans="2:10" x14ac:dyDescent="0.15">
      <c r="B934" s="213" t="str">
        <f t="shared" si="86"/>
        <v/>
      </c>
      <c r="C934" s="228" t="str">
        <f t="shared" si="83"/>
        <v/>
      </c>
      <c r="D934" s="212" t="str">
        <f t="shared" si="82"/>
        <v/>
      </c>
      <c r="E934" s="212" t="str">
        <f t="shared" ca="1" si="84"/>
        <v/>
      </c>
      <c r="F934" s="212" t="str">
        <f t="shared" ca="1" si="84"/>
        <v/>
      </c>
      <c r="G934" s="212" t="str">
        <f t="shared" ca="1" si="84"/>
        <v/>
      </c>
      <c r="H934" s="212" t="str">
        <f t="shared" ca="1" si="84"/>
        <v/>
      </c>
      <c r="I934" s="212" t="str">
        <f t="shared" ca="1" si="85"/>
        <v/>
      </c>
      <c r="J934" s="212" t="str">
        <f t="shared" ca="1" si="85"/>
        <v/>
      </c>
    </row>
    <row r="935" spans="2:10" x14ac:dyDescent="0.15">
      <c r="B935" s="213" t="str">
        <f t="shared" si="86"/>
        <v/>
      </c>
      <c r="C935" s="228" t="str">
        <f t="shared" si="83"/>
        <v/>
      </c>
      <c r="D935" s="212" t="str">
        <f t="shared" si="82"/>
        <v/>
      </c>
      <c r="E935" s="212" t="str">
        <f t="shared" ca="1" si="84"/>
        <v/>
      </c>
      <c r="F935" s="212" t="str">
        <f t="shared" ca="1" si="84"/>
        <v/>
      </c>
      <c r="G935" s="212" t="str">
        <f t="shared" ca="1" si="84"/>
        <v/>
      </c>
      <c r="H935" s="212" t="str">
        <f t="shared" ca="1" si="84"/>
        <v/>
      </c>
      <c r="I935" s="212" t="str">
        <f t="shared" ca="1" si="85"/>
        <v/>
      </c>
      <c r="J935" s="212" t="str">
        <f t="shared" ca="1" si="85"/>
        <v/>
      </c>
    </row>
    <row r="936" spans="2:10" x14ac:dyDescent="0.15">
      <c r="B936" s="213" t="str">
        <f t="shared" si="86"/>
        <v/>
      </c>
      <c r="C936" s="228" t="str">
        <f t="shared" si="83"/>
        <v/>
      </c>
      <c r="D936" s="212" t="str">
        <f t="shared" si="82"/>
        <v/>
      </c>
      <c r="E936" s="212" t="str">
        <f t="shared" ca="1" si="84"/>
        <v/>
      </c>
      <c r="F936" s="212" t="str">
        <f t="shared" ca="1" si="84"/>
        <v/>
      </c>
      <c r="G936" s="212" t="str">
        <f t="shared" ca="1" si="84"/>
        <v/>
      </c>
      <c r="H936" s="212" t="str">
        <f t="shared" ca="1" si="84"/>
        <v/>
      </c>
      <c r="I936" s="212" t="str">
        <f t="shared" ca="1" si="85"/>
        <v/>
      </c>
      <c r="J936" s="212" t="str">
        <f t="shared" ca="1" si="85"/>
        <v/>
      </c>
    </row>
    <row r="937" spans="2:10" x14ac:dyDescent="0.15">
      <c r="B937" s="213" t="str">
        <f t="shared" si="86"/>
        <v/>
      </c>
      <c r="C937" s="228" t="str">
        <f t="shared" si="83"/>
        <v/>
      </c>
      <c r="D937" s="212" t="str">
        <f t="shared" si="82"/>
        <v/>
      </c>
      <c r="E937" s="212" t="str">
        <f t="shared" ca="1" si="84"/>
        <v/>
      </c>
      <c r="F937" s="212" t="str">
        <f t="shared" ca="1" si="84"/>
        <v/>
      </c>
      <c r="G937" s="212" t="str">
        <f t="shared" ca="1" si="84"/>
        <v/>
      </c>
      <c r="H937" s="212" t="str">
        <f t="shared" ca="1" si="84"/>
        <v/>
      </c>
      <c r="I937" s="212" t="str">
        <f t="shared" ca="1" si="85"/>
        <v/>
      </c>
      <c r="J937" s="212" t="str">
        <f t="shared" ca="1" si="85"/>
        <v/>
      </c>
    </row>
    <row r="938" spans="2:10" x14ac:dyDescent="0.15">
      <c r="B938" s="213" t="str">
        <f t="shared" si="86"/>
        <v/>
      </c>
      <c r="C938" s="228" t="str">
        <f t="shared" si="83"/>
        <v/>
      </c>
      <c r="D938" s="212" t="str">
        <f t="shared" si="82"/>
        <v/>
      </c>
      <c r="E938" s="212" t="str">
        <f t="shared" ca="1" si="84"/>
        <v/>
      </c>
      <c r="F938" s="212" t="str">
        <f t="shared" ca="1" si="84"/>
        <v/>
      </c>
      <c r="G938" s="212" t="str">
        <f t="shared" ca="1" si="84"/>
        <v/>
      </c>
      <c r="H938" s="212" t="str">
        <f t="shared" ca="1" si="84"/>
        <v/>
      </c>
      <c r="I938" s="212" t="str">
        <f t="shared" ca="1" si="85"/>
        <v/>
      </c>
      <c r="J938" s="212" t="str">
        <f t="shared" ca="1" si="85"/>
        <v/>
      </c>
    </row>
    <row r="939" spans="2:10" x14ac:dyDescent="0.15">
      <c r="B939" s="213" t="str">
        <f t="shared" si="86"/>
        <v/>
      </c>
      <c r="C939" s="228" t="str">
        <f t="shared" si="83"/>
        <v/>
      </c>
      <c r="D939" s="212" t="str">
        <f t="shared" si="82"/>
        <v/>
      </c>
      <c r="E939" s="212" t="str">
        <f t="shared" ca="1" si="84"/>
        <v/>
      </c>
      <c r="F939" s="212" t="str">
        <f t="shared" ca="1" si="84"/>
        <v/>
      </c>
      <c r="G939" s="212" t="str">
        <f t="shared" ca="1" si="84"/>
        <v/>
      </c>
      <c r="H939" s="212" t="str">
        <f t="shared" ca="1" si="84"/>
        <v/>
      </c>
      <c r="I939" s="212" t="str">
        <f t="shared" ca="1" si="85"/>
        <v/>
      </c>
      <c r="J939" s="212" t="str">
        <f t="shared" ca="1" si="85"/>
        <v/>
      </c>
    </row>
    <row r="940" spans="2:10" x14ac:dyDescent="0.15">
      <c r="B940" s="213" t="str">
        <f t="shared" si="86"/>
        <v/>
      </c>
      <c r="C940" s="228" t="str">
        <f t="shared" si="83"/>
        <v/>
      </c>
      <c r="D940" s="212" t="str">
        <f t="shared" si="82"/>
        <v/>
      </c>
      <c r="E940" s="212" t="str">
        <f t="shared" ca="1" si="84"/>
        <v/>
      </c>
      <c r="F940" s="212" t="str">
        <f t="shared" ca="1" si="84"/>
        <v/>
      </c>
      <c r="G940" s="212" t="str">
        <f t="shared" ca="1" si="84"/>
        <v/>
      </c>
      <c r="H940" s="212" t="str">
        <f t="shared" ca="1" si="84"/>
        <v/>
      </c>
      <c r="I940" s="212" t="str">
        <f t="shared" ca="1" si="85"/>
        <v/>
      </c>
      <c r="J940" s="212" t="str">
        <f t="shared" ca="1" si="85"/>
        <v/>
      </c>
    </row>
    <row r="941" spans="2:10" x14ac:dyDescent="0.15">
      <c r="B941" s="213" t="str">
        <f t="shared" si="86"/>
        <v/>
      </c>
      <c r="C941" s="228" t="str">
        <f t="shared" si="83"/>
        <v/>
      </c>
      <c r="D941" s="212" t="str">
        <f t="shared" si="82"/>
        <v/>
      </c>
      <c r="E941" s="212" t="str">
        <f t="shared" ca="1" si="84"/>
        <v/>
      </c>
      <c r="F941" s="212" t="str">
        <f t="shared" ca="1" si="84"/>
        <v/>
      </c>
      <c r="G941" s="212" t="str">
        <f t="shared" ca="1" si="84"/>
        <v/>
      </c>
      <c r="H941" s="212" t="str">
        <f t="shared" ca="1" si="84"/>
        <v/>
      </c>
      <c r="I941" s="212" t="str">
        <f t="shared" ca="1" si="85"/>
        <v/>
      </c>
      <c r="J941" s="212" t="str">
        <f t="shared" ca="1" si="85"/>
        <v/>
      </c>
    </row>
    <row r="942" spans="2:10" x14ac:dyDescent="0.15">
      <c r="B942" s="213" t="str">
        <f t="shared" si="86"/>
        <v/>
      </c>
      <c r="C942" s="228" t="str">
        <f t="shared" si="83"/>
        <v/>
      </c>
      <c r="D942" s="212" t="str">
        <f t="shared" si="82"/>
        <v/>
      </c>
      <c r="E942" s="212" t="str">
        <f t="shared" ca="1" si="84"/>
        <v/>
      </c>
      <c r="F942" s="212" t="str">
        <f t="shared" ca="1" si="84"/>
        <v/>
      </c>
      <c r="G942" s="212" t="str">
        <f t="shared" ca="1" si="84"/>
        <v/>
      </c>
      <c r="H942" s="212" t="str">
        <f t="shared" ca="1" si="84"/>
        <v/>
      </c>
      <c r="I942" s="212" t="str">
        <f t="shared" ca="1" si="85"/>
        <v/>
      </c>
      <c r="J942" s="212" t="str">
        <f t="shared" ca="1" si="85"/>
        <v/>
      </c>
    </row>
    <row r="943" spans="2:10" x14ac:dyDescent="0.15">
      <c r="B943" s="213" t="str">
        <f t="shared" si="86"/>
        <v/>
      </c>
      <c r="C943" s="228" t="str">
        <f t="shared" si="83"/>
        <v/>
      </c>
      <c r="D943" s="212" t="str">
        <f t="shared" si="82"/>
        <v/>
      </c>
      <c r="E943" s="212" t="str">
        <f t="shared" ca="1" si="84"/>
        <v/>
      </c>
      <c r="F943" s="212" t="str">
        <f t="shared" ca="1" si="84"/>
        <v/>
      </c>
      <c r="G943" s="212" t="str">
        <f t="shared" ca="1" si="84"/>
        <v/>
      </c>
      <c r="H943" s="212" t="str">
        <f t="shared" ca="1" si="84"/>
        <v/>
      </c>
      <c r="I943" s="212" t="str">
        <f t="shared" ca="1" si="85"/>
        <v/>
      </c>
      <c r="J943" s="212" t="str">
        <f t="shared" ca="1" si="85"/>
        <v/>
      </c>
    </row>
    <row r="944" spans="2:10" x14ac:dyDescent="0.15">
      <c r="B944" s="213" t="str">
        <f t="shared" si="86"/>
        <v/>
      </c>
      <c r="C944" s="228" t="str">
        <f t="shared" si="83"/>
        <v/>
      </c>
      <c r="D944" s="212" t="str">
        <f t="shared" si="82"/>
        <v/>
      </c>
      <c r="E944" s="212" t="str">
        <f t="shared" ca="1" si="84"/>
        <v/>
      </c>
      <c r="F944" s="212" t="str">
        <f t="shared" ca="1" si="84"/>
        <v/>
      </c>
      <c r="G944" s="212" t="str">
        <f t="shared" ca="1" si="84"/>
        <v/>
      </c>
      <c r="H944" s="212" t="str">
        <f t="shared" ca="1" si="84"/>
        <v/>
      </c>
      <c r="I944" s="212" t="str">
        <f t="shared" ca="1" si="85"/>
        <v/>
      </c>
      <c r="J944" s="212" t="str">
        <f t="shared" ca="1" si="85"/>
        <v/>
      </c>
    </row>
    <row r="945" spans="2:10" x14ac:dyDescent="0.15">
      <c r="B945" s="213" t="str">
        <f t="shared" si="86"/>
        <v/>
      </c>
      <c r="C945" s="228" t="str">
        <f t="shared" si="83"/>
        <v/>
      </c>
      <c r="D945" s="212" t="str">
        <f t="shared" si="82"/>
        <v/>
      </c>
      <c r="E945" s="212" t="str">
        <f t="shared" ca="1" si="84"/>
        <v/>
      </c>
      <c r="F945" s="212" t="str">
        <f t="shared" ca="1" si="84"/>
        <v/>
      </c>
      <c r="G945" s="212" t="str">
        <f t="shared" ca="1" si="84"/>
        <v/>
      </c>
      <c r="H945" s="212" t="str">
        <f t="shared" ca="1" si="84"/>
        <v/>
      </c>
      <c r="I945" s="212" t="str">
        <f t="shared" ca="1" si="85"/>
        <v/>
      </c>
      <c r="J945" s="212" t="str">
        <f t="shared" ca="1" si="85"/>
        <v/>
      </c>
    </row>
    <row r="946" spans="2:10" x14ac:dyDescent="0.15">
      <c r="B946" s="213" t="str">
        <f t="shared" si="86"/>
        <v/>
      </c>
      <c r="C946" s="228" t="str">
        <f t="shared" si="83"/>
        <v/>
      </c>
      <c r="D946" s="212" t="str">
        <f t="shared" si="82"/>
        <v/>
      </c>
      <c r="E946" s="212" t="str">
        <f t="shared" ca="1" si="84"/>
        <v/>
      </c>
      <c r="F946" s="212" t="str">
        <f t="shared" ca="1" si="84"/>
        <v/>
      </c>
      <c r="G946" s="212" t="str">
        <f t="shared" ca="1" si="84"/>
        <v/>
      </c>
      <c r="H946" s="212" t="str">
        <f t="shared" ca="1" si="84"/>
        <v/>
      </c>
      <c r="I946" s="212" t="str">
        <f t="shared" ca="1" si="85"/>
        <v/>
      </c>
      <c r="J946" s="212" t="str">
        <f t="shared" ca="1" si="85"/>
        <v/>
      </c>
    </row>
    <row r="947" spans="2:10" x14ac:dyDescent="0.15">
      <c r="B947" s="213" t="str">
        <f t="shared" si="86"/>
        <v/>
      </c>
      <c r="C947" s="228" t="str">
        <f t="shared" si="83"/>
        <v/>
      </c>
      <c r="D947" s="212" t="str">
        <f t="shared" si="82"/>
        <v/>
      </c>
      <c r="E947" s="212" t="str">
        <f t="shared" ca="1" si="84"/>
        <v/>
      </c>
      <c r="F947" s="212" t="str">
        <f t="shared" ca="1" si="84"/>
        <v/>
      </c>
      <c r="G947" s="212" t="str">
        <f t="shared" ca="1" si="84"/>
        <v/>
      </c>
      <c r="H947" s="212" t="str">
        <f t="shared" ca="1" si="84"/>
        <v/>
      </c>
      <c r="I947" s="212" t="str">
        <f t="shared" ca="1" si="85"/>
        <v/>
      </c>
      <c r="J947" s="212" t="str">
        <f t="shared" ca="1" si="85"/>
        <v/>
      </c>
    </row>
    <row r="948" spans="2:10" x14ac:dyDescent="0.15">
      <c r="B948" s="213" t="str">
        <f t="shared" si="86"/>
        <v/>
      </c>
      <c r="C948" s="228" t="str">
        <f t="shared" si="83"/>
        <v/>
      </c>
      <c r="D948" s="212" t="str">
        <f t="shared" si="82"/>
        <v/>
      </c>
      <c r="E948" s="212" t="str">
        <f t="shared" ca="1" si="84"/>
        <v/>
      </c>
      <c r="F948" s="212" t="str">
        <f t="shared" ca="1" si="84"/>
        <v/>
      </c>
      <c r="G948" s="212" t="str">
        <f t="shared" ca="1" si="84"/>
        <v/>
      </c>
      <c r="H948" s="212" t="str">
        <f t="shared" ca="1" si="84"/>
        <v/>
      </c>
      <c r="I948" s="212" t="str">
        <f t="shared" ca="1" si="85"/>
        <v/>
      </c>
      <c r="J948" s="212" t="str">
        <f t="shared" ca="1" si="85"/>
        <v/>
      </c>
    </row>
    <row r="949" spans="2:10" x14ac:dyDescent="0.15">
      <c r="B949" s="213" t="str">
        <f t="shared" si="86"/>
        <v/>
      </c>
      <c r="C949" s="228" t="str">
        <f t="shared" si="83"/>
        <v/>
      </c>
      <c r="D949" s="212" t="str">
        <f t="shared" si="82"/>
        <v/>
      </c>
      <c r="E949" s="212" t="str">
        <f t="shared" ca="1" si="84"/>
        <v/>
      </c>
      <c r="F949" s="212" t="str">
        <f t="shared" ca="1" si="84"/>
        <v/>
      </c>
      <c r="G949" s="212" t="str">
        <f t="shared" ca="1" si="84"/>
        <v/>
      </c>
      <c r="H949" s="212" t="str">
        <f t="shared" ca="1" si="84"/>
        <v/>
      </c>
      <c r="I949" s="212" t="str">
        <f t="shared" ca="1" si="85"/>
        <v/>
      </c>
      <c r="J949" s="212" t="str">
        <f t="shared" ca="1" si="85"/>
        <v/>
      </c>
    </row>
    <row r="950" spans="2:10" x14ac:dyDescent="0.15">
      <c r="B950" s="213" t="str">
        <f t="shared" si="86"/>
        <v/>
      </c>
      <c r="C950" s="228" t="str">
        <f t="shared" si="83"/>
        <v/>
      </c>
      <c r="D950" s="212" t="str">
        <f t="shared" si="82"/>
        <v/>
      </c>
      <c r="E950" s="212" t="str">
        <f t="shared" ca="1" si="84"/>
        <v/>
      </c>
      <c r="F950" s="212" t="str">
        <f t="shared" ca="1" si="84"/>
        <v/>
      </c>
      <c r="G950" s="212" t="str">
        <f t="shared" ca="1" si="84"/>
        <v/>
      </c>
      <c r="H950" s="212" t="str">
        <f t="shared" ca="1" si="84"/>
        <v/>
      </c>
      <c r="I950" s="212" t="str">
        <f t="shared" ca="1" si="85"/>
        <v/>
      </c>
      <c r="J950" s="212" t="str">
        <f t="shared" ca="1" si="85"/>
        <v/>
      </c>
    </row>
    <row r="951" spans="2:10" x14ac:dyDescent="0.15">
      <c r="B951" s="213" t="str">
        <f t="shared" si="86"/>
        <v/>
      </c>
      <c r="C951" s="228" t="str">
        <f t="shared" si="83"/>
        <v/>
      </c>
      <c r="D951" s="212" t="str">
        <f t="shared" si="82"/>
        <v/>
      </c>
      <c r="E951" s="212" t="str">
        <f t="shared" ca="1" si="84"/>
        <v/>
      </c>
      <c r="F951" s="212" t="str">
        <f t="shared" ca="1" si="84"/>
        <v/>
      </c>
      <c r="G951" s="212" t="str">
        <f t="shared" ca="1" si="84"/>
        <v/>
      </c>
      <c r="H951" s="212" t="str">
        <f t="shared" ca="1" si="84"/>
        <v/>
      </c>
      <c r="I951" s="212" t="str">
        <f t="shared" ca="1" si="85"/>
        <v/>
      </c>
      <c r="J951" s="212" t="str">
        <f t="shared" ca="1" si="85"/>
        <v/>
      </c>
    </row>
    <row r="952" spans="2:10" x14ac:dyDescent="0.15">
      <c r="B952" s="213" t="str">
        <f t="shared" si="86"/>
        <v/>
      </c>
      <c r="C952" s="228" t="str">
        <f t="shared" si="83"/>
        <v/>
      </c>
      <c r="D952" s="212" t="str">
        <f t="shared" si="82"/>
        <v/>
      </c>
      <c r="E952" s="212" t="str">
        <f t="shared" ca="1" si="84"/>
        <v/>
      </c>
      <c r="F952" s="212" t="str">
        <f t="shared" ca="1" si="84"/>
        <v/>
      </c>
      <c r="G952" s="212" t="str">
        <f t="shared" ca="1" si="84"/>
        <v/>
      </c>
      <c r="H952" s="212" t="str">
        <f t="shared" ca="1" si="84"/>
        <v/>
      </c>
      <c r="I952" s="212" t="str">
        <f t="shared" ca="1" si="85"/>
        <v/>
      </c>
      <c r="J952" s="212" t="str">
        <f t="shared" ca="1" si="85"/>
        <v/>
      </c>
    </row>
    <row r="953" spans="2:10" x14ac:dyDescent="0.15">
      <c r="B953" s="213" t="str">
        <f t="shared" si="86"/>
        <v/>
      </c>
      <c r="C953" s="228" t="str">
        <f t="shared" si="83"/>
        <v/>
      </c>
      <c r="D953" s="212" t="str">
        <f t="shared" si="82"/>
        <v/>
      </c>
      <c r="E953" s="212" t="str">
        <f t="shared" ca="1" si="84"/>
        <v/>
      </c>
      <c r="F953" s="212" t="str">
        <f t="shared" ca="1" si="84"/>
        <v/>
      </c>
      <c r="G953" s="212" t="str">
        <f t="shared" ca="1" si="84"/>
        <v/>
      </c>
      <c r="H953" s="212" t="str">
        <f t="shared" ca="1" si="84"/>
        <v/>
      </c>
      <c r="I953" s="212" t="str">
        <f t="shared" ca="1" si="85"/>
        <v/>
      </c>
      <c r="J953" s="212" t="str">
        <f t="shared" ca="1" si="85"/>
        <v/>
      </c>
    </row>
    <row r="954" spans="2:10" x14ac:dyDescent="0.15">
      <c r="B954" s="213" t="str">
        <f t="shared" si="86"/>
        <v/>
      </c>
      <c r="C954" s="228" t="str">
        <f t="shared" si="83"/>
        <v/>
      </c>
      <c r="D954" s="212" t="str">
        <f t="shared" si="82"/>
        <v/>
      </c>
      <c r="E954" s="212" t="str">
        <f t="shared" ca="1" si="84"/>
        <v/>
      </c>
      <c r="F954" s="212" t="str">
        <f t="shared" ca="1" si="84"/>
        <v/>
      </c>
      <c r="G954" s="212" t="str">
        <f t="shared" ca="1" si="84"/>
        <v/>
      </c>
      <c r="H954" s="212" t="str">
        <f t="shared" ca="1" si="84"/>
        <v/>
      </c>
      <c r="I954" s="212" t="str">
        <f t="shared" ca="1" si="85"/>
        <v/>
      </c>
      <c r="J954" s="212" t="str">
        <f t="shared" ca="1" si="85"/>
        <v/>
      </c>
    </row>
    <row r="955" spans="2:10" x14ac:dyDescent="0.15">
      <c r="B955" s="213" t="str">
        <f t="shared" si="86"/>
        <v/>
      </c>
      <c r="C955" s="228" t="str">
        <f t="shared" si="83"/>
        <v/>
      </c>
      <c r="D955" s="212" t="str">
        <f t="shared" si="82"/>
        <v/>
      </c>
      <c r="E955" s="212" t="str">
        <f t="shared" ca="1" si="84"/>
        <v/>
      </c>
      <c r="F955" s="212" t="str">
        <f t="shared" ca="1" si="84"/>
        <v/>
      </c>
      <c r="G955" s="212" t="str">
        <f t="shared" ca="1" si="84"/>
        <v/>
      </c>
      <c r="H955" s="212" t="str">
        <f t="shared" ca="1" si="84"/>
        <v/>
      </c>
      <c r="I955" s="212" t="str">
        <f t="shared" ca="1" si="85"/>
        <v/>
      </c>
      <c r="J955" s="212" t="str">
        <f t="shared" ca="1" si="85"/>
        <v/>
      </c>
    </row>
    <row r="956" spans="2:10" x14ac:dyDescent="0.15">
      <c r="B956" s="213" t="str">
        <f t="shared" si="86"/>
        <v/>
      </c>
      <c r="C956" s="228" t="str">
        <f t="shared" si="83"/>
        <v/>
      </c>
      <c r="D956" s="212" t="str">
        <f t="shared" si="82"/>
        <v/>
      </c>
      <c r="E956" s="212" t="str">
        <f t="shared" ca="1" si="84"/>
        <v/>
      </c>
      <c r="F956" s="212" t="str">
        <f t="shared" ca="1" si="84"/>
        <v/>
      </c>
      <c r="G956" s="212" t="str">
        <f t="shared" ca="1" si="84"/>
        <v/>
      </c>
      <c r="H956" s="212" t="str">
        <f t="shared" ca="1" si="84"/>
        <v/>
      </c>
      <c r="I956" s="212" t="str">
        <f t="shared" ca="1" si="85"/>
        <v/>
      </c>
      <c r="J956" s="212" t="str">
        <f t="shared" ca="1" si="85"/>
        <v/>
      </c>
    </row>
    <row r="957" spans="2:10" x14ac:dyDescent="0.15">
      <c r="B957" s="213" t="str">
        <f t="shared" si="86"/>
        <v/>
      </c>
      <c r="C957" s="228" t="str">
        <f t="shared" si="83"/>
        <v/>
      </c>
      <c r="D957" s="212" t="str">
        <f t="shared" si="82"/>
        <v/>
      </c>
      <c r="E957" s="212" t="str">
        <f t="shared" ca="1" si="84"/>
        <v/>
      </c>
      <c r="F957" s="212" t="str">
        <f t="shared" ca="1" si="84"/>
        <v/>
      </c>
      <c r="G957" s="212" t="str">
        <f t="shared" ca="1" si="84"/>
        <v/>
      </c>
      <c r="H957" s="212" t="str">
        <f t="shared" ca="1" si="84"/>
        <v/>
      </c>
      <c r="I957" s="212" t="str">
        <f t="shared" ca="1" si="85"/>
        <v/>
      </c>
      <c r="J957" s="212" t="str">
        <f t="shared" ca="1" si="85"/>
        <v/>
      </c>
    </row>
    <row r="958" spans="2:10" x14ac:dyDescent="0.15">
      <c r="B958" s="213" t="str">
        <f t="shared" si="86"/>
        <v/>
      </c>
      <c r="C958" s="228" t="str">
        <f t="shared" si="83"/>
        <v/>
      </c>
      <c r="D958" s="212" t="str">
        <f t="shared" si="82"/>
        <v/>
      </c>
      <c r="E958" s="212" t="str">
        <f t="shared" ca="1" si="84"/>
        <v/>
      </c>
      <c r="F958" s="212" t="str">
        <f t="shared" ca="1" si="84"/>
        <v/>
      </c>
      <c r="G958" s="212" t="str">
        <f t="shared" ca="1" si="84"/>
        <v/>
      </c>
      <c r="H958" s="212" t="str">
        <f t="shared" ca="1" si="84"/>
        <v/>
      </c>
      <c r="I958" s="212" t="str">
        <f t="shared" ca="1" si="85"/>
        <v/>
      </c>
      <c r="J958" s="212" t="str">
        <f t="shared" ca="1" si="85"/>
        <v/>
      </c>
    </row>
    <row r="959" spans="2:10" x14ac:dyDescent="0.15">
      <c r="B959" s="213" t="str">
        <f t="shared" si="86"/>
        <v/>
      </c>
      <c r="C959" s="228" t="str">
        <f t="shared" si="83"/>
        <v/>
      </c>
      <c r="D959" s="212" t="str">
        <f t="shared" si="82"/>
        <v/>
      </c>
      <c r="E959" s="212" t="str">
        <f t="shared" ca="1" si="84"/>
        <v/>
      </c>
      <c r="F959" s="212" t="str">
        <f t="shared" ca="1" si="84"/>
        <v/>
      </c>
      <c r="G959" s="212" t="str">
        <f t="shared" ca="1" si="84"/>
        <v/>
      </c>
      <c r="H959" s="212" t="str">
        <f t="shared" ca="1" si="84"/>
        <v/>
      </c>
      <c r="I959" s="212" t="str">
        <f t="shared" ca="1" si="85"/>
        <v/>
      </c>
      <c r="J959" s="212" t="str">
        <f t="shared" ca="1" si="85"/>
        <v/>
      </c>
    </row>
    <row r="960" spans="2:10" x14ac:dyDescent="0.15">
      <c r="B960" s="213" t="str">
        <f t="shared" si="86"/>
        <v/>
      </c>
      <c r="C960" s="228" t="str">
        <f t="shared" si="83"/>
        <v/>
      </c>
      <c r="D960" s="212" t="str">
        <f t="shared" si="82"/>
        <v/>
      </c>
      <c r="E960" s="212" t="str">
        <f t="shared" ca="1" si="84"/>
        <v/>
      </c>
      <c r="F960" s="212" t="str">
        <f t="shared" ca="1" si="84"/>
        <v/>
      </c>
      <c r="G960" s="212" t="str">
        <f t="shared" ca="1" si="84"/>
        <v/>
      </c>
      <c r="H960" s="212" t="str">
        <f t="shared" ca="1" si="84"/>
        <v/>
      </c>
      <c r="I960" s="212" t="str">
        <f t="shared" ca="1" si="85"/>
        <v/>
      </c>
      <c r="J960" s="212" t="str">
        <f t="shared" ca="1" si="85"/>
        <v/>
      </c>
    </row>
    <row r="961" spans="2:10" x14ac:dyDescent="0.15">
      <c r="B961" s="213" t="str">
        <f t="shared" si="86"/>
        <v/>
      </c>
      <c r="C961" s="228" t="str">
        <f t="shared" si="83"/>
        <v/>
      </c>
      <c r="D961" s="212" t="str">
        <f t="shared" si="82"/>
        <v/>
      </c>
      <c r="E961" s="212" t="str">
        <f t="shared" ca="1" si="84"/>
        <v/>
      </c>
      <c r="F961" s="212" t="str">
        <f t="shared" ca="1" si="84"/>
        <v/>
      </c>
      <c r="G961" s="212" t="str">
        <f t="shared" ca="1" si="84"/>
        <v/>
      </c>
      <c r="H961" s="212" t="str">
        <f t="shared" ca="1" si="84"/>
        <v/>
      </c>
      <c r="I961" s="212" t="str">
        <f t="shared" ca="1" si="85"/>
        <v/>
      </c>
      <c r="J961" s="212" t="str">
        <f t="shared" ca="1" si="85"/>
        <v/>
      </c>
    </row>
    <row r="962" spans="2:10" x14ac:dyDescent="0.15">
      <c r="B962" s="213" t="str">
        <f t="shared" si="86"/>
        <v/>
      </c>
      <c r="C962" s="228" t="str">
        <f t="shared" si="83"/>
        <v/>
      </c>
      <c r="D962" s="212" t="str">
        <f t="shared" si="82"/>
        <v/>
      </c>
      <c r="E962" s="212" t="str">
        <f t="shared" ca="1" si="84"/>
        <v/>
      </c>
      <c r="F962" s="212" t="str">
        <f t="shared" ca="1" si="84"/>
        <v/>
      </c>
      <c r="G962" s="212" t="str">
        <f t="shared" ca="1" si="84"/>
        <v/>
      </c>
      <c r="H962" s="212" t="str">
        <f t="shared" ca="1" si="84"/>
        <v/>
      </c>
      <c r="I962" s="212" t="str">
        <f t="shared" ca="1" si="85"/>
        <v/>
      </c>
      <c r="J962" s="212" t="str">
        <f t="shared" ca="1" si="85"/>
        <v/>
      </c>
    </row>
    <row r="963" spans="2:10" x14ac:dyDescent="0.15">
      <c r="B963" s="213" t="str">
        <f t="shared" si="86"/>
        <v/>
      </c>
      <c r="C963" s="228" t="str">
        <f t="shared" si="83"/>
        <v/>
      </c>
      <c r="D963" s="212" t="str">
        <f t="shared" si="82"/>
        <v/>
      </c>
      <c r="E963" s="212" t="str">
        <f t="shared" ca="1" si="84"/>
        <v/>
      </c>
      <c r="F963" s="212" t="str">
        <f t="shared" ca="1" si="84"/>
        <v/>
      </c>
      <c r="G963" s="212" t="str">
        <f t="shared" ca="1" si="84"/>
        <v/>
      </c>
      <c r="H963" s="212" t="str">
        <f t="shared" ca="1" si="84"/>
        <v/>
      </c>
      <c r="I963" s="212" t="str">
        <f t="shared" ca="1" si="85"/>
        <v/>
      </c>
      <c r="J963" s="212" t="str">
        <f t="shared" ca="1" si="85"/>
        <v/>
      </c>
    </row>
    <row r="964" spans="2:10" x14ac:dyDescent="0.15">
      <c r="B964" s="213" t="str">
        <f t="shared" si="86"/>
        <v/>
      </c>
      <c r="C964" s="228" t="str">
        <f t="shared" si="83"/>
        <v/>
      </c>
      <c r="D964" s="212" t="str">
        <f t="shared" si="82"/>
        <v/>
      </c>
      <c r="E964" s="212" t="str">
        <f t="shared" ca="1" si="84"/>
        <v/>
      </c>
      <c r="F964" s="212" t="str">
        <f t="shared" ca="1" si="84"/>
        <v/>
      </c>
      <c r="G964" s="212" t="str">
        <f t="shared" ca="1" si="84"/>
        <v/>
      </c>
      <c r="H964" s="212" t="str">
        <f t="shared" ca="1" si="84"/>
        <v/>
      </c>
      <c r="I964" s="212" t="str">
        <f t="shared" ca="1" si="85"/>
        <v/>
      </c>
      <c r="J964" s="212" t="str">
        <f t="shared" ca="1" si="85"/>
        <v/>
      </c>
    </row>
    <row r="965" spans="2:10" x14ac:dyDescent="0.15">
      <c r="B965" s="213" t="str">
        <f t="shared" si="86"/>
        <v/>
      </c>
      <c r="C965" s="228" t="str">
        <f t="shared" si="83"/>
        <v/>
      </c>
      <c r="D965" s="212" t="str">
        <f t="shared" si="82"/>
        <v/>
      </c>
      <c r="E965" s="212" t="str">
        <f t="shared" ca="1" si="84"/>
        <v/>
      </c>
      <c r="F965" s="212" t="str">
        <f t="shared" ca="1" si="84"/>
        <v/>
      </c>
      <c r="G965" s="212" t="str">
        <f t="shared" ca="1" si="84"/>
        <v/>
      </c>
      <c r="H965" s="212" t="str">
        <f t="shared" ca="1" si="84"/>
        <v/>
      </c>
      <c r="I965" s="212" t="str">
        <f t="shared" ca="1" si="85"/>
        <v/>
      </c>
      <c r="J965" s="212" t="str">
        <f t="shared" ca="1" si="85"/>
        <v/>
      </c>
    </row>
    <row r="966" spans="2:10" x14ac:dyDescent="0.15">
      <c r="B966" s="213" t="str">
        <f t="shared" si="86"/>
        <v/>
      </c>
      <c r="C966" s="228" t="str">
        <f t="shared" si="83"/>
        <v/>
      </c>
      <c r="D966" s="212" t="str">
        <f t="shared" si="82"/>
        <v/>
      </c>
      <c r="E966" s="212" t="str">
        <f t="shared" ca="1" si="84"/>
        <v/>
      </c>
      <c r="F966" s="212" t="str">
        <f t="shared" ca="1" si="84"/>
        <v/>
      </c>
      <c r="G966" s="212" t="str">
        <f t="shared" ca="1" si="84"/>
        <v/>
      </c>
      <c r="H966" s="212" t="str">
        <f t="shared" ca="1" si="84"/>
        <v/>
      </c>
      <c r="I966" s="212" t="str">
        <f t="shared" ca="1" si="85"/>
        <v/>
      </c>
      <c r="J966" s="212" t="str">
        <f t="shared" ca="1" si="85"/>
        <v/>
      </c>
    </row>
    <row r="967" spans="2:10" x14ac:dyDescent="0.15">
      <c r="B967" s="213" t="str">
        <f t="shared" si="86"/>
        <v/>
      </c>
      <c r="C967" s="228" t="str">
        <f t="shared" si="83"/>
        <v/>
      </c>
      <c r="D967" s="212" t="str">
        <f t="shared" si="82"/>
        <v/>
      </c>
      <c r="E967" s="212" t="str">
        <f t="shared" ca="1" si="84"/>
        <v/>
      </c>
      <c r="F967" s="212" t="str">
        <f t="shared" ca="1" si="84"/>
        <v/>
      </c>
      <c r="G967" s="212" t="str">
        <f t="shared" ca="1" si="84"/>
        <v/>
      </c>
      <c r="H967" s="212" t="str">
        <f t="shared" ca="1" si="84"/>
        <v/>
      </c>
      <c r="I967" s="212" t="str">
        <f t="shared" ca="1" si="85"/>
        <v/>
      </c>
      <c r="J967" s="212" t="str">
        <f t="shared" ca="1" si="85"/>
        <v/>
      </c>
    </row>
    <row r="968" spans="2:10" x14ac:dyDescent="0.15">
      <c r="B968" s="213" t="str">
        <f t="shared" si="86"/>
        <v/>
      </c>
      <c r="C968" s="228" t="str">
        <f t="shared" si="83"/>
        <v/>
      </c>
      <c r="D968" s="212" t="str">
        <f t="shared" si="82"/>
        <v/>
      </c>
      <c r="E968" s="212" t="str">
        <f t="shared" ca="1" si="84"/>
        <v/>
      </c>
      <c r="F968" s="212" t="str">
        <f t="shared" ca="1" si="84"/>
        <v/>
      </c>
      <c r="G968" s="212" t="str">
        <f t="shared" ca="1" si="84"/>
        <v/>
      </c>
      <c r="H968" s="212" t="str">
        <f t="shared" ca="1" si="84"/>
        <v/>
      </c>
      <c r="I968" s="212" t="str">
        <f t="shared" ca="1" si="85"/>
        <v/>
      </c>
      <c r="J968" s="212" t="str">
        <f t="shared" ca="1" si="85"/>
        <v/>
      </c>
    </row>
    <row r="969" spans="2:10" x14ac:dyDescent="0.15">
      <c r="B969" s="213" t="str">
        <f t="shared" si="86"/>
        <v/>
      </c>
      <c r="C969" s="228" t="str">
        <f t="shared" si="83"/>
        <v/>
      </c>
      <c r="D969" s="212" t="str">
        <f t="shared" si="82"/>
        <v/>
      </c>
      <c r="E969" s="212" t="str">
        <f t="shared" ca="1" si="84"/>
        <v/>
      </c>
      <c r="F969" s="212" t="str">
        <f t="shared" ca="1" si="84"/>
        <v/>
      </c>
      <c r="G969" s="212" t="str">
        <f t="shared" ca="1" si="84"/>
        <v/>
      </c>
      <c r="H969" s="212" t="str">
        <f t="shared" ca="1" si="84"/>
        <v/>
      </c>
      <c r="I969" s="212" t="str">
        <f t="shared" ca="1" si="85"/>
        <v/>
      </c>
      <c r="J969" s="212" t="str">
        <f t="shared" ca="1" si="85"/>
        <v/>
      </c>
    </row>
    <row r="970" spans="2:10" x14ac:dyDescent="0.15">
      <c r="B970" s="213" t="str">
        <f t="shared" si="86"/>
        <v/>
      </c>
      <c r="C970" s="228" t="str">
        <f t="shared" si="83"/>
        <v/>
      </c>
      <c r="D970" s="212" t="str">
        <f t="shared" si="82"/>
        <v/>
      </c>
      <c r="E970" s="212" t="str">
        <f t="shared" ca="1" si="84"/>
        <v/>
      </c>
      <c r="F970" s="212" t="str">
        <f t="shared" ca="1" si="84"/>
        <v/>
      </c>
      <c r="G970" s="212" t="str">
        <f t="shared" ca="1" si="84"/>
        <v/>
      </c>
      <c r="H970" s="212" t="str">
        <f t="shared" ca="1" si="84"/>
        <v/>
      </c>
      <c r="I970" s="212" t="str">
        <f t="shared" ca="1" si="85"/>
        <v/>
      </c>
      <c r="J970" s="212" t="str">
        <f t="shared" ca="1" si="85"/>
        <v/>
      </c>
    </row>
    <row r="971" spans="2:10" x14ac:dyDescent="0.15">
      <c r="B971" s="213" t="str">
        <f t="shared" si="86"/>
        <v/>
      </c>
      <c r="C971" s="228" t="str">
        <f t="shared" si="83"/>
        <v/>
      </c>
      <c r="D971" s="212" t="str">
        <f t="shared" si="82"/>
        <v/>
      </c>
      <c r="E971" s="212" t="str">
        <f t="shared" ca="1" si="84"/>
        <v/>
      </c>
      <c r="F971" s="212" t="str">
        <f t="shared" ca="1" si="84"/>
        <v/>
      </c>
      <c r="G971" s="212" t="str">
        <f t="shared" ca="1" si="84"/>
        <v/>
      </c>
      <c r="H971" s="212" t="str">
        <f t="shared" ca="1" si="84"/>
        <v/>
      </c>
      <c r="I971" s="212" t="str">
        <f t="shared" ca="1" si="85"/>
        <v/>
      </c>
      <c r="J971" s="212" t="str">
        <f t="shared" ca="1" si="85"/>
        <v/>
      </c>
    </row>
    <row r="972" spans="2:10" x14ac:dyDescent="0.15">
      <c r="B972" s="213" t="str">
        <f t="shared" si="86"/>
        <v/>
      </c>
      <c r="C972" s="228" t="str">
        <f t="shared" si="83"/>
        <v/>
      </c>
      <c r="D972" s="212" t="str">
        <f t="shared" si="82"/>
        <v/>
      </c>
      <c r="E972" s="212" t="str">
        <f t="shared" ca="1" si="84"/>
        <v/>
      </c>
      <c r="F972" s="212" t="str">
        <f t="shared" ca="1" si="84"/>
        <v/>
      </c>
      <c r="G972" s="212" t="str">
        <f t="shared" ca="1" si="84"/>
        <v/>
      </c>
      <c r="H972" s="212" t="str">
        <f t="shared" ca="1" si="84"/>
        <v/>
      </c>
      <c r="I972" s="212" t="str">
        <f t="shared" ca="1" si="85"/>
        <v/>
      </c>
      <c r="J972" s="212" t="str">
        <f t="shared" ca="1" si="85"/>
        <v/>
      </c>
    </row>
    <row r="973" spans="2:10" x14ac:dyDescent="0.15">
      <c r="B973" s="213" t="str">
        <f t="shared" si="86"/>
        <v/>
      </c>
      <c r="C973" s="228" t="str">
        <f t="shared" si="83"/>
        <v/>
      </c>
      <c r="D973" s="212" t="str">
        <f t="shared" si="82"/>
        <v/>
      </c>
      <c r="E973" s="212" t="str">
        <f t="shared" ca="1" si="84"/>
        <v/>
      </c>
      <c r="F973" s="212" t="str">
        <f t="shared" ca="1" si="84"/>
        <v/>
      </c>
      <c r="G973" s="212" t="str">
        <f t="shared" ca="1" si="84"/>
        <v/>
      </c>
      <c r="H973" s="212" t="str">
        <f t="shared" ca="1" si="84"/>
        <v/>
      </c>
      <c r="I973" s="212" t="str">
        <f t="shared" ca="1" si="85"/>
        <v/>
      </c>
      <c r="J973" s="212" t="str">
        <f t="shared" ca="1" si="85"/>
        <v/>
      </c>
    </row>
    <row r="974" spans="2:10" x14ac:dyDescent="0.15">
      <c r="B974" s="213" t="str">
        <f t="shared" si="86"/>
        <v/>
      </c>
      <c r="C974" s="228" t="str">
        <f t="shared" si="83"/>
        <v/>
      </c>
      <c r="D974" s="212" t="str">
        <f t="shared" si="82"/>
        <v/>
      </c>
      <c r="E974" s="212" t="str">
        <f t="shared" ca="1" si="84"/>
        <v/>
      </c>
      <c r="F974" s="212" t="str">
        <f t="shared" ca="1" si="84"/>
        <v/>
      </c>
      <c r="G974" s="212" t="str">
        <f t="shared" ca="1" si="84"/>
        <v/>
      </c>
      <c r="H974" s="212" t="str">
        <f t="shared" ca="1" si="84"/>
        <v/>
      </c>
      <c r="I974" s="212" t="str">
        <f t="shared" ca="1" si="85"/>
        <v/>
      </c>
      <c r="J974" s="212" t="str">
        <f t="shared" ca="1" si="85"/>
        <v/>
      </c>
    </row>
    <row r="975" spans="2:10" x14ac:dyDescent="0.15">
      <c r="B975" s="213" t="str">
        <f t="shared" si="86"/>
        <v/>
      </c>
      <c r="C975" s="228" t="str">
        <f t="shared" si="83"/>
        <v/>
      </c>
      <c r="D975" s="212" t="str">
        <f t="shared" si="82"/>
        <v/>
      </c>
      <c r="E975" s="212" t="str">
        <f t="shared" ca="1" si="84"/>
        <v/>
      </c>
      <c r="F975" s="212" t="str">
        <f t="shared" ca="1" si="84"/>
        <v/>
      </c>
      <c r="G975" s="212" t="str">
        <f t="shared" ca="1" si="84"/>
        <v/>
      </c>
      <c r="H975" s="212" t="str">
        <f t="shared" ca="1" si="84"/>
        <v/>
      </c>
      <c r="I975" s="212" t="str">
        <f t="shared" ca="1" si="85"/>
        <v/>
      </c>
      <c r="J975" s="212" t="str">
        <f t="shared" ca="1" si="85"/>
        <v/>
      </c>
    </row>
    <row r="976" spans="2:10" x14ac:dyDescent="0.15">
      <c r="B976" s="213" t="str">
        <f t="shared" si="86"/>
        <v/>
      </c>
      <c r="C976" s="228" t="str">
        <f t="shared" si="83"/>
        <v/>
      </c>
      <c r="D976" s="212" t="str">
        <f t="shared" si="82"/>
        <v/>
      </c>
      <c r="E976" s="212" t="str">
        <f t="shared" ca="1" si="84"/>
        <v/>
      </c>
      <c r="F976" s="212" t="str">
        <f t="shared" ca="1" si="84"/>
        <v/>
      </c>
      <c r="G976" s="212" t="str">
        <f t="shared" ca="1" si="84"/>
        <v/>
      </c>
      <c r="H976" s="212" t="str">
        <f t="shared" ca="1" si="84"/>
        <v/>
      </c>
      <c r="I976" s="212" t="str">
        <f t="shared" ca="1" si="85"/>
        <v/>
      </c>
      <c r="J976" s="212" t="str">
        <f t="shared" ca="1" si="85"/>
        <v/>
      </c>
    </row>
    <row r="977" spans="2:10" x14ac:dyDescent="0.15">
      <c r="B977" s="213" t="str">
        <f t="shared" si="86"/>
        <v/>
      </c>
      <c r="C977" s="228" t="str">
        <f t="shared" si="83"/>
        <v/>
      </c>
      <c r="D977" s="212" t="str">
        <f t="shared" si="82"/>
        <v/>
      </c>
      <c r="E977" s="212" t="str">
        <f t="shared" ca="1" si="84"/>
        <v/>
      </c>
      <c r="F977" s="212" t="str">
        <f t="shared" ca="1" si="84"/>
        <v/>
      </c>
      <c r="G977" s="212" t="str">
        <f t="shared" ca="1" si="84"/>
        <v/>
      </c>
      <c r="H977" s="212" t="str">
        <f t="shared" ca="1" si="84"/>
        <v/>
      </c>
      <c r="I977" s="212" t="str">
        <f t="shared" ca="1" si="85"/>
        <v/>
      </c>
      <c r="J977" s="212" t="str">
        <f t="shared" ca="1" si="85"/>
        <v/>
      </c>
    </row>
    <row r="978" spans="2:10" x14ac:dyDescent="0.15">
      <c r="B978" s="213" t="str">
        <f t="shared" si="86"/>
        <v/>
      </c>
      <c r="C978" s="228" t="str">
        <f t="shared" si="83"/>
        <v/>
      </c>
      <c r="D978" s="212" t="str">
        <f t="shared" si="82"/>
        <v/>
      </c>
      <c r="E978" s="212" t="str">
        <f t="shared" ca="1" si="84"/>
        <v/>
      </c>
      <c r="F978" s="212" t="str">
        <f t="shared" ca="1" si="84"/>
        <v/>
      </c>
      <c r="G978" s="212" t="str">
        <f t="shared" ca="1" si="84"/>
        <v/>
      </c>
      <c r="H978" s="212" t="str">
        <f t="shared" ca="1" si="84"/>
        <v/>
      </c>
      <c r="I978" s="212" t="str">
        <f t="shared" ca="1" si="85"/>
        <v/>
      </c>
      <c r="J978" s="212" t="str">
        <f t="shared" ca="1" si="85"/>
        <v/>
      </c>
    </row>
    <row r="979" spans="2:10" x14ac:dyDescent="0.15">
      <c r="B979" s="213" t="str">
        <f t="shared" si="86"/>
        <v/>
      </c>
      <c r="C979" s="228" t="str">
        <f t="shared" si="83"/>
        <v/>
      </c>
      <c r="D979" s="212" t="str">
        <f t="shared" si="82"/>
        <v/>
      </c>
      <c r="E979" s="212" t="str">
        <f t="shared" ca="1" si="84"/>
        <v/>
      </c>
      <c r="F979" s="212" t="str">
        <f t="shared" ca="1" si="84"/>
        <v/>
      </c>
      <c r="G979" s="212" t="str">
        <f t="shared" ca="1" si="84"/>
        <v/>
      </c>
      <c r="H979" s="212" t="str">
        <f t="shared" ca="1" si="84"/>
        <v/>
      </c>
      <c r="I979" s="212" t="str">
        <f t="shared" ca="1" si="85"/>
        <v/>
      </c>
      <c r="J979" s="212" t="str">
        <f t="shared" ca="1" si="85"/>
        <v/>
      </c>
    </row>
    <row r="980" spans="2:10" x14ac:dyDescent="0.15">
      <c r="B980" s="213" t="str">
        <f t="shared" si="86"/>
        <v/>
      </c>
      <c r="C980" s="228" t="str">
        <f t="shared" si="83"/>
        <v/>
      </c>
      <c r="D980" s="212" t="str">
        <f t="shared" si="82"/>
        <v/>
      </c>
      <c r="E980" s="212" t="str">
        <f t="shared" ca="1" si="84"/>
        <v/>
      </c>
      <c r="F980" s="212" t="str">
        <f t="shared" ca="1" si="84"/>
        <v/>
      </c>
      <c r="G980" s="212" t="str">
        <f t="shared" ca="1" si="84"/>
        <v/>
      </c>
      <c r="H980" s="212" t="str">
        <f t="shared" ca="1" si="84"/>
        <v/>
      </c>
      <c r="I980" s="212" t="str">
        <f t="shared" ca="1" si="85"/>
        <v/>
      </c>
      <c r="J980" s="212" t="str">
        <f t="shared" ca="1" si="85"/>
        <v/>
      </c>
    </row>
    <row r="981" spans="2:10" x14ac:dyDescent="0.15">
      <c r="B981" s="213" t="str">
        <f t="shared" si="86"/>
        <v/>
      </c>
      <c r="C981" s="228" t="str">
        <f t="shared" si="83"/>
        <v/>
      </c>
      <c r="D981" s="212" t="str">
        <f t="shared" si="82"/>
        <v/>
      </c>
      <c r="E981" s="212" t="str">
        <f t="shared" ca="1" si="84"/>
        <v/>
      </c>
      <c r="F981" s="212" t="str">
        <f t="shared" ca="1" si="84"/>
        <v/>
      </c>
      <c r="G981" s="212" t="str">
        <f t="shared" ca="1" si="84"/>
        <v/>
      </c>
      <c r="H981" s="212" t="str">
        <f t="shared" ca="1" si="84"/>
        <v/>
      </c>
      <c r="I981" s="212" t="str">
        <f t="shared" ca="1" si="85"/>
        <v/>
      </c>
      <c r="J981" s="212" t="str">
        <f t="shared" ca="1" si="85"/>
        <v/>
      </c>
    </row>
    <row r="982" spans="2:10" x14ac:dyDescent="0.15">
      <c r="B982" s="213" t="str">
        <f t="shared" si="86"/>
        <v/>
      </c>
      <c r="C982" s="228" t="str">
        <f t="shared" si="83"/>
        <v/>
      </c>
      <c r="D982" s="212" t="str">
        <f t="shared" si="82"/>
        <v/>
      </c>
      <c r="E982" s="212" t="str">
        <f t="shared" ca="1" si="84"/>
        <v/>
      </c>
      <c r="F982" s="212" t="str">
        <f t="shared" ca="1" si="84"/>
        <v/>
      </c>
      <c r="G982" s="212" t="str">
        <f t="shared" ca="1" si="84"/>
        <v/>
      </c>
      <c r="H982" s="212" t="str">
        <f t="shared" ca="1" si="84"/>
        <v/>
      </c>
      <c r="I982" s="212" t="str">
        <f t="shared" ca="1" si="85"/>
        <v/>
      </c>
      <c r="J982" s="212" t="str">
        <f t="shared" ca="1" si="85"/>
        <v/>
      </c>
    </row>
    <row r="983" spans="2:10" x14ac:dyDescent="0.15">
      <c r="B983" s="213" t="str">
        <f t="shared" si="86"/>
        <v/>
      </c>
      <c r="C983" s="228" t="str">
        <f t="shared" si="83"/>
        <v/>
      </c>
      <c r="D983" s="212" t="str">
        <f t="shared" si="82"/>
        <v/>
      </c>
      <c r="E983" s="212" t="str">
        <f t="shared" ca="1" si="84"/>
        <v/>
      </c>
      <c r="F983" s="212" t="str">
        <f t="shared" ca="1" si="84"/>
        <v/>
      </c>
      <c r="G983" s="212" t="str">
        <f t="shared" ca="1" si="84"/>
        <v/>
      </c>
      <c r="H983" s="212" t="str">
        <f t="shared" ca="1" si="84"/>
        <v/>
      </c>
      <c r="I983" s="212" t="str">
        <f t="shared" ca="1" si="85"/>
        <v/>
      </c>
      <c r="J983" s="212" t="str">
        <f t="shared" ca="1" si="85"/>
        <v/>
      </c>
    </row>
    <row r="984" spans="2:10" x14ac:dyDescent="0.15">
      <c r="B984" s="213" t="str">
        <f t="shared" si="86"/>
        <v/>
      </c>
      <c r="C984" s="228" t="str">
        <f t="shared" si="83"/>
        <v/>
      </c>
      <c r="D984" s="212" t="str">
        <f t="shared" si="82"/>
        <v/>
      </c>
      <c r="E984" s="212" t="str">
        <f t="shared" ca="1" si="84"/>
        <v/>
      </c>
      <c r="F984" s="212" t="str">
        <f t="shared" ca="1" si="84"/>
        <v/>
      </c>
      <c r="G984" s="212" t="str">
        <f t="shared" ca="1" si="84"/>
        <v/>
      </c>
      <c r="H984" s="212" t="str">
        <f t="shared" ca="1" si="84"/>
        <v/>
      </c>
      <c r="I984" s="212" t="str">
        <f t="shared" ca="1" si="85"/>
        <v/>
      </c>
      <c r="J984" s="212" t="str">
        <f t="shared" ca="1" si="85"/>
        <v/>
      </c>
    </row>
    <row r="985" spans="2:10" x14ac:dyDescent="0.15">
      <c r="B985" s="213" t="str">
        <f t="shared" si="86"/>
        <v/>
      </c>
      <c r="C985" s="228" t="str">
        <f t="shared" si="83"/>
        <v/>
      </c>
      <c r="D985" s="212" t="str">
        <f t="shared" si="82"/>
        <v/>
      </c>
      <c r="E985" s="212" t="str">
        <f t="shared" ca="1" si="84"/>
        <v/>
      </c>
      <c r="F985" s="212" t="str">
        <f t="shared" ca="1" si="84"/>
        <v/>
      </c>
      <c r="G985" s="212" t="str">
        <f t="shared" ca="1" si="84"/>
        <v/>
      </c>
      <c r="H985" s="212" t="str">
        <f t="shared" ca="1" si="84"/>
        <v/>
      </c>
      <c r="I985" s="212" t="str">
        <f t="shared" ca="1" si="85"/>
        <v/>
      </c>
      <c r="J985" s="212" t="str">
        <f t="shared" ca="1" si="85"/>
        <v/>
      </c>
    </row>
    <row r="986" spans="2:10" x14ac:dyDescent="0.15">
      <c r="B986" s="213" t="str">
        <f t="shared" si="86"/>
        <v/>
      </c>
      <c r="C986" s="228" t="str">
        <f t="shared" si="83"/>
        <v/>
      </c>
      <c r="D986" s="212" t="str">
        <f t="shared" ref="D986:D1025" si="87">IF(B986="","",IF(B987="",SUMIFS(Amount,Timestamp,"&gt;="&amp;B986),SUMIFS(Amount,Timestamp,"&gt;="&amp;B986,Timestamp,"&lt;"&amp;B987)))</f>
        <v/>
      </c>
      <c r="E986" s="212" t="str">
        <f t="shared" ca="1" si="84"/>
        <v/>
      </c>
      <c r="F986" s="212" t="str">
        <f t="shared" ca="1" si="84"/>
        <v/>
      </c>
      <c r="G986" s="212" t="str">
        <f t="shared" ca="1" si="84"/>
        <v/>
      </c>
      <c r="H986" s="212" t="str">
        <f t="shared" ref="H986:J1025" ca="1" si="88">IF($B986="","",IF($B986+H$24-1&gt;$E$5,"",SUM(OFFSET($D986,0,0,H$24,1))))</f>
        <v/>
      </c>
      <c r="I986" s="212" t="str">
        <f t="shared" ca="1" si="85"/>
        <v/>
      </c>
      <c r="J986" s="212" t="str">
        <f t="shared" ca="1" si="85"/>
        <v/>
      </c>
    </row>
    <row r="987" spans="2:10" x14ac:dyDescent="0.15">
      <c r="B987" s="213" t="str">
        <f t="shared" si="86"/>
        <v/>
      </c>
      <c r="C987" s="228" t="str">
        <f t="shared" ref="C987:C1025" si="89">IF(B987="","",TEXT(B987,"dddd"))</f>
        <v/>
      </c>
      <c r="D987" s="212" t="str">
        <f t="shared" si="87"/>
        <v/>
      </c>
      <c r="E987" s="212" t="str">
        <f t="shared" ref="E987:G1025" ca="1" si="90">IF($B987="","",IF($B987+E$24-1&gt;$E$5,"",SUM(OFFSET($D987,0,0,E$24,1))))</f>
        <v/>
      </c>
      <c r="F987" s="212" t="str">
        <f t="shared" ca="1" si="90"/>
        <v/>
      </c>
      <c r="G987" s="212" t="str">
        <f t="shared" ca="1" si="90"/>
        <v/>
      </c>
      <c r="H987" s="212" t="str">
        <f t="shared" ca="1" si="88"/>
        <v/>
      </c>
      <c r="I987" s="212" t="str">
        <f t="shared" ca="1" si="88"/>
        <v/>
      </c>
      <c r="J987" s="212" t="str">
        <f t="shared" ca="1" si="88"/>
        <v/>
      </c>
    </row>
    <row r="988" spans="2:10" x14ac:dyDescent="0.15">
      <c r="B988" s="213" t="str">
        <f t="shared" si="86"/>
        <v/>
      </c>
      <c r="C988" s="228" t="str">
        <f t="shared" si="89"/>
        <v/>
      </c>
      <c r="D988" s="212" t="str">
        <f t="shared" si="87"/>
        <v/>
      </c>
      <c r="E988" s="212" t="str">
        <f t="shared" ca="1" si="90"/>
        <v/>
      </c>
      <c r="F988" s="212" t="str">
        <f t="shared" ca="1" si="90"/>
        <v/>
      </c>
      <c r="G988" s="212" t="str">
        <f t="shared" ca="1" si="90"/>
        <v/>
      </c>
      <c r="H988" s="212" t="str">
        <f t="shared" ca="1" si="88"/>
        <v/>
      </c>
      <c r="I988" s="212" t="str">
        <f t="shared" ca="1" si="88"/>
        <v/>
      </c>
      <c r="J988" s="212" t="str">
        <f t="shared" ca="1" si="88"/>
        <v/>
      </c>
    </row>
    <row r="989" spans="2:10" x14ac:dyDescent="0.15">
      <c r="B989" s="213" t="str">
        <f t="shared" si="86"/>
        <v/>
      </c>
      <c r="C989" s="228" t="str">
        <f t="shared" si="89"/>
        <v/>
      </c>
      <c r="D989" s="212" t="str">
        <f t="shared" si="87"/>
        <v/>
      </c>
      <c r="E989" s="212" t="str">
        <f t="shared" ca="1" si="90"/>
        <v/>
      </c>
      <c r="F989" s="212" t="str">
        <f t="shared" ca="1" si="90"/>
        <v/>
      </c>
      <c r="G989" s="212" t="str">
        <f t="shared" ca="1" si="90"/>
        <v/>
      </c>
      <c r="H989" s="212" t="str">
        <f t="shared" ca="1" si="88"/>
        <v/>
      </c>
      <c r="I989" s="212" t="str">
        <f t="shared" ca="1" si="88"/>
        <v/>
      </c>
      <c r="J989" s="212" t="str">
        <f t="shared" ca="1" si="88"/>
        <v/>
      </c>
    </row>
    <row r="990" spans="2:10" x14ac:dyDescent="0.15">
      <c r="B990" s="213" t="str">
        <f t="shared" si="86"/>
        <v/>
      </c>
      <c r="C990" s="228" t="str">
        <f t="shared" si="89"/>
        <v/>
      </c>
      <c r="D990" s="212" t="str">
        <f t="shared" si="87"/>
        <v/>
      </c>
      <c r="E990" s="212" t="str">
        <f t="shared" ca="1" si="90"/>
        <v/>
      </c>
      <c r="F990" s="212" t="str">
        <f t="shared" ca="1" si="90"/>
        <v/>
      </c>
      <c r="G990" s="212" t="str">
        <f t="shared" ca="1" si="90"/>
        <v/>
      </c>
      <c r="H990" s="212" t="str">
        <f t="shared" ca="1" si="88"/>
        <v/>
      </c>
      <c r="I990" s="212" t="str">
        <f t="shared" ca="1" si="88"/>
        <v/>
      </c>
      <c r="J990" s="212" t="str">
        <f t="shared" ca="1" si="88"/>
        <v/>
      </c>
    </row>
    <row r="991" spans="2:10" x14ac:dyDescent="0.15">
      <c r="B991" s="213" t="str">
        <f t="shared" si="86"/>
        <v/>
      </c>
      <c r="C991" s="228" t="str">
        <f t="shared" si="89"/>
        <v/>
      </c>
      <c r="D991" s="212" t="str">
        <f t="shared" si="87"/>
        <v/>
      </c>
      <c r="E991" s="212" t="str">
        <f t="shared" ca="1" si="90"/>
        <v/>
      </c>
      <c r="F991" s="212" t="str">
        <f t="shared" ca="1" si="90"/>
        <v/>
      </c>
      <c r="G991" s="212" t="str">
        <f t="shared" ca="1" si="90"/>
        <v/>
      </c>
      <c r="H991" s="212" t="str">
        <f t="shared" ca="1" si="88"/>
        <v/>
      </c>
      <c r="I991" s="212" t="str">
        <f t="shared" ca="1" si="88"/>
        <v/>
      </c>
      <c r="J991" s="212" t="str">
        <f t="shared" ca="1" si="88"/>
        <v/>
      </c>
    </row>
    <row r="992" spans="2:10" x14ac:dyDescent="0.15">
      <c r="B992" s="213" t="str">
        <f t="shared" si="86"/>
        <v/>
      </c>
      <c r="C992" s="228" t="str">
        <f t="shared" si="89"/>
        <v/>
      </c>
      <c r="D992" s="212" t="str">
        <f t="shared" si="87"/>
        <v/>
      </c>
      <c r="E992" s="212" t="str">
        <f t="shared" ca="1" si="90"/>
        <v/>
      </c>
      <c r="F992" s="212" t="str">
        <f t="shared" ca="1" si="90"/>
        <v/>
      </c>
      <c r="G992" s="212" t="str">
        <f t="shared" ca="1" si="90"/>
        <v/>
      </c>
      <c r="H992" s="212" t="str">
        <f t="shared" ca="1" si="88"/>
        <v/>
      </c>
      <c r="I992" s="212" t="str">
        <f t="shared" ca="1" si="88"/>
        <v/>
      </c>
      <c r="J992" s="212" t="str">
        <f t="shared" ca="1" si="88"/>
        <v/>
      </c>
    </row>
    <row r="993" spans="2:10" x14ac:dyDescent="0.15">
      <c r="B993" s="213" t="str">
        <f t="shared" si="86"/>
        <v/>
      </c>
      <c r="C993" s="228" t="str">
        <f t="shared" si="89"/>
        <v/>
      </c>
      <c r="D993" s="212" t="str">
        <f t="shared" si="87"/>
        <v/>
      </c>
      <c r="E993" s="212" t="str">
        <f t="shared" ca="1" si="90"/>
        <v/>
      </c>
      <c r="F993" s="212" t="str">
        <f t="shared" ca="1" si="90"/>
        <v/>
      </c>
      <c r="G993" s="212" t="str">
        <f t="shared" ca="1" si="90"/>
        <v/>
      </c>
      <c r="H993" s="212" t="str">
        <f t="shared" ca="1" si="88"/>
        <v/>
      </c>
      <c r="I993" s="212" t="str">
        <f t="shared" ca="1" si="88"/>
        <v/>
      </c>
      <c r="J993" s="212" t="str">
        <f t="shared" ca="1" si="88"/>
        <v/>
      </c>
    </row>
    <row r="994" spans="2:10" x14ac:dyDescent="0.15">
      <c r="B994" s="213" t="str">
        <f t="shared" si="86"/>
        <v/>
      </c>
      <c r="C994" s="228" t="str">
        <f t="shared" si="89"/>
        <v/>
      </c>
      <c r="D994" s="212" t="str">
        <f t="shared" si="87"/>
        <v/>
      </c>
      <c r="E994" s="212" t="str">
        <f t="shared" ca="1" si="90"/>
        <v/>
      </c>
      <c r="F994" s="212" t="str">
        <f t="shared" ca="1" si="90"/>
        <v/>
      </c>
      <c r="G994" s="212" t="str">
        <f t="shared" ca="1" si="90"/>
        <v/>
      </c>
      <c r="H994" s="212" t="str">
        <f t="shared" ca="1" si="88"/>
        <v/>
      </c>
      <c r="I994" s="212" t="str">
        <f t="shared" ca="1" si="88"/>
        <v/>
      </c>
      <c r="J994" s="212" t="str">
        <f t="shared" ca="1" si="88"/>
        <v/>
      </c>
    </row>
    <row r="995" spans="2:10" x14ac:dyDescent="0.15">
      <c r="B995" s="213" t="str">
        <f t="shared" ref="B995:B1025" si="91">IF(B994="","",IF(B994&gt;=$E$5,"",B994+1))</f>
        <v/>
      </c>
      <c r="C995" s="228" t="str">
        <f t="shared" si="89"/>
        <v/>
      </c>
      <c r="D995" s="212" t="str">
        <f t="shared" si="87"/>
        <v/>
      </c>
      <c r="E995" s="212" t="str">
        <f t="shared" ca="1" si="90"/>
        <v/>
      </c>
      <c r="F995" s="212" t="str">
        <f t="shared" ca="1" si="90"/>
        <v/>
      </c>
      <c r="G995" s="212" t="str">
        <f t="shared" ca="1" si="90"/>
        <v/>
      </c>
      <c r="H995" s="212" t="str">
        <f t="shared" ca="1" si="88"/>
        <v/>
      </c>
      <c r="I995" s="212" t="str">
        <f t="shared" ca="1" si="88"/>
        <v/>
      </c>
      <c r="J995" s="212" t="str">
        <f t="shared" ca="1" si="88"/>
        <v/>
      </c>
    </row>
    <row r="996" spans="2:10" x14ac:dyDescent="0.15">
      <c r="B996" s="213" t="str">
        <f t="shared" si="91"/>
        <v/>
      </c>
      <c r="C996" s="228" t="str">
        <f t="shared" si="89"/>
        <v/>
      </c>
      <c r="D996" s="212" t="str">
        <f t="shared" si="87"/>
        <v/>
      </c>
      <c r="E996" s="212" t="str">
        <f t="shared" ca="1" si="90"/>
        <v/>
      </c>
      <c r="F996" s="212" t="str">
        <f t="shared" ca="1" si="90"/>
        <v/>
      </c>
      <c r="G996" s="212" t="str">
        <f t="shared" ca="1" si="90"/>
        <v/>
      </c>
      <c r="H996" s="212" t="str">
        <f t="shared" ca="1" si="88"/>
        <v/>
      </c>
      <c r="I996" s="212" t="str">
        <f t="shared" ca="1" si="88"/>
        <v/>
      </c>
      <c r="J996" s="212" t="str">
        <f t="shared" ca="1" si="88"/>
        <v/>
      </c>
    </row>
    <row r="997" spans="2:10" x14ac:dyDescent="0.15">
      <c r="B997" s="213" t="str">
        <f t="shared" si="91"/>
        <v/>
      </c>
      <c r="C997" s="228" t="str">
        <f t="shared" si="89"/>
        <v/>
      </c>
      <c r="D997" s="212" t="str">
        <f t="shared" si="87"/>
        <v/>
      </c>
      <c r="E997" s="212" t="str">
        <f t="shared" ca="1" si="90"/>
        <v/>
      </c>
      <c r="F997" s="212" t="str">
        <f t="shared" ca="1" si="90"/>
        <v/>
      </c>
      <c r="G997" s="212" t="str">
        <f t="shared" ca="1" si="90"/>
        <v/>
      </c>
      <c r="H997" s="212" t="str">
        <f t="shared" ca="1" si="88"/>
        <v/>
      </c>
      <c r="I997" s="212" t="str">
        <f t="shared" ca="1" si="88"/>
        <v/>
      </c>
      <c r="J997" s="212" t="str">
        <f t="shared" ca="1" si="88"/>
        <v/>
      </c>
    </row>
    <row r="998" spans="2:10" x14ac:dyDescent="0.15">
      <c r="B998" s="213" t="str">
        <f t="shared" si="91"/>
        <v/>
      </c>
      <c r="C998" s="228" t="str">
        <f t="shared" si="89"/>
        <v/>
      </c>
      <c r="D998" s="212" t="str">
        <f t="shared" si="87"/>
        <v/>
      </c>
      <c r="E998" s="212" t="str">
        <f t="shared" ca="1" si="90"/>
        <v/>
      </c>
      <c r="F998" s="212" t="str">
        <f t="shared" ca="1" si="90"/>
        <v/>
      </c>
      <c r="G998" s="212" t="str">
        <f t="shared" ca="1" si="90"/>
        <v/>
      </c>
      <c r="H998" s="212" t="str">
        <f t="shared" ca="1" si="88"/>
        <v/>
      </c>
      <c r="I998" s="212" t="str">
        <f t="shared" ca="1" si="88"/>
        <v/>
      </c>
      <c r="J998" s="212" t="str">
        <f t="shared" ca="1" si="88"/>
        <v/>
      </c>
    </row>
    <row r="999" spans="2:10" x14ac:dyDescent="0.15">
      <c r="B999" s="213" t="str">
        <f t="shared" si="91"/>
        <v/>
      </c>
      <c r="C999" s="228" t="str">
        <f t="shared" si="89"/>
        <v/>
      </c>
      <c r="D999" s="212" t="str">
        <f t="shared" si="87"/>
        <v/>
      </c>
      <c r="E999" s="212" t="str">
        <f t="shared" ca="1" si="90"/>
        <v/>
      </c>
      <c r="F999" s="212" t="str">
        <f t="shared" ca="1" si="90"/>
        <v/>
      </c>
      <c r="G999" s="212" t="str">
        <f t="shared" ca="1" si="90"/>
        <v/>
      </c>
      <c r="H999" s="212" t="str">
        <f t="shared" ca="1" si="88"/>
        <v/>
      </c>
      <c r="I999" s="212" t="str">
        <f t="shared" ca="1" si="88"/>
        <v/>
      </c>
      <c r="J999" s="212" t="str">
        <f t="shared" ca="1" si="88"/>
        <v/>
      </c>
    </row>
    <row r="1000" spans="2:10" x14ac:dyDescent="0.15">
      <c r="B1000" s="213" t="str">
        <f t="shared" si="91"/>
        <v/>
      </c>
      <c r="C1000" s="228" t="str">
        <f t="shared" si="89"/>
        <v/>
      </c>
      <c r="D1000" s="212" t="str">
        <f t="shared" si="87"/>
        <v/>
      </c>
      <c r="E1000" s="212" t="str">
        <f t="shared" ca="1" si="90"/>
        <v/>
      </c>
      <c r="F1000" s="212" t="str">
        <f t="shared" ca="1" si="90"/>
        <v/>
      </c>
      <c r="G1000" s="212" t="str">
        <f t="shared" ca="1" si="90"/>
        <v/>
      </c>
      <c r="H1000" s="212" t="str">
        <f t="shared" ca="1" si="88"/>
        <v/>
      </c>
      <c r="I1000" s="212" t="str">
        <f t="shared" ca="1" si="88"/>
        <v/>
      </c>
      <c r="J1000" s="212" t="str">
        <f t="shared" ca="1" si="88"/>
        <v/>
      </c>
    </row>
    <row r="1001" spans="2:10" x14ac:dyDescent="0.15">
      <c r="B1001" s="213" t="str">
        <f t="shared" si="91"/>
        <v/>
      </c>
      <c r="C1001" s="228" t="str">
        <f t="shared" si="89"/>
        <v/>
      </c>
      <c r="D1001" s="212" t="str">
        <f t="shared" si="87"/>
        <v/>
      </c>
      <c r="E1001" s="212" t="str">
        <f t="shared" ca="1" si="90"/>
        <v/>
      </c>
      <c r="F1001" s="212" t="str">
        <f t="shared" ca="1" si="90"/>
        <v/>
      </c>
      <c r="G1001" s="212" t="str">
        <f t="shared" ca="1" si="90"/>
        <v/>
      </c>
      <c r="H1001" s="212" t="str">
        <f t="shared" ca="1" si="88"/>
        <v/>
      </c>
      <c r="I1001" s="212" t="str">
        <f t="shared" ca="1" si="88"/>
        <v/>
      </c>
      <c r="J1001" s="212" t="str">
        <f t="shared" ca="1" si="88"/>
        <v/>
      </c>
    </row>
    <row r="1002" spans="2:10" x14ac:dyDescent="0.15">
      <c r="B1002" s="213" t="str">
        <f t="shared" si="91"/>
        <v/>
      </c>
      <c r="C1002" s="228" t="str">
        <f t="shared" si="89"/>
        <v/>
      </c>
      <c r="D1002" s="212" t="str">
        <f t="shared" si="87"/>
        <v/>
      </c>
      <c r="E1002" s="212" t="str">
        <f t="shared" ca="1" si="90"/>
        <v/>
      </c>
      <c r="F1002" s="212" t="str">
        <f t="shared" ca="1" si="90"/>
        <v/>
      </c>
      <c r="G1002" s="212" t="str">
        <f t="shared" ca="1" si="90"/>
        <v/>
      </c>
      <c r="H1002" s="212" t="str">
        <f t="shared" ca="1" si="88"/>
        <v/>
      </c>
      <c r="I1002" s="212" t="str">
        <f t="shared" ca="1" si="88"/>
        <v/>
      </c>
      <c r="J1002" s="212" t="str">
        <f t="shared" ca="1" si="88"/>
        <v/>
      </c>
    </row>
    <row r="1003" spans="2:10" x14ac:dyDescent="0.15">
      <c r="B1003" s="213" t="str">
        <f t="shared" si="91"/>
        <v/>
      </c>
      <c r="C1003" s="228" t="str">
        <f t="shared" si="89"/>
        <v/>
      </c>
      <c r="D1003" s="212" t="str">
        <f t="shared" si="87"/>
        <v/>
      </c>
      <c r="E1003" s="212" t="str">
        <f t="shared" ca="1" si="90"/>
        <v/>
      </c>
      <c r="F1003" s="212" t="str">
        <f t="shared" ca="1" si="90"/>
        <v/>
      </c>
      <c r="G1003" s="212" t="str">
        <f t="shared" ca="1" si="90"/>
        <v/>
      </c>
      <c r="H1003" s="212" t="str">
        <f t="shared" ca="1" si="88"/>
        <v/>
      </c>
      <c r="I1003" s="212" t="str">
        <f t="shared" ca="1" si="88"/>
        <v/>
      </c>
      <c r="J1003" s="212" t="str">
        <f t="shared" ca="1" si="88"/>
        <v/>
      </c>
    </row>
    <row r="1004" spans="2:10" x14ac:dyDescent="0.15">
      <c r="B1004" s="213" t="str">
        <f t="shared" si="91"/>
        <v/>
      </c>
      <c r="C1004" s="228" t="str">
        <f t="shared" si="89"/>
        <v/>
      </c>
      <c r="D1004" s="212" t="str">
        <f t="shared" si="87"/>
        <v/>
      </c>
      <c r="E1004" s="212" t="str">
        <f t="shared" ca="1" si="90"/>
        <v/>
      </c>
      <c r="F1004" s="212" t="str">
        <f t="shared" ca="1" si="90"/>
        <v/>
      </c>
      <c r="G1004" s="212" t="str">
        <f t="shared" ca="1" si="90"/>
        <v/>
      </c>
      <c r="H1004" s="212" t="str">
        <f t="shared" ca="1" si="88"/>
        <v/>
      </c>
      <c r="I1004" s="212" t="str">
        <f t="shared" ca="1" si="88"/>
        <v/>
      </c>
      <c r="J1004" s="212" t="str">
        <f t="shared" ca="1" si="88"/>
        <v/>
      </c>
    </row>
    <row r="1005" spans="2:10" x14ac:dyDescent="0.15">
      <c r="B1005" s="213" t="str">
        <f t="shared" si="91"/>
        <v/>
      </c>
      <c r="C1005" s="228" t="str">
        <f t="shared" si="89"/>
        <v/>
      </c>
      <c r="D1005" s="212" t="str">
        <f t="shared" si="87"/>
        <v/>
      </c>
      <c r="E1005" s="212" t="str">
        <f t="shared" ca="1" si="90"/>
        <v/>
      </c>
      <c r="F1005" s="212" t="str">
        <f t="shared" ca="1" si="90"/>
        <v/>
      </c>
      <c r="G1005" s="212" t="str">
        <f t="shared" ca="1" si="90"/>
        <v/>
      </c>
      <c r="H1005" s="212" t="str">
        <f t="shared" ca="1" si="88"/>
        <v/>
      </c>
      <c r="I1005" s="212" t="str">
        <f t="shared" ca="1" si="88"/>
        <v/>
      </c>
      <c r="J1005" s="212" t="str">
        <f t="shared" ca="1" si="88"/>
        <v/>
      </c>
    </row>
    <row r="1006" spans="2:10" x14ac:dyDescent="0.15">
      <c r="B1006" s="213" t="str">
        <f t="shared" si="91"/>
        <v/>
      </c>
      <c r="C1006" s="228" t="str">
        <f t="shared" si="89"/>
        <v/>
      </c>
      <c r="D1006" s="212" t="str">
        <f t="shared" si="87"/>
        <v/>
      </c>
      <c r="E1006" s="212" t="str">
        <f t="shared" ca="1" si="90"/>
        <v/>
      </c>
      <c r="F1006" s="212" t="str">
        <f t="shared" ca="1" si="90"/>
        <v/>
      </c>
      <c r="G1006" s="212" t="str">
        <f t="shared" ca="1" si="90"/>
        <v/>
      </c>
      <c r="H1006" s="212" t="str">
        <f t="shared" ca="1" si="88"/>
        <v/>
      </c>
      <c r="I1006" s="212" t="str">
        <f t="shared" ca="1" si="88"/>
        <v/>
      </c>
      <c r="J1006" s="212" t="str">
        <f t="shared" ca="1" si="88"/>
        <v/>
      </c>
    </row>
    <row r="1007" spans="2:10" x14ac:dyDescent="0.15">
      <c r="B1007" s="213" t="str">
        <f t="shared" si="91"/>
        <v/>
      </c>
      <c r="C1007" s="228" t="str">
        <f t="shared" si="89"/>
        <v/>
      </c>
      <c r="D1007" s="212" t="str">
        <f t="shared" si="87"/>
        <v/>
      </c>
      <c r="E1007" s="212" t="str">
        <f t="shared" ca="1" si="90"/>
        <v/>
      </c>
      <c r="F1007" s="212" t="str">
        <f t="shared" ca="1" si="90"/>
        <v/>
      </c>
      <c r="G1007" s="212" t="str">
        <f t="shared" ca="1" si="90"/>
        <v/>
      </c>
      <c r="H1007" s="212" t="str">
        <f t="shared" ca="1" si="88"/>
        <v/>
      </c>
      <c r="I1007" s="212" t="str">
        <f t="shared" ca="1" si="88"/>
        <v/>
      </c>
      <c r="J1007" s="212" t="str">
        <f t="shared" ca="1" si="88"/>
        <v/>
      </c>
    </row>
    <row r="1008" spans="2:10" x14ac:dyDescent="0.15">
      <c r="B1008" s="213" t="str">
        <f t="shared" si="91"/>
        <v/>
      </c>
      <c r="C1008" s="228" t="str">
        <f t="shared" si="89"/>
        <v/>
      </c>
      <c r="D1008" s="212" t="str">
        <f t="shared" si="87"/>
        <v/>
      </c>
      <c r="E1008" s="212" t="str">
        <f t="shared" ca="1" si="90"/>
        <v/>
      </c>
      <c r="F1008" s="212" t="str">
        <f t="shared" ca="1" si="90"/>
        <v/>
      </c>
      <c r="G1008" s="212" t="str">
        <f t="shared" ca="1" si="90"/>
        <v/>
      </c>
      <c r="H1008" s="212" t="str">
        <f t="shared" ca="1" si="88"/>
        <v/>
      </c>
      <c r="I1008" s="212" t="str">
        <f t="shared" ca="1" si="88"/>
        <v/>
      </c>
      <c r="J1008" s="212" t="str">
        <f t="shared" ca="1" si="88"/>
        <v/>
      </c>
    </row>
    <row r="1009" spans="2:10" x14ac:dyDescent="0.15">
      <c r="B1009" s="213" t="str">
        <f t="shared" si="91"/>
        <v/>
      </c>
      <c r="C1009" s="228" t="str">
        <f t="shared" si="89"/>
        <v/>
      </c>
      <c r="D1009" s="212" t="str">
        <f t="shared" si="87"/>
        <v/>
      </c>
      <c r="E1009" s="212" t="str">
        <f t="shared" ca="1" si="90"/>
        <v/>
      </c>
      <c r="F1009" s="212" t="str">
        <f t="shared" ca="1" si="90"/>
        <v/>
      </c>
      <c r="G1009" s="212" t="str">
        <f t="shared" ca="1" si="90"/>
        <v/>
      </c>
      <c r="H1009" s="212" t="str">
        <f t="shared" ca="1" si="88"/>
        <v/>
      </c>
      <c r="I1009" s="212" t="str">
        <f t="shared" ca="1" si="88"/>
        <v/>
      </c>
      <c r="J1009" s="212" t="str">
        <f t="shared" ca="1" si="88"/>
        <v/>
      </c>
    </row>
    <row r="1010" spans="2:10" x14ac:dyDescent="0.15">
      <c r="B1010" s="213" t="str">
        <f t="shared" si="91"/>
        <v/>
      </c>
      <c r="C1010" s="228" t="str">
        <f t="shared" si="89"/>
        <v/>
      </c>
      <c r="D1010" s="212" t="str">
        <f t="shared" si="87"/>
        <v/>
      </c>
      <c r="E1010" s="212" t="str">
        <f t="shared" ca="1" si="90"/>
        <v/>
      </c>
      <c r="F1010" s="212" t="str">
        <f t="shared" ca="1" si="90"/>
        <v/>
      </c>
      <c r="G1010" s="212" t="str">
        <f t="shared" ca="1" si="90"/>
        <v/>
      </c>
      <c r="H1010" s="212" t="str">
        <f t="shared" ca="1" si="88"/>
        <v/>
      </c>
      <c r="I1010" s="212" t="str">
        <f t="shared" ca="1" si="88"/>
        <v/>
      </c>
      <c r="J1010" s="212" t="str">
        <f t="shared" ca="1" si="88"/>
        <v/>
      </c>
    </row>
    <row r="1011" spans="2:10" x14ac:dyDescent="0.15">
      <c r="B1011" s="213" t="str">
        <f t="shared" si="91"/>
        <v/>
      </c>
      <c r="C1011" s="228" t="str">
        <f t="shared" si="89"/>
        <v/>
      </c>
      <c r="D1011" s="212" t="str">
        <f t="shared" si="87"/>
        <v/>
      </c>
      <c r="E1011" s="212" t="str">
        <f t="shared" ca="1" si="90"/>
        <v/>
      </c>
      <c r="F1011" s="212" t="str">
        <f t="shared" ca="1" si="90"/>
        <v/>
      </c>
      <c r="G1011" s="212" t="str">
        <f t="shared" ca="1" si="90"/>
        <v/>
      </c>
      <c r="H1011" s="212" t="str">
        <f t="shared" ca="1" si="88"/>
        <v/>
      </c>
      <c r="I1011" s="212" t="str">
        <f t="shared" ca="1" si="88"/>
        <v/>
      </c>
      <c r="J1011" s="212" t="str">
        <f t="shared" ca="1" si="88"/>
        <v/>
      </c>
    </row>
    <row r="1012" spans="2:10" x14ac:dyDescent="0.15">
      <c r="B1012" s="213" t="str">
        <f t="shared" si="91"/>
        <v/>
      </c>
      <c r="C1012" s="228" t="str">
        <f t="shared" si="89"/>
        <v/>
      </c>
      <c r="D1012" s="212" t="str">
        <f t="shared" si="87"/>
        <v/>
      </c>
      <c r="E1012" s="212" t="str">
        <f t="shared" ca="1" si="90"/>
        <v/>
      </c>
      <c r="F1012" s="212" t="str">
        <f t="shared" ca="1" si="90"/>
        <v/>
      </c>
      <c r="G1012" s="212" t="str">
        <f t="shared" ca="1" si="90"/>
        <v/>
      </c>
      <c r="H1012" s="212" t="str">
        <f t="shared" ca="1" si="88"/>
        <v/>
      </c>
      <c r="I1012" s="212" t="str">
        <f t="shared" ca="1" si="88"/>
        <v/>
      </c>
      <c r="J1012" s="212" t="str">
        <f t="shared" ca="1" si="88"/>
        <v/>
      </c>
    </row>
    <row r="1013" spans="2:10" x14ac:dyDescent="0.15">
      <c r="B1013" s="213" t="str">
        <f t="shared" si="91"/>
        <v/>
      </c>
      <c r="C1013" s="228" t="str">
        <f t="shared" si="89"/>
        <v/>
      </c>
      <c r="D1013" s="212" t="str">
        <f t="shared" si="87"/>
        <v/>
      </c>
      <c r="E1013" s="212" t="str">
        <f t="shared" ca="1" si="90"/>
        <v/>
      </c>
      <c r="F1013" s="212" t="str">
        <f t="shared" ca="1" si="90"/>
        <v/>
      </c>
      <c r="G1013" s="212" t="str">
        <f t="shared" ca="1" si="90"/>
        <v/>
      </c>
      <c r="H1013" s="212" t="str">
        <f t="shared" ca="1" si="88"/>
        <v/>
      </c>
      <c r="I1013" s="212" t="str">
        <f t="shared" ca="1" si="88"/>
        <v/>
      </c>
      <c r="J1013" s="212" t="str">
        <f t="shared" ca="1" si="88"/>
        <v/>
      </c>
    </row>
    <row r="1014" spans="2:10" x14ac:dyDescent="0.15">
      <c r="B1014" s="213" t="str">
        <f t="shared" si="91"/>
        <v/>
      </c>
      <c r="C1014" s="228" t="str">
        <f t="shared" si="89"/>
        <v/>
      </c>
      <c r="D1014" s="212" t="str">
        <f t="shared" si="87"/>
        <v/>
      </c>
      <c r="E1014" s="212" t="str">
        <f t="shared" ca="1" si="90"/>
        <v/>
      </c>
      <c r="F1014" s="212" t="str">
        <f t="shared" ca="1" si="90"/>
        <v/>
      </c>
      <c r="G1014" s="212" t="str">
        <f t="shared" ca="1" si="90"/>
        <v/>
      </c>
      <c r="H1014" s="212" t="str">
        <f t="shared" ca="1" si="88"/>
        <v/>
      </c>
      <c r="I1014" s="212" t="str">
        <f t="shared" ca="1" si="88"/>
        <v/>
      </c>
      <c r="J1014" s="212" t="str">
        <f t="shared" ca="1" si="88"/>
        <v/>
      </c>
    </row>
    <row r="1015" spans="2:10" x14ac:dyDescent="0.15">
      <c r="B1015" s="213" t="str">
        <f t="shared" si="91"/>
        <v/>
      </c>
      <c r="C1015" s="228" t="str">
        <f t="shared" si="89"/>
        <v/>
      </c>
      <c r="D1015" s="212" t="str">
        <f t="shared" si="87"/>
        <v/>
      </c>
      <c r="E1015" s="212" t="str">
        <f t="shared" ca="1" si="90"/>
        <v/>
      </c>
      <c r="F1015" s="212" t="str">
        <f t="shared" ca="1" si="90"/>
        <v/>
      </c>
      <c r="G1015" s="212" t="str">
        <f t="shared" ca="1" si="90"/>
        <v/>
      </c>
      <c r="H1015" s="212" t="str">
        <f t="shared" ca="1" si="88"/>
        <v/>
      </c>
      <c r="I1015" s="212" t="str">
        <f t="shared" ca="1" si="88"/>
        <v/>
      </c>
      <c r="J1015" s="212" t="str">
        <f t="shared" ca="1" si="88"/>
        <v/>
      </c>
    </row>
    <row r="1016" spans="2:10" x14ac:dyDescent="0.15">
      <c r="B1016" s="213" t="str">
        <f t="shared" si="91"/>
        <v/>
      </c>
      <c r="C1016" s="228" t="str">
        <f t="shared" si="89"/>
        <v/>
      </c>
      <c r="D1016" s="212" t="str">
        <f t="shared" si="87"/>
        <v/>
      </c>
      <c r="E1016" s="212" t="str">
        <f t="shared" ca="1" si="90"/>
        <v/>
      </c>
      <c r="F1016" s="212" t="str">
        <f t="shared" ca="1" si="90"/>
        <v/>
      </c>
      <c r="G1016" s="212" t="str">
        <f t="shared" ca="1" si="90"/>
        <v/>
      </c>
      <c r="H1016" s="212" t="str">
        <f t="shared" ca="1" si="88"/>
        <v/>
      </c>
      <c r="I1016" s="212" t="str">
        <f t="shared" ca="1" si="88"/>
        <v/>
      </c>
      <c r="J1016" s="212" t="str">
        <f t="shared" ca="1" si="88"/>
        <v/>
      </c>
    </row>
    <row r="1017" spans="2:10" x14ac:dyDescent="0.15">
      <c r="B1017" s="213" t="str">
        <f t="shared" si="91"/>
        <v/>
      </c>
      <c r="C1017" s="228" t="str">
        <f t="shared" si="89"/>
        <v/>
      </c>
      <c r="D1017" s="212" t="str">
        <f t="shared" si="87"/>
        <v/>
      </c>
      <c r="E1017" s="212" t="str">
        <f t="shared" ca="1" si="90"/>
        <v/>
      </c>
      <c r="F1017" s="212" t="str">
        <f t="shared" ca="1" si="90"/>
        <v/>
      </c>
      <c r="G1017" s="212" t="str">
        <f t="shared" ca="1" si="90"/>
        <v/>
      </c>
      <c r="H1017" s="212" t="str">
        <f t="shared" ca="1" si="88"/>
        <v/>
      </c>
      <c r="I1017" s="212" t="str">
        <f t="shared" ca="1" si="88"/>
        <v/>
      </c>
      <c r="J1017" s="212" t="str">
        <f t="shared" ca="1" si="88"/>
        <v/>
      </c>
    </row>
    <row r="1018" spans="2:10" x14ac:dyDescent="0.15">
      <c r="B1018" s="213" t="str">
        <f t="shared" si="91"/>
        <v/>
      </c>
      <c r="C1018" s="228" t="str">
        <f t="shared" si="89"/>
        <v/>
      </c>
      <c r="D1018" s="212" t="str">
        <f t="shared" si="87"/>
        <v/>
      </c>
      <c r="E1018" s="212" t="str">
        <f t="shared" ca="1" si="90"/>
        <v/>
      </c>
      <c r="F1018" s="212" t="str">
        <f t="shared" ca="1" si="90"/>
        <v/>
      </c>
      <c r="G1018" s="212" t="str">
        <f t="shared" ca="1" si="90"/>
        <v/>
      </c>
      <c r="H1018" s="212" t="str">
        <f t="shared" ca="1" si="88"/>
        <v/>
      </c>
      <c r="I1018" s="212" t="str">
        <f t="shared" ca="1" si="88"/>
        <v/>
      </c>
      <c r="J1018" s="212" t="str">
        <f t="shared" ca="1" si="88"/>
        <v/>
      </c>
    </row>
    <row r="1019" spans="2:10" x14ac:dyDescent="0.15">
      <c r="B1019" s="213" t="str">
        <f t="shared" si="91"/>
        <v/>
      </c>
      <c r="C1019" s="228" t="str">
        <f t="shared" si="89"/>
        <v/>
      </c>
      <c r="D1019" s="212" t="str">
        <f t="shared" si="87"/>
        <v/>
      </c>
      <c r="E1019" s="212" t="str">
        <f t="shared" ca="1" si="90"/>
        <v/>
      </c>
      <c r="F1019" s="212" t="str">
        <f t="shared" ca="1" si="90"/>
        <v/>
      </c>
      <c r="G1019" s="212" t="str">
        <f t="shared" ca="1" si="90"/>
        <v/>
      </c>
      <c r="H1019" s="212" t="str">
        <f t="shared" ca="1" si="88"/>
        <v/>
      </c>
      <c r="I1019" s="212" t="str">
        <f t="shared" ca="1" si="88"/>
        <v/>
      </c>
      <c r="J1019" s="212" t="str">
        <f t="shared" ca="1" si="88"/>
        <v/>
      </c>
    </row>
    <row r="1020" spans="2:10" x14ac:dyDescent="0.15">
      <c r="B1020" s="213" t="str">
        <f t="shared" si="91"/>
        <v/>
      </c>
      <c r="C1020" s="228" t="str">
        <f t="shared" si="89"/>
        <v/>
      </c>
      <c r="D1020" s="212" t="str">
        <f t="shared" si="87"/>
        <v/>
      </c>
      <c r="E1020" s="212" t="str">
        <f t="shared" ca="1" si="90"/>
        <v/>
      </c>
      <c r="F1020" s="212" t="str">
        <f t="shared" ca="1" si="90"/>
        <v/>
      </c>
      <c r="G1020" s="212" t="str">
        <f t="shared" ca="1" si="90"/>
        <v/>
      </c>
      <c r="H1020" s="212" t="str">
        <f t="shared" ca="1" si="88"/>
        <v/>
      </c>
      <c r="I1020" s="212" t="str">
        <f t="shared" ca="1" si="88"/>
        <v/>
      </c>
      <c r="J1020" s="212" t="str">
        <f t="shared" ca="1" si="88"/>
        <v/>
      </c>
    </row>
    <row r="1021" spans="2:10" x14ac:dyDescent="0.15">
      <c r="B1021" s="213" t="str">
        <f t="shared" si="91"/>
        <v/>
      </c>
      <c r="C1021" s="228" t="str">
        <f t="shared" si="89"/>
        <v/>
      </c>
      <c r="D1021" s="212" t="str">
        <f t="shared" si="87"/>
        <v/>
      </c>
      <c r="E1021" s="212" t="str">
        <f t="shared" ca="1" si="90"/>
        <v/>
      </c>
      <c r="F1021" s="212" t="str">
        <f t="shared" ca="1" si="90"/>
        <v/>
      </c>
      <c r="G1021" s="212" t="str">
        <f t="shared" ca="1" si="90"/>
        <v/>
      </c>
      <c r="H1021" s="212" t="str">
        <f t="shared" ca="1" si="88"/>
        <v/>
      </c>
      <c r="I1021" s="212" t="str">
        <f t="shared" ca="1" si="88"/>
        <v/>
      </c>
      <c r="J1021" s="212" t="str">
        <f t="shared" ca="1" si="88"/>
        <v/>
      </c>
    </row>
    <row r="1022" spans="2:10" x14ac:dyDescent="0.15">
      <c r="B1022" s="213" t="str">
        <f t="shared" si="91"/>
        <v/>
      </c>
      <c r="C1022" s="228" t="str">
        <f t="shared" si="89"/>
        <v/>
      </c>
      <c r="D1022" s="212" t="str">
        <f t="shared" si="87"/>
        <v/>
      </c>
      <c r="E1022" s="212" t="str">
        <f t="shared" ca="1" si="90"/>
        <v/>
      </c>
      <c r="F1022" s="212" t="str">
        <f t="shared" ca="1" si="90"/>
        <v/>
      </c>
      <c r="G1022" s="212" t="str">
        <f t="shared" ca="1" si="90"/>
        <v/>
      </c>
      <c r="H1022" s="212" t="str">
        <f t="shared" ca="1" si="88"/>
        <v/>
      </c>
      <c r="I1022" s="212" t="str">
        <f t="shared" ca="1" si="88"/>
        <v/>
      </c>
      <c r="J1022" s="212" t="str">
        <f t="shared" ca="1" si="88"/>
        <v/>
      </c>
    </row>
    <row r="1023" spans="2:10" x14ac:dyDescent="0.15">
      <c r="B1023" s="213" t="str">
        <f t="shared" si="91"/>
        <v/>
      </c>
      <c r="C1023" s="228" t="str">
        <f t="shared" si="89"/>
        <v/>
      </c>
      <c r="D1023" s="212" t="str">
        <f t="shared" si="87"/>
        <v/>
      </c>
      <c r="E1023" s="212" t="str">
        <f t="shared" ca="1" si="90"/>
        <v/>
      </c>
      <c r="F1023" s="212" t="str">
        <f t="shared" ca="1" si="90"/>
        <v/>
      </c>
      <c r="G1023" s="212" t="str">
        <f t="shared" ca="1" si="90"/>
        <v/>
      </c>
      <c r="H1023" s="212" t="str">
        <f t="shared" ca="1" si="88"/>
        <v/>
      </c>
      <c r="I1023" s="212" t="str">
        <f t="shared" ca="1" si="88"/>
        <v/>
      </c>
      <c r="J1023" s="212" t="str">
        <f t="shared" ca="1" si="88"/>
        <v/>
      </c>
    </row>
    <row r="1024" spans="2:10" x14ac:dyDescent="0.15">
      <c r="B1024" s="213" t="str">
        <f t="shared" si="91"/>
        <v/>
      </c>
      <c r="C1024" s="228" t="str">
        <f t="shared" si="89"/>
        <v/>
      </c>
      <c r="D1024" s="212" t="str">
        <f t="shared" si="87"/>
        <v/>
      </c>
      <c r="E1024" s="212" t="str">
        <f t="shared" ca="1" si="90"/>
        <v/>
      </c>
      <c r="F1024" s="212" t="str">
        <f t="shared" ca="1" si="90"/>
        <v/>
      </c>
      <c r="G1024" s="212" t="str">
        <f t="shared" ca="1" si="90"/>
        <v/>
      </c>
      <c r="H1024" s="212" t="str">
        <f t="shared" ca="1" si="88"/>
        <v/>
      </c>
      <c r="I1024" s="212" t="str">
        <f t="shared" ca="1" si="88"/>
        <v/>
      </c>
      <c r="J1024" s="212" t="str">
        <f t="shared" ca="1" si="88"/>
        <v/>
      </c>
    </row>
    <row r="1025" spans="2:10" x14ac:dyDescent="0.15">
      <c r="B1025" s="213" t="str">
        <f t="shared" si="91"/>
        <v/>
      </c>
      <c r="C1025" s="228" t="str">
        <f t="shared" si="89"/>
        <v/>
      </c>
      <c r="D1025" s="212" t="str">
        <f t="shared" si="87"/>
        <v/>
      </c>
      <c r="E1025" s="212" t="str">
        <f t="shared" ca="1" si="90"/>
        <v/>
      </c>
      <c r="F1025" s="212" t="str">
        <f t="shared" ca="1" si="90"/>
        <v/>
      </c>
      <c r="G1025" s="212" t="str">
        <f t="shared" ca="1" si="90"/>
        <v/>
      </c>
      <c r="H1025" s="212" t="str">
        <f t="shared" ca="1" si="88"/>
        <v/>
      </c>
      <c r="I1025" s="212" t="str">
        <f t="shared" ca="1" si="88"/>
        <v/>
      </c>
      <c r="J1025" s="212" t="str">
        <f t="shared" ca="1" si="88"/>
        <v/>
      </c>
    </row>
  </sheetData>
  <mergeCells count="4">
    <mergeCell ref="D11:J11"/>
    <mergeCell ref="K11:Q11"/>
    <mergeCell ref="S11:W12"/>
    <mergeCell ref="D23:J23"/>
  </mergeCells>
  <dataValidations count="1">
    <dataValidation type="list" allowBlank="1" showInputMessage="1" showErrorMessage="1" sqref="S14" xr:uid="{B4642570-F956-4F9A-B0F3-55AFBE4B57F6}">
      <formula1>$C$14:$C$20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3:M34"/>
  <sheetViews>
    <sheetView showGridLines="0" topLeftCell="B1" zoomScale="80" zoomScaleNormal="80" workbookViewId="0">
      <selection activeCell="D7" sqref="D7"/>
    </sheetView>
  </sheetViews>
  <sheetFormatPr baseColWidth="10" defaultColWidth="9.1640625" defaultRowHeight="15" x14ac:dyDescent="0.2"/>
  <cols>
    <col min="1" max="1" width="4.83203125" style="4" customWidth="1"/>
    <col min="2" max="2" width="42.33203125" style="4" customWidth="1"/>
    <col min="3" max="3" width="13.6640625" style="4" customWidth="1"/>
    <col min="4" max="13" width="13.5" style="4" customWidth="1"/>
    <col min="14" max="16384" width="9.1640625" style="4"/>
  </cols>
  <sheetData>
    <row r="3" spans="2:13" customFormat="1" ht="20.25" customHeight="1" x14ac:dyDescent="0.15"/>
    <row r="4" spans="2:13" customFormat="1" ht="42" customHeight="1" x14ac:dyDescent="0.2">
      <c r="B4" s="144" t="s">
        <v>63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54"/>
    </row>
    <row r="5" spans="2:13" ht="26.25" customHeight="1" x14ac:dyDescent="0.2">
      <c r="B5" s="146"/>
      <c r="C5" s="147" t="str">
        <f>"NPW Cost of Ownership Over "&amp;$L$8&amp;"-year Useful Life:"</f>
        <v>NPW Cost of Ownership Over 7-year Useful Life:</v>
      </c>
      <c r="D5" s="82">
        <f ca="1">$C33+NPV($L$11,OFFSET(D33,0,0,1,L8))</f>
        <v>-11898.809483687161</v>
      </c>
      <c r="E5" s="149"/>
      <c r="F5" s="138" t="s">
        <v>129</v>
      </c>
      <c r="G5" s="58" t="str">
        <f>Displayed_ATM</f>
        <v>OP00929</v>
      </c>
      <c r="H5" s="149"/>
      <c r="I5" s="149"/>
      <c r="J5" s="83" t="str">
        <f>"Estimates for ATM "&amp;G5</f>
        <v>Estimates for ATM OP00929</v>
      </c>
      <c r="K5" s="84"/>
      <c r="L5" s="85"/>
      <c r="M5" s="162"/>
    </row>
    <row r="6" spans="2:13" ht="26.25" customHeight="1" x14ac:dyDescent="0.2">
      <c r="B6" s="146"/>
      <c r="C6" s="147" t="s">
        <v>49</v>
      </c>
      <c r="D6" s="82">
        <f ca="1">-PMT($L$11,$L$8,$D$5)</f>
        <v>-2131.4934517410297</v>
      </c>
      <c r="E6" s="149"/>
      <c r="F6" s="149"/>
      <c r="G6" s="149"/>
      <c r="H6" s="149"/>
      <c r="I6" s="149"/>
      <c r="J6" s="247" t="s">
        <v>152</v>
      </c>
      <c r="K6" s="247" t="s">
        <v>153</v>
      </c>
      <c r="L6" s="247" t="s">
        <v>154</v>
      </c>
      <c r="M6" s="162"/>
    </row>
    <row r="7" spans="2:13" ht="26.25" customHeight="1" x14ac:dyDescent="0.2">
      <c r="B7" s="146"/>
      <c r="C7" s="147" t="s">
        <v>50</v>
      </c>
      <c r="D7" s="82">
        <f ca="1">Annual_Ownership_Cost*(End_Date-Start_Date+1)/365</f>
        <v>-537.25314400047864</v>
      </c>
      <c r="E7" s="155"/>
      <c r="F7" s="149"/>
      <c r="G7" s="149"/>
      <c r="H7" s="149"/>
      <c r="I7" s="149"/>
      <c r="J7" s="247"/>
      <c r="K7" s="247"/>
      <c r="L7" s="247"/>
      <c r="M7" s="162"/>
    </row>
    <row r="8" spans="2:13" ht="26.25" customHeight="1" x14ac:dyDescent="0.2">
      <c r="B8" s="146"/>
      <c r="C8" s="148"/>
      <c r="D8" s="155"/>
      <c r="E8" s="155"/>
      <c r="F8" s="149"/>
      <c r="G8" s="149"/>
      <c r="H8" s="149"/>
      <c r="I8" s="149"/>
      <c r="J8" s="11">
        <f>INT(COUNT(Timestamp)*365/(End_Date-Start_Date+1))</f>
        <v>14429</v>
      </c>
      <c r="K8" s="12">
        <f>INDEX('Enter Parameters'!L8:N8,MATCH(J8,'Enter Parameters'!L7:N7,1))</f>
        <v>500</v>
      </c>
      <c r="L8" s="50">
        <f>MIN('Enter Parameters'!I7,CEILING('Enter Parameters'!I8/J8,1))</f>
        <v>7</v>
      </c>
      <c r="M8" s="162"/>
    </row>
    <row r="9" spans="2:13" x14ac:dyDescent="0.2">
      <c r="B9" s="146"/>
      <c r="C9" s="149"/>
      <c r="D9" s="157" t="s">
        <v>32</v>
      </c>
      <c r="E9" s="156"/>
      <c r="F9" s="149"/>
      <c r="G9" s="149"/>
      <c r="H9" s="149"/>
      <c r="I9" s="149"/>
      <c r="J9" s="149"/>
      <c r="K9" s="149"/>
      <c r="L9" s="149"/>
      <c r="M9" s="162"/>
    </row>
    <row r="10" spans="2:13" x14ac:dyDescent="0.2">
      <c r="B10" s="150"/>
      <c r="C10" s="151"/>
      <c r="D10" s="6" t="s">
        <v>33</v>
      </c>
      <c r="E10" s="6" t="s">
        <v>34</v>
      </c>
      <c r="F10" s="6" t="s">
        <v>35</v>
      </c>
      <c r="G10" s="6" t="s">
        <v>36</v>
      </c>
      <c r="H10" s="6" t="s">
        <v>37</v>
      </c>
      <c r="I10" s="6" t="s">
        <v>38</v>
      </c>
      <c r="J10" s="149"/>
      <c r="K10" s="160" t="s">
        <v>31</v>
      </c>
      <c r="L10" s="5">
        <f>Marginal_Tax_Rate</f>
        <v>0.21</v>
      </c>
      <c r="M10" s="162"/>
    </row>
    <row r="11" spans="2:13" x14ac:dyDescent="0.2">
      <c r="B11" s="150"/>
      <c r="C11" s="151"/>
      <c r="D11" s="80">
        <v>0.2</v>
      </c>
      <c r="E11" s="80">
        <v>0.32</v>
      </c>
      <c r="F11" s="80">
        <v>0.192</v>
      </c>
      <c r="G11" s="80">
        <v>0.1152</v>
      </c>
      <c r="H11" s="80">
        <v>0.1152</v>
      </c>
      <c r="I11" s="80">
        <v>5.7599999999999998E-2</v>
      </c>
      <c r="J11" s="149"/>
      <c r="K11" s="161" t="s">
        <v>143</v>
      </c>
      <c r="L11" s="5">
        <f>Opp_CC</f>
        <v>0.06</v>
      </c>
      <c r="M11" s="162"/>
    </row>
    <row r="12" spans="2:13" customFormat="1" x14ac:dyDescent="0.2">
      <c r="B12" s="152"/>
      <c r="C12" s="153"/>
      <c r="D12" s="158"/>
      <c r="E12" s="158"/>
      <c r="F12" s="158"/>
      <c r="G12" s="158"/>
      <c r="H12" s="158"/>
      <c r="I12" s="158"/>
      <c r="J12" s="158"/>
      <c r="K12" s="158"/>
      <c r="L12" s="158"/>
      <c r="M12" s="159"/>
    </row>
    <row r="13" spans="2:13" ht="16" x14ac:dyDescent="0.2">
      <c r="B13" s="81" t="s">
        <v>200</v>
      </c>
      <c r="C13" s="7">
        <v>0</v>
      </c>
      <c r="D13" s="7">
        <v>1</v>
      </c>
      <c r="E13" s="7">
        <v>2</v>
      </c>
      <c r="F13" s="7">
        <v>3</v>
      </c>
      <c r="G13" s="7">
        <v>4</v>
      </c>
      <c r="H13" s="7">
        <v>5</v>
      </c>
      <c r="I13" s="7">
        <v>6</v>
      </c>
      <c r="J13" s="7">
        <v>7</v>
      </c>
      <c r="K13" s="7">
        <v>8</v>
      </c>
      <c r="L13" s="7">
        <v>9</v>
      </c>
      <c r="M13" s="7">
        <v>10</v>
      </c>
    </row>
    <row r="14" spans="2:13" x14ac:dyDescent="0.2">
      <c r="B14" s="167"/>
      <c r="C14" s="168"/>
      <c r="D14" s="168"/>
      <c r="E14" s="168"/>
      <c r="F14" s="168"/>
      <c r="G14" s="168"/>
      <c r="H14" s="168"/>
      <c r="I14" s="168"/>
      <c r="J14" s="168"/>
      <c r="K14" s="168"/>
      <c r="L14" s="168"/>
      <c r="M14" s="169"/>
    </row>
    <row r="15" spans="2:13" x14ac:dyDescent="0.2">
      <c r="B15" s="98" t="s">
        <v>160</v>
      </c>
      <c r="C15" s="86">
        <f>IF(C$13&gt;$L$8,0,-($C$30-SUM($C$17:C$17)))</f>
        <v>12000</v>
      </c>
      <c r="D15" s="86">
        <f>IF(D$13&gt;$L$8,0,-($C$30-SUM($C$17:D$17)))</f>
        <v>9600</v>
      </c>
      <c r="E15" s="86">
        <f>IF(E$13&gt;$L$8,0,-($C$30-SUM($C$17:E$17)))</f>
        <v>5760</v>
      </c>
      <c r="F15" s="86">
        <f>IF(F$13&gt;$L$8,0,-($C$30-SUM($C$17:F$17)))</f>
        <v>3456</v>
      </c>
      <c r="G15" s="86">
        <f>IF(G$13&gt;$L$8,0,-($C$30-SUM($C$17:G$17)))</f>
        <v>2073.6000000000004</v>
      </c>
      <c r="H15" s="86">
        <f>IF(H$13&gt;$L$8,0,-($C$30-SUM($C$17:H$17)))</f>
        <v>691.20000000000073</v>
      </c>
      <c r="I15" s="86">
        <f>IF(I$13&gt;$L$8,0,-($C$30-SUM($C$17:I$17)))</f>
        <v>0</v>
      </c>
      <c r="J15" s="86">
        <f>IF(J$13&gt;$L$8,0,-($C$30-SUM($C$17:J$17)))</f>
        <v>0</v>
      </c>
      <c r="K15" s="86">
        <f>IF(K$13&gt;$L$8,0,-($C$30-SUM($C$17:K$17)))</f>
        <v>0</v>
      </c>
      <c r="L15" s="86">
        <f>IF(L$13&gt;$L$8,0,-($C$30-SUM($C$17:L$17)))</f>
        <v>0</v>
      </c>
      <c r="M15" s="86">
        <f>IF(M$13&gt;$L$8,0,-($C$30-SUM($C$17:M$17)))</f>
        <v>0</v>
      </c>
    </row>
    <row r="16" spans="2:13" s="20" customFormat="1" ht="26.25" customHeight="1" x14ac:dyDescent="0.15">
      <c r="B16" s="170" t="s">
        <v>162</v>
      </c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6"/>
    </row>
    <row r="17" spans="2:13" ht="15.75" customHeight="1" x14ac:dyDescent="0.2">
      <c r="B17" s="172" t="s">
        <v>58</v>
      </c>
      <c r="C17" s="173"/>
      <c r="D17" s="88">
        <f t="shared" ref="D17:I17" si="0">IF(D$13&gt;$L$8,0,IF(D$13=$L$8,0.5*$C$30*D$11,$C$30*D$11))</f>
        <v>-2400</v>
      </c>
      <c r="E17" s="88">
        <f t="shared" si="0"/>
        <v>-3840</v>
      </c>
      <c r="F17" s="88">
        <f t="shared" si="0"/>
        <v>-2304</v>
      </c>
      <c r="G17" s="88">
        <f t="shared" si="0"/>
        <v>-1382.3999999999999</v>
      </c>
      <c r="H17" s="88">
        <f t="shared" si="0"/>
        <v>-1382.3999999999999</v>
      </c>
      <c r="I17" s="88">
        <f t="shared" si="0"/>
        <v>-691.19999999999993</v>
      </c>
      <c r="J17" s="171"/>
      <c r="K17" s="171"/>
      <c r="L17" s="171"/>
      <c r="M17" s="176"/>
    </row>
    <row r="18" spans="2:13" ht="15.75" customHeight="1" x14ac:dyDescent="0.2">
      <c r="B18" s="172" t="s">
        <v>48</v>
      </c>
      <c r="C18" s="173"/>
      <c r="D18" s="88">
        <f t="shared" ref="D18:M18" si="1">IF(D$13&lt;=$L$8,-$K$8,0)</f>
        <v>-500</v>
      </c>
      <c r="E18" s="88">
        <f t="shared" si="1"/>
        <v>-500</v>
      </c>
      <c r="F18" s="88">
        <f t="shared" si="1"/>
        <v>-500</v>
      </c>
      <c r="G18" s="88">
        <f t="shared" si="1"/>
        <v>-500</v>
      </c>
      <c r="H18" s="88">
        <f t="shared" si="1"/>
        <v>-500</v>
      </c>
      <c r="I18" s="88">
        <f t="shared" si="1"/>
        <v>-500</v>
      </c>
      <c r="J18" s="88">
        <f t="shared" si="1"/>
        <v>-500</v>
      </c>
      <c r="K18" s="88">
        <f t="shared" si="1"/>
        <v>0</v>
      </c>
      <c r="L18" s="88">
        <f t="shared" si="1"/>
        <v>0</v>
      </c>
      <c r="M18" s="88">
        <f t="shared" si="1"/>
        <v>0</v>
      </c>
    </row>
    <row r="19" spans="2:13" ht="15.75" customHeight="1" x14ac:dyDescent="0.2">
      <c r="B19" s="172" t="s">
        <v>159</v>
      </c>
      <c r="C19" s="173"/>
      <c r="D19" s="89">
        <f t="shared" ref="D19:M19" si="2">IF(D$13=$L$8,D$31-D$15,0)</f>
        <v>0</v>
      </c>
      <c r="E19" s="89">
        <f t="shared" si="2"/>
        <v>0</v>
      </c>
      <c r="F19" s="89">
        <f t="shared" si="2"/>
        <v>0</v>
      </c>
      <c r="G19" s="89">
        <f t="shared" si="2"/>
        <v>0</v>
      </c>
      <c r="H19" s="89">
        <f t="shared" si="2"/>
        <v>0</v>
      </c>
      <c r="I19" s="89">
        <f t="shared" si="2"/>
        <v>0</v>
      </c>
      <c r="J19" s="89">
        <f t="shared" si="2"/>
        <v>300</v>
      </c>
      <c r="K19" s="89">
        <f t="shared" si="2"/>
        <v>0</v>
      </c>
      <c r="L19" s="89">
        <f t="shared" si="2"/>
        <v>0</v>
      </c>
      <c r="M19" s="89">
        <f t="shared" si="2"/>
        <v>0</v>
      </c>
    </row>
    <row r="20" spans="2:13" ht="15.75" customHeight="1" x14ac:dyDescent="0.2">
      <c r="B20" s="172" t="s">
        <v>57</v>
      </c>
      <c r="C20" s="173"/>
      <c r="D20" s="88">
        <f>$L$10*(-SUM(D17:D19))</f>
        <v>609</v>
      </c>
      <c r="E20" s="88">
        <f t="shared" ref="E20:M20" si="3">$L$10*(-SUM(E17:E19))</f>
        <v>911.4</v>
      </c>
      <c r="F20" s="88">
        <f t="shared" si="3"/>
        <v>588.84</v>
      </c>
      <c r="G20" s="88">
        <f t="shared" si="3"/>
        <v>395.30399999999997</v>
      </c>
      <c r="H20" s="88">
        <f t="shared" si="3"/>
        <v>395.30399999999997</v>
      </c>
      <c r="I20" s="88">
        <f t="shared" si="3"/>
        <v>250.15199999999996</v>
      </c>
      <c r="J20" s="88">
        <f t="shared" si="3"/>
        <v>42</v>
      </c>
      <c r="K20" s="88">
        <f t="shared" si="3"/>
        <v>0</v>
      </c>
      <c r="L20" s="88">
        <f t="shared" si="3"/>
        <v>0</v>
      </c>
      <c r="M20" s="88">
        <f t="shared" si="3"/>
        <v>0</v>
      </c>
    </row>
    <row r="21" spans="2:13" customFormat="1" ht="9" customHeight="1" x14ac:dyDescent="0.15">
      <c r="B21" s="174"/>
      <c r="C21" s="175"/>
      <c r="D21" s="90"/>
      <c r="E21" s="90"/>
      <c r="F21" s="90"/>
      <c r="G21" s="90"/>
      <c r="H21" s="90"/>
      <c r="I21" s="90"/>
      <c r="J21" s="90"/>
      <c r="K21" s="90"/>
      <c r="L21" s="90"/>
      <c r="M21" s="91"/>
    </row>
    <row r="22" spans="2:13" ht="15.75" customHeight="1" thickBot="1" x14ac:dyDescent="0.25">
      <c r="B22" s="92" t="s">
        <v>59</v>
      </c>
      <c r="C22" s="93"/>
      <c r="D22" s="94">
        <f t="shared" ref="D22:M22" si="4">SUM(D17:D20)</f>
        <v>-2291</v>
      </c>
      <c r="E22" s="94">
        <f t="shared" si="4"/>
        <v>-3428.6</v>
      </c>
      <c r="F22" s="94">
        <f t="shared" si="4"/>
        <v>-2215.16</v>
      </c>
      <c r="G22" s="94">
        <f t="shared" si="4"/>
        <v>-1487.096</v>
      </c>
      <c r="H22" s="94">
        <f t="shared" si="4"/>
        <v>-1487.096</v>
      </c>
      <c r="I22" s="94">
        <f t="shared" si="4"/>
        <v>-941.04799999999989</v>
      </c>
      <c r="J22" s="94">
        <f t="shared" si="4"/>
        <v>-158</v>
      </c>
      <c r="K22" s="94">
        <f t="shared" si="4"/>
        <v>0</v>
      </c>
      <c r="L22" s="94">
        <f t="shared" si="4"/>
        <v>0</v>
      </c>
      <c r="M22" s="94">
        <f t="shared" si="4"/>
        <v>0</v>
      </c>
    </row>
    <row r="23" spans="2:13" ht="26.25" customHeight="1" thickTop="1" x14ac:dyDescent="0.2">
      <c r="B23" s="170" t="s">
        <v>201</v>
      </c>
      <c r="C23" s="173"/>
      <c r="D23" s="177"/>
      <c r="E23" s="177"/>
      <c r="F23" s="177"/>
      <c r="G23" s="177"/>
      <c r="H23" s="177"/>
      <c r="I23" s="177"/>
      <c r="J23" s="177"/>
      <c r="K23" s="177"/>
      <c r="L23" s="177"/>
      <c r="M23" s="178"/>
    </row>
    <row r="24" spans="2:13" ht="20.25" customHeight="1" x14ac:dyDescent="0.2">
      <c r="B24" s="179" t="s">
        <v>39</v>
      </c>
      <c r="C24" s="173"/>
      <c r="D24" s="177"/>
      <c r="E24" s="177"/>
      <c r="F24" s="177"/>
      <c r="G24" s="177"/>
      <c r="H24" s="177"/>
      <c r="I24" s="177"/>
      <c r="J24" s="173"/>
      <c r="K24" s="173"/>
      <c r="L24" s="173"/>
      <c r="M24" s="180"/>
    </row>
    <row r="25" spans="2:13" x14ac:dyDescent="0.2">
      <c r="B25" s="172" t="s">
        <v>59</v>
      </c>
      <c r="C25" s="173"/>
      <c r="D25" s="95">
        <f>D22</f>
        <v>-2291</v>
      </c>
      <c r="E25" s="95">
        <f t="shared" ref="E25:M25" si="5">E22</f>
        <v>-3428.6</v>
      </c>
      <c r="F25" s="95">
        <f t="shared" si="5"/>
        <v>-2215.16</v>
      </c>
      <c r="G25" s="95">
        <f t="shared" si="5"/>
        <v>-1487.096</v>
      </c>
      <c r="H25" s="95">
        <f t="shared" si="5"/>
        <v>-1487.096</v>
      </c>
      <c r="I25" s="95">
        <f t="shared" si="5"/>
        <v>-941.04799999999989</v>
      </c>
      <c r="J25" s="95">
        <f t="shared" si="5"/>
        <v>-158</v>
      </c>
      <c r="K25" s="95">
        <f t="shared" si="5"/>
        <v>0</v>
      </c>
      <c r="L25" s="95">
        <f t="shared" si="5"/>
        <v>0</v>
      </c>
      <c r="M25" s="95">
        <f t="shared" si="5"/>
        <v>0</v>
      </c>
    </row>
    <row r="26" spans="2:13" x14ac:dyDescent="0.2">
      <c r="B26" s="172" t="s">
        <v>58</v>
      </c>
      <c r="C26" s="173"/>
      <c r="D26" s="95">
        <f t="shared" ref="D26:I26" si="6">-D17</f>
        <v>2400</v>
      </c>
      <c r="E26" s="95">
        <f t="shared" si="6"/>
        <v>3840</v>
      </c>
      <c r="F26" s="95">
        <f t="shared" si="6"/>
        <v>2304</v>
      </c>
      <c r="G26" s="95">
        <f t="shared" si="6"/>
        <v>1382.3999999999999</v>
      </c>
      <c r="H26" s="95">
        <f t="shared" si="6"/>
        <v>1382.3999999999999</v>
      </c>
      <c r="I26" s="95">
        <f t="shared" si="6"/>
        <v>691.19999999999993</v>
      </c>
      <c r="J26" s="173"/>
      <c r="K26" s="173"/>
      <c r="L26" s="173"/>
      <c r="M26" s="180"/>
    </row>
    <row r="27" spans="2:13" x14ac:dyDescent="0.2">
      <c r="B27" s="172" t="s">
        <v>159</v>
      </c>
      <c r="C27" s="173"/>
      <c r="D27" s="95">
        <f t="shared" ref="D27:M27" si="7">-D19</f>
        <v>0</v>
      </c>
      <c r="E27" s="95">
        <f t="shared" si="7"/>
        <v>0</v>
      </c>
      <c r="F27" s="95">
        <f t="shared" si="7"/>
        <v>0</v>
      </c>
      <c r="G27" s="95">
        <f t="shared" si="7"/>
        <v>0</v>
      </c>
      <c r="H27" s="95">
        <f t="shared" si="7"/>
        <v>0</v>
      </c>
      <c r="I27" s="95">
        <f t="shared" si="7"/>
        <v>0</v>
      </c>
      <c r="J27" s="95">
        <f t="shared" si="7"/>
        <v>-300</v>
      </c>
      <c r="K27" s="95">
        <f t="shared" si="7"/>
        <v>0</v>
      </c>
      <c r="L27" s="95">
        <f t="shared" si="7"/>
        <v>0</v>
      </c>
      <c r="M27" s="95">
        <f t="shared" si="7"/>
        <v>0</v>
      </c>
    </row>
    <row r="28" spans="2:13" customFormat="1" ht="13" x14ac:dyDescent="0.15">
      <c r="B28" s="181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83"/>
    </row>
    <row r="29" spans="2:13" x14ac:dyDescent="0.2">
      <c r="B29" s="179" t="s">
        <v>40</v>
      </c>
      <c r="C29" s="173"/>
      <c r="D29" s="173"/>
      <c r="E29" s="173"/>
      <c r="F29" s="173"/>
      <c r="G29" s="173"/>
      <c r="H29" s="173"/>
      <c r="I29" s="173"/>
      <c r="J29" s="173"/>
      <c r="K29" s="173"/>
      <c r="L29" s="173"/>
      <c r="M29" s="180"/>
    </row>
    <row r="30" spans="2:13" x14ac:dyDescent="0.2">
      <c r="B30" s="172" t="s">
        <v>42</v>
      </c>
      <c r="C30" s="96">
        <f>-'Enter Parameters'!I6</f>
        <v>-12000</v>
      </c>
      <c r="D30" s="173"/>
      <c r="E30" s="173"/>
      <c r="F30" s="173"/>
      <c r="G30" s="173"/>
      <c r="H30" s="173"/>
      <c r="I30" s="173"/>
      <c r="J30" s="173"/>
      <c r="K30" s="173"/>
      <c r="L30" s="173"/>
      <c r="M30" s="180"/>
    </row>
    <row r="31" spans="2:13" x14ac:dyDescent="0.2">
      <c r="B31" s="172" t="s">
        <v>161</v>
      </c>
      <c r="C31" s="173"/>
      <c r="D31" s="96">
        <f>IF(D$13=$L$8,'Enter Parameters'!$I$9,0)</f>
        <v>0</v>
      </c>
      <c r="E31" s="96">
        <f>IF(E$13=$L$8,'Enter Parameters'!$I$9,0)</f>
        <v>0</v>
      </c>
      <c r="F31" s="96">
        <f>IF(F$13=$L$8,'Enter Parameters'!$I$9,0)</f>
        <v>0</v>
      </c>
      <c r="G31" s="96">
        <f>IF(G$13=$L$8,'Enter Parameters'!$I$9,0)</f>
        <v>0</v>
      </c>
      <c r="H31" s="96">
        <f>IF(H$13=$L$8,'Enter Parameters'!$I$9,0)</f>
        <v>0</v>
      </c>
      <c r="I31" s="96">
        <f>IF(I$13=$L$8,'Enter Parameters'!$I$9,0)</f>
        <v>0</v>
      </c>
      <c r="J31" s="96">
        <f>IF(J$13=$L$8,'Enter Parameters'!$I$9,0)</f>
        <v>300</v>
      </c>
      <c r="K31" s="96">
        <f>IF(K$13=$L$8,'Enter Parameters'!$I$9,0)</f>
        <v>0</v>
      </c>
      <c r="L31" s="96">
        <f>IF(L$13=$L$8,'Enter Parameters'!$I$9,0)</f>
        <v>0</v>
      </c>
      <c r="M31" s="96">
        <f>IF(M$13=$L$8,'Enter Parameters'!$I$9,0)</f>
        <v>0</v>
      </c>
    </row>
    <row r="32" spans="2:13" x14ac:dyDescent="0.2">
      <c r="B32" s="182"/>
      <c r="C32" s="173"/>
      <c r="D32" s="173"/>
      <c r="E32" s="173"/>
      <c r="F32" s="173"/>
      <c r="G32" s="173"/>
      <c r="H32" s="173"/>
      <c r="I32" s="173"/>
      <c r="J32" s="173"/>
      <c r="K32" s="173"/>
      <c r="L32" s="173"/>
      <c r="M32" s="184"/>
    </row>
    <row r="33" spans="2:13" ht="16" thickBot="1" x14ac:dyDescent="0.25">
      <c r="B33" s="92" t="s">
        <v>41</v>
      </c>
      <c r="C33" s="97">
        <f>SUM(C25:C31)</f>
        <v>-12000</v>
      </c>
      <c r="D33" s="97">
        <f t="shared" ref="D33:M33" si="8">SUM(D25:D31)</f>
        <v>109</v>
      </c>
      <c r="E33" s="97">
        <f t="shared" si="8"/>
        <v>411.40000000000009</v>
      </c>
      <c r="F33" s="97">
        <f t="shared" si="8"/>
        <v>88.840000000000146</v>
      </c>
      <c r="G33" s="97">
        <f t="shared" si="8"/>
        <v>-104.69600000000014</v>
      </c>
      <c r="H33" s="97">
        <f t="shared" si="8"/>
        <v>-104.69600000000014</v>
      </c>
      <c r="I33" s="97">
        <f t="shared" si="8"/>
        <v>-249.84799999999996</v>
      </c>
      <c r="J33" s="97">
        <f t="shared" si="8"/>
        <v>-158</v>
      </c>
      <c r="K33" s="97">
        <f t="shared" si="8"/>
        <v>0</v>
      </c>
      <c r="L33" s="97">
        <f t="shared" si="8"/>
        <v>0</v>
      </c>
      <c r="M33" s="97">
        <f t="shared" si="8"/>
        <v>0</v>
      </c>
    </row>
    <row r="34" spans="2:13" ht="16" thickTop="1" x14ac:dyDescent="0.2"/>
  </sheetData>
  <mergeCells count="3">
    <mergeCell ref="J6:J7"/>
    <mergeCell ref="K6:K7"/>
    <mergeCell ref="L6:L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22"/>
  <sheetViews>
    <sheetView workbookViewId="0">
      <selection activeCell="B1" sqref="B1"/>
    </sheetView>
  </sheetViews>
  <sheetFormatPr baseColWidth="10" defaultColWidth="8.83203125" defaultRowHeight="13" x14ac:dyDescent="0.15"/>
  <cols>
    <col min="1" max="1" width="20.1640625" bestFit="1" customWidth="1"/>
  </cols>
  <sheetData>
    <row r="1" spans="1:1" x14ac:dyDescent="0.15">
      <c r="A1" s="100" t="s">
        <v>203</v>
      </c>
    </row>
    <row r="2" spans="1:1" x14ac:dyDescent="0.15">
      <c r="A2" s="87" t="s">
        <v>222</v>
      </c>
    </row>
    <row r="3" spans="1:1" x14ac:dyDescent="0.15">
      <c r="A3" s="87" t="s">
        <v>223</v>
      </c>
    </row>
    <row r="4" spans="1:1" x14ac:dyDescent="0.15">
      <c r="A4" s="87" t="s">
        <v>68</v>
      </c>
    </row>
    <row r="5" spans="1:1" x14ac:dyDescent="0.15">
      <c r="A5" s="87" t="s">
        <v>204</v>
      </c>
    </row>
    <row r="6" spans="1:1" x14ac:dyDescent="0.15">
      <c r="A6" s="87" t="s">
        <v>205</v>
      </c>
    </row>
    <row r="7" spans="1:1" x14ac:dyDescent="0.15">
      <c r="A7" s="87" t="s">
        <v>206</v>
      </c>
    </row>
    <row r="8" spans="1:1" x14ac:dyDescent="0.15">
      <c r="A8" s="87" t="s">
        <v>207</v>
      </c>
    </row>
    <row r="9" spans="1:1" x14ac:dyDescent="0.15">
      <c r="A9" s="87" t="s">
        <v>208</v>
      </c>
    </row>
    <row r="10" spans="1:1" x14ac:dyDescent="0.15">
      <c r="A10" s="87" t="s">
        <v>209</v>
      </c>
    </row>
    <row r="11" spans="1:1" x14ac:dyDescent="0.15">
      <c r="A11" s="87" t="s">
        <v>210</v>
      </c>
    </row>
    <row r="12" spans="1:1" x14ac:dyDescent="0.15">
      <c r="A12" s="87" t="s">
        <v>211</v>
      </c>
    </row>
    <row r="13" spans="1:1" x14ac:dyDescent="0.15">
      <c r="A13" s="87" t="s">
        <v>212</v>
      </c>
    </row>
    <row r="14" spans="1:1" x14ac:dyDescent="0.15">
      <c r="A14" s="87" t="s">
        <v>213</v>
      </c>
    </row>
    <row r="15" spans="1:1" x14ac:dyDescent="0.15">
      <c r="A15" s="87" t="s">
        <v>214</v>
      </c>
    </row>
    <row r="16" spans="1:1" x14ac:dyDescent="0.15">
      <c r="A16" s="87" t="s">
        <v>215</v>
      </c>
    </row>
    <row r="17" spans="1:1" x14ac:dyDescent="0.15">
      <c r="A17" s="87" t="s">
        <v>216</v>
      </c>
    </row>
    <row r="18" spans="1:1" x14ac:dyDescent="0.15">
      <c r="A18" s="87" t="s">
        <v>217</v>
      </c>
    </row>
    <row r="19" spans="1:1" x14ac:dyDescent="0.15">
      <c r="A19" s="87" t="s">
        <v>218</v>
      </c>
    </row>
    <row r="20" spans="1:1" x14ac:dyDescent="0.15">
      <c r="A20" s="87" t="s">
        <v>219</v>
      </c>
    </row>
    <row r="21" spans="1:1" x14ac:dyDescent="0.15">
      <c r="A21" s="87" t="s">
        <v>220</v>
      </c>
    </row>
    <row r="22" spans="1:1" x14ac:dyDescent="0.15">
      <c r="A22" s="87" t="s">
        <v>221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EF58E6-9B32-4331-9761-CAF4F98CEE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49</vt:i4>
      </vt:variant>
    </vt:vector>
  </HeadingPairs>
  <TitlesOfParts>
    <vt:vector size="57" baseType="lpstr">
      <vt:lpstr>Select ATM to Analyze</vt:lpstr>
      <vt:lpstr>ATM Transaction Query Results</vt:lpstr>
      <vt:lpstr>Enter Parameters</vt:lpstr>
      <vt:lpstr>Analyze Replenishment Schedule</vt:lpstr>
      <vt:lpstr>ATM Cash Transactions</vt:lpstr>
      <vt:lpstr>Pre-Processing</vt:lpstr>
      <vt:lpstr>ATM Cost of Ownership</vt:lpstr>
      <vt:lpstr>Off-Premise ATM List</vt:lpstr>
      <vt:lpstr>Account</vt:lpstr>
      <vt:lpstr>Amount</vt:lpstr>
      <vt:lpstr>Amount_Withdrawn</vt:lpstr>
      <vt:lpstr>Annual_Ownership_Cost</vt:lpstr>
      <vt:lpstr>ATM_Cash_After_Transaction</vt:lpstr>
      <vt:lpstr>ATM_Cash_Before_Transaction</vt:lpstr>
      <vt:lpstr>ATM_Cash_Limit</vt:lpstr>
      <vt:lpstr>ATM_id</vt:lpstr>
      <vt:lpstr>Average_ATM_Cash_On_Hand</vt:lpstr>
      <vt:lpstr>Displayed_ATM</vt:lpstr>
      <vt:lpstr>Earliest_Replenishment_Time</vt:lpstr>
      <vt:lpstr>End_Date</vt:lpstr>
      <vt:lpstr>Failed_Transactions</vt:lpstr>
      <vt:lpstr>FCI_Limit</vt:lpstr>
      <vt:lpstr>FCII</vt:lpstr>
      <vt:lpstr>Fee_collected</vt:lpstr>
      <vt:lpstr>Latest_Replenishment_Time</vt:lpstr>
      <vt:lpstr>Lost_Transaction_Fees</vt:lpstr>
      <vt:lpstr>Marginal_Tax_Rate</vt:lpstr>
      <vt:lpstr>Off_Premise_ATM_List</vt:lpstr>
      <vt:lpstr>Opp_CC</vt:lpstr>
      <vt:lpstr>R_Amounts</vt:lpstr>
      <vt:lpstr>R_Costs</vt:lpstr>
      <vt:lpstr>R_Days</vt:lpstr>
      <vt:lpstr>R_Schedule_Amounts</vt:lpstr>
      <vt:lpstr>R_Schedule_Costs</vt:lpstr>
      <vt:lpstr>R_Schedule_Days</vt:lpstr>
      <vt:lpstr>R_Schedule_Days_of_Week</vt:lpstr>
      <vt:lpstr>R_Schedule_Table</vt:lpstr>
      <vt:lpstr>R_Schedule_Times</vt:lpstr>
      <vt:lpstr>R_Schedule_Times_of_Day</vt:lpstr>
      <vt:lpstr>R_Times</vt:lpstr>
      <vt:lpstr>Rep_Amnt1</vt:lpstr>
      <vt:lpstr>Rep_Day1</vt:lpstr>
      <vt:lpstr>Replenishment_Cost_Table</vt:lpstr>
      <vt:lpstr>Selected_ATM</vt:lpstr>
      <vt:lpstr>Selected_Days</vt:lpstr>
      <vt:lpstr>Selected_End_Date</vt:lpstr>
      <vt:lpstr>Selected_Start_Date</vt:lpstr>
      <vt:lpstr>Start_Date</vt:lpstr>
      <vt:lpstr>Starting_Cash</vt:lpstr>
      <vt:lpstr>Table_Transaction_Query_Results</vt:lpstr>
      <vt:lpstr>Time_Since_Last_Transaction</vt:lpstr>
      <vt:lpstr>Timestamp</vt:lpstr>
      <vt:lpstr>Transaction_Data</vt:lpstr>
      <vt:lpstr>Transaction_Fee</vt:lpstr>
      <vt:lpstr>Transaction_Period_Ownership_Cost</vt:lpstr>
      <vt:lpstr>Transaction_Table</vt:lpstr>
      <vt:lpstr>Transaction_Type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Kathryn Caggiano</dc:creator>
  <cp:lastModifiedBy>Aarushi</cp:lastModifiedBy>
  <dcterms:created xsi:type="dcterms:W3CDTF">2010-01-24T21:59:41Z</dcterms:created>
  <dcterms:modified xsi:type="dcterms:W3CDTF">2023-07-28T01:49:14Z</dcterms:modified>
</cp:coreProperties>
</file>